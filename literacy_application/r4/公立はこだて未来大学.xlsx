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defaultThemeVersion="124226"/>
  <mc:AlternateContent xmlns:mc="http://schemas.openxmlformats.org/markup-compatibility/2006">
    <mc:Choice Requires="x15">
      <x15ac:absPath xmlns:x15ac="http://schemas.microsoft.com/office/spreadsheetml/2010/11/ac" url="\\jimu02\office\Education\Edu-Only\文部科学省　補助申請・補助事業\☆☆R04 数理・データサイエンス・ＡＩ教育プログラム認定制度\202205 申請\20220714再提出_01公立はこだて未来大学_リテラシ\"/>
    </mc:Choice>
  </mc:AlternateContent>
  <xr:revisionPtr revIDLastSave="0" documentId="13_ncr:1_{932C0370-49B9-4749-8F95-C07A3821D73B}" xr6:coauthVersionLast="36" xr6:coauthVersionMax="47" xr10:uidLastSave="{00000000-0000-0000-0000-000000000000}"/>
  <bookViews>
    <workbookView xWindow="0" yWindow="0" windowWidth="14835" windowHeight="6885" tabRatio="885" firstSheet="2" activeTab="4" xr2:uid="{00000000-000D-0000-FFFF-FFFF00000000}"/>
  </bookViews>
  <sheets>
    <sheet name="様式１　大学等概要" sheetId="44" r:id="rId1"/>
    <sheet name="様式２　プログラムを構成する授業科目" sheetId="39" r:id="rId2"/>
    <sheet name="様式３　履修者等数の実績" sheetId="45"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workbook>
</file>

<file path=xl/calcChain.xml><?xml version="1.0" encoding="utf-8"?>
<calcChain xmlns="http://schemas.openxmlformats.org/spreadsheetml/2006/main">
  <c r="I29" i="41" l="1"/>
  <c r="C28" i="41"/>
  <c r="P30" i="45"/>
  <c r="O30" i="45"/>
  <c r="N30" i="45"/>
  <c r="M30" i="45"/>
  <c r="L30" i="45"/>
  <c r="K30" i="45"/>
  <c r="J30" i="45"/>
  <c r="I30" i="45"/>
  <c r="H30" i="45"/>
  <c r="G30" i="45"/>
  <c r="F30" i="45"/>
  <c r="E30" i="45"/>
  <c r="D30" i="45"/>
  <c r="C30" i="45"/>
  <c r="Q29" i="45"/>
  <c r="R29" i="45" s="1"/>
  <c r="R28" i="45"/>
  <c r="Q28" i="45"/>
  <c r="Q27" i="45"/>
  <c r="R27" i="45" s="1"/>
  <c r="Q26" i="45"/>
  <c r="R26" i="45" s="1"/>
  <c r="Q25" i="45"/>
  <c r="R25" i="45" s="1"/>
  <c r="R24" i="45"/>
  <c r="Q24" i="45"/>
  <c r="Q23" i="45"/>
  <c r="R23" i="45" s="1"/>
  <c r="Q22" i="45"/>
  <c r="R22" i="45" s="1"/>
  <c r="Q21" i="45"/>
  <c r="R21" i="45" s="1"/>
  <c r="R20" i="45"/>
  <c r="Q20" i="45"/>
  <c r="Q19" i="45"/>
  <c r="R19" i="45" s="1"/>
  <c r="Q18" i="45"/>
  <c r="R18" i="45" s="1"/>
  <c r="Q17" i="45"/>
  <c r="R17" i="45" s="1"/>
  <c r="R16" i="45"/>
  <c r="Q16" i="45"/>
  <c r="Q15" i="45"/>
  <c r="R15" i="45" s="1"/>
  <c r="Q14" i="45"/>
  <c r="R14" i="45" s="1"/>
  <c r="Q13" i="45"/>
  <c r="R13" i="45" s="1"/>
  <c r="R12" i="45"/>
  <c r="Q12" i="45"/>
  <c r="Q11" i="45"/>
  <c r="R11" i="45" s="1"/>
  <c r="Q10" i="45"/>
  <c r="Q30" i="45" s="1"/>
  <c r="R30" i="45" s="1"/>
  <c r="O45" i="44"/>
  <c r="O44" i="44"/>
  <c r="O41" i="44"/>
  <c r="O39" i="44"/>
  <c r="O37" i="44"/>
  <c r="O34" i="44"/>
  <c r="O32" i="44"/>
  <c r="O29" i="44"/>
  <c r="O20" i="44"/>
  <c r="O18" i="44"/>
  <c r="O16" i="44"/>
  <c r="O14" i="44"/>
  <c r="O12" i="44"/>
  <c r="O10" i="44"/>
  <c r="O8" i="44"/>
  <c r="O6" i="44"/>
  <c r="O4" i="44"/>
  <c r="R10" i="45" l="1"/>
  <c r="K18" i="42" l="1"/>
  <c r="K16" i="42"/>
  <c r="K15" i="42"/>
  <c r="K9" i="42"/>
  <c r="K8" i="42"/>
  <c r="K7" i="42"/>
  <c r="K113" i="41"/>
  <c r="K91" i="41"/>
  <c r="K69" i="41"/>
  <c r="K46" i="41"/>
  <c r="K31" i="41"/>
  <c r="K15" i="41"/>
  <c r="K8" i="41"/>
  <c r="K5" i="41"/>
  <c r="K14" i="42"/>
  <c r="K13" i="42"/>
  <c r="K11" i="42"/>
  <c r="K10" i="42"/>
</calcChain>
</file>

<file path=xl/sharedStrings.xml><?xml version="1.0" encoding="utf-8"?>
<sst xmlns="http://schemas.openxmlformats.org/spreadsheetml/2006/main" count="327" uniqueCount="205">
  <si>
    <t>教員数</t>
    <rPh sb="0" eb="2">
      <t>キョウイン</t>
    </rPh>
    <rPh sb="2" eb="3">
      <t>スウ</t>
    </rPh>
    <phoneticPr fontId="6"/>
  </si>
  <si>
    <t>所属部署名</t>
    <rPh sb="0" eb="2">
      <t>ショゾク</t>
    </rPh>
    <rPh sb="2" eb="4">
      <t>ブショ</t>
    </rPh>
    <rPh sb="4" eb="5">
      <t>メイ</t>
    </rPh>
    <phoneticPr fontId="6"/>
  </si>
  <si>
    <t>担当者名</t>
    <rPh sb="0" eb="2">
      <t>タントウ</t>
    </rPh>
    <rPh sb="2" eb="3">
      <t>シャ</t>
    </rPh>
    <rPh sb="3" eb="4">
      <t>メイ</t>
    </rPh>
    <phoneticPr fontId="6"/>
  </si>
  <si>
    <t>電話番号</t>
  </si>
  <si>
    <t>E-mail</t>
  </si>
  <si>
    <t>（常勤）</t>
    <rPh sb="1" eb="3">
      <t>ジョウキン</t>
    </rPh>
    <phoneticPr fontId="6"/>
  </si>
  <si>
    <t>①</t>
    <phoneticPr fontId="6"/>
  </si>
  <si>
    <t>様式６</t>
    <rPh sb="0" eb="2">
      <t>ヨウシキ</t>
    </rPh>
    <phoneticPr fontId="6"/>
  </si>
  <si>
    <t>人</t>
    <rPh sb="0" eb="1">
      <t>ニン</t>
    </rPh>
    <phoneticPr fontId="6"/>
  </si>
  <si>
    <t>（非常勤）</t>
    <rPh sb="1" eb="4">
      <t>ヒジョウキン</t>
    </rPh>
    <phoneticPr fontId="6"/>
  </si>
  <si>
    <t>②</t>
    <phoneticPr fontId="6"/>
  </si>
  <si>
    <t>③</t>
    <phoneticPr fontId="6"/>
  </si>
  <si>
    <t>⑤</t>
    <phoneticPr fontId="6"/>
  </si>
  <si>
    <t>⑦</t>
    <phoneticPr fontId="6"/>
  </si>
  <si>
    <t>④</t>
    <phoneticPr fontId="6"/>
  </si>
  <si>
    <t>⑥</t>
    <phoneticPr fontId="6"/>
  </si>
  <si>
    <t>具体的な構成員</t>
    <rPh sb="0" eb="3">
      <t>グタイテキ</t>
    </rPh>
    <rPh sb="4" eb="7">
      <t>コウセイイン</t>
    </rPh>
    <phoneticPr fontId="6"/>
  </si>
  <si>
    <t>学校名</t>
    <rPh sb="0" eb="2">
      <t>ガッコウ</t>
    </rPh>
    <rPh sb="2" eb="3">
      <t>メイ</t>
    </rPh>
    <phoneticPr fontId="6"/>
  </si>
  <si>
    <t>１年次</t>
    <rPh sb="1" eb="2">
      <t>ネン</t>
    </rPh>
    <rPh sb="2" eb="3">
      <t>ツギ</t>
    </rPh>
    <phoneticPr fontId="6"/>
  </si>
  <si>
    <t>２年次</t>
    <rPh sb="1" eb="2">
      <t>ネン</t>
    </rPh>
    <rPh sb="2" eb="3">
      <t>ツギ</t>
    </rPh>
    <phoneticPr fontId="6"/>
  </si>
  <si>
    <t>３年次</t>
    <rPh sb="1" eb="2">
      <t>ネン</t>
    </rPh>
    <rPh sb="2" eb="3">
      <t>ツギ</t>
    </rPh>
    <phoneticPr fontId="6"/>
  </si>
  <si>
    <t>４年次</t>
    <rPh sb="1" eb="2">
      <t>ネン</t>
    </rPh>
    <rPh sb="2" eb="3">
      <t>ツギ</t>
    </rPh>
    <phoneticPr fontId="6"/>
  </si>
  <si>
    <t>人</t>
  </si>
  <si>
    <t>（役職名）</t>
    <rPh sb="1" eb="4">
      <t>ヤクショクメイ</t>
    </rPh>
    <phoneticPr fontId="6"/>
  </si>
  <si>
    <t>⑩</t>
    <phoneticPr fontId="6"/>
  </si>
  <si>
    <t>様式１</t>
    <rPh sb="0" eb="2">
      <t>ヨウシキ</t>
    </rPh>
    <phoneticPr fontId="6"/>
  </si>
  <si>
    <t>履修者数・履修率の向上に向けた計画</t>
    <rPh sb="5" eb="7">
      <t>リシュウ</t>
    </rPh>
    <rPh sb="7" eb="8">
      <t>リツ</t>
    </rPh>
    <phoneticPr fontId="6"/>
  </si>
  <si>
    <t>授業内容</t>
    <rPh sb="0" eb="2">
      <t>ジュギョウ</t>
    </rPh>
    <rPh sb="2" eb="4">
      <t>ナイヨウ</t>
    </rPh>
    <phoneticPr fontId="6"/>
  </si>
  <si>
    <t>できる限り多くの学生が履修・修得できるようなサポート体制</t>
    <rPh sb="26" eb="28">
      <t>タイセイ</t>
    </rPh>
    <phoneticPr fontId="6"/>
  </si>
  <si>
    <t>学内からの視点</t>
    <rPh sb="0" eb="2">
      <t>ガクナイ</t>
    </rPh>
    <rPh sb="5" eb="7">
      <t>シテン</t>
    </rPh>
    <phoneticPr fontId="6"/>
  </si>
  <si>
    <t>プログラムの履修・修得状況</t>
    <rPh sb="6" eb="8">
      <t>リシュウ</t>
    </rPh>
    <rPh sb="9" eb="11">
      <t>シュウトク</t>
    </rPh>
    <rPh sb="11" eb="13">
      <t>ジョウキョウ</t>
    </rPh>
    <phoneticPr fontId="6"/>
  </si>
  <si>
    <t>学修成果</t>
    <rPh sb="0" eb="2">
      <t>ガクシュウ</t>
    </rPh>
    <rPh sb="2" eb="4">
      <t>セイカ</t>
    </rPh>
    <phoneticPr fontId="6"/>
  </si>
  <si>
    <t>学生アンケート等を通じた学生の内容の理解度</t>
    <rPh sb="0" eb="2">
      <t>ガクセイ</t>
    </rPh>
    <rPh sb="7" eb="8">
      <t>トウ</t>
    </rPh>
    <rPh sb="9" eb="10">
      <t>ツウ</t>
    </rPh>
    <rPh sb="12" eb="14">
      <t>ガクセイ</t>
    </rPh>
    <rPh sb="15" eb="17">
      <t>ナイヨウ</t>
    </rPh>
    <rPh sb="18" eb="21">
      <t>リカイド</t>
    </rPh>
    <phoneticPr fontId="6"/>
  </si>
  <si>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6"/>
  </si>
  <si>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6"/>
  </si>
  <si>
    <t>学外からの視点</t>
    <rPh sb="0" eb="2">
      <t>ガクガイ</t>
    </rPh>
    <rPh sb="5" eb="7">
      <t>シテン</t>
    </rPh>
    <phoneticPr fontId="6"/>
  </si>
  <si>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6"/>
  </si>
  <si>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6"/>
  </si>
  <si>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6"/>
  </si>
  <si>
    <t>自己点検・評価の視点</t>
    <rPh sb="0" eb="2">
      <t>ジコ</t>
    </rPh>
    <rPh sb="2" eb="4">
      <t>テンケン</t>
    </rPh>
    <rPh sb="5" eb="7">
      <t>ヒョウカ</t>
    </rPh>
    <rPh sb="8" eb="10">
      <t>シテン</t>
    </rPh>
    <phoneticPr fontId="6"/>
  </si>
  <si>
    <t>体制の目的</t>
    <rPh sb="0" eb="2">
      <t>タイセイ</t>
    </rPh>
    <rPh sb="3" eb="5">
      <t>モクテキ</t>
    </rPh>
    <phoneticPr fontId="6"/>
  </si>
  <si>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6"/>
  </si>
  <si>
    <t>自己点検・評価体制における意見等</t>
    <rPh sb="15" eb="16">
      <t>トウ</t>
    </rPh>
    <phoneticPr fontId="6"/>
  </si>
  <si>
    <t>自己点検・評価について</t>
    <rPh sb="0" eb="2">
      <t>ジコ</t>
    </rPh>
    <rPh sb="2" eb="4">
      <t>テンケン</t>
    </rPh>
    <rPh sb="5" eb="7">
      <t>ヒョウカ</t>
    </rPh>
    <phoneticPr fontId="6"/>
  </si>
  <si>
    <t>修了者数</t>
    <rPh sb="0" eb="3">
      <t>シュウリョウシャ</t>
    </rPh>
    <rPh sb="3" eb="4">
      <t>スウ</t>
    </rPh>
    <phoneticPr fontId="6"/>
  </si>
  <si>
    <t>履修者数</t>
    <rPh sb="0" eb="2">
      <t>リシュウ</t>
    </rPh>
    <rPh sb="2" eb="3">
      <t>シャ</t>
    </rPh>
    <rPh sb="3" eb="4">
      <t>スウ</t>
    </rPh>
    <phoneticPr fontId="6"/>
  </si>
  <si>
    <t>所在地</t>
    <phoneticPr fontId="6"/>
  </si>
  <si>
    <t>５年次</t>
    <rPh sb="1" eb="2">
      <t>ネン</t>
    </rPh>
    <rPh sb="2" eb="3">
      <t>ツギ</t>
    </rPh>
    <phoneticPr fontId="6"/>
  </si>
  <si>
    <t>６年次</t>
    <rPh sb="1" eb="2">
      <t>ネン</t>
    </rPh>
    <rPh sb="2" eb="3">
      <t>ツギ</t>
    </rPh>
    <phoneticPr fontId="6"/>
  </si>
  <si>
    <t>大学等の設置者</t>
  </si>
  <si>
    <t>⑫</t>
    <phoneticPr fontId="6"/>
  </si>
  <si>
    <t>総数</t>
    <rPh sb="0" eb="2">
      <t>ソウスウ</t>
    </rPh>
    <phoneticPr fontId="6"/>
  </si>
  <si>
    <t>⑧</t>
    <phoneticPr fontId="6"/>
  </si>
  <si>
    <t>⑬</t>
    <phoneticPr fontId="6"/>
  </si>
  <si>
    <t>履修率</t>
    <rPh sb="0" eb="2">
      <t>リシュウ</t>
    </rPh>
    <rPh sb="2" eb="3">
      <t>リツ</t>
    </rPh>
    <phoneticPr fontId="6"/>
  </si>
  <si>
    <t>合　計</t>
    <phoneticPr fontId="6"/>
  </si>
  <si>
    <t>プログラムの開設年度</t>
    <rPh sb="6" eb="8">
      <t>カイセツ</t>
    </rPh>
    <rPh sb="8" eb="10">
      <t>ネンド</t>
    </rPh>
    <phoneticPr fontId="6"/>
  </si>
  <si>
    <t>⑨</t>
    <phoneticPr fontId="6"/>
  </si>
  <si>
    <t>⑭</t>
    <phoneticPr fontId="6"/>
  </si>
  <si>
    <t>履修者数
合計</t>
    <rPh sb="0" eb="2">
      <t>リシュウ</t>
    </rPh>
    <rPh sb="2" eb="3">
      <t>シャ</t>
    </rPh>
    <rPh sb="3" eb="4">
      <t>スウ</t>
    </rPh>
    <rPh sb="5" eb="7">
      <t>ゴウケイ</t>
    </rPh>
    <phoneticPr fontId="6"/>
  </si>
  <si>
    <t>様式３</t>
    <rPh sb="0" eb="2">
      <t>ヨウシキ</t>
    </rPh>
    <phoneticPr fontId="6"/>
  </si>
  <si>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6"/>
  </si>
  <si>
    <t>学部・学科に関係なく希望する学生全員が受講可能となるような必要な体制・取組等</t>
    <rPh sb="29" eb="31">
      <t>ヒツヨウ</t>
    </rPh>
    <rPh sb="32" eb="34">
      <t>タイセイ</t>
    </rPh>
    <rPh sb="35" eb="37">
      <t>トリクミ</t>
    </rPh>
    <rPh sb="37" eb="38">
      <t>トウ</t>
    </rPh>
    <phoneticPr fontId="6"/>
  </si>
  <si>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6"/>
  </si>
  <si>
    <t>プログラムを構成する授業科目について</t>
    <phoneticPr fontId="6"/>
  </si>
  <si>
    <t>収容
定員</t>
    <rPh sb="0" eb="2">
      <t>シュウヨウ</t>
    </rPh>
    <rPh sb="3" eb="5">
      <t>テイイン</t>
    </rPh>
    <phoneticPr fontId="6"/>
  </si>
  <si>
    <t>申請する認定プログラム</t>
    <rPh sb="0" eb="2">
      <t>シンセイ</t>
    </rPh>
    <rPh sb="4" eb="6">
      <t>ニンテイ</t>
    </rPh>
    <phoneticPr fontId="6"/>
  </si>
  <si>
    <t>プログラムの授業を教えている教員数</t>
    <rPh sb="6" eb="8">
      <t>ジュギョウ</t>
    </rPh>
    <rPh sb="9" eb="10">
      <t>オシ</t>
    </rPh>
    <rPh sb="14" eb="16">
      <t>キョウイン</t>
    </rPh>
    <rPh sb="16" eb="17">
      <t>スウ</t>
    </rPh>
    <phoneticPr fontId="6"/>
  </si>
  <si>
    <t>学生への学習支援</t>
    <rPh sb="0" eb="2">
      <t>ガクセイ</t>
    </rPh>
    <rPh sb="4" eb="6">
      <t>ガクシュウ</t>
    </rPh>
    <rPh sb="6" eb="8">
      <t>シエン</t>
    </rPh>
    <phoneticPr fontId="6"/>
  </si>
  <si>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6"/>
  </si>
  <si>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6"/>
  </si>
  <si>
    <t>プログラムを改善・進化させるための体制を定める規則名称</t>
    <phoneticPr fontId="6"/>
  </si>
  <si>
    <t>様式５</t>
    <rPh sb="0" eb="2">
      <t>ヨウシキ</t>
    </rPh>
    <phoneticPr fontId="6"/>
  </si>
  <si>
    <t>（責任者名）</t>
    <rPh sb="1" eb="4">
      <t>セキニンシャ</t>
    </rPh>
    <rPh sb="4" eb="5">
      <t>メイ</t>
    </rPh>
    <phoneticPr fontId="6"/>
  </si>
  <si>
    <t>プログラムの運営責任者</t>
    <phoneticPr fontId="6"/>
  </si>
  <si>
    <t>⑪</t>
    <phoneticPr fontId="6"/>
  </si>
  <si>
    <t>全学部・学科の入学定員</t>
    <rPh sb="0" eb="1">
      <t>ゼン</t>
    </rPh>
    <rPh sb="4" eb="6">
      <t>ガッカ</t>
    </rPh>
    <rPh sb="7" eb="9">
      <t>ニュウガク</t>
    </rPh>
    <rPh sb="9" eb="11">
      <t>テイイン</t>
    </rPh>
    <phoneticPr fontId="6"/>
  </si>
  <si>
    <t>全学部・学科の学生数（学年別）</t>
    <rPh sb="0" eb="1">
      <t>ゼン</t>
    </rPh>
    <rPh sb="4" eb="6">
      <t>ガッカ</t>
    </rPh>
    <rPh sb="7" eb="10">
      <t>ガクセイスウ</t>
    </rPh>
    <rPh sb="11" eb="13">
      <t>ガクネン</t>
    </rPh>
    <rPh sb="13" eb="14">
      <t>ベツ</t>
    </rPh>
    <phoneticPr fontId="6"/>
  </si>
  <si>
    <t>学部・学科名称</t>
    <rPh sb="0" eb="2">
      <t>ガクブ</t>
    </rPh>
    <rPh sb="3" eb="5">
      <t>ガッカ</t>
    </rPh>
    <rPh sb="5" eb="7">
      <t>メイショウ</t>
    </rPh>
    <phoneticPr fontId="6"/>
  </si>
  <si>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6"/>
  </si>
  <si>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6"/>
  </si>
  <si>
    <t>授業時間内外で学習指導、質問を受け付ける具体的な仕組み</t>
    <rPh sb="20" eb="23">
      <t>グタイテキ</t>
    </rPh>
    <phoneticPr fontId="6"/>
  </si>
  <si>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6"/>
  </si>
  <si>
    <t>入学
定員</t>
    <rPh sb="0" eb="2">
      <t>ニュウガク</t>
    </rPh>
    <rPh sb="3" eb="5">
      <t>テイイン</t>
    </rPh>
    <phoneticPr fontId="6"/>
  </si>
  <si>
    <t>申請するプログラム名称</t>
    <rPh sb="0" eb="2">
      <t>シンセイ</t>
    </rPh>
    <rPh sb="9" eb="11">
      <t>メイショウ</t>
    </rPh>
    <phoneticPr fontId="6"/>
  </si>
  <si>
    <t>③</t>
  </si>
  <si>
    <t>設置形態</t>
    <phoneticPr fontId="6"/>
  </si>
  <si>
    <t>⑮</t>
    <phoneticPr fontId="6"/>
  </si>
  <si>
    <t>プログラムの履修者数等の実績について</t>
    <phoneticPr fontId="6"/>
  </si>
  <si>
    <t>令和3年度</t>
    <rPh sb="0" eb="2">
      <t>レイワ</t>
    </rPh>
    <rPh sb="3" eb="5">
      <t>ネンド</t>
    </rPh>
    <phoneticPr fontId="6"/>
  </si>
  <si>
    <t>令和2年度</t>
    <rPh sb="0" eb="2">
      <t>レイワ</t>
    </rPh>
    <rPh sb="3" eb="5">
      <t>ネンド</t>
    </rPh>
    <phoneticPr fontId="6"/>
  </si>
  <si>
    <t>令和元年度</t>
    <rPh sb="0" eb="2">
      <t>レイワ</t>
    </rPh>
    <rPh sb="2" eb="3">
      <t>モト</t>
    </rPh>
    <rPh sb="3" eb="5">
      <t>ネンド</t>
    </rPh>
    <phoneticPr fontId="6"/>
  </si>
  <si>
    <t>平成30年度</t>
    <rPh sb="0" eb="2">
      <t>ヘイセイ</t>
    </rPh>
    <rPh sb="4" eb="6">
      <t>ネンド</t>
    </rPh>
    <phoneticPr fontId="6"/>
  </si>
  <si>
    <t>平成29年度</t>
    <rPh sb="0" eb="2">
      <t>ヘイセイ</t>
    </rPh>
    <rPh sb="4" eb="6">
      <t>ネンド</t>
    </rPh>
    <phoneticPr fontId="6"/>
  </si>
  <si>
    <t>平成28年度</t>
    <rPh sb="0" eb="2">
      <t>ヘイセイ</t>
    </rPh>
    <rPh sb="4" eb="6">
      <t>ネンド</t>
    </rPh>
    <phoneticPr fontId="6"/>
  </si>
  <si>
    <t>年度</t>
    <rPh sb="0" eb="2">
      <t>ネンド</t>
    </rPh>
    <phoneticPr fontId="6"/>
  </si>
  <si>
    <t>⑦応用基礎レベルの申請の有無</t>
    <phoneticPr fontId="6"/>
  </si>
  <si>
    <t>連絡先</t>
  </si>
  <si>
    <t>①具体的な修了要件</t>
    <phoneticPr fontId="6"/>
  </si>
  <si>
    <t>授業科目</t>
    <rPh sb="0" eb="2">
      <t>ジュギョウ</t>
    </rPh>
    <rPh sb="2" eb="4">
      <t>カモク</t>
    </rPh>
    <phoneticPr fontId="6"/>
  </si>
  <si>
    <t>開講状況</t>
    <phoneticPr fontId="6"/>
  </si>
  <si>
    <t>授業に含まれている内容・要素</t>
    <phoneticPr fontId="6"/>
  </si>
  <si>
    <t>講義内容</t>
    <rPh sb="0" eb="2">
      <t>コウギ</t>
    </rPh>
    <rPh sb="2" eb="4">
      <t>ナイヨウ</t>
    </rPh>
    <phoneticPr fontId="6"/>
  </si>
  <si>
    <t>1-1</t>
    <phoneticPr fontId="6"/>
  </si>
  <si>
    <t>2-1</t>
    <phoneticPr fontId="6"/>
  </si>
  <si>
    <t>3-1</t>
    <phoneticPr fontId="6"/>
  </si>
  <si>
    <t>1-6</t>
  </si>
  <si>
    <t>3-2</t>
    <phoneticPr fontId="6"/>
  </si>
  <si>
    <t>（１）現在進行中の社会変化（第４次産業革命、Society 5.0、データ駆動型社会等）に深く寄与しているものであり、それが自らの生活と密接に結びついている</t>
    <phoneticPr fontId="6"/>
  </si>
  <si>
    <t>（２）「社会で活用されているデータ」や「データの活用領域」は非常に広範囲であって、日常生活や社会の課題を解決する有用なツールになり得るもの</t>
    <phoneticPr fontId="6"/>
  </si>
  <si>
    <t>（３）様々なデータ利活用の現場におけるデータ利活用事例が示され、様々な適用領域（流通、製造、金融、サービス、インフラ、公共、ヘルスケア等）の知見と組み合わせることで価値を創出するもの</t>
    <phoneticPr fontId="6"/>
  </si>
  <si>
    <t>②教育プログラムの修了要件</t>
    <phoneticPr fontId="6"/>
  </si>
  <si>
    <t>様式２－○</t>
  </si>
  <si>
    <t>　　　　　　　　　　　　　　　　　　　　　　　　　　　　　　　　　　　　　　　　　　　　　　　　　　　　　　　　　　　　　　　　　　　　　　　　　　　　　　　　　　　　　　　　　　　　　　　　　　　　　　　　　　　　　　　　　　　　　　　　　　　　　　　　　　　　　　　　　　　　　　　　　　　　　　　　　　　　　　　　　　　　　　　　　　　　　　　　　　　　　　　　　　　　　　　　　　　　　　　　　　　　　　　　　　　　　　　　　　　　　　　　　　　　　　　　　　　　　　　　　　　　　　　　　　　　　　　　　　　　　　　　　　　　　　　　　　　　　　　　　　　　　　　　　　　　　　　　　　　　　　　　　　　　　　　　　　　　　　　　　　　　　　　　　　　　　　　　　　　　　　　　　　　　　　　　　　　　　　　　　　　　　　　　　　　　　　　　　　　　　　　　　　　　　　　　　　　　　　　　　　　　　　　　　　　　　　　　　　　　　　　　　　　　　　　　　　　　　　　　　　　　　　　　　　　　　　　　　　　　　　　　　　　　　　　　　　　　　　　　　　　　　　　　　　　　　　　　　　　　　　　　　　　　　　　　　　　　　　　　　　　　　　　　　　　　　　　　　　　　　　　　　　　　　　　　　　　　　　　　　　　　　　　　　　　　　　　　　　　　　　　　　　　　　　　　　　　　　　　　　　　　　　　　　　　　　　　　　　　　　　　　　　　　　　　　　　　　　　　　　　　　　　　　　　　　　　　　　　　　　　　　　　　　　　　　　　　　　　　　　　　　　　　　　　　　　　　　　　　　　　　　　　　　　　　　　　　　　　　　　　　　　　　　　　　　　　</t>
    <phoneticPr fontId="6"/>
  </si>
  <si>
    <t>様式４</t>
    <rPh sb="0" eb="2">
      <t>ヨウシキ</t>
    </rPh>
    <phoneticPr fontId="6"/>
  </si>
  <si>
    <t>令和３年度実績</t>
    <rPh sb="0" eb="2">
      <t>レイワ</t>
    </rPh>
    <rPh sb="3" eb="5">
      <t>ネンド</t>
    </rPh>
    <rPh sb="5" eb="7">
      <t>ジッセキ</t>
    </rPh>
    <phoneticPr fontId="6"/>
  </si>
  <si>
    <t>令和４年度予定</t>
    <rPh sb="0" eb="2">
      <t>レイワ</t>
    </rPh>
    <rPh sb="3" eb="5">
      <t>ネンド</t>
    </rPh>
    <rPh sb="5" eb="7">
      <t>ヨテイ</t>
    </rPh>
    <phoneticPr fontId="6"/>
  </si>
  <si>
    <t>令和５年度予定</t>
    <rPh sb="0" eb="2">
      <t>レイワ</t>
    </rPh>
    <rPh sb="3" eb="5">
      <t>ネンド</t>
    </rPh>
    <rPh sb="5" eb="7">
      <t>ヨテイ</t>
    </rPh>
    <phoneticPr fontId="6"/>
  </si>
  <si>
    <t>令和６年度予定</t>
    <rPh sb="0" eb="2">
      <t>レイワ</t>
    </rPh>
    <rPh sb="3" eb="5">
      <t>ネンド</t>
    </rPh>
    <rPh sb="5" eb="7">
      <t>ヨテイ</t>
    </rPh>
    <phoneticPr fontId="6"/>
  </si>
  <si>
    <t>令和７年度予定</t>
    <rPh sb="0" eb="2">
      <t>レイワ</t>
    </rPh>
    <rPh sb="3" eb="5">
      <t>ネンド</t>
    </rPh>
    <rPh sb="5" eb="7">
      <t>ヨテイ</t>
    </rPh>
    <phoneticPr fontId="6"/>
  </si>
  <si>
    <t>収容定員（名）</t>
    <rPh sb="0" eb="4">
      <t>シュウヨウテイイン</t>
    </rPh>
    <rPh sb="5" eb="6">
      <t>メイ</t>
    </rPh>
    <phoneticPr fontId="6"/>
  </si>
  <si>
    <t>具体的な計画</t>
    <rPh sb="0" eb="3">
      <t>グタイテキ</t>
    </rPh>
    <rPh sb="4" eb="6">
      <t>ケイカク</t>
    </rPh>
    <phoneticPr fontId="6"/>
  </si>
  <si>
    <t>　　　　　　　　　　　　　　　　　　　　　　　　　　　　　　　　　　　　　　　　　　　　　　　　　　　　　　　　　　　　　　　　　　　　　　　　　</t>
    <phoneticPr fontId="6"/>
  </si>
  <si>
    <t>②自己点検・評価体制における意見等を公表しているアドレス</t>
    <phoneticPr fontId="6"/>
  </si>
  <si>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6"/>
  </si>
  <si>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6"/>
  </si>
  <si>
    <t>1-2</t>
    <phoneticPr fontId="6"/>
  </si>
  <si>
    <t>1-3</t>
    <phoneticPr fontId="6"/>
  </si>
  <si>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6"/>
  </si>
  <si>
    <t>1-4</t>
    <phoneticPr fontId="6"/>
  </si>
  <si>
    <t>1-5</t>
    <phoneticPr fontId="6"/>
  </si>
  <si>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6"/>
  </si>
  <si>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6"/>
  </si>
  <si>
    <t>2-2</t>
    <phoneticPr fontId="6"/>
  </si>
  <si>
    <t>2-3</t>
    <phoneticPr fontId="6"/>
  </si>
  <si>
    <t>⑧選択「４．オプション」の内容を含む授業科目</t>
    <rPh sb="13" eb="15">
      <t>ナイヨウ</t>
    </rPh>
    <rPh sb="16" eb="17">
      <t>フク</t>
    </rPh>
    <rPh sb="18" eb="20">
      <t>ジュギョウ</t>
    </rPh>
    <rPh sb="20" eb="22">
      <t>カモク</t>
    </rPh>
    <phoneticPr fontId="6"/>
  </si>
  <si>
    <t>1-6</t>
    <phoneticPr fontId="6"/>
  </si>
  <si>
    <t>（４）活用に当たっての様々な留意事項（ELSI、個人情報、データ倫理、ＡＩ社会原則等）を考慮し、情報セキュリティや情報漏洩等、データを守る上での留意事項への理解をする</t>
    <phoneticPr fontId="6"/>
  </si>
  <si>
    <t>（５）実データ・実課題（学術データ等を含む）を用いた演習など、社会での実例を題材として、「データを読む、説明する、扱う」といった数理・データサイエンス・ＡＩの基本的な活用法に関するもの</t>
    <phoneticPr fontId="6"/>
  </si>
  <si>
    <t>必修</t>
    <rPh sb="0" eb="2">
      <t>ヒッシュウ</t>
    </rPh>
    <phoneticPr fontId="6"/>
  </si>
  <si>
    <t>単位数</t>
    <rPh sb="0" eb="3">
      <t>タンイスウ</t>
    </rPh>
    <phoneticPr fontId="6"/>
  </si>
  <si>
    <t>⑨プログラムを構成する授業の内容</t>
    <phoneticPr fontId="6"/>
  </si>
  <si>
    <t>⑩プログラムの学修成果（学生等が身に付けられる能力等）</t>
    <phoneticPr fontId="6"/>
  </si>
  <si>
    <t>⑪プログラムの授業内容等を公表しているアドレス</t>
    <phoneticPr fontId="6"/>
  </si>
  <si>
    <t>②履修者・修了者の実績</t>
    <rPh sb="1" eb="3">
      <t>リシュウ</t>
    </rPh>
    <rPh sb="3" eb="4">
      <t>シャ</t>
    </rPh>
    <rPh sb="5" eb="8">
      <t>シュウリョウシャ</t>
    </rPh>
    <rPh sb="9" eb="11">
      <t>ジッセキ</t>
    </rPh>
    <phoneticPr fontId="6"/>
  </si>
  <si>
    <t>選択項目</t>
    <rPh sb="0" eb="2">
      <t>センタク</t>
    </rPh>
    <rPh sb="2" eb="4">
      <t>コウモク</t>
    </rPh>
    <phoneticPr fontId="6"/>
  </si>
  <si>
    <t>①プログラム開設年度</t>
    <rPh sb="6" eb="8">
      <t>カイセツ</t>
    </rPh>
    <rPh sb="8" eb="10">
      <t>ネンド</t>
    </rPh>
    <phoneticPr fontId="6"/>
  </si>
  <si>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6"/>
  </si>
  <si>
    <t>公立はこだて未来大学</t>
    <rPh sb="0" eb="2">
      <t xml:space="preserve">コウリツハコダテミライダイガク </t>
    </rPh>
    <phoneticPr fontId="6"/>
  </si>
  <si>
    <t>公立大学法人はこだて未来大学</t>
    <rPh sb="0" eb="6">
      <t xml:space="preserve">コウリツダイガクホウジン </t>
    </rPh>
    <phoneticPr fontId="6"/>
  </si>
  <si>
    <t xml:space="preserve">北海道 函館市亀田中野町116番地2 </t>
    <phoneticPr fontId="6"/>
  </si>
  <si>
    <t>無</t>
  </si>
  <si>
    <t>鈴木恵二</t>
    <rPh sb="0" eb="4">
      <t xml:space="preserve">スズキケイジ </t>
    </rPh>
    <phoneticPr fontId="6"/>
  </si>
  <si>
    <t>教授</t>
    <rPh sb="0" eb="2">
      <t xml:space="preserve">キョウジュ </t>
    </rPh>
    <phoneticPr fontId="6"/>
  </si>
  <si>
    <t>評価委員会</t>
    <rPh sb="0" eb="5">
      <t xml:space="preserve">ヒョウカイインカイ </t>
    </rPh>
    <phoneticPr fontId="6"/>
  </si>
  <si>
    <t>認定教育プログラム</t>
  </si>
  <si>
    <t>データサイエンス入門</t>
    <phoneticPr fontId="6"/>
  </si>
  <si>
    <t>全学開講</t>
  </si>
  <si>
    <t>○</t>
  </si>
  <si>
    <t>情報機器概論</t>
    <phoneticPr fontId="6"/>
  </si>
  <si>
    <t>○</t>
    <phoneticPr fontId="6"/>
  </si>
  <si>
    <t>データサイエンス入門において，「第１回データサイエンス概説」にて，データサイエンスと社会の関わりについて概要を学び，後半第１１～１５回にて応用・研究トピックスでさらに学びを深める</t>
    <phoneticPr fontId="6"/>
  </si>
  <si>
    <t>データサイエンス入門において，後半第１１～１５回にて応用・研究トピックスでデータ・AI利活用における最新動向を学ぶ</t>
    <rPh sb="55" eb="56">
      <t xml:space="preserve">マナブ </t>
    </rPh>
    <phoneticPr fontId="6"/>
  </si>
  <si>
    <t>データサイエンス入門において，後半第１１～１５回にて応用・研究トピックスでIoT等を活用したデータ収集に関する最新動向を学ぶ</t>
    <rPh sb="40" eb="41">
      <t xml:space="preserve">ナドヲカツヨウシタ </t>
    </rPh>
    <rPh sb="49" eb="51">
      <t xml:space="preserve">シュウシュウ </t>
    </rPh>
    <rPh sb="55" eb="59">
      <t xml:space="preserve">サイシンドウコウヲマナブ </t>
    </rPh>
    <phoneticPr fontId="6"/>
  </si>
  <si>
    <t>データサイエンス入門において，後半第１１～１５回にて応用・研究トピックスで様々な分野に関して課題解決に関わる最新動向を学ぶ</t>
    <rPh sb="37" eb="38">
      <t xml:space="preserve">サマザマナブンヤ </t>
    </rPh>
    <rPh sb="43" eb="44">
      <t xml:space="preserve">カンシテ </t>
    </rPh>
    <phoneticPr fontId="6"/>
  </si>
  <si>
    <t>データサイエンス入門において，後半第１１～１５回にて応用・研究トピックスで，最新技術動向を学ぶ</t>
    <rPh sb="38" eb="44">
      <t xml:space="preserve">サイシンギジュツドウコウヲ </t>
    </rPh>
    <rPh sb="45" eb="46">
      <t xml:space="preserve">マナブ </t>
    </rPh>
    <phoneticPr fontId="6"/>
  </si>
  <si>
    <t>データサイエンス入門において，後半第１１～１５回にて応用・研究トピックスで，課題解決の有効性を学ぶ．
情報機器概論の第11回. 人工知能・ビッグデータ・機械学習，第12回. 情報技術の社会に対するインパクトでデータ・AIを活用することによって、どのような価値が生まれているかを知る</t>
    <phoneticPr fontId="6"/>
  </si>
  <si>
    <t>情報機器概論の第14回. 知的財産権の保護および第15回. 計算論的思考・研究的態度について，において知的財産権，データ倫理等について学ぶ</t>
    <rPh sb="51" eb="56">
      <t xml:space="preserve">チテキザイサンケン </t>
    </rPh>
    <phoneticPr fontId="6"/>
  </si>
  <si>
    <t>情報機器概論の第2回. ネットの脅威とセキュリティ，において，情報セキュリティ等について学ぶ</t>
    <rPh sb="31" eb="33">
      <t xml:space="preserve">ジョウホウセキュリティトウニツイテマナブ </t>
    </rPh>
    <phoneticPr fontId="6"/>
  </si>
  <si>
    <t>データサイエンス入門にて，第2回　Python の基本（条件分岐，繰り返しなど）以降，第10回までのプログラムングと統計，機械学習等の講義とプログラミング演習により，データを適切に読み解く力を養う</t>
    <rPh sb="13" eb="14">
      <t xml:space="preserve">ダイ２カイイコウ </t>
    </rPh>
    <rPh sb="40" eb="42">
      <t xml:space="preserve">イコウ </t>
    </rPh>
    <rPh sb="43" eb="44">
      <t xml:space="preserve">ダイ１０カイマデノ </t>
    </rPh>
    <rPh sb="58" eb="60">
      <t xml:space="preserve">トウケイ </t>
    </rPh>
    <rPh sb="61" eb="66">
      <t xml:space="preserve">キカイガクシュウトウノ </t>
    </rPh>
    <rPh sb="67" eb="69">
      <t xml:space="preserve">コウギト </t>
    </rPh>
    <rPh sb="77" eb="79">
      <t xml:space="preserve">エンシュウニ </t>
    </rPh>
    <phoneticPr fontId="6"/>
  </si>
  <si>
    <t>データサイエンス入門にて，第2回　Python の基本（条件分岐，繰り返しなど）以降，第10回までのプログラムングと統計，機械学習等の講義とプログラミング演習により，データを説明する</t>
    <phoneticPr fontId="6"/>
  </si>
  <si>
    <t>データサイエンス入門にて，第2回　Python の基本（条件分岐，繰り返しなど）以降，第10回までのプログラムングと統計，機械学習等の講義とプログラミング演習により，データを扱うための力を養う</t>
    <rPh sb="13" eb="14">
      <t xml:space="preserve">ダイ２カイイコウ </t>
    </rPh>
    <rPh sb="40" eb="42">
      <t xml:space="preserve">イコウ </t>
    </rPh>
    <rPh sb="43" eb="44">
      <t xml:space="preserve">ダイ１０カイマデノ </t>
    </rPh>
    <rPh sb="58" eb="60">
      <t xml:space="preserve">トウケイ </t>
    </rPh>
    <rPh sb="61" eb="66">
      <t xml:space="preserve">キカイガクシュウトウノ </t>
    </rPh>
    <rPh sb="67" eb="69">
      <t xml:space="preserve">コウギト </t>
    </rPh>
    <rPh sb="77" eb="79">
      <t xml:space="preserve">エンシュウニ </t>
    </rPh>
    <phoneticPr fontId="6"/>
  </si>
  <si>
    <t>様々な分野および社会におけるデータ・AI利活用についての現状や、データを扱う上での留意事項について理解するとともに、人工知能につながる専門分野も含めてデータの取り扱う基礎的能力を身に付ける。</t>
    <phoneticPr fontId="6"/>
  </si>
  <si>
    <t>学部・学科によって、修了要件は相違しない</t>
  </si>
  <si>
    <t>本申請プログラムは，令和３年度より新設した「データサイエンス入門」（１年後期，選択）および従来より情報関連リテラシーを学ぶ「情報機器概論」（１年前期，必修）のともに全額共通科目からなる．「情報機器概論」は必修科目であり，原則全員が受講する．よって，選択科目である「データサイエンス入門」の履修者率を向上させることが要件となる．このため，入学時の新入生ガイダンスの中で，本学独自のDSOPに関する説明と併せて，「データサイエンス入門」を積極的に受講するように説明を行っている．すでに高い履修率となっていることから，この履修率を下げないための方策を引き続きおこなっていくこととなる．すなわち
１）入学時ガイダンスにおいて，DSOPおよび本申請プログラムに関して，説明を行いデータサイエンスに対する受講意欲を高めていく方策を継続する．
２）該当科目に関する授業フィードバックを学生に公開する．
３）授業フィードバックに基づき，授業内容の改善検討をDSOP-WGで継続して行う．</t>
    <rPh sb="0" eb="3">
      <t xml:space="preserve">ホンシンセイプログラムハ </t>
    </rPh>
    <rPh sb="10" eb="12">
      <t xml:space="preserve">レイワ </t>
    </rPh>
    <rPh sb="13" eb="15">
      <t xml:space="preserve">ネンド </t>
    </rPh>
    <rPh sb="17" eb="19">
      <t xml:space="preserve">シンセツシタ </t>
    </rPh>
    <rPh sb="36" eb="38">
      <t xml:space="preserve">コウキ </t>
    </rPh>
    <rPh sb="39" eb="41">
      <t xml:space="preserve">センタク </t>
    </rPh>
    <rPh sb="45" eb="47">
      <t xml:space="preserve">ジュウライヨリ </t>
    </rPh>
    <rPh sb="49" eb="53">
      <t xml:space="preserve">ジョウホウカンレンリ </t>
    </rPh>
    <rPh sb="59" eb="60">
      <t xml:space="preserve">マナブ </t>
    </rPh>
    <rPh sb="62" eb="68">
      <t xml:space="preserve">ジョウホウキキガイロン </t>
    </rPh>
    <rPh sb="72" eb="74">
      <t xml:space="preserve">ゼンキ </t>
    </rPh>
    <rPh sb="75" eb="77">
      <t xml:space="preserve">ヒッシュウ </t>
    </rPh>
    <rPh sb="82" eb="86">
      <t xml:space="preserve">ゼンガクキョウツウ </t>
    </rPh>
    <rPh sb="86" eb="88">
      <t xml:space="preserve">カモク </t>
    </rPh>
    <rPh sb="102" eb="106">
      <t xml:space="preserve">ヒッシュウカモクデアリ </t>
    </rPh>
    <rPh sb="110" eb="114">
      <t xml:space="preserve">ゲンソクゼンインガジュコウスル </t>
    </rPh>
    <rPh sb="124" eb="128">
      <t xml:space="preserve">センタクカモクト </t>
    </rPh>
    <rPh sb="144" eb="147">
      <t xml:space="preserve">リシュウシャ </t>
    </rPh>
    <rPh sb="147" eb="148">
      <t xml:space="preserve">リツヲコウジョウサセルコト </t>
    </rPh>
    <rPh sb="157" eb="159">
      <t xml:space="preserve">ヨウケントナルガ </t>
    </rPh>
    <rPh sb="168" eb="171">
      <t xml:space="preserve">ニュウガクジノ </t>
    </rPh>
    <rPh sb="172" eb="175">
      <t xml:space="preserve">シンニュウセイガイダンスノナカデ </t>
    </rPh>
    <rPh sb="184" eb="188">
      <t xml:space="preserve">ホンガクドクジノ </t>
    </rPh>
    <rPh sb="194" eb="195">
      <t xml:space="preserve">カンスル </t>
    </rPh>
    <rPh sb="197" eb="199">
      <t xml:space="preserve">セツメイトアワセテ </t>
    </rPh>
    <rPh sb="217" eb="220">
      <t xml:space="preserve">セッキョクテキニジュコウスルヨウニ </t>
    </rPh>
    <rPh sb="228" eb="230">
      <t xml:space="preserve">セツメイヲオコナッテイル </t>
    </rPh>
    <rPh sb="240" eb="241">
      <t xml:space="preserve">タカイリシュウリツヲ </t>
    </rPh>
    <rPh sb="269" eb="271">
      <t xml:space="preserve">ホウサク </t>
    </rPh>
    <rPh sb="272" eb="273">
      <t xml:space="preserve">ヒキツヅキウ </t>
    </rPh>
    <rPh sb="296" eb="298">
      <t xml:space="preserve">ニュウガクゴ </t>
    </rPh>
    <rPh sb="298" eb="299">
      <t xml:space="preserve">ジガイダンスニオイテ </t>
    </rPh>
    <rPh sb="316" eb="319">
      <t xml:space="preserve">ホンシンセイ </t>
    </rPh>
    <rPh sb="325" eb="326">
      <t xml:space="preserve">カンシテ </t>
    </rPh>
    <rPh sb="329" eb="331">
      <t xml:space="preserve">セツメイヲオコナイ </t>
    </rPh>
    <rPh sb="343" eb="344">
      <t xml:space="preserve">タイスルジュコウイヨク </t>
    </rPh>
    <rPh sb="351" eb="352">
      <t xml:space="preserve">タカメテイク </t>
    </rPh>
    <rPh sb="356" eb="358">
      <t xml:space="preserve">ホウサクヲケイゾクスル </t>
    </rPh>
    <rPh sb="367" eb="371">
      <t xml:space="preserve">ガイトウカモク </t>
    </rPh>
    <rPh sb="372" eb="373">
      <t xml:space="preserve">カンスル </t>
    </rPh>
    <rPh sb="375" eb="377">
      <t xml:space="preserve">ジュギョウフィードバック </t>
    </rPh>
    <rPh sb="385" eb="387">
      <t xml:space="preserve">ガクセイニコウカオスル </t>
    </rPh>
    <rPh sb="388" eb="390">
      <t xml:space="preserve">コウカイスル </t>
    </rPh>
    <rPh sb="396" eb="398">
      <t xml:space="preserve">ジュギョウフィードバック </t>
    </rPh>
    <rPh sb="406" eb="407">
      <t xml:space="preserve">モトヅク </t>
    </rPh>
    <rPh sb="410" eb="414">
      <t xml:space="preserve">ジュギョウナイヨウノカイゼン </t>
    </rPh>
    <rPh sb="417" eb="419">
      <t xml:space="preserve">ケントウヲ </t>
    </rPh>
    <rPh sb="428" eb="430">
      <t xml:space="preserve">ケイゾクシテオコナウ </t>
    </rPh>
    <phoneticPr fontId="6"/>
  </si>
  <si>
    <t>新入生向けガイダンスにおいて本学で実施しているDSOPおよび本申請教育プログラムについて説明，周知を継続する．
また，大学HPの学生向けページ，データサイエンス教育プログラム関連ページについて掲載し学生へ周知を深める．
さらに，大学の広報課などとも連携を行い，本学学生およびオープンキャンパスに参加した本学入学希望となりうる高校生等も含めて，SNSでも積極的に発信を行っていく．</t>
    <phoneticPr fontId="6"/>
  </si>
  <si>
    <t>公立大学</t>
  </si>
  <si>
    <t>事務局　教務課　教務・図書担当</t>
    <rPh sb="0" eb="3">
      <t>ジムキョク</t>
    </rPh>
    <rPh sb="4" eb="7">
      <t>キョウムカ</t>
    </rPh>
    <rPh sb="8" eb="10">
      <t>キョウム</t>
    </rPh>
    <rPh sb="11" eb="13">
      <t>トショ</t>
    </rPh>
    <rPh sb="13" eb="15">
      <t>タントウ</t>
    </rPh>
    <phoneticPr fontId="6"/>
  </si>
  <si>
    <t>川岸　直子</t>
    <rPh sb="0" eb="2">
      <t>カワギシ</t>
    </rPh>
    <rPh sb="3" eb="5">
      <t>ナオコ</t>
    </rPh>
    <phoneticPr fontId="6"/>
  </si>
  <si>
    <t>edu@fun.ac.jp</t>
    <phoneticPr fontId="6"/>
  </si>
  <si>
    <t>0138-34-6421</t>
    <phoneticPr fontId="6"/>
  </si>
  <si>
    <t>システム情報科学部</t>
    <rPh sb="4" eb="6">
      <t>ジョウホウ</t>
    </rPh>
    <rPh sb="6" eb="9">
      <t>カガクブ</t>
    </rPh>
    <phoneticPr fontId="6"/>
  </si>
  <si>
    <t>令和２</t>
    <rPh sb="0" eb="2">
      <t xml:space="preserve">レイワ３エ </t>
    </rPh>
    <phoneticPr fontId="6"/>
  </si>
  <si>
    <t>本プログラムの必修科目のうち「情報機器概論」は，大学の履修要件において全学部生の必修科目であるため，全学部生が履修する．「データサイエンス入門」は，1学年240名の定員に対して，３００名収容可能な教室を用いて行うため，希望者全員が受講可能である．なお，コロナ禍においては，教室の収容人数に制限を持たせたこともあり，オンラインでの授業体制を実施しており，多くの受講希望者が履修できる環境にある．また，授業内ではプログラミングの演習を行うこともあるため，他のプログラミング演習等の授業で，事前にプログラミング環境について必修科目の中で基礎的な習得が進められている．さらにTAを配置することにより，学生の疑問，質問，相談事項を迅速に汲み上げ，解決できる体制をとっている．</t>
    <rPh sb="286" eb="288">
      <t xml:space="preserve">ハイチスルコトニヨリ </t>
    </rPh>
    <rPh sb="296" eb="298">
      <t xml:space="preserve">ガクセイ </t>
    </rPh>
    <rPh sb="299" eb="301">
      <t xml:space="preserve">ギモン </t>
    </rPh>
    <rPh sb="302" eb="304">
      <t xml:space="preserve">シツモンニ </t>
    </rPh>
    <rPh sb="305" eb="309">
      <t xml:space="preserve">ソウダンジコウヲ </t>
    </rPh>
    <rPh sb="310" eb="312">
      <t xml:space="preserve">ジンソクニ </t>
    </rPh>
    <rPh sb="313" eb="314">
      <t xml:space="preserve">クミアゲ </t>
    </rPh>
    <rPh sb="318" eb="320">
      <t xml:space="preserve">カイケツデキル </t>
    </rPh>
    <rPh sb="323" eb="325">
      <t xml:space="preserve">タイセイヲ </t>
    </rPh>
    <phoneticPr fontId="6"/>
  </si>
  <si>
    <t>履修者数の実績に見られるように，選択科目として設定されている「データサイエンス入門」においても，１年次の学生はほぼ全員履修している状況にある．今後はこの履修率を落とさずに継続することが必要であり，入学時の新入生ガイダンスでの説明等を継続しておこなっていく．また，本学への入学者数が多い高校およびオープンキャンパスへの参加者などを対象に，データサイエンスの入門ビデオ配信「FUNオープンユニバーシティデータサイエンス入門」を昨年度末開始した．(https://www.fun.ac.jp/openuni-ds).　この取り組みにより，入学以前からデータサイエンスへの興味を高め，本学入学後の修得向上へつながるものと期待される．</t>
    <rPh sb="0" eb="4">
      <t xml:space="preserve">リシュウシャスウノジッセキニ </t>
    </rPh>
    <rPh sb="8" eb="9">
      <t xml:space="preserve">ミラレルヨウニ </t>
    </rPh>
    <rPh sb="16" eb="20">
      <t xml:space="preserve">センタクカモクトシテ </t>
    </rPh>
    <rPh sb="23" eb="25">
      <t xml:space="preserve">セッテイサレテイル </t>
    </rPh>
    <rPh sb="52" eb="54">
      <t xml:space="preserve">ガクセイ </t>
    </rPh>
    <rPh sb="65" eb="67">
      <t xml:space="preserve">ジョウキョウニアル </t>
    </rPh>
    <rPh sb="71" eb="73">
      <t xml:space="preserve">コンゴハコノリシュウリツヲオトサズニケイゾクスルコトガヒツヨウデアリ </t>
    </rPh>
    <rPh sb="98" eb="101">
      <t xml:space="preserve">ニュウガクジノ </t>
    </rPh>
    <rPh sb="102" eb="105">
      <t xml:space="preserve">シンユウセイガイダンス </t>
    </rPh>
    <rPh sb="112" eb="114">
      <t xml:space="preserve">セツメイ </t>
    </rPh>
    <rPh sb="114" eb="115">
      <t xml:space="preserve">トウ </t>
    </rPh>
    <rPh sb="116" eb="118">
      <t xml:space="preserve">ケイゾクシテ </t>
    </rPh>
    <rPh sb="131" eb="133">
      <t xml:space="preserve">ホンガクニ </t>
    </rPh>
    <rPh sb="135" eb="139">
      <t xml:space="preserve">ニュウガクシャスウガオオイコウコウ </t>
    </rPh>
    <rPh sb="164" eb="166">
      <t xml:space="preserve">タイショウニ </t>
    </rPh>
    <rPh sb="177" eb="179">
      <t xml:space="preserve">ニュウモン </t>
    </rPh>
    <rPh sb="187" eb="191">
      <t xml:space="preserve">サクネンドマツ </t>
    </rPh>
    <rPh sb="191" eb="193">
      <t xml:space="preserve">カイシシタ </t>
    </rPh>
    <rPh sb="266" eb="270">
      <t xml:space="preserve">ニュウガクイゼンカラ </t>
    </rPh>
    <rPh sb="282" eb="284">
      <t xml:space="preserve">キョウミ </t>
    </rPh>
    <rPh sb="285" eb="286">
      <t xml:space="preserve">タカメ </t>
    </rPh>
    <rPh sb="288" eb="293">
      <t xml:space="preserve">ホンガクニュウガクゴノ </t>
    </rPh>
    <rPh sb="294" eb="298">
      <t xml:space="preserve">シュウトクコウジョウ </t>
    </rPh>
    <phoneticPr fontId="6"/>
  </si>
  <si>
    <t>本教育プログラムは，開始３年目となっており，まだ卒業生が出ていない状況ではある．これまでの卒業生の就職率は97％となっており，そのほとんどが情報関連企業への就職となっている．本学の特徴的な取り組みとしては，３年次通年で行うプロジェクト学習（PBL)があり，学生グループの自主的な学びの活動により，解のない問題に対して解決を図っていくことや，社会実装をおこなっていく課題などを通じて，自主性，チームワーク能力，リーダーシップ能力を習得させている点にあり，ITに関わる専門性の高さと併せて，企業から高い評価を受けている．このような評価を本プログラムはさらに底上げするものと期待している．また近年，データサイエンティスト限定の採用枠を設定する企業もあり，そのような採用枠で内定を取得する学生も出てきており，本申請プログラムを起点としてデータサイエンティストとして採用される学生の増加が期待される．</t>
    <rPh sb="0" eb="1">
      <t xml:space="preserve">ホンキョウイクプログラムハ </t>
    </rPh>
    <rPh sb="10" eb="12">
      <t xml:space="preserve">カイシ２ネンメトナッテオリ </t>
    </rPh>
    <rPh sb="24" eb="27">
      <t xml:space="preserve">ソツギョウセイガデテイナイジョウキョウデハアルガ </t>
    </rPh>
    <rPh sb="45" eb="48">
      <t xml:space="preserve">ソツギョウセイノシュウショクリツハ </t>
    </rPh>
    <rPh sb="70" eb="72">
      <t xml:space="preserve">ジョウホウ </t>
    </rPh>
    <rPh sb="72" eb="76">
      <t xml:space="preserve">ジョウコウカンレンキギョウヘノシュウショクトナッテイル </t>
    </rPh>
    <rPh sb="87" eb="89">
      <t xml:space="preserve">ホンガク </t>
    </rPh>
    <rPh sb="90" eb="93">
      <t xml:space="preserve">トクチョウテキナトリクミトシテハ </t>
    </rPh>
    <rPh sb="106" eb="108">
      <t xml:space="preserve">ツウネンデオコナウ </t>
    </rPh>
    <rPh sb="117" eb="119">
      <t xml:space="preserve">ガクシュウ </t>
    </rPh>
    <rPh sb="128" eb="130">
      <t xml:space="preserve">ガクセイグループノ </t>
    </rPh>
    <rPh sb="135" eb="138">
      <t xml:space="preserve">ジシュテキナ </t>
    </rPh>
    <rPh sb="139" eb="140">
      <t xml:space="preserve">マナビ </t>
    </rPh>
    <rPh sb="142" eb="144">
      <t xml:space="preserve">カツドウニヨリ </t>
    </rPh>
    <rPh sb="148" eb="149">
      <t xml:space="preserve">カイノナイモンダイニタイシテ </t>
    </rPh>
    <rPh sb="158" eb="160">
      <t xml:space="preserve">カイケツヲハカッテイク </t>
    </rPh>
    <rPh sb="170" eb="174">
      <t xml:space="preserve">シャカイジッソウ </t>
    </rPh>
    <rPh sb="187" eb="188">
      <t xml:space="preserve">ツウジテ </t>
    </rPh>
    <rPh sb="191" eb="194">
      <t xml:space="preserve">ジシュセイ </t>
    </rPh>
    <rPh sb="214" eb="216">
      <t xml:space="preserve">シュウトクサセテイルテンニアリ </t>
    </rPh>
    <rPh sb="229" eb="230">
      <t xml:space="preserve">カカワル </t>
    </rPh>
    <rPh sb="232" eb="235">
      <t xml:space="preserve">センモンセイノタカサト </t>
    </rPh>
    <rPh sb="239" eb="240">
      <t xml:space="preserve">アワセテ </t>
    </rPh>
    <rPh sb="243" eb="245">
      <t xml:space="preserve">キギョウカラタカイヒョウカヲ </t>
    </rPh>
    <rPh sb="252" eb="253">
      <t xml:space="preserve">ウケテイル </t>
    </rPh>
    <rPh sb="266" eb="267">
      <t xml:space="preserve">ホンプログラムハサラニソコアゲスルモノトキタイシテイル </t>
    </rPh>
    <rPh sb="293" eb="295">
      <t xml:space="preserve">キンネン </t>
    </rPh>
    <rPh sb="307" eb="309">
      <t xml:space="preserve">ゲンテイ </t>
    </rPh>
    <rPh sb="310" eb="312">
      <t xml:space="preserve">サイヨウ </t>
    </rPh>
    <rPh sb="312" eb="313">
      <t xml:space="preserve">ワクナドガ </t>
    </rPh>
    <rPh sb="314" eb="316">
      <t xml:space="preserve">セッテイスル </t>
    </rPh>
    <rPh sb="318" eb="320">
      <t xml:space="preserve">キギョウモアリ </t>
    </rPh>
    <rPh sb="333" eb="335">
      <t xml:space="preserve">ナイテイ </t>
    </rPh>
    <rPh sb="336" eb="338">
      <t xml:space="preserve">シュトクスルガクセイモデテキテイル </t>
    </rPh>
    <rPh sb="350" eb="353">
      <t xml:space="preserve">ホンシンセイプログラム </t>
    </rPh>
    <rPh sb="359" eb="361">
      <t xml:space="preserve">キテントシテ </t>
    </rPh>
    <rPh sb="378" eb="380">
      <t xml:space="preserve">サイヨウサレル </t>
    </rPh>
    <rPh sb="383" eb="385">
      <t xml:space="preserve">ガクセイノゾウカガキタイサレル </t>
    </rPh>
    <phoneticPr fontId="6"/>
  </si>
  <si>
    <t>卒業生が就職した先の企業への聞き取り調査および就職した学生本人からの聞き取り調査などを定期的におこなっている．まだ本プログラムの成果とは言えない状況であるが，概ね高い評価を得ている．今後，このような調査を継続し，本プログラムの効果を明確化するとともに，改善を進める．</t>
    <rPh sb="0" eb="3">
      <t xml:space="preserve">ソツギョウセイ </t>
    </rPh>
    <rPh sb="4" eb="6">
      <t xml:space="preserve">シュウショクシタサキノキギョウヘノ </t>
    </rPh>
    <rPh sb="14" eb="15">
      <t xml:space="preserve">キキトリチョウサ </t>
    </rPh>
    <rPh sb="23" eb="25">
      <t xml:space="preserve">シュウショクシタ </t>
    </rPh>
    <rPh sb="27" eb="29">
      <t xml:space="preserve">ガクセイ </t>
    </rPh>
    <rPh sb="29" eb="31">
      <t xml:space="preserve">ホンニン </t>
    </rPh>
    <rPh sb="38" eb="40">
      <t xml:space="preserve">チョウサナドヲ </t>
    </rPh>
    <rPh sb="43" eb="46">
      <t xml:space="preserve">テイキテキニオコナッテイル </t>
    </rPh>
    <rPh sb="57" eb="58">
      <t xml:space="preserve">ホンプログラムノセイカトハ </t>
    </rPh>
    <rPh sb="68" eb="69">
      <t xml:space="preserve">イエナイジョウキョウデアルガ </t>
    </rPh>
    <rPh sb="79" eb="80">
      <t xml:space="preserve">オオムネ </t>
    </rPh>
    <rPh sb="81" eb="82">
      <t xml:space="preserve">タカイヒョウカヲエテイル </t>
    </rPh>
    <rPh sb="91" eb="93">
      <t xml:space="preserve">コンゴ </t>
    </rPh>
    <rPh sb="106" eb="107">
      <t xml:space="preserve">ホンプログラム </t>
    </rPh>
    <rPh sb="113" eb="115">
      <t xml:space="preserve">コウカヲ </t>
    </rPh>
    <rPh sb="116" eb="119">
      <t xml:space="preserve">メイカクカ </t>
    </rPh>
    <rPh sb="126" eb="128">
      <t xml:space="preserve">カイゼン </t>
    </rPh>
    <rPh sb="129" eb="130">
      <t xml:space="preserve">ススメル </t>
    </rPh>
    <phoneticPr fontId="6"/>
  </si>
  <si>
    <t>プログラミングを取り入れ，単に受け身の授業とならないようにすることや，その際にまだ慣れないプログラミングに対して，質問事項にすぐに相談できるようにTAを配置するなどの工夫に加え，グループでの調査，討論，レポート取りまとめなどを行うことにより，常に先端事例を学ぶことができるとともに，学生間での相互理解を深める工夫も取り入れている．</t>
    <rPh sb="13" eb="14">
      <t xml:space="preserve">タンニ </t>
    </rPh>
    <rPh sb="15" eb="16">
      <t xml:space="preserve">ウケミ </t>
    </rPh>
    <rPh sb="19" eb="21">
      <t xml:space="preserve">ジュギョウトナラナイヨウニ </t>
    </rPh>
    <rPh sb="53" eb="54">
      <t xml:space="preserve">タイシテ </t>
    </rPh>
    <rPh sb="57" eb="61">
      <t xml:space="preserve">シツモンジコウニスグニ </t>
    </rPh>
    <rPh sb="65" eb="67">
      <t xml:space="preserve">ソウダンデキルヨウニ </t>
    </rPh>
    <rPh sb="76" eb="78">
      <t xml:space="preserve">ハイチスルナドノクフウ </t>
    </rPh>
    <rPh sb="86" eb="87">
      <t xml:space="preserve">クワエ </t>
    </rPh>
    <rPh sb="95" eb="97">
      <t xml:space="preserve">チョウサ </t>
    </rPh>
    <rPh sb="98" eb="100">
      <t xml:space="preserve">トウロン </t>
    </rPh>
    <rPh sb="113" eb="114">
      <t xml:space="preserve">オコナウコトニヨリ </t>
    </rPh>
    <rPh sb="121" eb="122">
      <t xml:space="preserve">ツネニセンタンジレイ </t>
    </rPh>
    <rPh sb="128" eb="129">
      <t xml:space="preserve">マナブコトガデキルトトモニ </t>
    </rPh>
    <rPh sb="141" eb="144">
      <t xml:space="preserve">ガクセイカン </t>
    </rPh>
    <rPh sb="146" eb="150">
      <t xml:space="preserve">ソウゴリカイヲフカメルクフウ </t>
    </rPh>
    <rPh sb="157" eb="158">
      <t xml:space="preserve">トリイレテイル </t>
    </rPh>
    <phoneticPr fontId="6"/>
  </si>
  <si>
    <t>教授／副学長</t>
    <rPh sb="0" eb="2">
      <t xml:space="preserve">キョウジュ </t>
    </rPh>
    <rPh sb="3" eb="6">
      <t xml:space="preserve">フクガクチョウ </t>
    </rPh>
    <phoneticPr fontId="6"/>
  </si>
  <si>
    <t>冨永 敦子</t>
    <phoneticPr fontId="6"/>
  </si>
  <si>
    <t>公立はこだて未来大学・数理・データサイエンス・AI教育プログラム(リテラシーレベル)</t>
    <phoneticPr fontId="6"/>
  </si>
  <si>
    <t xml:space="preserve">プログラムを構成する必修科目（4単位）の取得を修了要件とする。
【必修科目】
　① データサイエンス入門（２単位）（１年次学部共通科目・選択科目）
　② 情報機器概論（２単位）（１年次学部共通科目・・必修科目）
</t>
    <rPh sb="50" eb="52">
      <t xml:space="preserve">ニュウモン </t>
    </rPh>
    <rPh sb="61" eb="65">
      <t xml:space="preserve">ガクブキョウツウ </t>
    </rPh>
    <rPh sb="68" eb="70">
      <t xml:space="preserve">センタク </t>
    </rPh>
    <rPh sb="70" eb="72">
      <t xml:space="preserve">カモク </t>
    </rPh>
    <phoneticPr fontId="6"/>
  </si>
  <si>
    <t>データサイエンス教育に関する本学独自の取り組みとして，令和３年度入学生以降を対象として「データサイエンスオープンプログラム（略称DSOP）」を設置し，データサイエンスの専門性を体系だてて学ぶためのモデルコースを示し，修了生を認定するプログラムを立ち上げている．このDSOPおよびデータサイエンス教育の計画，実行に関わる委員会として，DSOP-WGを設置，本申請に関しても，このDSOP-WGにおいて，審議実行していく．</t>
    <rPh sb="11" eb="12">
      <t xml:space="preserve">カンスル </t>
    </rPh>
    <rPh sb="14" eb="18">
      <t xml:space="preserve">ホンガクドクジノトリクミトシテ </t>
    </rPh>
    <rPh sb="27" eb="29">
      <t xml:space="preserve">レイワ </t>
    </rPh>
    <rPh sb="35" eb="37">
      <t xml:space="preserve">イコウヲタイショウトシテ </t>
    </rPh>
    <rPh sb="62" eb="64">
      <t xml:space="preserve">リャクショウ </t>
    </rPh>
    <rPh sb="71" eb="73">
      <t xml:space="preserve">セッチ </t>
    </rPh>
    <rPh sb="84" eb="87">
      <t xml:space="preserve">センモンセイヲ </t>
    </rPh>
    <rPh sb="88" eb="90">
      <t xml:space="preserve">タイケイダッテ </t>
    </rPh>
    <rPh sb="93" eb="94">
      <t xml:space="preserve">マナブ </t>
    </rPh>
    <rPh sb="105" eb="106">
      <t xml:space="preserve">シメシ </t>
    </rPh>
    <rPh sb="108" eb="111">
      <t xml:space="preserve">シュウリョウセイニハ </t>
    </rPh>
    <rPh sb="112" eb="114">
      <t xml:space="preserve">ニンテイスルシクミ </t>
    </rPh>
    <rPh sb="147" eb="149">
      <t xml:space="preserve">キョウイク </t>
    </rPh>
    <rPh sb="150" eb="152">
      <t xml:space="preserve">ケイカク </t>
    </rPh>
    <rPh sb="153" eb="155">
      <t xml:space="preserve">ジッコウ </t>
    </rPh>
    <rPh sb="156" eb="157">
      <t xml:space="preserve">カカワル </t>
    </rPh>
    <rPh sb="159" eb="162">
      <t xml:space="preserve">イインカイトシテ </t>
    </rPh>
    <rPh sb="174" eb="176">
      <t xml:space="preserve">セッチ </t>
    </rPh>
    <rPh sb="177" eb="180">
      <t xml:space="preserve">ホンシンセイ </t>
    </rPh>
    <rPh sb="181" eb="182">
      <t xml:space="preserve">カンシテモ </t>
    </rPh>
    <rPh sb="200" eb="202">
      <t xml:space="preserve">シンギ </t>
    </rPh>
    <rPh sb="202" eb="204">
      <t xml:space="preserve">ジッコウシテイク </t>
    </rPh>
    <phoneticPr fontId="6"/>
  </si>
  <si>
    <t>本教育プログラムとして必修科目2科目(4単位)の取得を修了要件としている．
両科目は，全学共通授業科目として開講されており，情報機器概論は必修科目として設定されている．データサイエンス入門は選択科目となっており，全ての１年生が希望しても受講可能な教室（コロナ状況ではオンライン対応）で希望する学生全員が受講可能である．</t>
    <phoneticPr fontId="6"/>
  </si>
  <si>
    <t>本学においては、オンライン学修支援システムHope(LMS)を活用しており、授業 時間外においても質問を受付している．本プログラムの必修科目である「データサイエンス入門」，「情報機器概論」においても，Hopeを使用することで授業時間外においても質問を受付している. また，授業では毎回の課題提出を行うことで，学生の理解を深め、 質問の受付の機会を増やしている，</t>
    <phoneticPr fontId="6"/>
  </si>
  <si>
    <t>本申請プログラムの中心となる科目「データサイエンス入門」は，令和2年度に開講された.
また、「情報機器概論」は、それ以前より１年次学部共通専門科目の必修科目として開講されている．
これまでの本プログラムの履修者数とし、履修状況, 修了状況は様式3にある様に
令和２年 履修者数 252名 修了者数 167名
令和３年 履修者数 246名 修了者数 177名
である．ほぼ入学者の全員が履修し，７割の修得状況となっている．</t>
    <rPh sb="199" eb="201">
      <t xml:space="preserve">シュウトク </t>
    </rPh>
    <phoneticPr fontId="6"/>
  </si>
  <si>
    <t xml:space="preserve">「情報機器概論」は全般的な情報リテラシーを習得させようとするものであり，特に本申請プログラムで対象となる情報セキュリティー関連は，第２回目で扱われており，早期の修得理解，実践へ結びつけている．全般的に修得成績は良好である．
データサイエンス入門は，全体的な概論に続き，pythonによるプログラミングを通じでデータに関するリテラシーを習得し，後半で研究応用，社会実装をテーマとしたグループ形式での取り組みをおこなっている．プログラムの修得状況，グループワークの成果共に全体的に良好となっている．
</t>
    <rPh sb="1" eb="7">
      <t xml:space="preserve">ジョウホウキキガイロン </t>
    </rPh>
    <rPh sb="9" eb="12">
      <t xml:space="preserve">ゼンパンテキナ </t>
    </rPh>
    <rPh sb="13" eb="15">
      <t xml:space="preserve">ジョウホウリテラシー </t>
    </rPh>
    <rPh sb="21" eb="23">
      <t xml:space="preserve">シュウトクサセヨウトスルモノデリ </t>
    </rPh>
    <rPh sb="36" eb="37">
      <t xml:space="preserve">トクニ </t>
    </rPh>
    <rPh sb="38" eb="41">
      <t xml:space="preserve">ホンシンセイプログラムデ </t>
    </rPh>
    <rPh sb="47" eb="49">
      <t xml:space="preserve">タイショウトナル </t>
    </rPh>
    <rPh sb="52" eb="54">
      <t xml:space="preserve">ジョウホウセキュリエィカンレン </t>
    </rPh>
    <rPh sb="61" eb="63">
      <t xml:space="preserve">カンレン </t>
    </rPh>
    <rPh sb="65" eb="66">
      <t xml:space="preserve">ダイ２カイメデアツカワレテオリ </t>
    </rPh>
    <rPh sb="77" eb="79">
      <t xml:space="preserve">ソウキノ </t>
    </rPh>
    <rPh sb="80" eb="82">
      <t xml:space="preserve">シュウトク </t>
    </rPh>
    <rPh sb="82" eb="84">
      <t xml:space="preserve">リカイ </t>
    </rPh>
    <rPh sb="85" eb="87">
      <t xml:space="preserve">ジッセンヘ </t>
    </rPh>
    <rPh sb="88" eb="89">
      <t xml:space="preserve">ムスビツケテイルモノデアル </t>
    </rPh>
    <rPh sb="96" eb="99">
      <t xml:space="preserve">ゼンパンテキニ </t>
    </rPh>
    <rPh sb="100" eb="102">
      <t xml:space="preserve">シュウトク </t>
    </rPh>
    <rPh sb="102" eb="104">
      <t xml:space="preserve">セイセキハリョウコウデアル </t>
    </rPh>
    <rPh sb="124" eb="127">
      <t xml:space="preserve">ゼンタイテキナガイロン </t>
    </rPh>
    <rPh sb="131" eb="132">
      <t xml:space="preserve">ツヅキ </t>
    </rPh>
    <rPh sb="151" eb="152">
      <t xml:space="preserve">ツウジデ </t>
    </rPh>
    <rPh sb="158" eb="159">
      <t xml:space="preserve">カンスル </t>
    </rPh>
    <rPh sb="171" eb="173">
      <t xml:space="preserve">コウハンデ </t>
    </rPh>
    <rPh sb="174" eb="178">
      <t xml:space="preserve">ケンキュウオウヨウ </t>
    </rPh>
    <rPh sb="179" eb="183">
      <t xml:space="preserve">シャカイジッソウ </t>
    </rPh>
    <rPh sb="198" eb="199">
      <t xml:space="preserve">トリクミヲオコナッテイル </t>
    </rPh>
    <rPh sb="230" eb="233">
      <t xml:space="preserve">セイカトモニゼンタイテキニリョウコウトナッテイル </t>
    </rPh>
    <phoneticPr fontId="6"/>
  </si>
  <si>
    <t xml:space="preserve">「情報機器概論」は情報に関するリテラシーを習得させるものであることから，「未来大生として知っておくべき基本的な知識について学べます。」「技術者としてあるべき姿勢、現在の世界の技術の基本などをわかりやすくまとめた授業で未来大がどのような大学であるかが一番わかる授業だと思います。」「わからない事柄や興味を持ったトピックについては、講義後、次の講義までに検索したり、本を読んだりしてみてください。一つの用語の意味を抑えること、一つの概念について理解を深めること、これらは他の学びと有機的に有機的につながり、学ぶことが楽しくなります。」などの後輩に向けた推奨が見られた．
「データサイエンス入門」においては，「データサイエンティストの一端を知ることが出来るので、データサイエンティストになりたいと思っている人もそうでない人も気軽に参加するといいと思う。」「データを集めたあとの分析に関するプログラミングを勉強する授業です。なかなか難しいですがその分動いたときは面白いと思います。人によってはこの授業で進路を決めたりすることもあるかもしれません。」「AIに興味のある人にとっては、興味深い講義になると思った。」等の後輩向けた推奨が見られた．
</t>
    <rPh sb="0" eb="1">
      <t>「」</t>
    </rPh>
    <rPh sb="1" eb="7">
      <t xml:space="preserve">ジョウホウキキガイロン </t>
    </rPh>
    <rPh sb="9" eb="11">
      <t xml:space="preserve">ジョウホウニカンスル </t>
    </rPh>
    <rPh sb="21" eb="23">
      <t>シュウトクサセルモノデア_x0000__x0000__x0001__x0002__x0001__x0006_</t>
    </rPh>
    <rPh sb="268" eb="270">
      <t>_x000E_	_x0002__x0019__x0015__x0002_+Č_x0002_</t>
    </rPh>
    <rPh sb="274" eb="276">
      <t>4Ē_x0002_:ĕ_x0001_</t>
    </rPh>
    <rPh sb="277" eb="278">
      <t>?ĕ_x0001_DǷ_x0001_HǷ_x0001_Lǹ_x0002_Sǹ_x0002_Zǹ_x0002_aǹ_x0003_iǹ_x0003_qȁ_x0001_vȁ_x0001__x0000__x0000__x0000__x0000_ÿ_x0000_ÿ履修者数の実績に見られるように，選択科目として</t>
    </rPh>
    <phoneticPr fontId="6"/>
  </si>
  <si>
    <t>https://www.fun.ac.jp/news/16911</t>
    <phoneticPr fontId="6"/>
  </si>
  <si>
    <t>データサイエンス・オープンプログラム・運営委員会</t>
    <rPh sb="19" eb="24">
      <t xml:space="preserve">ウンエイイインカイ </t>
    </rPh>
    <phoneticPr fontId="6"/>
  </si>
  <si>
    <t>データサイエンス・オープンプログラム・運営委員会(略称　DSOP-WG)</t>
    <rPh sb="29" eb="31">
      <t xml:space="preserve">リャクショウ </t>
    </rPh>
    <phoneticPr fontId="6"/>
  </si>
  <si>
    <t xml:space="preserve">本学はシステム情報科学部の単一学部，情報アーキテクチャ学科，複雑系知能学科の２学科から構成されており，DSOP-WGの構成員は以下のとおりである．
複雑系知能学科
鈴木恵二　教授／副学長／委員長
花田 光彦　教授
情報アーキテクチャ学科
中小路 久美代　教授
奥野 拓　教授
南部 美砂子　准教授
</t>
    <rPh sb="0" eb="2">
      <t xml:space="preserve">ホンガクハ </t>
    </rPh>
    <rPh sb="13" eb="15">
      <t xml:space="preserve">タンイツ </t>
    </rPh>
    <rPh sb="15" eb="17">
      <t xml:space="preserve">ガクブ </t>
    </rPh>
    <rPh sb="18" eb="20">
      <t xml:space="preserve">ジョウホウ </t>
    </rPh>
    <rPh sb="27" eb="29">
      <t xml:space="preserve">コウガッカ </t>
    </rPh>
    <rPh sb="30" eb="37">
      <t xml:space="preserve">フクザツケイチノウガッカ </t>
    </rPh>
    <rPh sb="59" eb="62">
      <t xml:space="preserve">コウセイイン </t>
    </rPh>
    <rPh sb="63" eb="65">
      <t xml:space="preserve">イカノトオリデアル </t>
    </rPh>
    <phoneticPr fontId="6"/>
  </si>
  <si>
    <t>各学期終了時までに，全科目で学生からの授業フィードバックとしてアンケート調査をおこなっている．
このアンケート調査から，「情報機器概論」では約７割の学生が授業目標を達成したと答えており，満足度も９割を超えている．
「データサイエンス入門」においては，約６割の学生が授業目標を達成したと答えており，満足度も８割を超えている．特にデータサイエンスを学び理解する必要性を理解したとの声が見られた．</t>
    <rPh sb="0" eb="3">
      <t xml:space="preserve">カクガッキ </t>
    </rPh>
    <rPh sb="3" eb="6">
      <t xml:space="preserve">シュウリョウジマデニ </t>
    </rPh>
    <rPh sb="10" eb="13">
      <t xml:space="preserve">ゼンカモクデ </t>
    </rPh>
    <rPh sb="14" eb="16">
      <t xml:space="preserve">ガクセイカラノジュギョウフィードバック </t>
    </rPh>
    <rPh sb="61" eb="67">
      <t xml:space="preserve">ジョウホウキキガイロン </t>
    </rPh>
    <rPh sb="70" eb="71">
      <t xml:space="preserve">ヤク７ワリノガクセイガ </t>
    </rPh>
    <rPh sb="77" eb="81">
      <t xml:space="preserve">ジュギョウモクヒョウヲタッセイシタト </t>
    </rPh>
    <rPh sb="87" eb="88">
      <t xml:space="preserve">コタエテイル </t>
    </rPh>
    <rPh sb="93" eb="96">
      <t xml:space="preserve">マンゾクド </t>
    </rPh>
    <rPh sb="100" eb="101">
      <t xml:space="preserve">コエテイル </t>
    </rPh>
    <rPh sb="161" eb="162">
      <t xml:space="preserve">トクニ </t>
    </rPh>
    <rPh sb="174" eb="176">
      <t xml:space="preserve">リカイスル </t>
    </rPh>
    <rPh sb="178" eb="181">
      <t xml:space="preserve">ヒツヨウセイニ </t>
    </rPh>
    <rPh sb="182" eb="184">
      <t xml:space="preserve">リカイシタトノコエガミラレタ </t>
    </rPh>
    <phoneticPr fontId="6"/>
  </si>
  <si>
    <t>「データサイエンス入門」を担当する教員は，前半部分を深層学習分野においてトップクラスの研究者と，高度な脳波計測に基づき脳科学分野の先端研究者が担当しており，ともに他の授業においても学生からの授業評価が高い教員が担当している．後半部分は，数理モデル専門家，人工知能専門家，データマイニング専門家，Ai活用による遠隔手術など高度医療情報専門家，情報デザイン専門家，人工知能を使った大学発ベンチャーを立ち上げた人工知能専門家にそれぞれ担当し，最先端の研究事例や社会実装に関することの講義となっている，また受講者でグループを作り，ネットから関連事例を探し，グループデスカッションを通してレポートをまとめるなどの工夫も行っている．このような工夫もあって授業フィードバックからも，データサイエンスおよびAIを学ぶ意義を学生が理解していることが伺え，その成果が見られる．また，毎年内容の改善に努めている．</t>
    <rPh sb="9" eb="11">
      <t xml:space="preserve">ニュウモン </t>
    </rPh>
    <rPh sb="13" eb="15">
      <t xml:space="preserve">タントウスル </t>
    </rPh>
    <rPh sb="17" eb="19">
      <t xml:space="preserve">キョウインハ </t>
    </rPh>
    <rPh sb="21" eb="25">
      <t xml:space="preserve">ゼンハンブブンヲ </t>
    </rPh>
    <rPh sb="26" eb="32">
      <t xml:space="preserve">シンソウガクシュウブンヤニオイテ </t>
    </rPh>
    <rPh sb="48" eb="50">
      <t xml:space="preserve">コウドナ </t>
    </rPh>
    <rPh sb="51" eb="53">
      <t xml:space="preserve">ノウハ </t>
    </rPh>
    <rPh sb="53" eb="55">
      <t xml:space="preserve">ケイソク </t>
    </rPh>
    <rPh sb="56" eb="57">
      <t xml:space="preserve">モトヅキ </t>
    </rPh>
    <rPh sb="59" eb="62">
      <t xml:space="preserve">ノウカガク </t>
    </rPh>
    <rPh sb="62" eb="64">
      <t xml:space="preserve">ブンヤ </t>
    </rPh>
    <rPh sb="65" eb="67">
      <t xml:space="preserve">センタン </t>
    </rPh>
    <rPh sb="67" eb="70">
      <t xml:space="preserve">ケンキュウシャ </t>
    </rPh>
    <rPh sb="71" eb="73">
      <t xml:space="preserve">タントウシテ </t>
    </rPh>
    <rPh sb="81" eb="82">
      <t xml:space="preserve">タノジュギョウニオイテモ </t>
    </rPh>
    <rPh sb="90" eb="92">
      <t xml:space="preserve">ガクセイカラノジュギョウヒョウカ </t>
    </rPh>
    <rPh sb="100" eb="101">
      <t xml:space="preserve">タカイ </t>
    </rPh>
    <rPh sb="102" eb="104">
      <t xml:space="preserve">キョウインガタントウシテイル </t>
    </rPh>
    <rPh sb="112" eb="116">
      <t xml:space="preserve">コウハンブブンハ </t>
    </rPh>
    <rPh sb="118" eb="120">
      <t xml:space="preserve">スウリモデル </t>
    </rPh>
    <rPh sb="123" eb="126">
      <t xml:space="preserve">センモンカ </t>
    </rPh>
    <rPh sb="127" eb="131">
      <t xml:space="preserve">ジンコウチノウ </t>
    </rPh>
    <rPh sb="131" eb="134">
      <t xml:space="preserve">センモンカ </t>
    </rPh>
    <rPh sb="143" eb="146">
      <t xml:space="preserve">センモンカ </t>
    </rPh>
    <rPh sb="149" eb="151">
      <t xml:space="preserve">カツヨウニヨル </t>
    </rPh>
    <rPh sb="154" eb="156">
      <t xml:space="preserve">エンカク </t>
    </rPh>
    <rPh sb="156" eb="158">
      <t xml:space="preserve">シュジュツトウ </t>
    </rPh>
    <rPh sb="160" eb="166">
      <t xml:space="preserve">コウドイリョウジョウホウ </t>
    </rPh>
    <rPh sb="166" eb="169">
      <t xml:space="preserve">センモンカ </t>
    </rPh>
    <rPh sb="170" eb="172">
      <t xml:space="preserve">ジョウホウデザイン </t>
    </rPh>
    <rPh sb="176" eb="179">
      <t xml:space="preserve">センモンカ </t>
    </rPh>
    <rPh sb="180" eb="184">
      <t xml:space="preserve">ジンコウチノウ </t>
    </rPh>
    <rPh sb="185" eb="186">
      <t xml:space="preserve">ツカッタ </t>
    </rPh>
    <rPh sb="188" eb="191">
      <t xml:space="preserve">ダイガクハツベンチャー </t>
    </rPh>
    <rPh sb="197" eb="198">
      <t xml:space="preserve">タチアゲタキ </t>
    </rPh>
    <rPh sb="202" eb="206">
      <t xml:space="preserve">ジンコウチノウセッモンカト </t>
    </rPh>
    <rPh sb="206" eb="209">
      <t xml:space="preserve">センモンカ </t>
    </rPh>
    <rPh sb="218" eb="221">
      <t xml:space="preserve">サイセンタンノケンキュウジレイヤ </t>
    </rPh>
    <rPh sb="227" eb="231">
      <t xml:space="preserve">シャカイジッソウ </t>
    </rPh>
    <rPh sb="232" eb="233">
      <t xml:space="preserve">カンスルコト </t>
    </rPh>
    <rPh sb="238" eb="240">
      <t xml:space="preserve">コウギトナッテイル </t>
    </rPh>
    <rPh sb="249" eb="252">
      <t xml:space="preserve">ジュコウシャ </t>
    </rPh>
    <rPh sb="266" eb="270">
      <t xml:space="preserve">カンレンジレイヲ </t>
    </rPh>
    <rPh sb="271" eb="272">
      <t xml:space="preserve">サガシ </t>
    </rPh>
    <rPh sb="286" eb="287">
      <t xml:space="preserve">トオシテレポートヲマトメルナドノクフウモオコナッテイル </t>
    </rPh>
    <rPh sb="321" eb="323">
      <t xml:space="preserve">ジュギョウフィードバックカラモ </t>
    </rPh>
    <rPh sb="348" eb="349">
      <t xml:space="preserve">マナブ </t>
    </rPh>
    <rPh sb="350" eb="352">
      <t xml:space="preserve">イギヲ </t>
    </rPh>
    <rPh sb="353" eb="355">
      <t xml:space="preserve">ガクセイガリカイシテイル </t>
    </rPh>
    <rPh sb="381" eb="385">
      <t xml:space="preserve">マイトシナイヨウヲ </t>
    </rPh>
    <rPh sb="386" eb="390">
      <t xml:space="preserve">カイゼンイツトメテオリ </t>
    </rPh>
    <phoneticPr fontId="6"/>
  </si>
  <si>
    <t>令和２</t>
    <rPh sb="0" eb="2">
      <t>レイワ</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</si>
</sst>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7" x14ac:knownFonts="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4"/>
      <color theme="1"/>
      <name val="ＭＳ Ｐゴシック"/>
      <family val="2"/>
      <charset val="128"/>
      <scheme val="minor"/>
    </font>
    <font>
      <u/>
      <sz val="11"/>
      <color theme="1"/>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10" fillId="0" borderId="0" applyFont="0" applyFill="0" applyBorder="0" applyAlignment="0" applyProtection="0">
      <alignment vertical="center"/>
    </xf>
    <xf numFmtId="0" fontId="11" fillId="0" borderId="0" applyNumberFormat="0" applyFill="0" applyBorder="0" applyAlignment="0" applyProtection="0">
      <alignment vertical="center"/>
    </xf>
  </cellStyleXfs>
  <cellXfs count="336">
    <xf numFmtId="0" fontId="0" fillId="0" borderId="0" xfId="0">
      <alignment vertical="center"/>
    </xf>
    <xf numFmtId="0" fontId="7" fillId="0" borderId="0" xfId="0" applyFont="1">
      <alignment vertical="center"/>
    </xf>
    <xf numFmtId="0" fontId="9" fillId="0" borderId="0" xfId="0" applyFont="1">
      <alignment vertical="center"/>
    </xf>
    <xf numFmtId="0" fontId="8" fillId="0" borderId="0" xfId="0" applyFont="1">
      <alignment vertical="center"/>
    </xf>
    <xf numFmtId="0" fontId="9" fillId="0" borderId="5" xfId="0" applyFont="1" applyBorder="1" applyAlignment="1">
      <alignment vertical="top" wrapText="1"/>
    </xf>
    <xf numFmtId="0" fontId="9" fillId="0" borderId="10" xfId="0" applyFont="1" applyBorder="1" applyAlignment="1">
      <alignment vertical="top" wrapText="1"/>
    </xf>
    <xf numFmtId="0" fontId="9" fillId="0" borderId="18" xfId="0" applyFont="1" applyBorder="1" applyAlignment="1">
      <alignment vertical="top" wrapText="1"/>
    </xf>
    <xf numFmtId="0" fontId="12" fillId="0" borderId="0" xfId="0" applyFont="1" applyBorder="1" applyAlignment="1">
      <alignment horizontal="center" vertical="center" shrinkToFit="1"/>
    </xf>
    <xf numFmtId="0" fontId="13" fillId="0" borderId="0" xfId="0" applyFont="1">
      <alignment vertical="center"/>
    </xf>
    <xf numFmtId="0" fontId="12" fillId="0" borderId="0" xfId="0" applyFont="1">
      <alignment vertical="center"/>
    </xf>
    <xf numFmtId="0" fontId="12" fillId="0" borderId="0" xfId="0" applyFont="1" applyAlignment="1">
      <alignment vertical="center"/>
    </xf>
    <xf numFmtId="0" fontId="12" fillId="0" borderId="0" xfId="0" applyFont="1" applyAlignment="1">
      <alignment horizontal="left" vertical="center"/>
    </xf>
    <xf numFmtId="0" fontId="9" fillId="0" borderId="20" xfId="0" applyFont="1" applyBorder="1" applyAlignment="1">
      <alignment vertical="top" wrapText="1"/>
    </xf>
    <xf numFmtId="0" fontId="12" fillId="0" borderId="0" xfId="0" applyFont="1" applyAlignment="1">
      <alignment horizontal="center" vertical="center"/>
    </xf>
    <xf numFmtId="0" fontId="12" fillId="0" borderId="1" xfId="0" applyFont="1" applyBorder="1" applyAlignment="1">
      <alignment vertical="center" shrinkToFit="1"/>
    </xf>
    <xf numFmtId="0" fontId="15" fillId="0" borderId="0" xfId="0" applyFont="1">
      <alignment vertical="center"/>
    </xf>
    <xf numFmtId="0" fontId="8" fillId="0" borderId="0" xfId="0" applyFont="1" applyAlignment="1">
      <alignment horizontal="center" vertical="center"/>
    </xf>
    <xf numFmtId="0" fontId="9" fillId="0" borderId="0" xfId="0" applyFont="1" applyAlignment="1">
      <alignment vertical="top" wrapText="1"/>
    </xf>
    <xf numFmtId="0" fontId="19" fillId="0" borderId="11"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xf>
    <xf numFmtId="0" fontId="19" fillId="0" borderId="12" xfId="0" applyFont="1" applyBorder="1" applyAlignment="1">
      <alignment horizontal="center" vertical="center" wrapText="1"/>
    </xf>
    <xf numFmtId="0" fontId="8" fillId="0" borderId="0" xfId="0" applyFont="1" applyAlignment="1">
      <alignmen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14" xfId="0" applyNumberFormat="1" applyFont="1" applyBorder="1" applyAlignment="1">
      <alignment vertical="center" shrinkToFit="1"/>
    </xf>
    <xf numFmtId="9" fontId="8" fillId="0" borderId="10" xfId="0" applyNumberFormat="1"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176" fontId="8" fillId="0" borderId="23" xfId="0" applyNumberFormat="1" applyFont="1" applyBorder="1" applyAlignment="1">
      <alignment vertical="center" shrinkToFit="1"/>
    </xf>
    <xf numFmtId="9" fontId="8" fillId="0" borderId="23" xfId="0" applyNumberFormat="1" applyFont="1" applyBorder="1" applyAlignment="1">
      <alignment vertical="center" shrinkToFit="1"/>
    </xf>
    <xf numFmtId="0" fontId="8" fillId="0" borderId="20" xfId="0" applyFont="1" applyBorder="1" applyAlignment="1">
      <alignment vertical="center" shrinkToFit="1"/>
    </xf>
    <xf numFmtId="176" fontId="8" fillId="0" borderId="24" xfId="0" applyNumberFormat="1" applyFont="1" applyBorder="1" applyAlignment="1">
      <alignment vertical="center" shrinkToFit="1"/>
    </xf>
    <xf numFmtId="0" fontId="8" fillId="0" borderId="25" xfId="0" applyFont="1" applyBorder="1" applyAlignment="1">
      <alignment vertical="center" shrinkToFit="1"/>
    </xf>
    <xf numFmtId="176" fontId="8" fillId="0" borderId="25"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27" xfId="0" applyNumberFormat="1" applyFont="1" applyBorder="1" applyAlignment="1">
      <alignment vertical="center" shrinkToFit="1"/>
    </xf>
    <xf numFmtId="176" fontId="8" fillId="0" borderId="28" xfId="0" applyNumberFormat="1" applyFont="1" applyBorder="1" applyAlignment="1">
      <alignment vertical="center" shrinkToFit="1"/>
    </xf>
    <xf numFmtId="9" fontId="8" fillId="0" borderId="27" xfId="0" applyNumberFormat="1" applyFont="1" applyBorder="1" applyAlignment="1">
      <alignment vertical="center" shrinkToFit="1"/>
    </xf>
    <xf numFmtId="0" fontId="12" fillId="0" borderId="0" xfId="0" applyFont="1" applyBorder="1" applyAlignment="1">
      <alignment vertical="center" shrinkToFit="1"/>
    </xf>
    <xf numFmtId="49" fontId="21" fillId="0" borderId="1" xfId="0" applyNumberFormat="1"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vertical="top" wrapText="1"/>
    </xf>
    <xf numFmtId="0" fontId="13" fillId="0" borderId="2" xfId="0" applyFont="1" applyBorder="1">
      <alignment vertical="center"/>
    </xf>
    <xf numFmtId="0" fontId="13" fillId="0" borderId="4" xfId="0" applyFont="1" applyBorder="1">
      <alignment vertical="center"/>
    </xf>
    <xf numFmtId="49" fontId="21" fillId="0" borderId="47" xfId="0" applyNumberFormat="1" applyFont="1" applyBorder="1" applyAlignment="1">
      <alignment horizontal="center" vertical="center"/>
    </xf>
    <xf numFmtId="49" fontId="21" fillId="0" borderId="33" xfId="0" applyNumberFormat="1" applyFont="1" applyBorder="1" applyAlignment="1">
      <alignment horizontal="center" vertical="center"/>
    </xf>
    <xf numFmtId="49" fontId="21" fillId="0" borderId="50" xfId="0" applyNumberFormat="1" applyFont="1" applyBorder="1" applyAlignment="1">
      <alignment horizontal="center" vertical="center"/>
    </xf>
    <xf numFmtId="49" fontId="21" fillId="0" borderId="51" xfId="0" applyNumberFormat="1" applyFont="1" applyBorder="1" applyAlignment="1">
      <alignment horizontal="center" vertical="center"/>
    </xf>
    <xf numFmtId="0" fontId="8" fillId="0" borderId="0" xfId="0" applyFont="1" applyAlignment="1">
      <alignment horizontal="left" vertical="center"/>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0" xfId="0" applyFont="1" applyBorder="1" applyAlignment="1">
      <alignment vertical="center" shrinkToFit="1"/>
    </xf>
    <xf numFmtId="0" fontId="8" fillId="0" borderId="28" xfId="0" applyFont="1" applyBorder="1" applyAlignment="1">
      <alignment horizontal="center" vertical="center" shrinkToFit="1"/>
    </xf>
    <xf numFmtId="0" fontId="8" fillId="0" borderId="26" xfId="0" applyFont="1" applyBorder="1" applyAlignment="1">
      <alignment vertical="center" shrinkToFit="1"/>
    </xf>
    <xf numFmtId="0" fontId="9" fillId="0" borderId="0" xfId="0" applyFont="1" applyAlignment="1">
      <alignment vertical="top" shrinkToFit="1"/>
    </xf>
    <xf numFmtId="0" fontId="9" fillId="0" borderId="0" xfId="0" applyFont="1" applyAlignment="1">
      <alignment vertical="center" wrapText="1"/>
    </xf>
    <xf numFmtId="0" fontId="12" fillId="0" borderId="2" xfId="0" applyFont="1" applyBorder="1" applyAlignment="1">
      <alignment vertical="center"/>
    </xf>
    <xf numFmtId="0" fontId="12" fillId="0" borderId="3" xfId="0" applyFont="1" applyBorder="1" applyAlignment="1">
      <alignment vertical="center"/>
    </xf>
    <xf numFmtId="0" fontId="12" fillId="0" borderId="4" xfId="0" applyFont="1" applyBorder="1" applyAlignment="1">
      <alignment vertical="center"/>
    </xf>
    <xf numFmtId="49" fontId="21" fillId="0" borderId="52" xfId="0" applyNumberFormat="1" applyFont="1" applyBorder="1" applyAlignment="1">
      <alignment horizontal="center" vertical="center"/>
    </xf>
    <xf numFmtId="49" fontId="21" fillId="0" borderId="29" xfId="0" applyNumberFormat="1" applyFont="1" applyBorder="1" applyAlignment="1">
      <alignment horizontal="center" vertical="center"/>
    </xf>
    <xf numFmtId="0" fontId="24" fillId="0" borderId="4" xfId="0" applyFont="1" applyBorder="1" applyAlignment="1">
      <alignment horizontal="center" vertical="center" shrinkToFit="1"/>
    </xf>
    <xf numFmtId="0" fontId="12" fillId="0" borderId="14" xfId="0" applyFont="1" applyBorder="1" applyAlignment="1">
      <alignment horizontal="center" vertical="center" shrinkToFit="1"/>
    </xf>
    <xf numFmtId="0" fontId="12" fillId="0" borderId="23"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18" xfId="0" applyFont="1" applyBorder="1" applyAlignment="1">
      <alignment horizontal="center" vertical="center"/>
    </xf>
    <xf numFmtId="0" fontId="12" fillId="0" borderId="42" xfId="0" applyFont="1" applyBorder="1" applyAlignment="1">
      <alignment horizontal="center" vertical="center"/>
    </xf>
    <xf numFmtId="0" fontId="12" fillId="0" borderId="38" xfId="0" applyFont="1" applyBorder="1" applyAlignment="1">
      <alignment horizontal="center" vertical="center"/>
    </xf>
    <xf numFmtId="0" fontId="12" fillId="0" borderId="43" xfId="0" applyFont="1" applyBorder="1" applyAlignment="1">
      <alignment horizontal="center" vertical="center" shrinkToFit="1"/>
    </xf>
    <xf numFmtId="0" fontId="8" fillId="0" borderId="0" xfId="0" applyFont="1" applyAlignment="1">
      <alignment horizontal="center" vertical="center"/>
    </xf>
    <xf numFmtId="0" fontId="5" fillId="0" borderId="0" xfId="0" applyFont="1">
      <alignment vertical="center"/>
    </xf>
    <xf numFmtId="0" fontId="4" fillId="0" borderId="0" xfId="0" applyFont="1">
      <alignment vertical="center"/>
    </xf>
    <xf numFmtId="0" fontId="4" fillId="0" borderId="0" xfId="0" applyFont="1" applyAlignment="1">
      <alignment horizontal="right" vertical="center"/>
    </xf>
    <xf numFmtId="0" fontId="25" fillId="0" borderId="0" xfId="0" applyFont="1" applyAlignment="1">
      <alignment horizontal="center" vertical="center"/>
    </xf>
    <xf numFmtId="0" fontId="4" fillId="0" borderId="5" xfId="0" applyFont="1" applyBorder="1">
      <alignment vertical="center"/>
    </xf>
    <xf numFmtId="0" fontId="4" fillId="0" borderId="16" xfId="0" applyFont="1" applyBorder="1">
      <alignment vertical="center"/>
    </xf>
    <xf numFmtId="0" fontId="9" fillId="0" borderId="20" xfId="0" applyFont="1" applyBorder="1" applyAlignment="1">
      <alignment vertical="top" shrinkToFit="1"/>
    </xf>
    <xf numFmtId="0" fontId="9" fillId="0" borderId="18" xfId="0" applyFont="1" applyBorder="1" applyAlignment="1">
      <alignment vertical="top" shrinkToFit="1"/>
    </xf>
    <xf numFmtId="0" fontId="4" fillId="0" borderId="0" xfId="0" applyFont="1" applyAlignment="1">
      <alignment vertical="center" wrapText="1"/>
    </xf>
    <xf numFmtId="0" fontId="4" fillId="0" borderId="0" xfId="0" applyFont="1" applyAlignment="1">
      <alignment vertical="top" wrapText="1"/>
    </xf>
    <xf numFmtId="0" fontId="4" fillId="0" borderId="0" xfId="0" applyFont="1" applyAlignment="1">
      <alignment horizontal="center" vertical="center"/>
    </xf>
    <xf numFmtId="0" fontId="4" fillId="0" borderId="0" xfId="0" applyFont="1" applyAlignment="1">
      <alignment vertical="center"/>
    </xf>
    <xf numFmtId="0" fontId="4" fillId="0" borderId="7" xfId="0" applyFont="1" applyBorder="1" applyAlignment="1">
      <alignment horizontal="center" vertical="center" wrapText="1" shrinkToFit="1"/>
    </xf>
    <xf numFmtId="9" fontId="4" fillId="0" borderId="8" xfId="0" applyNumberFormat="1" applyFont="1" applyBorder="1" applyAlignment="1">
      <alignment horizontal="center" vertical="center" wrapText="1" shrinkToFit="1"/>
    </xf>
    <xf numFmtId="0" fontId="4" fillId="0" borderId="8" xfId="0" applyFont="1" applyBorder="1" applyAlignment="1">
      <alignment horizontal="center" vertical="center" wrapText="1" shrinkToFit="1"/>
    </xf>
    <xf numFmtId="9" fontId="4" fillId="0" borderId="8" xfId="0" applyNumberFormat="1" applyFont="1" applyBorder="1" applyAlignment="1">
      <alignment horizontal="center" vertical="center" shrinkToFit="1"/>
    </xf>
    <xf numFmtId="0" fontId="4" fillId="0" borderId="9" xfId="0" applyFont="1" applyBorder="1" applyAlignment="1">
      <alignment horizontal="center" vertical="center" shrinkToFit="1"/>
    </xf>
    <xf numFmtId="0" fontId="4" fillId="0" borderId="44" xfId="0" applyFont="1" applyBorder="1" applyAlignment="1">
      <alignment horizontal="center" vertical="center" shrinkToFit="1"/>
    </xf>
    <xf numFmtId="9" fontId="4" fillId="0" borderId="45" xfId="0" applyNumberFormat="1" applyFont="1" applyBorder="1" applyAlignment="1">
      <alignment horizontal="center" vertical="center" shrinkToFit="1"/>
    </xf>
    <xf numFmtId="0" fontId="4" fillId="0" borderId="45" xfId="0" applyFont="1" applyBorder="1" applyAlignment="1">
      <alignment horizontal="center" vertical="center" shrinkToFit="1"/>
    </xf>
    <xf numFmtId="176" fontId="4" fillId="0" borderId="45" xfId="0" applyNumberFormat="1" applyFont="1" applyBorder="1" applyAlignment="1">
      <alignment horizontal="center" vertical="center" shrinkToFit="1"/>
    </xf>
    <xf numFmtId="0" fontId="4" fillId="0" borderId="46" xfId="0" applyFont="1" applyBorder="1" applyAlignment="1">
      <alignment horizontal="center" vertical="center" shrinkToFit="1"/>
    </xf>
    <xf numFmtId="0" fontId="12" fillId="0" borderId="0" xfId="0" applyFont="1" applyFill="1">
      <alignment vertical="center"/>
    </xf>
    <xf numFmtId="176" fontId="12" fillId="0" borderId="0" xfId="0" applyNumberFormat="1" applyFont="1" applyFill="1" applyAlignment="1">
      <alignment vertical="center" wrapText="1"/>
    </xf>
    <xf numFmtId="0" fontId="14" fillId="0" borderId="0" xfId="0" applyFont="1" applyFill="1">
      <alignment vertical="center"/>
    </xf>
    <xf numFmtId="0" fontId="13" fillId="0" borderId="0" xfId="0" applyFont="1" applyFill="1">
      <alignment vertical="center"/>
    </xf>
    <xf numFmtId="0" fontId="12" fillId="0" borderId="0" xfId="0" applyFont="1" applyFill="1" applyAlignment="1">
      <alignment horizontal="left" vertical="center"/>
    </xf>
    <xf numFmtId="0" fontId="12" fillId="0" borderId="0" xfId="0" applyFont="1" applyFill="1" applyAlignment="1">
      <alignment vertical="center" shrinkToFit="1"/>
    </xf>
    <xf numFmtId="0" fontId="12" fillId="0" borderId="1" xfId="0" applyFont="1" applyFill="1" applyBorder="1" applyAlignment="1">
      <alignment horizontal="center" vertical="center" shrinkToFit="1"/>
    </xf>
    <xf numFmtId="0" fontId="12" fillId="0" borderId="5" xfId="0" applyFont="1" applyFill="1" applyBorder="1">
      <alignment vertical="center"/>
    </xf>
    <xf numFmtId="176" fontId="12" fillId="0" borderId="5" xfId="0" applyNumberFormat="1" applyFont="1" applyFill="1" applyBorder="1">
      <alignment vertical="center"/>
    </xf>
    <xf numFmtId="176" fontId="12" fillId="0" borderId="0" xfId="0" applyNumberFormat="1" applyFont="1" applyFill="1">
      <alignment vertical="center"/>
    </xf>
    <xf numFmtId="0" fontId="12" fillId="0" borderId="0" xfId="0" applyFont="1" applyFill="1" applyAlignment="1">
      <alignment horizontal="center" vertical="center"/>
    </xf>
    <xf numFmtId="176" fontId="12" fillId="0" borderId="3" xfId="0" applyNumberFormat="1" applyFont="1" applyFill="1" applyBorder="1" applyAlignment="1">
      <alignment vertical="center" shrinkToFit="1"/>
    </xf>
    <xf numFmtId="176" fontId="12" fillId="0" borderId="0" xfId="0" applyNumberFormat="1" applyFont="1" applyFill="1" applyAlignment="1">
      <alignment horizontal="left" vertical="center" wrapText="1"/>
    </xf>
    <xf numFmtId="0" fontId="12" fillId="0" borderId="6" xfId="0" applyFont="1" applyFill="1" applyBorder="1" applyAlignment="1">
      <alignment vertical="center" shrinkToFit="1"/>
    </xf>
    <xf numFmtId="0" fontId="12" fillId="0" borderId="0" xfId="0" applyFont="1" applyFill="1" applyAlignment="1">
      <alignment horizontal="center" vertical="center" shrinkToFit="1"/>
    </xf>
    <xf numFmtId="0" fontId="12" fillId="0" borderId="10" xfId="0" applyFont="1" applyFill="1" applyBorder="1" applyAlignment="1">
      <alignment vertical="center" shrinkToFit="1"/>
    </xf>
    <xf numFmtId="0" fontId="12" fillId="0" borderId="1" xfId="0" applyFont="1" applyFill="1" applyBorder="1" applyAlignment="1">
      <alignment vertical="center" shrinkToFit="1"/>
    </xf>
    <xf numFmtId="0" fontId="12" fillId="0" borderId="2" xfId="0" applyFont="1" applyFill="1" applyBorder="1">
      <alignment vertical="center"/>
    </xf>
    <xf numFmtId="0" fontId="12" fillId="0" borderId="4" xfId="0" applyFont="1" applyFill="1" applyBorder="1">
      <alignment vertical="center"/>
    </xf>
    <xf numFmtId="0" fontId="12" fillId="0" borderId="1" xfId="0" applyFont="1" applyFill="1" applyBorder="1">
      <alignment vertical="center"/>
    </xf>
    <xf numFmtId="0" fontId="8" fillId="0" borderId="14" xfId="0" applyFont="1" applyFill="1" applyBorder="1" applyAlignment="1">
      <alignment horizontal="left" vertical="center" shrinkToFit="1"/>
    </xf>
    <xf numFmtId="0" fontId="8" fillId="0" borderId="0" xfId="0" applyFont="1" applyFill="1" applyAlignment="1">
      <alignment vertical="center" shrinkToFit="1"/>
    </xf>
    <xf numFmtId="0" fontId="8" fillId="0" borderId="5" xfId="0" applyFont="1" applyFill="1" applyBorder="1" applyAlignment="1">
      <alignment vertical="center" shrinkToFit="1"/>
    </xf>
    <xf numFmtId="176" fontId="8" fillId="0" borderId="5" xfId="0" applyNumberFormat="1" applyFont="1" applyFill="1" applyBorder="1" applyAlignment="1">
      <alignment vertical="center" shrinkToFit="1"/>
    </xf>
    <xf numFmtId="176" fontId="8" fillId="0" borderId="31" xfId="0" applyNumberFormat="1" applyFont="1" applyFill="1" applyBorder="1" applyAlignment="1">
      <alignment vertical="center" shrinkToFit="1"/>
    </xf>
    <xf numFmtId="176" fontId="8" fillId="0" borderId="32" xfId="0" applyNumberFormat="1" applyFont="1" applyFill="1" applyBorder="1" applyAlignment="1">
      <alignment vertical="center" shrinkToFit="1"/>
    </xf>
    <xf numFmtId="176" fontId="8" fillId="0" borderId="10" xfId="0" applyNumberFormat="1" applyFont="1" applyFill="1" applyBorder="1" applyAlignment="1">
      <alignment vertical="center" shrinkToFit="1"/>
    </xf>
    <xf numFmtId="0" fontId="12" fillId="0" borderId="2" xfId="0" applyFont="1" applyFill="1" applyBorder="1" applyAlignment="1">
      <alignment horizontal="center" vertical="center" wrapText="1" shrinkToFit="1"/>
    </xf>
    <xf numFmtId="0" fontId="12" fillId="0" borderId="3"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0" fontId="12" fillId="0" borderId="0" xfId="0" applyFont="1" applyFill="1" applyAlignment="1">
      <alignment horizontal="right" vertical="center"/>
    </xf>
    <xf numFmtId="0" fontId="16" fillId="0" borderId="0" xfId="0" applyFont="1" applyFill="1" applyAlignment="1">
      <alignment horizontal="center" vertical="center"/>
    </xf>
    <xf numFmtId="0" fontId="12" fillId="0" borderId="2" xfId="0" applyFont="1" applyFill="1" applyBorder="1" applyAlignment="1">
      <alignment horizontal="center" vertical="center" shrinkToFit="1"/>
    </xf>
    <xf numFmtId="0" fontId="12" fillId="0" borderId="2"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10" xfId="0" applyFont="1" applyFill="1" applyBorder="1" applyAlignment="1">
      <alignment horizontal="right" vertical="center"/>
    </xf>
    <xf numFmtId="176" fontId="12" fillId="0" borderId="2" xfId="0" applyNumberFormat="1" applyFont="1" applyFill="1" applyBorder="1" applyAlignment="1">
      <alignment horizontal="center" vertical="center" shrinkToFit="1"/>
    </xf>
    <xf numFmtId="176" fontId="12" fillId="0" borderId="4" xfId="0" applyNumberFormat="1" applyFont="1" applyFill="1" applyBorder="1" applyAlignment="1">
      <alignment horizontal="center" vertical="center" shrinkToFit="1"/>
    </xf>
    <xf numFmtId="176" fontId="12" fillId="0" borderId="3" xfId="0" applyNumberFormat="1" applyFont="1" applyFill="1" applyBorder="1" applyAlignment="1">
      <alignment horizontal="center" vertical="center" shrinkToFit="1"/>
    </xf>
    <xf numFmtId="0" fontId="12" fillId="0" borderId="3" xfId="0" applyFont="1" applyFill="1" applyBorder="1" applyAlignment="1">
      <alignment horizontal="center" vertical="center"/>
    </xf>
    <xf numFmtId="0" fontId="12" fillId="0" borderId="0" xfId="0" applyFont="1" applyFill="1" applyAlignment="1">
      <alignment vertical="center" shrinkToFit="1"/>
    </xf>
    <xf numFmtId="176" fontId="12" fillId="0" borderId="2" xfId="0" applyNumberFormat="1" applyFont="1" applyFill="1" applyBorder="1" applyAlignment="1">
      <alignment horizontal="center" vertical="center"/>
    </xf>
    <xf numFmtId="176" fontId="12" fillId="0" borderId="3" xfId="0" applyNumberFormat="1" applyFont="1" applyFill="1" applyBorder="1" applyAlignment="1">
      <alignment horizontal="center" vertical="center"/>
    </xf>
    <xf numFmtId="176" fontId="12" fillId="0" borderId="4" xfId="0" applyNumberFormat="1" applyFont="1" applyFill="1" applyBorder="1" applyAlignment="1">
      <alignment horizontal="center" vertical="center"/>
    </xf>
    <xf numFmtId="0" fontId="12" fillId="0" borderId="0" xfId="0" applyFont="1" applyFill="1" applyAlignment="1">
      <alignment horizontal="center" vertical="center"/>
    </xf>
    <xf numFmtId="0" fontId="12" fillId="0" borderId="0" xfId="0" applyFont="1" applyFill="1" applyAlignment="1">
      <alignment horizontal="right" vertical="center" shrinkToFit="1"/>
    </xf>
    <xf numFmtId="0" fontId="12" fillId="0" borderId="5" xfId="0" applyFont="1" applyFill="1" applyBorder="1" applyAlignment="1">
      <alignment horizontal="right" vertical="center" shrinkToFit="1"/>
    </xf>
    <xf numFmtId="0" fontId="12" fillId="0" borderId="10" xfId="0" applyFont="1" applyFill="1" applyBorder="1" applyAlignment="1">
      <alignment horizontal="right" vertical="center" shrinkToFit="1"/>
    </xf>
    <xf numFmtId="0" fontId="12" fillId="0" borderId="2" xfId="0" applyFont="1" applyFill="1" applyBorder="1" applyAlignment="1">
      <alignment vertical="center" shrinkToFit="1"/>
    </xf>
    <xf numFmtId="0" fontId="12" fillId="0" borderId="3" xfId="0" applyFont="1" applyFill="1" applyBorder="1" applyAlignment="1">
      <alignment vertical="center" shrinkToFit="1"/>
    </xf>
    <xf numFmtId="49" fontId="11" fillId="0" borderId="2" xfId="2" applyNumberFormat="1" applyFill="1" applyBorder="1" applyAlignment="1">
      <alignment vertical="center" shrinkToFit="1"/>
    </xf>
    <xf numFmtId="49" fontId="12" fillId="0" borderId="3" xfId="0" applyNumberFormat="1" applyFont="1" applyFill="1" applyBorder="1" applyAlignment="1">
      <alignment vertical="center" shrinkToFit="1"/>
    </xf>
    <xf numFmtId="49" fontId="12" fillId="0" borderId="4" xfId="0" applyNumberFormat="1" applyFont="1" applyFill="1" applyBorder="1" applyAlignment="1">
      <alignment vertical="center" shrinkToFit="1"/>
    </xf>
    <xf numFmtId="49" fontId="12" fillId="0" borderId="2" xfId="1" applyNumberFormat="1" applyFont="1" applyFill="1" applyBorder="1" applyAlignment="1">
      <alignment horizontal="center" vertical="center" shrinkToFit="1"/>
    </xf>
    <xf numFmtId="49" fontId="12" fillId="0" borderId="3" xfId="1" applyNumberFormat="1" applyFont="1" applyFill="1" applyBorder="1" applyAlignment="1">
      <alignment horizontal="center" vertical="center" shrinkToFit="1"/>
    </xf>
    <xf numFmtId="49" fontId="12" fillId="0" borderId="4" xfId="1" applyNumberFormat="1" applyFont="1" applyFill="1" applyBorder="1" applyAlignment="1">
      <alignment horizontal="center" vertical="center" shrinkToFit="1"/>
    </xf>
    <xf numFmtId="0" fontId="12" fillId="0" borderId="37" xfId="0" applyFont="1" applyBorder="1" applyAlignment="1">
      <alignment vertical="center" shrinkToFit="1"/>
    </xf>
    <xf numFmtId="0" fontId="12" fillId="0" borderId="39" xfId="0" applyFont="1" applyBorder="1" applyAlignment="1">
      <alignment vertical="center" shrinkToFit="1"/>
    </xf>
    <xf numFmtId="0" fontId="12" fillId="0" borderId="38" xfId="0" applyFont="1" applyBorder="1" applyAlignment="1">
      <alignment vertical="center" shrinkToFi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40" xfId="0" applyFont="1" applyBorder="1" applyAlignment="1">
      <alignment vertical="center" shrinkToFit="1"/>
    </xf>
    <xf numFmtId="0" fontId="12" fillId="0" borderId="41" xfId="0" applyFont="1" applyBorder="1" applyAlignment="1">
      <alignment vertical="center" shrinkToFit="1"/>
    </xf>
    <xf numFmtId="0" fontId="12" fillId="0" borderId="42" xfId="0" applyFont="1" applyBorder="1" applyAlignment="1">
      <alignment vertical="center" shrinkToFit="1"/>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18" xfId="0" applyFont="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12" fillId="0" borderId="42"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9" xfId="0" applyFont="1" applyBorder="1" applyAlignment="1">
      <alignment horizontal="left" vertical="center" shrinkToFit="1"/>
    </xf>
    <xf numFmtId="0" fontId="12" fillId="0" borderId="20" xfId="0" applyFont="1" applyBorder="1" applyAlignment="1">
      <alignment horizontal="left" vertical="center" shrinkToFit="1"/>
    </xf>
    <xf numFmtId="0" fontId="12" fillId="0" borderId="18" xfId="0" applyFont="1" applyBorder="1" applyAlignment="1">
      <alignment horizontal="left" vertical="center" shrinkToFit="1"/>
    </xf>
    <xf numFmtId="0" fontId="12" fillId="0" borderId="40" xfId="0" applyFont="1" applyBorder="1" applyAlignment="1">
      <alignment horizontal="left" vertical="center" shrinkToFit="1"/>
    </xf>
    <xf numFmtId="0" fontId="12" fillId="0" borderId="41" xfId="0" applyFont="1" applyBorder="1" applyAlignment="1">
      <alignment horizontal="left" vertical="center" shrinkToFit="1"/>
    </xf>
    <xf numFmtId="0" fontId="12" fillId="0" borderId="42" xfId="0" applyFont="1" applyBorder="1" applyAlignment="1">
      <alignment horizontal="left" vertical="center" shrinkToFit="1"/>
    </xf>
    <xf numFmtId="0" fontId="13" fillId="0" borderId="0" xfId="0" applyFont="1" applyAlignment="1">
      <alignment horizontal="center" vertical="center"/>
    </xf>
    <xf numFmtId="0" fontId="12" fillId="0" borderId="37" xfId="0" applyFont="1" applyBorder="1" applyAlignment="1">
      <alignment horizontal="left" vertical="center" shrinkToFit="1"/>
    </xf>
    <xf numFmtId="0" fontId="12" fillId="0" borderId="39" xfId="0" applyFont="1" applyBorder="1" applyAlignment="1">
      <alignment horizontal="left" vertical="center" shrinkToFit="1"/>
    </xf>
    <xf numFmtId="0" fontId="12" fillId="0" borderId="38" xfId="0" applyFont="1" applyBorder="1" applyAlignment="1">
      <alignment horizontal="left" vertical="center" shrinkToFi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37" xfId="0" applyFont="1" applyBorder="1" applyAlignment="1">
      <alignment horizontal="center" vertical="center"/>
    </xf>
    <xf numFmtId="0" fontId="12" fillId="0" borderId="39" xfId="0" applyFont="1" applyBorder="1" applyAlignment="1">
      <alignment horizontal="center" vertical="center"/>
    </xf>
    <xf numFmtId="0" fontId="12" fillId="0" borderId="38" xfId="0" applyFont="1" applyBorder="1" applyAlignment="1">
      <alignment horizontal="center" vertical="center"/>
    </xf>
    <xf numFmtId="0" fontId="13" fillId="0" borderId="7" xfId="0" applyFont="1" applyBorder="1" applyAlignment="1">
      <alignment vertical="center" wrapText="1" shrinkToFit="1"/>
    </xf>
    <xf numFmtId="0" fontId="13" fillId="0" borderId="8" xfId="0" applyFont="1" applyBorder="1" applyAlignment="1">
      <alignment vertical="center" shrinkToFit="1"/>
    </xf>
    <xf numFmtId="0" fontId="13" fillId="0" borderId="9" xfId="0" applyFont="1" applyBorder="1" applyAlignment="1">
      <alignment vertical="center" shrinkToFit="1"/>
    </xf>
    <xf numFmtId="0" fontId="13" fillId="0" borderId="5" xfId="0"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13" fillId="0" borderId="11" xfId="0" applyFont="1" applyBorder="1" applyAlignment="1">
      <alignment vertical="center" shrinkToFit="1"/>
    </xf>
    <xf numFmtId="0" fontId="13" fillId="0" borderId="6" xfId="0" applyFont="1" applyBorder="1" applyAlignment="1">
      <alignment vertical="center" shrinkToFit="1"/>
    </xf>
    <xf numFmtId="0" fontId="13" fillId="0" borderId="12" xfId="0" applyFont="1" applyBorder="1" applyAlignment="1">
      <alignment vertical="center" shrinkToFit="1"/>
    </xf>
    <xf numFmtId="0" fontId="11" fillId="0" borderId="2" xfId="2"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12" fillId="0" borderId="40" xfId="0" applyFont="1" applyBorder="1" applyAlignment="1">
      <alignment horizontal="center" vertical="center" shrinkToFit="1"/>
    </xf>
    <xf numFmtId="0" fontId="12" fillId="0" borderId="41" xfId="0" applyFont="1" applyBorder="1" applyAlignment="1">
      <alignment horizontal="center" vertical="center" shrinkToFit="1"/>
    </xf>
    <xf numFmtId="0" fontId="12" fillId="0" borderId="42"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8" xfId="0" applyFont="1" applyBorder="1" applyAlignment="1">
      <alignment horizontal="center" vertical="center" shrinkToFit="1"/>
    </xf>
    <xf numFmtId="0" fontId="13" fillId="0" borderId="22" xfId="0" applyFont="1" applyBorder="1" applyAlignment="1">
      <alignment horizontal="left" vertical="center" shrinkToFit="1"/>
    </xf>
    <xf numFmtId="0" fontId="13" fillId="0" borderId="21" xfId="0" applyFont="1" applyBorder="1" applyAlignment="1">
      <alignment horizontal="left" vertical="center" shrinkToFit="1"/>
    </xf>
    <xf numFmtId="0" fontId="13" fillId="0" borderId="39" xfId="0" applyFont="1" applyBorder="1" applyAlignment="1">
      <alignment horizontal="left" vertical="center" shrinkToFit="1"/>
    </xf>
    <xf numFmtId="0" fontId="13" fillId="0" borderId="38" xfId="0" applyFont="1" applyBorder="1" applyAlignment="1">
      <alignment horizontal="left" vertical="center" shrinkToFit="1"/>
    </xf>
    <xf numFmtId="0" fontId="13" fillId="0" borderId="6" xfId="0" applyFont="1" applyBorder="1" applyAlignment="1">
      <alignment horizontal="left" vertical="center" wrapText="1" shrinkToFit="1"/>
    </xf>
    <xf numFmtId="0" fontId="13" fillId="0" borderId="6" xfId="0" applyFont="1" applyBorder="1" applyAlignment="1">
      <alignment horizontal="left" vertical="center" shrinkToFit="1"/>
    </xf>
    <xf numFmtId="0" fontId="13" fillId="0" borderId="12" xfId="0" applyFont="1" applyBorder="1" applyAlignment="1">
      <alignment horizontal="left" vertical="center" shrinkToFit="1"/>
    </xf>
    <xf numFmtId="0" fontId="13" fillId="0" borderId="41" xfId="0" applyFont="1" applyBorder="1" applyAlignment="1">
      <alignment horizontal="left" vertical="center" shrinkToFit="1"/>
    </xf>
    <xf numFmtId="0" fontId="13" fillId="0" borderId="42" xfId="0" applyFont="1" applyBorder="1" applyAlignment="1">
      <alignment horizontal="left" vertical="center" shrinkToFit="1"/>
    </xf>
    <xf numFmtId="0" fontId="12" fillId="0" borderId="0" xfId="0" applyFont="1" applyAlignment="1">
      <alignment vertical="center" wrapText="1"/>
    </xf>
    <xf numFmtId="0" fontId="20" fillId="0" borderId="0" xfId="0" applyFont="1" applyAlignment="1">
      <alignment horizontal="center" vertical="center"/>
    </xf>
    <xf numFmtId="0" fontId="8" fillId="0" borderId="7"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Border="1" applyAlignment="1">
      <alignment horizontal="left" vertical="top" shrinkToFit="1"/>
    </xf>
    <xf numFmtId="0" fontId="4" fillId="0" borderId="10" xfId="0" applyFont="1" applyBorder="1" applyAlignment="1">
      <alignment horizontal="left" vertical="top" shrinkToFit="1"/>
    </xf>
    <xf numFmtId="0" fontId="4" fillId="0" borderId="0" xfId="0" applyFont="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12" fillId="0" borderId="37" xfId="0" applyFont="1" applyBorder="1" applyAlignment="1">
      <alignment horizontal="center" vertical="center" shrinkToFit="1"/>
    </xf>
    <xf numFmtId="0" fontId="12" fillId="0" borderId="39" xfId="0" applyFont="1" applyBorder="1" applyAlignment="1">
      <alignment horizontal="center" vertical="center" shrinkToFit="1"/>
    </xf>
    <xf numFmtId="0" fontId="12" fillId="0" borderId="38" xfId="0" applyFont="1" applyBorder="1" applyAlignment="1">
      <alignment horizontal="center" vertical="center" shrinkToFit="1"/>
    </xf>
    <xf numFmtId="0" fontId="13" fillId="0" borderId="19" xfId="0" applyFont="1" applyBorder="1" applyAlignment="1">
      <alignment vertical="center" shrinkToFit="1"/>
    </xf>
    <xf numFmtId="0" fontId="13" fillId="0" borderId="20" xfId="0" applyFont="1" applyBorder="1" applyAlignment="1">
      <alignment vertical="center" shrinkToFit="1"/>
    </xf>
    <xf numFmtId="0" fontId="13" fillId="0" borderId="18" xfId="0" applyFont="1" applyBorder="1" applyAlignment="1">
      <alignment vertical="center" shrinkToFit="1"/>
    </xf>
    <xf numFmtId="0" fontId="23" fillId="0" borderId="48" xfId="0" applyFont="1" applyBorder="1" applyAlignment="1">
      <alignment vertical="center" wrapText="1"/>
    </xf>
    <xf numFmtId="0" fontId="23" fillId="0" borderId="49" xfId="0" applyFont="1" applyBorder="1" applyAlignment="1">
      <alignment vertical="center" wrapText="1"/>
    </xf>
    <xf numFmtId="0" fontId="22" fillId="0" borderId="48" xfId="0" applyFont="1" applyBorder="1" applyAlignment="1">
      <alignment vertical="center" wrapText="1"/>
    </xf>
    <xf numFmtId="0" fontId="22" fillId="0" borderId="32" xfId="0" applyFont="1" applyBorder="1" applyAlignment="1">
      <alignment vertical="center" wrapText="1"/>
    </xf>
    <xf numFmtId="0" fontId="13" fillId="0" borderId="39" xfId="0" applyFont="1" applyBorder="1" applyAlignment="1">
      <alignment vertical="center" wrapText="1" shrinkToFit="1"/>
    </xf>
    <xf numFmtId="0" fontId="13" fillId="0" borderId="39" xfId="0" applyFont="1" applyBorder="1" applyAlignment="1">
      <alignment vertical="center" shrinkToFit="1"/>
    </xf>
    <xf numFmtId="0" fontId="13" fillId="0" borderId="38" xfId="0" applyFont="1" applyBorder="1" applyAlignment="1">
      <alignment vertical="center" shrinkToFit="1"/>
    </xf>
    <xf numFmtId="0" fontId="23" fillId="0" borderId="32" xfId="0" applyFont="1" applyBorder="1" applyAlignment="1">
      <alignment vertical="center" wrapText="1"/>
    </xf>
    <xf numFmtId="0" fontId="13" fillId="0" borderId="8" xfId="0" applyFont="1" applyBorder="1" applyAlignment="1">
      <alignment horizontal="left" vertical="center" shrinkToFit="1"/>
    </xf>
    <xf numFmtId="0" fontId="13" fillId="0" borderId="9" xfId="0" applyFont="1" applyBorder="1" applyAlignment="1">
      <alignment horizontal="left" vertical="center" shrinkToFit="1"/>
    </xf>
    <xf numFmtId="0" fontId="13" fillId="0" borderId="20" xfId="0" applyFont="1" applyBorder="1" applyAlignment="1">
      <alignment horizontal="left" vertical="center" shrinkToFit="1"/>
    </xf>
    <xf numFmtId="0" fontId="13" fillId="0" borderId="18" xfId="0" applyFont="1" applyBorder="1" applyAlignment="1">
      <alignment horizontal="left" vertical="center" shrinkToFi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8" xfId="0" applyFont="1" applyBorder="1" applyAlignment="1">
      <alignment horizontal="left" vertical="center" wrapText="1" shrinkToFit="1"/>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19" fillId="0" borderId="15" xfId="0" applyFont="1" applyBorder="1" applyAlignment="1">
      <alignment horizontal="center" vertical="center" wrapText="1"/>
    </xf>
    <xf numFmtId="0" fontId="19" fillId="0" borderId="13" xfId="0" applyFont="1" applyBorder="1" applyAlignment="1">
      <alignment horizontal="center" vertical="center"/>
    </xf>
    <xf numFmtId="0" fontId="18" fillId="0" borderId="9" xfId="0" applyFont="1" applyBorder="1" applyAlignment="1">
      <alignment horizontal="center" vertical="center"/>
    </xf>
    <xf numFmtId="0" fontId="18" fillId="0" borderId="12" xfId="0" applyFont="1" applyBorder="1" applyAlignment="1">
      <alignment horizontal="center" vertical="center"/>
    </xf>
    <xf numFmtId="0" fontId="5" fillId="0" borderId="0" xfId="0" applyFont="1" applyAlignment="1">
      <alignment horizontal="right" vertical="center"/>
    </xf>
    <xf numFmtId="0" fontId="17" fillId="0" borderId="0" xfId="0" applyFont="1" applyAlignment="1">
      <alignment horizontal="center" vertical="center"/>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15" xfId="0" applyFont="1" applyBorder="1" applyAlignment="1">
      <alignment horizontal="center" vertical="center"/>
    </xf>
    <xf numFmtId="0" fontId="8" fillId="0" borderId="13" xfId="0" applyFont="1" applyBorder="1" applyAlignment="1">
      <alignment horizontal="center" vertical="center"/>
    </xf>
    <xf numFmtId="0" fontId="18" fillId="0" borderId="8" xfId="0" applyFont="1" applyBorder="1" applyAlignment="1">
      <alignment horizontal="center" vertical="center" wrapText="1"/>
    </xf>
    <xf numFmtId="0" fontId="18" fillId="0" borderId="6" xfId="0" applyFont="1" applyBorder="1" applyAlignment="1">
      <alignment horizontal="center" vertical="center"/>
    </xf>
    <xf numFmtId="0" fontId="18" fillId="0" borderId="7" xfId="0" applyFont="1" applyBorder="1" applyAlignment="1">
      <alignment horizontal="center" vertical="center" wrapText="1"/>
    </xf>
    <xf numFmtId="0" fontId="18" fillId="0" borderId="11" xfId="0" applyFont="1" applyBorder="1" applyAlignment="1">
      <alignment horizontal="center" vertical="center"/>
    </xf>
    <xf numFmtId="0" fontId="8" fillId="0" borderId="14" xfId="0" applyFont="1" applyBorder="1" applyAlignment="1">
      <alignment horizontal="center" vertical="center"/>
    </xf>
    <xf numFmtId="0" fontId="2"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6" xfId="0" applyFont="1" applyBorder="1">
      <alignment vertical="center"/>
    </xf>
    <xf numFmtId="0" fontId="1" fillId="0" borderId="16" xfId="0" applyFont="1" applyBorder="1" applyAlignment="1">
      <alignment vertical="top" wrapText="1"/>
    </xf>
    <xf numFmtId="0" fontId="4" fillId="0" borderId="22" xfId="0" applyFont="1" applyBorder="1" applyAlignment="1">
      <alignment vertical="top" wrapText="1"/>
    </xf>
    <xf numFmtId="0" fontId="4" fillId="0" borderId="21" xfId="0" applyFont="1" applyBorder="1" applyAlignment="1">
      <alignment vertical="top" wrapText="1"/>
    </xf>
    <xf numFmtId="0" fontId="4" fillId="0" borderId="5" xfId="0" applyFont="1" applyBorder="1" applyAlignment="1">
      <alignment vertical="top" wrapText="1"/>
    </xf>
    <xf numFmtId="0" fontId="4" fillId="0" borderId="0" xfId="0" applyFont="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25" fillId="0" borderId="0" xfId="0" applyFont="1" applyAlignment="1">
      <alignment horizontal="center" vertical="center"/>
    </xf>
    <xf numFmtId="0" fontId="1"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3" fillId="0" borderId="7" xfId="0" applyFont="1" applyBorder="1" applyAlignment="1">
      <alignment vertical="top" wrapText="1" shrinkToFit="1"/>
    </xf>
    <xf numFmtId="0" fontId="1" fillId="0" borderId="7" xfId="0" applyFont="1" applyBorder="1" applyAlignment="1">
      <alignment vertical="top" wrapText="1" shrinkToFit="1"/>
    </xf>
    <xf numFmtId="0" fontId="4" fillId="0" borderId="19"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26" fillId="0" borderId="3" xfId="2" applyFont="1" applyBorder="1" applyAlignment="1">
      <alignment horizontal="center" vertical="center" shrinkToFit="1"/>
    </xf>
    <xf numFmtId="0" fontId="26" fillId="0" borderId="4" xfId="2" applyFont="1" applyBorder="1" applyAlignment="1">
      <alignment horizontal="center" vertical="center" shrinkToFi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19" xfId="0" applyFont="1" applyBorder="1" applyAlignment="1">
      <alignment vertical="center" wrapText="1"/>
    </xf>
    <xf numFmtId="0" fontId="4" fillId="0" borderId="20" xfId="0" applyFont="1" applyBorder="1" applyAlignment="1">
      <alignment vertical="center" wrapText="1"/>
    </xf>
    <xf numFmtId="0" fontId="1" fillId="0" borderId="20" xfId="0" applyFont="1" applyBorder="1" applyAlignment="1">
      <alignment vertical="top" wrapText="1" shrinkToFit="1"/>
    </xf>
    <xf numFmtId="0" fontId="1" fillId="0" borderId="19" xfId="0" applyFont="1" applyBorder="1" applyAlignment="1">
      <alignment vertical="top" wrapText="1" shrinkToFit="1"/>
    </xf>
    <xf numFmtId="0" fontId="2" fillId="0" borderId="19" xfId="0" applyFont="1" applyBorder="1" applyAlignment="1">
      <alignment vertical="top" wrapText="1" shrinkToFit="1"/>
    </xf>
    <xf numFmtId="0" fontId="4" fillId="0" borderId="17" xfId="0" applyFont="1" applyBorder="1">
      <alignment vertical="center"/>
    </xf>
    <xf numFmtId="0" fontId="0" fillId="0" borderId="18" xfId="0" applyFont="1" applyBorder="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0" xfId="0" applyFont="1" applyAlignment="1">
      <alignment horizontal="right" vertical="center"/>
    </xf>
    <xf numFmtId="0" fontId="8" fillId="0" borderId="0" xfId="0" applyFont="1" applyAlignment="1">
      <alignment horizontal="center" vertical="center"/>
    </xf>
    <xf numFmtId="0" fontId="8" fillId="0" borderId="7" xfId="0" applyFont="1" applyBorder="1" applyAlignment="1">
      <alignment vertical="top"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11" fillId="0" borderId="2" xfId="2" applyBorder="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du@fun.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un.ac.jp/news/1691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un.ac.jp/news/16911"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1920-B7C6-F240-BB96-9FEF0456A18C}">
  <sheetPr>
    <pageSetUpPr fitToPage="1"/>
  </sheetPr>
  <dimension ref="A1:O45"/>
  <sheetViews>
    <sheetView view="pageBreakPreview" zoomScaleNormal="100" zoomScaleSheetLayoutView="100" workbookViewId="0">
      <selection activeCell="B32" sqref="B32:N32"/>
    </sheetView>
  </sheetViews>
  <sheetFormatPr defaultColWidth="9" defaultRowHeight="18.75" customHeight="1" x14ac:dyDescent="0.15"/>
  <cols>
    <col min="1" max="1" width="3.375" style="101" customWidth="1"/>
    <col min="2" max="2" width="11.125" style="101" customWidth="1"/>
    <col min="3" max="8" width="6.625" style="101" customWidth="1"/>
    <col min="9" max="9" width="3.375" style="101" customWidth="1"/>
    <col min="10" max="10" width="10" style="101" customWidth="1"/>
    <col min="11" max="11" width="3.375" style="101" customWidth="1"/>
    <col min="12" max="12" width="7.625" style="101" customWidth="1"/>
    <col min="13" max="13" width="3.375" style="101" customWidth="1"/>
    <col min="14" max="14" width="4.5" style="101" customWidth="1"/>
    <col min="15" max="15" width="9" style="103"/>
    <col min="16" max="16384" width="9" style="104"/>
  </cols>
  <sheetData>
    <row r="1" spans="1:15" ht="24" customHeight="1" x14ac:dyDescent="0.15">
      <c r="M1" s="131" t="s">
        <v>25</v>
      </c>
      <c r="N1" s="131"/>
    </row>
    <row r="2" spans="1:15" ht="24" customHeight="1" x14ac:dyDescent="0.15">
      <c r="A2" s="132" t="s">
        <v>82</v>
      </c>
      <c r="B2" s="132"/>
      <c r="C2" s="132"/>
      <c r="D2" s="132"/>
      <c r="E2" s="132"/>
      <c r="F2" s="132"/>
      <c r="G2" s="132"/>
      <c r="H2" s="132"/>
      <c r="I2" s="132"/>
      <c r="J2" s="132"/>
      <c r="K2" s="132"/>
      <c r="L2" s="132"/>
      <c r="M2" s="132"/>
      <c r="N2" s="132"/>
    </row>
    <row r="3" spans="1:15" ht="24" customHeight="1" x14ac:dyDescent="0.15"/>
    <row r="4" spans="1:15" ht="24" customHeight="1" x14ac:dyDescent="0.15">
      <c r="A4" s="101" t="s">
        <v>6</v>
      </c>
      <c r="B4" s="101" t="s">
        <v>17</v>
      </c>
      <c r="C4" s="133" t="s">
        <v>148</v>
      </c>
      <c r="D4" s="129"/>
      <c r="E4" s="129"/>
      <c r="F4" s="129"/>
      <c r="G4" s="129"/>
      <c r="H4" s="129"/>
      <c r="I4" s="129"/>
      <c r="J4" s="129"/>
      <c r="K4" s="129"/>
      <c r="L4" s="129"/>
      <c r="M4" s="129"/>
      <c r="N4" s="130"/>
      <c r="O4" s="103" t="str">
        <f>IF(C4="","入力してください","")</f>
        <v/>
      </c>
    </row>
    <row r="5" spans="1:15" ht="7.5" customHeight="1" x14ac:dyDescent="0.15">
      <c r="E5" s="105"/>
      <c r="F5" s="106"/>
      <c r="G5" s="106"/>
      <c r="H5" s="106"/>
      <c r="I5" s="106"/>
      <c r="J5" s="106"/>
      <c r="K5" s="106"/>
      <c r="L5" s="106"/>
      <c r="M5" s="106"/>
      <c r="N5" s="106"/>
    </row>
    <row r="6" spans="1:15" ht="24" customHeight="1" x14ac:dyDescent="0.15">
      <c r="A6" s="101" t="s">
        <v>10</v>
      </c>
      <c r="B6" s="101" t="s">
        <v>49</v>
      </c>
      <c r="D6" s="133" t="s">
        <v>149</v>
      </c>
      <c r="E6" s="129"/>
      <c r="F6" s="129"/>
      <c r="G6" s="129"/>
      <c r="H6" s="130"/>
      <c r="I6" s="101" t="s">
        <v>85</v>
      </c>
      <c r="J6" s="106" t="s">
        <v>86</v>
      </c>
      <c r="K6" s="133" t="s">
        <v>176</v>
      </c>
      <c r="L6" s="129"/>
      <c r="M6" s="129"/>
      <c r="N6" s="130"/>
      <c r="O6" s="103" t="str">
        <f>IF(D6="","入力してください","")</f>
        <v/>
      </c>
    </row>
    <row r="7" spans="1:15" ht="7.5" customHeight="1" x14ac:dyDescent="0.15">
      <c r="E7" s="105"/>
      <c r="F7" s="106"/>
      <c r="G7" s="106"/>
      <c r="H7" s="106"/>
      <c r="I7" s="106"/>
      <c r="J7" s="106"/>
      <c r="K7" s="106"/>
      <c r="L7" s="106"/>
      <c r="M7" s="106"/>
      <c r="N7" s="106"/>
    </row>
    <row r="8" spans="1:15" ht="24" customHeight="1" x14ac:dyDescent="0.15">
      <c r="A8" s="101" t="s">
        <v>14</v>
      </c>
      <c r="B8" s="101" t="s">
        <v>46</v>
      </c>
      <c r="C8" s="128" t="s">
        <v>150</v>
      </c>
      <c r="D8" s="129"/>
      <c r="E8" s="129"/>
      <c r="F8" s="129"/>
      <c r="G8" s="129"/>
      <c r="H8" s="129"/>
      <c r="I8" s="129"/>
      <c r="J8" s="129"/>
      <c r="K8" s="129"/>
      <c r="L8" s="129"/>
      <c r="M8" s="129"/>
      <c r="N8" s="130"/>
      <c r="O8" s="103" t="str">
        <f>IF(C8="","入力してください","")</f>
        <v/>
      </c>
    </row>
    <row r="9" spans="1:15" ht="7.5" customHeight="1" x14ac:dyDescent="0.15">
      <c r="E9" s="105"/>
      <c r="F9" s="106"/>
      <c r="G9" s="106"/>
      <c r="H9" s="106"/>
      <c r="I9" s="106"/>
      <c r="J9" s="106"/>
      <c r="K9" s="106"/>
      <c r="L9" s="106"/>
      <c r="M9" s="106"/>
      <c r="N9" s="106"/>
    </row>
    <row r="10" spans="1:15" ht="24" customHeight="1" x14ac:dyDescent="0.15">
      <c r="A10" s="101" t="s">
        <v>12</v>
      </c>
      <c r="B10" s="101" t="s">
        <v>84</v>
      </c>
      <c r="E10" s="133" t="s">
        <v>190</v>
      </c>
      <c r="F10" s="129"/>
      <c r="G10" s="129"/>
      <c r="H10" s="129"/>
      <c r="I10" s="129"/>
      <c r="J10" s="129"/>
      <c r="K10" s="129"/>
      <c r="L10" s="129"/>
      <c r="M10" s="129"/>
      <c r="N10" s="130"/>
      <c r="O10" s="103" t="str">
        <f>IF(E10="","入力してください","")</f>
        <v/>
      </c>
    </row>
    <row r="11" spans="1:15" ht="7.5" customHeight="1" x14ac:dyDescent="0.15">
      <c r="B11" s="105"/>
      <c r="C11" s="105"/>
      <c r="D11" s="105"/>
      <c r="E11" s="105"/>
      <c r="F11" s="106"/>
      <c r="G11" s="106"/>
      <c r="H11" s="106"/>
      <c r="I11" s="106"/>
      <c r="J11" s="106"/>
      <c r="K11" s="106"/>
      <c r="L11" s="106"/>
      <c r="M11" s="106"/>
      <c r="N11" s="106"/>
    </row>
    <row r="12" spans="1:15" ht="24" customHeight="1" x14ac:dyDescent="0.15">
      <c r="A12" s="101" t="s">
        <v>15</v>
      </c>
      <c r="B12" s="105" t="s">
        <v>56</v>
      </c>
      <c r="C12" s="105"/>
      <c r="D12" s="105"/>
      <c r="E12" s="134" t="s">
        <v>182</v>
      </c>
      <c r="F12" s="135"/>
      <c r="G12" s="101" t="s">
        <v>95</v>
      </c>
      <c r="H12" s="101" t="s">
        <v>96</v>
      </c>
      <c r="N12" s="107" t="s">
        <v>151</v>
      </c>
      <c r="O12" s="103" t="str">
        <f>IF(E12="","入力してください","")</f>
        <v/>
      </c>
    </row>
    <row r="13" spans="1:15" ht="7.5" customHeight="1" x14ac:dyDescent="0.15">
      <c r="B13" s="105"/>
      <c r="C13" s="105"/>
      <c r="D13" s="105"/>
      <c r="E13" s="105"/>
      <c r="F13" s="106"/>
      <c r="G13" s="106"/>
      <c r="H13" s="106"/>
      <c r="I13" s="106"/>
      <c r="J13" s="106"/>
      <c r="K13" s="106"/>
      <c r="L13" s="106"/>
      <c r="M13" s="106"/>
      <c r="N13" s="106"/>
    </row>
    <row r="14" spans="1:15" ht="24" customHeight="1" x14ac:dyDescent="0.15">
      <c r="A14" s="101" t="s">
        <v>52</v>
      </c>
      <c r="B14" s="101" t="s">
        <v>0</v>
      </c>
      <c r="C14" s="131" t="s">
        <v>5</v>
      </c>
      <c r="D14" s="136"/>
      <c r="E14" s="137">
        <v>69</v>
      </c>
      <c r="F14" s="138"/>
      <c r="G14" s="108" t="s">
        <v>8</v>
      </c>
      <c r="I14" s="131" t="s">
        <v>9</v>
      </c>
      <c r="J14" s="136"/>
      <c r="K14" s="137">
        <v>6</v>
      </c>
      <c r="L14" s="139"/>
      <c r="M14" s="138"/>
      <c r="N14" s="102" t="s">
        <v>8</v>
      </c>
      <c r="O14" s="103" t="str">
        <f>IF(OR(E14="",K14=""),"入力してください","")</f>
        <v/>
      </c>
    </row>
    <row r="15" spans="1:15" ht="7.5" customHeight="1" x14ac:dyDescent="0.15">
      <c r="M15" s="102"/>
      <c r="N15" s="102"/>
    </row>
    <row r="16" spans="1:15" ht="24" customHeight="1" x14ac:dyDescent="0.15">
      <c r="A16" s="101" t="s">
        <v>57</v>
      </c>
      <c r="B16" s="101" t="s">
        <v>67</v>
      </c>
      <c r="K16" s="134">
        <v>11</v>
      </c>
      <c r="L16" s="140"/>
      <c r="M16" s="135"/>
      <c r="N16" s="102" t="s">
        <v>8</v>
      </c>
      <c r="O16" s="103" t="str">
        <f>IF(K16="","入力してください","")</f>
        <v/>
      </c>
    </row>
    <row r="17" spans="1:15" ht="7.5" customHeight="1" x14ac:dyDescent="0.15">
      <c r="M17" s="102"/>
      <c r="N17" s="102"/>
    </row>
    <row r="18" spans="1:15" ht="24" customHeight="1" x14ac:dyDescent="0.15">
      <c r="A18" s="101" t="s">
        <v>24</v>
      </c>
      <c r="B18" s="101" t="s">
        <v>76</v>
      </c>
      <c r="E18" s="137">
        <v>240</v>
      </c>
      <c r="F18" s="138"/>
      <c r="G18" s="109" t="s">
        <v>22</v>
      </c>
      <c r="K18" s="141"/>
      <c r="L18" s="141"/>
      <c r="M18" s="141"/>
      <c r="N18" s="141"/>
      <c r="O18" s="103" t="str">
        <f>IF(E18="","入力してください","")</f>
        <v/>
      </c>
    </row>
    <row r="19" spans="1:15" ht="7.5" customHeight="1" x14ac:dyDescent="0.15">
      <c r="E19" s="110"/>
      <c r="L19" s="111"/>
      <c r="M19" s="111"/>
      <c r="N19" s="102"/>
    </row>
    <row r="20" spans="1:15" ht="24" customHeight="1" x14ac:dyDescent="0.15">
      <c r="A20" s="101" t="s">
        <v>75</v>
      </c>
      <c r="B20" s="101" t="s">
        <v>77</v>
      </c>
      <c r="E20" s="110"/>
      <c r="H20" s="101" t="s">
        <v>51</v>
      </c>
      <c r="J20" s="142">
        <v>1088</v>
      </c>
      <c r="K20" s="143"/>
      <c r="L20" s="144"/>
      <c r="M20" s="111" t="s">
        <v>8</v>
      </c>
      <c r="N20" s="102"/>
      <c r="O20" s="103" t="str">
        <f>IF(J20="","入力してください","")</f>
        <v/>
      </c>
    </row>
    <row r="21" spans="1:15" ht="7.5" customHeight="1" x14ac:dyDescent="0.15">
      <c r="E21" s="110"/>
      <c r="L21" s="111"/>
      <c r="M21" s="111"/>
      <c r="N21" s="102"/>
    </row>
    <row r="22" spans="1:15" ht="24" customHeight="1" x14ac:dyDescent="0.15">
      <c r="B22" s="111" t="s">
        <v>18</v>
      </c>
      <c r="C22" s="137">
        <v>288</v>
      </c>
      <c r="D22" s="138"/>
      <c r="E22" s="110" t="s">
        <v>8</v>
      </c>
      <c r="G22" s="145" t="s">
        <v>19</v>
      </c>
      <c r="H22" s="145"/>
      <c r="I22" s="137">
        <v>225</v>
      </c>
      <c r="J22" s="138"/>
      <c r="K22" s="101" t="s">
        <v>8</v>
      </c>
      <c r="M22" s="111"/>
      <c r="N22" s="102"/>
    </row>
    <row r="23" spans="1:15" ht="7.5" customHeight="1" x14ac:dyDescent="0.15">
      <c r="B23" s="111"/>
      <c r="C23" s="112"/>
      <c r="D23" s="112"/>
      <c r="E23" s="110"/>
      <c r="G23" s="111"/>
      <c r="H23" s="111"/>
      <c r="I23" s="112"/>
      <c r="J23" s="112"/>
      <c r="M23" s="111"/>
      <c r="N23" s="102"/>
    </row>
    <row r="24" spans="1:15" ht="24" customHeight="1" x14ac:dyDescent="0.15">
      <c r="B24" s="111" t="s">
        <v>20</v>
      </c>
      <c r="C24" s="137">
        <v>269</v>
      </c>
      <c r="D24" s="138"/>
      <c r="E24" s="110" t="s">
        <v>8</v>
      </c>
      <c r="G24" s="145" t="s">
        <v>21</v>
      </c>
      <c r="H24" s="145"/>
      <c r="I24" s="137">
        <v>306</v>
      </c>
      <c r="J24" s="138"/>
      <c r="K24" s="101" t="s">
        <v>8</v>
      </c>
      <c r="M24" s="111"/>
      <c r="N24" s="102"/>
    </row>
    <row r="25" spans="1:15" ht="7.5" customHeight="1" x14ac:dyDescent="0.15">
      <c r="B25" s="111"/>
      <c r="C25" s="112"/>
      <c r="D25" s="112"/>
      <c r="E25" s="110"/>
      <c r="G25" s="111"/>
      <c r="H25" s="111"/>
      <c r="I25" s="112"/>
      <c r="J25" s="112"/>
      <c r="M25" s="111"/>
      <c r="N25" s="102"/>
    </row>
    <row r="26" spans="1:15" ht="24" customHeight="1" x14ac:dyDescent="0.15">
      <c r="B26" s="111" t="s">
        <v>47</v>
      </c>
      <c r="C26" s="137"/>
      <c r="D26" s="138"/>
      <c r="E26" s="110" t="s">
        <v>8</v>
      </c>
      <c r="G26" s="145" t="s">
        <v>48</v>
      </c>
      <c r="H26" s="145"/>
      <c r="I26" s="137"/>
      <c r="J26" s="138"/>
      <c r="K26" s="101" t="s">
        <v>8</v>
      </c>
      <c r="M26" s="111"/>
      <c r="N26" s="102"/>
    </row>
    <row r="27" spans="1:15" ht="7.5" customHeight="1" x14ac:dyDescent="0.15">
      <c r="M27" s="113"/>
      <c r="N27" s="113"/>
    </row>
    <row r="28" spans="1:15" ht="24" customHeight="1" x14ac:dyDescent="0.15">
      <c r="A28" s="101" t="s">
        <v>50</v>
      </c>
      <c r="B28" s="101" t="s">
        <v>74</v>
      </c>
      <c r="G28" s="106"/>
      <c r="H28" s="106"/>
      <c r="I28" s="106"/>
      <c r="J28" s="114"/>
      <c r="K28" s="114"/>
      <c r="L28" s="114"/>
      <c r="M28" s="114"/>
      <c r="N28" s="114"/>
    </row>
    <row r="29" spans="1:15" s="101" customFormat="1" ht="24" customHeight="1" x14ac:dyDescent="0.15">
      <c r="B29" s="146" t="s">
        <v>73</v>
      </c>
      <c r="C29" s="146"/>
      <c r="D29" s="133" t="s">
        <v>152</v>
      </c>
      <c r="E29" s="129"/>
      <c r="F29" s="129"/>
      <c r="G29" s="147" t="s">
        <v>23</v>
      </c>
      <c r="H29" s="146"/>
      <c r="I29" s="148"/>
      <c r="J29" s="133" t="s">
        <v>188</v>
      </c>
      <c r="K29" s="129"/>
      <c r="L29" s="129"/>
      <c r="M29" s="129"/>
      <c r="N29" s="130"/>
      <c r="O29" s="103" t="str">
        <f>IF(OR(D29="",J29=""),"入力してください","")</f>
        <v/>
      </c>
    </row>
    <row r="30" spans="1:15" ht="7.5" customHeight="1" x14ac:dyDescent="0.15">
      <c r="M30" s="113"/>
      <c r="N30" s="113"/>
    </row>
    <row r="31" spans="1:15" ht="24" customHeight="1" x14ac:dyDescent="0.15">
      <c r="A31" s="101" t="s">
        <v>53</v>
      </c>
      <c r="B31" s="101" t="s">
        <v>79</v>
      </c>
      <c r="G31" s="114"/>
      <c r="H31" s="114"/>
      <c r="I31" s="114"/>
      <c r="J31" s="114"/>
      <c r="K31" s="114"/>
      <c r="L31" s="114"/>
      <c r="M31" s="114"/>
      <c r="N31" s="114"/>
    </row>
    <row r="32" spans="1:15" ht="24" customHeight="1" x14ac:dyDescent="0.15">
      <c r="B32" s="133" t="s">
        <v>199</v>
      </c>
      <c r="C32" s="129"/>
      <c r="D32" s="129"/>
      <c r="E32" s="129"/>
      <c r="F32" s="129"/>
      <c r="G32" s="129"/>
      <c r="H32" s="129"/>
      <c r="I32" s="129"/>
      <c r="J32" s="129"/>
      <c r="K32" s="129"/>
      <c r="L32" s="129"/>
      <c r="M32" s="129"/>
      <c r="N32" s="130"/>
      <c r="O32" s="103" t="str">
        <f>IF(B32="","入力してください","")</f>
        <v/>
      </c>
    </row>
    <row r="33" spans="1:15" ht="7.5" customHeight="1" x14ac:dyDescent="0.15">
      <c r="B33" s="115"/>
      <c r="C33" s="115"/>
      <c r="D33" s="115"/>
      <c r="E33" s="115"/>
      <c r="F33" s="115"/>
      <c r="G33" s="115"/>
      <c r="H33" s="115"/>
      <c r="I33" s="115"/>
      <c r="J33" s="115"/>
      <c r="K33" s="115"/>
      <c r="L33" s="115"/>
      <c r="M33" s="115"/>
      <c r="N33" s="115"/>
    </row>
    <row r="34" spans="1:15" s="101" customFormat="1" ht="24" customHeight="1" x14ac:dyDescent="0.15">
      <c r="B34" s="146" t="s">
        <v>73</v>
      </c>
      <c r="C34" s="146"/>
      <c r="D34" s="133" t="s">
        <v>152</v>
      </c>
      <c r="E34" s="129"/>
      <c r="F34" s="129"/>
      <c r="G34" s="147" t="s">
        <v>23</v>
      </c>
      <c r="H34" s="146"/>
      <c r="I34" s="148"/>
      <c r="J34" s="133" t="s">
        <v>188</v>
      </c>
      <c r="K34" s="129"/>
      <c r="L34" s="129"/>
      <c r="M34" s="129"/>
      <c r="N34" s="130"/>
      <c r="O34" s="103" t="str">
        <f>IF(OR(D34="",J34=""),"入力してください","")</f>
        <v/>
      </c>
    </row>
    <row r="35" spans="1:15" ht="7.5" customHeight="1" x14ac:dyDescent="0.15">
      <c r="F35" s="106"/>
      <c r="G35" s="106"/>
      <c r="H35" s="106"/>
      <c r="I35" s="106"/>
      <c r="J35" s="106"/>
      <c r="K35" s="106"/>
      <c r="L35" s="106"/>
      <c r="M35" s="106"/>
      <c r="N35" s="106"/>
    </row>
    <row r="36" spans="1:15" ht="24" customHeight="1" x14ac:dyDescent="0.15">
      <c r="A36" s="101" t="s">
        <v>58</v>
      </c>
      <c r="B36" s="101" t="s">
        <v>80</v>
      </c>
      <c r="M36" s="113"/>
      <c r="N36" s="113"/>
    </row>
    <row r="37" spans="1:15" ht="24" customHeight="1" x14ac:dyDescent="0.15">
      <c r="B37" s="133" t="s">
        <v>154</v>
      </c>
      <c r="C37" s="129"/>
      <c r="D37" s="129"/>
      <c r="E37" s="129"/>
      <c r="F37" s="129"/>
      <c r="G37" s="129"/>
      <c r="H37" s="129"/>
      <c r="I37" s="129"/>
      <c r="J37" s="129"/>
      <c r="K37" s="129"/>
      <c r="L37" s="129"/>
      <c r="M37" s="129"/>
      <c r="N37" s="130"/>
      <c r="O37" s="103" t="str">
        <f>IF(B37="","入力してください","")</f>
        <v/>
      </c>
    </row>
    <row r="38" spans="1:15" ht="7.5" customHeight="1" x14ac:dyDescent="0.15">
      <c r="F38" s="106"/>
      <c r="G38" s="106"/>
      <c r="H38" s="106"/>
      <c r="I38" s="106"/>
      <c r="J38" s="106"/>
      <c r="K38" s="106"/>
      <c r="L38" s="106"/>
      <c r="M38" s="106"/>
      <c r="N38" s="106"/>
    </row>
    <row r="39" spans="1:15" s="101" customFormat="1" ht="24" customHeight="1" x14ac:dyDescent="0.15">
      <c r="B39" s="146" t="s">
        <v>73</v>
      </c>
      <c r="C39" s="146"/>
      <c r="D39" s="133" t="s">
        <v>189</v>
      </c>
      <c r="E39" s="129"/>
      <c r="F39" s="129"/>
      <c r="G39" s="147" t="s">
        <v>23</v>
      </c>
      <c r="H39" s="146"/>
      <c r="I39" s="148"/>
      <c r="J39" s="133" t="s">
        <v>153</v>
      </c>
      <c r="K39" s="129"/>
      <c r="L39" s="129"/>
      <c r="M39" s="129"/>
      <c r="N39" s="130"/>
      <c r="O39" s="103" t="str">
        <f>IF(OR(D39="",J39=""),"入力してください","")</f>
        <v/>
      </c>
    </row>
    <row r="40" spans="1:15" ht="7.5" customHeight="1" x14ac:dyDescent="0.15">
      <c r="F40" s="106"/>
      <c r="G40" s="106"/>
      <c r="H40" s="106"/>
      <c r="I40" s="106"/>
      <c r="J40" s="106"/>
      <c r="K40" s="106"/>
      <c r="L40" s="106"/>
      <c r="M40" s="106"/>
      <c r="N40" s="106"/>
    </row>
    <row r="41" spans="1:15" ht="24" customHeight="1" x14ac:dyDescent="0.15">
      <c r="A41" s="101" t="s">
        <v>87</v>
      </c>
      <c r="B41" s="101" t="s">
        <v>66</v>
      </c>
      <c r="E41" s="116"/>
      <c r="F41" s="133" t="s">
        <v>155</v>
      </c>
      <c r="G41" s="129"/>
      <c r="H41" s="129"/>
      <c r="I41" s="129"/>
      <c r="J41" s="129"/>
      <c r="K41" s="129"/>
      <c r="L41" s="129"/>
      <c r="M41" s="129"/>
      <c r="N41" s="130"/>
      <c r="O41" s="103" t="str">
        <f>IF(F41="","入力してください","")</f>
        <v/>
      </c>
    </row>
    <row r="42" spans="1:15" ht="7.5" customHeight="1" x14ac:dyDescent="0.15">
      <c r="F42" s="106"/>
      <c r="G42" s="106"/>
      <c r="H42" s="106"/>
      <c r="I42" s="106"/>
      <c r="J42" s="106"/>
      <c r="K42" s="106"/>
      <c r="L42" s="106"/>
      <c r="M42" s="106"/>
      <c r="N42" s="106"/>
    </row>
    <row r="43" spans="1:15" ht="24" customHeight="1" x14ac:dyDescent="0.15">
      <c r="A43" s="101" t="s">
        <v>97</v>
      </c>
    </row>
    <row r="44" spans="1:15" ht="24" customHeight="1" x14ac:dyDescent="0.15">
      <c r="B44" s="117" t="s">
        <v>1</v>
      </c>
      <c r="C44" s="149" t="s">
        <v>177</v>
      </c>
      <c r="D44" s="150"/>
      <c r="E44" s="150"/>
      <c r="F44" s="150"/>
      <c r="G44" s="150"/>
      <c r="H44" s="150"/>
      <c r="I44" s="118" t="s">
        <v>2</v>
      </c>
      <c r="J44" s="119"/>
      <c r="K44" s="133" t="s">
        <v>178</v>
      </c>
      <c r="L44" s="129"/>
      <c r="M44" s="129"/>
      <c r="N44" s="130"/>
      <c r="O44" s="103" t="str">
        <f>IF(OR(C44="",K44=""),"入力してください","")</f>
        <v/>
      </c>
    </row>
    <row r="45" spans="1:15" ht="24" customHeight="1" x14ac:dyDescent="0.15">
      <c r="B45" s="120" t="s">
        <v>4</v>
      </c>
      <c r="C45" s="151" t="s">
        <v>179</v>
      </c>
      <c r="D45" s="152"/>
      <c r="E45" s="152"/>
      <c r="F45" s="152"/>
      <c r="G45" s="152"/>
      <c r="H45" s="153"/>
      <c r="I45" s="118" t="s">
        <v>3</v>
      </c>
      <c r="J45" s="119"/>
      <c r="K45" s="154" t="s">
        <v>180</v>
      </c>
      <c r="L45" s="155"/>
      <c r="M45" s="155"/>
      <c r="N45" s="156"/>
      <c r="O45" s="103" t="str">
        <f>IF(OR(C45="",K45=""),"入力してください","")</f>
        <v/>
      </c>
    </row>
  </sheetData>
  <mergeCells count="44">
    <mergeCell ref="C44:H44"/>
    <mergeCell ref="K44:N44"/>
    <mergeCell ref="C45:H45"/>
    <mergeCell ref="K45:N45"/>
    <mergeCell ref="B37:N37"/>
    <mergeCell ref="B39:C39"/>
    <mergeCell ref="D39:F39"/>
    <mergeCell ref="G39:I39"/>
    <mergeCell ref="J39:N39"/>
    <mergeCell ref="F41:N41"/>
    <mergeCell ref="B34:C34"/>
    <mergeCell ref="D34:F34"/>
    <mergeCell ref="G34:I34"/>
    <mergeCell ref="J34:N34"/>
    <mergeCell ref="C24:D24"/>
    <mergeCell ref="G24:H24"/>
    <mergeCell ref="I24:J24"/>
    <mergeCell ref="C26:D26"/>
    <mergeCell ref="G26:H26"/>
    <mergeCell ref="I26:J26"/>
    <mergeCell ref="B29:C29"/>
    <mergeCell ref="D29:F29"/>
    <mergeCell ref="G29:I29"/>
    <mergeCell ref="J29:N29"/>
    <mergeCell ref="B32:N32"/>
    <mergeCell ref="K16:M16"/>
    <mergeCell ref="E18:F18"/>
    <mergeCell ref="K18:N18"/>
    <mergeCell ref="J20:L20"/>
    <mergeCell ref="C22:D22"/>
    <mergeCell ref="G22:H22"/>
    <mergeCell ref="I22:J22"/>
    <mergeCell ref="E10:N10"/>
    <mergeCell ref="E12:F12"/>
    <mergeCell ref="C14:D14"/>
    <mergeCell ref="E14:F14"/>
    <mergeCell ref="I14:J14"/>
    <mergeCell ref="K14:M14"/>
    <mergeCell ref="C8:N8"/>
    <mergeCell ref="M1:N1"/>
    <mergeCell ref="A2:N2"/>
    <mergeCell ref="C4:N4"/>
    <mergeCell ref="D6:H6"/>
    <mergeCell ref="K6:N6"/>
  </mergeCells>
  <phoneticPr fontId="6"/>
  <dataValidations count="3">
    <dataValidation type="list" allowBlank="1" showInputMessage="1" showErrorMessage="1" sqref="F41:N41" xr:uid="{C11F162C-00DD-0D45-BCA3-155639B611E5}">
      <formula1>"認定教育プログラム,認定教育プログラム+（プラス）,認定教育プログラムと認定教育プログラム+（プラス）"</formula1>
    </dataValidation>
    <dataValidation type="list" allowBlank="1" showInputMessage="1" showErrorMessage="1" sqref="N12" xr:uid="{1AE63F52-A7B1-7246-AF88-56290EA005D8}">
      <formula1>"有,無"</formula1>
    </dataValidation>
    <dataValidation type="list" allowBlank="1" showInputMessage="1" showErrorMessage="1" sqref="K6" xr:uid="{39F6A77A-5F6A-2F4E-BB71-46EDEE603DA0}">
      <formula1>"国立大学, 公立大学, 私立大学, 短期大学, 高等専門学校, その他"</formula1>
    </dataValidation>
  </dataValidations>
  <hyperlinks>
    <hyperlink ref="C45" r:id="rId1" xr:uid="{7F94B1AC-FCFC-B549-93D3-6D3E0D4A2D36}"/>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91" zoomScaleNormal="100" zoomScaleSheetLayoutView="100" workbookViewId="0">
      <selection activeCell="B98" sqref="B98:Z98"/>
    </sheetView>
  </sheetViews>
  <sheetFormatPr defaultColWidth="9" defaultRowHeight="18.75" customHeight="1" x14ac:dyDescent="0.15"/>
  <cols>
    <col min="1" max="1" width="2.5" style="8" customWidth="1"/>
    <col min="2" max="2" width="27.625" style="8" customWidth="1"/>
    <col min="3" max="13" width="3.375" style="8" customWidth="1"/>
    <col min="14" max="14" width="8.75" style="8" customWidth="1"/>
    <col min="15" max="15" width="18.75" style="8" customWidth="1"/>
    <col min="16" max="19" width="3.375" style="8" customWidth="1"/>
    <col min="20" max="20" width="3.5" style="8" customWidth="1"/>
    <col min="21" max="26" width="3.375" style="8" customWidth="1"/>
    <col min="27" max="16384" width="9" style="8"/>
  </cols>
  <sheetData>
    <row r="1" spans="1:26" ht="15" customHeight="1" x14ac:dyDescent="0.15">
      <c r="W1" s="181" t="s">
        <v>112</v>
      </c>
      <c r="X1" s="181"/>
      <c r="Y1" s="181"/>
      <c r="Z1" s="181"/>
    </row>
    <row r="2" spans="1:26" ht="18" customHeight="1" x14ac:dyDescent="0.15">
      <c r="A2" s="219" t="s">
        <v>64</v>
      </c>
      <c r="B2" s="219"/>
      <c r="C2" s="219"/>
      <c r="D2" s="219"/>
      <c r="E2" s="219"/>
      <c r="F2" s="219"/>
      <c r="G2" s="219"/>
      <c r="H2" s="219"/>
      <c r="I2" s="219"/>
      <c r="J2" s="219"/>
      <c r="K2" s="219"/>
      <c r="L2" s="219"/>
      <c r="M2" s="219"/>
      <c r="N2" s="219"/>
      <c r="O2" s="219"/>
      <c r="P2" s="219"/>
      <c r="Q2" s="219"/>
      <c r="R2" s="219"/>
      <c r="S2" s="219"/>
      <c r="T2" s="219"/>
      <c r="U2" s="219"/>
      <c r="V2" s="219"/>
      <c r="W2" s="219"/>
      <c r="X2" s="219"/>
      <c r="Y2" s="219"/>
      <c r="Z2" s="219"/>
    </row>
    <row r="3" spans="1:26" ht="15" customHeight="1" x14ac:dyDescent="0.15">
      <c r="B3" s="13"/>
      <c r="C3" s="13"/>
      <c r="D3" s="13"/>
      <c r="E3" s="13"/>
      <c r="F3" s="13"/>
      <c r="G3" s="13"/>
      <c r="H3" s="13"/>
      <c r="I3" s="13"/>
      <c r="J3" s="13"/>
      <c r="K3" s="13"/>
      <c r="L3" s="13"/>
      <c r="M3" s="13"/>
      <c r="N3" s="13"/>
      <c r="O3" s="13"/>
      <c r="P3" s="13"/>
      <c r="Q3" s="13"/>
      <c r="R3" s="13"/>
      <c r="S3" s="13"/>
      <c r="T3" s="13"/>
      <c r="U3" s="13"/>
      <c r="V3" s="13"/>
      <c r="W3" s="13"/>
      <c r="X3" s="13"/>
      <c r="Y3" s="13"/>
      <c r="Z3" s="13"/>
    </row>
    <row r="4" spans="1:26" ht="18" customHeight="1" x14ac:dyDescent="0.15">
      <c r="A4" s="8" t="s">
        <v>98</v>
      </c>
      <c r="B4" s="13"/>
      <c r="C4" s="13"/>
      <c r="D4" s="13"/>
      <c r="E4" s="13"/>
      <c r="F4" s="13"/>
      <c r="G4" s="13"/>
      <c r="H4" s="10" t="s">
        <v>111</v>
      </c>
      <c r="I4" s="13"/>
      <c r="J4" s="13"/>
      <c r="K4" s="13"/>
      <c r="L4" s="13"/>
      <c r="M4" s="13"/>
      <c r="N4" s="13"/>
      <c r="O4" s="172" t="s">
        <v>173</v>
      </c>
      <c r="P4" s="173"/>
      <c r="Q4" s="173"/>
      <c r="R4" s="173"/>
      <c r="S4" s="173"/>
      <c r="T4" s="173"/>
      <c r="U4" s="173"/>
      <c r="V4" s="173"/>
      <c r="W4" s="173"/>
      <c r="X4" s="173"/>
      <c r="Y4" s="173"/>
      <c r="Z4" s="174"/>
    </row>
    <row r="5" spans="1:26" ht="6" customHeight="1" x14ac:dyDescent="0.15">
      <c r="B5" s="13"/>
      <c r="C5" s="13"/>
      <c r="D5" s="13"/>
      <c r="E5" s="13"/>
      <c r="F5" s="13"/>
      <c r="G5" s="13"/>
      <c r="H5" s="13"/>
      <c r="I5" s="13"/>
      <c r="J5" s="13"/>
      <c r="K5" s="13"/>
      <c r="L5" s="13"/>
      <c r="M5" s="13"/>
      <c r="N5" s="13"/>
      <c r="O5" s="11"/>
      <c r="P5" s="13"/>
      <c r="Q5" s="13"/>
      <c r="R5" s="13"/>
      <c r="S5" s="13"/>
      <c r="T5" s="13"/>
      <c r="U5" s="13"/>
      <c r="V5" s="13"/>
      <c r="W5" s="13"/>
      <c r="X5" s="13"/>
      <c r="Y5" s="13"/>
      <c r="Z5" s="13"/>
    </row>
    <row r="6" spans="1:26" ht="18" customHeight="1" x14ac:dyDescent="0.15">
      <c r="B6" s="220" t="s">
        <v>191</v>
      </c>
      <c r="C6" s="221"/>
      <c r="D6" s="221"/>
      <c r="E6" s="221"/>
      <c r="F6" s="221"/>
      <c r="G6" s="221"/>
      <c r="H6" s="221"/>
      <c r="I6" s="221"/>
      <c r="J6" s="221"/>
      <c r="K6" s="221"/>
      <c r="L6" s="221"/>
      <c r="M6" s="221"/>
      <c r="N6" s="221"/>
      <c r="O6" s="221"/>
      <c r="P6" s="221"/>
      <c r="Q6" s="221"/>
      <c r="R6" s="221"/>
      <c r="S6" s="221"/>
      <c r="T6" s="221"/>
      <c r="U6" s="221"/>
      <c r="V6" s="221"/>
      <c r="W6" s="221"/>
      <c r="X6" s="221"/>
      <c r="Y6" s="221"/>
      <c r="Z6" s="222"/>
    </row>
    <row r="7" spans="1:26" ht="18" customHeight="1" x14ac:dyDescent="0.15">
      <c r="B7" s="223"/>
      <c r="C7" s="224"/>
      <c r="D7" s="224"/>
      <c r="E7" s="224"/>
      <c r="F7" s="224"/>
      <c r="G7" s="224"/>
      <c r="H7" s="224"/>
      <c r="I7" s="224"/>
      <c r="J7" s="224"/>
      <c r="K7" s="224"/>
      <c r="L7" s="224"/>
      <c r="M7" s="224"/>
      <c r="N7" s="224"/>
      <c r="O7" s="224"/>
      <c r="P7" s="224"/>
      <c r="Q7" s="224"/>
      <c r="R7" s="224"/>
      <c r="S7" s="224"/>
      <c r="T7" s="224"/>
      <c r="U7" s="224"/>
      <c r="V7" s="224"/>
      <c r="W7" s="224"/>
      <c r="X7" s="224"/>
      <c r="Y7" s="224"/>
      <c r="Z7" s="225"/>
    </row>
    <row r="8" spans="1:26" ht="18" customHeight="1" x14ac:dyDescent="0.15">
      <c r="B8" s="223"/>
      <c r="C8" s="224"/>
      <c r="D8" s="224"/>
      <c r="E8" s="224"/>
      <c r="F8" s="224"/>
      <c r="G8" s="224"/>
      <c r="H8" s="224"/>
      <c r="I8" s="224"/>
      <c r="J8" s="224"/>
      <c r="K8" s="224"/>
      <c r="L8" s="224"/>
      <c r="M8" s="224"/>
      <c r="N8" s="224"/>
      <c r="O8" s="224"/>
      <c r="P8" s="224"/>
      <c r="Q8" s="224"/>
      <c r="R8" s="224"/>
      <c r="S8" s="224"/>
      <c r="T8" s="224"/>
      <c r="U8" s="224"/>
      <c r="V8" s="224"/>
      <c r="W8" s="224"/>
      <c r="X8" s="224"/>
      <c r="Y8" s="224"/>
      <c r="Z8" s="225"/>
    </row>
    <row r="9" spans="1:26" ht="18" customHeight="1" x14ac:dyDescent="0.15">
      <c r="B9" s="223"/>
      <c r="C9" s="224"/>
      <c r="D9" s="224"/>
      <c r="E9" s="224"/>
      <c r="F9" s="224"/>
      <c r="G9" s="224"/>
      <c r="H9" s="224"/>
      <c r="I9" s="224"/>
      <c r="J9" s="224"/>
      <c r="K9" s="224"/>
      <c r="L9" s="224"/>
      <c r="M9" s="224"/>
      <c r="N9" s="224"/>
      <c r="O9" s="224"/>
      <c r="P9" s="224"/>
      <c r="Q9" s="224"/>
      <c r="R9" s="224"/>
      <c r="S9" s="224"/>
      <c r="T9" s="224"/>
      <c r="U9" s="224"/>
      <c r="V9" s="224"/>
      <c r="W9" s="224"/>
      <c r="X9" s="224"/>
      <c r="Y9" s="224"/>
      <c r="Z9" s="225"/>
    </row>
    <row r="10" spans="1:26" ht="18" customHeight="1" x14ac:dyDescent="0.15">
      <c r="B10" s="223"/>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5"/>
    </row>
    <row r="11" spans="1:26" ht="18" customHeight="1" x14ac:dyDescent="0.15">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x14ac:dyDescent="0.15">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8" customHeight="1" x14ac:dyDescent="0.15">
      <c r="A13" s="218" t="s">
        <v>124</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spans="1:26" ht="18" customHeight="1" x14ac:dyDescent="0.15">
      <c r="A14" s="218"/>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spans="1:26" ht="18" customHeight="1" x14ac:dyDescent="0.15">
      <c r="A15" s="9"/>
      <c r="B15" s="172" t="s">
        <v>99</v>
      </c>
      <c r="C15" s="173"/>
      <c r="D15" s="173"/>
      <c r="E15" s="173"/>
      <c r="F15" s="174"/>
      <c r="G15" s="14" t="s">
        <v>140</v>
      </c>
      <c r="H15" s="70" t="s">
        <v>139</v>
      </c>
      <c r="I15" s="173" t="s">
        <v>100</v>
      </c>
      <c r="J15" s="173"/>
      <c r="K15" s="173"/>
      <c r="L15" s="48" t="s">
        <v>103</v>
      </c>
      <c r="M15" s="48" t="s">
        <v>106</v>
      </c>
      <c r="N15" s="172" t="s">
        <v>99</v>
      </c>
      <c r="O15" s="173"/>
      <c r="P15" s="173"/>
      <c r="Q15" s="173"/>
      <c r="R15" s="173"/>
      <c r="S15" s="174"/>
      <c r="T15" s="14" t="s">
        <v>140</v>
      </c>
      <c r="U15" s="70" t="s">
        <v>139</v>
      </c>
      <c r="V15" s="173" t="s">
        <v>100</v>
      </c>
      <c r="W15" s="173"/>
      <c r="X15" s="173"/>
      <c r="Y15" s="48" t="s">
        <v>103</v>
      </c>
      <c r="Z15" s="48" t="s">
        <v>106</v>
      </c>
    </row>
    <row r="16" spans="1:26" ht="18" customHeight="1" x14ac:dyDescent="0.15">
      <c r="A16" s="9"/>
      <c r="B16" s="182" t="s">
        <v>156</v>
      </c>
      <c r="C16" s="183"/>
      <c r="D16" s="183"/>
      <c r="E16" s="183"/>
      <c r="F16" s="184"/>
      <c r="G16" s="71">
        <v>2</v>
      </c>
      <c r="H16" s="71" t="s">
        <v>158</v>
      </c>
      <c r="I16" s="188" t="s">
        <v>157</v>
      </c>
      <c r="J16" s="189"/>
      <c r="K16" s="190"/>
      <c r="L16" s="71" t="s">
        <v>158</v>
      </c>
      <c r="M16" s="71" t="s">
        <v>158</v>
      </c>
      <c r="N16" s="157"/>
      <c r="O16" s="158"/>
      <c r="P16" s="158"/>
      <c r="Q16" s="158"/>
      <c r="R16" s="158"/>
      <c r="S16" s="159"/>
      <c r="T16" s="71"/>
      <c r="U16" s="71"/>
      <c r="V16" s="188"/>
      <c r="W16" s="189"/>
      <c r="X16" s="190"/>
      <c r="Y16" s="71"/>
      <c r="Z16" s="71"/>
    </row>
    <row r="17" spans="1:26" ht="18" customHeight="1" x14ac:dyDescent="0.15">
      <c r="A17" s="9"/>
      <c r="B17" s="175"/>
      <c r="C17" s="176"/>
      <c r="D17" s="176"/>
      <c r="E17" s="176"/>
      <c r="F17" s="177"/>
      <c r="G17" s="72"/>
      <c r="H17" s="72"/>
      <c r="I17" s="166"/>
      <c r="J17" s="167"/>
      <c r="K17" s="168"/>
      <c r="L17" s="72"/>
      <c r="M17" s="72"/>
      <c r="N17" s="160"/>
      <c r="O17" s="161"/>
      <c r="P17" s="161"/>
      <c r="Q17" s="161"/>
      <c r="R17" s="161"/>
      <c r="S17" s="162"/>
      <c r="T17" s="72"/>
      <c r="U17" s="72"/>
      <c r="V17" s="166"/>
      <c r="W17" s="167"/>
      <c r="X17" s="168"/>
      <c r="Y17" s="72"/>
      <c r="Z17" s="72"/>
    </row>
    <row r="18" spans="1:26" ht="18" customHeight="1" x14ac:dyDescent="0.15">
      <c r="A18" s="9"/>
      <c r="B18" s="175"/>
      <c r="C18" s="176"/>
      <c r="D18" s="176"/>
      <c r="E18" s="176"/>
      <c r="F18" s="177"/>
      <c r="G18" s="72"/>
      <c r="H18" s="72"/>
      <c r="I18" s="166"/>
      <c r="J18" s="167"/>
      <c r="K18" s="168"/>
      <c r="L18" s="72"/>
      <c r="M18" s="72"/>
      <c r="N18" s="160"/>
      <c r="O18" s="161"/>
      <c r="P18" s="161"/>
      <c r="Q18" s="161"/>
      <c r="R18" s="161"/>
      <c r="S18" s="162"/>
      <c r="T18" s="72"/>
      <c r="U18" s="72"/>
      <c r="V18" s="166"/>
      <c r="W18" s="167"/>
      <c r="X18" s="168"/>
      <c r="Y18" s="72"/>
      <c r="Z18" s="72"/>
    </row>
    <row r="19" spans="1:26" ht="18" customHeight="1" x14ac:dyDescent="0.15">
      <c r="A19" s="9"/>
      <c r="B19" s="175"/>
      <c r="C19" s="176"/>
      <c r="D19" s="176"/>
      <c r="E19" s="176"/>
      <c r="F19" s="177"/>
      <c r="G19" s="72"/>
      <c r="H19" s="72"/>
      <c r="I19" s="166"/>
      <c r="J19" s="167"/>
      <c r="K19" s="168"/>
      <c r="L19" s="72"/>
      <c r="M19" s="72"/>
      <c r="N19" s="160"/>
      <c r="O19" s="161"/>
      <c r="P19" s="161"/>
      <c r="Q19" s="161"/>
      <c r="R19" s="161"/>
      <c r="S19" s="162"/>
      <c r="T19" s="72"/>
      <c r="U19" s="72"/>
      <c r="V19" s="166"/>
      <c r="W19" s="167"/>
      <c r="X19" s="168"/>
      <c r="Y19" s="72"/>
      <c r="Z19" s="72"/>
    </row>
    <row r="20" spans="1:26" ht="18" customHeight="1" x14ac:dyDescent="0.15">
      <c r="A20" s="9"/>
      <c r="B20" s="175"/>
      <c r="C20" s="176"/>
      <c r="D20" s="176"/>
      <c r="E20" s="176"/>
      <c r="F20" s="177"/>
      <c r="G20" s="72"/>
      <c r="H20" s="72"/>
      <c r="I20" s="166"/>
      <c r="J20" s="167"/>
      <c r="K20" s="168"/>
      <c r="L20" s="72"/>
      <c r="M20" s="72"/>
      <c r="N20" s="160"/>
      <c r="O20" s="161"/>
      <c r="P20" s="161"/>
      <c r="Q20" s="161"/>
      <c r="R20" s="161"/>
      <c r="S20" s="162"/>
      <c r="T20" s="72"/>
      <c r="U20" s="72"/>
      <c r="V20" s="166"/>
      <c r="W20" s="167"/>
      <c r="X20" s="168"/>
      <c r="Y20" s="72"/>
      <c r="Z20" s="72"/>
    </row>
    <row r="21" spans="1:26" ht="18" customHeight="1" x14ac:dyDescent="0.15">
      <c r="A21" s="13"/>
      <c r="B21" s="175"/>
      <c r="C21" s="176"/>
      <c r="D21" s="176"/>
      <c r="E21" s="176"/>
      <c r="F21" s="177"/>
      <c r="G21" s="72"/>
      <c r="H21" s="72"/>
      <c r="I21" s="166"/>
      <c r="J21" s="167"/>
      <c r="K21" s="168"/>
      <c r="L21" s="72"/>
      <c r="M21" s="72"/>
      <c r="N21" s="160"/>
      <c r="O21" s="161"/>
      <c r="P21" s="161"/>
      <c r="Q21" s="161"/>
      <c r="R21" s="161"/>
      <c r="S21" s="162"/>
      <c r="T21" s="72"/>
      <c r="U21" s="72"/>
      <c r="V21" s="166"/>
      <c r="W21" s="167"/>
      <c r="X21" s="168"/>
      <c r="Y21" s="72"/>
      <c r="Z21" s="72"/>
    </row>
    <row r="22" spans="1:26" ht="18" customHeight="1" x14ac:dyDescent="0.15">
      <c r="A22" s="13"/>
      <c r="B22" s="178"/>
      <c r="C22" s="179"/>
      <c r="D22" s="179"/>
      <c r="E22" s="179"/>
      <c r="F22" s="180"/>
      <c r="G22" s="73"/>
      <c r="H22" s="73"/>
      <c r="I22" s="169"/>
      <c r="J22" s="170"/>
      <c r="K22" s="171"/>
      <c r="L22" s="77"/>
      <c r="M22" s="77"/>
      <c r="N22" s="163"/>
      <c r="O22" s="164"/>
      <c r="P22" s="164"/>
      <c r="Q22" s="164"/>
      <c r="R22" s="164"/>
      <c r="S22" s="165"/>
      <c r="T22" s="73"/>
      <c r="U22" s="73"/>
      <c r="V22" s="169"/>
      <c r="W22" s="170"/>
      <c r="X22" s="171"/>
      <c r="Y22" s="77"/>
      <c r="Z22" s="77"/>
    </row>
    <row r="23" spans="1:26" ht="7.5" customHeight="1" x14ac:dyDescent="0.15">
      <c r="A23" s="13"/>
      <c r="B23" s="49"/>
      <c r="C23" s="49"/>
      <c r="D23" s="13"/>
      <c r="E23" s="13"/>
      <c r="F23" s="13"/>
      <c r="G23" s="13"/>
      <c r="H23" s="13"/>
      <c r="I23" s="13"/>
      <c r="J23" s="13"/>
      <c r="K23" s="13"/>
      <c r="L23" s="49"/>
      <c r="M23" s="49"/>
      <c r="N23" s="49"/>
      <c r="O23" s="49"/>
      <c r="P23" s="49"/>
      <c r="Q23" s="49"/>
      <c r="R23" s="49"/>
      <c r="S23" s="49"/>
      <c r="T23" s="49"/>
      <c r="U23" s="49"/>
      <c r="V23" s="49"/>
      <c r="W23" s="49"/>
      <c r="X23" s="49"/>
      <c r="Y23" s="49"/>
      <c r="Z23" s="13"/>
    </row>
    <row r="24" spans="1:26" ht="18" customHeight="1" x14ac:dyDescent="0.15">
      <c r="A24" s="218" t="s">
        <v>125</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spans="1:26" ht="18" customHeight="1" x14ac:dyDescent="0.15">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spans="1:26" ht="18" customHeight="1" x14ac:dyDescent="0.15">
      <c r="A26" s="9"/>
      <c r="B26" s="172" t="s">
        <v>99</v>
      </c>
      <c r="C26" s="173"/>
      <c r="D26" s="173"/>
      <c r="E26" s="173"/>
      <c r="F26" s="174"/>
      <c r="G26" s="14" t="s">
        <v>140</v>
      </c>
      <c r="H26" s="70" t="s">
        <v>139</v>
      </c>
      <c r="I26" s="173" t="s">
        <v>100</v>
      </c>
      <c r="J26" s="173"/>
      <c r="K26" s="173"/>
      <c r="L26" s="48" t="s">
        <v>126</v>
      </c>
      <c r="M26" s="48" t="s">
        <v>127</v>
      </c>
      <c r="N26" s="172" t="s">
        <v>99</v>
      </c>
      <c r="O26" s="173"/>
      <c r="P26" s="173"/>
      <c r="Q26" s="173"/>
      <c r="R26" s="173"/>
      <c r="S26" s="174"/>
      <c r="T26" s="14" t="s">
        <v>140</v>
      </c>
      <c r="U26" s="70" t="s">
        <v>139</v>
      </c>
      <c r="V26" s="173" t="s">
        <v>100</v>
      </c>
      <c r="W26" s="173"/>
      <c r="X26" s="173"/>
      <c r="Y26" s="48" t="s">
        <v>126</v>
      </c>
      <c r="Z26" s="48" t="s">
        <v>127</v>
      </c>
    </row>
    <row r="27" spans="1:26" ht="18" customHeight="1" x14ac:dyDescent="0.15">
      <c r="A27" s="9"/>
      <c r="B27" s="182" t="s">
        <v>156</v>
      </c>
      <c r="C27" s="183"/>
      <c r="D27" s="183"/>
      <c r="E27" s="183"/>
      <c r="F27" s="184"/>
      <c r="G27" s="71">
        <v>2</v>
      </c>
      <c r="H27" s="71" t="s">
        <v>158</v>
      </c>
      <c r="I27" s="188" t="s">
        <v>157</v>
      </c>
      <c r="J27" s="189"/>
      <c r="K27" s="190"/>
      <c r="L27" s="71" t="s">
        <v>158</v>
      </c>
      <c r="M27" s="71" t="s">
        <v>158</v>
      </c>
      <c r="N27" s="157"/>
      <c r="O27" s="158"/>
      <c r="P27" s="158"/>
      <c r="Q27" s="158"/>
      <c r="R27" s="158"/>
      <c r="S27" s="159"/>
      <c r="T27" s="71"/>
      <c r="U27" s="71"/>
      <c r="V27" s="188"/>
      <c r="W27" s="189"/>
      <c r="X27" s="190"/>
      <c r="Y27" s="71"/>
      <c r="Z27" s="71"/>
    </row>
    <row r="28" spans="1:26" ht="18" customHeight="1" x14ac:dyDescent="0.15">
      <c r="A28" s="9"/>
      <c r="B28" s="175"/>
      <c r="C28" s="176"/>
      <c r="D28" s="176"/>
      <c r="E28" s="176"/>
      <c r="F28" s="177"/>
      <c r="G28" s="72"/>
      <c r="H28" s="72"/>
      <c r="I28" s="166"/>
      <c r="J28" s="167"/>
      <c r="K28" s="168"/>
      <c r="L28" s="72"/>
      <c r="M28" s="72"/>
      <c r="N28" s="160"/>
      <c r="O28" s="161"/>
      <c r="P28" s="161"/>
      <c r="Q28" s="161"/>
      <c r="R28" s="161"/>
      <c r="S28" s="162"/>
      <c r="T28" s="72"/>
      <c r="U28" s="72"/>
      <c r="V28" s="166"/>
      <c r="W28" s="167"/>
      <c r="X28" s="168"/>
      <c r="Y28" s="72"/>
      <c r="Z28" s="72"/>
    </row>
    <row r="29" spans="1:26" ht="18" customHeight="1" x14ac:dyDescent="0.15">
      <c r="A29" s="9"/>
      <c r="B29" s="175"/>
      <c r="C29" s="176"/>
      <c r="D29" s="176"/>
      <c r="E29" s="176"/>
      <c r="F29" s="177"/>
      <c r="G29" s="72"/>
      <c r="H29" s="72"/>
      <c r="I29" s="166"/>
      <c r="J29" s="167"/>
      <c r="K29" s="168"/>
      <c r="L29" s="72"/>
      <c r="M29" s="72"/>
      <c r="N29" s="160"/>
      <c r="O29" s="161"/>
      <c r="P29" s="161"/>
      <c r="Q29" s="161"/>
      <c r="R29" s="161"/>
      <c r="S29" s="162"/>
      <c r="T29" s="72"/>
      <c r="U29" s="72"/>
      <c r="V29" s="166"/>
      <c r="W29" s="167"/>
      <c r="X29" s="168"/>
      <c r="Y29" s="72"/>
      <c r="Z29" s="72"/>
    </row>
    <row r="30" spans="1:26" ht="18" customHeight="1" x14ac:dyDescent="0.15">
      <c r="A30" s="9"/>
      <c r="B30" s="175"/>
      <c r="C30" s="176"/>
      <c r="D30" s="176"/>
      <c r="E30" s="176"/>
      <c r="F30" s="177"/>
      <c r="G30" s="72"/>
      <c r="H30" s="72"/>
      <c r="I30" s="166"/>
      <c r="J30" s="167"/>
      <c r="K30" s="168"/>
      <c r="L30" s="72"/>
      <c r="M30" s="72"/>
      <c r="N30" s="160"/>
      <c r="O30" s="161"/>
      <c r="P30" s="161"/>
      <c r="Q30" s="161"/>
      <c r="R30" s="161"/>
      <c r="S30" s="162"/>
      <c r="T30" s="72"/>
      <c r="U30" s="72"/>
      <c r="V30" s="166"/>
      <c r="W30" s="167"/>
      <c r="X30" s="168"/>
      <c r="Y30" s="72"/>
      <c r="Z30" s="72"/>
    </row>
    <row r="31" spans="1:26" ht="18" customHeight="1" x14ac:dyDescent="0.15">
      <c r="A31" s="9"/>
      <c r="B31" s="175"/>
      <c r="C31" s="176"/>
      <c r="D31" s="176"/>
      <c r="E31" s="176"/>
      <c r="F31" s="177"/>
      <c r="G31" s="72"/>
      <c r="H31" s="72"/>
      <c r="I31" s="166"/>
      <c r="J31" s="167"/>
      <c r="K31" s="168"/>
      <c r="L31" s="72"/>
      <c r="M31" s="72"/>
      <c r="N31" s="160"/>
      <c r="O31" s="161"/>
      <c r="P31" s="161"/>
      <c r="Q31" s="161"/>
      <c r="R31" s="161"/>
      <c r="S31" s="162"/>
      <c r="T31" s="72"/>
      <c r="U31" s="72"/>
      <c r="V31" s="166"/>
      <c r="W31" s="167"/>
      <c r="X31" s="168"/>
      <c r="Y31" s="72"/>
      <c r="Z31" s="72"/>
    </row>
    <row r="32" spans="1:26" ht="18" customHeight="1" x14ac:dyDescent="0.15">
      <c r="A32" s="9"/>
      <c r="B32" s="175"/>
      <c r="C32" s="176"/>
      <c r="D32" s="176"/>
      <c r="E32" s="176"/>
      <c r="F32" s="177"/>
      <c r="G32" s="72"/>
      <c r="H32" s="72"/>
      <c r="I32" s="166"/>
      <c r="J32" s="167"/>
      <c r="K32" s="168"/>
      <c r="L32" s="72"/>
      <c r="M32" s="72"/>
      <c r="N32" s="160"/>
      <c r="O32" s="161"/>
      <c r="P32" s="161"/>
      <c r="Q32" s="161"/>
      <c r="R32" s="161"/>
      <c r="S32" s="162"/>
      <c r="T32" s="72"/>
      <c r="U32" s="72"/>
      <c r="V32" s="166"/>
      <c r="W32" s="167"/>
      <c r="X32" s="168"/>
      <c r="Y32" s="72"/>
      <c r="Z32" s="72"/>
    </row>
    <row r="33" spans="1:26" ht="18" customHeight="1" x14ac:dyDescent="0.15">
      <c r="A33" s="9"/>
      <c r="B33" s="178"/>
      <c r="C33" s="179"/>
      <c r="D33" s="179"/>
      <c r="E33" s="179"/>
      <c r="F33" s="180"/>
      <c r="G33" s="73"/>
      <c r="H33" s="73"/>
      <c r="I33" s="169"/>
      <c r="J33" s="170"/>
      <c r="K33" s="171"/>
      <c r="L33" s="77"/>
      <c r="M33" s="77"/>
      <c r="N33" s="163"/>
      <c r="O33" s="164"/>
      <c r="P33" s="164"/>
      <c r="Q33" s="164"/>
      <c r="R33" s="164"/>
      <c r="S33" s="165"/>
      <c r="T33" s="73"/>
      <c r="U33" s="73"/>
      <c r="V33" s="169"/>
      <c r="W33" s="170"/>
      <c r="X33" s="171"/>
      <c r="Y33" s="77"/>
      <c r="Z33" s="77"/>
    </row>
    <row r="34" spans="1:26" ht="7.5" customHeight="1" x14ac:dyDescent="0.15">
      <c r="A34" s="13"/>
      <c r="B34" s="49"/>
      <c r="C34" s="49"/>
      <c r="D34" s="13"/>
      <c r="E34" s="13"/>
      <c r="F34" s="13"/>
      <c r="G34" s="13"/>
      <c r="H34" s="13"/>
      <c r="I34" s="13"/>
      <c r="J34" s="13"/>
      <c r="K34" s="13"/>
      <c r="L34" s="49"/>
      <c r="M34" s="49"/>
      <c r="N34" s="49"/>
      <c r="O34" s="49"/>
      <c r="P34" s="49"/>
      <c r="Q34" s="49"/>
      <c r="R34" s="49"/>
      <c r="S34" s="49"/>
      <c r="T34" s="49"/>
      <c r="U34" s="49"/>
      <c r="V34" s="49"/>
      <c r="W34" s="49"/>
      <c r="X34" s="49"/>
      <c r="Y34" s="49"/>
      <c r="Z34" s="13"/>
    </row>
    <row r="35" spans="1:26" ht="18" customHeight="1" x14ac:dyDescent="0.15">
      <c r="A35" s="218" t="s">
        <v>128</v>
      </c>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18" customHeight="1" x14ac:dyDescent="0.15">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18" customHeight="1" x14ac:dyDescent="0.15">
      <c r="A37" s="9"/>
      <c r="B37" s="172" t="s">
        <v>99</v>
      </c>
      <c r="C37" s="173"/>
      <c r="D37" s="173"/>
      <c r="E37" s="173"/>
      <c r="F37" s="174"/>
      <c r="G37" s="14" t="s">
        <v>140</v>
      </c>
      <c r="H37" s="70" t="s">
        <v>139</v>
      </c>
      <c r="I37" s="172" t="s">
        <v>100</v>
      </c>
      <c r="J37" s="173"/>
      <c r="K37" s="174"/>
      <c r="L37" s="48" t="s">
        <v>129</v>
      </c>
      <c r="M37" s="48" t="s">
        <v>130</v>
      </c>
      <c r="N37" s="172" t="s">
        <v>99</v>
      </c>
      <c r="O37" s="173"/>
      <c r="P37" s="173"/>
      <c r="Q37" s="173"/>
      <c r="R37" s="173"/>
      <c r="S37" s="174"/>
      <c r="T37" s="14" t="s">
        <v>140</v>
      </c>
      <c r="U37" s="70" t="s">
        <v>139</v>
      </c>
      <c r="V37" s="172" t="s">
        <v>100</v>
      </c>
      <c r="W37" s="173"/>
      <c r="X37" s="174"/>
      <c r="Y37" s="48" t="s">
        <v>129</v>
      </c>
      <c r="Z37" s="48" t="s">
        <v>130</v>
      </c>
    </row>
    <row r="38" spans="1:26" ht="18" customHeight="1" x14ac:dyDescent="0.15">
      <c r="A38" s="13"/>
      <c r="B38" s="182" t="s">
        <v>156</v>
      </c>
      <c r="C38" s="183"/>
      <c r="D38" s="183"/>
      <c r="E38" s="183"/>
      <c r="F38" s="184"/>
      <c r="G38" s="71">
        <v>2</v>
      </c>
      <c r="H38" s="71" t="s">
        <v>158</v>
      </c>
      <c r="I38" s="188" t="s">
        <v>157</v>
      </c>
      <c r="J38" s="189"/>
      <c r="K38" s="190"/>
      <c r="L38" s="71" t="s">
        <v>158</v>
      </c>
      <c r="M38" s="71" t="s">
        <v>158</v>
      </c>
      <c r="N38" s="157"/>
      <c r="O38" s="158"/>
      <c r="P38" s="158"/>
      <c r="Q38" s="158"/>
      <c r="R38" s="158"/>
      <c r="S38" s="159"/>
      <c r="T38" s="71"/>
      <c r="U38" s="71"/>
      <c r="V38" s="188"/>
      <c r="W38" s="189"/>
      <c r="X38" s="190"/>
      <c r="Y38" s="71"/>
      <c r="Z38" s="71"/>
    </row>
    <row r="39" spans="1:26" ht="18" customHeight="1" x14ac:dyDescent="0.15">
      <c r="A39" s="13"/>
      <c r="B39" s="175" t="s">
        <v>159</v>
      </c>
      <c r="C39" s="176"/>
      <c r="D39" s="176"/>
      <c r="E39" s="176"/>
      <c r="F39" s="177"/>
      <c r="G39" s="72">
        <v>2</v>
      </c>
      <c r="H39" s="72" t="s">
        <v>158</v>
      </c>
      <c r="I39" s="166" t="s">
        <v>157</v>
      </c>
      <c r="J39" s="167"/>
      <c r="K39" s="168"/>
      <c r="L39" s="72"/>
      <c r="M39" s="72" t="s">
        <v>158</v>
      </c>
      <c r="N39" s="160"/>
      <c r="O39" s="161"/>
      <c r="P39" s="161"/>
      <c r="Q39" s="161"/>
      <c r="R39" s="161"/>
      <c r="S39" s="162"/>
      <c r="T39" s="72"/>
      <c r="U39" s="72"/>
      <c r="V39" s="166"/>
      <c r="W39" s="167"/>
      <c r="X39" s="168"/>
      <c r="Y39" s="72"/>
      <c r="Z39" s="72"/>
    </row>
    <row r="40" spans="1:26" ht="18" customHeight="1" x14ac:dyDescent="0.15">
      <c r="A40" s="13"/>
      <c r="B40" s="175"/>
      <c r="C40" s="176"/>
      <c r="D40" s="176"/>
      <c r="E40" s="176"/>
      <c r="F40" s="177"/>
      <c r="G40" s="72"/>
      <c r="H40" s="72"/>
      <c r="I40" s="166"/>
      <c r="J40" s="167"/>
      <c r="K40" s="168"/>
      <c r="L40" s="72"/>
      <c r="M40" s="72"/>
      <c r="N40" s="160"/>
      <c r="O40" s="161"/>
      <c r="P40" s="161"/>
      <c r="Q40" s="161"/>
      <c r="R40" s="161"/>
      <c r="S40" s="162"/>
      <c r="T40" s="72"/>
      <c r="U40" s="72"/>
      <c r="V40" s="166"/>
      <c r="W40" s="167"/>
      <c r="X40" s="168"/>
      <c r="Y40" s="72"/>
      <c r="Z40" s="72"/>
    </row>
    <row r="41" spans="1:26" ht="18" customHeight="1" x14ac:dyDescent="0.15">
      <c r="A41" s="13"/>
      <c r="B41" s="175"/>
      <c r="C41" s="176"/>
      <c r="D41" s="176"/>
      <c r="E41" s="176"/>
      <c r="F41" s="177"/>
      <c r="G41" s="72"/>
      <c r="H41" s="72"/>
      <c r="I41" s="166"/>
      <c r="J41" s="167"/>
      <c r="K41" s="168"/>
      <c r="L41" s="72"/>
      <c r="M41" s="72"/>
      <c r="N41" s="160"/>
      <c r="O41" s="161"/>
      <c r="P41" s="161"/>
      <c r="Q41" s="161"/>
      <c r="R41" s="161"/>
      <c r="S41" s="162"/>
      <c r="T41" s="72"/>
      <c r="U41" s="72"/>
      <c r="V41" s="166"/>
      <c r="W41" s="167"/>
      <c r="X41" s="168"/>
      <c r="Y41" s="72"/>
      <c r="Z41" s="72"/>
    </row>
    <row r="42" spans="1:26" ht="18" customHeight="1" x14ac:dyDescent="0.15">
      <c r="A42" s="13"/>
      <c r="B42" s="175"/>
      <c r="C42" s="176"/>
      <c r="D42" s="176"/>
      <c r="E42" s="176"/>
      <c r="F42" s="177"/>
      <c r="G42" s="72"/>
      <c r="H42" s="72"/>
      <c r="I42" s="166"/>
      <c r="J42" s="167"/>
      <c r="K42" s="168"/>
      <c r="L42" s="72"/>
      <c r="M42" s="72"/>
      <c r="N42" s="160"/>
      <c r="O42" s="161"/>
      <c r="P42" s="161"/>
      <c r="Q42" s="161"/>
      <c r="R42" s="161"/>
      <c r="S42" s="162"/>
      <c r="T42" s="72"/>
      <c r="U42" s="72"/>
      <c r="V42" s="166"/>
      <c r="W42" s="167"/>
      <c r="X42" s="168"/>
      <c r="Y42" s="72"/>
      <c r="Z42" s="72"/>
    </row>
    <row r="43" spans="1:26" ht="18" customHeight="1" x14ac:dyDescent="0.15">
      <c r="A43" s="13"/>
      <c r="B43" s="175"/>
      <c r="C43" s="176"/>
      <c r="D43" s="176"/>
      <c r="E43" s="176"/>
      <c r="F43" s="177"/>
      <c r="G43" s="72"/>
      <c r="H43" s="72"/>
      <c r="I43" s="166"/>
      <c r="J43" s="167"/>
      <c r="K43" s="168"/>
      <c r="L43" s="72"/>
      <c r="M43" s="72"/>
      <c r="N43" s="160"/>
      <c r="O43" s="161"/>
      <c r="P43" s="161"/>
      <c r="Q43" s="161"/>
      <c r="R43" s="161"/>
      <c r="S43" s="162"/>
      <c r="T43" s="72"/>
      <c r="U43" s="72"/>
      <c r="V43" s="166"/>
      <c r="W43" s="167"/>
      <c r="X43" s="168"/>
      <c r="Y43" s="72"/>
      <c r="Z43" s="72"/>
    </row>
    <row r="44" spans="1:26" ht="18" customHeight="1" x14ac:dyDescent="0.15">
      <c r="A44" s="13"/>
      <c r="B44" s="178"/>
      <c r="C44" s="179"/>
      <c r="D44" s="179"/>
      <c r="E44" s="179"/>
      <c r="F44" s="180"/>
      <c r="G44" s="73"/>
      <c r="H44" s="73"/>
      <c r="I44" s="169"/>
      <c r="J44" s="170"/>
      <c r="K44" s="171"/>
      <c r="L44" s="77"/>
      <c r="M44" s="77"/>
      <c r="N44" s="163"/>
      <c r="O44" s="164"/>
      <c r="P44" s="164"/>
      <c r="Q44" s="164"/>
      <c r="R44" s="164"/>
      <c r="S44" s="165"/>
      <c r="T44" s="73"/>
      <c r="U44" s="73"/>
      <c r="V44" s="169"/>
      <c r="W44" s="170"/>
      <c r="X44" s="171"/>
      <c r="Y44" s="77"/>
      <c r="Z44" s="77"/>
    </row>
    <row r="45" spans="1:26" ht="7.5" customHeight="1" x14ac:dyDescent="0.15">
      <c r="B45" s="50"/>
      <c r="C45" s="50"/>
      <c r="D45" s="50"/>
      <c r="E45" s="50"/>
      <c r="F45" s="50"/>
      <c r="G45" s="50"/>
      <c r="H45" s="50"/>
      <c r="I45" s="50"/>
      <c r="J45" s="50"/>
      <c r="K45" s="50"/>
      <c r="L45" s="50"/>
      <c r="M45" s="50"/>
      <c r="N45" s="50"/>
      <c r="O45" s="50"/>
      <c r="P45" s="50"/>
      <c r="Q45" s="50"/>
      <c r="R45" s="50"/>
      <c r="S45" s="50"/>
      <c r="T45" s="50"/>
      <c r="U45" s="50"/>
      <c r="V45" s="50"/>
      <c r="W45" s="50"/>
      <c r="X45" s="50"/>
      <c r="Y45" s="50"/>
    </row>
    <row r="46" spans="1:26" ht="18" customHeight="1" x14ac:dyDescent="0.15">
      <c r="A46" s="218" t="s">
        <v>131</v>
      </c>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18" customHeight="1" x14ac:dyDescent="0.15">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18" customHeight="1" x14ac:dyDescent="0.15">
      <c r="A48" s="9"/>
      <c r="B48" s="172" t="s">
        <v>99</v>
      </c>
      <c r="C48" s="173"/>
      <c r="D48" s="173"/>
      <c r="E48" s="173"/>
      <c r="F48" s="174"/>
      <c r="G48" s="14" t="s">
        <v>140</v>
      </c>
      <c r="H48" s="70" t="s">
        <v>139</v>
      </c>
      <c r="I48" s="172" t="s">
        <v>100</v>
      </c>
      <c r="J48" s="173"/>
      <c r="K48" s="174"/>
      <c r="L48" s="48" t="s">
        <v>105</v>
      </c>
      <c r="M48" s="48" t="s">
        <v>107</v>
      </c>
      <c r="N48" s="172" t="s">
        <v>99</v>
      </c>
      <c r="O48" s="173"/>
      <c r="P48" s="173"/>
      <c r="Q48" s="173"/>
      <c r="R48" s="173"/>
      <c r="S48" s="174"/>
      <c r="T48" s="14" t="s">
        <v>140</v>
      </c>
      <c r="U48" s="70" t="s">
        <v>139</v>
      </c>
      <c r="V48" s="172" t="s">
        <v>100</v>
      </c>
      <c r="W48" s="173"/>
      <c r="X48" s="174"/>
      <c r="Y48" s="48" t="s">
        <v>105</v>
      </c>
      <c r="Z48" s="48" t="s">
        <v>107</v>
      </c>
    </row>
    <row r="49" spans="1:26" ht="18" customHeight="1" x14ac:dyDescent="0.15">
      <c r="A49" s="13"/>
      <c r="B49" s="182" t="s">
        <v>159</v>
      </c>
      <c r="C49" s="183"/>
      <c r="D49" s="183"/>
      <c r="E49" s="183"/>
      <c r="F49" s="184"/>
      <c r="G49" s="71">
        <v>2</v>
      </c>
      <c r="H49" s="71" t="s">
        <v>158</v>
      </c>
      <c r="I49" s="188" t="s">
        <v>157</v>
      </c>
      <c r="J49" s="189"/>
      <c r="K49" s="190"/>
      <c r="L49" s="71" t="s">
        <v>158</v>
      </c>
      <c r="M49" s="71" t="s">
        <v>158</v>
      </c>
      <c r="N49" s="157"/>
      <c r="O49" s="158"/>
      <c r="P49" s="158"/>
      <c r="Q49" s="158"/>
      <c r="R49" s="158"/>
      <c r="S49" s="159"/>
      <c r="T49" s="71"/>
      <c r="U49" s="71"/>
      <c r="V49" s="188"/>
      <c r="W49" s="189"/>
      <c r="X49" s="190"/>
      <c r="Y49" s="71"/>
      <c r="Z49" s="71"/>
    </row>
    <row r="50" spans="1:26" ht="18" customHeight="1" x14ac:dyDescent="0.15">
      <c r="A50" s="13"/>
      <c r="B50" s="175"/>
      <c r="C50" s="176"/>
      <c r="D50" s="176"/>
      <c r="E50" s="176"/>
      <c r="F50" s="177"/>
      <c r="G50" s="72"/>
      <c r="H50" s="72"/>
      <c r="I50" s="166"/>
      <c r="J50" s="167"/>
      <c r="K50" s="168"/>
      <c r="L50" s="72"/>
      <c r="M50" s="72"/>
      <c r="N50" s="160"/>
      <c r="O50" s="161"/>
      <c r="P50" s="161"/>
      <c r="Q50" s="161"/>
      <c r="R50" s="161"/>
      <c r="S50" s="162"/>
      <c r="T50" s="72"/>
      <c r="U50" s="72"/>
      <c r="V50" s="166"/>
      <c r="W50" s="167"/>
      <c r="X50" s="168"/>
      <c r="Y50" s="72"/>
      <c r="Z50" s="72"/>
    </row>
    <row r="51" spans="1:26" ht="18" customHeight="1" x14ac:dyDescent="0.15">
      <c r="A51" s="13"/>
      <c r="B51" s="175"/>
      <c r="C51" s="176"/>
      <c r="D51" s="176"/>
      <c r="E51" s="176"/>
      <c r="F51" s="177"/>
      <c r="G51" s="72"/>
      <c r="H51" s="72"/>
      <c r="I51" s="166"/>
      <c r="J51" s="167"/>
      <c r="K51" s="168"/>
      <c r="L51" s="72"/>
      <c r="M51" s="72"/>
      <c r="N51" s="160"/>
      <c r="O51" s="161"/>
      <c r="P51" s="161"/>
      <c r="Q51" s="161"/>
      <c r="R51" s="161"/>
      <c r="S51" s="162"/>
      <c r="T51" s="72"/>
      <c r="U51" s="72"/>
      <c r="V51" s="166"/>
      <c r="W51" s="167"/>
      <c r="X51" s="168"/>
      <c r="Y51" s="72"/>
      <c r="Z51" s="72"/>
    </row>
    <row r="52" spans="1:26" ht="18" customHeight="1" x14ac:dyDescent="0.15">
      <c r="A52" s="13"/>
      <c r="B52" s="175"/>
      <c r="C52" s="176"/>
      <c r="D52" s="176"/>
      <c r="E52" s="176"/>
      <c r="F52" s="177"/>
      <c r="G52" s="72"/>
      <c r="H52" s="72"/>
      <c r="I52" s="166"/>
      <c r="J52" s="167"/>
      <c r="K52" s="168"/>
      <c r="L52" s="72"/>
      <c r="M52" s="72"/>
      <c r="N52" s="160"/>
      <c r="O52" s="161"/>
      <c r="P52" s="161"/>
      <c r="Q52" s="161"/>
      <c r="R52" s="161"/>
      <c r="S52" s="162"/>
      <c r="T52" s="72"/>
      <c r="U52" s="72"/>
      <c r="V52" s="166"/>
      <c r="W52" s="167"/>
      <c r="X52" s="168"/>
      <c r="Y52" s="72"/>
      <c r="Z52" s="72"/>
    </row>
    <row r="53" spans="1:26" ht="18" customHeight="1" x14ac:dyDescent="0.15">
      <c r="A53" s="13"/>
      <c r="B53" s="175"/>
      <c r="C53" s="176"/>
      <c r="D53" s="176"/>
      <c r="E53" s="176"/>
      <c r="F53" s="177"/>
      <c r="G53" s="72"/>
      <c r="H53" s="72"/>
      <c r="I53" s="166"/>
      <c r="J53" s="167"/>
      <c r="K53" s="168"/>
      <c r="L53" s="72"/>
      <c r="M53" s="72"/>
      <c r="N53" s="160"/>
      <c r="O53" s="161"/>
      <c r="P53" s="161"/>
      <c r="Q53" s="161"/>
      <c r="R53" s="161"/>
      <c r="S53" s="162"/>
      <c r="T53" s="72"/>
      <c r="U53" s="72"/>
      <c r="V53" s="166"/>
      <c r="W53" s="167"/>
      <c r="X53" s="168"/>
      <c r="Y53" s="72"/>
      <c r="Z53" s="72"/>
    </row>
    <row r="54" spans="1:26" ht="18" customHeight="1" x14ac:dyDescent="0.15">
      <c r="A54" s="13"/>
      <c r="B54" s="175"/>
      <c r="C54" s="176"/>
      <c r="D54" s="176"/>
      <c r="E54" s="176"/>
      <c r="F54" s="177"/>
      <c r="G54" s="72"/>
      <c r="H54" s="72"/>
      <c r="I54" s="166"/>
      <c r="J54" s="167"/>
      <c r="K54" s="168"/>
      <c r="L54" s="72"/>
      <c r="M54" s="72"/>
      <c r="N54" s="160"/>
      <c r="O54" s="161"/>
      <c r="P54" s="161"/>
      <c r="Q54" s="161"/>
      <c r="R54" s="161"/>
      <c r="S54" s="162"/>
      <c r="T54" s="72"/>
      <c r="U54" s="72"/>
      <c r="V54" s="166"/>
      <c r="W54" s="167"/>
      <c r="X54" s="168"/>
      <c r="Y54" s="72"/>
      <c r="Z54" s="72"/>
    </row>
    <row r="55" spans="1:26" ht="18" customHeight="1" x14ac:dyDescent="0.15">
      <c r="A55" s="13"/>
      <c r="B55" s="178"/>
      <c r="C55" s="179"/>
      <c r="D55" s="179"/>
      <c r="E55" s="179"/>
      <c r="F55" s="180"/>
      <c r="G55" s="73"/>
      <c r="H55" s="73"/>
      <c r="I55" s="169"/>
      <c r="J55" s="170"/>
      <c r="K55" s="171"/>
      <c r="L55" s="77"/>
      <c r="M55" s="77"/>
      <c r="N55" s="163"/>
      <c r="O55" s="164"/>
      <c r="P55" s="164"/>
      <c r="Q55" s="164"/>
      <c r="R55" s="164"/>
      <c r="S55" s="165"/>
      <c r="T55" s="73"/>
      <c r="U55" s="73"/>
      <c r="V55" s="169"/>
      <c r="W55" s="170"/>
      <c r="X55" s="171"/>
      <c r="Y55" s="77"/>
      <c r="Z55" s="77"/>
    </row>
    <row r="56" spans="1:26" ht="7.5" customHeight="1" x14ac:dyDescent="0.15">
      <c r="B56" s="50"/>
      <c r="C56" s="50"/>
      <c r="D56" s="50"/>
      <c r="E56" s="50"/>
      <c r="F56" s="50"/>
      <c r="G56" s="50"/>
      <c r="H56" s="50"/>
      <c r="I56" s="50"/>
      <c r="J56" s="50"/>
      <c r="K56" s="50"/>
      <c r="L56" s="50"/>
      <c r="M56" s="50"/>
      <c r="N56" s="50"/>
      <c r="O56" s="50"/>
      <c r="P56" s="50"/>
      <c r="Q56" s="50"/>
      <c r="R56" s="50"/>
      <c r="S56" s="50"/>
      <c r="T56" s="50"/>
      <c r="U56" s="50"/>
      <c r="V56" s="50"/>
      <c r="W56" s="50"/>
      <c r="X56" s="50"/>
      <c r="Y56" s="50"/>
    </row>
    <row r="57" spans="1:26" ht="18" customHeight="1" x14ac:dyDescent="0.15">
      <c r="A57" s="218" t="s">
        <v>132</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8" customHeight="1" x14ac:dyDescent="0.15">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8" customHeight="1" x14ac:dyDescent="0.15">
      <c r="A59" s="9"/>
      <c r="B59" s="172" t="s">
        <v>99</v>
      </c>
      <c r="C59" s="173"/>
      <c r="D59" s="173"/>
      <c r="E59" s="174"/>
      <c r="F59" s="14" t="s">
        <v>140</v>
      </c>
      <c r="G59" s="70" t="s">
        <v>139</v>
      </c>
      <c r="H59" s="65" t="s">
        <v>100</v>
      </c>
      <c r="I59" s="66"/>
      <c r="J59" s="67"/>
      <c r="K59" s="48" t="s">
        <v>104</v>
      </c>
      <c r="L59" s="48" t="s">
        <v>133</v>
      </c>
      <c r="M59" s="48" t="s">
        <v>134</v>
      </c>
      <c r="N59" s="172" t="s">
        <v>99</v>
      </c>
      <c r="O59" s="173"/>
      <c r="P59" s="173"/>
      <c r="Q59" s="173"/>
      <c r="R59" s="174"/>
      <c r="S59" s="14" t="s">
        <v>140</v>
      </c>
      <c r="T59" s="70" t="s">
        <v>139</v>
      </c>
      <c r="U59" s="65" t="s">
        <v>100</v>
      </c>
      <c r="V59" s="66"/>
      <c r="W59" s="67"/>
      <c r="X59" s="48" t="s">
        <v>104</v>
      </c>
      <c r="Y59" s="48" t="s">
        <v>133</v>
      </c>
      <c r="Z59" s="48" t="s">
        <v>134</v>
      </c>
    </row>
    <row r="60" spans="1:26" ht="18" customHeight="1" x14ac:dyDescent="0.15">
      <c r="A60" s="13"/>
      <c r="B60" s="157" t="s">
        <v>156</v>
      </c>
      <c r="C60" s="158"/>
      <c r="D60" s="158"/>
      <c r="E60" s="159"/>
      <c r="F60" s="71">
        <v>2</v>
      </c>
      <c r="G60" s="71" t="s">
        <v>158</v>
      </c>
      <c r="H60" s="188" t="s">
        <v>157</v>
      </c>
      <c r="I60" s="189"/>
      <c r="J60" s="190"/>
      <c r="K60" s="76" t="s">
        <v>160</v>
      </c>
      <c r="L60" s="71" t="s">
        <v>158</v>
      </c>
      <c r="M60" s="71" t="s">
        <v>158</v>
      </c>
      <c r="N60" s="157"/>
      <c r="O60" s="158"/>
      <c r="P60" s="158"/>
      <c r="Q60" s="158"/>
      <c r="R60" s="159"/>
      <c r="S60" s="71"/>
      <c r="T60" s="71"/>
      <c r="U60" s="188"/>
      <c r="V60" s="189"/>
      <c r="W60" s="190"/>
      <c r="X60" s="76"/>
      <c r="Y60" s="71"/>
      <c r="Z60" s="71"/>
    </row>
    <row r="61" spans="1:26" ht="18" customHeight="1" x14ac:dyDescent="0.15">
      <c r="A61" s="13"/>
      <c r="B61" s="160"/>
      <c r="C61" s="161"/>
      <c r="D61" s="161"/>
      <c r="E61" s="162"/>
      <c r="F61" s="72"/>
      <c r="G61" s="72"/>
      <c r="H61" s="166"/>
      <c r="I61" s="167"/>
      <c r="J61" s="168"/>
      <c r="K61" s="74"/>
      <c r="L61" s="72"/>
      <c r="M61" s="72"/>
      <c r="N61" s="160"/>
      <c r="O61" s="161"/>
      <c r="P61" s="161"/>
      <c r="Q61" s="161"/>
      <c r="R61" s="162"/>
      <c r="S61" s="72"/>
      <c r="T61" s="72"/>
      <c r="U61" s="166"/>
      <c r="V61" s="167"/>
      <c r="W61" s="168"/>
      <c r="X61" s="74"/>
      <c r="Y61" s="72"/>
      <c r="Z61" s="72"/>
    </row>
    <row r="62" spans="1:26" ht="18" customHeight="1" x14ac:dyDescent="0.15">
      <c r="A62" s="13"/>
      <c r="B62" s="160"/>
      <c r="C62" s="161"/>
      <c r="D62" s="161"/>
      <c r="E62" s="162"/>
      <c r="F62" s="72"/>
      <c r="G62" s="72"/>
      <c r="H62" s="166"/>
      <c r="I62" s="167"/>
      <c r="J62" s="168"/>
      <c r="K62" s="74"/>
      <c r="L62" s="72"/>
      <c r="M62" s="72"/>
      <c r="N62" s="160"/>
      <c r="O62" s="161"/>
      <c r="P62" s="161"/>
      <c r="Q62" s="161"/>
      <c r="R62" s="162"/>
      <c r="S62" s="72"/>
      <c r="T62" s="72"/>
      <c r="U62" s="166"/>
      <c r="V62" s="167"/>
      <c r="W62" s="168"/>
      <c r="X62" s="74"/>
      <c r="Y62" s="72"/>
      <c r="Z62" s="72"/>
    </row>
    <row r="63" spans="1:26" ht="18" customHeight="1" x14ac:dyDescent="0.15">
      <c r="A63" s="13"/>
      <c r="B63" s="160"/>
      <c r="C63" s="161"/>
      <c r="D63" s="161"/>
      <c r="E63" s="162"/>
      <c r="F63" s="72"/>
      <c r="G63" s="72"/>
      <c r="H63" s="166"/>
      <c r="I63" s="167"/>
      <c r="J63" s="168"/>
      <c r="K63" s="74"/>
      <c r="L63" s="72"/>
      <c r="M63" s="72"/>
      <c r="N63" s="160"/>
      <c r="O63" s="161"/>
      <c r="P63" s="161"/>
      <c r="Q63" s="161"/>
      <c r="R63" s="162"/>
      <c r="S63" s="72"/>
      <c r="T63" s="72"/>
      <c r="U63" s="166"/>
      <c r="V63" s="167"/>
      <c r="W63" s="168"/>
      <c r="X63" s="74"/>
      <c r="Y63" s="72"/>
      <c r="Z63" s="72"/>
    </row>
    <row r="64" spans="1:26" ht="18" customHeight="1" x14ac:dyDescent="0.15">
      <c r="A64" s="13"/>
      <c r="B64" s="160"/>
      <c r="C64" s="161"/>
      <c r="D64" s="161"/>
      <c r="E64" s="162"/>
      <c r="F64" s="72"/>
      <c r="G64" s="72"/>
      <c r="H64" s="166"/>
      <c r="I64" s="167"/>
      <c r="J64" s="168"/>
      <c r="K64" s="74"/>
      <c r="L64" s="72"/>
      <c r="M64" s="72"/>
      <c r="N64" s="160"/>
      <c r="O64" s="161"/>
      <c r="P64" s="161"/>
      <c r="Q64" s="161"/>
      <c r="R64" s="162"/>
      <c r="S64" s="72"/>
      <c r="T64" s="72"/>
      <c r="U64" s="166"/>
      <c r="V64" s="167"/>
      <c r="W64" s="168"/>
      <c r="X64" s="74"/>
      <c r="Y64" s="72"/>
      <c r="Z64" s="72"/>
    </row>
    <row r="65" spans="1:26" ht="18" customHeight="1" x14ac:dyDescent="0.15">
      <c r="A65" s="13"/>
      <c r="B65" s="160"/>
      <c r="C65" s="161"/>
      <c r="D65" s="161"/>
      <c r="E65" s="162"/>
      <c r="F65" s="72"/>
      <c r="G65" s="72"/>
      <c r="H65" s="166"/>
      <c r="I65" s="167"/>
      <c r="J65" s="168"/>
      <c r="K65" s="74"/>
      <c r="L65" s="72"/>
      <c r="M65" s="72"/>
      <c r="N65" s="160"/>
      <c r="O65" s="161"/>
      <c r="P65" s="161"/>
      <c r="Q65" s="161"/>
      <c r="R65" s="162"/>
      <c r="S65" s="72"/>
      <c r="T65" s="72"/>
      <c r="U65" s="166"/>
      <c r="V65" s="167"/>
      <c r="W65" s="168"/>
      <c r="X65" s="74"/>
      <c r="Y65" s="72"/>
      <c r="Z65" s="72"/>
    </row>
    <row r="66" spans="1:26" ht="18" customHeight="1" x14ac:dyDescent="0.15">
      <c r="A66" s="13"/>
      <c r="B66" s="163"/>
      <c r="C66" s="164"/>
      <c r="D66" s="164"/>
      <c r="E66" s="165"/>
      <c r="F66" s="73"/>
      <c r="G66" s="73"/>
      <c r="H66" s="169"/>
      <c r="I66" s="170"/>
      <c r="J66" s="171"/>
      <c r="K66" s="75"/>
      <c r="L66" s="77"/>
      <c r="M66" s="77"/>
      <c r="N66" s="163"/>
      <c r="O66" s="164"/>
      <c r="P66" s="164"/>
      <c r="Q66" s="164"/>
      <c r="R66" s="165"/>
      <c r="S66" s="73"/>
      <c r="T66" s="73"/>
      <c r="U66" s="169"/>
      <c r="V66" s="170"/>
      <c r="W66" s="171"/>
      <c r="X66" s="75"/>
      <c r="Y66" s="77"/>
      <c r="Z66" s="77"/>
    </row>
    <row r="67" spans="1:26" ht="7.5" customHeight="1" x14ac:dyDescent="0.15">
      <c r="B67" s="50"/>
      <c r="C67" s="50"/>
      <c r="D67" s="50"/>
      <c r="E67" s="50"/>
      <c r="F67" s="50"/>
      <c r="G67" s="50"/>
      <c r="H67" s="50"/>
      <c r="I67" s="50"/>
      <c r="J67" s="50"/>
      <c r="K67" s="50"/>
      <c r="L67" s="50"/>
      <c r="M67" s="50"/>
      <c r="N67" s="50"/>
      <c r="O67" s="50"/>
      <c r="P67" s="50"/>
      <c r="Q67" s="50"/>
      <c r="R67" s="50"/>
      <c r="S67" s="50"/>
      <c r="T67" s="50"/>
      <c r="U67" s="50"/>
      <c r="V67" s="50"/>
      <c r="W67" s="50"/>
      <c r="X67" s="50"/>
      <c r="Y67" s="50"/>
    </row>
    <row r="68" spans="1:26" ht="18" customHeight="1" x14ac:dyDescent="0.15">
      <c r="A68" s="9" t="s">
        <v>135</v>
      </c>
      <c r="B68" s="9"/>
      <c r="C68" s="9"/>
      <c r="D68" s="9"/>
      <c r="E68" s="9"/>
      <c r="F68" s="9"/>
      <c r="G68" s="9"/>
      <c r="H68" s="9"/>
      <c r="I68" s="9"/>
      <c r="J68" s="9"/>
      <c r="K68" s="9"/>
      <c r="L68" s="13"/>
      <c r="M68" s="13"/>
      <c r="N68" s="13"/>
      <c r="O68" s="13"/>
      <c r="P68" s="13"/>
      <c r="Q68" s="13"/>
      <c r="R68" s="13"/>
      <c r="S68" s="13"/>
      <c r="T68" s="13"/>
      <c r="U68" s="13"/>
      <c r="V68" s="13"/>
      <c r="W68" s="13"/>
      <c r="X68" s="13"/>
      <c r="Y68" s="13"/>
      <c r="Z68" s="13"/>
    </row>
    <row r="69" spans="1:26" ht="18" customHeight="1" x14ac:dyDescent="0.15">
      <c r="A69" s="9"/>
      <c r="B69" s="172" t="s">
        <v>99</v>
      </c>
      <c r="C69" s="173"/>
      <c r="D69" s="173"/>
      <c r="E69" s="173"/>
      <c r="F69" s="174"/>
      <c r="G69" s="172" t="s">
        <v>145</v>
      </c>
      <c r="H69" s="173"/>
      <c r="I69" s="173"/>
      <c r="J69" s="173"/>
      <c r="K69" s="173"/>
      <c r="L69" s="173"/>
      <c r="M69" s="174"/>
      <c r="N69" s="185" t="s">
        <v>99</v>
      </c>
      <c r="O69" s="186"/>
      <c r="P69" s="186"/>
      <c r="Q69" s="186"/>
      <c r="R69" s="186"/>
      <c r="S69" s="187"/>
      <c r="T69" s="172" t="s">
        <v>145</v>
      </c>
      <c r="U69" s="173"/>
      <c r="V69" s="173"/>
      <c r="W69" s="173"/>
      <c r="X69" s="173"/>
      <c r="Y69" s="173"/>
      <c r="Z69" s="174"/>
    </row>
    <row r="70" spans="1:26" ht="18" customHeight="1" x14ac:dyDescent="0.15">
      <c r="A70" s="13"/>
      <c r="B70" s="157"/>
      <c r="C70" s="158"/>
      <c r="D70" s="158"/>
      <c r="E70" s="158"/>
      <c r="F70" s="159"/>
      <c r="G70" s="230"/>
      <c r="H70" s="231"/>
      <c r="I70" s="231"/>
      <c r="J70" s="231"/>
      <c r="K70" s="231"/>
      <c r="L70" s="231"/>
      <c r="M70" s="232"/>
      <c r="N70" s="157"/>
      <c r="O70" s="158"/>
      <c r="P70" s="158"/>
      <c r="Q70" s="158"/>
      <c r="R70" s="158"/>
      <c r="S70" s="159"/>
      <c r="T70" s="230"/>
      <c r="U70" s="231"/>
      <c r="V70" s="231"/>
      <c r="W70" s="231"/>
      <c r="X70" s="231"/>
      <c r="Y70" s="231"/>
      <c r="Z70" s="232"/>
    </row>
    <row r="71" spans="1:26" ht="18" customHeight="1" x14ac:dyDescent="0.15">
      <c r="A71" s="13"/>
      <c r="B71" s="160"/>
      <c r="C71" s="161"/>
      <c r="D71" s="161"/>
      <c r="E71" s="161"/>
      <c r="F71" s="162"/>
      <c r="G71" s="206"/>
      <c r="H71" s="207"/>
      <c r="I71" s="207"/>
      <c r="J71" s="207"/>
      <c r="K71" s="207"/>
      <c r="L71" s="207"/>
      <c r="M71" s="208"/>
      <c r="N71" s="160"/>
      <c r="O71" s="161"/>
      <c r="P71" s="161"/>
      <c r="Q71" s="161"/>
      <c r="R71" s="161"/>
      <c r="S71" s="162"/>
      <c r="T71" s="206"/>
      <c r="U71" s="207"/>
      <c r="V71" s="207"/>
      <c r="W71" s="207"/>
      <c r="X71" s="207"/>
      <c r="Y71" s="207"/>
      <c r="Z71" s="208"/>
    </row>
    <row r="72" spans="1:26" ht="18" customHeight="1" x14ac:dyDescent="0.15">
      <c r="A72" s="13"/>
      <c r="B72" s="160"/>
      <c r="C72" s="161"/>
      <c r="D72" s="161"/>
      <c r="E72" s="161"/>
      <c r="F72" s="162"/>
      <c r="G72" s="206"/>
      <c r="H72" s="207"/>
      <c r="I72" s="207"/>
      <c r="J72" s="207"/>
      <c r="K72" s="207"/>
      <c r="L72" s="207"/>
      <c r="M72" s="208"/>
      <c r="N72" s="160"/>
      <c r="O72" s="161"/>
      <c r="P72" s="161"/>
      <c r="Q72" s="161"/>
      <c r="R72" s="161"/>
      <c r="S72" s="162"/>
      <c r="T72" s="206"/>
      <c r="U72" s="207"/>
      <c r="V72" s="207"/>
      <c r="W72" s="207"/>
      <c r="X72" s="207"/>
      <c r="Y72" s="207"/>
      <c r="Z72" s="208"/>
    </row>
    <row r="73" spans="1:26" ht="18" customHeight="1" x14ac:dyDescent="0.15">
      <c r="A73" s="13"/>
      <c r="B73" s="160"/>
      <c r="C73" s="161"/>
      <c r="D73" s="161"/>
      <c r="E73" s="161"/>
      <c r="F73" s="162"/>
      <c r="G73" s="206"/>
      <c r="H73" s="207"/>
      <c r="I73" s="207"/>
      <c r="J73" s="207"/>
      <c r="K73" s="207"/>
      <c r="L73" s="207"/>
      <c r="M73" s="208"/>
      <c r="N73" s="160"/>
      <c r="O73" s="161"/>
      <c r="P73" s="161"/>
      <c r="Q73" s="161"/>
      <c r="R73" s="161"/>
      <c r="S73" s="162"/>
      <c r="T73" s="206"/>
      <c r="U73" s="207"/>
      <c r="V73" s="207"/>
      <c r="W73" s="207"/>
      <c r="X73" s="207"/>
      <c r="Y73" s="207"/>
      <c r="Z73" s="208"/>
    </row>
    <row r="74" spans="1:26" ht="18" customHeight="1" x14ac:dyDescent="0.15">
      <c r="A74" s="13"/>
      <c r="B74" s="160"/>
      <c r="C74" s="161"/>
      <c r="D74" s="161"/>
      <c r="E74" s="161"/>
      <c r="F74" s="162"/>
      <c r="G74" s="206"/>
      <c r="H74" s="207"/>
      <c r="I74" s="207"/>
      <c r="J74" s="207"/>
      <c r="K74" s="207"/>
      <c r="L74" s="207"/>
      <c r="M74" s="208"/>
      <c r="N74" s="160"/>
      <c r="O74" s="161"/>
      <c r="P74" s="161"/>
      <c r="Q74" s="161"/>
      <c r="R74" s="161"/>
      <c r="S74" s="162"/>
      <c r="T74" s="206"/>
      <c r="U74" s="207"/>
      <c r="V74" s="207"/>
      <c r="W74" s="207"/>
      <c r="X74" s="207"/>
      <c r="Y74" s="207"/>
      <c r="Z74" s="208"/>
    </row>
    <row r="75" spans="1:26" ht="18" customHeight="1" x14ac:dyDescent="0.15">
      <c r="A75" s="13"/>
      <c r="B75" s="160"/>
      <c r="C75" s="161"/>
      <c r="D75" s="161"/>
      <c r="E75" s="161"/>
      <c r="F75" s="162"/>
      <c r="G75" s="206"/>
      <c r="H75" s="207"/>
      <c r="I75" s="207"/>
      <c r="J75" s="207"/>
      <c r="K75" s="207"/>
      <c r="L75" s="207"/>
      <c r="M75" s="208"/>
      <c r="N75" s="160"/>
      <c r="O75" s="161"/>
      <c r="P75" s="161"/>
      <c r="Q75" s="161"/>
      <c r="R75" s="161"/>
      <c r="S75" s="162"/>
      <c r="T75" s="206"/>
      <c r="U75" s="207"/>
      <c r="V75" s="207"/>
      <c r="W75" s="207"/>
      <c r="X75" s="207"/>
      <c r="Y75" s="207"/>
      <c r="Z75" s="208"/>
    </row>
    <row r="76" spans="1:26" ht="18" customHeight="1" x14ac:dyDescent="0.15">
      <c r="A76" s="13"/>
      <c r="B76" s="163"/>
      <c r="C76" s="164"/>
      <c r="D76" s="164"/>
      <c r="E76" s="164"/>
      <c r="F76" s="165"/>
      <c r="G76" s="203"/>
      <c r="H76" s="204"/>
      <c r="I76" s="204"/>
      <c r="J76" s="204"/>
      <c r="K76" s="204"/>
      <c r="L76" s="204"/>
      <c r="M76" s="205"/>
      <c r="N76" s="163"/>
      <c r="O76" s="164"/>
      <c r="P76" s="164"/>
      <c r="Q76" s="164"/>
      <c r="R76" s="164"/>
      <c r="S76" s="165"/>
      <c r="T76" s="203"/>
      <c r="U76" s="204"/>
      <c r="V76" s="204"/>
      <c r="W76" s="204"/>
      <c r="X76" s="204"/>
      <c r="Y76" s="204"/>
      <c r="Z76" s="205"/>
    </row>
    <row r="77" spans="1:26" ht="18" customHeight="1" x14ac:dyDescent="0.15">
      <c r="A77" s="13"/>
      <c r="B77" s="47"/>
      <c r="C77" s="47"/>
      <c r="D77" s="47"/>
      <c r="E77" s="47"/>
      <c r="F77" s="47"/>
      <c r="G77" s="7"/>
      <c r="H77" s="7"/>
      <c r="I77" s="7"/>
      <c r="J77" s="7"/>
      <c r="K77" s="7"/>
      <c r="L77" s="7"/>
      <c r="M77" s="7"/>
      <c r="N77" s="47"/>
      <c r="O77" s="47"/>
      <c r="P77" s="47"/>
      <c r="Q77" s="47"/>
      <c r="R77" s="47"/>
      <c r="S77" s="47"/>
      <c r="T77" s="7"/>
      <c r="U77" s="7"/>
      <c r="V77" s="7"/>
      <c r="W77" s="7"/>
      <c r="X77" s="7"/>
      <c r="Y77" s="7"/>
      <c r="Z77" s="7"/>
    </row>
    <row r="78" spans="1:26" ht="18.75" customHeight="1" x14ac:dyDescent="0.15">
      <c r="A78" s="8" t="s">
        <v>141</v>
      </c>
    </row>
    <row r="79" spans="1:26" ht="18.75" customHeight="1" x14ac:dyDescent="0.15">
      <c r="B79" s="51" t="s">
        <v>101</v>
      </c>
      <c r="C79" s="52"/>
      <c r="D79" s="248" t="s">
        <v>102</v>
      </c>
      <c r="E79" s="248"/>
      <c r="F79" s="248"/>
      <c r="G79" s="248"/>
      <c r="H79" s="248"/>
      <c r="I79" s="248"/>
      <c r="J79" s="248"/>
      <c r="K79" s="248"/>
      <c r="L79" s="248"/>
      <c r="M79" s="248"/>
      <c r="N79" s="248"/>
      <c r="O79" s="248"/>
      <c r="P79" s="248"/>
      <c r="Q79" s="248"/>
      <c r="R79" s="248"/>
      <c r="S79" s="248"/>
      <c r="T79" s="248"/>
      <c r="U79" s="248"/>
      <c r="V79" s="248"/>
      <c r="W79" s="248"/>
      <c r="X79" s="248"/>
      <c r="Y79" s="248"/>
      <c r="Z79" s="249"/>
    </row>
    <row r="80" spans="1:26" ht="78" customHeight="1" x14ac:dyDescent="0.15">
      <c r="B80" s="238" t="s">
        <v>108</v>
      </c>
      <c r="C80" s="56" t="s">
        <v>103</v>
      </c>
      <c r="D80" s="250" t="s">
        <v>161</v>
      </c>
      <c r="E80" s="244"/>
      <c r="F80" s="244"/>
      <c r="G80" s="244"/>
      <c r="H80" s="244"/>
      <c r="I80" s="244"/>
      <c r="J80" s="244"/>
      <c r="K80" s="244"/>
      <c r="L80" s="244"/>
      <c r="M80" s="244"/>
      <c r="N80" s="244"/>
      <c r="O80" s="244"/>
      <c r="P80" s="244"/>
      <c r="Q80" s="244"/>
      <c r="R80" s="244"/>
      <c r="S80" s="244"/>
      <c r="T80" s="244"/>
      <c r="U80" s="244"/>
      <c r="V80" s="244"/>
      <c r="W80" s="244"/>
      <c r="X80" s="244"/>
      <c r="Y80" s="244"/>
      <c r="Z80" s="245"/>
    </row>
    <row r="81" spans="1:26" ht="78" customHeight="1" x14ac:dyDescent="0.15">
      <c r="B81" s="239"/>
      <c r="C81" s="68" t="s">
        <v>136</v>
      </c>
      <c r="D81" s="209" t="s">
        <v>162</v>
      </c>
      <c r="E81" s="209"/>
      <c r="F81" s="209"/>
      <c r="G81" s="209"/>
      <c r="H81" s="209"/>
      <c r="I81" s="209"/>
      <c r="J81" s="209"/>
      <c r="K81" s="209"/>
      <c r="L81" s="209"/>
      <c r="M81" s="209"/>
      <c r="N81" s="209"/>
      <c r="O81" s="209"/>
      <c r="P81" s="209"/>
      <c r="Q81" s="209"/>
      <c r="R81" s="209"/>
      <c r="S81" s="209"/>
      <c r="T81" s="209"/>
      <c r="U81" s="209"/>
      <c r="V81" s="209"/>
      <c r="W81" s="209"/>
      <c r="X81" s="209"/>
      <c r="Y81" s="209"/>
      <c r="Z81" s="210"/>
    </row>
    <row r="82" spans="1:26" ht="78" customHeight="1" x14ac:dyDescent="0.15">
      <c r="B82" s="236" t="s">
        <v>109</v>
      </c>
      <c r="C82" s="53" t="s">
        <v>126</v>
      </c>
      <c r="D82" s="211" t="s">
        <v>163</v>
      </c>
      <c r="E82" s="211"/>
      <c r="F82" s="211"/>
      <c r="G82" s="211"/>
      <c r="H82" s="211"/>
      <c r="I82" s="211"/>
      <c r="J82" s="211"/>
      <c r="K82" s="211"/>
      <c r="L82" s="211"/>
      <c r="M82" s="211"/>
      <c r="N82" s="211"/>
      <c r="O82" s="211"/>
      <c r="P82" s="211"/>
      <c r="Q82" s="211"/>
      <c r="R82" s="211"/>
      <c r="S82" s="211"/>
      <c r="T82" s="211"/>
      <c r="U82" s="211"/>
      <c r="V82" s="211"/>
      <c r="W82" s="211"/>
      <c r="X82" s="211"/>
      <c r="Y82" s="211"/>
      <c r="Z82" s="212"/>
    </row>
    <row r="83" spans="1:26" ht="78" customHeight="1" x14ac:dyDescent="0.15">
      <c r="B83" s="237"/>
      <c r="C83" s="69" t="s">
        <v>127</v>
      </c>
      <c r="D83" s="216" t="s">
        <v>164</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x14ac:dyDescent="0.15">
      <c r="B84" s="236" t="s">
        <v>110</v>
      </c>
      <c r="C84" s="53" t="s">
        <v>129</v>
      </c>
      <c r="D84" s="211" t="s">
        <v>165</v>
      </c>
      <c r="E84" s="211"/>
      <c r="F84" s="211"/>
      <c r="G84" s="211"/>
      <c r="H84" s="211"/>
      <c r="I84" s="211"/>
      <c r="J84" s="211"/>
      <c r="K84" s="211"/>
      <c r="L84" s="211"/>
      <c r="M84" s="211"/>
      <c r="N84" s="211"/>
      <c r="O84" s="211"/>
      <c r="P84" s="211"/>
      <c r="Q84" s="211"/>
      <c r="R84" s="211"/>
      <c r="S84" s="211"/>
      <c r="T84" s="211"/>
      <c r="U84" s="211"/>
      <c r="V84" s="211"/>
      <c r="W84" s="211"/>
      <c r="X84" s="211"/>
      <c r="Y84" s="211"/>
      <c r="Z84" s="212"/>
    </row>
    <row r="85" spans="1:26" ht="66" customHeight="1" x14ac:dyDescent="0.15">
      <c r="B85" s="237"/>
      <c r="C85" s="55" t="s">
        <v>130</v>
      </c>
      <c r="D85" s="213" t="s">
        <v>166</v>
      </c>
      <c r="E85" s="214"/>
      <c r="F85" s="214"/>
      <c r="G85" s="214"/>
      <c r="H85" s="214"/>
      <c r="I85" s="214"/>
      <c r="J85" s="214"/>
      <c r="K85" s="214"/>
      <c r="L85" s="214"/>
      <c r="M85" s="214"/>
      <c r="N85" s="214"/>
      <c r="O85" s="214"/>
      <c r="P85" s="214"/>
      <c r="Q85" s="214"/>
      <c r="R85" s="214"/>
      <c r="S85" s="214"/>
      <c r="T85" s="214"/>
      <c r="U85" s="214"/>
      <c r="V85" s="214"/>
      <c r="W85" s="214"/>
      <c r="X85" s="214"/>
      <c r="Y85" s="214"/>
      <c r="Z85" s="215"/>
    </row>
    <row r="86" spans="1:26" ht="66" customHeight="1" x14ac:dyDescent="0.15">
      <c r="B86" s="238" t="s">
        <v>137</v>
      </c>
      <c r="C86" s="56" t="s">
        <v>105</v>
      </c>
      <c r="D86" s="244" t="s">
        <v>167</v>
      </c>
      <c r="E86" s="244"/>
      <c r="F86" s="244"/>
      <c r="G86" s="244"/>
      <c r="H86" s="244"/>
      <c r="I86" s="244"/>
      <c r="J86" s="244"/>
      <c r="K86" s="244"/>
      <c r="L86" s="244"/>
      <c r="M86" s="244"/>
      <c r="N86" s="244"/>
      <c r="O86" s="244"/>
      <c r="P86" s="244"/>
      <c r="Q86" s="244"/>
      <c r="R86" s="244"/>
      <c r="S86" s="244"/>
      <c r="T86" s="244"/>
      <c r="U86" s="244"/>
      <c r="V86" s="244"/>
      <c r="W86" s="244"/>
      <c r="X86" s="244"/>
      <c r="Y86" s="244"/>
      <c r="Z86" s="245"/>
    </row>
    <row r="87" spans="1:26" ht="66" customHeight="1" x14ac:dyDescent="0.15">
      <c r="B87" s="243"/>
      <c r="C87" s="54" t="s">
        <v>107</v>
      </c>
      <c r="D87" s="246" t="s">
        <v>168</v>
      </c>
      <c r="E87" s="246"/>
      <c r="F87" s="246"/>
      <c r="G87" s="246"/>
      <c r="H87" s="246"/>
      <c r="I87" s="246"/>
      <c r="J87" s="246"/>
      <c r="K87" s="246"/>
      <c r="L87" s="246"/>
      <c r="M87" s="246"/>
      <c r="N87" s="246"/>
      <c r="O87" s="246"/>
      <c r="P87" s="246"/>
      <c r="Q87" s="246"/>
      <c r="R87" s="246"/>
      <c r="S87" s="246"/>
      <c r="T87" s="246"/>
      <c r="U87" s="246"/>
      <c r="V87" s="246"/>
      <c r="W87" s="246"/>
      <c r="X87" s="246"/>
      <c r="Y87" s="246"/>
      <c r="Z87" s="247"/>
    </row>
    <row r="88" spans="1:26" ht="66" customHeight="1" x14ac:dyDescent="0.15">
      <c r="B88" s="238" t="s">
        <v>138</v>
      </c>
      <c r="C88" s="53" t="s">
        <v>104</v>
      </c>
      <c r="D88" s="240" t="s">
        <v>169</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66" customHeight="1" x14ac:dyDescent="0.15">
      <c r="B89" s="239"/>
      <c r="C89" s="54" t="s">
        <v>133</v>
      </c>
      <c r="D89" s="233" t="s">
        <v>170</v>
      </c>
      <c r="E89" s="234"/>
      <c r="F89" s="234"/>
      <c r="G89" s="234"/>
      <c r="H89" s="234"/>
      <c r="I89" s="234"/>
      <c r="J89" s="234"/>
      <c r="K89" s="234"/>
      <c r="L89" s="234"/>
      <c r="M89" s="234"/>
      <c r="N89" s="234"/>
      <c r="O89" s="234"/>
      <c r="P89" s="234"/>
      <c r="Q89" s="234"/>
      <c r="R89" s="234"/>
      <c r="S89" s="234"/>
      <c r="T89" s="234"/>
      <c r="U89" s="234"/>
      <c r="V89" s="234"/>
      <c r="W89" s="234"/>
      <c r="X89" s="234"/>
      <c r="Y89" s="234"/>
      <c r="Z89" s="235"/>
    </row>
    <row r="90" spans="1:26" ht="66" customHeight="1" x14ac:dyDescent="0.15">
      <c r="B90" s="237"/>
      <c r="C90" s="55" t="s">
        <v>134</v>
      </c>
      <c r="D90" s="240" t="s">
        <v>171</v>
      </c>
      <c r="E90" s="241"/>
      <c r="F90" s="241"/>
      <c r="G90" s="241"/>
      <c r="H90" s="241"/>
      <c r="I90" s="241"/>
      <c r="J90" s="241"/>
      <c r="K90" s="241"/>
      <c r="L90" s="241"/>
      <c r="M90" s="241"/>
      <c r="N90" s="241"/>
      <c r="O90" s="241"/>
      <c r="P90" s="241"/>
      <c r="Q90" s="241"/>
      <c r="R90" s="241"/>
      <c r="S90" s="241"/>
      <c r="T90" s="241"/>
      <c r="U90" s="241"/>
      <c r="V90" s="241"/>
      <c r="W90" s="241"/>
      <c r="X90" s="241"/>
      <c r="Y90" s="241"/>
      <c r="Z90" s="242"/>
    </row>
    <row r="91" spans="1:26" ht="6" customHeight="1" x14ac:dyDescent="0.15"/>
    <row r="92" spans="1:26" ht="18.75" customHeight="1" x14ac:dyDescent="0.15">
      <c r="A92" s="8" t="s">
        <v>142</v>
      </c>
    </row>
    <row r="93" spans="1:26" ht="18.75" customHeight="1" x14ac:dyDescent="0.15">
      <c r="B93" s="191" t="s">
        <v>172</v>
      </c>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3"/>
    </row>
    <row r="94" spans="1:26" ht="18.75" customHeight="1" x14ac:dyDescent="0.15">
      <c r="B94" s="194"/>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6"/>
    </row>
    <row r="95" spans="1:26" ht="18.75" customHeight="1" x14ac:dyDescent="0.15">
      <c r="B95" s="197"/>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9"/>
    </row>
    <row r="96" spans="1:26" ht="6" customHeight="1" x14ac:dyDescent="0.15"/>
    <row r="97" spans="1:26" ht="15" customHeight="1" x14ac:dyDescent="0.15">
      <c r="A97" s="8" t="s">
        <v>143</v>
      </c>
    </row>
    <row r="98" spans="1:26" ht="15" customHeight="1" x14ac:dyDescent="0.15">
      <c r="B98" s="200" t="s">
        <v>198</v>
      </c>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2"/>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6"/>
  <dataValidations count="4">
    <dataValidation type="list" allowBlank="1" showInputMessage="1" showErrorMessage="1" sqref="Y16:Z22 L16:M22 Y27:Z33 L27:M33 L38:M44 Y38:Z44 L49:M55 Y49:Z55 Y60:Z66 L60:M66 H16:H22 U16:U22 H27:H33 U27:U33 H38:H44 U38:U44 H49:H55 U49:U55 G60:G66 T60:T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67860CAE-38AA-A741-9287-E3B200D7953B}"/>
  </hyperlinks>
  <printOptions horizontalCentered="1"/>
  <pageMargins left="0.78740157480314965" right="0.78740157480314965" top="0.59055118110236227" bottom="0.19685039370078741" header="0.31496062992125984" footer="0.19685039370078741"/>
  <pageSetup paperSize="9" scale="92"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4ADC-F609-864B-BEB1-1F4796D242C9}">
  <sheetPr>
    <pageSetUpPr fitToPage="1"/>
  </sheetPr>
  <dimension ref="A1:T30"/>
  <sheetViews>
    <sheetView view="pageBreakPreview" zoomScaleNormal="100" zoomScaleSheetLayoutView="100" workbookViewId="0">
      <selection activeCell="C5" sqref="C5"/>
    </sheetView>
  </sheetViews>
  <sheetFormatPr defaultColWidth="9" defaultRowHeight="18.75" customHeight="1" x14ac:dyDescent="0.15"/>
  <cols>
    <col min="1" max="1" width="2.625" style="79" customWidth="1"/>
    <col min="2" max="2" width="30" style="79" customWidth="1"/>
    <col min="3" max="17" width="6.125" style="79" customWidth="1"/>
    <col min="18" max="18" width="6.625" style="79" customWidth="1"/>
    <col min="19" max="16384" width="9" style="79"/>
  </cols>
  <sheetData>
    <row r="1" spans="1:20" ht="18" customHeight="1" x14ac:dyDescent="0.15">
      <c r="F1" s="257" t="s">
        <v>60</v>
      </c>
      <c r="G1" s="257"/>
      <c r="H1" s="257"/>
      <c r="I1" s="257"/>
      <c r="J1" s="257"/>
      <c r="K1" s="257"/>
      <c r="L1" s="257"/>
      <c r="M1" s="257"/>
      <c r="N1" s="257"/>
      <c r="O1" s="257"/>
      <c r="P1" s="257"/>
      <c r="Q1" s="257"/>
      <c r="R1" s="257"/>
    </row>
    <row r="2" spans="1:20" ht="18" customHeight="1" x14ac:dyDescent="0.15">
      <c r="A2" s="258" t="s">
        <v>88</v>
      </c>
      <c r="B2" s="258"/>
      <c r="C2" s="258"/>
      <c r="D2" s="258"/>
      <c r="E2" s="258"/>
      <c r="F2" s="258"/>
      <c r="G2" s="258"/>
      <c r="H2" s="258"/>
      <c r="I2" s="258"/>
      <c r="J2" s="258"/>
      <c r="K2" s="258"/>
      <c r="L2" s="258"/>
      <c r="M2" s="258"/>
      <c r="N2" s="258"/>
      <c r="O2" s="258"/>
      <c r="P2" s="258"/>
      <c r="Q2" s="258"/>
      <c r="R2" s="258"/>
      <c r="S2" s="3"/>
    </row>
    <row r="3" spans="1:20" ht="7.5" customHeight="1" x14ac:dyDescent="0.15">
      <c r="A3" s="78"/>
      <c r="B3" s="78"/>
      <c r="C3" s="78"/>
      <c r="D3" s="78"/>
      <c r="E3" s="78"/>
      <c r="F3" s="78"/>
      <c r="G3" s="78"/>
      <c r="H3" s="78"/>
      <c r="I3" s="78"/>
      <c r="J3" s="78"/>
      <c r="K3" s="78"/>
      <c r="L3" s="78"/>
      <c r="M3" s="78"/>
      <c r="N3" s="78"/>
      <c r="O3" s="78"/>
      <c r="P3" s="78"/>
      <c r="Q3" s="78"/>
      <c r="R3" s="78"/>
    </row>
    <row r="4" spans="1:20" ht="18" customHeight="1" x14ac:dyDescent="0.15">
      <c r="A4" s="3" t="s">
        <v>146</v>
      </c>
      <c r="B4" s="3"/>
      <c r="C4" s="259" t="s">
        <v>204</v>
      </c>
      <c r="D4" s="260"/>
      <c r="E4" s="78" t="s">
        <v>95</v>
      </c>
      <c r="F4" s="78"/>
      <c r="G4" s="78"/>
      <c r="H4" s="78"/>
      <c r="I4" s="78"/>
      <c r="J4" s="57"/>
      <c r="K4" s="78"/>
      <c r="L4" s="78"/>
      <c r="M4" s="22"/>
      <c r="N4" s="22"/>
      <c r="O4" s="22"/>
      <c r="P4" s="22"/>
      <c r="Q4" s="22"/>
      <c r="R4" s="22"/>
    </row>
    <row r="5" spans="1:20" ht="6" customHeight="1" x14ac:dyDescent="0.15">
      <c r="A5" s="78"/>
      <c r="B5" s="78"/>
      <c r="C5" s="78"/>
      <c r="D5" s="78"/>
      <c r="E5" s="78"/>
      <c r="F5" s="78"/>
      <c r="G5" s="78"/>
      <c r="H5" s="78"/>
      <c r="I5" s="78"/>
      <c r="J5" s="78"/>
      <c r="K5" s="78"/>
      <c r="L5" s="78"/>
      <c r="M5" s="78"/>
      <c r="N5" s="78"/>
      <c r="O5" s="78"/>
      <c r="P5" s="78"/>
      <c r="Q5" s="78"/>
      <c r="R5" s="78"/>
    </row>
    <row r="6" spans="1:20" ht="18" customHeight="1" x14ac:dyDescent="0.15">
      <c r="A6" s="3" t="s">
        <v>144</v>
      </c>
      <c r="B6" s="78"/>
      <c r="C6" s="78"/>
      <c r="D6" s="78"/>
      <c r="E6" s="78"/>
      <c r="F6" s="78"/>
      <c r="G6" s="78"/>
      <c r="H6" s="78"/>
      <c r="I6" s="78"/>
      <c r="J6" s="78"/>
      <c r="K6" s="78"/>
      <c r="L6" s="78"/>
      <c r="M6" s="78"/>
      <c r="N6" s="78"/>
      <c r="O6" s="78"/>
      <c r="P6" s="78"/>
      <c r="Q6" s="78"/>
      <c r="R6" s="78"/>
    </row>
    <row r="7" spans="1:20" ht="6" customHeight="1" x14ac:dyDescent="0.15">
      <c r="A7" s="3"/>
      <c r="B7" s="78"/>
      <c r="C7" s="78"/>
      <c r="D7" s="78"/>
      <c r="E7" s="78"/>
      <c r="F7" s="78"/>
      <c r="G7" s="78"/>
      <c r="H7" s="78"/>
      <c r="I7" s="78"/>
      <c r="J7" s="78"/>
      <c r="K7" s="78"/>
      <c r="L7" s="78"/>
      <c r="M7" s="78"/>
      <c r="N7" s="78"/>
      <c r="O7" s="78"/>
      <c r="P7" s="78"/>
      <c r="Q7" s="78"/>
      <c r="R7" s="78"/>
    </row>
    <row r="8" spans="1:20" ht="18" customHeight="1" x14ac:dyDescent="0.15">
      <c r="B8" s="261" t="s">
        <v>78</v>
      </c>
      <c r="C8" s="263" t="s">
        <v>83</v>
      </c>
      <c r="D8" s="265" t="s">
        <v>65</v>
      </c>
      <c r="E8" s="267" t="s">
        <v>89</v>
      </c>
      <c r="F8" s="267"/>
      <c r="G8" s="267" t="s">
        <v>90</v>
      </c>
      <c r="H8" s="267"/>
      <c r="I8" s="267" t="s">
        <v>91</v>
      </c>
      <c r="J8" s="267"/>
      <c r="K8" s="251" t="s">
        <v>92</v>
      </c>
      <c r="L8" s="252"/>
      <c r="M8" s="251" t="s">
        <v>93</v>
      </c>
      <c r="N8" s="252"/>
      <c r="O8" s="251" t="s">
        <v>94</v>
      </c>
      <c r="P8" s="252"/>
      <c r="Q8" s="253" t="s">
        <v>59</v>
      </c>
      <c r="R8" s="255" t="s">
        <v>54</v>
      </c>
      <c r="T8" s="15"/>
    </row>
    <row r="9" spans="1:20" ht="18" customHeight="1" x14ac:dyDescent="0.15">
      <c r="A9" s="3"/>
      <c r="B9" s="262"/>
      <c r="C9" s="264"/>
      <c r="D9" s="266"/>
      <c r="E9" s="18" t="s">
        <v>45</v>
      </c>
      <c r="F9" s="19" t="s">
        <v>44</v>
      </c>
      <c r="G9" s="20" t="s">
        <v>45</v>
      </c>
      <c r="H9" s="21" t="s">
        <v>44</v>
      </c>
      <c r="I9" s="18" t="s">
        <v>45</v>
      </c>
      <c r="J9" s="19" t="s">
        <v>44</v>
      </c>
      <c r="K9" s="20" t="s">
        <v>45</v>
      </c>
      <c r="L9" s="21" t="s">
        <v>44</v>
      </c>
      <c r="M9" s="18" t="s">
        <v>45</v>
      </c>
      <c r="N9" s="19" t="s">
        <v>44</v>
      </c>
      <c r="O9" s="20" t="s">
        <v>45</v>
      </c>
      <c r="P9" s="21" t="s">
        <v>44</v>
      </c>
      <c r="Q9" s="254"/>
      <c r="R9" s="256"/>
      <c r="T9" s="15"/>
    </row>
    <row r="10" spans="1:20" ht="18" customHeight="1" x14ac:dyDescent="0.15">
      <c r="A10" s="22"/>
      <c r="B10" s="121" t="s">
        <v>181</v>
      </c>
      <c r="C10" s="122">
        <v>240</v>
      </c>
      <c r="D10" s="123">
        <v>960</v>
      </c>
      <c r="E10" s="124">
        <v>246</v>
      </c>
      <c r="F10" s="125">
        <v>177</v>
      </c>
      <c r="G10" s="126">
        <v>252</v>
      </c>
      <c r="H10" s="127">
        <v>167</v>
      </c>
      <c r="I10" s="24"/>
      <c r="J10" s="25"/>
      <c r="K10" s="26"/>
      <c r="L10" s="27"/>
      <c r="M10" s="24"/>
      <c r="N10" s="25"/>
      <c r="O10" s="26"/>
      <c r="P10" s="27"/>
      <c r="Q10" s="28">
        <f>E10+G10+I10+K10+M10+O10</f>
        <v>498</v>
      </c>
      <c r="R10" s="29">
        <f>Q10/D10</f>
        <v>0.51875000000000004</v>
      </c>
    </row>
    <row r="11" spans="1:20" ht="18" customHeight="1" x14ac:dyDescent="0.15">
      <c r="A11" s="22"/>
      <c r="B11" s="58"/>
      <c r="C11" s="38"/>
      <c r="D11" s="31"/>
      <c r="E11" s="32"/>
      <c r="F11" s="33"/>
      <c r="G11" s="34"/>
      <c r="H11" s="35"/>
      <c r="I11" s="32"/>
      <c r="J11" s="33"/>
      <c r="K11" s="34"/>
      <c r="L11" s="35"/>
      <c r="M11" s="32"/>
      <c r="N11" s="33"/>
      <c r="O11" s="34"/>
      <c r="P11" s="35"/>
      <c r="Q11" s="36">
        <f t="shared" ref="Q11:Q29" si="0">E11+G11+I11+K11+M11+O11</f>
        <v>0</v>
      </c>
      <c r="R11" s="37" t="e">
        <f t="shared" ref="R11:R29" si="1">Q11/D11</f>
        <v>#DIV/0!</v>
      </c>
    </row>
    <row r="12" spans="1:20" ht="18" customHeight="1" x14ac:dyDescent="0.15">
      <c r="A12" s="22"/>
      <c r="B12" s="58"/>
      <c r="C12" s="38"/>
      <c r="D12" s="31"/>
      <c r="E12" s="32"/>
      <c r="F12" s="33"/>
      <c r="G12" s="34"/>
      <c r="H12" s="35"/>
      <c r="I12" s="32"/>
      <c r="J12" s="33"/>
      <c r="K12" s="34"/>
      <c r="L12" s="35"/>
      <c r="M12" s="32"/>
      <c r="N12" s="33"/>
      <c r="O12" s="34"/>
      <c r="P12" s="35"/>
      <c r="Q12" s="36">
        <f t="shared" si="0"/>
        <v>0</v>
      </c>
      <c r="R12" s="37" t="e">
        <f t="shared" si="1"/>
        <v>#DIV/0!</v>
      </c>
    </row>
    <row r="13" spans="1:20" ht="18" customHeight="1" x14ac:dyDescent="0.15">
      <c r="A13" s="22"/>
      <c r="B13" s="58"/>
      <c r="C13" s="38"/>
      <c r="D13" s="31"/>
      <c r="E13" s="32"/>
      <c r="F13" s="33"/>
      <c r="G13" s="34"/>
      <c r="H13" s="35"/>
      <c r="I13" s="32"/>
      <c r="J13" s="33"/>
      <c r="K13" s="34"/>
      <c r="L13" s="35"/>
      <c r="M13" s="32"/>
      <c r="N13" s="33"/>
      <c r="O13" s="34"/>
      <c r="P13" s="35"/>
      <c r="Q13" s="36">
        <f t="shared" si="0"/>
        <v>0</v>
      </c>
      <c r="R13" s="37" t="e">
        <f t="shared" si="1"/>
        <v>#DIV/0!</v>
      </c>
    </row>
    <row r="14" spans="1:20" ht="18" customHeight="1" x14ac:dyDescent="0.15">
      <c r="A14" s="22"/>
      <c r="B14" s="58"/>
      <c r="C14" s="38"/>
      <c r="D14" s="31"/>
      <c r="E14" s="32"/>
      <c r="F14" s="33"/>
      <c r="G14" s="34"/>
      <c r="H14" s="35"/>
      <c r="I14" s="32"/>
      <c r="J14" s="33"/>
      <c r="K14" s="34"/>
      <c r="L14" s="35"/>
      <c r="M14" s="32"/>
      <c r="N14" s="33"/>
      <c r="O14" s="34"/>
      <c r="P14" s="35"/>
      <c r="Q14" s="36">
        <f t="shared" si="0"/>
        <v>0</v>
      </c>
      <c r="R14" s="37" t="e">
        <f t="shared" si="1"/>
        <v>#DIV/0!</v>
      </c>
    </row>
    <row r="15" spans="1:20" ht="18" customHeight="1" x14ac:dyDescent="0.15">
      <c r="A15" s="22"/>
      <c r="B15" s="58"/>
      <c r="C15" s="38"/>
      <c r="D15" s="31"/>
      <c r="E15" s="32"/>
      <c r="F15" s="33"/>
      <c r="G15" s="34"/>
      <c r="H15" s="35"/>
      <c r="I15" s="32"/>
      <c r="J15" s="33"/>
      <c r="K15" s="34"/>
      <c r="L15" s="35"/>
      <c r="M15" s="32"/>
      <c r="N15" s="33"/>
      <c r="O15" s="34"/>
      <c r="P15" s="35"/>
      <c r="Q15" s="36">
        <f t="shared" si="0"/>
        <v>0</v>
      </c>
      <c r="R15" s="37" t="e">
        <f t="shared" si="1"/>
        <v>#DIV/0!</v>
      </c>
    </row>
    <row r="16" spans="1:20" ht="18" customHeight="1" x14ac:dyDescent="0.15">
      <c r="A16" s="22"/>
      <c r="B16" s="58"/>
      <c r="C16" s="38"/>
      <c r="D16" s="31"/>
      <c r="E16" s="32"/>
      <c r="F16" s="33"/>
      <c r="G16" s="34"/>
      <c r="H16" s="35"/>
      <c r="I16" s="32"/>
      <c r="J16" s="33"/>
      <c r="K16" s="34"/>
      <c r="L16" s="35"/>
      <c r="M16" s="32"/>
      <c r="N16" s="33"/>
      <c r="O16" s="34"/>
      <c r="P16" s="35"/>
      <c r="Q16" s="36">
        <f t="shared" si="0"/>
        <v>0</v>
      </c>
      <c r="R16" s="37" t="e">
        <f t="shared" si="1"/>
        <v>#DIV/0!</v>
      </c>
    </row>
    <row r="17" spans="1:18" ht="18" customHeight="1" x14ac:dyDescent="0.15">
      <c r="A17" s="22"/>
      <c r="B17" s="58"/>
      <c r="C17" s="38"/>
      <c r="D17" s="31"/>
      <c r="E17" s="32"/>
      <c r="F17" s="33"/>
      <c r="G17" s="34"/>
      <c r="H17" s="35"/>
      <c r="I17" s="32"/>
      <c r="J17" s="33"/>
      <c r="K17" s="34"/>
      <c r="L17" s="35"/>
      <c r="M17" s="32"/>
      <c r="N17" s="33"/>
      <c r="O17" s="34"/>
      <c r="P17" s="35"/>
      <c r="Q17" s="36">
        <f t="shared" si="0"/>
        <v>0</v>
      </c>
      <c r="R17" s="37" t="e">
        <f t="shared" si="1"/>
        <v>#DIV/0!</v>
      </c>
    </row>
    <row r="18" spans="1:18" ht="18" customHeight="1" x14ac:dyDescent="0.15">
      <c r="A18" s="22"/>
      <c r="B18" s="58"/>
      <c r="C18" s="38"/>
      <c r="D18" s="31"/>
      <c r="E18" s="32"/>
      <c r="F18" s="33"/>
      <c r="G18" s="34"/>
      <c r="H18" s="35"/>
      <c r="I18" s="32"/>
      <c r="J18" s="33"/>
      <c r="K18" s="34"/>
      <c r="L18" s="35"/>
      <c r="M18" s="32"/>
      <c r="N18" s="33"/>
      <c r="O18" s="34"/>
      <c r="P18" s="35"/>
      <c r="Q18" s="36">
        <f>E18+G18+I18+K18+M18+O18</f>
        <v>0</v>
      </c>
      <c r="R18" s="37" t="e">
        <f t="shared" si="1"/>
        <v>#DIV/0!</v>
      </c>
    </row>
    <row r="19" spans="1:18" ht="18" customHeight="1" x14ac:dyDescent="0.15">
      <c r="A19" s="22"/>
      <c r="B19" s="58"/>
      <c r="C19" s="38"/>
      <c r="D19" s="31"/>
      <c r="E19" s="32"/>
      <c r="F19" s="33"/>
      <c r="G19" s="34"/>
      <c r="H19" s="35"/>
      <c r="I19" s="32"/>
      <c r="J19" s="33"/>
      <c r="K19" s="34"/>
      <c r="L19" s="35"/>
      <c r="M19" s="32"/>
      <c r="N19" s="33"/>
      <c r="O19" s="34"/>
      <c r="P19" s="35"/>
      <c r="Q19" s="36">
        <f t="shared" si="0"/>
        <v>0</v>
      </c>
      <c r="R19" s="37" t="e">
        <f t="shared" si="1"/>
        <v>#DIV/0!</v>
      </c>
    </row>
    <row r="20" spans="1:18" ht="18" customHeight="1" x14ac:dyDescent="0.15">
      <c r="A20" s="22"/>
      <c r="B20" s="58"/>
      <c r="C20" s="38"/>
      <c r="D20" s="31"/>
      <c r="E20" s="32"/>
      <c r="F20" s="33"/>
      <c r="G20" s="34"/>
      <c r="H20" s="35"/>
      <c r="I20" s="32"/>
      <c r="J20" s="33"/>
      <c r="K20" s="34"/>
      <c r="L20" s="35"/>
      <c r="M20" s="32"/>
      <c r="N20" s="33"/>
      <c r="O20" s="34"/>
      <c r="P20" s="35"/>
      <c r="Q20" s="36">
        <f t="shared" si="0"/>
        <v>0</v>
      </c>
      <c r="R20" s="37" t="e">
        <f t="shared" si="1"/>
        <v>#DIV/0!</v>
      </c>
    </row>
    <row r="21" spans="1:18" ht="18" customHeight="1" x14ac:dyDescent="0.15">
      <c r="A21" s="22"/>
      <c r="B21" s="58"/>
      <c r="C21" s="38"/>
      <c r="D21" s="31"/>
      <c r="E21" s="32"/>
      <c r="F21" s="33"/>
      <c r="G21" s="34"/>
      <c r="H21" s="35"/>
      <c r="I21" s="32"/>
      <c r="J21" s="33"/>
      <c r="K21" s="34"/>
      <c r="L21" s="35"/>
      <c r="M21" s="32"/>
      <c r="N21" s="33"/>
      <c r="O21" s="34"/>
      <c r="P21" s="35"/>
      <c r="Q21" s="36">
        <f t="shared" si="0"/>
        <v>0</v>
      </c>
      <c r="R21" s="37" t="e">
        <f t="shared" si="1"/>
        <v>#DIV/0!</v>
      </c>
    </row>
    <row r="22" spans="1:18" ht="18" customHeight="1" x14ac:dyDescent="0.15">
      <c r="A22" s="22"/>
      <c r="B22" s="58"/>
      <c r="C22" s="38"/>
      <c r="D22" s="31"/>
      <c r="E22" s="32"/>
      <c r="F22" s="33"/>
      <c r="G22" s="34"/>
      <c r="H22" s="35"/>
      <c r="I22" s="32"/>
      <c r="J22" s="33"/>
      <c r="K22" s="34"/>
      <c r="L22" s="35"/>
      <c r="M22" s="32"/>
      <c r="N22" s="33"/>
      <c r="O22" s="34"/>
      <c r="P22" s="35"/>
      <c r="Q22" s="36">
        <f t="shared" si="0"/>
        <v>0</v>
      </c>
      <c r="R22" s="37" t="e">
        <f t="shared" si="1"/>
        <v>#DIV/0!</v>
      </c>
    </row>
    <row r="23" spans="1:18" ht="18" customHeight="1" x14ac:dyDescent="0.15">
      <c r="A23" s="22"/>
      <c r="B23" s="58"/>
      <c r="C23" s="38"/>
      <c r="D23" s="31"/>
      <c r="E23" s="32"/>
      <c r="F23" s="33"/>
      <c r="G23" s="34"/>
      <c r="H23" s="35"/>
      <c r="I23" s="32"/>
      <c r="J23" s="33"/>
      <c r="K23" s="34"/>
      <c r="L23" s="35"/>
      <c r="M23" s="32"/>
      <c r="N23" s="33"/>
      <c r="O23" s="34"/>
      <c r="P23" s="35"/>
      <c r="Q23" s="36">
        <f t="shared" si="0"/>
        <v>0</v>
      </c>
      <c r="R23" s="37" t="e">
        <f t="shared" si="1"/>
        <v>#DIV/0!</v>
      </c>
    </row>
    <row r="24" spans="1:18" ht="18" customHeight="1" x14ac:dyDescent="0.15">
      <c r="A24" s="22"/>
      <c r="B24" s="58"/>
      <c r="C24" s="38"/>
      <c r="D24" s="31"/>
      <c r="E24" s="32"/>
      <c r="F24" s="33"/>
      <c r="G24" s="34"/>
      <c r="H24" s="35"/>
      <c r="I24" s="32"/>
      <c r="J24" s="33"/>
      <c r="K24" s="34"/>
      <c r="L24" s="35"/>
      <c r="M24" s="32"/>
      <c r="N24" s="33"/>
      <c r="O24" s="34"/>
      <c r="P24" s="35"/>
      <c r="Q24" s="36">
        <f t="shared" si="0"/>
        <v>0</v>
      </c>
      <c r="R24" s="37" t="e">
        <f t="shared" si="1"/>
        <v>#DIV/0!</v>
      </c>
    </row>
    <row r="25" spans="1:18" ht="18" customHeight="1" x14ac:dyDescent="0.15">
      <c r="A25" s="22"/>
      <c r="B25" s="58"/>
      <c r="C25" s="38"/>
      <c r="D25" s="31"/>
      <c r="E25" s="32"/>
      <c r="F25" s="33"/>
      <c r="G25" s="34"/>
      <c r="H25" s="35"/>
      <c r="I25" s="32"/>
      <c r="J25" s="33"/>
      <c r="K25" s="34"/>
      <c r="L25" s="35"/>
      <c r="M25" s="32"/>
      <c r="N25" s="33"/>
      <c r="O25" s="34"/>
      <c r="P25" s="35"/>
      <c r="Q25" s="36">
        <f t="shared" si="0"/>
        <v>0</v>
      </c>
      <c r="R25" s="37" t="e">
        <f t="shared" si="1"/>
        <v>#DIV/0!</v>
      </c>
    </row>
    <row r="26" spans="1:18" ht="18" customHeight="1" x14ac:dyDescent="0.15">
      <c r="A26" s="22"/>
      <c r="B26" s="58"/>
      <c r="C26" s="38"/>
      <c r="D26" s="31"/>
      <c r="E26" s="32"/>
      <c r="F26" s="33"/>
      <c r="G26" s="34"/>
      <c r="H26" s="35"/>
      <c r="I26" s="32"/>
      <c r="J26" s="33"/>
      <c r="K26" s="34"/>
      <c r="L26" s="35"/>
      <c r="M26" s="32"/>
      <c r="N26" s="33"/>
      <c r="O26" s="34"/>
      <c r="P26" s="35"/>
      <c r="Q26" s="36">
        <f t="shared" si="0"/>
        <v>0</v>
      </c>
      <c r="R26" s="37" t="e">
        <f t="shared" si="1"/>
        <v>#DIV/0!</v>
      </c>
    </row>
    <row r="27" spans="1:18" ht="18" customHeight="1" x14ac:dyDescent="0.15">
      <c r="A27" s="22"/>
      <c r="B27" s="58"/>
      <c r="C27" s="30"/>
      <c r="D27" s="31"/>
      <c r="E27" s="32"/>
      <c r="F27" s="33"/>
      <c r="G27" s="34"/>
      <c r="H27" s="35"/>
      <c r="I27" s="32"/>
      <c r="J27" s="33"/>
      <c r="K27" s="34"/>
      <c r="L27" s="35"/>
      <c r="M27" s="32"/>
      <c r="N27" s="33"/>
      <c r="O27" s="34"/>
      <c r="P27" s="35"/>
      <c r="Q27" s="36">
        <f t="shared" si="0"/>
        <v>0</v>
      </c>
      <c r="R27" s="37" t="e">
        <f t="shared" si="1"/>
        <v>#DIV/0!</v>
      </c>
    </row>
    <row r="28" spans="1:18" ht="18" customHeight="1" x14ac:dyDescent="0.15">
      <c r="A28" s="22"/>
      <c r="B28" s="58"/>
      <c r="C28" s="30"/>
      <c r="D28" s="31"/>
      <c r="E28" s="32"/>
      <c r="F28" s="33"/>
      <c r="G28" s="34"/>
      <c r="H28" s="35"/>
      <c r="I28" s="32"/>
      <c r="J28" s="33"/>
      <c r="K28" s="34"/>
      <c r="L28" s="35"/>
      <c r="M28" s="32"/>
      <c r="N28" s="33"/>
      <c r="O28" s="34"/>
      <c r="P28" s="35"/>
      <c r="Q28" s="36">
        <f t="shared" si="0"/>
        <v>0</v>
      </c>
      <c r="R28" s="37" t="e">
        <f t="shared" si="1"/>
        <v>#DIV/0!</v>
      </c>
    </row>
    <row r="29" spans="1:18" ht="18" customHeight="1" thickBot="1" x14ac:dyDescent="0.2">
      <c r="A29" s="22"/>
      <c r="B29" s="59"/>
      <c r="C29" s="60"/>
      <c r="D29" s="23"/>
      <c r="E29" s="24"/>
      <c r="F29" s="25"/>
      <c r="G29" s="26"/>
      <c r="H29" s="27"/>
      <c r="I29" s="24"/>
      <c r="J29" s="25"/>
      <c r="K29" s="26"/>
      <c r="L29" s="27"/>
      <c r="M29" s="24"/>
      <c r="N29" s="25"/>
      <c r="O29" s="26"/>
      <c r="P29" s="27"/>
      <c r="Q29" s="39">
        <f t="shared" si="0"/>
        <v>0</v>
      </c>
      <c r="R29" s="29" t="e">
        <f t="shared" si="1"/>
        <v>#DIV/0!</v>
      </c>
    </row>
    <row r="30" spans="1:18" ht="18" customHeight="1" thickTop="1" x14ac:dyDescent="0.15">
      <c r="B30" s="61" t="s">
        <v>55</v>
      </c>
      <c r="C30" s="62">
        <f t="shared" ref="C30:Q30" si="2">SUM(C10:C29)</f>
        <v>240</v>
      </c>
      <c r="D30" s="40">
        <f t="shared" si="2"/>
        <v>960</v>
      </c>
      <c r="E30" s="41">
        <f t="shared" si="2"/>
        <v>246</v>
      </c>
      <c r="F30" s="42">
        <f t="shared" si="2"/>
        <v>177</v>
      </c>
      <c r="G30" s="43">
        <f t="shared" si="2"/>
        <v>252</v>
      </c>
      <c r="H30" s="44">
        <f t="shared" si="2"/>
        <v>167</v>
      </c>
      <c r="I30" s="41">
        <f t="shared" si="2"/>
        <v>0</v>
      </c>
      <c r="J30" s="42">
        <f t="shared" si="2"/>
        <v>0</v>
      </c>
      <c r="K30" s="43">
        <f t="shared" si="2"/>
        <v>0</v>
      </c>
      <c r="L30" s="44">
        <f t="shared" si="2"/>
        <v>0</v>
      </c>
      <c r="M30" s="41">
        <f t="shared" si="2"/>
        <v>0</v>
      </c>
      <c r="N30" s="42">
        <f t="shared" si="2"/>
        <v>0</v>
      </c>
      <c r="O30" s="43">
        <f t="shared" si="2"/>
        <v>0</v>
      </c>
      <c r="P30" s="44">
        <f t="shared" si="2"/>
        <v>0</v>
      </c>
      <c r="Q30" s="45">
        <f t="shared" si="2"/>
        <v>498</v>
      </c>
      <c r="R30" s="46">
        <f>Q30/D30</f>
        <v>0.51875000000000004</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6"/>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81" zoomScale="97" zoomScaleNormal="100" zoomScaleSheetLayoutView="97" workbookViewId="0">
      <selection activeCell="N45" sqref="N45"/>
    </sheetView>
  </sheetViews>
  <sheetFormatPr defaultColWidth="11.375" defaultRowHeight="18.75" customHeight="1" x14ac:dyDescent="0.15"/>
  <cols>
    <col min="1" max="1" width="2.625" style="2" customWidth="1"/>
    <col min="2" max="2" width="16.625" style="80" customWidth="1"/>
    <col min="3" max="3" width="8.75" style="80" customWidth="1"/>
    <col min="4" max="4" width="2.125" style="80" customWidth="1"/>
    <col min="5" max="5" width="16.625" style="80" customWidth="1"/>
    <col min="6" max="6" width="8.75" style="80" customWidth="1"/>
    <col min="7" max="7" width="2.125" style="80" customWidth="1"/>
    <col min="8" max="8" width="16.625" style="80" customWidth="1"/>
    <col min="9" max="9" width="8.75" style="80" customWidth="1"/>
    <col min="10" max="10" width="2.125" style="80" customWidth="1"/>
    <col min="11" max="16384" width="11.375" style="80"/>
  </cols>
  <sheetData>
    <row r="1" spans="1:11" ht="18.75" customHeight="1" x14ac:dyDescent="0.15">
      <c r="A1" s="2" t="s">
        <v>113</v>
      </c>
      <c r="J1" s="81" t="s">
        <v>114</v>
      </c>
    </row>
    <row r="2" spans="1:11" ht="18.75" customHeight="1" x14ac:dyDescent="0.15">
      <c r="A2" s="296" t="s">
        <v>61</v>
      </c>
      <c r="B2" s="296"/>
      <c r="C2" s="296"/>
      <c r="D2" s="296"/>
      <c r="E2" s="296"/>
      <c r="F2" s="296"/>
      <c r="G2" s="296"/>
      <c r="H2" s="296"/>
      <c r="I2" s="296"/>
      <c r="J2" s="296"/>
    </row>
    <row r="3" spans="1:11" ht="7.5" customHeight="1" x14ac:dyDescent="0.15">
      <c r="B3" s="89"/>
      <c r="C3" s="89"/>
      <c r="D3" s="89"/>
      <c r="E3" s="89"/>
      <c r="F3" s="89"/>
      <c r="G3" s="89"/>
      <c r="H3" s="89"/>
      <c r="I3" s="89"/>
      <c r="J3" s="89"/>
    </row>
    <row r="4" spans="1:11" ht="18.75" customHeight="1" x14ac:dyDescent="0.15">
      <c r="A4" s="80" t="s">
        <v>6</v>
      </c>
      <c r="B4" s="80" t="s">
        <v>71</v>
      </c>
      <c r="I4" s="89"/>
      <c r="J4" s="89"/>
    </row>
    <row r="5" spans="1:11" ht="18.75" customHeight="1" x14ac:dyDescent="0.15">
      <c r="A5" s="80"/>
      <c r="B5" s="297" t="s">
        <v>200</v>
      </c>
      <c r="C5" s="298"/>
      <c r="D5" s="298"/>
      <c r="E5" s="298"/>
      <c r="F5" s="298"/>
      <c r="G5" s="298"/>
      <c r="H5" s="298"/>
      <c r="I5" s="298"/>
      <c r="J5" s="299"/>
      <c r="K5" s="80" t="str">
        <f>IF(B5="","入力してください","")</f>
        <v/>
      </c>
    </row>
    <row r="6" spans="1:11" ht="7.5" customHeight="1" x14ac:dyDescent="0.15">
      <c r="B6" s="89"/>
      <c r="C6" s="89"/>
      <c r="D6" s="89"/>
      <c r="E6" s="89"/>
      <c r="F6" s="89"/>
      <c r="G6" s="89"/>
      <c r="H6" s="89"/>
      <c r="I6" s="89"/>
      <c r="J6" s="89"/>
    </row>
    <row r="7" spans="1:11" ht="18.75" customHeight="1" x14ac:dyDescent="0.15">
      <c r="A7" s="80" t="s">
        <v>10</v>
      </c>
      <c r="B7" s="80" t="s">
        <v>40</v>
      </c>
      <c r="K7" s="90"/>
    </row>
    <row r="8" spans="1:11" ht="18.75" customHeight="1" x14ac:dyDescent="0.15">
      <c r="A8" s="88"/>
      <c r="B8" s="300" t="s">
        <v>192</v>
      </c>
      <c r="C8" s="269"/>
      <c r="D8" s="269"/>
      <c r="E8" s="269"/>
      <c r="F8" s="269"/>
      <c r="G8" s="269"/>
      <c r="H8" s="269"/>
      <c r="I8" s="278"/>
      <c r="J8" s="279"/>
      <c r="K8" s="80" t="str">
        <f>IF(B8="","入力してください","")</f>
        <v/>
      </c>
    </row>
    <row r="9" spans="1:11" ht="18.75" customHeight="1" x14ac:dyDescent="0.15">
      <c r="A9" s="88"/>
      <c r="B9" s="280"/>
      <c r="C9" s="281"/>
      <c r="D9" s="281"/>
      <c r="E9" s="281"/>
      <c r="F9" s="281"/>
      <c r="G9" s="281"/>
      <c r="H9" s="281"/>
      <c r="I9" s="281"/>
      <c r="J9" s="282"/>
    </row>
    <row r="10" spans="1:11" ht="18.75" customHeight="1" x14ac:dyDescent="0.15">
      <c r="A10" s="88"/>
      <c r="B10" s="280"/>
      <c r="C10" s="281"/>
      <c r="D10" s="281"/>
      <c r="E10" s="281"/>
      <c r="F10" s="281"/>
      <c r="G10" s="281"/>
      <c r="H10" s="281"/>
      <c r="I10" s="281"/>
      <c r="J10" s="282"/>
    </row>
    <row r="11" spans="1:11" ht="18.75" customHeight="1" x14ac:dyDescent="0.15">
      <c r="A11" s="88"/>
      <c r="B11" s="280"/>
      <c r="C11" s="281"/>
      <c r="D11" s="281"/>
      <c r="E11" s="281"/>
      <c r="F11" s="281"/>
      <c r="G11" s="281"/>
      <c r="H11" s="281"/>
      <c r="I11" s="281"/>
      <c r="J11" s="282"/>
    </row>
    <row r="12" spans="1:11" ht="18.75" customHeight="1" x14ac:dyDescent="0.15">
      <c r="A12" s="88"/>
      <c r="B12" s="283"/>
      <c r="C12" s="284"/>
      <c r="D12" s="284"/>
      <c r="E12" s="284"/>
      <c r="F12" s="284"/>
      <c r="G12" s="284"/>
      <c r="H12" s="284"/>
      <c r="I12" s="284"/>
      <c r="J12" s="285"/>
    </row>
    <row r="13" spans="1:11" ht="7.5" customHeight="1" x14ac:dyDescent="0.15">
      <c r="A13" s="88"/>
      <c r="B13" s="88"/>
      <c r="C13" s="88"/>
      <c r="D13" s="88"/>
      <c r="E13" s="88"/>
      <c r="F13" s="88"/>
      <c r="G13" s="88"/>
      <c r="H13" s="88"/>
      <c r="I13" s="88"/>
      <c r="J13" s="88"/>
    </row>
    <row r="14" spans="1:11" ht="18.75" customHeight="1" x14ac:dyDescent="0.15">
      <c r="A14" s="87" t="s">
        <v>11</v>
      </c>
      <c r="B14" s="87" t="s">
        <v>16</v>
      </c>
      <c r="C14" s="87"/>
      <c r="D14" s="87"/>
      <c r="E14" s="87"/>
      <c r="F14" s="87"/>
      <c r="G14" s="87"/>
      <c r="H14" s="87"/>
      <c r="I14" s="87"/>
      <c r="J14" s="87"/>
    </row>
    <row r="15" spans="1:11" ht="18.75" customHeight="1" x14ac:dyDescent="0.15">
      <c r="A15" s="88"/>
      <c r="B15" s="301" t="s">
        <v>201</v>
      </c>
      <c r="C15" s="269"/>
      <c r="D15" s="269"/>
      <c r="E15" s="269"/>
      <c r="F15" s="269"/>
      <c r="G15" s="269"/>
      <c r="H15" s="269"/>
      <c r="I15" s="278"/>
      <c r="J15" s="279"/>
      <c r="K15" s="80" t="str">
        <f>IF(B15="","入力してください","")</f>
        <v/>
      </c>
    </row>
    <row r="16" spans="1:11" ht="18.75" customHeight="1" x14ac:dyDescent="0.15">
      <c r="A16" s="88"/>
      <c r="B16" s="280"/>
      <c r="C16" s="281"/>
      <c r="D16" s="281"/>
      <c r="E16" s="281"/>
      <c r="F16" s="281"/>
      <c r="G16" s="281"/>
      <c r="H16" s="281"/>
      <c r="I16" s="281"/>
      <c r="J16" s="282"/>
    </row>
    <row r="17" spans="1:11" ht="18.75" customHeight="1" x14ac:dyDescent="0.15">
      <c r="A17" s="88"/>
      <c r="B17" s="280"/>
      <c r="C17" s="281"/>
      <c r="D17" s="281"/>
      <c r="E17" s="281"/>
      <c r="F17" s="281"/>
      <c r="G17" s="281"/>
      <c r="H17" s="281"/>
      <c r="I17" s="281"/>
      <c r="J17" s="282"/>
    </row>
    <row r="18" spans="1:11" ht="18.75" customHeight="1" x14ac:dyDescent="0.15">
      <c r="A18" s="88"/>
      <c r="B18" s="280"/>
      <c r="C18" s="281"/>
      <c r="D18" s="281"/>
      <c r="E18" s="281"/>
      <c r="F18" s="281"/>
      <c r="G18" s="281"/>
      <c r="H18" s="281"/>
      <c r="I18" s="281"/>
      <c r="J18" s="282"/>
    </row>
    <row r="19" spans="1:11" ht="18.75" customHeight="1" x14ac:dyDescent="0.15">
      <c r="A19" s="88"/>
      <c r="B19" s="280"/>
      <c r="C19" s="281"/>
      <c r="D19" s="281"/>
      <c r="E19" s="281"/>
      <c r="F19" s="281"/>
      <c r="G19" s="281"/>
      <c r="H19" s="281"/>
      <c r="I19" s="281"/>
      <c r="J19" s="282"/>
    </row>
    <row r="20" spans="1:11" ht="18.75" customHeight="1" x14ac:dyDescent="0.15">
      <c r="A20" s="88"/>
      <c r="B20" s="280"/>
      <c r="C20" s="281"/>
      <c r="D20" s="281"/>
      <c r="E20" s="281"/>
      <c r="F20" s="281"/>
      <c r="G20" s="281"/>
      <c r="H20" s="281"/>
      <c r="I20" s="281"/>
      <c r="J20" s="282"/>
    </row>
    <row r="21" spans="1:11" ht="18.75" customHeight="1" x14ac:dyDescent="0.15">
      <c r="A21" s="88"/>
      <c r="B21" s="280"/>
      <c r="C21" s="281"/>
      <c r="D21" s="281"/>
      <c r="E21" s="281"/>
      <c r="F21" s="281"/>
      <c r="G21" s="281"/>
      <c r="H21" s="281"/>
      <c r="I21" s="281"/>
      <c r="J21" s="282"/>
    </row>
    <row r="22" spans="1:11" ht="18.75" customHeight="1" x14ac:dyDescent="0.15">
      <c r="A22" s="88"/>
      <c r="B22" s="280"/>
      <c r="C22" s="281"/>
      <c r="D22" s="281"/>
      <c r="E22" s="281"/>
      <c r="F22" s="281"/>
      <c r="G22" s="281"/>
      <c r="H22" s="281"/>
      <c r="I22" s="281"/>
      <c r="J22" s="282"/>
    </row>
    <row r="23" spans="1:11" ht="18.75" customHeight="1" x14ac:dyDescent="0.15">
      <c r="A23" s="88"/>
      <c r="B23" s="280"/>
      <c r="C23" s="281"/>
      <c r="D23" s="281"/>
      <c r="E23" s="281"/>
      <c r="F23" s="281"/>
      <c r="G23" s="281"/>
      <c r="H23" s="281"/>
      <c r="I23" s="281"/>
      <c r="J23" s="282"/>
    </row>
    <row r="24" spans="1:11" ht="18.75" customHeight="1" x14ac:dyDescent="0.15">
      <c r="A24" s="88"/>
      <c r="B24" s="280"/>
      <c r="C24" s="281"/>
      <c r="D24" s="281"/>
      <c r="E24" s="281"/>
      <c r="F24" s="281"/>
      <c r="G24" s="281"/>
      <c r="H24" s="281"/>
      <c r="I24" s="281"/>
      <c r="J24" s="282"/>
    </row>
    <row r="25" spans="1:11" ht="18.75" customHeight="1" x14ac:dyDescent="0.15">
      <c r="A25" s="88"/>
      <c r="B25" s="283"/>
      <c r="C25" s="284"/>
      <c r="D25" s="284"/>
      <c r="E25" s="284"/>
      <c r="F25" s="284"/>
      <c r="G25" s="284"/>
      <c r="H25" s="284"/>
      <c r="I25" s="284"/>
      <c r="J25" s="285"/>
    </row>
    <row r="26" spans="1:11" ht="7.5" customHeight="1" x14ac:dyDescent="0.15">
      <c r="A26" s="17"/>
      <c r="B26" s="17"/>
      <c r="C26" s="17"/>
      <c r="D26" s="17"/>
      <c r="E26" s="17"/>
      <c r="F26" s="17"/>
      <c r="G26" s="17"/>
      <c r="H26" s="17"/>
      <c r="I26" s="17"/>
      <c r="J26" s="17"/>
    </row>
    <row r="27" spans="1:11" ht="18.75" customHeight="1" x14ac:dyDescent="0.15">
      <c r="A27" s="80" t="s">
        <v>14</v>
      </c>
      <c r="B27" s="80" t="s">
        <v>26</v>
      </c>
    </row>
    <row r="28" spans="1:11" s="89" customFormat="1" ht="18.75" customHeight="1" x14ac:dyDescent="0.15">
      <c r="B28" s="91" t="s">
        <v>115</v>
      </c>
      <c r="C28" s="92">
        <f>'様式３　履修者等数の実績'!R30</f>
        <v>0.51875000000000004</v>
      </c>
      <c r="D28" s="93"/>
      <c r="E28" s="93" t="s">
        <v>116</v>
      </c>
      <c r="F28" s="92">
        <v>0.77</v>
      </c>
      <c r="G28" s="93"/>
      <c r="H28" s="93" t="s">
        <v>117</v>
      </c>
      <c r="I28" s="94">
        <v>0.97</v>
      </c>
      <c r="J28" s="95"/>
      <c r="K28" s="80"/>
    </row>
    <row r="29" spans="1:11" s="89" customFormat="1" ht="18.75" customHeight="1" x14ac:dyDescent="0.15">
      <c r="B29" s="96" t="s">
        <v>118</v>
      </c>
      <c r="C29" s="97">
        <v>0.97</v>
      </c>
      <c r="D29" s="98"/>
      <c r="E29" s="98" t="s">
        <v>119</v>
      </c>
      <c r="F29" s="97">
        <v>0.97</v>
      </c>
      <c r="G29" s="98"/>
      <c r="H29" s="98" t="s">
        <v>120</v>
      </c>
      <c r="I29" s="99">
        <f>'様式３　履修者等数の実績'!D30</f>
        <v>960</v>
      </c>
      <c r="J29" s="100"/>
      <c r="K29" s="90"/>
    </row>
    <row r="30" spans="1:11" ht="18.75" customHeight="1" x14ac:dyDescent="0.15">
      <c r="A30" s="80"/>
      <c r="B30" s="302" t="s">
        <v>121</v>
      </c>
      <c r="C30" s="303"/>
      <c r="D30" s="303"/>
      <c r="E30" s="303"/>
      <c r="F30" s="303"/>
      <c r="G30" s="303"/>
      <c r="H30" s="303"/>
      <c r="I30" s="303"/>
      <c r="J30" s="304"/>
      <c r="K30" s="90"/>
    </row>
    <row r="31" spans="1:11" ht="18.75" customHeight="1" x14ac:dyDescent="0.15">
      <c r="A31" s="80"/>
      <c r="B31" s="287" t="s">
        <v>174</v>
      </c>
      <c r="C31" s="288"/>
      <c r="D31" s="288"/>
      <c r="E31" s="288"/>
      <c r="F31" s="288"/>
      <c r="G31" s="288"/>
      <c r="H31" s="288"/>
      <c r="I31" s="288"/>
      <c r="J31" s="289"/>
      <c r="K31" s="90" t="str">
        <f>IF(B31="","入力してください","")</f>
        <v/>
      </c>
    </row>
    <row r="32" spans="1:11" ht="18.75" customHeight="1" x14ac:dyDescent="0.15">
      <c r="A32" s="80"/>
      <c r="B32" s="290"/>
      <c r="C32" s="291"/>
      <c r="D32" s="291"/>
      <c r="E32" s="291"/>
      <c r="F32" s="291"/>
      <c r="G32" s="291"/>
      <c r="H32" s="291"/>
      <c r="I32" s="291"/>
      <c r="J32" s="292"/>
      <c r="K32" s="90"/>
    </row>
    <row r="33" spans="1:11" ht="18.75" customHeight="1" x14ac:dyDescent="0.15">
      <c r="A33" s="80"/>
      <c r="B33" s="290"/>
      <c r="C33" s="291"/>
      <c r="D33" s="291"/>
      <c r="E33" s="291"/>
      <c r="F33" s="291"/>
      <c r="G33" s="291"/>
      <c r="H33" s="291"/>
      <c r="I33" s="291"/>
      <c r="J33" s="292"/>
      <c r="K33" s="90"/>
    </row>
    <row r="34" spans="1:11" ht="18.75" customHeight="1" x14ac:dyDescent="0.15">
      <c r="A34" s="80"/>
      <c r="B34" s="290"/>
      <c r="C34" s="291"/>
      <c r="D34" s="291"/>
      <c r="E34" s="291"/>
      <c r="F34" s="291"/>
      <c r="G34" s="291"/>
      <c r="H34" s="291"/>
      <c r="I34" s="291"/>
      <c r="J34" s="292"/>
      <c r="K34" s="90"/>
    </row>
    <row r="35" spans="1:11" ht="18.75" customHeight="1" x14ac:dyDescent="0.15">
      <c r="A35" s="80"/>
      <c r="B35" s="290"/>
      <c r="C35" s="291"/>
      <c r="D35" s="291"/>
      <c r="E35" s="291"/>
      <c r="F35" s="291"/>
      <c r="G35" s="291"/>
      <c r="H35" s="291"/>
      <c r="I35" s="291"/>
      <c r="J35" s="292"/>
      <c r="K35" s="90"/>
    </row>
    <row r="36" spans="1:11" ht="18.75" customHeight="1" x14ac:dyDescent="0.15">
      <c r="A36" s="80"/>
      <c r="B36" s="290"/>
      <c r="C36" s="291"/>
      <c r="D36" s="291"/>
      <c r="E36" s="291"/>
      <c r="F36" s="291"/>
      <c r="G36" s="291"/>
      <c r="H36" s="291"/>
      <c r="I36" s="291"/>
      <c r="J36" s="292"/>
      <c r="K36" s="90"/>
    </row>
    <row r="37" spans="1:11" ht="18.75" customHeight="1" x14ac:dyDescent="0.15">
      <c r="A37" s="80"/>
      <c r="B37" s="290"/>
      <c r="C37" s="291"/>
      <c r="D37" s="291"/>
      <c r="E37" s="291"/>
      <c r="F37" s="291"/>
      <c r="G37" s="291"/>
      <c r="H37" s="291"/>
      <c r="I37" s="291"/>
      <c r="J37" s="292"/>
      <c r="K37" s="90"/>
    </row>
    <row r="38" spans="1:11" ht="18.75" customHeight="1" x14ac:dyDescent="0.15">
      <c r="A38" s="80"/>
      <c r="B38" s="290"/>
      <c r="C38" s="291"/>
      <c r="D38" s="291"/>
      <c r="E38" s="291"/>
      <c r="F38" s="291"/>
      <c r="G38" s="291"/>
      <c r="H38" s="291"/>
      <c r="I38" s="291"/>
      <c r="J38" s="292"/>
      <c r="K38" s="90"/>
    </row>
    <row r="39" spans="1:11" ht="18.75" customHeight="1" x14ac:dyDescent="0.15">
      <c r="A39" s="80"/>
      <c r="B39" s="290"/>
      <c r="C39" s="291"/>
      <c r="D39" s="291"/>
      <c r="E39" s="291"/>
      <c r="F39" s="291"/>
      <c r="G39" s="291"/>
      <c r="H39" s="291"/>
      <c r="I39" s="291"/>
      <c r="J39" s="292"/>
      <c r="K39" s="90"/>
    </row>
    <row r="40" spans="1:11" ht="18.75" customHeight="1" x14ac:dyDescent="0.15">
      <c r="A40" s="80"/>
      <c r="B40" s="290"/>
      <c r="C40" s="291"/>
      <c r="D40" s="291"/>
      <c r="E40" s="291"/>
      <c r="F40" s="291"/>
      <c r="G40" s="291"/>
      <c r="H40" s="291"/>
      <c r="I40" s="291"/>
      <c r="J40" s="292"/>
      <c r="K40" s="90"/>
    </row>
    <row r="41" spans="1:11" ht="18.75" customHeight="1" x14ac:dyDescent="0.15">
      <c r="A41" s="80"/>
      <c r="B41" s="290"/>
      <c r="C41" s="291"/>
      <c r="D41" s="291"/>
      <c r="E41" s="291"/>
      <c r="F41" s="291"/>
      <c r="G41" s="291"/>
      <c r="H41" s="291"/>
      <c r="I41" s="291"/>
      <c r="J41" s="292"/>
      <c r="K41" s="90"/>
    </row>
    <row r="42" spans="1:11" ht="18.75" customHeight="1" x14ac:dyDescent="0.15">
      <c r="A42" s="80"/>
      <c r="B42" s="290"/>
      <c r="C42" s="291"/>
      <c r="D42" s="291"/>
      <c r="E42" s="291"/>
      <c r="F42" s="291"/>
      <c r="G42" s="291"/>
      <c r="H42" s="291"/>
      <c r="I42" s="291"/>
      <c r="J42" s="292"/>
      <c r="K42" s="90"/>
    </row>
    <row r="43" spans="1:11" ht="18.75" customHeight="1" x14ac:dyDescent="0.15">
      <c r="A43" s="17"/>
      <c r="B43" s="290"/>
      <c r="C43" s="291"/>
      <c r="D43" s="291"/>
      <c r="E43" s="291"/>
      <c r="F43" s="291"/>
      <c r="G43" s="291"/>
      <c r="H43" s="291"/>
      <c r="I43" s="291"/>
      <c r="J43" s="292"/>
      <c r="K43" s="90"/>
    </row>
    <row r="44" spans="1:11" ht="18.75" customHeight="1" x14ac:dyDescent="0.15">
      <c r="A44" s="17"/>
      <c r="B44" s="293"/>
      <c r="C44" s="294"/>
      <c r="D44" s="294"/>
      <c r="E44" s="294"/>
      <c r="F44" s="294"/>
      <c r="G44" s="294"/>
      <c r="H44" s="294"/>
      <c r="I44" s="294"/>
      <c r="J44" s="295"/>
    </row>
    <row r="45" spans="1:11" ht="18.75" customHeight="1" x14ac:dyDescent="0.15">
      <c r="A45" s="87" t="s">
        <v>12</v>
      </c>
      <c r="B45" s="80" t="s">
        <v>62</v>
      </c>
      <c r="I45" s="87"/>
      <c r="J45" s="87"/>
    </row>
    <row r="46" spans="1:11" ht="18.75" customHeight="1" x14ac:dyDescent="0.15">
      <c r="A46" s="17"/>
      <c r="B46" s="268" t="s">
        <v>193</v>
      </c>
      <c r="C46" s="269"/>
      <c r="D46" s="269"/>
      <c r="E46" s="269"/>
      <c r="F46" s="269"/>
      <c r="G46" s="269"/>
      <c r="H46" s="269"/>
      <c r="I46" s="269"/>
      <c r="J46" s="270"/>
      <c r="K46" s="80" t="str">
        <f>IF(B46="","入力してください","")</f>
        <v/>
      </c>
    </row>
    <row r="47" spans="1:11" ht="18.75" customHeight="1" x14ac:dyDescent="0.15">
      <c r="A47" s="17"/>
      <c r="B47" s="271"/>
      <c r="C47" s="272"/>
      <c r="D47" s="272"/>
      <c r="E47" s="272"/>
      <c r="F47" s="272"/>
      <c r="G47" s="272"/>
      <c r="H47" s="272"/>
      <c r="I47" s="272"/>
      <c r="J47" s="273"/>
    </row>
    <row r="48" spans="1:11" ht="18.75" customHeight="1" x14ac:dyDescent="0.15">
      <c r="A48" s="17"/>
      <c r="B48" s="271"/>
      <c r="C48" s="272"/>
      <c r="D48" s="272"/>
      <c r="E48" s="272"/>
      <c r="F48" s="272"/>
      <c r="G48" s="272"/>
      <c r="H48" s="272"/>
      <c r="I48" s="272"/>
      <c r="J48" s="273"/>
    </row>
    <row r="49" spans="1:10" ht="18.75" customHeight="1" x14ac:dyDescent="0.15">
      <c r="A49" s="17"/>
      <c r="B49" s="271"/>
      <c r="C49" s="272"/>
      <c r="D49" s="272"/>
      <c r="E49" s="272"/>
      <c r="F49" s="272"/>
      <c r="G49" s="272"/>
      <c r="H49" s="272"/>
      <c r="I49" s="272"/>
      <c r="J49" s="273"/>
    </row>
    <row r="50" spans="1:10" ht="18.75" customHeight="1" x14ac:dyDescent="0.15">
      <c r="A50" s="17"/>
      <c r="B50" s="271"/>
      <c r="C50" s="272"/>
      <c r="D50" s="272"/>
      <c r="E50" s="272"/>
      <c r="F50" s="272"/>
      <c r="G50" s="272"/>
      <c r="H50" s="272"/>
      <c r="I50" s="272"/>
      <c r="J50" s="273"/>
    </row>
    <row r="51" spans="1:10" ht="18.75" customHeight="1" x14ac:dyDescent="0.15">
      <c r="A51" s="17"/>
      <c r="B51" s="271"/>
      <c r="C51" s="272"/>
      <c r="D51" s="272"/>
      <c r="E51" s="272"/>
      <c r="F51" s="272"/>
      <c r="G51" s="272"/>
      <c r="H51" s="272"/>
      <c r="I51" s="272"/>
      <c r="J51" s="273"/>
    </row>
    <row r="52" spans="1:10" ht="18.75" customHeight="1" x14ac:dyDescent="0.15">
      <c r="A52" s="17"/>
      <c r="B52" s="271"/>
      <c r="C52" s="272"/>
      <c r="D52" s="272"/>
      <c r="E52" s="272"/>
      <c r="F52" s="272"/>
      <c r="G52" s="272"/>
      <c r="H52" s="272"/>
      <c r="I52" s="272"/>
      <c r="J52" s="273"/>
    </row>
    <row r="53" spans="1:10" ht="18.75" customHeight="1" x14ac:dyDescent="0.15">
      <c r="A53" s="17"/>
      <c r="B53" s="271"/>
      <c r="C53" s="272"/>
      <c r="D53" s="272"/>
      <c r="E53" s="272"/>
      <c r="F53" s="272"/>
      <c r="G53" s="272"/>
      <c r="H53" s="272"/>
      <c r="I53" s="272"/>
      <c r="J53" s="273"/>
    </row>
    <row r="54" spans="1:10" ht="18.75" customHeight="1" x14ac:dyDescent="0.15">
      <c r="A54" s="17"/>
      <c r="B54" s="271"/>
      <c r="C54" s="272"/>
      <c r="D54" s="272"/>
      <c r="E54" s="272"/>
      <c r="F54" s="272"/>
      <c r="G54" s="272"/>
      <c r="H54" s="272"/>
      <c r="I54" s="272"/>
      <c r="J54" s="273"/>
    </row>
    <row r="55" spans="1:10" ht="18.75" customHeight="1" x14ac:dyDescent="0.15">
      <c r="A55" s="17"/>
      <c r="B55" s="271"/>
      <c r="C55" s="272"/>
      <c r="D55" s="272"/>
      <c r="E55" s="272"/>
      <c r="F55" s="272"/>
      <c r="G55" s="272"/>
      <c r="H55" s="272"/>
      <c r="I55" s="272"/>
      <c r="J55" s="273"/>
    </row>
    <row r="56" spans="1:10" ht="18.75" customHeight="1" x14ac:dyDescent="0.15">
      <c r="A56" s="17"/>
      <c r="B56" s="271"/>
      <c r="C56" s="272"/>
      <c r="D56" s="272"/>
      <c r="E56" s="272"/>
      <c r="F56" s="272"/>
      <c r="G56" s="272"/>
      <c r="H56" s="272"/>
      <c r="I56" s="272"/>
      <c r="J56" s="273"/>
    </row>
    <row r="57" spans="1:10" ht="18.75" customHeight="1" x14ac:dyDescent="0.15">
      <c r="A57" s="17"/>
      <c r="B57" s="271"/>
      <c r="C57" s="272"/>
      <c r="D57" s="272"/>
      <c r="E57" s="272"/>
      <c r="F57" s="272"/>
      <c r="G57" s="272"/>
      <c r="H57" s="272"/>
      <c r="I57" s="272"/>
      <c r="J57" s="273"/>
    </row>
    <row r="58" spans="1:10" ht="18.75" customHeight="1" x14ac:dyDescent="0.15">
      <c r="A58" s="17"/>
      <c r="B58" s="271"/>
      <c r="C58" s="272"/>
      <c r="D58" s="272"/>
      <c r="E58" s="272"/>
      <c r="F58" s="272"/>
      <c r="G58" s="272"/>
      <c r="H58" s="272"/>
      <c r="I58" s="272"/>
      <c r="J58" s="273"/>
    </row>
    <row r="59" spans="1:10" ht="18.75" customHeight="1" x14ac:dyDescent="0.15">
      <c r="A59" s="17"/>
      <c r="B59" s="271"/>
      <c r="C59" s="272"/>
      <c r="D59" s="272"/>
      <c r="E59" s="272"/>
      <c r="F59" s="272"/>
      <c r="G59" s="272"/>
      <c r="H59" s="272"/>
      <c r="I59" s="272"/>
      <c r="J59" s="273"/>
    </row>
    <row r="60" spans="1:10" ht="18.75" customHeight="1" x14ac:dyDescent="0.15">
      <c r="A60" s="17"/>
      <c r="B60" s="271"/>
      <c r="C60" s="272"/>
      <c r="D60" s="272"/>
      <c r="E60" s="272"/>
      <c r="F60" s="272"/>
      <c r="G60" s="272"/>
      <c r="H60" s="272"/>
      <c r="I60" s="272"/>
      <c r="J60" s="273"/>
    </row>
    <row r="61" spans="1:10" ht="18.75" customHeight="1" x14ac:dyDescent="0.15">
      <c r="A61" s="17"/>
      <c r="B61" s="271"/>
      <c r="C61" s="272"/>
      <c r="D61" s="272"/>
      <c r="E61" s="272"/>
      <c r="F61" s="272"/>
      <c r="G61" s="272"/>
      <c r="H61" s="272"/>
      <c r="I61" s="272"/>
      <c r="J61" s="273"/>
    </row>
    <row r="62" spans="1:10" ht="18.75" customHeight="1" x14ac:dyDescent="0.15">
      <c r="A62" s="17"/>
      <c r="B62" s="271"/>
      <c r="C62" s="272"/>
      <c r="D62" s="272"/>
      <c r="E62" s="272"/>
      <c r="F62" s="272"/>
      <c r="G62" s="272"/>
      <c r="H62" s="272"/>
      <c r="I62" s="272"/>
      <c r="J62" s="273"/>
    </row>
    <row r="63" spans="1:10" ht="18.75" customHeight="1" x14ac:dyDescent="0.15">
      <c r="A63" s="17"/>
      <c r="B63" s="271"/>
      <c r="C63" s="272"/>
      <c r="D63" s="272"/>
      <c r="E63" s="272"/>
      <c r="F63" s="272"/>
      <c r="G63" s="272"/>
      <c r="H63" s="272"/>
      <c r="I63" s="272"/>
      <c r="J63" s="273"/>
    </row>
    <row r="64" spans="1:10" ht="18.75" customHeight="1" x14ac:dyDescent="0.15">
      <c r="A64" s="17"/>
      <c r="B64" s="271"/>
      <c r="C64" s="272"/>
      <c r="D64" s="272"/>
      <c r="E64" s="272"/>
      <c r="F64" s="272"/>
      <c r="G64" s="272"/>
      <c r="H64" s="272"/>
      <c r="I64" s="272"/>
      <c r="J64" s="273"/>
    </row>
    <row r="65" spans="1:11" ht="18.75" customHeight="1" x14ac:dyDescent="0.15">
      <c r="A65" s="17"/>
      <c r="B65" s="271"/>
      <c r="C65" s="272"/>
      <c r="D65" s="272"/>
      <c r="E65" s="272"/>
      <c r="F65" s="272"/>
      <c r="G65" s="272"/>
      <c r="H65" s="272"/>
      <c r="I65" s="272"/>
      <c r="J65" s="273"/>
    </row>
    <row r="66" spans="1:11" ht="18.75" customHeight="1" x14ac:dyDescent="0.15">
      <c r="A66" s="17"/>
      <c r="B66" s="274"/>
      <c r="C66" s="275"/>
      <c r="D66" s="275"/>
      <c r="E66" s="275"/>
      <c r="F66" s="275"/>
      <c r="G66" s="275"/>
      <c r="H66" s="275"/>
      <c r="I66" s="275"/>
      <c r="J66" s="276"/>
    </row>
    <row r="67" spans="1:11" ht="7.5" customHeight="1" x14ac:dyDescent="0.15">
      <c r="A67" s="17"/>
      <c r="B67" s="17"/>
      <c r="C67" s="17"/>
      <c r="D67" s="17"/>
      <c r="E67" s="17"/>
      <c r="F67" s="17"/>
      <c r="G67" s="17"/>
      <c r="H67" s="17"/>
      <c r="I67" s="17"/>
      <c r="J67" s="17"/>
    </row>
    <row r="68" spans="1:11" ht="18.75" customHeight="1" x14ac:dyDescent="0.15">
      <c r="A68" s="80" t="s">
        <v>15</v>
      </c>
      <c r="B68" s="80" t="s">
        <v>70</v>
      </c>
    </row>
    <row r="69" spans="1:11" ht="18.75" customHeight="1" x14ac:dyDescent="0.15">
      <c r="A69" s="80"/>
      <c r="B69" s="277" t="s">
        <v>175</v>
      </c>
      <c r="C69" s="269"/>
      <c r="D69" s="269"/>
      <c r="E69" s="269"/>
      <c r="F69" s="269"/>
      <c r="G69" s="269"/>
      <c r="H69" s="269"/>
      <c r="I69" s="278"/>
      <c r="J69" s="279"/>
      <c r="K69" s="90" t="str">
        <f>IF(B69="","入力してください","")</f>
        <v/>
      </c>
    </row>
    <row r="70" spans="1:11" ht="18.75" customHeight="1" x14ac:dyDescent="0.15">
      <c r="A70" s="80"/>
      <c r="B70" s="280"/>
      <c r="C70" s="281"/>
      <c r="D70" s="281"/>
      <c r="E70" s="281"/>
      <c r="F70" s="281"/>
      <c r="G70" s="281"/>
      <c r="H70" s="281"/>
      <c r="I70" s="281"/>
      <c r="J70" s="282"/>
      <c r="K70" s="90"/>
    </row>
    <row r="71" spans="1:11" ht="18.75" customHeight="1" x14ac:dyDescent="0.15">
      <c r="A71" s="80"/>
      <c r="B71" s="280"/>
      <c r="C71" s="281"/>
      <c r="D71" s="281"/>
      <c r="E71" s="281"/>
      <c r="F71" s="281"/>
      <c r="G71" s="281"/>
      <c r="H71" s="281"/>
      <c r="I71" s="281"/>
      <c r="J71" s="282"/>
      <c r="K71" s="90"/>
    </row>
    <row r="72" spans="1:11" ht="18.75" customHeight="1" x14ac:dyDescent="0.15">
      <c r="A72" s="80"/>
      <c r="B72" s="280"/>
      <c r="C72" s="281"/>
      <c r="D72" s="281"/>
      <c r="E72" s="281"/>
      <c r="F72" s="281"/>
      <c r="G72" s="281"/>
      <c r="H72" s="281"/>
      <c r="I72" s="281"/>
      <c r="J72" s="282"/>
      <c r="K72" s="90"/>
    </row>
    <row r="73" spans="1:11" ht="18.75" customHeight="1" x14ac:dyDescent="0.15">
      <c r="A73" s="80"/>
      <c r="B73" s="280"/>
      <c r="C73" s="281"/>
      <c r="D73" s="281"/>
      <c r="E73" s="281"/>
      <c r="F73" s="281"/>
      <c r="G73" s="281"/>
      <c r="H73" s="281"/>
      <c r="I73" s="281"/>
      <c r="J73" s="282"/>
      <c r="K73" s="90"/>
    </row>
    <row r="74" spans="1:11" ht="18.75" customHeight="1" x14ac:dyDescent="0.15">
      <c r="A74" s="80"/>
      <c r="B74" s="280"/>
      <c r="C74" s="281"/>
      <c r="D74" s="281"/>
      <c r="E74" s="281"/>
      <c r="F74" s="281"/>
      <c r="G74" s="281"/>
      <c r="H74" s="281"/>
      <c r="I74" s="281"/>
      <c r="J74" s="282"/>
      <c r="K74" s="90"/>
    </row>
    <row r="75" spans="1:11" ht="18.75" customHeight="1" x14ac:dyDescent="0.15">
      <c r="A75" s="80"/>
      <c r="B75" s="280"/>
      <c r="C75" s="281"/>
      <c r="D75" s="281"/>
      <c r="E75" s="281"/>
      <c r="F75" s="281"/>
      <c r="G75" s="281"/>
      <c r="H75" s="281"/>
      <c r="I75" s="281"/>
      <c r="J75" s="282"/>
      <c r="K75" s="90"/>
    </row>
    <row r="76" spans="1:11" ht="18.75" customHeight="1" x14ac:dyDescent="0.15">
      <c r="A76" s="80"/>
      <c r="B76" s="280"/>
      <c r="C76" s="281"/>
      <c r="D76" s="281"/>
      <c r="E76" s="281"/>
      <c r="F76" s="281"/>
      <c r="G76" s="281"/>
      <c r="H76" s="281"/>
      <c r="I76" s="281"/>
      <c r="J76" s="282"/>
      <c r="K76" s="90"/>
    </row>
    <row r="77" spans="1:11" ht="18.75" customHeight="1" x14ac:dyDescent="0.15">
      <c r="A77" s="80"/>
      <c r="B77" s="280"/>
      <c r="C77" s="281"/>
      <c r="D77" s="281"/>
      <c r="E77" s="281"/>
      <c r="F77" s="281"/>
      <c r="G77" s="281"/>
      <c r="H77" s="281"/>
      <c r="I77" s="281"/>
      <c r="J77" s="282"/>
      <c r="K77" s="90"/>
    </row>
    <row r="78" spans="1:11" ht="18.75" customHeight="1" x14ac:dyDescent="0.15">
      <c r="A78" s="80"/>
      <c r="B78" s="280"/>
      <c r="C78" s="281"/>
      <c r="D78" s="281"/>
      <c r="E78" s="281"/>
      <c r="F78" s="281"/>
      <c r="G78" s="281"/>
      <c r="H78" s="281"/>
      <c r="I78" s="281"/>
      <c r="J78" s="282"/>
      <c r="K78" s="90"/>
    </row>
    <row r="79" spans="1:11" ht="18.75" customHeight="1" x14ac:dyDescent="0.15">
      <c r="A79" s="80"/>
      <c r="B79" s="280"/>
      <c r="C79" s="281"/>
      <c r="D79" s="281"/>
      <c r="E79" s="281"/>
      <c r="F79" s="281"/>
      <c r="G79" s="281"/>
      <c r="H79" s="281"/>
      <c r="I79" s="281"/>
      <c r="J79" s="282"/>
      <c r="K79" s="90"/>
    </row>
    <row r="80" spans="1:11" ht="18.75" customHeight="1" x14ac:dyDescent="0.15">
      <c r="A80" s="80"/>
      <c r="B80" s="280"/>
      <c r="C80" s="281"/>
      <c r="D80" s="281"/>
      <c r="E80" s="281"/>
      <c r="F80" s="281"/>
      <c r="G80" s="281"/>
      <c r="H80" s="281"/>
      <c r="I80" s="281"/>
      <c r="J80" s="282"/>
      <c r="K80" s="90"/>
    </row>
    <row r="81" spans="1:11" ht="18.75" customHeight="1" x14ac:dyDescent="0.15">
      <c r="A81" s="80"/>
      <c r="B81" s="280"/>
      <c r="C81" s="281"/>
      <c r="D81" s="281"/>
      <c r="E81" s="281"/>
      <c r="F81" s="281"/>
      <c r="G81" s="281"/>
      <c r="H81" s="281"/>
      <c r="I81" s="281"/>
      <c r="J81" s="282"/>
      <c r="K81" s="90"/>
    </row>
    <row r="82" spans="1:11" ht="18.75" customHeight="1" x14ac:dyDescent="0.15">
      <c r="A82" s="80"/>
      <c r="B82" s="280"/>
      <c r="C82" s="281"/>
      <c r="D82" s="281"/>
      <c r="E82" s="281"/>
      <c r="F82" s="281"/>
      <c r="G82" s="281"/>
      <c r="H82" s="281"/>
      <c r="I82" s="281"/>
      <c r="J82" s="282"/>
      <c r="K82" s="90"/>
    </row>
    <row r="83" spans="1:11" ht="18.75" customHeight="1" x14ac:dyDescent="0.15">
      <c r="A83" s="80"/>
      <c r="B83" s="280"/>
      <c r="C83" s="281"/>
      <c r="D83" s="281"/>
      <c r="E83" s="281"/>
      <c r="F83" s="281"/>
      <c r="G83" s="281"/>
      <c r="H83" s="281"/>
      <c r="I83" s="281"/>
      <c r="J83" s="282"/>
      <c r="K83" s="90"/>
    </row>
    <row r="84" spans="1:11" ht="18.75" customHeight="1" x14ac:dyDescent="0.15">
      <c r="A84" s="80"/>
      <c r="B84" s="280"/>
      <c r="C84" s="281"/>
      <c r="D84" s="281"/>
      <c r="E84" s="281"/>
      <c r="F84" s="281"/>
      <c r="G84" s="281"/>
      <c r="H84" s="281"/>
      <c r="I84" s="281"/>
      <c r="J84" s="282"/>
      <c r="K84" s="90"/>
    </row>
    <row r="85" spans="1:11" ht="18.75" customHeight="1" x14ac:dyDescent="0.15">
      <c r="A85" s="17"/>
      <c r="B85" s="280"/>
      <c r="C85" s="281"/>
      <c r="D85" s="281"/>
      <c r="E85" s="281"/>
      <c r="F85" s="281"/>
      <c r="G85" s="281"/>
      <c r="H85" s="281"/>
      <c r="I85" s="281"/>
      <c r="J85" s="282"/>
      <c r="K85" s="90"/>
    </row>
    <row r="86" spans="1:11" ht="18.75" customHeight="1" x14ac:dyDescent="0.15">
      <c r="A86" s="17"/>
      <c r="B86" s="283"/>
      <c r="C86" s="284"/>
      <c r="D86" s="284"/>
      <c r="E86" s="284"/>
      <c r="F86" s="284"/>
      <c r="G86" s="284"/>
      <c r="H86" s="284"/>
      <c r="I86" s="284"/>
      <c r="J86" s="285"/>
      <c r="K86" s="90"/>
    </row>
    <row r="87" spans="1:11" ht="7.5" customHeight="1" x14ac:dyDescent="0.15">
      <c r="A87" s="17"/>
      <c r="B87" s="17"/>
      <c r="C87" s="17"/>
      <c r="D87" s="17"/>
      <c r="E87" s="17"/>
      <c r="F87" s="17"/>
      <c r="G87" s="17"/>
      <c r="H87" s="17"/>
      <c r="I87" s="17"/>
      <c r="J87" s="17"/>
    </row>
    <row r="88" spans="1:11" ht="18.75" customHeight="1" x14ac:dyDescent="0.15">
      <c r="A88" s="80" t="s">
        <v>13</v>
      </c>
      <c r="B88" s="80" t="s">
        <v>28</v>
      </c>
    </row>
    <row r="89" spans="1:11" ht="18.75" customHeight="1" x14ac:dyDescent="0.15">
      <c r="A89" s="80"/>
      <c r="B89" s="277" t="s">
        <v>183</v>
      </c>
      <c r="C89" s="269"/>
      <c r="D89" s="269"/>
      <c r="E89" s="269"/>
      <c r="F89" s="269"/>
      <c r="G89" s="269"/>
      <c r="H89" s="269"/>
      <c r="I89" s="278"/>
      <c r="J89" s="279"/>
    </row>
    <row r="90" spans="1:11" ht="18.75" customHeight="1" x14ac:dyDescent="0.15">
      <c r="A90" s="80"/>
      <c r="B90" s="280"/>
      <c r="C90" s="281"/>
      <c r="D90" s="281"/>
      <c r="E90" s="281"/>
      <c r="F90" s="281"/>
      <c r="G90" s="281"/>
      <c r="H90" s="281"/>
      <c r="I90" s="281"/>
      <c r="J90" s="282"/>
      <c r="K90" s="90"/>
    </row>
    <row r="91" spans="1:11" ht="18.75" customHeight="1" x14ac:dyDescent="0.15">
      <c r="A91" s="80"/>
      <c r="B91" s="280"/>
      <c r="C91" s="281"/>
      <c r="D91" s="281"/>
      <c r="E91" s="281"/>
      <c r="F91" s="281"/>
      <c r="G91" s="281"/>
      <c r="H91" s="281"/>
      <c r="I91" s="281"/>
      <c r="J91" s="282"/>
      <c r="K91" s="90" t="str">
        <f>IF(B89="","入力してください","")</f>
        <v/>
      </c>
    </row>
    <row r="92" spans="1:11" ht="18.75" customHeight="1" x14ac:dyDescent="0.15">
      <c r="A92" s="80"/>
      <c r="B92" s="280"/>
      <c r="C92" s="281"/>
      <c r="D92" s="281"/>
      <c r="E92" s="281"/>
      <c r="F92" s="281"/>
      <c r="G92" s="281"/>
      <c r="H92" s="281"/>
      <c r="I92" s="281"/>
      <c r="J92" s="282"/>
      <c r="K92" s="90"/>
    </row>
    <row r="93" spans="1:11" ht="18.75" customHeight="1" x14ac:dyDescent="0.15">
      <c r="A93" s="80"/>
      <c r="B93" s="280"/>
      <c r="C93" s="281"/>
      <c r="D93" s="281"/>
      <c r="E93" s="281"/>
      <c r="F93" s="281"/>
      <c r="G93" s="281"/>
      <c r="H93" s="281"/>
      <c r="I93" s="281"/>
      <c r="J93" s="282"/>
      <c r="K93" s="90"/>
    </row>
    <row r="94" spans="1:11" ht="18.75" customHeight="1" x14ac:dyDescent="0.15">
      <c r="A94" s="80"/>
      <c r="B94" s="280"/>
      <c r="C94" s="281"/>
      <c r="D94" s="281"/>
      <c r="E94" s="281"/>
      <c r="F94" s="281"/>
      <c r="G94" s="281"/>
      <c r="H94" s="281"/>
      <c r="I94" s="281"/>
      <c r="J94" s="282"/>
      <c r="K94" s="90"/>
    </row>
    <row r="95" spans="1:11" ht="18.75" customHeight="1" x14ac:dyDescent="0.15">
      <c r="A95" s="80"/>
      <c r="B95" s="280"/>
      <c r="C95" s="281"/>
      <c r="D95" s="281"/>
      <c r="E95" s="281"/>
      <c r="F95" s="281"/>
      <c r="G95" s="281"/>
      <c r="H95" s="281"/>
      <c r="I95" s="281"/>
      <c r="J95" s="282"/>
      <c r="K95" s="90"/>
    </row>
    <row r="96" spans="1:11" ht="18.75" customHeight="1" x14ac:dyDescent="0.15">
      <c r="A96" s="80"/>
      <c r="B96" s="280"/>
      <c r="C96" s="281"/>
      <c r="D96" s="281"/>
      <c r="E96" s="281"/>
      <c r="F96" s="281"/>
      <c r="G96" s="281"/>
      <c r="H96" s="281"/>
      <c r="I96" s="281"/>
      <c r="J96" s="282"/>
      <c r="K96" s="90"/>
    </row>
    <row r="97" spans="1:11" ht="18.75" customHeight="1" x14ac:dyDescent="0.15">
      <c r="A97" s="80"/>
      <c r="B97" s="280"/>
      <c r="C97" s="281"/>
      <c r="D97" s="281"/>
      <c r="E97" s="281"/>
      <c r="F97" s="281"/>
      <c r="G97" s="281"/>
      <c r="H97" s="281"/>
      <c r="I97" s="281"/>
      <c r="J97" s="282"/>
      <c r="K97" s="90"/>
    </row>
    <row r="98" spans="1:11" ht="18.75" customHeight="1" x14ac:dyDescent="0.15">
      <c r="A98" s="80"/>
      <c r="B98" s="280"/>
      <c r="C98" s="281"/>
      <c r="D98" s="281"/>
      <c r="E98" s="281"/>
      <c r="F98" s="281"/>
      <c r="G98" s="281"/>
      <c r="H98" s="281"/>
      <c r="I98" s="281"/>
      <c r="J98" s="282"/>
      <c r="K98" s="90"/>
    </row>
    <row r="99" spans="1:11" ht="18.75" customHeight="1" x14ac:dyDescent="0.15">
      <c r="A99" s="80"/>
      <c r="B99" s="280"/>
      <c r="C99" s="281"/>
      <c r="D99" s="281"/>
      <c r="E99" s="281"/>
      <c r="F99" s="281"/>
      <c r="G99" s="281"/>
      <c r="H99" s="281"/>
      <c r="I99" s="281"/>
      <c r="J99" s="282"/>
      <c r="K99" s="90"/>
    </row>
    <row r="100" spans="1:11" ht="18.75" customHeight="1" x14ac:dyDescent="0.15">
      <c r="A100" s="80"/>
      <c r="B100" s="280"/>
      <c r="C100" s="281"/>
      <c r="D100" s="281"/>
      <c r="E100" s="281"/>
      <c r="F100" s="281"/>
      <c r="G100" s="281"/>
      <c r="H100" s="281"/>
      <c r="I100" s="281"/>
      <c r="J100" s="282"/>
      <c r="K100" s="90"/>
    </row>
    <row r="101" spans="1:11" ht="18.75" customHeight="1" x14ac:dyDescent="0.15">
      <c r="A101" s="80"/>
      <c r="B101" s="280"/>
      <c r="C101" s="281"/>
      <c r="D101" s="281"/>
      <c r="E101" s="281"/>
      <c r="F101" s="281"/>
      <c r="G101" s="281"/>
      <c r="H101" s="281"/>
      <c r="I101" s="281"/>
      <c r="J101" s="282"/>
      <c r="K101" s="90"/>
    </row>
    <row r="102" spans="1:11" ht="18.75" customHeight="1" x14ac:dyDescent="0.15">
      <c r="A102" s="80"/>
      <c r="B102" s="280"/>
      <c r="C102" s="281"/>
      <c r="D102" s="281"/>
      <c r="E102" s="281"/>
      <c r="F102" s="281"/>
      <c r="G102" s="281"/>
      <c r="H102" s="281"/>
      <c r="I102" s="281"/>
      <c r="J102" s="282"/>
      <c r="K102" s="90"/>
    </row>
    <row r="103" spans="1:11" ht="18.75" customHeight="1" x14ac:dyDescent="0.15">
      <c r="A103" s="80"/>
      <c r="B103" s="280"/>
      <c r="C103" s="281"/>
      <c r="D103" s="281"/>
      <c r="E103" s="281"/>
      <c r="F103" s="281"/>
      <c r="G103" s="281"/>
      <c r="H103" s="281"/>
      <c r="I103" s="281"/>
      <c r="J103" s="282"/>
      <c r="K103" s="90"/>
    </row>
    <row r="104" spans="1:11" ht="18.75" customHeight="1" x14ac:dyDescent="0.15">
      <c r="A104" s="80"/>
      <c r="B104" s="280"/>
      <c r="C104" s="281"/>
      <c r="D104" s="281"/>
      <c r="E104" s="281"/>
      <c r="F104" s="281"/>
      <c r="G104" s="281"/>
      <c r="H104" s="281"/>
      <c r="I104" s="281"/>
      <c r="J104" s="282"/>
      <c r="K104" s="90"/>
    </row>
    <row r="105" spans="1:11" ht="18.75" customHeight="1" x14ac:dyDescent="0.15">
      <c r="A105" s="80"/>
      <c r="B105" s="280"/>
      <c r="C105" s="281"/>
      <c r="D105" s="281"/>
      <c r="E105" s="281"/>
      <c r="F105" s="281"/>
      <c r="G105" s="281"/>
      <c r="H105" s="281"/>
      <c r="I105" s="281"/>
      <c r="J105" s="282"/>
      <c r="K105" s="90"/>
    </row>
    <row r="106" spans="1:11" ht="18.75" customHeight="1" x14ac:dyDescent="0.15">
      <c r="A106" s="80"/>
      <c r="B106" s="280"/>
      <c r="C106" s="281"/>
      <c r="D106" s="281"/>
      <c r="E106" s="281"/>
      <c r="F106" s="281"/>
      <c r="G106" s="281"/>
      <c r="H106" s="281"/>
      <c r="I106" s="281"/>
      <c r="J106" s="282"/>
      <c r="K106" s="90"/>
    </row>
    <row r="107" spans="1:11" ht="18.75" customHeight="1" x14ac:dyDescent="0.15">
      <c r="A107" s="17"/>
      <c r="B107" s="280"/>
      <c r="C107" s="281"/>
      <c r="D107" s="281"/>
      <c r="E107" s="281"/>
      <c r="F107" s="281"/>
      <c r="G107" s="281"/>
      <c r="H107" s="281"/>
      <c r="I107" s="281"/>
      <c r="J107" s="282"/>
      <c r="K107" s="90"/>
    </row>
    <row r="108" spans="1:11" ht="18.75" customHeight="1" x14ac:dyDescent="0.15">
      <c r="A108" s="17"/>
      <c r="B108" s="283"/>
      <c r="C108" s="284"/>
      <c r="D108" s="284"/>
      <c r="E108" s="284"/>
      <c r="F108" s="284"/>
      <c r="G108" s="284"/>
      <c r="H108" s="284"/>
      <c r="I108" s="284"/>
      <c r="J108" s="285"/>
      <c r="K108" s="90"/>
    </row>
    <row r="109" spans="1:11" ht="7.5" customHeight="1" x14ac:dyDescent="0.15">
      <c r="A109" s="17"/>
      <c r="B109" s="17"/>
      <c r="C109" s="17"/>
      <c r="D109" s="17"/>
      <c r="E109" s="17"/>
      <c r="F109" s="17"/>
      <c r="G109" s="17"/>
      <c r="H109" s="17"/>
      <c r="I109" s="17"/>
      <c r="J109" s="17"/>
    </row>
    <row r="110" spans="1:11" ht="18.75" customHeight="1" x14ac:dyDescent="0.15">
      <c r="A110" s="80" t="s">
        <v>52</v>
      </c>
      <c r="B110" s="286" t="s">
        <v>81</v>
      </c>
      <c r="C110" s="286"/>
      <c r="D110" s="286"/>
      <c r="E110" s="286"/>
      <c r="F110" s="286"/>
      <c r="G110" s="286"/>
      <c r="H110" s="286"/>
      <c r="I110" s="286"/>
      <c r="J110" s="286"/>
    </row>
    <row r="111" spans="1:11" ht="18.75" customHeight="1" x14ac:dyDescent="0.15">
      <c r="A111" s="17"/>
      <c r="B111" s="268" t="s">
        <v>194</v>
      </c>
      <c r="C111" s="269"/>
      <c r="D111" s="269"/>
      <c r="E111" s="269"/>
      <c r="F111" s="269"/>
      <c r="G111" s="269"/>
      <c r="H111" s="269"/>
      <c r="I111" s="278"/>
      <c r="J111" s="279"/>
    </row>
    <row r="112" spans="1:11" ht="18.75" customHeight="1" x14ac:dyDescent="0.15">
      <c r="A112" s="17"/>
      <c r="B112" s="280"/>
      <c r="C112" s="281"/>
      <c r="D112" s="281"/>
      <c r="E112" s="281"/>
      <c r="F112" s="281"/>
      <c r="G112" s="281"/>
      <c r="H112" s="281"/>
      <c r="I112" s="281"/>
      <c r="J112" s="282"/>
      <c r="K112" s="90"/>
    </row>
    <row r="113" spans="1:11" ht="18.75" customHeight="1" x14ac:dyDescent="0.15">
      <c r="A113" s="17"/>
      <c r="B113" s="280"/>
      <c r="C113" s="281"/>
      <c r="D113" s="281"/>
      <c r="E113" s="281"/>
      <c r="F113" s="281"/>
      <c r="G113" s="281"/>
      <c r="H113" s="281"/>
      <c r="I113" s="281"/>
      <c r="J113" s="282"/>
      <c r="K113" s="80" t="str">
        <f>IF(B111="","入力してください","")</f>
        <v/>
      </c>
    </row>
    <row r="114" spans="1:11" ht="18.75" customHeight="1" x14ac:dyDescent="0.15">
      <c r="A114" s="17"/>
      <c r="B114" s="280"/>
      <c r="C114" s="281"/>
      <c r="D114" s="281"/>
      <c r="E114" s="281"/>
      <c r="F114" s="281"/>
      <c r="G114" s="281"/>
      <c r="H114" s="281"/>
      <c r="I114" s="281"/>
      <c r="J114" s="282"/>
    </row>
    <row r="115" spans="1:11" ht="18.75" customHeight="1" x14ac:dyDescent="0.15">
      <c r="A115" s="17"/>
      <c r="B115" s="280"/>
      <c r="C115" s="281"/>
      <c r="D115" s="281"/>
      <c r="E115" s="281"/>
      <c r="F115" s="281"/>
      <c r="G115" s="281"/>
      <c r="H115" s="281"/>
      <c r="I115" s="281"/>
      <c r="J115" s="282"/>
    </row>
    <row r="116" spans="1:11" ht="18.75" customHeight="1" x14ac:dyDescent="0.15">
      <c r="A116" s="17"/>
      <c r="B116" s="280"/>
      <c r="C116" s="281"/>
      <c r="D116" s="281"/>
      <c r="E116" s="281"/>
      <c r="F116" s="281"/>
      <c r="G116" s="281"/>
      <c r="H116" s="281"/>
      <c r="I116" s="281"/>
      <c r="J116" s="282"/>
    </row>
    <row r="117" spans="1:11" ht="18.75" customHeight="1" x14ac:dyDescent="0.15">
      <c r="A117" s="17"/>
      <c r="B117" s="280"/>
      <c r="C117" s="281"/>
      <c r="D117" s="281"/>
      <c r="E117" s="281"/>
      <c r="F117" s="281"/>
      <c r="G117" s="281"/>
      <c r="H117" s="281"/>
      <c r="I117" s="281"/>
      <c r="J117" s="282"/>
    </row>
    <row r="118" spans="1:11" ht="18.75" customHeight="1" x14ac:dyDescent="0.15">
      <c r="A118" s="17"/>
      <c r="B118" s="280"/>
      <c r="C118" s="281"/>
      <c r="D118" s="281"/>
      <c r="E118" s="281"/>
      <c r="F118" s="281"/>
      <c r="G118" s="281"/>
      <c r="H118" s="281"/>
      <c r="I118" s="281"/>
      <c r="J118" s="282"/>
    </row>
    <row r="119" spans="1:11" ht="18.75" customHeight="1" x14ac:dyDescent="0.15">
      <c r="A119" s="17"/>
      <c r="B119" s="280"/>
      <c r="C119" s="281"/>
      <c r="D119" s="281"/>
      <c r="E119" s="281"/>
      <c r="F119" s="281"/>
      <c r="G119" s="281"/>
      <c r="H119" s="281"/>
      <c r="I119" s="281"/>
      <c r="J119" s="282"/>
    </row>
    <row r="120" spans="1:11" ht="18.75" customHeight="1" x14ac:dyDescent="0.15">
      <c r="A120" s="17"/>
      <c r="B120" s="280"/>
      <c r="C120" s="281"/>
      <c r="D120" s="281"/>
      <c r="E120" s="281"/>
      <c r="F120" s="281"/>
      <c r="G120" s="281"/>
      <c r="H120" s="281"/>
      <c r="I120" s="281"/>
      <c r="J120" s="282"/>
    </row>
    <row r="121" spans="1:11" ht="18.75" customHeight="1" x14ac:dyDescent="0.15">
      <c r="A121" s="17"/>
      <c r="B121" s="280"/>
      <c r="C121" s="281"/>
      <c r="D121" s="281"/>
      <c r="E121" s="281"/>
      <c r="F121" s="281"/>
      <c r="G121" s="281"/>
      <c r="H121" s="281"/>
      <c r="I121" s="281"/>
      <c r="J121" s="282"/>
    </row>
    <row r="122" spans="1:11" ht="18.75" customHeight="1" x14ac:dyDescent="0.15">
      <c r="A122" s="17"/>
      <c r="B122" s="280"/>
      <c r="C122" s="281"/>
      <c r="D122" s="281"/>
      <c r="E122" s="281"/>
      <c r="F122" s="281"/>
      <c r="G122" s="281"/>
      <c r="H122" s="281"/>
      <c r="I122" s="281"/>
      <c r="J122" s="282"/>
    </row>
    <row r="123" spans="1:11" ht="18.75" customHeight="1" x14ac:dyDescent="0.15">
      <c r="A123" s="17"/>
      <c r="B123" s="280"/>
      <c r="C123" s="281"/>
      <c r="D123" s="281"/>
      <c r="E123" s="281"/>
      <c r="F123" s="281"/>
      <c r="G123" s="281"/>
      <c r="H123" s="281"/>
      <c r="I123" s="281"/>
      <c r="J123" s="282"/>
    </row>
    <row r="124" spans="1:11" ht="18.75" customHeight="1" x14ac:dyDescent="0.15">
      <c r="A124" s="17"/>
      <c r="B124" s="280"/>
      <c r="C124" s="281"/>
      <c r="D124" s="281"/>
      <c r="E124" s="281"/>
      <c r="F124" s="281"/>
      <c r="G124" s="281"/>
      <c r="H124" s="281"/>
      <c r="I124" s="281"/>
      <c r="J124" s="282"/>
    </row>
    <row r="125" spans="1:11" ht="18.75" customHeight="1" x14ac:dyDescent="0.15">
      <c r="A125" s="17"/>
      <c r="B125" s="280"/>
      <c r="C125" s="281"/>
      <c r="D125" s="281"/>
      <c r="E125" s="281"/>
      <c r="F125" s="281"/>
      <c r="G125" s="281"/>
      <c r="H125" s="281"/>
      <c r="I125" s="281"/>
      <c r="J125" s="282"/>
    </row>
    <row r="126" spans="1:11" ht="18.75" customHeight="1" x14ac:dyDescent="0.15">
      <c r="A126" s="17"/>
      <c r="B126" s="280"/>
      <c r="C126" s="281"/>
      <c r="D126" s="281"/>
      <c r="E126" s="281"/>
      <c r="F126" s="281"/>
      <c r="G126" s="281"/>
      <c r="H126" s="281"/>
      <c r="I126" s="281"/>
      <c r="J126" s="282"/>
    </row>
    <row r="127" spans="1:11" ht="18.75" customHeight="1" x14ac:dyDescent="0.15">
      <c r="A127" s="17"/>
      <c r="B127" s="280"/>
      <c r="C127" s="281"/>
      <c r="D127" s="281"/>
      <c r="E127" s="281"/>
      <c r="F127" s="281"/>
      <c r="G127" s="281"/>
      <c r="H127" s="281"/>
      <c r="I127" s="281"/>
      <c r="J127" s="282"/>
    </row>
    <row r="128" spans="1:11" ht="18.75" customHeight="1" x14ac:dyDescent="0.15">
      <c r="A128" s="17"/>
      <c r="B128" s="280"/>
      <c r="C128" s="281"/>
      <c r="D128" s="281"/>
      <c r="E128" s="281"/>
      <c r="F128" s="281"/>
      <c r="G128" s="281"/>
      <c r="H128" s="281"/>
      <c r="I128" s="281"/>
      <c r="J128" s="282"/>
    </row>
    <row r="129" spans="1:10" ht="18.75" customHeight="1" x14ac:dyDescent="0.15">
      <c r="A129" s="17"/>
      <c r="B129" s="283"/>
      <c r="C129" s="284"/>
      <c r="D129" s="284"/>
      <c r="E129" s="284"/>
      <c r="F129" s="284"/>
      <c r="G129" s="284"/>
      <c r="H129" s="284"/>
      <c r="I129" s="284"/>
      <c r="J129" s="285"/>
    </row>
    <row r="130" spans="1:10" ht="7.5" customHeight="1" x14ac:dyDescent="0.15">
      <c r="A130" s="17"/>
      <c r="B130" s="63"/>
      <c r="C130" s="63"/>
      <c r="D130" s="63"/>
      <c r="E130" s="63"/>
      <c r="F130" s="63"/>
      <c r="G130" s="63"/>
      <c r="H130" s="63"/>
      <c r="I130" s="63"/>
      <c r="J130" s="63"/>
    </row>
    <row r="131" spans="1:10" ht="18.75" customHeight="1" x14ac:dyDescent="0.15">
      <c r="A131" s="17"/>
      <c r="B131" s="17"/>
      <c r="C131" s="17"/>
      <c r="D131" s="17"/>
      <c r="E131" s="17"/>
      <c r="F131" s="17"/>
      <c r="G131" s="17"/>
      <c r="H131" s="17"/>
      <c r="I131" s="17"/>
      <c r="J131" s="17"/>
    </row>
    <row r="132" spans="1:10" ht="18.75" customHeight="1" x14ac:dyDescent="0.15">
      <c r="A132" s="17"/>
      <c r="B132" s="17"/>
      <c r="C132" s="17"/>
      <c r="D132" s="17"/>
      <c r="E132" s="17"/>
      <c r="F132" s="17"/>
      <c r="G132" s="17"/>
      <c r="H132" s="17"/>
      <c r="I132" s="17"/>
      <c r="J132" s="17"/>
    </row>
    <row r="133" spans="1:10" ht="18.75" customHeight="1" x14ac:dyDescent="0.15">
      <c r="A133" s="17"/>
      <c r="B133" s="17"/>
      <c r="C133" s="17"/>
      <c r="D133" s="17"/>
      <c r="E133" s="17"/>
      <c r="F133" s="17"/>
      <c r="G133" s="17"/>
      <c r="H133" s="17"/>
      <c r="I133" s="17"/>
      <c r="J133" s="17"/>
    </row>
    <row r="134" spans="1:10" ht="18.75" customHeight="1" x14ac:dyDescent="0.15">
      <c r="A134" s="17"/>
      <c r="B134" s="17"/>
      <c r="C134" s="17"/>
      <c r="D134" s="17"/>
      <c r="E134" s="17"/>
      <c r="F134" s="17"/>
      <c r="G134" s="17"/>
      <c r="H134" s="17"/>
      <c r="I134" s="17"/>
      <c r="J134" s="17"/>
    </row>
    <row r="135" spans="1:10" ht="18.75" customHeight="1" x14ac:dyDescent="0.15">
      <c r="A135" s="17"/>
      <c r="B135" s="17"/>
      <c r="C135" s="17"/>
      <c r="D135" s="17"/>
      <c r="E135" s="17"/>
      <c r="F135" s="17"/>
      <c r="G135" s="17"/>
      <c r="H135" s="17"/>
      <c r="I135" s="17"/>
      <c r="J135" s="17"/>
    </row>
    <row r="136" spans="1:10" ht="18.75" customHeight="1" x14ac:dyDescent="0.15">
      <c r="A136" s="17"/>
      <c r="B136" s="17"/>
      <c r="C136" s="17"/>
      <c r="D136" s="17"/>
      <c r="E136" s="17"/>
      <c r="F136" s="17"/>
      <c r="G136" s="17"/>
      <c r="H136" s="17"/>
      <c r="I136" s="17"/>
      <c r="J136" s="17"/>
    </row>
    <row r="137" spans="1:10" ht="18.75" customHeight="1" x14ac:dyDescent="0.15">
      <c r="A137" s="17"/>
      <c r="B137" s="17"/>
      <c r="C137" s="17"/>
      <c r="D137" s="17"/>
      <c r="E137" s="17"/>
      <c r="F137" s="17"/>
      <c r="G137" s="17"/>
      <c r="H137" s="17"/>
      <c r="I137" s="17"/>
      <c r="J137" s="17"/>
    </row>
    <row r="138" spans="1:10" ht="18.75" customHeight="1" x14ac:dyDescent="0.15">
      <c r="A138" s="17"/>
      <c r="B138" s="17"/>
      <c r="C138" s="17"/>
      <c r="D138" s="17"/>
      <c r="E138" s="17"/>
      <c r="F138" s="17"/>
      <c r="G138" s="17"/>
      <c r="H138" s="17"/>
      <c r="I138" s="17"/>
      <c r="J138" s="17"/>
    </row>
    <row r="139" spans="1:10" ht="18.75" customHeight="1" x14ac:dyDescent="0.15">
      <c r="A139" s="17"/>
      <c r="B139" s="17"/>
      <c r="C139" s="17"/>
      <c r="D139" s="17"/>
      <c r="E139" s="17"/>
      <c r="F139" s="17"/>
      <c r="G139" s="17"/>
      <c r="H139" s="17"/>
      <c r="I139" s="17"/>
      <c r="J139" s="17"/>
    </row>
    <row r="140" spans="1:10" ht="18.75" customHeight="1" x14ac:dyDescent="0.15">
      <c r="A140" s="17"/>
      <c r="B140" s="17"/>
      <c r="C140" s="17"/>
      <c r="D140" s="17"/>
      <c r="E140" s="17"/>
      <c r="F140" s="17"/>
      <c r="G140" s="17"/>
      <c r="H140" s="17"/>
      <c r="I140" s="17"/>
      <c r="J140" s="17"/>
    </row>
    <row r="141" spans="1:10" ht="18.75" customHeight="1" x14ac:dyDescent="0.15">
      <c r="A141" s="17"/>
      <c r="B141" s="17"/>
      <c r="C141" s="17"/>
      <c r="D141" s="17"/>
      <c r="E141" s="17"/>
      <c r="F141" s="17"/>
      <c r="G141" s="17"/>
      <c r="H141" s="17"/>
      <c r="I141" s="17"/>
      <c r="J141" s="17"/>
    </row>
    <row r="142" spans="1:10" ht="18.75" customHeight="1" x14ac:dyDescent="0.15">
      <c r="A142" s="17"/>
      <c r="B142" s="17"/>
      <c r="C142" s="17"/>
      <c r="D142" s="17"/>
      <c r="E142" s="17"/>
      <c r="F142" s="17"/>
      <c r="G142" s="17"/>
      <c r="H142" s="17"/>
      <c r="I142" s="17"/>
      <c r="J142" s="17"/>
    </row>
    <row r="143" spans="1:10" ht="14.25" x14ac:dyDescent="0.15">
      <c r="A143" s="17"/>
      <c r="B143" s="17"/>
      <c r="C143" s="17"/>
      <c r="D143" s="17"/>
      <c r="E143" s="17"/>
      <c r="F143" s="17"/>
      <c r="G143" s="17"/>
      <c r="H143" s="17"/>
      <c r="I143" s="17"/>
      <c r="J143" s="17"/>
    </row>
    <row r="144" spans="1:10" ht="7.5" customHeight="1" x14ac:dyDescent="0.15">
      <c r="A144" s="64"/>
      <c r="B144" s="64"/>
      <c r="C144" s="64"/>
      <c r="D144" s="64"/>
      <c r="E144" s="64"/>
      <c r="F144" s="64"/>
      <c r="G144" s="64"/>
      <c r="H144" s="64"/>
      <c r="I144" s="64"/>
      <c r="J144" s="6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6"/>
  <printOptions horizontalCentered="1"/>
  <pageMargins left="0.78740157480314965" right="0.78740157480314965" top="0.78740157480314965" bottom="0.78740157480314965" header="0.31496062992125984" footer="0.31496062992125984"/>
  <pageSetup paperSize="9" scale="93" fitToHeight="3" orientation="portrait" r:id="rId1"/>
  <rowBreaks count="2" manualBreakCount="2">
    <brk id="44" max="9" man="1"/>
    <brk id="86"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8" zoomScaleNormal="100" zoomScaleSheetLayoutView="100" workbookViewId="0">
      <selection activeCell="I28" sqref="I28"/>
    </sheetView>
  </sheetViews>
  <sheetFormatPr defaultColWidth="11.375" defaultRowHeight="22.5" customHeight="1" x14ac:dyDescent="0.15"/>
  <cols>
    <col min="1" max="3" width="2.625" style="80" customWidth="1"/>
    <col min="4" max="4" width="22.125" style="80" customWidth="1"/>
    <col min="5" max="5" width="21.625" style="80" customWidth="1"/>
    <col min="6" max="7" width="7.625" style="80" customWidth="1"/>
    <col min="8" max="8" width="33.375" style="80" customWidth="1"/>
    <col min="9" max="9" width="24.5" style="80" customWidth="1"/>
    <col min="10" max="10" width="5.5" style="80" customWidth="1"/>
    <col min="11" max="11" width="4.125" style="80" customWidth="1"/>
    <col min="12" max="16384" width="11.375" style="80"/>
  </cols>
  <sheetData>
    <row r="1" spans="1:11" ht="18.75" customHeight="1" x14ac:dyDescent="0.15">
      <c r="A1" s="80" t="s">
        <v>122</v>
      </c>
      <c r="J1" s="81" t="s">
        <v>72</v>
      </c>
    </row>
    <row r="2" spans="1:11" ht="18.75" customHeight="1" x14ac:dyDescent="0.15">
      <c r="A2" s="296" t="s">
        <v>43</v>
      </c>
      <c r="B2" s="296"/>
      <c r="C2" s="296"/>
      <c r="D2" s="296"/>
      <c r="E2" s="296"/>
      <c r="F2" s="296"/>
      <c r="G2" s="296"/>
      <c r="H2" s="296"/>
      <c r="I2" s="296"/>
      <c r="J2" s="296"/>
    </row>
    <row r="3" spans="1:11" ht="7.5" customHeight="1" x14ac:dyDescent="0.15">
      <c r="A3" s="82"/>
      <c r="B3" s="82"/>
      <c r="C3" s="82"/>
      <c r="D3" s="82"/>
      <c r="E3" s="82"/>
      <c r="F3" s="82"/>
      <c r="G3" s="82"/>
      <c r="H3" s="82"/>
      <c r="I3" s="82"/>
      <c r="J3" s="82"/>
    </row>
    <row r="4" spans="1:11" ht="18.75" customHeight="1" x14ac:dyDescent="0.15">
      <c r="A4" s="80" t="s">
        <v>6</v>
      </c>
      <c r="B4" s="80" t="s">
        <v>42</v>
      </c>
      <c r="C4" s="17"/>
      <c r="D4" s="17"/>
      <c r="E4" s="17"/>
      <c r="F4" s="17"/>
      <c r="G4" s="17"/>
      <c r="H4" s="17"/>
      <c r="I4" s="17"/>
      <c r="J4" s="17"/>
    </row>
    <row r="5" spans="1:11" ht="18.75" customHeight="1" x14ac:dyDescent="0.15">
      <c r="B5" s="321" t="s">
        <v>39</v>
      </c>
      <c r="C5" s="322"/>
      <c r="D5" s="323"/>
      <c r="E5" s="322" t="s">
        <v>41</v>
      </c>
      <c r="F5" s="322"/>
      <c r="G5" s="322"/>
      <c r="H5" s="322"/>
      <c r="I5" s="322"/>
      <c r="J5" s="323"/>
    </row>
    <row r="6" spans="1:11" ht="18.75" customHeight="1" x14ac:dyDescent="0.15">
      <c r="B6" s="83" t="s">
        <v>29</v>
      </c>
      <c r="C6" s="17"/>
      <c r="D6" s="5"/>
      <c r="I6" s="17"/>
      <c r="J6" s="5"/>
    </row>
    <row r="7" spans="1:11" ht="207" customHeight="1" x14ac:dyDescent="0.15">
      <c r="B7" s="4"/>
      <c r="C7" s="310" t="s">
        <v>30</v>
      </c>
      <c r="D7" s="311"/>
      <c r="E7" s="318" t="s">
        <v>195</v>
      </c>
      <c r="F7" s="312"/>
      <c r="G7" s="312"/>
      <c r="H7" s="312"/>
      <c r="I7" s="312"/>
      <c r="J7" s="313"/>
      <c r="K7" s="80" t="str">
        <f>IF(E7="","入力してください","")</f>
        <v/>
      </c>
    </row>
    <row r="8" spans="1:11" ht="207" customHeight="1" x14ac:dyDescent="0.15">
      <c r="B8" s="4"/>
      <c r="C8" s="319" t="s">
        <v>31</v>
      </c>
      <c r="D8" s="320"/>
      <c r="E8" s="318" t="s">
        <v>196</v>
      </c>
      <c r="F8" s="312"/>
      <c r="G8" s="312"/>
      <c r="H8" s="312"/>
      <c r="I8" s="312"/>
      <c r="J8" s="313"/>
      <c r="K8" s="80" t="str">
        <f>IF(E8="","入力してください","")</f>
        <v/>
      </c>
    </row>
    <row r="9" spans="1:11" ht="172.5" customHeight="1" x14ac:dyDescent="0.15">
      <c r="B9" s="4"/>
      <c r="C9" s="310" t="s">
        <v>32</v>
      </c>
      <c r="D9" s="311"/>
      <c r="E9" s="317" t="s">
        <v>202</v>
      </c>
      <c r="F9" s="312"/>
      <c r="G9" s="312"/>
      <c r="H9" s="312"/>
      <c r="I9" s="312"/>
      <c r="J9" s="313"/>
      <c r="K9" s="80" t="str">
        <f>IF(E9="","入力してください","")</f>
        <v/>
      </c>
    </row>
    <row r="10" spans="1:11" ht="172.5" customHeight="1" x14ac:dyDescent="0.15">
      <c r="B10" s="4"/>
      <c r="C10" s="310" t="s">
        <v>33</v>
      </c>
      <c r="D10" s="311"/>
      <c r="E10" s="318" t="s">
        <v>197</v>
      </c>
      <c r="F10" s="312"/>
      <c r="G10" s="312"/>
      <c r="H10" s="312"/>
      <c r="I10" s="312"/>
      <c r="J10" s="313"/>
      <c r="K10" s="80" t="str">
        <f t="shared" ref="K10:K14" si="0">IF(E10="","入力してください","")</f>
        <v/>
      </c>
    </row>
    <row r="11" spans="1:11" ht="172.5" customHeight="1" x14ac:dyDescent="0.15">
      <c r="B11" s="4"/>
      <c r="C11" s="310" t="s">
        <v>34</v>
      </c>
      <c r="D11" s="311"/>
      <c r="E11" s="318" t="s">
        <v>184</v>
      </c>
      <c r="F11" s="312"/>
      <c r="G11" s="312"/>
      <c r="H11" s="312"/>
      <c r="I11" s="312"/>
      <c r="J11" s="313"/>
      <c r="K11" s="80" t="str">
        <f t="shared" si="0"/>
        <v/>
      </c>
    </row>
    <row r="12" spans="1:11" ht="18.75" customHeight="1" x14ac:dyDescent="0.15">
      <c r="B12" s="84" t="s">
        <v>35</v>
      </c>
      <c r="C12" s="12"/>
      <c r="D12" s="6"/>
      <c r="E12" s="85"/>
      <c r="F12" s="85"/>
      <c r="G12" s="85"/>
      <c r="H12" s="85"/>
      <c r="I12" s="85"/>
      <c r="J12" s="86"/>
    </row>
    <row r="13" spans="1:11" ht="244.15" customHeight="1" x14ac:dyDescent="0.15">
      <c r="B13" s="4"/>
      <c r="C13" s="310" t="s">
        <v>36</v>
      </c>
      <c r="D13" s="311"/>
      <c r="E13" s="312" t="s">
        <v>185</v>
      </c>
      <c r="F13" s="312"/>
      <c r="G13" s="312"/>
      <c r="H13" s="312"/>
      <c r="I13" s="312"/>
      <c r="J13" s="313"/>
      <c r="K13" s="80" t="str">
        <f t="shared" si="0"/>
        <v/>
      </c>
    </row>
    <row r="14" spans="1:11" ht="255" customHeight="1" x14ac:dyDescent="0.15">
      <c r="B14" s="4"/>
      <c r="C14" s="310" t="s">
        <v>37</v>
      </c>
      <c r="D14" s="311"/>
      <c r="E14" s="312" t="s">
        <v>186</v>
      </c>
      <c r="F14" s="312"/>
      <c r="G14" s="312"/>
      <c r="H14" s="312"/>
      <c r="I14" s="312"/>
      <c r="J14" s="313"/>
      <c r="K14" s="80" t="str">
        <f t="shared" si="0"/>
        <v/>
      </c>
    </row>
    <row r="15" spans="1:11" ht="243" customHeight="1" x14ac:dyDescent="0.15">
      <c r="B15" s="314" t="s">
        <v>38</v>
      </c>
      <c r="C15" s="315"/>
      <c r="D15" s="311"/>
      <c r="E15" s="316" t="s">
        <v>203</v>
      </c>
      <c r="F15" s="312"/>
      <c r="G15" s="312"/>
      <c r="H15" s="312"/>
      <c r="I15" s="312"/>
      <c r="J15" s="313"/>
      <c r="K15" s="80" t="str">
        <f>IF(E15="","入力してください","")</f>
        <v/>
      </c>
    </row>
    <row r="16" spans="1:11" ht="243" customHeight="1" x14ac:dyDescent="0.15">
      <c r="B16" s="305" t="s">
        <v>63</v>
      </c>
      <c r="C16" s="306"/>
      <c r="D16" s="307"/>
      <c r="E16" s="275" t="s">
        <v>187</v>
      </c>
      <c r="F16" s="275"/>
      <c r="G16" s="275"/>
      <c r="H16" s="275"/>
      <c r="I16" s="275"/>
      <c r="J16" s="276"/>
      <c r="K16" s="80" t="str">
        <f>IF(E16="","入力してください","")</f>
        <v/>
      </c>
    </row>
    <row r="17" spans="1:11" ht="7.5" customHeight="1" x14ac:dyDescent="0.15">
      <c r="B17" s="17"/>
      <c r="C17" s="17"/>
      <c r="D17" s="17"/>
      <c r="E17" s="17"/>
      <c r="F17" s="17"/>
      <c r="G17" s="17"/>
      <c r="H17" s="17"/>
      <c r="I17" s="17"/>
      <c r="J17" s="17"/>
    </row>
    <row r="18" spans="1:11" ht="18.75" customHeight="1" x14ac:dyDescent="0.15">
      <c r="A18" s="80" t="s">
        <v>123</v>
      </c>
      <c r="C18" s="17"/>
      <c r="D18" s="17"/>
      <c r="E18" s="17"/>
      <c r="F18" s="87"/>
      <c r="G18" s="335" t="s">
        <v>198</v>
      </c>
      <c r="H18" s="308"/>
      <c r="I18" s="308"/>
      <c r="J18" s="309"/>
      <c r="K18" s="80" t="str">
        <f>IF(G18="","入力してください","")</f>
        <v/>
      </c>
    </row>
    <row r="19" spans="1:11" ht="22.5" customHeight="1" x14ac:dyDescent="0.15">
      <c r="B19" s="17"/>
      <c r="C19" s="17"/>
      <c r="D19" s="17"/>
      <c r="E19" s="17"/>
      <c r="F19" s="17"/>
      <c r="G19" s="17"/>
      <c r="H19" s="17"/>
      <c r="I19" s="17"/>
      <c r="J19" s="17"/>
    </row>
    <row r="20" spans="1:11" ht="22.5" customHeight="1" x14ac:dyDescent="0.15">
      <c r="B20" s="17"/>
      <c r="C20" s="17"/>
      <c r="D20" s="17"/>
      <c r="E20" s="17"/>
      <c r="F20" s="17"/>
      <c r="G20" s="17"/>
      <c r="H20" s="17"/>
      <c r="I20" s="17"/>
      <c r="J20" s="17"/>
    </row>
    <row r="21" spans="1:11" ht="22.5" customHeight="1" x14ac:dyDescent="0.15">
      <c r="B21" s="17"/>
      <c r="C21" s="17"/>
      <c r="D21" s="17"/>
      <c r="E21" s="17"/>
      <c r="F21" s="17"/>
      <c r="G21" s="17"/>
      <c r="H21" s="17"/>
      <c r="I21" s="17"/>
      <c r="J21" s="17"/>
    </row>
    <row r="22" spans="1:11" ht="22.5" customHeight="1" x14ac:dyDescent="0.15">
      <c r="B22" s="17"/>
      <c r="C22" s="17"/>
      <c r="D22" s="17"/>
      <c r="E22" s="17"/>
      <c r="F22" s="17"/>
      <c r="G22" s="17"/>
      <c r="H22" s="17"/>
      <c r="I22" s="17"/>
      <c r="J22" s="17"/>
    </row>
    <row r="23" spans="1:11" ht="22.5" customHeight="1" x14ac:dyDescent="0.15">
      <c r="B23" s="17"/>
      <c r="C23" s="17"/>
      <c r="D23" s="17"/>
      <c r="E23" s="17"/>
      <c r="F23" s="17"/>
      <c r="G23" s="17"/>
      <c r="H23" s="17"/>
      <c r="I23" s="17"/>
      <c r="J23" s="17"/>
    </row>
    <row r="24" spans="1:11" ht="22.5" customHeight="1" x14ac:dyDescent="0.15">
      <c r="B24" s="88"/>
      <c r="C24" s="88"/>
      <c r="D24" s="88"/>
      <c r="E24" s="88"/>
      <c r="F24" s="88"/>
      <c r="G24" s="88"/>
      <c r="H24" s="88"/>
      <c r="I24" s="88"/>
      <c r="J24" s="88"/>
    </row>
    <row r="25" spans="1:11" ht="22.5" customHeight="1" x14ac:dyDescent="0.15">
      <c r="B25" s="88"/>
      <c r="C25" s="88"/>
      <c r="D25" s="88"/>
      <c r="E25" s="88"/>
      <c r="F25" s="88"/>
      <c r="G25" s="88"/>
      <c r="H25" s="88"/>
      <c r="I25" s="88"/>
      <c r="J25" s="88"/>
    </row>
    <row r="26" spans="1:11" ht="22.5" customHeight="1" x14ac:dyDescent="0.15">
      <c r="B26" s="88"/>
      <c r="C26" s="88"/>
      <c r="D26" s="88"/>
      <c r="E26" s="88"/>
      <c r="F26" s="88"/>
      <c r="G26" s="88"/>
      <c r="H26" s="88"/>
      <c r="I26" s="88"/>
      <c r="J26" s="88"/>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6"/>
  <hyperlinks>
    <hyperlink ref="G18" r:id="rId1" xr:uid="{6A60CD39-3E67-014A-B697-8731D6A86024}"/>
  </hyperlinks>
  <printOptions horizontalCentered="1"/>
  <pageMargins left="0.78740157480314965" right="0.78740157480314965" top="0.78740157480314965" bottom="0.78740157480314965" header="0.31496062992125984" footer="0.31496062992125984"/>
  <pageSetup paperSize="9" scale="93"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zoomScaleNormal="100" zoomScaleSheetLayoutView="100" workbookViewId="0">
      <selection activeCell="B5" sqref="B5:F42"/>
    </sheetView>
  </sheetViews>
  <sheetFormatPr defaultColWidth="11.375" defaultRowHeight="18.75" customHeight="1" x14ac:dyDescent="0.15"/>
  <cols>
    <col min="1" max="1" width="3.375" style="1" customWidth="1"/>
    <col min="2" max="2" width="15.5" style="1" customWidth="1"/>
    <col min="3" max="3" width="37.625" style="1" customWidth="1"/>
    <col min="4" max="4" width="1.125" style="1" customWidth="1"/>
    <col min="5" max="5" width="21.125" style="1" customWidth="1"/>
    <col min="6" max="6" width="7.625" style="1" customWidth="1"/>
    <col min="7" max="8" width="2.125" style="1" customWidth="1"/>
    <col min="9" max="16384" width="11.375" style="1"/>
  </cols>
  <sheetData>
    <row r="1" spans="1:6" ht="18.75" customHeight="1" x14ac:dyDescent="0.15">
      <c r="E1" s="324" t="s">
        <v>7</v>
      </c>
      <c r="F1" s="324"/>
    </row>
    <row r="2" spans="1:6" ht="18.75" customHeight="1" x14ac:dyDescent="0.15">
      <c r="A2" s="325" t="s">
        <v>147</v>
      </c>
      <c r="B2" s="325"/>
      <c r="C2" s="325"/>
      <c r="D2" s="325"/>
      <c r="E2" s="325"/>
      <c r="F2" s="325"/>
    </row>
    <row r="3" spans="1:6" ht="7.5" customHeight="1" x14ac:dyDescent="0.15">
      <c r="A3" s="16"/>
      <c r="B3" s="16"/>
      <c r="C3" s="16"/>
      <c r="D3" s="16"/>
      <c r="E3" s="16"/>
      <c r="F3" s="16"/>
    </row>
    <row r="4" spans="1:6" ht="18.75" customHeight="1" x14ac:dyDescent="0.15">
      <c r="A4" s="16" t="s">
        <v>6</v>
      </c>
      <c r="B4" s="3" t="s">
        <v>27</v>
      </c>
      <c r="C4" s="16"/>
      <c r="D4" s="16"/>
      <c r="E4" s="16"/>
      <c r="F4" s="16"/>
    </row>
    <row r="5" spans="1:6" ht="18.75" customHeight="1" x14ac:dyDescent="0.15">
      <c r="A5" s="16"/>
      <c r="B5" s="326"/>
      <c r="C5" s="327"/>
      <c r="D5" s="327"/>
      <c r="E5" s="327"/>
      <c r="F5" s="328"/>
    </row>
    <row r="6" spans="1:6" ht="18.75" customHeight="1" x14ac:dyDescent="0.15">
      <c r="A6" s="16"/>
      <c r="B6" s="329"/>
      <c r="C6" s="330"/>
      <c r="D6" s="330"/>
      <c r="E6" s="330"/>
      <c r="F6" s="331"/>
    </row>
    <row r="7" spans="1:6" ht="18.75" customHeight="1" x14ac:dyDescent="0.15">
      <c r="A7" s="16"/>
      <c r="B7" s="329"/>
      <c r="C7" s="330"/>
      <c r="D7" s="330"/>
      <c r="E7" s="330"/>
      <c r="F7" s="331"/>
    </row>
    <row r="8" spans="1:6" ht="18.75" customHeight="1" x14ac:dyDescent="0.15">
      <c r="A8" s="16"/>
      <c r="B8" s="329"/>
      <c r="C8" s="330"/>
      <c r="D8" s="330"/>
      <c r="E8" s="330"/>
      <c r="F8" s="331"/>
    </row>
    <row r="9" spans="1:6" ht="18.75" customHeight="1" x14ac:dyDescent="0.15">
      <c r="A9" s="16"/>
      <c r="B9" s="329"/>
      <c r="C9" s="330"/>
      <c r="D9" s="330"/>
      <c r="E9" s="330"/>
      <c r="F9" s="331"/>
    </row>
    <row r="10" spans="1:6" ht="18.75" customHeight="1" x14ac:dyDescent="0.15">
      <c r="A10" s="16"/>
      <c r="B10" s="329"/>
      <c r="C10" s="330"/>
      <c r="D10" s="330"/>
      <c r="E10" s="330"/>
      <c r="F10" s="331"/>
    </row>
    <row r="11" spans="1:6" ht="18.75" customHeight="1" x14ac:dyDescent="0.15">
      <c r="A11" s="16"/>
      <c r="B11" s="329"/>
      <c r="C11" s="330"/>
      <c r="D11" s="330"/>
      <c r="E11" s="330"/>
      <c r="F11" s="331"/>
    </row>
    <row r="12" spans="1:6" ht="18.75" customHeight="1" x14ac:dyDescent="0.15">
      <c r="A12" s="16"/>
      <c r="B12" s="329"/>
      <c r="C12" s="330"/>
      <c r="D12" s="330"/>
      <c r="E12" s="330"/>
      <c r="F12" s="331"/>
    </row>
    <row r="13" spans="1:6" ht="18.75" customHeight="1" x14ac:dyDescent="0.15">
      <c r="A13" s="16"/>
      <c r="B13" s="329"/>
      <c r="C13" s="330"/>
      <c r="D13" s="330"/>
      <c r="E13" s="330"/>
      <c r="F13" s="331"/>
    </row>
    <row r="14" spans="1:6" ht="18.75" customHeight="1" x14ac:dyDescent="0.15">
      <c r="A14" s="16"/>
      <c r="B14" s="329"/>
      <c r="C14" s="330"/>
      <c r="D14" s="330"/>
      <c r="E14" s="330"/>
      <c r="F14" s="331"/>
    </row>
    <row r="15" spans="1:6" ht="18.75" customHeight="1" x14ac:dyDescent="0.15">
      <c r="A15" s="16"/>
      <c r="B15" s="329"/>
      <c r="C15" s="330"/>
      <c r="D15" s="330"/>
      <c r="E15" s="330"/>
      <c r="F15" s="331"/>
    </row>
    <row r="16" spans="1:6" ht="18.75" customHeight="1" x14ac:dyDescent="0.15">
      <c r="A16" s="16"/>
      <c r="B16" s="329"/>
      <c r="C16" s="330"/>
      <c r="D16" s="330"/>
      <c r="E16" s="330"/>
      <c r="F16" s="331"/>
    </row>
    <row r="17" spans="1:6" ht="18.75" customHeight="1" x14ac:dyDescent="0.15">
      <c r="A17" s="16"/>
      <c r="B17" s="329"/>
      <c r="C17" s="330"/>
      <c r="D17" s="330"/>
      <c r="E17" s="330"/>
      <c r="F17" s="331"/>
    </row>
    <row r="18" spans="1:6" ht="18.75" customHeight="1" x14ac:dyDescent="0.15">
      <c r="A18" s="16"/>
      <c r="B18" s="329"/>
      <c r="C18" s="330"/>
      <c r="D18" s="330"/>
      <c r="E18" s="330"/>
      <c r="F18" s="331"/>
    </row>
    <row r="19" spans="1:6" ht="18.75" customHeight="1" x14ac:dyDescent="0.15">
      <c r="A19" s="16"/>
      <c r="B19" s="329"/>
      <c r="C19" s="330"/>
      <c r="D19" s="330"/>
      <c r="E19" s="330"/>
      <c r="F19" s="331"/>
    </row>
    <row r="20" spans="1:6" ht="18.75" customHeight="1" x14ac:dyDescent="0.15">
      <c r="A20" s="16"/>
      <c r="B20" s="329"/>
      <c r="C20" s="330"/>
      <c r="D20" s="330"/>
      <c r="E20" s="330"/>
      <c r="F20" s="331"/>
    </row>
    <row r="21" spans="1:6" ht="18.75" customHeight="1" x14ac:dyDescent="0.15">
      <c r="A21" s="16"/>
      <c r="B21" s="329"/>
      <c r="C21" s="330"/>
      <c r="D21" s="330"/>
      <c r="E21" s="330"/>
      <c r="F21" s="331"/>
    </row>
    <row r="22" spans="1:6" ht="18.75" customHeight="1" x14ac:dyDescent="0.15">
      <c r="A22" s="16"/>
      <c r="B22" s="329"/>
      <c r="C22" s="330"/>
      <c r="D22" s="330"/>
      <c r="E22" s="330"/>
      <c r="F22" s="331"/>
    </row>
    <row r="23" spans="1:6" ht="18.75" customHeight="1" x14ac:dyDescent="0.15">
      <c r="A23" s="16"/>
      <c r="B23" s="329"/>
      <c r="C23" s="330"/>
      <c r="D23" s="330"/>
      <c r="E23" s="330"/>
      <c r="F23" s="331"/>
    </row>
    <row r="24" spans="1:6" ht="18.75" customHeight="1" x14ac:dyDescent="0.15">
      <c r="A24" s="16"/>
      <c r="B24" s="329"/>
      <c r="C24" s="330"/>
      <c r="D24" s="330"/>
      <c r="E24" s="330"/>
      <c r="F24" s="331"/>
    </row>
    <row r="25" spans="1:6" ht="18.75" customHeight="1" x14ac:dyDescent="0.15">
      <c r="A25" s="16"/>
      <c r="B25" s="329"/>
      <c r="C25" s="330"/>
      <c r="D25" s="330"/>
      <c r="E25" s="330"/>
      <c r="F25" s="331"/>
    </row>
    <row r="26" spans="1:6" ht="18.75" customHeight="1" x14ac:dyDescent="0.15">
      <c r="A26" s="16"/>
      <c r="B26" s="329"/>
      <c r="C26" s="330"/>
      <c r="D26" s="330"/>
      <c r="E26" s="330"/>
      <c r="F26" s="331"/>
    </row>
    <row r="27" spans="1:6" ht="18.75" customHeight="1" x14ac:dyDescent="0.15">
      <c r="A27" s="16"/>
      <c r="B27" s="329"/>
      <c r="C27" s="330"/>
      <c r="D27" s="330"/>
      <c r="E27" s="330"/>
      <c r="F27" s="331"/>
    </row>
    <row r="28" spans="1:6" ht="18.75" customHeight="1" x14ac:dyDescent="0.15">
      <c r="A28" s="16"/>
      <c r="B28" s="329"/>
      <c r="C28" s="330"/>
      <c r="D28" s="330"/>
      <c r="E28" s="330"/>
      <c r="F28" s="331"/>
    </row>
    <row r="29" spans="1:6" ht="18.75" customHeight="1" x14ac:dyDescent="0.15">
      <c r="A29" s="16"/>
      <c r="B29" s="329"/>
      <c r="C29" s="330"/>
      <c r="D29" s="330"/>
      <c r="E29" s="330"/>
      <c r="F29" s="331"/>
    </row>
    <row r="30" spans="1:6" ht="18.75" customHeight="1" x14ac:dyDescent="0.15">
      <c r="A30" s="16"/>
      <c r="B30" s="329"/>
      <c r="C30" s="330"/>
      <c r="D30" s="330"/>
      <c r="E30" s="330"/>
      <c r="F30" s="331"/>
    </row>
    <row r="31" spans="1:6" ht="18.75" customHeight="1" x14ac:dyDescent="0.15">
      <c r="A31" s="16"/>
      <c r="B31" s="329"/>
      <c r="C31" s="330"/>
      <c r="D31" s="330"/>
      <c r="E31" s="330"/>
      <c r="F31" s="331"/>
    </row>
    <row r="32" spans="1:6" ht="18.75" customHeight="1" x14ac:dyDescent="0.15">
      <c r="A32" s="16"/>
      <c r="B32" s="329"/>
      <c r="C32" s="330"/>
      <c r="D32" s="330"/>
      <c r="E32" s="330"/>
      <c r="F32" s="331"/>
    </row>
    <row r="33" spans="1:6" ht="18.75" customHeight="1" x14ac:dyDescent="0.15">
      <c r="A33" s="16"/>
      <c r="B33" s="329"/>
      <c r="C33" s="330"/>
      <c r="D33" s="330"/>
      <c r="E33" s="330"/>
      <c r="F33" s="331"/>
    </row>
    <row r="34" spans="1:6" ht="18.75" customHeight="1" x14ac:dyDescent="0.15">
      <c r="A34" s="16"/>
      <c r="B34" s="329"/>
      <c r="C34" s="330"/>
      <c r="D34" s="330"/>
      <c r="E34" s="330"/>
      <c r="F34" s="331"/>
    </row>
    <row r="35" spans="1:6" ht="18.75" customHeight="1" x14ac:dyDescent="0.15">
      <c r="A35" s="16"/>
      <c r="B35" s="329"/>
      <c r="C35" s="330"/>
      <c r="D35" s="330"/>
      <c r="E35" s="330"/>
      <c r="F35" s="331"/>
    </row>
    <row r="36" spans="1:6" ht="18.75" customHeight="1" x14ac:dyDescent="0.15">
      <c r="A36" s="16"/>
      <c r="B36" s="329"/>
      <c r="C36" s="330"/>
      <c r="D36" s="330"/>
      <c r="E36" s="330"/>
      <c r="F36" s="331"/>
    </row>
    <row r="37" spans="1:6" ht="18.75" customHeight="1" x14ac:dyDescent="0.15">
      <c r="A37" s="16"/>
      <c r="B37" s="329"/>
      <c r="C37" s="330"/>
      <c r="D37" s="330"/>
      <c r="E37" s="330"/>
      <c r="F37" s="331"/>
    </row>
    <row r="38" spans="1:6" ht="18.75" customHeight="1" x14ac:dyDescent="0.15">
      <c r="A38" s="16"/>
      <c r="B38" s="329"/>
      <c r="C38" s="330"/>
      <c r="D38" s="330"/>
      <c r="E38" s="330"/>
      <c r="F38" s="331"/>
    </row>
    <row r="39" spans="1:6" ht="18.75" customHeight="1" x14ac:dyDescent="0.15">
      <c r="A39" s="16"/>
      <c r="B39" s="329"/>
      <c r="C39" s="330"/>
      <c r="D39" s="330"/>
      <c r="E39" s="330"/>
      <c r="F39" s="331"/>
    </row>
    <row r="40" spans="1:6" ht="18.75" customHeight="1" x14ac:dyDescent="0.15">
      <c r="A40" s="16"/>
      <c r="B40" s="329"/>
      <c r="C40" s="330"/>
      <c r="D40" s="330"/>
      <c r="E40" s="330"/>
      <c r="F40" s="331"/>
    </row>
    <row r="41" spans="1:6" ht="18.75" customHeight="1" x14ac:dyDescent="0.15">
      <c r="A41" s="16"/>
      <c r="B41" s="329"/>
      <c r="C41" s="330"/>
      <c r="D41" s="330"/>
      <c r="E41" s="330"/>
      <c r="F41" s="331"/>
    </row>
    <row r="42" spans="1:6" ht="18.75" customHeight="1" x14ac:dyDescent="0.15">
      <c r="A42" s="16"/>
      <c r="B42" s="332"/>
      <c r="C42" s="333"/>
      <c r="D42" s="333"/>
      <c r="E42" s="333"/>
      <c r="F42" s="334"/>
    </row>
    <row r="43" spans="1:6" ht="18.75" customHeight="1" x14ac:dyDescent="0.15">
      <c r="A43" s="16" t="s">
        <v>10</v>
      </c>
      <c r="B43" s="3" t="s">
        <v>68</v>
      </c>
      <c r="C43" s="16"/>
      <c r="D43" s="16"/>
      <c r="E43" s="16"/>
      <c r="F43" s="16"/>
    </row>
    <row r="44" spans="1:6" ht="18.75" customHeight="1" x14ac:dyDescent="0.15">
      <c r="A44" s="16"/>
      <c r="B44" s="326"/>
      <c r="C44" s="327"/>
      <c r="D44" s="327"/>
      <c r="E44" s="327"/>
      <c r="F44" s="328"/>
    </row>
    <row r="45" spans="1:6" ht="18.75" customHeight="1" x14ac:dyDescent="0.15">
      <c r="A45" s="16"/>
      <c r="B45" s="329"/>
      <c r="C45" s="330"/>
      <c r="D45" s="330"/>
      <c r="E45" s="330"/>
      <c r="F45" s="331"/>
    </row>
    <row r="46" spans="1:6" ht="18.75" customHeight="1" x14ac:dyDescent="0.15">
      <c r="A46" s="16"/>
      <c r="B46" s="329"/>
      <c r="C46" s="330"/>
      <c r="D46" s="330"/>
      <c r="E46" s="330"/>
      <c r="F46" s="331"/>
    </row>
    <row r="47" spans="1:6" ht="18.75" customHeight="1" x14ac:dyDescent="0.15">
      <c r="A47" s="16"/>
      <c r="B47" s="329"/>
      <c r="C47" s="330"/>
      <c r="D47" s="330"/>
      <c r="E47" s="330"/>
      <c r="F47" s="331"/>
    </row>
    <row r="48" spans="1:6" ht="18.75" customHeight="1" x14ac:dyDescent="0.15">
      <c r="A48" s="16"/>
      <c r="B48" s="329"/>
      <c r="C48" s="330"/>
      <c r="D48" s="330"/>
      <c r="E48" s="330"/>
      <c r="F48" s="331"/>
    </row>
    <row r="49" spans="1:6" ht="18.75" customHeight="1" x14ac:dyDescent="0.15">
      <c r="A49" s="16"/>
      <c r="B49" s="329"/>
      <c r="C49" s="330"/>
      <c r="D49" s="330"/>
      <c r="E49" s="330"/>
      <c r="F49" s="331"/>
    </row>
    <row r="50" spans="1:6" ht="18.75" customHeight="1" x14ac:dyDescent="0.15">
      <c r="A50" s="16"/>
      <c r="B50" s="329"/>
      <c r="C50" s="330"/>
      <c r="D50" s="330"/>
      <c r="E50" s="330"/>
      <c r="F50" s="331"/>
    </row>
    <row r="51" spans="1:6" ht="18.75" customHeight="1" x14ac:dyDescent="0.15">
      <c r="A51" s="16"/>
      <c r="B51" s="329"/>
      <c r="C51" s="330"/>
      <c r="D51" s="330"/>
      <c r="E51" s="330"/>
      <c r="F51" s="331"/>
    </row>
    <row r="52" spans="1:6" ht="18.75" customHeight="1" x14ac:dyDescent="0.15">
      <c r="A52" s="16"/>
      <c r="B52" s="329"/>
      <c r="C52" s="330"/>
      <c r="D52" s="330"/>
      <c r="E52" s="330"/>
      <c r="F52" s="331"/>
    </row>
    <row r="53" spans="1:6" ht="18.75" customHeight="1" x14ac:dyDescent="0.15">
      <c r="A53" s="16"/>
      <c r="B53" s="329"/>
      <c r="C53" s="330"/>
      <c r="D53" s="330"/>
      <c r="E53" s="330"/>
      <c r="F53" s="331"/>
    </row>
    <row r="54" spans="1:6" ht="18.75" customHeight="1" x14ac:dyDescent="0.15">
      <c r="A54" s="16"/>
      <c r="B54" s="329"/>
      <c r="C54" s="330"/>
      <c r="D54" s="330"/>
      <c r="E54" s="330"/>
      <c r="F54" s="331"/>
    </row>
    <row r="55" spans="1:6" ht="18.75" customHeight="1" x14ac:dyDescent="0.15">
      <c r="A55" s="16"/>
      <c r="B55" s="329"/>
      <c r="C55" s="330"/>
      <c r="D55" s="330"/>
      <c r="E55" s="330"/>
      <c r="F55" s="331"/>
    </row>
    <row r="56" spans="1:6" ht="18.75" customHeight="1" x14ac:dyDescent="0.15">
      <c r="A56" s="16"/>
      <c r="B56" s="329"/>
      <c r="C56" s="330"/>
      <c r="D56" s="330"/>
      <c r="E56" s="330"/>
      <c r="F56" s="331"/>
    </row>
    <row r="57" spans="1:6" ht="18.75" customHeight="1" x14ac:dyDescent="0.15">
      <c r="A57" s="16"/>
      <c r="B57" s="329"/>
      <c r="C57" s="330"/>
      <c r="D57" s="330"/>
      <c r="E57" s="330"/>
      <c r="F57" s="331"/>
    </row>
    <row r="58" spans="1:6" ht="18.75" customHeight="1" x14ac:dyDescent="0.15">
      <c r="A58" s="16"/>
      <c r="B58" s="329"/>
      <c r="C58" s="330"/>
      <c r="D58" s="330"/>
      <c r="E58" s="330"/>
      <c r="F58" s="331"/>
    </row>
    <row r="59" spans="1:6" ht="18.75" customHeight="1" x14ac:dyDescent="0.15">
      <c r="A59" s="16"/>
      <c r="B59" s="329"/>
      <c r="C59" s="330"/>
      <c r="D59" s="330"/>
      <c r="E59" s="330"/>
      <c r="F59" s="331"/>
    </row>
    <row r="60" spans="1:6" ht="18.75" customHeight="1" x14ac:dyDescent="0.15">
      <c r="A60" s="16"/>
      <c r="B60" s="329"/>
      <c r="C60" s="330"/>
      <c r="D60" s="330"/>
      <c r="E60" s="330"/>
      <c r="F60" s="331"/>
    </row>
    <row r="61" spans="1:6" ht="18.75" customHeight="1" x14ac:dyDescent="0.15">
      <c r="A61" s="16"/>
      <c r="B61" s="329"/>
      <c r="C61" s="330"/>
      <c r="D61" s="330"/>
      <c r="E61" s="330"/>
      <c r="F61" s="331"/>
    </row>
    <row r="62" spans="1:6" ht="18.75" customHeight="1" x14ac:dyDescent="0.15">
      <c r="A62" s="16"/>
      <c r="B62" s="329"/>
      <c r="C62" s="330"/>
      <c r="D62" s="330"/>
      <c r="E62" s="330"/>
      <c r="F62" s="331"/>
    </row>
    <row r="63" spans="1:6" ht="18.75" customHeight="1" x14ac:dyDescent="0.15">
      <c r="A63" s="16"/>
      <c r="B63" s="329"/>
      <c r="C63" s="330"/>
      <c r="D63" s="330"/>
      <c r="E63" s="330"/>
      <c r="F63" s="331"/>
    </row>
    <row r="64" spans="1:6" ht="18.75" customHeight="1" x14ac:dyDescent="0.15">
      <c r="A64" s="16"/>
      <c r="B64" s="329"/>
      <c r="C64" s="330"/>
      <c r="D64" s="330"/>
      <c r="E64" s="330"/>
      <c r="F64" s="331"/>
    </row>
    <row r="65" spans="1:6" ht="18.75" customHeight="1" x14ac:dyDescent="0.15">
      <c r="A65" s="16"/>
      <c r="B65" s="329"/>
      <c r="C65" s="330"/>
      <c r="D65" s="330"/>
      <c r="E65" s="330"/>
      <c r="F65" s="331"/>
    </row>
    <row r="66" spans="1:6" ht="18.75" customHeight="1" x14ac:dyDescent="0.15">
      <c r="A66" s="16"/>
      <c r="B66" s="329"/>
      <c r="C66" s="330"/>
      <c r="D66" s="330"/>
      <c r="E66" s="330"/>
      <c r="F66" s="331"/>
    </row>
    <row r="67" spans="1:6" ht="18.75" customHeight="1" x14ac:dyDescent="0.15">
      <c r="A67" s="16"/>
      <c r="B67" s="329"/>
      <c r="C67" s="330"/>
      <c r="D67" s="330"/>
      <c r="E67" s="330"/>
      <c r="F67" s="331"/>
    </row>
    <row r="68" spans="1:6" ht="18.75" customHeight="1" x14ac:dyDescent="0.15">
      <c r="A68" s="16"/>
      <c r="B68" s="329"/>
      <c r="C68" s="330"/>
      <c r="D68" s="330"/>
      <c r="E68" s="330"/>
      <c r="F68" s="331"/>
    </row>
    <row r="69" spans="1:6" ht="18.75" customHeight="1" x14ac:dyDescent="0.15">
      <c r="A69" s="16"/>
      <c r="B69" s="329"/>
      <c r="C69" s="330"/>
      <c r="D69" s="330"/>
      <c r="E69" s="330"/>
      <c r="F69" s="331"/>
    </row>
    <row r="70" spans="1:6" ht="18.75" customHeight="1" x14ac:dyDescent="0.15">
      <c r="A70" s="16"/>
      <c r="B70" s="329"/>
      <c r="C70" s="330"/>
      <c r="D70" s="330"/>
      <c r="E70" s="330"/>
      <c r="F70" s="331"/>
    </row>
    <row r="71" spans="1:6" ht="18.75" customHeight="1" x14ac:dyDescent="0.15">
      <c r="A71" s="16"/>
      <c r="B71" s="329"/>
      <c r="C71" s="330"/>
      <c r="D71" s="330"/>
      <c r="E71" s="330"/>
      <c r="F71" s="331"/>
    </row>
    <row r="72" spans="1:6" ht="18.75" customHeight="1" x14ac:dyDescent="0.15">
      <c r="A72" s="16"/>
      <c r="B72" s="329"/>
      <c r="C72" s="330"/>
      <c r="D72" s="330"/>
      <c r="E72" s="330"/>
      <c r="F72" s="331"/>
    </row>
    <row r="73" spans="1:6" ht="18.75" customHeight="1" x14ac:dyDescent="0.15">
      <c r="A73" s="16"/>
      <c r="B73" s="329"/>
      <c r="C73" s="330"/>
      <c r="D73" s="330"/>
      <c r="E73" s="330"/>
      <c r="F73" s="331"/>
    </row>
    <row r="74" spans="1:6" ht="18.75" customHeight="1" x14ac:dyDescent="0.15">
      <c r="A74" s="16"/>
      <c r="B74" s="329"/>
      <c r="C74" s="330"/>
      <c r="D74" s="330"/>
      <c r="E74" s="330"/>
      <c r="F74" s="331"/>
    </row>
    <row r="75" spans="1:6" ht="18.75" customHeight="1" x14ac:dyDescent="0.15">
      <c r="A75" s="16"/>
      <c r="B75" s="329"/>
      <c r="C75" s="330"/>
      <c r="D75" s="330"/>
      <c r="E75" s="330"/>
      <c r="F75" s="331"/>
    </row>
    <row r="76" spans="1:6" ht="18.75" customHeight="1" x14ac:dyDescent="0.15">
      <c r="A76" s="16"/>
      <c r="B76" s="329"/>
      <c r="C76" s="330"/>
      <c r="D76" s="330"/>
      <c r="E76" s="330"/>
      <c r="F76" s="331"/>
    </row>
    <row r="77" spans="1:6" ht="18.75" customHeight="1" x14ac:dyDescent="0.15">
      <c r="A77" s="16"/>
      <c r="B77" s="329"/>
      <c r="C77" s="330"/>
      <c r="D77" s="330"/>
      <c r="E77" s="330"/>
      <c r="F77" s="331"/>
    </row>
    <row r="78" spans="1:6" ht="18.75" customHeight="1" x14ac:dyDescent="0.15">
      <c r="A78" s="16"/>
      <c r="B78" s="329"/>
      <c r="C78" s="330"/>
      <c r="D78" s="330"/>
      <c r="E78" s="330"/>
      <c r="F78" s="331"/>
    </row>
    <row r="79" spans="1:6" ht="18.75" customHeight="1" x14ac:dyDescent="0.15">
      <c r="A79" s="16"/>
      <c r="B79" s="329"/>
      <c r="C79" s="330"/>
      <c r="D79" s="330"/>
      <c r="E79" s="330"/>
      <c r="F79" s="331"/>
    </row>
    <row r="80" spans="1:6" ht="18.75" customHeight="1" x14ac:dyDescent="0.15">
      <c r="A80" s="16"/>
      <c r="B80" s="329"/>
      <c r="C80" s="330"/>
      <c r="D80" s="330"/>
      <c r="E80" s="330"/>
      <c r="F80" s="331"/>
    </row>
    <row r="81" spans="1:6" ht="18.75" customHeight="1" x14ac:dyDescent="0.15">
      <c r="A81" s="16"/>
      <c r="B81" s="329"/>
      <c r="C81" s="330"/>
      <c r="D81" s="330"/>
      <c r="E81" s="330"/>
      <c r="F81" s="331"/>
    </row>
    <row r="82" spans="1:6" ht="18.75" customHeight="1" x14ac:dyDescent="0.15">
      <c r="A82" s="16"/>
      <c r="B82" s="329"/>
      <c r="C82" s="330"/>
      <c r="D82" s="330"/>
      <c r="E82" s="330"/>
      <c r="F82" s="331"/>
    </row>
    <row r="83" spans="1:6" ht="18.75" customHeight="1" x14ac:dyDescent="0.15">
      <c r="A83" s="16"/>
      <c r="B83" s="332"/>
      <c r="C83" s="333"/>
      <c r="D83" s="333"/>
      <c r="E83" s="333"/>
      <c r="F83" s="334"/>
    </row>
    <row r="84" spans="1:6" ht="18.75" customHeight="1" x14ac:dyDescent="0.15">
      <c r="A84" s="3" t="s">
        <v>11</v>
      </c>
      <c r="B84" s="3" t="s">
        <v>69</v>
      </c>
      <c r="C84" s="3"/>
      <c r="D84" s="3"/>
      <c r="E84" s="3"/>
      <c r="F84" s="3"/>
    </row>
    <row r="85" spans="1:6" ht="18.75" customHeight="1" x14ac:dyDescent="0.15">
      <c r="A85" s="16"/>
      <c r="B85" s="326"/>
      <c r="C85" s="327"/>
      <c r="D85" s="327"/>
      <c r="E85" s="327"/>
      <c r="F85" s="328"/>
    </row>
    <row r="86" spans="1:6" ht="18.75" customHeight="1" x14ac:dyDescent="0.15">
      <c r="A86" s="16"/>
      <c r="B86" s="329"/>
      <c r="C86" s="330"/>
      <c r="D86" s="330"/>
      <c r="E86" s="330"/>
      <c r="F86" s="331"/>
    </row>
    <row r="87" spans="1:6" ht="18.75" customHeight="1" x14ac:dyDescent="0.15">
      <c r="A87" s="16"/>
      <c r="B87" s="329"/>
      <c r="C87" s="330"/>
      <c r="D87" s="330"/>
      <c r="E87" s="330"/>
      <c r="F87" s="331"/>
    </row>
    <row r="88" spans="1:6" ht="18.75" customHeight="1" x14ac:dyDescent="0.15">
      <c r="A88" s="16"/>
      <c r="B88" s="329"/>
      <c r="C88" s="330"/>
      <c r="D88" s="330"/>
      <c r="E88" s="330"/>
      <c r="F88" s="331"/>
    </row>
    <row r="89" spans="1:6" ht="18.75" customHeight="1" x14ac:dyDescent="0.15">
      <c r="A89" s="16"/>
      <c r="B89" s="329"/>
      <c r="C89" s="330"/>
      <c r="D89" s="330"/>
      <c r="E89" s="330"/>
      <c r="F89" s="331"/>
    </row>
    <row r="90" spans="1:6" ht="18.75" customHeight="1" x14ac:dyDescent="0.15">
      <c r="A90" s="16"/>
      <c r="B90" s="329"/>
      <c r="C90" s="330"/>
      <c r="D90" s="330"/>
      <c r="E90" s="330"/>
      <c r="F90" s="331"/>
    </row>
    <row r="91" spans="1:6" ht="18.75" customHeight="1" x14ac:dyDescent="0.15">
      <c r="A91" s="16"/>
      <c r="B91" s="329"/>
      <c r="C91" s="330"/>
      <c r="D91" s="330"/>
      <c r="E91" s="330"/>
      <c r="F91" s="331"/>
    </row>
    <row r="92" spans="1:6" ht="18.75" customHeight="1" x14ac:dyDescent="0.15">
      <c r="A92" s="16"/>
      <c r="B92" s="329"/>
      <c r="C92" s="330"/>
      <c r="D92" s="330"/>
      <c r="E92" s="330"/>
      <c r="F92" s="331"/>
    </row>
    <row r="93" spans="1:6" ht="18.75" customHeight="1" x14ac:dyDescent="0.15">
      <c r="A93" s="16"/>
      <c r="B93" s="329"/>
      <c r="C93" s="330"/>
      <c r="D93" s="330"/>
      <c r="E93" s="330"/>
      <c r="F93" s="331"/>
    </row>
    <row r="94" spans="1:6" ht="18.75" customHeight="1" x14ac:dyDescent="0.15">
      <c r="A94" s="16"/>
      <c r="B94" s="329"/>
      <c r="C94" s="330"/>
      <c r="D94" s="330"/>
      <c r="E94" s="330"/>
      <c r="F94" s="331"/>
    </row>
    <row r="95" spans="1:6" ht="18.75" customHeight="1" x14ac:dyDescent="0.15">
      <c r="A95" s="16"/>
      <c r="B95" s="329"/>
      <c r="C95" s="330"/>
      <c r="D95" s="330"/>
      <c r="E95" s="330"/>
      <c r="F95" s="331"/>
    </row>
    <row r="96" spans="1:6" ht="18.75" customHeight="1" x14ac:dyDescent="0.15">
      <c r="A96" s="16"/>
      <c r="B96" s="329"/>
      <c r="C96" s="330"/>
      <c r="D96" s="330"/>
      <c r="E96" s="330"/>
      <c r="F96" s="331"/>
    </row>
    <row r="97" spans="1:6" ht="18.75" customHeight="1" x14ac:dyDescent="0.15">
      <c r="A97" s="16"/>
      <c r="B97" s="329"/>
      <c r="C97" s="330"/>
      <c r="D97" s="330"/>
      <c r="E97" s="330"/>
      <c r="F97" s="331"/>
    </row>
    <row r="98" spans="1:6" ht="18.75" customHeight="1" x14ac:dyDescent="0.15">
      <c r="A98" s="16"/>
      <c r="B98" s="329"/>
      <c r="C98" s="330"/>
      <c r="D98" s="330"/>
      <c r="E98" s="330"/>
      <c r="F98" s="331"/>
    </row>
    <row r="99" spans="1:6" ht="18.75" customHeight="1" x14ac:dyDescent="0.15">
      <c r="A99" s="16"/>
      <c r="B99" s="329"/>
      <c r="C99" s="330"/>
      <c r="D99" s="330"/>
      <c r="E99" s="330"/>
      <c r="F99" s="331"/>
    </row>
    <row r="100" spans="1:6" ht="18.75" customHeight="1" x14ac:dyDescent="0.15">
      <c r="A100" s="16"/>
      <c r="B100" s="329"/>
      <c r="C100" s="330"/>
      <c r="D100" s="330"/>
      <c r="E100" s="330"/>
      <c r="F100" s="331"/>
    </row>
    <row r="101" spans="1:6" ht="18.75" customHeight="1" x14ac:dyDescent="0.15">
      <c r="A101" s="16"/>
      <c r="B101" s="329"/>
      <c r="C101" s="330"/>
      <c r="D101" s="330"/>
      <c r="E101" s="330"/>
      <c r="F101" s="331"/>
    </row>
    <row r="102" spans="1:6" ht="18.75" customHeight="1" x14ac:dyDescent="0.15">
      <c r="A102" s="16"/>
      <c r="B102" s="329"/>
      <c r="C102" s="330"/>
      <c r="D102" s="330"/>
      <c r="E102" s="330"/>
      <c r="F102" s="331"/>
    </row>
    <row r="103" spans="1:6" ht="18.75" customHeight="1" x14ac:dyDescent="0.15">
      <c r="A103" s="16"/>
      <c r="B103" s="329"/>
      <c r="C103" s="330"/>
      <c r="D103" s="330"/>
      <c r="E103" s="330"/>
      <c r="F103" s="331"/>
    </row>
    <row r="104" spans="1:6" ht="18.75" customHeight="1" x14ac:dyDescent="0.15">
      <c r="A104" s="16"/>
      <c r="B104" s="329"/>
      <c r="C104" s="330"/>
      <c r="D104" s="330"/>
      <c r="E104" s="330"/>
      <c r="F104" s="331"/>
    </row>
    <row r="105" spans="1:6" ht="18.75" customHeight="1" x14ac:dyDescent="0.15">
      <c r="A105" s="16"/>
      <c r="B105" s="329"/>
      <c r="C105" s="330"/>
      <c r="D105" s="330"/>
      <c r="E105" s="330"/>
      <c r="F105" s="331"/>
    </row>
    <row r="106" spans="1:6" ht="18.75" customHeight="1" x14ac:dyDescent="0.15">
      <c r="A106" s="16"/>
      <c r="B106" s="329"/>
      <c r="C106" s="330"/>
      <c r="D106" s="330"/>
      <c r="E106" s="330"/>
      <c r="F106" s="331"/>
    </row>
    <row r="107" spans="1:6" ht="18.75" customHeight="1" x14ac:dyDescent="0.15">
      <c r="A107" s="16"/>
      <c r="B107" s="329"/>
      <c r="C107" s="330"/>
      <c r="D107" s="330"/>
      <c r="E107" s="330"/>
      <c r="F107" s="331"/>
    </row>
    <row r="108" spans="1:6" ht="18.75" customHeight="1" x14ac:dyDescent="0.15">
      <c r="A108" s="16"/>
      <c r="B108" s="329"/>
      <c r="C108" s="330"/>
      <c r="D108" s="330"/>
      <c r="E108" s="330"/>
      <c r="F108" s="331"/>
    </row>
    <row r="109" spans="1:6" ht="18.75" customHeight="1" x14ac:dyDescent="0.15">
      <c r="A109" s="16"/>
      <c r="B109" s="329"/>
      <c r="C109" s="330"/>
      <c r="D109" s="330"/>
      <c r="E109" s="330"/>
      <c r="F109" s="331"/>
    </row>
    <row r="110" spans="1:6" ht="18.75" customHeight="1" x14ac:dyDescent="0.15">
      <c r="A110" s="16"/>
      <c r="B110" s="329"/>
      <c r="C110" s="330"/>
      <c r="D110" s="330"/>
      <c r="E110" s="330"/>
      <c r="F110" s="331"/>
    </row>
    <row r="111" spans="1:6" ht="18.75" customHeight="1" x14ac:dyDescent="0.15">
      <c r="A111" s="16"/>
      <c r="B111" s="329"/>
      <c r="C111" s="330"/>
      <c r="D111" s="330"/>
      <c r="E111" s="330"/>
      <c r="F111" s="331"/>
    </row>
    <row r="112" spans="1:6" ht="18.75" customHeight="1" x14ac:dyDescent="0.15">
      <c r="A112" s="16"/>
      <c r="B112" s="329"/>
      <c r="C112" s="330"/>
      <c r="D112" s="330"/>
      <c r="E112" s="330"/>
      <c r="F112" s="331"/>
    </row>
    <row r="113" spans="1:6" ht="18.75" customHeight="1" x14ac:dyDescent="0.15">
      <c r="A113" s="16"/>
      <c r="B113" s="329"/>
      <c r="C113" s="330"/>
      <c r="D113" s="330"/>
      <c r="E113" s="330"/>
      <c r="F113" s="331"/>
    </row>
    <row r="114" spans="1:6" ht="18.75" customHeight="1" x14ac:dyDescent="0.15">
      <c r="A114" s="16"/>
      <c r="B114" s="329"/>
      <c r="C114" s="330"/>
      <c r="D114" s="330"/>
      <c r="E114" s="330"/>
      <c r="F114" s="331"/>
    </row>
    <row r="115" spans="1:6" ht="18.75" customHeight="1" x14ac:dyDescent="0.15">
      <c r="A115" s="16"/>
      <c r="B115" s="329"/>
      <c r="C115" s="330"/>
      <c r="D115" s="330"/>
      <c r="E115" s="330"/>
      <c r="F115" s="331"/>
    </row>
    <row r="116" spans="1:6" ht="18.75" customHeight="1" x14ac:dyDescent="0.15">
      <c r="A116" s="16"/>
      <c r="B116" s="329"/>
      <c r="C116" s="330"/>
      <c r="D116" s="330"/>
      <c r="E116" s="330"/>
      <c r="F116" s="331"/>
    </row>
    <row r="117" spans="1:6" ht="18.75" customHeight="1" x14ac:dyDescent="0.15">
      <c r="A117" s="16"/>
      <c r="B117" s="329"/>
      <c r="C117" s="330"/>
      <c r="D117" s="330"/>
      <c r="E117" s="330"/>
      <c r="F117" s="331"/>
    </row>
    <row r="118" spans="1:6" ht="18.75" customHeight="1" x14ac:dyDescent="0.15">
      <c r="A118" s="16"/>
      <c r="B118" s="329"/>
      <c r="C118" s="330"/>
      <c r="D118" s="330"/>
      <c r="E118" s="330"/>
      <c r="F118" s="331"/>
    </row>
    <row r="119" spans="1:6" ht="18.75" customHeight="1" x14ac:dyDescent="0.15">
      <c r="A119" s="16"/>
      <c r="B119" s="329"/>
      <c r="C119" s="330"/>
      <c r="D119" s="330"/>
      <c r="E119" s="330"/>
      <c r="F119" s="331"/>
    </row>
    <row r="120" spans="1:6" ht="18.75" customHeight="1" x14ac:dyDescent="0.15">
      <c r="A120" s="16"/>
      <c r="B120" s="329"/>
      <c r="C120" s="330"/>
      <c r="D120" s="330"/>
      <c r="E120" s="330"/>
      <c r="F120" s="331"/>
    </row>
    <row r="121" spans="1:6" ht="18.75" customHeight="1" x14ac:dyDescent="0.15">
      <c r="A121" s="16"/>
      <c r="B121" s="329"/>
      <c r="C121" s="330"/>
      <c r="D121" s="330"/>
      <c r="E121" s="330"/>
      <c r="F121" s="331"/>
    </row>
    <row r="122" spans="1:6" ht="18.75" customHeight="1" x14ac:dyDescent="0.15">
      <c r="A122" s="16"/>
      <c r="B122" s="329"/>
      <c r="C122" s="330"/>
      <c r="D122" s="330"/>
      <c r="E122" s="330"/>
      <c r="F122" s="331"/>
    </row>
    <row r="123" spans="1:6" ht="18.75" customHeight="1" x14ac:dyDescent="0.15">
      <c r="A123" s="16"/>
      <c r="B123" s="329"/>
      <c r="C123" s="330"/>
      <c r="D123" s="330"/>
      <c r="E123" s="330"/>
      <c r="F123" s="331"/>
    </row>
    <row r="124" spans="1:6" ht="18.75" customHeight="1" x14ac:dyDescent="0.15">
      <c r="A124" s="16"/>
      <c r="B124" s="332"/>
      <c r="C124" s="333"/>
      <c r="D124" s="333"/>
      <c r="E124" s="333"/>
      <c r="F124" s="334"/>
    </row>
  </sheetData>
  <mergeCells count="5">
    <mergeCell ref="E1:F1"/>
    <mergeCell ref="A2:F2"/>
    <mergeCell ref="B5:F42"/>
    <mergeCell ref="B44:F83"/>
    <mergeCell ref="B85:F124"/>
  </mergeCells>
  <phoneticPr fontId="6"/>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kawagisi</cp:lastModifiedBy>
  <cp:lastPrinted>2022-05-19T00:47:38Z</cp:lastPrinted>
  <dcterms:created xsi:type="dcterms:W3CDTF">2011-06-14T05:32:50Z</dcterms:created>
  <dcterms:modified xsi:type="dcterms:W3CDTF">2022-07-14T04:12:46Z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