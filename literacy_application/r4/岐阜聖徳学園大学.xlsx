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57"/>
  <workbookPr defaultThemeVersion="124226"/>
  <mc:AlternateContent xmlns:mc="http://schemas.openxmlformats.org/markup-compatibility/2006">
    <mc:Choice Requires="x15">
      <x15ac:absPath xmlns:x15ac="http://schemas.microsoft.com/office/spreadsheetml/2010/11/ac" url="P:\◎各課 ファイルやり取り【各課⇔各課】\学長室⇔教務課\○令和4年度数理・データサイエンス・ＡＩ教育（リテラシーレベル）申請書(仮)\★申請書（再々提出）\"/>
    </mc:Choice>
  </mc:AlternateContent>
  <xr:revisionPtr revIDLastSave="0" documentId="13_ncr:1_{6A370AA2-003D-427F-A34A-0A759ABFE257}" xr6:coauthVersionLast="36" xr6:coauthVersionMax="47" xr10:uidLastSave="{00000000-0000-0000-0000-000000000000}"/>
  <bookViews>
    <workbookView xWindow="0" yWindow="0" windowWidth="28800" windowHeight="12135" tabRatio="885" activeTab="3" xr2:uid="{00000000-000D-0000-FFFF-FFFF00000000}"/>
  </bookViews>
  <sheets>
    <sheet name="様式１　大学等概要" sheetId="8" r:id="rId1"/>
    <sheet name="様式２-1　プログラムを構成する授業科目" sheetId="39" r:id="rId2"/>
    <sheet name="様式２-2　プログラムを構成する授業科目" sheetId="43" r:id="rId3"/>
    <sheet name="様式３　履修者等数の実績" sheetId="40" r:id="rId4"/>
    <sheet name="様式４　教育の質・履修者数を向上させるための体制・計画" sheetId="41" r:id="rId5"/>
    <sheet name="様式５　自己点検・評価" sheetId="42" r:id="rId6"/>
  </sheets>
  <definedNames>
    <definedName name="_xlnm._FilterDatabase" localSheetId="1" hidden="1">'様式２-1　プログラムを構成する授業科目'!#REF!</definedName>
    <definedName name="_xlnm._FilterDatabase" localSheetId="2" hidden="1">'様式２-2　プログラムを構成する授業科目'!#REF!</definedName>
    <definedName name="_xlnm._FilterDatabase" localSheetId="3" hidden="1">'様式３　履修者等数の実績'!#REF!</definedName>
    <definedName name="_xlnm.Print_Area" localSheetId="0">'様式１　大学等概要'!$A$1:$N$45</definedName>
    <definedName name="_xlnm.Print_Area" localSheetId="1">'様式２-1　プログラムを構成する授業科目'!$A$1:$Z$98</definedName>
    <definedName name="_xlnm.Print_Area" localSheetId="2">'様式２-2　プログラムを構成する授業科目'!$A$1:$Z$98</definedName>
    <definedName name="_xlnm.Print_Area" localSheetId="3">'様式３　履修者等数の実績'!$A$1:$R$30</definedName>
    <definedName name="_xlnm.Print_Area" localSheetId="4">'様式４　教育の質・履修者数を向上させるための体制・計画'!$A$1:$J$130</definedName>
    <definedName name="_xlnm.Print_Area" localSheetId="5">'様式５　自己点検・評価'!$A$1:$J$18</definedName>
  </definedNames>
  <calcPr calcId="191029"/>
</workbook>
</file>

<file path=xl/calcChain.xml><?xml version="1.0" encoding="utf-8"?>
<calcChain xmlns="http://schemas.openxmlformats.org/spreadsheetml/2006/main">
  <c r="K18" i="42" l="1"/>
  <c r="K16" i="42"/>
  <c r="K15" i="42"/>
  <c r="K9" i="42"/>
  <c r="K8" i="42"/>
  <c r="K7" i="42"/>
  <c r="K113" i="41"/>
  <c r="K91" i="41"/>
  <c r="K69" i="41"/>
  <c r="K46" i="41"/>
  <c r="K31" i="41"/>
  <c r="K15" i="41"/>
  <c r="K8" i="41"/>
  <c r="K5" i="41"/>
  <c r="C4" i="40"/>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F30" i="40"/>
  <c r="E30" i="40"/>
  <c r="D30" i="40"/>
  <c r="I29" i="41" s="1"/>
  <c r="C30" i="40"/>
  <c r="Q29" i="40"/>
  <c r="R29" i="40" s="1"/>
  <c r="Q28" i="40"/>
  <c r="R28" i="40" s="1"/>
  <c r="Q27" i="40"/>
  <c r="R27" i="40" s="1"/>
  <c r="Q26" i="40"/>
  <c r="R26" i="40" s="1"/>
  <c r="Q25" i="40"/>
  <c r="R25" i="40" s="1"/>
  <c r="R24" i="40"/>
  <c r="Q24" i="40"/>
  <c r="Q23" i="40"/>
  <c r="R23" i="40" s="1"/>
  <c r="Q22" i="40"/>
  <c r="R22" i="40" s="1"/>
  <c r="Q21" i="40"/>
  <c r="R21" i="40" s="1"/>
  <c r="R20" i="40"/>
  <c r="Q20" i="40"/>
  <c r="Q19" i="40"/>
  <c r="R19" i="40" s="1"/>
  <c r="Q18" i="40"/>
  <c r="R18" i="40" s="1"/>
  <c r="Q17" i="40"/>
  <c r="R17" i="40" s="1"/>
  <c r="R16" i="40"/>
  <c r="Q16" i="40"/>
  <c r="Q15" i="40"/>
  <c r="R15" i="40" s="1"/>
  <c r="Q14" i="40"/>
  <c r="R14" i="40" s="1"/>
  <c r="Q13" i="40"/>
  <c r="R13" i="40" s="1"/>
  <c r="Q12" i="40"/>
  <c r="R12" i="40" s="1"/>
  <c r="Q11" i="40"/>
  <c r="R11" i="40" s="1"/>
  <c r="Q10" i="40"/>
  <c r="Q30" i="40" l="1"/>
  <c r="R30" i="40" s="1"/>
  <c r="C28" i="41" s="1"/>
  <c r="R10" i="40"/>
</calcChain>
</file>

<file path=xl/sharedStrings.xml><?xml version="1.0" encoding="utf-8"?>
<sst xmlns="http://schemas.openxmlformats.org/spreadsheetml/2006/main" count="455" uniqueCount="212">
  <si>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</si>
  <si>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</si>
  <si>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</si>
  <si>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</si>
  <si>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</si>
  <si>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</si>
  <si>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</si>
  <si>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</si>
  <si>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</si>
  <si>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</si>
  <si>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</si>
  <si>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</si>
  <si>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</si>
  <si>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</si>
  <si>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</si>
  <si>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</si>
  <si>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</si>
  <si>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</si>
  <si>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</si>
  <si>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</si>
  <si>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</si>
  <si>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</si>
  <si>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</si>
  <si>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</si>
  <si>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</si>
  <si>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</si>
  <si>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</si>
  <si>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</si>
  <si>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</si>
  <si>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</si>
  <si>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</si>
  <si>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</si>
  <si>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</si>
  <si>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</si>
  <si>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</si>
  <si>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</si>
  <si>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</si>
  <si>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</si>
  <si>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</si>
  <si>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</si>
  <si>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</si>
  <si>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</si>
  <si>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</si>
  <si>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</si>
  <si>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</si>
  <si>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</si>
  <si>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</si>
  <si>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</si>
  <si>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</si>
  <si>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</si>
  <si>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</si>
  <si>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</si>
  <si>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</si>
  <si>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</si>
  <si>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</si>
  <si>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</si>
  <si>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</si>
  <si>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</si>
  <si>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</si>
  <si>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</si>
  <si>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</si>
  <si>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</si>
  <si>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</si>
  <si>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</si>
  <si>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</si>
  <si>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</si>
  <si>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</si>
  <si>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</si>
  <si>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</si>
  <si>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</si>
  <si>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</si>
  <si>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</si>
  <si>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</si>
  <si>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</si>
  <si>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</si>
  <si>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</si>
  <si>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</si>
  <si>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</si>
  <si>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</si>
  <si>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</si>
  <si>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</si>
  <si>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</si>
  <si>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</si>
  <si>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</si>
  <si>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</si>
  <si>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</si>
  <si>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</si>
  <si>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</si>
  <si>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</si>
  <si>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</si>
  <si>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</si>
  <si>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</si>
  <si>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</si>
  <si>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</si>
  <si>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</si>
  <si>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</si>
  <si>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</si>
  <si>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⑦応用基礎レベルの申請の有無</t>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</si>
  <si>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</si>
  <si>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</si>
  <si>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</si>
  <si>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</si>
  <si>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</si>
  <si>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</si>
  <si>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</si>
  <si>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</si>
  <si>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</si>
  <si>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</si>
  <si>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</si>
  <si>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</si>
  <si>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</si>
  <si>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</si>
  <si>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</si>
  <si>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年度</t>
    <rPh sb="0" eb="2">
      <t>ネンド</t>
    </rPh>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</si>
  <si>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</si>
  <si>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</si>
  <si>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</si>
  <si>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</si>
  <si>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</si>
  <si>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</si>
  <si>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</si>
  <si>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</si>
  <si>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</si>
  <si>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</si>
  <si>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②自己点検・評価体制における意見等を公表しているアドレス</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</si>
  <si>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</si>
  <si>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</si>
  <si>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</si>
  <si>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</si>
  <si>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</si>
  <si>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</si>
  <si>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</si>
  <si>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</si>
  <si>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</si>
  <si>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</si>
  <si>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</si>
  <si>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</si>
  <si>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</si>
  <si>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</si>
  <si>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</si>
  <si>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</si>
  <si>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</si>
  <si>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</si>
  <si>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</si>
  <si>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</si>
  <si>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</si>
  <si>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</si>
  <si>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</si>
  <si>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岐阜聖徳学園大学</t>
    <rPh sb="0" eb="2">
      <t>ギフ</t>
    </rPh>
    <rPh sb="2" eb="4">
      <t>ショウトク</t>
    </rPh>
    <rPh sb="4" eb="6">
      <t>ガクエン</t>
    </rPh>
    <rPh sb="6" eb="8">
      <t>ダイガク</t>
    </rPh>
    <phoneticPr fontId="1"/>
  </si>
  <si>
    <t>学校法人 聖徳学園</t>
    <rPh sb="0" eb="2">
      <t>ガッコウ</t>
    </rPh>
    <rPh sb="2" eb="4">
      <t>ホウジン</t>
    </rPh>
    <rPh sb="5" eb="7">
      <t>ショウトク</t>
    </rPh>
    <rPh sb="7" eb="9">
      <t>ガクエン</t>
    </rPh>
    <phoneticPr fontId="1"/>
  </si>
  <si>
    <t>私立大学</t>
  </si>
  <si>
    <t>岐阜県岐阜市柳津町高桑西一丁目１番地</t>
    <rPh sb="0" eb="3">
      <t>ギフケン</t>
    </rPh>
    <rPh sb="3" eb="6">
      <t>ギフシ</t>
    </rPh>
    <rPh sb="6" eb="9">
      <t>ヤナイヅチョウ</t>
    </rPh>
    <rPh sb="9" eb="11">
      <t>タカクワ</t>
    </rPh>
    <rPh sb="11" eb="12">
      <t>ニシ</t>
    </rPh>
    <rPh sb="12" eb="15">
      <t>イッチョウメ</t>
    </rPh>
    <rPh sb="16" eb="18">
      <t>バンチ</t>
    </rPh>
    <phoneticPr fontId="1"/>
  </si>
  <si>
    <t>岐阜聖徳学園大学数理・データサイエンス・ＡＩ教育（リテラシーレベル）プログラム</t>
    <rPh sb="0" eb="2">
      <t>ギフ</t>
    </rPh>
    <rPh sb="2" eb="4">
      <t>ショウトク</t>
    </rPh>
    <rPh sb="4" eb="6">
      <t>ガクエン</t>
    </rPh>
    <rPh sb="6" eb="8">
      <t>ダイガク</t>
    </rPh>
    <rPh sb="8" eb="10">
      <t>スウリ</t>
    </rPh>
    <rPh sb="22" eb="24">
      <t>キョウイク</t>
    </rPh>
    <phoneticPr fontId="1"/>
  </si>
  <si>
    <t>令和３</t>
    <rPh sb="0" eb="2">
      <t>レイワ</t>
    </rPh>
    <phoneticPr fontId="1"/>
  </si>
  <si>
    <t>無</t>
  </si>
  <si>
    <t>教務部長</t>
    <rPh sb="0" eb="2">
      <t>キョウム</t>
    </rPh>
    <rPh sb="2" eb="4">
      <t>ブチョウ</t>
    </rPh>
    <phoneticPr fontId="1"/>
  </si>
  <si>
    <t>教養教育委員会</t>
    <rPh sb="0" eb="2">
      <t>キョウヨウ</t>
    </rPh>
    <rPh sb="2" eb="4">
      <t>キョウイク</t>
    </rPh>
    <rPh sb="4" eb="7">
      <t>イインカイ</t>
    </rPh>
    <phoneticPr fontId="1"/>
  </si>
  <si>
    <t>教育学部教授（教養教育委員長）</t>
    <rPh sb="0" eb="2">
      <t>キョウイク</t>
    </rPh>
    <rPh sb="2" eb="4">
      <t>ガクブ</t>
    </rPh>
    <rPh sb="4" eb="6">
      <t>キョウジュ</t>
    </rPh>
    <rPh sb="7" eb="9">
      <t>キョウヨウ</t>
    </rPh>
    <rPh sb="9" eb="11">
      <t>キョウイク</t>
    </rPh>
    <rPh sb="11" eb="14">
      <t>イインチョウ</t>
    </rPh>
    <phoneticPr fontId="1"/>
  </si>
  <si>
    <t>全学教務委員会</t>
    <rPh sb="0" eb="2">
      <t>ゼンガク</t>
    </rPh>
    <rPh sb="2" eb="4">
      <t>キョウム</t>
    </rPh>
    <rPh sb="4" eb="7">
      <t>イインカイ</t>
    </rPh>
    <phoneticPr fontId="1"/>
  </si>
  <si>
    <t>髙村　和代</t>
    <rPh sb="0" eb="2">
      <t>タカムラ</t>
    </rPh>
    <rPh sb="3" eb="5">
      <t>カズヨ</t>
    </rPh>
    <phoneticPr fontId="1"/>
  </si>
  <si>
    <t>吉田　俊和</t>
    <rPh sb="0" eb="2">
      <t>ヨシダ</t>
    </rPh>
    <rPh sb="3" eb="5">
      <t>トシカズ</t>
    </rPh>
    <phoneticPr fontId="1"/>
  </si>
  <si>
    <t>認定教育プログラム</t>
  </si>
  <si>
    <t>羽島教務課</t>
    <rPh sb="0" eb="2">
      <t>ハシマ</t>
    </rPh>
    <rPh sb="2" eb="5">
      <t>キョウムカ</t>
    </rPh>
    <phoneticPr fontId="1"/>
  </si>
  <si>
    <t>林　佳孝</t>
    <rPh sb="0" eb="1">
      <t>ハヤシ</t>
    </rPh>
    <rPh sb="2" eb="4">
      <t>ヨシタカ</t>
    </rPh>
    <phoneticPr fontId="1"/>
  </si>
  <si>
    <t>058-279-3493</t>
    <phoneticPr fontId="1"/>
  </si>
  <si>
    <t>学部・学科によって、修了要件は相違する</t>
  </si>
  <si>
    <t>数学（データサイエンス入門）</t>
    <rPh sb="0" eb="2">
      <t>スウガク</t>
    </rPh>
    <rPh sb="11" eb="13">
      <t>ニュウモン</t>
    </rPh>
    <phoneticPr fontId="1"/>
  </si>
  <si>
    <t>統計入門</t>
    <rPh sb="0" eb="2">
      <t>トウケイ</t>
    </rPh>
    <rPh sb="2" eb="4">
      <t>ニュウモン</t>
    </rPh>
    <phoneticPr fontId="1"/>
  </si>
  <si>
    <t>一部開講</t>
  </si>
  <si>
    <t>○</t>
  </si>
  <si>
    <t>数学（データサイエンス入門）</t>
    <phoneticPr fontId="1"/>
  </si>
  <si>
    <t>統計入門</t>
    <phoneticPr fontId="1"/>
  </si>
  <si>
    <t>日常生活や仕事現場において数理・データサイエンス・ＡＩを道具として活用する能力、統計データや統計グラフを正しく解釈し、データ分析に役立てる能力を身に付けることができる。</t>
    <phoneticPr fontId="1"/>
  </si>
  <si>
    <t>教育学部</t>
    <rPh sb="0" eb="2">
      <t>キョウイク</t>
    </rPh>
    <rPh sb="2" eb="4">
      <t>ガクブ</t>
    </rPh>
    <phoneticPr fontId="1"/>
  </si>
  <si>
    <t>外国語学部</t>
    <rPh sb="0" eb="3">
      <t>ガイコクゴ</t>
    </rPh>
    <rPh sb="3" eb="5">
      <t>ガクブ</t>
    </rPh>
    <phoneticPr fontId="1"/>
  </si>
  <si>
    <t>看護学部</t>
    <rPh sb="0" eb="2">
      <t>カンゴ</t>
    </rPh>
    <rPh sb="2" eb="4">
      <t>ガクブ</t>
    </rPh>
    <phoneticPr fontId="1"/>
  </si>
  <si>
    <t>経済情報学部</t>
    <rPh sb="0" eb="2">
      <t>ケイザイ</t>
    </rPh>
    <rPh sb="2" eb="4">
      <t>ジョウホウ</t>
    </rPh>
    <rPh sb="4" eb="6">
      <t>ガクブ</t>
    </rPh>
    <phoneticPr fontId="1"/>
  </si>
  <si>
    <t>教養教育委員会規程</t>
    <rPh sb="0" eb="2">
      <t>キョウヨウ</t>
    </rPh>
    <rPh sb="2" eb="4">
      <t>キョウイク</t>
    </rPh>
    <rPh sb="4" eb="7">
      <t>イインカイ</t>
    </rPh>
    <rPh sb="7" eb="9">
      <t>キテイ</t>
    </rPh>
    <phoneticPr fontId="1"/>
  </si>
  <si>
    <t>（１）学長が指名する教育職員
　・教育学部　教授　吉田俊和
（２）各学部（短期大学部を含む。）選出の教育職員
　・教育学部　教授　宮野裕
　・外国語学部　教授　熊沢秀哉
　・経済情報学部　教授　吉田夏彦
　・看護学部　教授　西田倫子
　・短期大学部　専任講師　木戸啓絵
（３）教務部長
　・教育学部　教授　髙村和代
（４）羽島教務課長、岐阜教務課長
　・羽島教務課長　林佳孝
　・岐阜教務課長　今井延幸</t>
    <rPh sb="3" eb="5">
      <t>ガクチョウ</t>
    </rPh>
    <rPh sb="6" eb="8">
      <t>シメイ</t>
    </rPh>
    <rPh sb="10" eb="12">
      <t>キョウイク</t>
    </rPh>
    <rPh sb="12" eb="14">
      <t>ショクイン</t>
    </rPh>
    <rPh sb="17" eb="19">
      <t>キョウイク</t>
    </rPh>
    <rPh sb="19" eb="21">
      <t>ガクブ</t>
    </rPh>
    <rPh sb="22" eb="24">
      <t>キョウジュ</t>
    </rPh>
    <rPh sb="25" eb="27">
      <t>ヨシダ</t>
    </rPh>
    <rPh sb="27" eb="29">
      <t>トシカズ</t>
    </rPh>
    <rPh sb="33" eb="36">
      <t>カクガクブ</t>
    </rPh>
    <rPh sb="37" eb="39">
      <t>タンキ</t>
    </rPh>
    <rPh sb="39" eb="42">
      <t>ダイガクブ</t>
    </rPh>
    <rPh sb="43" eb="44">
      <t>フク</t>
    </rPh>
    <rPh sb="47" eb="49">
      <t>センシュツ</t>
    </rPh>
    <rPh sb="50" eb="52">
      <t>キョウイク</t>
    </rPh>
    <rPh sb="52" eb="54">
      <t>ショクイン</t>
    </rPh>
    <rPh sb="57" eb="59">
      <t>キョウイク</t>
    </rPh>
    <rPh sb="59" eb="61">
      <t>ガクブ</t>
    </rPh>
    <rPh sb="62" eb="64">
      <t>キョウジュ</t>
    </rPh>
    <rPh sb="65" eb="67">
      <t>ミヤノ</t>
    </rPh>
    <rPh sb="67" eb="68">
      <t>ユタカ</t>
    </rPh>
    <rPh sb="71" eb="74">
      <t>ガイコクゴ</t>
    </rPh>
    <rPh sb="74" eb="76">
      <t>ガクブ</t>
    </rPh>
    <rPh sb="77" eb="79">
      <t>キョウジュ</t>
    </rPh>
    <rPh sb="80" eb="82">
      <t>クマザワ</t>
    </rPh>
    <rPh sb="82" eb="84">
      <t>ヒデヤ</t>
    </rPh>
    <rPh sb="87" eb="89">
      <t>ケイザイ</t>
    </rPh>
    <rPh sb="89" eb="91">
      <t>ジョウホウ</t>
    </rPh>
    <rPh sb="91" eb="93">
      <t>ガクブ</t>
    </rPh>
    <rPh sb="94" eb="96">
      <t>キョウジュ</t>
    </rPh>
    <rPh sb="97" eb="99">
      <t>ヨシダ</t>
    </rPh>
    <rPh sb="99" eb="101">
      <t>ナツヒコ</t>
    </rPh>
    <rPh sb="104" eb="106">
      <t>カンゴ</t>
    </rPh>
    <rPh sb="106" eb="108">
      <t>ガクブ</t>
    </rPh>
    <rPh sb="109" eb="111">
      <t>キョウジュ</t>
    </rPh>
    <rPh sb="112" eb="114">
      <t>ニシダ</t>
    </rPh>
    <rPh sb="114" eb="116">
      <t>リンコ</t>
    </rPh>
    <rPh sb="119" eb="121">
      <t>タンキ</t>
    </rPh>
    <rPh sb="121" eb="124">
      <t>ダイガクブ</t>
    </rPh>
    <rPh sb="125" eb="127">
      <t>センニン</t>
    </rPh>
    <rPh sb="127" eb="129">
      <t>コウシ</t>
    </rPh>
    <rPh sb="130" eb="132">
      <t>キド</t>
    </rPh>
    <rPh sb="132" eb="133">
      <t>ケイ</t>
    </rPh>
    <rPh sb="133" eb="134">
      <t>エ</t>
    </rPh>
    <rPh sb="138" eb="140">
      <t>キョウム</t>
    </rPh>
    <rPh sb="140" eb="142">
      <t>ブチョウ</t>
    </rPh>
    <rPh sb="145" eb="147">
      <t>キョウイク</t>
    </rPh>
    <rPh sb="147" eb="149">
      <t>ガクブ</t>
    </rPh>
    <rPh sb="150" eb="152">
      <t>キョウジュ</t>
    </rPh>
    <rPh sb="153" eb="155">
      <t>タカムラ</t>
    </rPh>
    <rPh sb="155" eb="157">
      <t>カズヨ</t>
    </rPh>
    <rPh sb="161" eb="163">
      <t>ハシマ</t>
    </rPh>
    <rPh sb="163" eb="166">
      <t>キョウムカ</t>
    </rPh>
    <rPh sb="166" eb="167">
      <t>チョウ</t>
    </rPh>
    <rPh sb="168" eb="170">
      <t>ギフ</t>
    </rPh>
    <rPh sb="170" eb="173">
      <t>キョウムカ</t>
    </rPh>
    <rPh sb="173" eb="174">
      <t>チョウ</t>
    </rPh>
    <rPh sb="177" eb="179">
      <t>ハシマ</t>
    </rPh>
    <rPh sb="179" eb="182">
      <t>キョウムカ</t>
    </rPh>
    <rPh sb="182" eb="183">
      <t>チョウ</t>
    </rPh>
    <rPh sb="184" eb="185">
      <t>ハヤシ</t>
    </rPh>
    <rPh sb="185" eb="187">
      <t>ヨシタカ</t>
    </rPh>
    <rPh sb="190" eb="192">
      <t>ギフ</t>
    </rPh>
    <rPh sb="192" eb="195">
      <t>キョウムカ</t>
    </rPh>
    <rPh sb="195" eb="196">
      <t>チョウ</t>
    </rPh>
    <rPh sb="197" eb="199">
      <t>イマイ</t>
    </rPh>
    <rPh sb="199" eb="200">
      <t>ノ</t>
    </rPh>
    <rPh sb="200" eb="201">
      <t>シアワ</t>
    </rPh>
    <phoneticPr fontId="1"/>
  </si>
  <si>
    <t>本教育プログラムを構成する科目の到達目標については、授業時の課題提出物及び学生による授業評価アンケートの&lt;理解度について＞等により学生の理解度を把握するすることができ、授業内容や授業方法の改善を図っている。
本教育プログラムの学修成果については、本プログラムを修了した学生がその後、どのような科目を履修して、どのような成績を収めたか、卒業後にどのような進路に進んだかなどを、就職委員会等と連携して経時的に調査していく。</t>
    <phoneticPr fontId="1"/>
  </si>
  <si>
    <t>本教育プログラム受講者に対して「学生による授業評価アンケート」を実施しており、学生の理解度や学修意欲等を把握し、授業内容及び方法の改善を図っている。
本教育プログラムの理解度については、モデルカリキュラムの「導入」、「基礎」、「心得」に関連する部分の理解度を測る設問を設け、授業における学生の理解度を把握し、分析している。
分析の結果、モデルカリキュラムの「導入」に関連する部分の理解度を測る2つの設問「データ・AIの利活用について、社会の変化に伴う最新の動向と必要性を理解した」と「様々なデータ・AIの利活用において、どのような技術（手法）がどういう目的で用いられているか理解した」に回答した学生のうち、7割以上の学生が「非常にそう思う」あるいは「どちらかといえばそう思う」と回答していることがわかった。また、モデルカリキュラムの「心得」と「基礎」に関連する設問についても、おおよそ6割から7割の学生が「非常にそう思う」あるいは「どちらかといえばそう思う」と回答していることがわかった。これらのことから、学生の内容の理解度は高いと考えられる。
改善に向けた取り組みとして、理解度が低い部分については授業内容や授業方法を改善するなどして、理解度の向上を図ることが挙げられる。</t>
    <phoneticPr fontId="1"/>
  </si>
  <si>
    <t>本教育プログラム受講者に対して「学生による授業評価アンケート」を実施しており、学生の理解度や学修意欲等とともに、後輩学生や他の学生への推奨度について確認している。
授業評価アンケートの「今回の講義を友人や後輩に推奨したいと思いますか。」という設問に回答した学生のうち、36％以上の学生が「非常にそう思う」と、23％以上の学生が「どちらかといえばそう思う」と回答していることから、本教育プログラムの後輩等他の学生への推奨度は高いと考えられる。
改善に向けた取り組みとして、本教育プログラムを修了した学生にインタビューを行い、学生の声としてWebページなどで公開し、後輩等他の学生の履修を促すことを検討している。</t>
    <phoneticPr fontId="1"/>
  </si>
  <si>
    <t>全学的な履修者数・履修率を向上させるために、「学ぶ楽しさ」、「学ぶことの意義」を第一に考え、文系・理系を問わずすべての学部、すべての学年の学生が履修できるプログラムとすることにより、全学的な履修者数、履修率の向上を目指している。令和４年度からはプログラムを構成する１科目を全学必修科目とする新たなプログラムを構築し、履修者数・履修率を向上させる予定である。</t>
    <rPh sb="9" eb="11">
      <t>リシュウ</t>
    </rPh>
    <rPh sb="11" eb="12">
      <t>リツ</t>
    </rPh>
    <rPh sb="128" eb="130">
      <t>コウセイ</t>
    </rPh>
    <rPh sb="133" eb="135">
      <t>カモク</t>
    </rPh>
    <rPh sb="136" eb="138">
      <t>ゼンガク</t>
    </rPh>
    <rPh sb="138" eb="142">
      <t>ヒッシュウカモク</t>
    </rPh>
    <phoneticPr fontId="1"/>
  </si>
  <si>
    <t>建学の精神を根幹とした学部横断型の教養教育「Ｙａｗａｒａｇｉ　Ｂａｓｉｓ」の推進を図ることを目的とした委員会を設置し、（１） 教養教育カリキュラムの研究・開発、（２） 教養教育担当教員（非常勤講師を含む。）の選考、（３） 教養教育の授業編成、（４） 教養教育の点検・評価 等を行っている。岐阜聖徳学園大学数理・データサイエンス・ＡＩ教育（リテラシーレベル）プログラムを構成する科目は、教養基礎科目として開設しており、他の教養教育とともに本プログラムについても改善・進化を図っている。ただし、本プログラムの改善・進化については、専門的な知識も必要となることから、教養教育委員会内に別途ワーキンググループを設け、ワーキンググループで検討された内容を本委員会で審議している。</t>
    <rPh sb="0" eb="2">
      <t>ケンガク</t>
    </rPh>
    <rPh sb="3" eb="5">
      <t>セイシン</t>
    </rPh>
    <rPh sb="6" eb="8">
      <t>コンカン</t>
    </rPh>
    <rPh sb="11" eb="13">
      <t>ガクブ</t>
    </rPh>
    <rPh sb="13" eb="15">
      <t>オウダン</t>
    </rPh>
    <rPh sb="15" eb="16">
      <t>ガタ</t>
    </rPh>
    <rPh sb="17" eb="19">
      <t>キョウヨウ</t>
    </rPh>
    <rPh sb="19" eb="21">
      <t>キョウイク</t>
    </rPh>
    <rPh sb="51" eb="54">
      <t>イインカイ</t>
    </rPh>
    <rPh sb="55" eb="57">
      <t>セッチ</t>
    </rPh>
    <rPh sb="136" eb="137">
      <t>トウ</t>
    </rPh>
    <rPh sb="138" eb="139">
      <t>オコナ</t>
    </rPh>
    <rPh sb="184" eb="186">
      <t>コウセイ</t>
    </rPh>
    <rPh sb="188" eb="190">
      <t>カモク</t>
    </rPh>
    <rPh sb="192" eb="194">
      <t>キョウヨウ</t>
    </rPh>
    <rPh sb="194" eb="196">
      <t>キソ</t>
    </rPh>
    <rPh sb="196" eb="198">
      <t>カモク</t>
    </rPh>
    <rPh sb="201" eb="203">
      <t>カイセツ</t>
    </rPh>
    <rPh sb="245" eb="246">
      <t>ホン</t>
    </rPh>
    <rPh sb="252" eb="254">
      <t>カイゼン</t>
    </rPh>
    <rPh sb="255" eb="257">
      <t>シンカ</t>
    </rPh>
    <rPh sb="263" eb="266">
      <t>センモンテキ</t>
    </rPh>
    <rPh sb="267" eb="269">
      <t>チシキ</t>
    </rPh>
    <rPh sb="270" eb="272">
      <t>ヒツヨウ</t>
    </rPh>
    <rPh sb="280" eb="282">
      <t>キョウヨウ</t>
    </rPh>
    <rPh sb="282" eb="284">
      <t>キョウイク</t>
    </rPh>
    <rPh sb="284" eb="287">
      <t>イインカイ</t>
    </rPh>
    <rPh sb="287" eb="288">
      <t>ナイ</t>
    </rPh>
    <rPh sb="289" eb="291">
      <t>ベット</t>
    </rPh>
    <rPh sb="301" eb="302">
      <t>モウ</t>
    </rPh>
    <rPh sb="314" eb="316">
      <t>ケントウ</t>
    </rPh>
    <rPh sb="319" eb="321">
      <t>ナイヨウ</t>
    </rPh>
    <rPh sb="322" eb="323">
      <t>ホン</t>
    </rPh>
    <rPh sb="323" eb="326">
      <t>イインカイ</t>
    </rPh>
    <rPh sb="327" eb="329">
      <t>シンギ</t>
    </rPh>
    <phoneticPr fontId="1"/>
  </si>
  <si>
    <t>本教育プログラム開始初年度である2021年度の履修者は72名であり、このうち修了要件を満たし本教育プログラムを修了した学生は63名であった。履修者の学部別の内訳を見ると、教育学部30名、外国語学部20名、看護学部１名、経済情報学部21名であり、対象としたすべての学部の学生から本教育プログラムの履修があったことがわかる。また、学年別の内訳を見ると1年生40名、2年生18名、3年生8名、4年生7名であった。これらのことから、すべての学部、すべての学年の学生が本教育プログラムを履修したことがわかり、概ね成果が上げられた。
改善に向けた取り組みとしては、本教育プログラムを構成する科目を必修科目とすることも検討しながら、履修者数・履修率向上を図ることが挙げられる。また、課題提出物の内容等から学生の理解度を把握し、理解が不足している部分を補足することによって、本教育プログラムを修了する学生を増やしていくことも検討している。</t>
    <phoneticPr fontId="1"/>
  </si>
  <si>
    <t xml:space="preserve">h-kyomu@shotoku.ac.jp </t>
    <phoneticPr fontId="1"/>
  </si>
  <si>
    <t>教務部長(全学教務委員長)</t>
    <rPh sb="0" eb="2">
      <t>キョウム</t>
    </rPh>
    <rPh sb="2" eb="4">
      <t>ブチョウ</t>
    </rPh>
    <rPh sb="5" eb="7">
      <t>ゼンガク</t>
    </rPh>
    <rPh sb="7" eb="9">
      <t>キョウム</t>
    </rPh>
    <rPh sb="9" eb="12">
      <t>イインチョウ</t>
    </rPh>
    <phoneticPr fontId="1"/>
  </si>
  <si>
    <t>履修要項、時間割表、履修管理システム等を用いて、履修に必要な情報が確認できるようにしている。また年度はじめのオリエンテーションにおいて科目の案内を行い、履修を推奨している。</t>
    <phoneticPr fontId="1"/>
  </si>
  <si>
    <t>専任教員による指導教員を配置して、学生の履修や修学についての相談を受けている。また教務課でも事務職員が履修などのサポートを行っている。コンピュータの利用については学生が自由に利用できるコンピュータを用意しているほか、BYODを推進している。また、図書館で関連分野の学生向け書籍を整備している。</t>
    <phoneticPr fontId="1"/>
  </si>
  <si>
    <t>http://www.shotoku.ac.jp/outline/ai.php</t>
    <phoneticPr fontId="1"/>
  </si>
  <si>
    <t>「数学（データサイエンス入門）」は教育学部、外国語学部、看護学部共通の教養基礎科目として開設しており、学部に関係なく希望する学生全員が受講可能となるよう考慮して時間割を作成している。「統計入門」は経済情報学部の教養基礎科目として開設しており、希望する学生全員が受講可能となるよう考慮して時間割を作成している。</t>
    <rPh sb="76" eb="78">
      <t>コウリョ</t>
    </rPh>
    <rPh sb="84" eb="86">
      <t>サクセイ</t>
    </rPh>
    <rPh sb="139" eb="141">
      <t>コウリョ</t>
    </rPh>
    <rPh sb="147" eb="149">
      <t>サクセイ</t>
    </rPh>
    <phoneticPr fontId="1"/>
  </si>
  <si>
    <t>本教育プログラムを構成する科目「数学（データサイエンス入門）」（選択科目）、「統計入門」（選択科目）については、岐阜聖徳学園大学数理・データサイエンス・ＡＩ教育方針や授業評価アンケート、地元産業界等からの意見も踏まえ、令和４年度から新たな科目を開設し、全学必修科目を加えたプログラムを再設計することで、全学生が履修するプログラムとすることを検討し、決定している。
「学ぶ楽しさ」、「学ぶことの意義」を第一に考え、文系・理系を問わずすべての学部、すべての学年の学生が履修できるプログラムとすることにより、全学的な履修者数、履修率の向上を目指した。その結果、プログラム開始初年度である2021年度の履修者数は72名であり、すべての学部、すべての学年の学生からの履修があった。全学的な履修者数を向上させるために、令和４年度からは新たなプログラムを構築する。
改善に向けた取り組みとして、本教育プログラムを構成する科目を必修科目とすることにより、履修者数・履修率向上を図ることを目指している。</t>
    <rPh sb="174" eb="176">
      <t>ケッテイ</t>
    </rPh>
    <rPh sb="435" eb="437">
      <t>メザ</t>
    </rPh>
    <phoneticPr fontId="1"/>
  </si>
  <si>
    <t>学生の就職状況と履修状況を確認することにより、本教育プログラムを修了した卒業生の進路先については把握することが可能である。また、教育プログラムを修了した卒業生の活躍状況や企業等の評価については、就職課が把握している卒業生の活躍状況を収集するとともに、本学が実施する「企業向けアンケート（本学出身者に関するアンケート）」における「本学出身者に関して抱いている印象」に関する設問からの企業等から本学出身者に対する評価を把握できるよう検討している。
2021年度より開始した教育プログラムであり、教育プログラム修了者の進路、活躍状況、企業等の評価の情報が得られないことから現状についての考察を行う。2020年度に全学で企業・団体に就職した学生は246名であり、そのうち数理・データサイエンス・ＡＩに関連すると考えられる情報・通信系の企業等に就職した学生は20名（8.1％）であった。今後は、本プログラムを修了した学生がどのような進路を選択するかについて調査を続けていく予定である。</t>
    <rPh sb="245" eb="247">
      <t>キョウイク</t>
    </rPh>
    <rPh sb="252" eb="255">
      <t>シュウリョウシャ</t>
    </rPh>
    <rPh sb="256" eb="258">
      <t>シンロ</t>
    </rPh>
    <rPh sb="259" eb="261">
      <t>カツヤク</t>
    </rPh>
    <rPh sb="261" eb="263">
      <t>ジョウキョウ</t>
    </rPh>
    <rPh sb="264" eb="266">
      <t>キギョウ</t>
    </rPh>
    <rPh sb="266" eb="267">
      <t>トウ</t>
    </rPh>
    <rPh sb="268" eb="270">
      <t>ヒョウカ</t>
    </rPh>
    <rPh sb="271" eb="273">
      <t>ジョウホウ</t>
    </rPh>
    <rPh sb="274" eb="275">
      <t>エ</t>
    </rPh>
    <rPh sb="431" eb="433">
      <t>ヨテイ</t>
    </rPh>
    <phoneticPr fontId="1"/>
  </si>
  <si>
    <t>本学では、地方自治体や地元産業界等と各種要望や地域の課題を共有するとともに、今後の経済・社会の発展をもたらす高等教育の在り方について意見聴取することにより、本学の自己点検・評価及び教育研究水準の向上に資することを目的とした「地域連携協議会」を毎年実施している。
社会人の学び直しに関する内容や数理・データサイエンス・ＡＩ教育については、「地域連携協議会」において、意見聴取を行っている。収集した意見については、プログラムを改善・進化させるための委員会（教養教育委員会）やプログラムの自己点検・評価を行う委員会（全学教務委員会）において、プログラムの検証・改善に活用している。
2021年6月30日に開催された「地域連携協議会」において、本学が連携協定を締結する産業界、地方公共団体等に対して、「学生が身に付けるべきＡＩ・データサイエンス等に関する能力」や「企業等におけるＡＩ・データサイエンス等の活用事例」に関する意見聴取を行った。意見聴取内容については、「教養教育委員会（11月24日開催）」、「全学教務委員会（9月8日開催）」において、プログラムの検証に活用した。
また、本学では、令和４年度から学内にデジタルトランスフォーメーション推進センターを設置し、数理・データサイエンス・ＡＩ教育（リテラシーレベル）プログラムを再構築する予定である。本意見聴取内容については、新たなプログラム構築に向けて活用している。
今後もこの取り組みを続け、産業界からの意見を本教育プログラムの改善に役立ていく予定である。</t>
    <phoneticPr fontId="1"/>
  </si>
  <si>
    <t>授業において、モデルカリキュラムリテラシーレベルの導入部分であるデータサイエンスの活用事例を紹介することで学生の興味関心を高め、学ぶ楽しさや学ぶことの意義を理解させている。また、授業時の課題提出物や学生による授業評価アンケートの＜授業内容について＞及び&lt;理解度について＞等を比較・検討することで授業改善を図っている。
データサイエンスの活用事例を紹介することで学生の興味関心を高め、「学ぶ楽しさ」「学ぶことの意義」を理解させることができたこと、また提出物の内容や授業評価アンケートの結果を授業改善に役立てることができたことから、概ね成果を上げることができた。
学生が興味関心を示すような実例を用いることによって、数理・データサイエンス・AIの「学ぶ楽しさ」「学ぶことの意義」を理解させられるよう、今後も検討を続けていく。
また、ＦＤ活動の中で、数理・データサイエンス・ＡＩ教育に関して「学ぶ楽しさ」「学ぶことの意義」をテーマに意見交換することも検討する。</t>
    <rPh sb="366" eb="368">
      <t>カツドウ</t>
    </rPh>
    <rPh sb="369" eb="370">
      <t>ナカ</t>
    </rPh>
    <rPh sb="372" eb="374">
      <t>スウリ</t>
    </rPh>
    <rPh sb="386" eb="388">
      <t>キョウイク</t>
    </rPh>
    <rPh sb="389" eb="390">
      <t>カン</t>
    </rPh>
    <rPh sb="393" eb="394">
      <t>マナ</t>
    </rPh>
    <rPh sb="395" eb="396">
      <t>タノ</t>
    </rPh>
    <rPh sb="400" eb="401">
      <t>マナ</t>
    </rPh>
    <rPh sb="405" eb="407">
      <t>イギ</t>
    </rPh>
    <rPh sb="413" eb="415">
      <t>イケン</t>
    </rPh>
    <rPh sb="415" eb="417">
      <t>コウカン</t>
    </rPh>
    <rPh sb="422" eb="424">
      <t>ケントウ</t>
    </rPh>
    <phoneticPr fontId="1"/>
  </si>
  <si>
    <t>内容・水準の維持・向上は、授業においてモデルカリキュラム（リテラシーレベル）の内容がシラバスに盛り込まれていることを確認するとともに、授業時の課題提出物及び学生による授業評価アンケートの&lt;理解度について＞等から、学生の理解度を把握し、講義の内容・実施方法の検討を行い、分かりやすい授業となるよう工夫している。
提出物の内容や授業評価アンケート結果から、学生の理解度を把握し、「分かりやすい」授業となるよう改善することができたことから、概ね成果を上げることができた。
全学向けであることにも配慮して、数学が苦手な学生にとってもイラストや具体例を用いながら「わかりやすい」授業となるように、ＦＤ活動を含めて今後も検討を続けていく。</t>
    <rPh sb="295" eb="297">
      <t>カツドウ</t>
    </rPh>
    <rPh sb="298" eb="299">
      <t>フク</t>
    </rPh>
    <phoneticPr fontId="1"/>
  </si>
  <si>
    <t>授業時間内に質問を受け付けているほか、学内LMSを用いて授業時間外でも質問を受け付け、回答を行っている。またオフィスアワーを設け、受講生が直接教員の研究室を訪ねて学習指導が受けられるようにしている。</t>
    <phoneticPr fontId="1"/>
  </si>
  <si>
    <t>様式２－１</t>
    <phoneticPr fontId="1"/>
  </si>
  <si>
    <t>様式２－２</t>
    <phoneticPr fontId="1"/>
  </si>
  <si>
    <t>教育学部、外国語学部、看護学部では、プログラムを構成する授業科目である教養基礎科目「数学（データサイエンス入門）」２単位を修得することを修了要件とします。</t>
    <rPh sb="40" eb="41">
      <t>モク</t>
    </rPh>
    <rPh sb="53" eb="55">
      <t>ニュウモン</t>
    </rPh>
    <rPh sb="68" eb="70">
      <t>シュウリョウ</t>
    </rPh>
    <rPh sb="70" eb="72">
      <t>ヨウケン</t>
    </rPh>
    <phoneticPr fontId="1"/>
  </si>
  <si>
    <t>第2回の講義テーマ「現代社会におけるデータサイエンス」の中で、現在進行中の社会変化（第４次産業革命、Society5.0、データ駆動型社会等）を知り、その背景と歴史を学ぶ。</t>
    <rPh sb="0" eb="1">
      <t>ダイ</t>
    </rPh>
    <rPh sb="2" eb="3">
      <t>カイ</t>
    </rPh>
    <rPh sb="4" eb="6">
      <t>コウギ</t>
    </rPh>
    <rPh sb="10" eb="14">
      <t>ゲンダイシャカイ</t>
    </rPh>
    <rPh sb="28" eb="29">
      <t>ナカ</t>
    </rPh>
    <rPh sb="42" eb="43">
      <t>ダイ</t>
    </rPh>
    <phoneticPr fontId="1"/>
  </si>
  <si>
    <t>第3回の講義テーマ「データサイエンスの活用事例」の中で、ビッグデータの活用事例を通して、データ駆動型社会におけるデータサイエンスの必要性について理解する。</t>
    <rPh sb="19" eb="23">
      <t>カツヨウジレイ</t>
    </rPh>
    <phoneticPr fontId="1"/>
  </si>
  <si>
    <t>第14回の講義テーマ「公的統計の利用」の中で、データ分析のためのデータの取得・管理方法について解説し、演習を通してe-StatやRESASからのデータの取得の仕方や加工方法について学ぶ。</t>
    <rPh sb="11" eb="15">
      <t>コウテキトウケイ</t>
    </rPh>
    <rPh sb="16" eb="18">
      <t>リヨウ</t>
    </rPh>
    <phoneticPr fontId="1"/>
  </si>
  <si>
    <t>第3回の講義テーマ「データサイエンスの活用事例」の中で、マーケティングやサービスにおけるデータの利活用の例を紹介し、チャットボット等を体験させながら、データの利活用が日常生活の課題を解決するツールとなることを学ぶ。</t>
    <rPh sb="19" eb="23">
      <t>カツヨウジレイ</t>
    </rPh>
    <rPh sb="104" eb="105">
      <t>マナ</t>
    </rPh>
    <phoneticPr fontId="1"/>
  </si>
  <si>
    <t>第5回、第6回の講義テーマ「データサイエンスの手法1」、「データサイエンスの手法2」の中で、データ分析の単回帰分析、ベイズ推論及び散布図などのデータの可視化について学ぶ。また、相関関係と因果関係の違いや疑似相関について触れ、データ分析で注意すべき点について学ぶ。人工知能（AI）については汎用型AIと特化型AIの違いについて学ぶ。</t>
    <rPh sb="4" eb="5">
      <t>ダイ</t>
    </rPh>
    <rPh sb="6" eb="7">
      <t>カイ</t>
    </rPh>
    <rPh sb="23" eb="25">
      <t>シュホウ</t>
    </rPh>
    <rPh sb="38" eb="40">
      <t>シュホウ</t>
    </rPh>
    <rPh sb="82" eb="83">
      <t>マナ</t>
    </rPh>
    <rPh sb="128" eb="129">
      <t>マナ</t>
    </rPh>
    <phoneticPr fontId="1"/>
  </si>
  <si>
    <t>第7回の講義テーマ「データサイエンスの手法3」の中で、単回帰分析の応用事例として需要予測を紹介し、マーケティングへの活用について学ぶ。</t>
    <rPh sb="19" eb="21">
      <t>シュホウ</t>
    </rPh>
    <rPh sb="64" eb="65">
      <t>マナ</t>
    </rPh>
    <phoneticPr fontId="1"/>
  </si>
  <si>
    <t>第4回の講義テーマ「データ利活用における留意事項」の中で、GDBRが定める主要な権利やELSIにも触れ、データ活用の負の側面について理解する。</t>
    <rPh sb="13" eb="16">
      <t>リカツヨウ</t>
    </rPh>
    <rPh sb="20" eb="22">
      <t>リュウイ</t>
    </rPh>
    <rPh sb="22" eb="24">
      <t>ジコウ</t>
    </rPh>
    <rPh sb="66" eb="68">
      <t>リカイ</t>
    </rPh>
    <phoneticPr fontId="1"/>
  </si>
  <si>
    <t>第13回の講義テーマ「データ分析で注意すべき点」の中で、情報セキュリティについて、リスクの話を交えながら解説し、機密性、完全性、可用性について学び、情報漏えいなどによるセキュリティ事故の事例を紹介するとともに、セキュリティ・プライバシーの観点からデータを守る上での留意事項について学ぶ。</t>
    <rPh sb="14" eb="16">
      <t>ブンセキ</t>
    </rPh>
    <rPh sb="17" eb="19">
      <t>チュウイ</t>
    </rPh>
    <rPh sb="22" eb="23">
      <t>テン</t>
    </rPh>
    <rPh sb="140" eb="141">
      <t>マナ</t>
    </rPh>
    <phoneticPr fontId="1"/>
  </si>
  <si>
    <t>第6回の講義テーマ「統計グラフ（ヒストグラム、箱ひげ図）」の中で、データの種類、データの代表値と散布度、相関について学ぶ。</t>
    <rPh sb="10" eb="12">
      <t>トウケイ</t>
    </rPh>
    <rPh sb="23" eb="24">
      <t>ハコ</t>
    </rPh>
    <rPh sb="26" eb="27">
      <t>ズ</t>
    </rPh>
    <phoneticPr fontId="1"/>
  </si>
  <si>
    <t>第8回、第10回、第12回の講義テーマ「Excelによる代表値、散布度、5数要素の求め方」、「Excelによる統計グラフの作成方法」、「Excelによる散布図の作成、相関係数、回帰直線の求め方」の中で、表計算ソフトExcelを使い、代表値や散布度、相関係数の求め方、散布図やヒストグラム、箱ひげ図のグラフ作成の演習を通して学びを深める。</t>
    <rPh sb="4" eb="5">
      <t>ダイ</t>
    </rPh>
    <rPh sb="7" eb="8">
      <t>カイ</t>
    </rPh>
    <rPh sb="9" eb="10">
      <t>ダイ</t>
    </rPh>
    <rPh sb="12" eb="13">
      <t>カイ</t>
    </rPh>
    <rPh sb="28" eb="30">
      <t>ダイヒョウ</t>
    </rPh>
    <rPh sb="30" eb="31">
      <t>チ</t>
    </rPh>
    <rPh sb="32" eb="34">
      <t>サンプ</t>
    </rPh>
    <rPh sb="34" eb="35">
      <t>ド</t>
    </rPh>
    <rPh sb="37" eb="38">
      <t>スウ</t>
    </rPh>
    <rPh sb="38" eb="40">
      <t>ヨウソ</t>
    </rPh>
    <rPh sb="41" eb="42">
      <t>モト</t>
    </rPh>
    <rPh sb="43" eb="44">
      <t>カタ</t>
    </rPh>
    <rPh sb="55" eb="57">
      <t>トウケイ</t>
    </rPh>
    <rPh sb="61" eb="63">
      <t>サクセイ</t>
    </rPh>
    <rPh sb="63" eb="65">
      <t>ホウホウ</t>
    </rPh>
    <rPh sb="76" eb="79">
      <t>サンプズ</t>
    </rPh>
    <rPh sb="80" eb="82">
      <t>サクセイ</t>
    </rPh>
    <rPh sb="83" eb="87">
      <t>ソウカンケイスウ</t>
    </rPh>
    <rPh sb="88" eb="92">
      <t>カイキチョクセン</t>
    </rPh>
    <rPh sb="93" eb="94">
      <t>モト</t>
    </rPh>
    <rPh sb="95" eb="96">
      <t>カタ</t>
    </rPh>
    <rPh sb="158" eb="159">
      <t>トオ</t>
    </rPh>
    <rPh sb="161" eb="162">
      <t>マナ</t>
    </rPh>
    <rPh sb="164" eb="165">
      <t>フカ</t>
    </rPh>
    <phoneticPr fontId="1"/>
  </si>
  <si>
    <t>第14回の講義テーマ「公的統計の利用」の中で、公的統計を利用し、データをダウンロードし、Ｅｘｃｅｌを利用して普通出生率や合計特殊出生率などを求めることで、データの加工や統計指標の示す意味を理解する。</t>
    <phoneticPr fontId="1"/>
  </si>
  <si>
    <t>経済情報学部では、プログラムを構成する授業科目である教養基礎科目「統計入門」２単位を修得することを修了要件とします。</t>
    <rPh sb="22" eb="23">
      <t>モク</t>
    </rPh>
    <rPh sb="31" eb="32">
      <t>モク</t>
    </rPh>
    <rPh sb="35" eb="37">
      <t>ニュウモン</t>
    </rPh>
    <rPh sb="49" eb="51">
      <t>シュウリョウ</t>
    </rPh>
    <rPh sb="51" eb="53">
      <t>ヨウケン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</si>
</sst>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4"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2"/>
      <color rgb="FFFF0000"/>
      <name val="ＭＳ Ｐゴシック"/>
      <family val="3"/>
      <charset val="128"/>
      <scheme val="minor"/>
    </font>
    <font>
      <sz val="9"/>
      <color rgb="FFFF0000"/>
      <name val="ＭＳ Ｐゴシック"/>
      <family val="3"/>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sz val="10"/>
      <name val="ＭＳ Ｐゴシック"/>
      <family val="3"/>
      <charset val="128"/>
      <scheme val="minor"/>
    </font>
  </fonts>
  <fills count="3">
    <fill>
      <patternFill patternType="none"/>
    </fill>
    <fill>
      <patternFill patternType="gray125"/>
    </fill>
    <fill>
      <patternFill patternType="solid">
        <fgColor theme="0"/>
        <bgColor indexed="64"/>
      </patternFill>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30">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pplyBorder="1">
      <alignment vertical="center"/>
    </xf>
    <xf numFmtId="176" fontId="8" fillId="0" borderId="3" xfId="0" applyNumberFormat="1" applyFont="1" applyBorder="1" applyAlignment="1">
      <alignment vertical="center" shrinkToFit="1"/>
    </xf>
    <xf numFmtId="0" fontId="8" fillId="0" borderId="0" xfId="0" applyFont="1" applyBorder="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5" xfId="0" applyFont="1" applyBorder="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2" fillId="0" borderId="20" xfId="0" applyFont="1" applyBorder="1" applyAlignment="1">
      <alignment vertical="top" shrinkToFit="1"/>
    </xf>
    <xf numFmtId="0" fontId="12" fillId="0" borderId="18" xfId="0" applyFont="1" applyBorder="1" applyAlignment="1">
      <alignment vertical="top" shrinkToFit="1"/>
    </xf>
    <xf numFmtId="0" fontId="13" fillId="0" borderId="0" xfId="0" applyFont="1">
      <alignment vertical="center"/>
    </xf>
    <xf numFmtId="0" fontId="10" fillId="0" borderId="0" xfId="0" applyFont="1" applyAlignment="1">
      <alignment vertical="center"/>
    </xf>
    <xf numFmtId="0" fontId="8" fillId="0" borderId="0" xfId="0" applyFont="1" applyBorder="1" applyAlignment="1">
      <alignment horizontal="center" vertical="center"/>
    </xf>
    <xf numFmtId="0" fontId="8" fillId="0" borderId="0" xfId="0" applyFont="1" applyBorder="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5" fillId="0" borderId="0" xfId="0" applyFont="1" applyAlignment="1">
      <alignment horizontal="center" vertical="center"/>
    </xf>
    <xf numFmtId="0" fontId="17" fillId="0" borderId="11" xfId="0" applyFont="1" applyBorder="1" applyAlignment="1">
      <alignment horizontal="center" vertical="center"/>
    </xf>
    <xf numFmtId="0" fontId="17" fillId="0" borderId="29" xfId="0" applyFont="1" applyBorder="1" applyAlignment="1">
      <alignment horizontal="center" vertical="center" wrapText="1"/>
    </xf>
    <xf numFmtId="0" fontId="17" fillId="0" borderId="30" xfId="0" applyFont="1" applyBorder="1" applyAlignment="1">
      <alignment horizontal="center" vertical="center"/>
    </xf>
    <xf numFmtId="0" fontId="17"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0" xfId="0" applyFont="1" applyBorder="1" applyAlignment="1">
      <alignment vertical="center" shrinkToFit="1"/>
    </xf>
    <xf numFmtId="0" fontId="8" fillId="0" borderId="0" xfId="0" applyFont="1" applyFill="1">
      <alignment vertical="center"/>
    </xf>
    <xf numFmtId="0" fontId="8" fillId="0" borderId="10" xfId="0" applyFont="1" applyBorder="1" applyAlignment="1">
      <alignment vertical="center" shrinkToFit="1"/>
    </xf>
    <xf numFmtId="49" fontId="19" fillId="0" borderId="1" xfId="0" applyNumberFormat="1" applyFont="1" applyBorder="1" applyAlignment="1">
      <alignment horizontal="center" vertical="center"/>
    </xf>
    <xf numFmtId="0" fontId="8" fillId="0" borderId="0" xfId="0" applyFont="1" applyAlignment="1">
      <alignment vertical="center" shrinkToFit="1"/>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19" fillId="0" borderId="47" xfId="0" applyNumberFormat="1" applyFont="1" applyBorder="1" applyAlignment="1">
      <alignment horizontal="center" vertical="center"/>
    </xf>
    <xf numFmtId="49" fontId="19" fillId="0" borderId="33" xfId="0" applyNumberFormat="1" applyFont="1" applyBorder="1" applyAlignment="1">
      <alignment horizontal="center" vertical="center"/>
    </xf>
    <xf numFmtId="49" fontId="19"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49" fontId="19"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9" fontId="8" fillId="0" borderId="8" xfId="0" applyNumberFormat="1" applyFont="1" applyBorder="1" applyAlignment="1">
      <alignment horizontal="center" vertical="center" shrinkToFit="1"/>
    </xf>
    <xf numFmtId="0" fontId="8" fillId="0" borderId="9" xfId="0" applyFont="1" applyBorder="1" applyAlignment="1">
      <alignment horizontal="center" vertical="center" shrinkToFit="1"/>
    </xf>
    <xf numFmtId="9" fontId="8" fillId="0" borderId="45" xfId="0" applyNumberFormat="1"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2" xfId="0" applyFont="1" applyBorder="1" applyAlignment="1">
      <alignment vertical="center"/>
    </xf>
    <xf numFmtId="0" fontId="8" fillId="0" borderId="3" xfId="0" applyFont="1" applyBorder="1" applyAlignment="1">
      <alignment vertical="center"/>
    </xf>
    <xf numFmtId="0" fontId="8" fillId="0" borderId="4" xfId="0" applyFont="1" applyBorder="1" applyAlignment="1">
      <alignment vertical="center"/>
    </xf>
    <xf numFmtId="49" fontId="19" fillId="0" borderId="52" xfId="0" applyNumberFormat="1" applyFont="1" applyBorder="1" applyAlignment="1">
      <alignment horizontal="center" vertical="center"/>
    </xf>
    <xf numFmtId="49" fontId="19" fillId="0" borderId="29" xfId="0" applyNumberFormat="1" applyFont="1" applyBorder="1" applyAlignment="1">
      <alignment horizontal="center" vertical="center"/>
    </xf>
    <xf numFmtId="0" fontId="22"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3" fillId="0" borderId="0" xfId="0" applyFont="1" applyBorder="1" applyAlignment="1">
      <alignment vertical="center" shrinkToFit="1"/>
    </xf>
    <xf numFmtId="0" fontId="8" fillId="0" borderId="1" xfId="0" applyFont="1" applyBorder="1" applyAlignment="1">
      <alignment horizontal="center"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0" fontId="8" fillId="0" borderId="43" xfId="0" applyFont="1" applyBorder="1" applyAlignment="1">
      <alignment horizontal="center" vertical="center" shrinkToFit="1"/>
    </xf>
    <xf numFmtId="0" fontId="9" fillId="2" borderId="0" xfId="0" applyFont="1" applyFill="1">
      <alignment vertical="center"/>
    </xf>
    <xf numFmtId="0" fontId="2" fillId="2" borderId="0" xfId="0" applyFont="1" applyFill="1">
      <alignment vertical="center"/>
    </xf>
    <xf numFmtId="0" fontId="2" fillId="2" borderId="0" xfId="0" applyFont="1" applyFill="1" applyAlignment="1">
      <alignment vertical="center" wrapText="1"/>
    </xf>
    <xf numFmtId="0" fontId="8" fillId="0" borderId="0" xfId="0" applyFont="1" applyBorder="1" applyAlignment="1">
      <alignment vertical="center" shrinkToFit="1"/>
    </xf>
    <xf numFmtId="0" fontId="8" fillId="0" borderId="38" xfId="0" applyFont="1" applyBorder="1" applyAlignment="1">
      <alignment horizontal="center" vertical="center"/>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0" xfId="0" applyFont="1" applyBorder="1" applyAlignment="1">
      <alignment horizontal="center" vertical="center"/>
    </xf>
    <xf numFmtId="0" fontId="8" fillId="0" borderId="0" xfId="0" applyFont="1" applyBorder="1" applyAlignment="1">
      <alignment horizontal="right" vertical="center" shrinkToFit="1"/>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0" xfId="0" applyFont="1" applyBorder="1" applyAlignment="1">
      <alignment vertical="center" shrinkToFit="1"/>
    </xf>
    <xf numFmtId="0" fontId="8" fillId="0" borderId="4" xfId="0" applyFont="1" applyBorder="1" applyAlignment="1">
      <alignment horizontal="center" vertical="center" shrinkToFit="1"/>
    </xf>
    <xf numFmtId="0" fontId="8"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14" fillId="0" borderId="0" xfId="0" applyFont="1" applyAlignment="1">
      <alignment horizontal="center" vertical="center"/>
    </xf>
    <xf numFmtId="0" fontId="8" fillId="0" borderId="2" xfId="0" applyNumberFormat="1" applyFont="1" applyBorder="1" applyAlignment="1">
      <alignment horizontal="center" vertical="center"/>
    </xf>
    <xf numFmtId="0" fontId="8" fillId="0" borderId="4" xfId="0" applyNumberFormat="1" applyFont="1" applyBorder="1" applyAlignment="1">
      <alignment horizontal="center" vertical="center"/>
    </xf>
    <xf numFmtId="49" fontId="21" fillId="0" borderId="2" xfId="2" applyNumberFormat="1" applyFon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0" fillId="0" borderId="3" xfId="0" applyBorder="1" applyAlignment="1">
      <alignment horizontal="center" vertical="center" shrinkToFit="1"/>
    </xf>
    <xf numFmtId="0" fontId="0" fillId="0" borderId="4" xfId="0" applyBorder="1" applyAlignment="1">
      <alignment horizontal="center" vertical="center" shrinkToFit="1"/>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9" fillId="0" borderId="0" xfId="0" applyFont="1" applyAlignment="1">
      <alignment horizontal="right" vertical="center"/>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9" fillId="0" borderId="7" xfId="0" applyFont="1" applyBorder="1" applyAlignment="1">
      <alignment vertical="center" wrapText="1" shrinkToFit="1"/>
    </xf>
    <xf numFmtId="0" fontId="9" fillId="0" borderId="8" xfId="0" applyFont="1" applyBorder="1" applyAlignment="1">
      <alignment vertical="center" wrapText="1" shrinkToFit="1"/>
    </xf>
    <xf numFmtId="0" fontId="9" fillId="0" borderId="9" xfId="0" applyFont="1" applyBorder="1" applyAlignment="1">
      <alignment vertical="center" wrapText="1" shrinkToFit="1"/>
    </xf>
    <xf numFmtId="0" fontId="9" fillId="0" borderId="5" xfId="0" applyFont="1" applyBorder="1" applyAlignment="1">
      <alignment vertical="center" wrapText="1" shrinkToFit="1"/>
    </xf>
    <xf numFmtId="0" fontId="9" fillId="0" borderId="0" xfId="0" applyFont="1" applyBorder="1" applyAlignment="1">
      <alignment vertical="center" wrapText="1" shrinkToFit="1"/>
    </xf>
    <xf numFmtId="0" fontId="9" fillId="0" borderId="10" xfId="0" applyFont="1" applyBorder="1" applyAlignment="1">
      <alignment vertical="center" wrapText="1" shrinkToFit="1"/>
    </xf>
    <xf numFmtId="0" fontId="9" fillId="0" borderId="11" xfId="0" applyFont="1" applyBorder="1" applyAlignment="1">
      <alignment vertical="center" wrapText="1" shrinkToFit="1"/>
    </xf>
    <xf numFmtId="0" fontId="9" fillId="0" borderId="6" xfId="0" applyFont="1" applyBorder="1" applyAlignment="1">
      <alignment vertical="center" wrapText="1" shrinkToFit="1"/>
    </xf>
    <xf numFmtId="0" fontId="9" fillId="0" borderId="12" xfId="0" applyFont="1" applyBorder="1" applyAlignment="1">
      <alignment vertical="center" wrapText="1" shrinkToFit="1"/>
    </xf>
    <xf numFmtId="0" fontId="21" fillId="0" borderId="2" xfId="2" applyFont="1" applyBorder="1" applyAlignment="1">
      <alignment vertical="center" shrinkToFit="1"/>
    </xf>
    <xf numFmtId="0" fontId="8" fillId="0" borderId="4" xfId="0" applyFont="1" applyBorder="1" applyAlignment="1">
      <alignmen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8" fillId="0" borderId="22" xfId="0" applyFont="1" applyBorder="1" applyAlignment="1">
      <alignment horizontal="left" vertical="center" wrapText="1" shrinkToFit="1"/>
    </xf>
    <xf numFmtId="0" fontId="8" fillId="0" borderId="21" xfId="0" applyFont="1" applyBorder="1" applyAlignment="1">
      <alignment horizontal="left" vertical="center" wrapText="1" shrinkToFit="1"/>
    </xf>
    <xf numFmtId="0" fontId="8" fillId="0" borderId="8" xfId="0" applyFont="1" applyBorder="1" applyAlignment="1">
      <alignment horizontal="left" vertical="center" wrapText="1" shrinkToFit="1"/>
    </xf>
    <xf numFmtId="0" fontId="8" fillId="0" borderId="9" xfId="0" applyFont="1" applyBorder="1" applyAlignment="1">
      <alignment horizontal="left" vertical="center" wrapText="1" shrinkToFit="1"/>
    </xf>
    <xf numFmtId="0" fontId="8" fillId="0" borderId="6" xfId="0" applyFont="1" applyBorder="1" applyAlignment="1">
      <alignment horizontal="left" vertical="center" wrapText="1" shrinkToFit="1"/>
    </xf>
    <xf numFmtId="0" fontId="8" fillId="0" borderId="12" xfId="0" applyFont="1" applyBorder="1" applyAlignment="1">
      <alignment horizontal="left" vertical="center" wrapText="1" shrinkToFit="1"/>
    </xf>
    <xf numFmtId="0" fontId="8" fillId="0" borderId="40" xfId="0" applyFont="1" applyBorder="1" applyAlignment="1">
      <alignment horizontal="left" vertical="center" wrapText="1" shrinkToFit="1"/>
    </xf>
    <xf numFmtId="0" fontId="8" fillId="0" borderId="41" xfId="0" applyFont="1" applyBorder="1" applyAlignment="1">
      <alignment horizontal="left" vertical="center" wrapText="1" shrinkToFit="1"/>
    </xf>
    <xf numFmtId="0" fontId="8" fillId="0" borderId="42" xfId="0" applyFont="1" applyBorder="1" applyAlignment="1">
      <alignment horizontal="left" vertical="center" wrapText="1" shrinkToFit="1"/>
    </xf>
    <xf numFmtId="0" fontId="8" fillId="0" borderId="39" xfId="0" applyFont="1" applyBorder="1" applyAlignment="1">
      <alignment horizontal="left" vertical="center" wrapText="1" shrinkToFit="1"/>
    </xf>
    <xf numFmtId="0" fontId="8" fillId="0" borderId="38" xfId="0" applyFont="1" applyBorder="1" applyAlignment="1">
      <alignment horizontal="left" vertical="center" wrapText="1" shrinkToFit="1"/>
    </xf>
    <xf numFmtId="0" fontId="8" fillId="0" borderId="0" xfId="0" applyFont="1" applyAlignment="1">
      <alignment vertical="center" wrapText="1"/>
    </xf>
    <xf numFmtId="0" fontId="18" fillId="0" borderId="0" xfId="0" applyFont="1" applyAlignment="1">
      <alignment horizontal="center" vertical="center"/>
    </xf>
    <xf numFmtId="0" fontId="8" fillId="0" borderId="7" xfId="0" applyFont="1" applyBorder="1" applyAlignment="1">
      <alignment horizontal="left" vertical="top" wrapText="1" shrinkToFit="1"/>
    </xf>
    <xf numFmtId="0" fontId="8" fillId="0" borderId="8" xfId="0" applyFont="1" applyBorder="1" applyAlignment="1">
      <alignment horizontal="left" vertical="top" shrinkToFit="1"/>
    </xf>
    <xf numFmtId="0" fontId="8" fillId="0" borderId="9" xfId="0" applyFont="1" applyBorder="1" applyAlignment="1">
      <alignment horizontal="left" vertical="top" shrinkToFit="1"/>
    </xf>
    <xf numFmtId="0" fontId="8" fillId="0" borderId="5" xfId="0" applyFont="1" applyBorder="1" applyAlignment="1">
      <alignment horizontal="left" vertical="top" shrinkToFit="1"/>
    </xf>
    <xf numFmtId="0" fontId="8" fillId="0" borderId="0" xfId="0" applyFont="1" applyBorder="1" applyAlignment="1">
      <alignment horizontal="left" vertical="top" shrinkToFit="1"/>
    </xf>
    <xf numFmtId="0" fontId="8" fillId="0" borderId="10" xfId="0" applyFont="1" applyBorder="1" applyAlignment="1">
      <alignment horizontal="left" vertical="top" shrinkToFit="1"/>
    </xf>
    <xf numFmtId="0" fontId="8" fillId="0" borderId="0" xfId="0" applyFont="1" applyAlignment="1">
      <alignment horizontal="left" vertical="top" shrinkToFit="1"/>
    </xf>
    <xf numFmtId="0" fontId="8" fillId="0" borderId="11" xfId="0" applyFont="1" applyBorder="1" applyAlignment="1">
      <alignment horizontal="left" vertical="top" shrinkToFit="1"/>
    </xf>
    <xf numFmtId="0" fontId="8" fillId="0" borderId="6" xfId="0" applyFont="1" applyBorder="1" applyAlignment="1">
      <alignment horizontal="left" vertical="top" shrinkToFit="1"/>
    </xf>
    <xf numFmtId="0" fontId="8" fillId="0" borderId="12" xfId="0" applyFont="1" applyBorder="1" applyAlignment="1">
      <alignment horizontal="left" vertical="top"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8" fillId="0" borderId="19" xfId="0" applyFont="1" applyBorder="1" applyAlignment="1">
      <alignment vertical="center" wrapText="1" shrinkToFit="1"/>
    </xf>
    <xf numFmtId="0" fontId="8" fillId="0" borderId="20" xfId="0" applyFont="1" applyBorder="1" applyAlignment="1">
      <alignment vertical="center" wrapText="1" shrinkToFit="1"/>
    </xf>
    <xf numFmtId="0" fontId="8" fillId="0" borderId="18" xfId="0" applyFont="1" applyBorder="1" applyAlignment="1">
      <alignment vertical="center" wrapText="1" shrinkToFit="1"/>
    </xf>
    <xf numFmtId="0" fontId="21" fillId="0" borderId="48" xfId="0" applyFont="1" applyBorder="1" applyAlignment="1">
      <alignment vertical="center" wrapText="1"/>
    </xf>
    <xf numFmtId="0" fontId="21" fillId="0" borderId="49" xfId="0" applyFont="1" applyBorder="1" applyAlignment="1">
      <alignment vertical="center" wrapText="1"/>
    </xf>
    <xf numFmtId="0" fontId="20" fillId="0" borderId="48" xfId="0" applyFont="1" applyBorder="1" applyAlignment="1">
      <alignment vertical="center" wrapText="1"/>
    </xf>
    <xf numFmtId="0" fontId="20" fillId="0" borderId="32" xfId="0" applyFont="1" applyBorder="1" applyAlignment="1">
      <alignment vertical="center" wrapText="1"/>
    </xf>
    <xf numFmtId="0" fontId="8" fillId="0" borderId="39" xfId="0" applyFont="1" applyBorder="1" applyAlignment="1">
      <alignment vertical="center" wrapText="1" shrinkToFit="1"/>
    </xf>
    <xf numFmtId="0" fontId="8" fillId="0" borderId="38" xfId="0" applyFont="1" applyBorder="1" applyAlignment="1">
      <alignment vertical="center" wrapText="1" shrinkToFit="1"/>
    </xf>
    <xf numFmtId="0" fontId="8" fillId="0" borderId="6" xfId="0" applyFont="1" applyBorder="1" applyAlignment="1">
      <alignment vertical="center" wrapText="1" shrinkToFit="1"/>
    </xf>
    <xf numFmtId="0" fontId="8" fillId="0" borderId="12" xfId="0" applyFont="1" applyBorder="1" applyAlignment="1">
      <alignment vertical="center" wrapText="1" shrinkToFit="1"/>
    </xf>
    <xf numFmtId="0" fontId="21" fillId="0" borderId="32" xfId="0" applyFont="1" applyBorder="1" applyAlignment="1">
      <alignment vertical="center" wrapText="1"/>
    </xf>
    <xf numFmtId="0" fontId="8" fillId="0" borderId="20" xfId="0" applyFont="1" applyBorder="1" applyAlignment="1">
      <alignment horizontal="left" vertical="center" wrapText="1" shrinkToFit="1"/>
    </xf>
    <xf numFmtId="0" fontId="8" fillId="0" borderId="18" xfId="0" applyFont="1" applyBorder="1" applyAlignment="1">
      <alignment horizontal="left" vertical="center" wrapText="1"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8" xfId="0" applyFont="1" applyBorder="1" applyAlignment="1">
      <alignment horizontal="left" vertical="center" wrapText="1" shrinkToFit="1"/>
    </xf>
    <xf numFmtId="0" fontId="2" fillId="0" borderId="0" xfId="0" applyFont="1" applyAlignment="1">
      <alignment horizontal="right" vertical="center"/>
    </xf>
    <xf numFmtId="0" fontId="15" fillId="0" borderId="0" xfId="0" applyFont="1" applyAlignment="1">
      <alignment horizontal="center" vertical="center"/>
    </xf>
    <xf numFmtId="0" fontId="3" fillId="0" borderId="2" xfId="0" applyNumberFormat="1" applyFont="1" applyBorder="1" applyAlignment="1">
      <alignment horizontal="center" vertical="center" shrinkToFit="1"/>
    </xf>
    <xf numFmtId="0" fontId="3" fillId="0" borderId="4" xfId="0" applyNumberFormat="1"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6" fillId="0" borderId="8" xfId="0" applyFont="1" applyBorder="1" applyAlignment="1">
      <alignment horizontal="center" vertical="center" wrapText="1"/>
    </xf>
    <xf numFmtId="0" fontId="16" fillId="0" borderId="6" xfId="0" applyFont="1" applyBorder="1" applyAlignment="1">
      <alignment horizontal="center" vertical="center"/>
    </xf>
    <xf numFmtId="0" fontId="16" fillId="0" borderId="7" xfId="0" applyFont="1" applyBorder="1" applyAlignment="1">
      <alignment horizontal="center" vertical="center" wrapText="1"/>
    </xf>
    <xf numFmtId="0" fontId="16"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7" fillId="0" borderId="15" xfId="0" applyFont="1" applyBorder="1" applyAlignment="1">
      <alignment horizontal="center" vertical="center" wrapText="1"/>
    </xf>
    <xf numFmtId="0" fontId="17" fillId="0" borderId="13" xfId="0" applyFont="1" applyBorder="1" applyAlignment="1">
      <alignment horizontal="center" vertical="center"/>
    </xf>
    <xf numFmtId="0" fontId="16" fillId="0" borderId="9" xfId="0" applyFont="1" applyBorder="1" applyAlignment="1">
      <alignment horizontal="center" vertical="center"/>
    </xf>
    <xf numFmtId="0" fontId="16" fillId="0" borderId="12" xfId="0" applyFont="1" applyBorder="1" applyAlignment="1">
      <alignment horizontal="center" vertical="center"/>
    </xf>
    <xf numFmtId="0" fontId="8" fillId="0" borderId="7" xfId="0" applyFont="1" applyBorder="1" applyAlignment="1">
      <alignment vertical="top" wrapText="1" shrinkToFit="1"/>
    </xf>
    <xf numFmtId="0" fontId="8" fillId="0" borderId="8" xfId="0" applyFont="1" applyBorder="1" applyAlignment="1">
      <alignment vertical="top" wrapText="1" shrinkToFit="1"/>
    </xf>
    <xf numFmtId="0" fontId="8" fillId="0" borderId="9" xfId="0" applyFont="1" applyBorder="1" applyAlignment="1">
      <alignment vertical="top" wrapText="1" shrinkToFit="1"/>
    </xf>
    <xf numFmtId="0" fontId="8" fillId="0" borderId="5" xfId="0" applyFont="1" applyBorder="1" applyAlignment="1">
      <alignment vertical="top" wrapText="1" shrinkToFit="1"/>
    </xf>
    <xf numFmtId="0" fontId="8" fillId="0" borderId="0" xfId="0" applyFont="1" applyAlignment="1">
      <alignment vertical="top" wrapText="1" shrinkToFit="1"/>
    </xf>
    <xf numFmtId="0" fontId="8" fillId="0" borderId="10" xfId="0" applyFont="1" applyBorder="1" applyAlignment="1">
      <alignment vertical="top" wrapText="1" shrinkToFit="1"/>
    </xf>
    <xf numFmtId="0" fontId="8" fillId="0" borderId="11" xfId="0" applyFont="1" applyBorder="1" applyAlignment="1">
      <alignment vertical="top" wrapText="1" shrinkToFi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8" fillId="0" borderId="5" xfId="0" applyFont="1" applyBorder="1" applyAlignment="1">
      <alignment vertical="top" shrinkToFit="1"/>
    </xf>
    <xf numFmtId="0" fontId="8" fillId="0" borderId="0" xfId="0" applyFont="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2" fillId="2" borderId="6" xfId="0" applyFont="1" applyFill="1" applyBorder="1">
      <alignment vertical="center"/>
    </xf>
    <xf numFmtId="0" fontId="10" fillId="0" borderId="8" xfId="0" applyFont="1" applyBorder="1" applyAlignment="1">
      <alignment vertical="top" wrapText="1" shrinkToFit="1"/>
    </xf>
    <xf numFmtId="0" fontId="11" fillId="0" borderId="8" xfId="0" applyFont="1" applyBorder="1" applyAlignment="1">
      <alignment vertical="top" shrinkToFit="1"/>
    </xf>
    <xf numFmtId="0" fontId="11" fillId="0" borderId="9" xfId="0" applyFont="1" applyBorder="1" applyAlignment="1">
      <alignment vertical="top" shrinkToFit="1"/>
    </xf>
    <xf numFmtId="0" fontId="11" fillId="0" borderId="5" xfId="0" applyFont="1" applyBorder="1" applyAlignment="1">
      <alignment vertical="top" shrinkToFit="1"/>
    </xf>
    <xf numFmtId="0" fontId="11" fillId="0" borderId="0" xfId="0" applyFont="1" applyAlignment="1">
      <alignment vertical="top" shrinkToFit="1"/>
    </xf>
    <xf numFmtId="0" fontId="11" fillId="0" borderId="10" xfId="0" applyFont="1" applyBorder="1" applyAlignment="1">
      <alignment vertical="top" shrinkToFit="1"/>
    </xf>
    <xf numFmtId="0" fontId="11" fillId="0" borderId="11" xfId="0" applyFont="1" applyBorder="1" applyAlignment="1">
      <alignment vertical="top" shrinkToFit="1"/>
    </xf>
    <xf numFmtId="0" fontId="11" fillId="0" borderId="6" xfId="0" applyFont="1" applyBorder="1" applyAlignment="1">
      <alignment vertical="top" shrinkToFit="1"/>
    </xf>
    <xf numFmtId="0" fontId="11" fillId="0" borderId="12" xfId="0" applyFont="1" applyBorder="1" applyAlignment="1">
      <alignment vertical="top" shrinkToFit="1"/>
    </xf>
    <xf numFmtId="0" fontId="8" fillId="0" borderId="16" xfId="0" applyFont="1" applyBorder="1" applyAlignment="1">
      <alignment vertical="top" wrapText="1" shrinkToFit="1"/>
    </xf>
    <xf numFmtId="0" fontId="8" fillId="0" borderId="22" xfId="0" applyFont="1" applyBorder="1" applyAlignment="1">
      <alignment vertical="top" shrinkToFit="1"/>
    </xf>
    <xf numFmtId="0" fontId="8" fillId="0" borderId="21" xfId="0" applyFont="1" applyBorder="1" applyAlignment="1">
      <alignment vertical="top" shrinkToFit="1"/>
    </xf>
    <xf numFmtId="0" fontId="23" fillId="0" borderId="7" xfId="0" applyFont="1" applyBorder="1" applyAlignment="1">
      <alignment vertical="top" wrapText="1" shrinkToFit="1"/>
    </xf>
    <xf numFmtId="0" fontId="23" fillId="0" borderId="8" xfId="0" applyFont="1" applyBorder="1" applyAlignment="1">
      <alignment vertical="top" wrapText="1" shrinkToFit="1"/>
    </xf>
    <xf numFmtId="0" fontId="23" fillId="0" borderId="8" xfId="0" applyFont="1" applyBorder="1" applyAlignment="1">
      <alignment vertical="top" shrinkToFit="1"/>
    </xf>
    <xf numFmtId="0" fontId="23" fillId="0" borderId="9" xfId="0" applyFont="1" applyBorder="1" applyAlignment="1">
      <alignment vertical="top" shrinkToFit="1"/>
    </xf>
    <xf numFmtId="0" fontId="23" fillId="0" borderId="5" xfId="0" applyFont="1" applyBorder="1" applyAlignment="1">
      <alignment vertical="top" shrinkToFit="1"/>
    </xf>
    <xf numFmtId="0" fontId="23" fillId="0" borderId="0" xfId="0" applyFont="1" applyAlignment="1">
      <alignment vertical="top" shrinkToFit="1"/>
    </xf>
    <xf numFmtId="0" fontId="23" fillId="0" borderId="10" xfId="0" applyFont="1" applyBorder="1" applyAlignment="1">
      <alignment vertical="top" shrinkToFit="1"/>
    </xf>
    <xf numFmtId="0" fontId="23" fillId="0" borderId="11" xfId="0" applyFont="1" applyBorder="1" applyAlignment="1">
      <alignment vertical="top" shrinkToFit="1"/>
    </xf>
    <xf numFmtId="0" fontId="23" fillId="0" borderId="6" xfId="0" applyFont="1" applyBorder="1" applyAlignment="1">
      <alignment vertical="top" shrinkToFit="1"/>
    </xf>
    <xf numFmtId="0" fontId="23" fillId="0" borderId="12" xfId="0" applyFont="1" applyBorder="1" applyAlignment="1">
      <alignment vertical="top"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1" fillId="0" borderId="2" xfId="2" applyFont="1" applyBorder="1" applyAlignment="1">
      <alignment horizontal="center" vertical="center" shrinkToFit="1"/>
    </xf>
    <xf numFmtId="0" fontId="21" fillId="0" borderId="3" xfId="2" applyFont="1" applyBorder="1" applyAlignment="1">
      <alignment horizontal="center" vertical="center" shrinkToFit="1"/>
    </xf>
    <xf numFmtId="0" fontId="21" fillId="0" borderId="4" xfId="2" applyFont="1" applyBorder="1" applyAlignment="1">
      <alignment horizontal="center" vertical="center"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8" fillId="0" borderId="20" xfId="0" applyFont="1" applyBorder="1" applyAlignment="1">
      <alignment vertical="top" wrapText="1" shrinkToFit="1"/>
    </xf>
    <xf numFmtId="0" fontId="8" fillId="0" borderId="18" xfId="0" applyFont="1" applyBorder="1" applyAlignment="1">
      <alignment vertical="top" wrapText="1" shrinkToFit="1"/>
    </xf>
    <xf numFmtId="0" fontId="2" fillId="0" borderId="19" xfId="0" applyFont="1" applyBorder="1" applyAlignment="1">
      <alignment vertical="center" wrapText="1"/>
    </xf>
    <xf numFmtId="0" fontId="2" fillId="0" borderId="20" xfId="0" applyFont="1" applyBorder="1" applyAlignment="1">
      <alignment vertical="center" wrapText="1"/>
    </xf>
    <xf numFmtId="0" fontId="8" fillId="0" borderId="19" xfId="0" applyFont="1" applyBorder="1" applyAlignment="1">
      <alignment vertical="top" wrapText="1" shrinkToFit="1"/>
    </xf>
    <xf numFmtId="0" fontId="2" fillId="0" borderId="17" xfId="0" applyFont="1" applyBorder="1">
      <alignment vertical="center"/>
    </xf>
    <xf numFmtId="0" fontId="0" fillId="0" borderId="18" xfId="0" applyBorder="1">
      <alignmen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h-kyomu@shotoku.ac.j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shotoku.ac.jp/outline/ai.php"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shotoku.ac.jp/outline/ai.php"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shotoku.ac.jp/outline/ai.ph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5"/>
  <sheetViews>
    <sheetView view="pageBreakPreview" topLeftCell="A19" zoomScaleNormal="100" zoomScaleSheetLayoutView="100" workbookViewId="0">
      <selection activeCell="G12" sqref="G12"/>
    </sheetView>
  </sheetViews>
  <sheetFormatPr defaultColWidth="9" defaultRowHeight="18.75" customHeight="1" x14ac:dyDescent="0.15"/>
  <cols>
    <col min="1" max="1" width="3.375" style="14" customWidth="1"/>
    <col min="2" max="2" width="11.125" style="14" customWidth="1"/>
    <col min="3" max="8" width="6.625" style="14" customWidth="1"/>
    <col min="9" max="9" width="3.375" style="14" customWidth="1"/>
    <col min="10" max="10" width="10" style="14" customWidth="1"/>
    <col min="11" max="11" width="3.375" style="14" customWidth="1"/>
    <col min="12" max="12" width="7.75" style="14" customWidth="1"/>
    <col min="13" max="13" width="3.375" style="14" customWidth="1"/>
    <col min="14" max="14" width="4.5" style="14" customWidth="1"/>
    <col min="15" max="15" width="9" style="31"/>
    <col min="16" max="16384" width="9" style="13"/>
  </cols>
  <sheetData>
    <row r="1" spans="1:15" ht="24" customHeight="1" x14ac:dyDescent="0.15">
      <c r="M1" s="145" t="s">
        <v>25</v>
      </c>
      <c r="N1" s="145"/>
    </row>
    <row r="2" spans="1:15" ht="24" customHeight="1" x14ac:dyDescent="0.15">
      <c r="A2" s="149" t="s">
        <v>83</v>
      </c>
      <c r="B2" s="149"/>
      <c r="C2" s="149"/>
      <c r="D2" s="149"/>
      <c r="E2" s="149"/>
      <c r="F2" s="149"/>
      <c r="G2" s="149"/>
      <c r="H2" s="149"/>
      <c r="I2" s="149"/>
      <c r="J2" s="149"/>
      <c r="K2" s="149"/>
      <c r="L2" s="149"/>
      <c r="M2" s="149"/>
      <c r="N2" s="149"/>
    </row>
    <row r="3" spans="1:15" ht="24" customHeight="1" x14ac:dyDescent="0.15"/>
    <row r="4" spans="1:15" ht="24" customHeight="1" x14ac:dyDescent="0.15">
      <c r="A4" s="14" t="s">
        <v>6</v>
      </c>
      <c r="B4" s="15" t="s">
        <v>16</v>
      </c>
      <c r="C4" s="137" t="s">
        <v>148</v>
      </c>
      <c r="D4" s="138"/>
      <c r="E4" s="138"/>
      <c r="F4" s="138"/>
      <c r="G4" s="138"/>
      <c r="H4" s="138"/>
      <c r="I4" s="138"/>
      <c r="J4" s="138"/>
      <c r="K4" s="138"/>
      <c r="L4" s="138"/>
      <c r="M4" s="138"/>
      <c r="N4" s="144"/>
      <c r="O4" s="31" t="str">
        <f>IF(C4="","入力してください","")</f>
        <v/>
      </c>
    </row>
    <row r="5" spans="1:15" ht="7.5" customHeight="1" x14ac:dyDescent="0.15">
      <c r="B5" s="15"/>
      <c r="C5" s="15"/>
      <c r="D5" s="15"/>
      <c r="E5" s="16"/>
      <c r="F5" s="37"/>
      <c r="G5" s="37"/>
      <c r="H5" s="37"/>
      <c r="I5" s="37"/>
      <c r="J5" s="37"/>
      <c r="K5" s="37"/>
      <c r="L5" s="37"/>
      <c r="M5" s="37"/>
      <c r="N5" s="37"/>
    </row>
    <row r="6" spans="1:15" ht="24" customHeight="1" x14ac:dyDescent="0.15">
      <c r="A6" s="14" t="s">
        <v>48</v>
      </c>
      <c r="B6" s="15" t="s">
        <v>49</v>
      </c>
      <c r="C6" s="15"/>
      <c r="D6" s="137" t="s">
        <v>149</v>
      </c>
      <c r="E6" s="138"/>
      <c r="F6" s="138"/>
      <c r="G6" s="138"/>
      <c r="H6" s="144"/>
      <c r="I6" s="17" t="s">
        <v>86</v>
      </c>
      <c r="J6" s="37" t="s">
        <v>87</v>
      </c>
      <c r="K6" s="137" t="s">
        <v>150</v>
      </c>
      <c r="L6" s="138"/>
      <c r="M6" s="138"/>
      <c r="N6" s="144"/>
      <c r="O6" s="31" t="str">
        <f>IF(D6="","入力してください","")</f>
        <v/>
      </c>
    </row>
    <row r="7" spans="1:15" ht="7.5" customHeight="1" x14ac:dyDescent="0.15">
      <c r="B7" s="15"/>
      <c r="C7" s="15"/>
      <c r="D7" s="15"/>
      <c r="E7" s="16"/>
      <c r="F7" s="37"/>
      <c r="G7" s="37"/>
      <c r="H7" s="37"/>
      <c r="I7" s="37"/>
      <c r="J7" s="37"/>
      <c r="K7" s="37"/>
      <c r="L7" s="37"/>
      <c r="M7" s="37"/>
      <c r="N7" s="37"/>
    </row>
    <row r="8" spans="1:15" ht="24" customHeight="1" x14ac:dyDescent="0.15">
      <c r="A8" s="14" t="s">
        <v>13</v>
      </c>
      <c r="B8" s="15" t="s">
        <v>45</v>
      </c>
      <c r="C8" s="137" t="s">
        <v>151</v>
      </c>
      <c r="D8" s="138"/>
      <c r="E8" s="138"/>
      <c r="F8" s="138"/>
      <c r="G8" s="138"/>
      <c r="H8" s="138"/>
      <c r="I8" s="138"/>
      <c r="J8" s="138"/>
      <c r="K8" s="138"/>
      <c r="L8" s="138"/>
      <c r="M8" s="138"/>
      <c r="N8" s="144"/>
      <c r="O8" s="31" t="str">
        <f>IF(C8="","入力してください","")</f>
        <v/>
      </c>
    </row>
    <row r="9" spans="1:15" ht="7.5" customHeight="1" x14ac:dyDescent="0.15">
      <c r="B9" s="15"/>
      <c r="C9" s="15"/>
      <c r="D9" s="15"/>
      <c r="E9" s="16"/>
      <c r="F9" s="37"/>
      <c r="G9" s="37"/>
      <c r="H9" s="37"/>
      <c r="I9" s="37"/>
      <c r="J9" s="37"/>
      <c r="K9" s="37"/>
      <c r="L9" s="37"/>
      <c r="M9" s="37"/>
      <c r="N9" s="37"/>
    </row>
    <row r="10" spans="1:15" ht="24" customHeight="1" x14ac:dyDescent="0.15">
      <c r="A10" s="14" t="s">
        <v>11</v>
      </c>
      <c r="B10" s="15" t="s">
        <v>85</v>
      </c>
      <c r="C10" s="15"/>
      <c r="D10" s="15"/>
      <c r="E10" s="137" t="s">
        <v>152</v>
      </c>
      <c r="F10" s="138"/>
      <c r="G10" s="138"/>
      <c r="H10" s="138"/>
      <c r="I10" s="138"/>
      <c r="J10" s="138"/>
      <c r="K10" s="138"/>
      <c r="L10" s="138"/>
      <c r="M10" s="138"/>
      <c r="N10" s="144"/>
      <c r="O10" s="31" t="str">
        <f>IF(E10="","入力してください","")</f>
        <v/>
      </c>
    </row>
    <row r="11" spans="1:15" ht="7.5" customHeight="1" x14ac:dyDescent="0.15">
      <c r="B11" s="16"/>
      <c r="C11" s="16"/>
      <c r="D11" s="16"/>
      <c r="E11" s="16"/>
      <c r="F11" s="37"/>
      <c r="G11" s="37"/>
      <c r="H11" s="37"/>
      <c r="I11" s="37"/>
      <c r="J11" s="37"/>
      <c r="K11" s="37"/>
      <c r="L11" s="37"/>
      <c r="M11" s="37"/>
      <c r="N11" s="37"/>
    </row>
    <row r="12" spans="1:15" ht="24" customHeight="1" x14ac:dyDescent="0.15">
      <c r="A12" s="14" t="s">
        <v>58</v>
      </c>
      <c r="B12" s="16" t="s">
        <v>59</v>
      </c>
      <c r="C12" s="16"/>
      <c r="D12" s="16"/>
      <c r="E12" s="150" t="s">
        <v>153</v>
      </c>
      <c r="F12" s="151"/>
      <c r="G12" s="17" t="s">
        <v>96</v>
      </c>
      <c r="H12" s="14" t="s">
        <v>97</v>
      </c>
      <c r="N12" s="117" t="s">
        <v>154</v>
      </c>
      <c r="O12" s="31" t="str">
        <f>IF(E12="","入力してください","")</f>
        <v/>
      </c>
    </row>
    <row r="13" spans="1:15" ht="7.5" customHeight="1" x14ac:dyDescent="0.15">
      <c r="B13" s="16"/>
      <c r="C13" s="16"/>
      <c r="D13" s="16"/>
      <c r="E13" s="16"/>
      <c r="F13" s="37"/>
      <c r="G13" s="37"/>
      <c r="H13" s="37"/>
      <c r="I13" s="37"/>
      <c r="J13" s="37"/>
      <c r="K13" s="37"/>
      <c r="L13" s="37"/>
      <c r="M13" s="37"/>
      <c r="N13" s="37"/>
    </row>
    <row r="14" spans="1:15" ht="24" customHeight="1" x14ac:dyDescent="0.15">
      <c r="A14" s="14" t="s">
        <v>53</v>
      </c>
      <c r="B14" s="14" t="s">
        <v>0</v>
      </c>
      <c r="C14" s="146" t="s">
        <v>5</v>
      </c>
      <c r="D14" s="147"/>
      <c r="E14" s="141">
        <v>145</v>
      </c>
      <c r="F14" s="142"/>
      <c r="G14" s="18" t="s">
        <v>7</v>
      </c>
      <c r="I14" s="146" t="s">
        <v>8</v>
      </c>
      <c r="J14" s="147"/>
      <c r="K14" s="141">
        <v>152</v>
      </c>
      <c r="L14" s="148"/>
      <c r="M14" s="142"/>
      <c r="N14" s="19" t="s">
        <v>7</v>
      </c>
      <c r="O14" s="31" t="str">
        <f>IF(OR(E14="",K14=""),"入力してください","")</f>
        <v/>
      </c>
    </row>
    <row r="15" spans="1:15" ht="7.5" customHeight="1" x14ac:dyDescent="0.15">
      <c r="F15" s="20"/>
      <c r="G15" s="20"/>
      <c r="H15" s="20"/>
      <c r="I15" s="20"/>
      <c r="J15" s="20"/>
      <c r="K15" s="20"/>
      <c r="L15" s="20"/>
      <c r="M15" s="19"/>
      <c r="N15" s="19"/>
    </row>
    <row r="16" spans="1:15" ht="24" customHeight="1" x14ac:dyDescent="0.15">
      <c r="A16" s="14" t="s">
        <v>60</v>
      </c>
      <c r="B16" s="14" t="s">
        <v>70</v>
      </c>
      <c r="F16" s="20"/>
      <c r="G16" s="20"/>
      <c r="H16" s="20"/>
      <c r="I16" s="20"/>
      <c r="J16" s="20"/>
      <c r="K16" s="129">
        <v>1</v>
      </c>
      <c r="L16" s="130"/>
      <c r="M16" s="131"/>
      <c r="N16" s="19" t="s">
        <v>51</v>
      </c>
      <c r="O16" s="31" t="str">
        <f>IF(K16="","入力してください","")</f>
        <v/>
      </c>
    </row>
    <row r="17" spans="1:15" ht="7.5" customHeight="1" x14ac:dyDescent="0.15">
      <c r="F17" s="20"/>
      <c r="G17" s="20"/>
      <c r="H17" s="20"/>
      <c r="I17" s="20"/>
      <c r="J17" s="20"/>
      <c r="K17" s="20"/>
      <c r="L17" s="20"/>
      <c r="M17" s="19"/>
      <c r="N17" s="19"/>
    </row>
    <row r="18" spans="1:15" ht="24" customHeight="1" x14ac:dyDescent="0.15">
      <c r="A18" s="14" t="s">
        <v>24</v>
      </c>
      <c r="B18" s="14" t="s">
        <v>77</v>
      </c>
      <c r="E18" s="141">
        <v>710</v>
      </c>
      <c r="F18" s="142"/>
      <c r="G18" s="21" t="s">
        <v>21</v>
      </c>
      <c r="H18" s="20"/>
      <c r="K18" s="143"/>
      <c r="L18" s="143"/>
      <c r="M18" s="143"/>
      <c r="N18" s="143"/>
      <c r="O18" s="31" t="str">
        <f>IF(E18="","入力してください","")</f>
        <v/>
      </c>
    </row>
    <row r="19" spans="1:15" ht="7.5" customHeight="1" x14ac:dyDescent="0.15">
      <c r="E19" s="10"/>
      <c r="F19" s="20"/>
      <c r="G19" s="20"/>
      <c r="L19" s="36"/>
      <c r="M19" s="36"/>
      <c r="N19" s="22"/>
    </row>
    <row r="20" spans="1:15" ht="24" customHeight="1" x14ac:dyDescent="0.15">
      <c r="A20" s="14" t="s">
        <v>76</v>
      </c>
      <c r="B20" s="14" t="s">
        <v>78</v>
      </c>
      <c r="E20" s="10"/>
      <c r="F20" s="20"/>
      <c r="G20" s="20"/>
      <c r="H20" s="14" t="s">
        <v>52</v>
      </c>
      <c r="J20" s="132">
        <v>3071</v>
      </c>
      <c r="K20" s="133"/>
      <c r="L20" s="134"/>
      <c r="M20" s="36" t="s">
        <v>51</v>
      </c>
      <c r="N20" s="22"/>
      <c r="O20" s="31" t="str">
        <f>IF(J20="","入力してください","")</f>
        <v/>
      </c>
    </row>
    <row r="21" spans="1:15" ht="7.5" customHeight="1" x14ac:dyDescent="0.15">
      <c r="E21" s="10"/>
      <c r="F21" s="20"/>
      <c r="G21" s="20"/>
      <c r="L21" s="36"/>
      <c r="M21" s="36"/>
      <c r="N21" s="22"/>
    </row>
    <row r="22" spans="1:15" ht="24" customHeight="1" x14ac:dyDescent="0.15">
      <c r="B22" s="29" t="s">
        <v>17</v>
      </c>
      <c r="C22" s="141">
        <v>745</v>
      </c>
      <c r="D22" s="142"/>
      <c r="E22" s="10" t="s">
        <v>22</v>
      </c>
      <c r="F22" s="20"/>
      <c r="G22" s="135" t="s">
        <v>18</v>
      </c>
      <c r="H22" s="135"/>
      <c r="I22" s="141">
        <v>794</v>
      </c>
      <c r="J22" s="142"/>
      <c r="K22" s="17" t="s">
        <v>22</v>
      </c>
      <c r="M22" s="36"/>
      <c r="N22" s="22"/>
    </row>
    <row r="23" spans="1:15" ht="7.5" customHeight="1" x14ac:dyDescent="0.15">
      <c r="B23" s="29"/>
      <c r="C23" s="11"/>
      <c r="D23" s="11"/>
      <c r="E23" s="10"/>
      <c r="F23" s="20"/>
      <c r="G23" s="36"/>
      <c r="H23" s="36"/>
      <c r="I23" s="11"/>
      <c r="J23" s="11"/>
      <c r="K23" s="17"/>
      <c r="M23" s="36"/>
      <c r="N23" s="22"/>
    </row>
    <row r="24" spans="1:15" ht="24" customHeight="1" x14ac:dyDescent="0.15">
      <c r="B24" s="29" t="s">
        <v>19</v>
      </c>
      <c r="C24" s="141">
        <v>756</v>
      </c>
      <c r="D24" s="142"/>
      <c r="E24" s="10" t="s">
        <v>22</v>
      </c>
      <c r="F24" s="20"/>
      <c r="G24" s="135" t="s">
        <v>20</v>
      </c>
      <c r="H24" s="135"/>
      <c r="I24" s="141">
        <v>776</v>
      </c>
      <c r="J24" s="142"/>
      <c r="K24" s="17" t="s">
        <v>22</v>
      </c>
      <c r="M24" s="36"/>
      <c r="N24" s="22"/>
    </row>
    <row r="25" spans="1:15" ht="7.5" customHeight="1" x14ac:dyDescent="0.15">
      <c r="B25" s="29"/>
      <c r="C25" s="11"/>
      <c r="D25" s="11"/>
      <c r="E25" s="10"/>
      <c r="F25" s="20"/>
      <c r="G25" s="36"/>
      <c r="H25" s="36"/>
      <c r="I25" s="11"/>
      <c r="J25" s="11"/>
      <c r="K25" s="17"/>
      <c r="M25" s="36"/>
      <c r="N25" s="22"/>
    </row>
    <row r="26" spans="1:15" ht="24" customHeight="1" x14ac:dyDescent="0.15">
      <c r="B26" s="29" t="s">
        <v>46</v>
      </c>
      <c r="C26" s="141"/>
      <c r="D26" s="142"/>
      <c r="E26" s="10" t="s">
        <v>7</v>
      </c>
      <c r="F26" s="20"/>
      <c r="G26" s="135" t="s">
        <v>47</v>
      </c>
      <c r="H26" s="135"/>
      <c r="I26" s="141"/>
      <c r="J26" s="142"/>
      <c r="K26" s="17" t="s">
        <v>7</v>
      </c>
      <c r="M26" s="36"/>
      <c r="N26" s="22"/>
    </row>
    <row r="27" spans="1:15" ht="7.5" customHeight="1" x14ac:dyDescent="0.15">
      <c r="F27" s="20"/>
      <c r="G27" s="20"/>
      <c r="M27" s="23"/>
      <c r="N27" s="23"/>
    </row>
    <row r="28" spans="1:15" ht="24" customHeight="1" x14ac:dyDescent="0.15">
      <c r="A28" s="14" t="s">
        <v>50</v>
      </c>
      <c r="B28" s="15" t="s">
        <v>75</v>
      </c>
      <c r="C28" s="15"/>
      <c r="D28" s="15"/>
      <c r="E28" s="15"/>
      <c r="F28" s="17"/>
      <c r="G28" s="37"/>
      <c r="H28" s="37"/>
      <c r="I28" s="37"/>
      <c r="J28" s="24"/>
      <c r="K28" s="24"/>
      <c r="L28" s="24"/>
      <c r="M28" s="24"/>
      <c r="N28" s="24"/>
    </row>
    <row r="29" spans="1:15" s="14" customFormat="1" ht="24" customHeight="1" x14ac:dyDescent="0.15">
      <c r="B29" s="136" t="s">
        <v>74</v>
      </c>
      <c r="C29" s="136"/>
      <c r="D29" s="137" t="s">
        <v>159</v>
      </c>
      <c r="E29" s="138"/>
      <c r="F29" s="138"/>
      <c r="G29" s="139" t="s">
        <v>23</v>
      </c>
      <c r="H29" s="136"/>
      <c r="I29" s="140"/>
      <c r="J29" s="137" t="s">
        <v>155</v>
      </c>
      <c r="K29" s="138"/>
      <c r="L29" s="138"/>
      <c r="M29" s="138"/>
      <c r="N29" s="144"/>
      <c r="O29" s="31" t="str">
        <f>IF(OR(D29="",J29=""),"入力してください","")</f>
        <v/>
      </c>
    </row>
    <row r="30" spans="1:15" ht="7.5" customHeight="1" x14ac:dyDescent="0.15">
      <c r="F30" s="20"/>
      <c r="G30" s="20"/>
      <c r="M30" s="23"/>
      <c r="N30" s="23"/>
    </row>
    <row r="31" spans="1:15" ht="24" customHeight="1" x14ac:dyDescent="0.15">
      <c r="A31" s="14" t="s">
        <v>54</v>
      </c>
      <c r="B31" s="15" t="s">
        <v>80</v>
      </c>
      <c r="C31" s="15"/>
      <c r="D31" s="15"/>
      <c r="E31" s="15"/>
      <c r="F31" s="17"/>
      <c r="G31" s="24"/>
      <c r="H31" s="24"/>
      <c r="I31" s="24"/>
      <c r="J31" s="24"/>
      <c r="K31" s="24"/>
      <c r="L31" s="24"/>
      <c r="M31" s="24"/>
      <c r="N31" s="24"/>
    </row>
    <row r="32" spans="1:15" ht="24" customHeight="1" x14ac:dyDescent="0.15">
      <c r="B32" s="137" t="s">
        <v>156</v>
      </c>
      <c r="C32" s="138"/>
      <c r="D32" s="138"/>
      <c r="E32" s="138"/>
      <c r="F32" s="138"/>
      <c r="G32" s="138"/>
      <c r="H32" s="138"/>
      <c r="I32" s="138"/>
      <c r="J32" s="138"/>
      <c r="K32" s="138"/>
      <c r="L32" s="138"/>
      <c r="M32" s="138"/>
      <c r="N32" s="144"/>
      <c r="O32" s="31" t="str">
        <f>IF(B32="","入力してください","")</f>
        <v/>
      </c>
    </row>
    <row r="33" spans="1:15" ht="7.5" customHeight="1" x14ac:dyDescent="0.15">
      <c r="B33" s="12"/>
      <c r="C33" s="12"/>
      <c r="D33" s="12"/>
      <c r="E33" s="12"/>
      <c r="F33" s="12"/>
      <c r="G33" s="12"/>
      <c r="H33" s="12"/>
      <c r="I33" s="12"/>
      <c r="J33" s="12"/>
      <c r="K33" s="12"/>
      <c r="L33" s="12"/>
      <c r="M33" s="12"/>
      <c r="N33" s="12"/>
    </row>
    <row r="34" spans="1:15" s="14" customFormat="1" ht="24" customHeight="1" x14ac:dyDescent="0.15">
      <c r="B34" s="136" t="s">
        <v>74</v>
      </c>
      <c r="C34" s="136"/>
      <c r="D34" s="137" t="s">
        <v>160</v>
      </c>
      <c r="E34" s="138"/>
      <c r="F34" s="138"/>
      <c r="G34" s="139" t="s">
        <v>55</v>
      </c>
      <c r="H34" s="136"/>
      <c r="I34" s="140"/>
      <c r="J34" s="137" t="s">
        <v>157</v>
      </c>
      <c r="K34" s="138"/>
      <c r="L34" s="138"/>
      <c r="M34" s="138"/>
      <c r="N34" s="144"/>
      <c r="O34" s="31" t="str">
        <f>IF(OR(D34="",J34=""),"入力してください","")</f>
        <v/>
      </c>
    </row>
    <row r="35" spans="1:15" ht="7.5" customHeight="1" x14ac:dyDescent="0.15">
      <c r="F35" s="37"/>
      <c r="G35" s="37"/>
      <c r="H35" s="37"/>
      <c r="I35" s="37"/>
      <c r="J35" s="37"/>
      <c r="K35" s="37"/>
      <c r="L35" s="37"/>
      <c r="M35" s="37"/>
      <c r="N35" s="37"/>
    </row>
    <row r="36" spans="1:15" ht="24" customHeight="1" x14ac:dyDescent="0.15">
      <c r="A36" s="14" t="s">
        <v>61</v>
      </c>
      <c r="B36" s="14" t="s">
        <v>81</v>
      </c>
      <c r="M36" s="23"/>
      <c r="N36" s="23"/>
    </row>
    <row r="37" spans="1:15" ht="24" customHeight="1" x14ac:dyDescent="0.15">
      <c r="B37" s="137" t="s">
        <v>158</v>
      </c>
      <c r="C37" s="138"/>
      <c r="D37" s="138"/>
      <c r="E37" s="138"/>
      <c r="F37" s="138"/>
      <c r="G37" s="138"/>
      <c r="H37" s="138"/>
      <c r="I37" s="138"/>
      <c r="J37" s="138"/>
      <c r="K37" s="138"/>
      <c r="L37" s="138"/>
      <c r="M37" s="138"/>
      <c r="N37" s="144"/>
      <c r="O37" s="31" t="str">
        <f>IF(B37="","入力してください","")</f>
        <v/>
      </c>
    </row>
    <row r="38" spans="1:15" ht="7.5" customHeight="1" x14ac:dyDescent="0.15">
      <c r="F38" s="37"/>
      <c r="G38" s="37"/>
      <c r="H38" s="37"/>
      <c r="I38" s="37"/>
      <c r="J38" s="37"/>
      <c r="K38" s="37"/>
      <c r="L38" s="37"/>
      <c r="M38" s="37"/>
      <c r="N38" s="37"/>
    </row>
    <row r="39" spans="1:15" s="14" customFormat="1" ht="24" customHeight="1" x14ac:dyDescent="0.15">
      <c r="B39" s="136" t="s">
        <v>74</v>
      </c>
      <c r="C39" s="136"/>
      <c r="D39" s="137" t="s">
        <v>159</v>
      </c>
      <c r="E39" s="138"/>
      <c r="F39" s="138"/>
      <c r="G39" s="139" t="s">
        <v>55</v>
      </c>
      <c r="H39" s="136"/>
      <c r="I39" s="140"/>
      <c r="J39" s="137" t="s">
        <v>186</v>
      </c>
      <c r="K39" s="138"/>
      <c r="L39" s="138"/>
      <c r="M39" s="138"/>
      <c r="N39" s="144"/>
      <c r="O39" s="31" t="str">
        <f>IF(OR(D39="",J39=""),"入力してください","")</f>
        <v/>
      </c>
    </row>
    <row r="40" spans="1:15" ht="7.5" customHeight="1" x14ac:dyDescent="0.15">
      <c r="F40" s="37"/>
      <c r="G40" s="37"/>
      <c r="H40" s="37"/>
      <c r="I40" s="37"/>
      <c r="J40" s="37"/>
      <c r="K40" s="37"/>
      <c r="L40" s="37"/>
      <c r="M40" s="37"/>
      <c r="N40" s="37"/>
    </row>
    <row r="41" spans="1:15" ht="24" customHeight="1" x14ac:dyDescent="0.15">
      <c r="A41" s="14" t="s">
        <v>88</v>
      </c>
      <c r="B41" s="73" t="s">
        <v>69</v>
      </c>
      <c r="E41" s="74"/>
      <c r="F41" s="137" t="s">
        <v>161</v>
      </c>
      <c r="G41" s="138"/>
      <c r="H41" s="138"/>
      <c r="I41" s="138"/>
      <c r="J41" s="138"/>
      <c r="K41" s="138"/>
      <c r="L41" s="138"/>
      <c r="M41" s="138"/>
      <c r="N41" s="144"/>
      <c r="O41" s="31" t="str">
        <f>IF(F41="","入力してください","")</f>
        <v/>
      </c>
    </row>
    <row r="42" spans="1:15" ht="7.5" customHeight="1" x14ac:dyDescent="0.15">
      <c r="F42" s="37"/>
      <c r="G42" s="37"/>
      <c r="H42" s="37"/>
      <c r="I42" s="37"/>
      <c r="J42" s="37"/>
      <c r="K42" s="37"/>
      <c r="L42" s="37"/>
      <c r="M42" s="37"/>
      <c r="N42" s="37"/>
    </row>
    <row r="43" spans="1:15" ht="24" customHeight="1" x14ac:dyDescent="0.15">
      <c r="A43" s="14" t="s">
        <v>98</v>
      </c>
    </row>
    <row r="44" spans="1:15" ht="24" customHeight="1" x14ac:dyDescent="0.15">
      <c r="B44" s="30" t="s">
        <v>1</v>
      </c>
      <c r="C44" s="158" t="s">
        <v>162</v>
      </c>
      <c r="D44" s="159"/>
      <c r="E44" s="159"/>
      <c r="F44" s="159"/>
      <c r="G44" s="159"/>
      <c r="H44" s="159"/>
      <c r="I44" s="26" t="s">
        <v>2</v>
      </c>
      <c r="J44" s="27"/>
      <c r="K44" s="137" t="s">
        <v>163</v>
      </c>
      <c r="L44" s="138"/>
      <c r="M44" s="138"/>
      <c r="N44" s="144"/>
      <c r="O44" s="31" t="str">
        <f>IF(OR(C44="",K44=""),"入力してください","")</f>
        <v/>
      </c>
    </row>
    <row r="45" spans="1:15" ht="24" customHeight="1" x14ac:dyDescent="0.15">
      <c r="B45" s="25" t="s">
        <v>4</v>
      </c>
      <c r="C45" s="152" t="s">
        <v>185</v>
      </c>
      <c r="D45" s="153"/>
      <c r="E45" s="153"/>
      <c r="F45" s="153"/>
      <c r="G45" s="153"/>
      <c r="H45" s="154"/>
      <c r="I45" s="26" t="s">
        <v>3</v>
      </c>
      <c r="J45" s="27"/>
      <c r="K45" s="155" t="s">
        <v>164</v>
      </c>
      <c r="L45" s="156"/>
      <c r="M45" s="156"/>
      <c r="N45" s="157"/>
      <c r="O45" s="31" t="str">
        <f>IF(OR(C45="",K45=""),"入力してください","")</f>
        <v/>
      </c>
    </row>
  </sheetData>
  <mergeCells count="44">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 ref="M1:N1"/>
    <mergeCell ref="C14:D14"/>
    <mergeCell ref="C8:N8"/>
    <mergeCell ref="K14:M14"/>
    <mergeCell ref="C4:N4"/>
    <mergeCell ref="A2:N2"/>
    <mergeCell ref="E14:F14"/>
    <mergeCell ref="I14:J14"/>
    <mergeCell ref="E10:N10"/>
    <mergeCell ref="K6:N6"/>
    <mergeCell ref="D6:H6"/>
    <mergeCell ref="E12:F12"/>
    <mergeCell ref="J39:N39"/>
    <mergeCell ref="B32:N32"/>
    <mergeCell ref="B37:N37"/>
    <mergeCell ref="G26:H26"/>
    <mergeCell ref="I26:J26"/>
    <mergeCell ref="K16:M16"/>
    <mergeCell ref="J20:L20"/>
    <mergeCell ref="G22:H22"/>
    <mergeCell ref="B29:C29"/>
    <mergeCell ref="D29:F29"/>
    <mergeCell ref="G29:I29"/>
    <mergeCell ref="C26:D26"/>
    <mergeCell ref="I22:J22"/>
    <mergeCell ref="C22:D22"/>
    <mergeCell ref="K18:N18"/>
    <mergeCell ref="E18:F18"/>
  </mergeCells>
  <phoneticPr fontId="1"/>
  <dataValidations count="3">
    <dataValidation type="list" allowBlank="1" showInputMessage="1" showErrorMessage="1" sqref="K6" xr:uid="{00000000-0002-0000-0000-000000000000}">
      <formula1>"国立大学, 公立大学, 私立大学, 短期大学, 高等専門学校, その他"</formula1>
    </dataValidation>
    <dataValidation type="list" allowBlank="1" showInputMessage="1" showErrorMessage="1" sqref="N12" xr:uid="{D7335FEE-BE60-4567-BD4C-9C6067E6E05E}">
      <formula1>"有,無"</formula1>
    </dataValidation>
    <dataValidation type="list" allowBlank="1" showInputMessage="1" showErrorMessage="1" sqref="F41:N41" xr:uid="{09D83600-D3A0-4D64-B0DD-6C0D3C17CB04}">
      <formula1>"認定教育プログラム,認定教育プログラム+（プラス）,認定教育プログラムと認定教育プログラム+（プラス）"</formula1>
    </dataValidation>
  </dataValidations>
  <hyperlinks>
    <hyperlink ref="C45" r:id="rId1" xr:uid="{BBDF3005-F1C0-43D0-AFE0-04CF36095829}"/>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dimension ref="A1:Z98"/>
  <sheetViews>
    <sheetView showZeros="0" view="pageBreakPreview" topLeftCell="A41" zoomScaleNormal="100" zoomScaleSheetLayoutView="100" workbookViewId="0">
      <selection activeCell="D90" sqref="D90:Z90"/>
    </sheetView>
  </sheetViews>
  <sheetFormatPr defaultColWidth="9" defaultRowHeight="18.75" customHeight="1" x14ac:dyDescent="0.15"/>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183" t="s">
        <v>197</v>
      </c>
      <c r="X1" s="183"/>
      <c r="Y1" s="183"/>
      <c r="Z1" s="183"/>
    </row>
    <row r="2" spans="1:26" ht="18" customHeight="1" x14ac:dyDescent="0.15">
      <c r="A2" s="222" t="s">
        <v>67</v>
      </c>
      <c r="B2" s="222"/>
      <c r="C2" s="222"/>
      <c r="D2" s="222"/>
      <c r="E2" s="222"/>
      <c r="F2" s="222"/>
      <c r="G2" s="222"/>
      <c r="H2" s="222"/>
      <c r="I2" s="222"/>
      <c r="J2" s="222"/>
      <c r="K2" s="222"/>
      <c r="L2" s="222"/>
      <c r="M2" s="222"/>
      <c r="N2" s="222"/>
      <c r="O2" s="222"/>
      <c r="P2" s="222"/>
      <c r="Q2" s="222"/>
      <c r="R2" s="222"/>
      <c r="S2" s="222"/>
      <c r="T2" s="222"/>
      <c r="U2" s="222"/>
      <c r="V2" s="222"/>
      <c r="W2" s="222"/>
      <c r="X2" s="222"/>
      <c r="Y2" s="222"/>
      <c r="Z2" s="222"/>
    </row>
    <row r="3" spans="1:26" ht="15" customHeight="1" x14ac:dyDescent="0.15">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15">
      <c r="A4" s="13" t="s">
        <v>99</v>
      </c>
      <c r="B4" s="29"/>
      <c r="C4" s="29"/>
      <c r="D4" s="29"/>
      <c r="E4" s="29"/>
      <c r="F4" s="29"/>
      <c r="G4" s="29"/>
      <c r="H4" s="15" t="s">
        <v>112</v>
      </c>
      <c r="I4" s="29"/>
      <c r="J4" s="29"/>
      <c r="K4" s="29"/>
      <c r="L4" s="29"/>
      <c r="M4" s="29"/>
      <c r="N4" s="29"/>
      <c r="O4" s="129" t="s">
        <v>165</v>
      </c>
      <c r="P4" s="130"/>
      <c r="Q4" s="130"/>
      <c r="R4" s="130"/>
      <c r="S4" s="130"/>
      <c r="T4" s="130"/>
      <c r="U4" s="130"/>
      <c r="V4" s="130"/>
      <c r="W4" s="130"/>
      <c r="X4" s="130"/>
      <c r="Y4" s="130"/>
      <c r="Z4" s="131"/>
    </row>
    <row r="5" spans="1:26" ht="6" customHeight="1" x14ac:dyDescent="0.15">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15">
      <c r="B6" s="223" t="s">
        <v>199</v>
      </c>
      <c r="C6" s="224"/>
      <c r="D6" s="224"/>
      <c r="E6" s="224"/>
      <c r="F6" s="224"/>
      <c r="G6" s="224"/>
      <c r="H6" s="224"/>
      <c r="I6" s="224"/>
      <c r="J6" s="224"/>
      <c r="K6" s="224"/>
      <c r="L6" s="224"/>
      <c r="M6" s="224"/>
      <c r="N6" s="224"/>
      <c r="O6" s="224"/>
      <c r="P6" s="224"/>
      <c r="Q6" s="224"/>
      <c r="R6" s="224"/>
      <c r="S6" s="224"/>
      <c r="T6" s="224"/>
      <c r="U6" s="224"/>
      <c r="V6" s="224"/>
      <c r="W6" s="224"/>
      <c r="X6" s="224"/>
      <c r="Y6" s="224"/>
      <c r="Z6" s="225"/>
    </row>
    <row r="7" spans="1:26" ht="18" customHeight="1" x14ac:dyDescent="0.15">
      <c r="B7" s="226"/>
      <c r="C7" s="227"/>
      <c r="D7" s="227"/>
      <c r="E7" s="227"/>
      <c r="F7" s="227"/>
      <c r="G7" s="227"/>
      <c r="H7" s="227"/>
      <c r="I7" s="227"/>
      <c r="J7" s="227"/>
      <c r="K7" s="227"/>
      <c r="L7" s="227"/>
      <c r="M7" s="227"/>
      <c r="N7" s="227"/>
      <c r="O7" s="227"/>
      <c r="P7" s="227"/>
      <c r="Q7" s="227"/>
      <c r="R7" s="227"/>
      <c r="S7" s="227"/>
      <c r="T7" s="227"/>
      <c r="U7" s="227"/>
      <c r="V7" s="227"/>
      <c r="W7" s="227"/>
      <c r="X7" s="227"/>
      <c r="Y7" s="227"/>
      <c r="Z7" s="228"/>
    </row>
    <row r="8" spans="1:26" ht="18" customHeight="1" x14ac:dyDescent="0.15">
      <c r="B8" s="226"/>
      <c r="C8" s="227"/>
      <c r="D8" s="227"/>
      <c r="E8" s="227"/>
      <c r="F8" s="227"/>
      <c r="G8" s="227"/>
      <c r="H8" s="227"/>
      <c r="I8" s="227"/>
      <c r="J8" s="227"/>
      <c r="K8" s="227"/>
      <c r="L8" s="227"/>
      <c r="M8" s="227"/>
      <c r="N8" s="227"/>
      <c r="O8" s="227"/>
      <c r="P8" s="227"/>
      <c r="Q8" s="227"/>
      <c r="R8" s="227"/>
      <c r="S8" s="227"/>
      <c r="T8" s="227"/>
      <c r="U8" s="227"/>
      <c r="V8" s="227"/>
      <c r="W8" s="227"/>
      <c r="X8" s="227"/>
      <c r="Y8" s="227"/>
      <c r="Z8" s="228"/>
    </row>
    <row r="9" spans="1:26" ht="18" customHeight="1" x14ac:dyDescent="0.15">
      <c r="B9" s="226"/>
      <c r="C9" s="227"/>
      <c r="D9" s="227"/>
      <c r="E9" s="227"/>
      <c r="F9" s="227"/>
      <c r="G9" s="227"/>
      <c r="H9" s="227"/>
      <c r="I9" s="227"/>
      <c r="J9" s="227"/>
      <c r="K9" s="227"/>
      <c r="L9" s="227"/>
      <c r="M9" s="227"/>
      <c r="N9" s="227"/>
      <c r="O9" s="227"/>
      <c r="P9" s="227"/>
      <c r="Q9" s="227"/>
      <c r="R9" s="227"/>
      <c r="S9" s="227"/>
      <c r="T9" s="227"/>
      <c r="U9" s="227"/>
      <c r="V9" s="227"/>
      <c r="W9" s="227"/>
      <c r="X9" s="227"/>
      <c r="Y9" s="227"/>
      <c r="Z9" s="228"/>
    </row>
    <row r="10" spans="1:26" ht="18" customHeight="1" x14ac:dyDescent="0.15">
      <c r="B10" s="226"/>
      <c r="C10" s="229"/>
      <c r="D10" s="229"/>
      <c r="E10" s="229"/>
      <c r="F10" s="229"/>
      <c r="G10" s="229"/>
      <c r="H10" s="229"/>
      <c r="I10" s="229"/>
      <c r="J10" s="229"/>
      <c r="K10" s="229"/>
      <c r="L10" s="229"/>
      <c r="M10" s="229"/>
      <c r="N10" s="229"/>
      <c r="O10" s="229"/>
      <c r="P10" s="229"/>
      <c r="Q10" s="229"/>
      <c r="R10" s="229"/>
      <c r="S10" s="229"/>
      <c r="T10" s="229"/>
      <c r="U10" s="229"/>
      <c r="V10" s="229"/>
      <c r="W10" s="229"/>
      <c r="X10" s="229"/>
      <c r="Y10" s="229"/>
      <c r="Z10" s="228"/>
    </row>
    <row r="11" spans="1:26" ht="18" customHeight="1" x14ac:dyDescent="0.15">
      <c r="B11" s="230"/>
      <c r="C11" s="231"/>
      <c r="D11" s="231"/>
      <c r="E11" s="231"/>
      <c r="F11" s="231"/>
      <c r="G11" s="231"/>
      <c r="H11" s="231"/>
      <c r="I11" s="231"/>
      <c r="J11" s="231"/>
      <c r="K11" s="231"/>
      <c r="L11" s="231"/>
      <c r="M11" s="231"/>
      <c r="N11" s="231"/>
      <c r="O11" s="231"/>
      <c r="P11" s="231"/>
      <c r="Q11" s="231"/>
      <c r="R11" s="231"/>
      <c r="S11" s="231"/>
      <c r="T11" s="231"/>
      <c r="U11" s="231"/>
      <c r="V11" s="231"/>
      <c r="W11" s="231"/>
      <c r="X11" s="231"/>
      <c r="Y11" s="231"/>
      <c r="Z11" s="232"/>
    </row>
    <row r="12" spans="1:26" ht="7.5" customHeight="1" x14ac:dyDescent="0.15">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15">
      <c r="A13" s="221" t="s">
        <v>125</v>
      </c>
      <c r="B13" s="221"/>
      <c r="C13" s="221"/>
      <c r="D13" s="221"/>
      <c r="E13" s="221"/>
      <c r="F13" s="221"/>
      <c r="G13" s="221"/>
      <c r="H13" s="221"/>
      <c r="I13" s="221"/>
      <c r="J13" s="221"/>
      <c r="K13" s="221"/>
      <c r="L13" s="221"/>
      <c r="M13" s="221"/>
      <c r="N13" s="221"/>
      <c r="O13" s="221"/>
      <c r="P13" s="221"/>
      <c r="Q13" s="221"/>
      <c r="R13" s="221"/>
      <c r="S13" s="221"/>
      <c r="T13" s="221"/>
      <c r="U13" s="221"/>
      <c r="V13" s="221"/>
      <c r="W13" s="221"/>
      <c r="X13" s="221"/>
      <c r="Y13" s="221"/>
      <c r="Z13" s="221"/>
    </row>
    <row r="14" spans="1:26" ht="18" customHeight="1" x14ac:dyDescent="0.15">
      <c r="A14" s="221"/>
      <c r="B14" s="221"/>
      <c r="C14" s="221"/>
      <c r="D14" s="221"/>
      <c r="E14" s="221"/>
      <c r="F14" s="221"/>
      <c r="G14" s="221"/>
      <c r="H14" s="221"/>
      <c r="I14" s="221"/>
      <c r="J14" s="221"/>
      <c r="K14" s="221"/>
      <c r="L14" s="221"/>
      <c r="M14" s="221"/>
      <c r="N14" s="221"/>
      <c r="O14" s="221"/>
      <c r="P14" s="221"/>
      <c r="Q14" s="221"/>
      <c r="R14" s="221"/>
      <c r="S14" s="221"/>
      <c r="T14" s="221"/>
      <c r="U14" s="221"/>
      <c r="V14" s="221"/>
      <c r="W14" s="221"/>
      <c r="X14" s="221"/>
      <c r="Y14" s="221"/>
      <c r="Z14" s="221"/>
    </row>
    <row r="15" spans="1:26" ht="18" customHeight="1" x14ac:dyDescent="0.15">
      <c r="A15" s="14"/>
      <c r="B15" s="129" t="s">
        <v>100</v>
      </c>
      <c r="C15" s="130"/>
      <c r="D15" s="130"/>
      <c r="E15" s="130"/>
      <c r="F15" s="131"/>
      <c r="G15" s="30" t="s">
        <v>141</v>
      </c>
      <c r="H15" s="112" t="s">
        <v>140</v>
      </c>
      <c r="I15" s="130" t="s">
        <v>101</v>
      </c>
      <c r="J15" s="130"/>
      <c r="K15" s="130"/>
      <c r="L15" s="75" t="s">
        <v>104</v>
      </c>
      <c r="M15" s="75" t="s">
        <v>107</v>
      </c>
      <c r="N15" s="129" t="s">
        <v>100</v>
      </c>
      <c r="O15" s="130"/>
      <c r="P15" s="130"/>
      <c r="Q15" s="130"/>
      <c r="R15" s="130"/>
      <c r="S15" s="131"/>
      <c r="T15" s="30" t="s">
        <v>141</v>
      </c>
      <c r="U15" s="112" t="s">
        <v>140</v>
      </c>
      <c r="V15" s="130" t="s">
        <v>101</v>
      </c>
      <c r="W15" s="130"/>
      <c r="X15" s="130"/>
      <c r="Y15" s="75" t="s">
        <v>104</v>
      </c>
      <c r="Z15" s="75" t="s">
        <v>107</v>
      </c>
    </row>
    <row r="16" spans="1:26" ht="18" customHeight="1" x14ac:dyDescent="0.15">
      <c r="A16" s="14"/>
      <c r="B16" s="184" t="s">
        <v>166</v>
      </c>
      <c r="C16" s="185"/>
      <c r="D16" s="185"/>
      <c r="E16" s="185"/>
      <c r="F16" s="186"/>
      <c r="G16" s="113">
        <v>2</v>
      </c>
      <c r="H16" s="113" t="s">
        <v>169</v>
      </c>
      <c r="I16" s="190" t="s">
        <v>168</v>
      </c>
      <c r="J16" s="191"/>
      <c r="K16" s="192"/>
      <c r="L16" s="113" t="s">
        <v>169</v>
      </c>
      <c r="M16" s="113" t="s">
        <v>169</v>
      </c>
      <c r="N16" s="160"/>
      <c r="O16" s="161"/>
      <c r="P16" s="161"/>
      <c r="Q16" s="161"/>
      <c r="R16" s="161"/>
      <c r="S16" s="162"/>
      <c r="T16" s="113"/>
      <c r="U16" s="113"/>
      <c r="V16" s="190"/>
      <c r="W16" s="191"/>
      <c r="X16" s="192"/>
      <c r="Y16" s="113"/>
      <c r="Z16" s="113"/>
    </row>
    <row r="17" spans="1:26" ht="18" customHeight="1" x14ac:dyDescent="0.15">
      <c r="A17" s="14"/>
      <c r="B17" s="177"/>
      <c r="C17" s="178"/>
      <c r="D17" s="178"/>
      <c r="E17" s="178"/>
      <c r="F17" s="179"/>
      <c r="G17" s="114"/>
      <c r="H17" s="114"/>
      <c r="I17" s="169"/>
      <c r="J17" s="170"/>
      <c r="K17" s="171"/>
      <c r="L17" s="114"/>
      <c r="M17" s="114"/>
      <c r="N17" s="163"/>
      <c r="O17" s="164"/>
      <c r="P17" s="164"/>
      <c r="Q17" s="164"/>
      <c r="R17" s="164"/>
      <c r="S17" s="165"/>
      <c r="T17" s="114"/>
      <c r="U17" s="114"/>
      <c r="V17" s="169"/>
      <c r="W17" s="170"/>
      <c r="X17" s="171"/>
      <c r="Y17" s="114"/>
      <c r="Z17" s="114"/>
    </row>
    <row r="18" spans="1:26" ht="18" customHeight="1" x14ac:dyDescent="0.15">
      <c r="A18" s="14"/>
      <c r="B18" s="177"/>
      <c r="C18" s="178"/>
      <c r="D18" s="178"/>
      <c r="E18" s="178"/>
      <c r="F18" s="179"/>
      <c r="G18" s="114"/>
      <c r="H18" s="114"/>
      <c r="I18" s="169"/>
      <c r="J18" s="170"/>
      <c r="K18" s="171"/>
      <c r="L18" s="114"/>
      <c r="M18" s="114"/>
      <c r="N18" s="163"/>
      <c r="O18" s="164"/>
      <c r="P18" s="164"/>
      <c r="Q18" s="164"/>
      <c r="R18" s="164"/>
      <c r="S18" s="165"/>
      <c r="T18" s="114"/>
      <c r="U18" s="114"/>
      <c r="V18" s="169"/>
      <c r="W18" s="170"/>
      <c r="X18" s="171"/>
      <c r="Y18" s="114"/>
      <c r="Z18" s="114"/>
    </row>
    <row r="19" spans="1:26" ht="18" customHeight="1" x14ac:dyDescent="0.15">
      <c r="A19" s="14"/>
      <c r="B19" s="177"/>
      <c r="C19" s="178"/>
      <c r="D19" s="178"/>
      <c r="E19" s="178"/>
      <c r="F19" s="179"/>
      <c r="G19" s="114"/>
      <c r="H19" s="114"/>
      <c r="I19" s="169"/>
      <c r="J19" s="170"/>
      <c r="K19" s="171"/>
      <c r="L19" s="114"/>
      <c r="M19" s="114"/>
      <c r="N19" s="163"/>
      <c r="O19" s="164"/>
      <c r="P19" s="164"/>
      <c r="Q19" s="164"/>
      <c r="R19" s="164"/>
      <c r="S19" s="165"/>
      <c r="T19" s="114"/>
      <c r="U19" s="114"/>
      <c r="V19" s="169"/>
      <c r="W19" s="170"/>
      <c r="X19" s="171"/>
      <c r="Y19" s="114"/>
      <c r="Z19" s="114"/>
    </row>
    <row r="20" spans="1:26" ht="18" customHeight="1" x14ac:dyDescent="0.15">
      <c r="A20" s="14"/>
      <c r="B20" s="177"/>
      <c r="C20" s="178"/>
      <c r="D20" s="178"/>
      <c r="E20" s="178"/>
      <c r="F20" s="179"/>
      <c r="G20" s="114"/>
      <c r="H20" s="114"/>
      <c r="I20" s="169"/>
      <c r="J20" s="170"/>
      <c r="K20" s="171"/>
      <c r="L20" s="114"/>
      <c r="M20" s="114"/>
      <c r="N20" s="163"/>
      <c r="O20" s="164"/>
      <c r="P20" s="164"/>
      <c r="Q20" s="164"/>
      <c r="R20" s="164"/>
      <c r="S20" s="165"/>
      <c r="T20" s="114"/>
      <c r="U20" s="114"/>
      <c r="V20" s="169"/>
      <c r="W20" s="170"/>
      <c r="X20" s="171"/>
      <c r="Y20" s="114"/>
      <c r="Z20" s="114"/>
    </row>
    <row r="21" spans="1:26" ht="18" customHeight="1" x14ac:dyDescent="0.15">
      <c r="A21" s="29"/>
      <c r="B21" s="177"/>
      <c r="C21" s="178"/>
      <c r="D21" s="178"/>
      <c r="E21" s="178"/>
      <c r="F21" s="179"/>
      <c r="G21" s="114"/>
      <c r="H21" s="114"/>
      <c r="I21" s="169"/>
      <c r="J21" s="170"/>
      <c r="K21" s="171"/>
      <c r="L21" s="114"/>
      <c r="M21" s="114"/>
      <c r="N21" s="163"/>
      <c r="O21" s="164"/>
      <c r="P21" s="164"/>
      <c r="Q21" s="164"/>
      <c r="R21" s="164"/>
      <c r="S21" s="165"/>
      <c r="T21" s="114"/>
      <c r="U21" s="114"/>
      <c r="V21" s="169"/>
      <c r="W21" s="170"/>
      <c r="X21" s="171"/>
      <c r="Y21" s="114"/>
      <c r="Z21" s="114"/>
    </row>
    <row r="22" spans="1:26" ht="18" customHeight="1" x14ac:dyDescent="0.15">
      <c r="A22" s="29"/>
      <c r="B22" s="180"/>
      <c r="C22" s="181"/>
      <c r="D22" s="181"/>
      <c r="E22" s="181"/>
      <c r="F22" s="182"/>
      <c r="G22" s="115"/>
      <c r="H22" s="115"/>
      <c r="I22" s="172"/>
      <c r="J22" s="173"/>
      <c r="K22" s="174"/>
      <c r="L22" s="121"/>
      <c r="M22" s="121"/>
      <c r="N22" s="166"/>
      <c r="O22" s="167"/>
      <c r="P22" s="167"/>
      <c r="Q22" s="167"/>
      <c r="R22" s="167"/>
      <c r="S22" s="168"/>
      <c r="T22" s="115"/>
      <c r="U22" s="115"/>
      <c r="V22" s="172"/>
      <c r="W22" s="173"/>
      <c r="X22" s="174"/>
      <c r="Y22" s="121"/>
      <c r="Z22" s="121"/>
    </row>
    <row r="23" spans="1:26" ht="7.5" customHeight="1" x14ac:dyDescent="0.15">
      <c r="A23" s="29"/>
      <c r="B23" s="76"/>
      <c r="C23" s="76"/>
      <c r="D23" s="29"/>
      <c r="E23" s="29"/>
      <c r="F23" s="29"/>
      <c r="G23" s="29"/>
      <c r="H23" s="29"/>
      <c r="I23" s="29"/>
      <c r="J23" s="29"/>
      <c r="K23" s="29"/>
      <c r="L23" s="76"/>
      <c r="M23" s="76"/>
      <c r="N23" s="76"/>
      <c r="O23" s="76"/>
      <c r="P23" s="76"/>
      <c r="Q23" s="76"/>
      <c r="R23" s="76"/>
      <c r="S23" s="76"/>
      <c r="T23" s="76"/>
      <c r="U23" s="76"/>
      <c r="V23" s="76"/>
      <c r="W23" s="76"/>
      <c r="X23" s="76"/>
      <c r="Y23" s="76"/>
      <c r="Z23" s="29"/>
    </row>
    <row r="24" spans="1:26" ht="18" customHeight="1" x14ac:dyDescent="0.15">
      <c r="A24" s="221" t="s">
        <v>126</v>
      </c>
      <c r="B24" s="221"/>
      <c r="C24" s="221"/>
      <c r="D24" s="221"/>
      <c r="E24" s="221"/>
      <c r="F24" s="221"/>
      <c r="G24" s="221"/>
      <c r="H24" s="221"/>
      <c r="I24" s="221"/>
      <c r="J24" s="221"/>
      <c r="K24" s="221"/>
      <c r="L24" s="221"/>
      <c r="M24" s="221"/>
      <c r="N24" s="221"/>
      <c r="O24" s="221"/>
      <c r="P24" s="221"/>
      <c r="Q24" s="221"/>
      <c r="R24" s="221"/>
      <c r="S24" s="221"/>
      <c r="T24" s="221"/>
      <c r="U24" s="221"/>
      <c r="V24" s="221"/>
      <c r="W24" s="221"/>
      <c r="X24" s="221"/>
      <c r="Y24" s="221"/>
      <c r="Z24" s="221"/>
    </row>
    <row r="25" spans="1:26" ht="18" customHeight="1" x14ac:dyDescent="0.15">
      <c r="A25" s="221"/>
      <c r="B25" s="221"/>
      <c r="C25" s="221"/>
      <c r="D25" s="221"/>
      <c r="E25" s="221"/>
      <c r="F25" s="221"/>
      <c r="G25" s="221"/>
      <c r="H25" s="221"/>
      <c r="I25" s="221"/>
      <c r="J25" s="221"/>
      <c r="K25" s="221"/>
      <c r="L25" s="221"/>
      <c r="M25" s="221"/>
      <c r="N25" s="221"/>
      <c r="O25" s="221"/>
      <c r="P25" s="221"/>
      <c r="Q25" s="221"/>
      <c r="R25" s="221"/>
      <c r="S25" s="221"/>
      <c r="T25" s="221"/>
      <c r="U25" s="221"/>
      <c r="V25" s="221"/>
      <c r="W25" s="221"/>
      <c r="X25" s="221"/>
      <c r="Y25" s="221"/>
      <c r="Z25" s="221"/>
    </row>
    <row r="26" spans="1:26" ht="18" customHeight="1" x14ac:dyDescent="0.15">
      <c r="A26" s="14"/>
      <c r="B26" s="129" t="s">
        <v>100</v>
      </c>
      <c r="C26" s="130"/>
      <c r="D26" s="130"/>
      <c r="E26" s="130"/>
      <c r="F26" s="131"/>
      <c r="G26" s="30" t="s">
        <v>141</v>
      </c>
      <c r="H26" s="112" t="s">
        <v>140</v>
      </c>
      <c r="I26" s="130" t="s">
        <v>101</v>
      </c>
      <c r="J26" s="130"/>
      <c r="K26" s="130"/>
      <c r="L26" s="75" t="s">
        <v>127</v>
      </c>
      <c r="M26" s="75" t="s">
        <v>128</v>
      </c>
      <c r="N26" s="129" t="s">
        <v>100</v>
      </c>
      <c r="O26" s="130"/>
      <c r="P26" s="130"/>
      <c r="Q26" s="130"/>
      <c r="R26" s="130"/>
      <c r="S26" s="131"/>
      <c r="T26" s="30" t="s">
        <v>141</v>
      </c>
      <c r="U26" s="112" t="s">
        <v>140</v>
      </c>
      <c r="V26" s="130" t="s">
        <v>101</v>
      </c>
      <c r="W26" s="130"/>
      <c r="X26" s="130"/>
      <c r="Y26" s="75" t="s">
        <v>127</v>
      </c>
      <c r="Z26" s="75" t="s">
        <v>128</v>
      </c>
    </row>
    <row r="27" spans="1:26" ht="18" customHeight="1" x14ac:dyDescent="0.15">
      <c r="A27" s="14"/>
      <c r="B27" s="184" t="s">
        <v>166</v>
      </c>
      <c r="C27" s="185"/>
      <c r="D27" s="185"/>
      <c r="E27" s="185"/>
      <c r="F27" s="186"/>
      <c r="G27" s="113">
        <v>2</v>
      </c>
      <c r="H27" s="113" t="s">
        <v>169</v>
      </c>
      <c r="I27" s="190" t="s">
        <v>168</v>
      </c>
      <c r="J27" s="191"/>
      <c r="K27" s="192"/>
      <c r="L27" s="113" t="s">
        <v>169</v>
      </c>
      <c r="M27" s="113" t="s">
        <v>169</v>
      </c>
      <c r="N27" s="160"/>
      <c r="O27" s="161"/>
      <c r="P27" s="161"/>
      <c r="Q27" s="161"/>
      <c r="R27" s="161"/>
      <c r="S27" s="162"/>
      <c r="T27" s="113"/>
      <c r="U27" s="113"/>
      <c r="V27" s="190"/>
      <c r="W27" s="191"/>
      <c r="X27" s="192"/>
      <c r="Y27" s="113"/>
      <c r="Z27" s="113"/>
    </row>
    <row r="28" spans="1:26" ht="18" customHeight="1" x14ac:dyDescent="0.15">
      <c r="A28" s="14"/>
      <c r="B28" s="177"/>
      <c r="C28" s="178"/>
      <c r="D28" s="178"/>
      <c r="E28" s="178"/>
      <c r="F28" s="179"/>
      <c r="G28" s="114"/>
      <c r="H28" s="114"/>
      <c r="I28" s="169"/>
      <c r="J28" s="170"/>
      <c r="K28" s="171"/>
      <c r="L28" s="114"/>
      <c r="M28" s="114"/>
      <c r="N28" s="163"/>
      <c r="O28" s="164"/>
      <c r="P28" s="164"/>
      <c r="Q28" s="164"/>
      <c r="R28" s="164"/>
      <c r="S28" s="165"/>
      <c r="T28" s="114"/>
      <c r="U28" s="114"/>
      <c r="V28" s="169"/>
      <c r="W28" s="170"/>
      <c r="X28" s="171"/>
      <c r="Y28" s="114"/>
      <c r="Z28" s="114"/>
    </row>
    <row r="29" spans="1:26" ht="18" customHeight="1" x14ac:dyDescent="0.15">
      <c r="A29" s="14"/>
      <c r="B29" s="177"/>
      <c r="C29" s="178"/>
      <c r="D29" s="178"/>
      <c r="E29" s="178"/>
      <c r="F29" s="179"/>
      <c r="G29" s="114"/>
      <c r="H29" s="114"/>
      <c r="I29" s="169"/>
      <c r="J29" s="170"/>
      <c r="K29" s="171"/>
      <c r="L29" s="114"/>
      <c r="M29" s="114"/>
      <c r="N29" s="163"/>
      <c r="O29" s="164"/>
      <c r="P29" s="164"/>
      <c r="Q29" s="164"/>
      <c r="R29" s="164"/>
      <c r="S29" s="165"/>
      <c r="T29" s="114"/>
      <c r="U29" s="114"/>
      <c r="V29" s="169"/>
      <c r="W29" s="170"/>
      <c r="X29" s="171"/>
      <c r="Y29" s="114"/>
      <c r="Z29" s="114"/>
    </row>
    <row r="30" spans="1:26" ht="18" customHeight="1" x14ac:dyDescent="0.15">
      <c r="A30" s="14"/>
      <c r="B30" s="177"/>
      <c r="C30" s="178"/>
      <c r="D30" s="178"/>
      <c r="E30" s="178"/>
      <c r="F30" s="179"/>
      <c r="G30" s="114"/>
      <c r="H30" s="114"/>
      <c r="I30" s="169"/>
      <c r="J30" s="170"/>
      <c r="K30" s="171"/>
      <c r="L30" s="114"/>
      <c r="M30" s="114"/>
      <c r="N30" s="163"/>
      <c r="O30" s="164"/>
      <c r="P30" s="164"/>
      <c r="Q30" s="164"/>
      <c r="R30" s="164"/>
      <c r="S30" s="165"/>
      <c r="T30" s="114"/>
      <c r="U30" s="114"/>
      <c r="V30" s="169"/>
      <c r="W30" s="170"/>
      <c r="X30" s="171"/>
      <c r="Y30" s="114"/>
      <c r="Z30" s="114"/>
    </row>
    <row r="31" spans="1:26" ht="18" customHeight="1" x14ac:dyDescent="0.15">
      <c r="A31" s="14"/>
      <c r="B31" s="177"/>
      <c r="C31" s="178"/>
      <c r="D31" s="178"/>
      <c r="E31" s="178"/>
      <c r="F31" s="179"/>
      <c r="G31" s="114"/>
      <c r="H31" s="114"/>
      <c r="I31" s="169"/>
      <c r="J31" s="170"/>
      <c r="K31" s="171"/>
      <c r="L31" s="114"/>
      <c r="M31" s="114"/>
      <c r="N31" s="163"/>
      <c r="O31" s="164"/>
      <c r="P31" s="164"/>
      <c r="Q31" s="164"/>
      <c r="R31" s="164"/>
      <c r="S31" s="165"/>
      <c r="T31" s="114"/>
      <c r="U31" s="114"/>
      <c r="V31" s="169"/>
      <c r="W31" s="170"/>
      <c r="X31" s="171"/>
      <c r="Y31" s="114"/>
      <c r="Z31" s="114"/>
    </row>
    <row r="32" spans="1:26" ht="18" customHeight="1" x14ac:dyDescent="0.15">
      <c r="A32" s="14"/>
      <c r="B32" s="177"/>
      <c r="C32" s="178"/>
      <c r="D32" s="178"/>
      <c r="E32" s="178"/>
      <c r="F32" s="179"/>
      <c r="G32" s="114"/>
      <c r="H32" s="114"/>
      <c r="I32" s="169"/>
      <c r="J32" s="170"/>
      <c r="K32" s="171"/>
      <c r="L32" s="114"/>
      <c r="M32" s="114"/>
      <c r="N32" s="163"/>
      <c r="O32" s="164"/>
      <c r="P32" s="164"/>
      <c r="Q32" s="164"/>
      <c r="R32" s="164"/>
      <c r="S32" s="165"/>
      <c r="T32" s="114"/>
      <c r="U32" s="114"/>
      <c r="V32" s="169"/>
      <c r="W32" s="170"/>
      <c r="X32" s="171"/>
      <c r="Y32" s="114"/>
      <c r="Z32" s="114"/>
    </row>
    <row r="33" spans="1:26" ht="18" customHeight="1" x14ac:dyDescent="0.15">
      <c r="A33" s="14"/>
      <c r="B33" s="180"/>
      <c r="C33" s="181"/>
      <c r="D33" s="181"/>
      <c r="E33" s="181"/>
      <c r="F33" s="182"/>
      <c r="G33" s="115"/>
      <c r="H33" s="115"/>
      <c r="I33" s="172"/>
      <c r="J33" s="173"/>
      <c r="K33" s="174"/>
      <c r="L33" s="121"/>
      <c r="M33" s="121"/>
      <c r="N33" s="166"/>
      <c r="O33" s="167"/>
      <c r="P33" s="167"/>
      <c r="Q33" s="167"/>
      <c r="R33" s="167"/>
      <c r="S33" s="168"/>
      <c r="T33" s="115"/>
      <c r="U33" s="115"/>
      <c r="V33" s="172"/>
      <c r="W33" s="173"/>
      <c r="X33" s="174"/>
      <c r="Y33" s="121"/>
      <c r="Z33" s="121"/>
    </row>
    <row r="34" spans="1:26" ht="7.5" customHeight="1" x14ac:dyDescent="0.15">
      <c r="A34" s="29"/>
      <c r="B34" s="76"/>
      <c r="C34" s="76"/>
      <c r="D34" s="29"/>
      <c r="E34" s="29"/>
      <c r="F34" s="29"/>
      <c r="G34" s="29"/>
      <c r="H34" s="29"/>
      <c r="I34" s="29"/>
      <c r="J34" s="29"/>
      <c r="K34" s="29"/>
      <c r="L34" s="76"/>
      <c r="M34" s="76"/>
      <c r="N34" s="76"/>
      <c r="O34" s="76"/>
      <c r="P34" s="76"/>
      <c r="Q34" s="76"/>
      <c r="R34" s="76"/>
      <c r="S34" s="76"/>
      <c r="T34" s="76"/>
      <c r="U34" s="76"/>
      <c r="V34" s="76"/>
      <c r="W34" s="76"/>
      <c r="X34" s="76"/>
      <c r="Y34" s="76"/>
      <c r="Z34" s="29"/>
    </row>
    <row r="35" spans="1:26" ht="18" customHeight="1" x14ac:dyDescent="0.15">
      <c r="A35" s="221" t="s">
        <v>129</v>
      </c>
      <c r="B35" s="221"/>
      <c r="C35" s="221"/>
      <c r="D35" s="221"/>
      <c r="E35" s="221"/>
      <c r="F35" s="221"/>
      <c r="G35" s="221"/>
      <c r="H35" s="221"/>
      <c r="I35" s="221"/>
      <c r="J35" s="221"/>
      <c r="K35" s="221"/>
      <c r="L35" s="221"/>
      <c r="M35" s="221"/>
      <c r="N35" s="221"/>
      <c r="O35" s="221"/>
      <c r="P35" s="221"/>
      <c r="Q35" s="221"/>
      <c r="R35" s="221"/>
      <c r="S35" s="221"/>
      <c r="T35" s="221"/>
      <c r="U35" s="221"/>
      <c r="V35" s="221"/>
      <c r="W35" s="221"/>
      <c r="X35" s="221"/>
      <c r="Y35" s="221"/>
      <c r="Z35" s="221"/>
    </row>
    <row r="36" spans="1:26" ht="18" customHeight="1" x14ac:dyDescent="0.15">
      <c r="A36" s="221"/>
      <c r="B36" s="221"/>
      <c r="C36" s="221"/>
      <c r="D36" s="221"/>
      <c r="E36" s="221"/>
      <c r="F36" s="221"/>
      <c r="G36" s="221"/>
      <c r="H36" s="221"/>
      <c r="I36" s="221"/>
      <c r="J36" s="221"/>
      <c r="K36" s="221"/>
      <c r="L36" s="221"/>
      <c r="M36" s="221"/>
      <c r="N36" s="221"/>
      <c r="O36" s="221"/>
      <c r="P36" s="221"/>
      <c r="Q36" s="221"/>
      <c r="R36" s="221"/>
      <c r="S36" s="221"/>
      <c r="T36" s="221"/>
      <c r="U36" s="221"/>
      <c r="V36" s="221"/>
      <c r="W36" s="221"/>
      <c r="X36" s="221"/>
      <c r="Y36" s="221"/>
      <c r="Z36" s="221"/>
    </row>
    <row r="37" spans="1:26" ht="18" customHeight="1" x14ac:dyDescent="0.15">
      <c r="A37" s="14"/>
      <c r="B37" s="129" t="s">
        <v>100</v>
      </c>
      <c r="C37" s="130"/>
      <c r="D37" s="130"/>
      <c r="E37" s="130"/>
      <c r="F37" s="131"/>
      <c r="G37" s="30" t="s">
        <v>141</v>
      </c>
      <c r="H37" s="112" t="s">
        <v>140</v>
      </c>
      <c r="I37" s="129" t="s">
        <v>101</v>
      </c>
      <c r="J37" s="130"/>
      <c r="K37" s="131"/>
      <c r="L37" s="75" t="s">
        <v>130</v>
      </c>
      <c r="M37" s="75" t="s">
        <v>131</v>
      </c>
      <c r="N37" s="129" t="s">
        <v>100</v>
      </c>
      <c r="O37" s="130"/>
      <c r="P37" s="130"/>
      <c r="Q37" s="130"/>
      <c r="R37" s="130"/>
      <c r="S37" s="131"/>
      <c r="T37" s="30" t="s">
        <v>141</v>
      </c>
      <c r="U37" s="112" t="s">
        <v>140</v>
      </c>
      <c r="V37" s="129" t="s">
        <v>101</v>
      </c>
      <c r="W37" s="130"/>
      <c r="X37" s="131"/>
      <c r="Y37" s="75" t="s">
        <v>130</v>
      </c>
      <c r="Z37" s="75" t="s">
        <v>131</v>
      </c>
    </row>
    <row r="38" spans="1:26" ht="18" customHeight="1" x14ac:dyDescent="0.15">
      <c r="A38" s="29"/>
      <c r="B38" s="184" t="s">
        <v>166</v>
      </c>
      <c r="C38" s="185"/>
      <c r="D38" s="185"/>
      <c r="E38" s="185"/>
      <c r="F38" s="186"/>
      <c r="G38" s="113">
        <v>2</v>
      </c>
      <c r="H38" s="113" t="s">
        <v>169</v>
      </c>
      <c r="I38" s="190" t="s">
        <v>168</v>
      </c>
      <c r="J38" s="191"/>
      <c r="K38" s="192"/>
      <c r="L38" s="113" t="s">
        <v>169</v>
      </c>
      <c r="M38" s="113" t="s">
        <v>169</v>
      </c>
      <c r="N38" s="160"/>
      <c r="O38" s="161"/>
      <c r="P38" s="161"/>
      <c r="Q38" s="161"/>
      <c r="R38" s="161"/>
      <c r="S38" s="162"/>
      <c r="T38" s="113"/>
      <c r="U38" s="113"/>
      <c r="V38" s="190"/>
      <c r="W38" s="191"/>
      <c r="X38" s="192"/>
      <c r="Y38" s="113"/>
      <c r="Z38" s="113"/>
    </row>
    <row r="39" spans="1:26" ht="18" customHeight="1" x14ac:dyDescent="0.15">
      <c r="A39" s="29"/>
      <c r="B39" s="177"/>
      <c r="C39" s="178"/>
      <c r="D39" s="178"/>
      <c r="E39" s="178"/>
      <c r="F39" s="179"/>
      <c r="G39" s="114"/>
      <c r="H39" s="114"/>
      <c r="I39" s="169"/>
      <c r="J39" s="170"/>
      <c r="K39" s="171"/>
      <c r="L39" s="114"/>
      <c r="M39" s="114"/>
      <c r="N39" s="163"/>
      <c r="O39" s="164"/>
      <c r="P39" s="164"/>
      <c r="Q39" s="164"/>
      <c r="R39" s="164"/>
      <c r="S39" s="165"/>
      <c r="T39" s="114"/>
      <c r="U39" s="114"/>
      <c r="V39" s="169"/>
      <c r="W39" s="170"/>
      <c r="X39" s="171"/>
      <c r="Y39" s="114"/>
      <c r="Z39" s="114"/>
    </row>
    <row r="40" spans="1:26" ht="18" customHeight="1" x14ac:dyDescent="0.15">
      <c r="A40" s="29"/>
      <c r="B40" s="177"/>
      <c r="C40" s="178"/>
      <c r="D40" s="178"/>
      <c r="E40" s="178"/>
      <c r="F40" s="179"/>
      <c r="G40" s="114"/>
      <c r="H40" s="114"/>
      <c r="I40" s="169"/>
      <c r="J40" s="170"/>
      <c r="K40" s="171"/>
      <c r="L40" s="114"/>
      <c r="M40" s="114"/>
      <c r="N40" s="163"/>
      <c r="O40" s="164"/>
      <c r="P40" s="164"/>
      <c r="Q40" s="164"/>
      <c r="R40" s="164"/>
      <c r="S40" s="165"/>
      <c r="T40" s="114"/>
      <c r="U40" s="114"/>
      <c r="V40" s="169"/>
      <c r="W40" s="170"/>
      <c r="X40" s="171"/>
      <c r="Y40" s="114"/>
      <c r="Z40" s="114"/>
    </row>
    <row r="41" spans="1:26" ht="18" customHeight="1" x14ac:dyDescent="0.15">
      <c r="A41" s="29"/>
      <c r="B41" s="177"/>
      <c r="C41" s="178"/>
      <c r="D41" s="178"/>
      <c r="E41" s="178"/>
      <c r="F41" s="179"/>
      <c r="G41" s="114"/>
      <c r="H41" s="114"/>
      <c r="I41" s="169"/>
      <c r="J41" s="170"/>
      <c r="K41" s="171"/>
      <c r="L41" s="114"/>
      <c r="M41" s="114"/>
      <c r="N41" s="163"/>
      <c r="O41" s="164"/>
      <c r="P41" s="164"/>
      <c r="Q41" s="164"/>
      <c r="R41" s="164"/>
      <c r="S41" s="165"/>
      <c r="T41" s="114"/>
      <c r="U41" s="114"/>
      <c r="V41" s="169"/>
      <c r="W41" s="170"/>
      <c r="X41" s="171"/>
      <c r="Y41" s="114"/>
      <c r="Z41" s="114"/>
    </row>
    <row r="42" spans="1:26" ht="18" customHeight="1" x14ac:dyDescent="0.15">
      <c r="A42" s="29"/>
      <c r="B42" s="177"/>
      <c r="C42" s="178"/>
      <c r="D42" s="178"/>
      <c r="E42" s="178"/>
      <c r="F42" s="179"/>
      <c r="G42" s="114"/>
      <c r="H42" s="114"/>
      <c r="I42" s="169"/>
      <c r="J42" s="170"/>
      <c r="K42" s="171"/>
      <c r="L42" s="114"/>
      <c r="M42" s="114"/>
      <c r="N42" s="163"/>
      <c r="O42" s="164"/>
      <c r="P42" s="164"/>
      <c r="Q42" s="164"/>
      <c r="R42" s="164"/>
      <c r="S42" s="165"/>
      <c r="T42" s="114"/>
      <c r="U42" s="114"/>
      <c r="V42" s="169"/>
      <c r="W42" s="170"/>
      <c r="X42" s="171"/>
      <c r="Y42" s="114"/>
      <c r="Z42" s="114"/>
    </row>
    <row r="43" spans="1:26" ht="18" customHeight="1" x14ac:dyDescent="0.15">
      <c r="A43" s="29"/>
      <c r="B43" s="177"/>
      <c r="C43" s="178"/>
      <c r="D43" s="178"/>
      <c r="E43" s="178"/>
      <c r="F43" s="179"/>
      <c r="G43" s="114"/>
      <c r="H43" s="114"/>
      <c r="I43" s="169"/>
      <c r="J43" s="170"/>
      <c r="K43" s="171"/>
      <c r="L43" s="114"/>
      <c r="M43" s="114"/>
      <c r="N43" s="163"/>
      <c r="O43" s="164"/>
      <c r="P43" s="164"/>
      <c r="Q43" s="164"/>
      <c r="R43" s="164"/>
      <c r="S43" s="165"/>
      <c r="T43" s="114"/>
      <c r="U43" s="114"/>
      <c r="V43" s="169"/>
      <c r="W43" s="170"/>
      <c r="X43" s="171"/>
      <c r="Y43" s="114"/>
      <c r="Z43" s="114"/>
    </row>
    <row r="44" spans="1:26" ht="18" customHeight="1" x14ac:dyDescent="0.15">
      <c r="A44" s="29"/>
      <c r="B44" s="180"/>
      <c r="C44" s="181"/>
      <c r="D44" s="181"/>
      <c r="E44" s="181"/>
      <c r="F44" s="182"/>
      <c r="G44" s="115"/>
      <c r="H44" s="115"/>
      <c r="I44" s="172"/>
      <c r="J44" s="173"/>
      <c r="K44" s="174"/>
      <c r="L44" s="121"/>
      <c r="M44" s="121"/>
      <c r="N44" s="166"/>
      <c r="O44" s="167"/>
      <c r="P44" s="167"/>
      <c r="Q44" s="167"/>
      <c r="R44" s="167"/>
      <c r="S44" s="168"/>
      <c r="T44" s="115"/>
      <c r="U44" s="115"/>
      <c r="V44" s="172"/>
      <c r="W44" s="173"/>
      <c r="X44" s="174"/>
      <c r="Y44" s="121"/>
      <c r="Z44" s="121"/>
    </row>
    <row r="45" spans="1:26" ht="7.5" customHeight="1" x14ac:dyDescent="0.15">
      <c r="B45" s="77"/>
      <c r="C45" s="77"/>
      <c r="D45" s="77"/>
      <c r="E45" s="77"/>
      <c r="F45" s="77"/>
      <c r="G45" s="77"/>
      <c r="H45" s="77"/>
      <c r="I45" s="77"/>
      <c r="J45" s="77"/>
      <c r="K45" s="77"/>
      <c r="L45" s="77"/>
      <c r="M45" s="77"/>
      <c r="N45" s="77"/>
      <c r="O45" s="77"/>
      <c r="P45" s="77"/>
      <c r="Q45" s="77"/>
      <c r="R45" s="77"/>
      <c r="S45" s="77"/>
      <c r="T45" s="77"/>
      <c r="U45" s="77"/>
      <c r="V45" s="77"/>
      <c r="W45" s="77"/>
      <c r="X45" s="77"/>
      <c r="Y45" s="77"/>
    </row>
    <row r="46" spans="1:26" ht="18" customHeight="1" x14ac:dyDescent="0.15">
      <c r="A46" s="221" t="s">
        <v>132</v>
      </c>
      <c r="B46" s="221"/>
      <c r="C46" s="221"/>
      <c r="D46" s="221"/>
      <c r="E46" s="221"/>
      <c r="F46" s="221"/>
      <c r="G46" s="221"/>
      <c r="H46" s="221"/>
      <c r="I46" s="221"/>
      <c r="J46" s="221"/>
      <c r="K46" s="221"/>
      <c r="L46" s="221"/>
      <c r="M46" s="221"/>
      <c r="N46" s="221"/>
      <c r="O46" s="221"/>
      <c r="P46" s="221"/>
      <c r="Q46" s="221"/>
      <c r="R46" s="221"/>
      <c r="S46" s="221"/>
      <c r="T46" s="221"/>
      <c r="U46" s="221"/>
      <c r="V46" s="221"/>
      <c r="W46" s="221"/>
      <c r="X46" s="221"/>
      <c r="Y46" s="221"/>
      <c r="Z46" s="221"/>
    </row>
    <row r="47" spans="1:26" ht="18" customHeight="1" x14ac:dyDescent="0.15">
      <c r="A47" s="221"/>
      <c r="B47" s="221"/>
      <c r="C47" s="221"/>
      <c r="D47" s="221"/>
      <c r="E47" s="221"/>
      <c r="F47" s="221"/>
      <c r="G47" s="221"/>
      <c r="H47" s="221"/>
      <c r="I47" s="221"/>
      <c r="J47" s="221"/>
      <c r="K47" s="221"/>
      <c r="L47" s="221"/>
      <c r="M47" s="221"/>
      <c r="N47" s="221"/>
      <c r="O47" s="221"/>
      <c r="P47" s="221"/>
      <c r="Q47" s="221"/>
      <c r="R47" s="221"/>
      <c r="S47" s="221"/>
      <c r="T47" s="221"/>
      <c r="U47" s="221"/>
      <c r="V47" s="221"/>
      <c r="W47" s="221"/>
      <c r="X47" s="221"/>
      <c r="Y47" s="221"/>
      <c r="Z47" s="221"/>
    </row>
    <row r="48" spans="1:26" ht="18" customHeight="1" x14ac:dyDescent="0.15">
      <c r="A48" s="14"/>
      <c r="B48" s="129" t="s">
        <v>100</v>
      </c>
      <c r="C48" s="130"/>
      <c r="D48" s="130"/>
      <c r="E48" s="130"/>
      <c r="F48" s="131"/>
      <c r="G48" s="30" t="s">
        <v>141</v>
      </c>
      <c r="H48" s="112" t="s">
        <v>140</v>
      </c>
      <c r="I48" s="129" t="s">
        <v>101</v>
      </c>
      <c r="J48" s="130"/>
      <c r="K48" s="131"/>
      <c r="L48" s="75" t="s">
        <v>106</v>
      </c>
      <c r="M48" s="75" t="s">
        <v>108</v>
      </c>
      <c r="N48" s="129" t="s">
        <v>100</v>
      </c>
      <c r="O48" s="130"/>
      <c r="P48" s="130"/>
      <c r="Q48" s="130"/>
      <c r="R48" s="130"/>
      <c r="S48" s="131"/>
      <c r="T48" s="30" t="s">
        <v>141</v>
      </c>
      <c r="U48" s="112" t="s">
        <v>140</v>
      </c>
      <c r="V48" s="129" t="s">
        <v>101</v>
      </c>
      <c r="W48" s="130"/>
      <c r="X48" s="131"/>
      <c r="Y48" s="75" t="s">
        <v>106</v>
      </c>
      <c r="Z48" s="75" t="s">
        <v>108</v>
      </c>
    </row>
    <row r="49" spans="1:26" ht="18" customHeight="1" x14ac:dyDescent="0.15">
      <c r="A49" s="29"/>
      <c r="B49" s="184" t="s">
        <v>166</v>
      </c>
      <c r="C49" s="185"/>
      <c r="D49" s="185"/>
      <c r="E49" s="185"/>
      <c r="F49" s="186"/>
      <c r="G49" s="113">
        <v>2</v>
      </c>
      <c r="H49" s="113" t="s">
        <v>169</v>
      </c>
      <c r="I49" s="190" t="s">
        <v>168</v>
      </c>
      <c r="J49" s="191"/>
      <c r="K49" s="192"/>
      <c r="L49" s="113" t="s">
        <v>169</v>
      </c>
      <c r="M49" s="113" t="s">
        <v>169</v>
      </c>
      <c r="N49" s="160"/>
      <c r="O49" s="161"/>
      <c r="P49" s="161"/>
      <c r="Q49" s="161"/>
      <c r="R49" s="161"/>
      <c r="S49" s="162"/>
      <c r="T49" s="113"/>
      <c r="U49" s="113"/>
      <c r="V49" s="190"/>
      <c r="W49" s="191"/>
      <c r="X49" s="192"/>
      <c r="Y49" s="113"/>
      <c r="Z49" s="113"/>
    </row>
    <row r="50" spans="1:26" ht="18" customHeight="1" x14ac:dyDescent="0.15">
      <c r="A50" s="29"/>
      <c r="B50" s="177"/>
      <c r="C50" s="178"/>
      <c r="D50" s="178"/>
      <c r="E50" s="178"/>
      <c r="F50" s="179"/>
      <c r="G50" s="114"/>
      <c r="H50" s="114"/>
      <c r="I50" s="169"/>
      <c r="J50" s="170"/>
      <c r="K50" s="171"/>
      <c r="L50" s="114"/>
      <c r="M50" s="114"/>
      <c r="N50" s="163"/>
      <c r="O50" s="164"/>
      <c r="P50" s="164"/>
      <c r="Q50" s="164"/>
      <c r="R50" s="164"/>
      <c r="S50" s="165"/>
      <c r="T50" s="114"/>
      <c r="U50" s="114"/>
      <c r="V50" s="169"/>
      <c r="W50" s="170"/>
      <c r="X50" s="171"/>
      <c r="Y50" s="114"/>
      <c r="Z50" s="114"/>
    </row>
    <row r="51" spans="1:26" ht="18" customHeight="1" x14ac:dyDescent="0.15">
      <c r="A51" s="29"/>
      <c r="B51" s="177"/>
      <c r="C51" s="178"/>
      <c r="D51" s="178"/>
      <c r="E51" s="178"/>
      <c r="F51" s="179"/>
      <c r="G51" s="114"/>
      <c r="H51" s="114"/>
      <c r="I51" s="169"/>
      <c r="J51" s="170"/>
      <c r="K51" s="171"/>
      <c r="L51" s="114"/>
      <c r="M51" s="114"/>
      <c r="N51" s="163"/>
      <c r="O51" s="164"/>
      <c r="P51" s="164"/>
      <c r="Q51" s="164"/>
      <c r="R51" s="164"/>
      <c r="S51" s="165"/>
      <c r="T51" s="114"/>
      <c r="U51" s="114"/>
      <c r="V51" s="169"/>
      <c r="W51" s="170"/>
      <c r="X51" s="171"/>
      <c r="Y51" s="114"/>
      <c r="Z51" s="114"/>
    </row>
    <row r="52" spans="1:26" ht="18" customHeight="1" x14ac:dyDescent="0.15">
      <c r="A52" s="29"/>
      <c r="B52" s="177"/>
      <c r="C52" s="178"/>
      <c r="D52" s="178"/>
      <c r="E52" s="178"/>
      <c r="F52" s="179"/>
      <c r="G52" s="114"/>
      <c r="H52" s="114"/>
      <c r="I52" s="169"/>
      <c r="J52" s="170"/>
      <c r="K52" s="171"/>
      <c r="L52" s="114"/>
      <c r="M52" s="114"/>
      <c r="N52" s="163"/>
      <c r="O52" s="164"/>
      <c r="P52" s="164"/>
      <c r="Q52" s="164"/>
      <c r="R52" s="164"/>
      <c r="S52" s="165"/>
      <c r="T52" s="114"/>
      <c r="U52" s="114"/>
      <c r="V52" s="169"/>
      <c r="W52" s="170"/>
      <c r="X52" s="171"/>
      <c r="Y52" s="114"/>
      <c r="Z52" s="114"/>
    </row>
    <row r="53" spans="1:26" ht="18" customHeight="1" x14ac:dyDescent="0.15">
      <c r="A53" s="29"/>
      <c r="B53" s="177"/>
      <c r="C53" s="178"/>
      <c r="D53" s="178"/>
      <c r="E53" s="178"/>
      <c r="F53" s="179"/>
      <c r="G53" s="114"/>
      <c r="H53" s="114"/>
      <c r="I53" s="169"/>
      <c r="J53" s="170"/>
      <c r="K53" s="171"/>
      <c r="L53" s="114"/>
      <c r="M53" s="114"/>
      <c r="N53" s="163"/>
      <c r="O53" s="164"/>
      <c r="P53" s="164"/>
      <c r="Q53" s="164"/>
      <c r="R53" s="164"/>
      <c r="S53" s="165"/>
      <c r="T53" s="114"/>
      <c r="U53" s="114"/>
      <c r="V53" s="169"/>
      <c r="W53" s="170"/>
      <c r="X53" s="171"/>
      <c r="Y53" s="114"/>
      <c r="Z53" s="114"/>
    </row>
    <row r="54" spans="1:26" ht="18" customHeight="1" x14ac:dyDescent="0.15">
      <c r="A54" s="29"/>
      <c r="B54" s="177"/>
      <c r="C54" s="178"/>
      <c r="D54" s="178"/>
      <c r="E54" s="178"/>
      <c r="F54" s="179"/>
      <c r="G54" s="114"/>
      <c r="H54" s="114"/>
      <c r="I54" s="169"/>
      <c r="J54" s="170"/>
      <c r="K54" s="171"/>
      <c r="L54" s="114"/>
      <c r="M54" s="114"/>
      <c r="N54" s="163"/>
      <c r="O54" s="164"/>
      <c r="P54" s="164"/>
      <c r="Q54" s="164"/>
      <c r="R54" s="164"/>
      <c r="S54" s="165"/>
      <c r="T54" s="114"/>
      <c r="U54" s="114"/>
      <c r="V54" s="169"/>
      <c r="W54" s="170"/>
      <c r="X54" s="171"/>
      <c r="Y54" s="114"/>
      <c r="Z54" s="114"/>
    </row>
    <row r="55" spans="1:26" ht="18" customHeight="1" x14ac:dyDescent="0.15">
      <c r="A55" s="29"/>
      <c r="B55" s="180"/>
      <c r="C55" s="181"/>
      <c r="D55" s="181"/>
      <c r="E55" s="181"/>
      <c r="F55" s="182"/>
      <c r="G55" s="115"/>
      <c r="H55" s="115"/>
      <c r="I55" s="172"/>
      <c r="J55" s="173"/>
      <c r="K55" s="174"/>
      <c r="L55" s="121"/>
      <c r="M55" s="121"/>
      <c r="N55" s="166"/>
      <c r="O55" s="167"/>
      <c r="P55" s="167"/>
      <c r="Q55" s="167"/>
      <c r="R55" s="167"/>
      <c r="S55" s="168"/>
      <c r="T55" s="115"/>
      <c r="U55" s="115"/>
      <c r="V55" s="172"/>
      <c r="W55" s="173"/>
      <c r="X55" s="174"/>
      <c r="Y55" s="121"/>
      <c r="Z55" s="121"/>
    </row>
    <row r="56" spans="1:26" ht="7.5" customHeight="1" x14ac:dyDescent="0.15">
      <c r="B56" s="77"/>
      <c r="C56" s="77"/>
      <c r="D56" s="77"/>
      <c r="E56" s="77"/>
      <c r="F56" s="77"/>
      <c r="G56" s="77"/>
      <c r="H56" s="77"/>
      <c r="I56" s="77"/>
      <c r="J56" s="77"/>
      <c r="K56" s="77"/>
      <c r="L56" s="77"/>
      <c r="M56" s="77"/>
      <c r="N56" s="77"/>
      <c r="O56" s="77"/>
      <c r="P56" s="77"/>
      <c r="Q56" s="77"/>
      <c r="R56" s="77"/>
      <c r="S56" s="77"/>
      <c r="T56" s="77"/>
      <c r="U56" s="77"/>
      <c r="V56" s="77"/>
      <c r="W56" s="77"/>
      <c r="X56" s="77"/>
      <c r="Y56" s="77"/>
    </row>
    <row r="57" spans="1:26" ht="18" customHeight="1" x14ac:dyDescent="0.15">
      <c r="A57" s="221" t="s">
        <v>133</v>
      </c>
      <c r="B57" s="221"/>
      <c r="C57" s="221"/>
      <c r="D57" s="221"/>
      <c r="E57" s="221"/>
      <c r="F57" s="221"/>
      <c r="G57" s="221"/>
      <c r="H57" s="221"/>
      <c r="I57" s="221"/>
      <c r="J57" s="221"/>
      <c r="K57" s="221"/>
      <c r="L57" s="221"/>
      <c r="M57" s="221"/>
      <c r="N57" s="221"/>
      <c r="O57" s="221"/>
      <c r="P57" s="221"/>
      <c r="Q57" s="221"/>
      <c r="R57" s="221"/>
      <c r="S57" s="221"/>
      <c r="T57" s="221"/>
      <c r="U57" s="221"/>
      <c r="V57" s="221"/>
      <c r="W57" s="221"/>
      <c r="X57" s="221"/>
      <c r="Y57" s="221"/>
      <c r="Z57" s="221"/>
    </row>
    <row r="58" spans="1:26" ht="18" customHeight="1" x14ac:dyDescent="0.15">
      <c r="A58" s="221"/>
      <c r="B58" s="221"/>
      <c r="C58" s="221"/>
      <c r="D58" s="221"/>
      <c r="E58" s="221"/>
      <c r="F58" s="221"/>
      <c r="G58" s="221"/>
      <c r="H58" s="221"/>
      <c r="I58" s="221"/>
      <c r="J58" s="221"/>
      <c r="K58" s="221"/>
      <c r="L58" s="221"/>
      <c r="M58" s="221"/>
      <c r="N58" s="221"/>
      <c r="O58" s="221"/>
      <c r="P58" s="221"/>
      <c r="Q58" s="221"/>
      <c r="R58" s="221"/>
      <c r="S58" s="221"/>
      <c r="T58" s="221"/>
      <c r="U58" s="221"/>
      <c r="V58" s="221"/>
      <c r="W58" s="221"/>
      <c r="X58" s="221"/>
      <c r="Y58" s="221"/>
      <c r="Z58" s="221"/>
    </row>
    <row r="59" spans="1:26" ht="18" customHeight="1" x14ac:dyDescent="0.15">
      <c r="A59" s="14"/>
      <c r="B59" s="129" t="s">
        <v>100</v>
      </c>
      <c r="C59" s="130"/>
      <c r="D59" s="130"/>
      <c r="E59" s="131"/>
      <c r="F59" s="30" t="s">
        <v>141</v>
      </c>
      <c r="G59" s="112" t="s">
        <v>140</v>
      </c>
      <c r="H59" s="137" t="s">
        <v>101</v>
      </c>
      <c r="I59" s="175"/>
      <c r="J59" s="176"/>
      <c r="K59" s="75" t="s">
        <v>105</v>
      </c>
      <c r="L59" s="75" t="s">
        <v>134</v>
      </c>
      <c r="M59" s="75" t="s">
        <v>135</v>
      </c>
      <c r="N59" s="129" t="s">
        <v>100</v>
      </c>
      <c r="O59" s="130"/>
      <c r="P59" s="130"/>
      <c r="Q59" s="130"/>
      <c r="R59" s="131"/>
      <c r="S59" s="30" t="s">
        <v>141</v>
      </c>
      <c r="T59" s="112" t="s">
        <v>140</v>
      </c>
      <c r="U59" s="107" t="s">
        <v>101</v>
      </c>
      <c r="V59" s="108"/>
      <c r="W59" s="109"/>
      <c r="X59" s="75" t="s">
        <v>105</v>
      </c>
      <c r="Y59" s="75" t="s">
        <v>134</v>
      </c>
      <c r="Z59" s="75" t="s">
        <v>135</v>
      </c>
    </row>
    <row r="60" spans="1:26" ht="18" customHeight="1" x14ac:dyDescent="0.15">
      <c r="A60" s="29"/>
      <c r="B60" s="160" t="s">
        <v>170</v>
      </c>
      <c r="C60" s="161"/>
      <c r="D60" s="161"/>
      <c r="E60" s="162"/>
      <c r="F60" s="113">
        <v>2</v>
      </c>
      <c r="G60" s="113" t="s">
        <v>169</v>
      </c>
      <c r="H60" s="190" t="s">
        <v>168</v>
      </c>
      <c r="I60" s="191"/>
      <c r="J60" s="192"/>
      <c r="K60" s="113" t="s">
        <v>169</v>
      </c>
      <c r="L60" s="113" t="s">
        <v>169</v>
      </c>
      <c r="M60" s="113" t="s">
        <v>169</v>
      </c>
      <c r="N60" s="160"/>
      <c r="O60" s="161"/>
      <c r="P60" s="161"/>
      <c r="Q60" s="161"/>
      <c r="R60" s="162"/>
      <c r="S60" s="113"/>
      <c r="T60" s="113"/>
      <c r="U60" s="190"/>
      <c r="V60" s="191"/>
      <c r="W60" s="192"/>
      <c r="X60" s="120"/>
      <c r="Y60" s="113"/>
      <c r="Z60" s="113"/>
    </row>
    <row r="61" spans="1:26" ht="18" customHeight="1" x14ac:dyDescent="0.15">
      <c r="A61" s="29"/>
      <c r="B61" s="163"/>
      <c r="C61" s="164"/>
      <c r="D61" s="164"/>
      <c r="E61" s="165"/>
      <c r="F61" s="114"/>
      <c r="G61" s="114"/>
      <c r="H61" s="169"/>
      <c r="I61" s="170"/>
      <c r="J61" s="171"/>
      <c r="K61" s="114"/>
      <c r="L61" s="114"/>
      <c r="M61" s="114"/>
      <c r="N61" s="163"/>
      <c r="O61" s="164"/>
      <c r="P61" s="164"/>
      <c r="Q61" s="164"/>
      <c r="R61" s="165"/>
      <c r="S61" s="114"/>
      <c r="T61" s="114"/>
      <c r="U61" s="169"/>
      <c r="V61" s="170"/>
      <c r="W61" s="171"/>
      <c r="X61" s="118"/>
      <c r="Y61" s="114"/>
      <c r="Z61" s="114"/>
    </row>
    <row r="62" spans="1:26" ht="18" customHeight="1" x14ac:dyDescent="0.15">
      <c r="A62" s="29"/>
      <c r="B62" s="163"/>
      <c r="C62" s="164"/>
      <c r="D62" s="164"/>
      <c r="E62" s="165"/>
      <c r="F62" s="114"/>
      <c r="G62" s="114"/>
      <c r="H62" s="169"/>
      <c r="I62" s="170"/>
      <c r="J62" s="171"/>
      <c r="K62" s="118"/>
      <c r="L62" s="114"/>
      <c r="M62" s="114"/>
      <c r="N62" s="163"/>
      <c r="O62" s="164"/>
      <c r="P62" s="164"/>
      <c r="Q62" s="164"/>
      <c r="R62" s="165"/>
      <c r="S62" s="114"/>
      <c r="T62" s="114"/>
      <c r="U62" s="169"/>
      <c r="V62" s="170"/>
      <c r="W62" s="171"/>
      <c r="X62" s="118"/>
      <c r="Y62" s="114"/>
      <c r="Z62" s="114"/>
    </row>
    <row r="63" spans="1:26" ht="18" customHeight="1" x14ac:dyDescent="0.15">
      <c r="A63" s="29"/>
      <c r="B63" s="163"/>
      <c r="C63" s="164"/>
      <c r="D63" s="164"/>
      <c r="E63" s="165"/>
      <c r="F63" s="114"/>
      <c r="G63" s="114"/>
      <c r="H63" s="169"/>
      <c r="I63" s="170"/>
      <c r="J63" s="171"/>
      <c r="K63" s="118"/>
      <c r="L63" s="114"/>
      <c r="M63" s="114"/>
      <c r="N63" s="163"/>
      <c r="O63" s="164"/>
      <c r="P63" s="164"/>
      <c r="Q63" s="164"/>
      <c r="R63" s="165"/>
      <c r="S63" s="114"/>
      <c r="T63" s="114"/>
      <c r="U63" s="169"/>
      <c r="V63" s="170"/>
      <c r="W63" s="171"/>
      <c r="X63" s="118"/>
      <c r="Y63" s="114"/>
      <c r="Z63" s="114"/>
    </row>
    <row r="64" spans="1:26" ht="18" customHeight="1" x14ac:dyDescent="0.15">
      <c r="A64" s="29"/>
      <c r="B64" s="163"/>
      <c r="C64" s="164"/>
      <c r="D64" s="164"/>
      <c r="E64" s="165"/>
      <c r="F64" s="114"/>
      <c r="G64" s="114"/>
      <c r="H64" s="169"/>
      <c r="I64" s="170"/>
      <c r="J64" s="171"/>
      <c r="K64" s="118"/>
      <c r="L64" s="114"/>
      <c r="M64" s="114"/>
      <c r="N64" s="163"/>
      <c r="O64" s="164"/>
      <c r="P64" s="164"/>
      <c r="Q64" s="164"/>
      <c r="R64" s="165"/>
      <c r="S64" s="114"/>
      <c r="T64" s="114"/>
      <c r="U64" s="169"/>
      <c r="V64" s="170"/>
      <c r="W64" s="171"/>
      <c r="X64" s="118"/>
      <c r="Y64" s="114"/>
      <c r="Z64" s="114"/>
    </row>
    <row r="65" spans="1:26" ht="18" customHeight="1" x14ac:dyDescent="0.15">
      <c r="A65" s="29"/>
      <c r="B65" s="163"/>
      <c r="C65" s="164"/>
      <c r="D65" s="164"/>
      <c r="E65" s="165"/>
      <c r="F65" s="114"/>
      <c r="G65" s="114"/>
      <c r="H65" s="169"/>
      <c r="I65" s="170"/>
      <c r="J65" s="171"/>
      <c r="K65" s="118"/>
      <c r="L65" s="114"/>
      <c r="M65" s="114"/>
      <c r="N65" s="163"/>
      <c r="O65" s="164"/>
      <c r="P65" s="164"/>
      <c r="Q65" s="164"/>
      <c r="R65" s="165"/>
      <c r="S65" s="114"/>
      <c r="T65" s="114"/>
      <c r="U65" s="169"/>
      <c r="V65" s="170"/>
      <c r="W65" s="171"/>
      <c r="X65" s="118"/>
      <c r="Y65" s="114"/>
      <c r="Z65" s="114"/>
    </row>
    <row r="66" spans="1:26" ht="18" customHeight="1" x14ac:dyDescent="0.15">
      <c r="A66" s="29"/>
      <c r="B66" s="166"/>
      <c r="C66" s="167"/>
      <c r="D66" s="167"/>
      <c r="E66" s="168"/>
      <c r="F66" s="115"/>
      <c r="G66" s="115"/>
      <c r="H66" s="172"/>
      <c r="I66" s="173"/>
      <c r="J66" s="174"/>
      <c r="K66" s="119"/>
      <c r="L66" s="121"/>
      <c r="M66" s="121"/>
      <c r="N66" s="166"/>
      <c r="O66" s="167"/>
      <c r="P66" s="167"/>
      <c r="Q66" s="167"/>
      <c r="R66" s="168"/>
      <c r="S66" s="115"/>
      <c r="T66" s="115"/>
      <c r="U66" s="172"/>
      <c r="V66" s="173"/>
      <c r="W66" s="174"/>
      <c r="X66" s="119"/>
      <c r="Y66" s="121"/>
      <c r="Z66" s="121"/>
    </row>
    <row r="67" spans="1:26" ht="7.5" customHeight="1" x14ac:dyDescent="0.15">
      <c r="B67" s="77"/>
      <c r="C67" s="77"/>
      <c r="D67" s="77"/>
      <c r="E67" s="77"/>
      <c r="F67" s="77"/>
      <c r="G67" s="77"/>
      <c r="H67" s="77"/>
      <c r="I67" s="77"/>
      <c r="J67" s="77"/>
      <c r="K67" s="77"/>
      <c r="L67" s="77"/>
      <c r="M67" s="77"/>
      <c r="N67" s="77"/>
      <c r="O67" s="77"/>
      <c r="P67" s="77"/>
      <c r="Q67" s="77"/>
      <c r="R67" s="77"/>
      <c r="S67" s="77"/>
      <c r="T67" s="77"/>
      <c r="U67" s="77"/>
      <c r="V67" s="77"/>
      <c r="W67" s="77"/>
      <c r="X67" s="77"/>
      <c r="Y67" s="77"/>
    </row>
    <row r="68" spans="1:26" ht="18" customHeight="1" x14ac:dyDescent="0.15">
      <c r="A68" s="14" t="s">
        <v>136</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15">
      <c r="A69" s="14"/>
      <c r="B69" s="129" t="s">
        <v>100</v>
      </c>
      <c r="C69" s="130"/>
      <c r="D69" s="130"/>
      <c r="E69" s="130"/>
      <c r="F69" s="131"/>
      <c r="G69" s="129" t="s">
        <v>146</v>
      </c>
      <c r="H69" s="130"/>
      <c r="I69" s="130"/>
      <c r="J69" s="130"/>
      <c r="K69" s="130"/>
      <c r="L69" s="130"/>
      <c r="M69" s="131"/>
      <c r="N69" s="187" t="s">
        <v>100</v>
      </c>
      <c r="O69" s="188"/>
      <c r="P69" s="188"/>
      <c r="Q69" s="188"/>
      <c r="R69" s="188"/>
      <c r="S69" s="189"/>
      <c r="T69" s="129" t="s">
        <v>146</v>
      </c>
      <c r="U69" s="130"/>
      <c r="V69" s="130"/>
      <c r="W69" s="130"/>
      <c r="X69" s="130"/>
      <c r="Y69" s="130"/>
      <c r="Z69" s="131"/>
    </row>
    <row r="70" spans="1:26" ht="18" customHeight="1" x14ac:dyDescent="0.15">
      <c r="A70" s="29"/>
      <c r="B70" s="160"/>
      <c r="C70" s="161"/>
      <c r="D70" s="161"/>
      <c r="E70" s="161"/>
      <c r="F70" s="162"/>
      <c r="G70" s="233"/>
      <c r="H70" s="234"/>
      <c r="I70" s="234"/>
      <c r="J70" s="234"/>
      <c r="K70" s="234"/>
      <c r="L70" s="234"/>
      <c r="M70" s="235"/>
      <c r="N70" s="160"/>
      <c r="O70" s="161"/>
      <c r="P70" s="161"/>
      <c r="Q70" s="161"/>
      <c r="R70" s="161"/>
      <c r="S70" s="162"/>
      <c r="T70" s="233"/>
      <c r="U70" s="234"/>
      <c r="V70" s="234"/>
      <c r="W70" s="234"/>
      <c r="X70" s="234"/>
      <c r="Y70" s="234"/>
      <c r="Z70" s="235"/>
    </row>
    <row r="71" spans="1:26" ht="18" customHeight="1" x14ac:dyDescent="0.15">
      <c r="A71" s="29"/>
      <c r="B71" s="163"/>
      <c r="C71" s="164"/>
      <c r="D71" s="164"/>
      <c r="E71" s="164"/>
      <c r="F71" s="165"/>
      <c r="G71" s="207"/>
      <c r="H71" s="208"/>
      <c r="I71" s="208"/>
      <c r="J71" s="208"/>
      <c r="K71" s="208"/>
      <c r="L71" s="208"/>
      <c r="M71" s="209"/>
      <c r="N71" s="163"/>
      <c r="O71" s="164"/>
      <c r="P71" s="164"/>
      <c r="Q71" s="164"/>
      <c r="R71" s="164"/>
      <c r="S71" s="165"/>
      <c r="T71" s="207"/>
      <c r="U71" s="208"/>
      <c r="V71" s="208"/>
      <c r="W71" s="208"/>
      <c r="X71" s="208"/>
      <c r="Y71" s="208"/>
      <c r="Z71" s="209"/>
    </row>
    <row r="72" spans="1:26" ht="18" customHeight="1" x14ac:dyDescent="0.15">
      <c r="A72" s="29"/>
      <c r="B72" s="163"/>
      <c r="C72" s="164"/>
      <c r="D72" s="164"/>
      <c r="E72" s="164"/>
      <c r="F72" s="165"/>
      <c r="G72" s="207"/>
      <c r="H72" s="208"/>
      <c r="I72" s="208"/>
      <c r="J72" s="208"/>
      <c r="K72" s="208"/>
      <c r="L72" s="208"/>
      <c r="M72" s="209"/>
      <c r="N72" s="163"/>
      <c r="O72" s="164"/>
      <c r="P72" s="164"/>
      <c r="Q72" s="164"/>
      <c r="R72" s="164"/>
      <c r="S72" s="165"/>
      <c r="T72" s="207"/>
      <c r="U72" s="208"/>
      <c r="V72" s="208"/>
      <c r="W72" s="208"/>
      <c r="X72" s="208"/>
      <c r="Y72" s="208"/>
      <c r="Z72" s="209"/>
    </row>
    <row r="73" spans="1:26" ht="18" customHeight="1" x14ac:dyDescent="0.15">
      <c r="A73" s="29"/>
      <c r="B73" s="163"/>
      <c r="C73" s="164"/>
      <c r="D73" s="164"/>
      <c r="E73" s="164"/>
      <c r="F73" s="165"/>
      <c r="G73" s="207"/>
      <c r="H73" s="208"/>
      <c r="I73" s="208"/>
      <c r="J73" s="208"/>
      <c r="K73" s="208"/>
      <c r="L73" s="208"/>
      <c r="M73" s="209"/>
      <c r="N73" s="163"/>
      <c r="O73" s="164"/>
      <c r="P73" s="164"/>
      <c r="Q73" s="164"/>
      <c r="R73" s="164"/>
      <c r="S73" s="165"/>
      <c r="T73" s="207"/>
      <c r="U73" s="208"/>
      <c r="V73" s="208"/>
      <c r="W73" s="208"/>
      <c r="X73" s="208"/>
      <c r="Y73" s="208"/>
      <c r="Z73" s="209"/>
    </row>
    <row r="74" spans="1:26" ht="18" customHeight="1" x14ac:dyDescent="0.15">
      <c r="A74" s="29"/>
      <c r="B74" s="163"/>
      <c r="C74" s="164"/>
      <c r="D74" s="164"/>
      <c r="E74" s="164"/>
      <c r="F74" s="165"/>
      <c r="G74" s="207"/>
      <c r="H74" s="208"/>
      <c r="I74" s="208"/>
      <c r="J74" s="208"/>
      <c r="K74" s="208"/>
      <c r="L74" s="208"/>
      <c r="M74" s="209"/>
      <c r="N74" s="163"/>
      <c r="O74" s="164"/>
      <c r="P74" s="164"/>
      <c r="Q74" s="164"/>
      <c r="R74" s="164"/>
      <c r="S74" s="165"/>
      <c r="T74" s="207"/>
      <c r="U74" s="208"/>
      <c r="V74" s="208"/>
      <c r="W74" s="208"/>
      <c r="X74" s="208"/>
      <c r="Y74" s="208"/>
      <c r="Z74" s="209"/>
    </row>
    <row r="75" spans="1:26" ht="18" customHeight="1" x14ac:dyDescent="0.15">
      <c r="A75" s="29"/>
      <c r="B75" s="163"/>
      <c r="C75" s="164"/>
      <c r="D75" s="164"/>
      <c r="E75" s="164"/>
      <c r="F75" s="165"/>
      <c r="G75" s="207"/>
      <c r="H75" s="208"/>
      <c r="I75" s="208"/>
      <c r="J75" s="208"/>
      <c r="K75" s="208"/>
      <c r="L75" s="208"/>
      <c r="M75" s="209"/>
      <c r="N75" s="163"/>
      <c r="O75" s="164"/>
      <c r="P75" s="164"/>
      <c r="Q75" s="164"/>
      <c r="R75" s="164"/>
      <c r="S75" s="165"/>
      <c r="T75" s="207"/>
      <c r="U75" s="208"/>
      <c r="V75" s="208"/>
      <c r="W75" s="208"/>
      <c r="X75" s="208"/>
      <c r="Y75" s="208"/>
      <c r="Z75" s="209"/>
    </row>
    <row r="76" spans="1:26" ht="18" customHeight="1" x14ac:dyDescent="0.15">
      <c r="A76" s="29"/>
      <c r="B76" s="166"/>
      <c r="C76" s="167"/>
      <c r="D76" s="167"/>
      <c r="E76" s="167"/>
      <c r="F76" s="168"/>
      <c r="G76" s="204"/>
      <c r="H76" s="205"/>
      <c r="I76" s="205"/>
      <c r="J76" s="205"/>
      <c r="K76" s="205"/>
      <c r="L76" s="205"/>
      <c r="M76" s="206"/>
      <c r="N76" s="166"/>
      <c r="O76" s="167"/>
      <c r="P76" s="167"/>
      <c r="Q76" s="167"/>
      <c r="R76" s="167"/>
      <c r="S76" s="168"/>
      <c r="T76" s="204"/>
      <c r="U76" s="205"/>
      <c r="V76" s="205"/>
      <c r="W76" s="205"/>
      <c r="X76" s="205"/>
      <c r="Y76" s="205"/>
      <c r="Z76" s="206"/>
    </row>
    <row r="77" spans="1:26" ht="18" customHeight="1" x14ac:dyDescent="0.15">
      <c r="A77" s="29"/>
      <c r="B77" s="72"/>
      <c r="C77" s="72"/>
      <c r="D77" s="72"/>
      <c r="E77" s="72"/>
      <c r="F77" s="72"/>
      <c r="G77" s="12"/>
      <c r="H77" s="12"/>
      <c r="I77" s="12"/>
      <c r="J77" s="12"/>
      <c r="K77" s="12"/>
      <c r="L77" s="12"/>
      <c r="M77" s="12"/>
      <c r="N77" s="72"/>
      <c r="O77" s="72"/>
      <c r="P77" s="72"/>
      <c r="Q77" s="72"/>
      <c r="R77" s="72"/>
      <c r="S77" s="72"/>
      <c r="T77" s="12"/>
      <c r="U77" s="12"/>
      <c r="V77" s="12"/>
      <c r="W77" s="12"/>
      <c r="X77" s="12"/>
      <c r="Y77" s="12"/>
      <c r="Z77" s="12"/>
    </row>
    <row r="78" spans="1:26" ht="18.75" customHeight="1" x14ac:dyDescent="0.15">
      <c r="A78" s="122" t="s">
        <v>142</v>
      </c>
      <c r="B78" s="122"/>
      <c r="C78" s="122"/>
      <c r="D78" s="122"/>
    </row>
    <row r="79" spans="1:26" ht="18.75" customHeight="1" x14ac:dyDescent="0.15">
      <c r="B79" s="78" t="s">
        <v>102</v>
      </c>
      <c r="C79" s="79"/>
      <c r="D79" s="250" t="s">
        <v>103</v>
      </c>
      <c r="E79" s="250"/>
      <c r="F79" s="250"/>
      <c r="G79" s="250"/>
      <c r="H79" s="250"/>
      <c r="I79" s="250"/>
      <c r="J79" s="250"/>
      <c r="K79" s="250"/>
      <c r="L79" s="250"/>
      <c r="M79" s="250"/>
      <c r="N79" s="250"/>
      <c r="O79" s="250"/>
      <c r="P79" s="250"/>
      <c r="Q79" s="250"/>
      <c r="R79" s="250"/>
      <c r="S79" s="250"/>
      <c r="T79" s="250"/>
      <c r="U79" s="250"/>
      <c r="V79" s="250"/>
      <c r="W79" s="250"/>
      <c r="X79" s="250"/>
      <c r="Y79" s="250"/>
      <c r="Z79" s="251"/>
    </row>
    <row r="80" spans="1:26" ht="78" customHeight="1" x14ac:dyDescent="0.15">
      <c r="B80" s="241" t="s">
        <v>109</v>
      </c>
      <c r="C80" s="85" t="s">
        <v>104</v>
      </c>
      <c r="D80" s="252" t="s">
        <v>200</v>
      </c>
      <c r="E80" s="252"/>
      <c r="F80" s="252"/>
      <c r="G80" s="252"/>
      <c r="H80" s="252"/>
      <c r="I80" s="252"/>
      <c r="J80" s="252"/>
      <c r="K80" s="252"/>
      <c r="L80" s="252"/>
      <c r="M80" s="252"/>
      <c r="N80" s="252"/>
      <c r="O80" s="252"/>
      <c r="P80" s="252"/>
      <c r="Q80" s="252"/>
      <c r="R80" s="252"/>
      <c r="S80" s="252"/>
      <c r="T80" s="252"/>
      <c r="U80" s="252"/>
      <c r="V80" s="252"/>
      <c r="W80" s="252"/>
      <c r="X80" s="252"/>
      <c r="Y80" s="252"/>
      <c r="Z80" s="213"/>
    </row>
    <row r="81" spans="1:26" ht="78" customHeight="1" x14ac:dyDescent="0.15">
      <c r="B81" s="242"/>
      <c r="C81" s="110" t="s">
        <v>137</v>
      </c>
      <c r="D81" s="210" t="s">
        <v>201</v>
      </c>
      <c r="E81" s="210"/>
      <c r="F81" s="210"/>
      <c r="G81" s="210"/>
      <c r="H81" s="210"/>
      <c r="I81" s="210"/>
      <c r="J81" s="210"/>
      <c r="K81" s="210"/>
      <c r="L81" s="210"/>
      <c r="M81" s="210"/>
      <c r="N81" s="210"/>
      <c r="O81" s="210"/>
      <c r="P81" s="210"/>
      <c r="Q81" s="210"/>
      <c r="R81" s="210"/>
      <c r="S81" s="210"/>
      <c r="T81" s="210"/>
      <c r="U81" s="210"/>
      <c r="V81" s="210"/>
      <c r="W81" s="210"/>
      <c r="X81" s="210"/>
      <c r="Y81" s="210"/>
      <c r="Z81" s="211"/>
    </row>
    <row r="82" spans="1:26" ht="78" customHeight="1" x14ac:dyDescent="0.15">
      <c r="B82" s="239" t="s">
        <v>110</v>
      </c>
      <c r="C82" s="80" t="s">
        <v>127</v>
      </c>
      <c r="D82" s="212" t="s">
        <v>202</v>
      </c>
      <c r="E82" s="212"/>
      <c r="F82" s="212"/>
      <c r="G82" s="212"/>
      <c r="H82" s="212"/>
      <c r="I82" s="212"/>
      <c r="J82" s="212"/>
      <c r="K82" s="212"/>
      <c r="L82" s="212"/>
      <c r="M82" s="212"/>
      <c r="N82" s="212"/>
      <c r="O82" s="212"/>
      <c r="P82" s="212"/>
      <c r="Q82" s="212"/>
      <c r="R82" s="212"/>
      <c r="S82" s="212"/>
      <c r="T82" s="212"/>
      <c r="U82" s="212"/>
      <c r="V82" s="212"/>
      <c r="W82" s="212"/>
      <c r="X82" s="212"/>
      <c r="Y82" s="212"/>
      <c r="Z82" s="213"/>
    </row>
    <row r="83" spans="1:26" ht="78" customHeight="1" x14ac:dyDescent="0.15">
      <c r="B83" s="240"/>
      <c r="C83" s="111" t="s">
        <v>128</v>
      </c>
      <c r="D83" s="216" t="s">
        <v>203</v>
      </c>
      <c r="E83" s="217"/>
      <c r="F83" s="217"/>
      <c r="G83" s="217"/>
      <c r="H83" s="217"/>
      <c r="I83" s="217"/>
      <c r="J83" s="217"/>
      <c r="K83" s="217"/>
      <c r="L83" s="217"/>
      <c r="M83" s="217"/>
      <c r="N83" s="217"/>
      <c r="O83" s="217"/>
      <c r="P83" s="217"/>
      <c r="Q83" s="217"/>
      <c r="R83" s="217"/>
      <c r="S83" s="217"/>
      <c r="T83" s="217"/>
      <c r="U83" s="217"/>
      <c r="V83" s="217"/>
      <c r="W83" s="217"/>
      <c r="X83" s="217"/>
      <c r="Y83" s="217"/>
      <c r="Z83" s="218"/>
    </row>
    <row r="84" spans="1:26" ht="66" customHeight="1" x14ac:dyDescent="0.15">
      <c r="B84" s="239" t="s">
        <v>111</v>
      </c>
      <c r="C84" s="80" t="s">
        <v>130</v>
      </c>
      <c r="D84" s="219" t="s">
        <v>204</v>
      </c>
      <c r="E84" s="219"/>
      <c r="F84" s="219"/>
      <c r="G84" s="219"/>
      <c r="H84" s="219"/>
      <c r="I84" s="219"/>
      <c r="J84" s="219"/>
      <c r="K84" s="219"/>
      <c r="L84" s="219"/>
      <c r="M84" s="219"/>
      <c r="N84" s="219"/>
      <c r="O84" s="219"/>
      <c r="P84" s="219"/>
      <c r="Q84" s="219"/>
      <c r="R84" s="219"/>
      <c r="S84" s="219"/>
      <c r="T84" s="219"/>
      <c r="U84" s="219"/>
      <c r="V84" s="219"/>
      <c r="W84" s="219"/>
      <c r="X84" s="219"/>
      <c r="Y84" s="219"/>
      <c r="Z84" s="220"/>
    </row>
    <row r="85" spans="1:26" ht="66" customHeight="1" x14ac:dyDescent="0.15">
      <c r="B85" s="240"/>
      <c r="C85" s="82" t="s">
        <v>131</v>
      </c>
      <c r="D85" s="214" t="s">
        <v>205</v>
      </c>
      <c r="E85" s="214"/>
      <c r="F85" s="214"/>
      <c r="G85" s="214"/>
      <c r="H85" s="214"/>
      <c r="I85" s="214"/>
      <c r="J85" s="214"/>
      <c r="K85" s="214"/>
      <c r="L85" s="214"/>
      <c r="M85" s="214"/>
      <c r="N85" s="214"/>
      <c r="O85" s="214"/>
      <c r="P85" s="214"/>
      <c r="Q85" s="214"/>
      <c r="R85" s="214"/>
      <c r="S85" s="214"/>
      <c r="T85" s="214"/>
      <c r="U85" s="214"/>
      <c r="V85" s="214"/>
      <c r="W85" s="214"/>
      <c r="X85" s="214"/>
      <c r="Y85" s="214"/>
      <c r="Z85" s="215"/>
    </row>
    <row r="86" spans="1:26" ht="66" customHeight="1" x14ac:dyDescent="0.15">
      <c r="B86" s="241" t="s">
        <v>138</v>
      </c>
      <c r="C86" s="85" t="s">
        <v>106</v>
      </c>
      <c r="D86" s="212" t="s">
        <v>206</v>
      </c>
      <c r="E86" s="212"/>
      <c r="F86" s="212"/>
      <c r="G86" s="212"/>
      <c r="H86" s="212"/>
      <c r="I86" s="212"/>
      <c r="J86" s="212"/>
      <c r="K86" s="212"/>
      <c r="L86" s="212"/>
      <c r="M86" s="212"/>
      <c r="N86" s="212"/>
      <c r="O86" s="212"/>
      <c r="P86" s="212"/>
      <c r="Q86" s="212"/>
      <c r="R86" s="212"/>
      <c r="S86" s="212"/>
      <c r="T86" s="212"/>
      <c r="U86" s="212"/>
      <c r="V86" s="212"/>
      <c r="W86" s="212"/>
      <c r="X86" s="212"/>
      <c r="Y86" s="212"/>
      <c r="Z86" s="213"/>
    </row>
    <row r="87" spans="1:26" ht="66" customHeight="1" x14ac:dyDescent="0.15">
      <c r="B87" s="247"/>
      <c r="C87" s="81" t="s">
        <v>108</v>
      </c>
      <c r="D87" s="248" t="s">
        <v>207</v>
      </c>
      <c r="E87" s="248"/>
      <c r="F87" s="248"/>
      <c r="G87" s="248"/>
      <c r="H87" s="248"/>
      <c r="I87" s="248"/>
      <c r="J87" s="248"/>
      <c r="K87" s="248"/>
      <c r="L87" s="248"/>
      <c r="M87" s="248"/>
      <c r="N87" s="248"/>
      <c r="O87" s="248"/>
      <c r="P87" s="248"/>
      <c r="Q87" s="248"/>
      <c r="R87" s="248"/>
      <c r="S87" s="248"/>
      <c r="T87" s="248"/>
      <c r="U87" s="248"/>
      <c r="V87" s="248"/>
      <c r="W87" s="248"/>
      <c r="X87" s="248"/>
      <c r="Y87" s="248"/>
      <c r="Z87" s="249"/>
    </row>
    <row r="88" spans="1:26" ht="66" customHeight="1" x14ac:dyDescent="0.15">
      <c r="B88" s="241" t="s">
        <v>139</v>
      </c>
      <c r="C88" s="80" t="s">
        <v>105</v>
      </c>
      <c r="D88" s="243" t="s">
        <v>208</v>
      </c>
      <c r="E88" s="243"/>
      <c r="F88" s="243"/>
      <c r="G88" s="243"/>
      <c r="H88" s="243"/>
      <c r="I88" s="243"/>
      <c r="J88" s="243"/>
      <c r="K88" s="243"/>
      <c r="L88" s="243"/>
      <c r="M88" s="243"/>
      <c r="N88" s="243"/>
      <c r="O88" s="243"/>
      <c r="P88" s="243"/>
      <c r="Q88" s="243"/>
      <c r="R88" s="243"/>
      <c r="S88" s="243"/>
      <c r="T88" s="243"/>
      <c r="U88" s="243"/>
      <c r="V88" s="243"/>
      <c r="W88" s="243"/>
      <c r="X88" s="243"/>
      <c r="Y88" s="243"/>
      <c r="Z88" s="244"/>
    </row>
    <row r="89" spans="1:26" ht="66" customHeight="1" x14ac:dyDescent="0.15">
      <c r="B89" s="242"/>
      <c r="C89" s="81" t="s">
        <v>134</v>
      </c>
      <c r="D89" s="236" t="s">
        <v>209</v>
      </c>
      <c r="E89" s="237"/>
      <c r="F89" s="237"/>
      <c r="G89" s="237"/>
      <c r="H89" s="237"/>
      <c r="I89" s="237"/>
      <c r="J89" s="237"/>
      <c r="K89" s="237"/>
      <c r="L89" s="237"/>
      <c r="M89" s="237"/>
      <c r="N89" s="237"/>
      <c r="O89" s="237"/>
      <c r="P89" s="237"/>
      <c r="Q89" s="237"/>
      <c r="R89" s="237"/>
      <c r="S89" s="237"/>
      <c r="T89" s="237"/>
      <c r="U89" s="237"/>
      <c r="V89" s="237"/>
      <c r="W89" s="237"/>
      <c r="X89" s="237"/>
      <c r="Y89" s="237"/>
      <c r="Z89" s="238"/>
    </row>
    <row r="90" spans="1:26" ht="66" customHeight="1" x14ac:dyDescent="0.15">
      <c r="B90" s="240"/>
      <c r="C90" s="82" t="s">
        <v>135</v>
      </c>
      <c r="D90" s="245" t="s">
        <v>210</v>
      </c>
      <c r="E90" s="245"/>
      <c r="F90" s="245"/>
      <c r="G90" s="245"/>
      <c r="H90" s="245"/>
      <c r="I90" s="245"/>
      <c r="J90" s="245"/>
      <c r="K90" s="245"/>
      <c r="L90" s="245"/>
      <c r="M90" s="245"/>
      <c r="N90" s="245"/>
      <c r="O90" s="245"/>
      <c r="P90" s="245"/>
      <c r="Q90" s="245"/>
      <c r="R90" s="245"/>
      <c r="S90" s="245"/>
      <c r="T90" s="245"/>
      <c r="U90" s="245"/>
      <c r="V90" s="245"/>
      <c r="W90" s="245"/>
      <c r="X90" s="245"/>
      <c r="Y90" s="245"/>
      <c r="Z90" s="246"/>
    </row>
    <row r="91" spans="1:26" ht="6" customHeight="1" x14ac:dyDescent="0.15"/>
    <row r="92" spans="1:26" ht="18.75" customHeight="1" x14ac:dyDescent="0.15">
      <c r="A92" s="13" t="s">
        <v>143</v>
      </c>
    </row>
    <row r="93" spans="1:26" ht="18.75" customHeight="1" x14ac:dyDescent="0.15">
      <c r="B93" s="193" t="s">
        <v>172</v>
      </c>
      <c r="C93" s="194"/>
      <c r="D93" s="194"/>
      <c r="E93" s="194"/>
      <c r="F93" s="194"/>
      <c r="G93" s="194"/>
      <c r="H93" s="194"/>
      <c r="I93" s="194"/>
      <c r="J93" s="194"/>
      <c r="K93" s="194"/>
      <c r="L93" s="194"/>
      <c r="M93" s="194"/>
      <c r="N93" s="194"/>
      <c r="O93" s="194"/>
      <c r="P93" s="194"/>
      <c r="Q93" s="194"/>
      <c r="R93" s="194"/>
      <c r="S93" s="194"/>
      <c r="T93" s="194"/>
      <c r="U93" s="194"/>
      <c r="V93" s="194"/>
      <c r="W93" s="194"/>
      <c r="X93" s="194"/>
      <c r="Y93" s="194"/>
      <c r="Z93" s="195"/>
    </row>
    <row r="94" spans="1:26" ht="18.75" customHeight="1" x14ac:dyDescent="0.15">
      <c r="B94" s="196"/>
      <c r="C94" s="197"/>
      <c r="D94" s="197"/>
      <c r="E94" s="197"/>
      <c r="F94" s="197"/>
      <c r="G94" s="197"/>
      <c r="H94" s="197"/>
      <c r="I94" s="197"/>
      <c r="J94" s="197"/>
      <c r="K94" s="197"/>
      <c r="L94" s="197"/>
      <c r="M94" s="197"/>
      <c r="N94" s="197"/>
      <c r="O94" s="197"/>
      <c r="P94" s="197"/>
      <c r="Q94" s="197"/>
      <c r="R94" s="197"/>
      <c r="S94" s="197"/>
      <c r="T94" s="197"/>
      <c r="U94" s="197"/>
      <c r="V94" s="197"/>
      <c r="W94" s="197"/>
      <c r="X94" s="197"/>
      <c r="Y94" s="197"/>
      <c r="Z94" s="198"/>
    </row>
    <row r="95" spans="1:26" ht="18.75" customHeight="1" x14ac:dyDescent="0.15">
      <c r="B95" s="199"/>
      <c r="C95" s="200"/>
      <c r="D95" s="200"/>
      <c r="E95" s="200"/>
      <c r="F95" s="200"/>
      <c r="G95" s="200"/>
      <c r="H95" s="200"/>
      <c r="I95" s="200"/>
      <c r="J95" s="200"/>
      <c r="K95" s="200"/>
      <c r="L95" s="200"/>
      <c r="M95" s="200"/>
      <c r="N95" s="200"/>
      <c r="O95" s="200"/>
      <c r="P95" s="200"/>
      <c r="Q95" s="200"/>
      <c r="R95" s="200"/>
      <c r="S95" s="200"/>
      <c r="T95" s="200"/>
      <c r="U95" s="200"/>
      <c r="V95" s="200"/>
      <c r="W95" s="200"/>
      <c r="X95" s="200"/>
      <c r="Y95" s="200"/>
      <c r="Z95" s="201"/>
    </row>
    <row r="96" spans="1:26" ht="6" customHeight="1" x14ac:dyDescent="0.15"/>
    <row r="97" spans="1:26" ht="15" customHeight="1" x14ac:dyDescent="0.15">
      <c r="A97" s="13" t="s">
        <v>144</v>
      </c>
    </row>
    <row r="98" spans="1:26" ht="15" customHeight="1" x14ac:dyDescent="0.15">
      <c r="B98" s="202" t="s">
        <v>189</v>
      </c>
      <c r="C98" s="159"/>
      <c r="D98" s="159"/>
      <c r="E98" s="159"/>
      <c r="F98" s="159"/>
      <c r="G98" s="159"/>
      <c r="H98" s="159"/>
      <c r="I98" s="159"/>
      <c r="J98" s="159"/>
      <c r="K98" s="159"/>
      <c r="L98" s="159"/>
      <c r="M98" s="159"/>
      <c r="N98" s="159"/>
      <c r="O98" s="159"/>
      <c r="P98" s="159"/>
      <c r="Q98" s="159"/>
      <c r="R98" s="159"/>
      <c r="S98" s="159"/>
      <c r="T98" s="159"/>
      <c r="U98" s="159"/>
      <c r="V98" s="159"/>
      <c r="W98" s="159"/>
      <c r="X98" s="159"/>
      <c r="Y98" s="159"/>
      <c r="Z98" s="203"/>
    </row>
  </sheetData>
  <mergeCells count="219">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 ref="V26:X26"/>
    <mergeCell ref="V27:X27"/>
    <mergeCell ref="V28:X28"/>
    <mergeCell ref="I26:K26"/>
    <mergeCell ref="I27:K27"/>
    <mergeCell ref="I28:K28"/>
    <mergeCell ref="B26:F26"/>
    <mergeCell ref="B27:F27"/>
    <mergeCell ref="B28:F28"/>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D81:Z81"/>
    <mergeCell ref="D82:Z82"/>
    <mergeCell ref="D85:Z85"/>
    <mergeCell ref="D83:Z83"/>
    <mergeCell ref="D84:Z84"/>
    <mergeCell ref="B75:F75"/>
    <mergeCell ref="G75:M75"/>
    <mergeCell ref="N75:S75"/>
    <mergeCell ref="T75:Z75"/>
    <mergeCell ref="B76:F76"/>
    <mergeCell ref="G76:M76"/>
    <mergeCell ref="N76:S76"/>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29:F29"/>
    <mergeCell ref="B30:F30"/>
    <mergeCell ref="B31:F31"/>
    <mergeCell ref="B32:F32"/>
    <mergeCell ref="B33:F33"/>
    <mergeCell ref="N26:S26"/>
    <mergeCell ref="N27:S27"/>
    <mergeCell ref="N28:S28"/>
    <mergeCell ref="N29:S29"/>
    <mergeCell ref="N30:S30"/>
    <mergeCell ref="N31:S31"/>
    <mergeCell ref="N32:S32"/>
    <mergeCell ref="N33:S33"/>
    <mergeCell ref="B41:F41"/>
    <mergeCell ref="B42:F42"/>
    <mergeCell ref="B43:F43"/>
    <mergeCell ref="B44:F44"/>
    <mergeCell ref="N37:S37"/>
    <mergeCell ref="N38:S38"/>
    <mergeCell ref="N39:S39"/>
    <mergeCell ref="N40:S40"/>
    <mergeCell ref="N41:S41"/>
    <mergeCell ref="N42:S42"/>
    <mergeCell ref="N43:S43"/>
    <mergeCell ref="N44:S44"/>
    <mergeCell ref="I43:K43"/>
    <mergeCell ref="N48:S48"/>
    <mergeCell ref="N49:S49"/>
    <mergeCell ref="N50:S50"/>
    <mergeCell ref="N51:S51"/>
    <mergeCell ref="N52:S52"/>
    <mergeCell ref="N53:S53"/>
    <mergeCell ref="N54:S54"/>
    <mergeCell ref="N55:S55"/>
    <mergeCell ref="B59:E59"/>
    <mergeCell ref="N59:R59"/>
    <mergeCell ref="H59:J59"/>
    <mergeCell ref="N60:R60"/>
    <mergeCell ref="N61:R61"/>
    <mergeCell ref="N62:R62"/>
    <mergeCell ref="N63:R63"/>
    <mergeCell ref="N64:R64"/>
    <mergeCell ref="N65:R65"/>
    <mergeCell ref="N66:R66"/>
    <mergeCell ref="H64:J64"/>
    <mergeCell ref="H65:J65"/>
    <mergeCell ref="H66:J66"/>
  </mergeCells>
  <phoneticPr fontId="1"/>
  <dataValidations count="4">
    <dataValidation type="list" allowBlank="1" showInputMessage="1" showErrorMessage="1" sqref="Y16:Z22 L16:M22 Y27:Z33 L27:M33 H38:H44 Y38:Z44 H49:H55 Y49:Z55 Y60:Z66 L49:M55 H16:H22 U16:U22 H27:H33 U27:U33 T60:T66 U38:U44 L38:M44 U49:U55 G60:G66 K60:M61 L62:M66" xr:uid="{4C0986EB-3601-4249-85F7-B678A400A117}">
      <formula1>"○"</formula1>
    </dataValidation>
    <dataValidation type="list" allowBlank="1" showInputMessage="1" showErrorMessage="1" sqref="Z23 Z34 D34:K34 D23:K23 V16:V22 I16:I22 V27:V33 I27:I33 V38:V44 H60:H66 V49:V55 I38:I44 U60:U66 I49:I55" xr:uid="{CC907DDE-86DC-4E68-BFF5-E920A71A96A6}">
      <formula1>"全学開講,一部開講"</formula1>
    </dataValidation>
    <dataValidation type="list" allowBlank="1" showInputMessage="1" showErrorMessage="1" sqref="O4" xr:uid="{7B985F3C-9687-4C99-93D5-E4589130E2EC}">
      <formula1>"学部・学科によって、修了要件は相違する,学部・学科によって、修了要件は相違しない"</formula1>
    </dataValidation>
    <dataValidation type="list" allowBlank="1" showInputMessage="1" showErrorMessage="1" sqref="H74:M77 G70:G77 H70:M71 T70:T77 U70:Z71 U74:Z77"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xr:uid="{FC83F8D7-C7AB-4D3A-BA52-7786381B7428}"/>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18865-52BF-41C9-92E2-F871E258CA0C}">
  <dimension ref="A1:Z98"/>
  <sheetViews>
    <sheetView showZeros="0" view="pageBreakPreview" topLeftCell="A85" zoomScaleNormal="100" zoomScaleSheetLayoutView="100" workbookViewId="0">
      <selection activeCell="D89" sqref="D89:Z89"/>
    </sheetView>
  </sheetViews>
  <sheetFormatPr defaultColWidth="9" defaultRowHeight="18.75" customHeight="1" x14ac:dyDescent="0.15"/>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183" t="s">
        <v>198</v>
      </c>
      <c r="X1" s="183"/>
      <c r="Y1" s="183"/>
      <c r="Z1" s="183"/>
    </row>
    <row r="2" spans="1:26" ht="18" customHeight="1" x14ac:dyDescent="0.15">
      <c r="A2" s="222" t="s">
        <v>67</v>
      </c>
      <c r="B2" s="222"/>
      <c r="C2" s="222"/>
      <c r="D2" s="222"/>
      <c r="E2" s="222"/>
      <c r="F2" s="222"/>
      <c r="G2" s="222"/>
      <c r="H2" s="222"/>
      <c r="I2" s="222"/>
      <c r="J2" s="222"/>
      <c r="K2" s="222"/>
      <c r="L2" s="222"/>
      <c r="M2" s="222"/>
      <c r="N2" s="222"/>
      <c r="O2" s="222"/>
      <c r="P2" s="222"/>
      <c r="Q2" s="222"/>
      <c r="R2" s="222"/>
      <c r="S2" s="222"/>
      <c r="T2" s="222"/>
      <c r="U2" s="222"/>
      <c r="V2" s="222"/>
      <c r="W2" s="222"/>
      <c r="X2" s="222"/>
      <c r="Y2" s="222"/>
      <c r="Z2" s="222"/>
    </row>
    <row r="3" spans="1:26" ht="15" customHeight="1" x14ac:dyDescent="0.15">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15">
      <c r="A4" s="13" t="s">
        <v>99</v>
      </c>
      <c r="B4" s="29"/>
      <c r="C4" s="29"/>
      <c r="D4" s="29"/>
      <c r="E4" s="29"/>
      <c r="F4" s="29"/>
      <c r="G4" s="29"/>
      <c r="H4" s="15" t="s">
        <v>112</v>
      </c>
      <c r="I4" s="29"/>
      <c r="J4" s="29"/>
      <c r="K4" s="29"/>
      <c r="L4" s="29"/>
      <c r="M4" s="29"/>
      <c r="N4" s="29"/>
      <c r="O4" s="129" t="s">
        <v>165</v>
      </c>
      <c r="P4" s="130"/>
      <c r="Q4" s="130"/>
      <c r="R4" s="130"/>
      <c r="S4" s="130"/>
      <c r="T4" s="130"/>
      <c r="U4" s="130"/>
      <c r="V4" s="130"/>
      <c r="W4" s="130"/>
      <c r="X4" s="130"/>
      <c r="Y4" s="130"/>
      <c r="Z4" s="131"/>
    </row>
    <row r="5" spans="1:26" ht="6" customHeight="1" x14ac:dyDescent="0.15">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15">
      <c r="B6" s="223" t="s">
        <v>211</v>
      </c>
      <c r="C6" s="224"/>
      <c r="D6" s="224"/>
      <c r="E6" s="224"/>
      <c r="F6" s="224"/>
      <c r="G6" s="224"/>
      <c r="H6" s="224"/>
      <c r="I6" s="224"/>
      <c r="J6" s="224"/>
      <c r="K6" s="224"/>
      <c r="L6" s="224"/>
      <c r="M6" s="224"/>
      <c r="N6" s="224"/>
      <c r="O6" s="224"/>
      <c r="P6" s="224"/>
      <c r="Q6" s="224"/>
      <c r="R6" s="224"/>
      <c r="S6" s="224"/>
      <c r="T6" s="224"/>
      <c r="U6" s="224"/>
      <c r="V6" s="224"/>
      <c r="W6" s="224"/>
      <c r="X6" s="224"/>
      <c r="Y6" s="224"/>
      <c r="Z6" s="225"/>
    </row>
    <row r="7" spans="1:26" ht="18" customHeight="1" x14ac:dyDescent="0.15">
      <c r="B7" s="226"/>
      <c r="C7" s="227"/>
      <c r="D7" s="227"/>
      <c r="E7" s="227"/>
      <c r="F7" s="227"/>
      <c r="G7" s="227"/>
      <c r="H7" s="227"/>
      <c r="I7" s="227"/>
      <c r="J7" s="227"/>
      <c r="K7" s="227"/>
      <c r="L7" s="227"/>
      <c r="M7" s="227"/>
      <c r="N7" s="227"/>
      <c r="O7" s="227"/>
      <c r="P7" s="227"/>
      <c r="Q7" s="227"/>
      <c r="R7" s="227"/>
      <c r="S7" s="227"/>
      <c r="T7" s="227"/>
      <c r="U7" s="227"/>
      <c r="V7" s="227"/>
      <c r="W7" s="227"/>
      <c r="X7" s="227"/>
      <c r="Y7" s="227"/>
      <c r="Z7" s="228"/>
    </row>
    <row r="8" spans="1:26" ht="18" customHeight="1" x14ac:dyDescent="0.15">
      <c r="B8" s="226"/>
      <c r="C8" s="227"/>
      <c r="D8" s="227"/>
      <c r="E8" s="227"/>
      <c r="F8" s="227"/>
      <c r="G8" s="227"/>
      <c r="H8" s="227"/>
      <c r="I8" s="227"/>
      <c r="J8" s="227"/>
      <c r="K8" s="227"/>
      <c r="L8" s="227"/>
      <c r="M8" s="227"/>
      <c r="N8" s="227"/>
      <c r="O8" s="227"/>
      <c r="P8" s="227"/>
      <c r="Q8" s="227"/>
      <c r="R8" s="227"/>
      <c r="S8" s="227"/>
      <c r="T8" s="227"/>
      <c r="U8" s="227"/>
      <c r="V8" s="227"/>
      <c r="W8" s="227"/>
      <c r="X8" s="227"/>
      <c r="Y8" s="227"/>
      <c r="Z8" s="228"/>
    </row>
    <row r="9" spans="1:26" ht="18" customHeight="1" x14ac:dyDescent="0.15">
      <c r="B9" s="226"/>
      <c r="C9" s="227"/>
      <c r="D9" s="227"/>
      <c r="E9" s="227"/>
      <c r="F9" s="227"/>
      <c r="G9" s="227"/>
      <c r="H9" s="227"/>
      <c r="I9" s="227"/>
      <c r="J9" s="227"/>
      <c r="K9" s="227"/>
      <c r="L9" s="227"/>
      <c r="M9" s="227"/>
      <c r="N9" s="227"/>
      <c r="O9" s="227"/>
      <c r="P9" s="227"/>
      <c r="Q9" s="227"/>
      <c r="R9" s="227"/>
      <c r="S9" s="227"/>
      <c r="T9" s="227"/>
      <c r="U9" s="227"/>
      <c r="V9" s="227"/>
      <c r="W9" s="227"/>
      <c r="X9" s="227"/>
      <c r="Y9" s="227"/>
      <c r="Z9" s="228"/>
    </row>
    <row r="10" spans="1:26" ht="18" customHeight="1" x14ac:dyDescent="0.15">
      <c r="B10" s="226"/>
      <c r="C10" s="229"/>
      <c r="D10" s="229"/>
      <c r="E10" s="229"/>
      <c r="F10" s="229"/>
      <c r="G10" s="229"/>
      <c r="H10" s="229"/>
      <c r="I10" s="229"/>
      <c r="J10" s="229"/>
      <c r="K10" s="229"/>
      <c r="L10" s="229"/>
      <c r="M10" s="229"/>
      <c r="N10" s="229"/>
      <c r="O10" s="229"/>
      <c r="P10" s="229"/>
      <c r="Q10" s="229"/>
      <c r="R10" s="229"/>
      <c r="S10" s="229"/>
      <c r="T10" s="229"/>
      <c r="U10" s="229"/>
      <c r="V10" s="229"/>
      <c r="W10" s="229"/>
      <c r="X10" s="229"/>
      <c r="Y10" s="229"/>
      <c r="Z10" s="228"/>
    </row>
    <row r="11" spans="1:26" ht="18" customHeight="1" x14ac:dyDescent="0.15">
      <c r="B11" s="230"/>
      <c r="C11" s="231"/>
      <c r="D11" s="231"/>
      <c r="E11" s="231"/>
      <c r="F11" s="231"/>
      <c r="G11" s="231"/>
      <c r="H11" s="231"/>
      <c r="I11" s="231"/>
      <c r="J11" s="231"/>
      <c r="K11" s="231"/>
      <c r="L11" s="231"/>
      <c r="M11" s="231"/>
      <c r="N11" s="231"/>
      <c r="O11" s="231"/>
      <c r="P11" s="231"/>
      <c r="Q11" s="231"/>
      <c r="R11" s="231"/>
      <c r="S11" s="231"/>
      <c r="T11" s="231"/>
      <c r="U11" s="231"/>
      <c r="V11" s="231"/>
      <c r="W11" s="231"/>
      <c r="X11" s="231"/>
      <c r="Y11" s="231"/>
      <c r="Z11" s="232"/>
    </row>
    <row r="12" spans="1:26" ht="7.5" customHeight="1" x14ac:dyDescent="0.15">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15">
      <c r="A13" s="221" t="s">
        <v>125</v>
      </c>
      <c r="B13" s="221"/>
      <c r="C13" s="221"/>
      <c r="D13" s="221"/>
      <c r="E13" s="221"/>
      <c r="F13" s="221"/>
      <c r="G13" s="221"/>
      <c r="H13" s="221"/>
      <c r="I13" s="221"/>
      <c r="J13" s="221"/>
      <c r="K13" s="221"/>
      <c r="L13" s="221"/>
      <c r="M13" s="221"/>
      <c r="N13" s="221"/>
      <c r="O13" s="221"/>
      <c r="P13" s="221"/>
      <c r="Q13" s="221"/>
      <c r="R13" s="221"/>
      <c r="S13" s="221"/>
      <c r="T13" s="221"/>
      <c r="U13" s="221"/>
      <c r="V13" s="221"/>
      <c r="W13" s="221"/>
      <c r="X13" s="221"/>
      <c r="Y13" s="221"/>
      <c r="Z13" s="221"/>
    </row>
    <row r="14" spans="1:26" ht="18" customHeight="1" x14ac:dyDescent="0.15">
      <c r="A14" s="221"/>
      <c r="B14" s="221"/>
      <c r="C14" s="221"/>
      <c r="D14" s="221"/>
      <c r="E14" s="221"/>
      <c r="F14" s="221"/>
      <c r="G14" s="221"/>
      <c r="H14" s="221"/>
      <c r="I14" s="221"/>
      <c r="J14" s="221"/>
      <c r="K14" s="221"/>
      <c r="L14" s="221"/>
      <c r="M14" s="221"/>
      <c r="N14" s="221"/>
      <c r="O14" s="221"/>
      <c r="P14" s="221"/>
      <c r="Q14" s="221"/>
      <c r="R14" s="221"/>
      <c r="S14" s="221"/>
      <c r="T14" s="221"/>
      <c r="U14" s="221"/>
      <c r="V14" s="221"/>
      <c r="W14" s="221"/>
      <c r="X14" s="221"/>
      <c r="Y14" s="221"/>
      <c r="Z14" s="221"/>
    </row>
    <row r="15" spans="1:26" ht="18" customHeight="1" x14ac:dyDescent="0.15">
      <c r="A15" s="14"/>
      <c r="B15" s="129" t="s">
        <v>100</v>
      </c>
      <c r="C15" s="130"/>
      <c r="D15" s="130"/>
      <c r="E15" s="130"/>
      <c r="F15" s="131"/>
      <c r="G15" s="30" t="s">
        <v>141</v>
      </c>
      <c r="H15" s="112" t="s">
        <v>140</v>
      </c>
      <c r="I15" s="130" t="s">
        <v>101</v>
      </c>
      <c r="J15" s="130"/>
      <c r="K15" s="130"/>
      <c r="L15" s="75" t="s">
        <v>104</v>
      </c>
      <c r="M15" s="75" t="s">
        <v>107</v>
      </c>
      <c r="N15" s="129" t="s">
        <v>100</v>
      </c>
      <c r="O15" s="130"/>
      <c r="P15" s="130"/>
      <c r="Q15" s="130"/>
      <c r="R15" s="130"/>
      <c r="S15" s="131"/>
      <c r="T15" s="30" t="s">
        <v>141</v>
      </c>
      <c r="U15" s="112" t="s">
        <v>140</v>
      </c>
      <c r="V15" s="130" t="s">
        <v>101</v>
      </c>
      <c r="W15" s="130"/>
      <c r="X15" s="130"/>
      <c r="Y15" s="75" t="s">
        <v>104</v>
      </c>
      <c r="Z15" s="75" t="s">
        <v>107</v>
      </c>
    </row>
    <row r="16" spans="1:26" ht="18" customHeight="1" x14ac:dyDescent="0.15">
      <c r="A16" s="14"/>
      <c r="B16" s="177" t="s">
        <v>167</v>
      </c>
      <c r="C16" s="178"/>
      <c r="D16" s="178"/>
      <c r="E16" s="178"/>
      <c r="F16" s="179"/>
      <c r="G16" s="113">
        <v>2</v>
      </c>
      <c r="H16" s="113" t="s">
        <v>169</v>
      </c>
      <c r="I16" s="190" t="s">
        <v>168</v>
      </c>
      <c r="J16" s="191"/>
      <c r="K16" s="192"/>
      <c r="L16" s="113" t="s">
        <v>169</v>
      </c>
      <c r="M16" s="113" t="s">
        <v>169</v>
      </c>
      <c r="N16" s="160"/>
      <c r="O16" s="161"/>
      <c r="P16" s="161"/>
      <c r="Q16" s="161"/>
      <c r="R16" s="161"/>
      <c r="S16" s="162"/>
      <c r="T16" s="113"/>
      <c r="U16" s="113"/>
      <c r="V16" s="190"/>
      <c r="W16" s="191"/>
      <c r="X16" s="192"/>
      <c r="Y16" s="113"/>
      <c r="Z16" s="113"/>
    </row>
    <row r="17" spans="1:26" ht="18" customHeight="1" x14ac:dyDescent="0.15">
      <c r="A17" s="14"/>
      <c r="B17" s="177"/>
      <c r="C17" s="178"/>
      <c r="D17" s="178"/>
      <c r="E17" s="178"/>
      <c r="F17" s="179"/>
      <c r="G17" s="114"/>
      <c r="H17" s="114"/>
      <c r="I17" s="169"/>
      <c r="J17" s="170"/>
      <c r="K17" s="171"/>
      <c r="L17" s="114"/>
      <c r="M17" s="114"/>
      <c r="N17" s="163"/>
      <c r="O17" s="164"/>
      <c r="P17" s="164"/>
      <c r="Q17" s="164"/>
      <c r="R17" s="164"/>
      <c r="S17" s="165"/>
      <c r="T17" s="114"/>
      <c r="U17" s="114"/>
      <c r="V17" s="169"/>
      <c r="W17" s="170"/>
      <c r="X17" s="171"/>
      <c r="Y17" s="114"/>
      <c r="Z17" s="114"/>
    </row>
    <row r="18" spans="1:26" ht="18" customHeight="1" x14ac:dyDescent="0.15">
      <c r="A18" s="14"/>
      <c r="B18" s="177"/>
      <c r="C18" s="178"/>
      <c r="D18" s="178"/>
      <c r="E18" s="178"/>
      <c r="F18" s="179"/>
      <c r="G18" s="114"/>
      <c r="H18" s="114"/>
      <c r="I18" s="169"/>
      <c r="J18" s="170"/>
      <c r="K18" s="171"/>
      <c r="L18" s="114"/>
      <c r="M18" s="114"/>
      <c r="N18" s="163"/>
      <c r="O18" s="164"/>
      <c r="P18" s="164"/>
      <c r="Q18" s="164"/>
      <c r="R18" s="164"/>
      <c r="S18" s="165"/>
      <c r="T18" s="114"/>
      <c r="U18" s="114"/>
      <c r="V18" s="169"/>
      <c r="W18" s="170"/>
      <c r="X18" s="171"/>
      <c r="Y18" s="114"/>
      <c r="Z18" s="114"/>
    </row>
    <row r="19" spans="1:26" ht="18" customHeight="1" x14ac:dyDescent="0.15">
      <c r="A19" s="14"/>
      <c r="B19" s="177"/>
      <c r="C19" s="178"/>
      <c r="D19" s="178"/>
      <c r="E19" s="178"/>
      <c r="F19" s="179"/>
      <c r="G19" s="114"/>
      <c r="H19" s="114"/>
      <c r="I19" s="169"/>
      <c r="J19" s="170"/>
      <c r="K19" s="171"/>
      <c r="L19" s="114"/>
      <c r="M19" s="114"/>
      <c r="N19" s="163"/>
      <c r="O19" s="164"/>
      <c r="P19" s="164"/>
      <c r="Q19" s="164"/>
      <c r="R19" s="164"/>
      <c r="S19" s="165"/>
      <c r="T19" s="114"/>
      <c r="U19" s="114"/>
      <c r="V19" s="169"/>
      <c r="W19" s="170"/>
      <c r="X19" s="171"/>
      <c r="Y19" s="114"/>
      <c r="Z19" s="114"/>
    </row>
    <row r="20" spans="1:26" ht="18" customHeight="1" x14ac:dyDescent="0.15">
      <c r="A20" s="14"/>
      <c r="B20" s="177"/>
      <c r="C20" s="178"/>
      <c r="D20" s="178"/>
      <c r="E20" s="178"/>
      <c r="F20" s="179"/>
      <c r="G20" s="114"/>
      <c r="H20" s="114"/>
      <c r="I20" s="169"/>
      <c r="J20" s="170"/>
      <c r="K20" s="171"/>
      <c r="L20" s="114"/>
      <c r="M20" s="114"/>
      <c r="N20" s="163"/>
      <c r="O20" s="164"/>
      <c r="P20" s="164"/>
      <c r="Q20" s="164"/>
      <c r="R20" s="164"/>
      <c r="S20" s="165"/>
      <c r="T20" s="114"/>
      <c r="U20" s="114"/>
      <c r="V20" s="169"/>
      <c r="W20" s="170"/>
      <c r="X20" s="171"/>
      <c r="Y20" s="114"/>
      <c r="Z20" s="114"/>
    </row>
    <row r="21" spans="1:26" ht="18" customHeight="1" x14ac:dyDescent="0.15">
      <c r="A21" s="29"/>
      <c r="B21" s="177"/>
      <c r="C21" s="178"/>
      <c r="D21" s="178"/>
      <c r="E21" s="178"/>
      <c r="F21" s="179"/>
      <c r="G21" s="114"/>
      <c r="H21" s="114"/>
      <c r="I21" s="169"/>
      <c r="J21" s="170"/>
      <c r="K21" s="171"/>
      <c r="L21" s="114"/>
      <c r="M21" s="114"/>
      <c r="N21" s="163"/>
      <c r="O21" s="164"/>
      <c r="P21" s="164"/>
      <c r="Q21" s="164"/>
      <c r="R21" s="164"/>
      <c r="S21" s="165"/>
      <c r="T21" s="114"/>
      <c r="U21" s="114"/>
      <c r="V21" s="169"/>
      <c r="W21" s="170"/>
      <c r="X21" s="171"/>
      <c r="Y21" s="114"/>
      <c r="Z21" s="114"/>
    </row>
    <row r="22" spans="1:26" ht="18" customHeight="1" x14ac:dyDescent="0.15">
      <c r="A22" s="29"/>
      <c r="B22" s="180"/>
      <c r="C22" s="181"/>
      <c r="D22" s="181"/>
      <c r="E22" s="181"/>
      <c r="F22" s="182"/>
      <c r="G22" s="115"/>
      <c r="H22" s="115"/>
      <c r="I22" s="172"/>
      <c r="J22" s="173"/>
      <c r="K22" s="174"/>
      <c r="L22" s="121"/>
      <c r="M22" s="121"/>
      <c r="N22" s="166"/>
      <c r="O22" s="167"/>
      <c r="P22" s="167"/>
      <c r="Q22" s="167"/>
      <c r="R22" s="167"/>
      <c r="S22" s="168"/>
      <c r="T22" s="115"/>
      <c r="U22" s="115"/>
      <c r="V22" s="172"/>
      <c r="W22" s="173"/>
      <c r="X22" s="174"/>
      <c r="Y22" s="121"/>
      <c r="Z22" s="121"/>
    </row>
    <row r="23" spans="1:26" ht="7.5" customHeight="1" x14ac:dyDescent="0.15">
      <c r="A23" s="29"/>
      <c r="B23" s="76"/>
      <c r="C23" s="76"/>
      <c r="D23" s="29"/>
      <c r="E23" s="29"/>
      <c r="F23" s="29"/>
      <c r="G23" s="29"/>
      <c r="H23" s="29"/>
      <c r="I23" s="29"/>
      <c r="J23" s="29"/>
      <c r="K23" s="29"/>
      <c r="L23" s="76"/>
      <c r="M23" s="76"/>
      <c r="N23" s="76"/>
      <c r="O23" s="76"/>
      <c r="P23" s="76"/>
      <c r="Q23" s="76"/>
      <c r="R23" s="76"/>
      <c r="S23" s="76"/>
      <c r="T23" s="76"/>
      <c r="U23" s="76"/>
      <c r="V23" s="76"/>
      <c r="W23" s="76"/>
      <c r="X23" s="76"/>
      <c r="Y23" s="76"/>
      <c r="Z23" s="29"/>
    </row>
    <row r="24" spans="1:26" ht="18" customHeight="1" x14ac:dyDescent="0.15">
      <c r="A24" s="221" t="s">
        <v>126</v>
      </c>
      <c r="B24" s="221"/>
      <c r="C24" s="221"/>
      <c r="D24" s="221"/>
      <c r="E24" s="221"/>
      <c r="F24" s="221"/>
      <c r="G24" s="221"/>
      <c r="H24" s="221"/>
      <c r="I24" s="221"/>
      <c r="J24" s="221"/>
      <c r="K24" s="221"/>
      <c r="L24" s="221"/>
      <c r="M24" s="221"/>
      <c r="N24" s="221"/>
      <c r="O24" s="221"/>
      <c r="P24" s="221"/>
      <c r="Q24" s="221"/>
      <c r="R24" s="221"/>
      <c r="S24" s="221"/>
      <c r="T24" s="221"/>
      <c r="U24" s="221"/>
      <c r="V24" s="221"/>
      <c r="W24" s="221"/>
      <c r="X24" s="221"/>
      <c r="Y24" s="221"/>
      <c r="Z24" s="221"/>
    </row>
    <row r="25" spans="1:26" ht="18" customHeight="1" x14ac:dyDescent="0.15">
      <c r="A25" s="221"/>
      <c r="B25" s="221"/>
      <c r="C25" s="221"/>
      <c r="D25" s="221"/>
      <c r="E25" s="221"/>
      <c r="F25" s="221"/>
      <c r="G25" s="221"/>
      <c r="H25" s="221"/>
      <c r="I25" s="221"/>
      <c r="J25" s="221"/>
      <c r="K25" s="221"/>
      <c r="L25" s="221"/>
      <c r="M25" s="221"/>
      <c r="N25" s="221"/>
      <c r="O25" s="221"/>
      <c r="P25" s="221"/>
      <c r="Q25" s="221"/>
      <c r="R25" s="221"/>
      <c r="S25" s="221"/>
      <c r="T25" s="221"/>
      <c r="U25" s="221"/>
      <c r="V25" s="221"/>
      <c r="W25" s="221"/>
      <c r="X25" s="221"/>
      <c r="Y25" s="221"/>
      <c r="Z25" s="221"/>
    </row>
    <row r="26" spans="1:26" ht="18" customHeight="1" x14ac:dyDescent="0.15">
      <c r="A26" s="14"/>
      <c r="B26" s="129" t="s">
        <v>100</v>
      </c>
      <c r="C26" s="130"/>
      <c r="D26" s="130"/>
      <c r="E26" s="130"/>
      <c r="F26" s="131"/>
      <c r="G26" s="30" t="s">
        <v>141</v>
      </c>
      <c r="H26" s="112" t="s">
        <v>140</v>
      </c>
      <c r="I26" s="130" t="s">
        <v>101</v>
      </c>
      <c r="J26" s="130"/>
      <c r="K26" s="130"/>
      <c r="L26" s="75" t="s">
        <v>127</v>
      </c>
      <c r="M26" s="75" t="s">
        <v>128</v>
      </c>
      <c r="N26" s="129" t="s">
        <v>100</v>
      </c>
      <c r="O26" s="130"/>
      <c r="P26" s="130"/>
      <c r="Q26" s="130"/>
      <c r="R26" s="130"/>
      <c r="S26" s="131"/>
      <c r="T26" s="30" t="s">
        <v>141</v>
      </c>
      <c r="U26" s="112" t="s">
        <v>140</v>
      </c>
      <c r="V26" s="130" t="s">
        <v>101</v>
      </c>
      <c r="W26" s="130"/>
      <c r="X26" s="130"/>
      <c r="Y26" s="75" t="s">
        <v>127</v>
      </c>
      <c r="Z26" s="75" t="s">
        <v>128</v>
      </c>
    </row>
    <row r="27" spans="1:26" ht="18" customHeight="1" x14ac:dyDescent="0.15">
      <c r="A27" s="14"/>
      <c r="B27" s="177" t="s">
        <v>167</v>
      </c>
      <c r="C27" s="178"/>
      <c r="D27" s="178"/>
      <c r="E27" s="178"/>
      <c r="F27" s="179"/>
      <c r="G27" s="113">
        <v>2</v>
      </c>
      <c r="H27" s="113" t="s">
        <v>169</v>
      </c>
      <c r="I27" s="190" t="s">
        <v>168</v>
      </c>
      <c r="J27" s="191"/>
      <c r="K27" s="192"/>
      <c r="L27" s="113" t="s">
        <v>169</v>
      </c>
      <c r="M27" s="113" t="s">
        <v>169</v>
      </c>
      <c r="N27" s="160"/>
      <c r="O27" s="161"/>
      <c r="P27" s="161"/>
      <c r="Q27" s="161"/>
      <c r="R27" s="161"/>
      <c r="S27" s="162"/>
      <c r="T27" s="113"/>
      <c r="U27" s="113"/>
      <c r="V27" s="190"/>
      <c r="W27" s="191"/>
      <c r="X27" s="192"/>
      <c r="Y27" s="113"/>
      <c r="Z27" s="113"/>
    </row>
    <row r="28" spans="1:26" ht="18" customHeight="1" x14ac:dyDescent="0.15">
      <c r="A28" s="14"/>
      <c r="B28" s="177"/>
      <c r="C28" s="178"/>
      <c r="D28" s="178"/>
      <c r="E28" s="178"/>
      <c r="F28" s="179"/>
      <c r="G28" s="114"/>
      <c r="H28" s="114"/>
      <c r="I28" s="169"/>
      <c r="J28" s="170"/>
      <c r="K28" s="171"/>
      <c r="L28" s="114"/>
      <c r="M28" s="114"/>
      <c r="N28" s="163"/>
      <c r="O28" s="164"/>
      <c r="P28" s="164"/>
      <c r="Q28" s="164"/>
      <c r="R28" s="164"/>
      <c r="S28" s="165"/>
      <c r="T28" s="114"/>
      <c r="U28" s="114"/>
      <c r="V28" s="169"/>
      <c r="W28" s="170"/>
      <c r="X28" s="171"/>
      <c r="Y28" s="114"/>
      <c r="Z28" s="114"/>
    </row>
    <row r="29" spans="1:26" ht="18" customHeight="1" x14ac:dyDescent="0.15">
      <c r="A29" s="14"/>
      <c r="B29" s="177"/>
      <c r="C29" s="178"/>
      <c r="D29" s="178"/>
      <c r="E29" s="178"/>
      <c r="F29" s="179"/>
      <c r="G29" s="114"/>
      <c r="H29" s="114"/>
      <c r="I29" s="169"/>
      <c r="J29" s="170"/>
      <c r="K29" s="171"/>
      <c r="L29" s="114"/>
      <c r="M29" s="114"/>
      <c r="N29" s="163"/>
      <c r="O29" s="164"/>
      <c r="P29" s="164"/>
      <c r="Q29" s="164"/>
      <c r="R29" s="164"/>
      <c r="S29" s="165"/>
      <c r="T29" s="114"/>
      <c r="U29" s="114"/>
      <c r="V29" s="169"/>
      <c r="W29" s="170"/>
      <c r="X29" s="171"/>
      <c r="Y29" s="114"/>
      <c r="Z29" s="114"/>
    </row>
    <row r="30" spans="1:26" ht="18" customHeight="1" x14ac:dyDescent="0.15">
      <c r="A30" s="14"/>
      <c r="B30" s="177"/>
      <c r="C30" s="178"/>
      <c r="D30" s="178"/>
      <c r="E30" s="178"/>
      <c r="F30" s="179"/>
      <c r="G30" s="114"/>
      <c r="H30" s="114"/>
      <c r="I30" s="169"/>
      <c r="J30" s="170"/>
      <c r="K30" s="171"/>
      <c r="L30" s="114"/>
      <c r="M30" s="114"/>
      <c r="N30" s="163"/>
      <c r="O30" s="164"/>
      <c r="P30" s="164"/>
      <c r="Q30" s="164"/>
      <c r="R30" s="164"/>
      <c r="S30" s="165"/>
      <c r="T30" s="114"/>
      <c r="U30" s="114"/>
      <c r="V30" s="169"/>
      <c r="W30" s="170"/>
      <c r="X30" s="171"/>
      <c r="Y30" s="114"/>
      <c r="Z30" s="114"/>
    </row>
    <row r="31" spans="1:26" ht="18" customHeight="1" x14ac:dyDescent="0.15">
      <c r="A31" s="14"/>
      <c r="B31" s="177"/>
      <c r="C31" s="178"/>
      <c r="D31" s="178"/>
      <c r="E31" s="178"/>
      <c r="F31" s="179"/>
      <c r="G31" s="114"/>
      <c r="H31" s="114"/>
      <c r="I31" s="169"/>
      <c r="J31" s="170"/>
      <c r="K31" s="171"/>
      <c r="L31" s="114"/>
      <c r="M31" s="114"/>
      <c r="N31" s="163"/>
      <c r="O31" s="164"/>
      <c r="P31" s="164"/>
      <c r="Q31" s="164"/>
      <c r="R31" s="164"/>
      <c r="S31" s="165"/>
      <c r="T31" s="114"/>
      <c r="U31" s="114"/>
      <c r="V31" s="169"/>
      <c r="W31" s="170"/>
      <c r="X31" s="171"/>
      <c r="Y31" s="114"/>
      <c r="Z31" s="114"/>
    </row>
    <row r="32" spans="1:26" ht="18" customHeight="1" x14ac:dyDescent="0.15">
      <c r="A32" s="14"/>
      <c r="B32" s="177"/>
      <c r="C32" s="178"/>
      <c r="D32" s="178"/>
      <c r="E32" s="178"/>
      <c r="F32" s="179"/>
      <c r="G32" s="114"/>
      <c r="H32" s="114"/>
      <c r="I32" s="169"/>
      <c r="J32" s="170"/>
      <c r="K32" s="171"/>
      <c r="L32" s="114"/>
      <c r="M32" s="114"/>
      <c r="N32" s="163"/>
      <c r="O32" s="164"/>
      <c r="P32" s="164"/>
      <c r="Q32" s="164"/>
      <c r="R32" s="164"/>
      <c r="S32" s="165"/>
      <c r="T32" s="114"/>
      <c r="U32" s="114"/>
      <c r="V32" s="169"/>
      <c r="W32" s="170"/>
      <c r="X32" s="171"/>
      <c r="Y32" s="114"/>
      <c r="Z32" s="114"/>
    </row>
    <row r="33" spans="1:26" ht="18" customHeight="1" x14ac:dyDescent="0.15">
      <c r="A33" s="14"/>
      <c r="B33" s="180"/>
      <c r="C33" s="181"/>
      <c r="D33" s="181"/>
      <c r="E33" s="181"/>
      <c r="F33" s="182"/>
      <c r="G33" s="115"/>
      <c r="H33" s="115"/>
      <c r="I33" s="172"/>
      <c r="J33" s="173"/>
      <c r="K33" s="174"/>
      <c r="L33" s="121"/>
      <c r="M33" s="121"/>
      <c r="N33" s="166"/>
      <c r="O33" s="167"/>
      <c r="P33" s="167"/>
      <c r="Q33" s="167"/>
      <c r="R33" s="167"/>
      <c r="S33" s="168"/>
      <c r="T33" s="115"/>
      <c r="U33" s="115"/>
      <c r="V33" s="172"/>
      <c r="W33" s="173"/>
      <c r="X33" s="174"/>
      <c r="Y33" s="121"/>
      <c r="Z33" s="121"/>
    </row>
    <row r="34" spans="1:26" ht="7.5" customHeight="1" x14ac:dyDescent="0.15">
      <c r="A34" s="29"/>
      <c r="B34" s="76"/>
      <c r="C34" s="76"/>
      <c r="D34" s="29"/>
      <c r="E34" s="29"/>
      <c r="F34" s="29"/>
      <c r="G34" s="29"/>
      <c r="H34" s="29"/>
      <c r="I34" s="29"/>
      <c r="J34" s="29"/>
      <c r="K34" s="29"/>
      <c r="L34" s="76"/>
      <c r="M34" s="76"/>
      <c r="N34" s="76"/>
      <c r="O34" s="76"/>
      <c r="P34" s="76"/>
      <c r="Q34" s="76"/>
      <c r="R34" s="76"/>
      <c r="S34" s="76"/>
      <c r="T34" s="76"/>
      <c r="U34" s="76"/>
      <c r="V34" s="76"/>
      <c r="W34" s="76"/>
      <c r="X34" s="76"/>
      <c r="Y34" s="76"/>
      <c r="Z34" s="29"/>
    </row>
    <row r="35" spans="1:26" ht="18" customHeight="1" x14ac:dyDescent="0.15">
      <c r="A35" s="221" t="s">
        <v>129</v>
      </c>
      <c r="B35" s="221"/>
      <c r="C35" s="221"/>
      <c r="D35" s="221"/>
      <c r="E35" s="221"/>
      <c r="F35" s="221"/>
      <c r="G35" s="221"/>
      <c r="H35" s="221"/>
      <c r="I35" s="221"/>
      <c r="J35" s="221"/>
      <c r="K35" s="221"/>
      <c r="L35" s="221"/>
      <c r="M35" s="221"/>
      <c r="N35" s="221"/>
      <c r="O35" s="221"/>
      <c r="P35" s="221"/>
      <c r="Q35" s="221"/>
      <c r="R35" s="221"/>
      <c r="S35" s="221"/>
      <c r="T35" s="221"/>
      <c r="U35" s="221"/>
      <c r="V35" s="221"/>
      <c r="W35" s="221"/>
      <c r="X35" s="221"/>
      <c r="Y35" s="221"/>
      <c r="Z35" s="221"/>
    </row>
    <row r="36" spans="1:26" ht="18" customHeight="1" x14ac:dyDescent="0.15">
      <c r="A36" s="221"/>
      <c r="B36" s="221"/>
      <c r="C36" s="221"/>
      <c r="D36" s="221"/>
      <c r="E36" s="221"/>
      <c r="F36" s="221"/>
      <c r="G36" s="221"/>
      <c r="H36" s="221"/>
      <c r="I36" s="221"/>
      <c r="J36" s="221"/>
      <c r="K36" s="221"/>
      <c r="L36" s="221"/>
      <c r="M36" s="221"/>
      <c r="N36" s="221"/>
      <c r="O36" s="221"/>
      <c r="P36" s="221"/>
      <c r="Q36" s="221"/>
      <c r="R36" s="221"/>
      <c r="S36" s="221"/>
      <c r="T36" s="221"/>
      <c r="U36" s="221"/>
      <c r="V36" s="221"/>
      <c r="W36" s="221"/>
      <c r="X36" s="221"/>
      <c r="Y36" s="221"/>
      <c r="Z36" s="221"/>
    </row>
    <row r="37" spans="1:26" ht="18" customHeight="1" x14ac:dyDescent="0.15">
      <c r="A37" s="14"/>
      <c r="B37" s="129" t="s">
        <v>100</v>
      </c>
      <c r="C37" s="130"/>
      <c r="D37" s="130"/>
      <c r="E37" s="130"/>
      <c r="F37" s="131"/>
      <c r="G37" s="30" t="s">
        <v>141</v>
      </c>
      <c r="H37" s="112" t="s">
        <v>140</v>
      </c>
      <c r="I37" s="129" t="s">
        <v>101</v>
      </c>
      <c r="J37" s="130"/>
      <c r="K37" s="131"/>
      <c r="L37" s="75" t="s">
        <v>130</v>
      </c>
      <c r="M37" s="75" t="s">
        <v>131</v>
      </c>
      <c r="N37" s="129" t="s">
        <v>100</v>
      </c>
      <c r="O37" s="130"/>
      <c r="P37" s="130"/>
      <c r="Q37" s="130"/>
      <c r="R37" s="130"/>
      <c r="S37" s="131"/>
      <c r="T37" s="30" t="s">
        <v>141</v>
      </c>
      <c r="U37" s="112" t="s">
        <v>140</v>
      </c>
      <c r="V37" s="129" t="s">
        <v>101</v>
      </c>
      <c r="W37" s="130"/>
      <c r="X37" s="131"/>
      <c r="Y37" s="75" t="s">
        <v>130</v>
      </c>
      <c r="Z37" s="75" t="s">
        <v>131</v>
      </c>
    </row>
    <row r="38" spans="1:26" ht="18" customHeight="1" x14ac:dyDescent="0.15">
      <c r="A38" s="29"/>
      <c r="B38" s="177" t="s">
        <v>167</v>
      </c>
      <c r="C38" s="178"/>
      <c r="D38" s="178"/>
      <c r="E38" s="178"/>
      <c r="F38" s="179"/>
      <c r="G38" s="113">
        <v>2</v>
      </c>
      <c r="H38" s="113" t="s">
        <v>169</v>
      </c>
      <c r="I38" s="190" t="s">
        <v>168</v>
      </c>
      <c r="J38" s="191"/>
      <c r="K38" s="192"/>
      <c r="L38" s="113" t="s">
        <v>169</v>
      </c>
      <c r="M38" s="113" t="s">
        <v>169</v>
      </c>
      <c r="N38" s="160"/>
      <c r="O38" s="161"/>
      <c r="P38" s="161"/>
      <c r="Q38" s="161"/>
      <c r="R38" s="161"/>
      <c r="S38" s="162"/>
      <c r="T38" s="113"/>
      <c r="U38" s="113"/>
      <c r="V38" s="190"/>
      <c r="W38" s="191"/>
      <c r="X38" s="192"/>
      <c r="Y38" s="113"/>
      <c r="Z38" s="113"/>
    </row>
    <row r="39" spans="1:26" ht="18" customHeight="1" x14ac:dyDescent="0.15">
      <c r="A39" s="29"/>
      <c r="B39" s="177"/>
      <c r="C39" s="178"/>
      <c r="D39" s="178"/>
      <c r="E39" s="178"/>
      <c r="F39" s="179"/>
      <c r="G39" s="114"/>
      <c r="H39" s="114"/>
      <c r="I39" s="169"/>
      <c r="J39" s="170"/>
      <c r="K39" s="171"/>
      <c r="L39" s="114"/>
      <c r="M39" s="114"/>
      <c r="N39" s="163"/>
      <c r="O39" s="164"/>
      <c r="P39" s="164"/>
      <c r="Q39" s="164"/>
      <c r="R39" s="164"/>
      <c r="S39" s="165"/>
      <c r="T39" s="114"/>
      <c r="U39" s="114"/>
      <c r="V39" s="169"/>
      <c r="W39" s="170"/>
      <c r="X39" s="171"/>
      <c r="Y39" s="114"/>
      <c r="Z39" s="114"/>
    </row>
    <row r="40" spans="1:26" ht="18" customHeight="1" x14ac:dyDescent="0.15">
      <c r="A40" s="29"/>
      <c r="B40" s="177"/>
      <c r="C40" s="178"/>
      <c r="D40" s="178"/>
      <c r="E40" s="178"/>
      <c r="F40" s="179"/>
      <c r="G40" s="114"/>
      <c r="H40" s="114"/>
      <c r="I40" s="169"/>
      <c r="J40" s="170"/>
      <c r="K40" s="171"/>
      <c r="L40" s="114"/>
      <c r="M40" s="114"/>
      <c r="N40" s="163"/>
      <c r="O40" s="164"/>
      <c r="P40" s="164"/>
      <c r="Q40" s="164"/>
      <c r="R40" s="164"/>
      <c r="S40" s="165"/>
      <c r="T40" s="114"/>
      <c r="U40" s="114"/>
      <c r="V40" s="169"/>
      <c r="W40" s="170"/>
      <c r="X40" s="171"/>
      <c r="Y40" s="114"/>
      <c r="Z40" s="114"/>
    </row>
    <row r="41" spans="1:26" ht="18" customHeight="1" x14ac:dyDescent="0.15">
      <c r="A41" s="29"/>
      <c r="B41" s="177"/>
      <c r="C41" s="178"/>
      <c r="D41" s="178"/>
      <c r="E41" s="178"/>
      <c r="F41" s="179"/>
      <c r="G41" s="114"/>
      <c r="H41" s="114"/>
      <c r="I41" s="169"/>
      <c r="J41" s="170"/>
      <c r="K41" s="171"/>
      <c r="L41" s="114"/>
      <c r="M41" s="114"/>
      <c r="N41" s="163"/>
      <c r="O41" s="164"/>
      <c r="P41" s="164"/>
      <c r="Q41" s="164"/>
      <c r="R41" s="164"/>
      <c r="S41" s="165"/>
      <c r="T41" s="114"/>
      <c r="U41" s="114"/>
      <c r="V41" s="169"/>
      <c r="W41" s="170"/>
      <c r="X41" s="171"/>
      <c r="Y41" s="114"/>
      <c r="Z41" s="114"/>
    </row>
    <row r="42" spans="1:26" ht="18" customHeight="1" x14ac:dyDescent="0.15">
      <c r="A42" s="29"/>
      <c r="B42" s="177"/>
      <c r="C42" s="178"/>
      <c r="D42" s="178"/>
      <c r="E42" s="178"/>
      <c r="F42" s="179"/>
      <c r="G42" s="114"/>
      <c r="H42" s="114"/>
      <c r="I42" s="169"/>
      <c r="J42" s="170"/>
      <c r="K42" s="171"/>
      <c r="L42" s="114"/>
      <c r="M42" s="114"/>
      <c r="N42" s="163"/>
      <c r="O42" s="164"/>
      <c r="P42" s="164"/>
      <c r="Q42" s="164"/>
      <c r="R42" s="164"/>
      <c r="S42" s="165"/>
      <c r="T42" s="114"/>
      <c r="U42" s="114"/>
      <c r="V42" s="169"/>
      <c r="W42" s="170"/>
      <c r="X42" s="171"/>
      <c r="Y42" s="114"/>
      <c r="Z42" s="114"/>
    </row>
    <row r="43" spans="1:26" ht="18" customHeight="1" x14ac:dyDescent="0.15">
      <c r="A43" s="29"/>
      <c r="B43" s="177"/>
      <c r="C43" s="178"/>
      <c r="D43" s="178"/>
      <c r="E43" s="178"/>
      <c r="F43" s="179"/>
      <c r="G43" s="114"/>
      <c r="H43" s="114"/>
      <c r="I43" s="169"/>
      <c r="J43" s="170"/>
      <c r="K43" s="171"/>
      <c r="L43" s="114"/>
      <c r="M43" s="114"/>
      <c r="N43" s="163"/>
      <c r="O43" s="164"/>
      <c r="P43" s="164"/>
      <c r="Q43" s="164"/>
      <c r="R43" s="164"/>
      <c r="S43" s="165"/>
      <c r="T43" s="114"/>
      <c r="U43" s="114"/>
      <c r="V43" s="169"/>
      <c r="W43" s="170"/>
      <c r="X43" s="171"/>
      <c r="Y43" s="114"/>
      <c r="Z43" s="114"/>
    </row>
    <row r="44" spans="1:26" ht="18" customHeight="1" x14ac:dyDescent="0.15">
      <c r="A44" s="29"/>
      <c r="B44" s="180"/>
      <c r="C44" s="181"/>
      <c r="D44" s="181"/>
      <c r="E44" s="181"/>
      <c r="F44" s="182"/>
      <c r="G44" s="115"/>
      <c r="H44" s="115"/>
      <c r="I44" s="172"/>
      <c r="J44" s="173"/>
      <c r="K44" s="174"/>
      <c r="L44" s="121"/>
      <c r="M44" s="121"/>
      <c r="N44" s="166"/>
      <c r="O44" s="167"/>
      <c r="P44" s="167"/>
      <c r="Q44" s="167"/>
      <c r="R44" s="167"/>
      <c r="S44" s="168"/>
      <c r="T44" s="115"/>
      <c r="U44" s="115"/>
      <c r="V44" s="172"/>
      <c r="W44" s="173"/>
      <c r="X44" s="174"/>
      <c r="Y44" s="121"/>
      <c r="Z44" s="121"/>
    </row>
    <row r="45" spans="1:26" ht="7.5" customHeight="1" x14ac:dyDescent="0.15">
      <c r="B45" s="77"/>
      <c r="C45" s="77"/>
      <c r="D45" s="77"/>
      <c r="E45" s="77"/>
      <c r="F45" s="77"/>
      <c r="G45" s="77"/>
      <c r="H45" s="77"/>
      <c r="I45" s="77"/>
      <c r="J45" s="77"/>
      <c r="K45" s="77"/>
      <c r="L45" s="77"/>
      <c r="M45" s="77"/>
      <c r="N45" s="77"/>
      <c r="O45" s="77"/>
      <c r="P45" s="77"/>
      <c r="Q45" s="77"/>
      <c r="R45" s="77"/>
      <c r="S45" s="77"/>
      <c r="T45" s="77"/>
      <c r="U45" s="77"/>
      <c r="V45" s="77"/>
      <c r="W45" s="77"/>
      <c r="X45" s="77"/>
      <c r="Y45" s="77"/>
    </row>
    <row r="46" spans="1:26" ht="18" customHeight="1" x14ac:dyDescent="0.15">
      <c r="A46" s="221" t="s">
        <v>132</v>
      </c>
      <c r="B46" s="221"/>
      <c r="C46" s="221"/>
      <c r="D46" s="221"/>
      <c r="E46" s="221"/>
      <c r="F46" s="221"/>
      <c r="G46" s="221"/>
      <c r="H46" s="221"/>
      <c r="I46" s="221"/>
      <c r="J46" s="221"/>
      <c r="K46" s="221"/>
      <c r="L46" s="221"/>
      <c r="M46" s="221"/>
      <c r="N46" s="221"/>
      <c r="O46" s="221"/>
      <c r="P46" s="221"/>
      <c r="Q46" s="221"/>
      <c r="R46" s="221"/>
      <c r="S46" s="221"/>
      <c r="T46" s="221"/>
      <c r="U46" s="221"/>
      <c r="V46" s="221"/>
      <c r="W46" s="221"/>
      <c r="X46" s="221"/>
      <c r="Y46" s="221"/>
      <c r="Z46" s="221"/>
    </row>
    <row r="47" spans="1:26" ht="18" customHeight="1" x14ac:dyDescent="0.15">
      <c r="A47" s="221"/>
      <c r="B47" s="221"/>
      <c r="C47" s="221"/>
      <c r="D47" s="221"/>
      <c r="E47" s="221"/>
      <c r="F47" s="221"/>
      <c r="G47" s="221"/>
      <c r="H47" s="221"/>
      <c r="I47" s="221"/>
      <c r="J47" s="221"/>
      <c r="K47" s="221"/>
      <c r="L47" s="221"/>
      <c r="M47" s="221"/>
      <c r="N47" s="221"/>
      <c r="O47" s="221"/>
      <c r="P47" s="221"/>
      <c r="Q47" s="221"/>
      <c r="R47" s="221"/>
      <c r="S47" s="221"/>
      <c r="T47" s="221"/>
      <c r="U47" s="221"/>
      <c r="V47" s="221"/>
      <c r="W47" s="221"/>
      <c r="X47" s="221"/>
      <c r="Y47" s="221"/>
      <c r="Z47" s="221"/>
    </row>
    <row r="48" spans="1:26" ht="18" customHeight="1" x14ac:dyDescent="0.15">
      <c r="A48" s="14"/>
      <c r="B48" s="129" t="s">
        <v>100</v>
      </c>
      <c r="C48" s="130"/>
      <c r="D48" s="130"/>
      <c r="E48" s="130"/>
      <c r="F48" s="131"/>
      <c r="G48" s="30" t="s">
        <v>141</v>
      </c>
      <c r="H48" s="112" t="s">
        <v>140</v>
      </c>
      <c r="I48" s="129" t="s">
        <v>101</v>
      </c>
      <c r="J48" s="130"/>
      <c r="K48" s="131"/>
      <c r="L48" s="75" t="s">
        <v>106</v>
      </c>
      <c r="M48" s="75" t="s">
        <v>108</v>
      </c>
      <c r="N48" s="129" t="s">
        <v>100</v>
      </c>
      <c r="O48" s="130"/>
      <c r="P48" s="130"/>
      <c r="Q48" s="130"/>
      <c r="R48" s="130"/>
      <c r="S48" s="131"/>
      <c r="T48" s="30" t="s">
        <v>141</v>
      </c>
      <c r="U48" s="112" t="s">
        <v>140</v>
      </c>
      <c r="V48" s="129" t="s">
        <v>101</v>
      </c>
      <c r="W48" s="130"/>
      <c r="X48" s="131"/>
      <c r="Y48" s="75" t="s">
        <v>106</v>
      </c>
      <c r="Z48" s="75" t="s">
        <v>108</v>
      </c>
    </row>
    <row r="49" spans="1:26" ht="18" customHeight="1" x14ac:dyDescent="0.15">
      <c r="A49" s="29"/>
      <c r="B49" s="177" t="s">
        <v>167</v>
      </c>
      <c r="C49" s="178"/>
      <c r="D49" s="178"/>
      <c r="E49" s="178"/>
      <c r="F49" s="179"/>
      <c r="G49" s="113">
        <v>2</v>
      </c>
      <c r="H49" s="113" t="s">
        <v>169</v>
      </c>
      <c r="I49" s="190" t="s">
        <v>168</v>
      </c>
      <c r="J49" s="191"/>
      <c r="K49" s="192"/>
      <c r="L49" s="113" t="s">
        <v>169</v>
      </c>
      <c r="M49" s="113" t="s">
        <v>169</v>
      </c>
      <c r="N49" s="160"/>
      <c r="O49" s="161"/>
      <c r="P49" s="161"/>
      <c r="Q49" s="161"/>
      <c r="R49" s="161"/>
      <c r="S49" s="162"/>
      <c r="T49" s="113"/>
      <c r="U49" s="113"/>
      <c r="V49" s="190"/>
      <c r="W49" s="191"/>
      <c r="X49" s="192"/>
      <c r="Y49" s="113"/>
      <c r="Z49" s="113"/>
    </row>
    <row r="50" spans="1:26" ht="18" customHeight="1" x14ac:dyDescent="0.15">
      <c r="A50" s="29"/>
      <c r="B50" s="177"/>
      <c r="C50" s="178"/>
      <c r="D50" s="178"/>
      <c r="E50" s="178"/>
      <c r="F50" s="179"/>
      <c r="G50" s="114"/>
      <c r="H50" s="114"/>
      <c r="I50" s="169"/>
      <c r="J50" s="170"/>
      <c r="K50" s="171"/>
      <c r="L50" s="114"/>
      <c r="M50" s="114"/>
      <c r="N50" s="163"/>
      <c r="O50" s="164"/>
      <c r="P50" s="164"/>
      <c r="Q50" s="164"/>
      <c r="R50" s="164"/>
      <c r="S50" s="165"/>
      <c r="T50" s="114"/>
      <c r="U50" s="114"/>
      <c r="V50" s="169"/>
      <c r="W50" s="170"/>
      <c r="X50" s="171"/>
      <c r="Y50" s="114"/>
      <c r="Z50" s="114"/>
    </row>
    <row r="51" spans="1:26" ht="18" customHeight="1" x14ac:dyDescent="0.15">
      <c r="A51" s="29"/>
      <c r="B51" s="177"/>
      <c r="C51" s="178"/>
      <c r="D51" s="178"/>
      <c r="E51" s="178"/>
      <c r="F51" s="179"/>
      <c r="G51" s="114"/>
      <c r="H51" s="114"/>
      <c r="I51" s="169"/>
      <c r="J51" s="170"/>
      <c r="K51" s="171"/>
      <c r="L51" s="114"/>
      <c r="M51" s="114"/>
      <c r="N51" s="163"/>
      <c r="O51" s="164"/>
      <c r="P51" s="164"/>
      <c r="Q51" s="164"/>
      <c r="R51" s="164"/>
      <c r="S51" s="165"/>
      <c r="T51" s="114"/>
      <c r="U51" s="114"/>
      <c r="V51" s="169"/>
      <c r="W51" s="170"/>
      <c r="X51" s="171"/>
      <c r="Y51" s="114"/>
      <c r="Z51" s="114"/>
    </row>
    <row r="52" spans="1:26" ht="18" customHeight="1" x14ac:dyDescent="0.15">
      <c r="A52" s="29"/>
      <c r="B52" s="177"/>
      <c r="C52" s="178"/>
      <c r="D52" s="178"/>
      <c r="E52" s="178"/>
      <c r="F52" s="179"/>
      <c r="G52" s="114"/>
      <c r="H52" s="114"/>
      <c r="I52" s="169"/>
      <c r="J52" s="170"/>
      <c r="K52" s="171"/>
      <c r="L52" s="114"/>
      <c r="M52" s="114"/>
      <c r="N52" s="163"/>
      <c r="O52" s="164"/>
      <c r="P52" s="164"/>
      <c r="Q52" s="164"/>
      <c r="R52" s="164"/>
      <c r="S52" s="165"/>
      <c r="T52" s="114"/>
      <c r="U52" s="114"/>
      <c r="V52" s="169"/>
      <c r="W52" s="170"/>
      <c r="X52" s="171"/>
      <c r="Y52" s="114"/>
      <c r="Z52" s="114"/>
    </row>
    <row r="53" spans="1:26" ht="18" customHeight="1" x14ac:dyDescent="0.15">
      <c r="A53" s="29"/>
      <c r="B53" s="177"/>
      <c r="C53" s="178"/>
      <c r="D53" s="178"/>
      <c r="E53" s="178"/>
      <c r="F53" s="179"/>
      <c r="G53" s="114"/>
      <c r="H53" s="114"/>
      <c r="I53" s="169"/>
      <c r="J53" s="170"/>
      <c r="K53" s="171"/>
      <c r="L53" s="114"/>
      <c r="M53" s="114"/>
      <c r="N53" s="163"/>
      <c r="O53" s="164"/>
      <c r="P53" s="164"/>
      <c r="Q53" s="164"/>
      <c r="R53" s="164"/>
      <c r="S53" s="165"/>
      <c r="T53" s="114"/>
      <c r="U53" s="114"/>
      <c r="V53" s="169"/>
      <c r="W53" s="170"/>
      <c r="X53" s="171"/>
      <c r="Y53" s="114"/>
      <c r="Z53" s="114"/>
    </row>
    <row r="54" spans="1:26" ht="18" customHeight="1" x14ac:dyDescent="0.15">
      <c r="A54" s="29"/>
      <c r="B54" s="177"/>
      <c r="C54" s="178"/>
      <c r="D54" s="178"/>
      <c r="E54" s="178"/>
      <c r="F54" s="179"/>
      <c r="G54" s="114"/>
      <c r="H54" s="114"/>
      <c r="I54" s="169"/>
      <c r="J54" s="170"/>
      <c r="K54" s="171"/>
      <c r="L54" s="114"/>
      <c r="M54" s="114"/>
      <c r="N54" s="163"/>
      <c r="O54" s="164"/>
      <c r="P54" s="164"/>
      <c r="Q54" s="164"/>
      <c r="R54" s="164"/>
      <c r="S54" s="165"/>
      <c r="T54" s="114"/>
      <c r="U54" s="114"/>
      <c r="V54" s="169"/>
      <c r="W54" s="170"/>
      <c r="X54" s="171"/>
      <c r="Y54" s="114"/>
      <c r="Z54" s="114"/>
    </row>
    <row r="55" spans="1:26" ht="18" customHeight="1" x14ac:dyDescent="0.15">
      <c r="A55" s="29"/>
      <c r="B55" s="180"/>
      <c r="C55" s="181"/>
      <c r="D55" s="181"/>
      <c r="E55" s="181"/>
      <c r="F55" s="182"/>
      <c r="G55" s="115"/>
      <c r="H55" s="115"/>
      <c r="I55" s="172"/>
      <c r="J55" s="173"/>
      <c r="K55" s="174"/>
      <c r="L55" s="121"/>
      <c r="M55" s="121"/>
      <c r="N55" s="166"/>
      <c r="O55" s="167"/>
      <c r="P55" s="167"/>
      <c r="Q55" s="167"/>
      <c r="R55" s="167"/>
      <c r="S55" s="168"/>
      <c r="T55" s="115"/>
      <c r="U55" s="115"/>
      <c r="V55" s="172"/>
      <c r="W55" s="173"/>
      <c r="X55" s="174"/>
      <c r="Y55" s="121"/>
      <c r="Z55" s="121"/>
    </row>
    <row r="56" spans="1:26" ht="7.5" customHeight="1" x14ac:dyDescent="0.15">
      <c r="B56" s="77"/>
      <c r="C56" s="77"/>
      <c r="D56" s="77"/>
      <c r="E56" s="77"/>
      <c r="F56" s="77"/>
      <c r="G56" s="77"/>
      <c r="H56" s="77"/>
      <c r="I56" s="77"/>
      <c r="J56" s="77"/>
      <c r="K56" s="77"/>
      <c r="L56" s="77"/>
      <c r="M56" s="77"/>
      <c r="N56" s="77"/>
      <c r="O56" s="77"/>
      <c r="P56" s="77"/>
      <c r="Q56" s="77"/>
      <c r="R56" s="77"/>
      <c r="S56" s="77"/>
      <c r="T56" s="77"/>
      <c r="U56" s="77"/>
      <c r="V56" s="77"/>
      <c r="W56" s="77"/>
      <c r="X56" s="77"/>
      <c r="Y56" s="77"/>
    </row>
    <row r="57" spans="1:26" ht="18" customHeight="1" x14ac:dyDescent="0.15">
      <c r="A57" s="221" t="s">
        <v>133</v>
      </c>
      <c r="B57" s="221"/>
      <c r="C57" s="221"/>
      <c r="D57" s="221"/>
      <c r="E57" s="221"/>
      <c r="F57" s="221"/>
      <c r="G57" s="221"/>
      <c r="H57" s="221"/>
      <c r="I57" s="221"/>
      <c r="J57" s="221"/>
      <c r="K57" s="221"/>
      <c r="L57" s="221"/>
      <c r="M57" s="221"/>
      <c r="N57" s="221"/>
      <c r="O57" s="221"/>
      <c r="P57" s="221"/>
      <c r="Q57" s="221"/>
      <c r="R57" s="221"/>
      <c r="S57" s="221"/>
      <c r="T57" s="221"/>
      <c r="U57" s="221"/>
      <c r="V57" s="221"/>
      <c r="W57" s="221"/>
      <c r="X57" s="221"/>
      <c r="Y57" s="221"/>
      <c r="Z57" s="221"/>
    </row>
    <row r="58" spans="1:26" ht="18" customHeight="1" x14ac:dyDescent="0.15">
      <c r="A58" s="221"/>
      <c r="B58" s="221"/>
      <c r="C58" s="221"/>
      <c r="D58" s="221"/>
      <c r="E58" s="221"/>
      <c r="F58" s="221"/>
      <c r="G58" s="221"/>
      <c r="H58" s="221"/>
      <c r="I58" s="221"/>
      <c r="J58" s="221"/>
      <c r="K58" s="221"/>
      <c r="L58" s="221"/>
      <c r="M58" s="221"/>
      <c r="N58" s="221"/>
      <c r="O58" s="221"/>
      <c r="P58" s="221"/>
      <c r="Q58" s="221"/>
      <c r="R58" s="221"/>
      <c r="S58" s="221"/>
      <c r="T58" s="221"/>
      <c r="U58" s="221"/>
      <c r="V58" s="221"/>
      <c r="W58" s="221"/>
      <c r="X58" s="221"/>
      <c r="Y58" s="221"/>
      <c r="Z58" s="221"/>
    </row>
    <row r="59" spans="1:26" ht="18" customHeight="1" x14ac:dyDescent="0.15">
      <c r="A59" s="14"/>
      <c r="B59" s="129" t="s">
        <v>100</v>
      </c>
      <c r="C59" s="130"/>
      <c r="D59" s="130"/>
      <c r="E59" s="131"/>
      <c r="F59" s="30" t="s">
        <v>141</v>
      </c>
      <c r="G59" s="112" t="s">
        <v>140</v>
      </c>
      <c r="H59" s="137" t="s">
        <v>101</v>
      </c>
      <c r="I59" s="175"/>
      <c r="J59" s="176"/>
      <c r="K59" s="75" t="s">
        <v>105</v>
      </c>
      <c r="L59" s="75" t="s">
        <v>134</v>
      </c>
      <c r="M59" s="75" t="s">
        <v>135</v>
      </c>
      <c r="N59" s="129" t="s">
        <v>100</v>
      </c>
      <c r="O59" s="130"/>
      <c r="P59" s="130"/>
      <c r="Q59" s="130"/>
      <c r="R59" s="131"/>
      <c r="S59" s="30" t="s">
        <v>141</v>
      </c>
      <c r="T59" s="112" t="s">
        <v>140</v>
      </c>
      <c r="U59" s="107" t="s">
        <v>101</v>
      </c>
      <c r="V59" s="108"/>
      <c r="W59" s="109"/>
      <c r="X59" s="75" t="s">
        <v>105</v>
      </c>
      <c r="Y59" s="75" t="s">
        <v>134</v>
      </c>
      <c r="Z59" s="75" t="s">
        <v>135</v>
      </c>
    </row>
    <row r="60" spans="1:26" ht="18" customHeight="1" x14ac:dyDescent="0.15">
      <c r="A60" s="29"/>
      <c r="B60" s="163" t="s">
        <v>171</v>
      </c>
      <c r="C60" s="164"/>
      <c r="D60" s="164"/>
      <c r="E60" s="165"/>
      <c r="F60" s="113">
        <v>2</v>
      </c>
      <c r="G60" s="113" t="s">
        <v>169</v>
      </c>
      <c r="H60" s="190" t="s">
        <v>168</v>
      </c>
      <c r="I60" s="191"/>
      <c r="J60" s="192"/>
      <c r="K60" s="113" t="s">
        <v>169</v>
      </c>
      <c r="L60" s="113" t="s">
        <v>169</v>
      </c>
      <c r="M60" s="113" t="s">
        <v>169</v>
      </c>
      <c r="N60" s="160"/>
      <c r="O60" s="161"/>
      <c r="P60" s="161"/>
      <c r="Q60" s="161"/>
      <c r="R60" s="162"/>
      <c r="S60" s="113"/>
      <c r="T60" s="113"/>
      <c r="U60" s="190"/>
      <c r="V60" s="191"/>
      <c r="W60" s="192"/>
      <c r="X60" s="126"/>
      <c r="Y60" s="113"/>
      <c r="Z60" s="113"/>
    </row>
    <row r="61" spans="1:26" ht="18" customHeight="1" x14ac:dyDescent="0.15">
      <c r="A61" s="29"/>
      <c r="B61" s="163"/>
      <c r="C61" s="164"/>
      <c r="D61" s="164"/>
      <c r="E61" s="165"/>
      <c r="F61" s="114"/>
      <c r="G61" s="114"/>
      <c r="H61" s="169"/>
      <c r="I61" s="170"/>
      <c r="J61" s="171"/>
      <c r="K61" s="114"/>
      <c r="L61" s="114"/>
      <c r="M61" s="114"/>
      <c r="N61" s="163"/>
      <c r="O61" s="164"/>
      <c r="P61" s="164"/>
      <c r="Q61" s="164"/>
      <c r="R61" s="165"/>
      <c r="S61" s="114"/>
      <c r="T61" s="114"/>
      <c r="U61" s="169"/>
      <c r="V61" s="170"/>
      <c r="W61" s="171"/>
      <c r="X61" s="127"/>
      <c r="Y61" s="114"/>
      <c r="Z61" s="114"/>
    </row>
    <row r="62" spans="1:26" ht="18" customHeight="1" x14ac:dyDescent="0.15">
      <c r="A62" s="29"/>
      <c r="B62" s="163"/>
      <c r="C62" s="164"/>
      <c r="D62" s="164"/>
      <c r="E62" s="165"/>
      <c r="F62" s="114"/>
      <c r="G62" s="114"/>
      <c r="H62" s="169"/>
      <c r="I62" s="170"/>
      <c r="J62" s="171"/>
      <c r="K62" s="127"/>
      <c r="L62" s="114"/>
      <c r="M62" s="114"/>
      <c r="N62" s="163"/>
      <c r="O62" s="164"/>
      <c r="P62" s="164"/>
      <c r="Q62" s="164"/>
      <c r="R62" s="165"/>
      <c r="S62" s="114"/>
      <c r="T62" s="114"/>
      <c r="U62" s="169"/>
      <c r="V62" s="170"/>
      <c r="W62" s="171"/>
      <c r="X62" s="127"/>
      <c r="Y62" s="114"/>
      <c r="Z62" s="114"/>
    </row>
    <row r="63" spans="1:26" ht="18" customHeight="1" x14ac:dyDescent="0.15">
      <c r="A63" s="29"/>
      <c r="B63" s="163"/>
      <c r="C63" s="164"/>
      <c r="D63" s="164"/>
      <c r="E63" s="165"/>
      <c r="F63" s="114"/>
      <c r="G63" s="114"/>
      <c r="H63" s="169"/>
      <c r="I63" s="170"/>
      <c r="J63" s="171"/>
      <c r="K63" s="127"/>
      <c r="L63" s="114"/>
      <c r="M63" s="114"/>
      <c r="N63" s="163"/>
      <c r="O63" s="164"/>
      <c r="P63" s="164"/>
      <c r="Q63" s="164"/>
      <c r="R63" s="165"/>
      <c r="S63" s="114"/>
      <c r="T63" s="114"/>
      <c r="U63" s="169"/>
      <c r="V63" s="170"/>
      <c r="W63" s="171"/>
      <c r="X63" s="127"/>
      <c r="Y63" s="114"/>
      <c r="Z63" s="114"/>
    </row>
    <row r="64" spans="1:26" ht="18" customHeight="1" x14ac:dyDescent="0.15">
      <c r="A64" s="29"/>
      <c r="B64" s="163"/>
      <c r="C64" s="164"/>
      <c r="D64" s="164"/>
      <c r="E64" s="165"/>
      <c r="F64" s="114"/>
      <c r="G64" s="114"/>
      <c r="H64" s="169"/>
      <c r="I64" s="170"/>
      <c r="J64" s="171"/>
      <c r="K64" s="127"/>
      <c r="L64" s="114"/>
      <c r="M64" s="114"/>
      <c r="N64" s="163"/>
      <c r="O64" s="164"/>
      <c r="P64" s="164"/>
      <c r="Q64" s="164"/>
      <c r="R64" s="165"/>
      <c r="S64" s="114"/>
      <c r="T64" s="114"/>
      <c r="U64" s="169"/>
      <c r="V64" s="170"/>
      <c r="W64" s="171"/>
      <c r="X64" s="127"/>
      <c r="Y64" s="114"/>
      <c r="Z64" s="114"/>
    </row>
    <row r="65" spans="1:26" ht="18" customHeight="1" x14ac:dyDescent="0.15">
      <c r="A65" s="29"/>
      <c r="B65" s="163"/>
      <c r="C65" s="164"/>
      <c r="D65" s="164"/>
      <c r="E65" s="165"/>
      <c r="F65" s="114"/>
      <c r="G65" s="114"/>
      <c r="H65" s="169"/>
      <c r="I65" s="170"/>
      <c r="J65" s="171"/>
      <c r="K65" s="127"/>
      <c r="L65" s="114"/>
      <c r="M65" s="114"/>
      <c r="N65" s="163"/>
      <c r="O65" s="164"/>
      <c r="P65" s="164"/>
      <c r="Q65" s="164"/>
      <c r="R65" s="165"/>
      <c r="S65" s="114"/>
      <c r="T65" s="114"/>
      <c r="U65" s="169"/>
      <c r="V65" s="170"/>
      <c r="W65" s="171"/>
      <c r="X65" s="127"/>
      <c r="Y65" s="114"/>
      <c r="Z65" s="114"/>
    </row>
    <row r="66" spans="1:26" ht="18" customHeight="1" x14ac:dyDescent="0.15">
      <c r="A66" s="29"/>
      <c r="B66" s="166"/>
      <c r="C66" s="167"/>
      <c r="D66" s="167"/>
      <c r="E66" s="168"/>
      <c r="F66" s="115"/>
      <c r="G66" s="115"/>
      <c r="H66" s="172"/>
      <c r="I66" s="173"/>
      <c r="J66" s="174"/>
      <c r="K66" s="128"/>
      <c r="L66" s="121"/>
      <c r="M66" s="121"/>
      <c r="N66" s="166"/>
      <c r="O66" s="167"/>
      <c r="P66" s="167"/>
      <c r="Q66" s="167"/>
      <c r="R66" s="168"/>
      <c r="S66" s="115"/>
      <c r="T66" s="115"/>
      <c r="U66" s="172"/>
      <c r="V66" s="173"/>
      <c r="W66" s="174"/>
      <c r="X66" s="128"/>
      <c r="Y66" s="121"/>
      <c r="Z66" s="121"/>
    </row>
    <row r="67" spans="1:26" ht="7.5" customHeight="1" x14ac:dyDescent="0.15">
      <c r="B67" s="77"/>
      <c r="C67" s="77"/>
      <c r="D67" s="77"/>
      <c r="E67" s="77"/>
      <c r="F67" s="77"/>
      <c r="G67" s="77"/>
      <c r="H67" s="77"/>
      <c r="I67" s="77"/>
      <c r="J67" s="77"/>
      <c r="K67" s="77"/>
      <c r="L67" s="77"/>
      <c r="M67" s="77"/>
      <c r="N67" s="77"/>
      <c r="O67" s="77"/>
      <c r="P67" s="77"/>
      <c r="Q67" s="77"/>
      <c r="R67" s="77"/>
      <c r="S67" s="77"/>
      <c r="T67" s="77"/>
      <c r="U67" s="77"/>
      <c r="V67" s="77"/>
      <c r="W67" s="77"/>
      <c r="X67" s="77"/>
      <c r="Y67" s="77"/>
    </row>
    <row r="68" spans="1:26" ht="18" customHeight="1" x14ac:dyDescent="0.15">
      <c r="A68" s="14" t="s">
        <v>136</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15">
      <c r="A69" s="14"/>
      <c r="B69" s="129" t="s">
        <v>100</v>
      </c>
      <c r="C69" s="130"/>
      <c r="D69" s="130"/>
      <c r="E69" s="130"/>
      <c r="F69" s="131"/>
      <c r="G69" s="129" t="s">
        <v>146</v>
      </c>
      <c r="H69" s="130"/>
      <c r="I69" s="130"/>
      <c r="J69" s="130"/>
      <c r="K69" s="130"/>
      <c r="L69" s="130"/>
      <c r="M69" s="131"/>
      <c r="N69" s="187" t="s">
        <v>100</v>
      </c>
      <c r="O69" s="188"/>
      <c r="P69" s="188"/>
      <c r="Q69" s="188"/>
      <c r="R69" s="188"/>
      <c r="S69" s="189"/>
      <c r="T69" s="129" t="s">
        <v>146</v>
      </c>
      <c r="U69" s="130"/>
      <c r="V69" s="130"/>
      <c r="W69" s="130"/>
      <c r="X69" s="130"/>
      <c r="Y69" s="130"/>
      <c r="Z69" s="131"/>
    </row>
    <row r="70" spans="1:26" ht="18" customHeight="1" x14ac:dyDescent="0.15">
      <c r="A70" s="29"/>
      <c r="B70" s="160"/>
      <c r="C70" s="161"/>
      <c r="D70" s="161"/>
      <c r="E70" s="161"/>
      <c r="F70" s="162"/>
      <c r="G70" s="233"/>
      <c r="H70" s="234"/>
      <c r="I70" s="234"/>
      <c r="J70" s="234"/>
      <c r="K70" s="234"/>
      <c r="L70" s="234"/>
      <c r="M70" s="235"/>
      <c r="N70" s="160"/>
      <c r="O70" s="161"/>
      <c r="P70" s="161"/>
      <c r="Q70" s="161"/>
      <c r="R70" s="161"/>
      <c r="S70" s="162"/>
      <c r="T70" s="233"/>
      <c r="U70" s="234"/>
      <c r="V70" s="234"/>
      <c r="W70" s="234"/>
      <c r="X70" s="234"/>
      <c r="Y70" s="234"/>
      <c r="Z70" s="235"/>
    </row>
    <row r="71" spans="1:26" ht="18" customHeight="1" x14ac:dyDescent="0.15">
      <c r="A71" s="29"/>
      <c r="B71" s="163"/>
      <c r="C71" s="164"/>
      <c r="D71" s="164"/>
      <c r="E71" s="164"/>
      <c r="F71" s="165"/>
      <c r="G71" s="207"/>
      <c r="H71" s="208"/>
      <c r="I71" s="208"/>
      <c r="J71" s="208"/>
      <c r="K71" s="208"/>
      <c r="L71" s="208"/>
      <c r="M71" s="209"/>
      <c r="N71" s="163"/>
      <c r="O71" s="164"/>
      <c r="P71" s="164"/>
      <c r="Q71" s="164"/>
      <c r="R71" s="164"/>
      <c r="S71" s="165"/>
      <c r="T71" s="207"/>
      <c r="U71" s="208"/>
      <c r="V71" s="208"/>
      <c r="W71" s="208"/>
      <c r="X71" s="208"/>
      <c r="Y71" s="208"/>
      <c r="Z71" s="209"/>
    </row>
    <row r="72" spans="1:26" ht="18" customHeight="1" x14ac:dyDescent="0.15">
      <c r="A72" s="29"/>
      <c r="B72" s="163"/>
      <c r="C72" s="164"/>
      <c r="D72" s="164"/>
      <c r="E72" s="164"/>
      <c r="F72" s="165"/>
      <c r="G72" s="207"/>
      <c r="H72" s="208"/>
      <c r="I72" s="208"/>
      <c r="J72" s="208"/>
      <c r="K72" s="208"/>
      <c r="L72" s="208"/>
      <c r="M72" s="209"/>
      <c r="N72" s="163"/>
      <c r="O72" s="164"/>
      <c r="P72" s="164"/>
      <c r="Q72" s="164"/>
      <c r="R72" s="164"/>
      <c r="S72" s="165"/>
      <c r="T72" s="207"/>
      <c r="U72" s="208"/>
      <c r="V72" s="208"/>
      <c r="W72" s="208"/>
      <c r="X72" s="208"/>
      <c r="Y72" s="208"/>
      <c r="Z72" s="209"/>
    </row>
    <row r="73" spans="1:26" ht="18" customHeight="1" x14ac:dyDescent="0.15">
      <c r="A73" s="29"/>
      <c r="B73" s="163"/>
      <c r="C73" s="164"/>
      <c r="D73" s="164"/>
      <c r="E73" s="164"/>
      <c r="F73" s="165"/>
      <c r="G73" s="207"/>
      <c r="H73" s="208"/>
      <c r="I73" s="208"/>
      <c r="J73" s="208"/>
      <c r="K73" s="208"/>
      <c r="L73" s="208"/>
      <c r="M73" s="209"/>
      <c r="N73" s="163"/>
      <c r="O73" s="164"/>
      <c r="P73" s="164"/>
      <c r="Q73" s="164"/>
      <c r="R73" s="164"/>
      <c r="S73" s="165"/>
      <c r="T73" s="207"/>
      <c r="U73" s="208"/>
      <c r="V73" s="208"/>
      <c r="W73" s="208"/>
      <c r="X73" s="208"/>
      <c r="Y73" s="208"/>
      <c r="Z73" s="209"/>
    </row>
    <row r="74" spans="1:26" ht="18" customHeight="1" x14ac:dyDescent="0.15">
      <c r="A74" s="29"/>
      <c r="B74" s="163"/>
      <c r="C74" s="164"/>
      <c r="D74" s="164"/>
      <c r="E74" s="164"/>
      <c r="F74" s="165"/>
      <c r="G74" s="207"/>
      <c r="H74" s="208"/>
      <c r="I74" s="208"/>
      <c r="J74" s="208"/>
      <c r="K74" s="208"/>
      <c r="L74" s="208"/>
      <c r="M74" s="209"/>
      <c r="N74" s="163"/>
      <c r="O74" s="164"/>
      <c r="P74" s="164"/>
      <c r="Q74" s="164"/>
      <c r="R74" s="164"/>
      <c r="S74" s="165"/>
      <c r="T74" s="207"/>
      <c r="U74" s="208"/>
      <c r="V74" s="208"/>
      <c r="W74" s="208"/>
      <c r="X74" s="208"/>
      <c r="Y74" s="208"/>
      <c r="Z74" s="209"/>
    </row>
    <row r="75" spans="1:26" ht="18" customHeight="1" x14ac:dyDescent="0.15">
      <c r="A75" s="29"/>
      <c r="B75" s="163"/>
      <c r="C75" s="164"/>
      <c r="D75" s="164"/>
      <c r="E75" s="164"/>
      <c r="F75" s="165"/>
      <c r="G75" s="207"/>
      <c r="H75" s="208"/>
      <c r="I75" s="208"/>
      <c r="J75" s="208"/>
      <c r="K75" s="208"/>
      <c r="L75" s="208"/>
      <c r="M75" s="209"/>
      <c r="N75" s="163"/>
      <c r="O75" s="164"/>
      <c r="P75" s="164"/>
      <c r="Q75" s="164"/>
      <c r="R75" s="164"/>
      <c r="S75" s="165"/>
      <c r="T75" s="207"/>
      <c r="U75" s="208"/>
      <c r="V75" s="208"/>
      <c r="W75" s="208"/>
      <c r="X75" s="208"/>
      <c r="Y75" s="208"/>
      <c r="Z75" s="209"/>
    </row>
    <row r="76" spans="1:26" ht="18" customHeight="1" x14ac:dyDescent="0.15">
      <c r="A76" s="29"/>
      <c r="B76" s="166"/>
      <c r="C76" s="167"/>
      <c r="D76" s="167"/>
      <c r="E76" s="167"/>
      <c r="F76" s="168"/>
      <c r="G76" s="204"/>
      <c r="H76" s="205"/>
      <c r="I76" s="205"/>
      <c r="J76" s="205"/>
      <c r="K76" s="205"/>
      <c r="L76" s="205"/>
      <c r="M76" s="206"/>
      <c r="N76" s="166"/>
      <c r="O76" s="167"/>
      <c r="P76" s="167"/>
      <c r="Q76" s="167"/>
      <c r="R76" s="167"/>
      <c r="S76" s="168"/>
      <c r="T76" s="204"/>
      <c r="U76" s="205"/>
      <c r="V76" s="205"/>
      <c r="W76" s="205"/>
      <c r="X76" s="205"/>
      <c r="Y76" s="205"/>
      <c r="Z76" s="206"/>
    </row>
    <row r="77" spans="1:26" ht="18" customHeight="1" x14ac:dyDescent="0.15">
      <c r="A77" s="29"/>
      <c r="B77" s="125"/>
      <c r="C77" s="125"/>
      <c r="D77" s="125"/>
      <c r="E77" s="125"/>
      <c r="F77" s="125"/>
      <c r="G77" s="12"/>
      <c r="H77" s="12"/>
      <c r="I77" s="12"/>
      <c r="J77" s="12"/>
      <c r="K77" s="12"/>
      <c r="L77" s="12"/>
      <c r="M77" s="12"/>
      <c r="N77" s="125"/>
      <c r="O77" s="125"/>
      <c r="P77" s="125"/>
      <c r="Q77" s="125"/>
      <c r="R77" s="125"/>
      <c r="S77" s="125"/>
      <c r="T77" s="12"/>
      <c r="U77" s="12"/>
      <c r="V77" s="12"/>
      <c r="W77" s="12"/>
      <c r="X77" s="12"/>
      <c r="Y77" s="12"/>
      <c r="Z77" s="12"/>
    </row>
    <row r="78" spans="1:26" ht="18.75" customHeight="1" x14ac:dyDescent="0.15">
      <c r="A78" s="122" t="s">
        <v>142</v>
      </c>
      <c r="B78" s="122"/>
      <c r="C78" s="122"/>
      <c r="D78" s="122"/>
    </row>
    <row r="79" spans="1:26" ht="18.75" customHeight="1" x14ac:dyDescent="0.15">
      <c r="B79" s="78" t="s">
        <v>102</v>
      </c>
      <c r="C79" s="79"/>
      <c r="D79" s="250" t="s">
        <v>103</v>
      </c>
      <c r="E79" s="250"/>
      <c r="F79" s="250"/>
      <c r="G79" s="250"/>
      <c r="H79" s="250"/>
      <c r="I79" s="250"/>
      <c r="J79" s="250"/>
      <c r="K79" s="250"/>
      <c r="L79" s="250"/>
      <c r="M79" s="250"/>
      <c r="N79" s="250"/>
      <c r="O79" s="250"/>
      <c r="P79" s="250"/>
      <c r="Q79" s="250"/>
      <c r="R79" s="250"/>
      <c r="S79" s="250"/>
      <c r="T79" s="250"/>
      <c r="U79" s="250"/>
      <c r="V79" s="250"/>
      <c r="W79" s="250"/>
      <c r="X79" s="250"/>
      <c r="Y79" s="250"/>
      <c r="Z79" s="251"/>
    </row>
    <row r="80" spans="1:26" ht="78" customHeight="1" x14ac:dyDescent="0.15">
      <c r="B80" s="241" t="s">
        <v>109</v>
      </c>
      <c r="C80" s="85" t="s">
        <v>104</v>
      </c>
      <c r="D80" s="252" t="s">
        <v>200</v>
      </c>
      <c r="E80" s="252"/>
      <c r="F80" s="252"/>
      <c r="G80" s="252"/>
      <c r="H80" s="252"/>
      <c r="I80" s="252"/>
      <c r="J80" s="252"/>
      <c r="K80" s="252"/>
      <c r="L80" s="252"/>
      <c r="M80" s="252"/>
      <c r="N80" s="252"/>
      <c r="O80" s="252"/>
      <c r="P80" s="252"/>
      <c r="Q80" s="252"/>
      <c r="R80" s="252"/>
      <c r="S80" s="252"/>
      <c r="T80" s="252"/>
      <c r="U80" s="252"/>
      <c r="V80" s="252"/>
      <c r="W80" s="252"/>
      <c r="X80" s="252"/>
      <c r="Y80" s="252"/>
      <c r="Z80" s="213"/>
    </row>
    <row r="81" spans="1:26" ht="78" customHeight="1" x14ac:dyDescent="0.15">
      <c r="B81" s="242"/>
      <c r="C81" s="110" t="s">
        <v>137</v>
      </c>
      <c r="D81" s="210" t="s">
        <v>201</v>
      </c>
      <c r="E81" s="210"/>
      <c r="F81" s="210"/>
      <c r="G81" s="210"/>
      <c r="H81" s="210"/>
      <c r="I81" s="210"/>
      <c r="J81" s="210"/>
      <c r="K81" s="210"/>
      <c r="L81" s="210"/>
      <c r="M81" s="210"/>
      <c r="N81" s="210"/>
      <c r="O81" s="210"/>
      <c r="P81" s="210"/>
      <c r="Q81" s="210"/>
      <c r="R81" s="210"/>
      <c r="S81" s="210"/>
      <c r="T81" s="210"/>
      <c r="U81" s="210"/>
      <c r="V81" s="210"/>
      <c r="W81" s="210"/>
      <c r="X81" s="210"/>
      <c r="Y81" s="210"/>
      <c r="Z81" s="211"/>
    </row>
    <row r="82" spans="1:26" ht="78" customHeight="1" x14ac:dyDescent="0.15">
      <c r="B82" s="239" t="s">
        <v>110</v>
      </c>
      <c r="C82" s="80" t="s">
        <v>127</v>
      </c>
      <c r="D82" s="212" t="s">
        <v>202</v>
      </c>
      <c r="E82" s="212"/>
      <c r="F82" s="212"/>
      <c r="G82" s="212"/>
      <c r="H82" s="212"/>
      <c r="I82" s="212"/>
      <c r="J82" s="212"/>
      <c r="K82" s="212"/>
      <c r="L82" s="212"/>
      <c r="M82" s="212"/>
      <c r="N82" s="212"/>
      <c r="O82" s="212"/>
      <c r="P82" s="212"/>
      <c r="Q82" s="212"/>
      <c r="R82" s="212"/>
      <c r="S82" s="212"/>
      <c r="T82" s="212"/>
      <c r="U82" s="212"/>
      <c r="V82" s="212"/>
      <c r="W82" s="212"/>
      <c r="X82" s="212"/>
      <c r="Y82" s="212"/>
      <c r="Z82" s="213"/>
    </row>
    <row r="83" spans="1:26" ht="78" customHeight="1" x14ac:dyDescent="0.15">
      <c r="B83" s="240"/>
      <c r="C83" s="111" t="s">
        <v>128</v>
      </c>
      <c r="D83" s="216" t="s">
        <v>203</v>
      </c>
      <c r="E83" s="217"/>
      <c r="F83" s="217"/>
      <c r="G83" s="217"/>
      <c r="H83" s="217"/>
      <c r="I83" s="217"/>
      <c r="J83" s="217"/>
      <c r="K83" s="217"/>
      <c r="L83" s="217"/>
      <c r="M83" s="217"/>
      <c r="N83" s="217"/>
      <c r="O83" s="217"/>
      <c r="P83" s="217"/>
      <c r="Q83" s="217"/>
      <c r="R83" s="217"/>
      <c r="S83" s="217"/>
      <c r="T83" s="217"/>
      <c r="U83" s="217"/>
      <c r="V83" s="217"/>
      <c r="W83" s="217"/>
      <c r="X83" s="217"/>
      <c r="Y83" s="217"/>
      <c r="Z83" s="218"/>
    </row>
    <row r="84" spans="1:26" ht="66" customHeight="1" x14ac:dyDescent="0.15">
      <c r="B84" s="239" t="s">
        <v>111</v>
      </c>
      <c r="C84" s="80" t="s">
        <v>130</v>
      </c>
      <c r="D84" s="219" t="s">
        <v>204</v>
      </c>
      <c r="E84" s="219"/>
      <c r="F84" s="219"/>
      <c r="G84" s="219"/>
      <c r="H84" s="219"/>
      <c r="I84" s="219"/>
      <c r="J84" s="219"/>
      <c r="K84" s="219"/>
      <c r="L84" s="219"/>
      <c r="M84" s="219"/>
      <c r="N84" s="219"/>
      <c r="O84" s="219"/>
      <c r="P84" s="219"/>
      <c r="Q84" s="219"/>
      <c r="R84" s="219"/>
      <c r="S84" s="219"/>
      <c r="T84" s="219"/>
      <c r="U84" s="219"/>
      <c r="V84" s="219"/>
      <c r="W84" s="219"/>
      <c r="X84" s="219"/>
      <c r="Y84" s="219"/>
      <c r="Z84" s="220"/>
    </row>
    <row r="85" spans="1:26" ht="66" customHeight="1" x14ac:dyDescent="0.15">
      <c r="B85" s="240"/>
      <c r="C85" s="82" t="s">
        <v>131</v>
      </c>
      <c r="D85" s="214" t="s">
        <v>205</v>
      </c>
      <c r="E85" s="214"/>
      <c r="F85" s="214"/>
      <c r="G85" s="214"/>
      <c r="H85" s="214"/>
      <c r="I85" s="214"/>
      <c r="J85" s="214"/>
      <c r="K85" s="214"/>
      <c r="L85" s="214"/>
      <c r="M85" s="214"/>
      <c r="N85" s="214"/>
      <c r="O85" s="214"/>
      <c r="P85" s="214"/>
      <c r="Q85" s="214"/>
      <c r="R85" s="214"/>
      <c r="S85" s="214"/>
      <c r="T85" s="214"/>
      <c r="U85" s="214"/>
      <c r="V85" s="214"/>
      <c r="W85" s="214"/>
      <c r="X85" s="214"/>
      <c r="Y85" s="214"/>
      <c r="Z85" s="215"/>
    </row>
    <row r="86" spans="1:26" ht="66" customHeight="1" x14ac:dyDescent="0.15">
      <c r="B86" s="241" t="s">
        <v>138</v>
      </c>
      <c r="C86" s="85" t="s">
        <v>106</v>
      </c>
      <c r="D86" s="212" t="s">
        <v>206</v>
      </c>
      <c r="E86" s="212"/>
      <c r="F86" s="212"/>
      <c r="G86" s="212"/>
      <c r="H86" s="212"/>
      <c r="I86" s="212"/>
      <c r="J86" s="212"/>
      <c r="K86" s="212"/>
      <c r="L86" s="212"/>
      <c r="M86" s="212"/>
      <c r="N86" s="212"/>
      <c r="O86" s="212"/>
      <c r="P86" s="212"/>
      <c r="Q86" s="212"/>
      <c r="R86" s="212"/>
      <c r="S86" s="212"/>
      <c r="T86" s="212"/>
      <c r="U86" s="212"/>
      <c r="V86" s="212"/>
      <c r="W86" s="212"/>
      <c r="X86" s="212"/>
      <c r="Y86" s="212"/>
      <c r="Z86" s="213"/>
    </row>
    <row r="87" spans="1:26" ht="66" customHeight="1" x14ac:dyDescent="0.15">
      <c r="B87" s="247"/>
      <c r="C87" s="81" t="s">
        <v>108</v>
      </c>
      <c r="D87" s="248" t="s">
        <v>207</v>
      </c>
      <c r="E87" s="248"/>
      <c r="F87" s="248"/>
      <c r="G87" s="248"/>
      <c r="H87" s="248"/>
      <c r="I87" s="248"/>
      <c r="J87" s="248"/>
      <c r="K87" s="248"/>
      <c r="L87" s="248"/>
      <c r="M87" s="248"/>
      <c r="N87" s="248"/>
      <c r="O87" s="248"/>
      <c r="P87" s="248"/>
      <c r="Q87" s="248"/>
      <c r="R87" s="248"/>
      <c r="S87" s="248"/>
      <c r="T87" s="248"/>
      <c r="U87" s="248"/>
      <c r="V87" s="248"/>
      <c r="W87" s="248"/>
      <c r="X87" s="248"/>
      <c r="Y87" s="248"/>
      <c r="Z87" s="249"/>
    </row>
    <row r="88" spans="1:26" ht="66" customHeight="1" x14ac:dyDescent="0.15">
      <c r="B88" s="241" t="s">
        <v>139</v>
      </c>
      <c r="C88" s="80" t="s">
        <v>105</v>
      </c>
      <c r="D88" s="243" t="s">
        <v>208</v>
      </c>
      <c r="E88" s="243"/>
      <c r="F88" s="243"/>
      <c r="G88" s="243"/>
      <c r="H88" s="243"/>
      <c r="I88" s="243"/>
      <c r="J88" s="243"/>
      <c r="K88" s="243"/>
      <c r="L88" s="243"/>
      <c r="M88" s="243"/>
      <c r="N88" s="243"/>
      <c r="O88" s="243"/>
      <c r="P88" s="243"/>
      <c r="Q88" s="243"/>
      <c r="R88" s="243"/>
      <c r="S88" s="243"/>
      <c r="T88" s="243"/>
      <c r="U88" s="243"/>
      <c r="V88" s="243"/>
      <c r="W88" s="243"/>
      <c r="X88" s="243"/>
      <c r="Y88" s="243"/>
      <c r="Z88" s="244"/>
    </row>
    <row r="89" spans="1:26" ht="66" customHeight="1" x14ac:dyDescent="0.15">
      <c r="B89" s="242"/>
      <c r="C89" s="81" t="s">
        <v>134</v>
      </c>
      <c r="D89" s="236" t="s">
        <v>209</v>
      </c>
      <c r="E89" s="237"/>
      <c r="F89" s="237"/>
      <c r="G89" s="237"/>
      <c r="H89" s="237"/>
      <c r="I89" s="237"/>
      <c r="J89" s="237"/>
      <c r="K89" s="237"/>
      <c r="L89" s="237"/>
      <c r="M89" s="237"/>
      <c r="N89" s="237"/>
      <c r="O89" s="237"/>
      <c r="P89" s="237"/>
      <c r="Q89" s="237"/>
      <c r="R89" s="237"/>
      <c r="S89" s="237"/>
      <c r="T89" s="237"/>
      <c r="U89" s="237"/>
      <c r="V89" s="237"/>
      <c r="W89" s="237"/>
      <c r="X89" s="237"/>
      <c r="Y89" s="237"/>
      <c r="Z89" s="238"/>
    </row>
    <row r="90" spans="1:26" ht="66" customHeight="1" x14ac:dyDescent="0.15">
      <c r="B90" s="240"/>
      <c r="C90" s="82" t="s">
        <v>135</v>
      </c>
      <c r="D90" s="245" t="s">
        <v>210</v>
      </c>
      <c r="E90" s="245"/>
      <c r="F90" s="245"/>
      <c r="G90" s="245"/>
      <c r="H90" s="245"/>
      <c r="I90" s="245"/>
      <c r="J90" s="245"/>
      <c r="K90" s="245"/>
      <c r="L90" s="245"/>
      <c r="M90" s="245"/>
      <c r="N90" s="245"/>
      <c r="O90" s="245"/>
      <c r="P90" s="245"/>
      <c r="Q90" s="245"/>
      <c r="R90" s="245"/>
      <c r="S90" s="245"/>
      <c r="T90" s="245"/>
      <c r="U90" s="245"/>
      <c r="V90" s="245"/>
      <c r="W90" s="245"/>
      <c r="X90" s="245"/>
      <c r="Y90" s="245"/>
      <c r="Z90" s="246"/>
    </row>
    <row r="91" spans="1:26" ht="6" customHeight="1" x14ac:dyDescent="0.15"/>
    <row r="92" spans="1:26" ht="18.75" customHeight="1" x14ac:dyDescent="0.15">
      <c r="A92" s="13" t="s">
        <v>143</v>
      </c>
    </row>
    <row r="93" spans="1:26" ht="18.75" customHeight="1" x14ac:dyDescent="0.15">
      <c r="B93" s="193" t="s">
        <v>172</v>
      </c>
      <c r="C93" s="194"/>
      <c r="D93" s="194"/>
      <c r="E93" s="194"/>
      <c r="F93" s="194"/>
      <c r="G93" s="194"/>
      <c r="H93" s="194"/>
      <c r="I93" s="194"/>
      <c r="J93" s="194"/>
      <c r="K93" s="194"/>
      <c r="L93" s="194"/>
      <c r="M93" s="194"/>
      <c r="N93" s="194"/>
      <c r="O93" s="194"/>
      <c r="P93" s="194"/>
      <c r="Q93" s="194"/>
      <c r="R93" s="194"/>
      <c r="S93" s="194"/>
      <c r="T93" s="194"/>
      <c r="U93" s="194"/>
      <c r="V93" s="194"/>
      <c r="W93" s="194"/>
      <c r="X93" s="194"/>
      <c r="Y93" s="194"/>
      <c r="Z93" s="195"/>
    </row>
    <row r="94" spans="1:26" ht="18.75" customHeight="1" x14ac:dyDescent="0.15">
      <c r="B94" s="196"/>
      <c r="C94" s="197"/>
      <c r="D94" s="197"/>
      <c r="E94" s="197"/>
      <c r="F94" s="197"/>
      <c r="G94" s="197"/>
      <c r="H94" s="197"/>
      <c r="I94" s="197"/>
      <c r="J94" s="197"/>
      <c r="K94" s="197"/>
      <c r="L94" s="197"/>
      <c r="M94" s="197"/>
      <c r="N94" s="197"/>
      <c r="O94" s="197"/>
      <c r="P94" s="197"/>
      <c r="Q94" s="197"/>
      <c r="R94" s="197"/>
      <c r="S94" s="197"/>
      <c r="T94" s="197"/>
      <c r="U94" s="197"/>
      <c r="V94" s="197"/>
      <c r="W94" s="197"/>
      <c r="X94" s="197"/>
      <c r="Y94" s="197"/>
      <c r="Z94" s="198"/>
    </row>
    <row r="95" spans="1:26" ht="18.75" customHeight="1" x14ac:dyDescent="0.15">
      <c r="B95" s="199"/>
      <c r="C95" s="200"/>
      <c r="D95" s="200"/>
      <c r="E95" s="200"/>
      <c r="F95" s="200"/>
      <c r="G95" s="200"/>
      <c r="H95" s="200"/>
      <c r="I95" s="200"/>
      <c r="J95" s="200"/>
      <c r="K95" s="200"/>
      <c r="L95" s="200"/>
      <c r="M95" s="200"/>
      <c r="N95" s="200"/>
      <c r="O95" s="200"/>
      <c r="P95" s="200"/>
      <c r="Q95" s="200"/>
      <c r="R95" s="200"/>
      <c r="S95" s="200"/>
      <c r="T95" s="200"/>
      <c r="U95" s="200"/>
      <c r="V95" s="200"/>
      <c r="W95" s="200"/>
      <c r="X95" s="200"/>
      <c r="Y95" s="200"/>
      <c r="Z95" s="201"/>
    </row>
    <row r="96" spans="1:26" ht="6" customHeight="1" x14ac:dyDescent="0.15"/>
    <row r="97" spans="1:26" ht="15" customHeight="1" x14ac:dyDescent="0.15">
      <c r="A97" s="13" t="s">
        <v>144</v>
      </c>
    </row>
    <row r="98" spans="1:26" ht="15" customHeight="1" x14ac:dyDescent="0.15">
      <c r="B98" s="202" t="s">
        <v>189</v>
      </c>
      <c r="C98" s="159"/>
      <c r="D98" s="159"/>
      <c r="E98" s="159"/>
      <c r="F98" s="159"/>
      <c r="G98" s="159"/>
      <c r="H98" s="159"/>
      <c r="I98" s="159"/>
      <c r="J98" s="159"/>
      <c r="K98" s="159"/>
      <c r="L98" s="159"/>
      <c r="M98" s="159"/>
      <c r="N98" s="159"/>
      <c r="O98" s="159"/>
      <c r="P98" s="159"/>
      <c r="Q98" s="159"/>
      <c r="R98" s="159"/>
      <c r="S98" s="159"/>
      <c r="T98" s="159"/>
      <c r="U98" s="159"/>
      <c r="V98" s="159"/>
      <c r="W98" s="159"/>
      <c r="X98" s="159"/>
      <c r="Y98" s="159"/>
      <c r="Z98" s="203"/>
    </row>
  </sheetData>
  <mergeCells count="219">
    <mergeCell ref="B93:Z95"/>
    <mergeCell ref="B98:Z98"/>
    <mergeCell ref="B86:B87"/>
    <mergeCell ref="D86:Z86"/>
    <mergeCell ref="D87:Z87"/>
    <mergeCell ref="B88:B90"/>
    <mergeCell ref="D88:Z88"/>
    <mergeCell ref="D89:Z89"/>
    <mergeCell ref="D90:Z90"/>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H59:J59"/>
    <mergeCell ref="N59:R59"/>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s>
  <phoneticPr fontId="1"/>
  <dataValidations count="4">
    <dataValidation type="list" allowBlank="1" showInputMessage="1" showErrorMessage="1" sqref="H74:M77 G70:G77 H70:M71 T70:T77 U70:Z71 U74:Z77" xr:uid="{CDD3EB58-12D9-4241-9894-B9575CB8655E}">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xr:uid="{75648DE2-3E23-4E73-9EC7-E75DC4137D52}">
      <formula1>"学部・学科によって、修了要件は相違する,学部・学科によって、修了要件は相違しない"</formula1>
    </dataValidation>
    <dataValidation type="list" allowBlank="1" showInputMessage="1" showErrorMessage="1" sqref="Z23 Z34 D34:K34 D23:K23 V16:V22 I16:I22 V27:V33 I27:I33 V38:V44 H60:H66 V49:V55 I38:I44 U60:U66 I49:I55" xr:uid="{B51E5D67-BB6C-4082-BD11-7454AF6EEC0C}">
      <formula1>"全学開講,一部開講"</formula1>
    </dataValidation>
    <dataValidation type="list" allowBlank="1" showInputMessage="1" showErrorMessage="1" sqref="Y16:Z22 L16:M22 Y27:Z33 L27:M33 H38:H44 Y38:Z44 H49:H55 Y49:Z55 Y60:Z66 L49:M55 H16:H22 U16:U22 H27:H33 U27:U33 T60:T66 U38:U44 L38:M44 U49:U55 G60:G66 K60:M61 L62:M66" xr:uid="{126C5807-6038-4F54-8CC4-A77B5669D7B8}">
      <formula1>"○"</formula1>
    </dataValidation>
  </dataValidations>
  <hyperlinks>
    <hyperlink ref="B98" r:id="rId1" xr:uid="{66C4A3CC-AEC5-44A9-ABFB-CD9733DEFB9D}"/>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dimension ref="A1:T30"/>
  <sheetViews>
    <sheetView tabSelected="1" view="pageBreakPreview" zoomScaleNormal="100" zoomScaleSheetLayoutView="100" workbookViewId="0">
      <selection activeCell="C14" sqref="C14"/>
    </sheetView>
  </sheetViews>
  <sheetFormatPr defaultColWidth="9" defaultRowHeight="18.75" customHeight="1" x14ac:dyDescent="0.15"/>
  <cols>
    <col min="1" max="1" width="2.75" style="1" customWidth="1"/>
    <col min="2" max="2" width="30" style="1" customWidth="1"/>
    <col min="3" max="17" width="6.125" style="1" customWidth="1"/>
    <col min="18" max="18" width="6.625" style="1" customWidth="1"/>
    <col min="19" max="16384" width="9" style="1"/>
  </cols>
  <sheetData>
    <row r="1" spans="1:20" ht="18" customHeight="1" x14ac:dyDescent="0.15">
      <c r="F1" s="253" t="s">
        <v>63</v>
      </c>
      <c r="G1" s="253"/>
      <c r="H1" s="253"/>
      <c r="I1" s="253"/>
      <c r="J1" s="253"/>
      <c r="K1" s="253"/>
      <c r="L1" s="253"/>
      <c r="M1" s="253"/>
      <c r="N1" s="253"/>
      <c r="O1" s="253"/>
      <c r="P1" s="253"/>
      <c r="Q1" s="253"/>
      <c r="R1" s="253"/>
    </row>
    <row r="2" spans="1:20" ht="18" customHeight="1" x14ac:dyDescent="0.15">
      <c r="A2" s="254" t="s">
        <v>89</v>
      </c>
      <c r="B2" s="254"/>
      <c r="C2" s="254"/>
      <c r="D2" s="254"/>
      <c r="E2" s="254"/>
      <c r="F2" s="254"/>
      <c r="G2" s="254"/>
      <c r="H2" s="254"/>
      <c r="I2" s="254"/>
      <c r="J2" s="254"/>
      <c r="K2" s="254"/>
      <c r="L2" s="254"/>
      <c r="M2" s="254"/>
      <c r="N2" s="254"/>
      <c r="O2" s="254"/>
      <c r="P2" s="254"/>
      <c r="Q2" s="254"/>
      <c r="R2" s="254"/>
      <c r="S2" s="4"/>
    </row>
    <row r="3" spans="1:20" ht="7.5" customHeight="1" x14ac:dyDescent="0.15">
      <c r="A3" s="38"/>
      <c r="B3" s="38"/>
      <c r="C3" s="38"/>
      <c r="D3" s="38"/>
      <c r="E3" s="38"/>
      <c r="F3" s="38"/>
      <c r="G3" s="38"/>
      <c r="H3" s="38"/>
      <c r="I3" s="38"/>
      <c r="J3" s="38"/>
      <c r="K3" s="38"/>
      <c r="L3" s="38"/>
      <c r="M3" s="38"/>
      <c r="N3" s="38"/>
      <c r="O3" s="38"/>
      <c r="P3" s="38"/>
      <c r="Q3" s="38"/>
      <c r="R3" s="38"/>
    </row>
    <row r="4" spans="1:20" ht="18" customHeight="1" x14ac:dyDescent="0.15">
      <c r="A4" s="4" t="s">
        <v>147</v>
      </c>
      <c r="B4" s="4"/>
      <c r="C4" s="255" t="str">
        <f>'様式１　大学等概要'!E12</f>
        <v>令和３</v>
      </c>
      <c r="D4" s="256"/>
      <c r="E4" s="38" t="s">
        <v>113</v>
      </c>
      <c r="F4" s="38"/>
      <c r="G4" s="38"/>
      <c r="H4" s="38"/>
      <c r="I4" s="38"/>
      <c r="J4" s="86"/>
      <c r="K4" s="38"/>
      <c r="L4" s="38"/>
      <c r="M4" s="116"/>
      <c r="N4" s="116"/>
      <c r="O4" s="116"/>
      <c r="P4" s="116"/>
      <c r="Q4" s="116"/>
      <c r="R4" s="116"/>
    </row>
    <row r="5" spans="1:20" ht="6" customHeight="1" x14ac:dyDescent="0.15">
      <c r="A5" s="38"/>
      <c r="B5" s="38"/>
      <c r="C5" s="38"/>
      <c r="D5" s="38"/>
      <c r="E5" s="38"/>
      <c r="F5" s="38"/>
      <c r="G5" s="38"/>
      <c r="H5" s="38"/>
      <c r="I5" s="38"/>
      <c r="J5" s="38"/>
      <c r="K5" s="38"/>
      <c r="L5" s="38"/>
      <c r="M5" s="38"/>
      <c r="N5" s="38"/>
      <c r="O5" s="38"/>
      <c r="P5" s="38"/>
      <c r="Q5" s="38"/>
      <c r="R5" s="38"/>
    </row>
    <row r="6" spans="1:20" ht="18" customHeight="1" x14ac:dyDescent="0.15">
      <c r="A6" s="4" t="s">
        <v>145</v>
      </c>
      <c r="B6" s="38"/>
      <c r="C6" s="38"/>
      <c r="D6" s="38"/>
      <c r="E6" s="38"/>
      <c r="F6" s="38"/>
      <c r="G6" s="38"/>
      <c r="H6" s="38"/>
      <c r="I6" s="38"/>
      <c r="J6" s="38"/>
      <c r="K6" s="38"/>
      <c r="L6" s="38"/>
      <c r="M6" s="38"/>
      <c r="N6" s="38"/>
      <c r="O6" s="38"/>
      <c r="P6" s="38"/>
      <c r="Q6" s="38"/>
      <c r="R6" s="38"/>
    </row>
    <row r="7" spans="1:20" ht="6" customHeight="1" x14ac:dyDescent="0.15">
      <c r="A7" s="4"/>
      <c r="B7" s="38"/>
      <c r="C7" s="38"/>
      <c r="D7" s="38"/>
      <c r="E7" s="38"/>
      <c r="F7" s="38"/>
      <c r="G7" s="38"/>
      <c r="H7" s="38"/>
      <c r="I7" s="38"/>
      <c r="J7" s="38"/>
      <c r="K7" s="38"/>
      <c r="L7" s="38"/>
      <c r="M7" s="38"/>
      <c r="N7" s="38"/>
      <c r="O7" s="38"/>
      <c r="P7" s="38"/>
      <c r="Q7" s="38"/>
      <c r="R7" s="38"/>
    </row>
    <row r="8" spans="1:20" ht="18" customHeight="1" x14ac:dyDescent="0.15">
      <c r="B8" s="257" t="s">
        <v>79</v>
      </c>
      <c r="C8" s="259" t="s">
        <v>84</v>
      </c>
      <c r="D8" s="261" t="s">
        <v>68</v>
      </c>
      <c r="E8" s="263" t="s">
        <v>90</v>
      </c>
      <c r="F8" s="263"/>
      <c r="G8" s="263" t="s">
        <v>91</v>
      </c>
      <c r="H8" s="263"/>
      <c r="I8" s="263" t="s">
        <v>92</v>
      </c>
      <c r="J8" s="263"/>
      <c r="K8" s="264" t="s">
        <v>93</v>
      </c>
      <c r="L8" s="265"/>
      <c r="M8" s="264" t="s">
        <v>94</v>
      </c>
      <c r="N8" s="265"/>
      <c r="O8" s="264" t="s">
        <v>95</v>
      </c>
      <c r="P8" s="265"/>
      <c r="Q8" s="266" t="s">
        <v>62</v>
      </c>
      <c r="R8" s="268" t="s">
        <v>56</v>
      </c>
      <c r="T8" s="34"/>
    </row>
    <row r="9" spans="1:20" ht="18" customHeight="1" x14ac:dyDescent="0.15">
      <c r="A9" s="4"/>
      <c r="B9" s="258"/>
      <c r="C9" s="260"/>
      <c r="D9" s="262"/>
      <c r="E9" s="43" t="s">
        <v>44</v>
      </c>
      <c r="F9" s="44" t="s">
        <v>43</v>
      </c>
      <c r="G9" s="45" t="s">
        <v>44</v>
      </c>
      <c r="H9" s="46" t="s">
        <v>43</v>
      </c>
      <c r="I9" s="43" t="s">
        <v>44</v>
      </c>
      <c r="J9" s="44" t="s">
        <v>43</v>
      </c>
      <c r="K9" s="45" t="s">
        <v>44</v>
      </c>
      <c r="L9" s="46" t="s">
        <v>43</v>
      </c>
      <c r="M9" s="43" t="s">
        <v>44</v>
      </c>
      <c r="N9" s="44" t="s">
        <v>43</v>
      </c>
      <c r="O9" s="45" t="s">
        <v>44</v>
      </c>
      <c r="P9" s="46" t="s">
        <v>43</v>
      </c>
      <c r="Q9" s="267"/>
      <c r="R9" s="269"/>
      <c r="T9" s="34"/>
    </row>
    <row r="10" spans="1:20" ht="18" customHeight="1" x14ac:dyDescent="0.15">
      <c r="A10" s="47"/>
      <c r="B10" s="87" t="s">
        <v>173</v>
      </c>
      <c r="C10" s="47">
        <v>330</v>
      </c>
      <c r="D10" s="48">
        <v>1320</v>
      </c>
      <c r="E10" s="49">
        <v>21</v>
      </c>
      <c r="F10" s="50">
        <v>21</v>
      </c>
      <c r="G10" s="51"/>
      <c r="H10" s="52"/>
      <c r="I10" s="49"/>
      <c r="J10" s="50"/>
      <c r="K10" s="51"/>
      <c r="L10" s="52"/>
      <c r="M10" s="49"/>
      <c r="N10" s="50"/>
      <c r="O10" s="51"/>
      <c r="P10" s="52"/>
      <c r="Q10" s="53">
        <f>E10+G10+I10+K10+M10+O10</f>
        <v>21</v>
      </c>
      <c r="R10" s="54">
        <f>Q10/D10</f>
        <v>1.5909090909090907E-2</v>
      </c>
    </row>
    <row r="11" spans="1:20" ht="18" customHeight="1" x14ac:dyDescent="0.15">
      <c r="A11" s="47"/>
      <c r="B11" s="88" t="s">
        <v>174</v>
      </c>
      <c r="C11" s="63">
        <v>150</v>
      </c>
      <c r="D11" s="56">
        <v>600</v>
      </c>
      <c r="E11" s="57">
        <v>30</v>
      </c>
      <c r="F11" s="58">
        <v>30</v>
      </c>
      <c r="G11" s="59"/>
      <c r="H11" s="60"/>
      <c r="I11" s="57"/>
      <c r="J11" s="58"/>
      <c r="K11" s="59"/>
      <c r="L11" s="60"/>
      <c r="M11" s="57"/>
      <c r="N11" s="58"/>
      <c r="O11" s="59"/>
      <c r="P11" s="60"/>
      <c r="Q11" s="61">
        <f t="shared" ref="Q11:Q29" si="0">E11+G11+I11+K11+M11+O11</f>
        <v>30</v>
      </c>
      <c r="R11" s="62">
        <f t="shared" ref="R11:R29" si="1">Q11/D11</f>
        <v>0.05</v>
      </c>
    </row>
    <row r="12" spans="1:20" ht="18" customHeight="1" x14ac:dyDescent="0.15">
      <c r="A12" s="47"/>
      <c r="B12" s="88" t="s">
        <v>175</v>
      </c>
      <c r="C12" s="63">
        <v>80</v>
      </c>
      <c r="D12" s="56">
        <v>320</v>
      </c>
      <c r="E12" s="57">
        <v>1</v>
      </c>
      <c r="F12" s="58">
        <v>1</v>
      </c>
      <c r="G12" s="59"/>
      <c r="H12" s="60"/>
      <c r="I12" s="57"/>
      <c r="J12" s="58"/>
      <c r="K12" s="59"/>
      <c r="L12" s="60"/>
      <c r="M12" s="57"/>
      <c r="N12" s="58"/>
      <c r="O12" s="59"/>
      <c r="P12" s="60"/>
      <c r="Q12" s="61">
        <f t="shared" si="0"/>
        <v>1</v>
      </c>
      <c r="R12" s="62">
        <f t="shared" si="1"/>
        <v>3.1250000000000002E-3</v>
      </c>
    </row>
    <row r="13" spans="1:20" ht="18" customHeight="1" x14ac:dyDescent="0.15">
      <c r="A13" s="47"/>
      <c r="B13" s="88" t="s">
        <v>176</v>
      </c>
      <c r="C13" s="63">
        <v>150</v>
      </c>
      <c r="D13" s="56">
        <v>600</v>
      </c>
      <c r="E13" s="57">
        <v>21</v>
      </c>
      <c r="F13" s="58">
        <v>21</v>
      </c>
      <c r="G13" s="59"/>
      <c r="H13" s="60"/>
      <c r="I13" s="57"/>
      <c r="J13" s="58"/>
      <c r="K13" s="59"/>
      <c r="L13" s="60"/>
      <c r="M13" s="57"/>
      <c r="N13" s="58"/>
      <c r="O13" s="59"/>
      <c r="P13" s="60"/>
      <c r="Q13" s="61">
        <f t="shared" si="0"/>
        <v>21</v>
      </c>
      <c r="R13" s="62">
        <f t="shared" si="1"/>
        <v>3.5000000000000003E-2</v>
      </c>
    </row>
    <row r="14" spans="1:20" ht="18" customHeight="1" x14ac:dyDescent="0.15">
      <c r="A14" s="47"/>
      <c r="B14" s="88"/>
      <c r="C14" s="63"/>
      <c r="D14" s="56"/>
      <c r="E14" s="57"/>
      <c r="F14" s="58"/>
      <c r="G14" s="59"/>
      <c r="H14" s="60"/>
      <c r="I14" s="57"/>
      <c r="J14" s="58"/>
      <c r="K14" s="59"/>
      <c r="L14" s="60"/>
      <c r="M14" s="57"/>
      <c r="N14" s="58"/>
      <c r="O14" s="59"/>
      <c r="P14" s="60"/>
      <c r="Q14" s="61">
        <f t="shared" si="0"/>
        <v>0</v>
      </c>
      <c r="R14" s="62" t="e">
        <f t="shared" si="1"/>
        <v>#DIV/0!</v>
      </c>
    </row>
    <row r="15" spans="1:20" ht="18" customHeight="1" x14ac:dyDescent="0.15">
      <c r="A15" s="47"/>
      <c r="B15" s="88"/>
      <c r="C15" s="63"/>
      <c r="D15" s="56"/>
      <c r="E15" s="57"/>
      <c r="F15" s="58"/>
      <c r="G15" s="59"/>
      <c r="H15" s="60"/>
      <c r="I15" s="57"/>
      <c r="J15" s="58"/>
      <c r="K15" s="59"/>
      <c r="L15" s="60"/>
      <c r="M15" s="57"/>
      <c r="N15" s="58"/>
      <c r="O15" s="59"/>
      <c r="P15" s="60"/>
      <c r="Q15" s="61">
        <f t="shared" si="0"/>
        <v>0</v>
      </c>
      <c r="R15" s="62" t="e">
        <f t="shared" si="1"/>
        <v>#DIV/0!</v>
      </c>
    </row>
    <row r="16" spans="1:20" ht="18" customHeight="1" x14ac:dyDescent="0.15">
      <c r="A16" s="47"/>
      <c r="B16" s="88"/>
      <c r="C16" s="63"/>
      <c r="D16" s="56"/>
      <c r="E16" s="57"/>
      <c r="F16" s="58"/>
      <c r="G16" s="59"/>
      <c r="H16" s="60"/>
      <c r="I16" s="57"/>
      <c r="J16" s="58"/>
      <c r="K16" s="59"/>
      <c r="L16" s="60"/>
      <c r="M16" s="57"/>
      <c r="N16" s="58"/>
      <c r="O16" s="59"/>
      <c r="P16" s="60"/>
      <c r="Q16" s="61">
        <f t="shared" si="0"/>
        <v>0</v>
      </c>
      <c r="R16" s="62" t="e">
        <f t="shared" si="1"/>
        <v>#DIV/0!</v>
      </c>
    </row>
    <row r="17" spans="1:18" ht="18" customHeight="1" x14ac:dyDescent="0.15">
      <c r="A17" s="47"/>
      <c r="B17" s="88"/>
      <c r="C17" s="63"/>
      <c r="D17" s="56"/>
      <c r="E17" s="57"/>
      <c r="F17" s="58"/>
      <c r="G17" s="59"/>
      <c r="H17" s="60"/>
      <c r="I17" s="57"/>
      <c r="J17" s="58"/>
      <c r="K17" s="59"/>
      <c r="L17" s="60"/>
      <c r="M17" s="57"/>
      <c r="N17" s="58"/>
      <c r="O17" s="59"/>
      <c r="P17" s="60"/>
      <c r="Q17" s="61">
        <f t="shared" si="0"/>
        <v>0</v>
      </c>
      <c r="R17" s="62" t="e">
        <f t="shared" si="1"/>
        <v>#DIV/0!</v>
      </c>
    </row>
    <row r="18" spans="1:18" ht="18" customHeight="1" x14ac:dyDescent="0.15">
      <c r="A18" s="47"/>
      <c r="B18" s="88"/>
      <c r="C18" s="63"/>
      <c r="D18" s="56"/>
      <c r="E18" s="57"/>
      <c r="F18" s="58"/>
      <c r="G18" s="59"/>
      <c r="H18" s="60"/>
      <c r="I18" s="57"/>
      <c r="J18" s="58"/>
      <c r="K18" s="59"/>
      <c r="L18" s="60"/>
      <c r="M18" s="57"/>
      <c r="N18" s="58"/>
      <c r="O18" s="59"/>
      <c r="P18" s="60"/>
      <c r="Q18" s="61">
        <f>E18+G18+I18+K18+M18+O18</f>
        <v>0</v>
      </c>
      <c r="R18" s="62" t="e">
        <f t="shared" si="1"/>
        <v>#DIV/0!</v>
      </c>
    </row>
    <row r="19" spans="1:18" ht="18" customHeight="1" x14ac:dyDescent="0.15">
      <c r="A19" s="47"/>
      <c r="B19" s="88"/>
      <c r="C19" s="63"/>
      <c r="D19" s="56"/>
      <c r="E19" s="57"/>
      <c r="F19" s="58"/>
      <c r="G19" s="59"/>
      <c r="H19" s="60"/>
      <c r="I19" s="57"/>
      <c r="J19" s="58"/>
      <c r="K19" s="59"/>
      <c r="L19" s="60"/>
      <c r="M19" s="57"/>
      <c r="N19" s="58"/>
      <c r="O19" s="59"/>
      <c r="P19" s="60"/>
      <c r="Q19" s="61">
        <f t="shared" si="0"/>
        <v>0</v>
      </c>
      <c r="R19" s="62" t="e">
        <f t="shared" si="1"/>
        <v>#DIV/0!</v>
      </c>
    </row>
    <row r="20" spans="1:18" ht="18" customHeight="1" x14ac:dyDescent="0.15">
      <c r="A20" s="47"/>
      <c r="B20" s="88"/>
      <c r="C20" s="63"/>
      <c r="D20" s="56"/>
      <c r="E20" s="57"/>
      <c r="F20" s="58"/>
      <c r="G20" s="59"/>
      <c r="H20" s="60"/>
      <c r="I20" s="57"/>
      <c r="J20" s="58"/>
      <c r="K20" s="59"/>
      <c r="L20" s="60"/>
      <c r="M20" s="57"/>
      <c r="N20" s="58"/>
      <c r="O20" s="59"/>
      <c r="P20" s="60"/>
      <c r="Q20" s="61">
        <f t="shared" si="0"/>
        <v>0</v>
      </c>
      <c r="R20" s="62" t="e">
        <f t="shared" si="1"/>
        <v>#DIV/0!</v>
      </c>
    </row>
    <row r="21" spans="1:18" ht="18" customHeight="1" x14ac:dyDescent="0.15">
      <c r="A21" s="47"/>
      <c r="B21" s="88"/>
      <c r="C21" s="63"/>
      <c r="D21" s="56"/>
      <c r="E21" s="57"/>
      <c r="F21" s="58"/>
      <c r="G21" s="59"/>
      <c r="H21" s="60"/>
      <c r="I21" s="57"/>
      <c r="J21" s="58"/>
      <c r="K21" s="59"/>
      <c r="L21" s="60"/>
      <c r="M21" s="57"/>
      <c r="N21" s="58"/>
      <c r="O21" s="59"/>
      <c r="P21" s="60"/>
      <c r="Q21" s="61">
        <f t="shared" si="0"/>
        <v>0</v>
      </c>
      <c r="R21" s="62" t="e">
        <f t="shared" si="1"/>
        <v>#DIV/0!</v>
      </c>
    </row>
    <row r="22" spans="1:18" ht="18" customHeight="1" x14ac:dyDescent="0.15">
      <c r="A22" s="47"/>
      <c r="B22" s="88"/>
      <c r="C22" s="63"/>
      <c r="D22" s="56"/>
      <c r="E22" s="57"/>
      <c r="F22" s="58"/>
      <c r="G22" s="59"/>
      <c r="H22" s="60"/>
      <c r="I22" s="57"/>
      <c r="J22" s="58"/>
      <c r="K22" s="59"/>
      <c r="L22" s="60"/>
      <c r="M22" s="57"/>
      <c r="N22" s="58"/>
      <c r="O22" s="59"/>
      <c r="P22" s="60"/>
      <c r="Q22" s="61">
        <f t="shared" si="0"/>
        <v>0</v>
      </c>
      <c r="R22" s="62" t="e">
        <f t="shared" si="1"/>
        <v>#DIV/0!</v>
      </c>
    </row>
    <row r="23" spans="1:18" ht="18" customHeight="1" x14ac:dyDescent="0.15">
      <c r="A23" s="47"/>
      <c r="B23" s="88"/>
      <c r="C23" s="63"/>
      <c r="D23" s="56"/>
      <c r="E23" s="57"/>
      <c r="F23" s="58"/>
      <c r="G23" s="59"/>
      <c r="H23" s="60"/>
      <c r="I23" s="57"/>
      <c r="J23" s="58"/>
      <c r="K23" s="59"/>
      <c r="L23" s="60"/>
      <c r="M23" s="57"/>
      <c r="N23" s="58"/>
      <c r="O23" s="59"/>
      <c r="P23" s="60"/>
      <c r="Q23" s="61">
        <f t="shared" si="0"/>
        <v>0</v>
      </c>
      <c r="R23" s="62" t="e">
        <f t="shared" si="1"/>
        <v>#DIV/0!</v>
      </c>
    </row>
    <row r="24" spans="1:18" ht="18" customHeight="1" x14ac:dyDescent="0.15">
      <c r="A24" s="47"/>
      <c r="B24" s="88"/>
      <c r="C24" s="63"/>
      <c r="D24" s="56"/>
      <c r="E24" s="57"/>
      <c r="F24" s="58"/>
      <c r="G24" s="59"/>
      <c r="H24" s="60"/>
      <c r="I24" s="57"/>
      <c r="J24" s="58"/>
      <c r="K24" s="59"/>
      <c r="L24" s="60"/>
      <c r="M24" s="57"/>
      <c r="N24" s="58"/>
      <c r="O24" s="59"/>
      <c r="P24" s="60"/>
      <c r="Q24" s="61">
        <f t="shared" si="0"/>
        <v>0</v>
      </c>
      <c r="R24" s="62" t="e">
        <f t="shared" si="1"/>
        <v>#DIV/0!</v>
      </c>
    </row>
    <row r="25" spans="1:18" ht="18" customHeight="1" x14ac:dyDescent="0.15">
      <c r="A25" s="47"/>
      <c r="B25" s="88"/>
      <c r="C25" s="63"/>
      <c r="D25" s="56"/>
      <c r="E25" s="57"/>
      <c r="F25" s="58"/>
      <c r="G25" s="59"/>
      <c r="H25" s="60"/>
      <c r="I25" s="57"/>
      <c r="J25" s="58"/>
      <c r="K25" s="59"/>
      <c r="L25" s="60"/>
      <c r="M25" s="57"/>
      <c r="N25" s="58"/>
      <c r="O25" s="59"/>
      <c r="P25" s="60"/>
      <c r="Q25" s="61">
        <f t="shared" si="0"/>
        <v>0</v>
      </c>
      <c r="R25" s="62" t="e">
        <f t="shared" si="1"/>
        <v>#DIV/0!</v>
      </c>
    </row>
    <row r="26" spans="1:18" ht="18" customHeight="1" x14ac:dyDescent="0.15">
      <c r="A26" s="47"/>
      <c r="B26" s="88"/>
      <c r="C26" s="63"/>
      <c r="D26" s="56"/>
      <c r="E26" s="57"/>
      <c r="F26" s="58"/>
      <c r="G26" s="59"/>
      <c r="H26" s="60"/>
      <c r="I26" s="57"/>
      <c r="J26" s="58"/>
      <c r="K26" s="59"/>
      <c r="L26" s="60"/>
      <c r="M26" s="57"/>
      <c r="N26" s="58"/>
      <c r="O26" s="59"/>
      <c r="P26" s="60"/>
      <c r="Q26" s="61">
        <f t="shared" si="0"/>
        <v>0</v>
      </c>
      <c r="R26" s="62" t="e">
        <f t="shared" si="1"/>
        <v>#DIV/0!</v>
      </c>
    </row>
    <row r="27" spans="1:18" ht="18" customHeight="1" x14ac:dyDescent="0.15">
      <c r="A27" s="47"/>
      <c r="B27" s="88"/>
      <c r="C27" s="55"/>
      <c r="D27" s="56"/>
      <c r="E27" s="57"/>
      <c r="F27" s="58"/>
      <c r="G27" s="59"/>
      <c r="H27" s="60"/>
      <c r="I27" s="57"/>
      <c r="J27" s="58"/>
      <c r="K27" s="59"/>
      <c r="L27" s="60"/>
      <c r="M27" s="57"/>
      <c r="N27" s="58"/>
      <c r="O27" s="59"/>
      <c r="P27" s="60"/>
      <c r="Q27" s="61">
        <f t="shared" si="0"/>
        <v>0</v>
      </c>
      <c r="R27" s="62" t="e">
        <f t="shared" si="1"/>
        <v>#DIV/0!</v>
      </c>
    </row>
    <row r="28" spans="1:18" ht="18" customHeight="1" x14ac:dyDescent="0.15">
      <c r="A28" s="47"/>
      <c r="B28" s="88"/>
      <c r="C28" s="55"/>
      <c r="D28" s="56"/>
      <c r="E28" s="57"/>
      <c r="F28" s="58"/>
      <c r="G28" s="59"/>
      <c r="H28" s="60"/>
      <c r="I28" s="57"/>
      <c r="J28" s="58"/>
      <c r="K28" s="59"/>
      <c r="L28" s="60"/>
      <c r="M28" s="57"/>
      <c r="N28" s="58"/>
      <c r="O28" s="59"/>
      <c r="P28" s="60"/>
      <c r="Q28" s="61">
        <f t="shared" si="0"/>
        <v>0</v>
      </c>
      <c r="R28" s="62" t="e">
        <f t="shared" si="1"/>
        <v>#DIV/0!</v>
      </c>
    </row>
    <row r="29" spans="1:18" ht="18" customHeight="1" thickBot="1" x14ac:dyDescent="0.2">
      <c r="A29" s="47"/>
      <c r="B29" s="89"/>
      <c r="C29" s="90"/>
      <c r="D29" s="48"/>
      <c r="E29" s="49"/>
      <c r="F29" s="50"/>
      <c r="G29" s="51"/>
      <c r="H29" s="52"/>
      <c r="I29" s="49"/>
      <c r="J29" s="50"/>
      <c r="K29" s="51"/>
      <c r="L29" s="52"/>
      <c r="M29" s="49"/>
      <c r="N29" s="50"/>
      <c r="O29" s="51"/>
      <c r="P29" s="52"/>
      <c r="Q29" s="64">
        <f t="shared" si="0"/>
        <v>0</v>
      </c>
      <c r="R29" s="54" t="e">
        <f t="shared" si="1"/>
        <v>#DIV/0!</v>
      </c>
    </row>
    <row r="30" spans="1:18" ht="18" customHeight="1" thickTop="1" x14ac:dyDescent="0.15">
      <c r="B30" s="91" t="s">
        <v>57</v>
      </c>
      <c r="C30" s="92">
        <f t="shared" ref="C30:Q30" si="2">SUM(C10:C29)</f>
        <v>710</v>
      </c>
      <c r="D30" s="65">
        <f t="shared" si="2"/>
        <v>2840</v>
      </c>
      <c r="E30" s="66">
        <f t="shared" si="2"/>
        <v>73</v>
      </c>
      <c r="F30" s="67">
        <f t="shared" si="2"/>
        <v>73</v>
      </c>
      <c r="G30" s="68">
        <f t="shared" si="2"/>
        <v>0</v>
      </c>
      <c r="H30" s="69">
        <f t="shared" si="2"/>
        <v>0</v>
      </c>
      <c r="I30" s="66">
        <f t="shared" si="2"/>
        <v>0</v>
      </c>
      <c r="J30" s="67">
        <f t="shared" si="2"/>
        <v>0</v>
      </c>
      <c r="K30" s="68">
        <f t="shared" si="2"/>
        <v>0</v>
      </c>
      <c r="L30" s="69">
        <f t="shared" si="2"/>
        <v>0</v>
      </c>
      <c r="M30" s="66">
        <f t="shared" si="2"/>
        <v>0</v>
      </c>
      <c r="N30" s="67">
        <f t="shared" si="2"/>
        <v>0</v>
      </c>
      <c r="O30" s="68">
        <f t="shared" si="2"/>
        <v>0</v>
      </c>
      <c r="P30" s="69">
        <f t="shared" si="2"/>
        <v>0</v>
      </c>
      <c r="Q30" s="70">
        <f t="shared" si="2"/>
        <v>73</v>
      </c>
      <c r="R30" s="71">
        <f>Q30/D30</f>
        <v>2.5704225352112677E-2</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dimension ref="A1:K144"/>
  <sheetViews>
    <sheetView showZeros="0" view="pageBreakPreview" topLeftCell="A28" zoomScaleNormal="100" zoomScaleSheetLayoutView="100" workbookViewId="0">
      <selection activeCell="B46" sqref="B46:J66"/>
    </sheetView>
  </sheetViews>
  <sheetFormatPr defaultColWidth="11.375" defaultRowHeight="18.75" customHeight="1" x14ac:dyDescent="0.15"/>
  <cols>
    <col min="1" max="1" width="2.75" style="2" customWidth="1"/>
    <col min="2" max="2" width="16.625" style="1" customWidth="1"/>
    <col min="3" max="3" width="8.875" style="1" customWidth="1"/>
    <col min="4" max="4" width="2.25" style="1" customWidth="1"/>
    <col min="5" max="5" width="16.625" style="1" customWidth="1"/>
    <col min="6" max="6" width="8.875" style="1" customWidth="1"/>
    <col min="7" max="7" width="2.25" style="1" customWidth="1"/>
    <col min="8" max="8" width="16.625" style="1" customWidth="1"/>
    <col min="9" max="9" width="8.875" style="1" customWidth="1"/>
    <col min="10" max="10" width="2.25" style="1" customWidth="1"/>
    <col min="11" max="11" width="11.375" style="31"/>
    <col min="12" max="16384" width="11.375" style="1"/>
  </cols>
  <sheetData>
    <row r="1" spans="1:11" ht="18.75" customHeight="1" x14ac:dyDescent="0.15">
      <c r="A1" s="2" t="s">
        <v>114</v>
      </c>
      <c r="J1" s="41" t="s">
        <v>115</v>
      </c>
    </row>
    <row r="2" spans="1:11" ht="18.75" customHeight="1" x14ac:dyDescent="0.15">
      <c r="A2" s="254" t="s">
        <v>64</v>
      </c>
      <c r="B2" s="254"/>
      <c r="C2" s="254"/>
      <c r="D2" s="254"/>
      <c r="E2" s="254"/>
      <c r="F2" s="254"/>
      <c r="G2" s="254"/>
      <c r="H2" s="254"/>
      <c r="I2" s="254"/>
      <c r="J2" s="254"/>
    </row>
    <row r="3" spans="1:11" ht="7.5" customHeight="1" x14ac:dyDescent="0.15">
      <c r="B3" s="38"/>
      <c r="C3" s="38"/>
      <c r="D3" s="38"/>
      <c r="E3" s="38"/>
      <c r="F3" s="38"/>
      <c r="G3" s="38"/>
      <c r="H3" s="38"/>
      <c r="I3" s="38"/>
      <c r="J3" s="38"/>
    </row>
    <row r="4" spans="1:11" ht="18.75" customHeight="1" x14ac:dyDescent="0.15">
      <c r="A4" s="1" t="s">
        <v>6</v>
      </c>
      <c r="B4" s="4" t="s">
        <v>72</v>
      </c>
      <c r="C4" s="4"/>
      <c r="D4" s="4"/>
      <c r="E4" s="4"/>
      <c r="F4" s="4"/>
      <c r="G4" s="4"/>
      <c r="H4" s="4"/>
      <c r="I4" s="38"/>
      <c r="J4" s="38"/>
    </row>
    <row r="5" spans="1:11" ht="18.75" customHeight="1" x14ac:dyDescent="0.15">
      <c r="A5" s="1"/>
      <c r="B5" s="158" t="s">
        <v>177</v>
      </c>
      <c r="C5" s="159"/>
      <c r="D5" s="159"/>
      <c r="E5" s="159"/>
      <c r="F5" s="159"/>
      <c r="G5" s="159"/>
      <c r="H5" s="159"/>
      <c r="I5" s="159"/>
      <c r="J5" s="203"/>
      <c r="K5" s="31" t="str">
        <f>IF(B5="","入力してください","")</f>
        <v/>
      </c>
    </row>
    <row r="6" spans="1:11" ht="7.5" customHeight="1" x14ac:dyDescent="0.15">
      <c r="B6" s="38"/>
      <c r="C6" s="38"/>
      <c r="D6" s="38"/>
      <c r="E6" s="38"/>
      <c r="F6" s="38"/>
      <c r="G6" s="38"/>
      <c r="H6" s="38"/>
      <c r="I6" s="38"/>
      <c r="J6" s="38"/>
    </row>
    <row r="7" spans="1:11" s="4" customFormat="1" ht="18.75" customHeight="1" x14ac:dyDescent="0.15">
      <c r="A7" s="1" t="s">
        <v>9</v>
      </c>
      <c r="B7" s="1" t="s">
        <v>39</v>
      </c>
      <c r="C7" s="1"/>
      <c r="D7" s="1"/>
      <c r="E7" s="1"/>
      <c r="F7" s="1"/>
      <c r="G7" s="1"/>
      <c r="H7" s="1"/>
      <c r="I7" s="1"/>
      <c r="J7" s="1"/>
      <c r="K7" s="35"/>
    </row>
    <row r="8" spans="1:11" s="4" customFormat="1" ht="18.75" customHeight="1" x14ac:dyDescent="0.15">
      <c r="A8" s="93"/>
      <c r="B8" s="300" t="s">
        <v>183</v>
      </c>
      <c r="C8" s="301"/>
      <c r="D8" s="301"/>
      <c r="E8" s="301"/>
      <c r="F8" s="301"/>
      <c r="G8" s="301"/>
      <c r="H8" s="301"/>
      <c r="I8" s="302"/>
      <c r="J8" s="303"/>
      <c r="K8" s="31" t="str">
        <f>IF(B8="","入力してください","")</f>
        <v/>
      </c>
    </row>
    <row r="9" spans="1:11" s="4" customFormat="1" ht="18.75" customHeight="1" x14ac:dyDescent="0.15">
      <c r="A9" s="93"/>
      <c r="B9" s="304"/>
      <c r="C9" s="305"/>
      <c r="D9" s="305"/>
      <c r="E9" s="305"/>
      <c r="F9" s="305"/>
      <c r="G9" s="305"/>
      <c r="H9" s="305"/>
      <c r="I9" s="305"/>
      <c r="J9" s="306"/>
      <c r="K9" s="31"/>
    </row>
    <row r="10" spans="1:11" s="4" customFormat="1" ht="18.75" customHeight="1" x14ac:dyDescent="0.15">
      <c r="A10" s="93"/>
      <c r="B10" s="304"/>
      <c r="C10" s="305"/>
      <c r="D10" s="305"/>
      <c r="E10" s="305"/>
      <c r="F10" s="305"/>
      <c r="G10" s="305"/>
      <c r="H10" s="305"/>
      <c r="I10" s="305"/>
      <c r="J10" s="306"/>
      <c r="K10" s="31"/>
    </row>
    <row r="11" spans="1:11" s="4" customFormat="1" ht="18.75" customHeight="1" x14ac:dyDescent="0.15">
      <c r="A11" s="93"/>
      <c r="B11" s="304"/>
      <c r="C11" s="305"/>
      <c r="D11" s="305"/>
      <c r="E11" s="305"/>
      <c r="F11" s="305"/>
      <c r="G11" s="305"/>
      <c r="H11" s="305"/>
      <c r="I11" s="305"/>
      <c r="J11" s="306"/>
      <c r="K11" s="31"/>
    </row>
    <row r="12" spans="1:11" s="4" customFormat="1" ht="18.75" customHeight="1" x14ac:dyDescent="0.15">
      <c r="A12" s="93"/>
      <c r="B12" s="307"/>
      <c r="C12" s="308"/>
      <c r="D12" s="308"/>
      <c r="E12" s="308"/>
      <c r="F12" s="308"/>
      <c r="G12" s="308"/>
      <c r="H12" s="308"/>
      <c r="I12" s="308"/>
      <c r="J12" s="309"/>
      <c r="K12" s="31"/>
    </row>
    <row r="13" spans="1:11" s="4" customFormat="1" ht="7.5" customHeight="1" x14ac:dyDescent="0.15">
      <c r="A13" s="93"/>
      <c r="B13" s="93"/>
      <c r="C13" s="93"/>
      <c r="D13" s="93"/>
      <c r="E13" s="93"/>
      <c r="F13" s="93"/>
      <c r="G13" s="93"/>
      <c r="H13" s="93"/>
      <c r="I13" s="93"/>
      <c r="J13" s="93"/>
      <c r="K13" s="31"/>
    </row>
    <row r="14" spans="1:11" s="4" customFormat="1" ht="18.75" customHeight="1" x14ac:dyDescent="0.15">
      <c r="A14" s="94" t="s">
        <v>10</v>
      </c>
      <c r="B14" s="94" t="s">
        <v>15</v>
      </c>
      <c r="C14" s="94"/>
      <c r="D14" s="94"/>
      <c r="E14" s="94"/>
      <c r="F14" s="94"/>
      <c r="G14" s="94"/>
      <c r="H14" s="94"/>
      <c r="I14" s="94"/>
      <c r="J14" s="94"/>
      <c r="K14" s="31"/>
    </row>
    <row r="15" spans="1:11" s="4" customFormat="1" ht="18.75" customHeight="1" x14ac:dyDescent="0.15">
      <c r="A15" s="93"/>
      <c r="B15" s="270" t="s">
        <v>178</v>
      </c>
      <c r="C15" s="271"/>
      <c r="D15" s="271"/>
      <c r="E15" s="271"/>
      <c r="F15" s="271"/>
      <c r="G15" s="271"/>
      <c r="H15" s="271"/>
      <c r="I15" s="279"/>
      <c r="J15" s="280"/>
      <c r="K15" s="31" t="str">
        <f>IF(B15="","入力してください","")</f>
        <v/>
      </c>
    </row>
    <row r="16" spans="1:11" s="4" customFormat="1" ht="18.75" customHeight="1" x14ac:dyDescent="0.15">
      <c r="A16" s="93"/>
      <c r="B16" s="281"/>
      <c r="C16" s="282"/>
      <c r="D16" s="282"/>
      <c r="E16" s="282"/>
      <c r="F16" s="282"/>
      <c r="G16" s="282"/>
      <c r="H16" s="282"/>
      <c r="I16" s="282"/>
      <c r="J16" s="283"/>
      <c r="K16" s="31"/>
    </row>
    <row r="17" spans="1:11" s="4" customFormat="1" ht="18.75" customHeight="1" x14ac:dyDescent="0.15">
      <c r="A17" s="93"/>
      <c r="B17" s="281"/>
      <c r="C17" s="282"/>
      <c r="D17" s="282"/>
      <c r="E17" s="282"/>
      <c r="F17" s="282"/>
      <c r="G17" s="282"/>
      <c r="H17" s="282"/>
      <c r="I17" s="282"/>
      <c r="J17" s="283"/>
      <c r="K17" s="31"/>
    </row>
    <row r="18" spans="1:11" s="4" customFormat="1" ht="18.75" customHeight="1" x14ac:dyDescent="0.15">
      <c r="A18" s="93"/>
      <c r="B18" s="281"/>
      <c r="C18" s="282"/>
      <c r="D18" s="282"/>
      <c r="E18" s="282"/>
      <c r="F18" s="282"/>
      <c r="G18" s="282"/>
      <c r="H18" s="282"/>
      <c r="I18" s="282"/>
      <c r="J18" s="283"/>
      <c r="K18" s="31"/>
    </row>
    <row r="19" spans="1:11" s="4" customFormat="1" ht="18.75" customHeight="1" x14ac:dyDescent="0.15">
      <c r="A19" s="93"/>
      <c r="B19" s="281"/>
      <c r="C19" s="282"/>
      <c r="D19" s="282"/>
      <c r="E19" s="282"/>
      <c r="F19" s="282"/>
      <c r="G19" s="282"/>
      <c r="H19" s="282"/>
      <c r="I19" s="282"/>
      <c r="J19" s="283"/>
      <c r="K19" s="31"/>
    </row>
    <row r="20" spans="1:11" s="4" customFormat="1" ht="18.75" customHeight="1" x14ac:dyDescent="0.15">
      <c r="A20" s="93"/>
      <c r="B20" s="281"/>
      <c r="C20" s="282"/>
      <c r="D20" s="282"/>
      <c r="E20" s="282"/>
      <c r="F20" s="282"/>
      <c r="G20" s="282"/>
      <c r="H20" s="282"/>
      <c r="I20" s="282"/>
      <c r="J20" s="283"/>
      <c r="K20" s="31"/>
    </row>
    <row r="21" spans="1:11" s="4" customFormat="1" ht="18.75" customHeight="1" x14ac:dyDescent="0.15">
      <c r="A21" s="93"/>
      <c r="B21" s="281"/>
      <c r="C21" s="282"/>
      <c r="D21" s="282"/>
      <c r="E21" s="282"/>
      <c r="F21" s="282"/>
      <c r="G21" s="282"/>
      <c r="H21" s="282"/>
      <c r="I21" s="282"/>
      <c r="J21" s="283"/>
      <c r="K21" s="31"/>
    </row>
    <row r="22" spans="1:11" s="4" customFormat="1" ht="18.75" customHeight="1" x14ac:dyDescent="0.15">
      <c r="A22" s="93"/>
      <c r="B22" s="281"/>
      <c r="C22" s="282"/>
      <c r="D22" s="282"/>
      <c r="E22" s="282"/>
      <c r="F22" s="282"/>
      <c r="G22" s="282"/>
      <c r="H22" s="282"/>
      <c r="I22" s="282"/>
      <c r="J22" s="283"/>
      <c r="K22" s="31"/>
    </row>
    <row r="23" spans="1:11" s="4" customFormat="1" ht="18.75" customHeight="1" x14ac:dyDescent="0.15">
      <c r="A23" s="93"/>
      <c r="B23" s="281"/>
      <c r="C23" s="282"/>
      <c r="D23" s="282"/>
      <c r="E23" s="282"/>
      <c r="F23" s="282"/>
      <c r="G23" s="282"/>
      <c r="H23" s="282"/>
      <c r="I23" s="282"/>
      <c r="J23" s="283"/>
      <c r="K23" s="31"/>
    </row>
    <row r="24" spans="1:11" s="4" customFormat="1" ht="18.75" customHeight="1" x14ac:dyDescent="0.15">
      <c r="A24" s="93"/>
      <c r="B24" s="281"/>
      <c r="C24" s="282"/>
      <c r="D24" s="282"/>
      <c r="E24" s="282"/>
      <c r="F24" s="282"/>
      <c r="G24" s="282"/>
      <c r="H24" s="282"/>
      <c r="I24" s="282"/>
      <c r="J24" s="283"/>
      <c r="K24" s="31"/>
    </row>
    <row r="25" spans="1:11" s="4" customFormat="1" ht="18.75" customHeight="1" x14ac:dyDescent="0.15">
      <c r="A25" s="93"/>
      <c r="B25" s="284"/>
      <c r="C25" s="285"/>
      <c r="D25" s="285"/>
      <c r="E25" s="285"/>
      <c r="F25" s="285"/>
      <c r="G25" s="285"/>
      <c r="H25" s="285"/>
      <c r="I25" s="285"/>
      <c r="J25" s="286"/>
      <c r="K25" s="31"/>
    </row>
    <row r="26" spans="1:11" ht="7.5" customHeight="1" x14ac:dyDescent="0.15">
      <c r="A26" s="39"/>
      <c r="B26" s="39"/>
      <c r="C26" s="39"/>
      <c r="D26" s="39"/>
      <c r="E26" s="39"/>
      <c r="F26" s="39"/>
      <c r="G26" s="39"/>
      <c r="H26" s="39"/>
      <c r="I26" s="39"/>
      <c r="J26" s="39"/>
    </row>
    <row r="27" spans="1:11" s="4" customFormat="1" ht="18.75" customHeight="1" x14ac:dyDescent="0.15">
      <c r="A27" s="1" t="s">
        <v>13</v>
      </c>
      <c r="B27" s="1" t="s">
        <v>26</v>
      </c>
      <c r="C27" s="1"/>
      <c r="D27" s="1"/>
      <c r="E27" s="1"/>
      <c r="F27" s="1"/>
      <c r="G27" s="1"/>
      <c r="H27" s="1"/>
      <c r="I27" s="1"/>
      <c r="J27" s="1"/>
      <c r="K27" s="31"/>
    </row>
    <row r="28" spans="1:11" s="29" customFormat="1" ht="18.75" customHeight="1" x14ac:dyDescent="0.15">
      <c r="B28" s="95" t="s">
        <v>116</v>
      </c>
      <c r="C28" s="96">
        <f>'様式３　履修者等数の実績'!R30</f>
        <v>2.5704225352112677E-2</v>
      </c>
      <c r="D28" s="97"/>
      <c r="E28" s="97" t="s">
        <v>117</v>
      </c>
      <c r="F28" s="96">
        <v>1</v>
      </c>
      <c r="G28" s="97"/>
      <c r="H28" s="97" t="s">
        <v>118</v>
      </c>
      <c r="I28" s="98">
        <v>1</v>
      </c>
      <c r="J28" s="99"/>
      <c r="K28" s="31"/>
    </row>
    <row r="29" spans="1:11" s="29" customFormat="1" ht="18.75" customHeight="1" x14ac:dyDescent="0.15">
      <c r="B29" s="83" t="s">
        <v>119</v>
      </c>
      <c r="C29" s="100">
        <v>1</v>
      </c>
      <c r="D29" s="84"/>
      <c r="E29" s="84" t="s">
        <v>120</v>
      </c>
      <c r="F29" s="100">
        <v>1</v>
      </c>
      <c r="G29" s="84"/>
      <c r="H29" s="84" t="s">
        <v>121</v>
      </c>
      <c r="I29" s="101">
        <f>'様式３　履修者等数の実績'!D30</f>
        <v>2840</v>
      </c>
      <c r="J29" s="102"/>
      <c r="K29" s="35"/>
    </row>
    <row r="30" spans="1:11" s="4" customFormat="1" ht="18.75" customHeight="1" x14ac:dyDescent="0.15">
      <c r="A30" s="1"/>
      <c r="B30" s="207" t="s">
        <v>122</v>
      </c>
      <c r="C30" s="208"/>
      <c r="D30" s="208"/>
      <c r="E30" s="208"/>
      <c r="F30" s="208"/>
      <c r="G30" s="208"/>
      <c r="H30" s="208"/>
      <c r="I30" s="208"/>
      <c r="J30" s="209"/>
      <c r="K30" s="35"/>
    </row>
    <row r="31" spans="1:11" s="4" customFormat="1" ht="18.75" customHeight="1" x14ac:dyDescent="0.15">
      <c r="A31" s="1"/>
      <c r="B31" s="297" t="s">
        <v>182</v>
      </c>
      <c r="C31" s="298"/>
      <c r="D31" s="298"/>
      <c r="E31" s="298"/>
      <c r="F31" s="298"/>
      <c r="G31" s="298"/>
      <c r="H31" s="298"/>
      <c r="I31" s="298"/>
      <c r="J31" s="299"/>
      <c r="K31" s="35" t="str">
        <f>IF(B31="","入力してください","")</f>
        <v/>
      </c>
    </row>
    <row r="32" spans="1:11" s="4" customFormat="1" ht="18.75" customHeight="1" x14ac:dyDescent="0.15">
      <c r="A32" s="1"/>
      <c r="B32" s="281"/>
      <c r="C32" s="282"/>
      <c r="D32" s="282"/>
      <c r="E32" s="282"/>
      <c r="F32" s="282"/>
      <c r="G32" s="282"/>
      <c r="H32" s="282"/>
      <c r="I32" s="282"/>
      <c r="J32" s="283"/>
      <c r="K32" s="35"/>
    </row>
    <row r="33" spans="1:11" s="4" customFormat="1" ht="18.75" customHeight="1" x14ac:dyDescent="0.15">
      <c r="A33" s="1"/>
      <c r="B33" s="281"/>
      <c r="C33" s="282"/>
      <c r="D33" s="282"/>
      <c r="E33" s="282"/>
      <c r="F33" s="282"/>
      <c r="G33" s="282"/>
      <c r="H33" s="282"/>
      <c r="I33" s="282"/>
      <c r="J33" s="283"/>
      <c r="K33" s="35"/>
    </row>
    <row r="34" spans="1:11" s="4" customFormat="1" ht="18.75" customHeight="1" x14ac:dyDescent="0.15">
      <c r="A34" s="1"/>
      <c r="B34" s="281"/>
      <c r="C34" s="282"/>
      <c r="D34" s="282"/>
      <c r="E34" s="282"/>
      <c r="F34" s="282"/>
      <c r="G34" s="282"/>
      <c r="H34" s="282"/>
      <c r="I34" s="282"/>
      <c r="J34" s="283"/>
      <c r="K34" s="35"/>
    </row>
    <row r="35" spans="1:11" s="4" customFormat="1" ht="18.75" customHeight="1" x14ac:dyDescent="0.15">
      <c r="A35" s="1"/>
      <c r="B35" s="281"/>
      <c r="C35" s="282"/>
      <c r="D35" s="282"/>
      <c r="E35" s="282"/>
      <c r="F35" s="282"/>
      <c r="G35" s="282"/>
      <c r="H35" s="282"/>
      <c r="I35" s="282"/>
      <c r="J35" s="283"/>
      <c r="K35" s="35"/>
    </row>
    <row r="36" spans="1:11" s="4" customFormat="1" ht="18.75" customHeight="1" x14ac:dyDescent="0.15">
      <c r="A36" s="1"/>
      <c r="B36" s="281"/>
      <c r="C36" s="282"/>
      <c r="D36" s="282"/>
      <c r="E36" s="282"/>
      <c r="F36" s="282"/>
      <c r="G36" s="282"/>
      <c r="H36" s="282"/>
      <c r="I36" s="282"/>
      <c r="J36" s="283"/>
      <c r="K36" s="35"/>
    </row>
    <row r="37" spans="1:11" s="4" customFormat="1" ht="18.75" customHeight="1" x14ac:dyDescent="0.15">
      <c r="A37" s="1"/>
      <c r="B37" s="281"/>
      <c r="C37" s="282"/>
      <c r="D37" s="282"/>
      <c r="E37" s="282"/>
      <c r="F37" s="282"/>
      <c r="G37" s="282"/>
      <c r="H37" s="282"/>
      <c r="I37" s="282"/>
      <c r="J37" s="283"/>
      <c r="K37" s="35"/>
    </row>
    <row r="38" spans="1:11" s="4" customFormat="1" ht="18.75" customHeight="1" x14ac:dyDescent="0.15">
      <c r="A38" s="1"/>
      <c r="B38" s="281"/>
      <c r="C38" s="282"/>
      <c r="D38" s="282"/>
      <c r="E38" s="282"/>
      <c r="F38" s="282"/>
      <c r="G38" s="282"/>
      <c r="H38" s="282"/>
      <c r="I38" s="282"/>
      <c r="J38" s="283"/>
      <c r="K38" s="35"/>
    </row>
    <row r="39" spans="1:11" s="4" customFormat="1" ht="18.75" customHeight="1" x14ac:dyDescent="0.15">
      <c r="A39" s="1"/>
      <c r="B39" s="281"/>
      <c r="C39" s="282"/>
      <c r="D39" s="282"/>
      <c r="E39" s="282"/>
      <c r="F39" s="282"/>
      <c r="G39" s="282"/>
      <c r="H39" s="282"/>
      <c r="I39" s="282"/>
      <c r="J39" s="283"/>
      <c r="K39" s="35"/>
    </row>
    <row r="40" spans="1:11" s="4" customFormat="1" ht="18.75" customHeight="1" x14ac:dyDescent="0.15">
      <c r="A40" s="1"/>
      <c r="B40" s="281"/>
      <c r="C40" s="282"/>
      <c r="D40" s="282"/>
      <c r="E40" s="282"/>
      <c r="F40" s="282"/>
      <c r="G40" s="282"/>
      <c r="H40" s="282"/>
      <c r="I40" s="282"/>
      <c r="J40" s="283"/>
      <c r="K40" s="35"/>
    </row>
    <row r="41" spans="1:11" s="4" customFormat="1" ht="18.75" customHeight="1" x14ac:dyDescent="0.15">
      <c r="A41" s="1"/>
      <c r="B41" s="281"/>
      <c r="C41" s="282"/>
      <c r="D41" s="282"/>
      <c r="E41" s="282"/>
      <c r="F41" s="282"/>
      <c r="G41" s="282"/>
      <c r="H41" s="282"/>
      <c r="I41" s="282"/>
      <c r="J41" s="283"/>
      <c r="K41" s="35"/>
    </row>
    <row r="42" spans="1:11" s="4" customFormat="1" ht="18.75" customHeight="1" x14ac:dyDescent="0.15">
      <c r="A42" s="1"/>
      <c r="B42" s="281"/>
      <c r="C42" s="282"/>
      <c r="D42" s="282"/>
      <c r="E42" s="282"/>
      <c r="F42" s="282"/>
      <c r="G42" s="282"/>
      <c r="H42" s="282"/>
      <c r="I42" s="282"/>
      <c r="J42" s="283"/>
      <c r="K42" s="35"/>
    </row>
    <row r="43" spans="1:11" ht="18.75" customHeight="1" x14ac:dyDescent="0.15">
      <c r="A43" s="39"/>
      <c r="B43" s="281"/>
      <c r="C43" s="282"/>
      <c r="D43" s="282"/>
      <c r="E43" s="282"/>
      <c r="F43" s="282"/>
      <c r="G43" s="282"/>
      <c r="H43" s="282"/>
      <c r="I43" s="282"/>
      <c r="J43" s="283"/>
      <c r="K43" s="35"/>
    </row>
    <row r="44" spans="1:11" ht="18.75" customHeight="1" x14ac:dyDescent="0.15">
      <c r="A44" s="39"/>
      <c r="B44" s="284"/>
      <c r="C44" s="285"/>
      <c r="D44" s="285"/>
      <c r="E44" s="285"/>
      <c r="F44" s="285"/>
      <c r="G44" s="285"/>
      <c r="H44" s="285"/>
      <c r="I44" s="285"/>
      <c r="J44" s="286"/>
    </row>
    <row r="45" spans="1:11" s="4" customFormat="1" ht="18.75" customHeight="1" x14ac:dyDescent="0.15">
      <c r="A45" s="103" t="s">
        <v>11</v>
      </c>
      <c r="B45" s="123" t="s">
        <v>65</v>
      </c>
      <c r="C45" s="123"/>
      <c r="D45" s="123"/>
      <c r="E45" s="123"/>
      <c r="F45" s="123"/>
      <c r="G45" s="123"/>
      <c r="H45" s="123"/>
      <c r="I45" s="124"/>
      <c r="J45" s="103"/>
      <c r="K45" s="31"/>
    </row>
    <row r="46" spans="1:11" ht="18.75" customHeight="1" x14ac:dyDescent="0.15">
      <c r="A46" s="39"/>
      <c r="B46" s="270" t="s">
        <v>190</v>
      </c>
      <c r="C46" s="271"/>
      <c r="D46" s="271"/>
      <c r="E46" s="271"/>
      <c r="F46" s="271"/>
      <c r="G46" s="271"/>
      <c r="H46" s="271"/>
      <c r="I46" s="271"/>
      <c r="J46" s="272"/>
      <c r="K46" s="31" t="str">
        <f>IF(B46="","入力してください","")</f>
        <v/>
      </c>
    </row>
    <row r="47" spans="1:11" ht="18.75" customHeight="1" x14ac:dyDescent="0.15">
      <c r="A47" s="39"/>
      <c r="B47" s="273"/>
      <c r="C47" s="274"/>
      <c r="D47" s="274"/>
      <c r="E47" s="274"/>
      <c r="F47" s="274"/>
      <c r="G47" s="274"/>
      <c r="H47" s="274"/>
      <c r="I47" s="274"/>
      <c r="J47" s="275"/>
    </row>
    <row r="48" spans="1:11" ht="18.75" customHeight="1" x14ac:dyDescent="0.15">
      <c r="A48" s="39"/>
      <c r="B48" s="273"/>
      <c r="C48" s="274"/>
      <c r="D48" s="274"/>
      <c r="E48" s="274"/>
      <c r="F48" s="274"/>
      <c r="G48" s="274"/>
      <c r="H48" s="274"/>
      <c r="I48" s="274"/>
      <c r="J48" s="275"/>
    </row>
    <row r="49" spans="1:10" ht="18.75" customHeight="1" x14ac:dyDescent="0.15">
      <c r="A49" s="39"/>
      <c r="B49" s="273"/>
      <c r="C49" s="274"/>
      <c r="D49" s="274"/>
      <c r="E49" s="274"/>
      <c r="F49" s="274"/>
      <c r="G49" s="274"/>
      <c r="H49" s="274"/>
      <c r="I49" s="274"/>
      <c r="J49" s="275"/>
    </row>
    <row r="50" spans="1:10" ht="18.75" customHeight="1" x14ac:dyDescent="0.15">
      <c r="A50" s="39"/>
      <c r="B50" s="273"/>
      <c r="C50" s="274"/>
      <c r="D50" s="274"/>
      <c r="E50" s="274"/>
      <c r="F50" s="274"/>
      <c r="G50" s="274"/>
      <c r="H50" s="274"/>
      <c r="I50" s="274"/>
      <c r="J50" s="275"/>
    </row>
    <row r="51" spans="1:10" ht="18.75" customHeight="1" x14ac:dyDescent="0.15">
      <c r="A51" s="39"/>
      <c r="B51" s="273"/>
      <c r="C51" s="274"/>
      <c r="D51" s="274"/>
      <c r="E51" s="274"/>
      <c r="F51" s="274"/>
      <c r="G51" s="274"/>
      <c r="H51" s="274"/>
      <c r="I51" s="274"/>
      <c r="J51" s="275"/>
    </row>
    <row r="52" spans="1:10" ht="18.75" customHeight="1" x14ac:dyDescent="0.15">
      <c r="A52" s="39"/>
      <c r="B52" s="273"/>
      <c r="C52" s="274"/>
      <c r="D52" s="274"/>
      <c r="E52" s="274"/>
      <c r="F52" s="274"/>
      <c r="G52" s="274"/>
      <c r="H52" s="274"/>
      <c r="I52" s="274"/>
      <c r="J52" s="275"/>
    </row>
    <row r="53" spans="1:10" ht="18.75" customHeight="1" x14ac:dyDescent="0.15">
      <c r="A53" s="39"/>
      <c r="B53" s="273"/>
      <c r="C53" s="274"/>
      <c r="D53" s="274"/>
      <c r="E53" s="274"/>
      <c r="F53" s="274"/>
      <c r="G53" s="274"/>
      <c r="H53" s="274"/>
      <c r="I53" s="274"/>
      <c r="J53" s="275"/>
    </row>
    <row r="54" spans="1:10" ht="18.75" customHeight="1" x14ac:dyDescent="0.15">
      <c r="A54" s="39"/>
      <c r="B54" s="273"/>
      <c r="C54" s="274"/>
      <c r="D54" s="274"/>
      <c r="E54" s="274"/>
      <c r="F54" s="274"/>
      <c r="G54" s="274"/>
      <c r="H54" s="274"/>
      <c r="I54" s="274"/>
      <c r="J54" s="275"/>
    </row>
    <row r="55" spans="1:10" ht="18.75" customHeight="1" x14ac:dyDescent="0.15">
      <c r="A55" s="39"/>
      <c r="B55" s="273"/>
      <c r="C55" s="274"/>
      <c r="D55" s="274"/>
      <c r="E55" s="274"/>
      <c r="F55" s="274"/>
      <c r="G55" s="274"/>
      <c r="H55" s="274"/>
      <c r="I55" s="274"/>
      <c r="J55" s="275"/>
    </row>
    <row r="56" spans="1:10" ht="18.75" customHeight="1" x14ac:dyDescent="0.15">
      <c r="A56" s="39"/>
      <c r="B56" s="273"/>
      <c r="C56" s="274"/>
      <c r="D56" s="274"/>
      <c r="E56" s="274"/>
      <c r="F56" s="274"/>
      <c r="G56" s="274"/>
      <c r="H56" s="274"/>
      <c r="I56" s="274"/>
      <c r="J56" s="275"/>
    </row>
    <row r="57" spans="1:10" ht="18.75" customHeight="1" x14ac:dyDescent="0.15">
      <c r="A57" s="39"/>
      <c r="B57" s="273"/>
      <c r="C57" s="274"/>
      <c r="D57" s="274"/>
      <c r="E57" s="274"/>
      <c r="F57" s="274"/>
      <c r="G57" s="274"/>
      <c r="H57" s="274"/>
      <c r="I57" s="274"/>
      <c r="J57" s="275"/>
    </row>
    <row r="58" spans="1:10" ht="18.75" customHeight="1" x14ac:dyDescent="0.15">
      <c r="A58" s="39"/>
      <c r="B58" s="273"/>
      <c r="C58" s="274"/>
      <c r="D58" s="274"/>
      <c r="E58" s="274"/>
      <c r="F58" s="274"/>
      <c r="G58" s="274"/>
      <c r="H58" s="274"/>
      <c r="I58" s="274"/>
      <c r="J58" s="275"/>
    </row>
    <row r="59" spans="1:10" ht="18.75" customHeight="1" x14ac:dyDescent="0.15">
      <c r="A59" s="39"/>
      <c r="B59" s="273"/>
      <c r="C59" s="274"/>
      <c r="D59" s="274"/>
      <c r="E59" s="274"/>
      <c r="F59" s="274"/>
      <c r="G59" s="274"/>
      <c r="H59" s="274"/>
      <c r="I59" s="274"/>
      <c r="J59" s="275"/>
    </row>
    <row r="60" spans="1:10" ht="18.75" customHeight="1" x14ac:dyDescent="0.15">
      <c r="A60" s="39"/>
      <c r="B60" s="273"/>
      <c r="C60" s="274"/>
      <c r="D60" s="274"/>
      <c r="E60" s="274"/>
      <c r="F60" s="274"/>
      <c r="G60" s="274"/>
      <c r="H60" s="274"/>
      <c r="I60" s="274"/>
      <c r="J60" s="275"/>
    </row>
    <row r="61" spans="1:10" ht="18.75" customHeight="1" x14ac:dyDescent="0.15">
      <c r="A61" s="39"/>
      <c r="B61" s="273"/>
      <c r="C61" s="274"/>
      <c r="D61" s="274"/>
      <c r="E61" s="274"/>
      <c r="F61" s="274"/>
      <c r="G61" s="274"/>
      <c r="H61" s="274"/>
      <c r="I61" s="274"/>
      <c r="J61" s="275"/>
    </row>
    <row r="62" spans="1:10" ht="18.75" customHeight="1" x14ac:dyDescent="0.15">
      <c r="A62" s="39"/>
      <c r="B62" s="273"/>
      <c r="C62" s="274"/>
      <c r="D62" s="274"/>
      <c r="E62" s="274"/>
      <c r="F62" s="274"/>
      <c r="G62" s="274"/>
      <c r="H62" s="274"/>
      <c r="I62" s="274"/>
      <c r="J62" s="275"/>
    </row>
    <row r="63" spans="1:10" ht="18.75" customHeight="1" x14ac:dyDescent="0.15">
      <c r="A63" s="39"/>
      <c r="B63" s="273"/>
      <c r="C63" s="274"/>
      <c r="D63" s="274"/>
      <c r="E63" s="274"/>
      <c r="F63" s="274"/>
      <c r="G63" s="274"/>
      <c r="H63" s="274"/>
      <c r="I63" s="274"/>
      <c r="J63" s="275"/>
    </row>
    <row r="64" spans="1:10" ht="18.75" customHeight="1" x14ac:dyDescent="0.15">
      <c r="A64" s="39"/>
      <c r="B64" s="273"/>
      <c r="C64" s="274"/>
      <c r="D64" s="274"/>
      <c r="E64" s="274"/>
      <c r="F64" s="274"/>
      <c r="G64" s="274"/>
      <c r="H64" s="274"/>
      <c r="I64" s="274"/>
      <c r="J64" s="275"/>
    </row>
    <row r="65" spans="1:11" ht="18.75" customHeight="1" x14ac:dyDescent="0.15">
      <c r="A65" s="39"/>
      <c r="B65" s="273"/>
      <c r="C65" s="274"/>
      <c r="D65" s="274"/>
      <c r="E65" s="274"/>
      <c r="F65" s="274"/>
      <c r="G65" s="274"/>
      <c r="H65" s="274"/>
      <c r="I65" s="274"/>
      <c r="J65" s="275"/>
    </row>
    <row r="66" spans="1:11" ht="18.75" customHeight="1" x14ac:dyDescent="0.15">
      <c r="A66" s="39"/>
      <c r="B66" s="276"/>
      <c r="C66" s="277"/>
      <c r="D66" s="277"/>
      <c r="E66" s="277"/>
      <c r="F66" s="277"/>
      <c r="G66" s="277"/>
      <c r="H66" s="277"/>
      <c r="I66" s="277"/>
      <c r="J66" s="278"/>
    </row>
    <row r="67" spans="1:11" ht="7.5" customHeight="1" x14ac:dyDescent="0.15">
      <c r="A67" s="39"/>
      <c r="B67" s="39"/>
      <c r="C67" s="39"/>
      <c r="D67" s="39"/>
      <c r="E67" s="39"/>
      <c r="F67" s="39"/>
      <c r="G67" s="39"/>
      <c r="H67" s="39"/>
      <c r="I67" s="39"/>
      <c r="J67" s="39"/>
    </row>
    <row r="68" spans="1:11" s="4" customFormat="1" ht="18.75" customHeight="1" x14ac:dyDescent="0.15">
      <c r="A68" s="1" t="s">
        <v>14</v>
      </c>
      <c r="B68" s="123" t="s">
        <v>71</v>
      </c>
      <c r="C68" s="123"/>
      <c r="D68" s="123"/>
      <c r="E68" s="123"/>
      <c r="F68" s="123"/>
      <c r="G68" s="123"/>
      <c r="H68" s="1"/>
      <c r="I68" s="1"/>
      <c r="J68" s="1"/>
      <c r="K68" s="31"/>
    </row>
    <row r="69" spans="1:11" s="4" customFormat="1" ht="18.75" customHeight="1" x14ac:dyDescent="0.15">
      <c r="A69" s="1"/>
      <c r="B69" s="270" t="s">
        <v>187</v>
      </c>
      <c r="C69" s="271"/>
      <c r="D69" s="271"/>
      <c r="E69" s="271"/>
      <c r="F69" s="271"/>
      <c r="G69" s="271"/>
      <c r="H69" s="271"/>
      <c r="I69" s="279"/>
      <c r="J69" s="280"/>
      <c r="K69" s="35" t="str">
        <f>IF(B69="","入力してください","")</f>
        <v/>
      </c>
    </row>
    <row r="70" spans="1:11" s="4" customFormat="1" ht="18.75" customHeight="1" x14ac:dyDescent="0.15">
      <c r="A70" s="1"/>
      <c r="B70" s="281"/>
      <c r="C70" s="282"/>
      <c r="D70" s="282"/>
      <c r="E70" s="282"/>
      <c r="F70" s="282"/>
      <c r="G70" s="282"/>
      <c r="H70" s="282"/>
      <c r="I70" s="282"/>
      <c r="J70" s="283"/>
      <c r="K70" s="35"/>
    </row>
    <row r="71" spans="1:11" s="4" customFormat="1" ht="18.75" customHeight="1" x14ac:dyDescent="0.15">
      <c r="A71" s="1"/>
      <c r="B71" s="281"/>
      <c r="C71" s="282"/>
      <c r="D71" s="282"/>
      <c r="E71" s="282"/>
      <c r="F71" s="282"/>
      <c r="G71" s="282"/>
      <c r="H71" s="282"/>
      <c r="I71" s="282"/>
      <c r="J71" s="283"/>
      <c r="K71" s="35"/>
    </row>
    <row r="72" spans="1:11" s="4" customFormat="1" ht="18.75" customHeight="1" x14ac:dyDescent="0.15">
      <c r="A72" s="1"/>
      <c r="B72" s="281"/>
      <c r="C72" s="282"/>
      <c r="D72" s="282"/>
      <c r="E72" s="282"/>
      <c r="F72" s="282"/>
      <c r="G72" s="282"/>
      <c r="H72" s="282"/>
      <c r="I72" s="282"/>
      <c r="J72" s="283"/>
      <c r="K72" s="35"/>
    </row>
    <row r="73" spans="1:11" s="4" customFormat="1" ht="18.75" customHeight="1" x14ac:dyDescent="0.15">
      <c r="A73" s="1"/>
      <c r="B73" s="281"/>
      <c r="C73" s="282"/>
      <c r="D73" s="282"/>
      <c r="E73" s="282"/>
      <c r="F73" s="282"/>
      <c r="G73" s="282"/>
      <c r="H73" s="282"/>
      <c r="I73" s="282"/>
      <c r="J73" s="283"/>
      <c r="K73" s="35"/>
    </row>
    <row r="74" spans="1:11" s="4" customFormat="1" ht="18.75" customHeight="1" x14ac:dyDescent="0.15">
      <c r="A74" s="1"/>
      <c r="B74" s="281"/>
      <c r="C74" s="282"/>
      <c r="D74" s="282"/>
      <c r="E74" s="282"/>
      <c r="F74" s="282"/>
      <c r="G74" s="282"/>
      <c r="H74" s="282"/>
      <c r="I74" s="282"/>
      <c r="J74" s="283"/>
      <c r="K74" s="35"/>
    </row>
    <row r="75" spans="1:11" s="4" customFormat="1" ht="18.75" customHeight="1" x14ac:dyDescent="0.15">
      <c r="A75" s="1"/>
      <c r="B75" s="281"/>
      <c r="C75" s="282"/>
      <c r="D75" s="282"/>
      <c r="E75" s="282"/>
      <c r="F75" s="282"/>
      <c r="G75" s="282"/>
      <c r="H75" s="282"/>
      <c r="I75" s="282"/>
      <c r="J75" s="283"/>
      <c r="K75" s="35"/>
    </row>
    <row r="76" spans="1:11" s="4" customFormat="1" ht="18.75" customHeight="1" x14ac:dyDescent="0.15">
      <c r="A76" s="1"/>
      <c r="B76" s="281"/>
      <c r="C76" s="282"/>
      <c r="D76" s="282"/>
      <c r="E76" s="282"/>
      <c r="F76" s="282"/>
      <c r="G76" s="282"/>
      <c r="H76" s="282"/>
      <c r="I76" s="282"/>
      <c r="J76" s="283"/>
      <c r="K76" s="35"/>
    </row>
    <row r="77" spans="1:11" s="4" customFormat="1" ht="18.75" customHeight="1" x14ac:dyDescent="0.15">
      <c r="A77" s="1"/>
      <c r="B77" s="281"/>
      <c r="C77" s="282"/>
      <c r="D77" s="282"/>
      <c r="E77" s="282"/>
      <c r="F77" s="282"/>
      <c r="G77" s="282"/>
      <c r="H77" s="282"/>
      <c r="I77" s="282"/>
      <c r="J77" s="283"/>
      <c r="K77" s="35"/>
    </row>
    <row r="78" spans="1:11" s="4" customFormat="1" ht="18.75" customHeight="1" x14ac:dyDescent="0.15">
      <c r="A78" s="1"/>
      <c r="B78" s="281"/>
      <c r="C78" s="282"/>
      <c r="D78" s="282"/>
      <c r="E78" s="282"/>
      <c r="F78" s="282"/>
      <c r="G78" s="282"/>
      <c r="H78" s="282"/>
      <c r="I78" s="282"/>
      <c r="J78" s="283"/>
      <c r="K78" s="35"/>
    </row>
    <row r="79" spans="1:11" s="4" customFormat="1" ht="18.75" customHeight="1" x14ac:dyDescent="0.15">
      <c r="A79" s="1"/>
      <c r="B79" s="281"/>
      <c r="C79" s="282"/>
      <c r="D79" s="282"/>
      <c r="E79" s="282"/>
      <c r="F79" s="282"/>
      <c r="G79" s="282"/>
      <c r="H79" s="282"/>
      <c r="I79" s="282"/>
      <c r="J79" s="283"/>
      <c r="K79" s="35"/>
    </row>
    <row r="80" spans="1:11" s="4" customFormat="1" ht="18.75" customHeight="1" x14ac:dyDescent="0.15">
      <c r="A80" s="1"/>
      <c r="B80" s="281"/>
      <c r="C80" s="282"/>
      <c r="D80" s="282"/>
      <c r="E80" s="282"/>
      <c r="F80" s="282"/>
      <c r="G80" s="282"/>
      <c r="H80" s="282"/>
      <c r="I80" s="282"/>
      <c r="J80" s="283"/>
      <c r="K80" s="35"/>
    </row>
    <row r="81" spans="1:11" s="4" customFormat="1" ht="18.75" customHeight="1" x14ac:dyDescent="0.15">
      <c r="A81" s="1"/>
      <c r="B81" s="281"/>
      <c r="C81" s="282"/>
      <c r="D81" s="282"/>
      <c r="E81" s="282"/>
      <c r="F81" s="282"/>
      <c r="G81" s="282"/>
      <c r="H81" s="282"/>
      <c r="I81" s="282"/>
      <c r="J81" s="283"/>
      <c r="K81" s="35"/>
    </row>
    <row r="82" spans="1:11" s="4" customFormat="1" ht="18.75" customHeight="1" x14ac:dyDescent="0.15">
      <c r="A82" s="1"/>
      <c r="B82" s="281"/>
      <c r="C82" s="282"/>
      <c r="D82" s="282"/>
      <c r="E82" s="282"/>
      <c r="F82" s="282"/>
      <c r="G82" s="282"/>
      <c r="H82" s="282"/>
      <c r="I82" s="282"/>
      <c r="J82" s="283"/>
      <c r="K82" s="35"/>
    </row>
    <row r="83" spans="1:11" s="4" customFormat="1" ht="18.75" customHeight="1" x14ac:dyDescent="0.15">
      <c r="A83" s="1"/>
      <c r="B83" s="281"/>
      <c r="C83" s="282"/>
      <c r="D83" s="282"/>
      <c r="E83" s="282"/>
      <c r="F83" s="282"/>
      <c r="G83" s="282"/>
      <c r="H83" s="282"/>
      <c r="I83" s="282"/>
      <c r="J83" s="283"/>
      <c r="K83" s="35"/>
    </row>
    <row r="84" spans="1:11" s="4" customFormat="1" ht="18.75" customHeight="1" x14ac:dyDescent="0.15">
      <c r="A84" s="1"/>
      <c r="B84" s="281"/>
      <c r="C84" s="282"/>
      <c r="D84" s="282"/>
      <c r="E84" s="282"/>
      <c r="F84" s="282"/>
      <c r="G84" s="282"/>
      <c r="H84" s="282"/>
      <c r="I84" s="282"/>
      <c r="J84" s="283"/>
      <c r="K84" s="35"/>
    </row>
    <row r="85" spans="1:11" ht="18.75" customHeight="1" x14ac:dyDescent="0.15">
      <c r="A85" s="39"/>
      <c r="B85" s="281"/>
      <c r="C85" s="282"/>
      <c r="D85" s="282"/>
      <c r="E85" s="282"/>
      <c r="F85" s="282"/>
      <c r="G85" s="282"/>
      <c r="H85" s="282"/>
      <c r="I85" s="282"/>
      <c r="J85" s="283"/>
      <c r="K85" s="35"/>
    </row>
    <row r="86" spans="1:11" ht="18.75" customHeight="1" x14ac:dyDescent="0.15">
      <c r="A86" s="39"/>
      <c r="B86" s="284"/>
      <c r="C86" s="285"/>
      <c r="D86" s="285"/>
      <c r="E86" s="285"/>
      <c r="F86" s="285"/>
      <c r="G86" s="285"/>
      <c r="H86" s="285"/>
      <c r="I86" s="285"/>
      <c r="J86" s="286"/>
      <c r="K86" s="35"/>
    </row>
    <row r="87" spans="1:11" ht="7.5" customHeight="1" x14ac:dyDescent="0.15">
      <c r="A87" s="39"/>
      <c r="B87" s="39"/>
      <c r="C87" s="39"/>
      <c r="D87" s="39"/>
      <c r="E87" s="39"/>
      <c r="F87" s="39"/>
      <c r="G87" s="39"/>
      <c r="H87" s="39"/>
      <c r="I87" s="39"/>
      <c r="J87" s="39"/>
    </row>
    <row r="88" spans="1:11" s="4" customFormat="1" ht="18.75" customHeight="1" x14ac:dyDescent="0.15">
      <c r="A88" s="1" t="s">
        <v>12</v>
      </c>
      <c r="B88" s="123" t="s">
        <v>27</v>
      </c>
      <c r="C88" s="123"/>
      <c r="D88" s="123"/>
      <c r="E88" s="123"/>
      <c r="F88" s="123"/>
      <c r="G88" s="1"/>
      <c r="H88" s="1"/>
      <c r="I88" s="1"/>
      <c r="J88" s="1"/>
      <c r="K88" s="31"/>
    </row>
    <row r="89" spans="1:11" s="4" customFormat="1" ht="18.75" customHeight="1" x14ac:dyDescent="0.15">
      <c r="A89" s="1"/>
      <c r="B89" s="270" t="s">
        <v>188</v>
      </c>
      <c r="C89" s="271"/>
      <c r="D89" s="271"/>
      <c r="E89" s="271"/>
      <c r="F89" s="271"/>
      <c r="G89" s="271"/>
      <c r="H89" s="271"/>
      <c r="I89" s="279"/>
      <c r="J89" s="280"/>
      <c r="K89" s="31"/>
    </row>
    <row r="90" spans="1:11" s="4" customFormat="1" ht="18.75" customHeight="1" x14ac:dyDescent="0.15">
      <c r="A90" s="1"/>
      <c r="B90" s="281"/>
      <c r="C90" s="282"/>
      <c r="D90" s="282"/>
      <c r="E90" s="282"/>
      <c r="F90" s="282"/>
      <c r="G90" s="282"/>
      <c r="H90" s="282"/>
      <c r="I90" s="282"/>
      <c r="J90" s="283"/>
      <c r="K90" s="35"/>
    </row>
    <row r="91" spans="1:11" s="4" customFormat="1" ht="18.75" customHeight="1" x14ac:dyDescent="0.15">
      <c r="A91" s="1"/>
      <c r="B91" s="281"/>
      <c r="C91" s="282"/>
      <c r="D91" s="282"/>
      <c r="E91" s="282"/>
      <c r="F91" s="282"/>
      <c r="G91" s="282"/>
      <c r="H91" s="282"/>
      <c r="I91" s="282"/>
      <c r="J91" s="283"/>
      <c r="K91" s="35" t="str">
        <f>IF(B89="","入力してください","")</f>
        <v/>
      </c>
    </row>
    <row r="92" spans="1:11" s="4" customFormat="1" ht="18.75" customHeight="1" x14ac:dyDescent="0.15">
      <c r="A92" s="1"/>
      <c r="B92" s="281"/>
      <c r="C92" s="282"/>
      <c r="D92" s="282"/>
      <c r="E92" s="282"/>
      <c r="F92" s="282"/>
      <c r="G92" s="282"/>
      <c r="H92" s="282"/>
      <c r="I92" s="282"/>
      <c r="J92" s="283"/>
      <c r="K92" s="35"/>
    </row>
    <row r="93" spans="1:11" s="4" customFormat="1" ht="18.75" customHeight="1" x14ac:dyDescent="0.15">
      <c r="A93" s="1"/>
      <c r="B93" s="281"/>
      <c r="C93" s="282"/>
      <c r="D93" s="282"/>
      <c r="E93" s="282"/>
      <c r="F93" s="282"/>
      <c r="G93" s="282"/>
      <c r="H93" s="282"/>
      <c r="I93" s="282"/>
      <c r="J93" s="283"/>
      <c r="K93" s="35"/>
    </row>
    <row r="94" spans="1:11" s="4" customFormat="1" ht="18.75" customHeight="1" x14ac:dyDescent="0.15">
      <c r="A94" s="1"/>
      <c r="B94" s="281"/>
      <c r="C94" s="282"/>
      <c r="D94" s="282"/>
      <c r="E94" s="282"/>
      <c r="F94" s="282"/>
      <c r="G94" s="282"/>
      <c r="H94" s="282"/>
      <c r="I94" s="282"/>
      <c r="J94" s="283"/>
      <c r="K94" s="35"/>
    </row>
    <row r="95" spans="1:11" s="4" customFormat="1" ht="18.75" customHeight="1" x14ac:dyDescent="0.15">
      <c r="A95" s="1"/>
      <c r="B95" s="281"/>
      <c r="C95" s="282"/>
      <c r="D95" s="282"/>
      <c r="E95" s="282"/>
      <c r="F95" s="282"/>
      <c r="G95" s="282"/>
      <c r="H95" s="282"/>
      <c r="I95" s="282"/>
      <c r="J95" s="283"/>
      <c r="K95" s="35"/>
    </row>
    <row r="96" spans="1:11" s="4" customFormat="1" ht="18.75" customHeight="1" x14ac:dyDescent="0.15">
      <c r="A96" s="1"/>
      <c r="B96" s="281"/>
      <c r="C96" s="282"/>
      <c r="D96" s="282"/>
      <c r="E96" s="282"/>
      <c r="F96" s="282"/>
      <c r="G96" s="282"/>
      <c r="H96" s="282"/>
      <c r="I96" s="282"/>
      <c r="J96" s="283"/>
      <c r="K96" s="35"/>
    </row>
    <row r="97" spans="1:11" s="4" customFormat="1" ht="18.75" customHeight="1" x14ac:dyDescent="0.15">
      <c r="A97" s="1"/>
      <c r="B97" s="281"/>
      <c r="C97" s="282"/>
      <c r="D97" s="282"/>
      <c r="E97" s="282"/>
      <c r="F97" s="282"/>
      <c r="G97" s="282"/>
      <c r="H97" s="282"/>
      <c r="I97" s="282"/>
      <c r="J97" s="283"/>
      <c r="K97" s="35"/>
    </row>
    <row r="98" spans="1:11" s="4" customFormat="1" ht="18.75" customHeight="1" x14ac:dyDescent="0.15">
      <c r="A98" s="1"/>
      <c r="B98" s="281"/>
      <c r="C98" s="282"/>
      <c r="D98" s="282"/>
      <c r="E98" s="282"/>
      <c r="F98" s="282"/>
      <c r="G98" s="282"/>
      <c r="H98" s="282"/>
      <c r="I98" s="282"/>
      <c r="J98" s="283"/>
      <c r="K98" s="35"/>
    </row>
    <row r="99" spans="1:11" s="4" customFormat="1" ht="18.75" customHeight="1" x14ac:dyDescent="0.15">
      <c r="A99" s="1"/>
      <c r="B99" s="281"/>
      <c r="C99" s="282"/>
      <c r="D99" s="282"/>
      <c r="E99" s="282"/>
      <c r="F99" s="282"/>
      <c r="G99" s="282"/>
      <c r="H99" s="282"/>
      <c r="I99" s="282"/>
      <c r="J99" s="283"/>
      <c r="K99" s="35"/>
    </row>
    <row r="100" spans="1:11" s="4" customFormat="1" ht="18.75" customHeight="1" x14ac:dyDescent="0.15">
      <c r="A100" s="1"/>
      <c r="B100" s="281"/>
      <c r="C100" s="282"/>
      <c r="D100" s="282"/>
      <c r="E100" s="282"/>
      <c r="F100" s="282"/>
      <c r="G100" s="282"/>
      <c r="H100" s="282"/>
      <c r="I100" s="282"/>
      <c r="J100" s="283"/>
      <c r="K100" s="35"/>
    </row>
    <row r="101" spans="1:11" s="4" customFormat="1" ht="18.75" customHeight="1" x14ac:dyDescent="0.15">
      <c r="A101" s="1"/>
      <c r="B101" s="281"/>
      <c r="C101" s="282"/>
      <c r="D101" s="282"/>
      <c r="E101" s="282"/>
      <c r="F101" s="282"/>
      <c r="G101" s="282"/>
      <c r="H101" s="282"/>
      <c r="I101" s="282"/>
      <c r="J101" s="283"/>
      <c r="K101" s="35"/>
    </row>
    <row r="102" spans="1:11" s="4" customFormat="1" ht="18.75" customHeight="1" x14ac:dyDescent="0.15">
      <c r="A102" s="1"/>
      <c r="B102" s="281"/>
      <c r="C102" s="282"/>
      <c r="D102" s="282"/>
      <c r="E102" s="282"/>
      <c r="F102" s="282"/>
      <c r="G102" s="282"/>
      <c r="H102" s="282"/>
      <c r="I102" s="282"/>
      <c r="J102" s="283"/>
      <c r="K102" s="35"/>
    </row>
    <row r="103" spans="1:11" s="4" customFormat="1" ht="18.75" customHeight="1" x14ac:dyDescent="0.15">
      <c r="A103" s="1"/>
      <c r="B103" s="281"/>
      <c r="C103" s="282"/>
      <c r="D103" s="282"/>
      <c r="E103" s="282"/>
      <c r="F103" s="282"/>
      <c r="G103" s="282"/>
      <c r="H103" s="282"/>
      <c r="I103" s="282"/>
      <c r="J103" s="283"/>
      <c r="K103" s="35"/>
    </row>
    <row r="104" spans="1:11" s="4" customFormat="1" ht="18.75" customHeight="1" x14ac:dyDescent="0.15">
      <c r="A104" s="1"/>
      <c r="B104" s="281"/>
      <c r="C104" s="282"/>
      <c r="D104" s="282"/>
      <c r="E104" s="282"/>
      <c r="F104" s="282"/>
      <c r="G104" s="282"/>
      <c r="H104" s="282"/>
      <c r="I104" s="282"/>
      <c r="J104" s="283"/>
      <c r="K104" s="35"/>
    </row>
    <row r="105" spans="1:11" s="4" customFormat="1" ht="18.75" customHeight="1" x14ac:dyDescent="0.15">
      <c r="A105" s="1"/>
      <c r="B105" s="281"/>
      <c r="C105" s="282"/>
      <c r="D105" s="282"/>
      <c r="E105" s="282"/>
      <c r="F105" s="282"/>
      <c r="G105" s="282"/>
      <c r="H105" s="282"/>
      <c r="I105" s="282"/>
      <c r="J105" s="283"/>
      <c r="K105" s="35"/>
    </row>
    <row r="106" spans="1:11" s="4" customFormat="1" ht="18.75" customHeight="1" x14ac:dyDescent="0.15">
      <c r="A106" s="1"/>
      <c r="B106" s="281"/>
      <c r="C106" s="282"/>
      <c r="D106" s="282"/>
      <c r="E106" s="282"/>
      <c r="F106" s="282"/>
      <c r="G106" s="282"/>
      <c r="H106" s="282"/>
      <c r="I106" s="282"/>
      <c r="J106" s="283"/>
      <c r="K106" s="35"/>
    </row>
    <row r="107" spans="1:11" ht="18.75" customHeight="1" x14ac:dyDescent="0.15">
      <c r="A107" s="39"/>
      <c r="B107" s="281"/>
      <c r="C107" s="282"/>
      <c r="D107" s="282"/>
      <c r="E107" s="282"/>
      <c r="F107" s="282"/>
      <c r="G107" s="282"/>
      <c r="H107" s="282"/>
      <c r="I107" s="282"/>
      <c r="J107" s="283"/>
      <c r="K107" s="35"/>
    </row>
    <row r="108" spans="1:11" ht="18.75" customHeight="1" x14ac:dyDescent="0.15">
      <c r="A108" s="39"/>
      <c r="B108" s="284"/>
      <c r="C108" s="285"/>
      <c r="D108" s="285"/>
      <c r="E108" s="285"/>
      <c r="F108" s="285"/>
      <c r="G108" s="285"/>
      <c r="H108" s="285"/>
      <c r="I108" s="285"/>
      <c r="J108" s="286"/>
      <c r="K108" s="35"/>
    </row>
    <row r="109" spans="1:11" ht="7.5" customHeight="1" x14ac:dyDescent="0.15">
      <c r="A109" s="39"/>
      <c r="B109" s="39"/>
      <c r="C109" s="39"/>
      <c r="D109" s="39"/>
      <c r="E109" s="39"/>
      <c r="F109" s="39"/>
      <c r="G109" s="39"/>
      <c r="H109" s="39"/>
      <c r="I109" s="39"/>
      <c r="J109" s="39"/>
    </row>
    <row r="110" spans="1:11" s="4" customFormat="1" ht="18.75" customHeight="1" x14ac:dyDescent="0.15">
      <c r="A110" s="1" t="s">
        <v>53</v>
      </c>
      <c r="B110" s="287" t="s">
        <v>82</v>
      </c>
      <c r="C110" s="287"/>
      <c r="D110" s="287"/>
      <c r="E110" s="287"/>
      <c r="F110" s="287"/>
      <c r="G110" s="287"/>
      <c r="H110" s="287"/>
      <c r="I110" s="287"/>
      <c r="J110" s="287"/>
      <c r="K110" s="31"/>
    </row>
    <row r="111" spans="1:11" ht="18.75" customHeight="1" x14ac:dyDescent="0.15">
      <c r="A111" s="39"/>
      <c r="B111" s="270" t="s">
        <v>196</v>
      </c>
      <c r="C111" s="288"/>
      <c r="D111" s="288"/>
      <c r="E111" s="288"/>
      <c r="F111" s="288"/>
      <c r="G111" s="288"/>
      <c r="H111" s="288"/>
      <c r="I111" s="289"/>
      <c r="J111" s="290"/>
    </row>
    <row r="112" spans="1:11" ht="18.75" customHeight="1" x14ac:dyDescent="0.15">
      <c r="A112" s="39"/>
      <c r="B112" s="291"/>
      <c r="C112" s="292"/>
      <c r="D112" s="292"/>
      <c r="E112" s="292"/>
      <c r="F112" s="292"/>
      <c r="G112" s="292"/>
      <c r="H112" s="292"/>
      <c r="I112" s="292"/>
      <c r="J112" s="293"/>
      <c r="K112" s="35"/>
    </row>
    <row r="113" spans="1:11" ht="18.75" customHeight="1" x14ac:dyDescent="0.15">
      <c r="A113" s="39"/>
      <c r="B113" s="291"/>
      <c r="C113" s="292"/>
      <c r="D113" s="292"/>
      <c r="E113" s="292"/>
      <c r="F113" s="292"/>
      <c r="G113" s="292"/>
      <c r="H113" s="292"/>
      <c r="I113" s="292"/>
      <c r="J113" s="293"/>
      <c r="K113" s="31" t="str">
        <f>IF(B111="","入力してください","")</f>
        <v/>
      </c>
    </row>
    <row r="114" spans="1:11" ht="18.75" customHeight="1" x14ac:dyDescent="0.15">
      <c r="A114" s="39"/>
      <c r="B114" s="291"/>
      <c r="C114" s="292"/>
      <c r="D114" s="292"/>
      <c r="E114" s="292"/>
      <c r="F114" s="292"/>
      <c r="G114" s="292"/>
      <c r="H114" s="292"/>
      <c r="I114" s="292"/>
      <c r="J114" s="293"/>
    </row>
    <row r="115" spans="1:11" ht="18.75" customHeight="1" x14ac:dyDescent="0.15">
      <c r="A115" s="39"/>
      <c r="B115" s="291"/>
      <c r="C115" s="292"/>
      <c r="D115" s="292"/>
      <c r="E115" s="292"/>
      <c r="F115" s="292"/>
      <c r="G115" s="292"/>
      <c r="H115" s="292"/>
      <c r="I115" s="292"/>
      <c r="J115" s="293"/>
    </row>
    <row r="116" spans="1:11" ht="18.75" customHeight="1" x14ac:dyDescent="0.15">
      <c r="A116" s="39"/>
      <c r="B116" s="291"/>
      <c r="C116" s="292"/>
      <c r="D116" s="292"/>
      <c r="E116" s="292"/>
      <c r="F116" s="292"/>
      <c r="G116" s="292"/>
      <c r="H116" s="292"/>
      <c r="I116" s="292"/>
      <c r="J116" s="293"/>
    </row>
    <row r="117" spans="1:11" ht="18.75" customHeight="1" x14ac:dyDescent="0.15">
      <c r="A117" s="39"/>
      <c r="B117" s="291"/>
      <c r="C117" s="292"/>
      <c r="D117" s="292"/>
      <c r="E117" s="292"/>
      <c r="F117" s="292"/>
      <c r="G117" s="292"/>
      <c r="H117" s="292"/>
      <c r="I117" s="292"/>
      <c r="J117" s="293"/>
    </row>
    <row r="118" spans="1:11" ht="18.75" customHeight="1" x14ac:dyDescent="0.15">
      <c r="A118" s="39"/>
      <c r="B118" s="291"/>
      <c r="C118" s="292"/>
      <c r="D118" s="292"/>
      <c r="E118" s="292"/>
      <c r="F118" s="292"/>
      <c r="G118" s="292"/>
      <c r="H118" s="292"/>
      <c r="I118" s="292"/>
      <c r="J118" s="293"/>
    </row>
    <row r="119" spans="1:11" ht="18.75" customHeight="1" x14ac:dyDescent="0.15">
      <c r="A119" s="39"/>
      <c r="B119" s="291"/>
      <c r="C119" s="292"/>
      <c r="D119" s="292"/>
      <c r="E119" s="292"/>
      <c r="F119" s="292"/>
      <c r="G119" s="292"/>
      <c r="H119" s="292"/>
      <c r="I119" s="292"/>
      <c r="J119" s="293"/>
    </row>
    <row r="120" spans="1:11" ht="18.75" customHeight="1" x14ac:dyDescent="0.15">
      <c r="A120" s="39"/>
      <c r="B120" s="291"/>
      <c r="C120" s="292"/>
      <c r="D120" s="292"/>
      <c r="E120" s="292"/>
      <c r="F120" s="292"/>
      <c r="G120" s="292"/>
      <c r="H120" s="292"/>
      <c r="I120" s="292"/>
      <c r="J120" s="293"/>
    </row>
    <row r="121" spans="1:11" ht="18.75" customHeight="1" x14ac:dyDescent="0.15">
      <c r="A121" s="39"/>
      <c r="B121" s="291"/>
      <c r="C121" s="292"/>
      <c r="D121" s="292"/>
      <c r="E121" s="292"/>
      <c r="F121" s="292"/>
      <c r="G121" s="292"/>
      <c r="H121" s="292"/>
      <c r="I121" s="292"/>
      <c r="J121" s="293"/>
    </row>
    <row r="122" spans="1:11" ht="18.75" customHeight="1" x14ac:dyDescent="0.15">
      <c r="A122" s="39"/>
      <c r="B122" s="291"/>
      <c r="C122" s="292"/>
      <c r="D122" s="292"/>
      <c r="E122" s="292"/>
      <c r="F122" s="292"/>
      <c r="G122" s="292"/>
      <c r="H122" s="292"/>
      <c r="I122" s="292"/>
      <c r="J122" s="293"/>
    </row>
    <row r="123" spans="1:11" ht="18.75" customHeight="1" x14ac:dyDescent="0.15">
      <c r="A123" s="39"/>
      <c r="B123" s="291"/>
      <c r="C123" s="292"/>
      <c r="D123" s="292"/>
      <c r="E123" s="292"/>
      <c r="F123" s="292"/>
      <c r="G123" s="292"/>
      <c r="H123" s="292"/>
      <c r="I123" s="292"/>
      <c r="J123" s="293"/>
    </row>
    <row r="124" spans="1:11" ht="18.75" customHeight="1" x14ac:dyDescent="0.15">
      <c r="A124" s="39"/>
      <c r="B124" s="291"/>
      <c r="C124" s="292"/>
      <c r="D124" s="292"/>
      <c r="E124" s="292"/>
      <c r="F124" s="292"/>
      <c r="G124" s="292"/>
      <c r="H124" s="292"/>
      <c r="I124" s="292"/>
      <c r="J124" s="293"/>
    </row>
    <row r="125" spans="1:11" ht="18.75" customHeight="1" x14ac:dyDescent="0.15">
      <c r="A125" s="39"/>
      <c r="B125" s="291"/>
      <c r="C125" s="292"/>
      <c r="D125" s="292"/>
      <c r="E125" s="292"/>
      <c r="F125" s="292"/>
      <c r="G125" s="292"/>
      <c r="H125" s="292"/>
      <c r="I125" s="292"/>
      <c r="J125" s="293"/>
    </row>
    <row r="126" spans="1:11" ht="18.75" customHeight="1" x14ac:dyDescent="0.15">
      <c r="A126" s="39"/>
      <c r="B126" s="291"/>
      <c r="C126" s="292"/>
      <c r="D126" s="292"/>
      <c r="E126" s="292"/>
      <c r="F126" s="292"/>
      <c r="G126" s="292"/>
      <c r="H126" s="292"/>
      <c r="I126" s="292"/>
      <c r="J126" s="293"/>
    </row>
    <row r="127" spans="1:11" ht="18.75" customHeight="1" x14ac:dyDescent="0.15">
      <c r="A127" s="39"/>
      <c r="B127" s="291"/>
      <c r="C127" s="292"/>
      <c r="D127" s="292"/>
      <c r="E127" s="292"/>
      <c r="F127" s="292"/>
      <c r="G127" s="292"/>
      <c r="H127" s="292"/>
      <c r="I127" s="292"/>
      <c r="J127" s="293"/>
    </row>
    <row r="128" spans="1:11" ht="18.75" customHeight="1" x14ac:dyDescent="0.15">
      <c r="A128" s="39"/>
      <c r="B128" s="291"/>
      <c r="C128" s="292"/>
      <c r="D128" s="292"/>
      <c r="E128" s="292"/>
      <c r="F128" s="292"/>
      <c r="G128" s="292"/>
      <c r="H128" s="292"/>
      <c r="I128" s="292"/>
      <c r="J128" s="293"/>
    </row>
    <row r="129" spans="1:10" ht="18.75" customHeight="1" x14ac:dyDescent="0.15">
      <c r="A129" s="39"/>
      <c r="B129" s="294"/>
      <c r="C129" s="295"/>
      <c r="D129" s="295"/>
      <c r="E129" s="295"/>
      <c r="F129" s="295"/>
      <c r="G129" s="295"/>
      <c r="H129" s="295"/>
      <c r="I129" s="295"/>
      <c r="J129" s="296"/>
    </row>
    <row r="130" spans="1:10" ht="7.5" customHeight="1" x14ac:dyDescent="0.15">
      <c r="A130" s="39"/>
      <c r="B130" s="104"/>
      <c r="C130" s="104"/>
      <c r="D130" s="104"/>
      <c r="E130" s="104"/>
      <c r="F130" s="104"/>
      <c r="G130" s="104"/>
      <c r="H130" s="104"/>
      <c r="I130" s="104"/>
      <c r="J130" s="104"/>
    </row>
    <row r="131" spans="1:10" ht="18.75" customHeight="1" x14ac:dyDescent="0.15">
      <c r="A131" s="39"/>
      <c r="B131" s="39"/>
      <c r="C131" s="39"/>
      <c r="D131" s="39"/>
      <c r="E131" s="39"/>
      <c r="F131" s="39"/>
      <c r="G131" s="39"/>
      <c r="H131" s="39"/>
      <c r="I131" s="39"/>
      <c r="J131" s="39"/>
    </row>
    <row r="132" spans="1:10" ht="18.75" customHeight="1" x14ac:dyDescent="0.15">
      <c r="A132" s="39"/>
      <c r="B132" s="39"/>
      <c r="C132" s="39"/>
      <c r="D132" s="39"/>
      <c r="E132" s="39"/>
      <c r="F132" s="39"/>
      <c r="G132" s="39"/>
      <c r="H132" s="39"/>
      <c r="I132" s="39"/>
      <c r="J132" s="39"/>
    </row>
    <row r="133" spans="1:10" ht="18.75" customHeight="1" x14ac:dyDescent="0.15">
      <c r="A133" s="39"/>
      <c r="B133" s="39"/>
      <c r="C133" s="39"/>
      <c r="D133" s="39"/>
      <c r="E133" s="39"/>
      <c r="F133" s="39"/>
      <c r="G133" s="39"/>
      <c r="H133" s="39"/>
      <c r="I133" s="39"/>
      <c r="J133" s="39"/>
    </row>
    <row r="134" spans="1:10" ht="18.75" customHeight="1" x14ac:dyDescent="0.15">
      <c r="A134" s="39"/>
      <c r="B134" s="39"/>
      <c r="C134" s="39"/>
      <c r="D134" s="39"/>
      <c r="E134" s="39"/>
      <c r="F134" s="39"/>
      <c r="G134" s="39"/>
      <c r="H134" s="39"/>
      <c r="I134" s="39"/>
      <c r="J134" s="39"/>
    </row>
    <row r="135" spans="1:10" ht="18.75" customHeight="1" x14ac:dyDescent="0.15">
      <c r="A135" s="39"/>
      <c r="B135" s="39"/>
      <c r="C135" s="39"/>
      <c r="D135" s="39"/>
      <c r="E135" s="39"/>
      <c r="F135" s="39"/>
      <c r="G135" s="39"/>
      <c r="H135" s="39"/>
      <c r="I135" s="39"/>
      <c r="J135" s="39"/>
    </row>
    <row r="136" spans="1:10" ht="18.75" customHeight="1" x14ac:dyDescent="0.15">
      <c r="A136" s="39"/>
      <c r="B136" s="39"/>
      <c r="C136" s="39"/>
      <c r="D136" s="39"/>
      <c r="E136" s="39"/>
      <c r="F136" s="39"/>
      <c r="G136" s="39"/>
      <c r="H136" s="39"/>
      <c r="I136" s="39"/>
      <c r="J136" s="39"/>
    </row>
    <row r="137" spans="1:10" ht="18.75" customHeight="1" x14ac:dyDescent="0.15">
      <c r="A137" s="39"/>
      <c r="B137" s="39"/>
      <c r="C137" s="39"/>
      <c r="D137" s="39"/>
      <c r="E137" s="39"/>
      <c r="F137" s="39"/>
      <c r="G137" s="39"/>
      <c r="H137" s="39"/>
      <c r="I137" s="39"/>
      <c r="J137" s="39"/>
    </row>
    <row r="138" spans="1:10" ht="18.75" customHeight="1" x14ac:dyDescent="0.15">
      <c r="A138" s="39"/>
      <c r="B138" s="39"/>
      <c r="C138" s="39"/>
      <c r="D138" s="39"/>
      <c r="E138" s="39"/>
      <c r="F138" s="39"/>
      <c r="G138" s="39"/>
      <c r="H138" s="39"/>
      <c r="I138" s="39"/>
      <c r="J138" s="39"/>
    </row>
    <row r="139" spans="1:10" ht="18.75" customHeight="1" x14ac:dyDescent="0.15">
      <c r="A139" s="39"/>
      <c r="B139" s="39"/>
      <c r="C139" s="39"/>
      <c r="D139" s="39"/>
      <c r="E139" s="39"/>
      <c r="F139" s="39"/>
      <c r="G139" s="39"/>
      <c r="H139" s="39"/>
      <c r="I139" s="39"/>
      <c r="J139" s="39"/>
    </row>
    <row r="140" spans="1:10" ht="18.75" customHeight="1" x14ac:dyDescent="0.15">
      <c r="A140" s="39"/>
      <c r="B140" s="39"/>
      <c r="C140" s="39"/>
      <c r="D140" s="39"/>
      <c r="E140" s="39"/>
      <c r="F140" s="39"/>
      <c r="G140" s="39"/>
      <c r="H140" s="39"/>
      <c r="I140" s="39"/>
      <c r="J140" s="39"/>
    </row>
    <row r="141" spans="1:10" ht="18.75" customHeight="1" x14ac:dyDescent="0.15">
      <c r="A141" s="39"/>
      <c r="B141" s="39"/>
      <c r="C141" s="39"/>
      <c r="D141" s="39"/>
      <c r="E141" s="39"/>
      <c r="F141" s="39"/>
      <c r="G141" s="39"/>
      <c r="H141" s="39"/>
      <c r="I141" s="39"/>
      <c r="J141" s="39"/>
    </row>
    <row r="142" spans="1:10" ht="18.75" customHeight="1" x14ac:dyDescent="0.15">
      <c r="A142" s="39"/>
      <c r="B142" s="39"/>
      <c r="C142" s="39"/>
      <c r="D142" s="39"/>
      <c r="E142" s="39"/>
      <c r="F142" s="39"/>
      <c r="G142" s="39"/>
      <c r="H142" s="39"/>
      <c r="I142" s="39"/>
      <c r="J142" s="39"/>
    </row>
    <row r="143" spans="1:10" ht="14.25" x14ac:dyDescent="0.15">
      <c r="A143" s="39"/>
      <c r="B143" s="39"/>
      <c r="C143" s="39"/>
      <c r="D143" s="39"/>
      <c r="E143" s="39"/>
      <c r="F143" s="39"/>
      <c r="G143" s="39"/>
      <c r="H143" s="39"/>
      <c r="I143" s="39"/>
      <c r="J143" s="39"/>
    </row>
    <row r="144" spans="1:10" ht="7.5" customHeight="1" x14ac:dyDescent="0.15">
      <c r="A144" s="105"/>
      <c r="B144" s="105"/>
      <c r="C144" s="105"/>
      <c r="D144" s="105"/>
      <c r="E144" s="105"/>
      <c r="F144" s="105"/>
      <c r="G144" s="105"/>
      <c r="H144" s="105"/>
      <c r="I144" s="105"/>
      <c r="J144" s="105"/>
    </row>
  </sheetData>
  <mergeCells count="11">
    <mergeCell ref="B31:J44"/>
    <mergeCell ref="A2:J2"/>
    <mergeCell ref="B5:J5"/>
    <mergeCell ref="B8:J12"/>
    <mergeCell ref="B15:J25"/>
    <mergeCell ref="B30:J30"/>
    <mergeCell ref="B46:J66"/>
    <mergeCell ref="B69:J86"/>
    <mergeCell ref="B89:J108"/>
    <mergeCell ref="B110:J110"/>
    <mergeCell ref="B111:J129"/>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dimension ref="A1:K26"/>
  <sheetViews>
    <sheetView showZeros="0" view="pageBreakPreview" topLeftCell="A16" zoomScaleNormal="100" zoomScaleSheetLayoutView="100" workbookViewId="0">
      <selection activeCell="E9" sqref="E9:J9"/>
    </sheetView>
  </sheetViews>
  <sheetFormatPr defaultColWidth="11.375" defaultRowHeight="22.5" customHeight="1" x14ac:dyDescent="0.15"/>
  <cols>
    <col min="1" max="3" width="2.75" style="1" customWidth="1"/>
    <col min="4" max="4" width="22.25" style="1" customWidth="1"/>
    <col min="5" max="5" width="21.625" style="1" customWidth="1"/>
    <col min="6" max="7" width="7.75" style="1" customWidth="1"/>
    <col min="8" max="8" width="33.375" style="1" customWidth="1"/>
    <col min="9" max="9" width="24.5" style="1" customWidth="1"/>
    <col min="10" max="10" width="5.5" style="1" customWidth="1"/>
    <col min="11" max="11" width="4.125" style="31" customWidth="1"/>
    <col min="12" max="16384" width="11.375" style="1"/>
  </cols>
  <sheetData>
    <row r="1" spans="1:11" ht="18.75" customHeight="1" x14ac:dyDescent="0.15">
      <c r="A1" s="1" t="s">
        <v>123</v>
      </c>
      <c r="J1" s="41" t="s">
        <v>73</v>
      </c>
    </row>
    <row r="2" spans="1:11" ht="18.75" customHeight="1" x14ac:dyDescent="0.15">
      <c r="A2" s="254" t="s">
        <v>42</v>
      </c>
      <c r="B2" s="254"/>
      <c r="C2" s="254"/>
      <c r="D2" s="254"/>
      <c r="E2" s="254"/>
      <c r="F2" s="254"/>
      <c r="G2" s="254"/>
      <c r="H2" s="254"/>
      <c r="I2" s="254"/>
      <c r="J2" s="254"/>
    </row>
    <row r="3" spans="1:11" ht="7.5" customHeight="1" x14ac:dyDescent="0.15">
      <c r="A3" s="42"/>
      <c r="B3" s="42"/>
      <c r="C3" s="42"/>
      <c r="D3" s="42"/>
      <c r="E3" s="42"/>
      <c r="F3" s="42"/>
      <c r="G3" s="42"/>
      <c r="H3" s="42"/>
      <c r="I3" s="42"/>
      <c r="J3" s="42"/>
    </row>
    <row r="4" spans="1:11" ht="18.75" customHeight="1" x14ac:dyDescent="0.15">
      <c r="A4" s="1" t="s">
        <v>6</v>
      </c>
      <c r="B4" s="4" t="s">
        <v>41</v>
      </c>
      <c r="C4" s="39"/>
      <c r="D4" s="39"/>
      <c r="E4" s="40"/>
      <c r="F4" s="40"/>
      <c r="G4" s="40"/>
      <c r="H4" s="40"/>
      <c r="I4" s="40"/>
      <c r="J4" s="40"/>
    </row>
    <row r="5" spans="1:11" ht="18.75" customHeight="1" x14ac:dyDescent="0.15">
      <c r="B5" s="325" t="s">
        <v>38</v>
      </c>
      <c r="C5" s="326"/>
      <c r="D5" s="327"/>
      <c r="E5" s="328" t="s">
        <v>40</v>
      </c>
      <c r="F5" s="328"/>
      <c r="G5" s="328"/>
      <c r="H5" s="328"/>
      <c r="I5" s="328"/>
      <c r="J5" s="329"/>
    </row>
    <row r="6" spans="1:11" ht="18.75" customHeight="1" x14ac:dyDescent="0.15">
      <c r="B6" s="3" t="s">
        <v>28</v>
      </c>
      <c r="C6" s="39"/>
      <c r="D6" s="7"/>
      <c r="I6" s="40"/>
      <c r="J6" s="5"/>
    </row>
    <row r="7" spans="1:11" ht="207" customHeight="1" x14ac:dyDescent="0.15">
      <c r="B7" s="6"/>
      <c r="C7" s="316" t="s">
        <v>29</v>
      </c>
      <c r="D7" s="317"/>
      <c r="E7" s="322" t="s">
        <v>184</v>
      </c>
      <c r="F7" s="318"/>
      <c r="G7" s="318"/>
      <c r="H7" s="318"/>
      <c r="I7" s="318"/>
      <c r="J7" s="319"/>
      <c r="K7" s="31" t="str">
        <f>IF(E7="","入力してください","")</f>
        <v/>
      </c>
    </row>
    <row r="8" spans="1:11" ht="207" customHeight="1" x14ac:dyDescent="0.15">
      <c r="B8" s="6"/>
      <c r="C8" s="323" t="s">
        <v>30</v>
      </c>
      <c r="D8" s="324"/>
      <c r="E8" s="322" t="s">
        <v>179</v>
      </c>
      <c r="F8" s="318"/>
      <c r="G8" s="318"/>
      <c r="H8" s="318"/>
      <c r="I8" s="318"/>
      <c r="J8" s="319"/>
      <c r="K8" s="31" t="str">
        <f>IF(E8="","入力してください","")</f>
        <v/>
      </c>
    </row>
    <row r="9" spans="1:11" ht="172.5" customHeight="1" x14ac:dyDescent="0.15">
      <c r="B9" s="6"/>
      <c r="C9" s="316" t="s">
        <v>31</v>
      </c>
      <c r="D9" s="317"/>
      <c r="E9" s="322" t="s">
        <v>180</v>
      </c>
      <c r="F9" s="318"/>
      <c r="G9" s="318"/>
      <c r="H9" s="318"/>
      <c r="I9" s="318"/>
      <c r="J9" s="319"/>
      <c r="K9" s="31" t="str">
        <f>IF(E9="","入力してください","")</f>
        <v/>
      </c>
    </row>
    <row r="10" spans="1:11" ht="172.5" customHeight="1" x14ac:dyDescent="0.15">
      <c r="B10" s="6"/>
      <c r="C10" s="316" t="s">
        <v>32</v>
      </c>
      <c r="D10" s="317"/>
      <c r="E10" s="322" t="s">
        <v>181</v>
      </c>
      <c r="F10" s="318"/>
      <c r="G10" s="318"/>
      <c r="H10" s="318"/>
      <c r="I10" s="318"/>
      <c r="J10" s="319"/>
      <c r="K10" s="31" t="str">
        <f t="shared" ref="K10:K14" si="0">IF(E10="","入力してください","")</f>
        <v/>
      </c>
    </row>
    <row r="11" spans="1:11" ht="172.5" customHeight="1" x14ac:dyDescent="0.15">
      <c r="B11" s="6"/>
      <c r="C11" s="316" t="s">
        <v>33</v>
      </c>
      <c r="D11" s="317"/>
      <c r="E11" s="322" t="s">
        <v>191</v>
      </c>
      <c r="F11" s="318"/>
      <c r="G11" s="318"/>
      <c r="H11" s="318"/>
      <c r="I11" s="318"/>
      <c r="J11" s="319"/>
      <c r="K11" s="31" t="str">
        <f t="shared" si="0"/>
        <v/>
      </c>
    </row>
    <row r="12" spans="1:11" ht="18.75" customHeight="1" x14ac:dyDescent="0.15">
      <c r="B12" s="9" t="s">
        <v>34</v>
      </c>
      <c r="C12" s="28"/>
      <c r="D12" s="8"/>
      <c r="E12" s="32"/>
      <c r="F12" s="32"/>
      <c r="G12" s="32"/>
      <c r="H12" s="32"/>
      <c r="I12" s="32"/>
      <c r="J12" s="33"/>
    </row>
    <row r="13" spans="1:11" ht="244.15" customHeight="1" x14ac:dyDescent="0.15">
      <c r="B13" s="6"/>
      <c r="C13" s="316" t="s">
        <v>35</v>
      </c>
      <c r="D13" s="317"/>
      <c r="E13" s="318" t="s">
        <v>192</v>
      </c>
      <c r="F13" s="318"/>
      <c r="G13" s="318"/>
      <c r="H13" s="318"/>
      <c r="I13" s="318"/>
      <c r="J13" s="319"/>
      <c r="K13" s="31" t="str">
        <f t="shared" si="0"/>
        <v/>
      </c>
    </row>
    <row r="14" spans="1:11" ht="255" customHeight="1" x14ac:dyDescent="0.15">
      <c r="B14" s="6"/>
      <c r="C14" s="316" t="s">
        <v>36</v>
      </c>
      <c r="D14" s="317"/>
      <c r="E14" s="318" t="s">
        <v>193</v>
      </c>
      <c r="F14" s="318"/>
      <c r="G14" s="318"/>
      <c r="H14" s="318"/>
      <c r="I14" s="318"/>
      <c r="J14" s="319"/>
      <c r="K14" s="31" t="str">
        <f t="shared" si="0"/>
        <v/>
      </c>
    </row>
    <row r="15" spans="1:11" ht="243" customHeight="1" x14ac:dyDescent="0.15">
      <c r="B15" s="320" t="s">
        <v>37</v>
      </c>
      <c r="C15" s="321"/>
      <c r="D15" s="317"/>
      <c r="E15" s="318" t="s">
        <v>194</v>
      </c>
      <c r="F15" s="318"/>
      <c r="G15" s="318"/>
      <c r="H15" s="318"/>
      <c r="I15" s="318"/>
      <c r="J15" s="319"/>
      <c r="K15" s="31" t="str">
        <f>IF(E15="","入力してください","")</f>
        <v/>
      </c>
    </row>
    <row r="16" spans="1:11" ht="243" customHeight="1" x14ac:dyDescent="0.15">
      <c r="A16" s="31"/>
      <c r="B16" s="310" t="s">
        <v>66</v>
      </c>
      <c r="C16" s="311"/>
      <c r="D16" s="312"/>
      <c r="E16" s="277" t="s">
        <v>195</v>
      </c>
      <c r="F16" s="277"/>
      <c r="G16" s="277"/>
      <c r="H16" s="277"/>
      <c r="I16" s="277"/>
      <c r="J16" s="278"/>
      <c r="K16" s="31" t="str">
        <f>IF(E16="","入力してください","")</f>
        <v/>
      </c>
    </row>
    <row r="17" spans="1:11" ht="7.5" customHeight="1" x14ac:dyDescent="0.15">
      <c r="B17" s="39"/>
      <c r="C17" s="39"/>
      <c r="D17" s="39"/>
      <c r="E17" s="40"/>
      <c r="F17" s="40"/>
      <c r="G17" s="40"/>
      <c r="H17" s="40"/>
      <c r="I17" s="40"/>
      <c r="J17" s="40"/>
    </row>
    <row r="18" spans="1:11" ht="18.75" customHeight="1" x14ac:dyDescent="0.15">
      <c r="A18" s="1" t="s">
        <v>124</v>
      </c>
      <c r="B18" s="4"/>
      <c r="C18" s="39"/>
      <c r="D18" s="39"/>
      <c r="E18" s="40"/>
      <c r="F18" s="94"/>
      <c r="G18" s="313" t="s">
        <v>189</v>
      </c>
      <c r="H18" s="314"/>
      <c r="I18" s="314"/>
      <c r="J18" s="315"/>
      <c r="K18" s="31" t="str">
        <f>IF(G18="","入力してください","")</f>
        <v/>
      </c>
    </row>
    <row r="19" spans="1:11" ht="22.5" customHeight="1" x14ac:dyDescent="0.15">
      <c r="B19" s="39"/>
      <c r="C19" s="39"/>
      <c r="D19" s="39"/>
      <c r="E19" s="40"/>
      <c r="F19" s="40"/>
      <c r="G19" s="40"/>
      <c r="H19" s="40"/>
      <c r="I19" s="40"/>
      <c r="J19" s="40"/>
    </row>
    <row r="20" spans="1:11" ht="22.5" customHeight="1" x14ac:dyDescent="0.15">
      <c r="B20" s="39"/>
      <c r="C20" s="39"/>
      <c r="D20" s="39"/>
      <c r="E20" s="40"/>
      <c r="F20" s="40"/>
      <c r="G20" s="40"/>
      <c r="H20" s="40"/>
      <c r="I20" s="40"/>
      <c r="J20" s="40"/>
    </row>
    <row r="21" spans="1:11" ht="22.5" customHeight="1" x14ac:dyDescent="0.15">
      <c r="B21" s="39"/>
      <c r="C21" s="39"/>
      <c r="D21" s="39"/>
      <c r="E21" s="40"/>
      <c r="F21" s="40"/>
      <c r="G21" s="40"/>
      <c r="H21" s="40"/>
      <c r="I21" s="40"/>
      <c r="J21" s="40"/>
    </row>
    <row r="22" spans="1:11" ht="22.5" customHeight="1" x14ac:dyDescent="0.15">
      <c r="B22" s="39"/>
      <c r="C22" s="39"/>
      <c r="D22" s="39"/>
      <c r="E22" s="40"/>
      <c r="F22" s="40"/>
      <c r="G22" s="40"/>
      <c r="H22" s="40"/>
      <c r="I22" s="40"/>
      <c r="J22" s="40"/>
    </row>
    <row r="23" spans="1:11" ht="22.5" customHeight="1" x14ac:dyDescent="0.15">
      <c r="B23" s="39"/>
      <c r="C23" s="39"/>
      <c r="D23" s="39"/>
      <c r="E23" s="40"/>
      <c r="F23" s="40"/>
      <c r="G23" s="40"/>
      <c r="H23" s="40"/>
      <c r="I23" s="40"/>
      <c r="J23" s="40"/>
    </row>
    <row r="24" spans="1:11" ht="22.5" customHeight="1" x14ac:dyDescent="0.15">
      <c r="B24" s="106"/>
      <c r="C24" s="106"/>
      <c r="D24" s="106"/>
      <c r="E24" s="106"/>
      <c r="F24" s="106"/>
      <c r="G24" s="106"/>
      <c r="H24" s="106"/>
      <c r="I24" s="106"/>
      <c r="J24" s="106"/>
    </row>
    <row r="25" spans="1:11" ht="22.5" customHeight="1" x14ac:dyDescent="0.15">
      <c r="B25" s="106"/>
      <c r="C25" s="106"/>
      <c r="D25" s="106"/>
      <c r="E25" s="106"/>
      <c r="F25" s="106"/>
      <c r="G25" s="106"/>
      <c r="H25" s="106"/>
      <c r="I25" s="106"/>
      <c r="J25" s="106"/>
    </row>
    <row r="26" spans="1:11" ht="22.5" customHeight="1" x14ac:dyDescent="0.15">
      <c r="B26" s="106"/>
      <c r="C26" s="106"/>
      <c r="D26" s="106"/>
      <c r="E26" s="106"/>
      <c r="F26" s="106"/>
      <c r="G26" s="106"/>
      <c r="H26" s="106"/>
      <c r="I26" s="106"/>
      <c r="J26" s="106"/>
    </row>
  </sheetData>
  <mergeCells count="22">
    <mergeCell ref="C8:D8"/>
    <mergeCell ref="E8:J8"/>
    <mergeCell ref="A2:J2"/>
    <mergeCell ref="B5:D5"/>
    <mergeCell ref="E5:J5"/>
    <mergeCell ref="C7:D7"/>
    <mergeCell ref="E7:J7"/>
    <mergeCell ref="C9:D9"/>
    <mergeCell ref="E9:J9"/>
    <mergeCell ref="C10:D10"/>
    <mergeCell ref="E10:J10"/>
    <mergeCell ref="C11:D11"/>
    <mergeCell ref="E11:J11"/>
    <mergeCell ref="B16:D16"/>
    <mergeCell ref="E16:J16"/>
    <mergeCell ref="G18:J18"/>
    <mergeCell ref="C13:D13"/>
    <mergeCell ref="E13:J13"/>
    <mergeCell ref="C14:D14"/>
    <mergeCell ref="E14:J14"/>
    <mergeCell ref="B15:D15"/>
    <mergeCell ref="E15:J15"/>
  </mergeCells>
  <phoneticPr fontId="1"/>
  <hyperlinks>
    <hyperlink ref="G18" r:id="rId1" xr:uid="{A7D34244-1891-44F1-BDD2-FAB932EEBBF0}"/>
  </hyperlinks>
  <printOptions horizontalCentered="1"/>
  <pageMargins left="0.78740157480314965" right="0.78740157480314965" top="0.78740157480314965" bottom="0.78740157480314965" header="0.31496062992125984" footer="0.31496062992125984"/>
  <pageSetup paperSize="9" orientation="landscap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様式１　大学等概要</vt:lpstr>
      <vt:lpstr>様式２-1　プログラムを構成する授業科目</vt:lpstr>
      <vt:lpstr>様式２-2　プログラムを構成する授業科目</vt:lpstr>
      <vt:lpstr>様式３　履修者等数の実績</vt:lpstr>
      <vt:lpstr>様式４　教育の質・履修者数を向上させるための体制・計画</vt:lpstr>
      <vt:lpstr>様式５　自己点検・評価</vt:lpstr>
      <vt:lpstr>'様式１　大学等概要'!Print_Area</vt:lpstr>
      <vt:lpstr>'様式２-1　プログラムを構成する授業科目'!Print_Area</vt:lpstr>
      <vt:lpstr>'様式２-2　プログラムを構成する授業科目'!Print_Area</vt:lpstr>
      <vt:lpstr>'様式３　履修者等数の実績'!Print_Area</vt:lpstr>
      <vt:lpstr>'様式４　教育の質・履修者数を向上させるための体制・計画'!Print_Area</vt:lpstr>
      <vt:lpstr>'様式５　自己点検・評価'!Print_Area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林 佳孝</cp:lastModifiedBy>
  <cp:lastPrinted>2022-05-19T07:31:39Z</cp:lastPrinted>
  <dcterms:created xsi:type="dcterms:W3CDTF">2011-06-14T05:32:50Z</dcterms:created>
  <dcterms:modified xsi:type="dcterms:W3CDTF">2022-06-01T00:32:56Z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