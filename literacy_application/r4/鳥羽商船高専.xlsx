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128"/>
  <workbookPr defaultThemeVersion="124226"/>
  <mc:AlternateContent xmlns:mc="http://schemas.openxmlformats.org/markup-compatibility/2006">
    <mc:Choice Requires="x15">
      <x15ac:absPath xmlns:x15ac="http://schemas.microsoft.com/office/spreadsheetml/2010/11/ac" url="Z:\33_監査・教育目標・三ポリ・認証評価・改組関係\80_AI・数理データサイエンス分野教育パック\申請用\修正版\"/>
    </mc:Choice>
  </mc:AlternateContent>
  <xr:revisionPtr revIDLastSave="0" documentId="13_ncr:1_{159FE2C2-DE40-4962-85E7-A4D59647D909}" xr6:coauthVersionLast="47" xr6:coauthVersionMax="48" xr10:uidLastSave="{00000000-0000-0000-0000-000000000000}"/>
  <bookViews>
    <workbookView xWindow="-120" yWindow="-120" windowWidth="29040" windowHeight="15840" tabRatio="885" xr2:uid="{00000000-000D-0000-FFFF-FFFF00000000}"/>
  </bookViews>
  <sheets>
    <sheet name="様式１　大学等概要" sheetId="8" r:id="rId1"/>
    <sheet name="様式２ー１　プログラムを構成する授業科目 (商船学科)" sheetId="44" r:id="rId2"/>
    <sheet name="様式２ー２　プログラムを構成する授業科目 (情報システム工学科" sheetId="45" r:id="rId3"/>
    <sheet name="様式３　履修者等数の実績" sheetId="40" r:id="rId4"/>
    <sheet name="様式４　教育の質・履修者数を向上させるための体制・計画" sheetId="41" r:id="rId5"/>
    <sheet name="様式５　自己点検・評価" sheetId="42" r:id="rId6"/>
  </sheets>
  <definedNames>
    <definedName name="_xlnm._FilterDatabase" localSheetId="1" hidden="1">'様式２ー１　プログラムを構成する授業科目 (商船学科)'!#REF!</definedName>
    <definedName name="_xlnm._FilterDatabase" localSheetId="2" hidden="1">'様式２ー２　プログラムを構成する授業科目 (情報システム工学科'!#REF!</definedName>
    <definedName name="_xlnm._FilterDatabase" localSheetId="3" hidden="1">'様式３　履修者等数の実績'!#REF!</definedName>
    <definedName name="_xlnm.Print_Area" localSheetId="0">'様式１　大学等概要'!$A$1:$N$45</definedName>
    <definedName name="_xlnm.Print_Area" localSheetId="1">'様式２ー１　プログラムを構成する授業科目 (商船学科)'!$A$1:$Z$99</definedName>
    <definedName name="_xlnm.Print_Area" localSheetId="2">'様式２ー２　プログラムを構成する授業科目 (情報システム工学科'!$A$1:$Z$99</definedName>
    <definedName name="_xlnm.Print_Area" localSheetId="3">'様式３　履修者等数の実績'!$A$1:$R$30</definedName>
    <definedName name="_xlnm.Print_Area" localSheetId="4">'様式４　教育の質・履修者数を向上させるための体制・計画'!$A$1:$J$130</definedName>
    <definedName name="_xlnm.Print_Area" localSheetId="5">'様式５　自己点検・評価'!$A$1:$J$18</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11" i="40" l="1"/>
  <c r="G11" i="40"/>
  <c r="E11" i="40"/>
  <c r="K16" i="8"/>
  <c r="K18" i="42"/>
  <c r="K16" i="42"/>
  <c r="K15" i="42"/>
  <c r="K9" i="42"/>
  <c r="K8" i="42"/>
  <c r="K7" i="42"/>
  <c r="K113" i="41"/>
  <c r="K91" i="41"/>
  <c r="K69" i="41"/>
  <c r="K46" i="41"/>
  <c r="K31" i="41"/>
  <c r="K15" i="41"/>
  <c r="K8" i="41"/>
  <c r="K5" i="41"/>
  <c r="C4" i="40"/>
  <c r="O45" i="8"/>
  <c r="O44" i="8"/>
  <c r="O41" i="8"/>
  <c r="O39" i="8"/>
  <c r="O37" i="8"/>
  <c r="O34" i="8"/>
  <c r="O32" i="8"/>
  <c r="O29" i="8"/>
  <c r="O20" i="8"/>
  <c r="O18" i="8"/>
  <c r="O16" i="8"/>
  <c r="O14" i="8"/>
  <c r="O12" i="8"/>
  <c r="O10" i="8"/>
  <c r="O6" i="8"/>
  <c r="O8" i="8"/>
  <c r="O4" i="8"/>
  <c r="K14" i="42"/>
  <c r="K13" i="42"/>
  <c r="K11" i="42"/>
  <c r="K10" i="42"/>
  <c r="P30" i="40" l="1"/>
  <c r="O30" i="40"/>
  <c r="N30" i="40"/>
  <c r="M30" i="40"/>
  <c r="L30" i="40"/>
  <c r="K30" i="40"/>
  <c r="J30" i="40"/>
  <c r="I30" i="40"/>
  <c r="H30" i="40"/>
  <c r="G30" i="40"/>
  <c r="F30" i="40"/>
  <c r="E30" i="40"/>
  <c r="D30" i="40"/>
  <c r="I29" i="41" s="1"/>
  <c r="C30" i="40"/>
  <c r="Q29" i="40"/>
  <c r="R29" i="40" s="1"/>
  <c r="Q28" i="40"/>
  <c r="R28" i="40" s="1"/>
  <c r="Q27" i="40"/>
  <c r="R27" i="40" s="1"/>
  <c r="R26" i="40"/>
  <c r="Q26" i="40"/>
  <c r="Q25" i="40"/>
  <c r="R25" i="40" s="1"/>
  <c r="R24" i="40"/>
  <c r="Q24" i="40"/>
  <c r="Q23" i="40"/>
  <c r="R23" i="40" s="1"/>
  <c r="R22" i="40"/>
  <c r="Q22" i="40"/>
  <c r="Q21" i="40"/>
  <c r="R21" i="40" s="1"/>
  <c r="R20" i="40"/>
  <c r="Q20" i="40"/>
  <c r="Q19" i="40"/>
  <c r="R19" i="40" s="1"/>
  <c r="R18" i="40"/>
  <c r="Q18" i="40"/>
  <c r="Q17" i="40"/>
  <c r="R17" i="40" s="1"/>
  <c r="R16" i="40"/>
  <c r="Q16" i="40"/>
  <c r="Q15" i="40"/>
  <c r="R15" i="40" s="1"/>
  <c r="R14" i="40"/>
  <c r="Q14" i="40"/>
  <c r="Q13" i="40"/>
  <c r="R13" i="40" s="1"/>
  <c r="R12" i="40"/>
  <c r="Q12" i="40"/>
  <c r="Q11" i="40"/>
  <c r="R11" i="40" s="1"/>
  <c r="Q10" i="40"/>
  <c r="R10" i="40" s="1"/>
  <c r="Q30" i="40" l="1"/>
  <c r="R30" i="40" s="1"/>
  <c r="C28" i="41" s="1"/>
</calcChain>
</file>

<file path=xl/sharedStrings.xml><?xml version="1.0" encoding="utf-8"?>
<sst xmlns="http://schemas.openxmlformats.org/spreadsheetml/2006/main" count="483" uniqueCount="221">
  <si>
    <t>様式１</t>
    <rPh sb="0" eb="2">
      <t>ヨウシキ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</si>
  <si>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</si>
  <si>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①</t>
    <phoneticPr fontId="1"/>
  </si>
  <si>
    <t>学校名</t>
    <rPh sb="0" eb="2">
      <t>ガッコウ</t>
    </rPh>
    <rPh sb="2" eb="3">
      <t>メイ</t>
    </rPh>
    <phoneticPr fontId="1"/>
  </si>
  <si>
    <t>鳥羽商船高等専門学校</t>
    <phoneticPr fontId="1"/>
  </si>
  <si>
    <t>②</t>
    <phoneticPr fontId="1"/>
  </si>
  <si>
    <t>大学等の設置者</t>
  </si>
  <si>
    <t>独立行政法人 国立高等専門学校機構</t>
    <phoneticPr fontId="1"/>
  </si>
  <si>
    <t>③</t>
  </si>
  <si>
    <t>設置形態</t>
    <phoneticPr fontId="1"/>
  </si>
  <si>
    <t>高等専門学校</t>
  </si>
  <si>
    <t>④</t>
    <phoneticPr fontId="1"/>
  </si>
  <si>
    <t>所在地</t>
    <phoneticPr fontId="1"/>
  </si>
  <si>
    <t>三重県鳥羽市池上町1-1</t>
    <phoneticPr fontId="1"/>
  </si>
  <si>
    <t>⑤</t>
    <phoneticPr fontId="1"/>
  </si>
  <si>
    <t>申請するプログラム名称</t>
    <rPh sb="0" eb="2">
      <t>シンセイ</t>
    </rPh>
    <rPh sb="9" eb="11">
      <t>メイショウ</t>
    </rPh>
    <phoneticPr fontId="1"/>
  </si>
  <si>
    <t>鳥羽商船高等専門学校数理・データサイエンス・AI教育プログラム</t>
    <phoneticPr fontId="1"/>
  </si>
  <si>
    <t>⑥</t>
    <phoneticPr fontId="1"/>
  </si>
  <si>
    <t>プログラムの開設年度</t>
    <rPh sb="6" eb="8">
      <t>カイセツ</t>
    </rPh>
    <rPh sb="8" eb="10">
      <t>ネンド</t>
    </rPh>
    <phoneticPr fontId="1"/>
  </si>
  <si>
    <t>令和元</t>
  </si>
  <si>
    <t>年度</t>
    <rPh sb="0" eb="2">
      <t>ネンド</t>
    </rPh>
    <phoneticPr fontId="1"/>
  </si>
  <si>
    <t>⑦応用基礎レベルの申請の有無</t>
    <phoneticPr fontId="1"/>
  </si>
  <si>
    <t>無</t>
  </si>
  <si>
    <t>⑧</t>
    <phoneticPr fontId="1"/>
  </si>
  <si>
    <t>教員数</t>
    <rPh sb="0" eb="2">
      <t>キョウイン</t>
    </rPh>
    <rPh sb="2" eb="3">
      <t>スウ</t>
    </rPh>
    <phoneticPr fontId="1"/>
  </si>
  <si>
    <t>（常勤）</t>
    <rPh sb="1" eb="3">
      <t>ジョウキン</t>
    </rPh>
    <phoneticPr fontId="1"/>
  </si>
  <si>
    <t>人</t>
    <rPh sb="0" eb="1">
      <t>ニン</t>
    </rPh>
    <phoneticPr fontId="1"/>
  </si>
  <si>
    <t>（非常勤）</t>
    <rPh sb="1" eb="4">
      <t>ヒジョウキン</t>
    </rPh>
    <phoneticPr fontId="1"/>
  </si>
  <si>
    <t>⑨</t>
    <phoneticPr fontId="1"/>
  </si>
  <si>
    <t>プログラムの授業を教えている教員数</t>
    <rPh sb="6" eb="8">
      <t>ジュギョウ</t>
    </rPh>
    <rPh sb="9" eb="10">
      <t>オシ</t>
    </rPh>
    <rPh sb="14" eb="16">
      <t>キョウイン</t>
    </rPh>
    <rPh sb="16" eb="17">
      <t>スウ</t>
    </rPh>
    <phoneticPr fontId="1"/>
  </si>
  <si>
    <t>⑩</t>
    <phoneticPr fontId="1"/>
  </si>
  <si>
    <t>全学部・学科の入学定員</t>
    <rPh sb="0" eb="1">
      <t>ゼン</t>
    </rPh>
    <rPh sb="4" eb="6">
      <t>ガッカ</t>
    </rPh>
    <rPh sb="7" eb="9">
      <t>ニュウガク</t>
    </rPh>
    <rPh sb="9" eb="11">
      <t>テイイン</t>
    </rPh>
    <phoneticPr fontId="1"/>
  </si>
  <si>
    <t>人</t>
  </si>
  <si>
    <t>⑪</t>
    <phoneticPr fontId="1"/>
  </si>
  <si>
    <t>全学部・学科の学生数（学年別）</t>
    <rPh sb="0" eb="1">
      <t>ゼン</t>
    </rPh>
    <rPh sb="4" eb="6">
      <t>ガッカ</t>
    </rPh>
    <rPh sb="7" eb="10">
      <t>ガクセイスウ</t>
    </rPh>
    <rPh sb="11" eb="13">
      <t>ガクネン</t>
    </rPh>
    <rPh sb="13" eb="14">
      <t>ベツ</t>
    </rPh>
    <phoneticPr fontId="1"/>
  </si>
  <si>
    <t>総数</t>
    <rPh sb="0" eb="2">
      <t>ソウスウ</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</si>
  <si>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</si>
  <si>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</si>
  <si>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</si>
  <si>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</si>
  <si>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５年次</t>
    <rPh sb="1" eb="2">
      <t>ネン</t>
    </rPh>
    <rPh sb="2" eb="3">
      <t>ツギ</t>
    </rPh>
    <phoneticPr fontId="1"/>
  </si>
  <si>
    <t>実習生</t>
  </si>
  <si>
    <t>⑫</t>
    <phoneticPr fontId="1"/>
  </si>
  <si>
    <t>プログラムの運営責任者</t>
    <phoneticPr fontId="1"/>
  </si>
  <si>
    <t>（責任者名）</t>
    <rPh sb="1" eb="4">
      <t>セキニンシャ</t>
    </rPh>
    <rPh sb="4" eb="5">
      <t>メイ</t>
    </rPh>
    <phoneticPr fontId="1"/>
  </si>
  <si>
    <t>和泉　充</t>
    <phoneticPr fontId="1"/>
  </si>
  <si>
    <t>（役職名）</t>
    <rPh sb="1" eb="4">
      <t>ヤクショクメイ</t>
    </rPh>
    <phoneticPr fontId="1"/>
  </si>
  <si>
    <t>校長</t>
    <phoneticPr fontId="1"/>
  </si>
  <si>
    <t>⑬</t>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</si>
  <si>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</si>
  <si>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教務委員会</t>
    <phoneticPr fontId="1"/>
  </si>
  <si>
    <t>伊藤 友仁</t>
    <phoneticPr fontId="1"/>
  </si>
  <si>
    <t>教務主事</t>
    <phoneticPr fontId="1"/>
  </si>
  <si>
    <t>⑭</t>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</si>
  <si>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</si>
  <si>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点検評価委員会</t>
    <phoneticPr fontId="1"/>
  </si>
  <si>
    <t>和泉  充</t>
    <phoneticPr fontId="1"/>
  </si>
  <si>
    <t>⑮</t>
    <phoneticPr fontId="1"/>
  </si>
  <si>
    <t>申請する認定プログラム</t>
    <rPh sb="0" eb="2">
      <t>シンセイ</t>
    </rPh>
    <rPh sb="4" eb="6">
      <t>ニンテイ</t>
    </rPh>
    <phoneticPr fontId="1"/>
  </si>
  <si>
    <t>認定教育プログラム</t>
  </si>
  <si>
    <t>連絡先</t>
  </si>
  <si>
    <t>所属部署名</t>
    <rPh sb="0" eb="2">
      <t>ショゾク</t>
    </rPh>
    <rPh sb="2" eb="4">
      <t>ブショ</t>
    </rPh>
    <rPh sb="4" eb="5">
      <t>メイ</t>
    </rPh>
    <phoneticPr fontId="1"/>
  </si>
  <si>
    <t>学生課教務係</t>
  </si>
  <si>
    <t>担当者名</t>
    <rPh sb="0" eb="2">
      <t>タントウ</t>
    </rPh>
    <rPh sb="2" eb="3">
      <t>シャ</t>
    </rPh>
    <rPh sb="3" eb="4">
      <t>メイ</t>
    </rPh>
    <phoneticPr fontId="1"/>
  </si>
  <si>
    <t>川合　洋平</t>
  </si>
  <si>
    <t>E-mail</t>
  </si>
  <si>
    <t>gakusei-kyomu@toba-cmt.ac.jp</t>
  </si>
  <si>
    <t>電話番号</t>
  </si>
  <si>
    <t>0599-25-8032</t>
  </si>
  <si>
    <t>様式２－１</t>
    <phoneticPr fontId="1"/>
  </si>
  <si>
    <t>プログラムを構成する授業科目について</t>
    <phoneticPr fontId="1"/>
  </si>
  <si>
    <t>①具体的な修了要件</t>
    <phoneticPr fontId="1"/>
  </si>
  <si>
    <t>②教育プログラムの修了要件</t>
    <phoneticPr fontId="1"/>
  </si>
  <si>
    <t>学部・学科によって、修了要件は相違する</t>
  </si>
  <si>
    <t>令和元年度以降の商船学科の入学生について、「情報リテラシー１」、「情報リテラシー２」、「応用数学１」、「応用数学２」の科目の単位を全て習得すること。</t>
    <rPh sb="2" eb="3">
      <t>モト</t>
    </rPh>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</si>
  <si>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</si>
  <si>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授業科目</t>
    <rPh sb="0" eb="2">
      <t>ジュギョウ</t>
    </rPh>
    <rPh sb="2" eb="4">
      <t>カモク</t>
    </rPh>
    <phoneticPr fontId="1"/>
  </si>
  <si>
    <t>単位数</t>
    <rPh sb="0" eb="3">
      <t>タンイスウ</t>
    </rPh>
    <phoneticPr fontId="1"/>
  </si>
  <si>
    <t>必修</t>
    <rPh sb="0" eb="2">
      <t>ヒッシュウ</t>
    </rPh>
    <phoneticPr fontId="1"/>
  </si>
  <si>
    <t>開講状況</t>
    <phoneticPr fontId="1"/>
  </si>
  <si>
    <t>1-1</t>
    <phoneticPr fontId="1"/>
  </si>
  <si>
    <t>1-6</t>
  </si>
  <si>
    <t>情報リテラシー２</t>
    <phoneticPr fontId="1"/>
  </si>
  <si>
    <t>○</t>
  </si>
  <si>
    <t>一部開講</t>
  </si>
  <si>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</si>
  <si>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</si>
  <si>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</si>
  <si>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情報リテラシー１</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</si>
  <si>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</si>
  <si>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</si>
  <si>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</si>
  <si>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情報リテラシー１</t>
  </si>
  <si>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</si>
  <si>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3-1</t>
    <phoneticPr fontId="1"/>
  </si>
  <si>
    <t>3-2</t>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</si>
  <si>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</si>
  <si>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phoneticPr fontId="1"/>
  </si>
  <si>
    <t>2-2</t>
    <phoneticPr fontId="1"/>
  </si>
  <si>
    <t>2-3</t>
    <phoneticPr fontId="1"/>
  </si>
  <si>
    <t>応用数学1</t>
    <rPh sb="0" eb="2">
      <t>オウヨウ</t>
    </rPh>
    <rPh sb="2" eb="4">
      <t>スウガク</t>
    </rPh>
    <phoneticPr fontId="1"/>
  </si>
  <si>
    <t>〇</t>
    <phoneticPr fontId="1"/>
  </si>
  <si>
    <t>応用数学２</t>
    <rPh sb="0" eb="2">
      <t>オウヨウ</t>
    </rPh>
    <rPh sb="2" eb="4">
      <t>スウガク</t>
    </rPh>
    <phoneticPr fontId="1"/>
  </si>
  <si>
    <t>情報リテラシー１</t>
    <rPh sb="0" eb="2">
      <t>ジョウホウ</t>
    </rPh>
    <phoneticPr fontId="1"/>
  </si>
  <si>
    <t>⑧選択「４．オプション」の内容を含む授業科目</t>
    <rPh sb="13" eb="15">
      <t>ナイヨウ</t>
    </rPh>
    <rPh sb="16" eb="17">
      <t>フク</t>
    </rPh>
    <rPh sb="18" eb="20">
      <t>ジュギョウ</t>
    </rPh>
    <rPh sb="20" eb="22">
      <t>カモク</t>
    </rPh>
    <phoneticPr fontId="1"/>
  </si>
  <si>
    <t>選択項目</t>
    <rPh sb="0" eb="2">
      <t>センタク</t>
    </rPh>
    <rPh sb="2" eb="4">
      <t>コウモク</t>
    </rPh>
    <phoneticPr fontId="1"/>
  </si>
  <si>
    <t>⑨プログラムを構成する授業の内容</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</si>
  <si>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</si>
  <si>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</si>
  <si>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</si>
  <si>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情報リテラシー２で、地域や世界など現在の社会で起きている変化(デジタル社会、Society5.0等)を概観し、データやAI、および様々な専門分野の技術が関わっていること学び、社会で起きている変化を知り、数理・データサイエンス・AIを学ことと、AIを活用した新しいビジネス／サービスを学ぶ。（1-10回）</t>
  </si>
  <si>
    <t>1-6</t>
    <phoneticPr fontId="1"/>
  </si>
  <si>
    <t>情報リテラシー２で、データ、AIや専門技術などが我々の日常生活や社会活動にどのように組み込まれているかを学び、データ・AI利活用における最新動向を学ぶ。（1-10回）</t>
  </si>
  <si>
    <t>（２）「社会で活用されているデータ」や「データの活用領域」は非常に広範囲であって、日常生活や社会の課題を解決する有用なツールになり得るもの</t>
    <phoneticPr fontId="1"/>
  </si>
  <si>
    <t>情報リテラシー１で、地域や世界など現代社会および情報化社会を概観し、日常生活や社会活動で様々な種類のデータがあることと、データの活用が社会活動に重要であることや広範な分野の課題を解決するのに有用であることを学ぶ。社会においてどのようなデータが、集められどう活用されているかを学ぶ。（9-14回）</t>
  </si>
  <si>
    <t>情報リテラシー２で、技術やデータの種類について理解を深め、それらが日常生活や社会の課題を解決する有用なツールになり得ることを学習し、様々な領域でデータ・AIが活用されているかを学ぶ。(1-10回)</t>
  </si>
  <si>
    <t>（３）様々なデータ利活用の現場におけるデータ利活用事例が示され、様々な適用領域（流通、製造、金融、サービス、インフラ、公共、ヘルスケア等）の知見と組み合わせることで価値を創出するもの</t>
    <phoneticPr fontId="1"/>
  </si>
  <si>
    <t>情報リテラシー１で、地域や世界など現代社会および情報化社会を概観し、様々な分野でデータの利活用事例をとおして、データ・AIを活用するために使われている技術の概要を学ぶ。（9-14回）</t>
  </si>
  <si>
    <t>情報リテラシー１で、AI・数理データの技術は様々な専門分野や応用領域の知識と組み合わせることで、価値創出し、我々の生活を豊かにするものであることを知り、データ・AIを活用することによって、どのような価値が生まれているているかを学ぶ。（9-14回）</t>
  </si>
  <si>
    <t>（４）活用に当たっての様々な留意事項（ELSI、個人情報、データ倫理、ＡＩ社会原則等）を考慮し、情報セキュリティや情報漏洩等、データを守る上での留意事項への理解をする</t>
    <phoneticPr fontId="1"/>
  </si>
  <si>
    <t>情報リテラシー２で日常生活や社会活動における実例などを通して、これらのデータの活用にあたっての留意事項を考慮することが重要であることを学ぶ。合わせて、情報セキュリティやその技術などを学び、データを守る上での重要事項を知ることで、、データ・AIを利用する上で知っておくべきことを学ぶ。（1-4回）</t>
  </si>
  <si>
    <t>情報リテラシー２で、情報通信社会、インターネットの進化や産業の変化を概観し、身近なインターネット社会のコミュニケーションやサービスを題材にして、情報データの取り扱い方法、活用方法の留意事項および重要事項を学ぶ。さらに、不正アクセスや情報漏洩、盗難等のセキュリティインシデントとそれらを防ぐ手法について学習し、データを守る上で知っておくべきことを学ぶ。（1-4回）</t>
  </si>
  <si>
    <t>（５）実データ・実課題（学術データ等を含む）を用いた演習など、社会での実例を題材として、「データを読む、説明する、扱う」といった数理・データサイエンス・ＡＩの基本的な活用法に関するもの</t>
    <phoneticPr fontId="1"/>
  </si>
  <si>
    <t>応用数学１（12，13回）、応用数学２（１回）で、データの代表値、ばらつき等の表現の方法と、データの特徴を捉える方法を学び、データを適切に読み解く力を養う。</t>
  </si>
  <si>
    <t>情報リテラシー１で、Excelの演習を通して可視化したデータから特徴を読み、説明することを学び、データを適切に説明する力を養う（9-14回）</t>
  </si>
  <si>
    <t>情報リテラシー１で、Excelでのデータの処理方法、関数の扱い方、グラフの作成法などの演習を通してデータを扱うことを学び、データを扱うための力を養う。（9-14回）</t>
  </si>
  <si>
    <t>⑩プログラムの学修成果（学生等が身に付けられる能力等）</t>
    <phoneticPr fontId="1"/>
  </si>
  <si>
    <t>デジタル社会の「読み・書き・そろばん」である数理・データサイエンス・AIの基礎的素養を身につけて、自らの専門分野にも応用できる。
社会情勢や社会での実例を学び、人間中心の適切な判断ができ、学修した知識やスキル等を説明し、活用できる。</t>
    <phoneticPr fontId="1"/>
  </si>
  <si>
    <t>⑪プログラムの授業内容等を公表しているアドレス</t>
    <phoneticPr fontId="1"/>
  </si>
  <si>
    <t>https://www.toba-cmt.ac.jp/jkoukai/kyoikujoho/datascience/</t>
  </si>
  <si>
    <t>様式２－２</t>
    <phoneticPr fontId="1"/>
  </si>
  <si>
    <t>令和元年度以降の情報機械システム工学科の入学生について、「工学リテラシ」、「情報工学基礎」、「情報工学２」の科目の単位を全て習得すること。</t>
    <rPh sb="2" eb="3">
      <t>モト</t>
    </rPh>
    <rPh sb="8" eb="12">
      <t>ジョウホウキカイ</t>
    </rPh>
    <rPh sb="16" eb="17">
      <t>コウ</t>
    </rPh>
    <rPh sb="29" eb="31">
      <t>コウガク</t>
    </rPh>
    <rPh sb="38" eb="44">
      <t>ジョウホウコウガクキソ</t>
    </rPh>
    <rPh sb="47" eb="51">
      <t>ジョウホウコウガク</t>
    </rPh>
    <phoneticPr fontId="1"/>
  </si>
  <si>
    <t>工学リテラシ</t>
    <rPh sb="0" eb="2">
      <t>コウガク</t>
    </rPh>
    <phoneticPr fontId="1"/>
  </si>
  <si>
    <t>情報工学２</t>
    <rPh sb="0" eb="4">
      <t>ジョウホウコウガク</t>
    </rPh>
    <phoneticPr fontId="1"/>
  </si>
  <si>
    <t>情報工学基礎</t>
    <rPh sb="0" eb="6">
      <t>ジョウホウコウガクキソ</t>
    </rPh>
    <phoneticPr fontId="1"/>
  </si>
  <si>
    <t>工学リテラシでは、ガイダンスにて地域や世界など現在の社会で起きている変化(デジタル社会、Society5.0等)を概観し、データやAI、および様々な専門分野の技術が関わっていること学ぶ（1回目）。また、オフィスソフトの利用法を学ぶことで、数理・データサイエンス・AIを学ことと、AIを活用した新しいビジネス／サービスを学ぶ（2-4回目）。</t>
    <rPh sb="0" eb="2">
      <t>コウガク</t>
    </rPh>
    <rPh sb="90" eb="91">
      <t>マナ</t>
    </rPh>
    <rPh sb="94" eb="96">
      <t>カイメ</t>
    </rPh>
    <rPh sb="109" eb="111">
      <t>リヨウ</t>
    </rPh>
    <rPh sb="111" eb="112">
      <t>ホウ</t>
    </rPh>
    <rPh sb="113" eb="114">
      <t>マナ</t>
    </rPh>
    <rPh sb="119" eb="121">
      <t>スウリ</t>
    </rPh>
    <rPh sb="134" eb="135">
      <t>マナブ</t>
    </rPh>
    <rPh sb="142" eb="144">
      <t>カツヨウ</t>
    </rPh>
    <rPh sb="146" eb="147">
      <t>アタラ</t>
    </rPh>
    <rPh sb="159" eb="160">
      <t>マナブ</t>
    </rPh>
    <phoneticPr fontId="1"/>
  </si>
  <si>
    <t>情報工学２では、データベースを用いたWebページの作成を通して、データ、AIや専門技術などが我々の日常生活や社会活動にどのように組み込まれているかを学び、データ・AI利活用における最新動向を学ぶ（2-7回目）。</t>
    <rPh sb="0" eb="2">
      <t>コウガク</t>
    </rPh>
    <rPh sb="16" eb="17">
      <t>モチ</t>
    </rPh>
    <rPh sb="26" eb="28">
      <t>サクセイ</t>
    </rPh>
    <rPh sb="29" eb="30">
      <t>トオ</t>
    </rPh>
    <rPh sb="84" eb="87">
      <t>リカツヨウ</t>
    </rPh>
    <rPh sb="91" eb="93">
      <t>サイシン</t>
    </rPh>
    <rPh sb="93" eb="95">
      <t>ドウコウ</t>
    </rPh>
    <rPh sb="96" eb="97">
      <t>マナ</t>
    </rPh>
    <phoneticPr fontId="1"/>
  </si>
  <si>
    <t>情報工学２では、データベースを用いたWebページの作成を通して、日常生活や社会活動で様々な種類のデータがあることと、データの活用が社会活動に重要であることや広範な分野の課題を解決するのに有用であることを学ぶ。また、社会においてどのようなデータが、集められどう活用されているかを学ぶ（2-7回目）。</t>
    <rPh sb="0" eb="2">
      <t>コウガク</t>
    </rPh>
    <rPh sb="16" eb="17">
      <t>モチ</t>
    </rPh>
    <rPh sb="26" eb="28">
      <t>サクセイ</t>
    </rPh>
    <rPh sb="29" eb="30">
      <t>トオ</t>
    </rPh>
    <phoneticPr fontId="1"/>
  </si>
  <si>
    <t>情報工学基礎では、プログラミングの基礎を勉強したのちに応用課題に取り組むことで、技術やデータの種類について理解を深め、それらが日常生活や社会の課題を解決する有用なツールになり得ることを学習し、様々な領域でデータ・AIが活用されていることを学ぶ（13-14回目）。</t>
    <rPh sb="2" eb="6">
      <t>コウガクキソ</t>
    </rPh>
    <rPh sb="17" eb="19">
      <t>キソ</t>
    </rPh>
    <rPh sb="20" eb="22">
      <t>ベンキョウ</t>
    </rPh>
    <rPh sb="27" eb="31">
      <t>オウヨウカダイ</t>
    </rPh>
    <rPh sb="32" eb="33">
      <t>ト</t>
    </rPh>
    <rPh sb="34" eb="35">
      <t>ク</t>
    </rPh>
    <rPh sb="96" eb="98">
      <t>サマザマ</t>
    </rPh>
    <rPh sb="99" eb="101">
      <t>リョウイキ</t>
    </rPh>
    <rPh sb="109" eb="111">
      <t>カツヨウ</t>
    </rPh>
    <rPh sb="119" eb="120">
      <t>マナ</t>
    </rPh>
    <rPh sb="127" eb="129">
      <t>カイメ</t>
    </rPh>
    <phoneticPr fontId="1"/>
  </si>
  <si>
    <t>工学リテラシでは、オフィスソフトの使い方やhtmlによるプレゼンテーションを通して、地域や世界など現代社会および情報化社会を概観し、様々な分野でデータの利活用事例を学ぶ（12-14, 16回目）。</t>
    <rPh sb="0" eb="2">
      <t>コウガク</t>
    </rPh>
    <rPh sb="17" eb="18">
      <t>ツカ</t>
    </rPh>
    <rPh sb="19" eb="20">
      <t>カタ</t>
    </rPh>
    <rPh sb="38" eb="39">
      <t>トオ</t>
    </rPh>
    <phoneticPr fontId="1"/>
  </si>
  <si>
    <t>情報工学２では、ショッピングサイトや多読管理サイトの構築を例として、AI・数理データの技術は様々な専門分野や応用領域の知識と組み合わせることで、価値創出し、我々の生活を豊かにするものであることを知り、データ・AIを活用することによって、どのような価値が生まれているているかを学ぶ（9-11回目）。</t>
    <rPh sb="0" eb="4">
      <t>ジョウホウコウガク</t>
    </rPh>
    <rPh sb="18" eb="22">
      <t>タドクカンリ</t>
    </rPh>
    <rPh sb="26" eb="28">
      <t>コウチク</t>
    </rPh>
    <rPh sb="29" eb="30">
      <t>レイ</t>
    </rPh>
    <rPh sb="144" eb="146">
      <t>カイメ</t>
    </rPh>
    <phoneticPr fontId="1"/>
  </si>
  <si>
    <t>工学リテラシでは、情報セキュリティについて学習することで、情報通信社会、インターネットの進化や産業の変化を外観し、身近なインターネット社会のコミュニケーションやサービスを題材にして、情報データの取り扱い方法、活用方法の留意事項および重要事項を学ぶ（10-11回目）。</t>
    <rPh sb="0" eb="2">
      <t>コウガク</t>
    </rPh>
    <rPh sb="9" eb="11">
      <t>ジョウホウ</t>
    </rPh>
    <rPh sb="21" eb="23">
      <t>ガクシュウ</t>
    </rPh>
    <phoneticPr fontId="1"/>
  </si>
  <si>
    <t>工学リテラシでは、情報セキュリティについて学習することで、不正アクセスや情報漏洩、盗難等のセキュリティインシデントとそれらを防ぐ手法について学習する（10-11回目）。</t>
    <rPh sb="0" eb="2">
      <t>コウガク</t>
    </rPh>
    <rPh sb="9" eb="11">
      <t>ジョウホウ</t>
    </rPh>
    <rPh sb="21" eb="23">
      <t>ガクシュウ</t>
    </rPh>
    <rPh sb="29" eb="31">
      <t>フセイ</t>
    </rPh>
    <phoneticPr fontId="1"/>
  </si>
  <si>
    <t>工学リテラシでは、基数変換・論理演算を学ぶ。また、情報工学基礎ではプログラミングの応用課題に取り組むことで、実データを適切に読み解く力を養う（8-11回目）。</t>
    <rPh sb="0" eb="2">
      <t>コウガク</t>
    </rPh>
    <rPh sb="9" eb="11">
      <t>キスウ</t>
    </rPh>
    <rPh sb="11" eb="13">
      <t>ヘンカン</t>
    </rPh>
    <rPh sb="14" eb="18">
      <t>ロンリエンザン</t>
    </rPh>
    <rPh sb="25" eb="31">
      <t>ジョウホウコウガクキソ</t>
    </rPh>
    <rPh sb="41" eb="45">
      <t>オウヨウカダイ</t>
    </rPh>
    <rPh sb="46" eb="47">
      <t>ト</t>
    </rPh>
    <rPh sb="48" eb="49">
      <t>ク</t>
    </rPh>
    <rPh sb="54" eb="55">
      <t>ジツ</t>
    </rPh>
    <rPh sb="59" eb="61">
      <t>テキセツ</t>
    </rPh>
    <rPh sb="62" eb="63">
      <t>ヨ</t>
    </rPh>
    <rPh sb="64" eb="65">
      <t>ト</t>
    </rPh>
    <rPh sb="66" eb="67">
      <t>チカラ</t>
    </rPh>
    <rPh sb="68" eb="69">
      <t>ヤシナ</t>
    </rPh>
    <phoneticPr fontId="1"/>
  </si>
  <si>
    <t>工学リテラシでは、オフィスソフトの演習を通して、可視化したデータから特徴を読み、説明することを学び、データを適切に説明する力を養う。また、情報工学基礎では、応用課題を通して、実データが示す事実を説明する力を養う（2-4回目）。</t>
    <rPh sb="0" eb="2">
      <t>コウガク</t>
    </rPh>
    <rPh sb="47" eb="48">
      <t>マナ</t>
    </rPh>
    <rPh sb="54" eb="56">
      <t>テキセツ</t>
    </rPh>
    <rPh sb="57" eb="59">
      <t>セツメイ</t>
    </rPh>
    <rPh sb="61" eb="62">
      <t>チカラ</t>
    </rPh>
    <rPh sb="63" eb="64">
      <t>ヤシナ</t>
    </rPh>
    <rPh sb="69" eb="75">
      <t>ジョウホウコウガクキソ</t>
    </rPh>
    <rPh sb="78" eb="82">
      <t>オウヨウカダイ</t>
    </rPh>
    <rPh sb="83" eb="84">
      <t>トオ</t>
    </rPh>
    <rPh sb="87" eb="88">
      <t>ジツ</t>
    </rPh>
    <rPh sb="92" eb="93">
      <t>シメ</t>
    </rPh>
    <rPh sb="94" eb="96">
      <t>ジジツ</t>
    </rPh>
    <rPh sb="97" eb="99">
      <t>セツメイ</t>
    </rPh>
    <rPh sb="101" eb="102">
      <t>チカラ</t>
    </rPh>
    <rPh sb="103" eb="104">
      <t>ヤシナ</t>
    </rPh>
    <phoneticPr fontId="1"/>
  </si>
  <si>
    <t>情報工学基礎では、配列や構造体とったデータ構造を用いて，関数によってデータを処理する方法を学び，データを実問題へ適用し活用するための取り扱い方を学習する。また、情報工学２では、データベースでデータを管理する方法を学ぶ（1-7, 9-12回目）。</t>
    <rPh sb="0" eb="6">
      <t>ジョウホウコウガクキソ</t>
    </rPh>
    <phoneticPr fontId="1"/>
  </si>
  <si>
    <t>https://www.toba-cmt.ac.jp/jkoukai/kyoikujoho/datascience/</t>
    <phoneticPr fontId="1"/>
  </si>
  <si>
    <t>様式３</t>
    <rPh sb="0" eb="2">
      <t>ヨウシキ</t>
    </rPh>
    <phoneticPr fontId="1"/>
  </si>
  <si>
    <t>プログラムの履修者数等の実績について</t>
    <phoneticPr fontId="1"/>
  </si>
  <si>
    <t>①プログラム開設年度</t>
    <rPh sb="6" eb="8">
      <t>カイセツ</t>
    </rPh>
    <rPh sb="8" eb="10">
      <t>ネンド</t>
    </rPh>
    <phoneticPr fontId="1"/>
  </si>
  <si>
    <t>②履修者・修了者の実績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</si>
  <si>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</si>
  <si>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入学
定員</t>
    <rPh sb="0" eb="2">
      <t>ニュウガク</t>
    </rPh>
    <rPh sb="3" eb="5">
      <t>テイイン</t>
    </rPh>
    <phoneticPr fontId="1"/>
  </si>
  <si>
    <t>収容
定員</t>
    <rPh sb="0" eb="2">
      <t>シュウヨウ</t>
    </rPh>
    <rPh sb="3" eb="5">
      <t>テイイン</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</si>
  <si>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</si>
  <si>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</si>
  <si>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</si>
  <si>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</si>
  <si>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</si>
  <si>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</si>
  <si>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</si>
  <si>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</si>
  <si>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2">
      <t>リシュウ</t>
    </rPh>
    <rPh sb="2" eb="3">
      <t>シャ</t>
    </rPh>
    <rPh sb="3" eb="4">
      <t>スウ</t>
    </rPh>
    <phoneticPr fontId="1"/>
  </si>
  <si>
    <t>修了者数</t>
    <rPh sb="0" eb="3">
      <t>シュウリョウシャ</t>
    </rPh>
    <rPh sb="3" eb="4">
      <t>スウ</t>
    </rPh>
    <phoneticPr fontId="1"/>
  </si>
  <si>
    <t>商船学科</t>
  </si>
  <si>
    <t>情報機械システム工学科</t>
  </si>
  <si>
    <t>合　計</t>
    <phoneticPr fontId="1"/>
  </si>
  <si>
    <t>　　　　　　　　　　　　　　　　　　　　　　　　　　　　　　　　　　　　　　　　　　　　　　　　　　　　　　　　　　　　　　　　　　　　　　　　　　　　　　　　　　　　　　　　　　　　　　　　　　　　　　　　　　　　　　　　　　　　　　　　　　　　　　　　　　　　　　　　　　　　　　　　　　　　　　　　　　　　　　　　　　　　　　　　　　　　　　　　　　　　　　　　　　　　　　　　　　　　　　　　　　　　　　　　　　　　　　　　　　　　　　　　　　　　　　　　　　　　　　　　　　　　　　　　　　　　　　　　　　　　　　　　　　　　　　　　　　　　　　　　　　　　　　　　　　　　　　　　　　　　　　　　　　　　　　　　　　　　　　　　　　　　　　　　　　　　　　　　　　　　　　　　　　　　　　　　　　　　　　　　　　　　　　　　　　　　　　　　　　　　　　　　　　　　　　　　　　　　　　　　　　　　　　　　　　　　　　　　　　　　　　　　　　　　　　　　　　　　　　　　　　　　　　　　　　　　　　　　　　　　　　　　　　　　　　　　　　　　　　　　　　　　　　　　　　　　　　　　　　　　　　　　　　　　　　　　　　　　　　　　　　　　　　　　　　　　　　　　　　　　　　　　　　　　　　　　　　　　　　　　　　　　　　　　　　　　　　　　　　　　　　　　　　　　　　　　　　　　　　　　　　　　　　　　　　　　　　　　　　　　　　　　　　　　　　　　　　　　　　　　　　　　　　　　　　　　　　　　　　　　　　　　　　　　　　　　　　　　　　　　　　　　　　　　　　　　　　　　　　　　　　　　　　　　　　　　　　　　　　　　　　　　　　　　　　　　　　</t>
    <phoneticPr fontId="1"/>
  </si>
  <si>
    <t>様式４</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</si>
  <si>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</si>
  <si>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プログラムを改善・進化させるための体制を定める規則名称</t>
    <phoneticPr fontId="1"/>
  </si>
  <si>
    <t>ファカルティディベロップメント(FD)に関する申し合わせ</t>
    <phoneticPr fontId="1"/>
  </si>
  <si>
    <t>体制の目的</t>
    <rPh sb="0" eb="2">
      <t>タイセイ</t>
    </rPh>
    <rPh sb="3" eb="5">
      <t>モクテキ</t>
    </rPh>
    <phoneticPr fontId="1"/>
  </si>
  <si>
    <t>教育の質的向上を目的とする。</t>
    <phoneticPr fontId="1"/>
  </si>
  <si>
    <t>③</t>
    <phoneticPr fontId="1"/>
  </si>
  <si>
    <t>具体的な構成員</t>
    <rPh sb="0" eb="3">
      <t>グタイテキ</t>
    </rPh>
    <rPh sb="4" eb="7">
      <t>コウセイイン</t>
    </rPh>
    <phoneticPr fontId="1"/>
  </si>
  <si>
    <t>教務委員会が実施する。
※令和3年の申請時の体制を記載
教務主事　伊藤 友仁
専攻科長　林 浩 一
商船学科長　窪田 祥朗
電子機械工学科長　山下 晃司
制御情報工学科長 溝口 卓哉
情報機械システム工学科長　出江 幸重 
一般教育科長 西川 雅堂
商船学科Ｎコース主任 鈴木 治
教務主事補 鎌田 功一、中井 一文
学科選出 片岡教授、渡辺准教授、脇坂准教授、北原准教授、豊田教授</t>
    <phoneticPr fontId="1"/>
  </si>
  <si>
    <t>履修者数・履修率の向上に向けた計画</t>
    <rPh sb="5" eb="7">
      <t>リシュウ</t>
    </rPh>
    <rPh sb="7" eb="8">
      <t>リツ</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</si>
  <si>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</si>
  <si>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</si>
  <si>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</si>
  <si>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</si>
  <si>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</si>
  <si>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</si>
  <si>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</si>
  <si>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本プログラムに関わる科目は、すべて第3学年以下に必修科目として設定されており、全学生が履修および修得を促す規則となっている。そのため、1年次入学者に対する履修率は１００％となる計画である。</t>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</si>
  <si>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</si>
  <si>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本プログラムに関わる科目は、すべて第3学年以下に必修科目として設定されており、全学生が履修および修得を促す規則となっている。</t>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</si>
  <si>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</si>
  <si>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⑦</t>
    <phoneticPr fontId="1"/>
  </si>
  <si>
    <t>できる限り多くの学生が履修・修得できるようなサポート体制</t>
    <rPh sb="26" eb="28">
      <t>タイセイ</t>
    </rPh>
    <phoneticPr fontId="1"/>
  </si>
  <si>
    <t>授業時間内外で学習指導、質問を受け付ける具体的な仕組み</t>
    <rPh sb="20" eb="23">
      <t>グタイテキ</t>
    </rPh>
    <phoneticPr fontId="1"/>
  </si>
  <si>
    <t>全学生にオンラインツールであるTeamsに登録しており、Teams上には各クラスのチームが作られ、オンラインで教員に相談できる環境を構築できている。学生は授業時間以外に不明点をインターネット上で相談できる。</t>
    <phoneticPr fontId="1"/>
  </si>
  <si>
    <t>　　　　　　　　　　　　　　　　　　　　　　　　　　　　　　　　　　　　　　　　　　　　　　　　　　　　　　　　　　　　　　　　　　　　　　　　　</t>
    <phoneticPr fontId="1"/>
  </si>
  <si>
    <t>様式５</t>
    <rPh sb="0" eb="2">
      <t>ヨウシキ</t>
    </rPh>
    <phoneticPr fontId="1"/>
  </si>
  <si>
    <t>自己点検・評価について</t>
    <rPh sb="0" eb="2">
      <t>ジコ</t>
    </rPh>
    <rPh sb="2" eb="4">
      <t>テンケン</t>
    </rPh>
    <rPh sb="5" eb="7">
      <t>ヒョウカ</t>
    </rPh>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</si>
  <si>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</si>
  <si>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</si>
  <si>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</si>
  <si>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</si>
  <si>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</si>
  <si>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全学科に対し、本プログラムに関わる科目を第3学年以下に必修科目として設定し、教務委員会において、単位の履修状況および単位取得状況を確認している。</t>
    <phoneticPr fontId="1"/>
  </si>
  <si>
    <t>学修成果</t>
    <rPh sb="0" eb="2">
      <t>ガクシュウ</t>
    </rPh>
    <rPh sb="2" eb="4">
      <t>セイカ</t>
    </rPh>
    <phoneticPr fontId="1"/>
  </si>
  <si>
    <t>本プログラムに関わる科目は、すべて第3学年以下に必修科目として設定されており、全学生が履修および修得する体制になっている。</t>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</si>
  <si>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</si>
  <si>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本プログラムに関わる科目について授業アンケートを実施しており、学生の理解度を分析し次年度以降に活用している</t>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</si>
  <si>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</si>
  <si>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本学では全学生に対してリテラシーレベル相当の修得を推奨しており、本プログラムに関わる科目は全て必修科目としている。また数理・データサイエンスに関連した科目であることをホームページで明記することで、在学生・入学希望者等へ広く推奨する。</t>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</si>
  <si>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</si>
  <si>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本プログラムに関わる科目は全て第3学年以下に必修科目として設定しているため、全学科において令和５年度以降の卒業生の履修率はほぼ１００％となることが見込まれる。</t>
  </si>
  <si>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</si>
  <si>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</si>
  <si>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令和3年度時点で教育プログラムの修了者で卒業した学生はいない。</t>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</si>
  <si>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</si>
  <si>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運営諮問会議や機関別認証評価などの外部評価を受けている。</t>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</si>
  <si>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</si>
  <si>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本プログラムに関わる科目において、先進的な事例を紹介しつつ、いかにAIが私たちの生活を支える仕組みや様々な企業の生産や管理に取り込まれているかを講義している。授業アンケートなどから、数理・データサイエンス・ＡＩを「学ぶ楽しさ」「学ぶことの意義」を十分に理解させていると評価している。</t>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</si>
  <si>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</si>
  <si>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受講者によるアンケートを通して開講科目は年度ごとに改善される態勢としている。また、授業担当教員が独自に作成した授業の補助資料等をオンラインで閲覧可能とすることにより自学自習に役立てられるような環境を整備している。</t>
  </si>
  <si>
    <t>②自己点検・評価体制における意見等を公表しているアドレス</t>
    <phoneticPr fontId="1"/>
  </si>
  <si>
    <t>https://koho.s.toba-cmt.ac.jp/wp/wp-content/uploads/jikotenkenhyoka.pdf</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</si>
</sst>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8"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u/>
      <sz val="11"/>
      <color rgb="FFFF0000"/>
      <name val="ＭＳ Ｐゴシック"/>
      <family val="2"/>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
      <sz val="12"/>
      <color rgb="FF000000"/>
      <name val="ＭＳ Ｐゴシック"/>
      <family val="3"/>
      <charset val="128"/>
      <scheme val="minor"/>
    </font>
    <font>
      <sz val="12"/>
      <color rgb="FF000000"/>
      <name val="ＭＳ Ｐゴシック"/>
      <family val="2"/>
      <charset val="128"/>
      <scheme val="minor"/>
    </font>
    <font>
      <sz val="9"/>
      <color rgb="FF000000"/>
      <name val="ＭＳ Ｐゴシック"/>
      <family val="2"/>
      <charset val="128"/>
      <scheme val="minor"/>
    </font>
    <font>
      <sz val="14"/>
      <color rgb="FF000000"/>
      <name val="ＭＳ Ｐゴシック"/>
      <family val="3"/>
      <charset val="128"/>
      <scheme val="minor"/>
    </font>
    <font>
      <sz val="9"/>
      <color rgb="FF000000"/>
      <name val="ＭＳ Ｐゴシック"/>
      <family val="3"/>
      <charset val="128"/>
      <scheme val="minor"/>
    </font>
    <font>
      <sz val="11"/>
      <color rgb="FF000000"/>
      <name val="ＭＳ Ｐゴシック"/>
      <family val="2"/>
      <charset val="128"/>
      <scheme val="minor"/>
    </font>
  </fonts>
  <fills count="2">
    <fill>
      <patternFill patternType="none"/>
    </fill>
    <fill>
      <patternFill patternType="gray125"/>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4">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cellStyleXfs>
  <cellXfs count="324">
    <xf numFmtId="0" fontId="0" fillId="0" borderId="0" xfId="0">
      <alignment vertical="center"/>
    </xf>
    <xf numFmtId="0" fontId="2" fillId="0" borderId="0" xfId="0" applyFont="1">
      <alignment vertical="center"/>
    </xf>
    <xf numFmtId="0" fontId="4" fillId="0" borderId="0" xfId="0" applyFont="1">
      <alignment vertical="center"/>
    </xf>
    <xf numFmtId="0" fontId="3" fillId="0" borderId="0" xfId="0" applyFont="1">
      <alignment vertical="center"/>
    </xf>
    <xf numFmtId="176" fontId="8" fillId="0" borderId="0" xfId="0" applyNumberFormat="1" applyFont="1">
      <alignment vertical="center"/>
    </xf>
    <xf numFmtId="176" fontId="8" fillId="0" borderId="3" xfId="0" applyNumberFormat="1" applyFont="1" applyBorder="1" applyAlignment="1">
      <alignment vertical="center" shrinkToFit="1"/>
    </xf>
    <xf numFmtId="0" fontId="8" fillId="0" borderId="0" xfId="0" applyFont="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horizontal="left" vertical="center"/>
    </xf>
    <xf numFmtId="0" fontId="8" fillId="0" borderId="5" xfId="0" applyFont="1" applyBorder="1">
      <alignment vertical="center"/>
    </xf>
    <xf numFmtId="176" fontId="8" fillId="0" borderId="0" xfId="0" applyNumberFormat="1" applyFont="1" applyAlignment="1">
      <alignment vertical="center" wrapText="1"/>
    </xf>
    <xf numFmtId="176" fontId="8" fillId="0" borderId="5" xfId="0" applyNumberFormat="1" applyFont="1" applyBorder="1">
      <alignment vertical="center"/>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2" fillId="0" borderId="0" xfId="0" applyFont="1">
      <alignment vertical="center"/>
    </xf>
    <xf numFmtId="0" fontId="8" fillId="0" borderId="0" xfId="0" applyFont="1" applyAlignment="1">
      <alignment vertical="center" shrinkToFit="1"/>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right" vertical="center"/>
    </xf>
    <xf numFmtId="0" fontId="16" fillId="0" borderId="11" xfId="0" applyFont="1" applyBorder="1" applyAlignment="1">
      <alignment horizontal="center" vertical="center"/>
    </xf>
    <xf numFmtId="0" fontId="16" fillId="0" borderId="29" xfId="0" applyFont="1" applyBorder="1" applyAlignment="1">
      <alignment horizontal="center" vertical="center" wrapText="1"/>
    </xf>
    <xf numFmtId="0" fontId="16" fillId="0" borderId="30" xfId="0" applyFont="1" applyBorder="1" applyAlignment="1">
      <alignment horizontal="center" vertical="center"/>
    </xf>
    <xf numFmtId="0" fontId="16"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8" fillId="0" borderId="10" xfId="0" applyFont="1" applyBorder="1" applyAlignment="1">
      <alignment vertical="center" shrinkToFit="1"/>
    </xf>
    <xf numFmtId="49" fontId="18" fillId="0" borderId="1" xfId="0" applyNumberFormat="1" applyFont="1" applyBorder="1" applyAlignment="1">
      <alignment horizontal="center" vertical="center"/>
    </xf>
    <xf numFmtId="0" fontId="8" fillId="0" borderId="0" xfId="0" applyFont="1" applyAlignment="1">
      <alignment vertical="top" wrapText="1"/>
    </xf>
    <xf numFmtId="0" fontId="9" fillId="0" borderId="2" xfId="0" applyFont="1" applyBorder="1">
      <alignment vertical="center"/>
    </xf>
    <xf numFmtId="0" fontId="9" fillId="0" borderId="4" xfId="0" applyFont="1" applyBorder="1">
      <alignment vertical="center"/>
    </xf>
    <xf numFmtId="49" fontId="18" fillId="0" borderId="47" xfId="0" applyNumberFormat="1" applyFont="1" applyBorder="1" applyAlignment="1">
      <alignment horizontal="center" vertical="center"/>
    </xf>
    <xf numFmtId="49" fontId="18" fillId="0" borderId="33" xfId="0" applyNumberFormat="1" applyFont="1" applyBorder="1" applyAlignment="1">
      <alignment horizontal="center" vertical="center"/>
    </xf>
    <xf numFmtId="49" fontId="18" fillId="0" borderId="50" xfId="0" applyNumberFormat="1" applyFont="1" applyBorder="1" applyAlignment="1">
      <alignment horizontal="center" vertical="center"/>
    </xf>
    <xf numFmtId="49" fontId="18"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3" fillId="0" borderId="0" xfId="0" applyFont="1" applyAlignment="1">
      <alignment vertical="top" wrapText="1"/>
    </xf>
    <xf numFmtId="0" fontId="3" fillId="0" borderId="0" xfId="0" applyFont="1" applyAlignment="1">
      <alignment vertical="center" wrapTex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2" fillId="0" borderId="0" xfId="0" applyFont="1" applyAlignment="1">
      <alignment vertical="top" wrapText="1"/>
    </xf>
    <xf numFmtId="0" fontId="8" fillId="0" borderId="3" xfId="0" applyFont="1" applyBorder="1">
      <alignment vertical="center"/>
    </xf>
    <xf numFmtId="49" fontId="18" fillId="0" borderId="52" xfId="0" applyNumberFormat="1" applyFont="1" applyBorder="1" applyAlignment="1">
      <alignment horizontal="center" vertical="center"/>
    </xf>
    <xf numFmtId="49" fontId="18" fillId="0" borderId="29" xfId="0" applyNumberFormat="1" applyFont="1" applyBorder="1" applyAlignment="1">
      <alignment horizontal="center" vertical="center"/>
    </xf>
    <xf numFmtId="0" fontId="21"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8" fillId="0" borderId="1" xfId="0" applyFont="1" applyBorder="1" applyAlignment="1">
      <alignment horizontal="center" vertical="center" shrinkToFit="1"/>
    </xf>
    <xf numFmtId="0" fontId="8" fillId="0" borderId="43" xfId="0" applyFont="1" applyBorder="1" applyAlignment="1">
      <alignment horizontal="center" vertical="center" shrinkToFit="1"/>
    </xf>
    <xf numFmtId="0" fontId="8" fillId="0" borderId="38" xfId="0" applyFont="1" applyBorder="1" applyAlignment="1">
      <alignment horizontal="center" vertical="center"/>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22" fillId="0" borderId="0" xfId="0" applyFont="1" applyAlignment="1">
      <alignment horizontal="center" vertical="center"/>
    </xf>
    <xf numFmtId="0" fontId="23" fillId="0" borderId="0" xfId="0" applyFont="1">
      <alignment vertical="center"/>
    </xf>
    <xf numFmtId="0" fontId="22" fillId="0" borderId="0" xfId="0" applyFont="1" applyAlignment="1">
      <alignment vertical="top" wrapText="1"/>
    </xf>
    <xf numFmtId="0" fontId="22" fillId="0" borderId="0" xfId="0" applyFont="1" applyAlignment="1">
      <alignment vertical="center" wrapText="1"/>
    </xf>
    <xf numFmtId="0" fontId="24" fillId="0" borderId="0" xfId="0" applyFont="1" applyAlignment="1">
      <alignment vertical="top" wrapText="1"/>
    </xf>
    <xf numFmtId="0" fontId="22" fillId="0" borderId="7" xfId="0" applyFont="1" applyBorder="1" applyAlignment="1">
      <alignment horizontal="center" vertical="center" wrapText="1" shrinkToFit="1"/>
    </xf>
    <xf numFmtId="9" fontId="22" fillId="0" borderId="8" xfId="0" applyNumberFormat="1" applyFont="1" applyBorder="1" applyAlignment="1">
      <alignment horizontal="center" vertical="center" wrapText="1" shrinkToFit="1"/>
    </xf>
    <xf numFmtId="0" fontId="22" fillId="0" borderId="8" xfId="0" applyFont="1" applyBorder="1" applyAlignment="1">
      <alignment horizontal="center" vertical="center" wrapText="1" shrinkToFit="1"/>
    </xf>
    <xf numFmtId="9" fontId="22" fillId="0" borderId="8" xfId="0" applyNumberFormat="1" applyFont="1" applyBorder="1" applyAlignment="1">
      <alignment horizontal="center" vertical="center" shrinkToFit="1"/>
    </xf>
    <xf numFmtId="0" fontId="22" fillId="0" borderId="9" xfId="0" applyFont="1" applyBorder="1" applyAlignment="1">
      <alignment horizontal="center" vertical="center" shrinkToFit="1"/>
    </xf>
    <xf numFmtId="0" fontId="22" fillId="0" borderId="44" xfId="0" applyFont="1" applyBorder="1" applyAlignment="1">
      <alignment horizontal="center" vertical="center" shrinkToFit="1"/>
    </xf>
    <xf numFmtId="9" fontId="22" fillId="0" borderId="45" xfId="0" applyNumberFormat="1" applyFont="1" applyBorder="1" applyAlignment="1">
      <alignment horizontal="center" vertical="center" shrinkToFit="1"/>
    </xf>
    <xf numFmtId="0" fontId="22" fillId="0" borderId="45" xfId="0" applyFont="1" applyBorder="1" applyAlignment="1">
      <alignment horizontal="center" vertical="center" shrinkToFit="1"/>
    </xf>
    <xf numFmtId="176" fontId="22" fillId="0" borderId="45" xfId="0" applyNumberFormat="1" applyFont="1" applyBorder="1" applyAlignment="1">
      <alignment horizontal="center" vertical="center" shrinkToFit="1"/>
    </xf>
    <xf numFmtId="0" fontId="22" fillId="0" borderId="46" xfId="0" applyFont="1" applyBorder="1" applyAlignment="1">
      <alignment horizontal="center" vertical="center" shrinkToFit="1"/>
    </xf>
    <xf numFmtId="0" fontId="23" fillId="0" borderId="0" xfId="0" applyFont="1" applyAlignment="1">
      <alignment vertical="center" wrapText="1"/>
    </xf>
    <xf numFmtId="0" fontId="23" fillId="0" borderId="0" xfId="0" applyFont="1" applyAlignment="1">
      <alignment horizontal="right" vertical="center"/>
    </xf>
    <xf numFmtId="0" fontId="25" fillId="0" borderId="0" xfId="0" applyFont="1" applyAlignment="1">
      <alignment horizontal="center" vertical="center"/>
    </xf>
    <xf numFmtId="0" fontId="22" fillId="0" borderId="0" xfId="0" applyFont="1">
      <alignment vertical="center"/>
    </xf>
    <xf numFmtId="0" fontId="26" fillId="0" borderId="0" xfId="0" applyFont="1" applyAlignment="1">
      <alignment vertical="top" wrapText="1"/>
    </xf>
    <xf numFmtId="0" fontId="23" fillId="0" borderId="5" xfId="0" applyFont="1" applyBorder="1">
      <alignment vertical="center"/>
    </xf>
    <xf numFmtId="0" fontId="24" fillId="0" borderId="10" xfId="0" applyFont="1" applyBorder="1" applyAlignment="1">
      <alignment vertical="top" wrapText="1"/>
    </xf>
    <xf numFmtId="0" fontId="26" fillId="0" borderId="10" xfId="0" applyFont="1" applyBorder="1" applyAlignment="1">
      <alignment vertical="top" wrapText="1"/>
    </xf>
    <xf numFmtId="0" fontId="24" fillId="0" borderId="5" xfId="0" applyFont="1" applyBorder="1" applyAlignment="1">
      <alignment vertical="top" wrapText="1"/>
    </xf>
    <xf numFmtId="0" fontId="23" fillId="0" borderId="16" xfId="0" applyFont="1" applyBorder="1">
      <alignment vertical="center"/>
    </xf>
    <xf numFmtId="0" fontId="24" fillId="0" borderId="20" xfId="0" applyFont="1" applyBorder="1" applyAlignment="1">
      <alignment vertical="top" wrapText="1"/>
    </xf>
    <xf numFmtId="0" fontId="24" fillId="0" borderId="18" xfId="0" applyFont="1" applyBorder="1" applyAlignment="1">
      <alignment vertical="top" wrapText="1"/>
    </xf>
    <xf numFmtId="0" fontId="26" fillId="0" borderId="20" xfId="0" applyFont="1" applyBorder="1" applyAlignment="1">
      <alignment vertical="top" shrinkToFit="1"/>
    </xf>
    <xf numFmtId="0" fontId="26" fillId="0" borderId="18" xfId="0" applyFont="1" applyBorder="1" applyAlignment="1">
      <alignment vertical="top" shrinkToFit="1"/>
    </xf>
    <xf numFmtId="49" fontId="7" fillId="0" borderId="2" xfId="3" applyNumberFormat="1" applyBorder="1" applyAlignment="1">
      <alignment vertical="center" shrinkToFit="1"/>
    </xf>
    <xf numFmtId="49" fontId="7" fillId="0" borderId="3" xfId="3" applyNumberFormat="1" applyBorder="1" applyAlignment="1">
      <alignment vertical="center" shrinkToFit="1"/>
    </xf>
    <xf numFmtId="49" fontId="7" fillId="0" borderId="4" xfId="3" applyNumberFormat="1" applyBorder="1" applyAlignment="1">
      <alignment vertical="center" shrinkToFit="1"/>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0" xfId="0" applyFont="1" applyAlignment="1">
      <alignment horizontal="center" vertical="center"/>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4" xfId="0" applyFont="1" applyBorder="1" applyAlignment="1">
      <alignment horizontal="center"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0" xfId="0" applyFont="1" applyAlignment="1">
      <alignment horizontal="right"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0" fontId="8" fillId="0" borderId="0" xfId="0" applyFont="1" applyAlignment="1">
      <alignment horizontal="right" vertical="center"/>
    </xf>
    <xf numFmtId="0" fontId="8" fillId="0" borderId="10" xfId="0" applyFont="1" applyBorder="1" applyAlignment="1">
      <alignment horizontal="right" vertical="center"/>
    </xf>
    <xf numFmtId="176" fontId="8" fillId="0" borderId="3" xfId="0" applyNumberFormat="1" applyFont="1" applyBorder="1" applyAlignment="1">
      <alignment horizontal="center" vertical="center" shrinkToFit="1"/>
    </xf>
    <xf numFmtId="0" fontId="13" fillId="0" borderId="0" xfId="0" applyFont="1" applyAlignment="1">
      <alignment horizontal="center" vertical="center"/>
    </xf>
    <xf numFmtId="0" fontId="8" fillId="0" borderId="2" xfId="0" applyFont="1" applyBorder="1" applyAlignment="1">
      <alignment horizontal="center" vertical="center"/>
    </xf>
    <xf numFmtId="0" fontId="8" fillId="0" borderId="4" xfId="0" applyFont="1" applyBorder="1" applyAlignment="1">
      <alignment horizontal="center" vertical="center"/>
    </xf>
    <xf numFmtId="0" fontId="8" fillId="0" borderId="3" xfId="0" applyFont="1" applyBorder="1" applyAlignment="1">
      <alignment horizontal="center" vertical="center"/>
    </xf>
    <xf numFmtId="176" fontId="8" fillId="0" borderId="2" xfId="0" applyNumberFormat="1" applyFont="1" applyBorder="1" applyAlignment="1">
      <alignment horizontal="center" vertical="center"/>
    </xf>
    <xf numFmtId="176" fontId="8" fillId="0" borderId="3" xfId="0" applyNumberFormat="1" applyFont="1" applyBorder="1" applyAlignment="1">
      <alignment horizontal="center" vertical="center"/>
    </xf>
    <xf numFmtId="176" fontId="8" fillId="0" borderId="4" xfId="0" applyNumberFormat="1" applyFont="1" applyBorder="1" applyAlignment="1">
      <alignment horizontal="center" vertical="center"/>
    </xf>
    <xf numFmtId="0" fontId="8" fillId="0" borderId="0" xfId="0" applyFont="1" applyAlignment="1">
      <alignment vertical="center" shrinkToFit="1"/>
    </xf>
    <xf numFmtId="0" fontId="22" fillId="0" borderId="7" xfId="0" applyFont="1" applyBorder="1" applyAlignment="1">
      <alignment vertical="center" wrapText="1" shrinkToFit="1"/>
    </xf>
    <xf numFmtId="0" fontId="23" fillId="0" borderId="8" xfId="0" applyFont="1" applyBorder="1" applyAlignment="1">
      <alignment vertical="center" shrinkToFit="1"/>
    </xf>
    <xf numFmtId="0" fontId="23" fillId="0" borderId="9" xfId="0" applyFont="1" applyBorder="1" applyAlignment="1">
      <alignment vertical="center" shrinkToFit="1"/>
    </xf>
    <xf numFmtId="0" fontId="23" fillId="0" borderId="5" xfId="0" applyFont="1" applyBorder="1" applyAlignment="1">
      <alignment vertical="center" shrinkToFit="1"/>
    </xf>
    <xf numFmtId="0" fontId="23" fillId="0" borderId="0" xfId="0" applyFont="1" applyAlignment="1">
      <alignment vertical="center" shrinkToFit="1"/>
    </xf>
    <xf numFmtId="0" fontId="23" fillId="0" borderId="10" xfId="0" applyFont="1" applyBorder="1" applyAlignment="1">
      <alignment vertical="center" shrinkToFit="1"/>
    </xf>
    <xf numFmtId="0" fontId="23" fillId="0" borderId="11" xfId="0" applyFont="1" applyBorder="1" applyAlignment="1">
      <alignment vertical="center" shrinkToFit="1"/>
    </xf>
    <xf numFmtId="0" fontId="23" fillId="0" borderId="6" xfId="0" applyFont="1" applyBorder="1" applyAlignment="1">
      <alignment vertical="center" shrinkToFit="1"/>
    </xf>
    <xf numFmtId="0" fontId="23" fillId="0" borderId="12" xfId="0" applyFont="1" applyBorder="1" applyAlignment="1">
      <alignment vertical="center" shrinkToFit="1"/>
    </xf>
    <xf numFmtId="0" fontId="7" fillId="0" borderId="2" xfId="2"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19" fillId="0" borderId="48" xfId="0" applyFont="1" applyBorder="1" applyAlignment="1">
      <alignment vertical="center" wrapText="1"/>
    </xf>
    <xf numFmtId="0" fontId="20" fillId="0" borderId="32" xfId="0" applyFont="1" applyBorder="1" applyAlignment="1">
      <alignment vertical="center" wrapText="1"/>
    </xf>
    <xf numFmtId="0" fontId="9" fillId="0" borderId="8" xfId="0" applyFont="1" applyBorder="1" applyAlignment="1">
      <alignment horizontal="left" vertical="center" wrapText="1" shrinkToFit="1"/>
    </xf>
    <xf numFmtId="0" fontId="9" fillId="0" borderId="8" xfId="0" applyFont="1" applyBorder="1" applyAlignment="1">
      <alignment horizontal="left" vertical="center" shrinkToFit="1"/>
    </xf>
    <xf numFmtId="0" fontId="9" fillId="0" borderId="9" xfId="0" applyFont="1" applyBorder="1" applyAlignment="1">
      <alignment horizontal="left" vertical="center" shrinkToFit="1"/>
    </xf>
    <xf numFmtId="0" fontId="9" fillId="0" borderId="20" xfId="0" applyFont="1" applyBorder="1" applyAlignment="1">
      <alignment horizontal="left" vertical="center" wrapText="1" shrinkToFit="1"/>
    </xf>
    <xf numFmtId="0" fontId="9" fillId="0" borderId="20" xfId="0" applyFont="1" applyBorder="1" applyAlignment="1">
      <alignment horizontal="left" vertical="center" shrinkToFit="1"/>
    </xf>
    <xf numFmtId="0" fontId="9" fillId="0" borderId="18" xfId="0" applyFont="1" applyBorder="1" applyAlignment="1">
      <alignment horizontal="left" vertical="center" shrinkToFit="1"/>
    </xf>
    <xf numFmtId="0" fontId="19" fillId="0" borderId="32" xfId="0" applyFont="1" applyBorder="1" applyAlignment="1">
      <alignment vertical="center" wrapText="1"/>
    </xf>
    <xf numFmtId="0" fontId="20" fillId="0" borderId="49" xfId="0" applyFont="1" applyBorder="1" applyAlignment="1">
      <alignment vertical="center" wrapText="1"/>
    </xf>
    <xf numFmtId="0" fontId="9" fillId="0" borderId="39" xfId="0" applyFont="1" applyBorder="1" applyAlignment="1">
      <alignment vertical="center" wrapText="1" shrinkToFit="1"/>
    </xf>
    <xf numFmtId="0" fontId="9" fillId="0" borderId="39" xfId="0" applyFont="1" applyBorder="1" applyAlignment="1">
      <alignment vertical="center" shrinkToFit="1"/>
    </xf>
    <xf numFmtId="0" fontId="9" fillId="0" borderId="38" xfId="0" applyFont="1" applyBorder="1" applyAlignment="1">
      <alignment vertical="center" shrinkToFit="1"/>
    </xf>
    <xf numFmtId="0" fontId="9" fillId="0" borderId="19" xfId="0" applyFont="1" applyBorder="1" applyAlignment="1">
      <alignment vertical="center" wrapText="1" shrinkToFit="1"/>
    </xf>
    <xf numFmtId="0" fontId="9" fillId="0" borderId="20" xfId="0" applyFont="1" applyBorder="1" applyAlignment="1">
      <alignment vertical="center" shrinkToFit="1"/>
    </xf>
    <xf numFmtId="0" fontId="9" fillId="0" borderId="18" xfId="0" applyFont="1" applyBorder="1" applyAlignment="1">
      <alignment vertical="center" shrinkToFit="1"/>
    </xf>
    <xf numFmtId="0" fontId="9" fillId="0" borderId="6" xfId="0" applyFont="1" applyBorder="1" applyAlignment="1">
      <alignment vertical="center" wrapText="1" shrinkToFit="1"/>
    </xf>
    <xf numFmtId="0" fontId="9" fillId="0" borderId="6" xfId="0" applyFont="1" applyBorder="1" applyAlignment="1">
      <alignment vertical="center" shrinkToFit="1"/>
    </xf>
    <xf numFmtId="0" fontId="9" fillId="0" borderId="12" xfId="0" applyFont="1" applyBorder="1" applyAlignment="1">
      <alignment vertical="center" shrinkToFit="1"/>
    </xf>
    <xf numFmtId="0" fontId="20" fillId="0" borderId="48" xfId="0" applyFont="1" applyBorder="1" applyAlignment="1">
      <alignment vertical="center" wrapText="1"/>
    </xf>
    <xf numFmtId="0" fontId="9" fillId="0" borderId="39" xfId="0" applyFont="1" applyBorder="1" applyAlignment="1">
      <alignment horizontal="left" vertical="center" wrapText="1" shrinkToFit="1"/>
    </xf>
    <xf numFmtId="0" fontId="9" fillId="0" borderId="39" xfId="0" applyFont="1" applyBorder="1" applyAlignment="1">
      <alignment horizontal="left" vertical="center" shrinkToFit="1"/>
    </xf>
    <xf numFmtId="0" fontId="9" fillId="0" borderId="38" xfId="0" applyFont="1" applyBorder="1" applyAlignment="1">
      <alignment horizontal="left" vertical="center" shrinkToFit="1"/>
    </xf>
    <xf numFmtId="0" fontId="9" fillId="0" borderId="41" xfId="0" applyFont="1" applyBorder="1" applyAlignment="1">
      <alignment horizontal="left" vertical="center" wrapText="1" shrinkToFit="1"/>
    </xf>
    <xf numFmtId="0" fontId="9" fillId="0" borderId="41" xfId="0" applyFont="1" applyBorder="1" applyAlignment="1">
      <alignment horizontal="left" vertical="center" shrinkToFit="1"/>
    </xf>
    <xf numFmtId="0" fontId="9" fillId="0" borderId="42" xfId="0" applyFont="1" applyBorder="1" applyAlignment="1">
      <alignment horizontal="left" vertical="center" shrinkToFit="1"/>
    </xf>
    <xf numFmtId="0" fontId="9" fillId="0" borderId="6" xfId="0" applyFont="1" applyBorder="1" applyAlignment="1">
      <alignment horizontal="left" vertical="center" wrapText="1" shrinkToFit="1"/>
    </xf>
    <xf numFmtId="0" fontId="9" fillId="0" borderId="6" xfId="0" applyFont="1" applyBorder="1" applyAlignment="1">
      <alignment horizontal="left" vertical="center" shrinkToFit="1"/>
    </xf>
    <xf numFmtId="0" fontId="9" fillId="0" borderId="12" xfId="0" applyFont="1" applyBorder="1" applyAlignment="1">
      <alignment horizontal="left" vertical="center" shrinkToFit="1"/>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22" xfId="0" applyFont="1" applyBorder="1" applyAlignment="1">
      <alignment horizontal="left" vertical="center" wrapText="1" shrinkToFit="1"/>
    </xf>
    <xf numFmtId="0" fontId="9" fillId="0" borderId="22" xfId="0" applyFont="1" applyBorder="1" applyAlignment="1">
      <alignment horizontal="left" vertical="center" shrinkToFit="1"/>
    </xf>
    <xf numFmtId="0" fontId="9" fillId="0" borderId="21" xfId="0" applyFont="1" applyBorder="1" applyAlignment="1">
      <alignment horizontal="left" vertical="center" shrinkToFit="1"/>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8" fillId="0" borderId="37" xfId="0" applyFont="1" applyBorder="1" applyAlignment="1">
      <alignment vertical="center"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8" fillId="0" borderId="40"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8" fillId="0" borderId="0" xfId="0" applyFont="1" applyAlignment="1">
      <alignment vertical="center" wrapText="1"/>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37" xfId="0" applyFont="1" applyBorder="1" applyAlignment="1">
      <alignment horizontal="left" vertical="center"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9" fillId="0" borderId="0" xfId="0" applyFont="1" applyAlignment="1">
      <alignment horizontal="center" vertical="center"/>
    </xf>
    <xf numFmtId="0" fontId="17" fillId="0" borderId="0" xfId="0" applyFont="1" applyAlignment="1">
      <alignment horizontal="center" vertical="center"/>
    </xf>
    <xf numFmtId="0" fontId="8" fillId="0" borderId="7" xfId="0" applyFont="1" applyBorder="1" applyAlignment="1">
      <alignment horizontal="left" vertical="top" wrapText="1" shrinkToFit="1"/>
    </xf>
    <xf numFmtId="0" fontId="8" fillId="0" borderId="8" xfId="0" applyFont="1" applyBorder="1" applyAlignment="1">
      <alignment horizontal="left" vertical="top" shrinkToFit="1"/>
    </xf>
    <xf numFmtId="0" fontId="8" fillId="0" borderId="9" xfId="0" applyFont="1" applyBorder="1" applyAlignment="1">
      <alignment horizontal="left" vertical="top" shrinkToFit="1"/>
    </xf>
    <xf numFmtId="0" fontId="8" fillId="0" borderId="5" xfId="0" applyFont="1" applyBorder="1" applyAlignment="1">
      <alignment horizontal="left" vertical="top" shrinkToFit="1"/>
    </xf>
    <xf numFmtId="0" fontId="8" fillId="0" borderId="0" xfId="0" applyFont="1" applyAlignment="1">
      <alignment horizontal="left" vertical="top" shrinkToFit="1"/>
    </xf>
    <xf numFmtId="0" fontId="8" fillId="0" borderId="10" xfId="0" applyFont="1" applyBorder="1" applyAlignment="1">
      <alignment horizontal="left" vertical="top" shrinkToFit="1"/>
    </xf>
    <xf numFmtId="0" fontId="8" fillId="0" borderId="11" xfId="0" applyFont="1" applyBorder="1" applyAlignment="1">
      <alignment horizontal="left" vertical="top" shrinkToFit="1"/>
    </xf>
    <xf numFmtId="0" fontId="8" fillId="0" borderId="6" xfId="0" applyFont="1" applyBorder="1" applyAlignment="1">
      <alignment horizontal="left" vertical="top" shrinkToFit="1"/>
    </xf>
    <xf numFmtId="0" fontId="8" fillId="0" borderId="12" xfId="0" applyFont="1" applyBorder="1" applyAlignment="1">
      <alignment horizontal="left" vertical="top" shrinkToFit="1"/>
    </xf>
    <xf numFmtId="0" fontId="9" fillId="0" borderId="7" xfId="0" applyFont="1" applyBorder="1" applyAlignment="1">
      <alignment vertical="center" wrapText="1" shrinkToFit="1"/>
    </xf>
    <xf numFmtId="0" fontId="9" fillId="0" borderId="8" xfId="0" applyFont="1" applyBorder="1" applyAlignment="1">
      <alignment vertical="center" shrinkToFit="1"/>
    </xf>
    <xf numFmtId="0" fontId="9" fillId="0" borderId="9" xfId="0" applyFont="1" applyBorder="1" applyAlignment="1">
      <alignment vertical="center" shrinkToFit="1"/>
    </xf>
    <xf numFmtId="0" fontId="9" fillId="0" borderId="5" xfId="0" applyFont="1" applyBorder="1" applyAlignment="1">
      <alignment vertical="center" shrinkToFit="1"/>
    </xf>
    <xf numFmtId="0" fontId="9" fillId="0" borderId="0" xfId="0" applyFont="1" applyAlignment="1">
      <alignment vertical="center" shrinkToFit="1"/>
    </xf>
    <xf numFmtId="0" fontId="9" fillId="0" borderId="10" xfId="0" applyFont="1" applyBorder="1" applyAlignment="1">
      <alignment vertical="center" shrinkToFit="1"/>
    </xf>
    <xf numFmtId="0" fontId="9" fillId="0" borderId="11" xfId="0" applyFont="1" applyBorder="1" applyAlignment="1">
      <alignment vertical="center" shrinkToFit="1"/>
    </xf>
    <xf numFmtId="0" fontId="9" fillId="0" borderId="2" xfId="0" applyFont="1" applyBorder="1" applyAlignment="1">
      <alignment horizontal="left" vertical="center" wrapText="1" shrinkToFit="1"/>
    </xf>
    <xf numFmtId="0" fontId="9" fillId="0" borderId="3" xfId="0" applyFont="1" applyBorder="1" applyAlignment="1">
      <alignment horizontal="left" vertical="center" wrapText="1" shrinkToFit="1"/>
    </xf>
    <xf numFmtId="0" fontId="9" fillId="0" borderId="4" xfId="0" applyFont="1" applyBorder="1" applyAlignment="1">
      <alignment horizontal="left" vertical="center" wrapText="1" shrinkToFit="1"/>
    </xf>
    <xf numFmtId="0" fontId="2" fillId="0" borderId="0" xfId="0" applyFont="1" applyAlignment="1">
      <alignment horizontal="right" vertical="center"/>
    </xf>
    <xf numFmtId="0" fontId="14" fillId="0" borderId="0" xfId="0" applyFont="1" applyAlignment="1">
      <alignment horizontal="center" vertical="center"/>
    </xf>
    <xf numFmtId="0" fontId="3" fillId="0" borderId="2" xfId="0" applyFont="1" applyBorder="1" applyAlignment="1">
      <alignment horizontal="center" vertical="center" shrinkToFit="1"/>
    </xf>
    <xf numFmtId="0" fontId="3" fillId="0" borderId="4" xfId="0"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5" fillId="0" borderId="8" xfId="0" applyFont="1" applyBorder="1" applyAlignment="1">
      <alignment horizontal="center" vertical="center" wrapText="1"/>
    </xf>
    <xf numFmtId="0" fontId="15" fillId="0" borderId="6" xfId="0" applyFont="1" applyBorder="1" applyAlignment="1">
      <alignment horizontal="center" vertical="center"/>
    </xf>
    <xf numFmtId="0" fontId="15" fillId="0" borderId="7" xfId="0" applyFont="1" applyBorder="1" applyAlignment="1">
      <alignment horizontal="center" vertical="center" wrapText="1"/>
    </xf>
    <xf numFmtId="0" fontId="15"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6" fillId="0" borderId="15" xfId="0" applyFont="1" applyBorder="1" applyAlignment="1">
      <alignment horizontal="center" vertical="center" wrapText="1"/>
    </xf>
    <xf numFmtId="0" fontId="16" fillId="0" borderId="13" xfId="0" applyFont="1" applyBorder="1" applyAlignment="1">
      <alignment horizontal="center" vertical="center"/>
    </xf>
    <xf numFmtId="0" fontId="15" fillId="0" borderId="9" xfId="0" applyFont="1" applyBorder="1" applyAlignment="1">
      <alignment horizontal="center" vertical="center"/>
    </xf>
    <xf numFmtId="0" fontId="15" fillId="0" borderId="12" xfId="0" applyFont="1" applyBorder="1" applyAlignment="1">
      <alignment horizontal="center" vertical="center"/>
    </xf>
    <xf numFmtId="0" fontId="22" fillId="0" borderId="16" xfId="0" applyFont="1" applyBorder="1" applyAlignment="1">
      <alignment vertical="top" wrapText="1" shrinkToFit="1"/>
    </xf>
    <xf numFmtId="0" fontId="22" fillId="0" borderId="22" xfId="0" applyFont="1" applyBorder="1" applyAlignment="1">
      <alignment vertical="top" shrinkToFit="1"/>
    </xf>
    <xf numFmtId="0" fontId="22" fillId="0" borderId="21" xfId="0" applyFont="1" applyBorder="1" applyAlignment="1">
      <alignment vertical="top" shrinkToFit="1"/>
    </xf>
    <xf numFmtId="0" fontId="22" fillId="0" borderId="5" xfId="0" applyFont="1" applyBorder="1" applyAlignment="1">
      <alignment vertical="top" shrinkToFit="1"/>
    </xf>
    <xf numFmtId="0" fontId="22" fillId="0" borderId="0" xfId="0" applyFont="1" applyAlignment="1">
      <alignment vertical="top" shrinkToFit="1"/>
    </xf>
    <xf numFmtId="0" fontId="22" fillId="0" borderId="10" xfId="0" applyFont="1" applyBorder="1" applyAlignment="1">
      <alignment vertical="top" shrinkToFit="1"/>
    </xf>
    <xf numFmtId="0" fontId="22" fillId="0" borderId="11" xfId="0" applyFont="1" applyBorder="1" applyAlignment="1">
      <alignment vertical="top" shrinkToFit="1"/>
    </xf>
    <xf numFmtId="0" fontId="22" fillId="0" borderId="6" xfId="0" applyFont="1" applyBorder="1" applyAlignment="1">
      <alignment vertical="top" shrinkToFit="1"/>
    </xf>
    <xf numFmtId="0" fontId="22" fillId="0" borderId="12" xfId="0" applyFont="1" applyBorder="1" applyAlignment="1">
      <alignment vertical="top" shrinkToFit="1"/>
    </xf>
    <xf numFmtId="0" fontId="22" fillId="0" borderId="2" xfId="0" applyFont="1" applyBorder="1" applyAlignment="1">
      <alignment vertical="center" shrinkToFit="1"/>
    </xf>
    <xf numFmtId="0" fontId="22" fillId="0" borderId="3" xfId="0" applyFont="1" applyBorder="1" applyAlignment="1">
      <alignment vertical="center" shrinkToFit="1"/>
    </xf>
    <xf numFmtId="0" fontId="22" fillId="0" borderId="4" xfId="0" applyFont="1" applyBorder="1" applyAlignment="1">
      <alignment vertical="center" shrinkToFit="1"/>
    </xf>
    <xf numFmtId="0" fontId="22" fillId="0" borderId="7" xfId="0" applyFont="1" applyBorder="1" applyAlignment="1">
      <alignment vertical="top" wrapText="1" shrinkToFit="1"/>
    </xf>
    <xf numFmtId="0" fontId="22" fillId="0" borderId="8" xfId="0" applyFont="1" applyBorder="1" applyAlignment="1">
      <alignment vertical="top" wrapText="1" shrinkToFit="1"/>
    </xf>
    <xf numFmtId="0" fontId="22" fillId="0" borderId="8" xfId="0" applyFont="1" applyBorder="1" applyAlignment="1">
      <alignment vertical="top" shrinkToFit="1"/>
    </xf>
    <xf numFmtId="0" fontId="22" fillId="0" borderId="9" xfId="0" applyFont="1" applyBorder="1" applyAlignment="1">
      <alignment vertical="top" shrinkToFit="1"/>
    </xf>
    <xf numFmtId="0" fontId="22" fillId="0" borderId="19" xfId="0" applyFont="1" applyBorder="1" applyAlignment="1">
      <alignment horizontal="center" vertical="center" shrinkToFit="1"/>
    </xf>
    <xf numFmtId="0" fontId="22" fillId="0" borderId="20" xfId="0" applyFont="1" applyBorder="1" applyAlignment="1">
      <alignment horizontal="center" vertical="center" shrinkToFit="1"/>
    </xf>
    <xf numFmtId="0" fontId="22" fillId="0" borderId="18" xfId="0" applyFont="1" applyBorder="1" applyAlignment="1">
      <alignment horizontal="center" vertical="center" shrinkToFit="1"/>
    </xf>
    <xf numFmtId="0" fontId="23" fillId="0" borderId="7" xfId="0" applyFont="1" applyBorder="1" applyAlignment="1">
      <alignment vertical="top" wrapText="1" shrinkToFit="1"/>
    </xf>
    <xf numFmtId="0" fontId="23" fillId="0" borderId="8" xfId="0" applyFont="1" applyBorder="1" applyAlignment="1">
      <alignment vertical="top" wrapText="1" shrinkToFit="1"/>
    </xf>
    <xf numFmtId="0" fontId="22" fillId="0" borderId="9" xfId="0" applyFont="1" applyBorder="1" applyAlignment="1">
      <alignment vertical="top" wrapText="1" shrinkToFit="1"/>
    </xf>
    <xf numFmtId="0" fontId="22" fillId="0" borderId="5" xfId="0" applyFont="1" applyBorder="1" applyAlignment="1">
      <alignment vertical="top" wrapText="1" shrinkToFit="1"/>
    </xf>
    <xf numFmtId="0" fontId="22" fillId="0" borderId="0" xfId="0" applyFont="1" applyAlignment="1">
      <alignment vertical="top" wrapText="1" shrinkToFit="1"/>
    </xf>
    <xf numFmtId="0" fontId="22" fillId="0" borderId="10" xfId="0" applyFont="1" applyBorder="1" applyAlignment="1">
      <alignment vertical="top" wrapText="1" shrinkToFit="1"/>
    </xf>
    <xf numFmtId="0" fontId="22" fillId="0" borderId="11" xfId="0" applyFont="1" applyBorder="1" applyAlignment="1">
      <alignment vertical="top" wrapText="1" shrinkToFit="1"/>
    </xf>
    <xf numFmtId="0" fontId="22" fillId="0" borderId="6" xfId="0" applyFont="1" applyBorder="1" applyAlignment="1">
      <alignment vertical="top" wrapText="1" shrinkToFit="1"/>
    </xf>
    <xf numFmtId="0" fontId="22" fillId="0" borderId="12" xfId="0" applyFont="1" applyBorder="1" applyAlignment="1">
      <alignment vertical="top" wrapText="1" shrinkToFit="1"/>
    </xf>
    <xf numFmtId="0" fontId="23" fillId="0" borderId="6" xfId="0" applyFont="1" applyBorder="1" applyAlignment="1">
      <alignment vertical="center"/>
    </xf>
    <xf numFmtId="0" fontId="23" fillId="0" borderId="17" xfId="0" applyFont="1" applyBorder="1" applyAlignment="1">
      <alignment vertical="center"/>
    </xf>
    <xf numFmtId="0" fontId="27" fillId="0" borderId="18" xfId="0" applyFont="1" applyBorder="1" applyAlignment="1">
      <alignment vertical="center"/>
    </xf>
    <xf numFmtId="0" fontId="22" fillId="0" borderId="19" xfId="0" applyFont="1" applyBorder="1" applyAlignment="1">
      <alignment vertical="top" wrapText="1" shrinkToFit="1"/>
    </xf>
    <xf numFmtId="0" fontId="22" fillId="0" borderId="20" xfId="0" applyFont="1" applyBorder="1" applyAlignment="1">
      <alignment vertical="top" wrapText="1" shrinkToFit="1"/>
    </xf>
    <xf numFmtId="0" fontId="22" fillId="0" borderId="18" xfId="0" applyFont="1" applyBorder="1" applyAlignment="1">
      <alignment vertical="top" wrapText="1" shrinkToFit="1"/>
    </xf>
    <xf numFmtId="0" fontId="25" fillId="0" borderId="0" xfId="0" applyFont="1" applyAlignment="1">
      <alignment horizontal="center" vertical="center"/>
    </xf>
    <xf numFmtId="0" fontId="23" fillId="0" borderId="2" xfId="0" applyFont="1" applyBorder="1" applyAlignment="1">
      <alignment horizontal="center" vertical="center"/>
    </xf>
    <xf numFmtId="0" fontId="23" fillId="0" borderId="3" xfId="0" applyFont="1" applyBorder="1" applyAlignment="1">
      <alignment horizontal="center" vertical="center"/>
    </xf>
    <xf numFmtId="0" fontId="23" fillId="0" borderId="4" xfId="0" applyFont="1" applyBorder="1" applyAlignment="1">
      <alignment horizontal="center" vertical="center"/>
    </xf>
    <xf numFmtId="0" fontId="22" fillId="0" borderId="3" xfId="0" applyFont="1" applyBorder="1" applyAlignment="1">
      <alignment horizontal="center" vertical="center"/>
    </xf>
    <xf numFmtId="0" fontId="22" fillId="0" borderId="4" xfId="0" applyFont="1" applyBorder="1" applyAlignment="1">
      <alignment horizontal="center" vertical="center"/>
    </xf>
    <xf numFmtId="0" fontId="23" fillId="0" borderId="17" xfId="0" applyFont="1" applyBorder="1" applyAlignment="1">
      <alignment vertical="center" wrapText="1"/>
    </xf>
    <xf numFmtId="0" fontId="23" fillId="0" borderId="18" xfId="0" applyFont="1" applyBorder="1" applyAlignment="1">
      <alignment vertical="center" wrapText="1"/>
    </xf>
    <xf numFmtId="0" fontId="23" fillId="0" borderId="11" xfId="0" applyFont="1" applyBorder="1" applyAlignment="1">
      <alignment vertical="center" wrapText="1"/>
    </xf>
    <xf numFmtId="0" fontId="23" fillId="0" borderId="6" xfId="0" applyFont="1" applyBorder="1" applyAlignment="1">
      <alignment vertical="center" wrapText="1"/>
    </xf>
    <xf numFmtId="0" fontId="23" fillId="0" borderId="12" xfId="0" applyFont="1" applyBorder="1" applyAlignment="1">
      <alignment vertical="center" wrapText="1"/>
    </xf>
    <xf numFmtId="0" fontId="7" fillId="0" borderId="2" xfId="2" applyBorder="1" applyAlignment="1">
      <alignment horizontal="center" vertical="center" shrinkToFit="1"/>
    </xf>
    <xf numFmtId="0" fontId="11" fillId="0" borderId="3" xfId="2" applyFont="1" applyBorder="1" applyAlignment="1">
      <alignment horizontal="center" vertical="center" shrinkToFit="1"/>
    </xf>
    <xf numFmtId="0" fontId="11" fillId="0" borderId="4" xfId="2" applyFont="1" applyBorder="1" applyAlignment="1">
      <alignment horizontal="center" vertical="center" shrinkToFit="1"/>
    </xf>
    <xf numFmtId="0" fontId="23" fillId="0" borderId="19" xfId="0" applyFont="1" applyBorder="1" applyAlignment="1">
      <alignment vertical="center" wrapText="1"/>
    </xf>
    <xf numFmtId="0" fontId="23" fillId="0" borderId="20" xfId="0" applyFont="1" applyBorder="1" applyAlignment="1">
      <alignment vertical="center" wrapText="1"/>
    </xf>
  </cellXfs>
  <cellStyles count="4">
    <cellStyle name="Hyperlink" xfId="3" xr:uid="{00000000-000B-0000-0000-000008000000}"/>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gakusei-kyomu@toba-cmt.ac.jp"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toba-cmt.ac.jp/datascience/"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toba-cmt.ac.jp/jkoukai/kyoikujoho/datascience/"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koho.s.toba-cmt.ac.jp/wp/wp-content/uploads/jikotenkenhyoka.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5"/>
  <sheetViews>
    <sheetView tabSelected="1" view="pageBreakPreview" zoomScaleNormal="100" zoomScaleSheetLayoutView="100" workbookViewId="0">
      <selection activeCell="C18" sqref="C18"/>
    </sheetView>
  </sheetViews>
  <sheetFormatPr defaultColWidth="9" defaultRowHeight="18.75" customHeight="1" x14ac:dyDescent="0.15"/>
  <cols>
    <col min="1" max="1" width="3.375" style="8" customWidth="1"/>
    <col min="2" max="2" width="11.125" style="8" customWidth="1"/>
    <col min="3" max="8" width="6.625" style="8" customWidth="1"/>
    <col min="9" max="9" width="3.375" style="8" customWidth="1"/>
    <col min="10" max="10" width="10" style="8" customWidth="1"/>
    <col min="11" max="11" width="3.375" style="8" customWidth="1"/>
    <col min="12" max="12" width="7.75" style="8" customWidth="1"/>
    <col min="13" max="13" width="3.375" style="8" customWidth="1"/>
    <col min="14" max="14" width="4.5" style="8" customWidth="1"/>
    <col min="15" max="15" width="9" style="20"/>
    <col min="16" max="16384" width="9" style="7"/>
  </cols>
  <sheetData>
    <row r="1" spans="1:15" ht="24" customHeight="1" x14ac:dyDescent="0.15">
      <c r="M1" s="139" t="s">
        <v>0</v>
      </c>
      <c r="N1" s="139"/>
    </row>
    <row r="2" spans="1:15" ht="24" customHeight="1" x14ac:dyDescent="0.15">
      <c r="A2" s="142" t="s">
        <v>1</v>
      </c>
      <c r="B2" s="142"/>
      <c r="C2" s="142"/>
      <c r="D2" s="142"/>
      <c r="E2" s="142"/>
      <c r="F2" s="142"/>
      <c r="G2" s="142"/>
      <c r="H2" s="142"/>
      <c r="I2" s="142"/>
      <c r="J2" s="142"/>
      <c r="K2" s="142"/>
      <c r="L2" s="142"/>
      <c r="M2" s="142"/>
      <c r="N2" s="142"/>
    </row>
    <row r="3" spans="1:15" ht="24" customHeight="1" x14ac:dyDescent="0.15"/>
    <row r="4" spans="1:15" ht="24" customHeight="1" x14ac:dyDescent="0.15">
      <c r="A4" s="8" t="s">
        <v>2</v>
      </c>
      <c r="B4" s="8" t="s">
        <v>3</v>
      </c>
      <c r="C4" s="129" t="s">
        <v>4</v>
      </c>
      <c r="D4" s="130"/>
      <c r="E4" s="130"/>
      <c r="F4" s="130"/>
      <c r="G4" s="130"/>
      <c r="H4" s="130"/>
      <c r="I4" s="130"/>
      <c r="J4" s="130"/>
      <c r="K4" s="130"/>
      <c r="L4" s="130"/>
      <c r="M4" s="130"/>
      <c r="N4" s="131"/>
      <c r="O4" s="20" t="str">
        <f>IF(C4="","入力してください","")</f>
        <v/>
      </c>
    </row>
    <row r="5" spans="1:15" ht="7.5" customHeight="1" x14ac:dyDescent="0.15">
      <c r="E5" s="9"/>
      <c r="F5" s="22"/>
      <c r="G5" s="22"/>
      <c r="H5" s="22"/>
      <c r="I5" s="22"/>
      <c r="J5" s="22"/>
      <c r="K5" s="22"/>
      <c r="L5" s="22"/>
      <c r="M5" s="22"/>
      <c r="N5" s="22"/>
    </row>
    <row r="6" spans="1:15" ht="24" customHeight="1" x14ac:dyDescent="0.15">
      <c r="A6" s="8" t="s">
        <v>5</v>
      </c>
      <c r="B6" s="8" t="s">
        <v>6</v>
      </c>
      <c r="D6" s="129" t="s">
        <v>7</v>
      </c>
      <c r="E6" s="130"/>
      <c r="F6" s="130"/>
      <c r="G6" s="130"/>
      <c r="H6" s="131"/>
      <c r="I6" s="8" t="s">
        <v>8</v>
      </c>
      <c r="J6" s="22" t="s">
        <v>9</v>
      </c>
      <c r="K6" s="129" t="s">
        <v>10</v>
      </c>
      <c r="L6" s="130"/>
      <c r="M6" s="130"/>
      <c r="N6" s="131"/>
      <c r="O6" s="20" t="str">
        <f>IF(D6="","入力してください","")</f>
        <v/>
      </c>
    </row>
    <row r="7" spans="1:15" ht="7.5" customHeight="1" x14ac:dyDescent="0.15">
      <c r="E7" s="9"/>
      <c r="F7" s="22"/>
      <c r="G7" s="22"/>
      <c r="H7" s="22"/>
      <c r="I7" s="22"/>
      <c r="J7" s="22"/>
      <c r="K7" s="22"/>
      <c r="L7" s="22"/>
      <c r="M7" s="22"/>
      <c r="N7" s="22"/>
    </row>
    <row r="8" spans="1:15" ht="24" customHeight="1" x14ac:dyDescent="0.15">
      <c r="A8" s="8" t="s">
        <v>11</v>
      </c>
      <c r="B8" s="8" t="s">
        <v>12</v>
      </c>
      <c r="C8" s="129" t="s">
        <v>13</v>
      </c>
      <c r="D8" s="130"/>
      <c r="E8" s="130"/>
      <c r="F8" s="130"/>
      <c r="G8" s="130"/>
      <c r="H8" s="130"/>
      <c r="I8" s="130"/>
      <c r="J8" s="130"/>
      <c r="K8" s="130"/>
      <c r="L8" s="130"/>
      <c r="M8" s="130"/>
      <c r="N8" s="131"/>
      <c r="O8" s="20" t="str">
        <f>IF(C8="","入力してください","")</f>
        <v/>
      </c>
    </row>
    <row r="9" spans="1:15" ht="7.5" customHeight="1" x14ac:dyDescent="0.15">
      <c r="E9" s="9"/>
      <c r="F9" s="22"/>
      <c r="G9" s="22"/>
      <c r="H9" s="22"/>
      <c r="I9" s="22"/>
      <c r="J9" s="22"/>
      <c r="K9" s="22"/>
      <c r="L9" s="22"/>
      <c r="M9" s="22"/>
      <c r="N9" s="22"/>
    </row>
    <row r="10" spans="1:15" ht="24" customHeight="1" x14ac:dyDescent="0.15">
      <c r="A10" s="8" t="s">
        <v>14</v>
      </c>
      <c r="B10" s="8" t="s">
        <v>15</v>
      </c>
      <c r="E10" s="129" t="s">
        <v>16</v>
      </c>
      <c r="F10" s="130"/>
      <c r="G10" s="130"/>
      <c r="H10" s="130"/>
      <c r="I10" s="130"/>
      <c r="J10" s="130"/>
      <c r="K10" s="130"/>
      <c r="L10" s="130"/>
      <c r="M10" s="130"/>
      <c r="N10" s="131"/>
      <c r="O10" s="20" t="str">
        <f>IF(E10="","入力してください","")</f>
        <v/>
      </c>
    </row>
    <row r="11" spans="1:15" ht="7.5" customHeight="1" x14ac:dyDescent="0.15">
      <c r="B11" s="9"/>
      <c r="C11" s="9"/>
      <c r="D11" s="9"/>
      <c r="E11" s="9"/>
      <c r="F11" s="22"/>
      <c r="G11" s="22"/>
      <c r="H11" s="22"/>
      <c r="I11" s="22"/>
      <c r="J11" s="22"/>
      <c r="K11" s="22"/>
      <c r="L11" s="22"/>
      <c r="M11" s="22"/>
      <c r="N11" s="22"/>
    </row>
    <row r="12" spans="1:15" ht="24" customHeight="1" x14ac:dyDescent="0.15">
      <c r="A12" s="8" t="s">
        <v>17</v>
      </c>
      <c r="B12" s="9" t="s">
        <v>18</v>
      </c>
      <c r="C12" s="9"/>
      <c r="D12" s="9"/>
      <c r="E12" s="143" t="s">
        <v>19</v>
      </c>
      <c r="F12" s="144"/>
      <c r="G12" s="8" t="s">
        <v>20</v>
      </c>
      <c r="H12" s="8" t="s">
        <v>21</v>
      </c>
      <c r="N12" s="85" t="s">
        <v>22</v>
      </c>
      <c r="O12" s="20" t="str">
        <f>IF(E12="","入力してください","")</f>
        <v/>
      </c>
    </row>
    <row r="13" spans="1:15" ht="7.5" customHeight="1" x14ac:dyDescent="0.15">
      <c r="B13" s="9"/>
      <c r="C13" s="9"/>
      <c r="D13" s="9"/>
      <c r="E13" s="9"/>
      <c r="F13" s="22"/>
      <c r="G13" s="22"/>
      <c r="H13" s="22"/>
      <c r="I13" s="22"/>
      <c r="J13" s="22"/>
      <c r="K13" s="22"/>
      <c r="L13" s="22"/>
      <c r="M13" s="22"/>
      <c r="N13" s="22"/>
    </row>
    <row r="14" spans="1:15" ht="24" customHeight="1" x14ac:dyDescent="0.15">
      <c r="A14" s="8" t="s">
        <v>23</v>
      </c>
      <c r="B14" s="8" t="s">
        <v>24</v>
      </c>
      <c r="C14" s="139" t="s">
        <v>25</v>
      </c>
      <c r="D14" s="140"/>
      <c r="E14" s="132">
        <v>54</v>
      </c>
      <c r="F14" s="133"/>
      <c r="G14" s="10" t="s">
        <v>26</v>
      </c>
      <c r="I14" s="139" t="s">
        <v>27</v>
      </c>
      <c r="J14" s="140"/>
      <c r="K14" s="132">
        <v>13</v>
      </c>
      <c r="L14" s="141"/>
      <c r="M14" s="133"/>
      <c r="N14" s="11" t="s">
        <v>26</v>
      </c>
      <c r="O14" s="20" t="str">
        <f>IF(OR(E14="",K14=""),"入力してください","")</f>
        <v/>
      </c>
    </row>
    <row r="15" spans="1:15" ht="7.5" customHeight="1" x14ac:dyDescent="0.15">
      <c r="M15" s="11"/>
      <c r="N15" s="11"/>
    </row>
    <row r="16" spans="1:15" ht="24" customHeight="1" x14ac:dyDescent="0.15">
      <c r="A16" s="8" t="s">
        <v>28</v>
      </c>
      <c r="B16" s="8" t="s">
        <v>29</v>
      </c>
      <c r="K16" s="143">
        <f>5+3</f>
        <v>8</v>
      </c>
      <c r="L16" s="145"/>
      <c r="M16" s="144"/>
      <c r="N16" s="11" t="s">
        <v>26</v>
      </c>
      <c r="O16" s="20" t="str">
        <f>IF(K16="","入力してください","")</f>
        <v/>
      </c>
    </row>
    <row r="17" spans="1:15" ht="7.5" customHeight="1" x14ac:dyDescent="0.15">
      <c r="M17" s="11"/>
      <c r="N17" s="11"/>
    </row>
    <row r="18" spans="1:15" ht="24" customHeight="1" x14ac:dyDescent="0.15">
      <c r="A18" s="8" t="s">
        <v>30</v>
      </c>
      <c r="B18" s="8" t="s">
        <v>31</v>
      </c>
      <c r="E18" s="132">
        <v>120</v>
      </c>
      <c r="F18" s="133"/>
      <c r="G18" s="12" t="s">
        <v>32</v>
      </c>
      <c r="K18" s="149"/>
      <c r="L18" s="149"/>
      <c r="M18" s="149"/>
      <c r="N18" s="149"/>
      <c r="O18" s="20" t="str">
        <f>IF(E18="","入力してください","")</f>
        <v/>
      </c>
    </row>
    <row r="19" spans="1:15" ht="7.5" customHeight="1" x14ac:dyDescent="0.15">
      <c r="E19" s="4"/>
      <c r="L19" s="18"/>
      <c r="M19" s="18"/>
      <c r="N19" s="11"/>
    </row>
    <row r="20" spans="1:15" ht="24" customHeight="1" x14ac:dyDescent="0.15">
      <c r="A20" s="8" t="s">
        <v>33</v>
      </c>
      <c r="B20" s="8" t="s">
        <v>34</v>
      </c>
      <c r="E20" s="4"/>
      <c r="H20" s="8" t="s">
        <v>35</v>
      </c>
      <c r="J20" s="146">
        <v>659</v>
      </c>
      <c r="K20" s="147"/>
      <c r="L20" s="148"/>
      <c r="M20" s="18" t="s">
        <v>26</v>
      </c>
      <c r="N20" s="11"/>
      <c r="O20" s="20" t="str">
        <f>IF(J20="","入力してください","")</f>
        <v/>
      </c>
    </row>
    <row r="21" spans="1:15" ht="7.5" customHeight="1" x14ac:dyDescent="0.15">
      <c r="E21" s="4"/>
      <c r="L21" s="18"/>
      <c r="M21" s="18"/>
      <c r="N21" s="11"/>
    </row>
    <row r="22" spans="1:15" ht="24" customHeight="1" x14ac:dyDescent="0.15">
      <c r="B22" s="18" t="s">
        <v>36</v>
      </c>
      <c r="C22" s="132">
        <v>128</v>
      </c>
      <c r="D22" s="133"/>
      <c r="E22" s="4" t="s">
        <v>26</v>
      </c>
      <c r="G22" s="128" t="s">
        <v>37</v>
      </c>
      <c r="H22" s="128"/>
      <c r="I22" s="132">
        <v>129</v>
      </c>
      <c r="J22" s="133"/>
      <c r="K22" s="8" t="s">
        <v>26</v>
      </c>
      <c r="M22" s="18"/>
      <c r="N22" s="11"/>
    </row>
    <row r="23" spans="1:15" ht="7.5" customHeight="1" x14ac:dyDescent="0.15">
      <c r="B23" s="18"/>
      <c r="C23" s="5"/>
      <c r="D23" s="5"/>
      <c r="E23" s="4"/>
      <c r="G23" s="18"/>
      <c r="H23" s="18"/>
      <c r="I23" s="5"/>
      <c r="J23" s="5"/>
      <c r="M23" s="18"/>
      <c r="N23" s="11"/>
    </row>
    <row r="24" spans="1:15" ht="24" customHeight="1" x14ac:dyDescent="0.15">
      <c r="B24" s="18" t="s">
        <v>38</v>
      </c>
      <c r="C24" s="132">
        <v>121</v>
      </c>
      <c r="D24" s="133"/>
      <c r="E24" s="4" t="s">
        <v>26</v>
      </c>
      <c r="G24" s="128" t="s">
        <v>39</v>
      </c>
      <c r="H24" s="128"/>
      <c r="I24" s="132">
        <v>115</v>
      </c>
      <c r="J24" s="133"/>
      <c r="K24" s="8" t="s">
        <v>26</v>
      </c>
      <c r="M24" s="18"/>
      <c r="N24" s="11"/>
    </row>
    <row r="25" spans="1:15" ht="7.5" customHeight="1" x14ac:dyDescent="0.15">
      <c r="B25" s="18"/>
      <c r="C25" s="5"/>
      <c r="D25" s="5"/>
      <c r="E25" s="4"/>
      <c r="G25" s="18"/>
      <c r="H25" s="18"/>
      <c r="I25" s="5"/>
      <c r="J25" s="5"/>
      <c r="M25" s="18"/>
      <c r="N25" s="11"/>
    </row>
    <row r="26" spans="1:15" ht="24" customHeight="1" x14ac:dyDescent="0.15">
      <c r="B26" s="18" t="s">
        <v>40</v>
      </c>
      <c r="C26" s="132">
        <v>132</v>
      </c>
      <c r="D26" s="133"/>
      <c r="E26" s="4" t="s">
        <v>26</v>
      </c>
      <c r="G26" s="128" t="s">
        <v>41</v>
      </c>
      <c r="H26" s="128"/>
      <c r="I26" s="132">
        <v>34</v>
      </c>
      <c r="J26" s="133"/>
      <c r="K26" s="8" t="s">
        <v>26</v>
      </c>
      <c r="M26" s="18"/>
      <c r="N26" s="11"/>
    </row>
    <row r="27" spans="1:15" ht="7.5" customHeight="1" x14ac:dyDescent="0.15">
      <c r="M27" s="13"/>
      <c r="N27" s="13"/>
    </row>
    <row r="28" spans="1:15" ht="24" customHeight="1" x14ac:dyDescent="0.15">
      <c r="A28" s="8" t="s">
        <v>42</v>
      </c>
      <c r="B28" s="8" t="s">
        <v>43</v>
      </c>
      <c r="G28" s="22"/>
      <c r="H28" s="22"/>
      <c r="I28" s="22"/>
      <c r="J28" s="14"/>
      <c r="K28" s="14"/>
      <c r="L28" s="14"/>
      <c r="M28" s="14"/>
      <c r="N28" s="14"/>
    </row>
    <row r="29" spans="1:15" s="8" customFormat="1" ht="24" customHeight="1" x14ac:dyDescent="0.15">
      <c r="B29" s="136" t="s">
        <v>44</v>
      </c>
      <c r="C29" s="136"/>
      <c r="D29" s="129" t="s">
        <v>45</v>
      </c>
      <c r="E29" s="130"/>
      <c r="F29" s="130"/>
      <c r="G29" s="137" t="s">
        <v>46</v>
      </c>
      <c r="H29" s="136"/>
      <c r="I29" s="138"/>
      <c r="J29" s="129" t="s">
        <v>47</v>
      </c>
      <c r="K29" s="130"/>
      <c r="L29" s="130"/>
      <c r="M29" s="130"/>
      <c r="N29" s="131"/>
      <c r="O29" s="20" t="str">
        <f>IF(OR(D29="",J29=""),"入力してください","")</f>
        <v/>
      </c>
    </row>
    <row r="30" spans="1:15" ht="7.5" customHeight="1" x14ac:dyDescent="0.15">
      <c r="M30" s="13"/>
      <c r="N30" s="13"/>
    </row>
    <row r="31" spans="1:15" ht="24" customHeight="1" x14ac:dyDescent="0.15">
      <c r="A31" s="8" t="s">
        <v>48</v>
      </c>
      <c r="B31" s="8" t="s">
        <v>49</v>
      </c>
      <c r="G31" s="14"/>
      <c r="H31" s="14"/>
      <c r="I31" s="14"/>
      <c r="J31" s="14"/>
      <c r="K31" s="14"/>
      <c r="L31" s="14"/>
      <c r="M31" s="14"/>
      <c r="N31" s="14"/>
    </row>
    <row r="32" spans="1:15" ht="24" customHeight="1" x14ac:dyDescent="0.15">
      <c r="B32" s="129" t="s">
        <v>50</v>
      </c>
      <c r="C32" s="130"/>
      <c r="D32" s="130"/>
      <c r="E32" s="130"/>
      <c r="F32" s="130"/>
      <c r="G32" s="130"/>
      <c r="H32" s="130"/>
      <c r="I32" s="130"/>
      <c r="J32" s="130"/>
      <c r="K32" s="130"/>
      <c r="L32" s="130"/>
      <c r="M32" s="130"/>
      <c r="N32" s="131"/>
      <c r="O32" s="20" t="str">
        <f>IF(B32="","入力してください","")</f>
        <v/>
      </c>
    </row>
    <row r="33" spans="1:15" ht="7.5" customHeight="1" x14ac:dyDescent="0.15">
      <c r="B33" s="6"/>
      <c r="C33" s="6"/>
      <c r="D33" s="6"/>
      <c r="E33" s="6"/>
      <c r="F33" s="6"/>
      <c r="G33" s="6"/>
      <c r="H33" s="6"/>
      <c r="I33" s="6"/>
      <c r="J33" s="6"/>
      <c r="K33" s="6"/>
      <c r="L33" s="6"/>
      <c r="M33" s="6"/>
      <c r="N33" s="6"/>
    </row>
    <row r="34" spans="1:15" s="8" customFormat="1" ht="24" customHeight="1" x14ac:dyDescent="0.15">
      <c r="B34" s="136" t="s">
        <v>44</v>
      </c>
      <c r="C34" s="136"/>
      <c r="D34" s="129" t="s">
        <v>51</v>
      </c>
      <c r="E34" s="130"/>
      <c r="F34" s="130"/>
      <c r="G34" s="137" t="s">
        <v>46</v>
      </c>
      <c r="H34" s="136"/>
      <c r="I34" s="138"/>
      <c r="J34" s="129" t="s">
        <v>52</v>
      </c>
      <c r="K34" s="130"/>
      <c r="L34" s="130"/>
      <c r="M34" s="130"/>
      <c r="N34" s="131"/>
      <c r="O34" s="20" t="str">
        <f>IF(OR(D34="",J34=""),"入力してください","")</f>
        <v/>
      </c>
    </row>
    <row r="35" spans="1:15" ht="7.5" customHeight="1" x14ac:dyDescent="0.15">
      <c r="F35" s="22"/>
      <c r="G35" s="22"/>
      <c r="H35" s="22"/>
      <c r="I35" s="22"/>
      <c r="J35" s="22"/>
      <c r="K35" s="22"/>
      <c r="L35" s="22"/>
      <c r="M35" s="22"/>
      <c r="N35" s="22"/>
    </row>
    <row r="36" spans="1:15" ht="24" customHeight="1" x14ac:dyDescent="0.15">
      <c r="A36" s="8" t="s">
        <v>53</v>
      </c>
      <c r="B36" s="8" t="s">
        <v>54</v>
      </c>
      <c r="M36" s="13"/>
      <c r="N36" s="13"/>
    </row>
    <row r="37" spans="1:15" ht="24" customHeight="1" x14ac:dyDescent="0.15">
      <c r="B37" s="129" t="s">
        <v>55</v>
      </c>
      <c r="C37" s="130"/>
      <c r="D37" s="130"/>
      <c r="E37" s="130"/>
      <c r="F37" s="130"/>
      <c r="G37" s="130"/>
      <c r="H37" s="130"/>
      <c r="I37" s="130"/>
      <c r="J37" s="130"/>
      <c r="K37" s="130"/>
      <c r="L37" s="130"/>
      <c r="M37" s="130"/>
      <c r="N37" s="131"/>
      <c r="O37" s="20" t="str">
        <f>IF(B37="","入力してください","")</f>
        <v/>
      </c>
    </row>
    <row r="38" spans="1:15" ht="7.5" customHeight="1" x14ac:dyDescent="0.15">
      <c r="F38" s="22"/>
      <c r="G38" s="22"/>
      <c r="H38" s="22"/>
      <c r="I38" s="22"/>
      <c r="J38" s="22"/>
      <c r="K38" s="22"/>
      <c r="L38" s="22"/>
      <c r="M38" s="22"/>
      <c r="N38" s="22"/>
    </row>
    <row r="39" spans="1:15" s="8" customFormat="1" ht="24" customHeight="1" x14ac:dyDescent="0.15">
      <c r="B39" s="136" t="s">
        <v>44</v>
      </c>
      <c r="C39" s="136"/>
      <c r="D39" s="129" t="s">
        <v>56</v>
      </c>
      <c r="E39" s="130"/>
      <c r="F39" s="130"/>
      <c r="G39" s="137" t="s">
        <v>46</v>
      </c>
      <c r="H39" s="136"/>
      <c r="I39" s="138"/>
      <c r="J39" s="129" t="s">
        <v>47</v>
      </c>
      <c r="K39" s="130"/>
      <c r="L39" s="130"/>
      <c r="M39" s="130"/>
      <c r="N39" s="131"/>
      <c r="O39" s="20" t="str">
        <f>IF(OR(D39="",J39=""),"入力してください","")</f>
        <v/>
      </c>
    </row>
    <row r="40" spans="1:15" ht="7.5" customHeight="1" x14ac:dyDescent="0.15">
      <c r="F40" s="22"/>
      <c r="G40" s="22"/>
      <c r="H40" s="22"/>
      <c r="I40" s="22"/>
      <c r="J40" s="22"/>
      <c r="K40" s="22"/>
      <c r="L40" s="22"/>
      <c r="M40" s="22"/>
      <c r="N40" s="22"/>
    </row>
    <row r="41" spans="1:15" ht="24" customHeight="1" x14ac:dyDescent="0.15">
      <c r="A41" s="8" t="s">
        <v>57</v>
      </c>
      <c r="B41" s="8" t="s">
        <v>58</v>
      </c>
      <c r="E41" s="56"/>
      <c r="F41" s="129" t="s">
        <v>59</v>
      </c>
      <c r="G41" s="130"/>
      <c r="H41" s="130"/>
      <c r="I41" s="130"/>
      <c r="J41" s="130"/>
      <c r="K41" s="130"/>
      <c r="L41" s="130"/>
      <c r="M41" s="130"/>
      <c r="N41" s="131"/>
      <c r="O41" s="20" t="str">
        <f>IF(F41="","入力してください","")</f>
        <v/>
      </c>
    </row>
    <row r="42" spans="1:15" ht="7.5" customHeight="1" x14ac:dyDescent="0.15">
      <c r="F42" s="22"/>
      <c r="G42" s="22"/>
      <c r="H42" s="22"/>
      <c r="I42" s="22"/>
      <c r="J42" s="22"/>
      <c r="K42" s="22"/>
      <c r="L42" s="22"/>
      <c r="M42" s="22"/>
      <c r="N42" s="22"/>
    </row>
    <row r="43" spans="1:15" ht="24" customHeight="1" x14ac:dyDescent="0.15">
      <c r="A43" s="8" t="s">
        <v>60</v>
      </c>
    </row>
    <row r="44" spans="1:15" ht="24" customHeight="1" x14ac:dyDescent="0.15">
      <c r="B44" s="19" t="s">
        <v>61</v>
      </c>
      <c r="C44" s="134" t="s">
        <v>62</v>
      </c>
      <c r="D44" s="135"/>
      <c r="E44" s="135"/>
      <c r="F44" s="135"/>
      <c r="G44" s="135"/>
      <c r="H44" s="135"/>
      <c r="I44" s="16" t="s">
        <v>63</v>
      </c>
      <c r="J44" s="17"/>
      <c r="K44" s="129" t="s">
        <v>64</v>
      </c>
      <c r="L44" s="130"/>
      <c r="M44" s="130"/>
      <c r="N44" s="131"/>
      <c r="O44" s="20" t="str">
        <f>IF(OR(C44="",K44=""),"入力してください","")</f>
        <v/>
      </c>
    </row>
    <row r="45" spans="1:15" ht="24" customHeight="1" x14ac:dyDescent="0.15">
      <c r="B45" s="15" t="s">
        <v>65</v>
      </c>
      <c r="C45" s="122" t="s">
        <v>66</v>
      </c>
      <c r="D45" s="123"/>
      <c r="E45" s="123"/>
      <c r="F45" s="123"/>
      <c r="G45" s="123"/>
      <c r="H45" s="124"/>
      <c r="I45" s="16" t="s">
        <v>67</v>
      </c>
      <c r="J45" s="17"/>
      <c r="K45" s="125" t="s">
        <v>68</v>
      </c>
      <c r="L45" s="126"/>
      <c r="M45" s="126"/>
      <c r="N45" s="127"/>
      <c r="O45" s="20" t="str">
        <f>IF(OR(C45="",K45=""),"入力してください","")</f>
        <v/>
      </c>
    </row>
  </sheetData>
  <mergeCells count="44">
    <mergeCell ref="K16:M16"/>
    <mergeCell ref="J20:L20"/>
    <mergeCell ref="G22:H22"/>
    <mergeCell ref="B29:C29"/>
    <mergeCell ref="D29:F29"/>
    <mergeCell ref="G29:I29"/>
    <mergeCell ref="C26:D26"/>
    <mergeCell ref="I22:J22"/>
    <mergeCell ref="C22:D22"/>
    <mergeCell ref="K18:N18"/>
    <mergeCell ref="E18:F18"/>
    <mergeCell ref="J39:N39"/>
    <mergeCell ref="B32:N32"/>
    <mergeCell ref="B37:N37"/>
    <mergeCell ref="G26:H26"/>
    <mergeCell ref="I26:J26"/>
    <mergeCell ref="M1:N1"/>
    <mergeCell ref="C14:D14"/>
    <mergeCell ref="C8:N8"/>
    <mergeCell ref="K14:M14"/>
    <mergeCell ref="C4:N4"/>
    <mergeCell ref="A2:N2"/>
    <mergeCell ref="E14:F14"/>
    <mergeCell ref="I14:J14"/>
    <mergeCell ref="E10:N10"/>
    <mergeCell ref="K6:N6"/>
    <mergeCell ref="D6:H6"/>
    <mergeCell ref="E12:F12"/>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s>
  <phoneticPr fontId="1"/>
  <dataValidations count="3">
    <dataValidation type="list" allowBlank="1" showInputMessage="1" showErrorMessage="1" sqref="K6" xr:uid="{00000000-0002-0000-0000-000000000000}">
      <formula1>"国立大学, 公立大学, 私立大学, 短期大学, 高等専門学校, その他"</formula1>
    </dataValidation>
    <dataValidation type="list" allowBlank="1" showInputMessage="1" showErrorMessage="1" sqref="N12" xr:uid="{D7335FEE-BE60-4567-BD4C-9C6067E6E05E}">
      <formula1>"有,無"</formula1>
    </dataValidation>
    <dataValidation type="list" allowBlank="1" showInputMessage="1" showErrorMessage="1" sqref="F41:N41" xr:uid="{09D83600-D3A0-4D64-B0DD-6C0D3C17CB04}">
      <formula1>"認定教育プログラム,認定教育プログラム+（プラス）,認定教育プログラムと認定教育プログラム+（プラス）"</formula1>
    </dataValidation>
  </dataValidations>
  <hyperlinks>
    <hyperlink ref="C45:H45" r:id="rId1" display="gakusei-kyomu@toba-cmt.ac.jp" xr:uid="{88477FC7-D5B5-47C0-884B-3F9204BB8804}"/>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05AFE-9562-44B9-9A88-6B9CB9E72712}">
  <dimension ref="A1:Z98"/>
  <sheetViews>
    <sheetView showZeros="0" view="pageBreakPreview" zoomScaleNormal="100" zoomScaleSheetLayoutView="100" workbookViewId="0">
      <selection activeCell="O97" sqref="O97"/>
    </sheetView>
  </sheetViews>
  <sheetFormatPr defaultColWidth="9" defaultRowHeight="18.75" customHeight="1" x14ac:dyDescent="0.15"/>
  <cols>
    <col min="1" max="1" width="2.5" style="7" customWidth="1"/>
    <col min="2" max="2" width="27.75" style="7" customWidth="1"/>
    <col min="3" max="13" width="3.375" style="7" customWidth="1"/>
    <col min="14" max="14" width="8.875" style="7" customWidth="1"/>
    <col min="15" max="15" width="18.875" style="7" customWidth="1"/>
    <col min="16" max="19" width="3.375" style="7" customWidth="1"/>
    <col min="20" max="20" width="3.5" style="7" customWidth="1"/>
    <col min="21" max="26" width="3.375" style="7" customWidth="1"/>
    <col min="27" max="16384" width="9" style="7"/>
  </cols>
  <sheetData>
    <row r="1" spans="1:26" ht="15" customHeight="1" x14ac:dyDescent="0.15">
      <c r="W1" s="236" t="s">
        <v>69</v>
      </c>
      <c r="X1" s="236"/>
      <c r="Y1" s="236"/>
      <c r="Z1" s="236"/>
    </row>
    <row r="2" spans="1:26" ht="18" customHeight="1" x14ac:dyDescent="0.15">
      <c r="A2" s="237" t="s">
        <v>70</v>
      </c>
      <c r="B2" s="237"/>
      <c r="C2" s="237"/>
      <c r="D2" s="237"/>
      <c r="E2" s="237"/>
      <c r="F2" s="237"/>
      <c r="G2" s="237"/>
      <c r="H2" s="237"/>
      <c r="I2" s="237"/>
      <c r="J2" s="237"/>
      <c r="K2" s="237"/>
      <c r="L2" s="237"/>
      <c r="M2" s="237"/>
      <c r="N2" s="237"/>
      <c r="O2" s="237"/>
      <c r="P2" s="237"/>
      <c r="Q2" s="237"/>
      <c r="R2" s="237"/>
      <c r="S2" s="237"/>
      <c r="T2" s="237"/>
      <c r="U2" s="237"/>
      <c r="V2" s="237"/>
      <c r="W2" s="237"/>
      <c r="X2" s="237"/>
      <c r="Y2" s="237"/>
      <c r="Z2" s="237"/>
    </row>
    <row r="3" spans="1:26" ht="15" customHeight="1" x14ac:dyDescent="0.15">
      <c r="B3" s="18"/>
      <c r="C3" s="18"/>
      <c r="D3" s="18"/>
      <c r="E3" s="18"/>
      <c r="F3" s="18"/>
      <c r="G3" s="18"/>
      <c r="H3" s="18"/>
      <c r="I3" s="18"/>
      <c r="J3" s="18"/>
      <c r="K3" s="18"/>
      <c r="L3" s="18"/>
      <c r="M3" s="18"/>
      <c r="N3" s="18"/>
      <c r="O3" s="18"/>
      <c r="P3" s="18"/>
      <c r="Q3" s="18"/>
      <c r="R3" s="18"/>
      <c r="S3" s="18"/>
      <c r="T3" s="18"/>
      <c r="U3" s="18"/>
      <c r="V3" s="18"/>
      <c r="W3" s="18"/>
      <c r="X3" s="18"/>
      <c r="Y3" s="18"/>
      <c r="Z3" s="18"/>
    </row>
    <row r="4" spans="1:26" ht="18" customHeight="1" x14ac:dyDescent="0.15">
      <c r="A4" s="7" t="s">
        <v>71</v>
      </c>
      <c r="B4" s="18"/>
      <c r="C4" s="18"/>
      <c r="D4" s="18"/>
      <c r="E4" s="18"/>
      <c r="F4" s="18"/>
      <c r="G4" s="18"/>
      <c r="H4" s="8" t="s">
        <v>72</v>
      </c>
      <c r="I4" s="18"/>
      <c r="J4" s="18"/>
      <c r="K4" s="18"/>
      <c r="L4" s="18"/>
      <c r="M4" s="18"/>
      <c r="N4" s="18"/>
      <c r="O4" s="143" t="s">
        <v>73</v>
      </c>
      <c r="P4" s="145"/>
      <c r="Q4" s="145"/>
      <c r="R4" s="145"/>
      <c r="S4" s="145"/>
      <c r="T4" s="145"/>
      <c r="U4" s="145"/>
      <c r="V4" s="145"/>
      <c r="W4" s="145"/>
      <c r="X4" s="145"/>
      <c r="Y4" s="145"/>
      <c r="Z4" s="144"/>
    </row>
    <row r="5" spans="1:26" ht="6" customHeight="1" x14ac:dyDescent="0.15">
      <c r="B5" s="18"/>
      <c r="C5" s="18"/>
      <c r="D5" s="18"/>
      <c r="E5" s="18"/>
      <c r="F5" s="18"/>
      <c r="G5" s="18"/>
      <c r="H5" s="18"/>
      <c r="I5" s="18"/>
      <c r="J5" s="18"/>
      <c r="K5" s="18"/>
      <c r="L5" s="18"/>
      <c r="M5" s="18"/>
      <c r="N5" s="18"/>
      <c r="O5" s="9"/>
      <c r="P5" s="18"/>
      <c r="Q5" s="18"/>
      <c r="R5" s="18"/>
      <c r="S5" s="18"/>
      <c r="T5" s="18"/>
      <c r="U5" s="18"/>
      <c r="V5" s="18"/>
      <c r="W5" s="18"/>
      <c r="X5" s="18"/>
      <c r="Y5" s="18"/>
      <c r="Z5" s="18"/>
    </row>
    <row r="6" spans="1:26" ht="18" customHeight="1" x14ac:dyDescent="0.15">
      <c r="B6" s="238" t="s">
        <v>74</v>
      </c>
      <c r="C6" s="239"/>
      <c r="D6" s="239"/>
      <c r="E6" s="239"/>
      <c r="F6" s="239"/>
      <c r="G6" s="239"/>
      <c r="H6" s="239"/>
      <c r="I6" s="239"/>
      <c r="J6" s="239"/>
      <c r="K6" s="239"/>
      <c r="L6" s="239"/>
      <c r="M6" s="239"/>
      <c r="N6" s="239"/>
      <c r="O6" s="239"/>
      <c r="P6" s="239"/>
      <c r="Q6" s="239"/>
      <c r="R6" s="239"/>
      <c r="S6" s="239"/>
      <c r="T6" s="239"/>
      <c r="U6" s="239"/>
      <c r="V6" s="239"/>
      <c r="W6" s="239"/>
      <c r="X6" s="239"/>
      <c r="Y6" s="239"/>
      <c r="Z6" s="240"/>
    </row>
    <row r="7" spans="1:26" ht="18" customHeight="1" x14ac:dyDescent="0.15">
      <c r="B7" s="241"/>
      <c r="C7" s="242"/>
      <c r="D7" s="242"/>
      <c r="E7" s="242"/>
      <c r="F7" s="242"/>
      <c r="G7" s="242"/>
      <c r="H7" s="242"/>
      <c r="I7" s="242"/>
      <c r="J7" s="242"/>
      <c r="K7" s="242"/>
      <c r="L7" s="242"/>
      <c r="M7" s="242"/>
      <c r="N7" s="242"/>
      <c r="O7" s="242"/>
      <c r="P7" s="242"/>
      <c r="Q7" s="242"/>
      <c r="R7" s="242"/>
      <c r="S7" s="242"/>
      <c r="T7" s="242"/>
      <c r="U7" s="242"/>
      <c r="V7" s="242"/>
      <c r="W7" s="242"/>
      <c r="X7" s="242"/>
      <c r="Y7" s="242"/>
      <c r="Z7" s="243"/>
    </row>
    <row r="8" spans="1:26" ht="18" customHeight="1" x14ac:dyDescent="0.15">
      <c r="B8" s="241"/>
      <c r="C8" s="242"/>
      <c r="D8" s="242"/>
      <c r="E8" s="242"/>
      <c r="F8" s="242"/>
      <c r="G8" s="242"/>
      <c r="H8" s="242"/>
      <c r="I8" s="242"/>
      <c r="J8" s="242"/>
      <c r="K8" s="242"/>
      <c r="L8" s="242"/>
      <c r="M8" s="242"/>
      <c r="N8" s="242"/>
      <c r="O8" s="242"/>
      <c r="P8" s="242"/>
      <c r="Q8" s="242"/>
      <c r="R8" s="242"/>
      <c r="S8" s="242"/>
      <c r="T8" s="242"/>
      <c r="U8" s="242"/>
      <c r="V8" s="242"/>
      <c r="W8" s="242"/>
      <c r="X8" s="242"/>
      <c r="Y8" s="242"/>
      <c r="Z8" s="243"/>
    </row>
    <row r="9" spans="1:26" ht="18" customHeight="1" x14ac:dyDescent="0.15">
      <c r="B9" s="241"/>
      <c r="C9" s="242"/>
      <c r="D9" s="242"/>
      <c r="E9" s="242"/>
      <c r="F9" s="242"/>
      <c r="G9" s="242"/>
      <c r="H9" s="242"/>
      <c r="I9" s="242"/>
      <c r="J9" s="242"/>
      <c r="K9" s="242"/>
      <c r="L9" s="242"/>
      <c r="M9" s="242"/>
      <c r="N9" s="242"/>
      <c r="O9" s="242"/>
      <c r="P9" s="242"/>
      <c r="Q9" s="242"/>
      <c r="R9" s="242"/>
      <c r="S9" s="242"/>
      <c r="T9" s="242"/>
      <c r="U9" s="242"/>
      <c r="V9" s="242"/>
      <c r="W9" s="242"/>
      <c r="X9" s="242"/>
      <c r="Y9" s="242"/>
      <c r="Z9" s="243"/>
    </row>
    <row r="10" spans="1:26" ht="18" customHeight="1" x14ac:dyDescent="0.15">
      <c r="B10" s="241"/>
      <c r="C10" s="242"/>
      <c r="D10" s="242"/>
      <c r="E10" s="242"/>
      <c r="F10" s="242"/>
      <c r="G10" s="242"/>
      <c r="H10" s="242"/>
      <c r="I10" s="242"/>
      <c r="J10" s="242"/>
      <c r="K10" s="242"/>
      <c r="L10" s="242"/>
      <c r="M10" s="242"/>
      <c r="N10" s="242"/>
      <c r="O10" s="242"/>
      <c r="P10" s="242"/>
      <c r="Q10" s="242"/>
      <c r="R10" s="242"/>
      <c r="S10" s="242"/>
      <c r="T10" s="242"/>
      <c r="U10" s="242"/>
      <c r="V10" s="242"/>
      <c r="W10" s="242"/>
      <c r="X10" s="242"/>
      <c r="Y10" s="242"/>
      <c r="Z10" s="243"/>
    </row>
    <row r="11" spans="1:26" ht="18" customHeight="1" x14ac:dyDescent="0.15">
      <c r="B11" s="244"/>
      <c r="C11" s="245"/>
      <c r="D11" s="245"/>
      <c r="E11" s="245"/>
      <c r="F11" s="245"/>
      <c r="G11" s="245"/>
      <c r="H11" s="245"/>
      <c r="I11" s="245"/>
      <c r="J11" s="245"/>
      <c r="K11" s="245"/>
      <c r="L11" s="245"/>
      <c r="M11" s="245"/>
      <c r="N11" s="245"/>
      <c r="O11" s="245"/>
      <c r="P11" s="245"/>
      <c r="Q11" s="245"/>
      <c r="R11" s="245"/>
      <c r="S11" s="245"/>
      <c r="T11" s="245"/>
      <c r="U11" s="245"/>
      <c r="V11" s="245"/>
      <c r="W11" s="245"/>
      <c r="X11" s="245"/>
      <c r="Y11" s="245"/>
      <c r="Z11" s="246"/>
    </row>
    <row r="12" spans="1:26" ht="7.5" customHeight="1" x14ac:dyDescent="0.15">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spans="1:26" ht="18" customHeight="1" x14ac:dyDescent="0.15">
      <c r="A13" s="229" t="s">
        <v>75</v>
      </c>
      <c r="B13" s="229"/>
      <c r="C13" s="229"/>
      <c r="D13" s="229"/>
      <c r="E13" s="229"/>
      <c r="F13" s="229"/>
      <c r="G13" s="229"/>
      <c r="H13" s="229"/>
      <c r="I13" s="229"/>
      <c r="J13" s="229"/>
      <c r="K13" s="229"/>
      <c r="L13" s="229"/>
      <c r="M13" s="229"/>
      <c r="N13" s="229"/>
      <c r="O13" s="229"/>
      <c r="P13" s="229"/>
      <c r="Q13" s="229"/>
      <c r="R13" s="229"/>
      <c r="S13" s="229"/>
      <c r="T13" s="229"/>
      <c r="U13" s="229"/>
      <c r="V13" s="229"/>
      <c r="W13" s="229"/>
      <c r="X13" s="229"/>
      <c r="Y13" s="229"/>
      <c r="Z13" s="229"/>
    </row>
    <row r="14" spans="1:26" ht="18" customHeight="1" x14ac:dyDescent="0.15">
      <c r="A14" s="229"/>
      <c r="B14" s="229"/>
      <c r="C14" s="229"/>
      <c r="D14" s="229"/>
      <c r="E14" s="229"/>
      <c r="F14" s="229"/>
      <c r="G14" s="229"/>
      <c r="H14" s="229"/>
      <c r="I14" s="229"/>
      <c r="J14" s="229"/>
      <c r="K14" s="229"/>
      <c r="L14" s="229"/>
      <c r="M14" s="229"/>
      <c r="N14" s="229"/>
      <c r="O14" s="229"/>
      <c r="P14" s="229"/>
      <c r="Q14" s="229"/>
      <c r="R14" s="229"/>
      <c r="S14" s="229"/>
      <c r="T14" s="229"/>
      <c r="U14" s="229"/>
      <c r="V14" s="229"/>
      <c r="W14" s="229"/>
      <c r="X14" s="229"/>
      <c r="Y14" s="229"/>
      <c r="Z14" s="229"/>
    </row>
    <row r="15" spans="1:26" ht="18" customHeight="1" x14ac:dyDescent="0.15">
      <c r="A15" s="8"/>
      <c r="B15" s="143" t="s">
        <v>76</v>
      </c>
      <c r="C15" s="145"/>
      <c r="D15" s="145"/>
      <c r="E15" s="145"/>
      <c r="F15" s="144"/>
      <c r="G15" s="19" t="s">
        <v>77</v>
      </c>
      <c r="H15" s="81" t="s">
        <v>78</v>
      </c>
      <c r="I15" s="145" t="s">
        <v>79</v>
      </c>
      <c r="J15" s="145"/>
      <c r="K15" s="145"/>
      <c r="L15" s="57" t="s">
        <v>80</v>
      </c>
      <c r="M15" s="57" t="s">
        <v>81</v>
      </c>
      <c r="N15" s="143" t="s">
        <v>76</v>
      </c>
      <c r="O15" s="145"/>
      <c r="P15" s="145"/>
      <c r="Q15" s="145"/>
      <c r="R15" s="145"/>
      <c r="S15" s="144"/>
      <c r="T15" s="19" t="s">
        <v>77</v>
      </c>
      <c r="U15" s="81" t="s">
        <v>78</v>
      </c>
      <c r="V15" s="145" t="s">
        <v>79</v>
      </c>
      <c r="W15" s="145"/>
      <c r="X15" s="145"/>
      <c r="Y15" s="57" t="s">
        <v>80</v>
      </c>
      <c r="Z15" s="57" t="s">
        <v>81</v>
      </c>
    </row>
    <row r="16" spans="1:26" ht="18" customHeight="1" x14ac:dyDescent="0.15">
      <c r="A16" s="8"/>
      <c r="B16" s="233" t="s">
        <v>82</v>
      </c>
      <c r="C16" s="234"/>
      <c r="D16" s="234"/>
      <c r="E16" s="234"/>
      <c r="F16" s="235"/>
      <c r="G16" s="82">
        <v>1</v>
      </c>
      <c r="H16" s="82" t="s">
        <v>83</v>
      </c>
      <c r="I16" s="223" t="s">
        <v>84</v>
      </c>
      <c r="J16" s="224"/>
      <c r="K16" s="225"/>
      <c r="L16" s="82" t="s">
        <v>83</v>
      </c>
      <c r="M16" s="82" t="s">
        <v>83</v>
      </c>
      <c r="N16" s="208"/>
      <c r="O16" s="209"/>
      <c r="P16" s="209"/>
      <c r="Q16" s="209"/>
      <c r="R16" s="209"/>
      <c r="S16" s="210"/>
      <c r="T16" s="82"/>
      <c r="U16" s="82"/>
      <c r="V16" s="223"/>
      <c r="W16" s="224"/>
      <c r="X16" s="225"/>
      <c r="Y16" s="82"/>
      <c r="Z16" s="82"/>
    </row>
    <row r="17" spans="1:26" ht="18" customHeight="1" x14ac:dyDescent="0.15">
      <c r="A17" s="8"/>
      <c r="B17" s="230"/>
      <c r="C17" s="231"/>
      <c r="D17" s="231"/>
      <c r="E17" s="231"/>
      <c r="F17" s="232"/>
      <c r="G17" s="83"/>
      <c r="H17" s="83"/>
      <c r="I17" s="220"/>
      <c r="J17" s="221"/>
      <c r="K17" s="222"/>
      <c r="L17" s="83"/>
      <c r="M17" s="83"/>
      <c r="N17" s="202"/>
      <c r="O17" s="203"/>
      <c r="P17" s="203"/>
      <c r="Q17" s="203"/>
      <c r="R17" s="203"/>
      <c r="S17" s="204"/>
      <c r="T17" s="83"/>
      <c r="U17" s="83"/>
      <c r="V17" s="220"/>
      <c r="W17" s="221"/>
      <c r="X17" s="222"/>
      <c r="Y17" s="83"/>
      <c r="Z17" s="83"/>
    </row>
    <row r="18" spans="1:26" ht="18" customHeight="1" x14ac:dyDescent="0.15">
      <c r="A18" s="8"/>
      <c r="B18" s="230"/>
      <c r="C18" s="231"/>
      <c r="D18" s="231"/>
      <c r="E18" s="231"/>
      <c r="F18" s="232"/>
      <c r="G18" s="83"/>
      <c r="H18" s="83"/>
      <c r="I18" s="220"/>
      <c r="J18" s="221"/>
      <c r="K18" s="222"/>
      <c r="L18" s="83"/>
      <c r="M18" s="83"/>
      <c r="N18" s="202"/>
      <c r="O18" s="203"/>
      <c r="P18" s="203"/>
      <c r="Q18" s="203"/>
      <c r="R18" s="203"/>
      <c r="S18" s="204"/>
      <c r="T18" s="83"/>
      <c r="U18" s="83"/>
      <c r="V18" s="220"/>
      <c r="W18" s="221"/>
      <c r="X18" s="222"/>
      <c r="Y18" s="83"/>
      <c r="Z18" s="83"/>
    </row>
    <row r="19" spans="1:26" ht="18" customHeight="1" x14ac:dyDescent="0.15">
      <c r="A19" s="8"/>
      <c r="B19" s="230"/>
      <c r="C19" s="231"/>
      <c r="D19" s="231"/>
      <c r="E19" s="231"/>
      <c r="F19" s="232"/>
      <c r="G19" s="83"/>
      <c r="H19" s="83"/>
      <c r="I19" s="220"/>
      <c r="J19" s="221"/>
      <c r="K19" s="222"/>
      <c r="L19" s="83"/>
      <c r="M19" s="83"/>
      <c r="N19" s="202"/>
      <c r="O19" s="203"/>
      <c r="P19" s="203"/>
      <c r="Q19" s="203"/>
      <c r="R19" s="203"/>
      <c r="S19" s="204"/>
      <c r="T19" s="83"/>
      <c r="U19" s="83"/>
      <c r="V19" s="220"/>
      <c r="W19" s="221"/>
      <c r="X19" s="222"/>
      <c r="Y19" s="83"/>
      <c r="Z19" s="83"/>
    </row>
    <row r="20" spans="1:26" ht="18" customHeight="1" x14ac:dyDescent="0.15">
      <c r="A20" s="8"/>
      <c r="B20" s="230"/>
      <c r="C20" s="231"/>
      <c r="D20" s="231"/>
      <c r="E20" s="231"/>
      <c r="F20" s="232"/>
      <c r="G20" s="83"/>
      <c r="H20" s="83"/>
      <c r="I20" s="220"/>
      <c r="J20" s="221"/>
      <c r="K20" s="222"/>
      <c r="L20" s="83"/>
      <c r="M20" s="83"/>
      <c r="N20" s="202"/>
      <c r="O20" s="203"/>
      <c r="P20" s="203"/>
      <c r="Q20" s="203"/>
      <c r="R20" s="203"/>
      <c r="S20" s="204"/>
      <c r="T20" s="83"/>
      <c r="U20" s="83"/>
      <c r="V20" s="220"/>
      <c r="W20" s="221"/>
      <c r="X20" s="222"/>
      <c r="Y20" s="83"/>
      <c r="Z20" s="83"/>
    </row>
    <row r="21" spans="1:26" ht="18" customHeight="1" x14ac:dyDescent="0.15">
      <c r="A21" s="18"/>
      <c r="B21" s="230"/>
      <c r="C21" s="231"/>
      <c r="D21" s="231"/>
      <c r="E21" s="231"/>
      <c r="F21" s="232"/>
      <c r="G21" s="83"/>
      <c r="H21" s="83"/>
      <c r="I21" s="220"/>
      <c r="J21" s="221"/>
      <c r="K21" s="222"/>
      <c r="L21" s="83"/>
      <c r="M21" s="83"/>
      <c r="N21" s="202"/>
      <c r="O21" s="203"/>
      <c r="P21" s="203"/>
      <c r="Q21" s="203"/>
      <c r="R21" s="203"/>
      <c r="S21" s="204"/>
      <c r="T21" s="83"/>
      <c r="U21" s="83"/>
      <c r="V21" s="220"/>
      <c r="W21" s="221"/>
      <c r="X21" s="222"/>
      <c r="Y21" s="83"/>
      <c r="Z21" s="83"/>
    </row>
    <row r="22" spans="1:26" ht="18" customHeight="1" x14ac:dyDescent="0.15">
      <c r="A22" s="18"/>
      <c r="B22" s="226"/>
      <c r="C22" s="227"/>
      <c r="D22" s="227"/>
      <c r="E22" s="227"/>
      <c r="F22" s="228"/>
      <c r="G22" s="84"/>
      <c r="H22" s="84"/>
      <c r="I22" s="214"/>
      <c r="J22" s="215"/>
      <c r="K22" s="216"/>
      <c r="L22" s="86"/>
      <c r="M22" s="86"/>
      <c r="N22" s="191"/>
      <c r="O22" s="192"/>
      <c r="P22" s="192"/>
      <c r="Q22" s="192"/>
      <c r="R22" s="192"/>
      <c r="S22" s="193"/>
      <c r="T22" s="84"/>
      <c r="U22" s="84"/>
      <c r="V22" s="214"/>
      <c r="W22" s="215"/>
      <c r="X22" s="216"/>
      <c r="Y22" s="86"/>
      <c r="Z22" s="86"/>
    </row>
    <row r="23" spans="1:26" ht="7.5" customHeight="1" x14ac:dyDescent="0.15">
      <c r="A23" s="18"/>
      <c r="B23" s="22"/>
      <c r="C23" s="22"/>
      <c r="D23" s="18"/>
      <c r="E23" s="18"/>
      <c r="F23" s="18"/>
      <c r="G23" s="18"/>
      <c r="H23" s="18"/>
      <c r="I23" s="18"/>
      <c r="J23" s="18"/>
      <c r="K23" s="18"/>
      <c r="L23" s="22"/>
      <c r="M23" s="22"/>
      <c r="N23" s="22"/>
      <c r="O23" s="22"/>
      <c r="P23" s="22"/>
      <c r="Q23" s="22"/>
      <c r="R23" s="22"/>
      <c r="S23" s="22"/>
      <c r="T23" s="22"/>
      <c r="U23" s="22"/>
      <c r="V23" s="22"/>
      <c r="W23" s="22"/>
      <c r="X23" s="22"/>
      <c r="Y23" s="22"/>
      <c r="Z23" s="18"/>
    </row>
    <row r="24" spans="1:26" ht="18" customHeight="1" x14ac:dyDescent="0.15">
      <c r="A24" s="229" t="s">
        <v>85</v>
      </c>
      <c r="B24" s="229"/>
      <c r="C24" s="229"/>
      <c r="D24" s="229"/>
      <c r="E24" s="229"/>
      <c r="F24" s="229"/>
      <c r="G24" s="229"/>
      <c r="H24" s="229"/>
      <c r="I24" s="229"/>
      <c r="J24" s="229"/>
      <c r="K24" s="229"/>
      <c r="L24" s="229"/>
      <c r="M24" s="229"/>
      <c r="N24" s="229"/>
      <c r="O24" s="229"/>
      <c r="P24" s="229"/>
      <c r="Q24" s="229"/>
      <c r="R24" s="229"/>
      <c r="S24" s="229"/>
      <c r="T24" s="229"/>
      <c r="U24" s="229"/>
      <c r="V24" s="229"/>
      <c r="W24" s="229"/>
      <c r="X24" s="229"/>
      <c r="Y24" s="229"/>
      <c r="Z24" s="229"/>
    </row>
    <row r="25" spans="1:26" ht="18" customHeight="1" x14ac:dyDescent="0.15">
      <c r="A25" s="229"/>
      <c r="B25" s="229"/>
      <c r="C25" s="229"/>
      <c r="D25" s="229"/>
      <c r="E25" s="229"/>
      <c r="F25" s="229"/>
      <c r="G25" s="229"/>
      <c r="H25" s="229"/>
      <c r="I25" s="229"/>
      <c r="J25" s="229"/>
      <c r="K25" s="229"/>
      <c r="L25" s="229"/>
      <c r="M25" s="229"/>
      <c r="N25" s="229"/>
      <c r="O25" s="229"/>
      <c r="P25" s="229"/>
      <c r="Q25" s="229"/>
      <c r="R25" s="229"/>
      <c r="S25" s="229"/>
      <c r="T25" s="229"/>
      <c r="U25" s="229"/>
      <c r="V25" s="229"/>
      <c r="W25" s="229"/>
      <c r="X25" s="229"/>
      <c r="Y25" s="229"/>
      <c r="Z25" s="229"/>
    </row>
    <row r="26" spans="1:26" ht="18" customHeight="1" x14ac:dyDescent="0.15">
      <c r="A26" s="8"/>
      <c r="B26" s="143" t="s">
        <v>76</v>
      </c>
      <c r="C26" s="145"/>
      <c r="D26" s="145"/>
      <c r="E26" s="145"/>
      <c r="F26" s="144"/>
      <c r="G26" s="19" t="s">
        <v>77</v>
      </c>
      <c r="H26" s="81" t="s">
        <v>78</v>
      </c>
      <c r="I26" s="145" t="s">
        <v>79</v>
      </c>
      <c r="J26" s="145"/>
      <c r="K26" s="145"/>
      <c r="L26" s="57" t="s">
        <v>86</v>
      </c>
      <c r="M26" s="57" t="s">
        <v>87</v>
      </c>
      <c r="N26" s="143" t="s">
        <v>76</v>
      </c>
      <c r="O26" s="145"/>
      <c r="P26" s="145"/>
      <c r="Q26" s="145"/>
      <c r="R26" s="145"/>
      <c r="S26" s="144"/>
      <c r="T26" s="19" t="s">
        <v>77</v>
      </c>
      <c r="U26" s="81" t="s">
        <v>78</v>
      </c>
      <c r="V26" s="145" t="s">
        <v>79</v>
      </c>
      <c r="W26" s="145"/>
      <c r="X26" s="145"/>
      <c r="Y26" s="57" t="s">
        <v>86</v>
      </c>
      <c r="Z26" s="57" t="s">
        <v>87</v>
      </c>
    </row>
    <row r="27" spans="1:26" ht="18" customHeight="1" x14ac:dyDescent="0.15">
      <c r="A27" s="8"/>
      <c r="B27" s="233" t="s">
        <v>88</v>
      </c>
      <c r="C27" s="234"/>
      <c r="D27" s="234"/>
      <c r="E27" s="234"/>
      <c r="F27" s="235"/>
      <c r="G27" s="82">
        <v>1</v>
      </c>
      <c r="H27" s="82" t="s">
        <v>83</v>
      </c>
      <c r="I27" s="223" t="s">
        <v>84</v>
      </c>
      <c r="J27" s="224"/>
      <c r="K27" s="225"/>
      <c r="L27" s="82" t="s">
        <v>83</v>
      </c>
      <c r="M27" s="82"/>
      <c r="N27" s="208"/>
      <c r="O27" s="209"/>
      <c r="P27" s="209"/>
      <c r="Q27" s="209"/>
      <c r="R27" s="209"/>
      <c r="S27" s="210"/>
      <c r="T27" s="82"/>
      <c r="U27" s="82"/>
      <c r="V27" s="223"/>
      <c r="W27" s="224"/>
      <c r="X27" s="225"/>
      <c r="Y27" s="82"/>
      <c r="Z27" s="82"/>
    </row>
    <row r="28" spans="1:26" ht="18" customHeight="1" x14ac:dyDescent="0.15">
      <c r="A28" s="8"/>
      <c r="B28" s="230" t="s">
        <v>82</v>
      </c>
      <c r="C28" s="231"/>
      <c r="D28" s="231"/>
      <c r="E28" s="231"/>
      <c r="F28" s="232"/>
      <c r="G28" s="83">
        <v>1</v>
      </c>
      <c r="H28" s="83" t="s">
        <v>83</v>
      </c>
      <c r="I28" s="220" t="s">
        <v>84</v>
      </c>
      <c r="J28" s="221"/>
      <c r="K28" s="222"/>
      <c r="L28" s="83"/>
      <c r="M28" s="83" t="s">
        <v>83</v>
      </c>
      <c r="N28" s="202"/>
      <c r="O28" s="203"/>
      <c r="P28" s="203"/>
      <c r="Q28" s="203"/>
      <c r="R28" s="203"/>
      <c r="S28" s="204"/>
      <c r="T28" s="83"/>
      <c r="U28" s="83"/>
      <c r="V28" s="220"/>
      <c r="W28" s="221"/>
      <c r="X28" s="222"/>
      <c r="Y28" s="83"/>
      <c r="Z28" s="83"/>
    </row>
    <row r="29" spans="1:26" ht="18" customHeight="1" x14ac:dyDescent="0.15">
      <c r="A29" s="8"/>
      <c r="B29" s="230"/>
      <c r="C29" s="231"/>
      <c r="D29" s="231"/>
      <c r="E29" s="231"/>
      <c r="F29" s="232"/>
      <c r="G29" s="83"/>
      <c r="H29" s="83"/>
      <c r="I29" s="220"/>
      <c r="J29" s="221"/>
      <c r="K29" s="222"/>
      <c r="L29" s="83"/>
      <c r="M29" s="83"/>
      <c r="N29" s="202"/>
      <c r="O29" s="203"/>
      <c r="P29" s="203"/>
      <c r="Q29" s="203"/>
      <c r="R29" s="203"/>
      <c r="S29" s="204"/>
      <c r="T29" s="83"/>
      <c r="U29" s="83"/>
      <c r="V29" s="220"/>
      <c r="W29" s="221"/>
      <c r="X29" s="222"/>
      <c r="Y29" s="83"/>
      <c r="Z29" s="83"/>
    </row>
    <row r="30" spans="1:26" ht="18" customHeight="1" x14ac:dyDescent="0.15">
      <c r="A30" s="8"/>
      <c r="B30" s="230"/>
      <c r="C30" s="231"/>
      <c r="D30" s="231"/>
      <c r="E30" s="231"/>
      <c r="F30" s="232"/>
      <c r="G30" s="83"/>
      <c r="H30" s="83"/>
      <c r="I30" s="220"/>
      <c r="J30" s="221"/>
      <c r="K30" s="222"/>
      <c r="L30" s="83"/>
      <c r="M30" s="83"/>
      <c r="N30" s="202"/>
      <c r="O30" s="203"/>
      <c r="P30" s="203"/>
      <c r="Q30" s="203"/>
      <c r="R30" s="203"/>
      <c r="S30" s="204"/>
      <c r="T30" s="83"/>
      <c r="U30" s="83"/>
      <c r="V30" s="220"/>
      <c r="W30" s="221"/>
      <c r="X30" s="222"/>
      <c r="Y30" s="83"/>
      <c r="Z30" s="83"/>
    </row>
    <row r="31" spans="1:26" ht="18" customHeight="1" x14ac:dyDescent="0.15">
      <c r="A31" s="8"/>
      <c r="B31" s="230"/>
      <c r="C31" s="231"/>
      <c r="D31" s="231"/>
      <c r="E31" s="231"/>
      <c r="F31" s="232"/>
      <c r="G31" s="83"/>
      <c r="H31" s="83"/>
      <c r="I31" s="220"/>
      <c r="J31" s="221"/>
      <c r="K31" s="222"/>
      <c r="L31" s="83"/>
      <c r="M31" s="83"/>
      <c r="N31" s="202"/>
      <c r="O31" s="203"/>
      <c r="P31" s="203"/>
      <c r="Q31" s="203"/>
      <c r="R31" s="203"/>
      <c r="S31" s="204"/>
      <c r="T31" s="83"/>
      <c r="U31" s="83"/>
      <c r="V31" s="220"/>
      <c r="W31" s="221"/>
      <c r="X31" s="222"/>
      <c r="Y31" s="83"/>
      <c r="Z31" s="83"/>
    </row>
    <row r="32" spans="1:26" ht="18" customHeight="1" x14ac:dyDescent="0.15">
      <c r="A32" s="8"/>
      <c r="B32" s="230"/>
      <c r="C32" s="231"/>
      <c r="D32" s="231"/>
      <c r="E32" s="231"/>
      <c r="F32" s="232"/>
      <c r="G32" s="83"/>
      <c r="H32" s="83"/>
      <c r="I32" s="220"/>
      <c r="J32" s="221"/>
      <c r="K32" s="222"/>
      <c r="L32" s="83"/>
      <c r="M32" s="83"/>
      <c r="N32" s="202"/>
      <c r="O32" s="203"/>
      <c r="P32" s="203"/>
      <c r="Q32" s="203"/>
      <c r="R32" s="203"/>
      <c r="S32" s="204"/>
      <c r="T32" s="83"/>
      <c r="U32" s="83"/>
      <c r="V32" s="220"/>
      <c r="W32" s="221"/>
      <c r="X32" s="222"/>
      <c r="Y32" s="83"/>
      <c r="Z32" s="83"/>
    </row>
    <row r="33" spans="1:26" ht="18" customHeight="1" x14ac:dyDescent="0.15">
      <c r="A33" s="8"/>
      <c r="B33" s="226"/>
      <c r="C33" s="227"/>
      <c r="D33" s="227"/>
      <c r="E33" s="227"/>
      <c r="F33" s="228"/>
      <c r="G33" s="84"/>
      <c r="H33" s="84"/>
      <c r="I33" s="214"/>
      <c r="J33" s="215"/>
      <c r="K33" s="216"/>
      <c r="L33" s="86"/>
      <c r="M33" s="86"/>
      <c r="N33" s="191"/>
      <c r="O33" s="192"/>
      <c r="P33" s="192"/>
      <c r="Q33" s="192"/>
      <c r="R33" s="192"/>
      <c r="S33" s="193"/>
      <c r="T33" s="84"/>
      <c r="U33" s="84"/>
      <c r="V33" s="214"/>
      <c r="W33" s="215"/>
      <c r="X33" s="216"/>
      <c r="Y33" s="86"/>
      <c r="Z33" s="86"/>
    </row>
    <row r="34" spans="1:26" ht="7.5" customHeight="1" x14ac:dyDescent="0.15">
      <c r="A34" s="18"/>
      <c r="B34" s="22"/>
      <c r="C34" s="22"/>
      <c r="D34" s="18"/>
      <c r="E34" s="18"/>
      <c r="F34" s="18"/>
      <c r="G34" s="18"/>
      <c r="H34" s="18"/>
      <c r="I34" s="18"/>
      <c r="J34" s="18"/>
      <c r="K34" s="18"/>
      <c r="L34" s="22"/>
      <c r="M34" s="22"/>
      <c r="N34" s="22"/>
      <c r="O34" s="22"/>
      <c r="P34" s="22"/>
      <c r="Q34" s="22"/>
      <c r="R34" s="22"/>
      <c r="S34" s="22"/>
      <c r="T34" s="22"/>
      <c r="U34" s="22"/>
      <c r="V34" s="22"/>
      <c r="W34" s="22"/>
      <c r="X34" s="22"/>
      <c r="Y34" s="22"/>
      <c r="Z34" s="18"/>
    </row>
    <row r="35" spans="1:26" ht="18" customHeight="1" x14ac:dyDescent="0.15">
      <c r="A35" s="229" t="s">
        <v>89</v>
      </c>
      <c r="B35" s="229"/>
      <c r="C35" s="229"/>
      <c r="D35" s="229"/>
      <c r="E35" s="229"/>
      <c r="F35" s="229"/>
      <c r="G35" s="229"/>
      <c r="H35" s="229"/>
      <c r="I35" s="229"/>
      <c r="J35" s="229"/>
      <c r="K35" s="229"/>
      <c r="L35" s="229"/>
      <c r="M35" s="229"/>
      <c r="N35" s="229"/>
      <c r="O35" s="229"/>
      <c r="P35" s="229"/>
      <c r="Q35" s="229"/>
      <c r="R35" s="229"/>
      <c r="S35" s="229"/>
      <c r="T35" s="229"/>
      <c r="U35" s="229"/>
      <c r="V35" s="229"/>
      <c r="W35" s="229"/>
      <c r="X35" s="229"/>
      <c r="Y35" s="229"/>
      <c r="Z35" s="229"/>
    </row>
    <row r="36" spans="1:26" ht="18" customHeight="1" x14ac:dyDescent="0.15">
      <c r="A36" s="229"/>
      <c r="B36" s="229"/>
      <c r="C36" s="229"/>
      <c r="D36" s="229"/>
      <c r="E36" s="229"/>
      <c r="F36" s="229"/>
      <c r="G36" s="229"/>
      <c r="H36" s="229"/>
      <c r="I36" s="229"/>
      <c r="J36" s="229"/>
      <c r="K36" s="229"/>
      <c r="L36" s="229"/>
      <c r="M36" s="229"/>
      <c r="N36" s="229"/>
      <c r="O36" s="229"/>
      <c r="P36" s="229"/>
      <c r="Q36" s="229"/>
      <c r="R36" s="229"/>
      <c r="S36" s="229"/>
      <c r="T36" s="229"/>
      <c r="U36" s="229"/>
      <c r="V36" s="229"/>
      <c r="W36" s="229"/>
      <c r="X36" s="229"/>
      <c r="Y36" s="229"/>
      <c r="Z36" s="229"/>
    </row>
    <row r="37" spans="1:26" ht="18" customHeight="1" x14ac:dyDescent="0.15">
      <c r="A37" s="8"/>
      <c r="B37" s="143" t="s">
        <v>76</v>
      </c>
      <c r="C37" s="145"/>
      <c r="D37" s="145"/>
      <c r="E37" s="145"/>
      <c r="F37" s="144"/>
      <c r="G37" s="19" t="s">
        <v>77</v>
      </c>
      <c r="H37" s="81" t="s">
        <v>78</v>
      </c>
      <c r="I37" s="143" t="s">
        <v>79</v>
      </c>
      <c r="J37" s="145"/>
      <c r="K37" s="144"/>
      <c r="L37" s="57" t="s">
        <v>90</v>
      </c>
      <c r="M37" s="57" t="s">
        <v>91</v>
      </c>
      <c r="N37" s="143" t="s">
        <v>76</v>
      </c>
      <c r="O37" s="145"/>
      <c r="P37" s="145"/>
      <c r="Q37" s="145"/>
      <c r="R37" s="145"/>
      <c r="S37" s="144"/>
      <c r="T37" s="19" t="s">
        <v>77</v>
      </c>
      <c r="U37" s="81" t="s">
        <v>78</v>
      </c>
      <c r="V37" s="143" t="s">
        <v>79</v>
      </c>
      <c r="W37" s="145"/>
      <c r="X37" s="144"/>
      <c r="Y37" s="57" t="s">
        <v>90</v>
      </c>
      <c r="Z37" s="57" t="s">
        <v>91</v>
      </c>
    </row>
    <row r="38" spans="1:26" ht="18" customHeight="1" x14ac:dyDescent="0.15">
      <c r="A38" s="18"/>
      <c r="B38" s="233" t="s">
        <v>92</v>
      </c>
      <c r="C38" s="234"/>
      <c r="D38" s="234"/>
      <c r="E38" s="234"/>
      <c r="F38" s="235"/>
      <c r="G38" s="82">
        <v>1</v>
      </c>
      <c r="H38" s="82" t="s">
        <v>83</v>
      </c>
      <c r="I38" s="223" t="s">
        <v>84</v>
      </c>
      <c r="J38" s="224"/>
      <c r="K38" s="225"/>
      <c r="L38" s="82" t="s">
        <v>83</v>
      </c>
      <c r="M38" s="82" t="s">
        <v>83</v>
      </c>
      <c r="N38" s="208"/>
      <c r="O38" s="209"/>
      <c r="P38" s="209"/>
      <c r="Q38" s="209"/>
      <c r="R38" s="209"/>
      <c r="S38" s="210"/>
      <c r="T38" s="82"/>
      <c r="U38" s="82"/>
      <c r="V38" s="223"/>
      <c r="W38" s="224"/>
      <c r="X38" s="225"/>
      <c r="Y38" s="82"/>
      <c r="Z38" s="82"/>
    </row>
    <row r="39" spans="1:26" ht="18" customHeight="1" x14ac:dyDescent="0.15">
      <c r="A39" s="18"/>
      <c r="B39" s="230"/>
      <c r="C39" s="231"/>
      <c r="D39" s="231"/>
      <c r="E39" s="231"/>
      <c r="F39" s="232"/>
      <c r="G39" s="83"/>
      <c r="H39" s="83"/>
      <c r="I39" s="220"/>
      <c r="J39" s="221"/>
      <c r="K39" s="222"/>
      <c r="L39" s="83"/>
      <c r="M39" s="83"/>
      <c r="N39" s="202"/>
      <c r="O39" s="203"/>
      <c r="P39" s="203"/>
      <c r="Q39" s="203"/>
      <c r="R39" s="203"/>
      <c r="S39" s="204"/>
      <c r="T39" s="83"/>
      <c r="U39" s="83"/>
      <c r="V39" s="220"/>
      <c r="W39" s="221"/>
      <c r="X39" s="222"/>
      <c r="Y39" s="83"/>
      <c r="Z39" s="83"/>
    </row>
    <row r="40" spans="1:26" ht="18" customHeight="1" x14ac:dyDescent="0.15">
      <c r="A40" s="18"/>
      <c r="B40" s="230"/>
      <c r="C40" s="231"/>
      <c r="D40" s="231"/>
      <c r="E40" s="231"/>
      <c r="F40" s="232"/>
      <c r="G40" s="83"/>
      <c r="H40" s="83"/>
      <c r="I40" s="220"/>
      <c r="J40" s="221"/>
      <c r="K40" s="222"/>
      <c r="L40" s="83"/>
      <c r="M40" s="83"/>
      <c r="N40" s="202"/>
      <c r="O40" s="203"/>
      <c r="P40" s="203"/>
      <c r="Q40" s="203"/>
      <c r="R40" s="203"/>
      <c r="S40" s="204"/>
      <c r="T40" s="83"/>
      <c r="U40" s="83"/>
      <c r="V40" s="220"/>
      <c r="W40" s="221"/>
      <c r="X40" s="222"/>
      <c r="Y40" s="83"/>
      <c r="Z40" s="83"/>
    </row>
    <row r="41" spans="1:26" ht="18" customHeight="1" x14ac:dyDescent="0.15">
      <c r="A41" s="18"/>
      <c r="B41" s="230"/>
      <c r="C41" s="231"/>
      <c r="D41" s="231"/>
      <c r="E41" s="231"/>
      <c r="F41" s="232"/>
      <c r="G41" s="83"/>
      <c r="H41" s="83"/>
      <c r="I41" s="220"/>
      <c r="J41" s="221"/>
      <c r="K41" s="222"/>
      <c r="L41" s="83"/>
      <c r="M41" s="83"/>
      <c r="N41" s="202"/>
      <c r="O41" s="203"/>
      <c r="P41" s="203"/>
      <c r="Q41" s="203"/>
      <c r="R41" s="203"/>
      <c r="S41" s="204"/>
      <c r="T41" s="83"/>
      <c r="U41" s="83"/>
      <c r="V41" s="220"/>
      <c r="W41" s="221"/>
      <c r="X41" s="222"/>
      <c r="Y41" s="83"/>
      <c r="Z41" s="83"/>
    </row>
    <row r="42" spans="1:26" ht="18" customHeight="1" x14ac:dyDescent="0.15">
      <c r="A42" s="18"/>
      <c r="B42" s="230"/>
      <c r="C42" s="231"/>
      <c r="D42" s="231"/>
      <c r="E42" s="231"/>
      <c r="F42" s="232"/>
      <c r="G42" s="83"/>
      <c r="H42" s="83"/>
      <c r="I42" s="220"/>
      <c r="J42" s="221"/>
      <c r="K42" s="222"/>
      <c r="L42" s="83"/>
      <c r="M42" s="83"/>
      <c r="N42" s="202"/>
      <c r="O42" s="203"/>
      <c r="P42" s="203"/>
      <c r="Q42" s="203"/>
      <c r="R42" s="203"/>
      <c r="S42" s="204"/>
      <c r="T42" s="83"/>
      <c r="U42" s="83"/>
      <c r="V42" s="220"/>
      <c r="W42" s="221"/>
      <c r="X42" s="222"/>
      <c r="Y42" s="83"/>
      <c r="Z42" s="83"/>
    </row>
    <row r="43" spans="1:26" ht="18" customHeight="1" x14ac:dyDescent="0.15">
      <c r="A43" s="18"/>
      <c r="B43" s="230"/>
      <c r="C43" s="231"/>
      <c r="D43" s="231"/>
      <c r="E43" s="231"/>
      <c r="F43" s="232"/>
      <c r="G43" s="83"/>
      <c r="H43" s="83"/>
      <c r="I43" s="220"/>
      <c r="J43" s="221"/>
      <c r="K43" s="222"/>
      <c r="L43" s="83"/>
      <c r="M43" s="83"/>
      <c r="N43" s="202"/>
      <c r="O43" s="203"/>
      <c r="P43" s="203"/>
      <c r="Q43" s="203"/>
      <c r="R43" s="203"/>
      <c r="S43" s="204"/>
      <c r="T43" s="83"/>
      <c r="U43" s="83"/>
      <c r="V43" s="220"/>
      <c r="W43" s="221"/>
      <c r="X43" s="222"/>
      <c r="Y43" s="83"/>
      <c r="Z43" s="83"/>
    </row>
    <row r="44" spans="1:26" ht="18" customHeight="1" x14ac:dyDescent="0.15">
      <c r="A44" s="18"/>
      <c r="B44" s="226"/>
      <c r="C44" s="227"/>
      <c r="D44" s="227"/>
      <c r="E44" s="227"/>
      <c r="F44" s="228"/>
      <c r="G44" s="84"/>
      <c r="H44" s="84"/>
      <c r="I44" s="214"/>
      <c r="J44" s="215"/>
      <c r="K44" s="216"/>
      <c r="L44" s="86"/>
      <c r="M44" s="86"/>
      <c r="N44" s="191"/>
      <c r="O44" s="192"/>
      <c r="P44" s="192"/>
      <c r="Q44" s="192"/>
      <c r="R44" s="192"/>
      <c r="S44" s="193"/>
      <c r="T44" s="84"/>
      <c r="U44" s="84"/>
      <c r="V44" s="214"/>
      <c r="W44" s="215"/>
      <c r="X44" s="216"/>
      <c r="Y44" s="86"/>
      <c r="Z44" s="86"/>
    </row>
    <row r="45" spans="1:26" ht="7.5" customHeight="1" x14ac:dyDescent="0.15">
      <c r="B45" s="58"/>
      <c r="C45" s="58"/>
      <c r="D45" s="58"/>
      <c r="E45" s="58"/>
      <c r="F45" s="58"/>
      <c r="G45" s="58"/>
      <c r="H45" s="58"/>
      <c r="I45" s="58"/>
      <c r="J45" s="58"/>
      <c r="K45" s="58"/>
      <c r="L45" s="58"/>
      <c r="M45" s="58"/>
      <c r="N45" s="58"/>
      <c r="O45" s="58"/>
      <c r="P45" s="58"/>
      <c r="Q45" s="58"/>
      <c r="R45" s="58"/>
      <c r="S45" s="58"/>
      <c r="T45" s="58"/>
      <c r="U45" s="58"/>
      <c r="V45" s="58"/>
      <c r="W45" s="58"/>
      <c r="X45" s="58"/>
      <c r="Y45" s="58"/>
    </row>
    <row r="46" spans="1:26" ht="18" customHeight="1" x14ac:dyDescent="0.15">
      <c r="A46" s="229" t="s">
        <v>93</v>
      </c>
      <c r="B46" s="229"/>
      <c r="C46" s="229"/>
      <c r="D46" s="229"/>
      <c r="E46" s="229"/>
      <c r="F46" s="229"/>
      <c r="G46" s="229"/>
      <c r="H46" s="229"/>
      <c r="I46" s="229"/>
      <c r="J46" s="229"/>
      <c r="K46" s="229"/>
      <c r="L46" s="229"/>
      <c r="M46" s="229"/>
      <c r="N46" s="229"/>
      <c r="O46" s="229"/>
      <c r="P46" s="229"/>
      <c r="Q46" s="229"/>
      <c r="R46" s="229"/>
      <c r="S46" s="229"/>
      <c r="T46" s="229"/>
      <c r="U46" s="229"/>
      <c r="V46" s="229"/>
      <c r="W46" s="229"/>
      <c r="X46" s="229"/>
      <c r="Y46" s="229"/>
      <c r="Z46" s="229"/>
    </row>
    <row r="47" spans="1:26" ht="18" customHeight="1" x14ac:dyDescent="0.15">
      <c r="A47" s="229"/>
      <c r="B47" s="229"/>
      <c r="C47" s="229"/>
      <c r="D47" s="229"/>
      <c r="E47" s="229"/>
      <c r="F47" s="229"/>
      <c r="G47" s="229"/>
      <c r="H47" s="229"/>
      <c r="I47" s="229"/>
      <c r="J47" s="229"/>
      <c r="K47" s="229"/>
      <c r="L47" s="229"/>
      <c r="M47" s="229"/>
      <c r="N47" s="229"/>
      <c r="O47" s="229"/>
      <c r="P47" s="229"/>
      <c r="Q47" s="229"/>
      <c r="R47" s="229"/>
      <c r="S47" s="229"/>
      <c r="T47" s="229"/>
      <c r="U47" s="229"/>
      <c r="V47" s="229"/>
      <c r="W47" s="229"/>
      <c r="X47" s="229"/>
      <c r="Y47" s="229"/>
      <c r="Z47" s="229"/>
    </row>
    <row r="48" spans="1:26" ht="18" customHeight="1" x14ac:dyDescent="0.15">
      <c r="A48" s="8"/>
      <c r="B48" s="143" t="s">
        <v>76</v>
      </c>
      <c r="C48" s="145"/>
      <c r="D48" s="145"/>
      <c r="E48" s="145"/>
      <c r="F48" s="144"/>
      <c r="G48" s="19" t="s">
        <v>77</v>
      </c>
      <c r="H48" s="81" t="s">
        <v>78</v>
      </c>
      <c r="I48" s="143" t="s">
        <v>79</v>
      </c>
      <c r="J48" s="145"/>
      <c r="K48" s="144"/>
      <c r="L48" s="57" t="s">
        <v>94</v>
      </c>
      <c r="M48" s="57" t="s">
        <v>95</v>
      </c>
      <c r="N48" s="143" t="s">
        <v>76</v>
      </c>
      <c r="O48" s="145"/>
      <c r="P48" s="145"/>
      <c r="Q48" s="145"/>
      <c r="R48" s="145"/>
      <c r="S48" s="144"/>
      <c r="T48" s="19" t="s">
        <v>77</v>
      </c>
      <c r="U48" s="81" t="s">
        <v>78</v>
      </c>
      <c r="V48" s="143" t="s">
        <v>79</v>
      </c>
      <c r="W48" s="145"/>
      <c r="X48" s="144"/>
      <c r="Y48" s="57" t="s">
        <v>94</v>
      </c>
      <c r="Z48" s="57" t="s">
        <v>95</v>
      </c>
    </row>
    <row r="49" spans="1:26" ht="18" customHeight="1" x14ac:dyDescent="0.15">
      <c r="A49" s="18"/>
      <c r="B49" s="233" t="s">
        <v>82</v>
      </c>
      <c r="C49" s="234"/>
      <c r="D49" s="234"/>
      <c r="E49" s="234"/>
      <c r="F49" s="235"/>
      <c r="G49" s="82">
        <v>1</v>
      </c>
      <c r="H49" s="82" t="s">
        <v>83</v>
      </c>
      <c r="I49" s="223" t="s">
        <v>84</v>
      </c>
      <c r="J49" s="224"/>
      <c r="K49" s="225"/>
      <c r="L49" s="82" t="s">
        <v>83</v>
      </c>
      <c r="M49" s="82" t="s">
        <v>83</v>
      </c>
      <c r="N49" s="208"/>
      <c r="O49" s="209"/>
      <c r="P49" s="209"/>
      <c r="Q49" s="209"/>
      <c r="R49" s="209"/>
      <c r="S49" s="210"/>
      <c r="T49" s="82"/>
      <c r="U49" s="82"/>
      <c r="V49" s="223"/>
      <c r="W49" s="224"/>
      <c r="X49" s="225"/>
      <c r="Y49" s="82"/>
      <c r="Z49" s="82"/>
    </row>
    <row r="50" spans="1:26" ht="18" customHeight="1" x14ac:dyDescent="0.15">
      <c r="A50" s="18"/>
      <c r="B50" s="230"/>
      <c r="C50" s="231"/>
      <c r="D50" s="231"/>
      <c r="E50" s="231"/>
      <c r="F50" s="232"/>
      <c r="G50" s="83"/>
      <c r="H50" s="83"/>
      <c r="I50" s="220"/>
      <c r="J50" s="221"/>
      <c r="K50" s="222"/>
      <c r="L50" s="83"/>
      <c r="M50" s="83"/>
      <c r="N50" s="202"/>
      <c r="O50" s="203"/>
      <c r="P50" s="203"/>
      <c r="Q50" s="203"/>
      <c r="R50" s="203"/>
      <c r="S50" s="204"/>
      <c r="T50" s="83"/>
      <c r="U50" s="83"/>
      <c r="V50" s="220"/>
      <c r="W50" s="221"/>
      <c r="X50" s="222"/>
      <c r="Y50" s="83"/>
      <c r="Z50" s="83"/>
    </row>
    <row r="51" spans="1:26" ht="18" customHeight="1" x14ac:dyDescent="0.15">
      <c r="A51" s="18"/>
      <c r="B51" s="230"/>
      <c r="C51" s="231"/>
      <c r="D51" s="231"/>
      <c r="E51" s="231"/>
      <c r="F51" s="232"/>
      <c r="G51" s="83"/>
      <c r="H51" s="83"/>
      <c r="I51" s="220"/>
      <c r="J51" s="221"/>
      <c r="K51" s="222"/>
      <c r="L51" s="83"/>
      <c r="M51" s="83"/>
      <c r="N51" s="202"/>
      <c r="O51" s="203"/>
      <c r="P51" s="203"/>
      <c r="Q51" s="203"/>
      <c r="R51" s="203"/>
      <c r="S51" s="204"/>
      <c r="T51" s="83"/>
      <c r="U51" s="83"/>
      <c r="V51" s="220"/>
      <c r="W51" s="221"/>
      <c r="X51" s="222"/>
      <c r="Y51" s="83"/>
      <c r="Z51" s="83"/>
    </row>
    <row r="52" spans="1:26" ht="18" customHeight="1" x14ac:dyDescent="0.15">
      <c r="A52" s="18"/>
      <c r="B52" s="230"/>
      <c r="C52" s="231"/>
      <c r="D52" s="231"/>
      <c r="E52" s="231"/>
      <c r="F52" s="232"/>
      <c r="G52" s="83"/>
      <c r="H52" s="83"/>
      <c r="I52" s="220"/>
      <c r="J52" s="221"/>
      <c r="K52" s="222"/>
      <c r="L52" s="83"/>
      <c r="M52" s="83"/>
      <c r="N52" s="202"/>
      <c r="O52" s="203"/>
      <c r="P52" s="203"/>
      <c r="Q52" s="203"/>
      <c r="R52" s="203"/>
      <c r="S52" s="204"/>
      <c r="T52" s="83"/>
      <c r="U52" s="83"/>
      <c r="V52" s="220"/>
      <c r="W52" s="221"/>
      <c r="X52" s="222"/>
      <c r="Y52" s="83"/>
      <c r="Z52" s="83"/>
    </row>
    <row r="53" spans="1:26" ht="18" customHeight="1" x14ac:dyDescent="0.15">
      <c r="A53" s="18"/>
      <c r="B53" s="230"/>
      <c r="C53" s="231"/>
      <c r="D53" s="231"/>
      <c r="E53" s="231"/>
      <c r="F53" s="232"/>
      <c r="G53" s="83"/>
      <c r="H53" s="83"/>
      <c r="I53" s="220"/>
      <c r="J53" s="221"/>
      <c r="K53" s="222"/>
      <c r="L53" s="83"/>
      <c r="M53" s="83"/>
      <c r="N53" s="202"/>
      <c r="O53" s="203"/>
      <c r="P53" s="203"/>
      <c r="Q53" s="203"/>
      <c r="R53" s="203"/>
      <c r="S53" s="204"/>
      <c r="T53" s="83"/>
      <c r="U53" s="83"/>
      <c r="V53" s="220"/>
      <c r="W53" s="221"/>
      <c r="X53" s="222"/>
      <c r="Y53" s="83"/>
      <c r="Z53" s="83"/>
    </row>
    <row r="54" spans="1:26" ht="18" customHeight="1" x14ac:dyDescent="0.15">
      <c r="A54" s="18"/>
      <c r="B54" s="230"/>
      <c r="C54" s="231"/>
      <c r="D54" s="231"/>
      <c r="E54" s="231"/>
      <c r="F54" s="232"/>
      <c r="G54" s="83"/>
      <c r="H54" s="83"/>
      <c r="I54" s="220"/>
      <c r="J54" s="221"/>
      <c r="K54" s="222"/>
      <c r="L54" s="83"/>
      <c r="M54" s="83"/>
      <c r="N54" s="202"/>
      <c r="O54" s="203"/>
      <c r="P54" s="203"/>
      <c r="Q54" s="203"/>
      <c r="R54" s="203"/>
      <c r="S54" s="204"/>
      <c r="T54" s="83"/>
      <c r="U54" s="83"/>
      <c r="V54" s="220"/>
      <c r="W54" s="221"/>
      <c r="X54" s="222"/>
      <c r="Y54" s="83"/>
      <c r="Z54" s="83"/>
    </row>
    <row r="55" spans="1:26" ht="18" customHeight="1" x14ac:dyDescent="0.15">
      <c r="A55" s="18"/>
      <c r="B55" s="226"/>
      <c r="C55" s="227"/>
      <c r="D55" s="227"/>
      <c r="E55" s="227"/>
      <c r="F55" s="228"/>
      <c r="G55" s="84"/>
      <c r="H55" s="84"/>
      <c r="I55" s="214"/>
      <c r="J55" s="215"/>
      <c r="K55" s="216"/>
      <c r="L55" s="86"/>
      <c r="M55" s="86"/>
      <c r="N55" s="191"/>
      <c r="O55" s="192"/>
      <c r="P55" s="192"/>
      <c r="Q55" s="192"/>
      <c r="R55" s="192"/>
      <c r="S55" s="193"/>
      <c r="T55" s="84"/>
      <c r="U55" s="84"/>
      <c r="V55" s="214"/>
      <c r="W55" s="215"/>
      <c r="X55" s="216"/>
      <c r="Y55" s="86"/>
      <c r="Z55" s="86"/>
    </row>
    <row r="56" spans="1:26" ht="7.5" customHeight="1" x14ac:dyDescent="0.15">
      <c r="B56" s="58"/>
      <c r="C56" s="58"/>
      <c r="D56" s="58"/>
      <c r="E56" s="58"/>
      <c r="F56" s="58"/>
      <c r="G56" s="58"/>
      <c r="H56" s="58"/>
      <c r="I56" s="58"/>
      <c r="J56" s="58"/>
      <c r="K56" s="58"/>
      <c r="L56" s="58"/>
      <c r="M56" s="58"/>
      <c r="N56" s="58"/>
      <c r="O56" s="58"/>
      <c r="P56" s="58"/>
      <c r="Q56" s="58"/>
      <c r="R56" s="58"/>
      <c r="S56" s="58"/>
      <c r="T56" s="58"/>
      <c r="U56" s="58"/>
      <c r="V56" s="58"/>
      <c r="W56" s="58"/>
      <c r="X56" s="58"/>
      <c r="Y56" s="58"/>
    </row>
    <row r="57" spans="1:26" ht="18" customHeight="1" x14ac:dyDescent="0.15">
      <c r="A57" s="229" t="s">
        <v>96</v>
      </c>
      <c r="B57" s="229"/>
      <c r="C57" s="229"/>
      <c r="D57" s="229"/>
      <c r="E57" s="229"/>
      <c r="F57" s="229"/>
      <c r="G57" s="229"/>
      <c r="H57" s="229"/>
      <c r="I57" s="229"/>
      <c r="J57" s="229"/>
      <c r="K57" s="229"/>
      <c r="L57" s="229"/>
      <c r="M57" s="229"/>
      <c r="N57" s="229"/>
      <c r="O57" s="229"/>
      <c r="P57" s="229"/>
      <c r="Q57" s="229"/>
      <c r="R57" s="229"/>
      <c r="S57" s="229"/>
      <c r="T57" s="229"/>
      <c r="U57" s="229"/>
      <c r="V57" s="229"/>
      <c r="W57" s="229"/>
      <c r="X57" s="229"/>
      <c r="Y57" s="229"/>
      <c r="Z57" s="229"/>
    </row>
    <row r="58" spans="1:26" ht="18" customHeight="1" x14ac:dyDescent="0.15">
      <c r="A58" s="229"/>
      <c r="B58" s="229"/>
      <c r="C58" s="229"/>
      <c r="D58" s="229"/>
      <c r="E58" s="229"/>
      <c r="F58" s="229"/>
      <c r="G58" s="229"/>
      <c r="H58" s="229"/>
      <c r="I58" s="229"/>
      <c r="J58" s="229"/>
      <c r="K58" s="229"/>
      <c r="L58" s="229"/>
      <c r="M58" s="229"/>
      <c r="N58" s="229"/>
      <c r="O58" s="229"/>
      <c r="P58" s="229"/>
      <c r="Q58" s="229"/>
      <c r="R58" s="229"/>
      <c r="S58" s="229"/>
      <c r="T58" s="229"/>
      <c r="U58" s="229"/>
      <c r="V58" s="229"/>
      <c r="W58" s="229"/>
      <c r="X58" s="229"/>
      <c r="Y58" s="229"/>
      <c r="Z58" s="229"/>
    </row>
    <row r="59" spans="1:26" ht="18" customHeight="1" x14ac:dyDescent="0.15">
      <c r="A59" s="8"/>
      <c r="B59" s="143" t="s">
        <v>76</v>
      </c>
      <c r="C59" s="145"/>
      <c r="D59" s="145"/>
      <c r="E59" s="144"/>
      <c r="F59" s="19" t="s">
        <v>77</v>
      </c>
      <c r="G59" s="81" t="s">
        <v>78</v>
      </c>
      <c r="H59" s="16" t="s">
        <v>79</v>
      </c>
      <c r="I59" s="78"/>
      <c r="J59" s="17"/>
      <c r="K59" s="57" t="s">
        <v>97</v>
      </c>
      <c r="L59" s="57" t="s">
        <v>98</v>
      </c>
      <c r="M59" s="57" t="s">
        <v>99</v>
      </c>
      <c r="N59" s="143" t="s">
        <v>76</v>
      </c>
      <c r="O59" s="145"/>
      <c r="P59" s="145"/>
      <c r="Q59" s="145"/>
      <c r="R59" s="144"/>
      <c r="S59" s="19" t="s">
        <v>77</v>
      </c>
      <c r="T59" s="81" t="s">
        <v>78</v>
      </c>
      <c r="U59" s="16" t="s">
        <v>79</v>
      </c>
      <c r="V59" s="78"/>
      <c r="W59" s="17"/>
      <c r="X59" s="57" t="s">
        <v>97</v>
      </c>
      <c r="Y59" s="57" t="s">
        <v>98</v>
      </c>
      <c r="Z59" s="57" t="s">
        <v>99</v>
      </c>
    </row>
    <row r="60" spans="1:26" ht="18" customHeight="1" x14ac:dyDescent="0.15">
      <c r="A60" s="18"/>
      <c r="B60" s="208" t="s">
        <v>100</v>
      </c>
      <c r="C60" s="209"/>
      <c r="D60" s="209"/>
      <c r="E60" s="210"/>
      <c r="F60" s="82">
        <v>1</v>
      </c>
      <c r="G60" s="82" t="s">
        <v>83</v>
      </c>
      <c r="H60" s="223" t="s">
        <v>84</v>
      </c>
      <c r="I60" s="224"/>
      <c r="J60" s="225"/>
      <c r="K60" s="87" t="s">
        <v>101</v>
      </c>
      <c r="L60" s="82"/>
      <c r="M60" s="82"/>
      <c r="N60" s="208"/>
      <c r="O60" s="209"/>
      <c r="P60" s="209"/>
      <c r="Q60" s="209"/>
      <c r="R60" s="210"/>
      <c r="S60" s="82"/>
      <c r="T60" s="82"/>
      <c r="U60" s="223"/>
      <c r="V60" s="224"/>
      <c r="W60" s="225"/>
      <c r="X60" s="87"/>
      <c r="Y60" s="82"/>
      <c r="Z60" s="82"/>
    </row>
    <row r="61" spans="1:26" ht="18" customHeight="1" x14ac:dyDescent="0.15">
      <c r="A61" s="18"/>
      <c r="B61" s="202" t="s">
        <v>102</v>
      </c>
      <c r="C61" s="203"/>
      <c r="D61" s="203"/>
      <c r="E61" s="204"/>
      <c r="F61" s="83">
        <v>1</v>
      </c>
      <c r="G61" s="83" t="s">
        <v>83</v>
      </c>
      <c r="H61" s="220" t="s">
        <v>84</v>
      </c>
      <c r="I61" s="221"/>
      <c r="J61" s="222"/>
      <c r="K61" s="88" t="s">
        <v>101</v>
      </c>
      <c r="L61" s="83"/>
      <c r="M61" s="83"/>
      <c r="N61" s="202"/>
      <c r="O61" s="203"/>
      <c r="P61" s="203"/>
      <c r="Q61" s="203"/>
      <c r="R61" s="204"/>
      <c r="S61" s="83"/>
      <c r="T61" s="83"/>
      <c r="U61" s="220"/>
      <c r="V61" s="221"/>
      <c r="W61" s="222"/>
      <c r="X61" s="88"/>
      <c r="Y61" s="83"/>
      <c r="Z61" s="83"/>
    </row>
    <row r="62" spans="1:26" ht="18" customHeight="1" x14ac:dyDescent="0.15">
      <c r="A62" s="18"/>
      <c r="B62" s="202" t="s">
        <v>103</v>
      </c>
      <c r="C62" s="203"/>
      <c r="D62" s="203"/>
      <c r="E62" s="204"/>
      <c r="F62" s="83">
        <v>1</v>
      </c>
      <c r="G62" s="83" t="s">
        <v>83</v>
      </c>
      <c r="H62" s="220" t="s">
        <v>84</v>
      </c>
      <c r="I62" s="221"/>
      <c r="J62" s="222"/>
      <c r="K62" s="88"/>
      <c r="L62" s="83" t="s">
        <v>83</v>
      </c>
      <c r="M62" s="83" t="s">
        <v>83</v>
      </c>
      <c r="N62" s="202"/>
      <c r="O62" s="203"/>
      <c r="P62" s="203"/>
      <c r="Q62" s="203"/>
      <c r="R62" s="204"/>
      <c r="S62" s="83"/>
      <c r="T62" s="83"/>
      <c r="U62" s="220"/>
      <c r="V62" s="221"/>
      <c r="W62" s="222"/>
      <c r="X62" s="88"/>
      <c r="Y62" s="83"/>
      <c r="Z62" s="83"/>
    </row>
    <row r="63" spans="1:26" ht="18" customHeight="1" x14ac:dyDescent="0.15">
      <c r="A63" s="18"/>
      <c r="B63" s="202"/>
      <c r="C63" s="203"/>
      <c r="D63" s="203"/>
      <c r="E63" s="204"/>
      <c r="F63" s="83"/>
      <c r="G63" s="83"/>
      <c r="H63" s="220"/>
      <c r="I63" s="221"/>
      <c r="J63" s="222"/>
      <c r="K63" s="88"/>
      <c r="L63" s="83"/>
      <c r="M63" s="83"/>
      <c r="N63" s="202"/>
      <c r="O63" s="203"/>
      <c r="P63" s="203"/>
      <c r="Q63" s="203"/>
      <c r="R63" s="204"/>
      <c r="S63" s="83"/>
      <c r="T63" s="83"/>
      <c r="U63" s="220"/>
      <c r="V63" s="221"/>
      <c r="W63" s="222"/>
      <c r="X63" s="88"/>
      <c r="Y63" s="83"/>
      <c r="Z63" s="83"/>
    </row>
    <row r="64" spans="1:26" ht="18" customHeight="1" x14ac:dyDescent="0.15">
      <c r="A64" s="18"/>
      <c r="B64" s="202"/>
      <c r="C64" s="203"/>
      <c r="D64" s="203"/>
      <c r="E64" s="204"/>
      <c r="F64" s="83"/>
      <c r="G64" s="83"/>
      <c r="H64" s="220"/>
      <c r="I64" s="221"/>
      <c r="J64" s="222"/>
      <c r="K64" s="88"/>
      <c r="L64" s="83"/>
      <c r="M64" s="83"/>
      <c r="N64" s="202"/>
      <c r="O64" s="203"/>
      <c r="P64" s="203"/>
      <c r="Q64" s="203"/>
      <c r="R64" s="204"/>
      <c r="S64" s="83"/>
      <c r="T64" s="83"/>
      <c r="U64" s="220"/>
      <c r="V64" s="221"/>
      <c r="W64" s="222"/>
      <c r="X64" s="88"/>
      <c r="Y64" s="83"/>
      <c r="Z64" s="83"/>
    </row>
    <row r="65" spans="1:26" ht="18" customHeight="1" x14ac:dyDescent="0.15">
      <c r="A65" s="18"/>
      <c r="B65" s="202"/>
      <c r="C65" s="203"/>
      <c r="D65" s="203"/>
      <c r="E65" s="204"/>
      <c r="F65" s="83"/>
      <c r="G65" s="83"/>
      <c r="H65" s="220"/>
      <c r="I65" s="221"/>
      <c r="J65" s="222"/>
      <c r="K65" s="88"/>
      <c r="L65" s="83"/>
      <c r="M65" s="83"/>
      <c r="N65" s="202"/>
      <c r="O65" s="203"/>
      <c r="P65" s="203"/>
      <c r="Q65" s="203"/>
      <c r="R65" s="204"/>
      <c r="S65" s="83"/>
      <c r="T65" s="83"/>
      <c r="U65" s="220"/>
      <c r="V65" s="221"/>
      <c r="W65" s="222"/>
      <c r="X65" s="88"/>
      <c r="Y65" s="83"/>
      <c r="Z65" s="83"/>
    </row>
    <row r="66" spans="1:26" ht="18" customHeight="1" x14ac:dyDescent="0.15">
      <c r="A66" s="18"/>
      <c r="B66" s="191"/>
      <c r="C66" s="192"/>
      <c r="D66" s="192"/>
      <c r="E66" s="193"/>
      <c r="F66" s="84"/>
      <c r="G66" s="84"/>
      <c r="H66" s="214"/>
      <c r="I66" s="215"/>
      <c r="J66" s="216"/>
      <c r="K66" s="89"/>
      <c r="L66" s="86"/>
      <c r="M66" s="86"/>
      <c r="N66" s="191"/>
      <c r="O66" s="192"/>
      <c r="P66" s="192"/>
      <c r="Q66" s="192"/>
      <c r="R66" s="193"/>
      <c r="S66" s="84"/>
      <c r="T66" s="84"/>
      <c r="U66" s="214"/>
      <c r="V66" s="215"/>
      <c r="W66" s="216"/>
      <c r="X66" s="89"/>
      <c r="Y66" s="86"/>
      <c r="Z66" s="86"/>
    </row>
    <row r="67" spans="1:26" ht="7.5" customHeight="1" x14ac:dyDescent="0.15">
      <c r="B67" s="58"/>
      <c r="C67" s="58"/>
      <c r="D67" s="58"/>
      <c r="E67" s="58"/>
      <c r="F67" s="58"/>
      <c r="G67" s="58"/>
      <c r="H67" s="58"/>
      <c r="I67" s="58"/>
      <c r="J67" s="58"/>
      <c r="K67" s="58"/>
      <c r="L67" s="58"/>
      <c r="M67" s="58"/>
      <c r="N67" s="58"/>
      <c r="O67" s="58"/>
      <c r="P67" s="58"/>
      <c r="Q67" s="58"/>
      <c r="R67" s="58"/>
      <c r="S67" s="58"/>
      <c r="T67" s="58"/>
      <c r="U67" s="58"/>
      <c r="V67" s="58"/>
      <c r="W67" s="58"/>
      <c r="X67" s="58"/>
      <c r="Y67" s="58"/>
    </row>
    <row r="68" spans="1:26" ht="18" customHeight="1" x14ac:dyDescent="0.15">
      <c r="A68" s="8" t="s">
        <v>104</v>
      </c>
      <c r="B68" s="8"/>
      <c r="C68" s="8"/>
      <c r="D68" s="8"/>
      <c r="E68" s="8"/>
      <c r="F68" s="8"/>
      <c r="G68" s="8"/>
      <c r="H68" s="8"/>
      <c r="I68" s="8"/>
      <c r="J68" s="8"/>
      <c r="K68" s="8"/>
      <c r="L68" s="18"/>
      <c r="M68" s="18"/>
      <c r="N68" s="18"/>
      <c r="O68" s="18"/>
      <c r="P68" s="18"/>
      <c r="Q68" s="18"/>
      <c r="R68" s="18"/>
      <c r="S68" s="18"/>
      <c r="T68" s="18"/>
      <c r="U68" s="18"/>
      <c r="V68" s="18"/>
      <c r="W68" s="18"/>
      <c r="X68" s="18"/>
      <c r="Y68" s="18"/>
      <c r="Z68" s="18"/>
    </row>
    <row r="69" spans="1:26" ht="18" customHeight="1" x14ac:dyDescent="0.15">
      <c r="A69" s="8"/>
      <c r="B69" s="143" t="s">
        <v>76</v>
      </c>
      <c r="C69" s="145"/>
      <c r="D69" s="145"/>
      <c r="E69" s="145"/>
      <c r="F69" s="144"/>
      <c r="G69" s="143" t="s">
        <v>105</v>
      </c>
      <c r="H69" s="145"/>
      <c r="I69" s="145"/>
      <c r="J69" s="145"/>
      <c r="K69" s="145"/>
      <c r="L69" s="145"/>
      <c r="M69" s="144"/>
      <c r="N69" s="217" t="s">
        <v>76</v>
      </c>
      <c r="O69" s="218"/>
      <c r="P69" s="218"/>
      <c r="Q69" s="218"/>
      <c r="R69" s="218"/>
      <c r="S69" s="219"/>
      <c r="T69" s="143" t="s">
        <v>105</v>
      </c>
      <c r="U69" s="145"/>
      <c r="V69" s="145"/>
      <c r="W69" s="145"/>
      <c r="X69" s="145"/>
      <c r="Y69" s="145"/>
      <c r="Z69" s="144"/>
    </row>
    <row r="70" spans="1:26" ht="18" customHeight="1" x14ac:dyDescent="0.15">
      <c r="A70" s="18"/>
      <c r="B70" s="208"/>
      <c r="C70" s="209"/>
      <c r="D70" s="209"/>
      <c r="E70" s="209"/>
      <c r="F70" s="210"/>
      <c r="G70" s="211"/>
      <c r="H70" s="212"/>
      <c r="I70" s="212"/>
      <c r="J70" s="212"/>
      <c r="K70" s="212"/>
      <c r="L70" s="212"/>
      <c r="M70" s="213"/>
      <c r="N70" s="208"/>
      <c r="O70" s="209"/>
      <c r="P70" s="209"/>
      <c r="Q70" s="209"/>
      <c r="R70" s="209"/>
      <c r="S70" s="210"/>
      <c r="T70" s="211"/>
      <c r="U70" s="212"/>
      <c r="V70" s="212"/>
      <c r="W70" s="212"/>
      <c r="X70" s="212"/>
      <c r="Y70" s="212"/>
      <c r="Z70" s="213"/>
    </row>
    <row r="71" spans="1:26" ht="18" customHeight="1" x14ac:dyDescent="0.15">
      <c r="A71" s="18"/>
      <c r="B71" s="202"/>
      <c r="C71" s="203"/>
      <c r="D71" s="203"/>
      <c r="E71" s="203"/>
      <c r="F71" s="204"/>
      <c r="G71" s="205"/>
      <c r="H71" s="206"/>
      <c r="I71" s="206"/>
      <c r="J71" s="206"/>
      <c r="K71" s="206"/>
      <c r="L71" s="206"/>
      <c r="M71" s="207"/>
      <c r="N71" s="202"/>
      <c r="O71" s="203"/>
      <c r="P71" s="203"/>
      <c r="Q71" s="203"/>
      <c r="R71" s="203"/>
      <c r="S71" s="204"/>
      <c r="T71" s="205"/>
      <c r="U71" s="206"/>
      <c r="V71" s="206"/>
      <c r="W71" s="206"/>
      <c r="X71" s="206"/>
      <c r="Y71" s="206"/>
      <c r="Z71" s="207"/>
    </row>
    <row r="72" spans="1:26" ht="18" customHeight="1" x14ac:dyDescent="0.15">
      <c r="A72" s="18"/>
      <c r="B72" s="202"/>
      <c r="C72" s="203"/>
      <c r="D72" s="203"/>
      <c r="E72" s="203"/>
      <c r="F72" s="204"/>
      <c r="G72" s="205"/>
      <c r="H72" s="206"/>
      <c r="I72" s="206"/>
      <c r="J72" s="206"/>
      <c r="K72" s="206"/>
      <c r="L72" s="206"/>
      <c r="M72" s="207"/>
      <c r="N72" s="202"/>
      <c r="O72" s="203"/>
      <c r="P72" s="203"/>
      <c r="Q72" s="203"/>
      <c r="R72" s="203"/>
      <c r="S72" s="204"/>
      <c r="T72" s="205"/>
      <c r="U72" s="206"/>
      <c r="V72" s="206"/>
      <c r="W72" s="206"/>
      <c r="X72" s="206"/>
      <c r="Y72" s="206"/>
      <c r="Z72" s="207"/>
    </row>
    <row r="73" spans="1:26" ht="18" customHeight="1" x14ac:dyDescent="0.15">
      <c r="A73" s="18"/>
      <c r="B73" s="202"/>
      <c r="C73" s="203"/>
      <c r="D73" s="203"/>
      <c r="E73" s="203"/>
      <c r="F73" s="204"/>
      <c r="G73" s="205"/>
      <c r="H73" s="206"/>
      <c r="I73" s="206"/>
      <c r="J73" s="206"/>
      <c r="K73" s="206"/>
      <c r="L73" s="206"/>
      <c r="M73" s="207"/>
      <c r="N73" s="202"/>
      <c r="O73" s="203"/>
      <c r="P73" s="203"/>
      <c r="Q73" s="203"/>
      <c r="R73" s="203"/>
      <c r="S73" s="204"/>
      <c r="T73" s="205"/>
      <c r="U73" s="206"/>
      <c r="V73" s="206"/>
      <c r="W73" s="206"/>
      <c r="X73" s="206"/>
      <c r="Y73" s="206"/>
      <c r="Z73" s="207"/>
    </row>
    <row r="74" spans="1:26" ht="18" customHeight="1" x14ac:dyDescent="0.15">
      <c r="A74" s="18"/>
      <c r="B74" s="202"/>
      <c r="C74" s="203"/>
      <c r="D74" s="203"/>
      <c r="E74" s="203"/>
      <c r="F74" s="204"/>
      <c r="G74" s="205"/>
      <c r="H74" s="206"/>
      <c r="I74" s="206"/>
      <c r="J74" s="206"/>
      <c r="K74" s="206"/>
      <c r="L74" s="206"/>
      <c r="M74" s="207"/>
      <c r="N74" s="202"/>
      <c r="O74" s="203"/>
      <c r="P74" s="203"/>
      <c r="Q74" s="203"/>
      <c r="R74" s="203"/>
      <c r="S74" s="204"/>
      <c r="T74" s="205"/>
      <c r="U74" s="206"/>
      <c r="V74" s="206"/>
      <c r="W74" s="206"/>
      <c r="X74" s="206"/>
      <c r="Y74" s="206"/>
      <c r="Z74" s="207"/>
    </row>
    <row r="75" spans="1:26" ht="18" customHeight="1" x14ac:dyDescent="0.15">
      <c r="A75" s="18"/>
      <c r="B75" s="202"/>
      <c r="C75" s="203"/>
      <c r="D75" s="203"/>
      <c r="E75" s="203"/>
      <c r="F75" s="204"/>
      <c r="G75" s="205"/>
      <c r="H75" s="206"/>
      <c r="I75" s="206"/>
      <c r="J75" s="206"/>
      <c r="K75" s="206"/>
      <c r="L75" s="206"/>
      <c r="M75" s="207"/>
      <c r="N75" s="202"/>
      <c r="O75" s="203"/>
      <c r="P75" s="203"/>
      <c r="Q75" s="203"/>
      <c r="R75" s="203"/>
      <c r="S75" s="204"/>
      <c r="T75" s="205"/>
      <c r="U75" s="206"/>
      <c r="V75" s="206"/>
      <c r="W75" s="206"/>
      <c r="X75" s="206"/>
      <c r="Y75" s="206"/>
      <c r="Z75" s="207"/>
    </row>
    <row r="76" spans="1:26" ht="18" customHeight="1" x14ac:dyDescent="0.15">
      <c r="A76" s="18"/>
      <c r="B76" s="191"/>
      <c r="C76" s="192"/>
      <c r="D76" s="192"/>
      <c r="E76" s="192"/>
      <c r="F76" s="193"/>
      <c r="G76" s="194"/>
      <c r="H76" s="195"/>
      <c r="I76" s="195"/>
      <c r="J76" s="195"/>
      <c r="K76" s="195"/>
      <c r="L76" s="195"/>
      <c r="M76" s="196"/>
      <c r="N76" s="191"/>
      <c r="O76" s="192"/>
      <c r="P76" s="192"/>
      <c r="Q76" s="192"/>
      <c r="R76" s="192"/>
      <c r="S76" s="193"/>
      <c r="T76" s="194"/>
      <c r="U76" s="195"/>
      <c r="V76" s="195"/>
      <c r="W76" s="195"/>
      <c r="X76" s="195"/>
      <c r="Y76" s="195"/>
      <c r="Z76" s="196"/>
    </row>
    <row r="77" spans="1:26" ht="18" customHeight="1" x14ac:dyDescent="0.15">
      <c r="A77" s="18"/>
      <c r="B77" s="22"/>
      <c r="C77" s="22"/>
      <c r="D77" s="22"/>
      <c r="E77" s="22"/>
      <c r="F77" s="22"/>
      <c r="G77" s="6"/>
      <c r="H77" s="6"/>
      <c r="I77" s="6"/>
      <c r="J77" s="6"/>
      <c r="K77" s="6"/>
      <c r="L77" s="6"/>
      <c r="M77" s="6"/>
      <c r="N77" s="22"/>
      <c r="O77" s="22"/>
      <c r="P77" s="22"/>
      <c r="Q77" s="22"/>
      <c r="R77" s="22"/>
      <c r="S77" s="22"/>
      <c r="T77" s="6"/>
      <c r="U77" s="6"/>
      <c r="V77" s="6"/>
      <c r="W77" s="6"/>
      <c r="X77" s="6"/>
      <c r="Y77" s="6"/>
      <c r="Z77" s="6"/>
    </row>
    <row r="78" spans="1:26" ht="18.75" customHeight="1" x14ac:dyDescent="0.15">
      <c r="A78" s="7" t="s">
        <v>106</v>
      </c>
    </row>
    <row r="79" spans="1:26" ht="18.75" customHeight="1" x14ac:dyDescent="0.15">
      <c r="B79" s="59" t="s">
        <v>107</v>
      </c>
      <c r="C79" s="60"/>
      <c r="D79" s="197" t="s">
        <v>108</v>
      </c>
      <c r="E79" s="197"/>
      <c r="F79" s="197"/>
      <c r="G79" s="197"/>
      <c r="H79" s="197"/>
      <c r="I79" s="197"/>
      <c r="J79" s="197"/>
      <c r="K79" s="197"/>
      <c r="L79" s="197"/>
      <c r="M79" s="197"/>
      <c r="N79" s="197"/>
      <c r="O79" s="197"/>
      <c r="P79" s="197"/>
      <c r="Q79" s="197"/>
      <c r="R79" s="197"/>
      <c r="S79" s="197"/>
      <c r="T79" s="197"/>
      <c r="U79" s="197"/>
      <c r="V79" s="197"/>
      <c r="W79" s="197"/>
      <c r="X79" s="197"/>
      <c r="Y79" s="197"/>
      <c r="Z79" s="198"/>
    </row>
    <row r="80" spans="1:26" ht="78" customHeight="1" x14ac:dyDescent="0.15">
      <c r="B80" s="162" t="s">
        <v>109</v>
      </c>
      <c r="C80" s="64" t="s">
        <v>80</v>
      </c>
      <c r="D80" s="164" t="s">
        <v>110</v>
      </c>
      <c r="E80" s="165"/>
      <c r="F80" s="165"/>
      <c r="G80" s="165"/>
      <c r="H80" s="165"/>
      <c r="I80" s="165"/>
      <c r="J80" s="165"/>
      <c r="K80" s="165"/>
      <c r="L80" s="165"/>
      <c r="M80" s="165"/>
      <c r="N80" s="165"/>
      <c r="O80" s="165"/>
      <c r="P80" s="165"/>
      <c r="Q80" s="165"/>
      <c r="R80" s="165"/>
      <c r="S80" s="165"/>
      <c r="T80" s="165"/>
      <c r="U80" s="165"/>
      <c r="V80" s="165"/>
      <c r="W80" s="165"/>
      <c r="X80" s="165"/>
      <c r="Y80" s="165"/>
      <c r="Z80" s="166"/>
    </row>
    <row r="81" spans="1:26" ht="78" customHeight="1" x14ac:dyDescent="0.15">
      <c r="B81" s="170"/>
      <c r="C81" s="79" t="s">
        <v>111</v>
      </c>
      <c r="D81" s="199" t="s">
        <v>112</v>
      </c>
      <c r="E81" s="200"/>
      <c r="F81" s="200"/>
      <c r="G81" s="200"/>
      <c r="H81" s="200"/>
      <c r="I81" s="200"/>
      <c r="J81" s="200"/>
      <c r="K81" s="200"/>
      <c r="L81" s="200"/>
      <c r="M81" s="200"/>
      <c r="N81" s="200"/>
      <c r="O81" s="200"/>
      <c r="P81" s="200"/>
      <c r="Q81" s="200"/>
      <c r="R81" s="200"/>
      <c r="S81" s="200"/>
      <c r="T81" s="200"/>
      <c r="U81" s="200"/>
      <c r="V81" s="200"/>
      <c r="W81" s="200"/>
      <c r="X81" s="200"/>
      <c r="Y81" s="200"/>
      <c r="Z81" s="201"/>
    </row>
    <row r="82" spans="1:26" ht="78" customHeight="1" x14ac:dyDescent="0.15">
      <c r="B82" s="181" t="s">
        <v>113</v>
      </c>
      <c r="C82" s="61" t="s">
        <v>86</v>
      </c>
      <c r="D82" s="182" t="s">
        <v>114</v>
      </c>
      <c r="E82" s="183"/>
      <c r="F82" s="183"/>
      <c r="G82" s="183"/>
      <c r="H82" s="183"/>
      <c r="I82" s="183"/>
      <c r="J82" s="183"/>
      <c r="K82" s="183"/>
      <c r="L82" s="183"/>
      <c r="M82" s="183"/>
      <c r="N82" s="183"/>
      <c r="O82" s="183"/>
      <c r="P82" s="183"/>
      <c r="Q82" s="183"/>
      <c r="R82" s="183"/>
      <c r="S82" s="183"/>
      <c r="T82" s="183"/>
      <c r="U82" s="183"/>
      <c r="V82" s="183"/>
      <c r="W82" s="183"/>
      <c r="X82" s="183"/>
      <c r="Y82" s="183"/>
      <c r="Z82" s="184"/>
    </row>
    <row r="83" spans="1:26" ht="78" customHeight="1" x14ac:dyDescent="0.15">
      <c r="B83" s="171"/>
      <c r="C83" s="80" t="s">
        <v>87</v>
      </c>
      <c r="D83" s="185" t="s">
        <v>115</v>
      </c>
      <c r="E83" s="186"/>
      <c r="F83" s="186"/>
      <c r="G83" s="186"/>
      <c r="H83" s="186"/>
      <c r="I83" s="186"/>
      <c r="J83" s="186"/>
      <c r="K83" s="186"/>
      <c r="L83" s="186"/>
      <c r="M83" s="186"/>
      <c r="N83" s="186"/>
      <c r="O83" s="186"/>
      <c r="P83" s="186"/>
      <c r="Q83" s="186"/>
      <c r="R83" s="186"/>
      <c r="S83" s="186"/>
      <c r="T83" s="186"/>
      <c r="U83" s="186"/>
      <c r="V83" s="186"/>
      <c r="W83" s="186"/>
      <c r="X83" s="186"/>
      <c r="Y83" s="186"/>
      <c r="Z83" s="187"/>
    </row>
    <row r="84" spans="1:26" ht="66" customHeight="1" x14ac:dyDescent="0.15">
      <c r="B84" s="181" t="s">
        <v>116</v>
      </c>
      <c r="C84" s="61" t="s">
        <v>90</v>
      </c>
      <c r="D84" s="182" t="s">
        <v>117</v>
      </c>
      <c r="E84" s="183"/>
      <c r="F84" s="183"/>
      <c r="G84" s="183"/>
      <c r="H84" s="183"/>
      <c r="I84" s="183"/>
      <c r="J84" s="183"/>
      <c r="K84" s="183"/>
      <c r="L84" s="183"/>
      <c r="M84" s="183"/>
      <c r="N84" s="183"/>
      <c r="O84" s="183"/>
      <c r="P84" s="183"/>
      <c r="Q84" s="183"/>
      <c r="R84" s="183"/>
      <c r="S84" s="183"/>
      <c r="T84" s="183"/>
      <c r="U84" s="183"/>
      <c r="V84" s="183"/>
      <c r="W84" s="183"/>
      <c r="X84" s="183"/>
      <c r="Y84" s="183"/>
      <c r="Z84" s="184"/>
    </row>
    <row r="85" spans="1:26" ht="66" customHeight="1" x14ac:dyDescent="0.15">
      <c r="B85" s="171"/>
      <c r="C85" s="63" t="s">
        <v>91</v>
      </c>
      <c r="D85" s="188" t="s">
        <v>118</v>
      </c>
      <c r="E85" s="189"/>
      <c r="F85" s="189"/>
      <c r="G85" s="189"/>
      <c r="H85" s="189"/>
      <c r="I85" s="189"/>
      <c r="J85" s="189"/>
      <c r="K85" s="189"/>
      <c r="L85" s="189"/>
      <c r="M85" s="189"/>
      <c r="N85" s="189"/>
      <c r="O85" s="189"/>
      <c r="P85" s="189"/>
      <c r="Q85" s="189"/>
      <c r="R85" s="189"/>
      <c r="S85" s="189"/>
      <c r="T85" s="189"/>
      <c r="U85" s="189"/>
      <c r="V85" s="189"/>
      <c r="W85" s="189"/>
      <c r="X85" s="189"/>
      <c r="Y85" s="189"/>
      <c r="Z85" s="190"/>
    </row>
    <row r="86" spans="1:26" ht="66" customHeight="1" x14ac:dyDescent="0.15">
      <c r="B86" s="162" t="s">
        <v>119</v>
      </c>
      <c r="C86" s="64" t="s">
        <v>94</v>
      </c>
      <c r="D86" s="164" t="s">
        <v>120</v>
      </c>
      <c r="E86" s="165"/>
      <c r="F86" s="165"/>
      <c r="G86" s="165"/>
      <c r="H86" s="165"/>
      <c r="I86" s="165"/>
      <c r="J86" s="165"/>
      <c r="K86" s="165"/>
      <c r="L86" s="165"/>
      <c r="M86" s="165"/>
      <c r="N86" s="165"/>
      <c r="O86" s="165"/>
      <c r="P86" s="165"/>
      <c r="Q86" s="165"/>
      <c r="R86" s="165"/>
      <c r="S86" s="165"/>
      <c r="T86" s="165"/>
      <c r="U86" s="165"/>
      <c r="V86" s="165"/>
      <c r="W86" s="165"/>
      <c r="X86" s="165"/>
      <c r="Y86" s="165"/>
      <c r="Z86" s="166"/>
    </row>
    <row r="87" spans="1:26" ht="66" customHeight="1" x14ac:dyDescent="0.15">
      <c r="B87" s="163"/>
      <c r="C87" s="62" t="s">
        <v>95</v>
      </c>
      <c r="D87" s="167" t="s">
        <v>121</v>
      </c>
      <c r="E87" s="168"/>
      <c r="F87" s="168"/>
      <c r="G87" s="168"/>
      <c r="H87" s="168"/>
      <c r="I87" s="168"/>
      <c r="J87" s="168"/>
      <c r="K87" s="168"/>
      <c r="L87" s="168"/>
      <c r="M87" s="168"/>
      <c r="N87" s="168"/>
      <c r="O87" s="168"/>
      <c r="P87" s="168"/>
      <c r="Q87" s="168"/>
      <c r="R87" s="168"/>
      <c r="S87" s="168"/>
      <c r="T87" s="168"/>
      <c r="U87" s="168"/>
      <c r="V87" s="168"/>
      <c r="W87" s="168"/>
      <c r="X87" s="168"/>
      <c r="Y87" s="168"/>
      <c r="Z87" s="169"/>
    </row>
    <row r="88" spans="1:26" ht="66" customHeight="1" x14ac:dyDescent="0.15">
      <c r="B88" s="162" t="s">
        <v>122</v>
      </c>
      <c r="C88" s="61" t="s">
        <v>97</v>
      </c>
      <c r="D88" s="172" t="s">
        <v>123</v>
      </c>
      <c r="E88" s="173"/>
      <c r="F88" s="173"/>
      <c r="G88" s="173"/>
      <c r="H88" s="173"/>
      <c r="I88" s="173"/>
      <c r="J88" s="173"/>
      <c r="K88" s="173"/>
      <c r="L88" s="173"/>
      <c r="M88" s="173"/>
      <c r="N88" s="173"/>
      <c r="O88" s="173"/>
      <c r="P88" s="173"/>
      <c r="Q88" s="173"/>
      <c r="R88" s="173"/>
      <c r="S88" s="173"/>
      <c r="T88" s="173"/>
      <c r="U88" s="173"/>
      <c r="V88" s="173"/>
      <c r="W88" s="173"/>
      <c r="X88" s="173"/>
      <c r="Y88" s="173"/>
      <c r="Z88" s="174"/>
    </row>
    <row r="89" spans="1:26" ht="66" customHeight="1" x14ac:dyDescent="0.15">
      <c r="B89" s="170"/>
      <c r="C89" s="62" t="s">
        <v>98</v>
      </c>
      <c r="D89" s="175" t="s">
        <v>124</v>
      </c>
      <c r="E89" s="176"/>
      <c r="F89" s="176"/>
      <c r="G89" s="176"/>
      <c r="H89" s="176"/>
      <c r="I89" s="176"/>
      <c r="J89" s="176"/>
      <c r="K89" s="176"/>
      <c r="L89" s="176"/>
      <c r="M89" s="176"/>
      <c r="N89" s="176"/>
      <c r="O89" s="176"/>
      <c r="P89" s="176"/>
      <c r="Q89" s="176"/>
      <c r="R89" s="176"/>
      <c r="S89" s="176"/>
      <c r="T89" s="176"/>
      <c r="U89" s="176"/>
      <c r="V89" s="176"/>
      <c r="W89" s="176"/>
      <c r="X89" s="176"/>
      <c r="Y89" s="176"/>
      <c r="Z89" s="177"/>
    </row>
    <row r="90" spans="1:26" ht="66" customHeight="1" x14ac:dyDescent="0.15">
      <c r="B90" s="171"/>
      <c r="C90" s="63" t="s">
        <v>99</v>
      </c>
      <c r="D90" s="178" t="s">
        <v>125</v>
      </c>
      <c r="E90" s="179"/>
      <c r="F90" s="179"/>
      <c r="G90" s="179"/>
      <c r="H90" s="179"/>
      <c r="I90" s="179"/>
      <c r="J90" s="179"/>
      <c r="K90" s="179"/>
      <c r="L90" s="179"/>
      <c r="M90" s="179"/>
      <c r="N90" s="179"/>
      <c r="O90" s="179"/>
      <c r="P90" s="179"/>
      <c r="Q90" s="179"/>
      <c r="R90" s="179"/>
      <c r="S90" s="179"/>
      <c r="T90" s="179"/>
      <c r="U90" s="179"/>
      <c r="V90" s="179"/>
      <c r="W90" s="179"/>
      <c r="X90" s="179"/>
      <c r="Y90" s="179"/>
      <c r="Z90" s="180"/>
    </row>
    <row r="91" spans="1:26" ht="6" customHeight="1" x14ac:dyDescent="0.15"/>
    <row r="92" spans="1:26" ht="18.75" customHeight="1" x14ac:dyDescent="0.15">
      <c r="A92" s="7" t="s">
        <v>126</v>
      </c>
    </row>
    <row r="93" spans="1:26" ht="18.75" customHeight="1" x14ac:dyDescent="0.15">
      <c r="B93" s="150" t="s">
        <v>127</v>
      </c>
      <c r="C93" s="151"/>
      <c r="D93" s="151"/>
      <c r="E93" s="151"/>
      <c r="F93" s="151"/>
      <c r="G93" s="151"/>
      <c r="H93" s="151"/>
      <c r="I93" s="151"/>
      <c r="J93" s="151"/>
      <c r="K93" s="151"/>
      <c r="L93" s="151"/>
      <c r="M93" s="151"/>
      <c r="N93" s="151"/>
      <c r="O93" s="151"/>
      <c r="P93" s="151"/>
      <c r="Q93" s="151"/>
      <c r="R93" s="151"/>
      <c r="S93" s="151"/>
      <c r="T93" s="151"/>
      <c r="U93" s="151"/>
      <c r="V93" s="151"/>
      <c r="W93" s="151"/>
      <c r="X93" s="151"/>
      <c r="Y93" s="151"/>
      <c r="Z93" s="152"/>
    </row>
    <row r="94" spans="1:26" ht="18.75" customHeight="1" x14ac:dyDescent="0.15">
      <c r="B94" s="153"/>
      <c r="C94" s="154"/>
      <c r="D94" s="154"/>
      <c r="E94" s="154"/>
      <c r="F94" s="154"/>
      <c r="G94" s="154"/>
      <c r="H94" s="154"/>
      <c r="I94" s="154"/>
      <c r="J94" s="154"/>
      <c r="K94" s="154"/>
      <c r="L94" s="154"/>
      <c r="M94" s="154"/>
      <c r="N94" s="154"/>
      <c r="O94" s="154"/>
      <c r="P94" s="154"/>
      <c r="Q94" s="154"/>
      <c r="R94" s="154"/>
      <c r="S94" s="154"/>
      <c r="T94" s="154"/>
      <c r="U94" s="154"/>
      <c r="V94" s="154"/>
      <c r="W94" s="154"/>
      <c r="X94" s="154"/>
      <c r="Y94" s="154"/>
      <c r="Z94" s="155"/>
    </row>
    <row r="95" spans="1:26" ht="18.75" customHeight="1" x14ac:dyDescent="0.15">
      <c r="B95" s="156"/>
      <c r="C95" s="157"/>
      <c r="D95" s="157"/>
      <c r="E95" s="157"/>
      <c r="F95" s="157"/>
      <c r="G95" s="157"/>
      <c r="H95" s="157"/>
      <c r="I95" s="157"/>
      <c r="J95" s="157"/>
      <c r="K95" s="157"/>
      <c r="L95" s="157"/>
      <c r="M95" s="157"/>
      <c r="N95" s="157"/>
      <c r="O95" s="157"/>
      <c r="P95" s="157"/>
      <c r="Q95" s="157"/>
      <c r="R95" s="157"/>
      <c r="S95" s="157"/>
      <c r="T95" s="157"/>
      <c r="U95" s="157"/>
      <c r="V95" s="157"/>
      <c r="W95" s="157"/>
      <c r="X95" s="157"/>
      <c r="Y95" s="157"/>
      <c r="Z95" s="158"/>
    </row>
    <row r="96" spans="1:26" ht="6" customHeight="1" x14ac:dyDescent="0.15"/>
    <row r="97" spans="1:26" ht="15" customHeight="1" x14ac:dyDescent="0.15">
      <c r="A97" s="7" t="s">
        <v>128</v>
      </c>
    </row>
    <row r="98" spans="1:26" ht="15" customHeight="1" x14ac:dyDescent="0.15">
      <c r="B98" s="159" t="s">
        <v>129</v>
      </c>
      <c r="C98" s="160"/>
      <c r="D98" s="160"/>
      <c r="E98" s="160"/>
      <c r="F98" s="160"/>
      <c r="G98" s="160"/>
      <c r="H98" s="160"/>
      <c r="I98" s="160"/>
      <c r="J98" s="160"/>
      <c r="K98" s="160"/>
      <c r="L98" s="160"/>
      <c r="M98" s="160"/>
      <c r="N98" s="160"/>
      <c r="O98" s="160"/>
      <c r="P98" s="160"/>
      <c r="Q98" s="160"/>
      <c r="R98" s="160"/>
      <c r="S98" s="160"/>
      <c r="T98" s="160"/>
      <c r="U98" s="160"/>
      <c r="V98" s="160"/>
      <c r="W98" s="160"/>
      <c r="X98" s="160"/>
      <c r="Y98" s="160"/>
      <c r="Z98" s="161"/>
    </row>
  </sheetData>
  <mergeCells count="218">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93:Z95"/>
    <mergeCell ref="B98:Z98"/>
    <mergeCell ref="B86:B87"/>
    <mergeCell ref="D86:Z86"/>
    <mergeCell ref="D87:Z87"/>
    <mergeCell ref="B88:B90"/>
    <mergeCell ref="D88:Z88"/>
    <mergeCell ref="D89:Z89"/>
    <mergeCell ref="D90:Z90"/>
  </mergeCells>
  <phoneticPr fontId="1"/>
  <dataValidations count="4">
    <dataValidation type="list" allowBlank="1" showInputMessage="1" showErrorMessage="1" sqref="H74:M77 G70:G77 H70:M71 T70:T77 U70:Z71 U74:Z77" xr:uid="{D0D0D2E6-870E-4FFF-99F8-D21E3A247EFF}">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xr:uid="{70E167DD-942A-4478-83CD-C6AE80C407AA}">
      <formula1>"学部・学科によって、修了要件は相違する,学部・学科によって、修了要件は相違しない"</formula1>
    </dataValidation>
    <dataValidation type="list" allowBlank="1" showInputMessage="1" showErrorMessage="1" sqref="Z23 Z34 D34:K34 D23:K23 V16:V22 I16:I22 V27:V33 I27:I33 V38:V44 I38:I44 V49:V55 I49:I55 U60:U66 H60:H66" xr:uid="{90966573-C758-4026-8B36-BB383C2A8B8C}">
      <formula1>"全学開講,一部開講"</formula1>
    </dataValidation>
    <dataValidation type="list" allowBlank="1" showInputMessage="1" showErrorMessage="1" sqref="Y16:Z22 L16:M22 Y27:Z33 L27:M33 L38:M44 Y38:Z44 L49:M55 Y49:Z55 Y60:Z66 L60:M66 H16:H22 U16:U22 H27:H33 U27:U33 H38:H44 U38:U44 H49:H55 U49:U55 G60:G66 T60:T66" xr:uid="{5E0305C7-9EEF-4324-A85C-CDD456A12D90}">
      <formula1>"○"</formula1>
    </dataValidation>
  </dataValidations>
  <hyperlinks>
    <hyperlink ref="B98" r:id="rId1" display="https://www.toba-cmt.ac.jp/datascience/" xr:uid="{76F0B03B-5AF5-4AA6-B2EF-4CCD2694B97C}"/>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1D42E-8908-4FFC-8BB2-A043F649CDA2}">
  <dimension ref="A1:Z98"/>
  <sheetViews>
    <sheetView showZeros="0" view="pageBreakPreview" zoomScale="80" zoomScaleNormal="100" zoomScaleSheetLayoutView="80" workbookViewId="0">
      <selection activeCell="D91" sqref="D91"/>
    </sheetView>
  </sheetViews>
  <sheetFormatPr defaultColWidth="9" defaultRowHeight="18.75" customHeight="1" x14ac:dyDescent="0.15"/>
  <cols>
    <col min="1" max="1" width="2.5" style="7" customWidth="1"/>
    <col min="2" max="2" width="27.75" style="7" customWidth="1"/>
    <col min="3" max="13" width="3.375" style="7" customWidth="1"/>
    <col min="14" max="14" width="8.875" style="7" customWidth="1"/>
    <col min="15" max="15" width="18.875" style="7" customWidth="1"/>
    <col min="16" max="19" width="3.375" style="7" customWidth="1"/>
    <col min="20" max="20" width="3.5" style="7" customWidth="1"/>
    <col min="21" max="26" width="3.375" style="7" customWidth="1"/>
    <col min="27" max="16384" width="9" style="7"/>
  </cols>
  <sheetData>
    <row r="1" spans="1:26" ht="15" customHeight="1" x14ac:dyDescent="0.15">
      <c r="W1" s="236" t="s">
        <v>130</v>
      </c>
      <c r="X1" s="236"/>
      <c r="Y1" s="236"/>
      <c r="Z1" s="236"/>
    </row>
    <row r="2" spans="1:26" ht="18" customHeight="1" x14ac:dyDescent="0.15">
      <c r="A2" s="237" t="s">
        <v>70</v>
      </c>
      <c r="B2" s="237"/>
      <c r="C2" s="237"/>
      <c r="D2" s="237"/>
      <c r="E2" s="237"/>
      <c r="F2" s="237"/>
      <c r="G2" s="237"/>
      <c r="H2" s="237"/>
      <c r="I2" s="237"/>
      <c r="J2" s="237"/>
      <c r="K2" s="237"/>
      <c r="L2" s="237"/>
      <c r="M2" s="237"/>
      <c r="N2" s="237"/>
      <c r="O2" s="237"/>
      <c r="P2" s="237"/>
      <c r="Q2" s="237"/>
      <c r="R2" s="237"/>
      <c r="S2" s="237"/>
      <c r="T2" s="237"/>
      <c r="U2" s="237"/>
      <c r="V2" s="237"/>
      <c r="W2" s="237"/>
      <c r="X2" s="237"/>
      <c r="Y2" s="237"/>
      <c r="Z2" s="237"/>
    </row>
    <row r="3" spans="1:26" ht="15" customHeight="1" x14ac:dyDescent="0.15">
      <c r="B3" s="18"/>
      <c r="C3" s="18"/>
      <c r="D3" s="18"/>
      <c r="E3" s="18"/>
      <c r="F3" s="18"/>
      <c r="G3" s="18"/>
      <c r="H3" s="18"/>
      <c r="I3" s="18"/>
      <c r="J3" s="18"/>
      <c r="K3" s="18"/>
      <c r="L3" s="18"/>
      <c r="M3" s="18"/>
      <c r="N3" s="18"/>
      <c r="O3" s="18"/>
      <c r="P3" s="18"/>
      <c r="Q3" s="18"/>
      <c r="R3" s="18"/>
      <c r="S3" s="18"/>
      <c r="T3" s="18"/>
      <c r="U3" s="18"/>
      <c r="V3" s="18"/>
      <c r="W3" s="18"/>
      <c r="X3" s="18"/>
      <c r="Y3" s="18"/>
      <c r="Z3" s="18"/>
    </row>
    <row r="4" spans="1:26" ht="18" customHeight="1" x14ac:dyDescent="0.15">
      <c r="A4" s="7" t="s">
        <v>71</v>
      </c>
      <c r="B4" s="18"/>
      <c r="C4" s="18"/>
      <c r="D4" s="18"/>
      <c r="E4" s="18"/>
      <c r="F4" s="18"/>
      <c r="G4" s="18"/>
      <c r="H4" s="8" t="s">
        <v>72</v>
      </c>
      <c r="I4" s="18"/>
      <c r="J4" s="18"/>
      <c r="K4" s="18"/>
      <c r="L4" s="18"/>
      <c r="M4" s="18"/>
      <c r="N4" s="18"/>
      <c r="O4" s="143" t="s">
        <v>73</v>
      </c>
      <c r="P4" s="145"/>
      <c r="Q4" s="145"/>
      <c r="R4" s="145"/>
      <c r="S4" s="145"/>
      <c r="T4" s="145"/>
      <c r="U4" s="145"/>
      <c r="V4" s="145"/>
      <c r="W4" s="145"/>
      <c r="X4" s="145"/>
      <c r="Y4" s="145"/>
      <c r="Z4" s="144"/>
    </row>
    <row r="5" spans="1:26" ht="6" customHeight="1" x14ac:dyDescent="0.15">
      <c r="B5" s="18"/>
      <c r="C5" s="18"/>
      <c r="D5" s="18"/>
      <c r="E5" s="18"/>
      <c r="F5" s="18"/>
      <c r="G5" s="18"/>
      <c r="H5" s="18"/>
      <c r="I5" s="18"/>
      <c r="J5" s="18"/>
      <c r="K5" s="18"/>
      <c r="L5" s="18"/>
      <c r="M5" s="18"/>
      <c r="N5" s="18"/>
      <c r="O5" s="9"/>
      <c r="P5" s="18"/>
      <c r="Q5" s="18"/>
      <c r="R5" s="18"/>
      <c r="S5" s="18"/>
      <c r="T5" s="18"/>
      <c r="U5" s="18"/>
      <c r="V5" s="18"/>
      <c r="W5" s="18"/>
      <c r="X5" s="18"/>
      <c r="Y5" s="18"/>
      <c r="Z5" s="18"/>
    </row>
    <row r="6" spans="1:26" ht="18" customHeight="1" x14ac:dyDescent="0.15">
      <c r="B6" s="238" t="s">
        <v>131</v>
      </c>
      <c r="C6" s="239"/>
      <c r="D6" s="239"/>
      <c r="E6" s="239"/>
      <c r="F6" s="239"/>
      <c r="G6" s="239"/>
      <c r="H6" s="239"/>
      <c r="I6" s="239"/>
      <c r="J6" s="239"/>
      <c r="K6" s="239"/>
      <c r="L6" s="239"/>
      <c r="M6" s="239"/>
      <c r="N6" s="239"/>
      <c r="O6" s="239"/>
      <c r="P6" s="239"/>
      <c r="Q6" s="239"/>
      <c r="R6" s="239"/>
      <c r="S6" s="239"/>
      <c r="T6" s="239"/>
      <c r="U6" s="239"/>
      <c r="V6" s="239"/>
      <c r="W6" s="239"/>
      <c r="X6" s="239"/>
      <c r="Y6" s="239"/>
      <c r="Z6" s="240"/>
    </row>
    <row r="7" spans="1:26" ht="18" customHeight="1" x14ac:dyDescent="0.15">
      <c r="B7" s="241"/>
      <c r="C7" s="242"/>
      <c r="D7" s="242"/>
      <c r="E7" s="242"/>
      <c r="F7" s="242"/>
      <c r="G7" s="242"/>
      <c r="H7" s="242"/>
      <c r="I7" s="242"/>
      <c r="J7" s="242"/>
      <c r="K7" s="242"/>
      <c r="L7" s="242"/>
      <c r="M7" s="242"/>
      <c r="N7" s="242"/>
      <c r="O7" s="242"/>
      <c r="P7" s="242"/>
      <c r="Q7" s="242"/>
      <c r="R7" s="242"/>
      <c r="S7" s="242"/>
      <c r="T7" s="242"/>
      <c r="U7" s="242"/>
      <c r="V7" s="242"/>
      <c r="W7" s="242"/>
      <c r="X7" s="242"/>
      <c r="Y7" s="242"/>
      <c r="Z7" s="243"/>
    </row>
    <row r="8" spans="1:26" ht="18" customHeight="1" x14ac:dyDescent="0.15">
      <c r="B8" s="241"/>
      <c r="C8" s="242"/>
      <c r="D8" s="242"/>
      <c r="E8" s="242"/>
      <c r="F8" s="242"/>
      <c r="G8" s="242"/>
      <c r="H8" s="242"/>
      <c r="I8" s="242"/>
      <c r="J8" s="242"/>
      <c r="K8" s="242"/>
      <c r="L8" s="242"/>
      <c r="M8" s="242"/>
      <c r="N8" s="242"/>
      <c r="O8" s="242"/>
      <c r="P8" s="242"/>
      <c r="Q8" s="242"/>
      <c r="R8" s="242"/>
      <c r="S8" s="242"/>
      <c r="T8" s="242"/>
      <c r="U8" s="242"/>
      <c r="V8" s="242"/>
      <c r="W8" s="242"/>
      <c r="X8" s="242"/>
      <c r="Y8" s="242"/>
      <c r="Z8" s="243"/>
    </row>
    <row r="9" spans="1:26" ht="18" customHeight="1" x14ac:dyDescent="0.15">
      <c r="B9" s="241"/>
      <c r="C9" s="242"/>
      <c r="D9" s="242"/>
      <c r="E9" s="242"/>
      <c r="F9" s="242"/>
      <c r="G9" s="242"/>
      <c r="H9" s="242"/>
      <c r="I9" s="242"/>
      <c r="J9" s="242"/>
      <c r="K9" s="242"/>
      <c r="L9" s="242"/>
      <c r="M9" s="242"/>
      <c r="N9" s="242"/>
      <c r="O9" s="242"/>
      <c r="P9" s="242"/>
      <c r="Q9" s="242"/>
      <c r="R9" s="242"/>
      <c r="S9" s="242"/>
      <c r="T9" s="242"/>
      <c r="U9" s="242"/>
      <c r="V9" s="242"/>
      <c r="W9" s="242"/>
      <c r="X9" s="242"/>
      <c r="Y9" s="242"/>
      <c r="Z9" s="243"/>
    </row>
    <row r="10" spans="1:26" ht="18" customHeight="1" x14ac:dyDescent="0.15">
      <c r="B10" s="241"/>
      <c r="C10" s="242"/>
      <c r="D10" s="242"/>
      <c r="E10" s="242"/>
      <c r="F10" s="242"/>
      <c r="G10" s="242"/>
      <c r="H10" s="242"/>
      <c r="I10" s="242"/>
      <c r="J10" s="242"/>
      <c r="K10" s="242"/>
      <c r="L10" s="242"/>
      <c r="M10" s="242"/>
      <c r="N10" s="242"/>
      <c r="O10" s="242"/>
      <c r="P10" s="242"/>
      <c r="Q10" s="242"/>
      <c r="R10" s="242"/>
      <c r="S10" s="242"/>
      <c r="T10" s="242"/>
      <c r="U10" s="242"/>
      <c r="V10" s="242"/>
      <c r="W10" s="242"/>
      <c r="X10" s="242"/>
      <c r="Y10" s="242"/>
      <c r="Z10" s="243"/>
    </row>
    <row r="11" spans="1:26" ht="18" customHeight="1" x14ac:dyDescent="0.15">
      <c r="B11" s="244"/>
      <c r="C11" s="245"/>
      <c r="D11" s="245"/>
      <c r="E11" s="245"/>
      <c r="F11" s="245"/>
      <c r="G11" s="245"/>
      <c r="H11" s="245"/>
      <c r="I11" s="245"/>
      <c r="J11" s="245"/>
      <c r="K11" s="245"/>
      <c r="L11" s="245"/>
      <c r="M11" s="245"/>
      <c r="N11" s="245"/>
      <c r="O11" s="245"/>
      <c r="P11" s="245"/>
      <c r="Q11" s="245"/>
      <c r="R11" s="245"/>
      <c r="S11" s="245"/>
      <c r="T11" s="245"/>
      <c r="U11" s="245"/>
      <c r="V11" s="245"/>
      <c r="W11" s="245"/>
      <c r="X11" s="245"/>
      <c r="Y11" s="245"/>
      <c r="Z11" s="246"/>
    </row>
    <row r="12" spans="1:26" ht="7.5" customHeight="1" x14ac:dyDescent="0.15">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spans="1:26" ht="18" customHeight="1" x14ac:dyDescent="0.15">
      <c r="A13" s="229" t="s">
        <v>75</v>
      </c>
      <c r="B13" s="229"/>
      <c r="C13" s="229"/>
      <c r="D13" s="229"/>
      <c r="E13" s="229"/>
      <c r="F13" s="229"/>
      <c r="G13" s="229"/>
      <c r="H13" s="229"/>
      <c r="I13" s="229"/>
      <c r="J13" s="229"/>
      <c r="K13" s="229"/>
      <c r="L13" s="229"/>
      <c r="M13" s="229"/>
      <c r="N13" s="229"/>
      <c r="O13" s="229"/>
      <c r="P13" s="229"/>
      <c r="Q13" s="229"/>
      <c r="R13" s="229"/>
      <c r="S13" s="229"/>
      <c r="T13" s="229"/>
      <c r="U13" s="229"/>
      <c r="V13" s="229"/>
      <c r="W13" s="229"/>
      <c r="X13" s="229"/>
      <c r="Y13" s="229"/>
      <c r="Z13" s="229"/>
    </row>
    <row r="14" spans="1:26" ht="18" customHeight="1" x14ac:dyDescent="0.15">
      <c r="A14" s="229"/>
      <c r="B14" s="229"/>
      <c r="C14" s="229"/>
      <c r="D14" s="229"/>
      <c r="E14" s="229"/>
      <c r="F14" s="229"/>
      <c r="G14" s="229"/>
      <c r="H14" s="229"/>
      <c r="I14" s="229"/>
      <c r="J14" s="229"/>
      <c r="K14" s="229"/>
      <c r="L14" s="229"/>
      <c r="M14" s="229"/>
      <c r="N14" s="229"/>
      <c r="O14" s="229"/>
      <c r="P14" s="229"/>
      <c r="Q14" s="229"/>
      <c r="R14" s="229"/>
      <c r="S14" s="229"/>
      <c r="T14" s="229"/>
      <c r="U14" s="229"/>
      <c r="V14" s="229"/>
      <c r="W14" s="229"/>
      <c r="X14" s="229"/>
      <c r="Y14" s="229"/>
      <c r="Z14" s="229"/>
    </row>
    <row r="15" spans="1:26" ht="18" customHeight="1" x14ac:dyDescent="0.15">
      <c r="A15" s="8"/>
      <c r="B15" s="143" t="s">
        <v>76</v>
      </c>
      <c r="C15" s="145"/>
      <c r="D15" s="145"/>
      <c r="E15" s="145"/>
      <c r="F15" s="144"/>
      <c r="G15" s="19" t="s">
        <v>77</v>
      </c>
      <c r="H15" s="81" t="s">
        <v>78</v>
      </c>
      <c r="I15" s="145" t="s">
        <v>79</v>
      </c>
      <c r="J15" s="145"/>
      <c r="K15" s="145"/>
      <c r="L15" s="57" t="s">
        <v>80</v>
      </c>
      <c r="M15" s="57" t="s">
        <v>81</v>
      </c>
      <c r="N15" s="143" t="s">
        <v>76</v>
      </c>
      <c r="O15" s="145"/>
      <c r="P15" s="145"/>
      <c r="Q15" s="145"/>
      <c r="R15" s="145"/>
      <c r="S15" s="144"/>
      <c r="T15" s="19" t="s">
        <v>77</v>
      </c>
      <c r="U15" s="81" t="s">
        <v>78</v>
      </c>
      <c r="V15" s="145" t="s">
        <v>79</v>
      </c>
      <c r="W15" s="145"/>
      <c r="X15" s="145"/>
      <c r="Y15" s="57" t="s">
        <v>80</v>
      </c>
      <c r="Z15" s="57" t="s">
        <v>81</v>
      </c>
    </row>
    <row r="16" spans="1:26" ht="18" customHeight="1" x14ac:dyDescent="0.15">
      <c r="A16" s="8"/>
      <c r="B16" s="233" t="s">
        <v>132</v>
      </c>
      <c r="C16" s="234"/>
      <c r="D16" s="234"/>
      <c r="E16" s="234"/>
      <c r="F16" s="235"/>
      <c r="G16" s="82">
        <v>2</v>
      </c>
      <c r="H16" s="82" t="s">
        <v>83</v>
      </c>
      <c r="I16" s="223" t="s">
        <v>84</v>
      </c>
      <c r="J16" s="224"/>
      <c r="K16" s="225"/>
      <c r="L16" s="82" t="s">
        <v>83</v>
      </c>
      <c r="M16" s="82"/>
      <c r="N16" s="208"/>
      <c r="O16" s="209"/>
      <c r="P16" s="209"/>
      <c r="Q16" s="209"/>
      <c r="R16" s="209"/>
      <c r="S16" s="210"/>
      <c r="T16" s="82"/>
      <c r="U16" s="82"/>
      <c r="V16" s="223"/>
      <c r="W16" s="224"/>
      <c r="X16" s="225"/>
      <c r="Y16" s="82"/>
      <c r="Z16" s="82"/>
    </row>
    <row r="17" spans="1:26" ht="18" customHeight="1" x14ac:dyDescent="0.15">
      <c r="A17" s="8"/>
      <c r="B17" s="230" t="s">
        <v>133</v>
      </c>
      <c r="C17" s="231"/>
      <c r="D17" s="231"/>
      <c r="E17" s="231"/>
      <c r="F17" s="232"/>
      <c r="G17" s="83">
        <v>1</v>
      </c>
      <c r="H17" s="83" t="s">
        <v>83</v>
      </c>
      <c r="I17" s="220" t="s">
        <v>84</v>
      </c>
      <c r="J17" s="221"/>
      <c r="K17" s="222"/>
      <c r="L17" s="83"/>
      <c r="M17" s="83" t="s">
        <v>83</v>
      </c>
      <c r="N17" s="202"/>
      <c r="O17" s="203"/>
      <c r="P17" s="203"/>
      <c r="Q17" s="203"/>
      <c r="R17" s="203"/>
      <c r="S17" s="204"/>
      <c r="T17" s="83"/>
      <c r="U17" s="83"/>
      <c r="V17" s="220"/>
      <c r="W17" s="221"/>
      <c r="X17" s="222"/>
      <c r="Y17" s="83"/>
      <c r="Z17" s="83"/>
    </row>
    <row r="18" spans="1:26" ht="18" customHeight="1" x14ac:dyDescent="0.15">
      <c r="A18" s="8"/>
      <c r="B18" s="230"/>
      <c r="C18" s="231"/>
      <c r="D18" s="231"/>
      <c r="E18" s="231"/>
      <c r="F18" s="232"/>
      <c r="G18" s="83"/>
      <c r="H18" s="83"/>
      <c r="I18" s="220"/>
      <c r="J18" s="221"/>
      <c r="K18" s="222"/>
      <c r="L18" s="83"/>
      <c r="M18" s="83"/>
      <c r="N18" s="202"/>
      <c r="O18" s="203"/>
      <c r="P18" s="203"/>
      <c r="Q18" s="203"/>
      <c r="R18" s="203"/>
      <c r="S18" s="204"/>
      <c r="T18" s="83"/>
      <c r="U18" s="83"/>
      <c r="V18" s="220"/>
      <c r="W18" s="221"/>
      <c r="X18" s="222"/>
      <c r="Y18" s="83"/>
      <c r="Z18" s="83"/>
    </row>
    <row r="19" spans="1:26" ht="18" customHeight="1" x14ac:dyDescent="0.15">
      <c r="A19" s="8"/>
      <c r="B19" s="230"/>
      <c r="C19" s="231"/>
      <c r="D19" s="231"/>
      <c r="E19" s="231"/>
      <c r="F19" s="232"/>
      <c r="G19" s="83"/>
      <c r="H19" s="83"/>
      <c r="I19" s="220"/>
      <c r="J19" s="221"/>
      <c r="K19" s="222"/>
      <c r="L19" s="83"/>
      <c r="M19" s="83"/>
      <c r="N19" s="202"/>
      <c r="O19" s="203"/>
      <c r="P19" s="203"/>
      <c r="Q19" s="203"/>
      <c r="R19" s="203"/>
      <c r="S19" s="204"/>
      <c r="T19" s="83"/>
      <c r="U19" s="83"/>
      <c r="V19" s="220"/>
      <c r="W19" s="221"/>
      <c r="X19" s="222"/>
      <c r="Y19" s="83"/>
      <c r="Z19" s="83"/>
    </row>
    <row r="20" spans="1:26" ht="18" customHeight="1" x14ac:dyDescent="0.15">
      <c r="A20" s="8"/>
      <c r="B20" s="230"/>
      <c r="C20" s="231"/>
      <c r="D20" s="231"/>
      <c r="E20" s="231"/>
      <c r="F20" s="232"/>
      <c r="G20" s="83"/>
      <c r="H20" s="83"/>
      <c r="I20" s="220"/>
      <c r="J20" s="221"/>
      <c r="K20" s="222"/>
      <c r="L20" s="83"/>
      <c r="M20" s="83"/>
      <c r="N20" s="202"/>
      <c r="O20" s="203"/>
      <c r="P20" s="203"/>
      <c r="Q20" s="203"/>
      <c r="R20" s="203"/>
      <c r="S20" s="204"/>
      <c r="T20" s="83"/>
      <c r="U20" s="83"/>
      <c r="V20" s="220"/>
      <c r="W20" s="221"/>
      <c r="X20" s="222"/>
      <c r="Y20" s="83"/>
      <c r="Z20" s="83"/>
    </row>
    <row r="21" spans="1:26" ht="18" customHeight="1" x14ac:dyDescent="0.15">
      <c r="A21" s="18"/>
      <c r="B21" s="230"/>
      <c r="C21" s="231"/>
      <c r="D21" s="231"/>
      <c r="E21" s="231"/>
      <c r="F21" s="232"/>
      <c r="G21" s="83"/>
      <c r="H21" s="83"/>
      <c r="I21" s="220"/>
      <c r="J21" s="221"/>
      <c r="K21" s="222"/>
      <c r="L21" s="83"/>
      <c r="M21" s="83"/>
      <c r="N21" s="202"/>
      <c r="O21" s="203"/>
      <c r="P21" s="203"/>
      <c r="Q21" s="203"/>
      <c r="R21" s="203"/>
      <c r="S21" s="204"/>
      <c r="T21" s="83"/>
      <c r="U21" s="83"/>
      <c r="V21" s="220"/>
      <c r="W21" s="221"/>
      <c r="X21" s="222"/>
      <c r="Y21" s="83"/>
      <c r="Z21" s="83"/>
    </row>
    <row r="22" spans="1:26" ht="18" customHeight="1" x14ac:dyDescent="0.15">
      <c r="A22" s="18"/>
      <c r="B22" s="226"/>
      <c r="C22" s="227"/>
      <c r="D22" s="227"/>
      <c r="E22" s="227"/>
      <c r="F22" s="228"/>
      <c r="G22" s="84"/>
      <c r="H22" s="84"/>
      <c r="I22" s="214"/>
      <c r="J22" s="215"/>
      <c r="K22" s="216"/>
      <c r="L22" s="86"/>
      <c r="M22" s="86"/>
      <c r="N22" s="191"/>
      <c r="O22" s="192"/>
      <c r="P22" s="192"/>
      <c r="Q22" s="192"/>
      <c r="R22" s="192"/>
      <c r="S22" s="193"/>
      <c r="T22" s="84"/>
      <c r="U22" s="84"/>
      <c r="V22" s="214"/>
      <c r="W22" s="215"/>
      <c r="X22" s="216"/>
      <c r="Y22" s="86"/>
      <c r="Z22" s="86"/>
    </row>
    <row r="23" spans="1:26" ht="7.5" customHeight="1" x14ac:dyDescent="0.15">
      <c r="A23" s="18"/>
      <c r="B23" s="22"/>
      <c r="C23" s="22"/>
      <c r="D23" s="18"/>
      <c r="E23" s="18"/>
      <c r="F23" s="18"/>
      <c r="G23" s="18"/>
      <c r="H23" s="18"/>
      <c r="I23" s="18"/>
      <c r="J23" s="18"/>
      <c r="K23" s="18"/>
      <c r="L23" s="22"/>
      <c r="M23" s="22"/>
      <c r="N23" s="22"/>
      <c r="O23" s="22"/>
      <c r="P23" s="22"/>
      <c r="Q23" s="22"/>
      <c r="R23" s="22"/>
      <c r="S23" s="22"/>
      <c r="T23" s="22"/>
      <c r="U23" s="22"/>
      <c r="V23" s="22"/>
      <c r="W23" s="22"/>
      <c r="X23" s="22"/>
      <c r="Y23" s="22"/>
      <c r="Z23" s="18"/>
    </row>
    <row r="24" spans="1:26" ht="18" customHeight="1" x14ac:dyDescent="0.15">
      <c r="A24" s="229" t="s">
        <v>85</v>
      </c>
      <c r="B24" s="229"/>
      <c r="C24" s="229"/>
      <c r="D24" s="229"/>
      <c r="E24" s="229"/>
      <c r="F24" s="229"/>
      <c r="G24" s="229"/>
      <c r="H24" s="229"/>
      <c r="I24" s="229"/>
      <c r="J24" s="229"/>
      <c r="K24" s="229"/>
      <c r="L24" s="229"/>
      <c r="M24" s="229"/>
      <c r="N24" s="229"/>
      <c r="O24" s="229"/>
      <c r="P24" s="229"/>
      <c r="Q24" s="229"/>
      <c r="R24" s="229"/>
      <c r="S24" s="229"/>
      <c r="T24" s="229"/>
      <c r="U24" s="229"/>
      <c r="V24" s="229"/>
      <c r="W24" s="229"/>
      <c r="X24" s="229"/>
      <c r="Y24" s="229"/>
      <c r="Z24" s="229"/>
    </row>
    <row r="25" spans="1:26" ht="18" customHeight="1" x14ac:dyDescent="0.15">
      <c r="A25" s="229"/>
      <c r="B25" s="229"/>
      <c r="C25" s="229"/>
      <c r="D25" s="229"/>
      <c r="E25" s="229"/>
      <c r="F25" s="229"/>
      <c r="G25" s="229"/>
      <c r="H25" s="229"/>
      <c r="I25" s="229"/>
      <c r="J25" s="229"/>
      <c r="K25" s="229"/>
      <c r="L25" s="229"/>
      <c r="M25" s="229"/>
      <c r="N25" s="229"/>
      <c r="O25" s="229"/>
      <c r="P25" s="229"/>
      <c r="Q25" s="229"/>
      <c r="R25" s="229"/>
      <c r="S25" s="229"/>
      <c r="T25" s="229"/>
      <c r="U25" s="229"/>
      <c r="V25" s="229"/>
      <c r="W25" s="229"/>
      <c r="X25" s="229"/>
      <c r="Y25" s="229"/>
      <c r="Z25" s="229"/>
    </row>
    <row r="26" spans="1:26" ht="18" customHeight="1" x14ac:dyDescent="0.15">
      <c r="A26" s="8"/>
      <c r="B26" s="143" t="s">
        <v>76</v>
      </c>
      <c r="C26" s="145"/>
      <c r="D26" s="145"/>
      <c r="E26" s="145"/>
      <c r="F26" s="144"/>
      <c r="G26" s="19" t="s">
        <v>77</v>
      </c>
      <c r="H26" s="81" t="s">
        <v>78</v>
      </c>
      <c r="I26" s="145" t="s">
        <v>79</v>
      </c>
      <c r="J26" s="145"/>
      <c r="K26" s="145"/>
      <c r="L26" s="57" t="s">
        <v>86</v>
      </c>
      <c r="M26" s="57" t="s">
        <v>87</v>
      </c>
      <c r="N26" s="143" t="s">
        <v>76</v>
      </c>
      <c r="O26" s="145"/>
      <c r="P26" s="145"/>
      <c r="Q26" s="145"/>
      <c r="R26" s="145"/>
      <c r="S26" s="144"/>
      <c r="T26" s="19" t="s">
        <v>77</v>
      </c>
      <c r="U26" s="81" t="s">
        <v>78</v>
      </c>
      <c r="V26" s="145" t="s">
        <v>79</v>
      </c>
      <c r="W26" s="145"/>
      <c r="X26" s="145"/>
      <c r="Y26" s="57" t="s">
        <v>86</v>
      </c>
      <c r="Z26" s="57" t="s">
        <v>87</v>
      </c>
    </row>
    <row r="27" spans="1:26" ht="18" customHeight="1" x14ac:dyDescent="0.15">
      <c r="A27" s="8"/>
      <c r="B27" s="90" t="s">
        <v>134</v>
      </c>
      <c r="C27" s="91"/>
      <c r="D27" s="91"/>
      <c r="E27" s="91"/>
      <c r="F27" s="92"/>
      <c r="G27" s="83">
        <v>1</v>
      </c>
      <c r="H27" s="83" t="s">
        <v>83</v>
      </c>
      <c r="I27" s="220" t="s">
        <v>84</v>
      </c>
      <c r="J27" s="221"/>
      <c r="K27" s="222"/>
      <c r="L27" s="83"/>
      <c r="M27" s="83" t="s">
        <v>83</v>
      </c>
      <c r="N27" s="208"/>
      <c r="O27" s="209"/>
      <c r="P27" s="209"/>
      <c r="Q27" s="209"/>
      <c r="R27" s="209"/>
      <c r="S27" s="210"/>
      <c r="T27" s="82"/>
      <c r="U27" s="82"/>
      <c r="V27" s="223"/>
      <c r="W27" s="224"/>
      <c r="X27" s="225"/>
      <c r="Y27" s="82"/>
      <c r="Z27" s="82"/>
    </row>
    <row r="28" spans="1:26" ht="18" customHeight="1" x14ac:dyDescent="0.15">
      <c r="A28" s="8"/>
      <c r="B28" s="230" t="s">
        <v>133</v>
      </c>
      <c r="C28" s="231"/>
      <c r="D28" s="231"/>
      <c r="E28" s="231"/>
      <c r="F28" s="232"/>
      <c r="G28" s="83">
        <v>1</v>
      </c>
      <c r="H28" s="83" t="s">
        <v>83</v>
      </c>
      <c r="I28" s="220" t="s">
        <v>84</v>
      </c>
      <c r="J28" s="221"/>
      <c r="K28" s="222"/>
      <c r="L28" s="83" t="s">
        <v>83</v>
      </c>
      <c r="M28" s="83"/>
      <c r="N28" s="202"/>
      <c r="O28" s="203"/>
      <c r="P28" s="203"/>
      <c r="Q28" s="203"/>
      <c r="R28" s="203"/>
      <c r="S28" s="204"/>
      <c r="T28" s="83"/>
      <c r="U28" s="83"/>
      <c r="V28" s="220"/>
      <c r="W28" s="221"/>
      <c r="X28" s="222"/>
      <c r="Y28" s="83"/>
      <c r="Z28" s="83"/>
    </row>
    <row r="29" spans="1:26" ht="18" customHeight="1" x14ac:dyDescent="0.15">
      <c r="A29" s="8"/>
      <c r="B29" s="230"/>
      <c r="C29" s="231"/>
      <c r="D29" s="231"/>
      <c r="E29" s="231"/>
      <c r="F29" s="232"/>
      <c r="G29" s="83"/>
      <c r="H29" s="83"/>
      <c r="I29" s="220"/>
      <c r="J29" s="221"/>
      <c r="K29" s="222"/>
      <c r="L29" s="83"/>
      <c r="M29" s="83"/>
      <c r="N29" s="202"/>
      <c r="O29" s="203"/>
      <c r="P29" s="203"/>
      <c r="Q29" s="203"/>
      <c r="R29" s="203"/>
      <c r="S29" s="204"/>
      <c r="T29" s="83"/>
      <c r="U29" s="83"/>
      <c r="V29" s="220"/>
      <c r="W29" s="221"/>
      <c r="X29" s="222"/>
      <c r="Y29" s="83"/>
      <c r="Z29" s="83"/>
    </row>
    <row r="30" spans="1:26" ht="18" customHeight="1" x14ac:dyDescent="0.15">
      <c r="A30" s="8"/>
      <c r="B30" s="230"/>
      <c r="C30" s="231"/>
      <c r="D30" s="231"/>
      <c r="E30" s="231"/>
      <c r="F30" s="232"/>
      <c r="G30" s="83"/>
      <c r="H30" s="83"/>
      <c r="I30" s="220"/>
      <c r="J30" s="221"/>
      <c r="K30" s="222"/>
      <c r="L30" s="83"/>
      <c r="M30" s="83"/>
      <c r="N30" s="202"/>
      <c r="O30" s="203"/>
      <c r="P30" s="203"/>
      <c r="Q30" s="203"/>
      <c r="R30" s="203"/>
      <c r="S30" s="204"/>
      <c r="T30" s="83"/>
      <c r="U30" s="83"/>
      <c r="V30" s="220"/>
      <c r="W30" s="221"/>
      <c r="X30" s="222"/>
      <c r="Y30" s="83"/>
      <c r="Z30" s="83"/>
    </row>
    <row r="31" spans="1:26" ht="18" customHeight="1" x14ac:dyDescent="0.15">
      <c r="A31" s="8"/>
      <c r="B31" s="230"/>
      <c r="C31" s="231"/>
      <c r="D31" s="231"/>
      <c r="E31" s="231"/>
      <c r="F31" s="232"/>
      <c r="G31" s="83"/>
      <c r="H31" s="83"/>
      <c r="I31" s="220"/>
      <c r="J31" s="221"/>
      <c r="K31" s="222"/>
      <c r="L31" s="83"/>
      <c r="M31" s="83"/>
      <c r="N31" s="202"/>
      <c r="O31" s="203"/>
      <c r="P31" s="203"/>
      <c r="Q31" s="203"/>
      <c r="R31" s="203"/>
      <c r="S31" s="204"/>
      <c r="T31" s="83"/>
      <c r="U31" s="83"/>
      <c r="V31" s="220"/>
      <c r="W31" s="221"/>
      <c r="X31" s="222"/>
      <c r="Y31" s="83"/>
      <c r="Z31" s="83"/>
    </row>
    <row r="32" spans="1:26" ht="18" customHeight="1" x14ac:dyDescent="0.15">
      <c r="A32" s="8"/>
      <c r="B32" s="230"/>
      <c r="C32" s="231"/>
      <c r="D32" s="231"/>
      <c r="E32" s="231"/>
      <c r="F32" s="232"/>
      <c r="G32" s="83"/>
      <c r="H32" s="83"/>
      <c r="I32" s="220"/>
      <c r="J32" s="221"/>
      <c r="K32" s="222"/>
      <c r="L32" s="83"/>
      <c r="M32" s="83"/>
      <c r="N32" s="202"/>
      <c r="O32" s="203"/>
      <c r="P32" s="203"/>
      <c r="Q32" s="203"/>
      <c r="R32" s="203"/>
      <c r="S32" s="204"/>
      <c r="T32" s="83"/>
      <c r="U32" s="83"/>
      <c r="V32" s="220"/>
      <c r="W32" s="221"/>
      <c r="X32" s="222"/>
      <c r="Y32" s="83"/>
      <c r="Z32" s="83"/>
    </row>
    <row r="33" spans="1:26" ht="18" customHeight="1" x14ac:dyDescent="0.15">
      <c r="A33" s="8"/>
      <c r="B33" s="226"/>
      <c r="C33" s="227"/>
      <c r="D33" s="227"/>
      <c r="E33" s="227"/>
      <c r="F33" s="228"/>
      <c r="G33" s="84"/>
      <c r="H33" s="84"/>
      <c r="I33" s="214"/>
      <c r="J33" s="215"/>
      <c r="K33" s="216"/>
      <c r="L33" s="86"/>
      <c r="M33" s="86"/>
      <c r="N33" s="191"/>
      <c r="O33" s="192"/>
      <c r="P33" s="192"/>
      <c r="Q33" s="192"/>
      <c r="R33" s="192"/>
      <c r="S33" s="193"/>
      <c r="T33" s="84"/>
      <c r="U33" s="84"/>
      <c r="V33" s="214"/>
      <c r="W33" s="215"/>
      <c r="X33" s="216"/>
      <c r="Y33" s="86"/>
      <c r="Z33" s="86"/>
    </row>
    <row r="34" spans="1:26" ht="7.5" customHeight="1" x14ac:dyDescent="0.15">
      <c r="A34" s="18"/>
      <c r="B34" s="22"/>
      <c r="C34" s="22"/>
      <c r="D34" s="18"/>
      <c r="E34" s="18"/>
      <c r="F34" s="18"/>
      <c r="G34" s="18"/>
      <c r="H34" s="18"/>
      <c r="I34" s="18"/>
      <c r="J34" s="18"/>
      <c r="K34" s="18"/>
      <c r="L34" s="22"/>
      <c r="M34" s="22"/>
      <c r="N34" s="22"/>
      <c r="O34" s="22"/>
      <c r="P34" s="22"/>
      <c r="Q34" s="22"/>
      <c r="R34" s="22"/>
      <c r="S34" s="22"/>
      <c r="T34" s="22"/>
      <c r="U34" s="22"/>
      <c r="V34" s="22"/>
      <c r="W34" s="22"/>
      <c r="X34" s="22"/>
      <c r="Y34" s="22"/>
      <c r="Z34" s="18"/>
    </row>
    <row r="35" spans="1:26" ht="18" customHeight="1" x14ac:dyDescent="0.15">
      <c r="A35" s="229" t="s">
        <v>89</v>
      </c>
      <c r="B35" s="229"/>
      <c r="C35" s="229"/>
      <c r="D35" s="229"/>
      <c r="E35" s="229"/>
      <c r="F35" s="229"/>
      <c r="G35" s="229"/>
      <c r="H35" s="229"/>
      <c r="I35" s="229"/>
      <c r="J35" s="229"/>
      <c r="K35" s="229"/>
      <c r="L35" s="229"/>
      <c r="M35" s="229"/>
      <c r="N35" s="229"/>
      <c r="O35" s="229"/>
      <c r="P35" s="229"/>
      <c r="Q35" s="229"/>
      <c r="R35" s="229"/>
      <c r="S35" s="229"/>
      <c r="T35" s="229"/>
      <c r="U35" s="229"/>
      <c r="V35" s="229"/>
      <c r="W35" s="229"/>
      <c r="X35" s="229"/>
      <c r="Y35" s="229"/>
      <c r="Z35" s="229"/>
    </row>
    <row r="36" spans="1:26" ht="18" customHeight="1" x14ac:dyDescent="0.15">
      <c r="A36" s="229"/>
      <c r="B36" s="229"/>
      <c r="C36" s="229"/>
      <c r="D36" s="229"/>
      <c r="E36" s="229"/>
      <c r="F36" s="229"/>
      <c r="G36" s="229"/>
      <c r="H36" s="229"/>
      <c r="I36" s="229"/>
      <c r="J36" s="229"/>
      <c r="K36" s="229"/>
      <c r="L36" s="229"/>
      <c r="M36" s="229"/>
      <c r="N36" s="229"/>
      <c r="O36" s="229"/>
      <c r="P36" s="229"/>
      <c r="Q36" s="229"/>
      <c r="R36" s="229"/>
      <c r="S36" s="229"/>
      <c r="T36" s="229"/>
      <c r="U36" s="229"/>
      <c r="V36" s="229"/>
      <c r="W36" s="229"/>
      <c r="X36" s="229"/>
      <c r="Y36" s="229"/>
      <c r="Z36" s="229"/>
    </row>
    <row r="37" spans="1:26" ht="18" customHeight="1" x14ac:dyDescent="0.15">
      <c r="A37" s="8"/>
      <c r="B37" s="143" t="s">
        <v>76</v>
      </c>
      <c r="C37" s="145"/>
      <c r="D37" s="145"/>
      <c r="E37" s="145"/>
      <c r="F37" s="144"/>
      <c r="G37" s="19" t="s">
        <v>77</v>
      </c>
      <c r="H37" s="81" t="s">
        <v>78</v>
      </c>
      <c r="I37" s="143" t="s">
        <v>79</v>
      </c>
      <c r="J37" s="145"/>
      <c r="K37" s="144"/>
      <c r="L37" s="57" t="s">
        <v>90</v>
      </c>
      <c r="M37" s="57" t="s">
        <v>91</v>
      </c>
      <c r="N37" s="143" t="s">
        <v>76</v>
      </c>
      <c r="O37" s="145"/>
      <c r="P37" s="145"/>
      <c r="Q37" s="145"/>
      <c r="R37" s="145"/>
      <c r="S37" s="144"/>
      <c r="T37" s="19" t="s">
        <v>77</v>
      </c>
      <c r="U37" s="81" t="s">
        <v>78</v>
      </c>
      <c r="V37" s="143" t="s">
        <v>79</v>
      </c>
      <c r="W37" s="145"/>
      <c r="X37" s="144"/>
      <c r="Y37" s="57" t="s">
        <v>90</v>
      </c>
      <c r="Z37" s="57" t="s">
        <v>91</v>
      </c>
    </row>
    <row r="38" spans="1:26" ht="18" customHeight="1" x14ac:dyDescent="0.15">
      <c r="A38" s="18"/>
      <c r="B38" s="233" t="s">
        <v>132</v>
      </c>
      <c r="C38" s="234"/>
      <c r="D38" s="234"/>
      <c r="E38" s="234"/>
      <c r="F38" s="235"/>
      <c r="G38" s="82">
        <v>2</v>
      </c>
      <c r="H38" s="82" t="s">
        <v>83</v>
      </c>
      <c r="I38" s="223" t="s">
        <v>84</v>
      </c>
      <c r="J38" s="224"/>
      <c r="K38" s="225"/>
      <c r="L38" s="82" t="s">
        <v>83</v>
      </c>
      <c r="M38" s="82" t="s">
        <v>83</v>
      </c>
      <c r="N38" s="208"/>
      <c r="O38" s="209"/>
      <c r="P38" s="209"/>
      <c r="Q38" s="209"/>
      <c r="R38" s="209"/>
      <c r="S38" s="210"/>
      <c r="T38" s="82"/>
      <c r="U38" s="82"/>
      <c r="V38" s="223"/>
      <c r="W38" s="224"/>
      <c r="X38" s="225"/>
      <c r="Y38" s="82"/>
      <c r="Z38" s="82"/>
    </row>
    <row r="39" spans="1:26" ht="18" customHeight="1" x14ac:dyDescent="0.15">
      <c r="A39" s="18"/>
      <c r="B39" s="230" t="s">
        <v>133</v>
      </c>
      <c r="C39" s="231"/>
      <c r="D39" s="231"/>
      <c r="E39" s="231"/>
      <c r="F39" s="232"/>
      <c r="G39" s="83">
        <v>1</v>
      </c>
      <c r="H39" s="83" t="s">
        <v>83</v>
      </c>
      <c r="I39" s="220" t="s">
        <v>84</v>
      </c>
      <c r="J39" s="221"/>
      <c r="K39" s="222"/>
      <c r="L39" s="83" t="s">
        <v>83</v>
      </c>
      <c r="M39" s="83" t="s">
        <v>83</v>
      </c>
      <c r="N39" s="202"/>
      <c r="O39" s="203"/>
      <c r="P39" s="203"/>
      <c r="Q39" s="203"/>
      <c r="R39" s="203"/>
      <c r="S39" s="204"/>
      <c r="T39" s="83"/>
      <c r="U39" s="83"/>
      <c r="V39" s="220"/>
      <c r="W39" s="221"/>
      <c r="X39" s="222"/>
      <c r="Y39" s="83"/>
      <c r="Z39" s="83"/>
    </row>
    <row r="40" spans="1:26" ht="18" customHeight="1" x14ac:dyDescent="0.15">
      <c r="A40" s="18"/>
      <c r="B40" s="230"/>
      <c r="C40" s="231"/>
      <c r="D40" s="231"/>
      <c r="E40" s="231"/>
      <c r="F40" s="232"/>
      <c r="G40" s="83"/>
      <c r="H40" s="83"/>
      <c r="I40" s="220"/>
      <c r="J40" s="221"/>
      <c r="K40" s="222"/>
      <c r="L40" s="83"/>
      <c r="M40" s="83"/>
      <c r="N40" s="202"/>
      <c r="O40" s="203"/>
      <c r="P40" s="203"/>
      <c r="Q40" s="203"/>
      <c r="R40" s="203"/>
      <c r="S40" s="204"/>
      <c r="T40" s="83"/>
      <c r="U40" s="83"/>
      <c r="V40" s="220"/>
      <c r="W40" s="221"/>
      <c r="X40" s="222"/>
      <c r="Y40" s="83"/>
      <c r="Z40" s="83"/>
    </row>
    <row r="41" spans="1:26" ht="18" customHeight="1" x14ac:dyDescent="0.15">
      <c r="A41" s="18"/>
      <c r="B41" s="230"/>
      <c r="C41" s="231"/>
      <c r="D41" s="231"/>
      <c r="E41" s="231"/>
      <c r="F41" s="232"/>
      <c r="G41" s="83"/>
      <c r="H41" s="83"/>
      <c r="I41" s="220"/>
      <c r="J41" s="221"/>
      <c r="K41" s="222"/>
      <c r="L41" s="83"/>
      <c r="M41" s="83"/>
      <c r="N41" s="202"/>
      <c r="O41" s="203"/>
      <c r="P41" s="203"/>
      <c r="Q41" s="203"/>
      <c r="R41" s="203"/>
      <c r="S41" s="204"/>
      <c r="T41" s="83"/>
      <c r="U41" s="83"/>
      <c r="V41" s="220"/>
      <c r="W41" s="221"/>
      <c r="X41" s="222"/>
      <c r="Y41" s="83"/>
      <c r="Z41" s="83"/>
    </row>
    <row r="42" spans="1:26" ht="18" customHeight="1" x14ac:dyDescent="0.15">
      <c r="A42" s="18"/>
      <c r="B42" s="230"/>
      <c r="C42" s="231"/>
      <c r="D42" s="231"/>
      <c r="E42" s="231"/>
      <c r="F42" s="232"/>
      <c r="G42" s="83"/>
      <c r="H42" s="83"/>
      <c r="I42" s="220"/>
      <c r="J42" s="221"/>
      <c r="K42" s="222"/>
      <c r="L42" s="83"/>
      <c r="M42" s="83"/>
      <c r="N42" s="202"/>
      <c r="O42" s="203"/>
      <c r="P42" s="203"/>
      <c r="Q42" s="203"/>
      <c r="R42" s="203"/>
      <c r="S42" s="204"/>
      <c r="T42" s="83"/>
      <c r="U42" s="83"/>
      <c r="V42" s="220"/>
      <c r="W42" s="221"/>
      <c r="X42" s="222"/>
      <c r="Y42" s="83"/>
      <c r="Z42" s="83"/>
    </row>
    <row r="43" spans="1:26" ht="18" customHeight="1" x14ac:dyDescent="0.15">
      <c r="A43" s="18"/>
      <c r="B43" s="230"/>
      <c r="C43" s="231"/>
      <c r="D43" s="231"/>
      <c r="E43" s="231"/>
      <c r="F43" s="232"/>
      <c r="G43" s="83"/>
      <c r="H43" s="83"/>
      <c r="I43" s="220"/>
      <c r="J43" s="221"/>
      <c r="K43" s="222"/>
      <c r="L43" s="83"/>
      <c r="M43" s="83"/>
      <c r="N43" s="202"/>
      <c r="O43" s="203"/>
      <c r="P43" s="203"/>
      <c r="Q43" s="203"/>
      <c r="R43" s="203"/>
      <c r="S43" s="204"/>
      <c r="T43" s="83"/>
      <c r="U43" s="83"/>
      <c r="V43" s="220"/>
      <c r="W43" s="221"/>
      <c r="X43" s="222"/>
      <c r="Y43" s="83"/>
      <c r="Z43" s="83"/>
    </row>
    <row r="44" spans="1:26" ht="18" customHeight="1" x14ac:dyDescent="0.15">
      <c r="A44" s="18"/>
      <c r="B44" s="226"/>
      <c r="C44" s="227"/>
      <c r="D44" s="227"/>
      <c r="E44" s="227"/>
      <c r="F44" s="228"/>
      <c r="G44" s="84"/>
      <c r="H44" s="84"/>
      <c r="I44" s="214"/>
      <c r="J44" s="215"/>
      <c r="K44" s="216"/>
      <c r="L44" s="86"/>
      <c r="M44" s="86"/>
      <c r="N44" s="191"/>
      <c r="O44" s="192"/>
      <c r="P44" s="192"/>
      <c r="Q44" s="192"/>
      <c r="R44" s="192"/>
      <c r="S44" s="193"/>
      <c r="T44" s="84"/>
      <c r="U44" s="84"/>
      <c r="V44" s="214"/>
      <c r="W44" s="215"/>
      <c r="X44" s="216"/>
      <c r="Y44" s="86"/>
      <c r="Z44" s="86"/>
    </row>
    <row r="45" spans="1:26" ht="7.5" customHeight="1" x14ac:dyDescent="0.15">
      <c r="B45" s="58"/>
      <c r="C45" s="58"/>
      <c r="D45" s="58"/>
      <c r="E45" s="58"/>
      <c r="F45" s="58"/>
      <c r="G45" s="58"/>
      <c r="H45" s="58"/>
      <c r="I45" s="58"/>
      <c r="J45" s="58"/>
      <c r="K45" s="58"/>
      <c r="L45" s="58"/>
      <c r="M45" s="58"/>
      <c r="N45" s="58"/>
      <c r="O45" s="58"/>
      <c r="P45" s="58"/>
      <c r="Q45" s="58"/>
      <c r="R45" s="58"/>
      <c r="S45" s="58"/>
      <c r="T45" s="58"/>
      <c r="U45" s="58"/>
      <c r="V45" s="58"/>
      <c r="W45" s="58"/>
      <c r="X45" s="58"/>
      <c r="Y45" s="58"/>
    </row>
    <row r="46" spans="1:26" ht="18" customHeight="1" x14ac:dyDescent="0.15">
      <c r="A46" s="229" t="s">
        <v>93</v>
      </c>
      <c r="B46" s="229"/>
      <c r="C46" s="229"/>
      <c r="D46" s="229"/>
      <c r="E46" s="229"/>
      <c r="F46" s="229"/>
      <c r="G46" s="229"/>
      <c r="H46" s="229"/>
      <c r="I46" s="229"/>
      <c r="J46" s="229"/>
      <c r="K46" s="229"/>
      <c r="L46" s="229"/>
      <c r="M46" s="229"/>
      <c r="N46" s="229"/>
      <c r="O46" s="229"/>
      <c r="P46" s="229"/>
      <c r="Q46" s="229"/>
      <c r="R46" s="229"/>
      <c r="S46" s="229"/>
      <c r="T46" s="229"/>
      <c r="U46" s="229"/>
      <c r="V46" s="229"/>
      <c r="W46" s="229"/>
      <c r="X46" s="229"/>
      <c r="Y46" s="229"/>
      <c r="Z46" s="229"/>
    </row>
    <row r="47" spans="1:26" ht="18" customHeight="1" x14ac:dyDescent="0.15">
      <c r="A47" s="229"/>
      <c r="B47" s="229"/>
      <c r="C47" s="229"/>
      <c r="D47" s="229"/>
      <c r="E47" s="229"/>
      <c r="F47" s="229"/>
      <c r="G47" s="229"/>
      <c r="H47" s="229"/>
      <c r="I47" s="229"/>
      <c r="J47" s="229"/>
      <c r="K47" s="229"/>
      <c r="L47" s="229"/>
      <c r="M47" s="229"/>
      <c r="N47" s="229"/>
      <c r="O47" s="229"/>
      <c r="P47" s="229"/>
      <c r="Q47" s="229"/>
      <c r="R47" s="229"/>
      <c r="S47" s="229"/>
      <c r="T47" s="229"/>
      <c r="U47" s="229"/>
      <c r="V47" s="229"/>
      <c r="W47" s="229"/>
      <c r="X47" s="229"/>
      <c r="Y47" s="229"/>
      <c r="Z47" s="229"/>
    </row>
    <row r="48" spans="1:26" ht="18" customHeight="1" x14ac:dyDescent="0.15">
      <c r="A48" s="8"/>
      <c r="B48" s="143" t="s">
        <v>76</v>
      </c>
      <c r="C48" s="145"/>
      <c r="D48" s="145"/>
      <c r="E48" s="145"/>
      <c r="F48" s="144"/>
      <c r="G48" s="19" t="s">
        <v>77</v>
      </c>
      <c r="H48" s="81" t="s">
        <v>78</v>
      </c>
      <c r="I48" s="143" t="s">
        <v>79</v>
      </c>
      <c r="J48" s="145"/>
      <c r="K48" s="144"/>
      <c r="L48" s="57" t="s">
        <v>94</v>
      </c>
      <c r="M48" s="57" t="s">
        <v>95</v>
      </c>
      <c r="N48" s="143" t="s">
        <v>76</v>
      </c>
      <c r="O48" s="145"/>
      <c r="P48" s="145"/>
      <c r="Q48" s="145"/>
      <c r="R48" s="145"/>
      <c r="S48" s="144"/>
      <c r="T48" s="19" t="s">
        <v>77</v>
      </c>
      <c r="U48" s="81" t="s">
        <v>78</v>
      </c>
      <c r="V48" s="143" t="s">
        <v>79</v>
      </c>
      <c r="W48" s="145"/>
      <c r="X48" s="144"/>
      <c r="Y48" s="57" t="s">
        <v>94</v>
      </c>
      <c r="Z48" s="57" t="s">
        <v>95</v>
      </c>
    </row>
    <row r="49" spans="1:26" ht="18" customHeight="1" x14ac:dyDescent="0.15">
      <c r="A49" s="18"/>
      <c r="B49" s="233" t="s">
        <v>132</v>
      </c>
      <c r="C49" s="234"/>
      <c r="D49" s="234"/>
      <c r="E49" s="234"/>
      <c r="F49" s="235"/>
      <c r="G49" s="82">
        <v>2</v>
      </c>
      <c r="H49" s="82" t="s">
        <v>83</v>
      </c>
      <c r="I49" s="223" t="s">
        <v>84</v>
      </c>
      <c r="J49" s="224"/>
      <c r="K49" s="225"/>
      <c r="L49" s="82" t="s">
        <v>83</v>
      </c>
      <c r="M49" s="82" t="s">
        <v>83</v>
      </c>
      <c r="N49" s="208"/>
      <c r="O49" s="209"/>
      <c r="P49" s="209"/>
      <c r="Q49" s="209"/>
      <c r="R49" s="209"/>
      <c r="S49" s="210"/>
      <c r="T49" s="82"/>
      <c r="U49" s="82"/>
      <c r="V49" s="223"/>
      <c r="W49" s="224"/>
      <c r="X49" s="225"/>
      <c r="Y49" s="82"/>
      <c r="Z49" s="82"/>
    </row>
    <row r="50" spans="1:26" ht="18" customHeight="1" x14ac:dyDescent="0.15">
      <c r="A50" s="18"/>
      <c r="B50" s="230"/>
      <c r="C50" s="231"/>
      <c r="D50" s="231"/>
      <c r="E50" s="231"/>
      <c r="F50" s="232"/>
      <c r="G50" s="83"/>
      <c r="H50" s="83"/>
      <c r="I50" s="220"/>
      <c r="J50" s="221"/>
      <c r="K50" s="222"/>
      <c r="L50" s="83"/>
      <c r="M50" s="83"/>
      <c r="N50" s="202"/>
      <c r="O50" s="203"/>
      <c r="P50" s="203"/>
      <c r="Q50" s="203"/>
      <c r="R50" s="203"/>
      <c r="S50" s="204"/>
      <c r="T50" s="83"/>
      <c r="U50" s="83"/>
      <c r="V50" s="220"/>
      <c r="W50" s="221"/>
      <c r="X50" s="222"/>
      <c r="Y50" s="83"/>
      <c r="Z50" s="83"/>
    </row>
    <row r="51" spans="1:26" ht="18" customHeight="1" x14ac:dyDescent="0.15">
      <c r="A51" s="18"/>
      <c r="B51" s="230"/>
      <c r="C51" s="231"/>
      <c r="D51" s="231"/>
      <c r="E51" s="231"/>
      <c r="F51" s="232"/>
      <c r="G51" s="83"/>
      <c r="H51" s="83"/>
      <c r="I51" s="220"/>
      <c r="J51" s="221"/>
      <c r="K51" s="222"/>
      <c r="L51" s="83"/>
      <c r="M51" s="83"/>
      <c r="N51" s="202"/>
      <c r="O51" s="203"/>
      <c r="P51" s="203"/>
      <c r="Q51" s="203"/>
      <c r="R51" s="203"/>
      <c r="S51" s="204"/>
      <c r="T51" s="83"/>
      <c r="U51" s="83"/>
      <c r="V51" s="220"/>
      <c r="W51" s="221"/>
      <c r="X51" s="222"/>
      <c r="Y51" s="83"/>
      <c r="Z51" s="83"/>
    </row>
    <row r="52" spans="1:26" ht="18" customHeight="1" x14ac:dyDescent="0.15">
      <c r="A52" s="18"/>
      <c r="B52" s="230"/>
      <c r="C52" s="231"/>
      <c r="D52" s="231"/>
      <c r="E52" s="231"/>
      <c r="F52" s="232"/>
      <c r="G52" s="83"/>
      <c r="H52" s="83"/>
      <c r="I52" s="220"/>
      <c r="J52" s="221"/>
      <c r="K52" s="222"/>
      <c r="L52" s="83"/>
      <c r="M52" s="83"/>
      <c r="N52" s="202"/>
      <c r="O52" s="203"/>
      <c r="P52" s="203"/>
      <c r="Q52" s="203"/>
      <c r="R52" s="203"/>
      <c r="S52" s="204"/>
      <c r="T52" s="83"/>
      <c r="U52" s="83"/>
      <c r="V52" s="220"/>
      <c r="W52" s="221"/>
      <c r="X52" s="222"/>
      <c r="Y52" s="83"/>
      <c r="Z52" s="83"/>
    </row>
    <row r="53" spans="1:26" ht="18" customHeight="1" x14ac:dyDescent="0.15">
      <c r="A53" s="18"/>
      <c r="B53" s="230"/>
      <c r="C53" s="231"/>
      <c r="D53" s="231"/>
      <c r="E53" s="231"/>
      <c r="F53" s="232"/>
      <c r="G53" s="83"/>
      <c r="H53" s="83"/>
      <c r="I53" s="220"/>
      <c r="J53" s="221"/>
      <c r="K53" s="222"/>
      <c r="L53" s="83"/>
      <c r="M53" s="83"/>
      <c r="N53" s="202"/>
      <c r="O53" s="203"/>
      <c r="P53" s="203"/>
      <c r="Q53" s="203"/>
      <c r="R53" s="203"/>
      <c r="S53" s="204"/>
      <c r="T53" s="83"/>
      <c r="U53" s="83"/>
      <c r="V53" s="220"/>
      <c r="W53" s="221"/>
      <c r="X53" s="222"/>
      <c r="Y53" s="83"/>
      <c r="Z53" s="83"/>
    </row>
    <row r="54" spans="1:26" ht="18" customHeight="1" x14ac:dyDescent="0.15">
      <c r="A54" s="18"/>
      <c r="B54" s="230"/>
      <c r="C54" s="231"/>
      <c r="D54" s="231"/>
      <c r="E54" s="231"/>
      <c r="F54" s="232"/>
      <c r="G54" s="83"/>
      <c r="H54" s="83"/>
      <c r="I54" s="220"/>
      <c r="J54" s="221"/>
      <c r="K54" s="222"/>
      <c r="L54" s="83"/>
      <c r="M54" s="83"/>
      <c r="N54" s="202"/>
      <c r="O54" s="203"/>
      <c r="P54" s="203"/>
      <c r="Q54" s="203"/>
      <c r="R54" s="203"/>
      <c r="S54" s="204"/>
      <c r="T54" s="83"/>
      <c r="U54" s="83"/>
      <c r="V54" s="220"/>
      <c r="W54" s="221"/>
      <c r="X54" s="222"/>
      <c r="Y54" s="83"/>
      <c r="Z54" s="83"/>
    </row>
    <row r="55" spans="1:26" ht="18" customHeight="1" x14ac:dyDescent="0.15">
      <c r="A55" s="18"/>
      <c r="B55" s="226"/>
      <c r="C55" s="227"/>
      <c r="D55" s="227"/>
      <c r="E55" s="227"/>
      <c r="F55" s="228"/>
      <c r="G55" s="84"/>
      <c r="H55" s="84"/>
      <c r="I55" s="214"/>
      <c r="J55" s="215"/>
      <c r="K55" s="216"/>
      <c r="L55" s="86"/>
      <c r="M55" s="86"/>
      <c r="N55" s="191"/>
      <c r="O55" s="192"/>
      <c r="P55" s="192"/>
      <c r="Q55" s="192"/>
      <c r="R55" s="192"/>
      <c r="S55" s="193"/>
      <c r="T55" s="84"/>
      <c r="U55" s="84"/>
      <c r="V55" s="214"/>
      <c r="W55" s="215"/>
      <c r="X55" s="216"/>
      <c r="Y55" s="86"/>
      <c r="Z55" s="86"/>
    </row>
    <row r="56" spans="1:26" ht="7.5" customHeight="1" x14ac:dyDescent="0.15">
      <c r="B56" s="58"/>
      <c r="C56" s="58"/>
      <c r="D56" s="58"/>
      <c r="E56" s="58"/>
      <c r="F56" s="58"/>
      <c r="G56" s="58"/>
      <c r="H56" s="58"/>
      <c r="I56" s="58"/>
      <c r="J56" s="58"/>
      <c r="K56" s="58"/>
      <c r="L56" s="58"/>
      <c r="M56" s="58"/>
      <c r="N56" s="58"/>
      <c r="O56" s="58"/>
      <c r="P56" s="58"/>
      <c r="Q56" s="58"/>
      <c r="R56" s="58"/>
      <c r="S56" s="58"/>
      <c r="T56" s="58"/>
      <c r="U56" s="58"/>
      <c r="V56" s="58"/>
      <c r="W56" s="58"/>
      <c r="X56" s="58"/>
      <c r="Y56" s="58"/>
    </row>
    <row r="57" spans="1:26" ht="18" customHeight="1" x14ac:dyDescent="0.15">
      <c r="A57" s="229" t="s">
        <v>96</v>
      </c>
      <c r="B57" s="229"/>
      <c r="C57" s="229"/>
      <c r="D57" s="229"/>
      <c r="E57" s="229"/>
      <c r="F57" s="229"/>
      <c r="G57" s="229"/>
      <c r="H57" s="229"/>
      <c r="I57" s="229"/>
      <c r="J57" s="229"/>
      <c r="K57" s="229"/>
      <c r="L57" s="229"/>
      <c r="M57" s="229"/>
      <c r="N57" s="229"/>
      <c r="O57" s="229"/>
      <c r="P57" s="229"/>
      <c r="Q57" s="229"/>
      <c r="R57" s="229"/>
      <c r="S57" s="229"/>
      <c r="T57" s="229"/>
      <c r="U57" s="229"/>
      <c r="V57" s="229"/>
      <c r="W57" s="229"/>
      <c r="X57" s="229"/>
      <c r="Y57" s="229"/>
      <c r="Z57" s="229"/>
    </row>
    <row r="58" spans="1:26" ht="18" customHeight="1" x14ac:dyDescent="0.15">
      <c r="A58" s="229"/>
      <c r="B58" s="229"/>
      <c r="C58" s="229"/>
      <c r="D58" s="229"/>
      <c r="E58" s="229"/>
      <c r="F58" s="229"/>
      <c r="G58" s="229"/>
      <c r="H58" s="229"/>
      <c r="I58" s="229"/>
      <c r="J58" s="229"/>
      <c r="K58" s="229"/>
      <c r="L58" s="229"/>
      <c r="M58" s="229"/>
      <c r="N58" s="229"/>
      <c r="O58" s="229"/>
      <c r="P58" s="229"/>
      <c r="Q58" s="229"/>
      <c r="R58" s="229"/>
      <c r="S58" s="229"/>
      <c r="T58" s="229"/>
      <c r="U58" s="229"/>
      <c r="V58" s="229"/>
      <c r="W58" s="229"/>
      <c r="X58" s="229"/>
      <c r="Y58" s="229"/>
      <c r="Z58" s="229"/>
    </row>
    <row r="59" spans="1:26" ht="18" customHeight="1" x14ac:dyDescent="0.15">
      <c r="A59" s="8"/>
      <c r="B59" s="143" t="s">
        <v>76</v>
      </c>
      <c r="C59" s="145"/>
      <c r="D59" s="145"/>
      <c r="E59" s="144"/>
      <c r="F59" s="19" t="s">
        <v>77</v>
      </c>
      <c r="G59" s="81" t="s">
        <v>78</v>
      </c>
      <c r="H59" s="16" t="s">
        <v>79</v>
      </c>
      <c r="I59" s="78"/>
      <c r="J59" s="17"/>
      <c r="K59" s="57" t="s">
        <v>97</v>
      </c>
      <c r="L59" s="57" t="s">
        <v>98</v>
      </c>
      <c r="M59" s="57" t="s">
        <v>99</v>
      </c>
      <c r="N59" s="143" t="s">
        <v>76</v>
      </c>
      <c r="O59" s="145"/>
      <c r="P59" s="145"/>
      <c r="Q59" s="145"/>
      <c r="R59" s="144"/>
      <c r="S59" s="19" t="s">
        <v>77</v>
      </c>
      <c r="T59" s="81" t="s">
        <v>78</v>
      </c>
      <c r="U59" s="16" t="s">
        <v>79</v>
      </c>
      <c r="V59" s="78"/>
      <c r="W59" s="17"/>
      <c r="X59" s="57" t="s">
        <v>97</v>
      </c>
      <c r="Y59" s="57" t="s">
        <v>98</v>
      </c>
      <c r="Z59" s="57" t="s">
        <v>99</v>
      </c>
    </row>
    <row r="60" spans="1:26" ht="18" customHeight="1" x14ac:dyDescent="0.15">
      <c r="A60" s="18"/>
      <c r="B60" s="208" t="s">
        <v>132</v>
      </c>
      <c r="C60" s="209"/>
      <c r="D60" s="209"/>
      <c r="E60" s="210"/>
      <c r="F60" s="82">
        <v>2</v>
      </c>
      <c r="G60" s="82" t="s">
        <v>83</v>
      </c>
      <c r="H60" s="223" t="s">
        <v>84</v>
      </c>
      <c r="I60" s="224"/>
      <c r="J60" s="225"/>
      <c r="K60" s="82" t="s">
        <v>83</v>
      </c>
      <c r="L60" s="82" t="s">
        <v>83</v>
      </c>
      <c r="M60" s="82"/>
      <c r="N60" s="208"/>
      <c r="O60" s="209"/>
      <c r="P60" s="209"/>
      <c r="Q60" s="209"/>
      <c r="R60" s="210"/>
      <c r="S60" s="82"/>
      <c r="T60" s="82"/>
      <c r="U60" s="223"/>
      <c r="V60" s="224"/>
      <c r="W60" s="225"/>
      <c r="X60" s="87"/>
      <c r="Y60" s="82"/>
      <c r="Z60" s="82"/>
    </row>
    <row r="61" spans="1:26" ht="18" customHeight="1" x14ac:dyDescent="0.15">
      <c r="A61" s="18"/>
      <c r="B61" s="202" t="s">
        <v>134</v>
      </c>
      <c r="C61" s="203"/>
      <c r="D61" s="203"/>
      <c r="E61" s="204"/>
      <c r="F61" s="83">
        <v>1</v>
      </c>
      <c r="G61" s="83" t="s">
        <v>83</v>
      </c>
      <c r="H61" s="220" t="s">
        <v>84</v>
      </c>
      <c r="I61" s="221"/>
      <c r="J61" s="222"/>
      <c r="K61" s="83" t="s">
        <v>83</v>
      </c>
      <c r="L61" s="83" t="s">
        <v>83</v>
      </c>
      <c r="M61" s="83" t="s">
        <v>83</v>
      </c>
      <c r="N61" s="202"/>
      <c r="O61" s="203"/>
      <c r="P61" s="203"/>
      <c r="Q61" s="203"/>
      <c r="R61" s="204"/>
      <c r="S61" s="83"/>
      <c r="T61" s="83"/>
      <c r="U61" s="220"/>
      <c r="V61" s="221"/>
      <c r="W61" s="222"/>
      <c r="X61" s="88"/>
      <c r="Y61" s="83"/>
      <c r="Z61" s="83"/>
    </row>
    <row r="62" spans="1:26" ht="18" customHeight="1" x14ac:dyDescent="0.15">
      <c r="A62" s="18"/>
      <c r="B62" s="202" t="s">
        <v>133</v>
      </c>
      <c r="C62" s="203"/>
      <c r="D62" s="203"/>
      <c r="E62" s="204"/>
      <c r="F62" s="83">
        <v>1</v>
      </c>
      <c r="G62" s="83" t="s">
        <v>83</v>
      </c>
      <c r="H62" s="220" t="s">
        <v>84</v>
      </c>
      <c r="I62" s="221"/>
      <c r="J62" s="222"/>
      <c r="K62" s="83"/>
      <c r="L62" s="83"/>
      <c r="M62" s="83" t="s">
        <v>83</v>
      </c>
      <c r="N62" s="202"/>
      <c r="O62" s="203"/>
      <c r="P62" s="203"/>
      <c r="Q62" s="203"/>
      <c r="R62" s="204"/>
      <c r="S62" s="83"/>
      <c r="T62" s="83"/>
      <c r="U62" s="220"/>
      <c r="V62" s="221"/>
      <c r="W62" s="222"/>
      <c r="X62" s="88"/>
      <c r="Y62" s="83"/>
      <c r="Z62" s="83"/>
    </row>
    <row r="63" spans="1:26" ht="18" customHeight="1" x14ac:dyDescent="0.15">
      <c r="A63" s="18"/>
      <c r="B63" s="202"/>
      <c r="C63" s="203"/>
      <c r="D63" s="203"/>
      <c r="E63" s="204"/>
      <c r="F63" s="83"/>
      <c r="G63" s="83"/>
      <c r="H63" s="220"/>
      <c r="I63" s="221"/>
      <c r="J63" s="222"/>
      <c r="K63" s="88"/>
      <c r="L63" s="83"/>
      <c r="M63" s="83"/>
      <c r="N63" s="202"/>
      <c r="O63" s="203"/>
      <c r="P63" s="203"/>
      <c r="Q63" s="203"/>
      <c r="R63" s="204"/>
      <c r="S63" s="83"/>
      <c r="T63" s="83"/>
      <c r="U63" s="220"/>
      <c r="V63" s="221"/>
      <c r="W63" s="222"/>
      <c r="X63" s="88"/>
      <c r="Y63" s="83"/>
      <c r="Z63" s="83"/>
    </row>
    <row r="64" spans="1:26" ht="18" customHeight="1" x14ac:dyDescent="0.15">
      <c r="A64" s="18"/>
      <c r="B64" s="202"/>
      <c r="C64" s="203"/>
      <c r="D64" s="203"/>
      <c r="E64" s="204"/>
      <c r="F64" s="83"/>
      <c r="G64" s="83"/>
      <c r="H64" s="220"/>
      <c r="I64" s="221"/>
      <c r="J64" s="222"/>
      <c r="K64" s="88"/>
      <c r="L64" s="83"/>
      <c r="M64" s="83"/>
      <c r="N64" s="202"/>
      <c r="O64" s="203"/>
      <c r="P64" s="203"/>
      <c r="Q64" s="203"/>
      <c r="R64" s="204"/>
      <c r="S64" s="83"/>
      <c r="T64" s="83"/>
      <c r="U64" s="220"/>
      <c r="V64" s="221"/>
      <c r="W64" s="222"/>
      <c r="X64" s="88"/>
      <c r="Y64" s="83"/>
      <c r="Z64" s="83"/>
    </row>
    <row r="65" spans="1:26" ht="18" customHeight="1" x14ac:dyDescent="0.15">
      <c r="A65" s="18"/>
      <c r="B65" s="202"/>
      <c r="C65" s="203"/>
      <c r="D65" s="203"/>
      <c r="E65" s="204"/>
      <c r="F65" s="83"/>
      <c r="G65" s="83"/>
      <c r="H65" s="220"/>
      <c r="I65" s="221"/>
      <c r="J65" s="222"/>
      <c r="K65" s="88"/>
      <c r="L65" s="83"/>
      <c r="M65" s="83"/>
      <c r="N65" s="202"/>
      <c r="O65" s="203"/>
      <c r="P65" s="203"/>
      <c r="Q65" s="203"/>
      <c r="R65" s="204"/>
      <c r="S65" s="83"/>
      <c r="T65" s="83"/>
      <c r="U65" s="220"/>
      <c r="V65" s="221"/>
      <c r="W65" s="222"/>
      <c r="X65" s="88"/>
      <c r="Y65" s="83"/>
      <c r="Z65" s="83"/>
    </row>
    <row r="66" spans="1:26" ht="18" customHeight="1" x14ac:dyDescent="0.15">
      <c r="A66" s="18"/>
      <c r="B66" s="191"/>
      <c r="C66" s="192"/>
      <c r="D66" s="192"/>
      <c r="E66" s="193"/>
      <c r="F66" s="84"/>
      <c r="G66" s="84"/>
      <c r="H66" s="214"/>
      <c r="I66" s="215"/>
      <c r="J66" s="216"/>
      <c r="K66" s="89"/>
      <c r="L66" s="86"/>
      <c r="M66" s="86"/>
      <c r="N66" s="191"/>
      <c r="O66" s="192"/>
      <c r="P66" s="192"/>
      <c r="Q66" s="192"/>
      <c r="R66" s="193"/>
      <c r="S66" s="84"/>
      <c r="T66" s="84"/>
      <c r="U66" s="214"/>
      <c r="V66" s="215"/>
      <c r="W66" s="216"/>
      <c r="X66" s="89"/>
      <c r="Y66" s="86"/>
      <c r="Z66" s="86"/>
    </row>
    <row r="67" spans="1:26" ht="7.5" customHeight="1" x14ac:dyDescent="0.15">
      <c r="B67" s="58"/>
      <c r="C67" s="58"/>
      <c r="D67" s="58"/>
      <c r="E67" s="58"/>
      <c r="F67" s="58"/>
      <c r="G67" s="58"/>
      <c r="H67" s="58"/>
      <c r="I67" s="58"/>
      <c r="J67" s="58"/>
      <c r="K67" s="58"/>
      <c r="L67" s="58"/>
      <c r="M67" s="58"/>
      <c r="N67" s="58"/>
      <c r="O67" s="58"/>
      <c r="P67" s="58"/>
      <c r="Q67" s="58"/>
      <c r="R67" s="58"/>
      <c r="S67" s="58"/>
      <c r="T67" s="58"/>
      <c r="U67" s="58"/>
      <c r="V67" s="58"/>
      <c r="W67" s="58"/>
      <c r="X67" s="58"/>
      <c r="Y67" s="58"/>
    </row>
    <row r="68" spans="1:26" ht="18" customHeight="1" x14ac:dyDescent="0.15">
      <c r="A68" s="8" t="s">
        <v>104</v>
      </c>
      <c r="B68" s="8"/>
      <c r="C68" s="8"/>
      <c r="D68" s="8"/>
      <c r="E68" s="8"/>
      <c r="F68" s="8"/>
      <c r="G68" s="8"/>
      <c r="H68" s="8"/>
      <c r="I68" s="8"/>
      <c r="J68" s="8"/>
      <c r="K68" s="8"/>
      <c r="L68" s="18"/>
      <c r="M68" s="18"/>
      <c r="N68" s="18"/>
      <c r="O68" s="18"/>
      <c r="P68" s="18"/>
      <c r="Q68" s="18"/>
      <c r="R68" s="18"/>
      <c r="S68" s="18"/>
      <c r="T68" s="18"/>
      <c r="U68" s="18"/>
      <c r="V68" s="18"/>
      <c r="W68" s="18"/>
      <c r="X68" s="18"/>
      <c r="Y68" s="18"/>
      <c r="Z68" s="18"/>
    </row>
    <row r="69" spans="1:26" ht="18" customHeight="1" x14ac:dyDescent="0.15">
      <c r="A69" s="8"/>
      <c r="B69" s="143" t="s">
        <v>76</v>
      </c>
      <c r="C69" s="145"/>
      <c r="D69" s="145"/>
      <c r="E69" s="145"/>
      <c r="F69" s="144"/>
      <c r="G69" s="143" t="s">
        <v>105</v>
      </c>
      <c r="H69" s="145"/>
      <c r="I69" s="145"/>
      <c r="J69" s="145"/>
      <c r="K69" s="145"/>
      <c r="L69" s="145"/>
      <c r="M69" s="144"/>
      <c r="N69" s="217" t="s">
        <v>76</v>
      </c>
      <c r="O69" s="218"/>
      <c r="P69" s="218"/>
      <c r="Q69" s="218"/>
      <c r="R69" s="218"/>
      <c r="S69" s="219"/>
      <c r="T69" s="143" t="s">
        <v>105</v>
      </c>
      <c r="U69" s="145"/>
      <c r="V69" s="145"/>
      <c r="W69" s="145"/>
      <c r="X69" s="145"/>
      <c r="Y69" s="145"/>
      <c r="Z69" s="144"/>
    </row>
    <row r="70" spans="1:26" ht="18" customHeight="1" x14ac:dyDescent="0.15">
      <c r="A70" s="18"/>
      <c r="B70" s="208"/>
      <c r="C70" s="209"/>
      <c r="D70" s="209"/>
      <c r="E70" s="209"/>
      <c r="F70" s="210"/>
      <c r="G70" s="211"/>
      <c r="H70" s="212"/>
      <c r="I70" s="212"/>
      <c r="J70" s="212"/>
      <c r="K70" s="212"/>
      <c r="L70" s="212"/>
      <c r="M70" s="213"/>
      <c r="N70" s="208"/>
      <c r="O70" s="209"/>
      <c r="P70" s="209"/>
      <c r="Q70" s="209"/>
      <c r="R70" s="209"/>
      <c r="S70" s="210"/>
      <c r="T70" s="211"/>
      <c r="U70" s="212"/>
      <c r="V70" s="212"/>
      <c r="W70" s="212"/>
      <c r="X70" s="212"/>
      <c r="Y70" s="212"/>
      <c r="Z70" s="213"/>
    </row>
    <row r="71" spans="1:26" ht="18" customHeight="1" x14ac:dyDescent="0.15">
      <c r="A71" s="18"/>
      <c r="B71" s="202"/>
      <c r="C71" s="203"/>
      <c r="D71" s="203"/>
      <c r="E71" s="203"/>
      <c r="F71" s="204"/>
      <c r="G71" s="205"/>
      <c r="H71" s="206"/>
      <c r="I71" s="206"/>
      <c r="J71" s="206"/>
      <c r="K71" s="206"/>
      <c r="L71" s="206"/>
      <c r="M71" s="207"/>
      <c r="N71" s="202"/>
      <c r="O71" s="203"/>
      <c r="P71" s="203"/>
      <c r="Q71" s="203"/>
      <c r="R71" s="203"/>
      <c r="S71" s="204"/>
      <c r="T71" s="205"/>
      <c r="U71" s="206"/>
      <c r="V71" s="206"/>
      <c r="W71" s="206"/>
      <c r="X71" s="206"/>
      <c r="Y71" s="206"/>
      <c r="Z71" s="207"/>
    </row>
    <row r="72" spans="1:26" ht="18" customHeight="1" x14ac:dyDescent="0.15">
      <c r="A72" s="18"/>
      <c r="B72" s="202"/>
      <c r="C72" s="203"/>
      <c r="D72" s="203"/>
      <c r="E72" s="203"/>
      <c r="F72" s="204"/>
      <c r="G72" s="205"/>
      <c r="H72" s="206"/>
      <c r="I72" s="206"/>
      <c r="J72" s="206"/>
      <c r="K72" s="206"/>
      <c r="L72" s="206"/>
      <c r="M72" s="207"/>
      <c r="N72" s="202"/>
      <c r="O72" s="203"/>
      <c r="P72" s="203"/>
      <c r="Q72" s="203"/>
      <c r="R72" s="203"/>
      <c r="S72" s="204"/>
      <c r="T72" s="205"/>
      <c r="U72" s="206"/>
      <c r="V72" s="206"/>
      <c r="W72" s="206"/>
      <c r="X72" s="206"/>
      <c r="Y72" s="206"/>
      <c r="Z72" s="207"/>
    </row>
    <row r="73" spans="1:26" ht="18" customHeight="1" x14ac:dyDescent="0.15">
      <c r="A73" s="18"/>
      <c r="B73" s="202"/>
      <c r="C73" s="203"/>
      <c r="D73" s="203"/>
      <c r="E73" s="203"/>
      <c r="F73" s="204"/>
      <c r="G73" s="205"/>
      <c r="H73" s="206"/>
      <c r="I73" s="206"/>
      <c r="J73" s="206"/>
      <c r="K73" s="206"/>
      <c r="L73" s="206"/>
      <c r="M73" s="207"/>
      <c r="N73" s="202"/>
      <c r="O73" s="203"/>
      <c r="P73" s="203"/>
      <c r="Q73" s="203"/>
      <c r="R73" s="203"/>
      <c r="S73" s="204"/>
      <c r="T73" s="205"/>
      <c r="U73" s="206"/>
      <c r="V73" s="206"/>
      <c r="W73" s="206"/>
      <c r="X73" s="206"/>
      <c r="Y73" s="206"/>
      <c r="Z73" s="207"/>
    </row>
    <row r="74" spans="1:26" ht="18" customHeight="1" x14ac:dyDescent="0.15">
      <c r="A74" s="18"/>
      <c r="B74" s="202"/>
      <c r="C74" s="203"/>
      <c r="D74" s="203"/>
      <c r="E74" s="203"/>
      <c r="F74" s="204"/>
      <c r="G74" s="205"/>
      <c r="H74" s="206"/>
      <c r="I74" s="206"/>
      <c r="J74" s="206"/>
      <c r="K74" s="206"/>
      <c r="L74" s="206"/>
      <c r="M74" s="207"/>
      <c r="N74" s="202"/>
      <c r="O74" s="203"/>
      <c r="P74" s="203"/>
      <c r="Q74" s="203"/>
      <c r="R74" s="203"/>
      <c r="S74" s="204"/>
      <c r="T74" s="205"/>
      <c r="U74" s="206"/>
      <c r="V74" s="206"/>
      <c r="W74" s="206"/>
      <c r="X74" s="206"/>
      <c r="Y74" s="206"/>
      <c r="Z74" s="207"/>
    </row>
    <row r="75" spans="1:26" ht="18" customHeight="1" x14ac:dyDescent="0.15">
      <c r="A75" s="18"/>
      <c r="B75" s="202"/>
      <c r="C75" s="203"/>
      <c r="D75" s="203"/>
      <c r="E75" s="203"/>
      <c r="F75" s="204"/>
      <c r="G75" s="205"/>
      <c r="H75" s="206"/>
      <c r="I75" s="206"/>
      <c r="J75" s="206"/>
      <c r="K75" s="206"/>
      <c r="L75" s="206"/>
      <c r="M75" s="207"/>
      <c r="N75" s="202"/>
      <c r="O75" s="203"/>
      <c r="P75" s="203"/>
      <c r="Q75" s="203"/>
      <c r="R75" s="203"/>
      <c r="S75" s="204"/>
      <c r="T75" s="205"/>
      <c r="U75" s="206"/>
      <c r="V75" s="206"/>
      <c r="W75" s="206"/>
      <c r="X75" s="206"/>
      <c r="Y75" s="206"/>
      <c r="Z75" s="207"/>
    </row>
    <row r="76" spans="1:26" ht="18" customHeight="1" x14ac:dyDescent="0.15">
      <c r="A76" s="18"/>
      <c r="B76" s="191"/>
      <c r="C76" s="192"/>
      <c r="D76" s="192"/>
      <c r="E76" s="192"/>
      <c r="F76" s="193"/>
      <c r="G76" s="194"/>
      <c r="H76" s="195"/>
      <c r="I76" s="195"/>
      <c r="J76" s="195"/>
      <c r="K76" s="195"/>
      <c r="L76" s="195"/>
      <c r="M76" s="196"/>
      <c r="N76" s="191"/>
      <c r="O76" s="192"/>
      <c r="P76" s="192"/>
      <c r="Q76" s="192"/>
      <c r="R76" s="192"/>
      <c r="S76" s="193"/>
      <c r="T76" s="194"/>
      <c r="U76" s="195"/>
      <c r="V76" s="195"/>
      <c r="W76" s="195"/>
      <c r="X76" s="195"/>
      <c r="Y76" s="195"/>
      <c r="Z76" s="196"/>
    </row>
    <row r="77" spans="1:26" ht="18" customHeight="1" x14ac:dyDescent="0.15">
      <c r="A77" s="18"/>
      <c r="B77" s="22"/>
      <c r="C77" s="22"/>
      <c r="D77" s="22"/>
      <c r="E77" s="22"/>
      <c r="F77" s="22"/>
      <c r="G77" s="6"/>
      <c r="H77" s="6"/>
      <c r="I77" s="6"/>
      <c r="J77" s="6"/>
      <c r="K77" s="6"/>
      <c r="L77" s="6"/>
      <c r="M77" s="6"/>
      <c r="N77" s="22"/>
      <c r="O77" s="22"/>
      <c r="P77" s="22"/>
      <c r="Q77" s="22"/>
      <c r="R77" s="22"/>
      <c r="S77" s="22"/>
      <c r="T77" s="6"/>
      <c r="U77" s="6"/>
      <c r="V77" s="6"/>
      <c r="W77" s="6"/>
      <c r="X77" s="6"/>
      <c r="Y77" s="6"/>
      <c r="Z77" s="6"/>
    </row>
    <row r="78" spans="1:26" ht="18.75" customHeight="1" x14ac:dyDescent="0.15">
      <c r="A78" s="7" t="s">
        <v>106</v>
      </c>
    </row>
    <row r="79" spans="1:26" ht="18.75" customHeight="1" x14ac:dyDescent="0.15">
      <c r="B79" s="59" t="s">
        <v>107</v>
      </c>
      <c r="C79" s="60"/>
      <c r="D79" s="197" t="s">
        <v>108</v>
      </c>
      <c r="E79" s="197"/>
      <c r="F79" s="197"/>
      <c r="G79" s="197"/>
      <c r="H79" s="197"/>
      <c r="I79" s="197"/>
      <c r="J79" s="197"/>
      <c r="K79" s="197"/>
      <c r="L79" s="197"/>
      <c r="M79" s="197"/>
      <c r="N79" s="197"/>
      <c r="O79" s="197"/>
      <c r="P79" s="197"/>
      <c r="Q79" s="197"/>
      <c r="R79" s="197"/>
      <c r="S79" s="197"/>
      <c r="T79" s="197"/>
      <c r="U79" s="197"/>
      <c r="V79" s="197"/>
      <c r="W79" s="197"/>
      <c r="X79" s="197"/>
      <c r="Y79" s="197"/>
      <c r="Z79" s="198"/>
    </row>
    <row r="80" spans="1:26" ht="78" customHeight="1" x14ac:dyDescent="0.15">
      <c r="B80" s="162" t="s">
        <v>109</v>
      </c>
      <c r="C80" s="64" t="s">
        <v>80</v>
      </c>
      <c r="D80" s="164" t="s">
        <v>135</v>
      </c>
      <c r="E80" s="165"/>
      <c r="F80" s="165"/>
      <c r="G80" s="165"/>
      <c r="H80" s="165"/>
      <c r="I80" s="165"/>
      <c r="J80" s="165"/>
      <c r="K80" s="165"/>
      <c r="L80" s="165"/>
      <c r="M80" s="165"/>
      <c r="N80" s="165"/>
      <c r="O80" s="165"/>
      <c r="P80" s="165"/>
      <c r="Q80" s="165"/>
      <c r="R80" s="165"/>
      <c r="S80" s="165"/>
      <c r="T80" s="165"/>
      <c r="U80" s="165"/>
      <c r="V80" s="165"/>
      <c r="W80" s="165"/>
      <c r="X80" s="165"/>
      <c r="Y80" s="165"/>
      <c r="Z80" s="166"/>
    </row>
    <row r="81" spans="1:26" ht="78" customHeight="1" x14ac:dyDescent="0.15">
      <c r="B81" s="170"/>
      <c r="C81" s="79" t="s">
        <v>111</v>
      </c>
      <c r="D81" s="199" t="s">
        <v>136</v>
      </c>
      <c r="E81" s="200"/>
      <c r="F81" s="200"/>
      <c r="G81" s="200"/>
      <c r="H81" s="200"/>
      <c r="I81" s="200"/>
      <c r="J81" s="200"/>
      <c r="K81" s="200"/>
      <c r="L81" s="200"/>
      <c r="M81" s="200"/>
      <c r="N81" s="200"/>
      <c r="O81" s="200"/>
      <c r="P81" s="200"/>
      <c r="Q81" s="200"/>
      <c r="R81" s="200"/>
      <c r="S81" s="200"/>
      <c r="T81" s="200"/>
      <c r="U81" s="200"/>
      <c r="V81" s="200"/>
      <c r="W81" s="200"/>
      <c r="X81" s="200"/>
      <c r="Y81" s="200"/>
      <c r="Z81" s="201"/>
    </row>
    <row r="82" spans="1:26" ht="78" customHeight="1" x14ac:dyDescent="0.15">
      <c r="B82" s="181" t="s">
        <v>113</v>
      </c>
      <c r="C82" s="61" t="s">
        <v>86</v>
      </c>
      <c r="D82" s="199" t="s">
        <v>137</v>
      </c>
      <c r="E82" s="200"/>
      <c r="F82" s="200"/>
      <c r="G82" s="200"/>
      <c r="H82" s="200"/>
      <c r="I82" s="200"/>
      <c r="J82" s="200"/>
      <c r="K82" s="200"/>
      <c r="L82" s="200"/>
      <c r="M82" s="200"/>
      <c r="N82" s="200"/>
      <c r="O82" s="200"/>
      <c r="P82" s="200"/>
      <c r="Q82" s="200"/>
      <c r="R82" s="200"/>
      <c r="S82" s="200"/>
      <c r="T82" s="200"/>
      <c r="U82" s="200"/>
      <c r="V82" s="200"/>
      <c r="W82" s="200"/>
      <c r="X82" s="200"/>
      <c r="Y82" s="200"/>
      <c r="Z82" s="201"/>
    </row>
    <row r="83" spans="1:26" ht="78" customHeight="1" x14ac:dyDescent="0.15">
      <c r="B83" s="171"/>
      <c r="C83" s="80" t="s">
        <v>87</v>
      </c>
      <c r="D83" s="185" t="s">
        <v>138</v>
      </c>
      <c r="E83" s="186"/>
      <c r="F83" s="186"/>
      <c r="G83" s="186"/>
      <c r="H83" s="186"/>
      <c r="I83" s="186"/>
      <c r="J83" s="186"/>
      <c r="K83" s="186"/>
      <c r="L83" s="186"/>
      <c r="M83" s="186"/>
      <c r="N83" s="186"/>
      <c r="O83" s="186"/>
      <c r="P83" s="186"/>
      <c r="Q83" s="186"/>
      <c r="R83" s="186"/>
      <c r="S83" s="186"/>
      <c r="T83" s="186"/>
      <c r="U83" s="186"/>
      <c r="V83" s="186"/>
      <c r="W83" s="186"/>
      <c r="X83" s="186"/>
      <c r="Y83" s="186"/>
      <c r="Z83" s="187"/>
    </row>
    <row r="84" spans="1:26" ht="66" customHeight="1" x14ac:dyDescent="0.15">
      <c r="B84" s="181" t="s">
        <v>116</v>
      </c>
      <c r="C84" s="61" t="s">
        <v>90</v>
      </c>
      <c r="D84" s="182" t="s">
        <v>139</v>
      </c>
      <c r="E84" s="183"/>
      <c r="F84" s="183"/>
      <c r="G84" s="183"/>
      <c r="H84" s="183"/>
      <c r="I84" s="183"/>
      <c r="J84" s="183"/>
      <c r="K84" s="183"/>
      <c r="L84" s="183"/>
      <c r="M84" s="183"/>
      <c r="N84" s="183"/>
      <c r="O84" s="183"/>
      <c r="P84" s="183"/>
      <c r="Q84" s="183"/>
      <c r="R84" s="183"/>
      <c r="S84" s="183"/>
      <c r="T84" s="183"/>
      <c r="U84" s="183"/>
      <c r="V84" s="183"/>
      <c r="W84" s="183"/>
      <c r="X84" s="183"/>
      <c r="Y84" s="183"/>
      <c r="Z84" s="184"/>
    </row>
    <row r="85" spans="1:26" ht="66" customHeight="1" x14ac:dyDescent="0.15">
      <c r="B85" s="171"/>
      <c r="C85" s="63" t="s">
        <v>91</v>
      </c>
      <c r="D85" s="188" t="s">
        <v>140</v>
      </c>
      <c r="E85" s="189"/>
      <c r="F85" s="189"/>
      <c r="G85" s="189"/>
      <c r="H85" s="189"/>
      <c r="I85" s="189"/>
      <c r="J85" s="189"/>
      <c r="K85" s="189"/>
      <c r="L85" s="189"/>
      <c r="M85" s="189"/>
      <c r="N85" s="189"/>
      <c r="O85" s="189"/>
      <c r="P85" s="189"/>
      <c r="Q85" s="189"/>
      <c r="R85" s="189"/>
      <c r="S85" s="189"/>
      <c r="T85" s="189"/>
      <c r="U85" s="189"/>
      <c r="V85" s="189"/>
      <c r="W85" s="189"/>
      <c r="X85" s="189"/>
      <c r="Y85" s="189"/>
      <c r="Z85" s="190"/>
    </row>
    <row r="86" spans="1:26" ht="66" customHeight="1" x14ac:dyDescent="0.15">
      <c r="B86" s="162" t="s">
        <v>119</v>
      </c>
      <c r="C86" s="64" t="s">
        <v>94</v>
      </c>
      <c r="D86" s="254" t="s">
        <v>141</v>
      </c>
      <c r="E86" s="255"/>
      <c r="F86" s="255"/>
      <c r="G86" s="255"/>
      <c r="H86" s="255"/>
      <c r="I86" s="255"/>
      <c r="J86" s="255"/>
      <c r="K86" s="255"/>
      <c r="L86" s="255"/>
      <c r="M86" s="255"/>
      <c r="N86" s="255"/>
      <c r="O86" s="255"/>
      <c r="P86" s="255"/>
      <c r="Q86" s="255"/>
      <c r="R86" s="255"/>
      <c r="S86" s="255"/>
      <c r="T86" s="255"/>
      <c r="U86" s="255"/>
      <c r="V86" s="255"/>
      <c r="W86" s="255"/>
      <c r="X86" s="255"/>
      <c r="Y86" s="255"/>
      <c r="Z86" s="256"/>
    </row>
    <row r="87" spans="1:26" ht="66" customHeight="1" x14ac:dyDescent="0.15">
      <c r="B87" s="163"/>
      <c r="C87" s="62" t="s">
        <v>95</v>
      </c>
      <c r="D87" s="164" t="s">
        <v>142</v>
      </c>
      <c r="E87" s="165"/>
      <c r="F87" s="165"/>
      <c r="G87" s="165"/>
      <c r="H87" s="165"/>
      <c r="I87" s="165"/>
      <c r="J87" s="165"/>
      <c r="K87" s="165"/>
      <c r="L87" s="165"/>
      <c r="M87" s="165"/>
      <c r="N87" s="165"/>
      <c r="O87" s="165"/>
      <c r="P87" s="165"/>
      <c r="Q87" s="165"/>
      <c r="R87" s="165"/>
      <c r="S87" s="165"/>
      <c r="T87" s="165"/>
      <c r="U87" s="165"/>
      <c r="V87" s="165"/>
      <c r="W87" s="165"/>
      <c r="X87" s="165"/>
      <c r="Y87" s="165"/>
      <c r="Z87" s="166"/>
    </row>
    <row r="88" spans="1:26" ht="66" customHeight="1" x14ac:dyDescent="0.15">
      <c r="B88" s="162" t="s">
        <v>122</v>
      </c>
      <c r="C88" s="61" t="s">
        <v>97</v>
      </c>
      <c r="D88" s="172" t="s">
        <v>143</v>
      </c>
      <c r="E88" s="173"/>
      <c r="F88" s="173"/>
      <c r="G88" s="173"/>
      <c r="H88" s="173"/>
      <c r="I88" s="173"/>
      <c r="J88" s="173"/>
      <c r="K88" s="173"/>
      <c r="L88" s="173"/>
      <c r="M88" s="173"/>
      <c r="N88" s="173"/>
      <c r="O88" s="173"/>
      <c r="P88" s="173"/>
      <c r="Q88" s="173"/>
      <c r="R88" s="173"/>
      <c r="S88" s="173"/>
      <c r="T88" s="173"/>
      <c r="U88" s="173"/>
      <c r="V88" s="173"/>
      <c r="W88" s="173"/>
      <c r="X88" s="173"/>
      <c r="Y88" s="173"/>
      <c r="Z88" s="174"/>
    </row>
    <row r="89" spans="1:26" ht="66" customHeight="1" x14ac:dyDescent="0.15">
      <c r="B89" s="170"/>
      <c r="C89" s="62" t="s">
        <v>98</v>
      </c>
      <c r="D89" s="175" t="s">
        <v>144</v>
      </c>
      <c r="E89" s="176"/>
      <c r="F89" s="176"/>
      <c r="G89" s="176"/>
      <c r="H89" s="176"/>
      <c r="I89" s="176"/>
      <c r="J89" s="176"/>
      <c r="K89" s="176"/>
      <c r="L89" s="176"/>
      <c r="M89" s="176"/>
      <c r="N89" s="176"/>
      <c r="O89" s="176"/>
      <c r="P89" s="176"/>
      <c r="Q89" s="176"/>
      <c r="R89" s="176"/>
      <c r="S89" s="176"/>
      <c r="T89" s="176"/>
      <c r="U89" s="176"/>
      <c r="V89" s="176"/>
      <c r="W89" s="176"/>
      <c r="X89" s="176"/>
      <c r="Y89" s="176"/>
      <c r="Z89" s="177"/>
    </row>
    <row r="90" spans="1:26" ht="66" customHeight="1" x14ac:dyDescent="0.15">
      <c r="B90" s="171"/>
      <c r="C90" s="63" t="s">
        <v>99</v>
      </c>
      <c r="D90" s="178" t="s">
        <v>145</v>
      </c>
      <c r="E90" s="179"/>
      <c r="F90" s="179"/>
      <c r="G90" s="179"/>
      <c r="H90" s="179"/>
      <c r="I90" s="179"/>
      <c r="J90" s="179"/>
      <c r="K90" s="179"/>
      <c r="L90" s="179"/>
      <c r="M90" s="179"/>
      <c r="N90" s="179"/>
      <c r="O90" s="179"/>
      <c r="P90" s="179"/>
      <c r="Q90" s="179"/>
      <c r="R90" s="179"/>
      <c r="S90" s="179"/>
      <c r="T90" s="179"/>
      <c r="U90" s="179"/>
      <c r="V90" s="179"/>
      <c r="W90" s="179"/>
      <c r="X90" s="179"/>
      <c r="Y90" s="179"/>
      <c r="Z90" s="180"/>
    </row>
    <row r="91" spans="1:26" ht="6" customHeight="1" x14ac:dyDescent="0.15"/>
    <row r="92" spans="1:26" ht="18.75" customHeight="1" x14ac:dyDescent="0.15">
      <c r="A92" s="7" t="s">
        <v>126</v>
      </c>
    </row>
    <row r="93" spans="1:26" ht="18.75" customHeight="1" x14ac:dyDescent="0.15">
      <c r="B93" s="247" t="s">
        <v>127</v>
      </c>
      <c r="C93" s="248"/>
      <c r="D93" s="248"/>
      <c r="E93" s="248"/>
      <c r="F93" s="248"/>
      <c r="G93" s="248"/>
      <c r="H93" s="248"/>
      <c r="I93" s="248"/>
      <c r="J93" s="248"/>
      <c r="K93" s="248"/>
      <c r="L93" s="248"/>
      <c r="M93" s="248"/>
      <c r="N93" s="248"/>
      <c r="O93" s="248"/>
      <c r="P93" s="248"/>
      <c r="Q93" s="248"/>
      <c r="R93" s="248"/>
      <c r="S93" s="248"/>
      <c r="T93" s="248"/>
      <c r="U93" s="248"/>
      <c r="V93" s="248"/>
      <c r="W93" s="248"/>
      <c r="X93" s="248"/>
      <c r="Y93" s="248"/>
      <c r="Z93" s="249"/>
    </row>
    <row r="94" spans="1:26" ht="18.75" customHeight="1" x14ac:dyDescent="0.15">
      <c r="B94" s="250"/>
      <c r="C94" s="251"/>
      <c r="D94" s="251"/>
      <c r="E94" s="251"/>
      <c r="F94" s="251"/>
      <c r="G94" s="251"/>
      <c r="H94" s="251"/>
      <c r="I94" s="251"/>
      <c r="J94" s="251"/>
      <c r="K94" s="251"/>
      <c r="L94" s="251"/>
      <c r="M94" s="251"/>
      <c r="N94" s="251"/>
      <c r="O94" s="251"/>
      <c r="P94" s="251"/>
      <c r="Q94" s="251"/>
      <c r="R94" s="251"/>
      <c r="S94" s="251"/>
      <c r="T94" s="251"/>
      <c r="U94" s="251"/>
      <c r="V94" s="251"/>
      <c r="W94" s="251"/>
      <c r="X94" s="251"/>
      <c r="Y94" s="251"/>
      <c r="Z94" s="252"/>
    </row>
    <row r="95" spans="1:26" ht="18.75" customHeight="1" x14ac:dyDescent="0.15">
      <c r="B95" s="253"/>
      <c r="C95" s="179"/>
      <c r="D95" s="179"/>
      <c r="E95" s="179"/>
      <c r="F95" s="179"/>
      <c r="G95" s="179"/>
      <c r="H95" s="179"/>
      <c r="I95" s="179"/>
      <c r="J95" s="179"/>
      <c r="K95" s="179"/>
      <c r="L95" s="179"/>
      <c r="M95" s="179"/>
      <c r="N95" s="179"/>
      <c r="O95" s="179"/>
      <c r="P95" s="179"/>
      <c r="Q95" s="179"/>
      <c r="R95" s="179"/>
      <c r="S95" s="179"/>
      <c r="T95" s="179"/>
      <c r="U95" s="179"/>
      <c r="V95" s="179"/>
      <c r="W95" s="179"/>
      <c r="X95" s="179"/>
      <c r="Y95" s="179"/>
      <c r="Z95" s="180"/>
    </row>
    <row r="96" spans="1:26" ht="6" customHeight="1" x14ac:dyDescent="0.15"/>
    <row r="97" spans="1:26" ht="15" customHeight="1" x14ac:dyDescent="0.15">
      <c r="A97" s="7" t="s">
        <v>128</v>
      </c>
    </row>
    <row r="98" spans="1:26" ht="15" customHeight="1" x14ac:dyDescent="0.15">
      <c r="B98" s="159" t="s">
        <v>146</v>
      </c>
      <c r="C98" s="160"/>
      <c r="D98" s="160"/>
      <c r="E98" s="160"/>
      <c r="F98" s="160"/>
      <c r="G98" s="160"/>
      <c r="H98" s="160"/>
      <c r="I98" s="160"/>
      <c r="J98" s="160"/>
      <c r="K98" s="160"/>
      <c r="L98" s="160"/>
      <c r="M98" s="160"/>
      <c r="N98" s="160"/>
      <c r="O98" s="160"/>
      <c r="P98" s="160"/>
      <c r="Q98" s="160"/>
      <c r="R98" s="160"/>
      <c r="S98" s="160"/>
      <c r="T98" s="160"/>
      <c r="U98" s="160"/>
      <c r="V98" s="160"/>
      <c r="W98" s="160"/>
      <c r="X98" s="160"/>
      <c r="Y98" s="160"/>
      <c r="Z98" s="161"/>
    </row>
  </sheetData>
  <mergeCells count="217">
    <mergeCell ref="B93:Z95"/>
    <mergeCell ref="B98:Z98"/>
    <mergeCell ref="B86:B87"/>
    <mergeCell ref="D86:Z86"/>
    <mergeCell ref="D87:Z87"/>
    <mergeCell ref="B88:B90"/>
    <mergeCell ref="D88:Z88"/>
    <mergeCell ref="D89:Z89"/>
    <mergeCell ref="D90:Z90"/>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31:F31"/>
    <mergeCell ref="I31:K31"/>
    <mergeCell ref="N31:S31"/>
    <mergeCell ref="V31:X31"/>
    <mergeCell ref="B32:F32"/>
    <mergeCell ref="I32:K32"/>
    <mergeCell ref="N32:S32"/>
    <mergeCell ref="V32:X32"/>
    <mergeCell ref="B28:F28"/>
    <mergeCell ref="N29:S29"/>
    <mergeCell ref="V29:X29"/>
    <mergeCell ref="B30:F30"/>
    <mergeCell ref="I30:K30"/>
    <mergeCell ref="N30:S30"/>
    <mergeCell ref="V30:X30"/>
    <mergeCell ref="B29:F29"/>
    <mergeCell ref="I29:K29"/>
    <mergeCell ref="I27:K27"/>
    <mergeCell ref="N27:S27"/>
    <mergeCell ref="V27:X27"/>
    <mergeCell ref="I28:K28"/>
    <mergeCell ref="N28:S28"/>
    <mergeCell ref="V28:X28"/>
    <mergeCell ref="B22:F22"/>
    <mergeCell ref="I22:K22"/>
    <mergeCell ref="N22:S22"/>
    <mergeCell ref="V22:X22"/>
    <mergeCell ref="A24:Z25"/>
    <mergeCell ref="B26:F26"/>
    <mergeCell ref="I26:K26"/>
    <mergeCell ref="N26:S26"/>
    <mergeCell ref="V26:X26"/>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s>
  <phoneticPr fontId="1"/>
  <dataValidations count="4">
    <dataValidation type="list" allowBlank="1" showInputMessage="1" showErrorMessage="1" sqref="Y16:Z22 L16:M22 Y27:Z33 L38:M44 Y38:Z44 L49:M55 Y49:Z55 Y60:Z66 T60:T66 H16:H22 U16:U22 U27:U33 H38:H44 U38:U44 H49:H55 U49:U55 G60:G66 L62:M66 K62 H27:H33 L27:M33 K60:M61" xr:uid="{79449B8A-C3CF-4B0D-9467-ACCC5A2C709C}">
      <formula1>"○"</formula1>
    </dataValidation>
    <dataValidation type="list" allowBlank="1" showInputMessage="1" showErrorMessage="1" sqref="Z23 Z34 D34:K34 D23:K23 V16:V22 I16:I22 V27:V33 V38:V44 I38:I44 V49:V55 I49:I55 U60:U66 H60:H66 I27:I33" xr:uid="{B12B6561-F179-402F-962A-A1FBD0B9F10D}">
      <formula1>"全学開講,一部開講"</formula1>
    </dataValidation>
    <dataValidation type="list" allowBlank="1" showInputMessage="1" showErrorMessage="1" sqref="O4" xr:uid="{C888DABE-78FE-4463-B16E-A68DAE1D581A}">
      <formula1>"学部・学科によって、修了要件は相違する,学部・学科によって、修了要件は相違しない"</formula1>
    </dataValidation>
    <dataValidation type="list" allowBlank="1" showInputMessage="1" showErrorMessage="1" sqref="H74:M77 G70:G77 H70:M71 T70:T77 U70:Z71 U74:Z77" xr:uid="{967D6F81-4F01-4C8E-80D3-B93924A3EF6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xr:uid="{A734A773-F4A2-482D-839E-39467A33E8A9}"/>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dimension ref="A1:T30"/>
  <sheetViews>
    <sheetView view="pageBreakPreview" zoomScaleNormal="100" zoomScaleSheetLayoutView="100" workbookViewId="0">
      <selection activeCell="O27" sqref="O27"/>
    </sheetView>
  </sheetViews>
  <sheetFormatPr defaultColWidth="9" defaultRowHeight="18.75" customHeight="1" x14ac:dyDescent="0.15"/>
  <cols>
    <col min="1" max="1" width="2.75" style="1" customWidth="1"/>
    <col min="2" max="2" width="30" style="1" customWidth="1"/>
    <col min="3" max="17" width="6.125" style="1" customWidth="1"/>
    <col min="18" max="18" width="6.625" style="1" customWidth="1"/>
    <col min="19" max="16384" width="9" style="1"/>
  </cols>
  <sheetData>
    <row r="1" spans="1:20" ht="18" customHeight="1" x14ac:dyDescent="0.15">
      <c r="F1" s="257" t="s">
        <v>147</v>
      </c>
      <c r="G1" s="257"/>
      <c r="H1" s="257"/>
      <c r="I1" s="257"/>
      <c r="J1" s="257"/>
      <c r="K1" s="257"/>
      <c r="L1" s="257"/>
      <c r="M1" s="257"/>
      <c r="N1" s="257"/>
      <c r="O1" s="257"/>
      <c r="P1" s="257"/>
      <c r="Q1" s="257"/>
      <c r="R1" s="257"/>
    </row>
    <row r="2" spans="1:20" ht="18" customHeight="1" x14ac:dyDescent="0.15">
      <c r="A2" s="258" t="s">
        <v>148</v>
      </c>
      <c r="B2" s="258"/>
      <c r="C2" s="258"/>
      <c r="D2" s="258"/>
      <c r="E2" s="258"/>
      <c r="F2" s="258"/>
      <c r="G2" s="258"/>
      <c r="H2" s="258"/>
      <c r="I2" s="258"/>
      <c r="J2" s="258"/>
      <c r="K2" s="258"/>
      <c r="L2" s="258"/>
      <c r="M2" s="258"/>
      <c r="N2" s="258"/>
      <c r="O2" s="258"/>
      <c r="P2" s="258"/>
      <c r="Q2" s="258"/>
      <c r="R2" s="258"/>
      <c r="S2" s="3"/>
    </row>
    <row r="3" spans="1:20" ht="7.5" customHeight="1" x14ac:dyDescent="0.15">
      <c r="A3" s="23"/>
      <c r="B3" s="23"/>
      <c r="C3" s="23"/>
      <c r="D3" s="23"/>
      <c r="E3" s="23"/>
      <c r="F3" s="23"/>
      <c r="G3" s="23"/>
      <c r="H3" s="23"/>
      <c r="I3" s="23"/>
      <c r="J3" s="23"/>
      <c r="K3" s="23"/>
      <c r="L3" s="23"/>
      <c r="M3" s="23"/>
      <c r="N3" s="23"/>
      <c r="O3" s="23"/>
      <c r="P3" s="23"/>
      <c r="Q3" s="23"/>
      <c r="R3" s="23"/>
    </row>
    <row r="4" spans="1:20" ht="18" customHeight="1" x14ac:dyDescent="0.15">
      <c r="A4" s="3" t="s">
        <v>149</v>
      </c>
      <c r="B4" s="3"/>
      <c r="C4" s="259" t="str">
        <f>'様式１　大学等概要'!E12</f>
        <v>令和元</v>
      </c>
      <c r="D4" s="260"/>
      <c r="E4" s="23" t="s">
        <v>20</v>
      </c>
      <c r="F4" s="23"/>
      <c r="G4" s="23"/>
      <c r="H4" s="23"/>
      <c r="I4" s="23"/>
      <c r="J4" s="65"/>
      <c r="K4" s="23"/>
      <c r="L4" s="23"/>
      <c r="M4" s="31"/>
      <c r="N4" s="31"/>
      <c r="O4" s="31"/>
      <c r="P4" s="31"/>
      <c r="Q4" s="31"/>
      <c r="R4" s="31"/>
    </row>
    <row r="5" spans="1:20" ht="6" customHeight="1" x14ac:dyDescent="0.15">
      <c r="A5" s="23"/>
      <c r="B5" s="23"/>
      <c r="C5" s="23"/>
      <c r="D5" s="23"/>
      <c r="E5" s="23"/>
      <c r="F5" s="23"/>
      <c r="G5" s="23"/>
      <c r="H5" s="23"/>
      <c r="I5" s="23"/>
      <c r="J5" s="23"/>
      <c r="K5" s="23"/>
      <c r="L5" s="23"/>
      <c r="M5" s="23"/>
      <c r="N5" s="23"/>
      <c r="O5" s="23"/>
      <c r="P5" s="23"/>
      <c r="Q5" s="23"/>
      <c r="R5" s="23"/>
    </row>
    <row r="6" spans="1:20" ht="18" customHeight="1" x14ac:dyDescent="0.15">
      <c r="A6" s="3" t="s">
        <v>150</v>
      </c>
      <c r="B6" s="23"/>
      <c r="C6" s="23"/>
      <c r="D6" s="23"/>
      <c r="E6" s="23"/>
      <c r="F6" s="23"/>
      <c r="G6" s="23"/>
      <c r="H6" s="23"/>
      <c r="I6" s="23"/>
      <c r="J6" s="23"/>
      <c r="K6" s="23"/>
      <c r="L6" s="23"/>
      <c r="M6" s="23"/>
      <c r="N6" s="23"/>
      <c r="O6" s="23"/>
      <c r="P6" s="23"/>
      <c r="Q6" s="23"/>
      <c r="R6" s="23"/>
    </row>
    <row r="7" spans="1:20" ht="6" customHeight="1" x14ac:dyDescent="0.15">
      <c r="A7" s="3"/>
      <c r="B7" s="23"/>
      <c r="C7" s="23"/>
      <c r="D7" s="23"/>
      <c r="E7" s="23"/>
      <c r="F7" s="23"/>
      <c r="G7" s="23"/>
      <c r="H7" s="23"/>
      <c r="I7" s="23"/>
      <c r="J7" s="23"/>
      <c r="K7" s="23"/>
      <c r="L7" s="23"/>
      <c r="M7" s="23"/>
      <c r="N7" s="23"/>
      <c r="O7" s="23"/>
      <c r="P7" s="23"/>
      <c r="Q7" s="23"/>
      <c r="R7" s="23"/>
    </row>
    <row r="8" spans="1:20" ht="18" customHeight="1" x14ac:dyDescent="0.15">
      <c r="B8" s="261" t="s">
        <v>151</v>
      </c>
      <c r="C8" s="263" t="s">
        <v>152</v>
      </c>
      <c r="D8" s="265" t="s">
        <v>153</v>
      </c>
      <c r="E8" s="267" t="s">
        <v>154</v>
      </c>
      <c r="F8" s="267"/>
      <c r="G8" s="267" t="s">
        <v>155</v>
      </c>
      <c r="H8" s="267"/>
      <c r="I8" s="267" t="s">
        <v>156</v>
      </c>
      <c r="J8" s="267"/>
      <c r="K8" s="268" t="s">
        <v>157</v>
      </c>
      <c r="L8" s="269"/>
      <c r="M8" s="268" t="s">
        <v>158</v>
      </c>
      <c r="N8" s="269"/>
      <c r="O8" s="268" t="s">
        <v>159</v>
      </c>
      <c r="P8" s="269"/>
      <c r="Q8" s="270" t="s">
        <v>160</v>
      </c>
      <c r="R8" s="272" t="s">
        <v>161</v>
      </c>
      <c r="T8" s="21"/>
    </row>
    <row r="9" spans="1:20" ht="18" customHeight="1" x14ac:dyDescent="0.15">
      <c r="A9" s="3"/>
      <c r="B9" s="262"/>
      <c r="C9" s="264"/>
      <c r="D9" s="266"/>
      <c r="E9" s="27" t="s">
        <v>162</v>
      </c>
      <c r="F9" s="28" t="s">
        <v>163</v>
      </c>
      <c r="G9" s="29" t="s">
        <v>162</v>
      </c>
      <c r="H9" s="30" t="s">
        <v>163</v>
      </c>
      <c r="I9" s="27" t="s">
        <v>162</v>
      </c>
      <c r="J9" s="28" t="s">
        <v>163</v>
      </c>
      <c r="K9" s="29" t="s">
        <v>162</v>
      </c>
      <c r="L9" s="30" t="s">
        <v>163</v>
      </c>
      <c r="M9" s="27" t="s">
        <v>162</v>
      </c>
      <c r="N9" s="28" t="s">
        <v>163</v>
      </c>
      <c r="O9" s="29" t="s">
        <v>162</v>
      </c>
      <c r="P9" s="30" t="s">
        <v>163</v>
      </c>
      <c r="Q9" s="271"/>
      <c r="R9" s="273"/>
      <c r="T9" s="21"/>
    </row>
    <row r="10" spans="1:20" ht="18" customHeight="1" x14ac:dyDescent="0.15">
      <c r="A10" s="31"/>
      <c r="B10" s="66" t="s">
        <v>164</v>
      </c>
      <c r="C10" s="31">
        <v>40</v>
      </c>
      <c r="D10" s="32">
        <v>200</v>
      </c>
      <c r="E10" s="33">
        <v>43</v>
      </c>
      <c r="F10" s="34">
        <v>0</v>
      </c>
      <c r="G10" s="35">
        <v>41</v>
      </c>
      <c r="H10" s="36">
        <v>0</v>
      </c>
      <c r="I10" s="33">
        <v>42</v>
      </c>
      <c r="J10" s="34">
        <v>0</v>
      </c>
      <c r="K10" s="35">
        <v>0</v>
      </c>
      <c r="L10" s="34">
        <v>0</v>
      </c>
      <c r="M10" s="33">
        <v>0</v>
      </c>
      <c r="N10" s="34">
        <v>0</v>
      </c>
      <c r="O10" s="35">
        <v>0</v>
      </c>
      <c r="P10" s="34">
        <v>0</v>
      </c>
      <c r="Q10" s="37">
        <f>E10+G10+I10+K10+M10+O10</f>
        <v>126</v>
      </c>
      <c r="R10" s="38">
        <f>Q10/D10</f>
        <v>0.63</v>
      </c>
    </row>
    <row r="11" spans="1:20" ht="18" customHeight="1" x14ac:dyDescent="0.15">
      <c r="A11" s="31"/>
      <c r="B11" s="67" t="s">
        <v>165</v>
      </c>
      <c r="C11" s="47">
        <v>80</v>
      </c>
      <c r="D11" s="40">
        <v>400</v>
      </c>
      <c r="E11" s="41">
        <f>(42 + 43)</f>
        <v>85</v>
      </c>
      <c r="F11" s="42">
        <v>0</v>
      </c>
      <c r="G11" s="43">
        <f>(44-1) + (43-1)</f>
        <v>85</v>
      </c>
      <c r="H11" s="44">
        <v>0</v>
      </c>
      <c r="I11" s="41">
        <f>40 + (41-1)</f>
        <v>80</v>
      </c>
      <c r="J11" s="42">
        <v>0</v>
      </c>
      <c r="K11" s="43">
        <v>0</v>
      </c>
      <c r="L11" s="42">
        <v>0</v>
      </c>
      <c r="M11" s="41">
        <v>0</v>
      </c>
      <c r="N11" s="42">
        <v>0</v>
      </c>
      <c r="O11" s="43">
        <v>0</v>
      </c>
      <c r="P11" s="42">
        <v>0</v>
      </c>
      <c r="Q11" s="45">
        <f t="shared" ref="Q11:Q29" si="0">E11+G11+I11+K11+M11+O11</f>
        <v>250</v>
      </c>
      <c r="R11" s="46">
        <f t="shared" ref="R11:R29" si="1">Q11/D11</f>
        <v>0.625</v>
      </c>
    </row>
    <row r="12" spans="1:20" ht="18" customHeight="1" x14ac:dyDescent="0.15">
      <c r="A12" s="31"/>
      <c r="B12" s="67"/>
      <c r="C12" s="47"/>
      <c r="D12" s="40"/>
      <c r="E12" s="41"/>
      <c r="F12" s="42"/>
      <c r="G12" s="43"/>
      <c r="H12" s="44"/>
      <c r="I12" s="41"/>
      <c r="J12" s="42"/>
      <c r="K12" s="43"/>
      <c r="L12" s="44"/>
      <c r="M12" s="41"/>
      <c r="N12" s="42"/>
      <c r="O12" s="43"/>
      <c r="P12" s="44"/>
      <c r="Q12" s="45">
        <f t="shared" si="0"/>
        <v>0</v>
      </c>
      <c r="R12" s="46" t="e">
        <f t="shared" si="1"/>
        <v>#DIV/0!</v>
      </c>
    </row>
    <row r="13" spans="1:20" ht="18" customHeight="1" x14ac:dyDescent="0.15">
      <c r="A13" s="31"/>
      <c r="B13" s="67"/>
      <c r="C13" s="47"/>
      <c r="D13" s="40"/>
      <c r="E13" s="41"/>
      <c r="F13" s="42"/>
      <c r="G13" s="43"/>
      <c r="H13" s="44"/>
      <c r="I13" s="41"/>
      <c r="J13" s="42"/>
      <c r="K13" s="43"/>
      <c r="L13" s="44"/>
      <c r="M13" s="41"/>
      <c r="N13" s="42"/>
      <c r="O13" s="43"/>
      <c r="P13" s="44"/>
      <c r="Q13" s="45">
        <f t="shared" si="0"/>
        <v>0</v>
      </c>
      <c r="R13" s="46" t="e">
        <f t="shared" si="1"/>
        <v>#DIV/0!</v>
      </c>
    </row>
    <row r="14" spans="1:20" ht="18" customHeight="1" x14ac:dyDescent="0.15">
      <c r="A14" s="31"/>
      <c r="B14" s="67"/>
      <c r="C14" s="47"/>
      <c r="D14" s="40"/>
      <c r="E14" s="41"/>
      <c r="F14" s="42"/>
      <c r="G14" s="43"/>
      <c r="H14" s="44"/>
      <c r="I14" s="41"/>
      <c r="J14" s="42"/>
      <c r="K14" s="43"/>
      <c r="L14" s="44"/>
      <c r="M14" s="41"/>
      <c r="N14" s="42"/>
      <c r="O14" s="43"/>
      <c r="P14" s="44"/>
      <c r="Q14" s="45">
        <f t="shared" si="0"/>
        <v>0</v>
      </c>
      <c r="R14" s="46" t="e">
        <f t="shared" si="1"/>
        <v>#DIV/0!</v>
      </c>
    </row>
    <row r="15" spans="1:20" ht="18" customHeight="1" x14ac:dyDescent="0.15">
      <c r="A15" s="31"/>
      <c r="B15" s="67"/>
      <c r="C15" s="47"/>
      <c r="D15" s="40"/>
      <c r="E15" s="41"/>
      <c r="F15" s="42"/>
      <c r="G15" s="43"/>
      <c r="H15" s="44"/>
      <c r="I15" s="41"/>
      <c r="J15" s="42"/>
      <c r="K15" s="43"/>
      <c r="L15" s="44"/>
      <c r="M15" s="41"/>
      <c r="N15" s="42"/>
      <c r="O15" s="43"/>
      <c r="P15" s="44"/>
      <c r="Q15" s="45">
        <f t="shared" si="0"/>
        <v>0</v>
      </c>
      <c r="R15" s="46" t="e">
        <f t="shared" si="1"/>
        <v>#DIV/0!</v>
      </c>
    </row>
    <row r="16" spans="1:20" ht="18" customHeight="1" x14ac:dyDescent="0.15">
      <c r="A16" s="31"/>
      <c r="B16" s="67"/>
      <c r="C16" s="47"/>
      <c r="D16" s="40"/>
      <c r="E16" s="41"/>
      <c r="F16" s="42"/>
      <c r="G16" s="43"/>
      <c r="H16" s="44"/>
      <c r="I16" s="41"/>
      <c r="J16" s="42"/>
      <c r="K16" s="43"/>
      <c r="L16" s="44"/>
      <c r="M16" s="41"/>
      <c r="N16" s="42"/>
      <c r="O16" s="43"/>
      <c r="P16" s="44"/>
      <c r="Q16" s="45">
        <f t="shared" si="0"/>
        <v>0</v>
      </c>
      <c r="R16" s="46" t="e">
        <f t="shared" si="1"/>
        <v>#DIV/0!</v>
      </c>
    </row>
    <row r="17" spans="1:18" ht="18" customHeight="1" x14ac:dyDescent="0.15">
      <c r="A17" s="31"/>
      <c r="B17" s="67"/>
      <c r="C17" s="47"/>
      <c r="D17" s="40"/>
      <c r="E17" s="41"/>
      <c r="F17" s="42"/>
      <c r="G17" s="43"/>
      <c r="H17" s="44"/>
      <c r="I17" s="41"/>
      <c r="J17" s="42"/>
      <c r="K17" s="43"/>
      <c r="L17" s="44"/>
      <c r="M17" s="41"/>
      <c r="N17" s="42"/>
      <c r="O17" s="43"/>
      <c r="P17" s="44"/>
      <c r="Q17" s="45">
        <f t="shared" si="0"/>
        <v>0</v>
      </c>
      <c r="R17" s="46" t="e">
        <f t="shared" si="1"/>
        <v>#DIV/0!</v>
      </c>
    </row>
    <row r="18" spans="1:18" ht="18" customHeight="1" x14ac:dyDescent="0.15">
      <c r="A18" s="31"/>
      <c r="B18" s="67"/>
      <c r="C18" s="47"/>
      <c r="D18" s="40"/>
      <c r="E18" s="41"/>
      <c r="F18" s="42"/>
      <c r="G18" s="43"/>
      <c r="H18" s="44"/>
      <c r="I18" s="41"/>
      <c r="J18" s="42"/>
      <c r="K18" s="43"/>
      <c r="L18" s="44"/>
      <c r="M18" s="41"/>
      <c r="N18" s="42"/>
      <c r="O18" s="43"/>
      <c r="P18" s="44"/>
      <c r="Q18" s="45">
        <f>E18+G18+I18+K18+M18+O18</f>
        <v>0</v>
      </c>
      <c r="R18" s="46" t="e">
        <f t="shared" si="1"/>
        <v>#DIV/0!</v>
      </c>
    </row>
    <row r="19" spans="1:18" ht="18" customHeight="1" x14ac:dyDescent="0.15">
      <c r="A19" s="31"/>
      <c r="B19" s="67"/>
      <c r="C19" s="47"/>
      <c r="D19" s="40"/>
      <c r="E19" s="41"/>
      <c r="F19" s="42"/>
      <c r="G19" s="43"/>
      <c r="H19" s="44"/>
      <c r="I19" s="41"/>
      <c r="J19" s="42"/>
      <c r="K19" s="43"/>
      <c r="L19" s="44"/>
      <c r="M19" s="41"/>
      <c r="N19" s="42"/>
      <c r="O19" s="43"/>
      <c r="P19" s="44"/>
      <c r="Q19" s="45">
        <f t="shared" si="0"/>
        <v>0</v>
      </c>
      <c r="R19" s="46" t="e">
        <f t="shared" si="1"/>
        <v>#DIV/0!</v>
      </c>
    </row>
    <row r="20" spans="1:18" ht="18" customHeight="1" x14ac:dyDescent="0.15">
      <c r="A20" s="31"/>
      <c r="B20" s="67"/>
      <c r="C20" s="47"/>
      <c r="D20" s="40"/>
      <c r="E20" s="41"/>
      <c r="F20" s="42"/>
      <c r="G20" s="43"/>
      <c r="H20" s="44"/>
      <c r="I20" s="41"/>
      <c r="J20" s="42"/>
      <c r="K20" s="43"/>
      <c r="L20" s="44"/>
      <c r="M20" s="41"/>
      <c r="N20" s="42"/>
      <c r="O20" s="43"/>
      <c r="P20" s="44"/>
      <c r="Q20" s="45">
        <f t="shared" si="0"/>
        <v>0</v>
      </c>
      <c r="R20" s="46" t="e">
        <f t="shared" si="1"/>
        <v>#DIV/0!</v>
      </c>
    </row>
    <row r="21" spans="1:18" ht="18" customHeight="1" x14ac:dyDescent="0.15">
      <c r="A21" s="31"/>
      <c r="B21" s="67"/>
      <c r="C21" s="47"/>
      <c r="D21" s="40"/>
      <c r="E21" s="41"/>
      <c r="F21" s="42"/>
      <c r="G21" s="43"/>
      <c r="H21" s="44"/>
      <c r="I21" s="41"/>
      <c r="J21" s="42"/>
      <c r="K21" s="43"/>
      <c r="L21" s="44"/>
      <c r="M21" s="41"/>
      <c r="N21" s="42"/>
      <c r="O21" s="43"/>
      <c r="P21" s="44"/>
      <c r="Q21" s="45">
        <f t="shared" si="0"/>
        <v>0</v>
      </c>
      <c r="R21" s="46" t="e">
        <f t="shared" si="1"/>
        <v>#DIV/0!</v>
      </c>
    </row>
    <row r="22" spans="1:18" ht="18" customHeight="1" x14ac:dyDescent="0.15">
      <c r="A22" s="31"/>
      <c r="B22" s="67"/>
      <c r="C22" s="47"/>
      <c r="D22" s="40"/>
      <c r="E22" s="41"/>
      <c r="F22" s="42"/>
      <c r="G22" s="43"/>
      <c r="H22" s="44"/>
      <c r="I22" s="41"/>
      <c r="J22" s="42"/>
      <c r="K22" s="43"/>
      <c r="L22" s="44"/>
      <c r="M22" s="41"/>
      <c r="N22" s="42"/>
      <c r="O22" s="43"/>
      <c r="P22" s="44"/>
      <c r="Q22" s="45">
        <f t="shared" si="0"/>
        <v>0</v>
      </c>
      <c r="R22" s="46" t="e">
        <f t="shared" si="1"/>
        <v>#DIV/0!</v>
      </c>
    </row>
    <row r="23" spans="1:18" ht="18" customHeight="1" x14ac:dyDescent="0.15">
      <c r="A23" s="31"/>
      <c r="B23" s="67"/>
      <c r="C23" s="47"/>
      <c r="D23" s="40"/>
      <c r="E23" s="41"/>
      <c r="F23" s="42"/>
      <c r="G23" s="43"/>
      <c r="H23" s="44"/>
      <c r="I23" s="41"/>
      <c r="J23" s="42"/>
      <c r="K23" s="43"/>
      <c r="L23" s="44"/>
      <c r="M23" s="41"/>
      <c r="N23" s="42"/>
      <c r="O23" s="43"/>
      <c r="P23" s="44"/>
      <c r="Q23" s="45">
        <f t="shared" si="0"/>
        <v>0</v>
      </c>
      <c r="R23" s="46" t="e">
        <f t="shared" si="1"/>
        <v>#DIV/0!</v>
      </c>
    </row>
    <row r="24" spans="1:18" ht="18" customHeight="1" x14ac:dyDescent="0.15">
      <c r="A24" s="31"/>
      <c r="B24" s="67"/>
      <c r="C24" s="47"/>
      <c r="D24" s="40"/>
      <c r="E24" s="41"/>
      <c r="F24" s="42"/>
      <c r="G24" s="43"/>
      <c r="H24" s="44"/>
      <c r="I24" s="41"/>
      <c r="J24" s="42"/>
      <c r="K24" s="43"/>
      <c r="L24" s="44"/>
      <c r="M24" s="41"/>
      <c r="N24" s="42"/>
      <c r="O24" s="43"/>
      <c r="P24" s="44"/>
      <c r="Q24" s="45">
        <f t="shared" si="0"/>
        <v>0</v>
      </c>
      <c r="R24" s="46" t="e">
        <f t="shared" si="1"/>
        <v>#DIV/0!</v>
      </c>
    </row>
    <row r="25" spans="1:18" ht="18" customHeight="1" x14ac:dyDescent="0.15">
      <c r="A25" s="31"/>
      <c r="B25" s="67"/>
      <c r="C25" s="47"/>
      <c r="D25" s="40"/>
      <c r="E25" s="41"/>
      <c r="F25" s="42"/>
      <c r="G25" s="43"/>
      <c r="H25" s="44"/>
      <c r="I25" s="41"/>
      <c r="J25" s="42"/>
      <c r="K25" s="43"/>
      <c r="L25" s="44"/>
      <c r="M25" s="41"/>
      <c r="N25" s="42"/>
      <c r="O25" s="43"/>
      <c r="P25" s="44"/>
      <c r="Q25" s="45">
        <f t="shared" si="0"/>
        <v>0</v>
      </c>
      <c r="R25" s="46" t="e">
        <f t="shared" si="1"/>
        <v>#DIV/0!</v>
      </c>
    </row>
    <row r="26" spans="1:18" ht="18" customHeight="1" x14ac:dyDescent="0.15">
      <c r="A26" s="31"/>
      <c r="B26" s="67"/>
      <c r="C26" s="47"/>
      <c r="D26" s="40"/>
      <c r="E26" s="41"/>
      <c r="F26" s="42"/>
      <c r="G26" s="43"/>
      <c r="H26" s="44"/>
      <c r="I26" s="41"/>
      <c r="J26" s="42"/>
      <c r="K26" s="43"/>
      <c r="L26" s="44"/>
      <c r="M26" s="41"/>
      <c r="N26" s="42"/>
      <c r="O26" s="43"/>
      <c r="P26" s="44"/>
      <c r="Q26" s="45">
        <f t="shared" si="0"/>
        <v>0</v>
      </c>
      <c r="R26" s="46" t="e">
        <f t="shared" si="1"/>
        <v>#DIV/0!</v>
      </c>
    </row>
    <row r="27" spans="1:18" ht="18" customHeight="1" x14ac:dyDescent="0.15">
      <c r="A27" s="31"/>
      <c r="B27" s="67"/>
      <c r="C27" s="39"/>
      <c r="D27" s="40"/>
      <c r="E27" s="41"/>
      <c r="F27" s="42"/>
      <c r="G27" s="43"/>
      <c r="H27" s="44"/>
      <c r="I27" s="41"/>
      <c r="J27" s="42"/>
      <c r="K27" s="43"/>
      <c r="L27" s="44"/>
      <c r="M27" s="41"/>
      <c r="N27" s="42"/>
      <c r="O27" s="43"/>
      <c r="P27" s="44"/>
      <c r="Q27" s="45">
        <f t="shared" si="0"/>
        <v>0</v>
      </c>
      <c r="R27" s="46" t="e">
        <f t="shared" si="1"/>
        <v>#DIV/0!</v>
      </c>
    </row>
    <row r="28" spans="1:18" ht="18" customHeight="1" x14ac:dyDescent="0.15">
      <c r="A28" s="31"/>
      <c r="B28" s="67"/>
      <c r="C28" s="39"/>
      <c r="D28" s="40"/>
      <c r="E28" s="41"/>
      <c r="F28" s="42"/>
      <c r="G28" s="43"/>
      <c r="H28" s="44"/>
      <c r="I28" s="41"/>
      <c r="J28" s="42"/>
      <c r="K28" s="43"/>
      <c r="L28" s="44"/>
      <c r="M28" s="41"/>
      <c r="N28" s="42"/>
      <c r="O28" s="43"/>
      <c r="P28" s="44"/>
      <c r="Q28" s="45">
        <f t="shared" si="0"/>
        <v>0</v>
      </c>
      <c r="R28" s="46" t="e">
        <f t="shared" si="1"/>
        <v>#DIV/0!</v>
      </c>
    </row>
    <row r="29" spans="1:18" ht="18" customHeight="1" thickBot="1" x14ac:dyDescent="0.2">
      <c r="A29" s="31"/>
      <c r="B29" s="68"/>
      <c r="C29" s="69"/>
      <c r="D29" s="32"/>
      <c r="E29" s="33"/>
      <c r="F29" s="34"/>
      <c r="G29" s="35"/>
      <c r="H29" s="36"/>
      <c r="I29" s="33"/>
      <c r="J29" s="34"/>
      <c r="K29" s="35"/>
      <c r="L29" s="36"/>
      <c r="M29" s="33"/>
      <c r="N29" s="34"/>
      <c r="O29" s="35"/>
      <c r="P29" s="36"/>
      <c r="Q29" s="48">
        <f t="shared" si="0"/>
        <v>0</v>
      </c>
      <c r="R29" s="38" t="e">
        <f t="shared" si="1"/>
        <v>#DIV/0!</v>
      </c>
    </row>
    <row r="30" spans="1:18" ht="18" customHeight="1" thickTop="1" x14ac:dyDescent="0.15">
      <c r="B30" s="70" t="s">
        <v>166</v>
      </c>
      <c r="C30" s="71">
        <f t="shared" ref="C30:Q30" si="2">SUM(C10:C29)</f>
        <v>120</v>
      </c>
      <c r="D30" s="49">
        <f t="shared" si="2"/>
        <v>600</v>
      </c>
      <c r="E30" s="50">
        <f t="shared" si="2"/>
        <v>128</v>
      </c>
      <c r="F30" s="51">
        <f t="shared" si="2"/>
        <v>0</v>
      </c>
      <c r="G30" s="52">
        <f t="shared" si="2"/>
        <v>126</v>
      </c>
      <c r="H30" s="53">
        <f t="shared" si="2"/>
        <v>0</v>
      </c>
      <c r="I30" s="50">
        <f t="shared" si="2"/>
        <v>122</v>
      </c>
      <c r="J30" s="51">
        <f t="shared" si="2"/>
        <v>0</v>
      </c>
      <c r="K30" s="52">
        <f t="shared" si="2"/>
        <v>0</v>
      </c>
      <c r="L30" s="53">
        <f t="shared" si="2"/>
        <v>0</v>
      </c>
      <c r="M30" s="50">
        <f t="shared" si="2"/>
        <v>0</v>
      </c>
      <c r="N30" s="51">
        <f t="shared" si="2"/>
        <v>0</v>
      </c>
      <c r="O30" s="52">
        <f t="shared" si="2"/>
        <v>0</v>
      </c>
      <c r="P30" s="53">
        <f t="shared" si="2"/>
        <v>0</v>
      </c>
      <c r="Q30" s="54">
        <f t="shared" si="2"/>
        <v>376</v>
      </c>
      <c r="R30" s="55">
        <f>Q30/D30</f>
        <v>0.62666666666666671</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dimension ref="A1:K144"/>
  <sheetViews>
    <sheetView showZeros="0" view="pageBreakPreview" zoomScaleNormal="100" zoomScaleSheetLayoutView="100" workbookViewId="0">
      <selection activeCell="O28" sqref="O28"/>
    </sheetView>
  </sheetViews>
  <sheetFormatPr defaultColWidth="11.375" defaultRowHeight="18.75" customHeight="1" x14ac:dyDescent="0.15"/>
  <cols>
    <col min="1" max="1" width="2.75" style="2" customWidth="1"/>
    <col min="2" max="2" width="16.625" style="1" customWidth="1"/>
    <col min="3" max="3" width="8.875" style="1" customWidth="1"/>
    <col min="4" max="4" width="2.25" style="1" customWidth="1"/>
    <col min="5" max="5" width="16.625" style="1" customWidth="1"/>
    <col min="6" max="6" width="8.875" style="1" customWidth="1"/>
    <col min="7" max="7" width="2.25" style="1" customWidth="1"/>
    <col min="8" max="8" width="16.625" style="1" customWidth="1"/>
    <col min="9" max="9" width="8.875" style="1" customWidth="1"/>
    <col min="10" max="10" width="2.25" style="1" customWidth="1"/>
    <col min="11" max="11" width="11.375" style="20"/>
    <col min="12" max="16384" width="11.375" style="1"/>
  </cols>
  <sheetData>
    <row r="1" spans="1:11" ht="18.75" customHeight="1" x14ac:dyDescent="0.15">
      <c r="A1" s="2" t="s">
        <v>167</v>
      </c>
      <c r="J1" s="26" t="s">
        <v>168</v>
      </c>
    </row>
    <row r="2" spans="1:11" ht="18.75" customHeight="1" x14ac:dyDescent="0.15">
      <c r="A2" s="258" t="s">
        <v>169</v>
      </c>
      <c r="B2" s="258"/>
      <c r="C2" s="258"/>
      <c r="D2" s="258"/>
      <c r="E2" s="258"/>
      <c r="F2" s="258"/>
      <c r="G2" s="258"/>
      <c r="H2" s="258"/>
      <c r="I2" s="258"/>
      <c r="J2" s="258"/>
    </row>
    <row r="3" spans="1:11" ht="7.5" customHeight="1" x14ac:dyDescent="0.15">
      <c r="B3" s="23"/>
      <c r="C3" s="23"/>
      <c r="D3" s="23"/>
      <c r="E3" s="23"/>
      <c r="F3" s="23"/>
      <c r="G3" s="23"/>
      <c r="H3" s="23"/>
      <c r="I3" s="23"/>
      <c r="J3" s="23"/>
    </row>
    <row r="4" spans="1:11" ht="18.75" customHeight="1" x14ac:dyDescent="0.15">
      <c r="A4" s="1" t="s">
        <v>2</v>
      </c>
      <c r="B4" s="3" t="s">
        <v>170</v>
      </c>
      <c r="C4" s="3"/>
      <c r="D4" s="3"/>
      <c r="E4" s="3"/>
      <c r="F4" s="3"/>
      <c r="G4" s="3"/>
      <c r="H4" s="3"/>
      <c r="I4" s="23"/>
      <c r="J4" s="23"/>
    </row>
    <row r="5" spans="1:11" ht="18.75" customHeight="1" x14ac:dyDescent="0.15">
      <c r="A5" s="1"/>
      <c r="B5" s="283" t="s">
        <v>171</v>
      </c>
      <c r="C5" s="284"/>
      <c r="D5" s="284"/>
      <c r="E5" s="284"/>
      <c r="F5" s="284"/>
      <c r="G5" s="284"/>
      <c r="H5" s="284"/>
      <c r="I5" s="284"/>
      <c r="J5" s="285"/>
      <c r="K5" s="20" t="str">
        <f>IF(B5="","入力してください","")</f>
        <v/>
      </c>
    </row>
    <row r="6" spans="1:11" ht="7.5" customHeight="1" x14ac:dyDescent="0.15">
      <c r="B6" s="93"/>
      <c r="C6" s="93"/>
      <c r="D6" s="93"/>
      <c r="E6" s="93"/>
      <c r="F6" s="93"/>
      <c r="G6" s="93"/>
      <c r="H6" s="93"/>
      <c r="I6" s="93"/>
      <c r="J6" s="93"/>
    </row>
    <row r="7" spans="1:11" s="3" customFormat="1" ht="18.75" customHeight="1" x14ac:dyDescent="0.15">
      <c r="A7" s="1" t="s">
        <v>5</v>
      </c>
      <c r="B7" s="94" t="s">
        <v>172</v>
      </c>
      <c r="C7" s="94"/>
      <c r="D7" s="94"/>
      <c r="E7" s="94"/>
      <c r="F7" s="94"/>
      <c r="G7" s="94"/>
      <c r="H7" s="94"/>
      <c r="I7" s="94"/>
      <c r="J7" s="94"/>
      <c r="K7" s="20"/>
    </row>
    <row r="8" spans="1:11" s="3" customFormat="1" ht="18.75" customHeight="1" x14ac:dyDescent="0.15">
      <c r="A8" s="72"/>
      <c r="B8" s="286" t="s">
        <v>173</v>
      </c>
      <c r="C8" s="287"/>
      <c r="D8" s="287"/>
      <c r="E8" s="287"/>
      <c r="F8" s="287"/>
      <c r="G8" s="287"/>
      <c r="H8" s="287"/>
      <c r="I8" s="288"/>
      <c r="J8" s="289"/>
      <c r="K8" s="20" t="str">
        <f>IF(B8="","入力してください","")</f>
        <v/>
      </c>
    </row>
    <row r="9" spans="1:11" s="3" customFormat="1" ht="18.75" customHeight="1" x14ac:dyDescent="0.15">
      <c r="A9" s="72"/>
      <c r="B9" s="277"/>
      <c r="C9" s="278"/>
      <c r="D9" s="278"/>
      <c r="E9" s="278"/>
      <c r="F9" s="278"/>
      <c r="G9" s="278"/>
      <c r="H9" s="278"/>
      <c r="I9" s="278"/>
      <c r="J9" s="279"/>
      <c r="K9" s="20"/>
    </row>
    <row r="10" spans="1:11" s="3" customFormat="1" ht="18.75" customHeight="1" x14ac:dyDescent="0.15">
      <c r="A10" s="72"/>
      <c r="B10" s="277"/>
      <c r="C10" s="278"/>
      <c r="D10" s="278"/>
      <c r="E10" s="278"/>
      <c r="F10" s="278"/>
      <c r="G10" s="278"/>
      <c r="H10" s="278"/>
      <c r="I10" s="278"/>
      <c r="J10" s="279"/>
      <c r="K10" s="20"/>
    </row>
    <row r="11" spans="1:11" s="3" customFormat="1" ht="18.75" customHeight="1" x14ac:dyDescent="0.15">
      <c r="A11" s="72"/>
      <c r="B11" s="277"/>
      <c r="C11" s="278"/>
      <c r="D11" s="278"/>
      <c r="E11" s="278"/>
      <c r="F11" s="278"/>
      <c r="G11" s="278"/>
      <c r="H11" s="278"/>
      <c r="I11" s="278"/>
      <c r="J11" s="279"/>
      <c r="K11" s="20"/>
    </row>
    <row r="12" spans="1:11" s="3" customFormat="1" ht="18.75" customHeight="1" x14ac:dyDescent="0.15">
      <c r="A12" s="72"/>
      <c r="B12" s="280"/>
      <c r="C12" s="281"/>
      <c r="D12" s="281"/>
      <c r="E12" s="281"/>
      <c r="F12" s="281"/>
      <c r="G12" s="281"/>
      <c r="H12" s="281"/>
      <c r="I12" s="281"/>
      <c r="J12" s="282"/>
      <c r="K12" s="20"/>
    </row>
    <row r="13" spans="1:11" s="3" customFormat="1" ht="7.5" customHeight="1" x14ac:dyDescent="0.15">
      <c r="A13" s="72"/>
      <c r="B13" s="95"/>
      <c r="C13" s="95"/>
      <c r="D13" s="95"/>
      <c r="E13" s="95"/>
      <c r="F13" s="95"/>
      <c r="G13" s="95"/>
      <c r="H13" s="95"/>
      <c r="I13" s="95"/>
      <c r="J13" s="95"/>
      <c r="K13" s="20"/>
    </row>
    <row r="14" spans="1:11" s="3" customFormat="1" ht="18.75" customHeight="1" x14ac:dyDescent="0.15">
      <c r="A14" s="73" t="s">
        <v>174</v>
      </c>
      <c r="B14" s="96" t="s">
        <v>175</v>
      </c>
      <c r="C14" s="96"/>
      <c r="D14" s="96"/>
      <c r="E14" s="96"/>
      <c r="F14" s="96"/>
      <c r="G14" s="96"/>
      <c r="H14" s="96"/>
      <c r="I14" s="96"/>
      <c r="J14" s="96"/>
      <c r="K14" s="20"/>
    </row>
    <row r="15" spans="1:11" s="3" customFormat="1" ht="18.75" customHeight="1" x14ac:dyDescent="0.15">
      <c r="A15" s="72"/>
      <c r="B15" s="286" t="s">
        <v>176</v>
      </c>
      <c r="C15" s="287"/>
      <c r="D15" s="287"/>
      <c r="E15" s="287"/>
      <c r="F15" s="287"/>
      <c r="G15" s="287"/>
      <c r="H15" s="287"/>
      <c r="I15" s="288"/>
      <c r="J15" s="289"/>
      <c r="K15" s="20" t="str">
        <f>IF(B15="","入力してください","")</f>
        <v/>
      </c>
    </row>
    <row r="16" spans="1:11" s="3" customFormat="1" ht="18.75" customHeight="1" x14ac:dyDescent="0.15">
      <c r="A16" s="72"/>
      <c r="B16" s="277"/>
      <c r="C16" s="278"/>
      <c r="D16" s="278"/>
      <c r="E16" s="278"/>
      <c r="F16" s="278"/>
      <c r="G16" s="278"/>
      <c r="H16" s="278"/>
      <c r="I16" s="278"/>
      <c r="J16" s="279"/>
      <c r="K16" s="20"/>
    </row>
    <row r="17" spans="1:11" s="3" customFormat="1" ht="18.75" customHeight="1" x14ac:dyDescent="0.15">
      <c r="A17" s="72"/>
      <c r="B17" s="277"/>
      <c r="C17" s="278"/>
      <c r="D17" s="278"/>
      <c r="E17" s="278"/>
      <c r="F17" s="278"/>
      <c r="G17" s="278"/>
      <c r="H17" s="278"/>
      <c r="I17" s="278"/>
      <c r="J17" s="279"/>
      <c r="K17" s="20"/>
    </row>
    <row r="18" spans="1:11" s="3" customFormat="1" ht="18.75" customHeight="1" x14ac:dyDescent="0.15">
      <c r="A18" s="72"/>
      <c r="B18" s="277"/>
      <c r="C18" s="278"/>
      <c r="D18" s="278"/>
      <c r="E18" s="278"/>
      <c r="F18" s="278"/>
      <c r="G18" s="278"/>
      <c r="H18" s="278"/>
      <c r="I18" s="278"/>
      <c r="J18" s="279"/>
      <c r="K18" s="20"/>
    </row>
    <row r="19" spans="1:11" s="3" customFormat="1" ht="18.75" customHeight="1" x14ac:dyDescent="0.15">
      <c r="A19" s="72"/>
      <c r="B19" s="277"/>
      <c r="C19" s="278"/>
      <c r="D19" s="278"/>
      <c r="E19" s="278"/>
      <c r="F19" s="278"/>
      <c r="G19" s="278"/>
      <c r="H19" s="278"/>
      <c r="I19" s="278"/>
      <c r="J19" s="279"/>
      <c r="K19" s="20"/>
    </row>
    <row r="20" spans="1:11" s="3" customFormat="1" ht="18.75" customHeight="1" x14ac:dyDescent="0.15">
      <c r="A20" s="72"/>
      <c r="B20" s="277"/>
      <c r="C20" s="278"/>
      <c r="D20" s="278"/>
      <c r="E20" s="278"/>
      <c r="F20" s="278"/>
      <c r="G20" s="278"/>
      <c r="H20" s="278"/>
      <c r="I20" s="278"/>
      <c r="J20" s="279"/>
      <c r="K20" s="20"/>
    </row>
    <row r="21" spans="1:11" s="3" customFormat="1" ht="18.75" customHeight="1" x14ac:dyDescent="0.15">
      <c r="A21" s="72"/>
      <c r="B21" s="277"/>
      <c r="C21" s="278"/>
      <c r="D21" s="278"/>
      <c r="E21" s="278"/>
      <c r="F21" s="278"/>
      <c r="G21" s="278"/>
      <c r="H21" s="278"/>
      <c r="I21" s="278"/>
      <c r="J21" s="279"/>
      <c r="K21" s="20"/>
    </row>
    <row r="22" spans="1:11" s="3" customFormat="1" ht="18.75" customHeight="1" x14ac:dyDescent="0.15">
      <c r="A22" s="72"/>
      <c r="B22" s="277"/>
      <c r="C22" s="278"/>
      <c r="D22" s="278"/>
      <c r="E22" s="278"/>
      <c r="F22" s="278"/>
      <c r="G22" s="278"/>
      <c r="H22" s="278"/>
      <c r="I22" s="278"/>
      <c r="J22" s="279"/>
      <c r="K22" s="20"/>
    </row>
    <row r="23" spans="1:11" s="3" customFormat="1" ht="18.75" customHeight="1" x14ac:dyDescent="0.15">
      <c r="A23" s="72"/>
      <c r="B23" s="277"/>
      <c r="C23" s="278"/>
      <c r="D23" s="278"/>
      <c r="E23" s="278"/>
      <c r="F23" s="278"/>
      <c r="G23" s="278"/>
      <c r="H23" s="278"/>
      <c r="I23" s="278"/>
      <c r="J23" s="279"/>
      <c r="K23" s="20"/>
    </row>
    <row r="24" spans="1:11" s="3" customFormat="1" ht="18.75" customHeight="1" x14ac:dyDescent="0.15">
      <c r="A24" s="72"/>
      <c r="B24" s="277"/>
      <c r="C24" s="278"/>
      <c r="D24" s="278"/>
      <c r="E24" s="278"/>
      <c r="F24" s="278"/>
      <c r="G24" s="278"/>
      <c r="H24" s="278"/>
      <c r="I24" s="278"/>
      <c r="J24" s="279"/>
      <c r="K24" s="20"/>
    </row>
    <row r="25" spans="1:11" s="3" customFormat="1" ht="18.75" customHeight="1" x14ac:dyDescent="0.15">
      <c r="A25" s="72"/>
      <c r="B25" s="280"/>
      <c r="C25" s="281"/>
      <c r="D25" s="281"/>
      <c r="E25" s="281"/>
      <c r="F25" s="281"/>
      <c r="G25" s="281"/>
      <c r="H25" s="281"/>
      <c r="I25" s="281"/>
      <c r="J25" s="282"/>
      <c r="K25" s="20"/>
    </row>
    <row r="26" spans="1:11" ht="7.5" customHeight="1" x14ac:dyDescent="0.15">
      <c r="A26" s="24"/>
      <c r="B26" s="97"/>
      <c r="C26" s="97"/>
      <c r="D26" s="97"/>
      <c r="E26" s="97"/>
      <c r="F26" s="97"/>
      <c r="G26" s="97"/>
      <c r="H26" s="97"/>
      <c r="I26" s="97"/>
      <c r="J26" s="97"/>
    </row>
    <row r="27" spans="1:11" s="3" customFormat="1" ht="18.75" customHeight="1" x14ac:dyDescent="0.15">
      <c r="A27" s="1" t="s">
        <v>11</v>
      </c>
      <c r="B27" s="94" t="s">
        <v>177</v>
      </c>
      <c r="C27" s="94"/>
      <c r="D27" s="94"/>
      <c r="E27" s="94"/>
      <c r="F27" s="94"/>
      <c r="G27" s="94"/>
      <c r="H27" s="94"/>
      <c r="I27" s="94"/>
      <c r="J27" s="94"/>
      <c r="K27" s="20"/>
    </row>
    <row r="28" spans="1:11" s="18" customFormat="1" ht="18.75" customHeight="1" x14ac:dyDescent="0.15">
      <c r="B28" s="98" t="s">
        <v>178</v>
      </c>
      <c r="C28" s="99">
        <f>'様式３　履修者等数の実績'!R30</f>
        <v>0.62666666666666671</v>
      </c>
      <c r="D28" s="100"/>
      <c r="E28" s="100" t="s">
        <v>179</v>
      </c>
      <c r="F28" s="99">
        <v>0.8</v>
      </c>
      <c r="G28" s="100"/>
      <c r="H28" s="100" t="s">
        <v>180</v>
      </c>
      <c r="I28" s="101">
        <v>1</v>
      </c>
      <c r="J28" s="102"/>
      <c r="K28" s="20"/>
    </row>
    <row r="29" spans="1:11" s="18" customFormat="1" ht="18.75" customHeight="1" x14ac:dyDescent="0.15">
      <c r="B29" s="103" t="s">
        <v>181</v>
      </c>
      <c r="C29" s="104">
        <v>1</v>
      </c>
      <c r="D29" s="105"/>
      <c r="E29" s="105" t="s">
        <v>182</v>
      </c>
      <c r="F29" s="104">
        <v>1</v>
      </c>
      <c r="G29" s="105"/>
      <c r="H29" s="105" t="s">
        <v>183</v>
      </c>
      <c r="I29" s="106">
        <f>'様式３　履修者等数の実績'!D30</f>
        <v>600</v>
      </c>
      <c r="J29" s="107"/>
      <c r="K29" s="20"/>
    </row>
    <row r="30" spans="1:11" s="3" customFormat="1" ht="18.75" customHeight="1" x14ac:dyDescent="0.15">
      <c r="A30" s="1"/>
      <c r="B30" s="290" t="s">
        <v>184</v>
      </c>
      <c r="C30" s="291"/>
      <c r="D30" s="291"/>
      <c r="E30" s="291"/>
      <c r="F30" s="291"/>
      <c r="G30" s="291"/>
      <c r="H30" s="291"/>
      <c r="I30" s="291"/>
      <c r="J30" s="292"/>
      <c r="K30" s="20"/>
    </row>
    <row r="31" spans="1:11" s="3" customFormat="1" ht="18.75" customHeight="1" x14ac:dyDescent="0.15">
      <c r="A31" s="1"/>
      <c r="B31" s="274" t="s">
        <v>185</v>
      </c>
      <c r="C31" s="275"/>
      <c r="D31" s="275"/>
      <c r="E31" s="275"/>
      <c r="F31" s="275"/>
      <c r="G31" s="275"/>
      <c r="H31" s="275"/>
      <c r="I31" s="275"/>
      <c r="J31" s="276"/>
      <c r="K31" s="20" t="str">
        <f>IF(B31="","入力してください","")</f>
        <v/>
      </c>
    </row>
    <row r="32" spans="1:11" s="3" customFormat="1" ht="18.75" customHeight="1" x14ac:dyDescent="0.15">
      <c r="A32" s="1"/>
      <c r="B32" s="277"/>
      <c r="C32" s="278"/>
      <c r="D32" s="278"/>
      <c r="E32" s="278"/>
      <c r="F32" s="278"/>
      <c r="G32" s="278"/>
      <c r="H32" s="278"/>
      <c r="I32" s="278"/>
      <c r="J32" s="279"/>
      <c r="K32" s="20"/>
    </row>
    <row r="33" spans="1:11" s="3" customFormat="1" ht="18.75" customHeight="1" x14ac:dyDescent="0.15">
      <c r="A33" s="1"/>
      <c r="B33" s="277"/>
      <c r="C33" s="278"/>
      <c r="D33" s="278"/>
      <c r="E33" s="278"/>
      <c r="F33" s="278"/>
      <c r="G33" s="278"/>
      <c r="H33" s="278"/>
      <c r="I33" s="278"/>
      <c r="J33" s="279"/>
      <c r="K33" s="20"/>
    </row>
    <row r="34" spans="1:11" s="3" customFormat="1" ht="18.75" customHeight="1" x14ac:dyDescent="0.15">
      <c r="A34" s="1"/>
      <c r="B34" s="277"/>
      <c r="C34" s="278"/>
      <c r="D34" s="278"/>
      <c r="E34" s="278"/>
      <c r="F34" s="278"/>
      <c r="G34" s="278"/>
      <c r="H34" s="278"/>
      <c r="I34" s="278"/>
      <c r="J34" s="279"/>
      <c r="K34" s="20"/>
    </row>
    <row r="35" spans="1:11" s="3" customFormat="1" ht="18.75" customHeight="1" x14ac:dyDescent="0.15">
      <c r="A35" s="1"/>
      <c r="B35" s="277"/>
      <c r="C35" s="278"/>
      <c r="D35" s="278"/>
      <c r="E35" s="278"/>
      <c r="F35" s="278"/>
      <c r="G35" s="278"/>
      <c r="H35" s="278"/>
      <c r="I35" s="278"/>
      <c r="J35" s="279"/>
      <c r="K35" s="20"/>
    </row>
    <row r="36" spans="1:11" s="3" customFormat="1" ht="18.75" customHeight="1" x14ac:dyDescent="0.15">
      <c r="A36" s="1"/>
      <c r="B36" s="277"/>
      <c r="C36" s="278"/>
      <c r="D36" s="278"/>
      <c r="E36" s="278"/>
      <c r="F36" s="278"/>
      <c r="G36" s="278"/>
      <c r="H36" s="278"/>
      <c r="I36" s="278"/>
      <c r="J36" s="279"/>
      <c r="K36" s="20"/>
    </row>
    <row r="37" spans="1:11" s="3" customFormat="1" ht="18.75" customHeight="1" x14ac:dyDescent="0.15">
      <c r="A37" s="1"/>
      <c r="B37" s="277"/>
      <c r="C37" s="278"/>
      <c r="D37" s="278"/>
      <c r="E37" s="278"/>
      <c r="F37" s="278"/>
      <c r="G37" s="278"/>
      <c r="H37" s="278"/>
      <c r="I37" s="278"/>
      <c r="J37" s="279"/>
      <c r="K37" s="20"/>
    </row>
    <row r="38" spans="1:11" s="3" customFormat="1" ht="18.75" customHeight="1" x14ac:dyDescent="0.15">
      <c r="A38" s="1"/>
      <c r="B38" s="277"/>
      <c r="C38" s="278"/>
      <c r="D38" s="278"/>
      <c r="E38" s="278"/>
      <c r="F38" s="278"/>
      <c r="G38" s="278"/>
      <c r="H38" s="278"/>
      <c r="I38" s="278"/>
      <c r="J38" s="279"/>
      <c r="K38" s="20"/>
    </row>
    <row r="39" spans="1:11" s="3" customFormat="1" ht="18.75" customHeight="1" x14ac:dyDescent="0.15">
      <c r="A39" s="1"/>
      <c r="B39" s="277"/>
      <c r="C39" s="278"/>
      <c r="D39" s="278"/>
      <c r="E39" s="278"/>
      <c r="F39" s="278"/>
      <c r="G39" s="278"/>
      <c r="H39" s="278"/>
      <c r="I39" s="278"/>
      <c r="J39" s="279"/>
      <c r="K39" s="20"/>
    </row>
    <row r="40" spans="1:11" s="3" customFormat="1" ht="18.75" customHeight="1" x14ac:dyDescent="0.15">
      <c r="A40" s="1"/>
      <c r="B40" s="277"/>
      <c r="C40" s="278"/>
      <c r="D40" s="278"/>
      <c r="E40" s="278"/>
      <c r="F40" s="278"/>
      <c r="G40" s="278"/>
      <c r="H40" s="278"/>
      <c r="I40" s="278"/>
      <c r="J40" s="279"/>
      <c r="K40" s="20"/>
    </row>
    <row r="41" spans="1:11" s="3" customFormat="1" ht="18.75" customHeight="1" x14ac:dyDescent="0.15">
      <c r="A41" s="1"/>
      <c r="B41" s="277"/>
      <c r="C41" s="278"/>
      <c r="D41" s="278"/>
      <c r="E41" s="278"/>
      <c r="F41" s="278"/>
      <c r="G41" s="278"/>
      <c r="H41" s="278"/>
      <c r="I41" s="278"/>
      <c r="J41" s="279"/>
      <c r="K41" s="20"/>
    </row>
    <row r="42" spans="1:11" s="3" customFormat="1" ht="18.75" customHeight="1" x14ac:dyDescent="0.15">
      <c r="A42" s="1"/>
      <c r="B42" s="277"/>
      <c r="C42" s="278"/>
      <c r="D42" s="278"/>
      <c r="E42" s="278"/>
      <c r="F42" s="278"/>
      <c r="G42" s="278"/>
      <c r="H42" s="278"/>
      <c r="I42" s="278"/>
      <c r="J42" s="279"/>
      <c r="K42" s="20"/>
    </row>
    <row r="43" spans="1:11" ht="18.75" customHeight="1" x14ac:dyDescent="0.15">
      <c r="A43" s="24"/>
      <c r="B43" s="277"/>
      <c r="C43" s="278"/>
      <c r="D43" s="278"/>
      <c r="E43" s="278"/>
      <c r="F43" s="278"/>
      <c r="G43" s="278"/>
      <c r="H43" s="278"/>
      <c r="I43" s="278"/>
      <c r="J43" s="279"/>
    </row>
    <row r="44" spans="1:11" ht="18.75" customHeight="1" x14ac:dyDescent="0.15">
      <c r="A44" s="24"/>
      <c r="B44" s="280"/>
      <c r="C44" s="281"/>
      <c r="D44" s="281"/>
      <c r="E44" s="281"/>
      <c r="F44" s="281"/>
      <c r="G44" s="281"/>
      <c r="H44" s="281"/>
      <c r="I44" s="281"/>
      <c r="J44" s="282"/>
    </row>
    <row r="45" spans="1:11" s="3" customFormat="1" ht="18.75" customHeight="1" x14ac:dyDescent="0.15">
      <c r="A45" s="74" t="s">
        <v>14</v>
      </c>
      <c r="B45" s="94" t="s">
        <v>186</v>
      </c>
      <c r="C45" s="94"/>
      <c r="D45" s="94"/>
      <c r="E45" s="94"/>
      <c r="F45" s="94"/>
      <c r="G45" s="94"/>
      <c r="H45" s="94"/>
      <c r="I45" s="108"/>
      <c r="J45" s="108"/>
      <c r="K45" s="20"/>
    </row>
    <row r="46" spans="1:11" ht="18.75" customHeight="1" x14ac:dyDescent="0.15">
      <c r="A46" s="24"/>
      <c r="B46" s="293" t="s">
        <v>187</v>
      </c>
      <c r="C46" s="294"/>
      <c r="D46" s="294"/>
      <c r="E46" s="294"/>
      <c r="F46" s="294"/>
      <c r="G46" s="294"/>
      <c r="H46" s="294"/>
      <c r="I46" s="287"/>
      <c r="J46" s="295"/>
      <c r="K46" s="20" t="str">
        <f>IF(B46="","入力してください","")</f>
        <v/>
      </c>
    </row>
    <row r="47" spans="1:11" ht="18.75" customHeight="1" x14ac:dyDescent="0.15">
      <c r="A47" s="24"/>
      <c r="B47" s="296"/>
      <c r="C47" s="297"/>
      <c r="D47" s="297"/>
      <c r="E47" s="297"/>
      <c r="F47" s="297"/>
      <c r="G47" s="297"/>
      <c r="H47" s="297"/>
      <c r="I47" s="297"/>
      <c r="J47" s="298"/>
    </row>
    <row r="48" spans="1:11" ht="18.75" customHeight="1" x14ac:dyDescent="0.15">
      <c r="A48" s="24"/>
      <c r="B48" s="296"/>
      <c r="C48" s="297"/>
      <c r="D48" s="297"/>
      <c r="E48" s="297"/>
      <c r="F48" s="297"/>
      <c r="G48" s="297"/>
      <c r="H48" s="297"/>
      <c r="I48" s="297"/>
      <c r="J48" s="298"/>
    </row>
    <row r="49" spans="1:10" ht="18.75" customHeight="1" x14ac:dyDescent="0.15">
      <c r="A49" s="24"/>
      <c r="B49" s="296"/>
      <c r="C49" s="297"/>
      <c r="D49" s="297"/>
      <c r="E49" s="297"/>
      <c r="F49" s="297"/>
      <c r="G49" s="297"/>
      <c r="H49" s="297"/>
      <c r="I49" s="297"/>
      <c r="J49" s="298"/>
    </row>
    <row r="50" spans="1:10" ht="18.75" customHeight="1" x14ac:dyDescent="0.15">
      <c r="A50" s="24"/>
      <c r="B50" s="296"/>
      <c r="C50" s="297"/>
      <c r="D50" s="297"/>
      <c r="E50" s="297"/>
      <c r="F50" s="297"/>
      <c r="G50" s="297"/>
      <c r="H50" s="297"/>
      <c r="I50" s="297"/>
      <c r="J50" s="298"/>
    </row>
    <row r="51" spans="1:10" ht="18.75" customHeight="1" x14ac:dyDescent="0.15">
      <c r="A51" s="24"/>
      <c r="B51" s="296"/>
      <c r="C51" s="297"/>
      <c r="D51" s="297"/>
      <c r="E51" s="297"/>
      <c r="F51" s="297"/>
      <c r="G51" s="297"/>
      <c r="H51" s="297"/>
      <c r="I51" s="297"/>
      <c r="J51" s="298"/>
    </row>
    <row r="52" spans="1:10" ht="18.75" customHeight="1" x14ac:dyDescent="0.15">
      <c r="A52" s="24"/>
      <c r="B52" s="296"/>
      <c r="C52" s="297"/>
      <c r="D52" s="297"/>
      <c r="E52" s="297"/>
      <c r="F52" s="297"/>
      <c r="G52" s="297"/>
      <c r="H52" s="297"/>
      <c r="I52" s="297"/>
      <c r="J52" s="298"/>
    </row>
    <row r="53" spans="1:10" ht="18.75" customHeight="1" x14ac:dyDescent="0.15">
      <c r="A53" s="24"/>
      <c r="B53" s="296"/>
      <c r="C53" s="297"/>
      <c r="D53" s="297"/>
      <c r="E53" s="297"/>
      <c r="F53" s="297"/>
      <c r="G53" s="297"/>
      <c r="H53" s="297"/>
      <c r="I53" s="297"/>
      <c r="J53" s="298"/>
    </row>
    <row r="54" spans="1:10" ht="18.75" customHeight="1" x14ac:dyDescent="0.15">
      <c r="A54" s="24"/>
      <c r="B54" s="296"/>
      <c r="C54" s="297"/>
      <c r="D54" s="297"/>
      <c r="E54" s="297"/>
      <c r="F54" s="297"/>
      <c r="G54" s="297"/>
      <c r="H54" s="297"/>
      <c r="I54" s="297"/>
      <c r="J54" s="298"/>
    </row>
    <row r="55" spans="1:10" ht="18.75" customHeight="1" x14ac:dyDescent="0.15">
      <c r="A55" s="24"/>
      <c r="B55" s="296"/>
      <c r="C55" s="297"/>
      <c r="D55" s="297"/>
      <c r="E55" s="297"/>
      <c r="F55" s="297"/>
      <c r="G55" s="297"/>
      <c r="H55" s="297"/>
      <c r="I55" s="297"/>
      <c r="J55" s="298"/>
    </row>
    <row r="56" spans="1:10" ht="18.75" customHeight="1" x14ac:dyDescent="0.15">
      <c r="A56" s="24"/>
      <c r="B56" s="296"/>
      <c r="C56" s="297"/>
      <c r="D56" s="297"/>
      <c r="E56" s="297"/>
      <c r="F56" s="297"/>
      <c r="G56" s="297"/>
      <c r="H56" s="297"/>
      <c r="I56" s="297"/>
      <c r="J56" s="298"/>
    </row>
    <row r="57" spans="1:10" ht="18.75" customHeight="1" x14ac:dyDescent="0.15">
      <c r="A57" s="24"/>
      <c r="B57" s="296"/>
      <c r="C57" s="297"/>
      <c r="D57" s="297"/>
      <c r="E57" s="297"/>
      <c r="F57" s="297"/>
      <c r="G57" s="297"/>
      <c r="H57" s="297"/>
      <c r="I57" s="297"/>
      <c r="J57" s="298"/>
    </row>
    <row r="58" spans="1:10" ht="18.75" customHeight="1" x14ac:dyDescent="0.15">
      <c r="A58" s="24"/>
      <c r="B58" s="296"/>
      <c r="C58" s="297"/>
      <c r="D58" s="297"/>
      <c r="E58" s="297"/>
      <c r="F58" s="297"/>
      <c r="G58" s="297"/>
      <c r="H58" s="297"/>
      <c r="I58" s="297"/>
      <c r="J58" s="298"/>
    </row>
    <row r="59" spans="1:10" ht="18.75" customHeight="1" x14ac:dyDescent="0.15">
      <c r="A59" s="24"/>
      <c r="B59" s="296"/>
      <c r="C59" s="297"/>
      <c r="D59" s="297"/>
      <c r="E59" s="297"/>
      <c r="F59" s="297"/>
      <c r="G59" s="297"/>
      <c r="H59" s="297"/>
      <c r="I59" s="297"/>
      <c r="J59" s="298"/>
    </row>
    <row r="60" spans="1:10" ht="18.75" customHeight="1" x14ac:dyDescent="0.15">
      <c r="A60" s="24"/>
      <c r="B60" s="296"/>
      <c r="C60" s="297"/>
      <c r="D60" s="297"/>
      <c r="E60" s="297"/>
      <c r="F60" s="297"/>
      <c r="G60" s="297"/>
      <c r="H60" s="297"/>
      <c r="I60" s="297"/>
      <c r="J60" s="298"/>
    </row>
    <row r="61" spans="1:10" ht="18.75" customHeight="1" x14ac:dyDescent="0.15">
      <c r="A61" s="24"/>
      <c r="B61" s="296"/>
      <c r="C61" s="297"/>
      <c r="D61" s="297"/>
      <c r="E61" s="297"/>
      <c r="F61" s="297"/>
      <c r="G61" s="297"/>
      <c r="H61" s="297"/>
      <c r="I61" s="297"/>
      <c r="J61" s="298"/>
    </row>
    <row r="62" spans="1:10" ht="18.75" customHeight="1" x14ac:dyDescent="0.15">
      <c r="A62" s="24"/>
      <c r="B62" s="296"/>
      <c r="C62" s="297"/>
      <c r="D62" s="297"/>
      <c r="E62" s="297"/>
      <c r="F62" s="297"/>
      <c r="G62" s="297"/>
      <c r="H62" s="297"/>
      <c r="I62" s="297"/>
      <c r="J62" s="298"/>
    </row>
    <row r="63" spans="1:10" ht="18.75" customHeight="1" x14ac:dyDescent="0.15">
      <c r="A63" s="24"/>
      <c r="B63" s="296"/>
      <c r="C63" s="297"/>
      <c r="D63" s="297"/>
      <c r="E63" s="297"/>
      <c r="F63" s="297"/>
      <c r="G63" s="297"/>
      <c r="H63" s="297"/>
      <c r="I63" s="297"/>
      <c r="J63" s="298"/>
    </row>
    <row r="64" spans="1:10" ht="18.75" customHeight="1" x14ac:dyDescent="0.15">
      <c r="A64" s="24"/>
      <c r="B64" s="296"/>
      <c r="C64" s="297"/>
      <c r="D64" s="297"/>
      <c r="E64" s="297"/>
      <c r="F64" s="297"/>
      <c r="G64" s="297"/>
      <c r="H64" s="297"/>
      <c r="I64" s="297"/>
      <c r="J64" s="298"/>
    </row>
    <row r="65" spans="1:11" ht="18.75" customHeight="1" x14ac:dyDescent="0.15">
      <c r="A65" s="24"/>
      <c r="B65" s="296"/>
      <c r="C65" s="297"/>
      <c r="D65" s="297"/>
      <c r="E65" s="297"/>
      <c r="F65" s="297"/>
      <c r="G65" s="297"/>
      <c r="H65" s="297"/>
      <c r="I65" s="297"/>
      <c r="J65" s="298"/>
    </row>
    <row r="66" spans="1:11" ht="18.75" customHeight="1" x14ac:dyDescent="0.15">
      <c r="A66" s="24"/>
      <c r="B66" s="299"/>
      <c r="C66" s="300"/>
      <c r="D66" s="300"/>
      <c r="E66" s="300"/>
      <c r="F66" s="300"/>
      <c r="G66" s="300"/>
      <c r="H66" s="300"/>
      <c r="I66" s="300"/>
      <c r="J66" s="301"/>
    </row>
    <row r="67" spans="1:11" ht="7.5" customHeight="1" x14ac:dyDescent="0.15">
      <c r="A67" s="24"/>
      <c r="B67" s="97"/>
      <c r="C67" s="97"/>
      <c r="D67" s="97"/>
      <c r="E67" s="97"/>
      <c r="F67" s="97"/>
      <c r="G67" s="97"/>
      <c r="H67" s="97"/>
      <c r="I67" s="97"/>
      <c r="J67" s="97"/>
    </row>
    <row r="68" spans="1:11" s="3" customFormat="1" ht="18.75" customHeight="1" x14ac:dyDescent="0.15">
      <c r="A68" s="1" t="s">
        <v>17</v>
      </c>
      <c r="B68" s="94" t="s">
        <v>188</v>
      </c>
      <c r="C68" s="94"/>
      <c r="D68" s="94"/>
      <c r="E68" s="94"/>
      <c r="F68" s="94"/>
      <c r="G68" s="94"/>
      <c r="H68" s="94"/>
      <c r="I68" s="94"/>
      <c r="J68" s="94"/>
      <c r="K68" s="20"/>
    </row>
    <row r="69" spans="1:11" s="3" customFormat="1" ht="18.75" customHeight="1" x14ac:dyDescent="0.15">
      <c r="A69" s="1"/>
      <c r="B69" s="293" t="s">
        <v>187</v>
      </c>
      <c r="C69" s="294"/>
      <c r="D69" s="294"/>
      <c r="E69" s="294"/>
      <c r="F69" s="294"/>
      <c r="G69" s="294"/>
      <c r="H69" s="294"/>
      <c r="I69" s="288"/>
      <c r="J69" s="289"/>
      <c r="K69" s="20" t="str">
        <f>IF(B69="","入力してください","")</f>
        <v/>
      </c>
    </row>
    <row r="70" spans="1:11" s="3" customFormat="1" ht="18.75" customHeight="1" x14ac:dyDescent="0.15">
      <c r="A70" s="1"/>
      <c r="B70" s="277"/>
      <c r="C70" s="278"/>
      <c r="D70" s="278"/>
      <c r="E70" s="278"/>
      <c r="F70" s="278"/>
      <c r="G70" s="278"/>
      <c r="H70" s="278"/>
      <c r="I70" s="278"/>
      <c r="J70" s="279"/>
      <c r="K70" s="20"/>
    </row>
    <row r="71" spans="1:11" s="3" customFormat="1" ht="18.75" customHeight="1" x14ac:dyDescent="0.15">
      <c r="A71" s="1"/>
      <c r="B71" s="277"/>
      <c r="C71" s="278"/>
      <c r="D71" s="278"/>
      <c r="E71" s="278"/>
      <c r="F71" s="278"/>
      <c r="G71" s="278"/>
      <c r="H71" s="278"/>
      <c r="I71" s="278"/>
      <c r="J71" s="279"/>
      <c r="K71" s="20"/>
    </row>
    <row r="72" spans="1:11" s="3" customFormat="1" ht="18.75" customHeight="1" x14ac:dyDescent="0.15">
      <c r="A72" s="1"/>
      <c r="B72" s="277"/>
      <c r="C72" s="278"/>
      <c r="D72" s="278"/>
      <c r="E72" s="278"/>
      <c r="F72" s="278"/>
      <c r="G72" s="278"/>
      <c r="H72" s="278"/>
      <c r="I72" s="278"/>
      <c r="J72" s="279"/>
      <c r="K72" s="20"/>
    </row>
    <row r="73" spans="1:11" s="3" customFormat="1" ht="18.75" customHeight="1" x14ac:dyDescent="0.15">
      <c r="A73" s="1"/>
      <c r="B73" s="277"/>
      <c r="C73" s="278"/>
      <c r="D73" s="278"/>
      <c r="E73" s="278"/>
      <c r="F73" s="278"/>
      <c r="G73" s="278"/>
      <c r="H73" s="278"/>
      <c r="I73" s="278"/>
      <c r="J73" s="279"/>
      <c r="K73" s="20"/>
    </row>
    <row r="74" spans="1:11" s="3" customFormat="1" ht="18.75" customHeight="1" x14ac:dyDescent="0.15">
      <c r="A74" s="1"/>
      <c r="B74" s="277"/>
      <c r="C74" s="278"/>
      <c r="D74" s="278"/>
      <c r="E74" s="278"/>
      <c r="F74" s="278"/>
      <c r="G74" s="278"/>
      <c r="H74" s="278"/>
      <c r="I74" s="278"/>
      <c r="J74" s="279"/>
      <c r="K74" s="20"/>
    </row>
    <row r="75" spans="1:11" s="3" customFormat="1" ht="18.75" customHeight="1" x14ac:dyDescent="0.15">
      <c r="A75" s="1"/>
      <c r="B75" s="277"/>
      <c r="C75" s="278"/>
      <c r="D75" s="278"/>
      <c r="E75" s="278"/>
      <c r="F75" s="278"/>
      <c r="G75" s="278"/>
      <c r="H75" s="278"/>
      <c r="I75" s="278"/>
      <c r="J75" s="279"/>
      <c r="K75" s="20"/>
    </row>
    <row r="76" spans="1:11" s="3" customFormat="1" ht="18.75" customHeight="1" x14ac:dyDescent="0.15">
      <c r="A76" s="1"/>
      <c r="B76" s="277"/>
      <c r="C76" s="278"/>
      <c r="D76" s="278"/>
      <c r="E76" s="278"/>
      <c r="F76" s="278"/>
      <c r="G76" s="278"/>
      <c r="H76" s="278"/>
      <c r="I76" s="278"/>
      <c r="J76" s="279"/>
      <c r="K76" s="20"/>
    </row>
    <row r="77" spans="1:11" s="3" customFormat="1" ht="18.75" customHeight="1" x14ac:dyDescent="0.15">
      <c r="A77" s="1"/>
      <c r="B77" s="277"/>
      <c r="C77" s="278"/>
      <c r="D77" s="278"/>
      <c r="E77" s="278"/>
      <c r="F77" s="278"/>
      <c r="G77" s="278"/>
      <c r="H77" s="278"/>
      <c r="I77" s="278"/>
      <c r="J77" s="279"/>
      <c r="K77" s="20"/>
    </row>
    <row r="78" spans="1:11" s="3" customFormat="1" ht="18.75" customHeight="1" x14ac:dyDescent="0.15">
      <c r="A78" s="1"/>
      <c r="B78" s="277"/>
      <c r="C78" s="278"/>
      <c r="D78" s="278"/>
      <c r="E78" s="278"/>
      <c r="F78" s="278"/>
      <c r="G78" s="278"/>
      <c r="H78" s="278"/>
      <c r="I78" s="278"/>
      <c r="J78" s="279"/>
      <c r="K78" s="20"/>
    </row>
    <row r="79" spans="1:11" s="3" customFormat="1" ht="18.75" customHeight="1" x14ac:dyDescent="0.15">
      <c r="A79" s="1"/>
      <c r="B79" s="277"/>
      <c r="C79" s="278"/>
      <c r="D79" s="278"/>
      <c r="E79" s="278"/>
      <c r="F79" s="278"/>
      <c r="G79" s="278"/>
      <c r="H79" s="278"/>
      <c r="I79" s="278"/>
      <c r="J79" s="279"/>
      <c r="K79" s="20"/>
    </row>
    <row r="80" spans="1:11" s="3" customFormat="1" ht="18.75" customHeight="1" x14ac:dyDescent="0.15">
      <c r="A80" s="1"/>
      <c r="B80" s="277"/>
      <c r="C80" s="278"/>
      <c r="D80" s="278"/>
      <c r="E80" s="278"/>
      <c r="F80" s="278"/>
      <c r="G80" s="278"/>
      <c r="H80" s="278"/>
      <c r="I80" s="278"/>
      <c r="J80" s="279"/>
      <c r="K80" s="20"/>
    </row>
    <row r="81" spans="1:11" s="3" customFormat="1" ht="18.75" customHeight="1" x14ac:dyDescent="0.15">
      <c r="A81" s="1"/>
      <c r="B81" s="277"/>
      <c r="C81" s="278"/>
      <c r="D81" s="278"/>
      <c r="E81" s="278"/>
      <c r="F81" s="278"/>
      <c r="G81" s="278"/>
      <c r="H81" s="278"/>
      <c r="I81" s="278"/>
      <c r="J81" s="279"/>
      <c r="K81" s="20"/>
    </row>
    <row r="82" spans="1:11" s="3" customFormat="1" ht="18.75" customHeight="1" x14ac:dyDescent="0.15">
      <c r="A82" s="1"/>
      <c r="B82" s="277"/>
      <c r="C82" s="278"/>
      <c r="D82" s="278"/>
      <c r="E82" s="278"/>
      <c r="F82" s="278"/>
      <c r="G82" s="278"/>
      <c r="H82" s="278"/>
      <c r="I82" s="278"/>
      <c r="J82" s="279"/>
      <c r="K82" s="20"/>
    </row>
    <row r="83" spans="1:11" s="3" customFormat="1" ht="18.75" customHeight="1" x14ac:dyDescent="0.15">
      <c r="A83" s="1"/>
      <c r="B83" s="277"/>
      <c r="C83" s="278"/>
      <c r="D83" s="278"/>
      <c r="E83" s="278"/>
      <c r="F83" s="278"/>
      <c r="G83" s="278"/>
      <c r="H83" s="278"/>
      <c r="I83" s="278"/>
      <c r="J83" s="279"/>
      <c r="K83" s="20"/>
    </row>
    <row r="84" spans="1:11" s="3" customFormat="1" ht="18.75" customHeight="1" x14ac:dyDescent="0.15">
      <c r="A84" s="1"/>
      <c r="B84" s="277"/>
      <c r="C84" s="278"/>
      <c r="D84" s="278"/>
      <c r="E84" s="278"/>
      <c r="F84" s="278"/>
      <c r="G84" s="278"/>
      <c r="H84" s="278"/>
      <c r="I84" s="278"/>
      <c r="J84" s="279"/>
      <c r="K84" s="20"/>
    </row>
    <row r="85" spans="1:11" ht="18.75" customHeight="1" x14ac:dyDescent="0.15">
      <c r="A85" s="24"/>
      <c r="B85" s="277"/>
      <c r="C85" s="278"/>
      <c r="D85" s="278"/>
      <c r="E85" s="278"/>
      <c r="F85" s="278"/>
      <c r="G85" s="278"/>
      <c r="H85" s="278"/>
      <c r="I85" s="278"/>
      <c r="J85" s="279"/>
    </row>
    <row r="86" spans="1:11" ht="18.75" customHeight="1" x14ac:dyDescent="0.15">
      <c r="A86" s="24"/>
      <c r="B86" s="280"/>
      <c r="C86" s="281"/>
      <c r="D86" s="281"/>
      <c r="E86" s="281"/>
      <c r="F86" s="281"/>
      <c r="G86" s="281"/>
      <c r="H86" s="281"/>
      <c r="I86" s="281"/>
      <c r="J86" s="282"/>
    </row>
    <row r="87" spans="1:11" ht="7.5" customHeight="1" x14ac:dyDescent="0.15">
      <c r="A87" s="24"/>
      <c r="B87" s="97"/>
      <c r="C87" s="97"/>
      <c r="D87" s="97"/>
      <c r="E87" s="97"/>
      <c r="F87" s="97"/>
      <c r="G87" s="97"/>
      <c r="H87" s="97"/>
      <c r="I87" s="97"/>
      <c r="J87" s="97"/>
    </row>
    <row r="88" spans="1:11" s="3" customFormat="1" ht="18.75" customHeight="1" x14ac:dyDescent="0.15">
      <c r="A88" s="1" t="s">
        <v>189</v>
      </c>
      <c r="B88" s="94" t="s">
        <v>190</v>
      </c>
      <c r="C88" s="94"/>
      <c r="D88" s="94"/>
      <c r="E88" s="94"/>
      <c r="F88" s="94"/>
      <c r="G88" s="94"/>
      <c r="H88" s="94"/>
      <c r="I88" s="94"/>
      <c r="J88" s="94"/>
      <c r="K88" s="20"/>
    </row>
    <row r="89" spans="1:11" s="3" customFormat="1" ht="18.75" customHeight="1" x14ac:dyDescent="0.15">
      <c r="A89" s="1"/>
      <c r="B89" s="293" t="s">
        <v>187</v>
      </c>
      <c r="C89" s="294"/>
      <c r="D89" s="294"/>
      <c r="E89" s="294"/>
      <c r="F89" s="294"/>
      <c r="G89" s="294"/>
      <c r="H89" s="294"/>
      <c r="I89" s="288"/>
      <c r="J89" s="289"/>
      <c r="K89" s="20"/>
    </row>
    <row r="90" spans="1:11" s="3" customFormat="1" ht="18.75" customHeight="1" x14ac:dyDescent="0.15">
      <c r="A90" s="1"/>
      <c r="B90" s="277"/>
      <c r="C90" s="278"/>
      <c r="D90" s="278"/>
      <c r="E90" s="278"/>
      <c r="F90" s="278"/>
      <c r="G90" s="278"/>
      <c r="H90" s="278"/>
      <c r="I90" s="278"/>
      <c r="J90" s="279"/>
      <c r="K90" s="20"/>
    </row>
    <row r="91" spans="1:11" s="3" customFormat="1" ht="18.75" customHeight="1" x14ac:dyDescent="0.15">
      <c r="A91" s="1"/>
      <c r="B91" s="277"/>
      <c r="C91" s="278"/>
      <c r="D91" s="278"/>
      <c r="E91" s="278"/>
      <c r="F91" s="278"/>
      <c r="G91" s="278"/>
      <c r="H91" s="278"/>
      <c r="I91" s="278"/>
      <c r="J91" s="279"/>
      <c r="K91" s="20" t="str">
        <f>IF(B89="","入力してください","")</f>
        <v/>
      </c>
    </row>
    <row r="92" spans="1:11" s="3" customFormat="1" ht="18.75" customHeight="1" x14ac:dyDescent="0.15">
      <c r="A92" s="1"/>
      <c r="B92" s="277"/>
      <c r="C92" s="278"/>
      <c r="D92" s="278"/>
      <c r="E92" s="278"/>
      <c r="F92" s="278"/>
      <c r="G92" s="278"/>
      <c r="H92" s="278"/>
      <c r="I92" s="278"/>
      <c r="J92" s="279"/>
      <c r="K92" s="20"/>
    </row>
    <row r="93" spans="1:11" s="3" customFormat="1" ht="18.75" customHeight="1" x14ac:dyDescent="0.15">
      <c r="A93" s="1"/>
      <c r="B93" s="277"/>
      <c r="C93" s="278"/>
      <c r="D93" s="278"/>
      <c r="E93" s="278"/>
      <c r="F93" s="278"/>
      <c r="G93" s="278"/>
      <c r="H93" s="278"/>
      <c r="I93" s="278"/>
      <c r="J93" s="279"/>
      <c r="K93" s="20"/>
    </row>
    <row r="94" spans="1:11" s="3" customFormat="1" ht="18.75" customHeight="1" x14ac:dyDescent="0.15">
      <c r="A94" s="1"/>
      <c r="B94" s="277"/>
      <c r="C94" s="278"/>
      <c r="D94" s="278"/>
      <c r="E94" s="278"/>
      <c r="F94" s="278"/>
      <c r="G94" s="278"/>
      <c r="H94" s="278"/>
      <c r="I94" s="278"/>
      <c r="J94" s="279"/>
      <c r="K94" s="20"/>
    </row>
    <row r="95" spans="1:11" s="3" customFormat="1" ht="18.75" customHeight="1" x14ac:dyDescent="0.15">
      <c r="A95" s="1"/>
      <c r="B95" s="277"/>
      <c r="C95" s="278"/>
      <c r="D95" s="278"/>
      <c r="E95" s="278"/>
      <c r="F95" s="278"/>
      <c r="G95" s="278"/>
      <c r="H95" s="278"/>
      <c r="I95" s="278"/>
      <c r="J95" s="279"/>
      <c r="K95" s="20"/>
    </row>
    <row r="96" spans="1:11" s="3" customFormat="1" ht="18.75" customHeight="1" x14ac:dyDescent="0.15">
      <c r="A96" s="1"/>
      <c r="B96" s="277"/>
      <c r="C96" s="278"/>
      <c r="D96" s="278"/>
      <c r="E96" s="278"/>
      <c r="F96" s="278"/>
      <c r="G96" s="278"/>
      <c r="H96" s="278"/>
      <c r="I96" s="278"/>
      <c r="J96" s="279"/>
      <c r="K96" s="20"/>
    </row>
    <row r="97" spans="1:11" s="3" customFormat="1" ht="18.75" customHeight="1" x14ac:dyDescent="0.15">
      <c r="A97" s="1"/>
      <c r="B97" s="277"/>
      <c r="C97" s="278"/>
      <c r="D97" s="278"/>
      <c r="E97" s="278"/>
      <c r="F97" s="278"/>
      <c r="G97" s="278"/>
      <c r="H97" s="278"/>
      <c r="I97" s="278"/>
      <c r="J97" s="279"/>
      <c r="K97" s="20"/>
    </row>
    <row r="98" spans="1:11" s="3" customFormat="1" ht="18.75" customHeight="1" x14ac:dyDescent="0.15">
      <c r="A98" s="1"/>
      <c r="B98" s="277"/>
      <c r="C98" s="278"/>
      <c r="D98" s="278"/>
      <c r="E98" s="278"/>
      <c r="F98" s="278"/>
      <c r="G98" s="278"/>
      <c r="H98" s="278"/>
      <c r="I98" s="278"/>
      <c r="J98" s="279"/>
      <c r="K98" s="20"/>
    </row>
    <row r="99" spans="1:11" s="3" customFormat="1" ht="18.75" customHeight="1" x14ac:dyDescent="0.15">
      <c r="A99" s="1"/>
      <c r="B99" s="277"/>
      <c r="C99" s="278"/>
      <c r="D99" s="278"/>
      <c r="E99" s="278"/>
      <c r="F99" s="278"/>
      <c r="G99" s="278"/>
      <c r="H99" s="278"/>
      <c r="I99" s="278"/>
      <c r="J99" s="279"/>
      <c r="K99" s="20"/>
    </row>
    <row r="100" spans="1:11" s="3" customFormat="1" ht="18.75" customHeight="1" x14ac:dyDescent="0.15">
      <c r="A100" s="1"/>
      <c r="B100" s="277"/>
      <c r="C100" s="278"/>
      <c r="D100" s="278"/>
      <c r="E100" s="278"/>
      <c r="F100" s="278"/>
      <c r="G100" s="278"/>
      <c r="H100" s="278"/>
      <c r="I100" s="278"/>
      <c r="J100" s="279"/>
      <c r="K100" s="20"/>
    </row>
    <row r="101" spans="1:11" s="3" customFormat="1" ht="18.75" customHeight="1" x14ac:dyDescent="0.15">
      <c r="A101" s="1"/>
      <c r="B101" s="277"/>
      <c r="C101" s="278"/>
      <c r="D101" s="278"/>
      <c r="E101" s="278"/>
      <c r="F101" s="278"/>
      <c r="G101" s="278"/>
      <c r="H101" s="278"/>
      <c r="I101" s="278"/>
      <c r="J101" s="279"/>
      <c r="K101" s="20"/>
    </row>
    <row r="102" spans="1:11" s="3" customFormat="1" ht="18.75" customHeight="1" x14ac:dyDescent="0.15">
      <c r="A102" s="1"/>
      <c r="B102" s="277"/>
      <c r="C102" s="278"/>
      <c r="D102" s="278"/>
      <c r="E102" s="278"/>
      <c r="F102" s="278"/>
      <c r="G102" s="278"/>
      <c r="H102" s="278"/>
      <c r="I102" s="278"/>
      <c r="J102" s="279"/>
      <c r="K102" s="20"/>
    </row>
    <row r="103" spans="1:11" s="3" customFormat="1" ht="18.75" customHeight="1" x14ac:dyDescent="0.15">
      <c r="A103" s="1"/>
      <c r="B103" s="277"/>
      <c r="C103" s="278"/>
      <c r="D103" s="278"/>
      <c r="E103" s="278"/>
      <c r="F103" s="278"/>
      <c r="G103" s="278"/>
      <c r="H103" s="278"/>
      <c r="I103" s="278"/>
      <c r="J103" s="279"/>
      <c r="K103" s="20"/>
    </row>
    <row r="104" spans="1:11" s="3" customFormat="1" ht="18.75" customHeight="1" x14ac:dyDescent="0.15">
      <c r="A104" s="1"/>
      <c r="B104" s="277"/>
      <c r="C104" s="278"/>
      <c r="D104" s="278"/>
      <c r="E104" s="278"/>
      <c r="F104" s="278"/>
      <c r="G104" s="278"/>
      <c r="H104" s="278"/>
      <c r="I104" s="278"/>
      <c r="J104" s="279"/>
      <c r="K104" s="20"/>
    </row>
    <row r="105" spans="1:11" s="3" customFormat="1" ht="18.75" customHeight="1" x14ac:dyDescent="0.15">
      <c r="A105" s="1"/>
      <c r="B105" s="277"/>
      <c r="C105" s="278"/>
      <c r="D105" s="278"/>
      <c r="E105" s="278"/>
      <c r="F105" s="278"/>
      <c r="G105" s="278"/>
      <c r="H105" s="278"/>
      <c r="I105" s="278"/>
      <c r="J105" s="279"/>
      <c r="K105" s="20"/>
    </row>
    <row r="106" spans="1:11" s="3" customFormat="1" ht="18.75" customHeight="1" x14ac:dyDescent="0.15">
      <c r="A106" s="1"/>
      <c r="B106" s="277"/>
      <c r="C106" s="278"/>
      <c r="D106" s="278"/>
      <c r="E106" s="278"/>
      <c r="F106" s="278"/>
      <c r="G106" s="278"/>
      <c r="H106" s="278"/>
      <c r="I106" s="278"/>
      <c r="J106" s="279"/>
      <c r="K106" s="20"/>
    </row>
    <row r="107" spans="1:11" ht="18.75" customHeight="1" x14ac:dyDescent="0.15">
      <c r="A107" s="24"/>
      <c r="B107" s="277"/>
      <c r="C107" s="278"/>
      <c r="D107" s="278"/>
      <c r="E107" s="278"/>
      <c r="F107" s="278"/>
      <c r="G107" s="278"/>
      <c r="H107" s="278"/>
      <c r="I107" s="278"/>
      <c r="J107" s="279"/>
    </row>
    <row r="108" spans="1:11" ht="18.75" customHeight="1" x14ac:dyDescent="0.15">
      <c r="A108" s="24"/>
      <c r="B108" s="280"/>
      <c r="C108" s="281"/>
      <c r="D108" s="281"/>
      <c r="E108" s="281"/>
      <c r="F108" s="281"/>
      <c r="G108" s="281"/>
      <c r="H108" s="281"/>
      <c r="I108" s="281"/>
      <c r="J108" s="282"/>
    </row>
    <row r="109" spans="1:11" ht="7.5" customHeight="1" x14ac:dyDescent="0.15">
      <c r="A109" s="24"/>
      <c r="B109" s="97"/>
      <c r="C109" s="97"/>
      <c r="D109" s="97"/>
      <c r="E109" s="97"/>
      <c r="F109" s="97"/>
      <c r="G109" s="97"/>
      <c r="H109" s="97"/>
      <c r="I109" s="97"/>
      <c r="J109" s="97"/>
    </row>
    <row r="110" spans="1:11" s="3" customFormat="1" ht="18.75" customHeight="1" x14ac:dyDescent="0.15">
      <c r="A110" s="1" t="s">
        <v>23</v>
      </c>
      <c r="B110" s="302" t="s">
        <v>191</v>
      </c>
      <c r="C110" s="302"/>
      <c r="D110" s="302"/>
      <c r="E110" s="302"/>
      <c r="F110" s="302"/>
      <c r="G110" s="302"/>
      <c r="H110" s="302"/>
      <c r="I110" s="302"/>
      <c r="J110" s="302"/>
      <c r="K110" s="20"/>
    </row>
    <row r="111" spans="1:11" ht="18.75" customHeight="1" x14ac:dyDescent="0.15">
      <c r="A111" s="24"/>
      <c r="B111" s="293" t="s">
        <v>192</v>
      </c>
      <c r="C111" s="294"/>
      <c r="D111" s="294"/>
      <c r="E111" s="294"/>
      <c r="F111" s="294"/>
      <c r="G111" s="294"/>
      <c r="H111" s="294"/>
      <c r="I111" s="288"/>
      <c r="J111" s="289"/>
    </row>
    <row r="112" spans="1:11" ht="18.75" customHeight="1" x14ac:dyDescent="0.15">
      <c r="A112" s="24"/>
      <c r="B112" s="277"/>
      <c r="C112" s="278"/>
      <c r="D112" s="278"/>
      <c r="E112" s="278"/>
      <c r="F112" s="278"/>
      <c r="G112" s="278"/>
      <c r="H112" s="278"/>
      <c r="I112" s="278"/>
      <c r="J112" s="279"/>
    </row>
    <row r="113" spans="1:11" ht="18.75" customHeight="1" x14ac:dyDescent="0.15">
      <c r="A113" s="24"/>
      <c r="B113" s="277"/>
      <c r="C113" s="278"/>
      <c r="D113" s="278"/>
      <c r="E113" s="278"/>
      <c r="F113" s="278"/>
      <c r="G113" s="278"/>
      <c r="H113" s="278"/>
      <c r="I113" s="278"/>
      <c r="J113" s="279"/>
      <c r="K113" s="20" t="str">
        <f>IF(B111="","入力してください","")</f>
        <v/>
      </c>
    </row>
    <row r="114" spans="1:11" ht="18.75" customHeight="1" x14ac:dyDescent="0.15">
      <c r="A114" s="24"/>
      <c r="B114" s="277"/>
      <c r="C114" s="278"/>
      <c r="D114" s="278"/>
      <c r="E114" s="278"/>
      <c r="F114" s="278"/>
      <c r="G114" s="278"/>
      <c r="H114" s="278"/>
      <c r="I114" s="278"/>
      <c r="J114" s="279"/>
    </row>
    <row r="115" spans="1:11" ht="18.75" customHeight="1" x14ac:dyDescent="0.15">
      <c r="A115" s="24"/>
      <c r="B115" s="277"/>
      <c r="C115" s="278"/>
      <c r="D115" s="278"/>
      <c r="E115" s="278"/>
      <c r="F115" s="278"/>
      <c r="G115" s="278"/>
      <c r="H115" s="278"/>
      <c r="I115" s="278"/>
      <c r="J115" s="279"/>
    </row>
    <row r="116" spans="1:11" ht="18.75" customHeight="1" x14ac:dyDescent="0.15">
      <c r="A116" s="24"/>
      <c r="B116" s="277"/>
      <c r="C116" s="278"/>
      <c r="D116" s="278"/>
      <c r="E116" s="278"/>
      <c r="F116" s="278"/>
      <c r="G116" s="278"/>
      <c r="H116" s="278"/>
      <c r="I116" s="278"/>
      <c r="J116" s="279"/>
    </row>
    <row r="117" spans="1:11" ht="18.75" customHeight="1" x14ac:dyDescent="0.15">
      <c r="A117" s="24"/>
      <c r="B117" s="277"/>
      <c r="C117" s="278"/>
      <c r="D117" s="278"/>
      <c r="E117" s="278"/>
      <c r="F117" s="278"/>
      <c r="G117" s="278"/>
      <c r="H117" s="278"/>
      <c r="I117" s="278"/>
      <c r="J117" s="279"/>
    </row>
    <row r="118" spans="1:11" ht="18.75" customHeight="1" x14ac:dyDescent="0.15">
      <c r="A118" s="24"/>
      <c r="B118" s="277"/>
      <c r="C118" s="278"/>
      <c r="D118" s="278"/>
      <c r="E118" s="278"/>
      <c r="F118" s="278"/>
      <c r="G118" s="278"/>
      <c r="H118" s="278"/>
      <c r="I118" s="278"/>
      <c r="J118" s="279"/>
    </row>
    <row r="119" spans="1:11" ht="18.75" customHeight="1" x14ac:dyDescent="0.15">
      <c r="A119" s="24"/>
      <c r="B119" s="277"/>
      <c r="C119" s="278"/>
      <c r="D119" s="278"/>
      <c r="E119" s="278"/>
      <c r="F119" s="278"/>
      <c r="G119" s="278"/>
      <c r="H119" s="278"/>
      <c r="I119" s="278"/>
      <c r="J119" s="279"/>
    </row>
    <row r="120" spans="1:11" ht="18.75" customHeight="1" x14ac:dyDescent="0.15">
      <c r="A120" s="24"/>
      <c r="B120" s="277"/>
      <c r="C120" s="278"/>
      <c r="D120" s="278"/>
      <c r="E120" s="278"/>
      <c r="F120" s="278"/>
      <c r="G120" s="278"/>
      <c r="H120" s="278"/>
      <c r="I120" s="278"/>
      <c r="J120" s="279"/>
    </row>
    <row r="121" spans="1:11" ht="18.75" customHeight="1" x14ac:dyDescent="0.15">
      <c r="A121" s="24"/>
      <c r="B121" s="277"/>
      <c r="C121" s="278"/>
      <c r="D121" s="278"/>
      <c r="E121" s="278"/>
      <c r="F121" s="278"/>
      <c r="G121" s="278"/>
      <c r="H121" s="278"/>
      <c r="I121" s="278"/>
      <c r="J121" s="279"/>
    </row>
    <row r="122" spans="1:11" ht="18.75" customHeight="1" x14ac:dyDescent="0.15">
      <c r="A122" s="24"/>
      <c r="B122" s="277"/>
      <c r="C122" s="278"/>
      <c r="D122" s="278"/>
      <c r="E122" s="278"/>
      <c r="F122" s="278"/>
      <c r="G122" s="278"/>
      <c r="H122" s="278"/>
      <c r="I122" s="278"/>
      <c r="J122" s="279"/>
    </row>
    <row r="123" spans="1:11" ht="18.75" customHeight="1" x14ac:dyDescent="0.15">
      <c r="A123" s="24"/>
      <c r="B123" s="277"/>
      <c r="C123" s="278"/>
      <c r="D123" s="278"/>
      <c r="E123" s="278"/>
      <c r="F123" s="278"/>
      <c r="G123" s="278"/>
      <c r="H123" s="278"/>
      <c r="I123" s="278"/>
      <c r="J123" s="279"/>
    </row>
    <row r="124" spans="1:11" ht="18.75" customHeight="1" x14ac:dyDescent="0.15">
      <c r="A124" s="24"/>
      <c r="B124" s="277"/>
      <c r="C124" s="278"/>
      <c r="D124" s="278"/>
      <c r="E124" s="278"/>
      <c r="F124" s="278"/>
      <c r="G124" s="278"/>
      <c r="H124" s="278"/>
      <c r="I124" s="278"/>
      <c r="J124" s="279"/>
    </row>
    <row r="125" spans="1:11" ht="18.75" customHeight="1" x14ac:dyDescent="0.15">
      <c r="A125" s="24"/>
      <c r="B125" s="277"/>
      <c r="C125" s="278"/>
      <c r="D125" s="278"/>
      <c r="E125" s="278"/>
      <c r="F125" s="278"/>
      <c r="G125" s="278"/>
      <c r="H125" s="278"/>
      <c r="I125" s="278"/>
      <c r="J125" s="279"/>
    </row>
    <row r="126" spans="1:11" ht="18.75" customHeight="1" x14ac:dyDescent="0.15">
      <c r="A126" s="24"/>
      <c r="B126" s="277"/>
      <c r="C126" s="278"/>
      <c r="D126" s="278"/>
      <c r="E126" s="278"/>
      <c r="F126" s="278"/>
      <c r="G126" s="278"/>
      <c r="H126" s="278"/>
      <c r="I126" s="278"/>
      <c r="J126" s="279"/>
    </row>
    <row r="127" spans="1:11" ht="18.75" customHeight="1" x14ac:dyDescent="0.15">
      <c r="A127" s="24"/>
      <c r="B127" s="277"/>
      <c r="C127" s="278"/>
      <c r="D127" s="278"/>
      <c r="E127" s="278"/>
      <c r="F127" s="278"/>
      <c r="G127" s="278"/>
      <c r="H127" s="278"/>
      <c r="I127" s="278"/>
      <c r="J127" s="279"/>
    </row>
    <row r="128" spans="1:11" ht="18.75" customHeight="1" x14ac:dyDescent="0.15">
      <c r="A128" s="24"/>
      <c r="B128" s="277"/>
      <c r="C128" s="278"/>
      <c r="D128" s="278"/>
      <c r="E128" s="278"/>
      <c r="F128" s="278"/>
      <c r="G128" s="278"/>
      <c r="H128" s="278"/>
      <c r="I128" s="278"/>
      <c r="J128" s="279"/>
    </row>
    <row r="129" spans="1:10" ht="18.75" customHeight="1" x14ac:dyDescent="0.15">
      <c r="A129" s="24"/>
      <c r="B129" s="280"/>
      <c r="C129" s="281"/>
      <c r="D129" s="281"/>
      <c r="E129" s="281"/>
      <c r="F129" s="281"/>
      <c r="G129" s="281"/>
      <c r="H129" s="281"/>
      <c r="I129" s="281"/>
      <c r="J129" s="282"/>
    </row>
    <row r="130" spans="1:10" ht="7.5" customHeight="1" x14ac:dyDescent="0.15">
      <c r="A130" s="24"/>
      <c r="B130" s="75"/>
      <c r="C130" s="75"/>
      <c r="D130" s="75"/>
      <c r="E130" s="75"/>
      <c r="F130" s="75"/>
      <c r="G130" s="75"/>
      <c r="H130" s="75"/>
      <c r="I130" s="75"/>
      <c r="J130" s="75"/>
    </row>
    <row r="131" spans="1:10" ht="18.75" customHeight="1" x14ac:dyDescent="0.15">
      <c r="A131" s="24"/>
      <c r="B131" s="24"/>
      <c r="C131" s="24"/>
      <c r="D131" s="24"/>
      <c r="E131" s="24"/>
      <c r="F131" s="24"/>
      <c r="G131" s="24"/>
      <c r="H131" s="24"/>
      <c r="I131" s="24"/>
      <c r="J131" s="24"/>
    </row>
    <row r="132" spans="1:10" ht="18.75" customHeight="1" x14ac:dyDescent="0.15">
      <c r="A132" s="24"/>
      <c r="B132" s="24"/>
      <c r="C132" s="24"/>
      <c r="D132" s="24"/>
      <c r="E132" s="24"/>
      <c r="F132" s="24"/>
      <c r="G132" s="24"/>
      <c r="H132" s="24"/>
      <c r="I132" s="24"/>
      <c r="J132" s="24"/>
    </row>
    <row r="133" spans="1:10" ht="18.75" customHeight="1" x14ac:dyDescent="0.15">
      <c r="A133" s="24"/>
      <c r="B133" s="24"/>
      <c r="C133" s="24"/>
      <c r="D133" s="24"/>
      <c r="E133" s="24"/>
      <c r="F133" s="24"/>
      <c r="G133" s="24"/>
      <c r="H133" s="24"/>
      <c r="I133" s="24"/>
      <c r="J133" s="24"/>
    </row>
    <row r="134" spans="1:10" ht="18.75" customHeight="1" x14ac:dyDescent="0.15">
      <c r="A134" s="24"/>
      <c r="B134" s="24"/>
      <c r="C134" s="24"/>
      <c r="D134" s="24"/>
      <c r="E134" s="24"/>
      <c r="F134" s="24"/>
      <c r="G134" s="24"/>
      <c r="H134" s="24"/>
      <c r="I134" s="24"/>
      <c r="J134" s="24"/>
    </row>
    <row r="135" spans="1:10" ht="18.75" customHeight="1" x14ac:dyDescent="0.15">
      <c r="A135" s="24"/>
      <c r="B135" s="24"/>
      <c r="C135" s="24"/>
      <c r="D135" s="24"/>
      <c r="E135" s="24"/>
      <c r="F135" s="24"/>
      <c r="G135" s="24"/>
      <c r="H135" s="24"/>
      <c r="I135" s="24"/>
      <c r="J135" s="24"/>
    </row>
    <row r="136" spans="1:10" ht="18.75" customHeight="1" x14ac:dyDescent="0.15">
      <c r="A136" s="24"/>
      <c r="B136" s="24"/>
      <c r="C136" s="24"/>
      <c r="D136" s="24"/>
      <c r="E136" s="24"/>
      <c r="F136" s="24"/>
      <c r="G136" s="24"/>
      <c r="H136" s="24"/>
      <c r="I136" s="24"/>
      <c r="J136" s="24"/>
    </row>
    <row r="137" spans="1:10" ht="18.75" customHeight="1" x14ac:dyDescent="0.15">
      <c r="A137" s="24"/>
      <c r="B137" s="24"/>
      <c r="C137" s="24"/>
      <c r="D137" s="24"/>
      <c r="E137" s="24"/>
      <c r="F137" s="24"/>
      <c r="G137" s="24"/>
      <c r="H137" s="24"/>
      <c r="I137" s="24"/>
      <c r="J137" s="24"/>
    </row>
    <row r="138" spans="1:10" ht="18.75" customHeight="1" x14ac:dyDescent="0.15">
      <c r="A138" s="24"/>
      <c r="B138" s="24"/>
      <c r="C138" s="24"/>
      <c r="D138" s="24"/>
      <c r="E138" s="24"/>
      <c r="F138" s="24"/>
      <c r="G138" s="24"/>
      <c r="H138" s="24"/>
      <c r="I138" s="24"/>
      <c r="J138" s="24"/>
    </row>
    <row r="139" spans="1:10" ht="18.75" customHeight="1" x14ac:dyDescent="0.15">
      <c r="A139" s="24"/>
      <c r="B139" s="24"/>
      <c r="C139" s="24"/>
      <c r="D139" s="24"/>
      <c r="E139" s="24"/>
      <c r="F139" s="24"/>
      <c r="G139" s="24"/>
      <c r="H139" s="24"/>
      <c r="I139" s="24"/>
      <c r="J139" s="24"/>
    </row>
    <row r="140" spans="1:10" ht="18.75" customHeight="1" x14ac:dyDescent="0.15">
      <c r="A140" s="24"/>
      <c r="B140" s="24"/>
      <c r="C140" s="24"/>
      <c r="D140" s="24"/>
      <c r="E140" s="24"/>
      <c r="F140" s="24"/>
      <c r="G140" s="24"/>
      <c r="H140" s="24"/>
      <c r="I140" s="24"/>
      <c r="J140" s="24"/>
    </row>
    <row r="141" spans="1:10" ht="18.75" customHeight="1" x14ac:dyDescent="0.15">
      <c r="A141" s="24"/>
      <c r="B141" s="24"/>
      <c r="C141" s="24"/>
      <c r="D141" s="24"/>
      <c r="E141" s="24"/>
      <c r="F141" s="24"/>
      <c r="G141" s="24"/>
      <c r="H141" s="24"/>
      <c r="I141" s="24"/>
      <c r="J141" s="24"/>
    </row>
    <row r="142" spans="1:10" ht="18.75" customHeight="1" x14ac:dyDescent="0.15">
      <c r="A142" s="24"/>
      <c r="B142" s="24"/>
      <c r="C142" s="24"/>
      <c r="D142" s="24"/>
      <c r="E142" s="24"/>
      <c r="F142" s="24"/>
      <c r="G142" s="24"/>
      <c r="H142" s="24"/>
      <c r="I142" s="24"/>
      <c r="J142" s="24"/>
    </row>
    <row r="143" spans="1:10" ht="14.25" x14ac:dyDescent="0.15">
      <c r="A143" s="24"/>
      <c r="B143" s="24"/>
      <c r="C143" s="24"/>
      <c r="D143" s="24"/>
      <c r="E143" s="24"/>
      <c r="F143" s="24"/>
      <c r="G143" s="24"/>
      <c r="H143" s="24"/>
      <c r="I143" s="24"/>
      <c r="J143" s="24"/>
    </row>
    <row r="144" spans="1:10" ht="7.5" customHeight="1" x14ac:dyDescent="0.15">
      <c r="A144" s="76"/>
      <c r="B144" s="76"/>
      <c r="C144" s="76"/>
      <c r="D144" s="76"/>
      <c r="E144" s="76"/>
      <c r="F144" s="76"/>
      <c r="G144" s="76"/>
      <c r="H144" s="76"/>
      <c r="I144" s="76"/>
      <c r="J144" s="76"/>
    </row>
  </sheetData>
  <mergeCells count="11">
    <mergeCell ref="B46:J66"/>
    <mergeCell ref="B69:J86"/>
    <mergeCell ref="B89:J108"/>
    <mergeCell ref="B110:J110"/>
    <mergeCell ref="B111:J129"/>
    <mergeCell ref="B31:J44"/>
    <mergeCell ref="A2:J2"/>
    <mergeCell ref="B5:J5"/>
    <mergeCell ref="B8:J12"/>
    <mergeCell ref="B15:J25"/>
    <mergeCell ref="B30:J30"/>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4" max="9" man="1"/>
    <brk id="87" max="9"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dimension ref="A1:K26"/>
  <sheetViews>
    <sheetView showZeros="0" view="pageBreakPreview" zoomScaleNormal="100" zoomScaleSheetLayoutView="100" workbookViewId="0">
      <selection activeCell="E8" sqref="E8:J8"/>
    </sheetView>
  </sheetViews>
  <sheetFormatPr defaultColWidth="11.375" defaultRowHeight="22.5" customHeight="1" x14ac:dyDescent="0.15"/>
  <cols>
    <col min="1" max="3" width="2.75" style="1" customWidth="1"/>
    <col min="4" max="4" width="22.25" style="1" customWidth="1"/>
    <col min="5" max="5" width="21.625" style="1" customWidth="1"/>
    <col min="6" max="7" width="7.75" style="1" customWidth="1"/>
    <col min="8" max="8" width="33.375" style="1" customWidth="1"/>
    <col min="9" max="9" width="24.5" style="1" customWidth="1"/>
    <col min="10" max="10" width="5.5" style="1" customWidth="1"/>
    <col min="11" max="11" width="4.125" style="20" customWidth="1"/>
    <col min="12" max="16384" width="11.375" style="1"/>
  </cols>
  <sheetData>
    <row r="1" spans="1:11" ht="18.75" customHeight="1" x14ac:dyDescent="0.15">
      <c r="A1" s="94" t="s">
        <v>193</v>
      </c>
      <c r="B1" s="94"/>
      <c r="C1" s="94"/>
      <c r="D1" s="94"/>
      <c r="E1" s="94"/>
      <c r="F1" s="94"/>
      <c r="G1" s="94"/>
      <c r="H1" s="94"/>
      <c r="I1" s="94"/>
      <c r="J1" s="109" t="s">
        <v>194</v>
      </c>
    </row>
    <row r="2" spans="1:11" ht="18.75" customHeight="1" x14ac:dyDescent="0.15">
      <c r="A2" s="308" t="s">
        <v>195</v>
      </c>
      <c r="B2" s="308"/>
      <c r="C2" s="308"/>
      <c r="D2" s="308"/>
      <c r="E2" s="308"/>
      <c r="F2" s="308"/>
      <c r="G2" s="308"/>
      <c r="H2" s="308"/>
      <c r="I2" s="308"/>
      <c r="J2" s="308"/>
    </row>
    <row r="3" spans="1:11" ht="7.5" customHeight="1" x14ac:dyDescent="0.15">
      <c r="A3" s="110"/>
      <c r="B3" s="110"/>
      <c r="C3" s="110"/>
      <c r="D3" s="110"/>
      <c r="E3" s="110"/>
      <c r="F3" s="110"/>
      <c r="G3" s="110"/>
      <c r="H3" s="110"/>
      <c r="I3" s="110"/>
      <c r="J3" s="110"/>
    </row>
    <row r="4" spans="1:11" ht="18.75" customHeight="1" x14ac:dyDescent="0.15">
      <c r="A4" s="94" t="s">
        <v>2</v>
      </c>
      <c r="B4" s="111" t="s">
        <v>196</v>
      </c>
      <c r="C4" s="97"/>
      <c r="D4" s="97"/>
      <c r="E4" s="112"/>
      <c r="F4" s="112"/>
      <c r="G4" s="112"/>
      <c r="H4" s="112"/>
      <c r="I4" s="112"/>
      <c r="J4" s="112"/>
    </row>
    <row r="5" spans="1:11" ht="18.75" customHeight="1" x14ac:dyDescent="0.15">
      <c r="A5" s="94"/>
      <c r="B5" s="309" t="s">
        <v>197</v>
      </c>
      <c r="C5" s="310"/>
      <c r="D5" s="311"/>
      <c r="E5" s="312" t="s">
        <v>198</v>
      </c>
      <c r="F5" s="312"/>
      <c r="G5" s="312"/>
      <c r="H5" s="312"/>
      <c r="I5" s="312"/>
      <c r="J5" s="313"/>
    </row>
    <row r="6" spans="1:11" ht="18.75" customHeight="1" x14ac:dyDescent="0.15">
      <c r="A6" s="94"/>
      <c r="B6" s="113" t="s">
        <v>199</v>
      </c>
      <c r="C6" s="97"/>
      <c r="D6" s="114"/>
      <c r="E6" s="94"/>
      <c r="F6" s="94"/>
      <c r="G6" s="94"/>
      <c r="H6" s="94"/>
      <c r="I6" s="112"/>
      <c r="J6" s="115"/>
    </row>
    <row r="7" spans="1:11" ht="207" customHeight="1" x14ac:dyDescent="0.15">
      <c r="A7" s="94"/>
      <c r="B7" s="116"/>
      <c r="C7" s="314" t="s">
        <v>200</v>
      </c>
      <c r="D7" s="315"/>
      <c r="E7" s="305" t="s">
        <v>201</v>
      </c>
      <c r="F7" s="306"/>
      <c r="G7" s="306"/>
      <c r="H7" s="306"/>
      <c r="I7" s="306"/>
      <c r="J7" s="307"/>
      <c r="K7" s="20" t="str">
        <f>IF(E7="","入力してください","")</f>
        <v/>
      </c>
    </row>
    <row r="8" spans="1:11" ht="207" customHeight="1" x14ac:dyDescent="0.15">
      <c r="A8" s="94"/>
      <c r="B8" s="116"/>
      <c r="C8" s="303" t="s">
        <v>202</v>
      </c>
      <c r="D8" s="304"/>
      <c r="E8" s="305" t="s">
        <v>203</v>
      </c>
      <c r="F8" s="306"/>
      <c r="G8" s="306"/>
      <c r="H8" s="306"/>
      <c r="I8" s="306"/>
      <c r="J8" s="307"/>
      <c r="K8" s="20" t="str">
        <f>IF(E8="","入力してください","")</f>
        <v/>
      </c>
    </row>
    <row r="9" spans="1:11" ht="172.5" customHeight="1" x14ac:dyDescent="0.15">
      <c r="A9" s="94"/>
      <c r="B9" s="116"/>
      <c r="C9" s="314" t="s">
        <v>204</v>
      </c>
      <c r="D9" s="315"/>
      <c r="E9" s="305" t="s">
        <v>205</v>
      </c>
      <c r="F9" s="306"/>
      <c r="G9" s="306"/>
      <c r="H9" s="306"/>
      <c r="I9" s="306"/>
      <c r="J9" s="307"/>
      <c r="K9" s="20" t="str">
        <f>IF(E9="","入力してください","")</f>
        <v/>
      </c>
    </row>
    <row r="10" spans="1:11" ht="172.5" customHeight="1" x14ac:dyDescent="0.15">
      <c r="A10" s="94"/>
      <c r="B10" s="116"/>
      <c r="C10" s="314" t="s">
        <v>206</v>
      </c>
      <c r="D10" s="315"/>
      <c r="E10" s="305" t="s">
        <v>207</v>
      </c>
      <c r="F10" s="306"/>
      <c r="G10" s="306"/>
      <c r="H10" s="306"/>
      <c r="I10" s="306"/>
      <c r="J10" s="307"/>
      <c r="K10" s="20" t="str">
        <f t="shared" ref="K10:K14" si="0">IF(E10="","入力してください","")</f>
        <v/>
      </c>
    </row>
    <row r="11" spans="1:11" ht="172.5" customHeight="1" x14ac:dyDescent="0.15">
      <c r="A11" s="94"/>
      <c r="B11" s="116"/>
      <c r="C11" s="314" t="s">
        <v>208</v>
      </c>
      <c r="D11" s="315"/>
      <c r="E11" s="305" t="s">
        <v>209</v>
      </c>
      <c r="F11" s="306"/>
      <c r="G11" s="306"/>
      <c r="H11" s="306"/>
      <c r="I11" s="306"/>
      <c r="J11" s="307"/>
      <c r="K11" s="20" t="str">
        <f t="shared" si="0"/>
        <v/>
      </c>
    </row>
    <row r="12" spans="1:11" ht="18.75" customHeight="1" x14ac:dyDescent="0.15">
      <c r="A12" s="94"/>
      <c r="B12" s="117" t="s">
        <v>210</v>
      </c>
      <c r="C12" s="118"/>
      <c r="D12" s="119"/>
      <c r="E12" s="120"/>
      <c r="F12" s="120"/>
      <c r="G12" s="120"/>
      <c r="H12" s="120"/>
      <c r="I12" s="120"/>
      <c r="J12" s="121"/>
    </row>
    <row r="13" spans="1:11" ht="244.15" customHeight="1" x14ac:dyDescent="0.15">
      <c r="A13" s="94"/>
      <c r="B13" s="116"/>
      <c r="C13" s="314" t="s">
        <v>211</v>
      </c>
      <c r="D13" s="315"/>
      <c r="E13" s="306" t="s">
        <v>212</v>
      </c>
      <c r="F13" s="306"/>
      <c r="G13" s="306"/>
      <c r="H13" s="306"/>
      <c r="I13" s="306"/>
      <c r="J13" s="307"/>
      <c r="K13" s="20" t="str">
        <f t="shared" si="0"/>
        <v/>
      </c>
    </row>
    <row r="14" spans="1:11" ht="255" customHeight="1" x14ac:dyDescent="0.15">
      <c r="A14" s="94"/>
      <c r="B14" s="116"/>
      <c r="C14" s="314" t="s">
        <v>213</v>
      </c>
      <c r="D14" s="315"/>
      <c r="E14" s="306" t="s">
        <v>214</v>
      </c>
      <c r="F14" s="306"/>
      <c r="G14" s="306"/>
      <c r="H14" s="306"/>
      <c r="I14" s="306"/>
      <c r="J14" s="307"/>
      <c r="K14" s="20" t="str">
        <f t="shared" si="0"/>
        <v/>
      </c>
    </row>
    <row r="15" spans="1:11" ht="243" customHeight="1" x14ac:dyDescent="0.15">
      <c r="A15" s="94"/>
      <c r="B15" s="322" t="s">
        <v>215</v>
      </c>
      <c r="C15" s="323"/>
      <c r="D15" s="315"/>
      <c r="E15" s="306" t="s">
        <v>216</v>
      </c>
      <c r="F15" s="306"/>
      <c r="G15" s="306"/>
      <c r="H15" s="306"/>
      <c r="I15" s="306"/>
      <c r="J15" s="307"/>
      <c r="K15" s="20" t="str">
        <f>IF(E15="","入力してください","")</f>
        <v/>
      </c>
    </row>
    <row r="16" spans="1:11" ht="243" customHeight="1" x14ac:dyDescent="0.15">
      <c r="A16" s="94"/>
      <c r="B16" s="316" t="s">
        <v>217</v>
      </c>
      <c r="C16" s="317"/>
      <c r="D16" s="318"/>
      <c r="E16" s="300" t="s">
        <v>218</v>
      </c>
      <c r="F16" s="300"/>
      <c r="G16" s="300"/>
      <c r="H16" s="300"/>
      <c r="I16" s="300"/>
      <c r="J16" s="301"/>
      <c r="K16" s="20" t="str">
        <f>IF(E16="","入力してください","")</f>
        <v/>
      </c>
    </row>
    <row r="17" spans="1:11" ht="7.5" customHeight="1" x14ac:dyDescent="0.15">
      <c r="B17" s="24"/>
      <c r="C17" s="24"/>
      <c r="D17" s="24"/>
      <c r="E17" s="25"/>
      <c r="F17" s="25"/>
      <c r="G17" s="25"/>
      <c r="H17" s="25"/>
      <c r="I17" s="25"/>
      <c r="J17" s="25"/>
    </row>
    <row r="18" spans="1:11" ht="18.75" customHeight="1" x14ac:dyDescent="0.15">
      <c r="A18" s="1" t="s">
        <v>219</v>
      </c>
      <c r="B18" s="3"/>
      <c r="C18" s="24"/>
      <c r="D18" s="24"/>
      <c r="E18" s="25"/>
      <c r="F18" s="73"/>
      <c r="G18" s="319" t="s">
        <v>220</v>
      </c>
      <c r="H18" s="320"/>
      <c r="I18" s="320"/>
      <c r="J18" s="321"/>
      <c r="K18" s="20" t="str">
        <f>IF(G18="","入力してください","")</f>
        <v/>
      </c>
    </row>
    <row r="19" spans="1:11" ht="22.5" customHeight="1" x14ac:dyDescent="0.15">
      <c r="B19" s="24"/>
      <c r="C19" s="24"/>
      <c r="D19" s="24"/>
      <c r="E19" s="25"/>
      <c r="F19" s="25"/>
      <c r="G19" s="25"/>
      <c r="H19" s="25"/>
      <c r="I19" s="25"/>
      <c r="J19" s="25"/>
    </row>
    <row r="20" spans="1:11" ht="22.5" customHeight="1" x14ac:dyDescent="0.15">
      <c r="B20" s="24"/>
      <c r="C20" s="24"/>
      <c r="D20" s="24"/>
      <c r="E20" s="25"/>
      <c r="F20" s="25"/>
      <c r="G20" s="25"/>
      <c r="H20" s="25"/>
      <c r="I20" s="25"/>
      <c r="J20" s="25"/>
    </row>
    <row r="21" spans="1:11" ht="22.5" customHeight="1" x14ac:dyDescent="0.15">
      <c r="B21" s="24"/>
      <c r="C21" s="24"/>
      <c r="D21" s="24"/>
      <c r="E21" s="25"/>
      <c r="F21" s="25"/>
      <c r="G21" s="25"/>
      <c r="H21" s="25"/>
      <c r="I21" s="25"/>
      <c r="J21" s="25"/>
    </row>
    <row r="22" spans="1:11" ht="22.5" customHeight="1" x14ac:dyDescent="0.15">
      <c r="B22" s="24"/>
      <c r="C22" s="24"/>
      <c r="D22" s="24"/>
      <c r="E22" s="25"/>
      <c r="F22" s="25"/>
      <c r="G22" s="25"/>
      <c r="H22" s="25"/>
      <c r="I22" s="25"/>
      <c r="J22" s="25"/>
    </row>
    <row r="23" spans="1:11" ht="22.5" customHeight="1" x14ac:dyDescent="0.15">
      <c r="B23" s="24"/>
      <c r="C23" s="24"/>
      <c r="D23" s="24"/>
      <c r="E23" s="25"/>
      <c r="F23" s="25"/>
      <c r="G23" s="25"/>
      <c r="H23" s="25"/>
      <c r="I23" s="25"/>
      <c r="J23" s="25"/>
    </row>
    <row r="24" spans="1:11" ht="22.5" customHeight="1" x14ac:dyDescent="0.15">
      <c r="B24" s="77"/>
      <c r="C24" s="77"/>
      <c r="D24" s="77"/>
      <c r="E24" s="77"/>
      <c r="F24" s="77"/>
      <c r="G24" s="77"/>
      <c r="H24" s="77"/>
      <c r="I24" s="77"/>
      <c r="J24" s="77"/>
    </row>
    <row r="25" spans="1:11" ht="22.5" customHeight="1" x14ac:dyDescent="0.15">
      <c r="B25" s="77"/>
      <c r="C25" s="77"/>
      <c r="D25" s="77"/>
      <c r="E25" s="77"/>
      <c r="F25" s="77"/>
      <c r="G25" s="77"/>
      <c r="H25" s="77"/>
      <c r="I25" s="77"/>
      <c r="J25" s="77"/>
    </row>
    <row r="26" spans="1:11" ht="22.5" customHeight="1" x14ac:dyDescent="0.15">
      <c r="B26" s="77"/>
      <c r="C26" s="77"/>
      <c r="D26" s="77"/>
      <c r="E26" s="77"/>
      <c r="F26" s="77"/>
      <c r="G26" s="77"/>
      <c r="H26" s="77"/>
      <c r="I26" s="77"/>
      <c r="J26" s="77"/>
    </row>
  </sheetData>
  <mergeCells count="22">
    <mergeCell ref="B16:D16"/>
    <mergeCell ref="E16:J16"/>
    <mergeCell ref="G18:J18"/>
    <mergeCell ref="C13:D13"/>
    <mergeCell ref="E13:J13"/>
    <mergeCell ref="C14:D14"/>
    <mergeCell ref="E14:J14"/>
    <mergeCell ref="B15:D15"/>
    <mergeCell ref="E15:J15"/>
    <mergeCell ref="C9:D9"/>
    <mergeCell ref="E9:J9"/>
    <mergeCell ref="C10:D10"/>
    <mergeCell ref="E10:J10"/>
    <mergeCell ref="C11:D11"/>
    <mergeCell ref="E11:J11"/>
    <mergeCell ref="C8:D8"/>
    <mergeCell ref="E8:J8"/>
    <mergeCell ref="A2:J2"/>
    <mergeCell ref="B5:D5"/>
    <mergeCell ref="E5:J5"/>
    <mergeCell ref="C7:D7"/>
    <mergeCell ref="E7:J7"/>
  </mergeCells>
  <phoneticPr fontId="1"/>
  <hyperlinks>
    <hyperlink ref="G18" r:id="rId1" xr:uid="{EE83E2FC-9D4F-4797-B55D-051D556273E3}"/>
  </hyperlinks>
  <printOptions horizontalCentered="1"/>
  <pageMargins left="0.78740157480314965" right="0.78740157480314965" top="0.78740157480314965" bottom="0.78740157480314965" header="0.31496062992125984" footer="0.31496062992125984"/>
  <pageSetup paperSize="9" orientation="landscap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6</vt:i4>
      </vt:variant>
    </vt:vector>
  </HeadingPairs>
  <TitlesOfParts>
    <vt:vector size="12" baseType="lpstr">
      <vt:lpstr>様式１　大学等概要</vt:lpstr>
      <vt:lpstr>様式２ー１　プログラムを構成する授業科目 (商船学科)</vt:lpstr>
      <vt:lpstr>様式２ー２　プログラムを構成する授業科目 (情報システム工学科</vt:lpstr>
      <vt:lpstr>様式３　履修者等数の実績</vt:lpstr>
      <vt:lpstr>様式４　教育の質・履修者数を向上させるための体制・計画</vt:lpstr>
      <vt:lpstr>様式５　自己点検・評価</vt:lpstr>
      <vt:lpstr>'様式１　大学等概要'!Print_Area</vt:lpstr>
      <vt:lpstr>'様式２ー１　プログラムを構成する授業科目 (商船学科)'!Print_Area</vt:lpstr>
      <vt:lpstr>'様式２ー２　プログラムを構成する授業科目 (情報システム工学科'!Print_Area</vt:lpstr>
      <vt:lpstr>'様式３　履修者等数の実績'!Print_Area</vt:lpstr>
      <vt:lpstr>'様式４　教育の質・履修者数を向上させるための体制・計画'!Print_Area</vt:lpstr>
      <vt:lpstr>'様式５　自己点検・評価'!Print_Area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kawai-y</cp:lastModifiedBy>
  <cp:revision/>
  <dcterms:created xsi:type="dcterms:W3CDTF">2011-06-14T05:32:50Z</dcterms:created>
  <dcterms:modified xsi:type="dcterms:W3CDTF">2022-05-27T09:23:04Z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