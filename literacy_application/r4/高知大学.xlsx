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k78297437\Desktop\決裁用\01高知大学_リテラシー\"/>
    </mc:Choice>
  </mc:AlternateContent>
  <bookViews>
    <workbookView xWindow="0" yWindow="0" windowWidth="20490" windowHeight="7155" tabRatio="885"/>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R16" i="40"/>
  <c r="Q16" i="40"/>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<sst xmlns="http://schemas.openxmlformats.org/spreadsheetml/2006/main" count="372" uniqueCount="219">
  <si>
    <t>教員数</t>
    <rPh sb="0" eb="2">
      <t>キョウイン</t>
    </rPh>
    <rPh sb="2" eb="3">
      <t>スウ</t>
    </rPh>
    <phoneticPr fontId="3"/>
  </si>
  <si>
    <t>所属部署名</t>
    <rPh sb="0" eb="2">
      <t>ショゾク</t>
    </rPh>
    <rPh sb="2" eb="4">
      <t>ブショ</t>
    </rPh>
    <rPh sb="4" eb="5">
      <t>メイ</t>
    </rPh>
    <phoneticPr fontId="3"/>
  </si>
  <si>
    <t>担当者名</t>
    <rPh sb="0" eb="2">
      <t>タントウ</t>
    </rPh>
    <rPh sb="2" eb="3">
      <t>シャ</t>
    </rPh>
    <rPh sb="3" eb="4">
      <t>メイ</t>
    </rPh>
    <phoneticPr fontId="3"/>
  </si>
  <si>
    <t>電話番号</t>
  </si>
  <si>
    <t>E-mail</t>
  </si>
  <si>
    <t>（常勤）</t>
    <rPh sb="1" eb="3">
      <t>ジョウキン</t>
    </rPh>
    <phoneticPr fontId="3"/>
  </si>
  <si>
    <t>①</t>
    <phoneticPr fontId="3"/>
  </si>
  <si>
    <t>人</t>
    <rPh sb="0" eb="1">
      <t>ニン</t>
    </rPh>
    <phoneticPr fontId="3"/>
  </si>
  <si>
    <t>（非常勤）</t>
    <rPh sb="1" eb="4">
      <t>ヒジョウキン</t>
    </rPh>
    <phoneticPr fontId="3"/>
  </si>
  <si>
    <t>②</t>
    <phoneticPr fontId="3"/>
  </si>
  <si>
    <t>③</t>
    <phoneticPr fontId="3"/>
  </si>
  <si>
    <t>⑤</t>
    <phoneticPr fontId="3"/>
  </si>
  <si>
    <t>⑦</t>
    <phoneticPr fontId="3"/>
  </si>
  <si>
    <t>④</t>
    <phoneticPr fontId="3"/>
  </si>
  <si>
    <t>⑥</t>
    <phoneticPr fontId="3"/>
  </si>
  <si>
    <t>具体的な構成員</t>
    <rPh sb="0" eb="3">
      <t>グタイテキ</t>
    </rPh>
    <rPh sb="4" eb="7">
      <t>コウセイイン</t>
    </rPh>
    <phoneticPr fontId="3"/>
  </si>
  <si>
    <t>学校名</t>
    <rPh sb="0" eb="2">
      <t>ガッコウ</t>
    </rPh>
    <rPh sb="2" eb="3">
      <t>メイ</t>
    </rPh>
    <phoneticPr fontId="3"/>
  </si>
  <si>
    <t>１年次</t>
    <rPh sb="1" eb="2">
      <t>ネン</t>
    </rPh>
    <rPh sb="2" eb="3">
      <t>ツギ</t>
    </rPh>
    <phoneticPr fontId="3"/>
  </si>
  <si>
    <t>２年次</t>
    <rPh sb="1" eb="2">
      <t>ネン</t>
    </rPh>
    <rPh sb="2" eb="3">
      <t>ツギ</t>
    </rPh>
    <phoneticPr fontId="3"/>
  </si>
  <si>
    <t>３年次</t>
    <rPh sb="1" eb="2">
      <t>ネン</t>
    </rPh>
    <rPh sb="2" eb="3">
      <t>ツギ</t>
    </rPh>
    <phoneticPr fontId="3"/>
  </si>
  <si>
    <t>４年次</t>
    <rPh sb="1" eb="2">
      <t>ネン</t>
    </rPh>
    <rPh sb="2" eb="3">
      <t>ツギ</t>
    </rPh>
    <phoneticPr fontId="3"/>
  </si>
  <si>
    <t>人</t>
  </si>
  <si>
    <t>人</t>
    <rPh sb="0" eb="1">
      <t>ニン</t>
    </rPh>
    <phoneticPr fontId="3"/>
  </si>
  <si>
    <t>（役職名）</t>
    <rPh sb="1" eb="4">
      <t>ヤクショクメイ</t>
    </rPh>
    <phoneticPr fontId="3"/>
  </si>
  <si>
    <t>⑩</t>
    <phoneticPr fontId="3"/>
  </si>
  <si>
    <t>様式１</t>
    <rPh sb="0" eb="2">
      <t>ヨウシキ</t>
    </rPh>
    <phoneticPr fontId="3"/>
  </si>
  <si>
    <t>履修者数・履修率の向上に向けた計画</t>
    <rPh sb="5" eb="7">
      <t>リシュウ</t>
    </rPh>
    <rPh sb="7" eb="8">
      <t>リツ</t>
    </rPh>
    <phoneticPr fontId="3"/>
  </si>
  <si>
    <t>できる限り多くの学生が履修・修得できるようなサポート体制</t>
    <rPh sb="26" eb="28">
      <t>タイセイ</t>
    </rPh>
    <phoneticPr fontId="3"/>
  </si>
  <si>
    <t>学内からの視点</t>
    <rPh sb="0" eb="2">
      <t>ガクナイ</t>
    </rPh>
    <rPh sb="5" eb="7">
      <t>シテン</t>
    </rPh>
    <phoneticPr fontId="3"/>
  </si>
  <si>
    <t>プログラムの履修・修得状況</t>
    <rPh sb="6" eb="8">
      <t>リシュウ</t>
    </rPh>
    <rPh sb="9" eb="11">
      <t>シュウトク</t>
    </rPh>
    <rPh sb="11" eb="13">
      <t>ジョウキョウ</t>
    </rPh>
    <phoneticPr fontId="3"/>
  </si>
  <si>
    <t>学修成果</t>
    <rPh sb="0" eb="2">
      <t>ガクシュウ</t>
    </rPh>
    <rPh sb="2" eb="4">
      <t>セイカ</t>
    </rPh>
    <phoneticPr fontId="3"/>
  </si>
  <si>
    <t>学生アンケート等を通じた学生の内容の理解度</t>
    <rPh sb="0" eb="2">
      <t>ガクセイ</t>
    </rPh>
    <rPh sb="7" eb="8">
      <t>トウ</t>
    </rPh>
    <rPh sb="9" eb="10">
      <t>ツウ</t>
    </rPh>
    <rPh sb="12" eb="14">
      <t>ガクセイ</t>
    </rPh>
    <rPh sb="15" eb="17">
      <t>ナイヨウ</t>
    </rPh>
    <rPh sb="18" eb="21">
      <t>リカイド</t>
    </rPh>
    <phoneticPr fontId="3"/>
  </si>
  <si>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3"/>
  </si>
  <si>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3"/>
  </si>
  <si>
    <t>学外からの視点</t>
    <rPh sb="0" eb="2">
      <t>ガクガイ</t>
    </rPh>
    <rPh sb="5" eb="7">
      <t>シテン</t>
    </rPh>
    <phoneticPr fontId="3"/>
  </si>
  <si>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3"/>
  </si>
  <si>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3"/>
  </si>
  <si>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3"/>
  </si>
  <si>
    <t>自己点検・評価の視点</t>
    <rPh sb="0" eb="2">
      <t>ジコ</t>
    </rPh>
    <rPh sb="2" eb="4">
      <t>テンケン</t>
    </rPh>
    <rPh sb="5" eb="7">
      <t>ヒョウカ</t>
    </rPh>
    <rPh sb="8" eb="10">
      <t>シテン</t>
    </rPh>
    <phoneticPr fontId="3"/>
  </si>
  <si>
    <t>体制の目的</t>
    <rPh sb="0" eb="2">
      <t>タイセイ</t>
    </rPh>
    <rPh sb="3" eb="5">
      <t>モクテキ</t>
    </rPh>
    <phoneticPr fontId="3"/>
  </si>
  <si>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3"/>
  </si>
  <si>
    <t>自己点検・評価体制における意見等</t>
    <rPh sb="15" eb="16">
      <t>トウ</t>
    </rPh>
    <phoneticPr fontId="3"/>
  </si>
  <si>
    <t>自己点検・評価について</t>
    <rPh sb="0" eb="2">
      <t>ジコ</t>
    </rPh>
    <rPh sb="2" eb="4">
      <t>テンケン</t>
    </rPh>
    <rPh sb="5" eb="7">
      <t>ヒョウカ</t>
    </rPh>
    <phoneticPr fontId="3"/>
  </si>
  <si>
    <t>修了者数</t>
    <rPh sb="0" eb="3">
      <t>シュウリョウシャ</t>
    </rPh>
    <rPh sb="3" eb="4">
      <t>スウ</t>
    </rPh>
    <phoneticPr fontId="3"/>
  </si>
  <si>
    <t>履修者数</t>
    <rPh sb="0" eb="2">
      <t>リシュウ</t>
    </rPh>
    <rPh sb="2" eb="3">
      <t>シャ</t>
    </rPh>
    <rPh sb="3" eb="4">
      <t>スウ</t>
    </rPh>
    <phoneticPr fontId="3"/>
  </si>
  <si>
    <t>所在地</t>
    <phoneticPr fontId="3"/>
  </si>
  <si>
    <t>５年次</t>
    <rPh sb="1" eb="2">
      <t>ネン</t>
    </rPh>
    <rPh sb="2" eb="3">
      <t>ツギ</t>
    </rPh>
    <phoneticPr fontId="3"/>
  </si>
  <si>
    <t>６年次</t>
    <rPh sb="1" eb="2">
      <t>ネン</t>
    </rPh>
    <rPh sb="2" eb="3">
      <t>ツギ</t>
    </rPh>
    <phoneticPr fontId="3"/>
  </si>
  <si>
    <t>②</t>
    <phoneticPr fontId="3"/>
  </si>
  <si>
    <t>大学等の設置者</t>
  </si>
  <si>
    <t>⑫</t>
    <phoneticPr fontId="3"/>
  </si>
  <si>
    <t>人</t>
    <rPh sb="0" eb="1">
      <t>ニン</t>
    </rPh>
    <phoneticPr fontId="3"/>
  </si>
  <si>
    <t>総数</t>
    <rPh sb="0" eb="2">
      <t>ソウスウ</t>
    </rPh>
    <phoneticPr fontId="3"/>
  </si>
  <si>
    <t>⑧</t>
    <phoneticPr fontId="3"/>
  </si>
  <si>
    <t>⑬</t>
    <phoneticPr fontId="3"/>
  </si>
  <si>
    <t>（役職名）</t>
    <rPh sb="1" eb="4">
      <t>ヤクショクメイ</t>
    </rPh>
    <phoneticPr fontId="3"/>
  </si>
  <si>
    <t>履修率</t>
    <rPh sb="0" eb="2">
      <t>リシュウ</t>
    </rPh>
    <rPh sb="2" eb="3">
      <t>リツ</t>
    </rPh>
    <phoneticPr fontId="3"/>
  </si>
  <si>
    <t>合　計</t>
    <phoneticPr fontId="3"/>
  </si>
  <si>
    <t>⑥</t>
    <phoneticPr fontId="3"/>
  </si>
  <si>
    <t>プログラムの開設年度</t>
    <rPh sb="6" eb="8">
      <t>カイセツ</t>
    </rPh>
    <rPh sb="8" eb="10">
      <t>ネンド</t>
    </rPh>
    <phoneticPr fontId="3"/>
  </si>
  <si>
    <t>⑨</t>
    <phoneticPr fontId="3"/>
  </si>
  <si>
    <t>⑭</t>
    <phoneticPr fontId="3"/>
  </si>
  <si>
    <t>履修者数
合計</t>
    <rPh sb="0" eb="2">
      <t>リシュウ</t>
    </rPh>
    <rPh sb="2" eb="3">
      <t>シャ</t>
    </rPh>
    <rPh sb="3" eb="4">
      <t>スウ</t>
    </rPh>
    <rPh sb="5" eb="7">
      <t>ゴウケイ</t>
    </rPh>
    <phoneticPr fontId="3"/>
  </si>
  <si>
    <t>様式３</t>
    <rPh sb="0" eb="2">
      <t>ヨウシキ</t>
    </rPh>
    <phoneticPr fontId="3"/>
  </si>
  <si>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3"/>
  </si>
  <si>
    <t>学部・学科に関係なく希望する学生全員が受講可能となるような必要な体制・取組等</t>
    <rPh sb="29" eb="31">
      <t>ヒツヨウ</t>
    </rPh>
    <rPh sb="32" eb="34">
      <t>タイセイ</t>
    </rPh>
    <rPh sb="35" eb="37">
      <t>トリクミ</t>
    </rPh>
    <rPh sb="37" eb="38">
      <t>トウ</t>
    </rPh>
    <phoneticPr fontId="3"/>
  </si>
  <si>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3"/>
  </si>
  <si>
    <t>プログラムを構成する授業科目について</t>
    <phoneticPr fontId="3"/>
  </si>
  <si>
    <t>収容
定員</t>
    <rPh sb="0" eb="2">
      <t>シュウヨウ</t>
    </rPh>
    <rPh sb="3" eb="5">
      <t>テイイン</t>
    </rPh>
    <phoneticPr fontId="3"/>
  </si>
  <si>
    <t>申請する認定プログラム</t>
    <rPh sb="0" eb="2">
      <t>シンセイ</t>
    </rPh>
    <rPh sb="4" eb="6">
      <t>ニンテイ</t>
    </rPh>
    <phoneticPr fontId="3"/>
  </si>
  <si>
    <t>プログラムの授業を教えている教員数</t>
    <rPh sb="6" eb="8">
      <t>ジュギョウ</t>
    </rPh>
    <rPh sb="9" eb="10">
      <t>オシ</t>
    </rPh>
    <rPh sb="14" eb="16">
      <t>キョウイン</t>
    </rPh>
    <rPh sb="16" eb="17">
      <t>スウ</t>
    </rPh>
    <phoneticPr fontId="3"/>
  </si>
  <si>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3"/>
  </si>
  <si>
    <t>プログラムを改善・進化させるための体制を定める規則名称</t>
    <phoneticPr fontId="3"/>
  </si>
  <si>
    <t>様式５</t>
    <rPh sb="0" eb="2">
      <t>ヨウシキ</t>
    </rPh>
    <phoneticPr fontId="3"/>
  </si>
  <si>
    <t>（責任者名）</t>
    <rPh sb="1" eb="4">
      <t>セキニンシャ</t>
    </rPh>
    <rPh sb="4" eb="5">
      <t>メイ</t>
    </rPh>
    <phoneticPr fontId="3"/>
  </si>
  <si>
    <t>プログラムの運営責任者</t>
    <phoneticPr fontId="3"/>
  </si>
  <si>
    <t>⑪</t>
    <phoneticPr fontId="3"/>
  </si>
  <si>
    <t>全学部・学科の入学定員</t>
    <rPh sb="0" eb="1">
      <t>ゼン</t>
    </rPh>
    <rPh sb="4" eb="6">
      <t>ガッカ</t>
    </rPh>
    <rPh sb="7" eb="9">
      <t>ニュウガク</t>
    </rPh>
    <rPh sb="9" eb="11">
      <t>テイイン</t>
    </rPh>
    <phoneticPr fontId="3"/>
  </si>
  <si>
    <t>全学部・学科の学生数（学年別）</t>
    <rPh sb="0" eb="1">
      <t>ゼン</t>
    </rPh>
    <rPh sb="4" eb="6">
      <t>ガッカ</t>
    </rPh>
    <rPh sb="7" eb="10">
      <t>ガクセイスウ</t>
    </rPh>
    <rPh sb="11" eb="13">
      <t>ガクネン</t>
    </rPh>
    <rPh sb="13" eb="14">
      <t>ベツ</t>
    </rPh>
    <phoneticPr fontId="3"/>
  </si>
  <si>
    <t>学部・学科名称</t>
    <rPh sb="0" eb="2">
      <t>ガクブ</t>
    </rPh>
    <rPh sb="3" eb="5">
      <t>ガッカ</t>
    </rPh>
    <rPh sb="5" eb="7">
      <t>メイショウ</t>
    </rPh>
    <phoneticPr fontId="3"/>
  </si>
  <si>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3"/>
  </si>
  <si>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3"/>
  </si>
  <si>
    <t>授業時間内外で学習指導、質問を受け付ける具体的な仕組み</t>
    <rPh sb="20" eb="23">
      <t>グタイテキ</t>
    </rPh>
    <phoneticPr fontId="3"/>
  </si>
  <si>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3"/>
  </si>
  <si>
    <t>入学
定員</t>
    <rPh sb="0" eb="2">
      <t>ニュウガク</t>
    </rPh>
    <rPh sb="3" eb="5">
      <t>テイイン</t>
    </rPh>
    <phoneticPr fontId="3"/>
  </si>
  <si>
    <t>申請するプログラム名称</t>
    <rPh sb="0" eb="2">
      <t>シンセイ</t>
    </rPh>
    <rPh sb="9" eb="11">
      <t>メイショウ</t>
    </rPh>
    <phoneticPr fontId="3"/>
  </si>
  <si>
    <t>③</t>
  </si>
  <si>
    <t>設置形態</t>
    <phoneticPr fontId="3"/>
  </si>
  <si>
    <t>⑮</t>
    <phoneticPr fontId="3"/>
  </si>
  <si>
    <t>プログラムの履修者数等の実績について</t>
    <phoneticPr fontId="3"/>
  </si>
  <si>
    <t>令和3年度</t>
    <rPh sb="0" eb="2">
      <t>レイワ</t>
    </rPh>
    <rPh sb="3" eb="5">
      <t>ネンド</t>
    </rPh>
    <phoneticPr fontId="3"/>
  </si>
  <si>
    <t>令和2年度</t>
    <rPh sb="0" eb="2">
      <t>レイワ</t>
    </rPh>
    <rPh sb="3" eb="5">
      <t>ネンド</t>
    </rPh>
    <phoneticPr fontId="3"/>
  </si>
  <si>
    <t>令和元年度</t>
    <rPh sb="0" eb="2">
      <t>レイワ</t>
    </rPh>
    <rPh sb="2" eb="3">
      <t>モト</t>
    </rPh>
    <rPh sb="3" eb="5">
      <t>ネンド</t>
    </rPh>
    <phoneticPr fontId="3"/>
  </si>
  <si>
    <t>平成30年度</t>
    <rPh sb="0" eb="2">
      <t>ヘイセイ</t>
    </rPh>
    <rPh sb="4" eb="6">
      <t>ネンド</t>
    </rPh>
    <phoneticPr fontId="3"/>
  </si>
  <si>
    <t>平成29年度</t>
    <rPh sb="0" eb="2">
      <t>ヘイセイ</t>
    </rPh>
    <rPh sb="4" eb="6">
      <t>ネンド</t>
    </rPh>
    <phoneticPr fontId="3"/>
  </si>
  <si>
    <t>平成28年度</t>
    <rPh sb="0" eb="2">
      <t>ヘイセイ</t>
    </rPh>
    <rPh sb="4" eb="6">
      <t>ネンド</t>
    </rPh>
    <phoneticPr fontId="3"/>
  </si>
  <si>
    <t>年度</t>
    <rPh sb="0" eb="2">
      <t>ネンド</t>
    </rPh>
    <phoneticPr fontId="3"/>
  </si>
  <si>
    <t>⑦応用基礎レベルの申請の有無</t>
    <phoneticPr fontId="3"/>
  </si>
  <si>
    <t>連絡先</t>
  </si>
  <si>
    <t>①具体的な修了要件</t>
    <phoneticPr fontId="3"/>
  </si>
  <si>
    <t>授業科目</t>
    <rPh sb="0" eb="2">
      <t>ジュギョウ</t>
    </rPh>
    <rPh sb="2" eb="4">
      <t>カモク</t>
    </rPh>
    <phoneticPr fontId="3"/>
  </si>
  <si>
    <t>開講状況</t>
    <phoneticPr fontId="3"/>
  </si>
  <si>
    <t>授業に含まれている内容・要素</t>
    <phoneticPr fontId="3"/>
  </si>
  <si>
    <t>講義内容</t>
    <rPh sb="0" eb="2">
      <t>コウギ</t>
    </rPh>
    <rPh sb="2" eb="4">
      <t>ナイヨウ</t>
    </rPh>
    <phoneticPr fontId="3"/>
  </si>
  <si>
    <t>1-1</t>
    <phoneticPr fontId="3"/>
  </si>
  <si>
    <t>2-1</t>
    <phoneticPr fontId="3"/>
  </si>
  <si>
    <t>3-1</t>
    <phoneticPr fontId="3"/>
  </si>
  <si>
    <t>1-6</t>
  </si>
  <si>
    <t>3-2</t>
    <phoneticPr fontId="3"/>
  </si>
  <si>
    <t>（１）現在進行中の社会変化（第４次産業革命、Society 5.0、データ駆動型社会等）に深く寄与しているものであり、それが自らの生活と密接に結びついている</t>
    <phoneticPr fontId="3"/>
  </si>
  <si>
    <t>（２）「社会で活用されているデータ」や「データの活用領域」は非常に広範囲であって、日常生活や社会の課題を解決する有用なツールになり得るもの</t>
    <phoneticPr fontId="3"/>
  </si>
  <si>
    <t>（３）様々なデータ利活用の現場におけるデータ利活用事例が示され、様々な適用領域（流通、製造、金融、サービス、インフラ、公共、ヘルスケア等）の知見と組み合わせることで価値を創出するもの</t>
    <phoneticPr fontId="3"/>
  </si>
  <si>
    <t>②教育プログラムの修了要件</t>
    <phoneticPr fontId="3"/>
  </si>
  <si>
    <t>年度</t>
    <rPh sb="0" eb="2">
      <t>ネンド</t>
    </rPh>
    <phoneticPr fontId="3"/>
  </si>
  <si>
    <t>　　　　　　　　　　　　　　　　　　　　　　　　　　　　　　　　　　　　　　　　　　　　　　　　　　　　　　　　　　　　　　　　　　　　　　　　　　　　　　　　　　　　　　　　　　　　　　　　　　　　　　　　　　　　　　　　　　　　　　　　　　　　　　　　　　　　　　　　　　　　　　　　　　　　　　　　　　　　　　　　　　　　　　　　　　　　　　　　　　　　　　　　　　　　　　　　　　　　　　　　　　　　　　　　　　　　　　　　　　　　　　　　　　　　　　　　　　　　　　　　　　　　　　　　　　　　　　　　　　　　　　　　　　　　　　　　　　　　　　　　　　　　　　　　　　　　　　　　　　　　　　　　　　　　　　　　　　　　　　　　　　　　　　　　　　　　　　　　　　　　　　　　　　　　　　　　　　　　　　　　　　　　　　　　　　　　　　　　　　　　　　　　　　　　　　　　　　　　　　　　　　　　　　　　　　　　　　　　　　　　　　　　　　　　　　　　　　　　　　　　　　　　　　　　　　　　　　　　　　　　　　　　　　　　　　　　　　　　　　　　　　　　　　　　　　　　　　　　　　　　　　　　　　　　　　　　　　　　　　　　　　　　　　　　　　　　　　　　　　　　　　　　　　　　　　　　　　　　　　　　　　　　　　　　　　　　　　　　　　　　　　　　　　　　　　　　　　　　　　　　　　　　　　　　　　　　　　　　　　　　　　　　　　　　　　　　　　　　　　　　　　　　　　　　　　　　　　　　　　　　　　　　　　　　　　　　　　　　　　　　　　　　　　　　　　　　　　　　　　　　　　　　　　　　　　　　　　　　　　　　　　　　　　　　　　　　　　</t>
    <phoneticPr fontId="3"/>
  </si>
  <si>
    <t>様式４</t>
    <rPh sb="0" eb="2">
      <t>ヨウシキ</t>
    </rPh>
    <phoneticPr fontId="3"/>
  </si>
  <si>
    <t>令和３年度実績</t>
    <rPh sb="0" eb="2">
      <t>レイワ</t>
    </rPh>
    <rPh sb="3" eb="5">
      <t>ネンド</t>
    </rPh>
    <rPh sb="5" eb="7">
      <t>ジッセキ</t>
    </rPh>
    <phoneticPr fontId="3"/>
  </si>
  <si>
    <t>令和４年度予定</t>
    <rPh sb="0" eb="2">
      <t>レイワ</t>
    </rPh>
    <rPh sb="3" eb="5">
      <t>ネンド</t>
    </rPh>
    <rPh sb="5" eb="7">
      <t>ヨテイ</t>
    </rPh>
    <phoneticPr fontId="3"/>
  </si>
  <si>
    <t>令和５年度予定</t>
    <rPh sb="0" eb="2">
      <t>レイワ</t>
    </rPh>
    <rPh sb="3" eb="5">
      <t>ネンド</t>
    </rPh>
    <rPh sb="5" eb="7">
      <t>ヨテイ</t>
    </rPh>
    <phoneticPr fontId="3"/>
  </si>
  <si>
    <t>令和６年度予定</t>
    <rPh sb="0" eb="2">
      <t>レイワ</t>
    </rPh>
    <rPh sb="3" eb="5">
      <t>ネンド</t>
    </rPh>
    <rPh sb="5" eb="7">
      <t>ヨテイ</t>
    </rPh>
    <phoneticPr fontId="3"/>
  </si>
  <si>
    <t>令和７年度予定</t>
    <rPh sb="0" eb="2">
      <t>レイワ</t>
    </rPh>
    <rPh sb="3" eb="5">
      <t>ネンド</t>
    </rPh>
    <rPh sb="5" eb="7">
      <t>ヨテイ</t>
    </rPh>
    <phoneticPr fontId="3"/>
  </si>
  <si>
    <t>収容定員（名）</t>
    <rPh sb="0" eb="4">
      <t>シュウヨウテイイン</t>
    </rPh>
    <rPh sb="5" eb="6">
      <t>メイ</t>
    </rPh>
    <phoneticPr fontId="3"/>
  </si>
  <si>
    <t>具体的な計画</t>
    <rPh sb="0" eb="3">
      <t>グタイテキ</t>
    </rPh>
    <rPh sb="4" eb="6">
      <t>ケイカク</t>
    </rPh>
    <phoneticPr fontId="3"/>
  </si>
  <si>
    <t>　　　　　　　　　　　　　　　　　　　　　　　　　　　　　　　　　　　　　　　　　　　　　　　　　　　　　　　　　　　　　　　　　　　　　　　　　</t>
    <phoneticPr fontId="3"/>
  </si>
  <si>
    <t>②自己点検・評価体制における意見等を公表しているアドレス</t>
    <phoneticPr fontId="3"/>
  </si>
  <si>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3"/>
  </si>
  <si>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3"/>
  </si>
  <si>
    <t>1-2</t>
    <phoneticPr fontId="3"/>
  </si>
  <si>
    <t>1-3</t>
    <phoneticPr fontId="3"/>
  </si>
  <si>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3"/>
  </si>
  <si>
    <t>1-4</t>
    <phoneticPr fontId="3"/>
  </si>
  <si>
    <t>1-5</t>
    <phoneticPr fontId="3"/>
  </si>
  <si>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3"/>
  </si>
  <si>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3"/>
  </si>
  <si>
    <t>2-2</t>
    <phoneticPr fontId="3"/>
  </si>
  <si>
    <t>2-3</t>
    <phoneticPr fontId="3"/>
  </si>
  <si>
    <t>⑧選択「４．オプション」の内容を含む授業科目</t>
    <rPh sb="13" eb="15">
      <t>ナイヨウ</t>
    </rPh>
    <rPh sb="16" eb="17">
      <t>フク</t>
    </rPh>
    <rPh sb="18" eb="20">
      <t>ジュギョウ</t>
    </rPh>
    <rPh sb="20" eb="22">
      <t>カモク</t>
    </rPh>
    <phoneticPr fontId="3"/>
  </si>
  <si>
    <t>1-6</t>
    <phoneticPr fontId="3"/>
  </si>
  <si>
    <t>（４）活用に当たっての様々な留意事項（ELSI、個人情報、データ倫理、ＡＩ社会原則等）を考慮し、情報セキュリティや情報漏洩等、データを守る上での留意事項への理解をする</t>
    <phoneticPr fontId="3"/>
  </si>
  <si>
    <t>（５）実データ・実課題（学術データ等を含む）を用いた演習など、社会での実例を題材として、「データを読む、説明する、扱う」といった数理・データサイエンス・ＡＩの基本的な活用法に関するもの</t>
    <phoneticPr fontId="3"/>
  </si>
  <si>
    <t>必修</t>
    <rPh sb="0" eb="2">
      <t>ヒッシュウ</t>
    </rPh>
    <phoneticPr fontId="3"/>
  </si>
  <si>
    <t>単位数</t>
    <rPh sb="0" eb="3">
      <t>タンイスウ</t>
    </rPh>
    <phoneticPr fontId="3"/>
  </si>
  <si>
    <t>⑨プログラムを構成する授業の内容</t>
    <phoneticPr fontId="3"/>
  </si>
  <si>
    <t>⑩プログラムの学修成果（学生等が身に付けられる能力等）</t>
    <phoneticPr fontId="3"/>
  </si>
  <si>
    <t>⑪プログラムの授業内容等を公表しているアドレス</t>
    <phoneticPr fontId="3"/>
  </si>
  <si>
    <t>②履修者・修了者の実績</t>
    <rPh sb="1" eb="3">
      <t>リシュウ</t>
    </rPh>
    <rPh sb="3" eb="4">
      <t>シャ</t>
    </rPh>
    <rPh sb="5" eb="8">
      <t>シュウリョウシャ</t>
    </rPh>
    <rPh sb="9" eb="11">
      <t>ジッセキ</t>
    </rPh>
    <phoneticPr fontId="3"/>
  </si>
  <si>
    <t>選択項目</t>
    <rPh sb="0" eb="2">
      <t>センタク</t>
    </rPh>
    <rPh sb="2" eb="4">
      <t>コウモク</t>
    </rPh>
    <phoneticPr fontId="3"/>
  </si>
  <si>
    <t>①プログラム開設年度</t>
    <rPh sb="6" eb="8">
      <t>カイセツ</t>
    </rPh>
    <rPh sb="8" eb="10">
      <t>ネンド</t>
    </rPh>
    <phoneticPr fontId="3"/>
  </si>
  <si>
    <t>高知大学</t>
    <rPh sb="0" eb="2">
      <t>コウチ</t>
    </rPh>
    <rPh sb="2" eb="4">
      <t>ダイガク</t>
    </rPh>
    <phoneticPr fontId="3"/>
  </si>
  <si>
    <t>国立大学法人高知大学</t>
    <rPh sb="0" eb="2">
      <t>コクリツ</t>
    </rPh>
    <rPh sb="2" eb="4">
      <t>ダイガク</t>
    </rPh>
    <rPh sb="4" eb="6">
      <t>ホウジン</t>
    </rPh>
    <rPh sb="6" eb="8">
      <t>コウチ</t>
    </rPh>
    <rPh sb="8" eb="10">
      <t>ダイガク</t>
    </rPh>
    <phoneticPr fontId="3"/>
  </si>
  <si>
    <t>国立大学</t>
  </si>
  <si>
    <t>高知県高知市曙町二丁目５番１号</t>
    <rPh sb="0" eb="3">
      <t>コウチケン</t>
    </rPh>
    <rPh sb="3" eb="6">
      <t>コウチシ</t>
    </rPh>
    <rPh sb="6" eb="8">
      <t>アケボノチョウ</t>
    </rPh>
    <rPh sb="8" eb="11">
      <t>２チョウメ</t>
    </rPh>
    <rPh sb="12" eb="13">
      <t>バン</t>
    </rPh>
    <rPh sb="14" eb="15">
      <t>ゴウ</t>
    </rPh>
    <phoneticPr fontId="3"/>
  </si>
  <si>
    <t>令和３</t>
    <rPh sb="0" eb="2">
      <t>レイワ</t>
    </rPh>
    <phoneticPr fontId="3"/>
  </si>
  <si>
    <t>無</t>
  </si>
  <si>
    <t>岩崎　貢三</t>
    <rPh sb="0" eb="2">
      <t>イワサキ</t>
    </rPh>
    <rPh sb="3" eb="4">
      <t>ミツグ</t>
    </rPh>
    <rPh sb="4" eb="5">
      <t>サン</t>
    </rPh>
    <phoneticPr fontId="3"/>
  </si>
  <si>
    <t>教育担当理事</t>
    <rPh sb="0" eb="2">
      <t>キョウイク</t>
    </rPh>
    <rPh sb="2" eb="4">
      <t>タントウ</t>
    </rPh>
    <rPh sb="4" eb="6">
      <t>リジ</t>
    </rPh>
    <phoneticPr fontId="3"/>
  </si>
  <si>
    <t>教育情報委員会</t>
    <rPh sb="0" eb="2">
      <t>キョウイク</t>
    </rPh>
    <rPh sb="2" eb="4">
      <t>ジョウホウ</t>
    </rPh>
    <rPh sb="4" eb="7">
      <t>イインカイ</t>
    </rPh>
    <phoneticPr fontId="3"/>
  </si>
  <si>
    <t>佐々　浩司</t>
    <rPh sb="0" eb="2">
      <t>ササ</t>
    </rPh>
    <rPh sb="3" eb="5">
      <t>コウジ</t>
    </rPh>
    <phoneticPr fontId="3"/>
  </si>
  <si>
    <t>委員長（理工学部教授）</t>
  </si>
  <si>
    <t>全学教育機構会議</t>
    <rPh sb="0" eb="2">
      <t>ゼンガク</t>
    </rPh>
    <rPh sb="2" eb="4">
      <t>キョウイク</t>
    </rPh>
    <rPh sb="4" eb="6">
      <t>キコウ</t>
    </rPh>
    <rPh sb="6" eb="8">
      <t>カイギ</t>
    </rPh>
    <phoneticPr fontId="3"/>
  </si>
  <si>
    <t>認定教育プログラム</t>
  </si>
  <si>
    <t>学務部学務課全学・共通教育係</t>
    <rPh sb="0" eb="2">
      <t>ガクム</t>
    </rPh>
    <rPh sb="2" eb="3">
      <t>ブ</t>
    </rPh>
    <rPh sb="3" eb="6">
      <t>ガクムカ</t>
    </rPh>
    <rPh sb="6" eb="8">
      <t>ゼンガク</t>
    </rPh>
    <rPh sb="9" eb="11">
      <t>キョウツウ</t>
    </rPh>
    <rPh sb="11" eb="13">
      <t>キョウイク</t>
    </rPh>
    <rPh sb="13" eb="14">
      <t>ガカリ</t>
    </rPh>
    <phoneticPr fontId="3"/>
  </si>
  <si>
    <t>斉藤　史</t>
    <rPh sb="0" eb="2">
      <t>サイトウ</t>
    </rPh>
    <rPh sb="3" eb="4">
      <t>フミ</t>
    </rPh>
    <phoneticPr fontId="3"/>
  </si>
  <si>
    <t>gm06@kochi-u.ac.jp</t>
  </si>
  <si>
    <t>088-844-8168</t>
    <phoneticPr fontId="3"/>
  </si>
  <si>
    <t>学部・学科によって、修了要件は相違しない</t>
  </si>
  <si>
    <t>プログラムを構成する「必修」２単位、「選択Ａ群」から２単位以上、「選択Ｂ群」から２単位以上、合計６単位以上を取得すること。
必修：１．情報処理
選択A群：２．DXとビジネス創出、３．さわってわかるAI講座～基礎理論からクラウドサービスを使った実践まで～
選択B群：４．データ活用のためのプログラミング入門、５．データサイエンス実践課題演習</t>
    <rPh sb="15" eb="17">
      <t>タンイ</t>
    </rPh>
    <rPh sb="27" eb="29">
      <t>タンイ</t>
    </rPh>
    <rPh sb="29" eb="31">
      <t>イジョウ</t>
    </rPh>
    <rPh sb="41" eb="43">
      <t>タンイ</t>
    </rPh>
    <rPh sb="62" eb="64">
      <t>ヒッシュウ</t>
    </rPh>
    <rPh sb="67" eb="69">
      <t>ジョウホウ</t>
    </rPh>
    <rPh sb="69" eb="71">
      <t>ショリ</t>
    </rPh>
    <rPh sb="72" eb="74">
      <t>センタク</t>
    </rPh>
    <rPh sb="75" eb="76">
      <t>グン</t>
    </rPh>
    <phoneticPr fontId="3"/>
  </si>
  <si>
    <t>情報処理</t>
    <rPh sb="0" eb="2">
      <t>ジョウホウ</t>
    </rPh>
    <rPh sb="2" eb="4">
      <t>ショリ</t>
    </rPh>
    <phoneticPr fontId="3"/>
  </si>
  <si>
    <t>DXとビジネス創出</t>
  </si>
  <si>
    <t>さわってわかるAI講座～基礎理論からクラウドサービスを使った実践まで～</t>
  </si>
  <si>
    <t>○</t>
  </si>
  <si>
    <t>全学開講</t>
  </si>
  <si>
    <t>データサイエンス実践課題演習</t>
  </si>
  <si>
    <t>○</t>
    <phoneticPr fontId="3"/>
  </si>
  <si>
    <t>人文社会科学部</t>
    <rPh sb="0" eb="2">
      <t>ジンブン</t>
    </rPh>
    <rPh sb="2" eb="4">
      <t>シャカイ</t>
    </rPh>
    <rPh sb="4" eb="7">
      <t>カガクブ</t>
    </rPh>
    <phoneticPr fontId="3"/>
  </si>
  <si>
    <t>理工学部</t>
    <rPh sb="0" eb="2">
      <t>リコウ</t>
    </rPh>
    <rPh sb="2" eb="4">
      <t>ガクブ</t>
    </rPh>
    <phoneticPr fontId="3"/>
  </si>
  <si>
    <t>農林海洋科学部</t>
    <rPh sb="0" eb="2">
      <t>ノウリン</t>
    </rPh>
    <rPh sb="2" eb="4">
      <t>カイヨウ</t>
    </rPh>
    <rPh sb="4" eb="6">
      <t>カガク</t>
    </rPh>
    <rPh sb="6" eb="7">
      <t>ブ</t>
    </rPh>
    <phoneticPr fontId="3"/>
  </si>
  <si>
    <t>地域協働学部</t>
    <rPh sb="0" eb="2">
      <t>チイキ</t>
    </rPh>
    <rPh sb="2" eb="4">
      <t>キョウドウ</t>
    </rPh>
    <rPh sb="4" eb="6">
      <t>ガクブ</t>
    </rPh>
    <phoneticPr fontId="3"/>
  </si>
  <si>
    <t>教育学部</t>
    <rPh sb="0" eb="2">
      <t>キョウイク</t>
    </rPh>
    <rPh sb="2" eb="4">
      <t>ガクブ</t>
    </rPh>
    <phoneticPr fontId="3"/>
  </si>
  <si>
    <t>医学部</t>
    <rPh sb="0" eb="2">
      <t>イガク</t>
    </rPh>
    <rPh sb="2" eb="3">
      <t>ブ</t>
    </rPh>
    <phoneticPr fontId="3"/>
  </si>
  <si>
    <t>データ活用のためのプログラミング入門</t>
    <rPh sb="3" eb="5">
      <t>カツヨウ</t>
    </rPh>
    <rPh sb="16" eb="18">
      <t>ニュウモン</t>
    </rPh>
    <phoneticPr fontId="3"/>
  </si>
  <si>
    <t>高知大学リテラシーレベル数理・データサイエンス教育プログラム</t>
    <phoneticPr fontId="3"/>
  </si>
  <si>
    <t>高知大学全学教育機構会議委員会規則（教育情報委員会）</t>
    <rPh sb="18" eb="20">
      <t>キョウイク</t>
    </rPh>
    <rPh sb="20" eb="22">
      <t>ジョウホウ</t>
    </rPh>
    <rPh sb="22" eb="25">
      <t>イインカイ</t>
    </rPh>
    <phoneticPr fontId="3"/>
  </si>
  <si>
    <t>必修科目「情報処理」の対面実施による細やかな学びのサポートを基礎とし、その他の選択科目については、各科目ごとに開講時期（１学期、２学期、集中等）や授業の実施方法（オンライン、対面、ハイフレックス等）に幅を持たせ、学生が自分のスケジュールや希望の学習方法に合わせてプログラムを履修することが可能な体制となっている。</t>
    <rPh sb="0" eb="2">
      <t>ヒッシュウ</t>
    </rPh>
    <rPh sb="2" eb="4">
      <t>カモク</t>
    </rPh>
    <rPh sb="5" eb="7">
      <t>ジョウホウ</t>
    </rPh>
    <rPh sb="7" eb="9">
      <t>ショリ</t>
    </rPh>
    <rPh sb="11" eb="13">
      <t>タイメン</t>
    </rPh>
    <rPh sb="13" eb="15">
      <t>ジッシ</t>
    </rPh>
    <rPh sb="18" eb="19">
      <t>コマ</t>
    </rPh>
    <rPh sb="22" eb="23">
      <t>マナ</t>
    </rPh>
    <rPh sb="30" eb="32">
      <t>キソ</t>
    </rPh>
    <rPh sb="37" eb="38">
      <t>タ</t>
    </rPh>
    <rPh sb="39" eb="41">
      <t>センタク</t>
    </rPh>
    <rPh sb="41" eb="43">
      <t>カモク</t>
    </rPh>
    <rPh sb="49" eb="50">
      <t>カク</t>
    </rPh>
    <rPh sb="50" eb="52">
      <t>カモク</t>
    </rPh>
    <rPh sb="55" eb="57">
      <t>カイコウ</t>
    </rPh>
    <rPh sb="57" eb="59">
      <t>ジキ</t>
    </rPh>
    <rPh sb="61" eb="63">
      <t>ガッキ</t>
    </rPh>
    <rPh sb="65" eb="67">
      <t>ガッキ</t>
    </rPh>
    <rPh sb="68" eb="70">
      <t>シュウチュウ</t>
    </rPh>
    <rPh sb="70" eb="71">
      <t>トウ</t>
    </rPh>
    <rPh sb="73" eb="75">
      <t>ジュギョウ</t>
    </rPh>
    <rPh sb="76" eb="78">
      <t>ジッシ</t>
    </rPh>
    <rPh sb="78" eb="80">
      <t>ホウホウ</t>
    </rPh>
    <rPh sb="87" eb="89">
      <t>タイメン</t>
    </rPh>
    <rPh sb="97" eb="98">
      <t>トウ</t>
    </rPh>
    <rPh sb="106" eb="108">
      <t>ガクセイ</t>
    </rPh>
    <rPh sb="109" eb="111">
      <t>ジブン</t>
    </rPh>
    <rPh sb="119" eb="121">
      <t>キボウ</t>
    </rPh>
    <rPh sb="122" eb="124">
      <t>ガクシュウ</t>
    </rPh>
    <rPh sb="124" eb="126">
      <t>ホウホウ</t>
    </rPh>
    <rPh sb="127" eb="128">
      <t>ア</t>
    </rPh>
    <rPh sb="137" eb="139">
      <t>リシュウ</t>
    </rPh>
    <rPh sb="144" eb="146">
      <t>カノウ</t>
    </rPh>
    <rPh sb="147" eb="149">
      <t>タイセイ</t>
    </rPh>
    <phoneticPr fontId="3"/>
  </si>
  <si>
    <t xml:space="preserve">委員長：理工学部　教授　佐々浩司
   委員：人文社会科学部　准教授　小川寛貴、講師　北﨑勇帆
           教育学部　教授　赤松直、助教　福谷遼太
           理工学部　准教授　老川稔、准教授　中野啓二　
           農林海洋科学部　准教授　櫻井哲也、准教授　森塚直樹
           医学部　教授　奥原義保、教授　栗原幸男
           地域協働学部　教授　湊邦生、准教授　須藤順
           共通教育実施委員会　講師　宇田幸司 
           大学教育創造センター　准教授　高畑貴志
           学術情報基盤図書館　准教授　佐々木正人、助教　石黒克也
           学務部長　高橋聡
           研究国際部学術情報課長　山中敏正
</t>
    <rPh sb="4" eb="6">
      <t>リコウ</t>
    </rPh>
    <rPh sb="6" eb="8">
      <t>ガクブ</t>
    </rPh>
    <rPh sb="9" eb="11">
      <t>キョウジュ</t>
    </rPh>
    <rPh sb="12" eb="14">
      <t>ササ</t>
    </rPh>
    <rPh sb="14" eb="16">
      <t>コウジ</t>
    </rPh>
    <rPh sb="20" eb="22">
      <t>イイン</t>
    </rPh>
    <rPh sb="23" eb="25">
      <t>ジンブン</t>
    </rPh>
    <rPh sb="25" eb="27">
      <t>シャカイ</t>
    </rPh>
    <rPh sb="27" eb="29">
      <t>カガク</t>
    </rPh>
    <rPh sb="28" eb="30">
      <t>ガクブ</t>
    </rPh>
    <rPh sb="31" eb="32">
      <t>ジュン</t>
    </rPh>
    <rPh sb="40" eb="42">
      <t>コウシ</t>
    </rPh>
    <rPh sb="59" eb="61">
      <t>キョウイク</t>
    </rPh>
    <rPh sb="61" eb="63">
      <t>ガクブ</t>
    </rPh>
    <rPh sb="64" eb="66">
      <t>キョウジュ</t>
    </rPh>
    <rPh sb="71" eb="73">
      <t>ジョキョウ</t>
    </rPh>
    <rPh sb="90" eb="92">
      <t>リコウ</t>
    </rPh>
    <rPh sb="92" eb="94">
      <t>ガクブ</t>
    </rPh>
    <rPh sb="103" eb="106">
      <t>ジュンキョウジュ</t>
    </rPh>
    <rPh sb="107" eb="109">
      <t>ナカノ</t>
    </rPh>
    <rPh sb="109" eb="111">
      <t>ケイジ</t>
    </rPh>
    <rPh sb="124" eb="126">
      <t>ノウリン</t>
    </rPh>
    <rPh sb="126" eb="128">
      <t>カイヨウ</t>
    </rPh>
    <rPh sb="128" eb="130">
      <t>カガク</t>
    </rPh>
    <rPh sb="130" eb="131">
      <t>ブ</t>
    </rPh>
    <rPh sb="132" eb="135">
      <t>ジュンキョウジュ</t>
    </rPh>
    <rPh sb="136" eb="138">
      <t>サクライ</t>
    </rPh>
    <rPh sb="138" eb="140">
      <t>テツヤ</t>
    </rPh>
    <rPh sb="141" eb="144">
      <t>ジュンキョウジュ</t>
    </rPh>
    <rPh sb="161" eb="163">
      <t>イガク</t>
    </rPh>
    <rPh sb="163" eb="164">
      <t>ブ</t>
    </rPh>
    <rPh sb="165" eb="167">
      <t>キョウジュ</t>
    </rPh>
    <rPh sb="168" eb="170">
      <t>オクハラ</t>
    </rPh>
    <rPh sb="176" eb="178">
      <t>クリハラ</t>
    </rPh>
    <rPh sb="178" eb="180">
      <t>ユキオ</t>
    </rPh>
    <rPh sb="192" eb="194">
      <t>チイキ</t>
    </rPh>
    <rPh sb="194" eb="196">
      <t>キョウドウ</t>
    </rPh>
    <rPh sb="196" eb="198">
      <t>ガクブ</t>
    </rPh>
    <rPh sb="206" eb="209">
      <t>ジュンキョウジュ</t>
    </rPh>
    <rPh sb="225" eb="227">
      <t>キョウツウ</t>
    </rPh>
    <rPh sb="227" eb="229">
      <t>キョウイク</t>
    </rPh>
    <rPh sb="255" eb="257">
      <t>ダイガク</t>
    </rPh>
    <rPh sb="257" eb="259">
      <t>キョウイク</t>
    </rPh>
    <rPh sb="259" eb="261">
      <t>ソウゾウ</t>
    </rPh>
    <rPh sb="266" eb="269">
      <t>ジュンキョウジュ</t>
    </rPh>
    <rPh sb="286" eb="288">
      <t>ガクジュツ</t>
    </rPh>
    <rPh sb="288" eb="290">
      <t>ジョウホウ</t>
    </rPh>
    <rPh sb="290" eb="292">
      <t>キバン</t>
    </rPh>
    <rPh sb="292" eb="295">
      <t>トショカン</t>
    </rPh>
    <rPh sb="296" eb="299">
      <t>ジュンキョウジュ</t>
    </rPh>
    <rPh sb="306" eb="308">
      <t>ジョキョウ</t>
    </rPh>
    <rPh sb="330" eb="332">
      <t>タカハシ</t>
    </rPh>
    <rPh sb="332" eb="333">
      <t>サトシ</t>
    </rPh>
    <rPh sb="345" eb="347">
      <t>ケンキュウ</t>
    </rPh>
    <rPh sb="347" eb="349">
      <t>コクサイ</t>
    </rPh>
    <rPh sb="349" eb="350">
      <t>ブ</t>
    </rPh>
    <rPh sb="350" eb="352">
      <t>ガクジュツ</t>
    </rPh>
    <rPh sb="357" eb="359">
      <t>ヤマナカ</t>
    </rPh>
    <rPh sb="359" eb="361">
      <t>トシマサ</t>
    </rPh>
    <phoneticPr fontId="3"/>
  </si>
  <si>
    <t xml:space="preserve">学部１・２年生全員に配布する履修案内に本プログラムの概要を掲載し、履修に必要な情報を確認できるようにしている。
また、新入生向けのガイダンス、初年次必修科目「情報処理」、及び各プログラム構成科目の授業内で、プログラムに関するアナウンスを行い、学生が興味・関心を持てるよう努めている。
</t>
    <rPh sb="0" eb="2">
      <t>ガクブ</t>
    </rPh>
    <rPh sb="5" eb="7">
      <t>ネンセイ</t>
    </rPh>
    <rPh sb="7" eb="9">
      <t>ゼンイン</t>
    </rPh>
    <rPh sb="10" eb="12">
      <t>ハイフ</t>
    </rPh>
    <rPh sb="14" eb="16">
      <t>リシュウ</t>
    </rPh>
    <rPh sb="16" eb="18">
      <t>アンナイ</t>
    </rPh>
    <rPh sb="19" eb="20">
      <t>ホン</t>
    </rPh>
    <rPh sb="26" eb="28">
      <t>ガイヨウ</t>
    </rPh>
    <rPh sb="29" eb="31">
      <t>ケイサイ</t>
    </rPh>
    <rPh sb="33" eb="35">
      <t>リシュウ</t>
    </rPh>
    <rPh sb="36" eb="38">
      <t>ヒツヨウ</t>
    </rPh>
    <rPh sb="39" eb="41">
      <t>ジョウホウ</t>
    </rPh>
    <rPh sb="42" eb="44">
      <t>カクニン</t>
    </rPh>
    <rPh sb="59" eb="62">
      <t>シンニュウセイ</t>
    </rPh>
    <rPh sb="62" eb="63">
      <t>ム</t>
    </rPh>
    <rPh sb="71" eb="74">
      <t>ショネンジ</t>
    </rPh>
    <rPh sb="74" eb="76">
      <t>ヒッシュウ</t>
    </rPh>
    <rPh sb="76" eb="78">
      <t>カモク</t>
    </rPh>
    <rPh sb="79" eb="81">
      <t>ジョウホウ</t>
    </rPh>
    <rPh sb="81" eb="83">
      <t>ショリ</t>
    </rPh>
    <rPh sb="85" eb="86">
      <t>オヨ</t>
    </rPh>
    <rPh sb="87" eb="88">
      <t>カク</t>
    </rPh>
    <rPh sb="93" eb="95">
      <t>コウセイ</t>
    </rPh>
    <rPh sb="95" eb="97">
      <t>カモク</t>
    </rPh>
    <rPh sb="98" eb="100">
      <t>ジュギョウ</t>
    </rPh>
    <rPh sb="100" eb="101">
      <t>ナイ</t>
    </rPh>
    <rPh sb="109" eb="110">
      <t>カン</t>
    </rPh>
    <rPh sb="118" eb="119">
      <t>オコナ</t>
    </rPh>
    <rPh sb="121" eb="123">
      <t>ガクセイ</t>
    </rPh>
    <rPh sb="124" eb="126">
      <t>キョウミ</t>
    </rPh>
    <rPh sb="130" eb="131">
      <t>モ</t>
    </rPh>
    <rPh sb="135" eb="136">
      <t>ツト</t>
    </rPh>
    <phoneticPr fontId="3"/>
  </si>
  <si>
    <t xml:space="preserve">必修科目「情報処理」では、各クラスに２～４名のTAを配置し、授業内で都度質問に対応できる体制を整えている。
また、全ての科目について、授業担当教員毎にオフィスアワーを設定しており、シラバスで明示している。併せて、学内担当教員のメールアドレスも公開されており、学生は電子メールにより、質問や問い合わせができる仕組みとなっている。
</t>
    <rPh sb="13" eb="14">
      <t>カク</t>
    </rPh>
    <rPh sb="21" eb="22">
      <t>メイ</t>
    </rPh>
    <rPh sb="26" eb="28">
      <t>ハイチ</t>
    </rPh>
    <rPh sb="30" eb="32">
      <t>ジュギョウ</t>
    </rPh>
    <rPh sb="32" eb="33">
      <t>ナイ</t>
    </rPh>
    <rPh sb="34" eb="36">
      <t>ツド</t>
    </rPh>
    <rPh sb="36" eb="38">
      <t>シツモン</t>
    </rPh>
    <rPh sb="39" eb="41">
      <t>タイオウ</t>
    </rPh>
    <rPh sb="44" eb="46">
      <t>タイセイ</t>
    </rPh>
    <rPh sb="47" eb="48">
      <t>トトノ</t>
    </rPh>
    <rPh sb="57" eb="58">
      <t>スベ</t>
    </rPh>
    <rPh sb="60" eb="62">
      <t>カモク</t>
    </rPh>
    <rPh sb="102" eb="103">
      <t>アワ</t>
    </rPh>
    <rPh sb="106" eb="108">
      <t>ガクナイ</t>
    </rPh>
    <rPh sb="108" eb="110">
      <t>タントウ</t>
    </rPh>
    <rPh sb="110" eb="112">
      <t>キョウイン</t>
    </rPh>
    <rPh sb="121" eb="123">
      <t>コウカイ</t>
    </rPh>
    <rPh sb="129" eb="131">
      <t>ガクセイ</t>
    </rPh>
    <rPh sb="132" eb="134">
      <t>デンシ</t>
    </rPh>
    <rPh sb="141" eb="143">
      <t>シツモン</t>
    </rPh>
    <rPh sb="144" eb="145">
      <t>ト</t>
    </rPh>
    <rPh sb="146" eb="147">
      <t>ア</t>
    </rPh>
    <rPh sb="153" eb="155">
      <t>シク</t>
    </rPh>
    <phoneticPr fontId="3"/>
  </si>
  <si>
    <t>4‐2アルゴリズム基礎</t>
  </si>
  <si>
    <t>データ活用のためのプログラミング入門</t>
    <phoneticPr fontId="3"/>
  </si>
  <si>
    <t>4‐3データ構造とプログラミング基礎</t>
  </si>
  <si>
    <t>データサイエンス実践課題演習</t>
    <phoneticPr fontId="3"/>
  </si>
  <si>
    <t>4‐8データ活用実践（教師あり学習）</t>
  </si>
  <si>
    <t>・データの特徴や志向をとらえる、データの並び替え、ランキング、エクセルやRの活用「データ活用のためのプログラミング入門」（第９回）
・動画データの収集、学修データの作成、識別機の構築「データサイエンス実践課題演習」（第７～９回）</t>
    <rPh sb="5" eb="7">
      <t>トクチョウ</t>
    </rPh>
    <rPh sb="8" eb="10">
      <t>シコウ</t>
    </rPh>
    <rPh sb="20" eb="21">
      <t>ナラ</t>
    </rPh>
    <rPh sb="22" eb="23">
      <t>カ</t>
    </rPh>
    <rPh sb="38" eb="40">
      <t>カツヨウ</t>
    </rPh>
    <rPh sb="67" eb="69">
      <t>ドウガ</t>
    </rPh>
    <rPh sb="73" eb="75">
      <t>シュウシュウ</t>
    </rPh>
    <rPh sb="76" eb="78">
      <t>ガクシュウ</t>
    </rPh>
    <rPh sb="82" eb="84">
      <t>サクセイ</t>
    </rPh>
    <rPh sb="85" eb="87">
      <t>シキベツ</t>
    </rPh>
    <rPh sb="87" eb="88">
      <t>キ</t>
    </rPh>
    <rPh sb="89" eb="91">
      <t>コウチク</t>
    </rPh>
    <phoneticPr fontId="3"/>
  </si>
  <si>
    <t>DXとビジネス創出</t>
    <phoneticPr fontId="3"/>
  </si>
  <si>
    <t>令和４年度、令和５年度については、現行プログラムの改善を図りつつ、潜在的に関心を持つ学生に情報が行き届くよう積極的に周知活動を行う。令和３年度実績で、プログラム修了者を除き、プログラムを構成する選択科目（選択A群、選択B群）のいずれかを履修している学生は119名おり、令和４年度以降の新規履修者も含めて、目標値を達成できる見込みである。
また、令和６年度には、共通教育のカリキュラム改革実施を予定しており、その中で、数理・データサイエンス・AI教育（リテラシーレベル）の授業内容を２科目４単位に集約し、全学部において必修化することを計画している。これにより、令和６年度以降の入学生は全員が必修としてプログラムを履修することとなり、令和９年度に100%の履修率となる計画である。</t>
    <rPh sb="0" eb="2">
      <t>レイワ</t>
    </rPh>
    <rPh sb="3" eb="5">
      <t>ネンド</t>
    </rPh>
    <rPh sb="6" eb="8">
      <t>レイワ</t>
    </rPh>
    <rPh sb="9" eb="11">
      <t>ネンド</t>
    </rPh>
    <rPh sb="17" eb="19">
      <t>ゲンコウ</t>
    </rPh>
    <rPh sb="45" eb="47">
      <t>ジョウホウ</t>
    </rPh>
    <rPh sb="48" eb="49">
      <t>イ</t>
    </rPh>
    <rPh sb="50" eb="51">
      <t>トド</t>
    </rPh>
    <rPh sb="54" eb="57">
      <t>セッキョクテキ</t>
    </rPh>
    <rPh sb="60" eb="62">
      <t>カツドウ</t>
    </rPh>
    <rPh sb="66" eb="68">
      <t>レイワ</t>
    </rPh>
    <rPh sb="69" eb="71">
      <t>ネンド</t>
    </rPh>
    <rPh sb="71" eb="73">
      <t>ジッセキ</t>
    </rPh>
    <rPh sb="93" eb="95">
      <t>コウセイ</t>
    </rPh>
    <rPh sb="97" eb="99">
      <t>センタク</t>
    </rPh>
    <rPh sb="99" eb="101">
      <t>カモク</t>
    </rPh>
    <rPh sb="102" eb="104">
      <t>センタク</t>
    </rPh>
    <rPh sb="105" eb="106">
      <t>グン</t>
    </rPh>
    <rPh sb="107" eb="109">
      <t>センタク</t>
    </rPh>
    <rPh sb="110" eb="111">
      <t>グン</t>
    </rPh>
    <rPh sb="118" eb="120">
      <t>リシュウ</t>
    </rPh>
    <rPh sb="124" eb="126">
      <t>ガクセイ</t>
    </rPh>
    <rPh sb="134" eb="136">
      <t>レイワ</t>
    </rPh>
    <rPh sb="137" eb="138">
      <t>ネン</t>
    </rPh>
    <rPh sb="138" eb="139">
      <t>ド</t>
    </rPh>
    <rPh sb="139" eb="141">
      <t>イコウ</t>
    </rPh>
    <rPh sb="142" eb="144">
      <t>シンキ</t>
    </rPh>
    <rPh sb="144" eb="146">
      <t>リシュウ</t>
    </rPh>
    <rPh sb="146" eb="147">
      <t>シャ</t>
    </rPh>
    <rPh sb="148" eb="149">
      <t>フク</t>
    </rPh>
    <rPh sb="152" eb="154">
      <t>モクヒョウ</t>
    </rPh>
    <rPh sb="154" eb="155">
      <t>チ</t>
    </rPh>
    <rPh sb="156" eb="158">
      <t>タッセイ</t>
    </rPh>
    <rPh sb="161" eb="163">
      <t>ミコ</t>
    </rPh>
    <rPh sb="180" eb="182">
      <t>キョウツウ</t>
    </rPh>
    <rPh sb="182" eb="184">
      <t>キョウイク</t>
    </rPh>
    <rPh sb="191" eb="193">
      <t>カイカク</t>
    </rPh>
    <rPh sb="193" eb="195">
      <t>ジッシ</t>
    </rPh>
    <rPh sb="196" eb="198">
      <t>ヨテイ</t>
    </rPh>
    <rPh sb="205" eb="206">
      <t>ナカ</t>
    </rPh>
    <rPh sb="266" eb="268">
      <t>ケイカク</t>
    </rPh>
    <rPh sb="279" eb="281">
      <t>レイワ</t>
    </rPh>
    <rPh sb="282" eb="283">
      <t>ネン</t>
    </rPh>
    <rPh sb="283" eb="284">
      <t>ド</t>
    </rPh>
    <rPh sb="284" eb="286">
      <t>イコウ</t>
    </rPh>
    <rPh sb="287" eb="289">
      <t>ニュウガク</t>
    </rPh>
    <rPh sb="289" eb="290">
      <t>セイ</t>
    </rPh>
    <rPh sb="291" eb="293">
      <t>ゼンイン</t>
    </rPh>
    <rPh sb="294" eb="296">
      <t>ヒッシュウ</t>
    </rPh>
    <rPh sb="305" eb="307">
      <t>リシュウ</t>
    </rPh>
    <rPh sb="315" eb="317">
      <t>レイワ</t>
    </rPh>
    <rPh sb="318" eb="319">
      <t>ネン</t>
    </rPh>
    <rPh sb="319" eb="320">
      <t>ド</t>
    </rPh>
    <rPh sb="326" eb="328">
      <t>リシュウ</t>
    </rPh>
    <rPh sb="328" eb="329">
      <t>リツ</t>
    </rPh>
    <rPh sb="332" eb="334">
      <t>ケイカク</t>
    </rPh>
    <phoneticPr fontId="3"/>
  </si>
  <si>
    <t>全学の学生を受講対象とする共通教育内にリテラシーレベル数理・データサイエンス教育プログラムモデルを開設した。このプログラムはリテラシーレベルカリキュラムの「導入、心得」に該当する内容を含む「情報処理」を全学新入生を対象とする初年次必修科目と、「基礎」及び「導入、心得」の不足内容を補う科目を複数開講して、１科目ずつ２科目を履修するものであり、履修を希望する学生全員が受講可能な体制となっている。</t>
    <rPh sb="0" eb="2">
      <t xml:space="preserve">ゼンガク </t>
    </rPh>
    <rPh sb="3" eb="5">
      <t xml:space="preserve">ガクセイ </t>
    </rPh>
    <rPh sb="6" eb="8">
      <t xml:space="preserve">ジュコウ </t>
    </rPh>
    <rPh sb="8" eb="10">
      <t xml:space="preserve">タイショウトスル </t>
    </rPh>
    <rPh sb="13" eb="18">
      <t xml:space="preserve">キョウツウキョウイクナイ </t>
    </rPh>
    <rPh sb="44" eb="45">
      <t>フク</t>
    </rPh>
    <rPh sb="47" eb="71">
      <t>ジョウホウ</t>
    </rPh>
    <rPh sb="71" eb="73">
      <t>ショリ</t>
    </rPh>
    <rPh sb="75" eb="78">
      <t>ゼンガクブ</t>
    </rPh>
    <rPh sb="79" eb="81">
      <t xml:space="preserve">タイショウトスル </t>
    </rPh>
    <rPh sb="84" eb="86">
      <t xml:space="preserve">キョウツウ </t>
    </rPh>
    <rPh sb="86" eb="88">
      <t xml:space="preserve">キョウイク </t>
    </rPh>
    <rPh sb="92" eb="95">
      <t>ショネンジ</t>
    </rPh>
    <rPh sb="95" eb="97">
      <t>ヒッシュウ</t>
    </rPh>
    <rPh sb="97" eb="99">
      <t>カモク</t>
    </rPh>
    <rPh sb="105" eb="106">
      <t xml:space="preserve">セイ </t>
    </rPh>
    <rPh sb="110" eb="111">
      <t>クワ</t>
    </rPh>
    <rPh sb="113" eb="115">
      <t>ドウニュウ</t>
    </rPh>
    <rPh sb="116" eb="118">
      <t>ココロエ</t>
    </rPh>
    <rPh sb="121" eb="122">
      <t xml:space="preserve">キョウツウ </t>
    </rPh>
    <rPh sb="122" eb="124">
      <t xml:space="preserve">キョウイク </t>
    </rPh>
    <rPh sb="124" eb="125">
      <t xml:space="preserve">ナイ </t>
    </rPh>
    <rPh sb="134" eb="136">
      <t xml:space="preserve">キョウイク </t>
    </rPh>
    <rPh sb="142" eb="144">
      <t xml:space="preserve">セッチ </t>
    </rPh>
    <rPh sb="161" eb="163">
      <t xml:space="preserve">リシュウ </t>
    </rPh>
    <rPh sb="171" eb="173">
      <t xml:space="preserve">リシュウ </t>
    </rPh>
    <phoneticPr fontId="3"/>
  </si>
  <si>
    <t>教育情報委員会は、本学の教育課程の実施と教育の内部質保証の推進について審議する全学教育機構のもとに位置付けられ、情報セキュリティー教育等を含む「情報教育に関する事項」ならびに「教育・学事の情報化に関する事項」等について審議する組織である。同委員会において、主に本プログラムの軸となる全学必修科目「情報処理」の実施・改善の検討を行っている。
さらに令和４年度中には、データサイエンスセンター（仮称）を設置し、同委員会も維持しつつ、より強化した形でプログラムを改善・進化させるための体制を整える。</t>
    <phoneticPr fontId="3"/>
  </si>
  <si>
    <t>https://www.kochi-u.ac.jp/gakubu/kyotsu-kyoiku/ds-literacy.html</t>
    <phoneticPr fontId="3"/>
  </si>
  <si>
    <t>学修成果は、プログラムの選択科目受講生全員を対象としたアンケートの実施・分析を通じて確認し、評価・改善に活用している。
選択科目を一部履修した者を含むアンケート全体の回答率は44.1％であったが、プログラム修了者に限れば66.7%が回答しており、有効なデータを収集することができた。それによれば、科目群A,B共に94%以上が関心を惹く講義内容であり、科目群Aは100%、Bは89%がわかりやすい内容であったとの回答を得たことから、学修成果は十分に上がったものと判断される。なお、プログラム修了要件を満たす全科目を履修登録した学生について、単位修得率は100%である。</t>
    <rPh sb="0" eb="2">
      <t>ガクシュウ</t>
    </rPh>
    <rPh sb="2" eb="4">
      <t>セイカ</t>
    </rPh>
    <rPh sb="12" eb="14">
      <t>センタク</t>
    </rPh>
    <rPh sb="14" eb="16">
      <t>カモク</t>
    </rPh>
    <rPh sb="16" eb="18">
      <t>ジュコウ</t>
    </rPh>
    <rPh sb="18" eb="19">
      <t>セイ</t>
    </rPh>
    <rPh sb="19" eb="21">
      <t>ゼンイン</t>
    </rPh>
    <rPh sb="22" eb="24">
      <t>タイショウ</t>
    </rPh>
    <rPh sb="33" eb="35">
      <t>ジッシ</t>
    </rPh>
    <rPh sb="36" eb="38">
      <t>ブンセキ</t>
    </rPh>
    <rPh sb="39" eb="40">
      <t>ツウ</t>
    </rPh>
    <rPh sb="42" eb="44">
      <t>カクニン</t>
    </rPh>
    <rPh sb="46" eb="48">
      <t>ヒョウカ</t>
    </rPh>
    <rPh sb="49" eb="51">
      <t>カイゼン</t>
    </rPh>
    <rPh sb="52" eb="54">
      <t>カツヨウ</t>
    </rPh>
    <rPh sb="60" eb="64">
      <t xml:space="preserve">センタクカモク </t>
    </rPh>
    <rPh sb="65" eb="67">
      <t xml:space="preserve">イチブ </t>
    </rPh>
    <rPh sb="67" eb="69">
      <t xml:space="preserve">リシュウ </t>
    </rPh>
    <rPh sb="71" eb="72">
      <t xml:space="preserve">モノ </t>
    </rPh>
    <rPh sb="73" eb="74">
      <t xml:space="preserve">フクム </t>
    </rPh>
    <rPh sb="80" eb="82">
      <t>ゼンタイ</t>
    </rPh>
    <rPh sb="83" eb="86">
      <t xml:space="preserve">カイトウリツハ </t>
    </rPh>
    <rPh sb="103" eb="106">
      <t xml:space="preserve">シュウリョウシャ </t>
    </rPh>
    <rPh sb="107" eb="108">
      <t xml:space="preserve">カギレバ </t>
    </rPh>
    <rPh sb="116" eb="118">
      <t xml:space="preserve">カイトウ </t>
    </rPh>
    <rPh sb="123" eb="125">
      <t xml:space="preserve">ユウコウナ </t>
    </rPh>
    <rPh sb="130" eb="132">
      <t xml:space="preserve">シュウシュウ </t>
    </rPh>
    <rPh sb="148" eb="151">
      <t xml:space="preserve">カモクグン </t>
    </rPh>
    <rPh sb="154" eb="155">
      <t xml:space="preserve">トモニ </t>
    </rPh>
    <rPh sb="159" eb="161">
      <t xml:space="preserve">イジョウ </t>
    </rPh>
    <rPh sb="162" eb="164">
      <t xml:space="preserve">カンシン </t>
    </rPh>
    <rPh sb="165" eb="166">
      <t xml:space="preserve">ヒク </t>
    </rPh>
    <rPh sb="167" eb="171">
      <t xml:space="preserve">コウギナイヨウ </t>
    </rPh>
    <rPh sb="175" eb="178">
      <t xml:space="preserve">カモクグン </t>
    </rPh>
    <rPh sb="197" eb="199">
      <t xml:space="preserve">ナイヨウ </t>
    </rPh>
    <rPh sb="205" eb="207">
      <t xml:space="preserve">カイトウ </t>
    </rPh>
    <rPh sb="208" eb="209">
      <t xml:space="preserve">エタコトカラ </t>
    </rPh>
    <rPh sb="215" eb="217">
      <t xml:space="preserve">ガクシュウ </t>
    </rPh>
    <rPh sb="217" eb="219">
      <t xml:space="preserve">ガクシュウセイカハ </t>
    </rPh>
    <rPh sb="220" eb="222">
      <t xml:space="preserve">ジュウブン </t>
    </rPh>
    <rPh sb="223" eb="224">
      <t xml:space="preserve">アガッタモノトハンダン </t>
    </rPh>
    <rPh sb="256" eb="258">
      <t>リシュウ</t>
    </rPh>
    <rPh sb="258" eb="260">
      <t>トウロク</t>
    </rPh>
    <rPh sb="262" eb="264">
      <t>ガクセイ</t>
    </rPh>
    <rPh sb="269" eb="271">
      <t>タンイ</t>
    </rPh>
    <rPh sb="271" eb="273">
      <t>シュウトク</t>
    </rPh>
    <rPh sb="273" eb="274">
      <t>リツ</t>
    </rPh>
    <phoneticPr fontId="3"/>
  </si>
  <si>
    <t xml:space="preserve">アンケートによれば、科目群A,B共にデータサイエンスに関する理解が深まったとする回答が90%を超えており、学生の理解度は十分であったことが窺える。さらに、「AIがどのように活用されているか理解できた」「簡単なプログラミングができるようになった」といった個別意見により、具体的に理解できた内容が明らかにされていることがわかった。
</t>
    <rPh sb="10" eb="13">
      <t xml:space="preserve">カモクグン </t>
    </rPh>
    <rPh sb="16" eb="17">
      <t xml:space="preserve">トモニ </t>
    </rPh>
    <rPh sb="27" eb="28">
      <t xml:space="preserve">カンスル </t>
    </rPh>
    <rPh sb="30" eb="32">
      <t xml:space="preserve">リカイガ </t>
    </rPh>
    <rPh sb="33" eb="34">
      <t xml:space="preserve">フカマッタ </t>
    </rPh>
    <rPh sb="47" eb="48">
      <t xml:space="preserve">コエテオリ </t>
    </rPh>
    <rPh sb="53" eb="56">
      <t xml:space="preserve">リカイドハ </t>
    </rPh>
    <rPh sb="57" eb="59">
      <t xml:space="preserve">ガクセイ </t>
    </rPh>
    <rPh sb="60" eb="62">
      <t xml:space="preserve">ジュウブン </t>
    </rPh>
    <rPh sb="69" eb="70">
      <t xml:space="preserve">ウカガエル </t>
    </rPh>
    <rPh sb="86" eb="88">
      <t xml:space="preserve">カツヨウ </t>
    </rPh>
    <rPh sb="94" eb="96">
      <t xml:space="preserve">リカイ </t>
    </rPh>
    <rPh sb="101" eb="103">
      <t xml:space="preserve">カンタンナ </t>
    </rPh>
    <rPh sb="126" eb="130">
      <t xml:space="preserve">コベツイケン </t>
    </rPh>
    <rPh sb="134" eb="137">
      <t xml:space="preserve">グタイテキニ </t>
    </rPh>
    <rPh sb="138" eb="140">
      <t xml:space="preserve">リカイ </t>
    </rPh>
    <rPh sb="146" eb="147">
      <t xml:space="preserve">アキラカニ </t>
    </rPh>
    <phoneticPr fontId="3"/>
  </si>
  <si>
    <t>本学のプログラムは学部１、２年生を主なターゲットとして令和３年度から実施を始めたばかりであり、プログラム修了者の進路などについては、今後の進展を待たなければいけない。
最短で令和５年度以降の卒業生調査において、本教育プログラムを修了した卒業生の進路先や活躍状況の把握が可能である。</t>
    <rPh sb="0" eb="2">
      <t xml:space="preserve">ホンガクノ </t>
    </rPh>
    <rPh sb="9" eb="11">
      <t xml:space="preserve">ガクブ </t>
    </rPh>
    <rPh sb="15" eb="16">
      <t xml:space="preserve">セイ </t>
    </rPh>
    <rPh sb="17" eb="18">
      <t xml:space="preserve">オモナ </t>
    </rPh>
    <rPh sb="27" eb="29">
      <t xml:space="preserve">レイワ </t>
    </rPh>
    <rPh sb="34" eb="36">
      <t xml:space="preserve">ジッシ </t>
    </rPh>
    <rPh sb="37" eb="38">
      <t xml:space="preserve">ハジメタ </t>
    </rPh>
    <rPh sb="52" eb="55">
      <t xml:space="preserve">シュウリョウシャ </t>
    </rPh>
    <rPh sb="56" eb="58">
      <t xml:space="preserve">シンロ </t>
    </rPh>
    <rPh sb="66" eb="68">
      <t xml:space="preserve">コンゴ </t>
    </rPh>
    <rPh sb="69" eb="71">
      <t xml:space="preserve">シンテン </t>
    </rPh>
    <rPh sb="72" eb="73">
      <t xml:space="preserve">マタナケレバイケナイ </t>
    </rPh>
    <rPh sb="84" eb="86">
      <t>サイタン</t>
    </rPh>
    <phoneticPr fontId="3"/>
  </si>
  <si>
    <t>選択科目群Aは、企業の第一線で活躍する人材を講師として招聘しており、科目の内容には産業界からの視点があらかじめ含まれていると認識している。また、授業終了後にフィードバックを受け、プログラムの改善に役立てている。
選択科目群BのうちのPBLを活用した授業においては、課題を提示した企業からの意見を直接聞く機会があり、PBLが学生の自主的な活動により、良い成果が出たとの講評を得ている。</t>
    <rPh sb="4" eb="5">
      <t xml:space="preserve">グン </t>
    </rPh>
    <rPh sb="8" eb="10">
      <t xml:space="preserve">キギョウノ </t>
    </rPh>
    <rPh sb="11" eb="14">
      <t xml:space="preserve">ダイイッセン </t>
    </rPh>
    <rPh sb="15" eb="17">
      <t xml:space="preserve">カツヤク </t>
    </rPh>
    <rPh sb="19" eb="21">
      <t xml:space="preserve">ジンザイヲ </t>
    </rPh>
    <rPh sb="22" eb="24">
      <t xml:space="preserve">コウシト </t>
    </rPh>
    <rPh sb="27" eb="29">
      <t xml:space="preserve">ショウヘイ </t>
    </rPh>
    <rPh sb="34" eb="36">
      <t xml:space="preserve">カモク </t>
    </rPh>
    <rPh sb="37" eb="39">
      <t xml:space="preserve">ナイヨウニハ </t>
    </rPh>
    <rPh sb="41" eb="44">
      <t xml:space="preserve">サンギョウカイ </t>
    </rPh>
    <rPh sb="47" eb="49">
      <t xml:space="preserve">シテン </t>
    </rPh>
    <rPh sb="55" eb="56">
      <t xml:space="preserve">フクマレテイル </t>
    </rPh>
    <rPh sb="62" eb="64">
      <t xml:space="preserve">ニンシキ </t>
    </rPh>
    <rPh sb="72" eb="74">
      <t>ジュギョウ</t>
    </rPh>
    <rPh sb="74" eb="77">
      <t>シュウリョウゴ</t>
    </rPh>
    <rPh sb="86" eb="87">
      <t>ウ</t>
    </rPh>
    <rPh sb="95" eb="97">
      <t>カイゼン</t>
    </rPh>
    <rPh sb="98" eb="100">
      <t>ヤクダ</t>
    </rPh>
    <rPh sb="110" eb="111">
      <t xml:space="preserve">グン </t>
    </rPh>
    <rPh sb="120" eb="122">
      <t xml:space="preserve">カツヨウ </t>
    </rPh>
    <rPh sb="124" eb="126">
      <t xml:space="preserve">ジュギョウ </t>
    </rPh>
    <rPh sb="132" eb="134">
      <t xml:space="preserve">カダイ </t>
    </rPh>
    <rPh sb="135" eb="137">
      <t xml:space="preserve">テイジシタ </t>
    </rPh>
    <rPh sb="139" eb="141">
      <t xml:space="preserve">キギョウカラノ </t>
    </rPh>
    <rPh sb="144" eb="146">
      <t xml:space="preserve">イケン </t>
    </rPh>
    <rPh sb="147" eb="149">
      <t xml:space="preserve">チョクセツ </t>
    </rPh>
    <rPh sb="149" eb="150">
      <t xml:space="preserve">キク </t>
    </rPh>
    <rPh sb="151" eb="153">
      <t xml:space="preserve">キカイガ </t>
    </rPh>
    <rPh sb="161" eb="163">
      <t xml:space="preserve">ガクセイ </t>
    </rPh>
    <rPh sb="164" eb="167">
      <t xml:space="preserve">ジシュテキナ </t>
    </rPh>
    <rPh sb="168" eb="170">
      <t xml:space="preserve">カツドウ </t>
    </rPh>
    <rPh sb="174" eb="175">
      <t xml:space="preserve">ヨイセイカガ </t>
    </rPh>
    <rPh sb="179" eb="180">
      <t xml:space="preserve">デタトノ </t>
    </rPh>
    <rPh sb="183" eb="185">
      <t xml:space="preserve">コウヒョウ </t>
    </rPh>
    <rPh sb="186" eb="187">
      <t xml:space="preserve">エテイル </t>
    </rPh>
    <phoneticPr fontId="3"/>
  </si>
  <si>
    <t>学生アンケートによる回答から、講義内容については極めて関心が高く、なおかつ、わかりやすいものであったことが明らかになっている。さらに個別意見により、「新しい視野の構築」「現代社会の流れを理解する」といった意義を受講生が十分に認識しつつ、「実践的でわかりやすく、楽しめた」、「グループワークが楽しい」、「プログラミングして出来上がった時の達成感がよかった」など、これらの科目を受講して「学ぶ楽しさ」を十分享受しつつ「学ぶことの意義」を理解していたことが窺える。</t>
    <rPh sb="0" eb="2">
      <t xml:space="preserve">ガクセイ </t>
    </rPh>
    <rPh sb="10" eb="12">
      <t xml:space="preserve">カイトウ </t>
    </rPh>
    <rPh sb="15" eb="19">
      <t xml:space="preserve">コウギナイヨウ </t>
    </rPh>
    <rPh sb="24" eb="25">
      <t xml:space="preserve">キワメテ </t>
    </rPh>
    <rPh sb="27" eb="29">
      <t xml:space="preserve">カンシン </t>
    </rPh>
    <rPh sb="30" eb="31">
      <t xml:space="preserve">タカク </t>
    </rPh>
    <rPh sb="53" eb="54">
      <t xml:space="preserve">アキラカニ </t>
    </rPh>
    <rPh sb="66" eb="68">
      <t xml:space="preserve">コベツ </t>
    </rPh>
    <rPh sb="68" eb="70">
      <t xml:space="preserve">イケン </t>
    </rPh>
    <rPh sb="75" eb="76">
      <t xml:space="preserve">アタラシイ </t>
    </rPh>
    <rPh sb="78" eb="80">
      <t xml:space="preserve">シヤノ </t>
    </rPh>
    <rPh sb="81" eb="83">
      <t xml:space="preserve">コウチク </t>
    </rPh>
    <rPh sb="87" eb="89">
      <t xml:space="preserve">シャカイノ </t>
    </rPh>
    <rPh sb="90" eb="91">
      <t xml:space="preserve">ナガレヲ </t>
    </rPh>
    <rPh sb="93" eb="95">
      <t xml:space="preserve">リカイスル </t>
    </rPh>
    <rPh sb="102" eb="104">
      <t xml:space="preserve">イギヲ </t>
    </rPh>
    <rPh sb="105" eb="108">
      <t xml:space="preserve">ジュコウセイ </t>
    </rPh>
    <rPh sb="109" eb="111">
      <t xml:space="preserve">ジュウブン </t>
    </rPh>
    <rPh sb="112" eb="114">
      <t xml:space="preserve">ニンシキ </t>
    </rPh>
    <rPh sb="119" eb="122">
      <t xml:space="preserve">ジッセンテキ </t>
    </rPh>
    <rPh sb="130" eb="131">
      <t xml:space="preserve">タノシメタ </t>
    </rPh>
    <rPh sb="145" eb="146">
      <t xml:space="preserve">タノシイ </t>
    </rPh>
    <rPh sb="160" eb="163">
      <t xml:space="preserve">デキアガッタトキノ </t>
    </rPh>
    <rPh sb="168" eb="170">
      <t xml:space="preserve">タッセイ </t>
    </rPh>
    <rPh sb="170" eb="171">
      <t xml:space="preserve">カン </t>
    </rPh>
    <rPh sb="184" eb="186">
      <t xml:space="preserve">カモク </t>
    </rPh>
    <rPh sb="187" eb="189">
      <t xml:space="preserve">ジュコウシテ </t>
    </rPh>
    <rPh sb="192" eb="193">
      <t xml:space="preserve">マナブタノシサ </t>
    </rPh>
    <rPh sb="199" eb="201">
      <t xml:space="preserve">ジュウブン </t>
    </rPh>
    <rPh sb="201" eb="203">
      <t xml:space="preserve">キョウジュ </t>
    </rPh>
    <rPh sb="207" eb="208">
      <t xml:space="preserve">マナブコトノ </t>
    </rPh>
    <rPh sb="216" eb="218">
      <t xml:space="preserve">リカイ </t>
    </rPh>
    <rPh sb="225" eb="226">
      <t xml:space="preserve">ウカガエル </t>
    </rPh>
    <phoneticPr fontId="3"/>
  </si>
  <si>
    <t>特に理系の基礎に弱い人文系の学生に対して、「基礎」となるデータ解析を理解させるために、サンプルプログラムを多用し、まずは結果を知ることができるという指導を徹底したことにより、受講生が十分な必要性を認識しつつ、比較的容易に高いハードルを乗り越えることができるような講義が可能となったものと評価される。</t>
    <rPh sb="0" eb="1">
      <t xml:space="preserve">トクニ </t>
    </rPh>
    <rPh sb="2" eb="4">
      <t xml:space="preserve">リケイ </t>
    </rPh>
    <rPh sb="5" eb="7">
      <t xml:space="preserve">キソ </t>
    </rPh>
    <rPh sb="8" eb="9">
      <t xml:space="preserve">ヨワイ </t>
    </rPh>
    <rPh sb="10" eb="12">
      <t xml:space="preserve">ジンブン </t>
    </rPh>
    <rPh sb="12" eb="13">
      <t xml:space="preserve">ケイノ </t>
    </rPh>
    <rPh sb="14" eb="16">
      <t xml:space="preserve">ガクセイ </t>
    </rPh>
    <rPh sb="34" eb="36">
      <t xml:space="preserve">リカイ </t>
    </rPh>
    <rPh sb="53" eb="55">
      <t xml:space="preserve">タヨウスル </t>
    </rPh>
    <rPh sb="60" eb="62">
      <t xml:space="preserve">ケッカ </t>
    </rPh>
    <rPh sb="63" eb="64">
      <t xml:space="preserve">シルコトガ </t>
    </rPh>
    <rPh sb="74" eb="76">
      <t xml:space="preserve">シドウ </t>
    </rPh>
    <rPh sb="77" eb="79">
      <t xml:space="preserve">テッテイ </t>
    </rPh>
    <rPh sb="87" eb="90">
      <t xml:space="preserve">ジュコウセイガ </t>
    </rPh>
    <rPh sb="91" eb="93">
      <t xml:space="preserve">ジュウブンナ </t>
    </rPh>
    <rPh sb="94" eb="97">
      <t xml:space="preserve">ヒツヨウセイ </t>
    </rPh>
    <rPh sb="98" eb="100">
      <t xml:space="preserve">ニンシキ </t>
    </rPh>
    <rPh sb="104" eb="107">
      <t xml:space="preserve">ヒカクテキ </t>
    </rPh>
    <rPh sb="107" eb="109">
      <t xml:space="preserve">ヨウイ </t>
    </rPh>
    <rPh sb="110" eb="111">
      <t xml:space="preserve">タカイハードルヲ </t>
    </rPh>
    <rPh sb="117" eb="118">
      <t xml:space="preserve">ノリコエル </t>
    </rPh>
    <rPh sb="131" eb="133">
      <t xml:space="preserve">コウギ </t>
    </rPh>
    <rPh sb="134" eb="136">
      <t xml:space="preserve">カノウ </t>
    </rPh>
    <rPh sb="143" eb="145">
      <t xml:space="preserve">ヒョウカ </t>
    </rPh>
    <phoneticPr fontId="3"/>
  </si>
  <si>
    <r>
      <t>2021年度はプログラム開設初年度でもあり教員の受け入れキャパシティの制限から、プログラム修得可能人数を 70 名と計画していたが、選択科目の一部だけを履修した者も含めると、152 名が受講するといった予想を上回る反響があった。ただし、プログラムとしての周知は不十分であり、受講者の中にも受講した科目がプログラムの一部であることを認識していない者が多く、プログラム修了者は33名に留まった。これは当初の計画から見れば50%弱の達成率となるが、今後オリエンテーションや初年次必修科目の「情報処理」を通じた周知を徹底することにより、当初予定を上回る履修者が見込めるものと考えている。</t>
    </r>
    <r>
      <rPr>
        <strike/>
        <sz val="12"/>
        <color theme="1"/>
        <rFont val="ＭＳ Ｐゴシック"/>
        <family val="3"/>
        <charset val="128"/>
        <scheme val="minor"/>
      </rPr>
      <t/>
    </r>
    <rPh sb="4" eb="6">
      <t>ネンド</t>
    </rPh>
    <rPh sb="58" eb="60">
      <t>ケイカク</t>
    </rPh>
    <rPh sb="172" eb="173">
      <t>モノ</t>
    </rPh>
    <rPh sb="233" eb="234">
      <t>ショ</t>
    </rPh>
    <phoneticPr fontId="3"/>
  </si>
  <si>
    <t>「導入、心得」を含む科目群の推奨度は84%、「基礎」を含む科目群の推奨度は74%であり、いずれも受講生にとって好感度の高い講義であったことが窺えた。個別意見としては、学生自身が、データサイエンスが現代社会に必要な事項であるとの認識を踏まえて、「現代社会に必要な事柄を学ぶことができる」「AIやDXが実社会でどのように活用されているかを知ることができる」「プログラミングができるようになる」といったことが推奨の動機となっている。</t>
    <rPh sb="1" eb="3">
      <t xml:space="preserve">ドウニュウ </t>
    </rPh>
    <rPh sb="8" eb="9">
      <t xml:space="preserve">フクム </t>
    </rPh>
    <rPh sb="10" eb="13">
      <t xml:space="preserve">カモクグン </t>
    </rPh>
    <rPh sb="14" eb="17">
      <t xml:space="preserve">スイショウド </t>
    </rPh>
    <rPh sb="23" eb="25">
      <t xml:space="preserve">キソ </t>
    </rPh>
    <rPh sb="27" eb="28">
      <t xml:space="preserve">フクム </t>
    </rPh>
    <rPh sb="29" eb="32">
      <t xml:space="preserve">カモクグン </t>
    </rPh>
    <rPh sb="33" eb="36">
      <t xml:space="preserve">スイショウドハ </t>
    </rPh>
    <rPh sb="48" eb="51">
      <t xml:space="preserve">ジュコウセイ </t>
    </rPh>
    <rPh sb="55" eb="58">
      <t xml:space="preserve">コウカンド </t>
    </rPh>
    <rPh sb="59" eb="60">
      <t xml:space="preserve">タカイ </t>
    </rPh>
    <rPh sb="61" eb="63">
      <t xml:space="preserve">コウギ </t>
    </rPh>
    <rPh sb="70" eb="71">
      <t xml:space="preserve">ウカガエタ </t>
    </rPh>
    <rPh sb="74" eb="76">
      <t xml:space="preserve">コベツ </t>
    </rPh>
    <rPh sb="76" eb="78">
      <t xml:space="preserve">イケン </t>
    </rPh>
    <rPh sb="83" eb="87">
      <t xml:space="preserve">ガクセイジシン </t>
    </rPh>
    <rPh sb="98" eb="102">
      <t xml:space="preserve">ゲンダイシャカイニ </t>
    </rPh>
    <rPh sb="103" eb="105">
      <t xml:space="preserve">ヒツヨウナ </t>
    </rPh>
    <rPh sb="106" eb="108">
      <t xml:space="preserve">ジコウト </t>
    </rPh>
    <rPh sb="113" eb="115">
      <t xml:space="preserve">ニンシキ </t>
    </rPh>
    <rPh sb="116" eb="117">
      <t xml:space="preserve">フマエテ </t>
    </rPh>
    <rPh sb="124" eb="126">
      <t xml:space="preserve">シャカイニ </t>
    </rPh>
    <rPh sb="127" eb="129">
      <t xml:space="preserve">ヒツヨウナ </t>
    </rPh>
    <rPh sb="130" eb="132">
      <t xml:space="preserve">コトガラ </t>
    </rPh>
    <rPh sb="133" eb="134">
      <t xml:space="preserve">マナブ </t>
    </rPh>
    <rPh sb="149" eb="152">
      <t xml:space="preserve">ジッシャカイ </t>
    </rPh>
    <rPh sb="158" eb="160">
      <t xml:space="preserve">カツヨウ </t>
    </rPh>
    <rPh sb="167" eb="168">
      <t xml:space="preserve">シルコトガ </t>
    </rPh>
    <rPh sb="201" eb="203">
      <t xml:space="preserve">スイショウ </t>
    </rPh>
    <rPh sb="204" eb="206">
      <t xml:space="preserve">ドウキ </t>
    </rPh>
    <phoneticPr fontId="3"/>
  </si>
  <si>
    <t>令和３年度については、受入可能数の50%弱に相当する数の修了者を認定することができ、開始初年度としては、良好な結果であった。学生アンケートによれば、プログラム内の科目を履修している者であってもプログラムを認識していない学生が多く、周知が十分でなかったことが反省点である。令和４、５年度については、現行プログラムの改善を図りつつ、潜在的に関心を持つ学生に情報が行き届くよう積極的に周知活動を行う。令和３年度実績で、プログラム修了者を除き、プログラムを構成する選択科目（選択A群、選択B群）のいずれかを履修している学生は119名おり、令和４年度以降より多くのプログラム修了者を育成することができると考えている。</t>
    <rPh sb="0" eb="2">
      <t xml:space="preserve">レイワ </t>
    </rPh>
    <rPh sb="11" eb="13">
      <t>ウケイレ</t>
    </rPh>
    <rPh sb="13" eb="16">
      <t xml:space="preserve">カノウスウ </t>
    </rPh>
    <rPh sb="20" eb="21">
      <t xml:space="preserve">ジャク </t>
    </rPh>
    <rPh sb="22" eb="24">
      <t xml:space="preserve">ソウトウスル </t>
    </rPh>
    <rPh sb="26" eb="27">
      <t>カズ</t>
    </rPh>
    <rPh sb="28" eb="30">
      <t xml:space="preserve">シュウリョウ </t>
    </rPh>
    <rPh sb="30" eb="31">
      <t xml:space="preserve">シュウトクシャ </t>
    </rPh>
    <rPh sb="32" eb="34">
      <t>ニンテイ</t>
    </rPh>
    <rPh sb="42" eb="44">
      <t xml:space="preserve">カイシ </t>
    </rPh>
    <rPh sb="44" eb="47">
      <t xml:space="preserve">ショネンド </t>
    </rPh>
    <rPh sb="52" eb="54">
      <t xml:space="preserve">リョウコウ </t>
    </rPh>
    <rPh sb="55" eb="57">
      <t xml:space="preserve">ケッカデアッタ </t>
    </rPh>
    <rPh sb="62" eb="64">
      <t xml:space="preserve">ガクセイ </t>
    </rPh>
    <rPh sb="84" eb="86">
      <t xml:space="preserve">リシュウ </t>
    </rPh>
    <rPh sb="90" eb="91">
      <t xml:space="preserve">モノ </t>
    </rPh>
    <rPh sb="102" eb="104">
      <t xml:space="preserve">ニンシキ </t>
    </rPh>
    <rPh sb="112" eb="113">
      <t xml:space="preserve">オオク </t>
    </rPh>
    <rPh sb="115" eb="117">
      <t xml:space="preserve">シュウチ </t>
    </rPh>
    <rPh sb="118" eb="120">
      <t xml:space="preserve">ジュウブン </t>
    </rPh>
    <rPh sb="128" eb="131">
      <t xml:space="preserve">ハンセイテン </t>
    </rPh>
    <rPh sb="274" eb="275">
      <t xml:space="preserve">オオクノ </t>
    </rPh>
    <rPh sb="282" eb="284">
      <t xml:space="preserve">シュウリョウ </t>
    </rPh>
    <rPh sb="284" eb="285">
      <t xml:space="preserve">シュウトクシャ </t>
    </rPh>
    <rPh sb="286" eb="288">
      <t xml:space="preserve">イクセイ </t>
    </rPh>
    <rPh sb="297" eb="298">
      <t xml:space="preserve">カンガエテイル </t>
    </rPh>
    <phoneticPr fontId="3"/>
  </si>
  <si>
    <t>実社会における行動決定にデータがどのように利用されているかを把握すると共に、そのデータの信頼性について検討できる能力
実社会において利活用されているAIの仕組みを理解する能力</t>
    <rPh sb="0" eb="3">
      <t xml:space="preserve">ジッシャカイ </t>
    </rPh>
    <rPh sb="7" eb="9">
      <t xml:space="preserve">コウドウ </t>
    </rPh>
    <rPh sb="9" eb="11">
      <t xml:space="preserve">ケッテイ </t>
    </rPh>
    <rPh sb="21" eb="23">
      <t xml:space="preserve">リヨウ </t>
    </rPh>
    <rPh sb="30" eb="32">
      <t xml:space="preserve">ハアク </t>
    </rPh>
    <rPh sb="44" eb="47">
      <t xml:space="preserve">シンライセイ </t>
    </rPh>
    <rPh sb="51" eb="53">
      <t xml:space="preserve">ケントウ </t>
    </rPh>
    <rPh sb="59" eb="62">
      <t xml:space="preserve">ジッシャカイ </t>
    </rPh>
    <rPh sb="77" eb="79">
      <t xml:space="preserve">シクミヲ </t>
    </rPh>
    <rPh sb="81" eb="83">
      <t xml:space="preserve">リカイ </t>
    </rPh>
    <rPh sb="85" eb="87">
      <t xml:space="preserve">ノウリョク </t>
    </rPh>
    <phoneticPr fontId="3"/>
  </si>
  <si>
    <t>様式２</t>
    <phoneticPr fontId="3"/>
  </si>
  <si>
    <t>・データサイエンスが注目される背景、ビッグデータ 、AI、Society 5.0、データ駆動型社会、IoT「情報処理」（クラス毎に実施回は異なる）
・最新ITでつくる私たちの社会「DXとビジネス創出」（第1,回）
・AIの概要「さわってわかるAI講座」（第１〜４回）
・社会で起きている変化とデータ・AI利活用「データ活用のためのプログラミング入門」（第１回）
・データサイエンス・Society 5.0、AI、IoT、ビッグデータ「データ活用のためのプログラミング入門」（第15回）</t>
    <rPh sb="10" eb="12">
      <t>チュウモク</t>
    </rPh>
    <rPh sb="15" eb="17">
      <t>ハイケイ</t>
    </rPh>
    <rPh sb="44" eb="47">
      <t>クドウガタ</t>
    </rPh>
    <rPh sb="47" eb="49">
      <t>シャカイ</t>
    </rPh>
    <rPh sb="75" eb="77">
      <t xml:space="preserve">サイシン </t>
    </rPh>
    <rPh sb="83" eb="84">
      <t xml:space="preserve">ワタシタチノ </t>
    </rPh>
    <rPh sb="87" eb="89">
      <t xml:space="preserve">シャカイ </t>
    </rPh>
    <rPh sb="97" eb="99">
      <t>ソウシュツ</t>
    </rPh>
    <rPh sb="101" eb="102">
      <t>ダイ</t>
    </rPh>
    <rPh sb="104" eb="105">
      <t>カイ</t>
    </rPh>
    <rPh sb="111" eb="113">
      <t xml:space="preserve">ガイヨウ </t>
    </rPh>
    <rPh sb="123" eb="125">
      <t>コウザ</t>
    </rPh>
    <rPh sb="135" eb="137">
      <t>シャカイ</t>
    </rPh>
    <rPh sb="138" eb="139">
      <t>オ</t>
    </rPh>
    <rPh sb="143" eb="145">
      <t>ヘンカ</t>
    </rPh>
    <rPh sb="152" eb="155">
      <t>リカツヨウ</t>
    </rPh>
    <rPh sb="159" eb="161">
      <t>カツヨウ</t>
    </rPh>
    <rPh sb="172" eb="174">
      <t>ニュウモン</t>
    </rPh>
    <rPh sb="176" eb="177">
      <t>ダイ</t>
    </rPh>
    <rPh sb="178" eb="179">
      <t>カイ</t>
    </rPh>
    <phoneticPr fontId="3"/>
  </si>
  <si>
    <t>・SaaSビジネスと新規事業創出, アフターコロナにおけるコンテンツビジネス「DXとビジネス創出」（第3,4回）
・AIの概要「さわってわかるAI講座」（第１〜４回）
・データ・AI利活用の最新動向「データ活用のためのプログラミング入門」（第１回）</t>
    <rPh sb="10" eb="12">
      <t>シンキ</t>
    </rPh>
    <rPh sb="12" eb="14">
      <t>ジギョウ</t>
    </rPh>
    <rPh sb="14" eb="16">
      <t>ソウシュツ</t>
    </rPh>
    <rPh sb="61" eb="63">
      <t xml:space="preserve">ガイヨウ </t>
    </rPh>
    <rPh sb="95" eb="97">
      <t>サイシン</t>
    </rPh>
    <rPh sb="97" eb="99">
      <t>ドウコウ</t>
    </rPh>
    <phoneticPr fontId="3"/>
  </si>
  <si>
    <t>・ 行動ログ・位置情報等、構造化データ、非構造化データ、時系列データ「情報処理」（クラス毎に実施回は異なる）
・社会で活用されているデータ「DXとビジネス創出」（第１～14回）
・具体例を用いた統計学のアプローチ「さわってわかるAI講座」（第１〜４回）
・社会で活用されているデータ「データ活用のためのプログラミング入門」（第１回）</t>
    <rPh sb="2" eb="4">
      <t>コウドウ</t>
    </rPh>
    <rPh sb="7" eb="9">
      <t>イチ</t>
    </rPh>
    <rPh sb="9" eb="11">
      <t>ジョウホウ</t>
    </rPh>
    <rPh sb="11" eb="12">
      <t>トウ</t>
    </rPh>
    <rPh sb="13" eb="16">
      <t>コウゾウカ</t>
    </rPh>
    <rPh sb="20" eb="21">
      <t>ヒ</t>
    </rPh>
    <rPh sb="21" eb="24">
      <t>コウゾウカ</t>
    </rPh>
    <rPh sb="28" eb="31">
      <t>ジケイレツ</t>
    </rPh>
    <rPh sb="90" eb="93">
      <t xml:space="preserve">グタイレイ </t>
    </rPh>
    <rPh sb="94" eb="95">
      <t xml:space="preserve">モチイタ </t>
    </rPh>
    <rPh sb="97" eb="100">
      <t xml:space="preserve">トウケイガク </t>
    </rPh>
    <rPh sb="129" eb="131">
      <t>カツヨウ</t>
    </rPh>
    <phoneticPr fontId="3"/>
  </si>
  <si>
    <t>・データサイエンス活用分野「情報処理」（クラス毎に実施回は異なる）
・ビッグデータのビジネス活用事例「DXとビジネス創出」（第6,7回）
・具体例を用いた統計学のアプローチ「さわってわかるAI講座」（第１〜４回）</t>
    <rPh sb="9" eb="11">
      <t>カツヨウ</t>
    </rPh>
    <rPh sb="11" eb="13">
      <t>ブンヤ</t>
    </rPh>
    <rPh sb="46" eb="48">
      <t xml:space="preserve">カツヨウ </t>
    </rPh>
    <rPh sb="48" eb="50">
      <t xml:space="preserve">ジレイ </t>
    </rPh>
    <phoneticPr fontId="3"/>
  </si>
  <si>
    <t>・データ収集・前処理、データの視覚化、パターン認識・多変量解析、機械学習、AIができることできないこと 「情報処理」（クラス毎に実施回は異なる）
・IoT×農業「DXとビジネス創出」（第2回）
・具体例を用いたディープラーニングの紹介「さわってわかるAI講座」（第5〜8回）
・データ・AI利活用のための技術「データ活用のためのプログラミング入門」（第１回）</t>
    <rPh sb="4" eb="6">
      <t>シュウシュウ</t>
    </rPh>
    <rPh sb="7" eb="10">
      <t>マエショリ</t>
    </rPh>
    <rPh sb="15" eb="18">
      <t>シカクカ</t>
    </rPh>
    <rPh sb="23" eb="25">
      <t>ニンシキ</t>
    </rPh>
    <rPh sb="26" eb="29">
      <t>タヘンリョウ</t>
    </rPh>
    <rPh sb="29" eb="31">
      <t>カイセキ</t>
    </rPh>
    <rPh sb="32" eb="34">
      <t>キカイ</t>
    </rPh>
    <rPh sb="34" eb="36">
      <t>ガクシュウ</t>
    </rPh>
    <rPh sb="78" eb="80">
      <t xml:space="preserve">ノウギョウ </t>
    </rPh>
    <rPh sb="98" eb="101">
      <t xml:space="preserve">グタイレイ </t>
    </rPh>
    <rPh sb="102" eb="103">
      <t xml:space="preserve">モチイタ </t>
    </rPh>
    <rPh sb="115" eb="117">
      <t xml:space="preserve">ショウカイ </t>
    </rPh>
    <rPh sb="143" eb="146">
      <t>リカツヨウ</t>
    </rPh>
    <rPh sb="150" eb="152">
      <t>ギジュツ</t>
    </rPh>
    <phoneticPr fontId="3"/>
  </si>
  <si>
    <t>・ビックデータ・AI活用事例 「情報処理」（クラス毎に実施回は異なる）
・AI/DL(ディープラーニング)活用事例とAI人材「DXとビジネス創出」（第5回）
・具体例を用いたディープラーニングの紹介「さわってわかるAI講座」（第5〜8回）</t>
    <rPh sb="53" eb="55">
      <t xml:space="preserve">カツヨウ </t>
    </rPh>
    <rPh sb="55" eb="57">
      <t xml:space="preserve">ジレイ </t>
    </rPh>
    <rPh sb="60" eb="62">
      <t xml:space="preserve">ジンザイ </t>
    </rPh>
    <phoneticPr fontId="3"/>
  </si>
  <si>
    <t>・ 個人情報保護、オプトアウト、データ倫理、AI社会原則、バイアス、AIサービスの責任論、データ・AI活用における負の事例紹介「情報処理」（クラス毎に実施回は異なる）
・イノベーションのためのデジタルマーケティング入門「DXとビジネス創出」（第10〜12回）
・AIを社会実装する上での考察点「さわってわかるAI講座」（第9〜12回）</t>
    <rPh sb="107" eb="109">
      <t xml:space="preserve">ニュウモン </t>
    </rPh>
    <phoneticPr fontId="3"/>
  </si>
  <si>
    <t>・情報セキュリティ、 匿名加工情報、暗号化、パスワード、悪意ある情報搾取、セキュリティ事故の事例紹介「情報処理」（クラス毎に実施回は異なる）
・イノベーションのためのデジタルマーケティング入門「DXとビジネス創出」（第10〜12回）
・AIを社会実装する上での考察点「さわってわかるAI講座」（第9〜12回）</t>
    <rPh sb="1" eb="3">
      <t>ジョウホウ</t>
    </rPh>
    <rPh sb="11" eb="13">
      <t>トクメイ</t>
    </rPh>
    <rPh sb="13" eb="15">
      <t>カコウ</t>
    </rPh>
    <rPh sb="15" eb="17">
      <t>ジョウホウ</t>
    </rPh>
    <rPh sb="18" eb="21">
      <t>アンゴウカ</t>
    </rPh>
    <rPh sb="28" eb="30">
      <t>アクイ</t>
    </rPh>
    <rPh sb="32" eb="34">
      <t>ジョウホウ</t>
    </rPh>
    <rPh sb="34" eb="36">
      <t>サクシュ</t>
    </rPh>
    <rPh sb="43" eb="45">
      <t>ジコ</t>
    </rPh>
    <rPh sb="46" eb="48">
      <t>ジレイ</t>
    </rPh>
    <rPh sb="48" eb="50">
      <t>ショウカイ</t>
    </rPh>
    <phoneticPr fontId="3"/>
  </si>
  <si>
    <t>・データの種類、データの分布、代表値、データのばらつき、観測データに含まれる誤差「データ活用のためのプログラミング入門」（第２回）
・課題設定と実データの収集、加工「データサイエンス実践課題演習」（第４～６回）</t>
    <rPh sb="5" eb="7">
      <t>シュルイ</t>
    </rPh>
    <rPh sb="12" eb="14">
      <t>ブンプ</t>
    </rPh>
    <rPh sb="15" eb="17">
      <t>ダイヒョウ</t>
    </rPh>
    <rPh sb="17" eb="18">
      <t>チ</t>
    </rPh>
    <rPh sb="28" eb="30">
      <t>カンソク</t>
    </rPh>
    <rPh sb="34" eb="35">
      <t>フク</t>
    </rPh>
    <rPh sb="38" eb="40">
      <t>ゴサ</t>
    </rPh>
    <rPh sb="44" eb="46">
      <t>カツヨウ</t>
    </rPh>
    <rPh sb="57" eb="59">
      <t>ニュウモン</t>
    </rPh>
    <rPh sb="91" eb="93">
      <t>ジッセン</t>
    </rPh>
    <rPh sb="93" eb="95">
      <t>カダイ</t>
    </rPh>
    <rPh sb="95" eb="97">
      <t>エンシュウ</t>
    </rPh>
    <rPh sb="103" eb="104">
      <t>カイ</t>
    </rPh>
    <phoneticPr fontId="3"/>
  </si>
  <si>
    <t>・データ表現、Pythonでグラフ作成「データ活用のためのプログラミング入門」（第７回）
・分析結果とりまとめ、データの背景にある本質的な現象を抽出する「データサイエンス実践課題演習」（第10～12回）</t>
    <rPh sb="4" eb="6">
      <t>ヒョウゲン</t>
    </rPh>
    <rPh sb="17" eb="19">
      <t>サクセイ</t>
    </rPh>
    <rPh sb="46" eb="48">
      <t>ブンセキ</t>
    </rPh>
    <rPh sb="48" eb="50">
      <t>ケッカ</t>
    </rPh>
    <rPh sb="60" eb="62">
      <t>ハイケイ</t>
    </rPh>
    <rPh sb="65" eb="67">
      <t>ホンシツ</t>
    </rPh>
    <rPh sb="67" eb="68">
      <t>テキ</t>
    </rPh>
    <rPh sb="69" eb="71">
      <t>ゲンショウ</t>
    </rPh>
    <rPh sb="72" eb="74">
      <t>チュウシュツ</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</si>
</sst>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6" x14ac:knownFonts="1">
    <font>
      <sz val="11"/>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trike/>
      <sz val="12"/>
      <color theme="1"/>
      <name val="ＭＳ Ｐゴシック"/>
      <family val="3"/>
      <charset val="128"/>
      <scheme val="minor"/>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style="hair">
        <color auto="1"/>
      </bottom>
      <diagonal/>
    </border>
  </borders>
  <cellStyleXfs count="3">
    <xf numFmtId="0" fontId="0" fillId="0" borderId="0">
      <alignment vertical="center"/>
    </xf>
    <xf numFmtId="38" fontId="8" fillId="0" borderId="0" applyFont="0" applyFill="0" applyBorder="0" applyAlignment="0" applyProtection="0">
      <alignment vertical="center"/>
    </xf>
    <xf numFmtId="0" fontId="9" fillId="0" borderId="0" applyNumberFormat="0" applyFill="0" applyBorder="0" applyAlignment="0" applyProtection="0">
      <alignment vertical="center"/>
    </xf>
  </cellStyleXfs>
  <cellXfs count="342">
    <xf numFmtId="0" fontId="0" fillId="0" borderId="0" xfId="0">
      <alignment vertical="center"/>
    </xf>
    <xf numFmtId="0" fontId="4" fillId="0" borderId="0" xfId="0" applyFont="1">
      <alignment vertical="center"/>
    </xf>
    <xf numFmtId="0" fontId="6" fillId="0" borderId="0" xfId="0" applyFont="1">
      <alignment vertical="center"/>
    </xf>
    <xf numFmtId="0" fontId="4" fillId="0" borderId="5" xfId="0" applyFont="1" applyBorder="1">
      <alignment vertical="center"/>
    </xf>
    <xf numFmtId="0" fontId="5" fillId="0" borderId="0" xfId="0" applyFont="1">
      <alignment vertical="center"/>
    </xf>
    <xf numFmtId="0" fontId="7" fillId="0" borderId="10" xfId="0" applyFont="1" applyBorder="1" applyAlignment="1">
      <alignment vertical="top" wrapText="1"/>
    </xf>
    <xf numFmtId="0" fontId="6" fillId="0" borderId="5" xfId="0" applyFont="1" applyBorder="1" applyAlignment="1">
      <alignment vertical="top" wrapText="1"/>
    </xf>
    <xf numFmtId="0" fontId="6" fillId="0" borderId="10" xfId="0" applyFont="1" applyBorder="1" applyAlignment="1">
      <alignment vertical="top" wrapText="1"/>
    </xf>
    <xf numFmtId="0" fontId="6" fillId="0" borderId="18" xfId="0" applyFont="1" applyBorder="1" applyAlignment="1">
      <alignment vertical="top" wrapText="1"/>
    </xf>
    <xf numFmtId="0" fontId="4" fillId="0" borderId="16" xfId="0" applyFont="1" applyBorder="1">
      <alignment vertical="center"/>
    </xf>
    <xf numFmtId="176" fontId="10" fillId="0" borderId="0" xfId="0" applyNumberFormat="1" applyFont="1" applyBorder="1">
      <alignment vertical="center"/>
    </xf>
    <xf numFmtId="176" fontId="10" fillId="0" borderId="3" xfId="0" applyNumberFormat="1" applyFont="1" applyBorder="1" applyAlignment="1">
      <alignment vertical="center" shrinkToFit="1"/>
    </xf>
    <xf numFmtId="0" fontId="10" fillId="0" borderId="0" xfId="0" applyFont="1" applyBorder="1" applyAlignment="1">
      <alignment horizontal="center" vertical="center" shrinkToFit="1"/>
    </xf>
    <xf numFmtId="0" fontId="11" fillId="0" borderId="0" xfId="0" applyFont="1">
      <alignment vertical="center"/>
    </xf>
    <xf numFmtId="0" fontId="10" fillId="0" borderId="0" xfId="0" applyFont="1">
      <alignment vertical="center"/>
    </xf>
    <xf numFmtId="0" fontId="10" fillId="0" borderId="0" xfId="0" applyFont="1" applyAlignment="1">
      <alignment vertical="center"/>
    </xf>
    <xf numFmtId="0" fontId="10" fillId="0" borderId="0" xfId="0" applyFont="1" applyAlignment="1">
      <alignment horizontal="left" vertical="center"/>
    </xf>
    <xf numFmtId="0" fontId="10" fillId="0" borderId="0" xfId="0" applyFont="1" applyBorder="1" applyAlignment="1">
      <alignment vertical="center"/>
    </xf>
    <xf numFmtId="0" fontId="10" fillId="0" borderId="5" xfId="0" applyFont="1" applyBorder="1">
      <alignment vertical="center"/>
    </xf>
    <xf numFmtId="176" fontId="10" fillId="0" borderId="0" xfId="0" applyNumberFormat="1" applyFont="1" applyBorder="1" applyAlignment="1">
      <alignment vertical="center" wrapText="1"/>
    </xf>
    <xf numFmtId="0" fontId="10" fillId="0" borderId="0" xfId="0" applyFont="1" applyBorder="1">
      <alignment vertical="center"/>
    </xf>
    <xf numFmtId="176" fontId="10" fillId="0" borderId="5" xfId="0" applyNumberFormat="1" applyFont="1" applyBorder="1" applyAlignment="1">
      <alignment vertical="center"/>
    </xf>
    <xf numFmtId="176" fontId="10" fillId="0" borderId="0" xfId="0" applyNumberFormat="1" applyFont="1" applyAlignment="1">
      <alignment vertical="center" wrapText="1"/>
    </xf>
    <xf numFmtId="176" fontId="10" fillId="0" borderId="0" xfId="0" applyNumberFormat="1" applyFont="1" applyAlignment="1">
      <alignment horizontal="left" vertical="center" wrapText="1"/>
    </xf>
    <xf numFmtId="0" fontId="10" fillId="0" borderId="6" xfId="0" applyFont="1" applyBorder="1" applyAlignment="1">
      <alignment vertical="center" shrinkToFit="1"/>
    </xf>
    <xf numFmtId="0" fontId="10" fillId="0" borderId="1" xfId="0" applyFont="1" applyBorder="1">
      <alignment vertical="center"/>
    </xf>
    <xf numFmtId="0" fontId="10" fillId="0" borderId="2" xfId="0" applyFont="1" applyBorder="1">
      <alignment vertical="center"/>
    </xf>
    <xf numFmtId="0" fontId="10" fillId="0" borderId="4" xfId="0" applyFont="1" applyBorder="1">
      <alignment vertical="center"/>
    </xf>
    <xf numFmtId="0" fontId="6" fillId="0" borderId="20" xfId="0" applyFont="1" applyBorder="1" applyAlignment="1">
      <alignment vertical="top" wrapText="1"/>
    </xf>
    <xf numFmtId="0" fontId="10" fillId="0" borderId="0" xfId="0" applyFont="1" applyAlignment="1">
      <alignment horizontal="center" vertical="center"/>
    </xf>
    <xf numFmtId="0" fontId="10" fillId="0" borderId="1" xfId="0" applyFont="1" applyBorder="1" applyAlignment="1">
      <alignment vertical="center" shrinkToFit="1"/>
    </xf>
    <xf numFmtId="0" fontId="12" fillId="0" borderId="0" xfId="0" applyFont="1">
      <alignment vertical="center"/>
    </xf>
    <xf numFmtId="0" fontId="14" fillId="0" borderId="20" xfId="0" applyFont="1" applyBorder="1" applyAlignment="1">
      <alignment vertical="top" shrinkToFit="1"/>
    </xf>
    <xf numFmtId="0" fontId="14" fillId="0" borderId="18" xfId="0" applyFont="1" applyBorder="1" applyAlignment="1">
      <alignment vertical="top" shrinkToFit="1"/>
    </xf>
    <xf numFmtId="0" fontId="15" fillId="0" borderId="0" xfId="0" applyFont="1">
      <alignment vertical="center"/>
    </xf>
    <xf numFmtId="0" fontId="12" fillId="0" borderId="0" xfId="0" applyFont="1" applyAlignment="1">
      <alignment vertical="center"/>
    </xf>
    <xf numFmtId="0" fontId="10" fillId="0" borderId="0" xfId="0" applyFont="1" applyBorder="1" applyAlignment="1">
      <alignment horizontal="center" vertical="center"/>
    </xf>
    <xf numFmtId="0" fontId="10" fillId="0" borderId="0" xfId="0" applyFont="1" applyBorder="1" applyAlignment="1">
      <alignment vertical="center" shrinkToFit="1"/>
    </xf>
    <xf numFmtId="0" fontId="5" fillId="0" borderId="0" xfId="0" applyFont="1" applyAlignment="1">
      <alignment horizontal="center" vertical="center"/>
    </xf>
    <xf numFmtId="0" fontId="6" fillId="0" borderId="0" xfId="0" applyFont="1" applyAlignment="1">
      <alignment vertical="top" wrapText="1"/>
    </xf>
    <xf numFmtId="0" fontId="7" fillId="0" borderId="0" xfId="0" applyFont="1" applyAlignment="1">
      <alignment vertical="top" wrapText="1"/>
    </xf>
    <xf numFmtId="0" fontId="4" fillId="0" borderId="0" xfId="0" applyFont="1" applyAlignment="1">
      <alignment horizontal="right" vertical="center"/>
    </xf>
    <xf numFmtId="0" fontId="17" fillId="0" borderId="0" xfId="0" applyFont="1" applyAlignment="1">
      <alignment horizontal="center" vertical="center"/>
    </xf>
    <xf numFmtId="0" fontId="19" fillId="0" borderId="11" xfId="0" applyFont="1" applyBorder="1" applyAlignment="1">
      <alignment horizontal="center" vertical="center"/>
    </xf>
    <xf numFmtId="0" fontId="19" fillId="0" borderId="29" xfId="0" applyFont="1" applyBorder="1" applyAlignment="1">
      <alignment horizontal="center" vertical="center" wrapText="1"/>
    </xf>
    <xf numFmtId="0" fontId="19" fillId="0" borderId="30" xfId="0" applyFont="1" applyBorder="1" applyAlignment="1">
      <alignment horizontal="center" vertical="center"/>
    </xf>
    <xf numFmtId="0" fontId="19" fillId="0" borderId="12" xfId="0" applyFont="1" applyBorder="1" applyAlignment="1">
      <alignment horizontal="center" vertical="center" wrapText="1"/>
    </xf>
    <xf numFmtId="0" fontId="5" fillId="0" borderId="0" xfId="0" applyFont="1" applyAlignment="1">
      <alignment vertical="center" shrinkToFit="1"/>
    </xf>
    <xf numFmtId="0" fontId="5" fillId="0" borderId="5" xfId="0" applyFont="1" applyBorder="1" applyAlignment="1">
      <alignment vertical="center" shrinkToFit="1"/>
    </xf>
    <xf numFmtId="176" fontId="5" fillId="0" borderId="5" xfId="0" applyNumberFormat="1" applyFont="1" applyBorder="1" applyAlignment="1">
      <alignment vertical="center" shrinkToFit="1"/>
    </xf>
    <xf numFmtId="176" fontId="5" fillId="0" borderId="31" xfId="0" applyNumberFormat="1" applyFont="1" applyBorder="1" applyAlignment="1">
      <alignment vertical="center" shrinkToFit="1"/>
    </xf>
    <xf numFmtId="176" fontId="5" fillId="0" borderId="32" xfId="0" applyNumberFormat="1" applyFont="1" applyBorder="1" applyAlignment="1">
      <alignment vertical="center" shrinkToFit="1"/>
    </xf>
    <xf numFmtId="176" fontId="5" fillId="0" borderId="10" xfId="0" applyNumberFormat="1" applyFont="1" applyBorder="1" applyAlignment="1">
      <alignment vertical="center" shrinkToFit="1"/>
    </xf>
    <xf numFmtId="176" fontId="5" fillId="0" borderId="14" xfId="0" applyNumberFormat="1" applyFont="1" applyBorder="1" applyAlignment="1">
      <alignment vertical="center" shrinkToFit="1"/>
    </xf>
    <xf numFmtId="9" fontId="5" fillId="0" borderId="10" xfId="0" applyNumberFormat="1" applyFont="1" applyBorder="1" applyAlignment="1">
      <alignment vertical="center" shrinkToFit="1"/>
    </xf>
    <xf numFmtId="0" fontId="5" fillId="0" borderId="18" xfId="0" applyFont="1" applyBorder="1" applyAlignment="1">
      <alignment vertical="center" shrinkToFit="1"/>
    </xf>
    <xf numFmtId="0" fontId="5" fillId="0" borderId="19" xfId="0" applyFont="1" applyBorder="1" applyAlignment="1">
      <alignment vertical="center" shrinkToFit="1"/>
    </xf>
    <xf numFmtId="176" fontId="5" fillId="0" borderId="19" xfId="0" applyNumberFormat="1" applyFont="1" applyBorder="1" applyAlignment="1">
      <alignment vertical="center" shrinkToFit="1"/>
    </xf>
    <xf numFmtId="176" fontId="5" fillId="0" borderId="33" xfId="0" applyNumberFormat="1" applyFont="1" applyBorder="1" applyAlignment="1">
      <alignment vertical="center" shrinkToFit="1"/>
    </xf>
    <xf numFmtId="176" fontId="5" fillId="0" borderId="34" xfId="0" applyNumberFormat="1" applyFont="1" applyBorder="1" applyAlignment="1">
      <alignment vertical="center" shrinkToFit="1"/>
    </xf>
    <xf numFmtId="176" fontId="5" fillId="0" borderId="18" xfId="0" applyNumberFormat="1" applyFont="1" applyBorder="1" applyAlignment="1">
      <alignment vertical="center" shrinkToFit="1"/>
    </xf>
    <xf numFmtId="176" fontId="5" fillId="0" borderId="23" xfId="0" applyNumberFormat="1" applyFont="1" applyBorder="1" applyAlignment="1">
      <alignment vertical="center" shrinkToFit="1"/>
    </xf>
    <xf numFmtId="9" fontId="5" fillId="0" borderId="23" xfId="0" applyNumberFormat="1" applyFont="1" applyBorder="1" applyAlignment="1">
      <alignment vertical="center" shrinkToFit="1"/>
    </xf>
    <xf numFmtId="0" fontId="5" fillId="0" borderId="20" xfId="0" applyFont="1" applyBorder="1" applyAlignment="1">
      <alignment vertical="center" shrinkToFit="1"/>
    </xf>
    <xf numFmtId="176" fontId="5" fillId="0" borderId="24" xfId="0" applyNumberFormat="1" applyFont="1" applyBorder="1" applyAlignment="1">
      <alignment vertical="center" shrinkToFit="1"/>
    </xf>
    <xf numFmtId="0" fontId="5" fillId="0" borderId="25" xfId="0" applyFont="1" applyBorder="1" applyAlignment="1">
      <alignment vertical="center" shrinkToFit="1"/>
    </xf>
    <xf numFmtId="176" fontId="5" fillId="0" borderId="25" xfId="0" applyNumberFormat="1" applyFont="1" applyBorder="1" applyAlignment="1">
      <alignment vertical="center" shrinkToFit="1"/>
    </xf>
    <xf numFmtId="176" fontId="5" fillId="0" borderId="35" xfId="0" applyNumberFormat="1" applyFont="1" applyBorder="1" applyAlignment="1">
      <alignment vertical="center" shrinkToFit="1"/>
    </xf>
    <xf numFmtId="176" fontId="5" fillId="0" borderId="36" xfId="0" applyNumberFormat="1" applyFont="1" applyBorder="1" applyAlignment="1">
      <alignment vertical="center" shrinkToFit="1"/>
    </xf>
    <xf numFmtId="176" fontId="5" fillId="0" borderId="27" xfId="0" applyNumberFormat="1" applyFont="1" applyBorder="1" applyAlignment="1">
      <alignment vertical="center" shrinkToFit="1"/>
    </xf>
    <xf numFmtId="176" fontId="5" fillId="0" borderId="28" xfId="0" applyNumberFormat="1" applyFont="1" applyBorder="1" applyAlignment="1">
      <alignment vertical="center" shrinkToFit="1"/>
    </xf>
    <xf numFmtId="9" fontId="5" fillId="0" borderId="27" xfId="0" applyNumberFormat="1" applyFont="1" applyBorder="1" applyAlignment="1">
      <alignment vertical="center" shrinkToFit="1"/>
    </xf>
    <xf numFmtId="0" fontId="10" fillId="0" borderId="0" xfId="0" applyFont="1" applyBorder="1" applyAlignment="1">
      <alignment vertical="center" shrinkToFit="1"/>
    </xf>
    <xf numFmtId="0" fontId="10" fillId="0" borderId="0" xfId="0" applyFont="1" applyFill="1">
      <alignment vertical="center"/>
    </xf>
    <xf numFmtId="0" fontId="10" fillId="0" borderId="10" xfId="0" applyFont="1" applyBorder="1" applyAlignment="1">
      <alignment vertical="center" shrinkToFit="1"/>
    </xf>
    <xf numFmtId="49" fontId="21" fillId="0" borderId="1" xfId="0" applyNumberFormat="1" applyFont="1" applyBorder="1" applyAlignment="1">
      <alignment horizontal="center" vertical="center"/>
    </xf>
    <xf numFmtId="0" fontId="10" fillId="0" borderId="0" xfId="0" applyFont="1" applyAlignment="1">
      <alignment vertical="center" shrinkToFit="1"/>
    </xf>
    <xf numFmtId="0" fontId="10" fillId="0" borderId="0" xfId="0" applyFont="1" applyAlignment="1">
      <alignment vertical="top" wrapText="1"/>
    </xf>
    <xf numFmtId="0" fontId="11" fillId="0" borderId="2" xfId="0" applyFont="1" applyBorder="1">
      <alignment vertical="center"/>
    </xf>
    <xf numFmtId="0" fontId="11" fillId="0" borderId="4" xfId="0" applyFont="1" applyBorder="1">
      <alignment vertical="center"/>
    </xf>
    <xf numFmtId="49" fontId="21" fillId="0" borderId="47" xfId="0" applyNumberFormat="1" applyFont="1" applyBorder="1" applyAlignment="1">
      <alignment horizontal="center" vertical="center"/>
    </xf>
    <xf numFmtId="49" fontId="21" fillId="0" borderId="33" xfId="0" applyNumberFormat="1" applyFont="1" applyBorder="1" applyAlignment="1">
      <alignment horizontal="center" vertical="center"/>
    </xf>
    <xf numFmtId="49" fontId="21" fillId="0" borderId="50" xfId="0" applyNumberFormat="1" applyFont="1" applyBorder="1" applyAlignment="1">
      <alignment horizontal="center" vertical="center"/>
    </xf>
    <xf numFmtId="49" fontId="21" fillId="0" borderId="51" xfId="0" applyNumberFormat="1" applyFont="1" applyBorder="1" applyAlignment="1">
      <alignment horizontal="center" vertical="center"/>
    </xf>
    <xf numFmtId="0" fontId="5" fillId="0" borderId="0" xfId="0" applyFont="1" applyAlignment="1">
      <alignment horizontal="left" vertical="center"/>
    </xf>
    <xf numFmtId="0" fontId="5" fillId="0" borderId="14" xfId="0" applyFont="1" applyBorder="1" applyAlignment="1">
      <alignment horizontal="left" vertical="center" shrinkToFit="1"/>
    </xf>
    <xf numFmtId="0" fontId="5" fillId="0" borderId="23" xfId="0" applyFont="1" applyBorder="1" applyAlignment="1">
      <alignment horizontal="left" vertical="center" shrinkToFit="1"/>
    </xf>
    <xf numFmtId="0" fontId="5" fillId="0" borderId="24" xfId="0" applyFont="1" applyBorder="1" applyAlignment="1">
      <alignment horizontal="left" vertical="center" shrinkToFit="1"/>
    </xf>
    <xf numFmtId="0" fontId="5" fillId="0" borderId="10" xfId="0" applyFont="1" applyBorder="1" applyAlignment="1">
      <alignment vertical="center" shrinkToFit="1"/>
    </xf>
    <xf numFmtId="0" fontId="5" fillId="0" borderId="28" xfId="0" applyFont="1" applyBorder="1" applyAlignment="1">
      <alignment horizontal="center" vertical="center" shrinkToFit="1"/>
    </xf>
    <xf numFmtId="0" fontId="5" fillId="0" borderId="26" xfId="0" applyFont="1" applyBorder="1" applyAlignment="1">
      <alignment vertical="center" shrinkToFit="1"/>
    </xf>
    <xf numFmtId="0" fontId="5" fillId="0" borderId="0" xfId="0" applyFont="1" applyAlignment="1">
      <alignment vertical="top" wrapText="1"/>
    </xf>
    <xf numFmtId="0" fontId="5" fillId="0" borderId="0" xfId="0" applyFont="1" applyAlignment="1">
      <alignment vertical="center" wrapText="1"/>
    </xf>
    <xf numFmtId="0" fontId="10" fillId="0" borderId="9" xfId="0" applyFont="1" applyBorder="1" applyAlignment="1">
      <alignment horizontal="center" vertical="center" shrinkToFit="1"/>
    </xf>
    <xf numFmtId="0" fontId="10" fillId="0" borderId="46" xfId="0" applyFont="1" applyBorder="1" applyAlignment="1">
      <alignment horizontal="center" vertical="center" shrinkToFit="1"/>
    </xf>
    <xf numFmtId="0" fontId="4" fillId="0" borderId="0" xfId="0" applyFont="1" applyAlignment="1">
      <alignment vertical="center" wrapText="1"/>
    </xf>
    <xf numFmtId="0" fontId="6" fillId="0" borderId="0" xfId="0" applyFont="1" applyAlignment="1">
      <alignment vertical="top" shrinkToFit="1"/>
    </xf>
    <xf numFmtId="0" fontId="6" fillId="0" borderId="0" xfId="0" applyFont="1" applyAlignment="1">
      <alignment vertical="center" wrapText="1"/>
    </xf>
    <xf numFmtId="0" fontId="4" fillId="0" borderId="0" xfId="0" applyFont="1" applyAlignment="1">
      <alignment vertical="top" wrapText="1"/>
    </xf>
    <xf numFmtId="0" fontId="10" fillId="0" borderId="2" xfId="0" applyFont="1" applyBorder="1" applyAlignment="1">
      <alignment vertical="center"/>
    </xf>
    <xf numFmtId="0" fontId="10" fillId="0" borderId="3" xfId="0" applyFont="1" applyBorder="1" applyAlignment="1">
      <alignment vertical="center"/>
    </xf>
    <xf numFmtId="0" fontId="10" fillId="0" borderId="4" xfId="0" applyFont="1" applyBorder="1" applyAlignment="1">
      <alignment vertical="center"/>
    </xf>
    <xf numFmtId="49" fontId="21" fillId="0" borderId="52" xfId="0" applyNumberFormat="1" applyFont="1" applyBorder="1" applyAlignment="1">
      <alignment horizontal="center" vertical="center"/>
    </xf>
    <xf numFmtId="49" fontId="21" fillId="0" borderId="29" xfId="0" applyNumberFormat="1" applyFont="1" applyBorder="1" applyAlignment="1">
      <alignment horizontal="center" vertical="center"/>
    </xf>
    <xf numFmtId="0" fontId="24" fillId="0" borderId="4" xfId="0" applyFont="1" applyBorder="1" applyAlignment="1">
      <alignment horizontal="center" vertical="center" shrinkToFit="1"/>
    </xf>
    <xf numFmtId="0" fontId="10" fillId="0" borderId="14" xfId="0" applyFont="1" applyBorder="1" applyAlignment="1">
      <alignment horizontal="center" vertical="center" shrinkToFit="1"/>
    </xf>
    <xf numFmtId="0" fontId="10" fillId="0" borderId="23" xfId="0" applyFont="1" applyBorder="1" applyAlignment="1">
      <alignment horizontal="center" vertical="center" shrinkToFit="1"/>
    </xf>
    <xf numFmtId="0" fontId="10" fillId="0" borderId="13" xfId="0" applyFont="1" applyBorder="1" applyAlignment="1">
      <alignment horizontal="center" vertical="center" shrinkToFit="1"/>
    </xf>
    <xf numFmtId="0" fontId="5" fillId="0" borderId="0" xfId="0" applyFont="1" applyBorder="1" applyAlignment="1">
      <alignment vertical="center" shrinkToFit="1"/>
    </xf>
    <xf numFmtId="0" fontId="10" fillId="0" borderId="1" xfId="0" applyFont="1" applyBorder="1" applyAlignment="1">
      <alignment horizontal="center" vertical="center" shrinkToFit="1"/>
    </xf>
    <xf numFmtId="0" fontId="10" fillId="0" borderId="18" xfId="0" applyFont="1" applyBorder="1" applyAlignment="1">
      <alignment horizontal="center" vertical="center"/>
    </xf>
    <xf numFmtId="0" fontId="10" fillId="0" borderId="42" xfId="0" applyFont="1" applyBorder="1" applyAlignment="1">
      <alignment horizontal="center" vertical="center"/>
    </xf>
    <xf numFmtId="0" fontId="10" fillId="0" borderId="38" xfId="0" applyFont="1" applyBorder="1" applyAlignment="1">
      <alignment horizontal="center" vertical="center"/>
    </xf>
    <xf numFmtId="0" fontId="10" fillId="0" borderId="43" xfId="0" applyFont="1" applyBorder="1" applyAlignment="1">
      <alignment horizontal="center" vertical="center" shrinkToFit="1"/>
    </xf>
    <xf numFmtId="0" fontId="5" fillId="0" borderId="7" xfId="0" applyFont="1" applyBorder="1" applyAlignment="1">
      <alignment horizontal="center" vertical="center" wrapText="1" shrinkToFit="1"/>
    </xf>
    <xf numFmtId="9" fontId="5" fillId="0" borderId="8" xfId="0" applyNumberFormat="1" applyFont="1" applyBorder="1" applyAlignment="1">
      <alignment horizontal="center" vertical="center" wrapText="1" shrinkToFit="1"/>
    </xf>
    <xf numFmtId="0" fontId="5" fillId="0" borderId="8" xfId="0" applyFont="1" applyBorder="1" applyAlignment="1">
      <alignment horizontal="center" vertical="center" wrapText="1" shrinkToFit="1"/>
    </xf>
    <xf numFmtId="9" fontId="5" fillId="0" borderId="8" xfId="0" applyNumberFormat="1" applyFont="1" applyBorder="1" applyAlignment="1">
      <alignment horizontal="center" vertical="center" shrinkToFit="1"/>
    </xf>
    <xf numFmtId="0" fontId="5" fillId="0" borderId="44" xfId="0" applyFont="1" applyBorder="1" applyAlignment="1">
      <alignment horizontal="center" vertical="center" shrinkToFit="1"/>
    </xf>
    <xf numFmtId="9" fontId="5" fillId="0" borderId="45" xfId="0" applyNumberFormat="1" applyFont="1" applyBorder="1" applyAlignment="1">
      <alignment horizontal="center" vertical="center" shrinkToFit="1"/>
    </xf>
    <xf numFmtId="0" fontId="5" fillId="0" borderId="45" xfId="0" applyFont="1" applyBorder="1" applyAlignment="1">
      <alignment horizontal="center" vertical="center" shrinkToFit="1"/>
    </xf>
    <xf numFmtId="176" fontId="5" fillId="0" borderId="45" xfId="0" applyNumberFormat="1" applyFont="1" applyBorder="1" applyAlignment="1">
      <alignment horizontal="center" vertical="center" shrinkToFit="1"/>
    </xf>
    <xf numFmtId="0" fontId="5" fillId="0" borderId="14" xfId="0" applyFont="1" applyBorder="1" applyAlignment="1">
      <alignment horizontal="center" vertical="center" shrinkToFit="1"/>
    </xf>
    <xf numFmtId="0" fontId="5" fillId="0" borderId="23" xfId="0" applyFont="1" applyBorder="1" applyAlignment="1">
      <alignment horizontal="center" vertical="center" shrinkToFit="1"/>
    </xf>
    <xf numFmtId="0" fontId="5" fillId="0" borderId="13"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15" xfId="0" applyFont="1" applyBorder="1" applyAlignment="1">
      <alignment horizontal="center" vertical="center" shrinkToFit="1"/>
    </xf>
    <xf numFmtId="0" fontId="5" fillId="0" borderId="53" xfId="0" applyFont="1" applyBorder="1" applyAlignment="1">
      <alignment horizontal="center" vertical="center" shrinkToFit="1"/>
    </xf>
    <xf numFmtId="49" fontId="23" fillId="0" borderId="2" xfId="2" applyNumberFormat="1" applyFont="1" applyBorder="1" applyAlignment="1">
      <alignment vertical="center" shrinkToFit="1"/>
    </xf>
    <xf numFmtId="49" fontId="10" fillId="0" borderId="3" xfId="0" applyNumberFormat="1" applyFont="1" applyBorder="1" applyAlignment="1">
      <alignment vertical="center" shrinkToFit="1"/>
    </xf>
    <xf numFmtId="49" fontId="10" fillId="0" borderId="4" xfId="0" applyNumberFormat="1" applyFont="1" applyBorder="1" applyAlignment="1">
      <alignment vertical="center" shrinkToFit="1"/>
    </xf>
    <xf numFmtId="49" fontId="10" fillId="0" borderId="2" xfId="1" applyNumberFormat="1" applyFont="1" applyBorder="1" applyAlignment="1">
      <alignment horizontal="center" vertical="center" shrinkToFit="1"/>
    </xf>
    <xf numFmtId="49" fontId="10" fillId="0" borderId="3" xfId="1" applyNumberFormat="1" applyFont="1" applyBorder="1" applyAlignment="1">
      <alignment horizontal="center" vertical="center" shrinkToFit="1"/>
    </xf>
    <xf numFmtId="49" fontId="10" fillId="0" borderId="4" xfId="1" applyNumberFormat="1" applyFont="1" applyBorder="1" applyAlignment="1">
      <alignment horizontal="center" vertical="center" shrinkToFit="1"/>
    </xf>
    <xf numFmtId="0" fontId="10" fillId="0" borderId="0" xfId="0" applyFont="1" applyBorder="1" applyAlignment="1">
      <alignment horizontal="center" vertical="center"/>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4" xfId="0" applyFont="1" applyBorder="1" applyAlignment="1">
      <alignment horizontal="center" vertical="center" shrinkToFit="1"/>
    </xf>
    <xf numFmtId="176" fontId="10" fillId="0" borderId="2" xfId="0" applyNumberFormat="1" applyFont="1" applyBorder="1" applyAlignment="1">
      <alignment horizontal="center" vertical="center" shrinkToFit="1"/>
    </xf>
    <xf numFmtId="176" fontId="10" fillId="0" borderId="4" xfId="0" applyNumberFormat="1" applyFont="1" applyBorder="1" applyAlignment="1">
      <alignment horizontal="center" vertical="center" shrinkToFit="1"/>
    </xf>
    <xf numFmtId="0" fontId="10" fillId="0" borderId="2" xfId="0" applyFont="1" applyBorder="1" applyAlignment="1">
      <alignment vertical="center" shrinkToFit="1"/>
    </xf>
    <xf numFmtId="0" fontId="10" fillId="0" borderId="3" xfId="0" applyFont="1" applyBorder="1" applyAlignment="1">
      <alignment vertical="center" shrinkToFit="1"/>
    </xf>
    <xf numFmtId="0" fontId="10" fillId="0" borderId="0" xfId="0" applyFont="1" applyBorder="1" applyAlignment="1">
      <alignment horizontal="right" vertical="center" shrinkToFit="1"/>
    </xf>
    <xf numFmtId="0" fontId="10" fillId="0" borderId="5" xfId="0" applyFont="1" applyBorder="1" applyAlignment="1">
      <alignment horizontal="right" vertical="center" shrinkToFit="1"/>
    </xf>
    <xf numFmtId="0" fontId="10" fillId="0" borderId="10" xfId="0" applyFont="1" applyBorder="1" applyAlignment="1">
      <alignment horizontal="right" vertical="center" shrinkToFit="1"/>
    </xf>
    <xf numFmtId="0" fontId="10" fillId="0" borderId="0" xfId="0" applyFont="1" applyAlignment="1">
      <alignment horizontal="right" vertical="center"/>
    </xf>
    <xf numFmtId="0" fontId="10" fillId="0" borderId="0" xfId="0" applyFont="1" applyBorder="1" applyAlignment="1">
      <alignment horizontal="right" vertical="center"/>
    </xf>
    <xf numFmtId="0" fontId="10" fillId="0" borderId="10" xfId="0" applyFont="1" applyBorder="1" applyAlignment="1">
      <alignment horizontal="right" vertical="center"/>
    </xf>
    <xf numFmtId="176" fontId="10" fillId="0" borderId="3" xfId="0" applyNumberFormat="1" applyFont="1" applyBorder="1" applyAlignment="1">
      <alignment horizontal="center" vertical="center" shrinkToFit="1"/>
    </xf>
    <xf numFmtId="0" fontId="16" fillId="0" borderId="0" xfId="0" applyFont="1" applyAlignment="1">
      <alignment horizontal="center" vertical="center"/>
    </xf>
    <xf numFmtId="0" fontId="10" fillId="0" borderId="2" xfId="0" applyNumberFormat="1" applyFont="1" applyBorder="1" applyAlignment="1">
      <alignment horizontal="center" vertical="center"/>
    </xf>
    <xf numFmtId="0" fontId="10" fillId="0" borderId="4" xfId="0" applyNumberFormat="1"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176" fontId="10" fillId="0" borderId="2" xfId="0" applyNumberFormat="1" applyFont="1" applyBorder="1" applyAlignment="1">
      <alignment horizontal="center" vertical="center"/>
    </xf>
    <xf numFmtId="176" fontId="10" fillId="0" borderId="3" xfId="0" applyNumberFormat="1" applyFont="1" applyBorder="1" applyAlignment="1">
      <alignment horizontal="center" vertical="center"/>
    </xf>
    <xf numFmtId="176" fontId="10" fillId="0" borderId="4" xfId="0" applyNumberFormat="1" applyFont="1" applyBorder="1" applyAlignment="1">
      <alignment horizontal="center" vertical="center"/>
    </xf>
    <xf numFmtId="0" fontId="10" fillId="0" borderId="0" xfId="0" applyFont="1" applyBorder="1" applyAlignment="1">
      <alignment vertical="center" shrinkToFit="1"/>
    </xf>
    <xf numFmtId="0" fontId="10" fillId="0" borderId="37" xfId="0" applyFont="1" applyBorder="1" applyAlignment="1">
      <alignment vertical="center" shrinkToFit="1"/>
    </xf>
    <xf numFmtId="0" fontId="10" fillId="0" borderId="39" xfId="0" applyFont="1" applyBorder="1" applyAlignment="1">
      <alignment vertical="center" shrinkToFit="1"/>
    </xf>
    <xf numFmtId="0" fontId="10" fillId="0" borderId="38" xfId="0" applyFont="1" applyBorder="1" applyAlignment="1">
      <alignment vertical="center" shrinkToFit="1"/>
    </xf>
    <xf numFmtId="0" fontId="10" fillId="0" borderId="37" xfId="0" applyFont="1" applyBorder="1" applyAlignment="1">
      <alignment horizontal="center" vertical="center" shrinkToFit="1"/>
    </xf>
    <xf numFmtId="0" fontId="10" fillId="0" borderId="39" xfId="0" applyFont="1" applyBorder="1" applyAlignment="1">
      <alignment horizontal="center" vertical="center" shrinkToFit="1"/>
    </xf>
    <xf numFmtId="0" fontId="10" fillId="0" borderId="38" xfId="0" applyFont="1" applyBorder="1" applyAlignment="1">
      <alignment horizontal="center" vertical="center" shrinkToFit="1"/>
    </xf>
    <xf numFmtId="0" fontId="5" fillId="0" borderId="19" xfId="0" applyFont="1" applyBorder="1" applyAlignment="1">
      <alignment vertical="center" wrapText="1" shrinkToFit="1"/>
    </xf>
    <xf numFmtId="0" fontId="5" fillId="0" borderId="20" xfId="0" applyFont="1" applyBorder="1" applyAlignment="1">
      <alignment vertical="center" shrinkToFit="1"/>
    </xf>
    <xf numFmtId="0" fontId="5" fillId="0" borderId="18" xfId="0" applyFont="1" applyBorder="1" applyAlignment="1">
      <alignment vertical="center" shrinkToFit="1"/>
    </xf>
    <xf numFmtId="0" fontId="10" fillId="0" borderId="19" xfId="0" applyFont="1" applyBorder="1" applyAlignment="1">
      <alignment vertical="center" shrinkToFit="1"/>
    </xf>
    <xf numFmtId="0" fontId="10" fillId="0" borderId="20"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horizontal="center" vertical="center" shrinkToFit="1"/>
    </xf>
    <xf numFmtId="0" fontId="10" fillId="0" borderId="20" xfId="0" applyFont="1" applyBorder="1" applyAlignment="1">
      <alignment horizontal="center" vertical="center" shrinkToFit="1"/>
    </xf>
    <xf numFmtId="0" fontId="10" fillId="0" borderId="18" xfId="0" applyFont="1" applyBorder="1" applyAlignment="1">
      <alignment horizontal="center" vertical="center" shrinkToFit="1"/>
    </xf>
    <xf numFmtId="0" fontId="23" fillId="0" borderId="48" xfId="0" applyFont="1" applyBorder="1" applyAlignment="1">
      <alignment vertical="center" wrapText="1"/>
    </xf>
    <xf numFmtId="0" fontId="23" fillId="0" borderId="49" xfId="0" applyFont="1" applyBorder="1" applyAlignment="1">
      <alignment vertical="center" wrapText="1"/>
    </xf>
    <xf numFmtId="0" fontId="22" fillId="0" borderId="48" xfId="0" applyFont="1" applyBorder="1" applyAlignment="1">
      <alignment vertical="center" wrapText="1"/>
    </xf>
    <xf numFmtId="0" fontId="22" fillId="0" borderId="32" xfId="0" applyFont="1" applyBorder="1" applyAlignment="1">
      <alignment vertical="center" wrapText="1"/>
    </xf>
    <xf numFmtId="0" fontId="5" fillId="0" borderId="39" xfId="0" applyFont="1" applyBorder="1" applyAlignment="1">
      <alignment vertical="center" wrapText="1" shrinkToFit="1"/>
    </xf>
    <xf numFmtId="0" fontId="5" fillId="0" borderId="39" xfId="0" applyFont="1" applyBorder="1" applyAlignment="1">
      <alignment vertical="center" shrinkToFit="1"/>
    </xf>
    <xf numFmtId="0" fontId="5" fillId="0" borderId="38" xfId="0" applyFont="1" applyBorder="1" applyAlignment="1">
      <alignment vertical="center" shrinkToFit="1"/>
    </xf>
    <xf numFmtId="0" fontId="5" fillId="0" borderId="6" xfId="0" applyFont="1" applyBorder="1" applyAlignment="1">
      <alignment vertical="center" wrapText="1" shrinkToFit="1"/>
    </xf>
    <xf numFmtId="0" fontId="5" fillId="0" borderId="6" xfId="0" applyFont="1" applyBorder="1" applyAlignment="1">
      <alignment vertical="center" shrinkToFit="1"/>
    </xf>
    <xf numFmtId="0" fontId="5" fillId="0" borderId="12" xfId="0" applyFont="1" applyBorder="1" applyAlignment="1">
      <alignment vertical="center" shrinkToFit="1"/>
    </xf>
    <xf numFmtId="0" fontId="23" fillId="0" borderId="32" xfId="0" applyFont="1" applyBorder="1" applyAlignment="1">
      <alignment vertical="center" wrapText="1"/>
    </xf>
    <xf numFmtId="0" fontId="5" fillId="0" borderId="8" xfId="0" applyFont="1" applyBorder="1" applyAlignment="1">
      <alignment horizontal="left" vertical="center" wrapText="1" shrinkToFit="1"/>
    </xf>
    <xf numFmtId="0" fontId="5" fillId="0" borderId="8" xfId="0" applyFont="1" applyBorder="1" applyAlignment="1">
      <alignment horizontal="left" vertical="center" shrinkToFit="1"/>
    </xf>
    <xf numFmtId="0" fontId="5" fillId="0" borderId="9" xfId="0" applyFont="1" applyBorder="1" applyAlignment="1">
      <alignment horizontal="left" vertical="center" shrinkToFit="1"/>
    </xf>
    <xf numFmtId="0" fontId="5" fillId="0" borderId="20" xfId="0" applyFont="1" applyBorder="1" applyAlignment="1">
      <alignment horizontal="left" vertical="center" wrapText="1" shrinkToFit="1"/>
    </xf>
    <xf numFmtId="0" fontId="5" fillId="0" borderId="20" xfId="0" applyFont="1" applyBorder="1" applyAlignment="1">
      <alignment horizontal="left" vertical="center" shrinkToFit="1"/>
    </xf>
    <xf numFmtId="0" fontId="5" fillId="0" borderId="18" xfId="0" applyFont="1" applyBorder="1" applyAlignment="1">
      <alignment horizontal="left" vertical="center" shrinkToFit="1"/>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5" fillId="0" borderId="9" xfId="0" applyFont="1" applyBorder="1" applyAlignment="1">
      <alignment horizontal="left" vertical="center" wrapText="1" shrinkToFit="1"/>
    </xf>
    <xf numFmtId="0" fontId="10" fillId="0" borderId="37" xfId="0" applyFont="1" applyBorder="1" applyAlignment="1">
      <alignment horizontal="center" vertical="center"/>
    </xf>
    <xf numFmtId="0" fontId="10" fillId="0" borderId="39" xfId="0" applyFont="1" applyBorder="1" applyAlignment="1">
      <alignment horizontal="center" vertical="center"/>
    </xf>
    <xf numFmtId="0" fontId="10" fillId="0" borderId="3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10" fillId="0" borderId="18" xfId="0" applyFont="1" applyBorder="1" applyAlignment="1">
      <alignment horizontal="center" vertical="center"/>
    </xf>
    <xf numFmtId="0" fontId="5" fillId="0" borderId="37" xfId="0" applyFont="1" applyBorder="1" applyAlignment="1">
      <alignment horizontal="center" vertical="center"/>
    </xf>
    <xf numFmtId="0" fontId="5" fillId="0" borderId="39" xfId="0" applyFont="1" applyBorder="1" applyAlignment="1">
      <alignment horizontal="center" vertical="center"/>
    </xf>
    <xf numFmtId="0" fontId="5" fillId="0" borderId="3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18" xfId="0" applyFont="1" applyBorder="1" applyAlignment="1">
      <alignment horizontal="center" vertical="center"/>
    </xf>
    <xf numFmtId="0" fontId="5" fillId="0" borderId="37" xfId="0" applyFont="1" applyBorder="1" applyAlignment="1">
      <alignment horizontal="left" vertical="center" shrinkToFit="1"/>
    </xf>
    <xf numFmtId="0" fontId="5" fillId="0" borderId="39" xfId="0" applyFont="1" applyBorder="1" applyAlignment="1">
      <alignment horizontal="left" vertical="center" shrinkToFit="1"/>
    </xf>
    <xf numFmtId="0" fontId="5" fillId="0" borderId="38" xfId="0" applyFont="1" applyBorder="1" applyAlignment="1">
      <alignment horizontal="left" vertical="center" shrinkToFit="1"/>
    </xf>
    <xf numFmtId="0" fontId="5" fillId="0" borderId="19" xfId="0" applyFont="1" applyBorder="1" applyAlignment="1">
      <alignment horizontal="left" vertical="center" shrinkToFit="1"/>
    </xf>
    <xf numFmtId="0" fontId="10" fillId="0" borderId="40" xfId="0" applyFont="1" applyBorder="1" applyAlignment="1">
      <alignment horizontal="center" vertical="center"/>
    </xf>
    <xf numFmtId="0" fontId="10" fillId="0" borderId="41" xfId="0" applyFont="1" applyBorder="1" applyAlignment="1">
      <alignment horizontal="center" vertical="center"/>
    </xf>
    <xf numFmtId="0" fontId="10" fillId="0" borderId="42" xfId="0" applyFont="1" applyBorder="1" applyAlignment="1">
      <alignment horizontal="center" vertical="center"/>
    </xf>
    <xf numFmtId="0" fontId="10" fillId="0" borderId="0" xfId="0" applyFont="1" applyAlignment="1">
      <alignment vertical="center" wrapText="1"/>
    </xf>
    <xf numFmtId="0" fontId="10" fillId="0" borderId="19" xfId="0" applyFont="1" applyBorder="1" applyAlignment="1">
      <alignment horizontal="left" vertical="center" shrinkToFit="1"/>
    </xf>
    <xf numFmtId="0" fontId="10" fillId="0" borderId="20" xfId="0" applyFont="1" applyBorder="1" applyAlignment="1">
      <alignment horizontal="left" vertical="center" shrinkToFit="1"/>
    </xf>
    <xf numFmtId="0" fontId="10" fillId="0" borderId="18" xfId="0" applyFont="1" applyBorder="1" applyAlignment="1">
      <alignment horizontal="left" vertical="center" shrinkToFit="1"/>
    </xf>
    <xf numFmtId="0" fontId="10" fillId="0" borderId="40" xfId="0" applyFont="1" applyBorder="1" applyAlignment="1">
      <alignment horizontal="left" vertical="center" shrinkToFit="1"/>
    </xf>
    <xf numFmtId="0" fontId="10" fillId="0" borderId="41" xfId="0" applyFont="1" applyBorder="1" applyAlignment="1">
      <alignment horizontal="left" vertical="center" shrinkToFit="1"/>
    </xf>
    <xf numFmtId="0" fontId="10" fillId="0" borderId="42" xfId="0" applyFont="1" applyBorder="1" applyAlignment="1">
      <alignment horizontal="left" vertical="center" shrinkToFit="1"/>
    </xf>
    <xf numFmtId="0" fontId="20" fillId="0" borderId="0" xfId="0" applyFont="1" applyAlignment="1">
      <alignment horizontal="center" vertical="center"/>
    </xf>
    <xf numFmtId="0" fontId="5" fillId="0" borderId="7" xfId="0" applyFont="1" applyBorder="1" applyAlignment="1">
      <alignment horizontal="left" vertical="top" wrapText="1" shrinkToFit="1"/>
    </xf>
    <xf numFmtId="0" fontId="5" fillId="0" borderId="8" xfId="0" applyFont="1" applyBorder="1" applyAlignment="1">
      <alignment horizontal="left" vertical="top" shrinkToFit="1"/>
    </xf>
    <xf numFmtId="0" fontId="5" fillId="0" borderId="9" xfId="0" applyFont="1" applyBorder="1" applyAlignment="1">
      <alignment horizontal="left" vertical="top" shrinkToFit="1"/>
    </xf>
    <xf numFmtId="0" fontId="5" fillId="0" borderId="5" xfId="0" applyFont="1" applyBorder="1" applyAlignment="1">
      <alignment horizontal="left" vertical="top" shrinkToFit="1"/>
    </xf>
    <xf numFmtId="0" fontId="5" fillId="0" borderId="0" xfId="0" applyFont="1" applyBorder="1" applyAlignment="1">
      <alignment horizontal="left" vertical="top" shrinkToFit="1"/>
    </xf>
    <xf numFmtId="0" fontId="5" fillId="0" borderId="10" xfId="0" applyFont="1" applyBorder="1" applyAlignment="1">
      <alignment horizontal="left" vertical="top" shrinkToFit="1"/>
    </xf>
    <xf numFmtId="0" fontId="5" fillId="0" borderId="0" xfId="0" applyFont="1" applyAlignment="1">
      <alignment horizontal="left" vertical="top" shrinkToFit="1"/>
    </xf>
    <xf numFmtId="0" fontId="5" fillId="0" borderId="11" xfId="0" applyFont="1" applyBorder="1" applyAlignment="1">
      <alignment horizontal="left" vertical="top" shrinkToFit="1"/>
    </xf>
    <xf numFmtId="0" fontId="5" fillId="0" borderId="6" xfId="0" applyFont="1" applyBorder="1" applyAlignment="1">
      <alignment horizontal="left" vertical="top" shrinkToFit="1"/>
    </xf>
    <xf numFmtId="0" fontId="5" fillId="0" borderId="12" xfId="0" applyFont="1" applyBorder="1" applyAlignment="1">
      <alignment horizontal="left" vertical="top" shrinkToFit="1"/>
    </xf>
    <xf numFmtId="0" fontId="5" fillId="0" borderId="22" xfId="0" applyFont="1" applyBorder="1" applyAlignment="1">
      <alignment horizontal="left" vertical="center" wrapText="1" shrinkToFit="1"/>
    </xf>
    <xf numFmtId="0" fontId="5" fillId="0" borderId="22" xfId="0" applyFont="1" applyBorder="1" applyAlignment="1">
      <alignment horizontal="left" vertical="center" shrinkToFit="1"/>
    </xf>
    <xf numFmtId="0" fontId="5" fillId="0" borderId="21" xfId="0" applyFont="1" applyBorder="1" applyAlignment="1">
      <alignment horizontal="left" vertical="center" shrinkToFit="1"/>
    </xf>
    <xf numFmtId="0" fontId="5" fillId="0" borderId="39" xfId="0" applyFont="1" applyBorder="1" applyAlignment="1">
      <alignment horizontal="left" vertical="center" wrapText="1" shrinkToFit="1"/>
    </xf>
    <xf numFmtId="0" fontId="5" fillId="0" borderId="6" xfId="0" applyFont="1" applyBorder="1" applyAlignment="1">
      <alignment horizontal="left" vertical="center" wrapText="1" shrinkToFit="1"/>
    </xf>
    <xf numFmtId="0" fontId="5" fillId="0" borderId="6" xfId="0" applyFont="1" applyBorder="1" applyAlignment="1">
      <alignment horizontal="left" vertical="center" shrinkToFit="1"/>
    </xf>
    <xf numFmtId="0" fontId="5" fillId="0" borderId="12" xfId="0" applyFont="1" applyBorder="1" applyAlignment="1">
      <alignment horizontal="left" vertical="center" shrinkToFit="1"/>
    </xf>
    <xf numFmtId="0" fontId="5" fillId="0" borderId="41" xfId="0" applyFont="1" applyBorder="1" applyAlignment="1">
      <alignment horizontal="left" vertical="center" wrapText="1" shrinkToFit="1"/>
    </xf>
    <xf numFmtId="0" fontId="5" fillId="0" borderId="41" xfId="0" applyFont="1" applyBorder="1" applyAlignment="1">
      <alignment horizontal="left" vertical="center" shrinkToFit="1"/>
    </xf>
    <xf numFmtId="0" fontId="5" fillId="0" borderId="42" xfId="0" applyFont="1" applyBorder="1" applyAlignment="1">
      <alignment horizontal="left" vertical="center" shrinkToFit="1"/>
    </xf>
    <xf numFmtId="0" fontId="10" fillId="0" borderId="40" xfId="0" applyFont="1" applyBorder="1" applyAlignment="1">
      <alignment vertical="center" shrinkToFit="1"/>
    </xf>
    <xf numFmtId="0" fontId="10" fillId="0" borderId="41" xfId="0" applyFont="1" applyBorder="1" applyAlignment="1">
      <alignment vertical="center" shrinkToFit="1"/>
    </xf>
    <xf numFmtId="0" fontId="10" fillId="0" borderId="42" xfId="0" applyFont="1" applyBorder="1" applyAlignment="1">
      <alignment vertical="center" shrinkToFit="1"/>
    </xf>
    <xf numFmtId="0" fontId="10" fillId="0" borderId="40" xfId="0" applyFont="1" applyBorder="1" applyAlignment="1">
      <alignment horizontal="center" vertical="center" shrinkToFit="1"/>
    </xf>
    <xf numFmtId="0" fontId="10" fillId="0" borderId="41" xfId="0" applyFont="1" applyBorder="1" applyAlignment="1">
      <alignment horizontal="center" vertical="center" shrinkToFit="1"/>
    </xf>
    <xf numFmtId="0" fontId="10" fillId="0" borderId="42" xfId="0" applyFont="1" applyBorder="1" applyAlignment="1">
      <alignment horizontal="center" vertical="center" shrinkToFit="1"/>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 fillId="0" borderId="7" xfId="0" applyFont="1" applyBorder="1" applyAlignment="1">
      <alignment vertical="center" wrapText="1" shrinkToFit="1"/>
    </xf>
    <xf numFmtId="0" fontId="5" fillId="0" borderId="8" xfId="0" applyFont="1" applyBorder="1" applyAlignment="1">
      <alignment vertical="center" wrapText="1" shrinkToFit="1"/>
    </xf>
    <xf numFmtId="0" fontId="5" fillId="0" borderId="9" xfId="0" applyFont="1" applyBorder="1" applyAlignment="1">
      <alignment vertical="center" wrapText="1" shrinkToFit="1"/>
    </xf>
    <xf numFmtId="0" fontId="5" fillId="0" borderId="5" xfId="0" applyFont="1" applyBorder="1" applyAlignment="1">
      <alignment vertical="center" wrapText="1" shrinkToFit="1"/>
    </xf>
    <xf numFmtId="0" fontId="5" fillId="0" borderId="0" xfId="0" applyFont="1" applyBorder="1" applyAlignment="1">
      <alignment vertical="center" wrapText="1" shrinkToFit="1"/>
    </xf>
    <xf numFmtId="0" fontId="5" fillId="0" borderId="10" xfId="0" applyFont="1" applyBorder="1" applyAlignment="1">
      <alignment vertical="center" wrapText="1" shrinkToFit="1"/>
    </xf>
    <xf numFmtId="0" fontId="5" fillId="0" borderId="11" xfId="0" applyFont="1" applyBorder="1" applyAlignment="1">
      <alignment vertical="center" wrapText="1" shrinkToFit="1"/>
    </xf>
    <xf numFmtId="0" fontId="5" fillId="0" borderId="12" xfId="0" applyFont="1" applyBorder="1" applyAlignment="1">
      <alignment vertical="center" wrapText="1" shrinkToFit="1"/>
    </xf>
    <xf numFmtId="0" fontId="9" fillId="0" borderId="2" xfId="2" applyBorder="1" applyAlignment="1">
      <alignment vertical="center" shrinkToFit="1"/>
    </xf>
    <xf numFmtId="0" fontId="5" fillId="0" borderId="3" xfId="0" applyFont="1" applyBorder="1" applyAlignment="1">
      <alignment vertical="center" shrinkToFit="1"/>
    </xf>
    <xf numFmtId="0" fontId="5" fillId="0" borderId="4" xfId="0" applyFont="1" applyBorder="1" applyAlignment="1">
      <alignment vertical="center" shrinkToFit="1"/>
    </xf>
    <xf numFmtId="0" fontId="11" fillId="0" borderId="0" xfId="0" applyFont="1" applyAlignment="1">
      <alignment horizontal="center" vertical="center"/>
    </xf>
    <xf numFmtId="0" fontId="5" fillId="0" borderId="40" xfId="0" applyFont="1" applyBorder="1" applyAlignment="1">
      <alignment horizontal="left" vertical="center" shrinkToFit="1"/>
    </xf>
    <xf numFmtId="0" fontId="5" fillId="0" borderId="37" xfId="0" applyFont="1" applyBorder="1" applyAlignment="1">
      <alignment vertical="center" shrinkToFit="1"/>
    </xf>
    <xf numFmtId="0" fontId="5" fillId="0" borderId="19" xfId="0" applyFont="1" applyBorder="1" applyAlignment="1">
      <alignment vertical="center" shrinkToFit="1"/>
    </xf>
    <xf numFmtId="0" fontId="5" fillId="0" borderId="40" xfId="0" applyFont="1" applyBorder="1" applyAlignment="1">
      <alignment vertical="center" shrinkToFit="1"/>
    </xf>
    <xf numFmtId="0" fontId="5" fillId="0" borderId="41" xfId="0" applyFont="1" applyBorder="1" applyAlignment="1">
      <alignment vertical="center" shrinkToFit="1"/>
    </xf>
    <xf numFmtId="0" fontId="5" fillId="0" borderId="42" xfId="0" applyFont="1" applyBorder="1" applyAlignment="1">
      <alignment vertical="center" shrinkToFit="1"/>
    </xf>
    <xf numFmtId="0" fontId="5" fillId="0" borderId="40" xfId="0" applyFont="1" applyBorder="1" applyAlignment="1">
      <alignment horizontal="center" vertical="center"/>
    </xf>
    <xf numFmtId="0" fontId="5" fillId="0" borderId="41" xfId="0" applyFont="1" applyBorder="1" applyAlignment="1">
      <alignment horizontal="center" vertical="center"/>
    </xf>
    <xf numFmtId="0" fontId="5" fillId="0" borderId="42" xfId="0" applyFont="1" applyBorder="1" applyAlignment="1">
      <alignment horizontal="center" vertical="center"/>
    </xf>
    <xf numFmtId="0" fontId="4" fillId="0" borderId="0" xfId="0" applyFont="1" applyAlignment="1">
      <alignment horizontal="right" vertical="center"/>
    </xf>
    <xf numFmtId="0" fontId="17" fillId="0" borderId="0" xfId="0" applyFont="1" applyAlignment="1">
      <alignment horizontal="center" vertical="center"/>
    </xf>
    <xf numFmtId="0" fontId="5" fillId="0" borderId="2" xfId="0" applyNumberFormat="1" applyFont="1" applyBorder="1" applyAlignment="1">
      <alignment horizontal="center" vertical="center" shrinkToFit="1"/>
    </xf>
    <xf numFmtId="0" fontId="5" fillId="0" borderId="4" xfId="0" applyNumberFormat="1" applyFont="1" applyBorder="1" applyAlignment="1">
      <alignment horizontal="center" vertical="center" shrinkToFit="1"/>
    </xf>
    <xf numFmtId="0" fontId="5" fillId="0" borderId="15" xfId="0" applyFont="1" applyBorder="1" applyAlignment="1">
      <alignment horizontal="center" vertical="center"/>
    </xf>
    <xf numFmtId="0" fontId="5" fillId="0" borderId="13" xfId="0" applyFont="1" applyBorder="1" applyAlignment="1">
      <alignment horizontal="center" vertical="center"/>
    </xf>
    <xf numFmtId="0" fontId="18" fillId="0" borderId="8" xfId="0" applyFont="1" applyBorder="1" applyAlignment="1">
      <alignment horizontal="center" vertical="center" wrapText="1"/>
    </xf>
    <xf numFmtId="0" fontId="18" fillId="0" borderId="6" xfId="0" applyFont="1" applyBorder="1" applyAlignment="1">
      <alignment horizontal="center" vertical="center"/>
    </xf>
    <xf numFmtId="0" fontId="18" fillId="0" borderId="7" xfId="0" applyFont="1" applyBorder="1" applyAlignment="1">
      <alignment horizontal="center" vertical="center" wrapText="1"/>
    </xf>
    <xf numFmtId="0" fontId="18" fillId="0" borderId="11" xfId="0" applyFont="1" applyBorder="1" applyAlignment="1">
      <alignment horizontal="center" vertical="center"/>
    </xf>
    <xf numFmtId="0" fontId="5" fillId="0" borderId="14" xfId="0" applyFont="1" applyBorder="1" applyAlignment="1">
      <alignment horizontal="center" vertical="center"/>
    </xf>
    <xf numFmtId="0" fontId="19" fillId="0" borderId="15" xfId="0" applyFont="1" applyBorder="1" applyAlignment="1">
      <alignment horizontal="center" vertical="center" wrapText="1"/>
    </xf>
    <xf numFmtId="0" fontId="19" fillId="0" borderId="13" xfId="0" applyFont="1" applyBorder="1" applyAlignment="1">
      <alignment horizontal="center" vertical="center"/>
    </xf>
    <xf numFmtId="0" fontId="18" fillId="0" borderId="9" xfId="0" applyFont="1" applyBorder="1" applyAlignment="1">
      <alignment horizontal="center" vertical="center"/>
    </xf>
    <xf numFmtId="0" fontId="18" fillId="0" borderId="12" xfId="0" applyFont="1" applyBorder="1" applyAlignment="1">
      <alignment horizontal="center" vertical="center"/>
    </xf>
    <xf numFmtId="0" fontId="5" fillId="0" borderId="16" xfId="0" applyFont="1" applyBorder="1" applyAlignment="1">
      <alignment vertical="top" wrapText="1" shrinkToFit="1"/>
    </xf>
    <xf numFmtId="0" fontId="5" fillId="0" borderId="22" xfId="0" applyFont="1" applyBorder="1" applyAlignment="1">
      <alignment vertical="top" wrapText="1" shrinkToFit="1"/>
    </xf>
    <xf numFmtId="0" fontId="5" fillId="0" borderId="21" xfId="0" applyFont="1" applyBorder="1" applyAlignment="1">
      <alignment vertical="top" wrapText="1" shrinkToFit="1"/>
    </xf>
    <xf numFmtId="0" fontId="5" fillId="0" borderId="5" xfId="0" applyFont="1" applyBorder="1" applyAlignment="1">
      <alignment vertical="top" wrapText="1" shrinkToFit="1"/>
    </xf>
    <xf numFmtId="0" fontId="5" fillId="0" borderId="0" xfId="0" applyFont="1" applyAlignment="1">
      <alignment vertical="top" wrapText="1" shrinkToFit="1"/>
    </xf>
    <xf numFmtId="0" fontId="5" fillId="0" borderId="10" xfId="0" applyFont="1" applyBorder="1" applyAlignment="1">
      <alignment vertical="top" wrapText="1" shrinkToFit="1"/>
    </xf>
    <xf numFmtId="0" fontId="5" fillId="0" borderId="11" xfId="0" applyFont="1" applyBorder="1" applyAlignment="1">
      <alignment vertical="top" wrapText="1" shrinkToFit="1"/>
    </xf>
    <xf numFmtId="0" fontId="5" fillId="0" borderId="6" xfId="0" applyFont="1" applyBorder="1" applyAlignment="1">
      <alignment vertical="top" wrapText="1" shrinkToFit="1"/>
    </xf>
    <xf numFmtId="0" fontId="5" fillId="0" borderId="12" xfId="0" applyFont="1" applyBorder="1" applyAlignment="1">
      <alignment vertical="top" wrapText="1" shrinkToFit="1"/>
    </xf>
    <xf numFmtId="0" fontId="5" fillId="0" borderId="2" xfId="0" applyFont="1" applyBorder="1" applyAlignment="1">
      <alignment vertical="center" shrinkToFit="1"/>
    </xf>
    <xf numFmtId="0" fontId="5" fillId="0" borderId="7" xfId="0" applyFont="1" applyBorder="1" applyAlignment="1">
      <alignment vertical="top" wrapText="1" shrinkToFit="1"/>
    </xf>
    <xf numFmtId="0" fontId="5" fillId="0" borderId="8" xfId="0" applyFont="1" applyBorder="1" applyAlignment="1">
      <alignment vertical="top" wrapText="1" shrinkToFit="1"/>
    </xf>
    <xf numFmtId="0" fontId="5" fillId="0" borderId="8" xfId="0" applyFont="1" applyBorder="1" applyAlignment="1">
      <alignment vertical="top" shrinkToFit="1"/>
    </xf>
    <xf numFmtId="0" fontId="5" fillId="0" borderId="9" xfId="0" applyFont="1" applyBorder="1" applyAlignment="1">
      <alignment vertical="top" shrinkToFit="1"/>
    </xf>
    <xf numFmtId="0" fontId="5" fillId="0" borderId="5" xfId="0" applyFont="1" applyBorder="1" applyAlignment="1">
      <alignment vertical="top" shrinkToFit="1"/>
    </xf>
    <xf numFmtId="0" fontId="5" fillId="0" borderId="0" xfId="0" applyFont="1" applyAlignment="1">
      <alignment vertical="top" shrinkToFit="1"/>
    </xf>
    <xf numFmtId="0" fontId="5" fillId="0" borderId="10" xfId="0" applyFont="1" applyBorder="1" applyAlignment="1">
      <alignment vertical="top" shrinkToFit="1"/>
    </xf>
    <xf numFmtId="0" fontId="5" fillId="0" borderId="11" xfId="0" applyFont="1" applyBorder="1" applyAlignment="1">
      <alignment vertical="top" shrinkToFit="1"/>
    </xf>
    <xf numFmtId="0" fontId="5" fillId="0" borderId="6" xfId="0" applyFont="1" applyBorder="1" applyAlignment="1">
      <alignment vertical="top" shrinkToFit="1"/>
    </xf>
    <xf numFmtId="0" fontId="5" fillId="0" borderId="12" xfId="0" applyFont="1" applyBorder="1" applyAlignment="1">
      <alignment vertical="top" shrinkToFit="1"/>
    </xf>
    <xf numFmtId="0" fontId="10" fillId="0" borderId="7" xfId="0" applyFont="1" applyBorder="1" applyAlignment="1">
      <alignment vertical="top" wrapText="1" shrinkToFit="1"/>
    </xf>
    <xf numFmtId="0" fontId="10" fillId="0" borderId="8" xfId="0" applyFont="1" applyBorder="1" applyAlignment="1">
      <alignment vertical="top" wrapText="1" shrinkToFit="1"/>
    </xf>
    <xf numFmtId="0" fontId="10" fillId="0" borderId="8" xfId="0" applyFont="1" applyBorder="1" applyAlignment="1">
      <alignment vertical="top" shrinkToFit="1"/>
    </xf>
    <xf numFmtId="0" fontId="10" fillId="0" borderId="9" xfId="0" applyFont="1" applyBorder="1" applyAlignment="1">
      <alignment vertical="top" shrinkToFit="1"/>
    </xf>
    <xf numFmtId="0" fontId="10" fillId="0" borderId="5" xfId="0" applyFont="1" applyBorder="1" applyAlignment="1">
      <alignment vertical="top" shrinkToFit="1"/>
    </xf>
    <xf numFmtId="0" fontId="10" fillId="0" borderId="0" xfId="0" applyFont="1" applyAlignment="1">
      <alignment vertical="top" shrinkToFit="1"/>
    </xf>
    <xf numFmtId="0" fontId="10" fillId="0" borderId="10" xfId="0" applyFont="1" applyBorder="1" applyAlignment="1">
      <alignment vertical="top" shrinkToFit="1"/>
    </xf>
    <xf numFmtId="0" fontId="10" fillId="0" borderId="11" xfId="0" applyFont="1" applyBorder="1" applyAlignment="1">
      <alignment vertical="top"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2" fillId="0" borderId="7" xfId="0" applyFont="1" applyBorder="1" applyAlignment="1">
      <alignment vertical="top" wrapText="1" shrinkToFit="1"/>
    </xf>
    <xf numFmtId="0" fontId="5" fillId="0" borderId="9" xfId="0" applyFont="1" applyBorder="1" applyAlignment="1">
      <alignment vertical="top" wrapText="1" shrinkToFit="1"/>
    </xf>
    <xf numFmtId="0" fontId="4" fillId="0" borderId="7" xfId="0" applyFont="1" applyBorder="1" applyAlignment="1">
      <alignment vertical="top" wrapText="1" shrinkToFit="1"/>
    </xf>
    <xf numFmtId="0" fontId="4" fillId="0" borderId="6" xfId="0" applyFont="1" applyBorder="1">
      <alignment vertical="center"/>
    </xf>
    <xf numFmtId="0" fontId="4" fillId="0" borderId="17" xfId="0" applyFont="1" applyBorder="1">
      <alignment vertical="center"/>
    </xf>
    <xf numFmtId="0" fontId="0" fillId="0" borderId="18" xfId="0" applyBorder="1">
      <alignment vertical="center"/>
    </xf>
    <xf numFmtId="0" fontId="5" fillId="0" borderId="19" xfId="0" applyFont="1" applyBorder="1" applyAlignment="1">
      <alignment vertical="top" wrapText="1" shrinkToFit="1"/>
    </xf>
    <xf numFmtId="0" fontId="5" fillId="0" borderId="20" xfId="0" applyFont="1" applyBorder="1" applyAlignment="1">
      <alignment vertical="top" wrapText="1" shrinkToFit="1"/>
    </xf>
    <xf numFmtId="0" fontId="5" fillId="0" borderId="18" xfId="0" applyFont="1" applyBorder="1" applyAlignment="1">
      <alignment vertical="top" wrapText="1"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4" fillId="0" borderId="17" xfId="0" applyFont="1" applyBorder="1" applyAlignment="1">
      <alignment vertical="center" wrapText="1"/>
    </xf>
    <xf numFmtId="0" fontId="4" fillId="0" borderId="18" xfId="0" applyFont="1" applyBorder="1" applyAlignment="1">
      <alignment vertical="center" wrapText="1"/>
    </xf>
    <xf numFmtId="0" fontId="13" fillId="0" borderId="20" xfId="0" applyFont="1" applyBorder="1" applyAlignment="1">
      <alignment vertical="top" wrapText="1" shrinkToFit="1"/>
    </xf>
    <xf numFmtId="0" fontId="13" fillId="0" borderId="18" xfId="0" applyFont="1" applyBorder="1" applyAlignment="1">
      <alignment vertical="top" wrapText="1" shrinkToFi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9" fillId="0" borderId="2" xfId="2" applyBorder="1" applyAlignment="1">
      <alignment horizontal="center" vertical="center" shrinkToFit="1"/>
    </xf>
    <xf numFmtId="0" fontId="15" fillId="0" borderId="3" xfId="2" applyFont="1" applyBorder="1" applyAlignment="1">
      <alignment horizontal="center" vertical="center" shrinkToFit="1"/>
    </xf>
    <xf numFmtId="0" fontId="15" fillId="0" borderId="4" xfId="2" applyFont="1" applyBorder="1" applyAlignment="1">
      <alignment horizontal="center" vertical="center" shrinkToFit="1"/>
    </xf>
    <xf numFmtId="0" fontId="4" fillId="0" borderId="19" xfId="0" applyFont="1" applyBorder="1" applyAlignment="1">
      <alignment vertical="center" wrapText="1"/>
    </xf>
    <xf numFmtId="0" fontId="4"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kochi-u.ac.jp/gakubu/kyotsu-kyoiku/ds-literacy.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kochi-u.ac.jp/gakubu/kyotsu-kyoiku/ds-literac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election activeCell="R11" sqref="R11"/>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625" style="14" customWidth="1"/>
    <col min="13" max="13" width="3.375" style="14" customWidth="1"/>
    <col min="14" max="14" width="4.5" style="14" customWidth="1"/>
    <col min="15" max="15" width="9" style="31"/>
    <col min="16" max="16384" width="9" style="13"/>
  </cols>
  <sheetData>
    <row r="1" spans="1:15" ht="24" customHeight="1" x14ac:dyDescent="0.15">
      <c r="M1" s="145" t="s">
        <v>25</v>
      </c>
      <c r="N1" s="145"/>
    </row>
    <row r="2" spans="1:15" ht="24" customHeight="1" x14ac:dyDescent="0.15">
      <c r="A2" s="149" t="s">
        <v>83</v>
      </c>
      <c r="B2" s="149"/>
      <c r="C2" s="149"/>
      <c r="D2" s="149"/>
      <c r="E2" s="149"/>
      <c r="F2" s="149"/>
      <c r="G2" s="149"/>
      <c r="H2" s="149"/>
      <c r="I2" s="149"/>
      <c r="J2" s="149"/>
      <c r="K2" s="149"/>
      <c r="L2" s="149"/>
      <c r="M2" s="149"/>
      <c r="N2" s="149"/>
    </row>
    <row r="3" spans="1:15" ht="24" customHeight="1" x14ac:dyDescent="0.15"/>
    <row r="4" spans="1:15" ht="24" customHeight="1" x14ac:dyDescent="0.15">
      <c r="A4" s="14" t="s">
        <v>6</v>
      </c>
      <c r="B4" s="15" t="s">
        <v>16</v>
      </c>
      <c r="C4" s="135" t="s">
        <v>148</v>
      </c>
      <c r="D4" s="136"/>
      <c r="E4" s="136"/>
      <c r="F4" s="136"/>
      <c r="G4" s="136"/>
      <c r="H4" s="136"/>
      <c r="I4" s="136"/>
      <c r="J4" s="136"/>
      <c r="K4" s="136"/>
      <c r="L4" s="136"/>
      <c r="M4" s="136"/>
      <c r="N4" s="137"/>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35" t="s">
        <v>149</v>
      </c>
      <c r="E6" s="136"/>
      <c r="F6" s="136"/>
      <c r="G6" s="136"/>
      <c r="H6" s="137"/>
      <c r="I6" s="17" t="s">
        <v>86</v>
      </c>
      <c r="J6" s="37" t="s">
        <v>87</v>
      </c>
      <c r="K6" s="135" t="s">
        <v>150</v>
      </c>
      <c r="L6" s="136"/>
      <c r="M6" s="136"/>
      <c r="N6" s="137"/>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35" t="s">
        <v>151</v>
      </c>
      <c r="D8" s="136"/>
      <c r="E8" s="136"/>
      <c r="F8" s="136"/>
      <c r="G8" s="136"/>
      <c r="H8" s="136"/>
      <c r="I8" s="136"/>
      <c r="J8" s="136"/>
      <c r="K8" s="136"/>
      <c r="L8" s="136"/>
      <c r="M8" s="136"/>
      <c r="N8" s="137"/>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85</v>
      </c>
      <c r="C10" s="15"/>
      <c r="D10" s="15"/>
      <c r="E10" s="135" t="s">
        <v>181</v>
      </c>
      <c r="F10" s="136"/>
      <c r="G10" s="136"/>
      <c r="H10" s="136"/>
      <c r="I10" s="136"/>
      <c r="J10" s="136"/>
      <c r="K10" s="136"/>
      <c r="L10" s="136"/>
      <c r="M10" s="136"/>
      <c r="N10" s="137"/>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50" t="s">
        <v>152</v>
      </c>
      <c r="F12" s="151"/>
      <c r="G12" s="17" t="s">
        <v>96</v>
      </c>
      <c r="H12" s="14" t="s">
        <v>97</v>
      </c>
      <c r="N12" s="109" t="s">
        <v>153</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46" t="s">
        <v>5</v>
      </c>
      <c r="D14" s="147"/>
      <c r="E14" s="138">
        <v>650</v>
      </c>
      <c r="F14" s="139"/>
      <c r="G14" s="18" t="s">
        <v>7</v>
      </c>
      <c r="I14" s="146" t="s">
        <v>8</v>
      </c>
      <c r="J14" s="147"/>
      <c r="K14" s="138">
        <v>307</v>
      </c>
      <c r="L14" s="148"/>
      <c r="M14" s="139"/>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52">
        <v>32</v>
      </c>
      <c r="L16" s="153"/>
      <c r="M16" s="154"/>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38">
        <v>1075</v>
      </c>
      <c r="F18" s="139"/>
      <c r="G18" s="21" t="s">
        <v>21</v>
      </c>
      <c r="H18" s="20"/>
      <c r="K18" s="158"/>
      <c r="L18" s="158"/>
      <c r="M18" s="158"/>
      <c r="N18" s="158"/>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55">
        <v>4951</v>
      </c>
      <c r="K20" s="156"/>
      <c r="L20" s="157"/>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38">
        <v>1114</v>
      </c>
      <c r="D22" s="139"/>
      <c r="E22" s="10" t="s">
        <v>22</v>
      </c>
      <c r="F22" s="20"/>
      <c r="G22" s="134" t="s">
        <v>18</v>
      </c>
      <c r="H22" s="134"/>
      <c r="I22" s="138">
        <v>1115</v>
      </c>
      <c r="J22" s="139"/>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38">
        <v>1166</v>
      </c>
      <c r="D24" s="139"/>
      <c r="E24" s="10" t="s">
        <v>22</v>
      </c>
      <c r="F24" s="20"/>
      <c r="G24" s="134" t="s">
        <v>20</v>
      </c>
      <c r="H24" s="134"/>
      <c r="I24" s="138">
        <v>1321</v>
      </c>
      <c r="J24" s="139"/>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38">
        <v>111</v>
      </c>
      <c r="D26" s="139"/>
      <c r="E26" s="10" t="s">
        <v>7</v>
      </c>
      <c r="F26" s="20"/>
      <c r="G26" s="134" t="s">
        <v>47</v>
      </c>
      <c r="H26" s="134"/>
      <c r="I26" s="138">
        <v>124</v>
      </c>
      <c r="J26" s="139"/>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42" t="s">
        <v>74</v>
      </c>
      <c r="C29" s="142"/>
      <c r="D29" s="135" t="s">
        <v>154</v>
      </c>
      <c r="E29" s="136"/>
      <c r="F29" s="136"/>
      <c r="G29" s="143" t="s">
        <v>23</v>
      </c>
      <c r="H29" s="142"/>
      <c r="I29" s="144"/>
      <c r="J29" s="135" t="s">
        <v>155</v>
      </c>
      <c r="K29" s="136"/>
      <c r="L29" s="136"/>
      <c r="M29" s="136"/>
      <c r="N29" s="137"/>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35" t="s">
        <v>156</v>
      </c>
      <c r="C32" s="136"/>
      <c r="D32" s="136"/>
      <c r="E32" s="136"/>
      <c r="F32" s="136"/>
      <c r="G32" s="136"/>
      <c r="H32" s="136"/>
      <c r="I32" s="136"/>
      <c r="J32" s="136"/>
      <c r="K32" s="136"/>
      <c r="L32" s="136"/>
      <c r="M32" s="136"/>
      <c r="N32" s="137"/>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42" t="s">
        <v>74</v>
      </c>
      <c r="C34" s="142"/>
      <c r="D34" s="135" t="s">
        <v>157</v>
      </c>
      <c r="E34" s="136"/>
      <c r="F34" s="136"/>
      <c r="G34" s="143" t="s">
        <v>55</v>
      </c>
      <c r="H34" s="142"/>
      <c r="I34" s="144"/>
      <c r="J34" s="135" t="s">
        <v>158</v>
      </c>
      <c r="K34" s="136"/>
      <c r="L34" s="136"/>
      <c r="M34" s="136"/>
      <c r="N34" s="137"/>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24" customHeight="1" x14ac:dyDescent="0.15">
      <c r="B37" s="135" t="s">
        <v>159</v>
      </c>
      <c r="C37" s="136"/>
      <c r="D37" s="136"/>
      <c r="E37" s="136"/>
      <c r="F37" s="136"/>
      <c r="G37" s="136"/>
      <c r="H37" s="136"/>
      <c r="I37" s="136"/>
      <c r="J37" s="136"/>
      <c r="K37" s="136"/>
      <c r="L37" s="136"/>
      <c r="M37" s="136"/>
      <c r="N37" s="137"/>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42" t="s">
        <v>74</v>
      </c>
      <c r="C39" s="142"/>
      <c r="D39" s="135" t="s">
        <v>154</v>
      </c>
      <c r="E39" s="136"/>
      <c r="F39" s="136"/>
      <c r="G39" s="143" t="s">
        <v>55</v>
      </c>
      <c r="H39" s="142"/>
      <c r="I39" s="144"/>
      <c r="J39" s="135" t="s">
        <v>155</v>
      </c>
      <c r="K39" s="136"/>
      <c r="L39" s="136"/>
      <c r="M39" s="136"/>
      <c r="N39" s="137"/>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88</v>
      </c>
      <c r="B41" s="73" t="s">
        <v>69</v>
      </c>
      <c r="E41" s="74"/>
      <c r="F41" s="135" t="s">
        <v>160</v>
      </c>
      <c r="G41" s="136"/>
      <c r="H41" s="136"/>
      <c r="I41" s="136"/>
      <c r="J41" s="136"/>
      <c r="K41" s="136"/>
      <c r="L41" s="136"/>
      <c r="M41" s="136"/>
      <c r="N41" s="137"/>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98</v>
      </c>
    </row>
    <row r="44" spans="1:15" ht="24" customHeight="1" x14ac:dyDescent="0.15">
      <c r="B44" s="30" t="s">
        <v>1</v>
      </c>
      <c r="C44" s="140" t="s">
        <v>161</v>
      </c>
      <c r="D44" s="141"/>
      <c r="E44" s="141"/>
      <c r="F44" s="141"/>
      <c r="G44" s="141"/>
      <c r="H44" s="141"/>
      <c r="I44" s="26" t="s">
        <v>2</v>
      </c>
      <c r="J44" s="27"/>
      <c r="K44" s="135" t="s">
        <v>162</v>
      </c>
      <c r="L44" s="136"/>
      <c r="M44" s="136"/>
      <c r="N44" s="137"/>
      <c r="O44" s="31" t="str">
        <f>IF(OR(C44="",K44=""),"入力してください","")</f>
        <v/>
      </c>
    </row>
    <row r="45" spans="1:15" ht="24" customHeight="1" x14ac:dyDescent="0.15">
      <c r="B45" s="25" t="s">
        <v>4</v>
      </c>
      <c r="C45" s="128" t="s">
        <v>163</v>
      </c>
      <c r="D45" s="129"/>
      <c r="E45" s="129"/>
      <c r="F45" s="129"/>
      <c r="G45" s="129"/>
      <c r="H45" s="130"/>
      <c r="I45" s="26" t="s">
        <v>3</v>
      </c>
      <c r="J45" s="27"/>
      <c r="K45" s="131" t="s">
        <v>164</v>
      </c>
      <c r="L45" s="132"/>
      <c r="M45" s="132"/>
      <c r="N45" s="133"/>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3"/>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88" zoomScaleNormal="100" zoomScaleSheetLayoutView="100" workbookViewId="0">
      <selection activeCell="N53" sqref="N53:S53"/>
    </sheetView>
  </sheetViews>
  <sheetFormatPr defaultColWidth="9" defaultRowHeight="18.75" customHeight="1" x14ac:dyDescent="0.15"/>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61" t="s">
        <v>208</v>
      </c>
      <c r="X1" s="261"/>
      <c r="Y1" s="261"/>
      <c r="Z1" s="261"/>
    </row>
    <row r="2" spans="1:26" ht="18" customHeight="1" x14ac:dyDescent="0.15">
      <c r="A2" s="220" t="s">
        <v>67</v>
      </c>
      <c r="B2" s="220"/>
      <c r="C2" s="220"/>
      <c r="D2" s="220"/>
      <c r="E2" s="220"/>
      <c r="F2" s="220"/>
      <c r="G2" s="220"/>
      <c r="H2" s="220"/>
      <c r="I2" s="220"/>
      <c r="J2" s="220"/>
      <c r="K2" s="220"/>
      <c r="L2" s="220"/>
      <c r="M2" s="220"/>
      <c r="N2" s="220"/>
      <c r="O2" s="220"/>
      <c r="P2" s="220"/>
      <c r="Q2" s="220"/>
      <c r="R2" s="220"/>
      <c r="S2" s="220"/>
      <c r="T2" s="220"/>
      <c r="U2" s="220"/>
      <c r="V2" s="220"/>
      <c r="W2" s="220"/>
      <c r="X2" s="220"/>
      <c r="Y2" s="220"/>
      <c r="Z2" s="220"/>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52" t="s">
        <v>165</v>
      </c>
      <c r="P4" s="153"/>
      <c r="Q4" s="153"/>
      <c r="R4" s="153"/>
      <c r="S4" s="153"/>
      <c r="T4" s="153"/>
      <c r="U4" s="153"/>
      <c r="V4" s="153"/>
      <c r="W4" s="153"/>
      <c r="X4" s="153"/>
      <c r="Y4" s="153"/>
      <c r="Z4" s="154"/>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21" t="s">
        <v>166</v>
      </c>
      <c r="C6" s="222"/>
      <c r="D6" s="222"/>
      <c r="E6" s="222"/>
      <c r="F6" s="222"/>
      <c r="G6" s="222"/>
      <c r="H6" s="222"/>
      <c r="I6" s="222"/>
      <c r="J6" s="222"/>
      <c r="K6" s="222"/>
      <c r="L6" s="222"/>
      <c r="M6" s="222"/>
      <c r="N6" s="222"/>
      <c r="O6" s="222"/>
      <c r="P6" s="222"/>
      <c r="Q6" s="222"/>
      <c r="R6" s="222"/>
      <c r="S6" s="222"/>
      <c r="T6" s="222"/>
      <c r="U6" s="222"/>
      <c r="V6" s="222"/>
      <c r="W6" s="222"/>
      <c r="X6" s="222"/>
      <c r="Y6" s="222"/>
      <c r="Z6" s="223"/>
    </row>
    <row r="7" spans="1:26" ht="18" customHeight="1" x14ac:dyDescent="0.15">
      <c r="B7" s="224"/>
      <c r="C7" s="225"/>
      <c r="D7" s="225"/>
      <c r="E7" s="225"/>
      <c r="F7" s="225"/>
      <c r="G7" s="225"/>
      <c r="H7" s="225"/>
      <c r="I7" s="225"/>
      <c r="J7" s="225"/>
      <c r="K7" s="225"/>
      <c r="L7" s="225"/>
      <c r="M7" s="225"/>
      <c r="N7" s="225"/>
      <c r="O7" s="225"/>
      <c r="P7" s="225"/>
      <c r="Q7" s="225"/>
      <c r="R7" s="225"/>
      <c r="S7" s="225"/>
      <c r="T7" s="225"/>
      <c r="U7" s="225"/>
      <c r="V7" s="225"/>
      <c r="W7" s="225"/>
      <c r="X7" s="225"/>
      <c r="Y7" s="225"/>
      <c r="Z7" s="226"/>
    </row>
    <row r="8" spans="1:26" ht="18" customHeight="1" x14ac:dyDescent="0.15">
      <c r="B8" s="224"/>
      <c r="C8" s="225"/>
      <c r="D8" s="225"/>
      <c r="E8" s="225"/>
      <c r="F8" s="225"/>
      <c r="G8" s="225"/>
      <c r="H8" s="225"/>
      <c r="I8" s="225"/>
      <c r="J8" s="225"/>
      <c r="K8" s="225"/>
      <c r="L8" s="225"/>
      <c r="M8" s="225"/>
      <c r="N8" s="225"/>
      <c r="O8" s="225"/>
      <c r="P8" s="225"/>
      <c r="Q8" s="225"/>
      <c r="R8" s="225"/>
      <c r="S8" s="225"/>
      <c r="T8" s="225"/>
      <c r="U8" s="225"/>
      <c r="V8" s="225"/>
      <c r="W8" s="225"/>
      <c r="X8" s="225"/>
      <c r="Y8" s="225"/>
      <c r="Z8" s="226"/>
    </row>
    <row r="9" spans="1:26" ht="18" customHeight="1" x14ac:dyDescent="0.15">
      <c r="B9" s="224"/>
      <c r="C9" s="225"/>
      <c r="D9" s="225"/>
      <c r="E9" s="225"/>
      <c r="F9" s="225"/>
      <c r="G9" s="225"/>
      <c r="H9" s="225"/>
      <c r="I9" s="225"/>
      <c r="J9" s="225"/>
      <c r="K9" s="225"/>
      <c r="L9" s="225"/>
      <c r="M9" s="225"/>
      <c r="N9" s="225"/>
      <c r="O9" s="225"/>
      <c r="P9" s="225"/>
      <c r="Q9" s="225"/>
      <c r="R9" s="225"/>
      <c r="S9" s="225"/>
      <c r="T9" s="225"/>
      <c r="U9" s="225"/>
      <c r="V9" s="225"/>
      <c r="W9" s="225"/>
      <c r="X9" s="225"/>
      <c r="Y9" s="225"/>
      <c r="Z9" s="226"/>
    </row>
    <row r="10" spans="1:26" ht="18" customHeight="1" x14ac:dyDescent="0.15">
      <c r="B10" s="224"/>
      <c r="C10" s="227"/>
      <c r="D10" s="227"/>
      <c r="E10" s="227"/>
      <c r="F10" s="227"/>
      <c r="G10" s="227"/>
      <c r="H10" s="227"/>
      <c r="I10" s="227"/>
      <c r="J10" s="227"/>
      <c r="K10" s="227"/>
      <c r="L10" s="227"/>
      <c r="M10" s="227"/>
      <c r="N10" s="227"/>
      <c r="O10" s="227"/>
      <c r="P10" s="227"/>
      <c r="Q10" s="227"/>
      <c r="R10" s="227"/>
      <c r="S10" s="227"/>
      <c r="T10" s="227"/>
      <c r="U10" s="227"/>
      <c r="V10" s="227"/>
      <c r="W10" s="227"/>
      <c r="X10" s="227"/>
      <c r="Y10" s="227"/>
      <c r="Z10" s="226"/>
    </row>
    <row r="11" spans="1:26" ht="18" customHeight="1" x14ac:dyDescent="0.15">
      <c r="B11" s="228"/>
      <c r="C11" s="229"/>
      <c r="D11" s="229"/>
      <c r="E11" s="229"/>
      <c r="F11" s="229"/>
      <c r="G11" s="229"/>
      <c r="H11" s="229"/>
      <c r="I11" s="229"/>
      <c r="J11" s="229"/>
      <c r="K11" s="229"/>
      <c r="L11" s="229"/>
      <c r="M11" s="229"/>
      <c r="N11" s="229"/>
      <c r="O11" s="229"/>
      <c r="P11" s="229"/>
      <c r="Q11" s="229"/>
      <c r="R11" s="229"/>
      <c r="S11" s="229"/>
      <c r="T11" s="229"/>
      <c r="U11" s="229"/>
      <c r="V11" s="229"/>
      <c r="W11" s="229"/>
      <c r="X11" s="229"/>
      <c r="Y11" s="229"/>
      <c r="Z11" s="230"/>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3" t="s">
        <v>125</v>
      </c>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row>
    <row r="14" spans="1:26" ht="18" customHeight="1" x14ac:dyDescent="0.15">
      <c r="A14" s="213"/>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row>
    <row r="15" spans="1:26" ht="18" customHeight="1" x14ac:dyDescent="0.15">
      <c r="A15" s="14"/>
      <c r="B15" s="152" t="s">
        <v>100</v>
      </c>
      <c r="C15" s="153"/>
      <c r="D15" s="153"/>
      <c r="E15" s="153"/>
      <c r="F15" s="154"/>
      <c r="G15" s="30" t="s">
        <v>141</v>
      </c>
      <c r="H15" s="104" t="s">
        <v>140</v>
      </c>
      <c r="I15" s="153" t="s">
        <v>101</v>
      </c>
      <c r="J15" s="153"/>
      <c r="K15" s="153"/>
      <c r="L15" s="75" t="s">
        <v>104</v>
      </c>
      <c r="M15" s="75" t="s">
        <v>107</v>
      </c>
      <c r="N15" s="152" t="s">
        <v>100</v>
      </c>
      <c r="O15" s="153"/>
      <c r="P15" s="153"/>
      <c r="Q15" s="153"/>
      <c r="R15" s="153"/>
      <c r="S15" s="154"/>
      <c r="T15" s="30" t="s">
        <v>141</v>
      </c>
      <c r="U15" s="104" t="s">
        <v>140</v>
      </c>
      <c r="V15" s="153" t="s">
        <v>101</v>
      </c>
      <c r="W15" s="153"/>
      <c r="X15" s="153"/>
      <c r="Y15" s="75" t="s">
        <v>104</v>
      </c>
      <c r="Z15" s="75" t="s">
        <v>107</v>
      </c>
    </row>
    <row r="16" spans="1:26" ht="18" customHeight="1" x14ac:dyDescent="0.15">
      <c r="A16" s="14"/>
      <c r="B16" s="206" t="s">
        <v>167</v>
      </c>
      <c r="C16" s="207"/>
      <c r="D16" s="207"/>
      <c r="E16" s="207"/>
      <c r="F16" s="208"/>
      <c r="G16" s="122">
        <v>2</v>
      </c>
      <c r="H16" s="122" t="s">
        <v>170</v>
      </c>
      <c r="I16" s="200" t="s">
        <v>171</v>
      </c>
      <c r="J16" s="201"/>
      <c r="K16" s="202"/>
      <c r="L16" s="122" t="s">
        <v>170</v>
      </c>
      <c r="M16" s="122"/>
      <c r="N16" s="263"/>
      <c r="O16" s="179"/>
      <c r="P16" s="179"/>
      <c r="Q16" s="179"/>
      <c r="R16" s="179"/>
      <c r="S16" s="180"/>
      <c r="T16" s="105"/>
      <c r="U16" s="105"/>
      <c r="V16" s="194"/>
      <c r="W16" s="195"/>
      <c r="X16" s="196"/>
      <c r="Y16" s="105"/>
      <c r="Z16" s="105"/>
    </row>
    <row r="17" spans="1:26" ht="18" customHeight="1" x14ac:dyDescent="0.15">
      <c r="A17" s="14"/>
      <c r="B17" s="209" t="s">
        <v>168</v>
      </c>
      <c r="C17" s="189"/>
      <c r="D17" s="189"/>
      <c r="E17" s="189"/>
      <c r="F17" s="190"/>
      <c r="G17" s="123">
        <v>2</v>
      </c>
      <c r="H17" s="123"/>
      <c r="I17" s="203" t="s">
        <v>171</v>
      </c>
      <c r="J17" s="204"/>
      <c r="K17" s="205"/>
      <c r="L17" s="123" t="s">
        <v>170</v>
      </c>
      <c r="M17" s="123" t="s">
        <v>170</v>
      </c>
      <c r="N17" s="264"/>
      <c r="O17" s="166"/>
      <c r="P17" s="166"/>
      <c r="Q17" s="166"/>
      <c r="R17" s="166"/>
      <c r="S17" s="167"/>
      <c r="T17" s="106"/>
      <c r="U17" s="106"/>
      <c r="V17" s="197"/>
      <c r="W17" s="198"/>
      <c r="X17" s="199"/>
      <c r="Y17" s="106"/>
      <c r="Z17" s="106"/>
    </row>
    <row r="18" spans="1:26" ht="18" customHeight="1" x14ac:dyDescent="0.15">
      <c r="A18" s="14"/>
      <c r="B18" s="209" t="s">
        <v>169</v>
      </c>
      <c r="C18" s="189"/>
      <c r="D18" s="189"/>
      <c r="E18" s="189"/>
      <c r="F18" s="190"/>
      <c r="G18" s="123">
        <v>2</v>
      </c>
      <c r="H18" s="123"/>
      <c r="I18" s="203" t="s">
        <v>171</v>
      </c>
      <c r="J18" s="204"/>
      <c r="K18" s="205"/>
      <c r="L18" s="123" t="s">
        <v>170</v>
      </c>
      <c r="M18" s="123" t="s">
        <v>170</v>
      </c>
      <c r="N18" s="264"/>
      <c r="O18" s="166"/>
      <c r="P18" s="166"/>
      <c r="Q18" s="166"/>
      <c r="R18" s="166"/>
      <c r="S18" s="167"/>
      <c r="T18" s="106"/>
      <c r="U18" s="106"/>
      <c r="V18" s="197"/>
      <c r="W18" s="198"/>
      <c r="X18" s="199"/>
      <c r="Y18" s="106"/>
      <c r="Z18" s="106"/>
    </row>
    <row r="19" spans="1:26" ht="18" customHeight="1" x14ac:dyDescent="0.15">
      <c r="A19" s="14"/>
      <c r="B19" s="209" t="s">
        <v>188</v>
      </c>
      <c r="C19" s="189"/>
      <c r="D19" s="189"/>
      <c r="E19" s="189"/>
      <c r="F19" s="190"/>
      <c r="G19" s="123">
        <v>2</v>
      </c>
      <c r="H19" s="123"/>
      <c r="I19" s="203" t="s">
        <v>171</v>
      </c>
      <c r="J19" s="204"/>
      <c r="K19" s="205"/>
      <c r="L19" s="123" t="s">
        <v>170</v>
      </c>
      <c r="M19" s="123" t="s">
        <v>170</v>
      </c>
      <c r="N19" s="264"/>
      <c r="O19" s="166"/>
      <c r="P19" s="166"/>
      <c r="Q19" s="166"/>
      <c r="R19" s="166"/>
      <c r="S19" s="167"/>
      <c r="T19" s="106"/>
      <c r="U19" s="106"/>
      <c r="V19" s="197"/>
      <c r="W19" s="198"/>
      <c r="X19" s="199"/>
      <c r="Y19" s="106"/>
      <c r="Z19" s="106"/>
    </row>
    <row r="20" spans="1:26" ht="18" customHeight="1" x14ac:dyDescent="0.15">
      <c r="A20" s="14"/>
      <c r="B20" s="209"/>
      <c r="C20" s="189"/>
      <c r="D20" s="189"/>
      <c r="E20" s="189"/>
      <c r="F20" s="190"/>
      <c r="G20" s="123"/>
      <c r="H20" s="123"/>
      <c r="I20" s="203"/>
      <c r="J20" s="204"/>
      <c r="K20" s="205"/>
      <c r="L20" s="123"/>
      <c r="M20" s="123"/>
      <c r="N20" s="264"/>
      <c r="O20" s="166"/>
      <c r="P20" s="166"/>
      <c r="Q20" s="166"/>
      <c r="R20" s="166"/>
      <c r="S20" s="167"/>
      <c r="T20" s="106"/>
      <c r="U20" s="106"/>
      <c r="V20" s="197"/>
      <c r="W20" s="198"/>
      <c r="X20" s="199"/>
      <c r="Y20" s="106"/>
      <c r="Z20" s="106"/>
    </row>
    <row r="21" spans="1:26" ht="18" customHeight="1" x14ac:dyDescent="0.15">
      <c r="A21" s="29"/>
      <c r="B21" s="209"/>
      <c r="C21" s="189"/>
      <c r="D21" s="189"/>
      <c r="E21" s="189"/>
      <c r="F21" s="190"/>
      <c r="G21" s="123"/>
      <c r="H21" s="123"/>
      <c r="I21" s="203"/>
      <c r="J21" s="204"/>
      <c r="K21" s="205"/>
      <c r="L21" s="123"/>
      <c r="M21" s="123"/>
      <c r="N21" s="264"/>
      <c r="O21" s="166"/>
      <c r="P21" s="166"/>
      <c r="Q21" s="166"/>
      <c r="R21" s="166"/>
      <c r="S21" s="167"/>
      <c r="T21" s="106"/>
      <c r="U21" s="106"/>
      <c r="V21" s="197"/>
      <c r="W21" s="198"/>
      <c r="X21" s="199"/>
      <c r="Y21" s="106"/>
      <c r="Z21" s="106"/>
    </row>
    <row r="22" spans="1:26" ht="18" customHeight="1" x14ac:dyDescent="0.15">
      <c r="A22" s="29"/>
      <c r="B22" s="262"/>
      <c r="C22" s="239"/>
      <c r="D22" s="239"/>
      <c r="E22" s="239"/>
      <c r="F22" s="240"/>
      <c r="G22" s="124"/>
      <c r="H22" s="124"/>
      <c r="I22" s="268"/>
      <c r="J22" s="269"/>
      <c r="K22" s="270"/>
      <c r="L22" s="125"/>
      <c r="M22" s="125"/>
      <c r="N22" s="265"/>
      <c r="O22" s="266"/>
      <c r="P22" s="266"/>
      <c r="Q22" s="266"/>
      <c r="R22" s="266"/>
      <c r="S22" s="267"/>
      <c r="T22" s="107"/>
      <c r="U22" s="107"/>
      <c r="V22" s="210"/>
      <c r="W22" s="211"/>
      <c r="X22" s="212"/>
      <c r="Y22" s="113"/>
      <c r="Z22" s="113"/>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13" t="s">
        <v>126</v>
      </c>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8" customHeight="1" x14ac:dyDescent="0.15">
      <c r="A25" s="213"/>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8" customHeight="1" x14ac:dyDescent="0.15">
      <c r="A26" s="14"/>
      <c r="B26" s="152" t="s">
        <v>100</v>
      </c>
      <c r="C26" s="153"/>
      <c r="D26" s="153"/>
      <c r="E26" s="153"/>
      <c r="F26" s="154"/>
      <c r="G26" s="30" t="s">
        <v>141</v>
      </c>
      <c r="H26" s="104" t="s">
        <v>140</v>
      </c>
      <c r="I26" s="153" t="s">
        <v>101</v>
      </c>
      <c r="J26" s="153"/>
      <c r="K26" s="153"/>
      <c r="L26" s="75" t="s">
        <v>127</v>
      </c>
      <c r="M26" s="75" t="s">
        <v>128</v>
      </c>
      <c r="N26" s="152" t="s">
        <v>100</v>
      </c>
      <c r="O26" s="153"/>
      <c r="P26" s="153"/>
      <c r="Q26" s="153"/>
      <c r="R26" s="153"/>
      <c r="S26" s="154"/>
      <c r="T26" s="30" t="s">
        <v>141</v>
      </c>
      <c r="U26" s="104" t="s">
        <v>140</v>
      </c>
      <c r="V26" s="153" t="s">
        <v>101</v>
      </c>
      <c r="W26" s="153"/>
      <c r="X26" s="153"/>
      <c r="Y26" s="75" t="s">
        <v>127</v>
      </c>
      <c r="Z26" s="75" t="s">
        <v>128</v>
      </c>
    </row>
    <row r="27" spans="1:26" ht="18" customHeight="1" x14ac:dyDescent="0.15">
      <c r="A27" s="14"/>
      <c r="B27" s="206" t="s">
        <v>167</v>
      </c>
      <c r="C27" s="207"/>
      <c r="D27" s="207"/>
      <c r="E27" s="207"/>
      <c r="F27" s="208"/>
      <c r="G27" s="122">
        <v>2</v>
      </c>
      <c r="H27" s="122" t="s">
        <v>170</v>
      </c>
      <c r="I27" s="200" t="s">
        <v>171</v>
      </c>
      <c r="J27" s="201"/>
      <c r="K27" s="202"/>
      <c r="L27" s="122" t="s">
        <v>170</v>
      </c>
      <c r="M27" s="122" t="s">
        <v>170</v>
      </c>
      <c r="N27" s="263"/>
      <c r="O27" s="179"/>
      <c r="P27" s="179"/>
      <c r="Q27" s="179"/>
      <c r="R27" s="179"/>
      <c r="S27" s="180"/>
      <c r="T27" s="105"/>
      <c r="U27" s="105"/>
      <c r="V27" s="194"/>
      <c r="W27" s="195"/>
      <c r="X27" s="196"/>
      <c r="Y27" s="105"/>
      <c r="Z27" s="105"/>
    </row>
    <row r="28" spans="1:26" ht="18" customHeight="1" x14ac:dyDescent="0.15">
      <c r="A28" s="14"/>
      <c r="B28" s="209" t="s">
        <v>168</v>
      </c>
      <c r="C28" s="189"/>
      <c r="D28" s="189"/>
      <c r="E28" s="189"/>
      <c r="F28" s="190"/>
      <c r="G28" s="123">
        <v>2</v>
      </c>
      <c r="H28" s="123"/>
      <c r="I28" s="203" t="s">
        <v>171</v>
      </c>
      <c r="J28" s="204"/>
      <c r="K28" s="205"/>
      <c r="L28" s="123" t="s">
        <v>170</v>
      </c>
      <c r="M28" s="123" t="s">
        <v>170</v>
      </c>
      <c r="N28" s="264"/>
      <c r="O28" s="166"/>
      <c r="P28" s="166"/>
      <c r="Q28" s="166"/>
      <c r="R28" s="166"/>
      <c r="S28" s="167"/>
      <c r="T28" s="106"/>
      <c r="U28" s="106"/>
      <c r="V28" s="197"/>
      <c r="W28" s="198"/>
      <c r="X28" s="199"/>
      <c r="Y28" s="106"/>
      <c r="Z28" s="106"/>
    </row>
    <row r="29" spans="1:26" ht="18" customHeight="1" x14ac:dyDescent="0.15">
      <c r="A29" s="14"/>
      <c r="B29" s="209" t="s">
        <v>169</v>
      </c>
      <c r="C29" s="189"/>
      <c r="D29" s="189"/>
      <c r="E29" s="189"/>
      <c r="F29" s="190"/>
      <c r="G29" s="123">
        <v>2</v>
      </c>
      <c r="H29" s="123"/>
      <c r="I29" s="203" t="s">
        <v>171</v>
      </c>
      <c r="J29" s="204"/>
      <c r="K29" s="205"/>
      <c r="L29" s="123" t="s">
        <v>170</v>
      </c>
      <c r="M29" s="123" t="s">
        <v>170</v>
      </c>
      <c r="N29" s="264"/>
      <c r="O29" s="166"/>
      <c r="P29" s="166"/>
      <c r="Q29" s="166"/>
      <c r="R29" s="166"/>
      <c r="S29" s="167"/>
      <c r="T29" s="106"/>
      <c r="U29" s="106"/>
      <c r="V29" s="197"/>
      <c r="W29" s="198"/>
      <c r="X29" s="199"/>
      <c r="Y29" s="106"/>
      <c r="Z29" s="106"/>
    </row>
    <row r="30" spans="1:26" ht="18" customHeight="1" x14ac:dyDescent="0.15">
      <c r="A30" s="14"/>
      <c r="B30" s="209" t="s">
        <v>188</v>
      </c>
      <c r="C30" s="189"/>
      <c r="D30" s="189"/>
      <c r="E30" s="189"/>
      <c r="F30" s="190"/>
      <c r="G30" s="123">
        <v>2</v>
      </c>
      <c r="H30" s="123"/>
      <c r="I30" s="203" t="s">
        <v>171</v>
      </c>
      <c r="J30" s="204"/>
      <c r="K30" s="205"/>
      <c r="L30" s="123" t="s">
        <v>170</v>
      </c>
      <c r="M30" s="123"/>
      <c r="N30" s="264"/>
      <c r="O30" s="166"/>
      <c r="P30" s="166"/>
      <c r="Q30" s="166"/>
      <c r="R30" s="166"/>
      <c r="S30" s="167"/>
      <c r="T30" s="106"/>
      <c r="U30" s="106"/>
      <c r="V30" s="197"/>
      <c r="W30" s="198"/>
      <c r="X30" s="199"/>
      <c r="Y30" s="106"/>
      <c r="Z30" s="106"/>
    </row>
    <row r="31" spans="1:26" ht="18" customHeight="1" x14ac:dyDescent="0.15">
      <c r="A31" s="14"/>
      <c r="B31" s="209"/>
      <c r="C31" s="189"/>
      <c r="D31" s="189"/>
      <c r="E31" s="189"/>
      <c r="F31" s="190"/>
      <c r="G31" s="123"/>
      <c r="H31" s="123"/>
      <c r="I31" s="203"/>
      <c r="J31" s="204"/>
      <c r="K31" s="205"/>
      <c r="L31" s="123"/>
      <c r="M31" s="123"/>
      <c r="N31" s="264"/>
      <c r="O31" s="166"/>
      <c r="P31" s="166"/>
      <c r="Q31" s="166"/>
      <c r="R31" s="166"/>
      <c r="S31" s="167"/>
      <c r="T31" s="106"/>
      <c r="U31" s="106"/>
      <c r="V31" s="197"/>
      <c r="W31" s="198"/>
      <c r="X31" s="199"/>
      <c r="Y31" s="106"/>
      <c r="Z31" s="106"/>
    </row>
    <row r="32" spans="1:26" ht="18" customHeight="1" x14ac:dyDescent="0.15">
      <c r="A32" s="14"/>
      <c r="B32" s="214"/>
      <c r="C32" s="215"/>
      <c r="D32" s="215"/>
      <c r="E32" s="215"/>
      <c r="F32" s="216"/>
      <c r="G32" s="106"/>
      <c r="H32" s="106"/>
      <c r="I32" s="197"/>
      <c r="J32" s="198"/>
      <c r="K32" s="199"/>
      <c r="L32" s="106"/>
      <c r="M32" s="106"/>
      <c r="N32" s="168"/>
      <c r="O32" s="169"/>
      <c r="P32" s="169"/>
      <c r="Q32" s="169"/>
      <c r="R32" s="169"/>
      <c r="S32" s="170"/>
      <c r="T32" s="106"/>
      <c r="U32" s="106"/>
      <c r="V32" s="197"/>
      <c r="W32" s="198"/>
      <c r="X32" s="199"/>
      <c r="Y32" s="106"/>
      <c r="Z32" s="106"/>
    </row>
    <row r="33" spans="1:26" ht="18" customHeight="1" x14ac:dyDescent="0.15">
      <c r="A33" s="14"/>
      <c r="B33" s="217"/>
      <c r="C33" s="218"/>
      <c r="D33" s="218"/>
      <c r="E33" s="218"/>
      <c r="F33" s="219"/>
      <c r="G33" s="107"/>
      <c r="H33" s="107"/>
      <c r="I33" s="210"/>
      <c r="J33" s="211"/>
      <c r="K33" s="212"/>
      <c r="L33" s="113"/>
      <c r="M33" s="113"/>
      <c r="N33" s="241"/>
      <c r="O33" s="242"/>
      <c r="P33" s="242"/>
      <c r="Q33" s="242"/>
      <c r="R33" s="242"/>
      <c r="S33" s="243"/>
      <c r="T33" s="107"/>
      <c r="U33" s="107"/>
      <c r="V33" s="210"/>
      <c r="W33" s="211"/>
      <c r="X33" s="212"/>
      <c r="Y33" s="113"/>
      <c r="Z33" s="113"/>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13" t="s">
        <v>129</v>
      </c>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8" customHeight="1" x14ac:dyDescent="0.15">
      <c r="A36" s="213"/>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8" customHeight="1" x14ac:dyDescent="0.15">
      <c r="A37" s="14"/>
      <c r="B37" s="152" t="s">
        <v>100</v>
      </c>
      <c r="C37" s="153"/>
      <c r="D37" s="153"/>
      <c r="E37" s="153"/>
      <c r="F37" s="154"/>
      <c r="G37" s="30" t="s">
        <v>141</v>
      </c>
      <c r="H37" s="104" t="s">
        <v>140</v>
      </c>
      <c r="I37" s="152" t="s">
        <v>101</v>
      </c>
      <c r="J37" s="153"/>
      <c r="K37" s="154"/>
      <c r="L37" s="75" t="s">
        <v>130</v>
      </c>
      <c r="M37" s="75" t="s">
        <v>131</v>
      </c>
      <c r="N37" s="152" t="s">
        <v>100</v>
      </c>
      <c r="O37" s="153"/>
      <c r="P37" s="153"/>
      <c r="Q37" s="153"/>
      <c r="R37" s="153"/>
      <c r="S37" s="154"/>
      <c r="T37" s="30" t="s">
        <v>141</v>
      </c>
      <c r="U37" s="104" t="s">
        <v>140</v>
      </c>
      <c r="V37" s="152" t="s">
        <v>101</v>
      </c>
      <c r="W37" s="153"/>
      <c r="X37" s="154"/>
      <c r="Y37" s="75" t="s">
        <v>130</v>
      </c>
      <c r="Z37" s="75" t="s">
        <v>131</v>
      </c>
    </row>
    <row r="38" spans="1:26" ht="18" customHeight="1" x14ac:dyDescent="0.15">
      <c r="A38" s="29"/>
      <c r="B38" s="206" t="s">
        <v>167</v>
      </c>
      <c r="C38" s="207"/>
      <c r="D38" s="207"/>
      <c r="E38" s="207"/>
      <c r="F38" s="208"/>
      <c r="G38" s="122">
        <v>2</v>
      </c>
      <c r="H38" s="122" t="s">
        <v>170</v>
      </c>
      <c r="I38" s="200" t="s">
        <v>171</v>
      </c>
      <c r="J38" s="201"/>
      <c r="K38" s="202"/>
      <c r="L38" s="122" t="s">
        <v>170</v>
      </c>
      <c r="M38" s="122" t="s">
        <v>170</v>
      </c>
      <c r="N38" s="263"/>
      <c r="O38" s="179"/>
      <c r="P38" s="179"/>
      <c r="Q38" s="179"/>
      <c r="R38" s="179"/>
      <c r="S38" s="180"/>
      <c r="T38" s="105"/>
      <c r="U38" s="105"/>
      <c r="V38" s="194"/>
      <c r="W38" s="195"/>
      <c r="X38" s="196"/>
      <c r="Y38" s="105"/>
      <c r="Z38" s="105"/>
    </row>
    <row r="39" spans="1:26" ht="18" customHeight="1" x14ac:dyDescent="0.15">
      <c r="A39" s="29"/>
      <c r="B39" s="209" t="s">
        <v>193</v>
      </c>
      <c r="C39" s="189"/>
      <c r="D39" s="189"/>
      <c r="E39" s="189"/>
      <c r="F39" s="190"/>
      <c r="G39" s="123">
        <v>2</v>
      </c>
      <c r="H39" s="123"/>
      <c r="I39" s="203" t="s">
        <v>171</v>
      </c>
      <c r="J39" s="204"/>
      <c r="K39" s="205"/>
      <c r="L39" s="123" t="s">
        <v>170</v>
      </c>
      <c r="M39" s="123" t="s">
        <v>170</v>
      </c>
      <c r="N39" s="264"/>
      <c r="O39" s="166"/>
      <c r="P39" s="166"/>
      <c r="Q39" s="166"/>
      <c r="R39" s="166"/>
      <c r="S39" s="167"/>
      <c r="T39" s="106"/>
      <c r="U39" s="106"/>
      <c r="V39" s="197"/>
      <c r="W39" s="198"/>
      <c r="X39" s="199"/>
      <c r="Y39" s="106"/>
      <c r="Z39" s="106"/>
    </row>
    <row r="40" spans="1:26" ht="18" customHeight="1" x14ac:dyDescent="0.15">
      <c r="A40" s="29"/>
      <c r="B40" s="209" t="s">
        <v>169</v>
      </c>
      <c r="C40" s="189"/>
      <c r="D40" s="189"/>
      <c r="E40" s="189"/>
      <c r="F40" s="190"/>
      <c r="G40" s="123">
        <v>2</v>
      </c>
      <c r="H40" s="123"/>
      <c r="I40" s="203" t="s">
        <v>171</v>
      </c>
      <c r="J40" s="204"/>
      <c r="K40" s="205"/>
      <c r="L40" s="123" t="s">
        <v>170</v>
      </c>
      <c r="M40" s="123" t="s">
        <v>170</v>
      </c>
      <c r="N40" s="264"/>
      <c r="O40" s="166"/>
      <c r="P40" s="166"/>
      <c r="Q40" s="166"/>
      <c r="R40" s="166"/>
      <c r="S40" s="167"/>
      <c r="T40" s="106"/>
      <c r="U40" s="106"/>
      <c r="V40" s="197"/>
      <c r="W40" s="198"/>
      <c r="X40" s="199"/>
      <c r="Y40" s="106"/>
      <c r="Z40" s="106"/>
    </row>
    <row r="41" spans="1:26" ht="18" customHeight="1" x14ac:dyDescent="0.15">
      <c r="A41" s="29"/>
      <c r="B41" s="209" t="s">
        <v>188</v>
      </c>
      <c r="C41" s="189"/>
      <c r="D41" s="189"/>
      <c r="E41" s="189"/>
      <c r="F41" s="190"/>
      <c r="G41" s="123">
        <v>2</v>
      </c>
      <c r="H41" s="123"/>
      <c r="I41" s="203" t="s">
        <v>171</v>
      </c>
      <c r="J41" s="204"/>
      <c r="K41" s="205"/>
      <c r="L41" s="123" t="s">
        <v>170</v>
      </c>
      <c r="M41" s="123"/>
      <c r="N41" s="264"/>
      <c r="O41" s="166"/>
      <c r="P41" s="166"/>
      <c r="Q41" s="166"/>
      <c r="R41" s="166"/>
      <c r="S41" s="167"/>
      <c r="T41" s="106"/>
      <c r="U41" s="106"/>
      <c r="V41" s="197"/>
      <c r="W41" s="198"/>
      <c r="X41" s="199"/>
      <c r="Y41" s="106"/>
      <c r="Z41" s="106"/>
    </row>
    <row r="42" spans="1:26" ht="18" customHeight="1" x14ac:dyDescent="0.15">
      <c r="A42" s="29"/>
      <c r="B42" s="214"/>
      <c r="C42" s="215"/>
      <c r="D42" s="215"/>
      <c r="E42" s="215"/>
      <c r="F42" s="216"/>
      <c r="G42" s="106"/>
      <c r="H42" s="106"/>
      <c r="I42" s="197"/>
      <c r="J42" s="198"/>
      <c r="K42" s="199"/>
      <c r="L42" s="106"/>
      <c r="M42" s="106"/>
      <c r="N42" s="168"/>
      <c r="O42" s="169"/>
      <c r="P42" s="169"/>
      <c r="Q42" s="169"/>
      <c r="R42" s="169"/>
      <c r="S42" s="170"/>
      <c r="T42" s="106"/>
      <c r="U42" s="106"/>
      <c r="V42" s="197"/>
      <c r="W42" s="198"/>
      <c r="X42" s="199"/>
      <c r="Y42" s="106"/>
      <c r="Z42" s="106"/>
    </row>
    <row r="43" spans="1:26" ht="18" customHeight="1" x14ac:dyDescent="0.15">
      <c r="A43" s="29"/>
      <c r="B43" s="214"/>
      <c r="C43" s="215"/>
      <c r="D43" s="215"/>
      <c r="E43" s="215"/>
      <c r="F43" s="216"/>
      <c r="G43" s="106"/>
      <c r="H43" s="106"/>
      <c r="I43" s="197"/>
      <c r="J43" s="198"/>
      <c r="K43" s="199"/>
      <c r="L43" s="106"/>
      <c r="M43" s="106"/>
      <c r="N43" s="168"/>
      <c r="O43" s="169"/>
      <c r="P43" s="169"/>
      <c r="Q43" s="169"/>
      <c r="R43" s="169"/>
      <c r="S43" s="170"/>
      <c r="T43" s="106"/>
      <c r="U43" s="106"/>
      <c r="V43" s="197"/>
      <c r="W43" s="198"/>
      <c r="X43" s="199"/>
      <c r="Y43" s="106"/>
      <c r="Z43" s="106"/>
    </row>
    <row r="44" spans="1:26" ht="18" customHeight="1" x14ac:dyDescent="0.15">
      <c r="A44" s="29"/>
      <c r="B44" s="217"/>
      <c r="C44" s="218"/>
      <c r="D44" s="218"/>
      <c r="E44" s="218"/>
      <c r="F44" s="219"/>
      <c r="G44" s="107"/>
      <c r="H44" s="107"/>
      <c r="I44" s="210"/>
      <c r="J44" s="211"/>
      <c r="K44" s="212"/>
      <c r="L44" s="113"/>
      <c r="M44" s="113"/>
      <c r="N44" s="241"/>
      <c r="O44" s="242"/>
      <c r="P44" s="242"/>
      <c r="Q44" s="242"/>
      <c r="R44" s="242"/>
      <c r="S44" s="243"/>
      <c r="T44" s="107"/>
      <c r="U44" s="107"/>
      <c r="V44" s="210"/>
      <c r="W44" s="211"/>
      <c r="X44" s="212"/>
      <c r="Y44" s="113"/>
      <c r="Z44" s="113"/>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13" t="s">
        <v>132</v>
      </c>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8" customHeight="1" x14ac:dyDescent="0.15">
      <c r="A47" s="213"/>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8" customHeight="1" x14ac:dyDescent="0.15">
      <c r="A48" s="14"/>
      <c r="B48" s="152" t="s">
        <v>100</v>
      </c>
      <c r="C48" s="153"/>
      <c r="D48" s="153"/>
      <c r="E48" s="153"/>
      <c r="F48" s="154"/>
      <c r="G48" s="30" t="s">
        <v>141</v>
      </c>
      <c r="H48" s="104" t="s">
        <v>140</v>
      </c>
      <c r="I48" s="152" t="s">
        <v>101</v>
      </c>
      <c r="J48" s="153"/>
      <c r="K48" s="154"/>
      <c r="L48" s="75" t="s">
        <v>106</v>
      </c>
      <c r="M48" s="75" t="s">
        <v>108</v>
      </c>
      <c r="N48" s="152" t="s">
        <v>100</v>
      </c>
      <c r="O48" s="153"/>
      <c r="P48" s="153"/>
      <c r="Q48" s="153"/>
      <c r="R48" s="153"/>
      <c r="S48" s="154"/>
      <c r="T48" s="30" t="s">
        <v>141</v>
      </c>
      <c r="U48" s="104" t="s">
        <v>140</v>
      </c>
      <c r="V48" s="152" t="s">
        <v>101</v>
      </c>
      <c r="W48" s="153"/>
      <c r="X48" s="154"/>
      <c r="Y48" s="75" t="s">
        <v>106</v>
      </c>
      <c r="Z48" s="75" t="s">
        <v>108</v>
      </c>
    </row>
    <row r="49" spans="1:26" ht="18" customHeight="1" x14ac:dyDescent="0.15">
      <c r="A49" s="29"/>
      <c r="B49" s="206" t="s">
        <v>167</v>
      </c>
      <c r="C49" s="207"/>
      <c r="D49" s="207"/>
      <c r="E49" s="207"/>
      <c r="F49" s="208"/>
      <c r="G49" s="126">
        <v>2</v>
      </c>
      <c r="H49" s="122" t="s">
        <v>170</v>
      </c>
      <c r="I49" s="200" t="s">
        <v>171</v>
      </c>
      <c r="J49" s="201"/>
      <c r="K49" s="202"/>
      <c r="L49" s="122" t="s">
        <v>170</v>
      </c>
      <c r="M49" s="122" t="s">
        <v>170</v>
      </c>
      <c r="N49" s="263"/>
      <c r="O49" s="179"/>
      <c r="P49" s="179"/>
      <c r="Q49" s="179"/>
      <c r="R49" s="179"/>
      <c r="S49" s="180"/>
      <c r="T49" s="105"/>
      <c r="U49" s="105"/>
      <c r="V49" s="194"/>
      <c r="W49" s="195"/>
      <c r="X49" s="196"/>
      <c r="Y49" s="105"/>
      <c r="Z49" s="105"/>
    </row>
    <row r="50" spans="1:26" ht="18" customHeight="1" x14ac:dyDescent="0.15">
      <c r="A50" s="29"/>
      <c r="B50" s="209" t="s">
        <v>193</v>
      </c>
      <c r="C50" s="189"/>
      <c r="D50" s="189"/>
      <c r="E50" s="189"/>
      <c r="F50" s="190"/>
      <c r="G50" s="123">
        <v>2</v>
      </c>
      <c r="H50" s="123"/>
      <c r="I50" s="203" t="s">
        <v>171</v>
      </c>
      <c r="J50" s="204"/>
      <c r="K50" s="205"/>
      <c r="L50" s="123" t="s">
        <v>170</v>
      </c>
      <c r="M50" s="123" t="s">
        <v>170</v>
      </c>
      <c r="N50" s="264"/>
      <c r="O50" s="166"/>
      <c r="P50" s="166"/>
      <c r="Q50" s="166"/>
      <c r="R50" s="166"/>
      <c r="S50" s="167"/>
      <c r="T50" s="106"/>
      <c r="U50" s="106"/>
      <c r="V50" s="197"/>
      <c r="W50" s="198"/>
      <c r="X50" s="199"/>
      <c r="Y50" s="106"/>
      <c r="Z50" s="106"/>
    </row>
    <row r="51" spans="1:26" ht="18" customHeight="1" x14ac:dyDescent="0.15">
      <c r="A51" s="29"/>
      <c r="B51" s="209" t="s">
        <v>169</v>
      </c>
      <c r="C51" s="189"/>
      <c r="D51" s="189"/>
      <c r="E51" s="189"/>
      <c r="F51" s="190"/>
      <c r="G51" s="127">
        <v>2</v>
      </c>
      <c r="H51" s="123"/>
      <c r="I51" s="203" t="s">
        <v>171</v>
      </c>
      <c r="J51" s="204"/>
      <c r="K51" s="205"/>
      <c r="L51" s="123" t="s">
        <v>170</v>
      </c>
      <c r="M51" s="123" t="s">
        <v>170</v>
      </c>
      <c r="N51" s="264"/>
      <c r="O51" s="166"/>
      <c r="P51" s="166"/>
      <c r="Q51" s="166"/>
      <c r="R51" s="166"/>
      <c r="S51" s="167"/>
      <c r="T51" s="106"/>
      <c r="U51" s="106"/>
      <c r="V51" s="197"/>
      <c r="W51" s="198"/>
      <c r="X51" s="199"/>
      <c r="Y51" s="106"/>
      <c r="Z51" s="106"/>
    </row>
    <row r="52" spans="1:26" ht="18" customHeight="1" x14ac:dyDescent="0.15">
      <c r="A52" s="29"/>
      <c r="B52" s="209"/>
      <c r="C52" s="189"/>
      <c r="D52" s="189"/>
      <c r="E52" s="189"/>
      <c r="F52" s="190"/>
      <c r="G52" s="123"/>
      <c r="H52" s="123"/>
      <c r="I52" s="203"/>
      <c r="J52" s="204"/>
      <c r="K52" s="205"/>
      <c r="L52" s="123"/>
      <c r="M52" s="123"/>
      <c r="N52" s="264"/>
      <c r="O52" s="166"/>
      <c r="P52" s="166"/>
      <c r="Q52" s="166"/>
      <c r="R52" s="166"/>
      <c r="S52" s="167"/>
      <c r="T52" s="106"/>
      <c r="U52" s="106"/>
      <c r="V52" s="197"/>
      <c r="W52" s="198"/>
      <c r="X52" s="199"/>
      <c r="Y52" s="106"/>
      <c r="Z52" s="106"/>
    </row>
    <row r="53" spans="1:26" ht="18" customHeight="1" x14ac:dyDescent="0.15">
      <c r="A53" s="29"/>
      <c r="B53" s="209"/>
      <c r="C53" s="189"/>
      <c r="D53" s="189"/>
      <c r="E53" s="189"/>
      <c r="F53" s="190"/>
      <c r="G53" s="123"/>
      <c r="H53" s="123"/>
      <c r="I53" s="203"/>
      <c r="J53" s="204"/>
      <c r="K53" s="205"/>
      <c r="L53" s="123"/>
      <c r="M53" s="123"/>
      <c r="N53" s="264"/>
      <c r="O53" s="166"/>
      <c r="P53" s="166"/>
      <c r="Q53" s="166"/>
      <c r="R53" s="166"/>
      <c r="S53" s="167"/>
      <c r="T53" s="106"/>
      <c r="U53" s="106"/>
      <c r="V53" s="197"/>
      <c r="W53" s="198"/>
      <c r="X53" s="199"/>
      <c r="Y53" s="106"/>
      <c r="Z53" s="106"/>
    </row>
    <row r="54" spans="1:26" ht="18" customHeight="1" x14ac:dyDescent="0.15">
      <c r="A54" s="29"/>
      <c r="B54" s="214"/>
      <c r="C54" s="215"/>
      <c r="D54" s="215"/>
      <c r="E54" s="215"/>
      <c r="F54" s="216"/>
      <c r="G54" s="106"/>
      <c r="H54" s="106"/>
      <c r="I54" s="197"/>
      <c r="J54" s="198"/>
      <c r="K54" s="199"/>
      <c r="L54" s="106"/>
      <c r="M54" s="106"/>
      <c r="N54" s="168"/>
      <c r="O54" s="169"/>
      <c r="P54" s="169"/>
      <c r="Q54" s="169"/>
      <c r="R54" s="169"/>
      <c r="S54" s="170"/>
      <c r="T54" s="106"/>
      <c r="U54" s="106"/>
      <c r="V54" s="197"/>
      <c r="W54" s="198"/>
      <c r="X54" s="199"/>
      <c r="Y54" s="106"/>
      <c r="Z54" s="106"/>
    </row>
    <row r="55" spans="1:26" ht="18" customHeight="1" x14ac:dyDescent="0.15">
      <c r="A55" s="29"/>
      <c r="B55" s="217"/>
      <c r="C55" s="218"/>
      <c r="D55" s="218"/>
      <c r="E55" s="218"/>
      <c r="F55" s="219"/>
      <c r="G55" s="107"/>
      <c r="H55" s="107"/>
      <c r="I55" s="210"/>
      <c r="J55" s="211"/>
      <c r="K55" s="212"/>
      <c r="L55" s="113"/>
      <c r="M55" s="113"/>
      <c r="N55" s="241"/>
      <c r="O55" s="242"/>
      <c r="P55" s="242"/>
      <c r="Q55" s="242"/>
      <c r="R55" s="242"/>
      <c r="S55" s="243"/>
      <c r="T55" s="107"/>
      <c r="U55" s="107"/>
      <c r="V55" s="210"/>
      <c r="W55" s="211"/>
      <c r="X55" s="212"/>
      <c r="Y55" s="113"/>
      <c r="Z55" s="113"/>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13" t="s">
        <v>133</v>
      </c>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8" customHeight="1" x14ac:dyDescent="0.15">
      <c r="A58" s="213"/>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8" customHeight="1" x14ac:dyDescent="0.15">
      <c r="A59" s="14"/>
      <c r="B59" s="152" t="s">
        <v>100</v>
      </c>
      <c r="C59" s="153"/>
      <c r="D59" s="153"/>
      <c r="E59" s="154"/>
      <c r="F59" s="30" t="s">
        <v>141</v>
      </c>
      <c r="G59" s="104" t="s">
        <v>140</v>
      </c>
      <c r="H59" s="99" t="s">
        <v>101</v>
      </c>
      <c r="I59" s="100"/>
      <c r="J59" s="101"/>
      <c r="K59" s="75" t="s">
        <v>105</v>
      </c>
      <c r="L59" s="75" t="s">
        <v>134</v>
      </c>
      <c r="M59" s="75" t="s">
        <v>135</v>
      </c>
      <c r="N59" s="152" t="s">
        <v>100</v>
      </c>
      <c r="O59" s="153"/>
      <c r="P59" s="153"/>
      <c r="Q59" s="153"/>
      <c r="R59" s="154"/>
      <c r="S59" s="30" t="s">
        <v>141</v>
      </c>
      <c r="T59" s="104" t="s">
        <v>140</v>
      </c>
      <c r="U59" s="99" t="s">
        <v>101</v>
      </c>
      <c r="V59" s="100"/>
      <c r="W59" s="101"/>
      <c r="X59" s="75" t="s">
        <v>105</v>
      </c>
      <c r="Y59" s="75" t="s">
        <v>134</v>
      </c>
      <c r="Z59" s="75" t="s">
        <v>135</v>
      </c>
    </row>
    <row r="60" spans="1:26" ht="18" customHeight="1" x14ac:dyDescent="0.15">
      <c r="A60" s="29"/>
      <c r="B60" s="159" t="s">
        <v>188</v>
      </c>
      <c r="C60" s="160"/>
      <c r="D60" s="160"/>
      <c r="E60" s="161"/>
      <c r="F60" s="105">
        <v>2</v>
      </c>
      <c r="G60" s="105"/>
      <c r="H60" s="194" t="s">
        <v>171</v>
      </c>
      <c r="I60" s="195"/>
      <c r="J60" s="196"/>
      <c r="K60" s="105" t="s">
        <v>170</v>
      </c>
      <c r="L60" s="105" t="s">
        <v>170</v>
      </c>
      <c r="M60" s="105" t="s">
        <v>170</v>
      </c>
      <c r="N60" s="159"/>
      <c r="O60" s="160"/>
      <c r="P60" s="160"/>
      <c r="Q60" s="160"/>
      <c r="R60" s="161"/>
      <c r="S60" s="105"/>
      <c r="T60" s="105"/>
      <c r="U60" s="194"/>
      <c r="V60" s="195"/>
      <c r="W60" s="196"/>
      <c r="X60" s="112"/>
      <c r="Y60" s="105"/>
      <c r="Z60" s="105"/>
    </row>
    <row r="61" spans="1:26" ht="18" customHeight="1" x14ac:dyDescent="0.15">
      <c r="A61" s="29"/>
      <c r="B61" s="168" t="s">
        <v>172</v>
      </c>
      <c r="C61" s="169"/>
      <c r="D61" s="169"/>
      <c r="E61" s="170"/>
      <c r="F61" s="106">
        <v>2</v>
      </c>
      <c r="G61" s="106"/>
      <c r="H61" s="197" t="s">
        <v>171</v>
      </c>
      <c r="I61" s="198"/>
      <c r="J61" s="199"/>
      <c r="K61" s="110" t="s">
        <v>173</v>
      </c>
      <c r="L61" s="106" t="s">
        <v>170</v>
      </c>
      <c r="M61" s="106" t="s">
        <v>170</v>
      </c>
      <c r="N61" s="168"/>
      <c r="O61" s="169"/>
      <c r="P61" s="169"/>
      <c r="Q61" s="169"/>
      <c r="R61" s="170"/>
      <c r="S61" s="106"/>
      <c r="T61" s="106"/>
      <c r="U61" s="197"/>
      <c r="V61" s="198"/>
      <c r="W61" s="199"/>
      <c r="X61" s="110"/>
      <c r="Y61" s="106"/>
      <c r="Z61" s="106"/>
    </row>
    <row r="62" spans="1:26" ht="18" customHeight="1" x14ac:dyDescent="0.15">
      <c r="A62" s="29"/>
      <c r="B62" s="168"/>
      <c r="C62" s="169"/>
      <c r="D62" s="169"/>
      <c r="E62" s="170"/>
      <c r="F62" s="106"/>
      <c r="G62" s="106"/>
      <c r="H62" s="197"/>
      <c r="I62" s="198"/>
      <c r="J62" s="199"/>
      <c r="K62" s="110"/>
      <c r="L62" s="106"/>
      <c r="M62" s="106"/>
      <c r="N62" s="168"/>
      <c r="O62" s="169"/>
      <c r="P62" s="169"/>
      <c r="Q62" s="169"/>
      <c r="R62" s="170"/>
      <c r="S62" s="106"/>
      <c r="T62" s="106"/>
      <c r="U62" s="197"/>
      <c r="V62" s="198"/>
      <c r="W62" s="199"/>
      <c r="X62" s="110"/>
      <c r="Y62" s="106"/>
      <c r="Z62" s="106"/>
    </row>
    <row r="63" spans="1:26" ht="18" customHeight="1" x14ac:dyDescent="0.15">
      <c r="A63" s="29"/>
      <c r="B63" s="168"/>
      <c r="C63" s="169"/>
      <c r="D63" s="169"/>
      <c r="E63" s="170"/>
      <c r="F63" s="106"/>
      <c r="G63" s="106"/>
      <c r="H63" s="197"/>
      <c r="I63" s="198"/>
      <c r="J63" s="199"/>
      <c r="K63" s="110"/>
      <c r="L63" s="106"/>
      <c r="M63" s="106"/>
      <c r="N63" s="168"/>
      <c r="O63" s="169"/>
      <c r="P63" s="169"/>
      <c r="Q63" s="169"/>
      <c r="R63" s="170"/>
      <c r="S63" s="106"/>
      <c r="T63" s="106"/>
      <c r="U63" s="197"/>
      <c r="V63" s="198"/>
      <c r="W63" s="199"/>
      <c r="X63" s="110"/>
      <c r="Y63" s="106"/>
      <c r="Z63" s="106"/>
    </row>
    <row r="64" spans="1:26" ht="18" customHeight="1" x14ac:dyDescent="0.15">
      <c r="A64" s="29"/>
      <c r="B64" s="168"/>
      <c r="C64" s="169"/>
      <c r="D64" s="169"/>
      <c r="E64" s="170"/>
      <c r="F64" s="106"/>
      <c r="G64" s="106"/>
      <c r="H64" s="197"/>
      <c r="I64" s="198"/>
      <c r="J64" s="199"/>
      <c r="K64" s="110"/>
      <c r="L64" s="106"/>
      <c r="M64" s="106"/>
      <c r="N64" s="168"/>
      <c r="O64" s="169"/>
      <c r="P64" s="169"/>
      <c r="Q64" s="169"/>
      <c r="R64" s="170"/>
      <c r="S64" s="106"/>
      <c r="T64" s="106"/>
      <c r="U64" s="197"/>
      <c r="V64" s="198"/>
      <c r="W64" s="199"/>
      <c r="X64" s="110"/>
      <c r="Y64" s="106"/>
      <c r="Z64" s="106"/>
    </row>
    <row r="65" spans="1:26" ht="18" customHeight="1" x14ac:dyDescent="0.15">
      <c r="A65" s="29"/>
      <c r="B65" s="168"/>
      <c r="C65" s="169"/>
      <c r="D65" s="169"/>
      <c r="E65" s="170"/>
      <c r="F65" s="106"/>
      <c r="G65" s="106"/>
      <c r="H65" s="197"/>
      <c r="I65" s="198"/>
      <c r="J65" s="199"/>
      <c r="K65" s="110"/>
      <c r="L65" s="106"/>
      <c r="M65" s="106"/>
      <c r="N65" s="168"/>
      <c r="O65" s="169"/>
      <c r="P65" s="169"/>
      <c r="Q65" s="169"/>
      <c r="R65" s="170"/>
      <c r="S65" s="106"/>
      <c r="T65" s="106"/>
      <c r="U65" s="197"/>
      <c r="V65" s="198"/>
      <c r="W65" s="199"/>
      <c r="X65" s="110"/>
      <c r="Y65" s="106"/>
      <c r="Z65" s="106"/>
    </row>
    <row r="66" spans="1:26" ht="18" customHeight="1" x14ac:dyDescent="0.15">
      <c r="A66" s="29"/>
      <c r="B66" s="241"/>
      <c r="C66" s="242"/>
      <c r="D66" s="242"/>
      <c r="E66" s="243"/>
      <c r="F66" s="107"/>
      <c r="G66" s="107"/>
      <c r="H66" s="210"/>
      <c r="I66" s="211"/>
      <c r="J66" s="212"/>
      <c r="K66" s="111"/>
      <c r="L66" s="113"/>
      <c r="M66" s="113"/>
      <c r="N66" s="241"/>
      <c r="O66" s="242"/>
      <c r="P66" s="242"/>
      <c r="Q66" s="242"/>
      <c r="R66" s="243"/>
      <c r="S66" s="107"/>
      <c r="T66" s="107"/>
      <c r="U66" s="210"/>
      <c r="V66" s="211"/>
      <c r="W66" s="212"/>
      <c r="X66" s="111"/>
      <c r="Y66" s="113"/>
      <c r="Z66" s="113"/>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52" t="s">
        <v>100</v>
      </c>
      <c r="C69" s="153"/>
      <c r="D69" s="153"/>
      <c r="E69" s="153"/>
      <c r="F69" s="154"/>
      <c r="G69" s="152" t="s">
        <v>146</v>
      </c>
      <c r="H69" s="153"/>
      <c r="I69" s="153"/>
      <c r="J69" s="153"/>
      <c r="K69" s="153"/>
      <c r="L69" s="153"/>
      <c r="M69" s="154"/>
      <c r="N69" s="247" t="s">
        <v>100</v>
      </c>
      <c r="O69" s="248"/>
      <c r="P69" s="248"/>
      <c r="Q69" s="248"/>
      <c r="R69" s="248"/>
      <c r="S69" s="249"/>
      <c r="T69" s="152" t="s">
        <v>146</v>
      </c>
      <c r="U69" s="153"/>
      <c r="V69" s="153"/>
      <c r="W69" s="153"/>
      <c r="X69" s="153"/>
      <c r="Y69" s="153"/>
      <c r="Z69" s="154"/>
    </row>
    <row r="70" spans="1:26" ht="18" customHeight="1" x14ac:dyDescent="0.15">
      <c r="A70" s="29"/>
      <c r="B70" s="159" t="s">
        <v>180</v>
      </c>
      <c r="C70" s="160"/>
      <c r="D70" s="160"/>
      <c r="E70" s="160"/>
      <c r="F70" s="161"/>
      <c r="G70" s="162" t="s">
        <v>187</v>
      </c>
      <c r="H70" s="163"/>
      <c r="I70" s="163"/>
      <c r="J70" s="163"/>
      <c r="K70" s="163"/>
      <c r="L70" s="163"/>
      <c r="M70" s="164"/>
      <c r="N70" s="159"/>
      <c r="O70" s="160"/>
      <c r="P70" s="160"/>
      <c r="Q70" s="160"/>
      <c r="R70" s="160"/>
      <c r="S70" s="161"/>
      <c r="T70" s="162"/>
      <c r="U70" s="163"/>
      <c r="V70" s="163"/>
      <c r="W70" s="163"/>
      <c r="X70" s="163"/>
      <c r="Y70" s="163"/>
      <c r="Z70" s="164"/>
    </row>
    <row r="71" spans="1:26" ht="18" customHeight="1" x14ac:dyDescent="0.15">
      <c r="A71" s="29"/>
      <c r="B71" s="168" t="s">
        <v>188</v>
      </c>
      <c r="C71" s="169"/>
      <c r="D71" s="169"/>
      <c r="E71" s="169"/>
      <c r="F71" s="170"/>
      <c r="G71" s="171" t="s">
        <v>189</v>
      </c>
      <c r="H71" s="172"/>
      <c r="I71" s="172"/>
      <c r="J71" s="172"/>
      <c r="K71" s="172"/>
      <c r="L71" s="172"/>
      <c r="M71" s="173"/>
      <c r="N71" s="168"/>
      <c r="O71" s="169"/>
      <c r="P71" s="169"/>
      <c r="Q71" s="169"/>
      <c r="R71" s="169"/>
      <c r="S71" s="170"/>
      <c r="T71" s="171"/>
      <c r="U71" s="172"/>
      <c r="V71" s="172"/>
      <c r="W71" s="172"/>
      <c r="X71" s="172"/>
      <c r="Y71" s="172"/>
      <c r="Z71" s="173"/>
    </row>
    <row r="72" spans="1:26" ht="18" customHeight="1" x14ac:dyDescent="0.15">
      <c r="A72" s="29"/>
      <c r="B72" s="168" t="s">
        <v>190</v>
      </c>
      <c r="C72" s="169"/>
      <c r="D72" s="169"/>
      <c r="E72" s="169"/>
      <c r="F72" s="170"/>
      <c r="G72" s="171" t="s">
        <v>189</v>
      </c>
      <c r="H72" s="172"/>
      <c r="I72" s="172"/>
      <c r="J72" s="172"/>
      <c r="K72" s="172"/>
      <c r="L72" s="172"/>
      <c r="M72" s="173"/>
      <c r="N72" s="168"/>
      <c r="O72" s="169"/>
      <c r="P72" s="169"/>
      <c r="Q72" s="169"/>
      <c r="R72" s="169"/>
      <c r="S72" s="170"/>
      <c r="T72" s="171"/>
      <c r="U72" s="172"/>
      <c r="V72" s="172"/>
      <c r="W72" s="172"/>
      <c r="X72" s="172"/>
      <c r="Y72" s="172"/>
      <c r="Z72" s="173"/>
    </row>
    <row r="73" spans="1:26" ht="18" customHeight="1" x14ac:dyDescent="0.15">
      <c r="A73" s="29"/>
      <c r="B73" s="168" t="s">
        <v>190</v>
      </c>
      <c r="C73" s="169"/>
      <c r="D73" s="169"/>
      <c r="E73" s="169"/>
      <c r="F73" s="170"/>
      <c r="G73" s="171" t="s">
        <v>191</v>
      </c>
      <c r="H73" s="172"/>
      <c r="I73" s="172"/>
      <c r="J73" s="172"/>
      <c r="K73" s="172"/>
      <c r="L73" s="172"/>
      <c r="M73" s="173"/>
      <c r="N73" s="168"/>
      <c r="O73" s="169"/>
      <c r="P73" s="169"/>
      <c r="Q73" s="169"/>
      <c r="R73" s="169"/>
      <c r="S73" s="170"/>
      <c r="T73" s="171"/>
      <c r="U73" s="172"/>
      <c r="V73" s="172"/>
      <c r="W73" s="172"/>
      <c r="X73" s="172"/>
      <c r="Y73" s="172"/>
      <c r="Z73" s="173"/>
    </row>
    <row r="74" spans="1:26" ht="18" customHeight="1" x14ac:dyDescent="0.15">
      <c r="A74" s="29"/>
      <c r="B74" s="168"/>
      <c r="C74" s="169"/>
      <c r="D74" s="169"/>
      <c r="E74" s="169"/>
      <c r="F74" s="170"/>
      <c r="G74" s="171"/>
      <c r="H74" s="172"/>
      <c r="I74" s="172"/>
      <c r="J74" s="172"/>
      <c r="K74" s="172"/>
      <c r="L74" s="172"/>
      <c r="M74" s="173"/>
      <c r="N74" s="168"/>
      <c r="O74" s="169"/>
      <c r="P74" s="169"/>
      <c r="Q74" s="169"/>
      <c r="R74" s="169"/>
      <c r="S74" s="170"/>
      <c r="T74" s="171"/>
      <c r="U74" s="172"/>
      <c r="V74" s="172"/>
      <c r="W74" s="172"/>
      <c r="X74" s="172"/>
      <c r="Y74" s="172"/>
      <c r="Z74" s="173"/>
    </row>
    <row r="75" spans="1:26" ht="18" customHeight="1" x14ac:dyDescent="0.15">
      <c r="A75" s="29"/>
      <c r="B75" s="168"/>
      <c r="C75" s="169"/>
      <c r="D75" s="169"/>
      <c r="E75" s="169"/>
      <c r="F75" s="170"/>
      <c r="G75" s="171"/>
      <c r="H75" s="172"/>
      <c r="I75" s="172"/>
      <c r="J75" s="172"/>
      <c r="K75" s="172"/>
      <c r="L75" s="172"/>
      <c r="M75" s="173"/>
      <c r="N75" s="168"/>
      <c r="O75" s="169"/>
      <c r="P75" s="169"/>
      <c r="Q75" s="169"/>
      <c r="R75" s="169"/>
      <c r="S75" s="170"/>
      <c r="T75" s="171"/>
      <c r="U75" s="172"/>
      <c r="V75" s="172"/>
      <c r="W75" s="172"/>
      <c r="X75" s="172"/>
      <c r="Y75" s="172"/>
      <c r="Z75" s="173"/>
    </row>
    <row r="76" spans="1:26" ht="18" customHeight="1" x14ac:dyDescent="0.15">
      <c r="A76" s="29"/>
      <c r="B76" s="241"/>
      <c r="C76" s="242"/>
      <c r="D76" s="242"/>
      <c r="E76" s="242"/>
      <c r="F76" s="243"/>
      <c r="G76" s="244"/>
      <c r="H76" s="245"/>
      <c r="I76" s="245"/>
      <c r="J76" s="245"/>
      <c r="K76" s="245"/>
      <c r="L76" s="245"/>
      <c r="M76" s="246"/>
      <c r="N76" s="241"/>
      <c r="O76" s="242"/>
      <c r="P76" s="242"/>
      <c r="Q76" s="242"/>
      <c r="R76" s="242"/>
      <c r="S76" s="243"/>
      <c r="T76" s="244"/>
      <c r="U76" s="245"/>
      <c r="V76" s="245"/>
      <c r="W76" s="245"/>
      <c r="X76" s="245"/>
      <c r="Y76" s="245"/>
      <c r="Z76" s="246"/>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142</v>
      </c>
    </row>
    <row r="79" spans="1:26" ht="18.75" customHeight="1" x14ac:dyDescent="0.15">
      <c r="B79" s="78" t="s">
        <v>102</v>
      </c>
      <c r="C79" s="79"/>
      <c r="D79" s="191" t="s">
        <v>103</v>
      </c>
      <c r="E79" s="191"/>
      <c r="F79" s="191"/>
      <c r="G79" s="191"/>
      <c r="H79" s="191"/>
      <c r="I79" s="191"/>
      <c r="J79" s="191"/>
      <c r="K79" s="191"/>
      <c r="L79" s="191"/>
      <c r="M79" s="191"/>
      <c r="N79" s="191"/>
      <c r="O79" s="191"/>
      <c r="P79" s="191"/>
      <c r="Q79" s="191"/>
      <c r="R79" s="191"/>
      <c r="S79" s="191"/>
      <c r="T79" s="191"/>
      <c r="U79" s="191"/>
      <c r="V79" s="191"/>
      <c r="W79" s="191"/>
      <c r="X79" s="191"/>
      <c r="Y79" s="191"/>
      <c r="Z79" s="192"/>
    </row>
    <row r="80" spans="1:26" ht="96" customHeight="1" x14ac:dyDescent="0.15">
      <c r="B80" s="176" t="s">
        <v>109</v>
      </c>
      <c r="C80" s="83" t="s">
        <v>104</v>
      </c>
      <c r="D80" s="185" t="s">
        <v>209</v>
      </c>
      <c r="E80" s="185"/>
      <c r="F80" s="185"/>
      <c r="G80" s="185"/>
      <c r="H80" s="185"/>
      <c r="I80" s="185"/>
      <c r="J80" s="185"/>
      <c r="K80" s="185"/>
      <c r="L80" s="185"/>
      <c r="M80" s="185"/>
      <c r="N80" s="185"/>
      <c r="O80" s="185"/>
      <c r="P80" s="185"/>
      <c r="Q80" s="185"/>
      <c r="R80" s="185"/>
      <c r="S80" s="185"/>
      <c r="T80" s="185"/>
      <c r="U80" s="185"/>
      <c r="V80" s="185"/>
      <c r="W80" s="185"/>
      <c r="X80" s="185"/>
      <c r="Y80" s="185"/>
      <c r="Z80" s="193"/>
    </row>
    <row r="81" spans="1:26" ht="78" customHeight="1" x14ac:dyDescent="0.15">
      <c r="B81" s="177"/>
      <c r="C81" s="102" t="s">
        <v>137</v>
      </c>
      <c r="D81" s="231" t="s">
        <v>210</v>
      </c>
      <c r="E81" s="232"/>
      <c r="F81" s="232"/>
      <c r="G81" s="232"/>
      <c r="H81" s="232"/>
      <c r="I81" s="232"/>
      <c r="J81" s="232"/>
      <c r="K81" s="232"/>
      <c r="L81" s="232"/>
      <c r="M81" s="232"/>
      <c r="N81" s="232"/>
      <c r="O81" s="232"/>
      <c r="P81" s="232"/>
      <c r="Q81" s="232"/>
      <c r="R81" s="232"/>
      <c r="S81" s="232"/>
      <c r="T81" s="232"/>
      <c r="U81" s="232"/>
      <c r="V81" s="232"/>
      <c r="W81" s="232"/>
      <c r="X81" s="232"/>
      <c r="Y81" s="232"/>
      <c r="Z81" s="233"/>
    </row>
    <row r="82" spans="1:26" ht="78" customHeight="1" x14ac:dyDescent="0.15">
      <c r="B82" s="174" t="s">
        <v>110</v>
      </c>
      <c r="C82" s="80" t="s">
        <v>127</v>
      </c>
      <c r="D82" s="234" t="s">
        <v>211</v>
      </c>
      <c r="E82" s="207"/>
      <c r="F82" s="207"/>
      <c r="G82" s="207"/>
      <c r="H82" s="207"/>
      <c r="I82" s="207"/>
      <c r="J82" s="207"/>
      <c r="K82" s="207"/>
      <c r="L82" s="207"/>
      <c r="M82" s="207"/>
      <c r="N82" s="207"/>
      <c r="O82" s="207"/>
      <c r="P82" s="207"/>
      <c r="Q82" s="207"/>
      <c r="R82" s="207"/>
      <c r="S82" s="207"/>
      <c r="T82" s="207"/>
      <c r="U82" s="207"/>
      <c r="V82" s="207"/>
      <c r="W82" s="207"/>
      <c r="X82" s="207"/>
      <c r="Y82" s="207"/>
      <c r="Z82" s="208"/>
    </row>
    <row r="83" spans="1:26" ht="78" customHeight="1" x14ac:dyDescent="0.15">
      <c r="B83" s="175"/>
      <c r="C83" s="103" t="s">
        <v>128</v>
      </c>
      <c r="D83" s="238" t="s">
        <v>212</v>
      </c>
      <c r="E83" s="239"/>
      <c r="F83" s="239"/>
      <c r="G83" s="239"/>
      <c r="H83" s="239"/>
      <c r="I83" s="239"/>
      <c r="J83" s="239"/>
      <c r="K83" s="239"/>
      <c r="L83" s="239"/>
      <c r="M83" s="239"/>
      <c r="N83" s="239"/>
      <c r="O83" s="239"/>
      <c r="P83" s="239"/>
      <c r="Q83" s="239"/>
      <c r="R83" s="239"/>
      <c r="S83" s="239"/>
      <c r="T83" s="239"/>
      <c r="U83" s="239"/>
      <c r="V83" s="239"/>
      <c r="W83" s="239"/>
      <c r="X83" s="239"/>
      <c r="Y83" s="239"/>
      <c r="Z83" s="240"/>
    </row>
    <row r="84" spans="1:26" ht="90.95" customHeight="1" x14ac:dyDescent="0.15">
      <c r="B84" s="174" t="s">
        <v>111</v>
      </c>
      <c r="C84" s="80" t="s">
        <v>130</v>
      </c>
      <c r="D84" s="234" t="s">
        <v>213</v>
      </c>
      <c r="E84" s="207"/>
      <c r="F84" s="207"/>
      <c r="G84" s="207"/>
      <c r="H84" s="207"/>
      <c r="I84" s="207"/>
      <c r="J84" s="207"/>
      <c r="K84" s="207"/>
      <c r="L84" s="207"/>
      <c r="M84" s="207"/>
      <c r="N84" s="207"/>
      <c r="O84" s="207"/>
      <c r="P84" s="207"/>
      <c r="Q84" s="207"/>
      <c r="R84" s="207"/>
      <c r="S84" s="207"/>
      <c r="T84" s="207"/>
      <c r="U84" s="207"/>
      <c r="V84" s="207"/>
      <c r="W84" s="207"/>
      <c r="X84" s="207"/>
      <c r="Y84" s="207"/>
      <c r="Z84" s="208"/>
    </row>
    <row r="85" spans="1:26" ht="66" customHeight="1" x14ac:dyDescent="0.15">
      <c r="B85" s="175"/>
      <c r="C85" s="82" t="s">
        <v>131</v>
      </c>
      <c r="D85" s="235" t="s">
        <v>214</v>
      </c>
      <c r="E85" s="236"/>
      <c r="F85" s="236"/>
      <c r="G85" s="236"/>
      <c r="H85" s="236"/>
      <c r="I85" s="236"/>
      <c r="J85" s="236"/>
      <c r="K85" s="236"/>
      <c r="L85" s="236"/>
      <c r="M85" s="236"/>
      <c r="N85" s="236"/>
      <c r="O85" s="236"/>
      <c r="P85" s="236"/>
      <c r="Q85" s="236"/>
      <c r="R85" s="236"/>
      <c r="S85" s="236"/>
      <c r="T85" s="236"/>
      <c r="U85" s="236"/>
      <c r="V85" s="236"/>
      <c r="W85" s="236"/>
      <c r="X85" s="236"/>
      <c r="Y85" s="236"/>
      <c r="Z85" s="237"/>
    </row>
    <row r="86" spans="1:26" ht="66" customHeight="1" x14ac:dyDescent="0.15">
      <c r="B86" s="176" t="s">
        <v>138</v>
      </c>
      <c r="C86" s="83" t="s">
        <v>106</v>
      </c>
      <c r="D86" s="185" t="s">
        <v>215</v>
      </c>
      <c r="E86" s="186"/>
      <c r="F86" s="186"/>
      <c r="G86" s="186"/>
      <c r="H86" s="186"/>
      <c r="I86" s="186"/>
      <c r="J86" s="186"/>
      <c r="K86" s="186"/>
      <c r="L86" s="186"/>
      <c r="M86" s="186"/>
      <c r="N86" s="186"/>
      <c r="O86" s="186"/>
      <c r="P86" s="186"/>
      <c r="Q86" s="186"/>
      <c r="R86" s="186"/>
      <c r="S86" s="186"/>
      <c r="T86" s="186"/>
      <c r="U86" s="186"/>
      <c r="V86" s="186"/>
      <c r="W86" s="186"/>
      <c r="X86" s="186"/>
      <c r="Y86" s="186"/>
      <c r="Z86" s="187"/>
    </row>
    <row r="87" spans="1:26" ht="66" customHeight="1" x14ac:dyDescent="0.15">
      <c r="B87" s="184"/>
      <c r="C87" s="81" t="s">
        <v>108</v>
      </c>
      <c r="D87" s="188" t="s">
        <v>216</v>
      </c>
      <c r="E87" s="189"/>
      <c r="F87" s="189"/>
      <c r="G87" s="189"/>
      <c r="H87" s="189"/>
      <c r="I87" s="189"/>
      <c r="J87" s="189"/>
      <c r="K87" s="189"/>
      <c r="L87" s="189"/>
      <c r="M87" s="189"/>
      <c r="N87" s="189"/>
      <c r="O87" s="189"/>
      <c r="P87" s="189"/>
      <c r="Q87" s="189"/>
      <c r="R87" s="189"/>
      <c r="S87" s="189"/>
      <c r="T87" s="189"/>
      <c r="U87" s="189"/>
      <c r="V87" s="189"/>
      <c r="W87" s="189"/>
      <c r="X87" s="189"/>
      <c r="Y87" s="189"/>
      <c r="Z87" s="190"/>
    </row>
    <row r="88" spans="1:26" ht="66" customHeight="1" x14ac:dyDescent="0.15">
      <c r="B88" s="176" t="s">
        <v>139</v>
      </c>
      <c r="C88" s="80" t="s">
        <v>105</v>
      </c>
      <c r="D88" s="178" t="s">
        <v>217</v>
      </c>
      <c r="E88" s="179"/>
      <c r="F88" s="179"/>
      <c r="G88" s="179"/>
      <c r="H88" s="179"/>
      <c r="I88" s="179"/>
      <c r="J88" s="179"/>
      <c r="K88" s="179"/>
      <c r="L88" s="179"/>
      <c r="M88" s="179"/>
      <c r="N88" s="179"/>
      <c r="O88" s="179"/>
      <c r="P88" s="179"/>
      <c r="Q88" s="179"/>
      <c r="R88" s="179"/>
      <c r="S88" s="179"/>
      <c r="T88" s="179"/>
      <c r="U88" s="179"/>
      <c r="V88" s="179"/>
      <c r="W88" s="179"/>
      <c r="X88" s="179"/>
      <c r="Y88" s="179"/>
      <c r="Z88" s="180"/>
    </row>
    <row r="89" spans="1:26" ht="66" customHeight="1" x14ac:dyDescent="0.15">
      <c r="B89" s="177"/>
      <c r="C89" s="81" t="s">
        <v>134</v>
      </c>
      <c r="D89" s="165" t="s">
        <v>218</v>
      </c>
      <c r="E89" s="166"/>
      <c r="F89" s="166"/>
      <c r="G89" s="166"/>
      <c r="H89" s="166"/>
      <c r="I89" s="166"/>
      <c r="J89" s="166"/>
      <c r="K89" s="166"/>
      <c r="L89" s="166"/>
      <c r="M89" s="166"/>
      <c r="N89" s="166"/>
      <c r="O89" s="166"/>
      <c r="P89" s="166"/>
      <c r="Q89" s="166"/>
      <c r="R89" s="166"/>
      <c r="S89" s="166"/>
      <c r="T89" s="166"/>
      <c r="U89" s="166"/>
      <c r="V89" s="166"/>
      <c r="W89" s="166"/>
      <c r="X89" s="166"/>
      <c r="Y89" s="166"/>
      <c r="Z89" s="167"/>
    </row>
    <row r="90" spans="1:26" ht="66" customHeight="1" x14ac:dyDescent="0.15">
      <c r="B90" s="175"/>
      <c r="C90" s="82" t="s">
        <v>135</v>
      </c>
      <c r="D90" s="181" t="s">
        <v>192</v>
      </c>
      <c r="E90" s="182"/>
      <c r="F90" s="182"/>
      <c r="G90" s="182"/>
      <c r="H90" s="182"/>
      <c r="I90" s="182"/>
      <c r="J90" s="182"/>
      <c r="K90" s="182"/>
      <c r="L90" s="182"/>
      <c r="M90" s="182"/>
      <c r="N90" s="182"/>
      <c r="O90" s="182"/>
      <c r="P90" s="182"/>
      <c r="Q90" s="182"/>
      <c r="R90" s="182"/>
      <c r="S90" s="182"/>
      <c r="T90" s="182"/>
      <c r="U90" s="182"/>
      <c r="V90" s="182"/>
      <c r="W90" s="182"/>
      <c r="X90" s="182"/>
      <c r="Y90" s="182"/>
      <c r="Z90" s="183"/>
    </row>
    <row r="91" spans="1:26" ht="6" customHeight="1" x14ac:dyDescent="0.15"/>
    <row r="92" spans="1:26" ht="18.75" customHeight="1" x14ac:dyDescent="0.15">
      <c r="A92" s="13" t="s">
        <v>143</v>
      </c>
    </row>
    <row r="93" spans="1:26" ht="18.75" customHeight="1" x14ac:dyDescent="0.15">
      <c r="B93" s="250" t="s">
        <v>207</v>
      </c>
      <c r="C93" s="251"/>
      <c r="D93" s="251"/>
      <c r="E93" s="251"/>
      <c r="F93" s="251"/>
      <c r="G93" s="251"/>
      <c r="H93" s="251"/>
      <c r="I93" s="251"/>
      <c r="J93" s="251"/>
      <c r="K93" s="251"/>
      <c r="L93" s="251"/>
      <c r="M93" s="251"/>
      <c r="N93" s="251"/>
      <c r="O93" s="251"/>
      <c r="P93" s="251"/>
      <c r="Q93" s="251"/>
      <c r="R93" s="251"/>
      <c r="S93" s="251"/>
      <c r="T93" s="251"/>
      <c r="U93" s="251"/>
      <c r="V93" s="251"/>
      <c r="W93" s="251"/>
      <c r="X93" s="251"/>
      <c r="Y93" s="251"/>
      <c r="Z93" s="252"/>
    </row>
    <row r="94" spans="1:26" ht="18.75" customHeight="1" x14ac:dyDescent="0.15">
      <c r="B94" s="253"/>
      <c r="C94" s="254"/>
      <c r="D94" s="254"/>
      <c r="E94" s="254"/>
      <c r="F94" s="254"/>
      <c r="G94" s="254"/>
      <c r="H94" s="254"/>
      <c r="I94" s="254"/>
      <c r="J94" s="254"/>
      <c r="K94" s="254"/>
      <c r="L94" s="254"/>
      <c r="M94" s="254"/>
      <c r="N94" s="254"/>
      <c r="O94" s="254"/>
      <c r="P94" s="254"/>
      <c r="Q94" s="254"/>
      <c r="R94" s="254"/>
      <c r="S94" s="254"/>
      <c r="T94" s="254"/>
      <c r="U94" s="254"/>
      <c r="V94" s="254"/>
      <c r="W94" s="254"/>
      <c r="X94" s="254"/>
      <c r="Y94" s="254"/>
      <c r="Z94" s="255"/>
    </row>
    <row r="95" spans="1:26" ht="18.75" customHeight="1" x14ac:dyDescent="0.15">
      <c r="B95" s="256"/>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257"/>
    </row>
    <row r="96" spans="1:26" ht="6" customHeight="1" x14ac:dyDescent="0.15"/>
    <row r="97" spans="1:26" ht="15" customHeight="1" x14ac:dyDescent="0.15">
      <c r="A97" s="13" t="s">
        <v>144</v>
      </c>
    </row>
    <row r="98" spans="1:26" ht="15" customHeight="1" x14ac:dyDescent="0.15">
      <c r="B98" s="258" t="s">
        <v>197</v>
      </c>
      <c r="C98" s="259"/>
      <c r="D98" s="259"/>
      <c r="E98" s="259"/>
      <c r="F98" s="259"/>
      <c r="G98" s="259"/>
      <c r="H98" s="259"/>
      <c r="I98" s="259"/>
      <c r="J98" s="259"/>
      <c r="K98" s="259"/>
      <c r="L98" s="259"/>
      <c r="M98" s="259"/>
      <c r="N98" s="259"/>
      <c r="O98" s="259"/>
      <c r="P98" s="259"/>
      <c r="Q98" s="259"/>
      <c r="R98" s="259"/>
      <c r="S98" s="259"/>
      <c r="T98" s="259"/>
      <c r="U98" s="259"/>
      <c r="V98" s="259"/>
      <c r="W98" s="259"/>
      <c r="X98" s="259"/>
      <c r="Y98" s="259"/>
      <c r="Z98" s="260"/>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3"/>
  <dataValidations count="4">
    <dataValidation type="list" allowBlank="1" showInputMessage="1" showErrorMessage="1" sqref="Y16:Z22 H38:H44 Y27:Z33 L16:M22 L27:M33 Y38:Z44 L38:M44 Y49:Z55 Y60:Z66 L60:M66 H16:H22 U16:U22 K60 U27:U33 H27:H33 U38:U44 H49:H55 U49:U55 G60:G66 T60:T66 L49:M55">
      <formula1>"○"</formula1>
    </dataValidation>
    <dataValidation type="list" allowBlank="1" showInputMessage="1" showErrorMessage="1" sqref="Z23 Z34 D34:K34 D23:K23 V16:V22 I16:I22 V27:V33 I38:I44 V38:V44 H60:H66 V49:V55 I27:I33 U60:U66 I49:I55">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62" orientation="landscape" r:id="rId2"/>
  <rowBreaks count="3" manualBreakCount="3">
    <brk id="34" max="25" man="1"/>
    <brk id="56"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topLeftCell="A4" zoomScaleNormal="100" zoomScaleSheetLayoutView="100" workbookViewId="0">
      <selection activeCell="Q18" sqref="Q18"/>
    </sheetView>
  </sheetViews>
  <sheetFormatPr defaultColWidth="9" defaultRowHeight="18.75" customHeight="1" x14ac:dyDescent="0.15"/>
  <cols>
    <col min="1" max="1" width="2.625" style="1" customWidth="1"/>
    <col min="2" max="2" width="30" style="1" customWidth="1"/>
    <col min="3" max="17" width="6.125" style="1" customWidth="1"/>
    <col min="18" max="18" width="6.625" style="1" customWidth="1"/>
    <col min="19" max="16384" width="9" style="1"/>
  </cols>
  <sheetData>
    <row r="1" spans="1:20" ht="18" customHeight="1" x14ac:dyDescent="0.15">
      <c r="F1" s="271" t="s">
        <v>63</v>
      </c>
      <c r="G1" s="271"/>
      <c r="H1" s="271"/>
      <c r="I1" s="271"/>
      <c r="J1" s="271"/>
      <c r="K1" s="271"/>
      <c r="L1" s="271"/>
      <c r="M1" s="271"/>
      <c r="N1" s="271"/>
      <c r="O1" s="271"/>
      <c r="P1" s="271"/>
      <c r="Q1" s="271"/>
      <c r="R1" s="271"/>
    </row>
    <row r="2" spans="1:20" ht="18" customHeight="1" x14ac:dyDescent="0.15">
      <c r="A2" s="272" t="s">
        <v>89</v>
      </c>
      <c r="B2" s="272"/>
      <c r="C2" s="272"/>
      <c r="D2" s="272"/>
      <c r="E2" s="272"/>
      <c r="F2" s="272"/>
      <c r="G2" s="272"/>
      <c r="H2" s="272"/>
      <c r="I2" s="272"/>
      <c r="J2" s="272"/>
      <c r="K2" s="272"/>
      <c r="L2" s="272"/>
      <c r="M2" s="272"/>
      <c r="N2" s="272"/>
      <c r="O2" s="272"/>
      <c r="P2" s="272"/>
      <c r="Q2" s="272"/>
      <c r="R2" s="272"/>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147</v>
      </c>
      <c r="B4" s="4"/>
      <c r="C4" s="273" t="str">
        <f>'様式１　大学等概要'!E12</f>
        <v>令和３</v>
      </c>
      <c r="D4" s="274"/>
      <c r="E4" s="38" t="s">
        <v>113</v>
      </c>
      <c r="F4" s="38"/>
      <c r="G4" s="38"/>
      <c r="H4" s="38"/>
      <c r="I4" s="38"/>
      <c r="J4" s="84"/>
      <c r="K4" s="38"/>
      <c r="L4" s="38"/>
      <c r="M4" s="108"/>
      <c r="N4" s="108"/>
      <c r="O4" s="108"/>
      <c r="P4" s="108"/>
      <c r="Q4" s="108"/>
      <c r="R4" s="108"/>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145</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75" t="s">
        <v>79</v>
      </c>
      <c r="C8" s="277" t="s">
        <v>84</v>
      </c>
      <c r="D8" s="279" t="s">
        <v>68</v>
      </c>
      <c r="E8" s="281" t="s">
        <v>90</v>
      </c>
      <c r="F8" s="281"/>
      <c r="G8" s="281" t="s">
        <v>91</v>
      </c>
      <c r="H8" s="281"/>
      <c r="I8" s="281" t="s">
        <v>92</v>
      </c>
      <c r="J8" s="281"/>
      <c r="K8" s="200" t="s">
        <v>93</v>
      </c>
      <c r="L8" s="202"/>
      <c r="M8" s="200" t="s">
        <v>94</v>
      </c>
      <c r="N8" s="202"/>
      <c r="O8" s="200" t="s">
        <v>95</v>
      </c>
      <c r="P8" s="202"/>
      <c r="Q8" s="282" t="s">
        <v>62</v>
      </c>
      <c r="R8" s="284" t="s">
        <v>56</v>
      </c>
      <c r="T8" s="34"/>
    </row>
    <row r="9" spans="1:20" ht="18" customHeight="1" x14ac:dyDescent="0.15">
      <c r="A9" s="4"/>
      <c r="B9" s="276"/>
      <c r="C9" s="278"/>
      <c r="D9" s="280"/>
      <c r="E9" s="43" t="s">
        <v>44</v>
      </c>
      <c r="F9" s="44" t="s">
        <v>43</v>
      </c>
      <c r="G9" s="45" t="s">
        <v>44</v>
      </c>
      <c r="H9" s="46" t="s">
        <v>43</v>
      </c>
      <c r="I9" s="43" t="s">
        <v>44</v>
      </c>
      <c r="J9" s="44" t="s">
        <v>43</v>
      </c>
      <c r="K9" s="45" t="s">
        <v>44</v>
      </c>
      <c r="L9" s="46" t="s">
        <v>43</v>
      </c>
      <c r="M9" s="43" t="s">
        <v>44</v>
      </c>
      <c r="N9" s="44" t="s">
        <v>43</v>
      </c>
      <c r="O9" s="45" t="s">
        <v>44</v>
      </c>
      <c r="P9" s="46" t="s">
        <v>43</v>
      </c>
      <c r="Q9" s="283"/>
      <c r="R9" s="285"/>
      <c r="T9" s="34"/>
    </row>
    <row r="10" spans="1:20" ht="18" customHeight="1" x14ac:dyDescent="0.15">
      <c r="A10" s="47"/>
      <c r="B10" s="85" t="s">
        <v>174</v>
      </c>
      <c r="C10" s="47">
        <v>275</v>
      </c>
      <c r="D10" s="48">
        <v>1120</v>
      </c>
      <c r="E10" s="49">
        <v>66</v>
      </c>
      <c r="F10" s="50">
        <v>17</v>
      </c>
      <c r="G10" s="51">
        <v>0</v>
      </c>
      <c r="H10" s="52">
        <v>0</v>
      </c>
      <c r="I10" s="49">
        <v>0</v>
      </c>
      <c r="J10" s="50">
        <v>0</v>
      </c>
      <c r="K10" s="51">
        <v>0</v>
      </c>
      <c r="L10" s="52">
        <v>0</v>
      </c>
      <c r="M10" s="49">
        <v>0</v>
      </c>
      <c r="N10" s="50">
        <v>0</v>
      </c>
      <c r="O10" s="51">
        <v>0</v>
      </c>
      <c r="P10" s="52">
        <v>0</v>
      </c>
      <c r="Q10" s="53">
        <f>E10+G10+I10+K10+M10+O10</f>
        <v>66</v>
      </c>
      <c r="R10" s="54">
        <f>Q10/D10</f>
        <v>5.8928571428571427E-2</v>
      </c>
    </row>
    <row r="11" spans="1:20" ht="18" customHeight="1" x14ac:dyDescent="0.15">
      <c r="A11" s="47"/>
      <c r="B11" s="86" t="s">
        <v>178</v>
      </c>
      <c r="C11" s="63">
        <v>130</v>
      </c>
      <c r="D11" s="56">
        <v>520</v>
      </c>
      <c r="E11" s="57">
        <v>5</v>
      </c>
      <c r="F11" s="58">
        <v>0</v>
      </c>
      <c r="G11" s="59">
        <v>0</v>
      </c>
      <c r="H11" s="60">
        <v>0</v>
      </c>
      <c r="I11" s="57">
        <v>0</v>
      </c>
      <c r="J11" s="58">
        <v>0</v>
      </c>
      <c r="K11" s="59">
        <v>0</v>
      </c>
      <c r="L11" s="60">
        <v>0</v>
      </c>
      <c r="M11" s="57">
        <v>0</v>
      </c>
      <c r="N11" s="58">
        <v>0</v>
      </c>
      <c r="O11" s="59">
        <v>0</v>
      </c>
      <c r="P11" s="60">
        <v>0</v>
      </c>
      <c r="Q11" s="61">
        <f t="shared" ref="Q11:Q29" si="0">E11+G11+I11+K11+M11+O11</f>
        <v>5</v>
      </c>
      <c r="R11" s="62">
        <f t="shared" ref="R11:R29" si="1">Q11/D11</f>
        <v>9.6153846153846159E-3</v>
      </c>
    </row>
    <row r="12" spans="1:20" ht="18" customHeight="1" x14ac:dyDescent="0.15">
      <c r="A12" s="47"/>
      <c r="B12" s="86" t="s">
        <v>175</v>
      </c>
      <c r="C12" s="63">
        <v>240</v>
      </c>
      <c r="D12" s="56">
        <v>980</v>
      </c>
      <c r="E12" s="57">
        <v>36</v>
      </c>
      <c r="F12" s="58">
        <v>6</v>
      </c>
      <c r="G12" s="59">
        <v>0</v>
      </c>
      <c r="H12" s="60">
        <v>0</v>
      </c>
      <c r="I12" s="57">
        <v>0</v>
      </c>
      <c r="J12" s="58">
        <v>0</v>
      </c>
      <c r="K12" s="59">
        <v>0</v>
      </c>
      <c r="L12" s="60">
        <v>0</v>
      </c>
      <c r="M12" s="57">
        <v>0</v>
      </c>
      <c r="N12" s="58">
        <v>0</v>
      </c>
      <c r="O12" s="59">
        <v>0</v>
      </c>
      <c r="P12" s="60">
        <v>0</v>
      </c>
      <c r="Q12" s="61">
        <f t="shared" si="0"/>
        <v>36</v>
      </c>
      <c r="R12" s="62">
        <f t="shared" si="1"/>
        <v>3.6734693877551024E-2</v>
      </c>
    </row>
    <row r="13" spans="1:20" ht="18" customHeight="1" x14ac:dyDescent="0.15">
      <c r="A13" s="47"/>
      <c r="B13" s="86" t="s">
        <v>176</v>
      </c>
      <c r="C13" s="63">
        <v>200</v>
      </c>
      <c r="D13" s="56">
        <v>800</v>
      </c>
      <c r="E13" s="57">
        <v>40</v>
      </c>
      <c r="F13" s="58">
        <v>8</v>
      </c>
      <c r="G13" s="59">
        <v>0</v>
      </c>
      <c r="H13" s="60">
        <v>0</v>
      </c>
      <c r="I13" s="57">
        <v>0</v>
      </c>
      <c r="J13" s="58">
        <v>0</v>
      </c>
      <c r="K13" s="59">
        <v>0</v>
      </c>
      <c r="L13" s="60">
        <v>0</v>
      </c>
      <c r="M13" s="57">
        <v>0</v>
      </c>
      <c r="N13" s="58">
        <v>0</v>
      </c>
      <c r="O13" s="59">
        <v>0</v>
      </c>
      <c r="P13" s="60">
        <v>0</v>
      </c>
      <c r="Q13" s="61">
        <f t="shared" si="0"/>
        <v>40</v>
      </c>
      <c r="R13" s="62">
        <f t="shared" si="1"/>
        <v>0.05</v>
      </c>
    </row>
    <row r="14" spans="1:20" ht="18" customHeight="1" x14ac:dyDescent="0.15">
      <c r="A14" s="47"/>
      <c r="B14" s="86" t="s">
        <v>179</v>
      </c>
      <c r="C14" s="63">
        <v>170</v>
      </c>
      <c r="D14" s="56">
        <v>945</v>
      </c>
      <c r="E14" s="57">
        <v>2</v>
      </c>
      <c r="F14" s="58">
        <v>0</v>
      </c>
      <c r="G14" s="59">
        <v>0</v>
      </c>
      <c r="H14" s="60">
        <v>0</v>
      </c>
      <c r="I14" s="57">
        <v>0</v>
      </c>
      <c r="J14" s="58">
        <v>0</v>
      </c>
      <c r="K14" s="59">
        <v>0</v>
      </c>
      <c r="L14" s="60">
        <v>0</v>
      </c>
      <c r="M14" s="57">
        <v>0</v>
      </c>
      <c r="N14" s="58">
        <v>0</v>
      </c>
      <c r="O14" s="59">
        <v>0</v>
      </c>
      <c r="P14" s="60">
        <v>0</v>
      </c>
      <c r="Q14" s="61">
        <f t="shared" si="0"/>
        <v>2</v>
      </c>
      <c r="R14" s="62">
        <f t="shared" si="1"/>
        <v>2.1164021164021165E-3</v>
      </c>
    </row>
    <row r="15" spans="1:20" ht="18" customHeight="1" x14ac:dyDescent="0.15">
      <c r="A15" s="47"/>
      <c r="B15" s="86" t="s">
        <v>177</v>
      </c>
      <c r="C15" s="63">
        <v>60</v>
      </c>
      <c r="D15" s="56">
        <v>240</v>
      </c>
      <c r="E15" s="57">
        <v>3</v>
      </c>
      <c r="F15" s="58">
        <v>2</v>
      </c>
      <c r="G15" s="59">
        <v>0</v>
      </c>
      <c r="H15" s="60">
        <v>0</v>
      </c>
      <c r="I15" s="57">
        <v>0</v>
      </c>
      <c r="J15" s="58">
        <v>0</v>
      </c>
      <c r="K15" s="59">
        <v>0</v>
      </c>
      <c r="L15" s="60">
        <v>0</v>
      </c>
      <c r="M15" s="57">
        <v>0</v>
      </c>
      <c r="N15" s="58">
        <v>0</v>
      </c>
      <c r="O15" s="59">
        <v>0</v>
      </c>
      <c r="P15" s="60">
        <v>0</v>
      </c>
      <c r="Q15" s="61">
        <f t="shared" si="0"/>
        <v>3</v>
      </c>
      <c r="R15" s="62">
        <f t="shared" si="1"/>
        <v>1.2500000000000001E-2</v>
      </c>
    </row>
    <row r="16" spans="1:20" ht="18" customHeight="1" x14ac:dyDescent="0.15">
      <c r="A16" s="47"/>
      <c r="B16" s="86"/>
      <c r="C16" s="63"/>
      <c r="D16" s="56"/>
      <c r="E16" s="57"/>
      <c r="F16" s="58"/>
      <c r="G16" s="59"/>
      <c r="H16" s="60"/>
      <c r="I16" s="57"/>
      <c r="J16" s="58"/>
      <c r="K16" s="59"/>
      <c r="L16" s="60"/>
      <c r="M16" s="57"/>
      <c r="N16" s="58"/>
      <c r="O16" s="59"/>
      <c r="P16" s="60"/>
      <c r="Q16" s="61">
        <f t="shared" si="0"/>
        <v>0</v>
      </c>
      <c r="R16" s="62" t="e">
        <f t="shared" si="1"/>
        <v>#DIV/0!</v>
      </c>
    </row>
    <row r="17" spans="1:18" ht="18" customHeight="1" x14ac:dyDescent="0.15">
      <c r="A17" s="47"/>
      <c r="B17" s="86"/>
      <c r="C17" s="63"/>
      <c r="D17" s="56"/>
      <c r="E17" s="57"/>
      <c r="F17" s="58"/>
      <c r="G17" s="59"/>
      <c r="H17" s="60"/>
      <c r="I17" s="57"/>
      <c r="J17" s="58"/>
      <c r="K17" s="59"/>
      <c r="L17" s="60"/>
      <c r="M17" s="57"/>
      <c r="N17" s="58"/>
      <c r="O17" s="59"/>
      <c r="P17" s="60"/>
      <c r="Q17" s="61">
        <f t="shared" si="0"/>
        <v>0</v>
      </c>
      <c r="R17" s="62" t="e">
        <f t="shared" si="1"/>
        <v>#DIV/0!</v>
      </c>
    </row>
    <row r="18" spans="1:18" ht="18" customHeight="1" x14ac:dyDescent="0.15">
      <c r="A18" s="47"/>
      <c r="B18" s="86"/>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86"/>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86"/>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6"/>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6"/>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6"/>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6"/>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6"/>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6"/>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6"/>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6"/>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7"/>
      <c r="C29" s="88"/>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89" t="s">
        <v>57</v>
      </c>
      <c r="C30" s="90">
        <f t="shared" ref="C30:Q30" si="2">SUM(C10:C29)</f>
        <v>1075</v>
      </c>
      <c r="D30" s="65">
        <f t="shared" si="2"/>
        <v>4605</v>
      </c>
      <c r="E30" s="66">
        <f t="shared" si="2"/>
        <v>152</v>
      </c>
      <c r="F30" s="67">
        <f t="shared" si="2"/>
        <v>33</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152</v>
      </c>
      <c r="R30" s="71">
        <f>Q30/D30</f>
        <v>3.300760043431053E-2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3"/>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election activeCell="N31" sqref="N31"/>
    </sheetView>
  </sheetViews>
  <sheetFormatPr defaultColWidth="11.375" defaultRowHeight="18.75" customHeight="1" x14ac:dyDescent="0.15"/>
  <cols>
    <col min="1" max="1" width="2.625" style="2" customWidth="1"/>
    <col min="2" max="2" width="16.625" style="1" customWidth="1"/>
    <col min="3" max="3" width="8.875" style="1" customWidth="1"/>
    <col min="4" max="4" width="2.125" style="1" customWidth="1"/>
    <col min="5" max="5" width="16.625" style="1" customWidth="1"/>
    <col min="6" max="6" width="8.875" style="1" customWidth="1"/>
    <col min="7" max="7" width="2.125" style="1" customWidth="1"/>
    <col min="8" max="8" width="16.625" style="1" customWidth="1"/>
    <col min="9" max="9" width="8.875" style="1" customWidth="1"/>
    <col min="10" max="10" width="2.125" style="1" customWidth="1"/>
    <col min="11" max="11" width="11.375" style="31"/>
    <col min="12" max="16384" width="11.375" style="1"/>
  </cols>
  <sheetData>
    <row r="1" spans="1:11" ht="18.75" customHeight="1" x14ac:dyDescent="0.15">
      <c r="A1" s="2" t="s">
        <v>114</v>
      </c>
      <c r="J1" s="41" t="s">
        <v>115</v>
      </c>
    </row>
    <row r="2" spans="1:11" ht="18.75" customHeight="1" x14ac:dyDescent="0.15">
      <c r="A2" s="272" t="s">
        <v>64</v>
      </c>
      <c r="B2" s="272"/>
      <c r="C2" s="272"/>
      <c r="D2" s="272"/>
      <c r="E2" s="272"/>
      <c r="F2" s="272"/>
      <c r="G2" s="272"/>
      <c r="H2" s="272"/>
      <c r="I2" s="272"/>
      <c r="J2" s="272"/>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18.75" customHeight="1" x14ac:dyDescent="0.15">
      <c r="A5" s="1"/>
      <c r="B5" s="295" t="s">
        <v>182</v>
      </c>
      <c r="C5" s="259"/>
      <c r="D5" s="259"/>
      <c r="E5" s="259"/>
      <c r="F5" s="259"/>
      <c r="G5" s="259"/>
      <c r="H5" s="259"/>
      <c r="I5" s="259"/>
      <c r="J5" s="260"/>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18.75" customHeight="1" x14ac:dyDescent="0.15">
      <c r="A8" s="91"/>
      <c r="B8" s="296" t="s">
        <v>196</v>
      </c>
      <c r="C8" s="297"/>
      <c r="D8" s="297"/>
      <c r="E8" s="297"/>
      <c r="F8" s="297"/>
      <c r="G8" s="297"/>
      <c r="H8" s="297"/>
      <c r="I8" s="298"/>
      <c r="J8" s="299"/>
      <c r="K8" s="31" t="str">
        <f>IF(B8="","入力してください","")</f>
        <v/>
      </c>
    </row>
    <row r="9" spans="1:11" s="4" customFormat="1" ht="18.75" customHeight="1" x14ac:dyDescent="0.15">
      <c r="A9" s="91"/>
      <c r="B9" s="300"/>
      <c r="C9" s="301"/>
      <c r="D9" s="301"/>
      <c r="E9" s="301"/>
      <c r="F9" s="301"/>
      <c r="G9" s="301"/>
      <c r="H9" s="301"/>
      <c r="I9" s="301"/>
      <c r="J9" s="302"/>
      <c r="K9" s="31"/>
    </row>
    <row r="10" spans="1:11" s="4" customFormat="1" ht="18.75" customHeight="1" x14ac:dyDescent="0.15">
      <c r="A10" s="91"/>
      <c r="B10" s="300"/>
      <c r="C10" s="301"/>
      <c r="D10" s="301"/>
      <c r="E10" s="301"/>
      <c r="F10" s="301"/>
      <c r="G10" s="301"/>
      <c r="H10" s="301"/>
      <c r="I10" s="301"/>
      <c r="J10" s="302"/>
      <c r="K10" s="31"/>
    </row>
    <row r="11" spans="1:11" s="4" customFormat="1" ht="18.75" customHeight="1" x14ac:dyDescent="0.15">
      <c r="A11" s="91"/>
      <c r="B11" s="300"/>
      <c r="C11" s="301"/>
      <c r="D11" s="301"/>
      <c r="E11" s="301"/>
      <c r="F11" s="301"/>
      <c r="G11" s="301"/>
      <c r="H11" s="301"/>
      <c r="I11" s="301"/>
      <c r="J11" s="302"/>
      <c r="K11" s="31"/>
    </row>
    <row r="12" spans="1:11" s="4" customFormat="1" ht="18.75" customHeight="1" x14ac:dyDescent="0.15">
      <c r="A12" s="91"/>
      <c r="B12" s="303"/>
      <c r="C12" s="304"/>
      <c r="D12" s="304"/>
      <c r="E12" s="304"/>
      <c r="F12" s="304"/>
      <c r="G12" s="304"/>
      <c r="H12" s="304"/>
      <c r="I12" s="304"/>
      <c r="J12" s="305"/>
      <c r="K12" s="31"/>
    </row>
    <row r="13" spans="1:11" s="4" customFormat="1" ht="7.5" customHeight="1" x14ac:dyDescent="0.15">
      <c r="A13" s="91"/>
      <c r="B13" s="91"/>
      <c r="C13" s="91"/>
      <c r="D13" s="91"/>
      <c r="E13" s="91"/>
      <c r="F13" s="91"/>
      <c r="G13" s="91"/>
      <c r="H13" s="91"/>
      <c r="I13" s="91"/>
      <c r="J13" s="91"/>
      <c r="K13" s="31"/>
    </row>
    <row r="14" spans="1:11" s="4" customFormat="1" ht="18.75" customHeight="1" x14ac:dyDescent="0.15">
      <c r="A14" s="92" t="s">
        <v>10</v>
      </c>
      <c r="B14" s="92" t="s">
        <v>15</v>
      </c>
      <c r="C14" s="92"/>
      <c r="D14" s="92"/>
      <c r="E14" s="92"/>
      <c r="F14" s="92"/>
      <c r="G14" s="92"/>
      <c r="H14" s="92"/>
      <c r="I14" s="92"/>
      <c r="J14" s="92"/>
      <c r="K14" s="31"/>
    </row>
    <row r="15" spans="1:11" s="4" customFormat="1" ht="18.75" customHeight="1" x14ac:dyDescent="0.15">
      <c r="A15" s="91"/>
      <c r="B15" s="306" t="s">
        <v>184</v>
      </c>
      <c r="C15" s="307"/>
      <c r="D15" s="307"/>
      <c r="E15" s="307"/>
      <c r="F15" s="307"/>
      <c r="G15" s="307"/>
      <c r="H15" s="307"/>
      <c r="I15" s="308"/>
      <c r="J15" s="309"/>
      <c r="K15" s="31" t="str">
        <f>IF(B15="","入力してください","")</f>
        <v/>
      </c>
    </row>
    <row r="16" spans="1:11" s="4" customFormat="1" ht="18.75" customHeight="1" x14ac:dyDescent="0.15">
      <c r="A16" s="91"/>
      <c r="B16" s="310"/>
      <c r="C16" s="311"/>
      <c r="D16" s="311"/>
      <c r="E16" s="311"/>
      <c r="F16" s="311"/>
      <c r="G16" s="311"/>
      <c r="H16" s="311"/>
      <c r="I16" s="311"/>
      <c r="J16" s="312"/>
      <c r="K16" s="31"/>
    </row>
    <row r="17" spans="1:11" s="4" customFormat="1" ht="18.75" customHeight="1" x14ac:dyDescent="0.15">
      <c r="A17" s="91"/>
      <c r="B17" s="310"/>
      <c r="C17" s="311"/>
      <c r="D17" s="311"/>
      <c r="E17" s="311"/>
      <c r="F17" s="311"/>
      <c r="G17" s="311"/>
      <c r="H17" s="311"/>
      <c r="I17" s="311"/>
      <c r="J17" s="312"/>
      <c r="K17" s="31"/>
    </row>
    <row r="18" spans="1:11" s="4" customFormat="1" ht="18.75" customHeight="1" x14ac:dyDescent="0.15">
      <c r="A18" s="91"/>
      <c r="B18" s="310"/>
      <c r="C18" s="311"/>
      <c r="D18" s="311"/>
      <c r="E18" s="311"/>
      <c r="F18" s="311"/>
      <c r="G18" s="311"/>
      <c r="H18" s="311"/>
      <c r="I18" s="311"/>
      <c r="J18" s="312"/>
      <c r="K18" s="31"/>
    </row>
    <row r="19" spans="1:11" s="4" customFormat="1" ht="18.75" customHeight="1" x14ac:dyDescent="0.15">
      <c r="A19" s="91"/>
      <c r="B19" s="310"/>
      <c r="C19" s="311"/>
      <c r="D19" s="311"/>
      <c r="E19" s="311"/>
      <c r="F19" s="311"/>
      <c r="G19" s="311"/>
      <c r="H19" s="311"/>
      <c r="I19" s="311"/>
      <c r="J19" s="312"/>
      <c r="K19" s="31"/>
    </row>
    <row r="20" spans="1:11" s="4" customFormat="1" ht="18.75" customHeight="1" x14ac:dyDescent="0.15">
      <c r="A20" s="91"/>
      <c r="B20" s="310"/>
      <c r="C20" s="311"/>
      <c r="D20" s="311"/>
      <c r="E20" s="311"/>
      <c r="F20" s="311"/>
      <c r="G20" s="311"/>
      <c r="H20" s="311"/>
      <c r="I20" s="311"/>
      <c r="J20" s="312"/>
      <c r="K20" s="31"/>
    </row>
    <row r="21" spans="1:11" s="4" customFormat="1" ht="18.75" customHeight="1" x14ac:dyDescent="0.15">
      <c r="A21" s="91"/>
      <c r="B21" s="310"/>
      <c r="C21" s="311"/>
      <c r="D21" s="311"/>
      <c r="E21" s="311"/>
      <c r="F21" s="311"/>
      <c r="G21" s="311"/>
      <c r="H21" s="311"/>
      <c r="I21" s="311"/>
      <c r="J21" s="312"/>
      <c r="K21" s="31"/>
    </row>
    <row r="22" spans="1:11" s="4" customFormat="1" ht="18.75" customHeight="1" x14ac:dyDescent="0.15">
      <c r="A22" s="91"/>
      <c r="B22" s="310"/>
      <c r="C22" s="311"/>
      <c r="D22" s="311"/>
      <c r="E22" s="311"/>
      <c r="F22" s="311"/>
      <c r="G22" s="311"/>
      <c r="H22" s="311"/>
      <c r="I22" s="311"/>
      <c r="J22" s="312"/>
      <c r="K22" s="31"/>
    </row>
    <row r="23" spans="1:11" s="4" customFormat="1" ht="18.75" customHeight="1" x14ac:dyDescent="0.15">
      <c r="A23" s="91"/>
      <c r="B23" s="310"/>
      <c r="C23" s="311"/>
      <c r="D23" s="311"/>
      <c r="E23" s="311"/>
      <c r="F23" s="311"/>
      <c r="G23" s="311"/>
      <c r="H23" s="311"/>
      <c r="I23" s="311"/>
      <c r="J23" s="312"/>
      <c r="K23" s="31"/>
    </row>
    <row r="24" spans="1:11" s="4" customFormat="1" ht="18.75" customHeight="1" x14ac:dyDescent="0.15">
      <c r="A24" s="91"/>
      <c r="B24" s="310"/>
      <c r="C24" s="311"/>
      <c r="D24" s="311"/>
      <c r="E24" s="311"/>
      <c r="F24" s="311"/>
      <c r="G24" s="311"/>
      <c r="H24" s="311"/>
      <c r="I24" s="311"/>
      <c r="J24" s="312"/>
      <c r="K24" s="31"/>
    </row>
    <row r="25" spans="1:11" s="4" customFormat="1" ht="18.75" customHeight="1" x14ac:dyDescent="0.15">
      <c r="A25" s="91"/>
      <c r="B25" s="313"/>
      <c r="C25" s="314"/>
      <c r="D25" s="314"/>
      <c r="E25" s="314"/>
      <c r="F25" s="314"/>
      <c r="G25" s="314"/>
      <c r="H25" s="314"/>
      <c r="I25" s="314"/>
      <c r="J25" s="315"/>
      <c r="K25" s="31"/>
    </row>
    <row r="26" spans="1:11" ht="7.5" customHeight="1" x14ac:dyDescent="0.15">
      <c r="A26" s="39"/>
      <c r="B26" s="39"/>
      <c r="C26" s="39"/>
      <c r="D26" s="39"/>
      <c r="E26" s="39"/>
      <c r="F26" s="39"/>
      <c r="G26" s="39"/>
      <c r="H26" s="39"/>
      <c r="I26" s="39"/>
      <c r="J26" s="39"/>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114" t="s">
        <v>116</v>
      </c>
      <c r="C28" s="115">
        <f>'様式３　履修者等数の実績'!R30</f>
        <v>3.300760043431053E-2</v>
      </c>
      <c r="D28" s="116"/>
      <c r="E28" s="116" t="s">
        <v>117</v>
      </c>
      <c r="F28" s="115">
        <v>0.04</v>
      </c>
      <c r="G28" s="116"/>
      <c r="H28" s="116" t="s">
        <v>118</v>
      </c>
      <c r="I28" s="117">
        <v>0.05</v>
      </c>
      <c r="J28" s="93"/>
      <c r="K28" s="31"/>
    </row>
    <row r="29" spans="1:11" s="29" customFormat="1" ht="18.75" customHeight="1" x14ac:dyDescent="0.15">
      <c r="B29" s="118" t="s">
        <v>119</v>
      </c>
      <c r="C29" s="119">
        <v>0.25</v>
      </c>
      <c r="D29" s="120"/>
      <c r="E29" s="120" t="s">
        <v>120</v>
      </c>
      <c r="F29" s="119">
        <v>0.5</v>
      </c>
      <c r="G29" s="120"/>
      <c r="H29" s="120" t="s">
        <v>121</v>
      </c>
      <c r="I29" s="121">
        <f>'様式３　履修者等数の実績'!D30</f>
        <v>4605</v>
      </c>
      <c r="J29" s="94"/>
      <c r="K29" s="35"/>
    </row>
    <row r="30" spans="1:11" s="4" customFormat="1" ht="18.75" customHeight="1" x14ac:dyDescent="0.15">
      <c r="A30" s="1"/>
      <c r="B30" s="171" t="s">
        <v>122</v>
      </c>
      <c r="C30" s="172"/>
      <c r="D30" s="172"/>
      <c r="E30" s="172"/>
      <c r="F30" s="172"/>
      <c r="G30" s="172"/>
      <c r="H30" s="172"/>
      <c r="I30" s="172"/>
      <c r="J30" s="173"/>
      <c r="K30" s="35"/>
    </row>
    <row r="31" spans="1:11" s="4" customFormat="1" ht="18.75" customHeight="1" x14ac:dyDescent="0.15">
      <c r="A31" s="1"/>
      <c r="B31" s="286" t="s">
        <v>194</v>
      </c>
      <c r="C31" s="287"/>
      <c r="D31" s="287"/>
      <c r="E31" s="287"/>
      <c r="F31" s="287"/>
      <c r="G31" s="287"/>
      <c r="H31" s="287"/>
      <c r="I31" s="287"/>
      <c r="J31" s="288"/>
      <c r="K31" s="35" t="str">
        <f>IF(B31="","入力してください","")</f>
        <v/>
      </c>
    </row>
    <row r="32" spans="1:11" s="4" customFormat="1" ht="18.75" customHeight="1" x14ac:dyDescent="0.15">
      <c r="A32" s="1"/>
      <c r="B32" s="289"/>
      <c r="C32" s="290"/>
      <c r="D32" s="290"/>
      <c r="E32" s="290"/>
      <c r="F32" s="290"/>
      <c r="G32" s="290"/>
      <c r="H32" s="290"/>
      <c r="I32" s="290"/>
      <c r="J32" s="291"/>
      <c r="K32" s="35"/>
    </row>
    <row r="33" spans="1:11" s="4" customFormat="1" ht="18.75" customHeight="1" x14ac:dyDescent="0.15">
      <c r="A33" s="1"/>
      <c r="B33" s="289"/>
      <c r="C33" s="290"/>
      <c r="D33" s="290"/>
      <c r="E33" s="290"/>
      <c r="F33" s="290"/>
      <c r="G33" s="290"/>
      <c r="H33" s="290"/>
      <c r="I33" s="290"/>
      <c r="J33" s="291"/>
      <c r="K33" s="35"/>
    </row>
    <row r="34" spans="1:11" s="4" customFormat="1" ht="18.75" customHeight="1" x14ac:dyDescent="0.15">
      <c r="A34" s="1"/>
      <c r="B34" s="289"/>
      <c r="C34" s="290"/>
      <c r="D34" s="290"/>
      <c r="E34" s="290"/>
      <c r="F34" s="290"/>
      <c r="G34" s="290"/>
      <c r="H34" s="290"/>
      <c r="I34" s="290"/>
      <c r="J34" s="291"/>
      <c r="K34" s="35"/>
    </row>
    <row r="35" spans="1:11" s="4" customFormat="1" ht="18.75" customHeight="1" x14ac:dyDescent="0.15">
      <c r="A35" s="1"/>
      <c r="B35" s="289"/>
      <c r="C35" s="290"/>
      <c r="D35" s="290"/>
      <c r="E35" s="290"/>
      <c r="F35" s="290"/>
      <c r="G35" s="290"/>
      <c r="H35" s="290"/>
      <c r="I35" s="290"/>
      <c r="J35" s="291"/>
      <c r="K35" s="35"/>
    </row>
    <row r="36" spans="1:11" s="4" customFormat="1" ht="18.75" customHeight="1" x14ac:dyDescent="0.15">
      <c r="A36" s="1"/>
      <c r="B36" s="289"/>
      <c r="C36" s="290"/>
      <c r="D36" s="290"/>
      <c r="E36" s="290"/>
      <c r="F36" s="290"/>
      <c r="G36" s="290"/>
      <c r="H36" s="290"/>
      <c r="I36" s="290"/>
      <c r="J36" s="291"/>
      <c r="K36" s="35"/>
    </row>
    <row r="37" spans="1:11" s="4" customFormat="1" ht="18.75" customHeight="1" x14ac:dyDescent="0.15">
      <c r="A37" s="1"/>
      <c r="B37" s="289"/>
      <c r="C37" s="290"/>
      <c r="D37" s="290"/>
      <c r="E37" s="290"/>
      <c r="F37" s="290"/>
      <c r="G37" s="290"/>
      <c r="H37" s="290"/>
      <c r="I37" s="290"/>
      <c r="J37" s="291"/>
      <c r="K37" s="35"/>
    </row>
    <row r="38" spans="1:11" s="4" customFormat="1" ht="18.75" customHeight="1" x14ac:dyDescent="0.15">
      <c r="A38" s="1"/>
      <c r="B38" s="289"/>
      <c r="C38" s="290"/>
      <c r="D38" s="290"/>
      <c r="E38" s="290"/>
      <c r="F38" s="290"/>
      <c r="G38" s="290"/>
      <c r="H38" s="290"/>
      <c r="I38" s="290"/>
      <c r="J38" s="291"/>
      <c r="K38" s="35"/>
    </row>
    <row r="39" spans="1:11" s="4" customFormat="1" ht="18.75" customHeight="1" x14ac:dyDescent="0.15">
      <c r="A39" s="1"/>
      <c r="B39" s="289"/>
      <c r="C39" s="290"/>
      <c r="D39" s="290"/>
      <c r="E39" s="290"/>
      <c r="F39" s="290"/>
      <c r="G39" s="290"/>
      <c r="H39" s="290"/>
      <c r="I39" s="290"/>
      <c r="J39" s="291"/>
      <c r="K39" s="35"/>
    </row>
    <row r="40" spans="1:11" s="4" customFormat="1" ht="18.75" customHeight="1" x14ac:dyDescent="0.15">
      <c r="A40" s="1"/>
      <c r="B40" s="289"/>
      <c r="C40" s="290"/>
      <c r="D40" s="290"/>
      <c r="E40" s="290"/>
      <c r="F40" s="290"/>
      <c r="G40" s="290"/>
      <c r="H40" s="290"/>
      <c r="I40" s="290"/>
      <c r="J40" s="291"/>
      <c r="K40" s="35"/>
    </row>
    <row r="41" spans="1:11" s="4" customFormat="1" ht="18.75" customHeight="1" x14ac:dyDescent="0.15">
      <c r="A41" s="1"/>
      <c r="B41" s="289"/>
      <c r="C41" s="290"/>
      <c r="D41" s="290"/>
      <c r="E41" s="290"/>
      <c r="F41" s="290"/>
      <c r="G41" s="290"/>
      <c r="H41" s="290"/>
      <c r="I41" s="290"/>
      <c r="J41" s="291"/>
      <c r="K41" s="35"/>
    </row>
    <row r="42" spans="1:11" s="4" customFormat="1" ht="18.75" customHeight="1" x14ac:dyDescent="0.15">
      <c r="A42" s="1"/>
      <c r="B42" s="289"/>
      <c r="C42" s="290"/>
      <c r="D42" s="290"/>
      <c r="E42" s="290"/>
      <c r="F42" s="290"/>
      <c r="G42" s="290"/>
      <c r="H42" s="290"/>
      <c r="I42" s="290"/>
      <c r="J42" s="291"/>
      <c r="K42" s="35"/>
    </row>
    <row r="43" spans="1:11" ht="18.75" customHeight="1" x14ac:dyDescent="0.15">
      <c r="A43" s="39"/>
      <c r="B43" s="289"/>
      <c r="C43" s="290"/>
      <c r="D43" s="290"/>
      <c r="E43" s="290"/>
      <c r="F43" s="290"/>
      <c r="G43" s="290"/>
      <c r="H43" s="290"/>
      <c r="I43" s="290"/>
      <c r="J43" s="291"/>
      <c r="K43" s="35"/>
    </row>
    <row r="44" spans="1:11" ht="18.75" customHeight="1" x14ac:dyDescent="0.15">
      <c r="A44" s="39"/>
      <c r="B44" s="292"/>
      <c r="C44" s="293"/>
      <c r="D44" s="293"/>
      <c r="E44" s="293"/>
      <c r="F44" s="293"/>
      <c r="G44" s="293"/>
      <c r="H44" s="293"/>
      <c r="I44" s="293"/>
      <c r="J44" s="294"/>
    </row>
    <row r="45" spans="1:11" s="4" customFormat="1" ht="18.75" customHeight="1" x14ac:dyDescent="0.15">
      <c r="A45" s="95" t="s">
        <v>11</v>
      </c>
      <c r="B45" s="1" t="s">
        <v>65</v>
      </c>
      <c r="C45" s="1"/>
      <c r="D45" s="1"/>
      <c r="E45" s="1"/>
      <c r="F45" s="1"/>
      <c r="G45" s="1"/>
      <c r="H45" s="1"/>
      <c r="I45" s="95"/>
      <c r="J45" s="95"/>
      <c r="K45" s="31"/>
    </row>
    <row r="46" spans="1:11" ht="18.75" customHeight="1" x14ac:dyDescent="0.15">
      <c r="A46" s="39"/>
      <c r="B46" s="316" t="s">
        <v>195</v>
      </c>
      <c r="C46" s="297"/>
      <c r="D46" s="297"/>
      <c r="E46" s="297"/>
      <c r="F46" s="297"/>
      <c r="G46" s="297"/>
      <c r="H46" s="297"/>
      <c r="I46" s="297"/>
      <c r="J46" s="317"/>
      <c r="K46" s="31" t="str">
        <f>IF(B46="","入力してください","")</f>
        <v/>
      </c>
    </row>
    <row r="47" spans="1:11" ht="18.75" customHeight="1" x14ac:dyDescent="0.15">
      <c r="A47" s="39"/>
      <c r="B47" s="289"/>
      <c r="C47" s="290"/>
      <c r="D47" s="290"/>
      <c r="E47" s="290"/>
      <c r="F47" s="290"/>
      <c r="G47" s="290"/>
      <c r="H47" s="290"/>
      <c r="I47" s="290"/>
      <c r="J47" s="291"/>
    </row>
    <row r="48" spans="1:11" ht="18.75" customHeight="1" x14ac:dyDescent="0.15">
      <c r="A48" s="39"/>
      <c r="B48" s="289"/>
      <c r="C48" s="290"/>
      <c r="D48" s="290"/>
      <c r="E48" s="290"/>
      <c r="F48" s="290"/>
      <c r="G48" s="290"/>
      <c r="H48" s="290"/>
      <c r="I48" s="290"/>
      <c r="J48" s="291"/>
    </row>
    <row r="49" spans="1:10" ht="18.75" customHeight="1" x14ac:dyDescent="0.15">
      <c r="A49" s="39"/>
      <c r="B49" s="289"/>
      <c r="C49" s="290"/>
      <c r="D49" s="290"/>
      <c r="E49" s="290"/>
      <c r="F49" s="290"/>
      <c r="G49" s="290"/>
      <c r="H49" s="290"/>
      <c r="I49" s="290"/>
      <c r="J49" s="291"/>
    </row>
    <row r="50" spans="1:10" ht="18.75" customHeight="1" x14ac:dyDescent="0.15">
      <c r="A50" s="39"/>
      <c r="B50" s="289"/>
      <c r="C50" s="290"/>
      <c r="D50" s="290"/>
      <c r="E50" s="290"/>
      <c r="F50" s="290"/>
      <c r="G50" s="290"/>
      <c r="H50" s="290"/>
      <c r="I50" s="290"/>
      <c r="J50" s="291"/>
    </row>
    <row r="51" spans="1:10" ht="18.75" customHeight="1" x14ac:dyDescent="0.15">
      <c r="A51" s="39"/>
      <c r="B51" s="289"/>
      <c r="C51" s="290"/>
      <c r="D51" s="290"/>
      <c r="E51" s="290"/>
      <c r="F51" s="290"/>
      <c r="G51" s="290"/>
      <c r="H51" s="290"/>
      <c r="I51" s="290"/>
      <c r="J51" s="291"/>
    </row>
    <row r="52" spans="1:10" ht="18.75" customHeight="1" x14ac:dyDescent="0.15">
      <c r="A52" s="39"/>
      <c r="B52" s="289"/>
      <c r="C52" s="290"/>
      <c r="D52" s="290"/>
      <c r="E52" s="290"/>
      <c r="F52" s="290"/>
      <c r="G52" s="290"/>
      <c r="H52" s="290"/>
      <c r="I52" s="290"/>
      <c r="J52" s="291"/>
    </row>
    <row r="53" spans="1:10" ht="18.75" customHeight="1" x14ac:dyDescent="0.15">
      <c r="A53" s="39"/>
      <c r="B53" s="289"/>
      <c r="C53" s="290"/>
      <c r="D53" s="290"/>
      <c r="E53" s="290"/>
      <c r="F53" s="290"/>
      <c r="G53" s="290"/>
      <c r="H53" s="290"/>
      <c r="I53" s="290"/>
      <c r="J53" s="291"/>
    </row>
    <row r="54" spans="1:10" ht="18.75" customHeight="1" x14ac:dyDescent="0.15">
      <c r="A54" s="39"/>
      <c r="B54" s="289"/>
      <c r="C54" s="290"/>
      <c r="D54" s="290"/>
      <c r="E54" s="290"/>
      <c r="F54" s="290"/>
      <c r="G54" s="290"/>
      <c r="H54" s="290"/>
      <c r="I54" s="290"/>
      <c r="J54" s="291"/>
    </row>
    <row r="55" spans="1:10" ht="18.75" customHeight="1" x14ac:dyDescent="0.15">
      <c r="A55" s="39"/>
      <c r="B55" s="289"/>
      <c r="C55" s="290"/>
      <c r="D55" s="290"/>
      <c r="E55" s="290"/>
      <c r="F55" s="290"/>
      <c r="G55" s="290"/>
      <c r="H55" s="290"/>
      <c r="I55" s="290"/>
      <c r="J55" s="291"/>
    </row>
    <row r="56" spans="1:10" ht="18.75" customHeight="1" x14ac:dyDescent="0.15">
      <c r="A56" s="39"/>
      <c r="B56" s="289"/>
      <c r="C56" s="290"/>
      <c r="D56" s="290"/>
      <c r="E56" s="290"/>
      <c r="F56" s="290"/>
      <c r="G56" s="290"/>
      <c r="H56" s="290"/>
      <c r="I56" s="290"/>
      <c r="J56" s="291"/>
    </row>
    <row r="57" spans="1:10" ht="18.75" customHeight="1" x14ac:dyDescent="0.15">
      <c r="A57" s="39"/>
      <c r="B57" s="289"/>
      <c r="C57" s="290"/>
      <c r="D57" s="290"/>
      <c r="E57" s="290"/>
      <c r="F57" s="290"/>
      <c r="G57" s="290"/>
      <c r="H57" s="290"/>
      <c r="I57" s="290"/>
      <c r="J57" s="291"/>
    </row>
    <row r="58" spans="1:10" ht="18.75" customHeight="1" x14ac:dyDescent="0.15">
      <c r="A58" s="39"/>
      <c r="B58" s="289"/>
      <c r="C58" s="290"/>
      <c r="D58" s="290"/>
      <c r="E58" s="290"/>
      <c r="F58" s="290"/>
      <c r="G58" s="290"/>
      <c r="H58" s="290"/>
      <c r="I58" s="290"/>
      <c r="J58" s="291"/>
    </row>
    <row r="59" spans="1:10" ht="18.75" customHeight="1" x14ac:dyDescent="0.15">
      <c r="A59" s="39"/>
      <c r="B59" s="289"/>
      <c r="C59" s="290"/>
      <c r="D59" s="290"/>
      <c r="E59" s="290"/>
      <c r="F59" s="290"/>
      <c r="G59" s="290"/>
      <c r="H59" s="290"/>
      <c r="I59" s="290"/>
      <c r="J59" s="291"/>
    </row>
    <row r="60" spans="1:10" ht="18.75" customHeight="1" x14ac:dyDescent="0.15">
      <c r="A60" s="39"/>
      <c r="B60" s="289"/>
      <c r="C60" s="290"/>
      <c r="D60" s="290"/>
      <c r="E60" s="290"/>
      <c r="F60" s="290"/>
      <c r="G60" s="290"/>
      <c r="H60" s="290"/>
      <c r="I60" s="290"/>
      <c r="J60" s="291"/>
    </row>
    <row r="61" spans="1:10" ht="18.75" customHeight="1" x14ac:dyDescent="0.15">
      <c r="A61" s="39"/>
      <c r="B61" s="289"/>
      <c r="C61" s="290"/>
      <c r="D61" s="290"/>
      <c r="E61" s="290"/>
      <c r="F61" s="290"/>
      <c r="G61" s="290"/>
      <c r="H61" s="290"/>
      <c r="I61" s="290"/>
      <c r="J61" s="291"/>
    </row>
    <row r="62" spans="1:10" ht="18.75" customHeight="1" x14ac:dyDescent="0.15">
      <c r="A62" s="39"/>
      <c r="B62" s="289"/>
      <c r="C62" s="290"/>
      <c r="D62" s="290"/>
      <c r="E62" s="290"/>
      <c r="F62" s="290"/>
      <c r="G62" s="290"/>
      <c r="H62" s="290"/>
      <c r="I62" s="290"/>
      <c r="J62" s="291"/>
    </row>
    <row r="63" spans="1:10" ht="18.75" customHeight="1" x14ac:dyDescent="0.15">
      <c r="A63" s="39"/>
      <c r="B63" s="289"/>
      <c r="C63" s="290"/>
      <c r="D63" s="290"/>
      <c r="E63" s="290"/>
      <c r="F63" s="290"/>
      <c r="G63" s="290"/>
      <c r="H63" s="290"/>
      <c r="I63" s="290"/>
      <c r="J63" s="291"/>
    </row>
    <row r="64" spans="1:10" ht="18.75" customHeight="1" x14ac:dyDescent="0.15">
      <c r="A64" s="39"/>
      <c r="B64" s="289"/>
      <c r="C64" s="290"/>
      <c r="D64" s="290"/>
      <c r="E64" s="290"/>
      <c r="F64" s="290"/>
      <c r="G64" s="290"/>
      <c r="H64" s="290"/>
      <c r="I64" s="290"/>
      <c r="J64" s="291"/>
    </row>
    <row r="65" spans="1:11" ht="18.75" customHeight="1" x14ac:dyDescent="0.15">
      <c r="A65" s="39"/>
      <c r="B65" s="289"/>
      <c r="C65" s="290"/>
      <c r="D65" s="290"/>
      <c r="E65" s="290"/>
      <c r="F65" s="290"/>
      <c r="G65" s="290"/>
      <c r="H65" s="290"/>
      <c r="I65" s="290"/>
      <c r="J65" s="291"/>
    </row>
    <row r="66" spans="1:11" ht="18.75" customHeight="1" x14ac:dyDescent="0.15">
      <c r="A66" s="39"/>
      <c r="B66" s="292"/>
      <c r="C66" s="293"/>
      <c r="D66" s="293"/>
      <c r="E66" s="293"/>
      <c r="F66" s="293"/>
      <c r="G66" s="293"/>
      <c r="H66" s="293"/>
      <c r="I66" s="293"/>
      <c r="J66" s="294"/>
    </row>
    <row r="67" spans="1:11" ht="7.5" customHeight="1" x14ac:dyDescent="0.15">
      <c r="A67" s="39"/>
      <c r="B67" s="39"/>
      <c r="C67" s="39"/>
      <c r="D67" s="39"/>
      <c r="E67" s="39"/>
      <c r="F67" s="39"/>
      <c r="G67" s="39"/>
      <c r="H67" s="39"/>
      <c r="I67" s="39"/>
      <c r="J67" s="39"/>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318" t="s">
        <v>185</v>
      </c>
      <c r="C69" s="297"/>
      <c r="D69" s="297"/>
      <c r="E69" s="297"/>
      <c r="F69" s="297"/>
      <c r="G69" s="297"/>
      <c r="H69" s="297"/>
      <c r="I69" s="298"/>
      <c r="J69" s="299"/>
      <c r="K69" s="35" t="str">
        <f>IF(B69="","入力してください","")</f>
        <v/>
      </c>
    </row>
    <row r="70" spans="1:11" s="4" customFormat="1" ht="18.75" customHeight="1" x14ac:dyDescent="0.15">
      <c r="A70" s="1"/>
      <c r="B70" s="300"/>
      <c r="C70" s="301"/>
      <c r="D70" s="301"/>
      <c r="E70" s="301"/>
      <c r="F70" s="301"/>
      <c r="G70" s="301"/>
      <c r="H70" s="301"/>
      <c r="I70" s="301"/>
      <c r="J70" s="302"/>
      <c r="K70" s="35"/>
    </row>
    <row r="71" spans="1:11" s="4" customFormat="1" ht="18.75" customHeight="1" x14ac:dyDescent="0.15">
      <c r="A71" s="1"/>
      <c r="B71" s="300"/>
      <c r="C71" s="301"/>
      <c r="D71" s="301"/>
      <c r="E71" s="301"/>
      <c r="F71" s="301"/>
      <c r="G71" s="301"/>
      <c r="H71" s="301"/>
      <c r="I71" s="301"/>
      <c r="J71" s="302"/>
      <c r="K71" s="35"/>
    </row>
    <row r="72" spans="1:11" s="4" customFormat="1" ht="18.75" customHeight="1" x14ac:dyDescent="0.15">
      <c r="A72" s="1"/>
      <c r="B72" s="300"/>
      <c r="C72" s="301"/>
      <c r="D72" s="301"/>
      <c r="E72" s="301"/>
      <c r="F72" s="301"/>
      <c r="G72" s="301"/>
      <c r="H72" s="301"/>
      <c r="I72" s="301"/>
      <c r="J72" s="302"/>
      <c r="K72" s="35"/>
    </row>
    <row r="73" spans="1:11" s="4" customFormat="1" ht="18.75" customHeight="1" x14ac:dyDescent="0.15">
      <c r="A73" s="1"/>
      <c r="B73" s="300"/>
      <c r="C73" s="301"/>
      <c r="D73" s="301"/>
      <c r="E73" s="301"/>
      <c r="F73" s="301"/>
      <c r="G73" s="301"/>
      <c r="H73" s="301"/>
      <c r="I73" s="301"/>
      <c r="J73" s="302"/>
      <c r="K73" s="35"/>
    </row>
    <row r="74" spans="1:11" s="4" customFormat="1" ht="18.75" customHeight="1" x14ac:dyDescent="0.15">
      <c r="A74" s="1"/>
      <c r="B74" s="300"/>
      <c r="C74" s="301"/>
      <c r="D74" s="301"/>
      <c r="E74" s="301"/>
      <c r="F74" s="301"/>
      <c r="G74" s="301"/>
      <c r="H74" s="301"/>
      <c r="I74" s="301"/>
      <c r="J74" s="302"/>
      <c r="K74" s="35"/>
    </row>
    <row r="75" spans="1:11" s="4" customFormat="1" ht="18.75" customHeight="1" x14ac:dyDescent="0.15">
      <c r="A75" s="1"/>
      <c r="B75" s="300"/>
      <c r="C75" s="301"/>
      <c r="D75" s="301"/>
      <c r="E75" s="301"/>
      <c r="F75" s="301"/>
      <c r="G75" s="301"/>
      <c r="H75" s="301"/>
      <c r="I75" s="301"/>
      <c r="J75" s="302"/>
      <c r="K75" s="35"/>
    </row>
    <row r="76" spans="1:11" s="4" customFormat="1" ht="18.75" customHeight="1" x14ac:dyDescent="0.15">
      <c r="A76" s="1"/>
      <c r="B76" s="300"/>
      <c r="C76" s="301"/>
      <c r="D76" s="301"/>
      <c r="E76" s="301"/>
      <c r="F76" s="301"/>
      <c r="G76" s="301"/>
      <c r="H76" s="301"/>
      <c r="I76" s="301"/>
      <c r="J76" s="302"/>
      <c r="K76" s="35"/>
    </row>
    <row r="77" spans="1:11" s="4" customFormat="1" ht="18.75" customHeight="1" x14ac:dyDescent="0.15">
      <c r="A77" s="1"/>
      <c r="B77" s="300"/>
      <c r="C77" s="301"/>
      <c r="D77" s="301"/>
      <c r="E77" s="301"/>
      <c r="F77" s="301"/>
      <c r="G77" s="301"/>
      <c r="H77" s="301"/>
      <c r="I77" s="301"/>
      <c r="J77" s="302"/>
      <c r="K77" s="35"/>
    </row>
    <row r="78" spans="1:11" s="4" customFormat="1" ht="18.75" customHeight="1" x14ac:dyDescent="0.15">
      <c r="A78" s="1"/>
      <c r="B78" s="300"/>
      <c r="C78" s="301"/>
      <c r="D78" s="301"/>
      <c r="E78" s="301"/>
      <c r="F78" s="301"/>
      <c r="G78" s="301"/>
      <c r="H78" s="301"/>
      <c r="I78" s="301"/>
      <c r="J78" s="302"/>
      <c r="K78" s="35"/>
    </row>
    <row r="79" spans="1:11" s="4" customFormat="1" ht="18.75" customHeight="1" x14ac:dyDescent="0.15">
      <c r="A79" s="1"/>
      <c r="B79" s="300"/>
      <c r="C79" s="301"/>
      <c r="D79" s="301"/>
      <c r="E79" s="301"/>
      <c r="F79" s="301"/>
      <c r="G79" s="301"/>
      <c r="H79" s="301"/>
      <c r="I79" s="301"/>
      <c r="J79" s="302"/>
      <c r="K79" s="35"/>
    </row>
    <row r="80" spans="1:11" s="4" customFormat="1" ht="18.75" customHeight="1" x14ac:dyDescent="0.15">
      <c r="A80" s="1"/>
      <c r="B80" s="300"/>
      <c r="C80" s="301"/>
      <c r="D80" s="301"/>
      <c r="E80" s="301"/>
      <c r="F80" s="301"/>
      <c r="G80" s="301"/>
      <c r="H80" s="301"/>
      <c r="I80" s="301"/>
      <c r="J80" s="302"/>
      <c r="K80" s="35"/>
    </row>
    <row r="81" spans="1:11" s="4" customFormat="1" ht="18.75" customHeight="1" x14ac:dyDescent="0.15">
      <c r="A81" s="1"/>
      <c r="B81" s="300"/>
      <c r="C81" s="301"/>
      <c r="D81" s="301"/>
      <c r="E81" s="301"/>
      <c r="F81" s="301"/>
      <c r="G81" s="301"/>
      <c r="H81" s="301"/>
      <c r="I81" s="301"/>
      <c r="J81" s="302"/>
      <c r="K81" s="35"/>
    </row>
    <row r="82" spans="1:11" s="4" customFormat="1" ht="18.75" customHeight="1" x14ac:dyDescent="0.15">
      <c r="A82" s="1"/>
      <c r="B82" s="300"/>
      <c r="C82" s="301"/>
      <c r="D82" s="301"/>
      <c r="E82" s="301"/>
      <c r="F82" s="301"/>
      <c r="G82" s="301"/>
      <c r="H82" s="301"/>
      <c r="I82" s="301"/>
      <c r="J82" s="302"/>
      <c r="K82" s="35"/>
    </row>
    <row r="83" spans="1:11" s="4" customFormat="1" ht="18.75" customHeight="1" x14ac:dyDescent="0.15">
      <c r="A83" s="1"/>
      <c r="B83" s="300"/>
      <c r="C83" s="301"/>
      <c r="D83" s="301"/>
      <c r="E83" s="301"/>
      <c r="F83" s="301"/>
      <c r="G83" s="301"/>
      <c r="H83" s="301"/>
      <c r="I83" s="301"/>
      <c r="J83" s="302"/>
      <c r="K83" s="35"/>
    </row>
    <row r="84" spans="1:11" s="4" customFormat="1" ht="18.75" customHeight="1" x14ac:dyDescent="0.15">
      <c r="A84" s="1"/>
      <c r="B84" s="300"/>
      <c r="C84" s="301"/>
      <c r="D84" s="301"/>
      <c r="E84" s="301"/>
      <c r="F84" s="301"/>
      <c r="G84" s="301"/>
      <c r="H84" s="301"/>
      <c r="I84" s="301"/>
      <c r="J84" s="302"/>
      <c r="K84" s="35"/>
    </row>
    <row r="85" spans="1:11" ht="18.75" customHeight="1" x14ac:dyDescent="0.15">
      <c r="A85" s="39"/>
      <c r="B85" s="300"/>
      <c r="C85" s="301"/>
      <c r="D85" s="301"/>
      <c r="E85" s="301"/>
      <c r="F85" s="301"/>
      <c r="G85" s="301"/>
      <c r="H85" s="301"/>
      <c r="I85" s="301"/>
      <c r="J85" s="302"/>
      <c r="K85" s="35"/>
    </row>
    <row r="86" spans="1:11" ht="18.75" customHeight="1" x14ac:dyDescent="0.15">
      <c r="A86" s="39"/>
      <c r="B86" s="303"/>
      <c r="C86" s="304"/>
      <c r="D86" s="304"/>
      <c r="E86" s="304"/>
      <c r="F86" s="304"/>
      <c r="G86" s="304"/>
      <c r="H86" s="304"/>
      <c r="I86" s="304"/>
      <c r="J86" s="305"/>
      <c r="K86" s="35"/>
    </row>
    <row r="87" spans="1:11" ht="7.5" customHeight="1" x14ac:dyDescent="0.15">
      <c r="A87" s="39"/>
      <c r="B87" s="39"/>
      <c r="C87" s="39"/>
      <c r="D87" s="39"/>
      <c r="E87" s="39"/>
      <c r="F87" s="39"/>
      <c r="G87" s="39"/>
      <c r="H87" s="39"/>
      <c r="I87" s="39"/>
      <c r="J87" s="39"/>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318" t="s">
        <v>183</v>
      </c>
      <c r="C89" s="297"/>
      <c r="D89" s="297"/>
      <c r="E89" s="297"/>
      <c r="F89" s="297"/>
      <c r="G89" s="297"/>
      <c r="H89" s="297"/>
      <c r="I89" s="298"/>
      <c r="J89" s="299"/>
      <c r="K89" s="31"/>
    </row>
    <row r="90" spans="1:11" s="4" customFormat="1" ht="18.75" customHeight="1" x14ac:dyDescent="0.15">
      <c r="A90" s="1"/>
      <c r="B90" s="300"/>
      <c r="C90" s="301"/>
      <c r="D90" s="301"/>
      <c r="E90" s="301"/>
      <c r="F90" s="301"/>
      <c r="G90" s="301"/>
      <c r="H90" s="301"/>
      <c r="I90" s="301"/>
      <c r="J90" s="302"/>
      <c r="K90" s="35"/>
    </row>
    <row r="91" spans="1:11" s="4" customFormat="1" ht="18.75" customHeight="1" x14ac:dyDescent="0.15">
      <c r="A91" s="1"/>
      <c r="B91" s="300"/>
      <c r="C91" s="301"/>
      <c r="D91" s="301"/>
      <c r="E91" s="301"/>
      <c r="F91" s="301"/>
      <c r="G91" s="301"/>
      <c r="H91" s="301"/>
      <c r="I91" s="301"/>
      <c r="J91" s="302"/>
      <c r="K91" s="35" t="str">
        <f>IF(B89="","入力してください","")</f>
        <v/>
      </c>
    </row>
    <row r="92" spans="1:11" s="4" customFormat="1" ht="18.75" customHeight="1" x14ac:dyDescent="0.15">
      <c r="A92" s="1"/>
      <c r="B92" s="300"/>
      <c r="C92" s="301"/>
      <c r="D92" s="301"/>
      <c r="E92" s="301"/>
      <c r="F92" s="301"/>
      <c r="G92" s="301"/>
      <c r="H92" s="301"/>
      <c r="I92" s="301"/>
      <c r="J92" s="302"/>
      <c r="K92" s="35"/>
    </row>
    <row r="93" spans="1:11" s="4" customFormat="1" ht="18.75" customHeight="1" x14ac:dyDescent="0.15">
      <c r="A93" s="1"/>
      <c r="B93" s="300"/>
      <c r="C93" s="301"/>
      <c r="D93" s="301"/>
      <c r="E93" s="301"/>
      <c r="F93" s="301"/>
      <c r="G93" s="301"/>
      <c r="H93" s="301"/>
      <c r="I93" s="301"/>
      <c r="J93" s="302"/>
      <c r="K93" s="35"/>
    </row>
    <row r="94" spans="1:11" s="4" customFormat="1" ht="18.75" customHeight="1" x14ac:dyDescent="0.15">
      <c r="A94" s="1"/>
      <c r="B94" s="300"/>
      <c r="C94" s="301"/>
      <c r="D94" s="301"/>
      <c r="E94" s="301"/>
      <c r="F94" s="301"/>
      <c r="G94" s="301"/>
      <c r="H94" s="301"/>
      <c r="I94" s="301"/>
      <c r="J94" s="302"/>
      <c r="K94" s="35"/>
    </row>
    <row r="95" spans="1:11" s="4" customFormat="1" ht="18.75" customHeight="1" x14ac:dyDescent="0.15">
      <c r="A95" s="1"/>
      <c r="B95" s="300"/>
      <c r="C95" s="301"/>
      <c r="D95" s="301"/>
      <c r="E95" s="301"/>
      <c r="F95" s="301"/>
      <c r="G95" s="301"/>
      <c r="H95" s="301"/>
      <c r="I95" s="301"/>
      <c r="J95" s="302"/>
      <c r="K95" s="35"/>
    </row>
    <row r="96" spans="1:11" s="4" customFormat="1" ht="18.75" customHeight="1" x14ac:dyDescent="0.15">
      <c r="A96" s="1"/>
      <c r="B96" s="300"/>
      <c r="C96" s="301"/>
      <c r="D96" s="301"/>
      <c r="E96" s="301"/>
      <c r="F96" s="301"/>
      <c r="G96" s="301"/>
      <c r="H96" s="301"/>
      <c r="I96" s="301"/>
      <c r="J96" s="302"/>
      <c r="K96" s="35"/>
    </row>
    <row r="97" spans="1:11" s="4" customFormat="1" ht="18.75" customHeight="1" x14ac:dyDescent="0.15">
      <c r="A97" s="1"/>
      <c r="B97" s="300"/>
      <c r="C97" s="301"/>
      <c r="D97" s="301"/>
      <c r="E97" s="301"/>
      <c r="F97" s="301"/>
      <c r="G97" s="301"/>
      <c r="H97" s="301"/>
      <c r="I97" s="301"/>
      <c r="J97" s="302"/>
      <c r="K97" s="35"/>
    </row>
    <row r="98" spans="1:11" s="4" customFormat="1" ht="18.75" customHeight="1" x14ac:dyDescent="0.15">
      <c r="A98" s="1"/>
      <c r="B98" s="300"/>
      <c r="C98" s="301"/>
      <c r="D98" s="301"/>
      <c r="E98" s="301"/>
      <c r="F98" s="301"/>
      <c r="G98" s="301"/>
      <c r="H98" s="301"/>
      <c r="I98" s="301"/>
      <c r="J98" s="302"/>
      <c r="K98" s="35"/>
    </row>
    <row r="99" spans="1:11" s="4" customFormat="1" ht="18.75" customHeight="1" x14ac:dyDescent="0.15">
      <c r="A99" s="1"/>
      <c r="B99" s="300"/>
      <c r="C99" s="301"/>
      <c r="D99" s="301"/>
      <c r="E99" s="301"/>
      <c r="F99" s="301"/>
      <c r="G99" s="301"/>
      <c r="H99" s="301"/>
      <c r="I99" s="301"/>
      <c r="J99" s="302"/>
      <c r="K99" s="35"/>
    </row>
    <row r="100" spans="1:11" s="4" customFormat="1" ht="18.75" customHeight="1" x14ac:dyDescent="0.15">
      <c r="A100" s="1"/>
      <c r="B100" s="300"/>
      <c r="C100" s="301"/>
      <c r="D100" s="301"/>
      <c r="E100" s="301"/>
      <c r="F100" s="301"/>
      <c r="G100" s="301"/>
      <c r="H100" s="301"/>
      <c r="I100" s="301"/>
      <c r="J100" s="302"/>
      <c r="K100" s="35"/>
    </row>
    <row r="101" spans="1:11" s="4" customFormat="1" ht="18.75" customHeight="1" x14ac:dyDescent="0.15">
      <c r="A101" s="1"/>
      <c r="B101" s="300"/>
      <c r="C101" s="301"/>
      <c r="D101" s="301"/>
      <c r="E101" s="301"/>
      <c r="F101" s="301"/>
      <c r="G101" s="301"/>
      <c r="H101" s="301"/>
      <c r="I101" s="301"/>
      <c r="J101" s="302"/>
      <c r="K101" s="35"/>
    </row>
    <row r="102" spans="1:11" s="4" customFormat="1" ht="18.75" customHeight="1" x14ac:dyDescent="0.15">
      <c r="A102" s="1"/>
      <c r="B102" s="300"/>
      <c r="C102" s="301"/>
      <c r="D102" s="301"/>
      <c r="E102" s="301"/>
      <c r="F102" s="301"/>
      <c r="G102" s="301"/>
      <c r="H102" s="301"/>
      <c r="I102" s="301"/>
      <c r="J102" s="302"/>
      <c r="K102" s="35"/>
    </row>
    <row r="103" spans="1:11" s="4" customFormat="1" ht="18.75" customHeight="1" x14ac:dyDescent="0.15">
      <c r="A103" s="1"/>
      <c r="B103" s="300"/>
      <c r="C103" s="301"/>
      <c r="D103" s="301"/>
      <c r="E103" s="301"/>
      <c r="F103" s="301"/>
      <c r="G103" s="301"/>
      <c r="H103" s="301"/>
      <c r="I103" s="301"/>
      <c r="J103" s="302"/>
      <c r="K103" s="35"/>
    </row>
    <row r="104" spans="1:11" s="4" customFormat="1" ht="18.75" customHeight="1" x14ac:dyDescent="0.15">
      <c r="A104" s="1"/>
      <c r="B104" s="300"/>
      <c r="C104" s="301"/>
      <c r="D104" s="301"/>
      <c r="E104" s="301"/>
      <c r="F104" s="301"/>
      <c r="G104" s="301"/>
      <c r="H104" s="301"/>
      <c r="I104" s="301"/>
      <c r="J104" s="302"/>
      <c r="K104" s="35"/>
    </row>
    <row r="105" spans="1:11" s="4" customFormat="1" ht="18.75" customHeight="1" x14ac:dyDescent="0.15">
      <c r="A105" s="1"/>
      <c r="B105" s="300"/>
      <c r="C105" s="301"/>
      <c r="D105" s="301"/>
      <c r="E105" s="301"/>
      <c r="F105" s="301"/>
      <c r="G105" s="301"/>
      <c r="H105" s="301"/>
      <c r="I105" s="301"/>
      <c r="J105" s="302"/>
      <c r="K105" s="35"/>
    </row>
    <row r="106" spans="1:11" s="4" customFormat="1" ht="18.75" customHeight="1" x14ac:dyDescent="0.15">
      <c r="A106" s="1"/>
      <c r="B106" s="300"/>
      <c r="C106" s="301"/>
      <c r="D106" s="301"/>
      <c r="E106" s="301"/>
      <c r="F106" s="301"/>
      <c r="G106" s="301"/>
      <c r="H106" s="301"/>
      <c r="I106" s="301"/>
      <c r="J106" s="302"/>
      <c r="K106" s="35"/>
    </row>
    <row r="107" spans="1:11" ht="18.75" customHeight="1" x14ac:dyDescent="0.15">
      <c r="A107" s="39"/>
      <c r="B107" s="300"/>
      <c r="C107" s="301"/>
      <c r="D107" s="301"/>
      <c r="E107" s="301"/>
      <c r="F107" s="301"/>
      <c r="G107" s="301"/>
      <c r="H107" s="301"/>
      <c r="I107" s="301"/>
      <c r="J107" s="302"/>
      <c r="K107" s="35"/>
    </row>
    <row r="108" spans="1:11" ht="18.75" customHeight="1" x14ac:dyDescent="0.15">
      <c r="A108" s="39"/>
      <c r="B108" s="303"/>
      <c r="C108" s="304"/>
      <c r="D108" s="304"/>
      <c r="E108" s="304"/>
      <c r="F108" s="304"/>
      <c r="G108" s="304"/>
      <c r="H108" s="304"/>
      <c r="I108" s="304"/>
      <c r="J108" s="305"/>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53</v>
      </c>
      <c r="B110" s="319" t="s">
        <v>82</v>
      </c>
      <c r="C110" s="319"/>
      <c r="D110" s="319"/>
      <c r="E110" s="319"/>
      <c r="F110" s="319"/>
      <c r="G110" s="319"/>
      <c r="H110" s="319"/>
      <c r="I110" s="319"/>
      <c r="J110" s="319"/>
      <c r="K110" s="31"/>
    </row>
    <row r="111" spans="1:11" ht="18.75" customHeight="1" x14ac:dyDescent="0.15">
      <c r="A111" s="39"/>
      <c r="B111" s="296" t="s">
        <v>186</v>
      </c>
      <c r="C111" s="297"/>
      <c r="D111" s="297"/>
      <c r="E111" s="297"/>
      <c r="F111" s="297"/>
      <c r="G111" s="297"/>
      <c r="H111" s="297"/>
      <c r="I111" s="298"/>
      <c r="J111" s="299"/>
    </row>
    <row r="112" spans="1:11" ht="18.75" customHeight="1" x14ac:dyDescent="0.15">
      <c r="A112" s="39"/>
      <c r="B112" s="300"/>
      <c r="C112" s="301"/>
      <c r="D112" s="301"/>
      <c r="E112" s="301"/>
      <c r="F112" s="301"/>
      <c r="G112" s="301"/>
      <c r="H112" s="301"/>
      <c r="I112" s="301"/>
      <c r="J112" s="302"/>
      <c r="K112" s="35"/>
    </row>
    <row r="113" spans="1:11" ht="18.75" customHeight="1" x14ac:dyDescent="0.15">
      <c r="A113" s="39"/>
      <c r="B113" s="300"/>
      <c r="C113" s="301"/>
      <c r="D113" s="301"/>
      <c r="E113" s="301"/>
      <c r="F113" s="301"/>
      <c r="G113" s="301"/>
      <c r="H113" s="301"/>
      <c r="I113" s="301"/>
      <c r="J113" s="302"/>
      <c r="K113" s="31" t="str">
        <f>IF(B111="","入力してください","")</f>
        <v/>
      </c>
    </row>
    <row r="114" spans="1:11" ht="18.75" customHeight="1" x14ac:dyDescent="0.15">
      <c r="A114" s="39"/>
      <c r="B114" s="300"/>
      <c r="C114" s="301"/>
      <c r="D114" s="301"/>
      <c r="E114" s="301"/>
      <c r="F114" s="301"/>
      <c r="G114" s="301"/>
      <c r="H114" s="301"/>
      <c r="I114" s="301"/>
      <c r="J114" s="302"/>
    </row>
    <row r="115" spans="1:11" ht="18.75" customHeight="1" x14ac:dyDescent="0.15">
      <c r="A115" s="39"/>
      <c r="B115" s="300"/>
      <c r="C115" s="301"/>
      <c r="D115" s="301"/>
      <c r="E115" s="301"/>
      <c r="F115" s="301"/>
      <c r="G115" s="301"/>
      <c r="H115" s="301"/>
      <c r="I115" s="301"/>
      <c r="J115" s="302"/>
    </row>
    <row r="116" spans="1:11" ht="18.75" customHeight="1" x14ac:dyDescent="0.15">
      <c r="A116" s="39"/>
      <c r="B116" s="300"/>
      <c r="C116" s="301"/>
      <c r="D116" s="301"/>
      <c r="E116" s="301"/>
      <c r="F116" s="301"/>
      <c r="G116" s="301"/>
      <c r="H116" s="301"/>
      <c r="I116" s="301"/>
      <c r="J116" s="302"/>
    </row>
    <row r="117" spans="1:11" ht="18.75" customHeight="1" x14ac:dyDescent="0.15">
      <c r="A117" s="39"/>
      <c r="B117" s="300"/>
      <c r="C117" s="301"/>
      <c r="D117" s="301"/>
      <c r="E117" s="301"/>
      <c r="F117" s="301"/>
      <c r="G117" s="301"/>
      <c r="H117" s="301"/>
      <c r="I117" s="301"/>
      <c r="J117" s="302"/>
    </row>
    <row r="118" spans="1:11" ht="18.75" customHeight="1" x14ac:dyDescent="0.15">
      <c r="A118" s="39"/>
      <c r="B118" s="300"/>
      <c r="C118" s="301"/>
      <c r="D118" s="301"/>
      <c r="E118" s="301"/>
      <c r="F118" s="301"/>
      <c r="G118" s="301"/>
      <c r="H118" s="301"/>
      <c r="I118" s="301"/>
      <c r="J118" s="302"/>
    </row>
    <row r="119" spans="1:11" ht="18.75" customHeight="1" x14ac:dyDescent="0.15">
      <c r="A119" s="39"/>
      <c r="B119" s="300"/>
      <c r="C119" s="301"/>
      <c r="D119" s="301"/>
      <c r="E119" s="301"/>
      <c r="F119" s="301"/>
      <c r="G119" s="301"/>
      <c r="H119" s="301"/>
      <c r="I119" s="301"/>
      <c r="J119" s="302"/>
    </row>
    <row r="120" spans="1:11" ht="18.75" customHeight="1" x14ac:dyDescent="0.15">
      <c r="A120" s="39"/>
      <c r="B120" s="300"/>
      <c r="C120" s="301"/>
      <c r="D120" s="301"/>
      <c r="E120" s="301"/>
      <c r="F120" s="301"/>
      <c r="G120" s="301"/>
      <c r="H120" s="301"/>
      <c r="I120" s="301"/>
      <c r="J120" s="302"/>
    </row>
    <row r="121" spans="1:11" ht="18.75" customHeight="1" x14ac:dyDescent="0.15">
      <c r="A121" s="39"/>
      <c r="B121" s="300"/>
      <c r="C121" s="301"/>
      <c r="D121" s="301"/>
      <c r="E121" s="301"/>
      <c r="F121" s="301"/>
      <c r="G121" s="301"/>
      <c r="H121" s="301"/>
      <c r="I121" s="301"/>
      <c r="J121" s="302"/>
    </row>
    <row r="122" spans="1:11" ht="18.75" customHeight="1" x14ac:dyDescent="0.15">
      <c r="A122" s="39"/>
      <c r="B122" s="300"/>
      <c r="C122" s="301"/>
      <c r="D122" s="301"/>
      <c r="E122" s="301"/>
      <c r="F122" s="301"/>
      <c r="G122" s="301"/>
      <c r="H122" s="301"/>
      <c r="I122" s="301"/>
      <c r="J122" s="302"/>
    </row>
    <row r="123" spans="1:11" ht="18.75" customHeight="1" x14ac:dyDescent="0.15">
      <c r="A123" s="39"/>
      <c r="B123" s="300"/>
      <c r="C123" s="301"/>
      <c r="D123" s="301"/>
      <c r="E123" s="301"/>
      <c r="F123" s="301"/>
      <c r="G123" s="301"/>
      <c r="H123" s="301"/>
      <c r="I123" s="301"/>
      <c r="J123" s="302"/>
    </row>
    <row r="124" spans="1:11" ht="18.75" customHeight="1" x14ac:dyDescent="0.15">
      <c r="A124" s="39"/>
      <c r="B124" s="300"/>
      <c r="C124" s="301"/>
      <c r="D124" s="301"/>
      <c r="E124" s="301"/>
      <c r="F124" s="301"/>
      <c r="G124" s="301"/>
      <c r="H124" s="301"/>
      <c r="I124" s="301"/>
      <c r="J124" s="302"/>
    </row>
    <row r="125" spans="1:11" ht="18.75" customHeight="1" x14ac:dyDescent="0.15">
      <c r="A125" s="39"/>
      <c r="B125" s="300"/>
      <c r="C125" s="301"/>
      <c r="D125" s="301"/>
      <c r="E125" s="301"/>
      <c r="F125" s="301"/>
      <c r="G125" s="301"/>
      <c r="H125" s="301"/>
      <c r="I125" s="301"/>
      <c r="J125" s="302"/>
    </row>
    <row r="126" spans="1:11" ht="18.75" customHeight="1" x14ac:dyDescent="0.15">
      <c r="A126" s="39"/>
      <c r="B126" s="300"/>
      <c r="C126" s="301"/>
      <c r="D126" s="301"/>
      <c r="E126" s="301"/>
      <c r="F126" s="301"/>
      <c r="G126" s="301"/>
      <c r="H126" s="301"/>
      <c r="I126" s="301"/>
      <c r="J126" s="302"/>
    </row>
    <row r="127" spans="1:11" ht="18.75" customHeight="1" x14ac:dyDescent="0.15">
      <c r="A127" s="39"/>
      <c r="B127" s="300"/>
      <c r="C127" s="301"/>
      <c r="D127" s="301"/>
      <c r="E127" s="301"/>
      <c r="F127" s="301"/>
      <c r="G127" s="301"/>
      <c r="H127" s="301"/>
      <c r="I127" s="301"/>
      <c r="J127" s="302"/>
    </row>
    <row r="128" spans="1:11" ht="18.75" customHeight="1" x14ac:dyDescent="0.15">
      <c r="A128" s="39"/>
      <c r="B128" s="300"/>
      <c r="C128" s="301"/>
      <c r="D128" s="301"/>
      <c r="E128" s="301"/>
      <c r="F128" s="301"/>
      <c r="G128" s="301"/>
      <c r="H128" s="301"/>
      <c r="I128" s="301"/>
      <c r="J128" s="302"/>
    </row>
    <row r="129" spans="1:10" ht="18.75" customHeight="1" x14ac:dyDescent="0.15">
      <c r="A129" s="39"/>
      <c r="B129" s="303"/>
      <c r="C129" s="304"/>
      <c r="D129" s="304"/>
      <c r="E129" s="304"/>
      <c r="F129" s="304"/>
      <c r="G129" s="304"/>
      <c r="H129" s="304"/>
      <c r="I129" s="304"/>
      <c r="J129" s="305"/>
    </row>
    <row r="130" spans="1:10" ht="7.5" customHeight="1" x14ac:dyDescent="0.15">
      <c r="A130" s="39"/>
      <c r="B130" s="96"/>
      <c r="C130" s="96"/>
      <c r="D130" s="96"/>
      <c r="E130" s="96"/>
      <c r="F130" s="96"/>
      <c r="G130" s="96"/>
      <c r="H130" s="96"/>
      <c r="I130" s="96"/>
      <c r="J130" s="96"/>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97"/>
      <c r="B144" s="97"/>
      <c r="C144" s="97"/>
      <c r="D144" s="97"/>
      <c r="E144" s="97"/>
      <c r="F144" s="97"/>
      <c r="G144" s="97"/>
      <c r="H144" s="97"/>
      <c r="I144" s="97"/>
      <c r="J144" s="97"/>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3"/>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topLeftCell="A13" zoomScaleNormal="100" zoomScaleSheetLayoutView="100" workbookViewId="0">
      <selection activeCell="E11" sqref="E11:J11"/>
    </sheetView>
  </sheetViews>
  <sheetFormatPr defaultColWidth="11.375" defaultRowHeight="22.5" customHeight="1" x14ac:dyDescent="0.15"/>
  <cols>
    <col min="1" max="3" width="2.625" style="1" customWidth="1"/>
    <col min="4" max="4" width="22.125" style="1" customWidth="1"/>
    <col min="5" max="5" width="21.625" style="1" customWidth="1"/>
    <col min="6" max="7" width="7.62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123</v>
      </c>
      <c r="J1" s="41" t="s">
        <v>73</v>
      </c>
    </row>
    <row r="2" spans="1:11" ht="18.75" customHeight="1" x14ac:dyDescent="0.15">
      <c r="A2" s="272" t="s">
        <v>42</v>
      </c>
      <c r="B2" s="272"/>
      <c r="C2" s="272"/>
      <c r="D2" s="272"/>
      <c r="E2" s="272"/>
      <c r="F2" s="272"/>
      <c r="G2" s="272"/>
      <c r="H2" s="272"/>
      <c r="I2" s="272"/>
      <c r="J2" s="272"/>
    </row>
    <row r="3" spans="1:11" ht="7.5" customHeight="1" x14ac:dyDescent="0.15">
      <c r="A3" s="42"/>
      <c r="B3" s="42"/>
      <c r="C3" s="42"/>
      <c r="D3" s="42"/>
      <c r="E3" s="42"/>
      <c r="F3" s="42"/>
      <c r="G3" s="42"/>
      <c r="H3" s="42"/>
      <c r="I3" s="42"/>
      <c r="J3" s="42"/>
    </row>
    <row r="4" spans="1:11" ht="18.75" customHeight="1" x14ac:dyDescent="0.15">
      <c r="A4" s="1" t="s">
        <v>6</v>
      </c>
      <c r="B4" s="4" t="s">
        <v>41</v>
      </c>
      <c r="C4" s="39"/>
      <c r="D4" s="39"/>
      <c r="E4" s="40"/>
      <c r="F4" s="40"/>
      <c r="G4" s="40"/>
      <c r="H4" s="40"/>
      <c r="I4" s="40"/>
      <c r="J4" s="40"/>
    </row>
    <row r="5" spans="1:11" ht="18.75" customHeight="1" x14ac:dyDescent="0.15">
      <c r="B5" s="325" t="s">
        <v>38</v>
      </c>
      <c r="C5" s="326"/>
      <c r="D5" s="327"/>
      <c r="E5" s="328" t="s">
        <v>40</v>
      </c>
      <c r="F5" s="328"/>
      <c r="G5" s="328"/>
      <c r="H5" s="328"/>
      <c r="I5" s="328"/>
      <c r="J5" s="329"/>
    </row>
    <row r="6" spans="1:11" ht="18.75" customHeight="1" x14ac:dyDescent="0.15">
      <c r="B6" s="3" t="s">
        <v>28</v>
      </c>
      <c r="C6" s="39"/>
      <c r="D6" s="7"/>
      <c r="I6" s="40"/>
      <c r="J6" s="5"/>
    </row>
    <row r="7" spans="1:11" ht="207" customHeight="1" x14ac:dyDescent="0.15">
      <c r="B7" s="6"/>
      <c r="C7" s="330" t="s">
        <v>29</v>
      </c>
      <c r="D7" s="331"/>
      <c r="E7" s="322" t="s">
        <v>204</v>
      </c>
      <c r="F7" s="332"/>
      <c r="G7" s="332"/>
      <c r="H7" s="332"/>
      <c r="I7" s="332"/>
      <c r="J7" s="333"/>
      <c r="K7" s="31" t="str">
        <f>IF(E7="","入力してください","")</f>
        <v/>
      </c>
    </row>
    <row r="8" spans="1:11" ht="207" customHeight="1" x14ac:dyDescent="0.15">
      <c r="B8" s="6"/>
      <c r="C8" s="320" t="s">
        <v>30</v>
      </c>
      <c r="D8" s="321"/>
      <c r="E8" s="322" t="s">
        <v>198</v>
      </c>
      <c r="F8" s="323"/>
      <c r="G8" s="323"/>
      <c r="H8" s="323"/>
      <c r="I8" s="323"/>
      <c r="J8" s="324"/>
      <c r="K8" s="31" t="str">
        <f>IF(E8="","入力してください","")</f>
        <v/>
      </c>
    </row>
    <row r="9" spans="1:11" ht="172.5" customHeight="1" x14ac:dyDescent="0.15">
      <c r="B9" s="6"/>
      <c r="C9" s="330" t="s">
        <v>31</v>
      </c>
      <c r="D9" s="331"/>
      <c r="E9" s="322" t="s">
        <v>199</v>
      </c>
      <c r="F9" s="323"/>
      <c r="G9" s="323"/>
      <c r="H9" s="323"/>
      <c r="I9" s="323"/>
      <c r="J9" s="324"/>
      <c r="K9" s="31" t="str">
        <f>IF(E9="","入力してください","")</f>
        <v/>
      </c>
    </row>
    <row r="10" spans="1:11" ht="172.5" customHeight="1" x14ac:dyDescent="0.15">
      <c r="B10" s="6"/>
      <c r="C10" s="330" t="s">
        <v>32</v>
      </c>
      <c r="D10" s="331"/>
      <c r="E10" s="322" t="s">
        <v>205</v>
      </c>
      <c r="F10" s="323"/>
      <c r="G10" s="323"/>
      <c r="H10" s="323"/>
      <c r="I10" s="323"/>
      <c r="J10" s="324"/>
      <c r="K10" s="31" t="str">
        <f t="shared" ref="K10:K14" si="0">IF(E10="","入力してください","")</f>
        <v/>
      </c>
    </row>
    <row r="11" spans="1:11" ht="172.5" customHeight="1" x14ac:dyDescent="0.15">
      <c r="B11" s="6"/>
      <c r="C11" s="330" t="s">
        <v>33</v>
      </c>
      <c r="D11" s="331"/>
      <c r="E11" s="322" t="s">
        <v>206</v>
      </c>
      <c r="F11" s="323"/>
      <c r="G11" s="323"/>
      <c r="H11" s="323"/>
      <c r="I11" s="323"/>
      <c r="J11" s="324"/>
      <c r="K11" s="31" t="str">
        <f t="shared" si="0"/>
        <v/>
      </c>
    </row>
    <row r="12" spans="1:11" ht="18.75" customHeight="1" x14ac:dyDescent="0.15">
      <c r="B12" s="9" t="s">
        <v>34</v>
      </c>
      <c r="C12" s="28"/>
      <c r="D12" s="8"/>
      <c r="E12" s="32"/>
      <c r="F12" s="32"/>
      <c r="G12" s="32"/>
      <c r="H12" s="32"/>
      <c r="I12" s="32"/>
      <c r="J12" s="33"/>
    </row>
    <row r="13" spans="1:11" ht="244.35" customHeight="1" x14ac:dyDescent="0.15">
      <c r="B13" s="6"/>
      <c r="C13" s="330" t="s">
        <v>35</v>
      </c>
      <c r="D13" s="331"/>
      <c r="E13" s="323" t="s">
        <v>200</v>
      </c>
      <c r="F13" s="323"/>
      <c r="G13" s="323"/>
      <c r="H13" s="323"/>
      <c r="I13" s="323"/>
      <c r="J13" s="324"/>
      <c r="K13" s="31" t="str">
        <f t="shared" si="0"/>
        <v/>
      </c>
    </row>
    <row r="14" spans="1:11" ht="255" customHeight="1" x14ac:dyDescent="0.15">
      <c r="B14" s="6"/>
      <c r="C14" s="330" t="s">
        <v>36</v>
      </c>
      <c r="D14" s="331"/>
      <c r="E14" s="323" t="s">
        <v>201</v>
      </c>
      <c r="F14" s="323"/>
      <c r="G14" s="323"/>
      <c r="H14" s="323"/>
      <c r="I14" s="323"/>
      <c r="J14" s="324"/>
      <c r="K14" s="31" t="str">
        <f t="shared" si="0"/>
        <v/>
      </c>
    </row>
    <row r="15" spans="1:11" ht="243" customHeight="1" x14ac:dyDescent="0.15">
      <c r="B15" s="340" t="s">
        <v>37</v>
      </c>
      <c r="C15" s="341"/>
      <c r="D15" s="331"/>
      <c r="E15" s="323" t="s">
        <v>202</v>
      </c>
      <c r="F15" s="323"/>
      <c r="G15" s="323"/>
      <c r="H15" s="323"/>
      <c r="I15" s="323"/>
      <c r="J15" s="324"/>
      <c r="K15" s="31" t="str">
        <f>IF(E15="","入力してください","")</f>
        <v/>
      </c>
    </row>
    <row r="16" spans="1:11" ht="243" customHeight="1" x14ac:dyDescent="0.15">
      <c r="A16" s="31"/>
      <c r="B16" s="334" t="s">
        <v>66</v>
      </c>
      <c r="C16" s="335"/>
      <c r="D16" s="336"/>
      <c r="E16" s="293" t="s">
        <v>203</v>
      </c>
      <c r="F16" s="293"/>
      <c r="G16" s="293"/>
      <c r="H16" s="293"/>
      <c r="I16" s="293"/>
      <c r="J16" s="294"/>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124</v>
      </c>
      <c r="B18" s="4"/>
      <c r="C18" s="39"/>
      <c r="D18" s="39"/>
      <c r="E18" s="40"/>
      <c r="F18" s="92"/>
      <c r="G18" s="337" t="s">
        <v>197</v>
      </c>
      <c r="H18" s="338"/>
      <c r="I18" s="338"/>
      <c r="J18" s="339"/>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98"/>
      <c r="C24" s="98"/>
      <c r="D24" s="98"/>
      <c r="E24" s="98"/>
      <c r="F24" s="98"/>
      <c r="G24" s="98"/>
      <c r="H24" s="98"/>
      <c r="I24" s="98"/>
      <c r="J24" s="98"/>
    </row>
    <row r="25" spans="1:11" ht="22.5" customHeight="1" x14ac:dyDescent="0.15">
      <c r="B25" s="98"/>
      <c r="C25" s="98"/>
      <c r="D25" s="98"/>
      <c r="E25" s="98"/>
      <c r="F25" s="98"/>
      <c r="G25" s="98"/>
      <c r="H25" s="98"/>
      <c r="I25" s="98"/>
      <c r="J25" s="98"/>
    </row>
    <row r="26" spans="1:11" ht="22.5" customHeight="1" x14ac:dyDescent="0.15">
      <c r="B26" s="98"/>
      <c r="C26" s="98"/>
      <c r="D26" s="98"/>
      <c r="E26" s="98"/>
      <c r="F26" s="98"/>
      <c r="G26" s="98"/>
      <c r="H26" s="98"/>
      <c r="I26" s="98"/>
      <c r="J26" s="98"/>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3"/>
  <hyperlinks>
    <hyperlink ref="G18" r:id="rId1"/>
  </hyperlinks>
  <printOptions horizontalCentered="1"/>
  <pageMargins left="0.78740157480314965" right="0.78740157480314965" top="0.78740157480314965" bottom="0.78740157480314965" header="0.31496062992125984" footer="0.31496062992125984"/>
  <pageSetup paperSize="9" scale="50" orientation="landscape" r:id="rId2"/>
  <rowBreaks count="1" manualBreakCount="1">
    <brk id="11"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Windows ユーザー</cp:lastModifiedBy>
  <cp:lastPrinted>2022-03-14T13:27:09Z</cp:lastPrinted>
  <dcterms:created xsi:type="dcterms:W3CDTF">2011-06-14T05:32:50Z</dcterms:created>
  <dcterms:modified xsi:type="dcterms:W3CDTF">2022-05-17T05:59:21Z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