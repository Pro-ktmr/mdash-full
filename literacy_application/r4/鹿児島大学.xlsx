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72.28.16.196\poppy030\201304～デスクトップ\〇数理・ﾃﾞｰﾀｻｲｴﾝｽ・AI教育ﾌﾟﾛｸﾞﾗﾑ関係\220525_一部修正提出（文科省）\"/>
    </mc:Choice>
  </mc:AlternateContent>
  <bookViews>
    <workbookView xWindow="0" yWindow="0" windowWidth="17220" windowHeight="10590" tabRatio="885" firstSheet="1" activeTab="2"/>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Q10" i="40" l="1"/>
  <c r="R10" i="40" s="1"/>
  <c r="K18" i="42" l="1"/>
  <c r="K16" i="42"/>
  <c r="K15" i="42"/>
  <c r="K9" i="42"/>
  <c r="K8" i="42"/>
  <c r="K7" i="42"/>
  <c r="K113" i="41"/>
  <c r="K91" i="41"/>
  <c r="K69" i="41"/>
  <c r="K46" i="41"/>
  <c r="K31"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19" i="40"/>
  <c r="R19" i="40" s="1"/>
  <c r="Q18" i="40"/>
  <c r="R18" i="40" s="1"/>
  <c r="Q17" i="40"/>
  <c r="R17" i="40" s="1"/>
  <c r="Q16" i="40"/>
  <c r="R16" i="40" s="1"/>
  <c r="Q15" i="40"/>
  <c r="R15" i="40" s="1"/>
  <c r="Q14" i="40"/>
  <c r="R14" i="40" s="1"/>
  <c r="Q13" i="40"/>
  <c r="R13" i="40" s="1"/>
  <c r="Q12" i="40"/>
  <c r="R12" i="40" s="1"/>
  <c r="Q11" i="40"/>
  <c r="R11" i="40" s="1"/>
  <c r="Q30" i="40" l="1"/>
  <c r="R30" i="40" s="1"/>
  <c r="C28" i="41" s="1"/>
</calcChain>
</file>

<file path=xl/sharedStrings.xml><?xml version="1.0" encoding="utf-8"?>
<sst xmlns="http://schemas.openxmlformats.org/spreadsheetml/2006/main" count="334" uniqueCount="221">
  <si>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</si>
  <si>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</si>
  <si>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</si>
  <si>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</si>
  <si>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</si>
  <si>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</si>
  <si>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</si>
  <si>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</si>
  <si>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</si>
  <si>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</si>
  <si>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</si>
  <si>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</si>
  <si>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</si>
  <si>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</si>
  <si>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</si>
  <si>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</si>
  <si>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</si>
  <si>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</si>
  <si>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</si>
  <si>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</si>
  <si>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</si>
  <si>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</si>
  <si>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</si>
  <si>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</si>
  <si>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</si>
  <si>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</si>
  <si>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</si>
  <si>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</si>
  <si>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</si>
  <si>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</si>
  <si>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</si>
  <si>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</si>
  <si>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</si>
  <si>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</si>
  <si>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</si>
  <si>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学外からの視点</t>
    <rPh sb="0" eb="2">
      <t>ガクガイ</t>
    </rPh>
    <rPh sb="5" eb="7">
      <t>シテン</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</si>
  <si>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</si>
  <si>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</si>
  <si>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</si>
  <si>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</si>
  <si>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</si>
  <si>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</si>
  <si>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</si>
  <si>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</si>
  <si>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</si>
  <si>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</si>
  <si>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</si>
  <si>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</si>
  <si>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</si>
  <si>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</si>
  <si>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</si>
  <si>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</si>
  <si>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</si>
  <si>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</si>
  <si>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</si>
  <si>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</si>
  <si>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</si>
  <si>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</si>
  <si>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</si>
  <si>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</si>
  <si>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</si>
  <si>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</si>
  <si>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</si>
  <si>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</si>
  <si>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</si>
  <si>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</si>
  <si>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</si>
  <si>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</si>
  <si>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</si>
  <si>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</si>
  <si>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</si>
  <si>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</si>
  <si>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</si>
  <si>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</si>
  <si>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</si>
  <si>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</si>
  <si>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</si>
  <si>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</si>
  <si>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</si>
  <si>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</si>
  <si>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</si>
  <si>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</si>
  <si>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</si>
  <si>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</si>
  <si>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</si>
  <si>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</si>
  <si>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</si>
  <si>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</si>
  <si>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</si>
  <si>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</si>
  <si>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</si>
  <si>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</si>
  <si>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</si>
  <si>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</si>
  <si>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</si>
  <si>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</si>
  <si>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</si>
  <si>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</si>
  <si>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</si>
  <si>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</si>
  <si>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</si>
  <si>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</si>
  <si>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</si>
  <si>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</si>
  <si>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</si>
  <si>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</si>
  <si>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</si>
  <si>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</si>
  <si>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</si>
  <si>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</si>
  <si>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</si>
  <si>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</si>
  <si>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</si>
  <si>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</si>
  <si>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</si>
  <si>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</si>
  <si>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</si>
  <si>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</si>
  <si>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</si>
  <si>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</si>
  <si>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</si>
  <si>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</si>
  <si>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</si>
  <si>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</si>
  <si>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</si>
  <si>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</si>
  <si>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</si>
  <si>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</si>
  <si>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</si>
  <si>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</si>
  <si>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</si>
  <si>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</si>
  <si>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</si>
  <si>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</si>
  <si>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</si>
  <si>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</si>
  <si>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</si>
  <si>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</si>
  <si>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</si>
  <si>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</si>
  <si>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</si>
  <si>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</si>
  <si>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</si>
  <si>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</si>
  <si>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</si>
  <si>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</si>
  <si>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</si>
  <si>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</si>
  <si>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鹿児島大学</t>
    <phoneticPr fontId="1"/>
  </si>
  <si>
    <t>国立大学法人鹿児島大学</t>
    <phoneticPr fontId="1"/>
  </si>
  <si>
    <t>国立大学</t>
  </si>
  <si>
    <t>鹿児島県鹿児島市郡元1丁目21番24号</t>
    <phoneticPr fontId="1"/>
  </si>
  <si>
    <t>有</t>
  </si>
  <si>
    <t>冨山清升</t>
    <phoneticPr fontId="1"/>
  </si>
  <si>
    <t>共通教育センター副センター長</t>
    <phoneticPr fontId="1"/>
  </si>
  <si>
    <t>伊藤昌和</t>
    <phoneticPr fontId="1"/>
  </si>
  <si>
    <t>認定教育プログラムと認定教育プログラム+（プラス）</t>
  </si>
  <si>
    <t>学部・学科によって、修了要件は相違しない</t>
  </si>
  <si>
    <t>○</t>
  </si>
  <si>
    <t>全学開講</t>
  </si>
  <si>
    <t>https://www.kagoshima-u.ac.jp/educenter/datascience.html</t>
    <phoneticPr fontId="1"/>
  </si>
  <si>
    <t>文理横断・数理データサイエンスＡＩ教育導入プログラム</t>
    <rPh sb="0" eb="2">
      <t>ブンリ</t>
    </rPh>
    <rPh sb="2" eb="4">
      <t>オウダン</t>
    </rPh>
    <phoneticPr fontId="1"/>
  </si>
  <si>
    <t>https://www.kagoshima-u.ac.jp/educenter/datascience.html</t>
    <phoneticPr fontId="1"/>
  </si>
  <si>
    <t>分科会長</t>
    <rPh sb="0" eb="3">
      <t>ブンカカイ</t>
    </rPh>
    <phoneticPr fontId="1"/>
  </si>
  <si>
    <t>鹿児島大学共通教育センター運営委員会規則</t>
    <phoneticPr fontId="1"/>
  </si>
  <si>
    <t>・構造化データ、非構造化データ，「情報活用」（第13回）
・データ作成（ビッグデータとアノテーション），「情報活用」（第13回）
・データのオープン化（オープンデータ），「情報活用」（第13回）</t>
    <rPh sb="1" eb="4">
      <t>コウゾウカ</t>
    </rPh>
    <rPh sb="8" eb="9">
      <t>ヒ</t>
    </rPh>
    <rPh sb="9" eb="12">
      <t>コウゾウカ</t>
    </rPh>
    <rPh sb="23" eb="24">
      <t>ダイ</t>
    </rPh>
    <phoneticPr fontId="1"/>
  </si>
  <si>
    <t>・データ・AI活用領域の広がり(生産、消費、文化活動など)，「情報活用」（第13回）
・研究開発、調達、製造、物流、販売、マーケティング、サービスなど，「情報活用」（第13回）</t>
    <phoneticPr fontId="1"/>
  </si>
  <si>
    <t>・データ解析：予測，グルーピング，パターン発見，最適化，シミュレーション ・データ同化など，「情報活用」（第15回）
・データ可視化：複合グラフ，2軸グラフ，多次元の可視化，関係性の可視化，地図上の可視化，挙動・軌跡の可視化，リアルタイム可視化，「情報活用」（第15回）</t>
    <rPh sb="4" eb="6">
      <t>カイセキ</t>
    </rPh>
    <rPh sb="7" eb="9">
      <t>ヨソク</t>
    </rPh>
    <rPh sb="21" eb="23">
      <t>ハッケn</t>
    </rPh>
    <rPh sb="24" eb="27">
      <t>サイテキ</t>
    </rPh>
    <rPh sb="41" eb="43">
      <t xml:space="preserve">ドウカ </t>
    </rPh>
    <rPh sb="53" eb="54">
      <t xml:space="preserve">ダイ </t>
    </rPh>
    <rPh sb="56" eb="57">
      <t xml:space="preserve">カイ </t>
    </rPh>
    <rPh sb="63" eb="66">
      <t>カシカ</t>
    </rPh>
    <rPh sb="74" eb="75">
      <t>ジク</t>
    </rPh>
    <rPh sb="79" eb="82">
      <t>タジゲn</t>
    </rPh>
    <rPh sb="83" eb="86">
      <t>カシカ</t>
    </rPh>
    <rPh sb="87" eb="90">
      <t>カンケイ</t>
    </rPh>
    <rPh sb="91" eb="94">
      <t>カシ</t>
    </rPh>
    <rPh sb="95" eb="98">
      <t>チズ</t>
    </rPh>
    <rPh sb="99" eb="102">
      <t>カシカ</t>
    </rPh>
    <rPh sb="103" eb="105">
      <t>キョドウ</t>
    </rPh>
    <rPh sb="106" eb="108">
      <t>キセキ</t>
    </rPh>
    <rPh sb="109" eb="112">
      <t>カシカ</t>
    </rPh>
    <rPh sb="119" eb="122">
      <t>カシカ</t>
    </rPh>
    <rPh sb="130" eb="131">
      <t xml:space="preserve">ダイ </t>
    </rPh>
    <rPh sb="133" eb="134">
      <t>カイ</t>
    </rPh>
    <phoneticPr fontId="1"/>
  </si>
  <si>
    <t>・データサイエンスのサイクル（課題抽出と定式化，データの取得・管理・加工，探索的データ解析，データ解析と推論，結果の共有・伝達，課題解決に向けた提案），「情報活用」（第13回）
・流通，製造，金融，サービス，インフラ，公共，ヘルスケア等におけるデータ・AI利活用事例紹介，「情報活用」（第13回）</t>
    <rPh sb="1" eb="3">
      <t>データ</t>
    </rPh>
    <rPh sb="15" eb="17">
      <t>カダイ</t>
    </rPh>
    <rPh sb="17" eb="19">
      <t>チュウシュテゥ</t>
    </rPh>
    <rPh sb="20" eb="23">
      <t>テイシキ</t>
    </rPh>
    <rPh sb="24" eb="26">
      <t>カンリ</t>
    </rPh>
    <rPh sb="27" eb="29">
      <t>カコウ</t>
    </rPh>
    <rPh sb="33" eb="35">
      <t>カイセキ</t>
    </rPh>
    <rPh sb="36" eb="47">
      <t>スイロn</t>
    </rPh>
    <rPh sb="55" eb="57">
      <t>ケッカ</t>
    </rPh>
    <rPh sb="58" eb="60">
      <t>キョウ</t>
    </rPh>
    <rPh sb="61" eb="63">
      <t>デンタテゥ</t>
    </rPh>
    <rPh sb="64" eb="68">
      <t>カダイ</t>
    </rPh>
    <rPh sb="69" eb="70">
      <t>ムケタ</t>
    </rPh>
    <rPh sb="72" eb="74">
      <t>テイアn</t>
    </rPh>
    <rPh sb="83" eb="84">
      <t xml:space="preserve">ダイ </t>
    </rPh>
    <rPh sb="86" eb="87">
      <t>カイ</t>
    </rPh>
    <rPh sb="90" eb="92">
      <t>リュウツウ</t>
    </rPh>
    <rPh sb="93" eb="95">
      <t>セイゾウ</t>
    </rPh>
    <rPh sb="96" eb="98">
      <t>キンユウ</t>
    </rPh>
    <rPh sb="109" eb="111">
      <t>コウキョウ</t>
    </rPh>
    <rPh sb="117" eb="118">
      <t xml:space="preserve">トウ </t>
    </rPh>
    <rPh sb="128" eb="131">
      <t>リカツヨウ</t>
    </rPh>
    <rPh sb="131" eb="133">
      <t>ジレイ</t>
    </rPh>
    <rPh sb="133" eb="135">
      <t>ショウカイダイ カイ</t>
    </rPh>
    <phoneticPr fontId="1"/>
  </si>
  <si>
    <t>・ビッグデータ、IoT、AI、ロボット，「情報活用」（第13回）
・データ量の増加、計算機の処理性能の向上、AIの非連続的進化，「情報活用」（第13回）
・第4次産業革命、Society 5.0、データ駆動型社会，「情報活用」（第13回）
・複数技術を組み合わせたAIサービス，「情報活用」（第13回）</t>
    <phoneticPr fontId="1"/>
  </si>
  <si>
    <t xml:space="preserve">・AI等を活用した新しいビジネスモデル，「情報活用」（第13回）
・AI最新技術の活用例，「情報活用」（第13回）
</t>
    <phoneticPr fontId="1"/>
  </si>
  <si>
    <t>法文学部</t>
    <rPh sb="0" eb="4">
      <t>ホウブンガクブ</t>
    </rPh>
    <phoneticPr fontId="1"/>
  </si>
  <si>
    <t>教育学部</t>
    <rPh sb="0" eb="2">
      <t>キョウイク</t>
    </rPh>
    <rPh sb="2" eb="4">
      <t>ガクブ</t>
    </rPh>
    <phoneticPr fontId="1"/>
  </si>
  <si>
    <t>理学部</t>
    <rPh sb="0" eb="3">
      <t>リガクブ</t>
    </rPh>
    <phoneticPr fontId="1"/>
  </si>
  <si>
    <t>医学部医学科</t>
    <rPh sb="0" eb="3">
      <t>イガクブ</t>
    </rPh>
    <rPh sb="3" eb="6">
      <t>イガッカ</t>
    </rPh>
    <phoneticPr fontId="1"/>
  </si>
  <si>
    <t>医学部保健学科</t>
    <rPh sb="3" eb="5">
      <t>ホケン</t>
    </rPh>
    <rPh sb="5" eb="7">
      <t>ガッカ</t>
    </rPh>
    <phoneticPr fontId="1"/>
  </si>
  <si>
    <t>歯学部</t>
    <rPh sb="0" eb="3">
      <t>シガクブ</t>
    </rPh>
    <phoneticPr fontId="1"/>
  </si>
  <si>
    <t>工学部</t>
    <rPh sb="0" eb="3">
      <t>コウガクブ</t>
    </rPh>
    <phoneticPr fontId="1"/>
  </si>
  <si>
    <t>農学部</t>
    <rPh sb="0" eb="3">
      <t>ノウガクブ</t>
    </rPh>
    <phoneticPr fontId="1"/>
  </si>
  <si>
    <t>水産学部</t>
    <rPh sb="0" eb="2">
      <t>スイサン</t>
    </rPh>
    <rPh sb="2" eb="4">
      <t>ガクブ</t>
    </rPh>
    <phoneticPr fontId="1"/>
  </si>
  <si>
    <t>共同獣医学部</t>
    <rPh sb="0" eb="6">
      <t>キョウドウジュウイガクブ</t>
    </rPh>
    <phoneticPr fontId="1"/>
  </si>
  <si>
    <t>鹿児島大学学生部共通教育課</t>
    <phoneticPr fontId="1"/>
  </si>
  <si>
    <t>大園　豊美代</t>
    <rPh sb="0" eb="2">
      <t>オオゾノ</t>
    </rPh>
    <rPh sb="3" eb="4">
      <t>ユタカ</t>
    </rPh>
    <rPh sb="4" eb="6">
      <t>ミヨ</t>
    </rPh>
    <phoneticPr fontId="1"/>
  </si>
  <si>
    <t>099-285-8892</t>
    <phoneticPr fontId="1"/>
  </si>
  <si>
    <t>kyomuedu@kuas.kagoshima-u.ac.jp</t>
    <phoneticPr fontId="1"/>
  </si>
  <si>
    <t>　数理データサイエンスAI教育プログラムのコア科目「情報活用」は1年生前期の必修科目である．このため入学時の各学部のオリエンテーション時に，きめの細かい履修登録指導がなされている．また，履修登録はインターネットを介して行えるシステムが全学的に構築されており，学生個人のパソコンやスマートフォンを利用して登録が可能である．さらに鹿児島大学ピアサポート制度により，学生どうしの修得に対するサポート体制も充実している．</t>
    <rPh sb="33" eb="35">
      <t>ネンセイ</t>
    </rPh>
    <rPh sb="35" eb="37">
      <t>ゼンキ</t>
    </rPh>
    <rPh sb="38" eb="40">
      <t>ヒッシュウ</t>
    </rPh>
    <rPh sb="40" eb="42">
      <t>カモク</t>
    </rPh>
    <rPh sb="50" eb="53">
      <t>ニュウガクジ</t>
    </rPh>
    <rPh sb="54" eb="55">
      <t>カク</t>
    </rPh>
    <rPh sb="55" eb="57">
      <t>ガクブ</t>
    </rPh>
    <rPh sb="67" eb="68">
      <t>ジ</t>
    </rPh>
    <rPh sb="73" eb="74">
      <t>コマ</t>
    </rPh>
    <rPh sb="76" eb="78">
      <t>リシュウ</t>
    </rPh>
    <rPh sb="78" eb="80">
      <t>トウロク</t>
    </rPh>
    <rPh sb="80" eb="82">
      <t>シドウ</t>
    </rPh>
    <rPh sb="93" eb="95">
      <t>リシュウ</t>
    </rPh>
    <rPh sb="95" eb="97">
      <t>トウロク</t>
    </rPh>
    <rPh sb="106" eb="107">
      <t>カイ</t>
    </rPh>
    <rPh sb="109" eb="110">
      <t>オコナ</t>
    </rPh>
    <rPh sb="117" eb="120">
      <t>ゼンガクテキ</t>
    </rPh>
    <rPh sb="121" eb="123">
      <t>コウチク</t>
    </rPh>
    <rPh sb="129" eb="131">
      <t>ガクセイ</t>
    </rPh>
    <rPh sb="131" eb="133">
      <t>コジン</t>
    </rPh>
    <rPh sb="147" eb="149">
      <t>リヨウ</t>
    </rPh>
    <rPh sb="151" eb="153">
      <t>トウロク</t>
    </rPh>
    <rPh sb="154" eb="156">
      <t>カノウ</t>
    </rPh>
    <rPh sb="163" eb="168">
      <t>カゴシマダイガク</t>
    </rPh>
    <rPh sb="174" eb="176">
      <t>セイド</t>
    </rPh>
    <rPh sb="180" eb="182">
      <t>ガクセイ</t>
    </rPh>
    <rPh sb="186" eb="188">
      <t>シュウトク</t>
    </rPh>
    <rPh sb="189" eb="190">
      <t>タイ</t>
    </rPh>
    <rPh sb="196" eb="198">
      <t>タイセイ</t>
    </rPh>
    <rPh sb="199" eb="201">
      <t>ジュウジツ</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</si>
  <si>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</si>
  <si>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情報活用(情報リテラシー演習,情報セキュリティ・モラル)</t>
    <phoneticPr fontId="1"/>
  </si>
  <si>
    <t>令和２</t>
    <rPh sb="0" eb="2">
      <t>レイワ</t>
    </rPh>
    <phoneticPr fontId="1"/>
  </si>
  <si>
    <r>
      <rPr>
        <b/>
        <sz val="10"/>
        <rFont val="ＭＳ Ｐゴシック"/>
        <family val="3"/>
        <charset val="128"/>
        <scheme val="minor"/>
      </rPr>
      <t>数理・データサイエンス・AI教育プログラム推進ワーキンググループ</t>
    </r>
    <r>
      <rPr>
        <sz val="10"/>
        <rFont val="ＭＳ Ｐゴシック"/>
        <family val="3"/>
        <charset val="128"/>
        <scheme val="minor"/>
      </rPr>
      <t xml:space="preserve">
共通教育センター　　准教授　伊藤昌和　（座長），　全学情報科目分科会併任　（分科会長）
共通教育センター　　助教　　大野裕史　（「情報活用」教育担当），　全学情報科目分科会併任
共通教育センター　　准教授　冨山清升　（数理データサイエンスAI教育担当），　全学情報科目分科会併任
共通教育センター　　准教授　川端訓代　（「統計」教育担当）
</t>
    </r>
    <r>
      <rPr>
        <b/>
        <sz val="10"/>
        <rFont val="ＭＳ Ｐゴシック"/>
        <family val="3"/>
        <charset val="128"/>
        <scheme val="minor"/>
      </rPr>
      <t>全学　情報科目分科会</t>
    </r>
    <r>
      <rPr>
        <sz val="10"/>
        <rFont val="ＭＳ Ｐゴシック"/>
        <family val="3"/>
        <charset val="128"/>
        <scheme val="minor"/>
      </rPr>
      <t xml:space="preserve">
工学部委員　　　　 　准教授　吉本　　稔
理学部委員　　　　 　教授　　 新森　修一
法文学部委員　　　　准教授　吉田　明弘
教育学部委員　　　　准教授　石橋　愛架
農学部委員　　　　 　准教授　神田　英司
水産学部委員　　　　准教授　西　　隆昭
共同獣医学部委員　教授　　 白石　光也
医学部委員　　　　　 准教授　兒玉　慎平
歯学部委員　　　　　 准教授　三浦　裕仁
情報基盤統括センター　助教　小田　謙太郎</t>
    </r>
    <rPh sb="230" eb="232">
      <t>ヨシモト</t>
    </rPh>
    <rPh sb="234" eb="235">
      <t>ミノル</t>
    </rPh>
    <rPh sb="272" eb="274">
      <t>ヨシダ</t>
    </rPh>
    <rPh sb="275" eb="277">
      <t>アキヒロ</t>
    </rPh>
    <rPh sb="293" eb="294">
      <t>ハシ</t>
    </rPh>
    <rPh sb="295" eb="296">
      <t>アイ</t>
    </rPh>
    <rPh sb="296" eb="297">
      <t>カ</t>
    </rPh>
    <rPh sb="313" eb="315">
      <t>カンダ</t>
    </rPh>
    <rPh sb="316" eb="318">
      <t>エイジ</t>
    </rPh>
    <rPh sb="374" eb="376">
      <t>コダマ</t>
    </rPh>
    <rPh sb="377" eb="379">
      <t>シンペイ</t>
    </rPh>
    <rPh sb="405" eb="407">
      <t>トウカツ</t>
    </rPh>
    <rPh sb="412" eb="414">
      <t>ジョキョウ</t>
    </rPh>
    <rPh sb="415" eb="417">
      <t>オダ</t>
    </rPh>
    <rPh sb="418" eb="421">
      <t>ケンタロウ</t>
    </rPh>
    <phoneticPr fontId="1"/>
  </si>
  <si>
    <t>講義内容</t>
    <rPh sb="0" eb="2">
      <t>コウギ</t>
    </rPh>
    <rPh sb="2" eb="4">
      <t>ナイヨウ</t>
    </rPh>
    <phoneticPr fontId="1"/>
  </si>
  <si>
    <t>・データの種類（量的，質的）　・代表値（平均値・中央値・最頻値）と散布度（分散，標準偏差），「情報活用」(第14回)
・分布（度数分布，ヒストグラム，箱ひげ図），「情報活用」(第14回)
・相関と因果（散布図，相関係数，回帰直線），「情報活用」(第15回)</t>
    <rPh sb="5" eb="7">
      <t>シュルイ</t>
    </rPh>
    <rPh sb="8" eb="10">
      <t>リョウテキ</t>
    </rPh>
    <rPh sb="11" eb="13">
      <t>シツテキ</t>
    </rPh>
    <rPh sb="16" eb="19">
      <t>ダイヒョウチ</t>
    </rPh>
    <rPh sb="20" eb="23">
      <t>ヘイキンチ</t>
    </rPh>
    <rPh sb="24" eb="27">
      <t>チュウオウチ</t>
    </rPh>
    <rPh sb="28" eb="31">
      <t>サイヒンチ</t>
    </rPh>
    <rPh sb="33" eb="36">
      <t>サンプド</t>
    </rPh>
    <rPh sb="37" eb="39">
      <t>ブンサン</t>
    </rPh>
    <rPh sb="40" eb="44">
      <t>ヒョウジュンヘンサ</t>
    </rPh>
    <rPh sb="53" eb="54">
      <t>ダイ</t>
    </rPh>
    <rPh sb="60" eb="62">
      <t>ブンプ</t>
    </rPh>
    <rPh sb="63" eb="67">
      <t>ドスウブンプ</t>
    </rPh>
    <rPh sb="75" eb="76">
      <t>ハコ</t>
    </rPh>
    <rPh sb="78" eb="79">
      <t>ズ</t>
    </rPh>
    <rPh sb="95" eb="97">
      <t>ソウカン</t>
    </rPh>
    <rPh sb="98" eb="100">
      <t>インガ</t>
    </rPh>
    <rPh sb="101" eb="104">
      <t>サンプズ</t>
    </rPh>
    <rPh sb="105" eb="109">
      <t>ソウカンケイスウ</t>
    </rPh>
    <rPh sb="110" eb="114">
      <t>カイキチョクセン</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</si>
  <si>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</si>
  <si>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</si>
  <si>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</si>
  <si>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</si>
  <si>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 xml:space="preserve">
　鹿児島大学には，地域及び産業界に関わるセンターが複数設置されている．これらのセンターが発信・公表する情報を通して地域・産業界との連携を深めるとともに，そこで培われた情報や数理データを，本教育プログラムの教育コンテンツ制作に活用し，本学独自のキーワード「離島・島嶼」，「防災」などを題材として，オリジナリティーのある教育プログラムへと進化させていく．関連する各センターは，以下の①　②　③のとおり．
①．南九州・南西諸島域イノベーションセンター
　　産学・地域連携活動の推進及び地域社会の発展に資することを目的としている．
②．国際島嶼教育研究センター
　　鹿児島からアジア・太平洋に広がる島嶼域を対象に様々な問題について学術的調査研究を行い，国際交流を図るとともに国際社会に貢献する人材を育成することを目的としている．
③．地域防災教育研究センター
　　防災に関する教育研究を総合的に展開するとともに，地域と連携して地域防災体制の向上に貢献することを目的としている．
・高度専門人材育成事業を活用した教育プログラムとの連携
本学農学部・共同獣医学部は令和３年度に文部科学省「デジタルと専門分野の掛け合わせによる産業DXをけん引する高度専門人材育成事業」に採択された．事業名は「南九州の地域産業をけん引する次世代農獣医技術者養成のDX教育改革」である．既存の産学連携体制と，この事業の遂行で得られた成果，知見・データを教育プログラム科目「情報活用」の教材コンテンツとして活用する．
・地域，産業界との共同イベント等による連携活動について
　本学では，卒業・修了生の就職先企業に対してWEBアンケートを行っている．このアンケートに対し，「数理・データサイエンス・AI教育プログラム推進ワーキンググループ」が主体となり分析を行っていく．また地域，産業界との確固たる連携関係を築きつつ，ワークショップ・講演会等を企画する．こういった取り組みを基にして，地域社会におけるSociety 5.0の実現に向け，社会の要請や変化に応える教育プログラムを構築していく．
</t>
    <rPh sb="2" eb="7">
      <t>カゴシマダイガク</t>
    </rPh>
    <rPh sb="10" eb="12">
      <t>チイキ</t>
    </rPh>
    <rPh sb="12" eb="13">
      <t>オヨ</t>
    </rPh>
    <rPh sb="14" eb="17">
      <t>サンギョウカイ</t>
    </rPh>
    <rPh sb="18" eb="19">
      <t>カカ</t>
    </rPh>
    <rPh sb="26" eb="28">
      <t>フクスウ</t>
    </rPh>
    <rPh sb="28" eb="30">
      <t>セッチ</t>
    </rPh>
    <rPh sb="45" eb="47">
      <t>ハッシン</t>
    </rPh>
    <rPh sb="48" eb="50">
      <t>コウヒョウ</t>
    </rPh>
    <rPh sb="52" eb="54">
      <t>ジョウホウ</t>
    </rPh>
    <rPh sb="55" eb="56">
      <t>トオ</t>
    </rPh>
    <rPh sb="58" eb="60">
      <t>チイキ</t>
    </rPh>
    <rPh sb="61" eb="64">
      <t>サンギョウカイ</t>
    </rPh>
    <rPh sb="66" eb="68">
      <t>レンケイ</t>
    </rPh>
    <rPh sb="69" eb="70">
      <t>フカ</t>
    </rPh>
    <rPh sb="80" eb="81">
      <t>ツチカ</t>
    </rPh>
    <rPh sb="84" eb="86">
      <t>ジョウホウ</t>
    </rPh>
    <rPh sb="87" eb="89">
      <t>スウリ</t>
    </rPh>
    <rPh sb="94" eb="97">
      <t>ホンキョウイク</t>
    </rPh>
    <rPh sb="103" eb="105">
      <t>キョウイク</t>
    </rPh>
    <rPh sb="110" eb="112">
      <t>セイサク</t>
    </rPh>
    <rPh sb="113" eb="115">
      <t>カツヨウ</t>
    </rPh>
    <rPh sb="176" eb="178">
      <t>カンレン</t>
    </rPh>
    <rPh sb="180" eb="181">
      <t>カク</t>
    </rPh>
    <rPh sb="187" eb="189">
      <t>イカ</t>
    </rPh>
    <rPh sb="227" eb="229">
      <t>サンガク</t>
    </rPh>
    <rPh sb="230" eb="232">
      <t>チイキ</t>
    </rPh>
    <rPh sb="232" eb="234">
      <t>レンケイ</t>
    </rPh>
    <rPh sb="234" eb="236">
      <t>カツドウ</t>
    </rPh>
    <rPh sb="237" eb="239">
      <t>スイシン</t>
    </rPh>
    <rPh sb="239" eb="240">
      <t>オヨ</t>
    </rPh>
    <rPh sb="305" eb="307">
      <t>サマザマ</t>
    </rPh>
    <rPh sb="316" eb="317">
      <t>テキ</t>
    </rPh>
    <rPh sb="367" eb="369">
      <t>チイキ</t>
    </rPh>
    <rPh sb="369" eb="371">
      <t>ボウサイ</t>
    </rPh>
    <rPh sb="371" eb="375">
      <t>キョウイクケンキュウ</t>
    </rPh>
    <rPh sb="382" eb="384">
      <t>ボウサイ</t>
    </rPh>
    <rPh sb="385" eb="386">
      <t>カン</t>
    </rPh>
    <rPh sb="388" eb="392">
      <t>キョウイクケンキュウ</t>
    </rPh>
    <rPh sb="393" eb="396">
      <t>ソウゴウテキ</t>
    </rPh>
    <rPh sb="397" eb="399">
      <t>テンカイ</t>
    </rPh>
    <rPh sb="406" eb="408">
      <t>チイキ</t>
    </rPh>
    <rPh sb="409" eb="411">
      <t>レンケイ</t>
    </rPh>
    <rPh sb="413" eb="417">
      <t>チイキボウサイ</t>
    </rPh>
    <rPh sb="417" eb="419">
      <t>タイセイ</t>
    </rPh>
    <rPh sb="420" eb="422">
      <t>コウジョウ</t>
    </rPh>
    <rPh sb="423" eb="425">
      <t>コウケン</t>
    </rPh>
    <rPh sb="430" eb="432">
      <t>モクテキ</t>
    </rPh>
    <rPh sb="466" eb="468">
      <t>レンケイ</t>
    </rPh>
    <rPh sb="469" eb="470">
      <t>ホン</t>
    </rPh>
    <rPh sb="534" eb="536">
      <t>サイタク</t>
    </rPh>
    <rPh sb="540" eb="542">
      <t>ジギョウ</t>
    </rPh>
    <rPh sb="542" eb="543">
      <t>メイ</t>
    </rPh>
    <rPh sb="582" eb="584">
      <t>キゾン</t>
    </rPh>
    <rPh sb="585" eb="587">
      <t>サンガク</t>
    </rPh>
    <rPh sb="589" eb="591">
      <t>タイセイ</t>
    </rPh>
    <rPh sb="595" eb="597">
      <t>ジギョウ</t>
    </rPh>
    <rPh sb="598" eb="599">
      <t>エ</t>
    </rPh>
    <rPh sb="601" eb="602">
      <t>エ</t>
    </rPh>
    <rPh sb="605" eb="607">
      <t>セイカ</t>
    </rPh>
    <rPh sb="608" eb="610">
      <t>チケン</t>
    </rPh>
    <rPh sb="615" eb="617">
      <t>キョウイク</t>
    </rPh>
    <rPh sb="622" eb="624">
      <t>カモク</t>
    </rPh>
    <rPh sb="625" eb="627">
      <t>ジョウホウ</t>
    </rPh>
    <rPh sb="627" eb="629">
      <t>カツヨウ</t>
    </rPh>
    <rPh sb="631" eb="633">
      <t>キョウザイ</t>
    </rPh>
    <rPh sb="641" eb="643">
      <t>カツヨウ</t>
    </rPh>
    <rPh sb="649" eb="650">
      <t>ツチカ</t>
    </rPh>
    <rPh sb="668" eb="672">
      <t>レンケイカツドウ</t>
    </rPh>
    <rPh sb="678" eb="679">
      <t>ホン</t>
    </rPh>
    <phoneticPr fontId="1"/>
  </si>
  <si>
    <t>全学　情報科目分科会</t>
    <rPh sb="0" eb="2">
      <t>ゼンガク</t>
    </rPh>
    <phoneticPr fontId="1"/>
  </si>
  <si>
    <t>全学　情報科目分科会</t>
    <phoneticPr fontId="1"/>
  </si>
  <si>
    <t>全学必修科目「情報活用」（2単位）を修得すること。
※共同獣医学部については，山口大学との共同設置課程のため，同内容を「情報リテラシー演習」（必修：1単位）「情報セキュリティ・モラル」（必修：１単位）に分けて開講している．</t>
    <rPh sb="18" eb="20">
      <t>シュウトク</t>
    </rPh>
    <rPh sb="39" eb="41">
      <t>ヤマグチ</t>
    </rPh>
    <rPh sb="48" eb="50">
      <t>タンイ</t>
    </rPh>
    <rPh sb="71" eb="73">
      <t>ヒッシュウ</t>
    </rPh>
    <rPh sb="75" eb="77">
      <t>タンイ</t>
    </rPh>
    <rPh sb="93" eb="95">
      <t>ヒッシュウ</t>
    </rPh>
    <rPh sb="97" eb="99">
      <t>タンイ</t>
    </rPh>
    <rPh sb="101" eb="102">
      <t>ワ</t>
    </rPh>
    <rPh sb="104" eb="106">
      <t>カイコウ</t>
    </rPh>
    <phoneticPr fontId="1"/>
  </si>
  <si>
    <t xml:space="preserve">・個人情報保護、EU一般データ保護規則(GDPR)、忘れられる権利、オプトアウト，「情報活用」（第3回）
・データ倫理：データのねつ造、改ざん、盗用、プライバシー保護，「情報活用」（第3回）
・数理・データサイエンス① 情報倫理とセキュリティ，「情報活用」(第3回)
</t>
    <rPh sb="48" eb="49">
      <t>ダイ</t>
    </rPh>
    <phoneticPr fontId="1"/>
  </si>
  <si>
    <t xml:space="preserve">・情報セキュリティ：機密性、完全性、可用性，「情報活用」（第3回）
・匿名加工情報、暗号化、パスワード、悪意ある情報搾取，「情報活用」（第3回）
・情報漏洩等によるセキュリティ事故の事例紹介，「情報活用」（第3回）
</t>
    <phoneticPr fontId="1"/>
  </si>
  <si>
    <t>・データの表現（棒グラフ，折れ線グラフ，円グラフ，散布図，レーダーチャート），「情報活用」(第11回)
・データの比較（条件を揃えた比較，処理の前後での比較），「情報活用」(第11回)
・不適切なグラフ表現（チャートジャンク），「情報活用」(第11回)
・優れたグラフ表現の紹介，「情報活用」(第11回)</t>
    <rPh sb="5" eb="7">
      <t>ヒョウゲン</t>
    </rPh>
    <rPh sb="8" eb="9">
      <t>ボウ</t>
    </rPh>
    <rPh sb="13" eb="14">
      <t>オ</t>
    </rPh>
    <rPh sb="15" eb="16">
      <t>セン</t>
    </rPh>
    <rPh sb="20" eb="21">
      <t>エン</t>
    </rPh>
    <rPh sb="25" eb="28">
      <t>サンプズ</t>
    </rPh>
    <rPh sb="57" eb="59">
      <t>ヒカク</t>
    </rPh>
    <rPh sb="60" eb="62">
      <t>ジョウケン</t>
    </rPh>
    <rPh sb="63" eb="64">
      <t>ソロ</t>
    </rPh>
    <rPh sb="66" eb="68">
      <t>ヒカク</t>
    </rPh>
    <rPh sb="69" eb="71">
      <t>ショリ</t>
    </rPh>
    <rPh sb="72" eb="74">
      <t>ゼンゴ</t>
    </rPh>
    <rPh sb="76" eb="78">
      <t>ヒカク</t>
    </rPh>
    <rPh sb="94" eb="97">
      <t>フテキセツ</t>
    </rPh>
    <rPh sb="101" eb="103">
      <t>ヒョウゲン</t>
    </rPh>
    <rPh sb="128" eb="129">
      <t>スグ</t>
    </rPh>
    <rPh sb="134" eb="136">
      <t>ヒョウゲン</t>
    </rPh>
    <rPh sb="137" eb="139">
      <t>ショウカイ</t>
    </rPh>
    <phoneticPr fontId="1"/>
  </si>
  <si>
    <t>・データの集計（和，平均など 1次統計量の算出）　・データソート（並び替え，ランキング），「情報活用」(第14回)
・データ解析ツール（表計算ソフト）を用いた分布図(散布図，ヒストグラム），回帰直線，「情報活用」(第15回)
・表形式のデータの取り扱い（csv)，「情報活用」(第10，11，12回)</t>
    <rPh sb="5" eb="7">
      <t>シュウケイ</t>
    </rPh>
    <rPh sb="8" eb="9">
      <t>ワ</t>
    </rPh>
    <rPh sb="10" eb="12">
      <t>ヘイキン</t>
    </rPh>
    <rPh sb="16" eb="20">
      <t>ジトウケイリョウ</t>
    </rPh>
    <rPh sb="21" eb="23">
      <t>サンシュツ</t>
    </rPh>
    <rPh sb="33" eb="34">
      <t>ナラ</t>
    </rPh>
    <rPh sb="35" eb="36">
      <t>カ</t>
    </rPh>
    <rPh sb="52" eb="53">
      <t>ダイ</t>
    </rPh>
    <rPh sb="66" eb="68">
      <t>カイセキ</t>
    </rPh>
    <rPh sb="72" eb="75">
      <t>ヒョウケイサン</t>
    </rPh>
    <rPh sb="80" eb="81">
      <t>モチ</t>
    </rPh>
    <rPh sb="83" eb="86">
      <t>ブンプズ</t>
    </rPh>
    <rPh sb="87" eb="90">
      <t>サンプズ</t>
    </rPh>
    <rPh sb="118" eb="121">
      <t>ヒョウケイシキ</t>
    </rPh>
    <rPh sb="126" eb="127">
      <t>ト</t>
    </rPh>
    <rPh sb="128" eb="129">
      <t>アツカ</t>
    </rPh>
    <phoneticPr fontId="1"/>
  </si>
  <si>
    <t>(1)数理データサイエンスAIの技術によって，社会および日常生活が大きく変化していることを理解し，そこから生み出される新たな価値を説明できる能力．
(2)膨大なデータの集積（ビックデータ）によって新たな雇用や産業分野が生じている現状を説明できる能力．
(3)データの特徴を見出し，そこにある事象・背景・意味合いを説明できるとともに，その適切な分析手法を判断できる能力．</t>
    <rPh sb="136" eb="138">
      <t>ミイダ</t>
    </rPh>
    <rPh sb="168" eb="170">
      <t>テキセツ</t>
    </rPh>
    <rPh sb="171" eb="173">
      <t>ブンセキ</t>
    </rPh>
    <rPh sb="181" eb="183">
      <t>ノウリョク</t>
    </rPh>
    <phoneticPr fontId="1"/>
  </si>
  <si>
    <t>　鹿児島大学においては，全学生に共通に必要な基礎教育を行うために共通教育課程を設けている．その中で，「全学　情報科目分科会」については、データを活用し社会の課題を発見，解決できる人材を育成するための基盤となる科目「情報活用」の運営方針と協力体制の整備を目的として設置している．
　また，受講生に対し高い教育効果を備え，かつ魅力ある情報サイエンス教育プログラムを提供するため，①具体的な企画・立案，②授業評価を基にした授業改善策の作成等を行う「数理・データサイエンス・AI教育プログラム推進ワーキンググループ」が設置されている．</t>
    <rPh sb="47" eb="48">
      <t>ナカ</t>
    </rPh>
    <rPh sb="99" eb="101">
      <t>キバン</t>
    </rPh>
    <rPh sb="104" eb="106">
      <t>カモク</t>
    </rPh>
    <rPh sb="124" eb="126">
      <t>ゼンガク</t>
    </rPh>
    <rPh sb="131" eb="133">
      <t>セッチ</t>
    </rPh>
    <phoneticPr fontId="1"/>
  </si>
  <si>
    <t>　本学では本教育プログラム科目「情報活用」の前身科目である「情報科学科目」の全学必修化を平成8年度に完了しており，これまで大学での情報教育に関して，多くの経験と実績を積み上げてきた．この科目は共通教育全体の改革を受けて平成28年度から「情報活用」科目として再整備された．そして，令和2年度からは数理データサイエンスAI教育に関する内容（情報，基礎統計，情報セキュリティー・倫理，等）が「情報活用」に組み込まれ，本教育プログラムが開設された．
　一方学習支援の面では，平成29年度にクラウド型学習支援システム「manaba」（株式会社朝日ネット）が全学的に導入され，多くの授業科目において活発に運用されている．「情報活用」においても「manaba」を用いることで，動画コンテンツ等の教材配布や，履修・受講状況，学習成果の確認は場所と時間にとらわれることなく可能となっている．
　数理データサイエンスAI教育の技術的根幹を成す基礎分野である統計学関連授業は一部の学科を除いた全学部で開講されており，特に理系学部では準必修科目となっている．また令和4年度からは文系学部も含めた全学部全学科で履修可能となっている．</t>
    <rPh sb="1" eb="2">
      <t>ホン</t>
    </rPh>
    <rPh sb="5" eb="6">
      <t>ホン</t>
    </rPh>
    <rPh sb="6" eb="8">
      <t>キョウイク</t>
    </rPh>
    <rPh sb="13" eb="15">
      <t>カモク</t>
    </rPh>
    <rPh sb="24" eb="26">
      <t>カモク</t>
    </rPh>
    <rPh sb="32" eb="34">
      <t>カガク</t>
    </rPh>
    <rPh sb="34" eb="36">
      <t>カモク</t>
    </rPh>
    <rPh sb="61" eb="63">
      <t>ダイガク</t>
    </rPh>
    <rPh sb="65" eb="67">
      <t>ジョウホウ</t>
    </rPh>
    <rPh sb="67" eb="69">
      <t>キョウイク</t>
    </rPh>
    <rPh sb="70" eb="71">
      <t>カン</t>
    </rPh>
    <rPh sb="93" eb="95">
      <t>カモク</t>
    </rPh>
    <rPh sb="96" eb="102">
      <t>キョウツウキョウイクゼンタイ</t>
    </rPh>
    <rPh sb="103" eb="105">
      <t>カイカク</t>
    </rPh>
    <rPh sb="106" eb="107">
      <t>ウ</t>
    </rPh>
    <rPh sb="109" eb="111">
      <t>ヘイセイ</t>
    </rPh>
    <rPh sb="113" eb="115">
      <t>ネンド</t>
    </rPh>
    <rPh sb="123" eb="125">
      <t>カモク</t>
    </rPh>
    <rPh sb="128" eb="131">
      <t>サイセイビ</t>
    </rPh>
    <rPh sb="139" eb="141">
      <t>レイワ</t>
    </rPh>
    <rPh sb="143" eb="144">
      <t>ド</t>
    </rPh>
    <rPh sb="162" eb="163">
      <t>カン</t>
    </rPh>
    <rPh sb="165" eb="167">
      <t>ナイヨウ</t>
    </rPh>
    <rPh sb="168" eb="170">
      <t>ジョウホウ</t>
    </rPh>
    <rPh sb="171" eb="175">
      <t>キソトウケイ</t>
    </rPh>
    <rPh sb="176" eb="178">
      <t>ジョウホウ</t>
    </rPh>
    <rPh sb="186" eb="188">
      <t>リンリ</t>
    </rPh>
    <rPh sb="189" eb="190">
      <t>トウ</t>
    </rPh>
    <rPh sb="199" eb="200">
      <t>ク</t>
    </rPh>
    <rPh sb="201" eb="202">
      <t>コ</t>
    </rPh>
    <rPh sb="205" eb="206">
      <t>ホン</t>
    </rPh>
    <rPh sb="206" eb="208">
      <t>キョウイク</t>
    </rPh>
    <rPh sb="214" eb="216">
      <t>カイセツ</t>
    </rPh>
    <rPh sb="222" eb="224">
      <t>イッポウ</t>
    </rPh>
    <rPh sb="224" eb="226">
      <t>ガクシュウ</t>
    </rPh>
    <rPh sb="226" eb="228">
      <t>シエン</t>
    </rPh>
    <rPh sb="229" eb="230">
      <t>メン</t>
    </rPh>
    <rPh sb="235" eb="236">
      <t>トウ</t>
    </rPh>
    <rPh sb="237" eb="239">
      <t>キョウザイ</t>
    </rPh>
    <rPh sb="242" eb="243">
      <t>ト</t>
    </rPh>
    <rPh sb="273" eb="276">
      <t>ゼンガクテキ</t>
    </rPh>
    <rPh sb="282" eb="283">
      <t>オオ</t>
    </rPh>
    <rPh sb="293" eb="295">
      <t>カッパツ</t>
    </rPh>
    <rPh sb="349" eb="351">
      <t>ジュコウ</t>
    </rPh>
    <rPh sb="356" eb="358">
      <t>レイワ</t>
    </rPh>
    <phoneticPr fontId="1"/>
  </si>
  <si>
    <r>
      <t>　　令和2年度から開始された教育プログラム科目「情報活用」は，文系学部・理系学部を問わず本学全1年生を対象とした必修科目である．授業運営方針は本学の</t>
    </r>
    <r>
      <rPr>
        <sz val="12"/>
        <rFont val="ＭＳ Ｐゴシック"/>
        <family val="3"/>
        <charset val="128"/>
        <scheme val="minor"/>
      </rPr>
      <t>全学部（9学部）及び二つのセンターから選出された委員により構成された「全学　情報科目分科会」において検討されており，各部局の専任教員が授業を担当するなど全学的な支援体制がすでに得られている．
　また，授業内容によっては「数理・データサイエンス・AI教育プログラム推進ワーキンググループ」が共通ビデオコンテンツを制作しており，文系学生を含む全学生が，数理データサイエンスAI教育に対する興味を切らすことなく履修することが可能である．</t>
    </r>
    <rPh sb="2" eb="4">
      <t>レイワ</t>
    </rPh>
    <rPh sb="6" eb="7">
      <t>ド</t>
    </rPh>
    <rPh sb="9" eb="11">
      <t>カイシ</t>
    </rPh>
    <rPh sb="57" eb="59">
      <t>カモク</t>
    </rPh>
    <rPh sb="96" eb="98">
      <t>セイサク</t>
    </rPh>
    <rPh sb="108" eb="109">
      <t>フク</t>
    </rPh>
    <rPh sb="109" eb="111">
      <t>ゼンガク</t>
    </rPh>
    <rPh sb="113" eb="116">
      <t>ゼンガクセイ</t>
    </rPh>
    <rPh sb="125" eb="126">
      <t>タイ</t>
    </rPh>
    <rPh sb="128" eb="130">
      <t>キョウミ</t>
    </rPh>
    <rPh sb="131" eb="134">
      <t>カクブキョク</t>
    </rPh>
    <rPh sb="135" eb="139">
      <t>センニンキョウイン</t>
    </rPh>
    <rPh sb="140" eb="142">
      <t>ジュギョウ</t>
    </rPh>
    <rPh sb="143" eb="145">
      <t>タントウ</t>
    </rPh>
    <rPh sb="155" eb="157">
      <t>タイセイ</t>
    </rPh>
    <phoneticPr fontId="1"/>
  </si>
  <si>
    <r>
      <t>　本学数理データサイエンスAI教育プログラム科目「情報活用」は鹿児島大学初年次における全学必修科目である．したがって受講に関しては、鹿児島大学の全学生が入学時に支給される「共通教育履修案内」に詳細に明記されており，数理データサイエンスAI教育プログラムの内容はホームページ上でも確認できるようになっている．
　履修登録や修正についてもインターネットを用いて容易に可能である．履修登録の方法は、所属学部のオリエンテーションにおいて新入生に詳しく解説が行われ，高学年学生から成るティーチングアシスタントによるサポート体制も敷かれている．
　さらに鹿児島大学では全学的にクラウド型</t>
    </r>
    <r>
      <rPr>
        <sz val="12"/>
        <rFont val="ＭＳ Ｐゴシック"/>
        <family val="3"/>
        <charset val="128"/>
        <scheme val="minor"/>
      </rPr>
      <t>学習支援システム「manaba」（以下、「manaba」という。）を導入しており，個々の履修内容の確認，履修に関する質問が容易に行われるようになっており細かな個別指導が可能である．</t>
    </r>
    <rPh sb="1" eb="3">
      <t>ホンガク</t>
    </rPh>
    <rPh sb="287" eb="289">
      <t>ガクシュウ</t>
    </rPh>
    <rPh sb="289" eb="291">
      <t>シエン</t>
    </rPh>
    <rPh sb="304" eb="306">
      <t>イカ</t>
    </rPh>
    <rPh sb="363" eb="364">
      <t>コマ</t>
    </rPh>
    <rPh sb="366" eb="368">
      <t>コベツ</t>
    </rPh>
    <rPh sb="368" eb="370">
      <t>シドウ</t>
    </rPh>
    <rPh sb="371" eb="373">
      <t>カノウ</t>
    </rPh>
    <phoneticPr fontId="1"/>
  </si>
  <si>
    <r>
      <t>　</t>
    </r>
    <r>
      <rPr>
        <sz val="12"/>
        <rFont val="ＭＳ Ｐゴシック"/>
        <family val="3"/>
        <charset val="128"/>
        <scheme val="minor"/>
      </rPr>
      <t xml:space="preserve">本学では「manaba」を全学的に運用している．当該システムを用いることで大学・自宅といった場所や時間を選ばず，授業に関する連絡事項の周知や，参考となる動画コンテンツの視聴，課題の受け渡しと提出，質問・返答を行うことが可能である．もちろん，従来のオフィスアワーも受講生に周知されており，これを利用した対面での質問も可能である．
　一方，本学の全教員に対しては，定期的に「manaba」の使用講習会が催されており，個々の教員の授業科目における運用についても多くの実績がある．
</t>
    </r>
    <rPh sb="14" eb="17">
      <t>ゼンガクテキ</t>
    </rPh>
    <rPh sb="18" eb="20">
      <t>ウンヨウ</t>
    </rPh>
    <rPh sb="25" eb="27">
      <t>トウガイ</t>
    </rPh>
    <rPh sb="32" eb="33">
      <t>モチ</t>
    </rPh>
    <rPh sb="38" eb="40">
      <t>ダイガク</t>
    </rPh>
    <rPh sb="41" eb="43">
      <t>ジタク</t>
    </rPh>
    <rPh sb="47" eb="49">
      <t>バショ</t>
    </rPh>
    <rPh sb="50" eb="52">
      <t>ジカン</t>
    </rPh>
    <rPh sb="53" eb="54">
      <t>エラ</t>
    </rPh>
    <rPh sb="57" eb="59">
      <t>ジュギョウ</t>
    </rPh>
    <rPh sb="60" eb="61">
      <t>カン</t>
    </rPh>
    <rPh sb="63" eb="67">
      <t>レンラクジコウ</t>
    </rPh>
    <rPh sb="68" eb="70">
      <t>シュウチ</t>
    </rPh>
    <rPh sb="72" eb="74">
      <t>サンコウ</t>
    </rPh>
    <rPh sb="77" eb="79">
      <t>ドウガ</t>
    </rPh>
    <rPh sb="85" eb="87">
      <t>シチョウ</t>
    </rPh>
    <rPh sb="88" eb="90">
      <t>カダイ</t>
    </rPh>
    <rPh sb="96" eb="98">
      <t>テイシュツ</t>
    </rPh>
    <rPh sb="99" eb="101">
      <t>シツモン</t>
    </rPh>
    <rPh sb="102" eb="104">
      <t>ヘントウ</t>
    </rPh>
    <rPh sb="105" eb="106">
      <t>オコナ</t>
    </rPh>
    <rPh sb="110" eb="112">
      <t>カノウ</t>
    </rPh>
    <rPh sb="132" eb="135">
      <t>ジュコウセイ</t>
    </rPh>
    <rPh sb="136" eb="138">
      <t>シュウチ</t>
    </rPh>
    <rPh sb="166" eb="168">
      <t>イッポウ</t>
    </rPh>
    <rPh sb="172" eb="173">
      <t>ゼン</t>
    </rPh>
    <rPh sb="173" eb="175">
      <t>キョウイン</t>
    </rPh>
    <rPh sb="176" eb="177">
      <t>タイ</t>
    </rPh>
    <rPh sb="181" eb="184">
      <t>テイキテキ</t>
    </rPh>
    <rPh sb="196" eb="199">
      <t>コウシュウカイ</t>
    </rPh>
    <rPh sb="200" eb="201">
      <t>モヨオ</t>
    </rPh>
    <rPh sb="207" eb="209">
      <t>ココ</t>
    </rPh>
    <rPh sb="210" eb="212">
      <t>キョウイン</t>
    </rPh>
    <rPh sb="213" eb="215">
      <t>ジュギョウ</t>
    </rPh>
    <rPh sb="215" eb="217">
      <t>カモク</t>
    </rPh>
    <rPh sb="221" eb="223">
      <t>ウンヨウ</t>
    </rPh>
    <rPh sb="228" eb="229">
      <t>オオ</t>
    </rPh>
    <rPh sb="231" eb="233">
      <t>ジッセキ</t>
    </rPh>
    <phoneticPr fontId="1"/>
  </si>
  <si>
    <t>　　全学の教務事務システムにより，本教育プログラムの履修・取得状況を確認することができ、さらに本学が導入している「manaba」の活用により，各受講者の講義出席状況や課題への取り組み状況を把握することができるようになっている．
　このような基盤を踏まえ，単位の修得状況については，開講期である前期終了時に全学情報科目分科会において確認し，問題がある場合には学部と協力の上，次年度以降の改善を図っている．</t>
    <rPh sb="2" eb="4">
      <t>ゼンガク</t>
    </rPh>
    <rPh sb="5" eb="9">
      <t>キョウムジム</t>
    </rPh>
    <rPh sb="17" eb="18">
      <t>ホン</t>
    </rPh>
    <rPh sb="18" eb="20">
      <t>キョウイク</t>
    </rPh>
    <rPh sb="26" eb="28">
      <t>リシュウ</t>
    </rPh>
    <rPh sb="29" eb="33">
      <t>シュトクジョウキョウ</t>
    </rPh>
    <rPh sb="34" eb="36">
      <t>カクニン</t>
    </rPh>
    <rPh sb="47" eb="49">
      <t>ホンガク</t>
    </rPh>
    <rPh sb="50" eb="52">
      <t>ドウニュウ</t>
    </rPh>
    <rPh sb="65" eb="67">
      <t>カツヨウ</t>
    </rPh>
    <rPh sb="71" eb="72">
      <t>カク</t>
    </rPh>
    <rPh sb="72" eb="75">
      <t>ジュコウシャ</t>
    </rPh>
    <rPh sb="76" eb="82">
      <t>コウギシュッセキジョウキョウ</t>
    </rPh>
    <rPh sb="83" eb="85">
      <t>カダイ</t>
    </rPh>
    <rPh sb="87" eb="88">
      <t>ト</t>
    </rPh>
    <rPh sb="89" eb="90">
      <t>ク</t>
    </rPh>
    <rPh sb="91" eb="93">
      <t>ジョウキョウ</t>
    </rPh>
    <rPh sb="94" eb="96">
      <t>ハアク</t>
    </rPh>
    <rPh sb="130" eb="134">
      <t>シュウトクジョウキョウ</t>
    </rPh>
    <rPh sb="140" eb="143">
      <t>カイコウキ</t>
    </rPh>
    <rPh sb="146" eb="151">
      <t>ゼンキシュウリョウジ</t>
    </rPh>
    <rPh sb="152" eb="154">
      <t>ゼンガク</t>
    </rPh>
    <rPh sb="154" eb="161">
      <t>ジョウホウカモクブンカカイ</t>
    </rPh>
    <rPh sb="165" eb="167">
      <t>カクニン</t>
    </rPh>
    <rPh sb="169" eb="171">
      <t>モンダイ</t>
    </rPh>
    <rPh sb="174" eb="176">
      <t>バアイ</t>
    </rPh>
    <rPh sb="178" eb="180">
      <t>ガクブ</t>
    </rPh>
    <rPh sb="181" eb="183">
      <t>キョウリョク</t>
    </rPh>
    <rPh sb="184" eb="185">
      <t>ウエ</t>
    </rPh>
    <rPh sb="186" eb="191">
      <t>ジネンドイコウ</t>
    </rPh>
    <rPh sb="192" eb="194">
      <t>カイゼン</t>
    </rPh>
    <rPh sb="195" eb="196">
      <t>ハカ</t>
    </rPh>
    <phoneticPr fontId="1"/>
  </si>
  <si>
    <t>　「manaba」に備わっているミニテストやアンケート機能等を使うことによって，プログラム授業における内容理解度の把握が容易である．その結果を共通教育センターFD委員会と共有・分析することによって，より高い学習成果が得られる教育プログラムの構築に役立てる体制が構築されている．
　このような体制を踏まえ，授業終了時に，授業で実施したミニテストやレポート等の結果を各クラス担当者が確認し，「数理・データサイエンス・AI教育プログラム推進WG」において集約して分析とプログラムに対する評価を行い，改善に活用している．</t>
    <rPh sb="71" eb="75">
      <t>キョウツウキョウイク</t>
    </rPh>
    <rPh sb="145" eb="147">
      <t>タイセイ</t>
    </rPh>
    <rPh sb="148" eb="149">
      <t>フ</t>
    </rPh>
    <rPh sb="152" eb="154">
      <t>ジュギョウ</t>
    </rPh>
    <rPh sb="159" eb="161">
      <t>ジュギョウ</t>
    </rPh>
    <rPh sb="162" eb="164">
      <t>ジッシ</t>
    </rPh>
    <rPh sb="176" eb="177">
      <t>トウ</t>
    </rPh>
    <rPh sb="178" eb="180">
      <t>ケッカ</t>
    </rPh>
    <rPh sb="181" eb="182">
      <t>カク</t>
    </rPh>
    <rPh sb="185" eb="188">
      <t>タントウシャ</t>
    </rPh>
    <rPh sb="189" eb="191">
      <t>カクニン</t>
    </rPh>
    <rPh sb="224" eb="226">
      <t>シュウヤク</t>
    </rPh>
    <rPh sb="228" eb="230">
      <t>ブンセキ</t>
    </rPh>
    <rPh sb="237" eb="238">
      <t>タイ</t>
    </rPh>
    <rPh sb="249" eb="251">
      <t>カツヨウ</t>
    </rPh>
    <phoneticPr fontId="1"/>
  </si>
  <si>
    <t xml:space="preserve">　本学では教育の質的向上と自己点検・評価のために全学及び各学部等にそれぞれFD（ファカルティ・ディベロップメント）委員会が設置されている．共通教育センターFD委員会では各授業科目の評価、改善の提言を行っており，全学部学生を対象に本教育プログラムの指定科目を含む全科目において授業改善アンケートを実施している．授業改善アンケートの結果を分析することによって全学部学生の理解度の分析を行っている．本プログラムの授業評価の分析は，全学情報科目分科会及び「数理・データサイエンス・AI教育プログラム推進WG」があたり，具体的な授業改善を図る．
</t>
    <rPh sb="1" eb="2">
      <t>ホン</t>
    </rPh>
    <rPh sb="5" eb="7">
      <t>キョウイク</t>
    </rPh>
    <rPh sb="8" eb="10">
      <t>シツテキ</t>
    </rPh>
    <rPh sb="24" eb="26">
      <t>ゼンガク</t>
    </rPh>
    <rPh sb="26" eb="27">
      <t>オヨ</t>
    </rPh>
    <rPh sb="28" eb="32">
      <t>カクガクブトウ</t>
    </rPh>
    <rPh sb="69" eb="73">
      <t>キョウツウキョウイク</t>
    </rPh>
    <rPh sb="264" eb="265">
      <t>ハカ</t>
    </rPh>
    <phoneticPr fontId="1"/>
  </si>
  <si>
    <t>　全学部学生に対して行う授業改善アンケートには授業の満足度をはじめ，授業の分かりやすさや受講生自身が実感する学習成果，さらには自由記述による受講後の感想が調査されている．このアンケートを踏まえた各授業担当教員による授業改善メモが共通教育センターFD委員会の授業アンケート結果の専用ページにおいて公表されており，後輩等他の学生への推奨につながっている．</t>
    <rPh sb="14" eb="16">
      <t>カイゼン</t>
    </rPh>
    <rPh sb="37" eb="38">
      <t>ワ</t>
    </rPh>
    <rPh sb="114" eb="118">
      <t>キョウツウキョウイク</t>
    </rPh>
    <phoneticPr fontId="1"/>
  </si>
  <si>
    <t>　令和2年度から開始された本教育プログラム科目「情報活用」（全学必修）の前身である「情報科学科目」が平成8年度に必修化され，これまでに情報教育に対し多くの実績を積んできている．したがって本学全在学生（6年生まで含む）の情報系科目履修率は100％となっている．また，より高度な統計学の内容を扱う「統計学関連科目」は現在，一部の文系学科を除いて全学部で開講されており理系学部では準必修科目となっている．また平成4年度からは文系学部も含めた全学部・学科の学生が受講可能となっている．
　</t>
    <rPh sb="93" eb="94">
      <t>ホン</t>
    </rPh>
    <phoneticPr fontId="1"/>
  </si>
  <si>
    <t xml:space="preserve">　学部卒業者と大学院修了者に対する調査を卒業・修了時および卒業・修了後に実施しており，卒業・修了生の進路先や活躍状況の把握が可能である．また卒業・修了生の就職先企業に対してもWEBアンケートを行っている．このアンケートには本学出身者に対する「IT知識・専門技能」「情報収集・分析能力」等について問う項目もあり，本学教育プログラム修了者の企業評価を把握できるようになっている．
　これらの結果について「数理・データサイエンス・AI教育プログラム推進WG」において情報を集約し，プログラムの改善に活かすこととしている．
</t>
    <rPh sb="193" eb="195">
      <t>ケッカ</t>
    </rPh>
    <rPh sb="230" eb="232">
      <t>ジョウホウ</t>
    </rPh>
    <rPh sb="233" eb="235">
      <t>シュウヤク</t>
    </rPh>
    <rPh sb="243" eb="245">
      <t>カイゼン</t>
    </rPh>
    <rPh sb="246" eb="247">
      <t>イ</t>
    </rPh>
    <phoneticPr fontId="1"/>
  </si>
  <si>
    <t>　企業に対して行っている本学学部卒業者と大学院修了者に対するアンケートをもとに，「数理・データサイエンス・AI教育プログラム推進WG」が分析を行うことで産業界からの視点を含めた教育プログラムへの改善を行う．また，このWGが主体となり，産業界からの本教育プログラムに対する「率直な意見」を把握するためのワークショップを定期的に催すことで，地域産業界の要請や社会の変化に応える教育プログラムを実現していく．</t>
    <rPh sb="143" eb="145">
      <t>ハアク</t>
    </rPh>
    <phoneticPr fontId="1"/>
  </si>
  <si>
    <t>　授業では実社会における活用事例を多く取り入れている．さらに受講生の世代を反映した事例を取り上げるようにしている．こういった取り組みにより，教育プログラムの受講生に「数理・データサイエンス・ＡＩ」が身近な存在であること，また「数理・データサイエンス・ＡＩ」は，単なる学問の一分野ではなく，広く社会に求められている「実学」でもあるということを実感できるよう授業運営を行っている．
　授業で取り上げる事例については，学生による授業改善アンケートにおいて把握し，その内容について評価を実施している．</t>
    <rPh sb="190" eb="192">
      <t>ジュギョウ</t>
    </rPh>
    <rPh sb="193" eb="194">
      <t>ト</t>
    </rPh>
    <rPh sb="195" eb="196">
      <t>ア</t>
    </rPh>
    <rPh sb="198" eb="200">
      <t>ジレイ</t>
    </rPh>
    <rPh sb="206" eb="208">
      <t>ガクセイ</t>
    </rPh>
    <rPh sb="211" eb="213">
      <t>ジュギョウ</t>
    </rPh>
    <rPh sb="213" eb="215">
      <t>カイゼン</t>
    </rPh>
    <rPh sb="224" eb="226">
      <t>ハアク</t>
    </rPh>
    <rPh sb="230" eb="232">
      <t>ナイヨウ</t>
    </rPh>
    <rPh sb="236" eb="238">
      <t>ヒョウカ</t>
    </rPh>
    <rPh sb="239" eb="241">
      <t>ジッシ</t>
    </rPh>
    <phoneticPr fontId="1"/>
  </si>
  <si>
    <t>　「数理・データサイエンス・AI教育プログラム推進WG」が中心となり，教育プログラム受講生による授業評価を基にした授業改善策の作成に取り組み，高い教育効果を備え，かつ魅力ある情報サイエンス教育プログラムを提供できるように，企画・立案を行う．　鹿児島大学内外の幅広い部署の意見や他大学の数理データサイエンスAI教育プログラムに関する情報を集約し，「分かりやすさ」の観点から授業設計や教材開発を行っていく．</t>
    <rPh sb="168" eb="170">
      <t>シュウヤク</t>
    </rPh>
    <rPh sb="173" eb="174">
      <t>ワ</t>
    </rPh>
    <rPh sb="181" eb="183">
      <t>カンテン</t>
    </rPh>
    <phoneticPr fontId="1"/>
  </si>
  <si>
    <t xml:space="preserve">　本教育プログラム科目としての「情報活用」は，令和2年度からの開設であるが，その前身である「情報活用」の全学必修化は平成28年から実施されており，本学全在学生（６年制課程を含む）の履修率も100％となっている．現在では文系学部・理系学部を問わず，鹿児島大学共通教育課程で身につけることができる数理情報ジェネリックスキル修得科目として定着している．
　さらに，本教育プログラムは，本学工学部から今年度申請の「応用基礎レベル」教育プログラム「数理・データサイエンス・AI 応用基礎力育成プログラム」に対応し，連続的な学習内容を提供するため，連携しながら進められる．また，本学の概算要求で特定分野校として選定された「地方創生に資する応用基礎レベルのAI・数理データサイエンス教育実施/教材開発事業」における専門カリキュラムとも連携していく．
・分かりやすさについて
　クラウド型学習支援システム「manaba」のミニテストやアンケート機能により，受講生の習熟度を測れることから，即座に授業の“わかりやすさ”へ反映させられる．また受講生からの質問等についても，時間と場所に縛られずに教員とのコミュニケーションが可能であり，授業に関する疑問点を残させない仕組みが整っている．さらに「数理・データサイエンス・AI教育プログラム推進ワーキンググループ」による共通ビデオコンテンツも多数用意しており，「manaba」を通じて配布されている．
・学生の習熟度や専門性を踏まえた学習内容について
　教育プログラム科目「情報活用」の授業クラスは各部局の専任教員により行われており，全学の確固たる協力体制の下で取り組まれている．授業では，各部局で必要となるスキルを身に着ける授業回が設けられており，すぐに“役立つ”授業内容となっている．すべての授業クラスは，PC端末室で行われている．1人に1台のPCが割り当てられ，“使いながら学ぶ”体制となっている．また令和3年度より，鹿児島大学とマイクロソフト社の間で包括的契約が結ばれ，学生個人のWindows PC や Mac PC でマイクロソフト社の豊富なアプリケーション群が使用できるようになった．これにより学生が授業で学んだ内容を様々な場面で実践することが可能となった．
・学習意欲が高まる内容について
　授業内容では身近な事例をあげ，受講生の興味を引き出している．情報セキュリティーの回では本学 情報基盤統括センターが学内で確認している事例についてビデオコンテンツで紹介し，「他人事ではない」という実感を受講生に持たせて注意を促している．
・認定事業を活用した教育プログラムコンテンツへのフィードバックについて
本学工学部は令和３年度に文部科学省「数理・データサイエンス・AI 教育の全国展開の推進」事業において，特定分野校（理工農学分野）に指定された．事業内容は「地方創生に資する応用基礎レベルのAI・数理データサイエンス教育実施/教材開発事業」であり，この事業を通して得られる専門的知見とデータを本教育プログラムに落とし込み，リテラシーレベル授業コンテンツの開発に役立てる．
</t>
    <rPh sb="1" eb="2">
      <t>ホン</t>
    </rPh>
    <rPh sb="2" eb="4">
      <t>キョウイク</t>
    </rPh>
    <rPh sb="9" eb="11">
      <t>カモク</t>
    </rPh>
    <rPh sb="16" eb="18">
      <t>ジョウホウ</t>
    </rPh>
    <rPh sb="18" eb="20">
      <t>カツヨウ</t>
    </rPh>
    <rPh sb="23" eb="25">
      <t>レイワ</t>
    </rPh>
    <rPh sb="26" eb="28">
      <t>ネンド</t>
    </rPh>
    <rPh sb="31" eb="33">
      <t>カイセツ</t>
    </rPh>
    <rPh sb="40" eb="42">
      <t>ゼンシン</t>
    </rPh>
    <rPh sb="52" eb="54">
      <t>ゼンガク</t>
    </rPh>
    <rPh sb="54" eb="57">
      <t>ヒッシュウカ</t>
    </rPh>
    <rPh sb="58" eb="60">
      <t>ヘイセイ</t>
    </rPh>
    <rPh sb="65" eb="67">
      <t>ジッシ</t>
    </rPh>
    <rPh sb="73" eb="75">
      <t>ホンガク</t>
    </rPh>
    <rPh sb="86" eb="87">
      <t>フク</t>
    </rPh>
    <rPh sb="105" eb="107">
      <t>ゲンザイ</t>
    </rPh>
    <rPh sb="132" eb="134">
      <t>カテイ</t>
    </rPh>
    <rPh sb="159" eb="161">
      <t>シュウトク</t>
    </rPh>
    <rPh sb="192" eb="195">
      <t>コウガクブ</t>
    </rPh>
    <rPh sb="249" eb="251">
      <t>タイオウ</t>
    </rPh>
    <rPh sb="284" eb="286">
      <t>ホンガク</t>
    </rPh>
    <rPh sb="287" eb="291">
      <t>ガイサンヨウキュウ</t>
    </rPh>
    <rPh sb="292" eb="297">
      <t>トクテイブンヤコウ</t>
    </rPh>
    <rPh sb="300" eb="302">
      <t>センテイ</t>
    </rPh>
    <rPh sb="306" eb="310">
      <t>チホウソウセイ</t>
    </rPh>
    <rPh sb="311" eb="312">
      <t>シ</t>
    </rPh>
    <rPh sb="314" eb="318">
      <t>オウヨウキソ</t>
    </rPh>
    <rPh sb="325" eb="327">
      <t>スウリ</t>
    </rPh>
    <rPh sb="335" eb="337">
      <t>キョウイク</t>
    </rPh>
    <rPh sb="337" eb="339">
      <t>ジッシ</t>
    </rPh>
    <rPh sb="340" eb="344">
      <t>キョウザイカイハツ</t>
    </rPh>
    <rPh sb="344" eb="346">
      <t>ジギョウ</t>
    </rPh>
    <rPh sb="351" eb="353">
      <t>センモン</t>
    </rPh>
    <rPh sb="361" eb="363">
      <t>レンケイ</t>
    </rPh>
    <rPh sb="387" eb="388">
      <t>ガタ</t>
    </rPh>
    <rPh sb="388" eb="390">
      <t>ガクシュウ</t>
    </rPh>
    <rPh sb="416" eb="418">
      <t>キノウ</t>
    </rPh>
    <rPh sb="422" eb="425">
      <t>ジュコウセイ</t>
    </rPh>
    <rPh sb="426" eb="429">
      <t>シュウジュクド</t>
    </rPh>
    <rPh sb="430" eb="431">
      <t>ハカ</t>
    </rPh>
    <rPh sb="453" eb="455">
      <t>ハンエイ</t>
    </rPh>
    <rPh sb="463" eb="466">
      <t>ジュコウセイ</t>
    </rPh>
    <rPh sb="469" eb="471">
      <t>シツモン</t>
    </rPh>
    <rPh sb="471" eb="472">
      <t>トウ</t>
    </rPh>
    <rPh sb="478" eb="480">
      <t>ジカン</t>
    </rPh>
    <rPh sb="481" eb="483">
      <t>バショ</t>
    </rPh>
    <rPh sb="484" eb="485">
      <t>シバ</t>
    </rPh>
    <rPh sb="503" eb="505">
      <t>カノウ</t>
    </rPh>
    <rPh sb="524" eb="526">
      <t>シク</t>
    </rPh>
    <rPh sb="574" eb="576">
      <t>キョウツウ</t>
    </rPh>
    <rPh sb="585" eb="587">
      <t>タスウ</t>
    </rPh>
    <rPh sb="587" eb="589">
      <t>ヨウイ</t>
    </rPh>
    <rPh sb="603" eb="604">
      <t>ツウ</t>
    </rPh>
    <rPh sb="606" eb="608">
      <t>ハイフ</t>
    </rPh>
    <rPh sb="763" eb="765">
      <t>ジュギョウ</t>
    </rPh>
    <rPh sb="772" eb="775">
      <t>タンマツシツ</t>
    </rPh>
    <rPh sb="776" eb="777">
      <t>オコナ</t>
    </rPh>
    <rPh sb="784" eb="785">
      <t>ニン</t>
    </rPh>
    <rPh sb="787" eb="788">
      <t>ダイ</t>
    </rPh>
    <rPh sb="792" eb="793">
      <t>ワ</t>
    </rPh>
    <rPh sb="794" eb="795">
      <t>ア</t>
    </rPh>
    <rPh sb="800" eb="801">
      <t>ツカ</t>
    </rPh>
    <rPh sb="805" eb="806">
      <t>マナ</t>
    </rPh>
    <rPh sb="808" eb="810">
      <t>タイセイ</t>
    </rPh>
    <rPh sb="842" eb="843">
      <t>アイダ</t>
    </rPh>
    <rPh sb="850" eb="851">
      <t>ムス</t>
    </rPh>
    <rPh sb="928" eb="930">
      <t>ナイヨウ</t>
    </rPh>
    <rPh sb="970" eb="972">
      <t>ジュギョウ</t>
    </rPh>
    <rPh sb="972" eb="974">
      <t>ナイヨウ</t>
    </rPh>
    <rPh sb="976" eb="978">
      <t>ミジカ</t>
    </rPh>
    <rPh sb="979" eb="981">
      <t>ジレイ</t>
    </rPh>
    <rPh sb="985" eb="988">
      <t>ジュコウセイ</t>
    </rPh>
    <rPh sb="989" eb="991">
      <t>キョウミ</t>
    </rPh>
    <rPh sb="992" eb="993">
      <t>ヒ</t>
    </rPh>
    <rPh sb="994" eb="995">
      <t>ダ</t>
    </rPh>
    <rPh sb="1010" eb="1011">
      <t>カイ</t>
    </rPh>
    <rPh sb="1013" eb="1014">
      <t>ホン</t>
    </rPh>
    <rPh sb="1016" eb="1020">
      <t>ジョウホウキバン</t>
    </rPh>
    <rPh sb="1020" eb="1022">
      <t>トウカツ</t>
    </rPh>
    <rPh sb="1027" eb="1029">
      <t>ガクナイ</t>
    </rPh>
    <rPh sb="1051" eb="1053">
      <t>ショウカイ</t>
    </rPh>
    <rPh sb="1056" eb="1059">
      <t>タニンゴト</t>
    </rPh>
    <rPh sb="1067" eb="1069">
      <t>ジッカン</t>
    </rPh>
    <rPh sb="1074" eb="1075">
      <t>モ</t>
    </rPh>
    <rPh sb="1090" eb="1092">
      <t>ニンテイ</t>
    </rPh>
    <rPh sb="1092" eb="1094">
      <t>ジギョウ</t>
    </rPh>
    <rPh sb="1095" eb="1097">
      <t>カツヨウ</t>
    </rPh>
    <rPh sb="1099" eb="1101">
      <t>キョウイク</t>
    </rPh>
    <rPh sb="1127" eb="1130">
      <t>コウガクブ</t>
    </rPh>
    <rPh sb="1131" eb="1133">
      <t>レイワ</t>
    </rPh>
    <rPh sb="1134" eb="1136">
      <t>ネンド</t>
    </rPh>
    <rPh sb="1137" eb="1139">
      <t>モンブ</t>
    </rPh>
    <rPh sb="1139" eb="1142">
      <t>カガクショウ</t>
    </rPh>
    <rPh sb="1169" eb="1171">
      <t>ジギョウ</t>
    </rPh>
    <rPh sb="1176" eb="1178">
      <t>トクテイ</t>
    </rPh>
    <rPh sb="1178" eb="1181">
      <t>ブンヤコウ</t>
    </rPh>
    <rPh sb="1190" eb="1192">
      <t>シテイ</t>
    </rPh>
    <rPh sb="1249" eb="1251">
      <t>ジギョウ</t>
    </rPh>
    <rPh sb="1252" eb="1253">
      <t>トオ</t>
    </rPh>
    <rPh sb="1270" eb="1272">
      <t>チケン</t>
    </rPh>
    <rPh sb="1273" eb="1274">
      <t>ホン</t>
    </rPh>
    <rPh sb="1274" eb="1276">
      <t>キョウイク</t>
    </rPh>
    <rPh sb="1282" eb="1283">
      <t>オ</t>
    </rPh>
    <rPh sb="1285" eb="1286">
      <t>コ</t>
    </rPh>
    <rPh sb="1296" eb="1298">
      <t>ジュギョウ</t>
    </rPh>
    <rPh sb="1304" eb="1306">
      <t>カイハツ</t>
    </rPh>
    <rPh sb="1307" eb="1309">
      <t>ヤクダ</t>
    </rPh>
    <phoneticPr fontId="1"/>
  </si>
  <si>
    <t xml:space="preserve">本教育プログラムでは以下のような学習支援体制を整えている．
・学習支援システムの構築について
　本学では，学習支援システムとして「manaba」を全学的に運用している．「manaba」の出席確認機能（「ｒespon」)により教育プログラム受講生の受講・就学状況を把握することができる．また，ミニテストや授業アンケート機能により，理解度・習熟度を確認できる．
個々の受講生は，「manaba」のポートフォリオ機能により，学習計画や提出したレポートをはじめとする学習成果を卒業時まで保持することが可能で，自身の学習における成長を目に見える形で振り返ることができ，学生の学びを促している．学生への「manaba」の利用方法は，教育プログラム科目「情報活用」や各部局の初年次ガイダンスなどで教えている．
　一方，授業担当教員に対しても，「manaba」使用講習会を実施しており，授業への利用アイディアについても提案している．
　さらに，「情報活用」科目では授業担当の教員，及び科目を統括する「全学情報科目分科会」の教員をメンバー（65人）とする「manaba」コースも設定し，授業運営に関わる意見交換の場としても利用している．
・実践的な授業内容におけるTA補助について
　本教育プログラム科目「情報活用」では全37クラスで60名のTAを配置している（令和3年度）．特にコンピュータを実際に操作するような実践的授業回では，TAが担当教員とともに直接的操作指導や質問への回答といった主体的役割を果たしている．
・実践的な学習環境について
　鹿児島大学は令和3年度にマイクロソフト社と包括的契約を結び，学生や教員が費用負担することなく各自のパソコンにマイクロソフト社の豊富なアプリケーションをインストールすることができるようになった．これにより学生は教育プログラムで習得したスキルをプライベートな場でも実践することが可能で，早い段階での技能の定着を支援できる．
・インターネットによる学習環境について
　本教育プログラム科目「情報活用」をはじめとする本学の科目群はクラウド型学習支援システムの活用など，インターネット環境が必須となっている．本学では学内Wi-Fi環境（edurome）の整備が完了している．「情報活用」の運営母体である本学共通教育センターの講義棟では講義室や学生が空き時間などに自主学習を行う学習交流スペース等のWi-Fiカバー率は100％である．
</t>
    <rPh sb="41" eb="43">
      <t>コウチク</t>
    </rPh>
    <rPh sb="49" eb="50">
      <t>ホン</t>
    </rPh>
    <rPh sb="75" eb="77">
      <t>ガクテキ</t>
    </rPh>
    <rPh sb="443" eb="445">
      <t>ゼンガク</t>
    </rPh>
    <rPh sb="512" eb="514">
      <t>ジュギョウ</t>
    </rPh>
    <rPh sb="516" eb="518">
      <t>エンカツ</t>
    </rPh>
    <rPh sb="519" eb="521">
      <t>カツヨウ</t>
    </rPh>
    <rPh sb="522" eb="525">
      <t>ジッセンテキ</t>
    </rPh>
    <rPh sb="526" eb="528">
      <t>ジュギョウ</t>
    </rPh>
    <rPh sb="528" eb="530">
      <t>ナイヨウ</t>
    </rPh>
    <rPh sb="543" eb="545">
      <t>カモク</t>
    </rPh>
    <rPh sb="546" eb="550">
      <t>ジョウホウカツヨウ</t>
    </rPh>
    <rPh sb="553" eb="554">
      <t>ゼン</t>
    </rPh>
    <rPh sb="562" eb="563">
      <t>メイ</t>
    </rPh>
    <rPh sb="568" eb="569">
      <t>ゼン</t>
    </rPh>
    <rPh sb="574" eb="576">
      <t>レイワ</t>
    </rPh>
    <rPh sb="577" eb="579">
      <t>ネンド</t>
    </rPh>
    <rPh sb="583" eb="585">
      <t>ハイチ</t>
    </rPh>
    <rPh sb="590" eb="591">
      <t>トク</t>
    </rPh>
    <rPh sb="601" eb="603">
      <t>ソウサ</t>
    </rPh>
    <rPh sb="610" eb="613">
      <t>ジッセンテキ</t>
    </rPh>
    <rPh sb="613" eb="616">
      <t>ジュギョウカイ</t>
    </rPh>
    <rPh sb="623" eb="625">
      <t>ソウサ</t>
    </rPh>
    <rPh sb="651" eb="653">
      <t>シドウ</t>
    </rPh>
    <rPh sb="653" eb="654">
      <t>オコナ</t>
    </rPh>
    <rPh sb="663" eb="665">
      <t>ジッセン</t>
    </rPh>
    <rPh sb="665" eb="666">
      <t>テキ</t>
    </rPh>
    <rPh sb="686" eb="691">
      <t>カゴシマダイガク</t>
    </rPh>
    <rPh sb="692" eb="694">
      <t>レイワ</t>
    </rPh>
    <rPh sb="701" eb="703">
      <t>キョウイン</t>
    </rPh>
    <rPh sb="714" eb="715">
      <t>ムス</t>
    </rPh>
    <rPh sb="732" eb="734">
      <t>カクジ</t>
    </rPh>
    <rPh sb="738" eb="739">
      <t>シャ</t>
    </rPh>
    <rPh sb="754" eb="756">
      <t>ホウフ</t>
    </rPh>
    <rPh sb="778" eb="780">
      <t>ガクセイ</t>
    </rPh>
    <rPh sb="781" eb="783">
      <t>キョウイク</t>
    </rPh>
    <rPh sb="789" eb="791">
      <t>シュウトク</t>
    </rPh>
    <rPh sb="798" eb="800">
      <t>ジッセン</t>
    </rPh>
    <rPh sb="804" eb="805">
      <t>バ</t>
    </rPh>
    <rPh sb="805" eb="807">
      <t>カノウ</t>
    </rPh>
    <rPh sb="809" eb="810">
      <t>ハヤ</t>
    </rPh>
    <rPh sb="811" eb="813">
      <t>ダンカイ</t>
    </rPh>
    <rPh sb="815" eb="817">
      <t>ギノウ</t>
    </rPh>
    <rPh sb="821" eb="823">
      <t>シエン</t>
    </rPh>
    <rPh sb="850" eb="851">
      <t>ホン</t>
    </rPh>
    <rPh sb="851" eb="853">
      <t>キョウイク</t>
    </rPh>
    <rPh sb="858" eb="860">
      <t>カモク</t>
    </rPh>
    <rPh sb="861" eb="865">
      <t>ジョウホウカツヨウ</t>
    </rPh>
    <rPh sb="873" eb="875">
      <t>ホンガク</t>
    </rPh>
    <rPh sb="894" eb="896">
      <t>カツヨウ</t>
    </rPh>
    <rPh sb="906" eb="908">
      <t>カンキョウ</t>
    </rPh>
    <rPh sb="909" eb="911">
      <t>ヒッス</t>
    </rPh>
    <rPh sb="922" eb="924">
      <t>ハイフ</t>
    </rPh>
    <rPh sb="926" eb="930">
      <t>ガクシュウカンキョウ</t>
    </rPh>
    <rPh sb="935" eb="937">
      <t>シエン</t>
    </rPh>
    <rPh sb="937" eb="938">
      <t>シツ</t>
    </rPh>
    <rPh sb="940" eb="942">
      <t>ガクナイ</t>
    </rPh>
    <rPh sb="947" eb="949">
      <t>カンキョウ</t>
    </rPh>
    <rPh sb="951" eb="953">
      <t>セイビ</t>
    </rPh>
    <rPh sb="954" eb="956">
      <t>カンリョウ</t>
    </rPh>
    <rPh sb="961" eb="962">
      <t>ホン</t>
    </rPh>
    <rPh sb="962" eb="964">
      <t>キョウイク</t>
    </rPh>
    <rPh sb="965" eb="966">
      <t>ホン</t>
    </rPh>
    <rPh sb="967" eb="971">
      <t>ジョウホウカツヨウ</t>
    </rPh>
    <rPh sb="973" eb="975">
      <t>ウンエイ</t>
    </rPh>
    <rPh sb="975" eb="977">
      <t>ボタイ</t>
    </rPh>
    <rPh sb="980" eb="985">
      <t>カゴシマダイガク</t>
    </rPh>
    <rPh sb="985" eb="987">
      <t>キョウツウ</t>
    </rPh>
    <rPh sb="987" eb="989">
      <t>キョウイク</t>
    </rPh>
    <rPh sb="994" eb="997">
      <t>コウギトウ</t>
    </rPh>
    <rPh sb="1003" eb="1005">
      <t>ガクセイ</t>
    </rPh>
    <rPh sb="1006" eb="1007">
      <t>ア</t>
    </rPh>
    <rPh sb="1008" eb="1010">
      <t>ジカン</t>
    </rPh>
    <rPh sb="1013" eb="1015">
      <t>ジシュ</t>
    </rPh>
    <rPh sb="1015" eb="1017">
      <t>ガクシュウ</t>
    </rPh>
    <rPh sb="1018" eb="1019">
      <t>オコナ</t>
    </rPh>
    <rPh sb="1022" eb="1024">
      <t>コウリュウジュギョウタイエンカツリヨウ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</si>
</sst>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4">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b/>
      <sz val="1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3" fillId="0" borderId="14" xfId="0" applyFont="1" applyBorder="1" applyAlignment="1">
      <alignment vertical="center" shrinkToFit="1"/>
    </xf>
    <xf numFmtId="0" fontId="3" fillId="0" borderId="23" xfId="0" applyFont="1" applyBorder="1" applyAlignment="1">
      <alignmen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0" fontId="5" fillId="0" borderId="23" xfId="0" applyFont="1" applyBorder="1" applyAlignment="1">
      <alignment horizontal="left" vertical="center" wrapText="1"/>
    </xf>
    <xf numFmtId="0" fontId="3" fillId="0" borderId="34" xfId="0" applyFont="1" applyBorder="1">
      <alignment vertical="center"/>
    </xf>
    <xf numFmtId="0" fontId="3" fillId="0" borderId="33" xfId="0" applyFont="1" applyBorder="1">
      <alignment vertical="center"/>
    </xf>
    <xf numFmtId="49" fontId="18" fillId="0" borderId="33" xfId="0" applyNumberFormat="1" applyFont="1" applyFill="1" applyBorder="1" applyAlignment="1">
      <alignment horizontal="center" vertical="center"/>
    </xf>
    <xf numFmtId="49" fontId="18" fillId="0" borderId="50" xfId="0" applyNumberFormat="1" applyFont="1" applyFill="1" applyBorder="1" applyAlignment="1">
      <alignment horizontal="center" vertical="center"/>
    </xf>
    <xf numFmtId="49" fontId="18" fillId="0" borderId="51" xfId="0" applyNumberFormat="1" applyFont="1" applyFill="1" applyBorder="1" applyAlignment="1">
      <alignment horizontal="center" vertical="center"/>
    </xf>
    <xf numFmtId="0" fontId="8" fillId="0" borderId="0" xfId="0" applyFont="1" applyBorder="1" applyAlignment="1">
      <alignment vertical="center" shrinkToFit="1"/>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6" xfId="0" applyFont="1" applyFill="1" applyBorder="1" applyAlignment="1">
      <alignment horizontal="left" vertical="center" wrapText="1" shrinkToFit="1"/>
    </xf>
    <xf numFmtId="0" fontId="8" fillId="0" borderId="6" xfId="0" applyFont="1" applyFill="1" applyBorder="1" applyAlignment="1">
      <alignment horizontal="left" vertical="center" shrinkToFit="1"/>
    </xf>
    <xf numFmtId="0" fontId="8" fillId="0" borderId="12" xfId="0" applyFont="1" applyFill="1" applyBorder="1" applyAlignment="1">
      <alignment horizontal="left" vertical="center" shrinkToFit="1"/>
    </xf>
    <xf numFmtId="0" fontId="8" fillId="0" borderId="41" xfId="0" applyFont="1" applyBorder="1" applyAlignment="1">
      <alignment horizontal="left" vertical="center" wrapText="1" shrinkToFit="1"/>
    </xf>
    <xf numFmtId="0" fontId="8" fillId="0" borderId="39" xfId="0" applyFont="1" applyFill="1" applyBorder="1" applyAlignment="1">
      <alignment horizontal="left" vertical="center" wrapText="1"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Fill="1" applyBorder="1" applyAlignment="1">
      <alignment vertical="center" wrapText="1" shrinkToFit="1"/>
    </xf>
    <xf numFmtId="0" fontId="8" fillId="0" borderId="20" xfId="0" applyFont="1" applyFill="1" applyBorder="1" applyAlignment="1">
      <alignment vertical="center" shrinkToFit="1"/>
    </xf>
    <xf numFmtId="0" fontId="8" fillId="0" borderId="18" xfId="0" applyFont="1" applyFill="1" applyBorder="1" applyAlignment="1">
      <alignment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20" fillId="0" borderId="32" xfId="0" applyFont="1" applyBorder="1" applyAlignment="1">
      <alignment vertical="center" wrapText="1"/>
    </xf>
    <xf numFmtId="0" fontId="8" fillId="0" borderId="39" xfId="0" applyFont="1" applyFill="1" applyBorder="1" applyAlignment="1">
      <alignment vertical="center" wrapText="1" shrinkToFit="1"/>
    </xf>
    <xf numFmtId="0" fontId="8" fillId="0" borderId="39" xfId="0" applyFont="1" applyFill="1" applyBorder="1" applyAlignment="1">
      <alignment vertical="center" shrinkToFit="1"/>
    </xf>
    <xf numFmtId="0" fontId="8" fillId="0" borderId="38" xfId="0" applyFont="1" applyFill="1" applyBorder="1" applyAlignment="1">
      <alignment vertical="center" shrinkToFit="1"/>
    </xf>
    <xf numFmtId="0" fontId="8" fillId="0" borderId="6" xfId="0" applyFont="1" applyFill="1" applyBorder="1" applyAlignment="1">
      <alignment vertical="center" wrapText="1" shrinkToFit="1"/>
    </xf>
    <xf numFmtId="0" fontId="8" fillId="0" borderId="6" xfId="0" applyFont="1" applyFill="1" applyBorder="1" applyAlignment="1">
      <alignment vertical="center" shrinkToFit="1"/>
    </xf>
    <xf numFmtId="0" fontId="8" fillId="0" borderId="12" xfId="0" applyFont="1" applyFill="1" applyBorder="1" applyAlignment="1">
      <alignment vertical="center" shrinkToFi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9"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22" fillId="0" borderId="7" xfId="0" applyFont="1" applyBorder="1" applyAlignment="1">
      <alignment vertical="top" wrapText="1" shrinkToFit="1"/>
    </xf>
    <xf numFmtId="0" fontId="22" fillId="0" borderId="8" xfId="0" applyFont="1" applyBorder="1" applyAlignment="1">
      <alignment vertical="top" wrapText="1" shrinkToFit="1"/>
    </xf>
    <xf numFmtId="0" fontId="22" fillId="0" borderId="8" xfId="0" applyFont="1" applyBorder="1" applyAlignment="1">
      <alignment vertical="top" shrinkToFit="1"/>
    </xf>
    <xf numFmtId="0" fontId="22" fillId="0" borderId="9" xfId="0" applyFont="1" applyBorder="1" applyAlignment="1">
      <alignment vertical="top" shrinkToFit="1"/>
    </xf>
    <xf numFmtId="0" fontId="22" fillId="0" borderId="5" xfId="0" applyFont="1" applyBorder="1" applyAlignment="1">
      <alignment vertical="top" shrinkToFit="1"/>
    </xf>
    <xf numFmtId="0" fontId="22" fillId="0" borderId="0" xfId="0" applyFont="1" applyAlignment="1">
      <alignment vertical="top" shrinkToFit="1"/>
    </xf>
    <xf numFmtId="0" fontId="22" fillId="0" borderId="10" xfId="0" applyFont="1" applyBorder="1" applyAlignment="1">
      <alignment vertical="top" shrinkToFit="1"/>
    </xf>
    <xf numFmtId="0" fontId="22" fillId="0" borderId="11" xfId="0" applyFont="1" applyBorder="1" applyAlignment="1">
      <alignment vertical="top" shrinkToFit="1"/>
    </xf>
    <xf numFmtId="0" fontId="22" fillId="0" borderId="6" xfId="0" applyFont="1" applyBorder="1" applyAlignment="1">
      <alignment vertical="top" shrinkToFit="1"/>
    </xf>
    <xf numFmtId="0" fontId="22"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edu@kuas.kagoshima-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agoshima-u.ac.jp/educenter/datascience.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agoshima-u.ac.jp/educenter/datascience.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J34" sqref="J34:N34"/>
    </sheetView>
  </sheetViews>
  <sheetFormatPr defaultColWidth="9" defaultRowHeight="18.75" customHeight="1"/>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c r="M1" s="150" t="s">
        <v>26</v>
      </c>
      <c r="N1" s="150"/>
    </row>
    <row r="2" spans="1:15" ht="24" customHeight="1">
      <c r="A2" s="154" t="s">
        <v>83</v>
      </c>
      <c r="B2" s="154"/>
      <c r="C2" s="154"/>
      <c r="D2" s="154"/>
      <c r="E2" s="154"/>
      <c r="F2" s="154"/>
      <c r="G2" s="154"/>
      <c r="H2" s="154"/>
      <c r="I2" s="154"/>
      <c r="J2" s="154"/>
      <c r="K2" s="154"/>
      <c r="L2" s="154"/>
      <c r="M2" s="154"/>
      <c r="N2" s="154"/>
    </row>
    <row r="3" spans="1:15" ht="24" customHeight="1"/>
    <row r="4" spans="1:15" ht="24" customHeight="1">
      <c r="A4" s="14" t="s">
        <v>6</v>
      </c>
      <c r="B4" s="15" t="s">
        <v>17</v>
      </c>
      <c r="C4" s="142" t="s">
        <v>148</v>
      </c>
      <c r="D4" s="143"/>
      <c r="E4" s="143"/>
      <c r="F4" s="143"/>
      <c r="G4" s="143"/>
      <c r="H4" s="143"/>
      <c r="I4" s="143"/>
      <c r="J4" s="143"/>
      <c r="K4" s="143"/>
      <c r="L4" s="143"/>
      <c r="M4" s="143"/>
      <c r="N4" s="149"/>
      <c r="O4" s="31" t="str">
        <f>IF(C4="","入力してください","")</f>
        <v/>
      </c>
    </row>
    <row r="5" spans="1:15" ht="7.5" customHeight="1">
      <c r="B5" s="15"/>
      <c r="C5" s="15"/>
      <c r="D5" s="15"/>
      <c r="E5" s="16"/>
      <c r="F5" s="35"/>
      <c r="G5" s="35"/>
      <c r="H5" s="35"/>
      <c r="I5" s="35"/>
      <c r="J5" s="35"/>
      <c r="K5" s="35"/>
      <c r="L5" s="35"/>
      <c r="M5" s="35"/>
      <c r="N5" s="35"/>
    </row>
    <row r="6" spans="1:15" ht="24" customHeight="1">
      <c r="A6" s="14" t="s">
        <v>48</v>
      </c>
      <c r="B6" s="15" t="s">
        <v>49</v>
      </c>
      <c r="C6" s="15"/>
      <c r="D6" s="142" t="s">
        <v>149</v>
      </c>
      <c r="E6" s="143"/>
      <c r="F6" s="143"/>
      <c r="G6" s="143"/>
      <c r="H6" s="149"/>
      <c r="I6" s="17" t="s">
        <v>86</v>
      </c>
      <c r="J6" s="35" t="s">
        <v>87</v>
      </c>
      <c r="K6" s="142" t="s">
        <v>150</v>
      </c>
      <c r="L6" s="143"/>
      <c r="M6" s="143"/>
      <c r="N6" s="149"/>
      <c r="O6" s="31" t="str">
        <f>IF(D6="","入力してください","")</f>
        <v/>
      </c>
    </row>
    <row r="7" spans="1:15" ht="7.5" customHeight="1">
      <c r="B7" s="15"/>
      <c r="C7" s="15"/>
      <c r="D7" s="15"/>
      <c r="E7" s="16"/>
      <c r="F7" s="35"/>
      <c r="G7" s="35"/>
      <c r="H7" s="35"/>
      <c r="I7" s="35"/>
      <c r="J7" s="35"/>
      <c r="K7" s="35"/>
      <c r="L7" s="35"/>
      <c r="M7" s="35"/>
      <c r="N7" s="35"/>
    </row>
    <row r="8" spans="1:15" ht="24" customHeight="1">
      <c r="A8" s="14" t="s">
        <v>14</v>
      </c>
      <c r="B8" s="15" t="s">
        <v>45</v>
      </c>
      <c r="C8" s="142" t="s">
        <v>151</v>
      </c>
      <c r="D8" s="143"/>
      <c r="E8" s="143"/>
      <c r="F8" s="143"/>
      <c r="G8" s="143"/>
      <c r="H8" s="143"/>
      <c r="I8" s="143"/>
      <c r="J8" s="143"/>
      <c r="K8" s="143"/>
      <c r="L8" s="143"/>
      <c r="M8" s="143"/>
      <c r="N8" s="149"/>
      <c r="O8" s="31" t="str">
        <f>IF(C8="","入力してください","")</f>
        <v/>
      </c>
    </row>
    <row r="9" spans="1:15" ht="7.5" customHeight="1">
      <c r="B9" s="15"/>
      <c r="C9" s="15"/>
      <c r="D9" s="15"/>
      <c r="E9" s="16"/>
      <c r="F9" s="35"/>
      <c r="G9" s="35"/>
      <c r="H9" s="35"/>
      <c r="I9" s="35"/>
      <c r="J9" s="35"/>
      <c r="K9" s="35"/>
      <c r="L9" s="35"/>
      <c r="M9" s="35"/>
      <c r="N9" s="35"/>
    </row>
    <row r="10" spans="1:15" ht="24" customHeight="1">
      <c r="A10" s="14" t="s">
        <v>12</v>
      </c>
      <c r="B10" s="15" t="s">
        <v>85</v>
      </c>
      <c r="C10" s="15"/>
      <c r="D10" s="15"/>
      <c r="E10" s="142" t="s">
        <v>161</v>
      </c>
      <c r="F10" s="143"/>
      <c r="G10" s="143"/>
      <c r="H10" s="143"/>
      <c r="I10" s="143"/>
      <c r="J10" s="143"/>
      <c r="K10" s="143"/>
      <c r="L10" s="143"/>
      <c r="M10" s="143"/>
      <c r="N10" s="149"/>
      <c r="O10" s="31" t="str">
        <f>IF(E10="","入力してください","")</f>
        <v/>
      </c>
    </row>
    <row r="11" spans="1:15" ht="7.5" customHeight="1">
      <c r="B11" s="16"/>
      <c r="C11" s="16"/>
      <c r="D11" s="16"/>
      <c r="E11" s="16"/>
      <c r="F11" s="35"/>
      <c r="G11" s="35"/>
      <c r="H11" s="35"/>
      <c r="I11" s="35"/>
      <c r="J11" s="35"/>
      <c r="K11" s="35"/>
      <c r="L11" s="35"/>
      <c r="M11" s="35"/>
      <c r="N11" s="35"/>
    </row>
    <row r="12" spans="1:15" ht="24" customHeight="1">
      <c r="A12" s="14" t="s">
        <v>58</v>
      </c>
      <c r="B12" s="16" t="s">
        <v>59</v>
      </c>
      <c r="C12" s="16"/>
      <c r="D12" s="16"/>
      <c r="E12" s="155" t="s">
        <v>188</v>
      </c>
      <c r="F12" s="156"/>
      <c r="G12" s="17" t="s">
        <v>96</v>
      </c>
      <c r="H12" s="14" t="s">
        <v>97</v>
      </c>
      <c r="N12" s="114" t="s">
        <v>152</v>
      </c>
      <c r="O12" s="31" t="str">
        <f>IF(E12="","入力してください","")</f>
        <v/>
      </c>
    </row>
    <row r="13" spans="1:15" ht="7.5" customHeight="1">
      <c r="B13" s="16"/>
      <c r="C13" s="16"/>
      <c r="D13" s="16"/>
      <c r="E13" s="16"/>
      <c r="F13" s="35"/>
      <c r="G13" s="35"/>
      <c r="H13" s="35"/>
      <c r="I13" s="35"/>
      <c r="J13" s="35"/>
      <c r="K13" s="35"/>
      <c r="L13" s="35"/>
      <c r="M13" s="35"/>
      <c r="N13" s="35"/>
    </row>
    <row r="14" spans="1:15" ht="24" customHeight="1">
      <c r="A14" s="14" t="s">
        <v>53</v>
      </c>
      <c r="B14" s="14" t="s">
        <v>0</v>
      </c>
      <c r="C14" s="151" t="s">
        <v>5</v>
      </c>
      <c r="D14" s="152"/>
      <c r="E14" s="146">
        <v>1102</v>
      </c>
      <c r="F14" s="147"/>
      <c r="G14" s="18" t="s">
        <v>8</v>
      </c>
      <c r="I14" s="151" t="s">
        <v>9</v>
      </c>
      <c r="J14" s="152"/>
      <c r="K14" s="146">
        <v>494</v>
      </c>
      <c r="L14" s="153"/>
      <c r="M14" s="147"/>
      <c r="N14" s="19" t="s">
        <v>8</v>
      </c>
      <c r="O14" s="31" t="str">
        <f>IF(OR(E14="",K14=""),"入力してください","")</f>
        <v/>
      </c>
    </row>
    <row r="15" spans="1:15" ht="7.5" customHeight="1">
      <c r="F15" s="20"/>
      <c r="G15" s="20"/>
      <c r="H15" s="20"/>
      <c r="I15" s="20"/>
      <c r="J15" s="20"/>
      <c r="K15" s="20"/>
      <c r="L15" s="20"/>
      <c r="M15" s="19"/>
      <c r="N15" s="19"/>
    </row>
    <row r="16" spans="1:15" ht="24" customHeight="1">
      <c r="A16" s="14" t="s">
        <v>60</v>
      </c>
      <c r="B16" s="14" t="s">
        <v>69</v>
      </c>
      <c r="F16" s="20"/>
      <c r="G16" s="20"/>
      <c r="H16" s="20"/>
      <c r="I16" s="20"/>
      <c r="J16" s="20"/>
      <c r="K16" s="134">
        <v>56</v>
      </c>
      <c r="L16" s="135"/>
      <c r="M16" s="136"/>
      <c r="N16" s="19" t="s">
        <v>51</v>
      </c>
      <c r="O16" s="31" t="str">
        <f>IF(K16="","入力してください","")</f>
        <v/>
      </c>
    </row>
    <row r="17" spans="1:15" ht="7.5" customHeight="1">
      <c r="F17" s="20"/>
      <c r="G17" s="20"/>
      <c r="H17" s="20"/>
      <c r="I17" s="20"/>
      <c r="J17" s="20"/>
      <c r="K17" s="20"/>
      <c r="L17" s="20"/>
      <c r="M17" s="19"/>
      <c r="N17" s="19"/>
    </row>
    <row r="18" spans="1:15" ht="24" customHeight="1">
      <c r="A18" s="14" t="s">
        <v>25</v>
      </c>
      <c r="B18" s="14" t="s">
        <v>77</v>
      </c>
      <c r="E18" s="146">
        <v>1883</v>
      </c>
      <c r="F18" s="147"/>
      <c r="G18" s="21" t="s">
        <v>22</v>
      </c>
      <c r="H18" s="20"/>
      <c r="K18" s="148"/>
      <c r="L18" s="148"/>
      <c r="M18" s="148"/>
      <c r="N18" s="148"/>
      <c r="O18" s="31" t="str">
        <f>IF(E18="","入力してください","")</f>
        <v/>
      </c>
    </row>
    <row r="19" spans="1:15" ht="7.5" customHeight="1">
      <c r="E19" s="10"/>
      <c r="F19" s="20"/>
      <c r="G19" s="20"/>
      <c r="L19" s="34"/>
      <c r="M19" s="34"/>
      <c r="N19" s="22"/>
    </row>
    <row r="20" spans="1:15" ht="24" customHeight="1">
      <c r="A20" s="14" t="s">
        <v>76</v>
      </c>
      <c r="B20" s="14" t="s">
        <v>78</v>
      </c>
      <c r="E20" s="10"/>
      <c r="F20" s="20"/>
      <c r="G20" s="20"/>
      <c r="H20" s="14" t="s">
        <v>52</v>
      </c>
      <c r="J20" s="137">
        <v>8655</v>
      </c>
      <c r="K20" s="138"/>
      <c r="L20" s="139"/>
      <c r="M20" s="34" t="s">
        <v>51</v>
      </c>
      <c r="N20" s="22"/>
      <c r="O20" s="31" t="str">
        <f>IF(J20="","入力してください","")</f>
        <v/>
      </c>
    </row>
    <row r="21" spans="1:15" ht="7.5" customHeight="1">
      <c r="E21" s="10"/>
      <c r="F21" s="20"/>
      <c r="G21" s="20"/>
      <c r="L21" s="34"/>
      <c r="M21" s="34"/>
      <c r="N21" s="22"/>
    </row>
    <row r="22" spans="1:15" ht="24" customHeight="1">
      <c r="B22" s="29" t="s">
        <v>18</v>
      </c>
      <c r="C22" s="146">
        <v>2000</v>
      </c>
      <c r="D22" s="147"/>
      <c r="E22" s="10" t="s">
        <v>23</v>
      </c>
      <c r="F22" s="20"/>
      <c r="G22" s="140" t="s">
        <v>19</v>
      </c>
      <c r="H22" s="140"/>
      <c r="I22" s="146">
        <v>1994</v>
      </c>
      <c r="J22" s="147"/>
      <c r="K22" s="17" t="s">
        <v>23</v>
      </c>
      <c r="M22" s="34"/>
      <c r="N22" s="22"/>
    </row>
    <row r="23" spans="1:15" ht="7.5" customHeight="1">
      <c r="B23" s="29"/>
      <c r="C23" s="11"/>
      <c r="D23" s="11"/>
      <c r="E23" s="10"/>
      <c r="F23" s="20"/>
      <c r="G23" s="34"/>
      <c r="H23" s="34"/>
      <c r="I23" s="11"/>
      <c r="J23" s="11"/>
      <c r="K23" s="17"/>
      <c r="M23" s="34"/>
      <c r="N23" s="22"/>
    </row>
    <row r="24" spans="1:15" ht="24" customHeight="1">
      <c r="B24" s="29" t="s">
        <v>20</v>
      </c>
      <c r="C24" s="146">
        <v>2024</v>
      </c>
      <c r="D24" s="147"/>
      <c r="E24" s="10" t="s">
        <v>23</v>
      </c>
      <c r="F24" s="20"/>
      <c r="G24" s="140" t="s">
        <v>21</v>
      </c>
      <c r="H24" s="140"/>
      <c r="I24" s="146">
        <v>2240</v>
      </c>
      <c r="J24" s="147"/>
      <c r="K24" s="17" t="s">
        <v>23</v>
      </c>
      <c r="M24" s="34"/>
      <c r="N24" s="22"/>
    </row>
    <row r="25" spans="1:15" ht="7.5" customHeight="1">
      <c r="B25" s="29"/>
      <c r="C25" s="11"/>
      <c r="D25" s="11"/>
      <c r="E25" s="10"/>
      <c r="F25" s="20"/>
      <c r="G25" s="34"/>
      <c r="H25" s="34"/>
      <c r="I25" s="11"/>
      <c r="J25" s="11"/>
      <c r="K25" s="17"/>
      <c r="M25" s="34"/>
      <c r="N25" s="22"/>
    </row>
    <row r="26" spans="1:15" ht="24" customHeight="1">
      <c r="B26" s="29" t="s">
        <v>46</v>
      </c>
      <c r="C26" s="146">
        <v>185</v>
      </c>
      <c r="D26" s="147"/>
      <c r="E26" s="10" t="s">
        <v>8</v>
      </c>
      <c r="F26" s="20"/>
      <c r="G26" s="140" t="s">
        <v>47</v>
      </c>
      <c r="H26" s="140"/>
      <c r="I26" s="146">
        <v>212</v>
      </c>
      <c r="J26" s="147"/>
      <c r="K26" s="17" t="s">
        <v>8</v>
      </c>
      <c r="M26" s="34"/>
      <c r="N26" s="22"/>
    </row>
    <row r="27" spans="1:15" ht="7.5" customHeight="1">
      <c r="F27" s="20"/>
      <c r="G27" s="20"/>
      <c r="M27" s="23"/>
      <c r="N27" s="23"/>
    </row>
    <row r="28" spans="1:15" ht="24" customHeight="1">
      <c r="A28" s="14" t="s">
        <v>50</v>
      </c>
      <c r="B28" s="15" t="s">
        <v>75</v>
      </c>
      <c r="C28" s="15"/>
      <c r="D28" s="15"/>
      <c r="E28" s="15"/>
      <c r="F28" s="17"/>
      <c r="G28" s="35"/>
      <c r="H28" s="35"/>
      <c r="I28" s="35"/>
      <c r="J28" s="24"/>
      <c r="K28" s="24"/>
      <c r="L28" s="24"/>
      <c r="M28" s="24"/>
      <c r="N28" s="24"/>
    </row>
    <row r="29" spans="1:15" s="14" customFormat="1" ht="24" customHeight="1">
      <c r="B29" s="141" t="s">
        <v>74</v>
      </c>
      <c r="C29" s="141"/>
      <c r="D29" s="142" t="s">
        <v>153</v>
      </c>
      <c r="E29" s="143"/>
      <c r="F29" s="143"/>
      <c r="G29" s="144" t="s">
        <v>24</v>
      </c>
      <c r="H29" s="141"/>
      <c r="I29" s="145"/>
      <c r="J29" s="142" t="s">
        <v>154</v>
      </c>
      <c r="K29" s="143"/>
      <c r="L29" s="143"/>
      <c r="M29" s="143"/>
      <c r="N29" s="149"/>
      <c r="O29" s="31" t="str">
        <f>IF(OR(D29="",J29=""),"入力してください","")</f>
        <v/>
      </c>
    </row>
    <row r="30" spans="1:15" ht="7.5" customHeight="1">
      <c r="F30" s="20"/>
      <c r="G30" s="20"/>
      <c r="M30" s="23"/>
      <c r="N30" s="23"/>
    </row>
    <row r="31" spans="1:15" ht="24" customHeight="1">
      <c r="A31" s="14" t="s">
        <v>54</v>
      </c>
      <c r="B31" s="15" t="s">
        <v>80</v>
      </c>
      <c r="C31" s="15"/>
      <c r="D31" s="15"/>
      <c r="E31" s="15"/>
      <c r="F31" s="17"/>
      <c r="G31" s="24"/>
      <c r="H31" s="24"/>
      <c r="I31" s="24"/>
      <c r="J31" s="24"/>
      <c r="K31" s="24"/>
      <c r="L31" s="24"/>
      <c r="M31" s="24"/>
      <c r="N31" s="24"/>
    </row>
    <row r="32" spans="1:15" ht="24" customHeight="1">
      <c r="B32" s="142" t="s">
        <v>197</v>
      </c>
      <c r="C32" s="143"/>
      <c r="D32" s="143"/>
      <c r="E32" s="143"/>
      <c r="F32" s="143"/>
      <c r="G32" s="143"/>
      <c r="H32" s="143"/>
      <c r="I32" s="143"/>
      <c r="J32" s="143"/>
      <c r="K32" s="143"/>
      <c r="L32" s="143"/>
      <c r="M32" s="143"/>
      <c r="N32" s="149"/>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41" t="s">
        <v>74</v>
      </c>
      <c r="C34" s="141"/>
      <c r="D34" s="142" t="s">
        <v>155</v>
      </c>
      <c r="E34" s="143"/>
      <c r="F34" s="143"/>
      <c r="G34" s="144" t="s">
        <v>55</v>
      </c>
      <c r="H34" s="141"/>
      <c r="I34" s="145"/>
      <c r="J34" s="142" t="s">
        <v>163</v>
      </c>
      <c r="K34" s="143"/>
      <c r="L34" s="143"/>
      <c r="M34" s="143"/>
      <c r="N34" s="149"/>
      <c r="O34" s="31" t="str">
        <f>IF(OR(D34="",J34=""),"入力してください","")</f>
        <v/>
      </c>
    </row>
    <row r="35" spans="1:15" ht="7.5" customHeight="1">
      <c r="F35" s="131"/>
      <c r="G35" s="131"/>
      <c r="H35" s="131"/>
      <c r="I35" s="131"/>
      <c r="J35" s="131"/>
      <c r="K35" s="131"/>
      <c r="L35" s="131"/>
      <c r="M35" s="131"/>
      <c r="N35" s="131"/>
    </row>
    <row r="36" spans="1:15" ht="24" customHeight="1">
      <c r="A36" s="14" t="s">
        <v>61</v>
      </c>
      <c r="B36" s="14" t="s">
        <v>81</v>
      </c>
      <c r="M36" s="23"/>
      <c r="N36" s="23"/>
    </row>
    <row r="37" spans="1:15" ht="24" customHeight="1">
      <c r="B37" s="142" t="s">
        <v>198</v>
      </c>
      <c r="C37" s="143"/>
      <c r="D37" s="143"/>
      <c r="E37" s="143"/>
      <c r="F37" s="143"/>
      <c r="G37" s="143"/>
      <c r="H37" s="143"/>
      <c r="I37" s="143"/>
      <c r="J37" s="143"/>
      <c r="K37" s="143"/>
      <c r="L37" s="143"/>
      <c r="M37" s="143"/>
      <c r="N37" s="149"/>
      <c r="O37" s="31" t="str">
        <f>IF(B37="","入力してください","")</f>
        <v/>
      </c>
    </row>
    <row r="38" spans="1:15" ht="7.5" customHeight="1">
      <c r="F38" s="35"/>
      <c r="G38" s="35"/>
      <c r="H38" s="35"/>
      <c r="I38" s="35"/>
      <c r="J38" s="35"/>
      <c r="K38" s="35"/>
      <c r="L38" s="35"/>
      <c r="M38" s="35"/>
      <c r="N38" s="35"/>
    </row>
    <row r="39" spans="1:15" s="14" customFormat="1" ht="24" customHeight="1">
      <c r="B39" s="141" t="s">
        <v>74</v>
      </c>
      <c r="C39" s="141"/>
      <c r="D39" s="142" t="s">
        <v>155</v>
      </c>
      <c r="E39" s="143"/>
      <c r="F39" s="143"/>
      <c r="G39" s="144" t="s">
        <v>55</v>
      </c>
      <c r="H39" s="141"/>
      <c r="I39" s="145"/>
      <c r="J39" s="142" t="s">
        <v>163</v>
      </c>
      <c r="K39" s="143"/>
      <c r="L39" s="143"/>
      <c r="M39" s="143"/>
      <c r="N39" s="149"/>
      <c r="O39" s="31" t="str">
        <f>IF(OR(D39="",J39=""),"入力してください","")</f>
        <v/>
      </c>
    </row>
    <row r="40" spans="1:15" ht="7.5" customHeight="1">
      <c r="F40" s="35"/>
      <c r="G40" s="35"/>
      <c r="H40" s="35"/>
      <c r="I40" s="35"/>
      <c r="J40" s="35"/>
      <c r="K40" s="35"/>
      <c r="L40" s="35"/>
      <c r="M40" s="35"/>
      <c r="N40" s="35"/>
    </row>
    <row r="41" spans="1:15" ht="24" customHeight="1">
      <c r="A41" s="14" t="s">
        <v>88</v>
      </c>
      <c r="B41" s="71" t="s">
        <v>68</v>
      </c>
      <c r="E41" s="72"/>
      <c r="F41" s="142" t="s">
        <v>156</v>
      </c>
      <c r="G41" s="143"/>
      <c r="H41" s="143"/>
      <c r="I41" s="143"/>
      <c r="J41" s="143"/>
      <c r="K41" s="143"/>
      <c r="L41" s="143"/>
      <c r="M41" s="143"/>
      <c r="N41" s="149"/>
      <c r="O41" s="31" t="str">
        <f>IF(F41="","入力してください","")</f>
        <v/>
      </c>
    </row>
    <row r="42" spans="1:15" ht="7.5" customHeight="1">
      <c r="F42" s="35"/>
      <c r="G42" s="35"/>
      <c r="H42" s="35"/>
      <c r="I42" s="35"/>
      <c r="J42" s="35"/>
      <c r="K42" s="35"/>
      <c r="L42" s="35"/>
      <c r="M42" s="35"/>
      <c r="N42" s="35"/>
    </row>
    <row r="43" spans="1:15" ht="24" customHeight="1">
      <c r="A43" s="14" t="s">
        <v>98</v>
      </c>
    </row>
    <row r="44" spans="1:15" ht="24" customHeight="1">
      <c r="B44" s="30" t="s">
        <v>1</v>
      </c>
      <c r="C44" s="163" t="s">
        <v>181</v>
      </c>
      <c r="D44" s="164"/>
      <c r="E44" s="164"/>
      <c r="F44" s="164"/>
      <c r="G44" s="164"/>
      <c r="H44" s="164"/>
      <c r="I44" s="26" t="s">
        <v>2</v>
      </c>
      <c r="J44" s="27"/>
      <c r="K44" s="142" t="s">
        <v>182</v>
      </c>
      <c r="L44" s="143"/>
      <c r="M44" s="143"/>
      <c r="N44" s="149"/>
      <c r="O44" s="31" t="str">
        <f>IF(OR(C44="",K44=""),"入力してください","")</f>
        <v/>
      </c>
    </row>
    <row r="45" spans="1:15" ht="24" customHeight="1">
      <c r="B45" s="25" t="s">
        <v>4</v>
      </c>
      <c r="C45" s="157" t="s">
        <v>184</v>
      </c>
      <c r="D45" s="158"/>
      <c r="E45" s="158"/>
      <c r="F45" s="158"/>
      <c r="G45" s="158"/>
      <c r="H45" s="159"/>
      <c r="I45" s="26" t="s">
        <v>3</v>
      </c>
      <c r="J45" s="27"/>
      <c r="K45" s="160" t="s">
        <v>183</v>
      </c>
      <c r="L45" s="161"/>
      <c r="M45" s="161"/>
      <c r="N45" s="162"/>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4" zoomScaleNormal="100" zoomScaleSheetLayoutView="100" workbookViewId="0">
      <selection activeCell="D86" sqref="B86:Z95"/>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186" t="s">
        <v>112</v>
      </c>
      <c r="X1" s="186"/>
      <c r="Y1" s="186"/>
      <c r="Z1" s="186"/>
    </row>
    <row r="2" spans="1:26" ht="18" customHeight="1">
      <c r="A2" s="224" t="s">
        <v>66</v>
      </c>
      <c r="B2" s="224"/>
      <c r="C2" s="224"/>
      <c r="D2" s="224"/>
      <c r="E2" s="224"/>
      <c r="F2" s="224"/>
      <c r="G2" s="224"/>
      <c r="H2" s="224"/>
      <c r="I2" s="224"/>
      <c r="J2" s="224"/>
      <c r="K2" s="224"/>
      <c r="L2" s="224"/>
      <c r="M2" s="224"/>
      <c r="N2" s="224"/>
      <c r="O2" s="224"/>
      <c r="P2" s="224"/>
      <c r="Q2" s="224"/>
      <c r="R2" s="224"/>
      <c r="S2" s="224"/>
      <c r="T2" s="224"/>
      <c r="U2" s="224"/>
      <c r="V2" s="224"/>
      <c r="W2" s="224"/>
      <c r="X2" s="224"/>
      <c r="Y2" s="224"/>
      <c r="Z2" s="224"/>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99</v>
      </c>
      <c r="B4" s="29"/>
      <c r="C4" s="29"/>
      <c r="D4" s="29"/>
      <c r="E4" s="29"/>
      <c r="F4" s="29"/>
      <c r="G4" s="29"/>
      <c r="H4" s="15" t="s">
        <v>111</v>
      </c>
      <c r="I4" s="29"/>
      <c r="J4" s="29"/>
      <c r="K4" s="29"/>
      <c r="L4" s="29"/>
      <c r="M4" s="29"/>
      <c r="N4" s="29"/>
      <c r="O4" s="134" t="s">
        <v>157</v>
      </c>
      <c r="P4" s="135"/>
      <c r="Q4" s="135"/>
      <c r="R4" s="135"/>
      <c r="S4" s="135"/>
      <c r="T4" s="135"/>
      <c r="U4" s="135"/>
      <c r="V4" s="135"/>
      <c r="W4" s="135"/>
      <c r="X4" s="135"/>
      <c r="Y4" s="135"/>
      <c r="Z4" s="136"/>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25" t="s">
        <v>199</v>
      </c>
      <c r="C6" s="226"/>
      <c r="D6" s="226"/>
      <c r="E6" s="226"/>
      <c r="F6" s="226"/>
      <c r="G6" s="226"/>
      <c r="H6" s="226"/>
      <c r="I6" s="226"/>
      <c r="J6" s="226"/>
      <c r="K6" s="226"/>
      <c r="L6" s="226"/>
      <c r="M6" s="226"/>
      <c r="N6" s="226"/>
      <c r="O6" s="226"/>
      <c r="P6" s="226"/>
      <c r="Q6" s="226"/>
      <c r="R6" s="226"/>
      <c r="S6" s="226"/>
      <c r="T6" s="226"/>
      <c r="U6" s="226"/>
      <c r="V6" s="226"/>
      <c r="W6" s="226"/>
      <c r="X6" s="226"/>
      <c r="Y6" s="226"/>
      <c r="Z6" s="227"/>
    </row>
    <row r="7" spans="1:26" ht="18" customHeight="1">
      <c r="B7" s="228"/>
      <c r="C7" s="229"/>
      <c r="D7" s="229"/>
      <c r="E7" s="229"/>
      <c r="F7" s="229"/>
      <c r="G7" s="229"/>
      <c r="H7" s="229"/>
      <c r="I7" s="229"/>
      <c r="J7" s="229"/>
      <c r="K7" s="229"/>
      <c r="L7" s="229"/>
      <c r="M7" s="229"/>
      <c r="N7" s="229"/>
      <c r="O7" s="229"/>
      <c r="P7" s="229"/>
      <c r="Q7" s="229"/>
      <c r="R7" s="229"/>
      <c r="S7" s="229"/>
      <c r="T7" s="229"/>
      <c r="U7" s="229"/>
      <c r="V7" s="229"/>
      <c r="W7" s="229"/>
      <c r="X7" s="229"/>
      <c r="Y7" s="229"/>
      <c r="Z7" s="230"/>
    </row>
    <row r="8" spans="1:26" ht="18" customHeight="1">
      <c r="B8" s="228"/>
      <c r="C8" s="229"/>
      <c r="D8" s="229"/>
      <c r="E8" s="229"/>
      <c r="F8" s="229"/>
      <c r="G8" s="229"/>
      <c r="H8" s="229"/>
      <c r="I8" s="229"/>
      <c r="J8" s="229"/>
      <c r="K8" s="229"/>
      <c r="L8" s="229"/>
      <c r="M8" s="229"/>
      <c r="N8" s="229"/>
      <c r="O8" s="229"/>
      <c r="P8" s="229"/>
      <c r="Q8" s="229"/>
      <c r="R8" s="229"/>
      <c r="S8" s="229"/>
      <c r="T8" s="229"/>
      <c r="U8" s="229"/>
      <c r="V8" s="229"/>
      <c r="W8" s="229"/>
      <c r="X8" s="229"/>
      <c r="Y8" s="229"/>
      <c r="Z8" s="230"/>
    </row>
    <row r="9" spans="1:26" ht="18" customHeight="1">
      <c r="B9" s="228"/>
      <c r="C9" s="229"/>
      <c r="D9" s="229"/>
      <c r="E9" s="229"/>
      <c r="F9" s="229"/>
      <c r="G9" s="229"/>
      <c r="H9" s="229"/>
      <c r="I9" s="229"/>
      <c r="J9" s="229"/>
      <c r="K9" s="229"/>
      <c r="L9" s="229"/>
      <c r="M9" s="229"/>
      <c r="N9" s="229"/>
      <c r="O9" s="229"/>
      <c r="P9" s="229"/>
      <c r="Q9" s="229"/>
      <c r="R9" s="229"/>
      <c r="S9" s="229"/>
      <c r="T9" s="229"/>
      <c r="U9" s="229"/>
      <c r="V9" s="229"/>
      <c r="W9" s="229"/>
      <c r="X9" s="229"/>
      <c r="Y9" s="229"/>
      <c r="Z9" s="230"/>
    </row>
    <row r="10" spans="1:26" ht="18" customHeight="1">
      <c r="B10" s="228"/>
      <c r="C10" s="231"/>
      <c r="D10" s="231"/>
      <c r="E10" s="231"/>
      <c r="F10" s="231"/>
      <c r="G10" s="231"/>
      <c r="H10" s="231"/>
      <c r="I10" s="231"/>
      <c r="J10" s="231"/>
      <c r="K10" s="231"/>
      <c r="L10" s="231"/>
      <c r="M10" s="231"/>
      <c r="N10" s="231"/>
      <c r="O10" s="231"/>
      <c r="P10" s="231"/>
      <c r="Q10" s="231"/>
      <c r="R10" s="231"/>
      <c r="S10" s="231"/>
      <c r="T10" s="231"/>
      <c r="U10" s="231"/>
      <c r="V10" s="231"/>
      <c r="W10" s="231"/>
      <c r="X10" s="231"/>
      <c r="Y10" s="231"/>
      <c r="Z10" s="230"/>
    </row>
    <row r="11" spans="1:26" ht="18" customHeight="1">
      <c r="B11" s="232"/>
      <c r="C11" s="233"/>
      <c r="D11" s="233"/>
      <c r="E11" s="233"/>
      <c r="F11" s="233"/>
      <c r="G11" s="233"/>
      <c r="H11" s="233"/>
      <c r="I11" s="233"/>
      <c r="J11" s="233"/>
      <c r="K11" s="233"/>
      <c r="L11" s="233"/>
      <c r="M11" s="233"/>
      <c r="N11" s="233"/>
      <c r="O11" s="233"/>
      <c r="P11" s="233"/>
      <c r="Q11" s="233"/>
      <c r="R11" s="233"/>
      <c r="S11" s="233"/>
      <c r="T11" s="233"/>
      <c r="U11" s="233"/>
      <c r="V11" s="233"/>
      <c r="W11" s="233"/>
      <c r="X11" s="233"/>
      <c r="Y11" s="233"/>
      <c r="Z11" s="234"/>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23" t="s">
        <v>125</v>
      </c>
      <c r="B13" s="223"/>
      <c r="C13" s="223"/>
      <c r="D13" s="223"/>
      <c r="E13" s="223"/>
      <c r="F13" s="223"/>
      <c r="G13" s="223"/>
      <c r="H13" s="223"/>
      <c r="I13" s="223"/>
      <c r="J13" s="223"/>
      <c r="K13" s="223"/>
      <c r="L13" s="223"/>
      <c r="M13" s="223"/>
      <c r="N13" s="223"/>
      <c r="O13" s="223"/>
      <c r="P13" s="223"/>
      <c r="Q13" s="223"/>
      <c r="R13" s="223"/>
      <c r="S13" s="223"/>
      <c r="T13" s="223"/>
      <c r="U13" s="223"/>
      <c r="V13" s="223"/>
      <c r="W13" s="223"/>
      <c r="X13" s="223"/>
      <c r="Y13" s="223"/>
      <c r="Z13" s="223"/>
    </row>
    <row r="14" spans="1:26" ht="18" customHeight="1">
      <c r="A14" s="223"/>
      <c r="B14" s="223"/>
      <c r="C14" s="223"/>
      <c r="D14" s="223"/>
      <c r="E14" s="223"/>
      <c r="F14" s="223"/>
      <c r="G14" s="223"/>
      <c r="H14" s="223"/>
      <c r="I14" s="223"/>
      <c r="J14" s="223"/>
      <c r="K14" s="223"/>
      <c r="L14" s="223"/>
      <c r="M14" s="223"/>
      <c r="N14" s="223"/>
      <c r="O14" s="223"/>
      <c r="P14" s="223"/>
      <c r="Q14" s="223"/>
      <c r="R14" s="223"/>
      <c r="S14" s="223"/>
      <c r="T14" s="223"/>
      <c r="U14" s="223"/>
      <c r="V14" s="223"/>
      <c r="W14" s="223"/>
      <c r="X14" s="223"/>
      <c r="Y14" s="223"/>
      <c r="Z14" s="223"/>
    </row>
    <row r="15" spans="1:26" ht="18" customHeight="1">
      <c r="A15" s="14"/>
      <c r="B15" s="134" t="s">
        <v>100</v>
      </c>
      <c r="C15" s="135"/>
      <c r="D15" s="135"/>
      <c r="E15" s="135"/>
      <c r="F15" s="136"/>
      <c r="G15" s="30" t="s">
        <v>141</v>
      </c>
      <c r="H15" s="109" t="s">
        <v>140</v>
      </c>
      <c r="I15" s="135" t="s">
        <v>101</v>
      </c>
      <c r="J15" s="135"/>
      <c r="K15" s="135"/>
      <c r="L15" s="73" t="s">
        <v>103</v>
      </c>
      <c r="M15" s="73" t="s">
        <v>106</v>
      </c>
      <c r="N15" s="134" t="s">
        <v>100</v>
      </c>
      <c r="O15" s="135"/>
      <c r="P15" s="135"/>
      <c r="Q15" s="135"/>
      <c r="R15" s="135"/>
      <c r="S15" s="136"/>
      <c r="T15" s="30" t="s">
        <v>141</v>
      </c>
      <c r="U15" s="109" t="s">
        <v>140</v>
      </c>
      <c r="V15" s="135" t="s">
        <v>101</v>
      </c>
      <c r="W15" s="135"/>
      <c r="X15" s="135"/>
      <c r="Y15" s="73" t="s">
        <v>103</v>
      </c>
      <c r="Z15" s="73" t="s">
        <v>106</v>
      </c>
    </row>
    <row r="16" spans="1:26" ht="18" customHeight="1">
      <c r="A16" s="14"/>
      <c r="B16" s="187" t="s">
        <v>187</v>
      </c>
      <c r="C16" s="188"/>
      <c r="D16" s="188"/>
      <c r="E16" s="188"/>
      <c r="F16" s="189"/>
      <c r="G16" s="110">
        <v>2</v>
      </c>
      <c r="H16" s="110" t="s">
        <v>158</v>
      </c>
      <c r="I16" s="193" t="s">
        <v>159</v>
      </c>
      <c r="J16" s="194"/>
      <c r="K16" s="195"/>
      <c r="L16" s="110" t="s">
        <v>158</v>
      </c>
      <c r="M16" s="110" t="s">
        <v>158</v>
      </c>
      <c r="N16" s="165"/>
      <c r="O16" s="166"/>
      <c r="P16" s="166"/>
      <c r="Q16" s="166"/>
      <c r="R16" s="166"/>
      <c r="S16" s="167"/>
      <c r="T16" s="110"/>
      <c r="U16" s="110"/>
      <c r="V16" s="193"/>
      <c r="W16" s="194"/>
      <c r="X16" s="195"/>
      <c r="Y16" s="110"/>
      <c r="Z16" s="110"/>
    </row>
    <row r="17" spans="1:26" ht="18" customHeight="1">
      <c r="A17" s="14"/>
      <c r="B17" s="180"/>
      <c r="C17" s="181"/>
      <c r="D17" s="181"/>
      <c r="E17" s="181"/>
      <c r="F17" s="182"/>
      <c r="G17" s="111"/>
      <c r="H17" s="111"/>
      <c r="I17" s="174"/>
      <c r="J17" s="175"/>
      <c r="K17" s="176"/>
      <c r="L17" s="111"/>
      <c r="M17" s="111"/>
      <c r="N17" s="168"/>
      <c r="O17" s="169"/>
      <c r="P17" s="169"/>
      <c r="Q17" s="169"/>
      <c r="R17" s="169"/>
      <c r="S17" s="170"/>
      <c r="T17" s="111"/>
      <c r="U17" s="111"/>
      <c r="V17" s="174"/>
      <c r="W17" s="175"/>
      <c r="X17" s="176"/>
      <c r="Y17" s="111"/>
      <c r="Z17" s="111"/>
    </row>
    <row r="18" spans="1:26" ht="18" customHeight="1">
      <c r="A18" s="14"/>
      <c r="B18" s="180"/>
      <c r="C18" s="181"/>
      <c r="D18" s="181"/>
      <c r="E18" s="181"/>
      <c r="F18" s="182"/>
      <c r="G18" s="111"/>
      <c r="H18" s="111"/>
      <c r="I18" s="174"/>
      <c r="J18" s="175"/>
      <c r="K18" s="176"/>
      <c r="L18" s="111"/>
      <c r="M18" s="111"/>
      <c r="N18" s="168"/>
      <c r="O18" s="169"/>
      <c r="P18" s="169"/>
      <c r="Q18" s="169"/>
      <c r="R18" s="169"/>
      <c r="S18" s="170"/>
      <c r="T18" s="111"/>
      <c r="U18" s="111"/>
      <c r="V18" s="174"/>
      <c r="W18" s="175"/>
      <c r="X18" s="176"/>
      <c r="Y18" s="111"/>
      <c r="Z18" s="111"/>
    </row>
    <row r="19" spans="1:26" ht="18" customHeight="1">
      <c r="A19" s="14"/>
      <c r="B19" s="180"/>
      <c r="C19" s="181"/>
      <c r="D19" s="181"/>
      <c r="E19" s="181"/>
      <c r="F19" s="182"/>
      <c r="G19" s="111"/>
      <c r="H19" s="111"/>
      <c r="I19" s="174"/>
      <c r="J19" s="175"/>
      <c r="K19" s="176"/>
      <c r="L19" s="111"/>
      <c r="M19" s="111"/>
      <c r="N19" s="168"/>
      <c r="O19" s="169"/>
      <c r="P19" s="169"/>
      <c r="Q19" s="169"/>
      <c r="R19" s="169"/>
      <c r="S19" s="170"/>
      <c r="T19" s="111"/>
      <c r="U19" s="111"/>
      <c r="V19" s="174"/>
      <c r="W19" s="175"/>
      <c r="X19" s="176"/>
      <c r="Y19" s="111"/>
      <c r="Z19" s="111"/>
    </row>
    <row r="20" spans="1:26" ht="18" customHeight="1">
      <c r="A20" s="14"/>
      <c r="B20" s="180"/>
      <c r="C20" s="181"/>
      <c r="D20" s="181"/>
      <c r="E20" s="181"/>
      <c r="F20" s="182"/>
      <c r="G20" s="111"/>
      <c r="H20" s="111"/>
      <c r="I20" s="174"/>
      <c r="J20" s="175"/>
      <c r="K20" s="176"/>
      <c r="L20" s="111"/>
      <c r="M20" s="111"/>
      <c r="N20" s="168"/>
      <c r="O20" s="169"/>
      <c r="P20" s="169"/>
      <c r="Q20" s="169"/>
      <c r="R20" s="169"/>
      <c r="S20" s="170"/>
      <c r="T20" s="111"/>
      <c r="U20" s="111"/>
      <c r="V20" s="174"/>
      <c r="W20" s="175"/>
      <c r="X20" s="176"/>
      <c r="Y20" s="111"/>
      <c r="Z20" s="111"/>
    </row>
    <row r="21" spans="1:26" ht="18" customHeight="1">
      <c r="A21" s="29"/>
      <c r="B21" s="180"/>
      <c r="C21" s="181"/>
      <c r="D21" s="181"/>
      <c r="E21" s="181"/>
      <c r="F21" s="182"/>
      <c r="G21" s="111"/>
      <c r="H21" s="111"/>
      <c r="I21" s="174"/>
      <c r="J21" s="175"/>
      <c r="K21" s="176"/>
      <c r="L21" s="111"/>
      <c r="M21" s="111"/>
      <c r="N21" s="168"/>
      <c r="O21" s="169"/>
      <c r="P21" s="169"/>
      <c r="Q21" s="169"/>
      <c r="R21" s="169"/>
      <c r="S21" s="170"/>
      <c r="T21" s="111"/>
      <c r="U21" s="111"/>
      <c r="V21" s="174"/>
      <c r="W21" s="175"/>
      <c r="X21" s="176"/>
      <c r="Y21" s="111"/>
      <c r="Z21" s="111"/>
    </row>
    <row r="22" spans="1:26" ht="18" customHeight="1">
      <c r="A22" s="29"/>
      <c r="B22" s="183"/>
      <c r="C22" s="184"/>
      <c r="D22" s="184"/>
      <c r="E22" s="184"/>
      <c r="F22" s="185"/>
      <c r="G22" s="112"/>
      <c r="H22" s="112"/>
      <c r="I22" s="177"/>
      <c r="J22" s="178"/>
      <c r="K22" s="179"/>
      <c r="L22" s="118"/>
      <c r="M22" s="118"/>
      <c r="N22" s="171"/>
      <c r="O22" s="172"/>
      <c r="P22" s="172"/>
      <c r="Q22" s="172"/>
      <c r="R22" s="172"/>
      <c r="S22" s="173"/>
      <c r="T22" s="112"/>
      <c r="U22" s="112"/>
      <c r="V22" s="177"/>
      <c r="W22" s="178"/>
      <c r="X22" s="179"/>
      <c r="Y22" s="118"/>
      <c r="Z22" s="118"/>
    </row>
    <row r="23" spans="1:26" ht="7.5" customHeight="1">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c r="A24" s="223" t="s">
        <v>126</v>
      </c>
      <c r="B24" s="223"/>
      <c r="C24" s="223"/>
      <c r="D24" s="223"/>
      <c r="E24" s="223"/>
      <c r="F24" s="223"/>
      <c r="G24" s="223"/>
      <c r="H24" s="223"/>
      <c r="I24" s="223"/>
      <c r="J24" s="223"/>
      <c r="K24" s="223"/>
      <c r="L24" s="223"/>
      <c r="M24" s="223"/>
      <c r="N24" s="223"/>
      <c r="O24" s="223"/>
      <c r="P24" s="223"/>
      <c r="Q24" s="223"/>
      <c r="R24" s="223"/>
      <c r="S24" s="223"/>
      <c r="T24" s="223"/>
      <c r="U24" s="223"/>
      <c r="V24" s="223"/>
      <c r="W24" s="223"/>
      <c r="X24" s="223"/>
      <c r="Y24" s="223"/>
      <c r="Z24" s="223"/>
    </row>
    <row r="25" spans="1:26" ht="18" customHeight="1">
      <c r="A25" s="223"/>
      <c r="B25" s="223"/>
      <c r="C25" s="223"/>
      <c r="D25" s="223"/>
      <c r="E25" s="223"/>
      <c r="F25" s="223"/>
      <c r="G25" s="223"/>
      <c r="H25" s="223"/>
      <c r="I25" s="223"/>
      <c r="J25" s="223"/>
      <c r="K25" s="223"/>
      <c r="L25" s="223"/>
      <c r="M25" s="223"/>
      <c r="N25" s="223"/>
      <c r="O25" s="223"/>
      <c r="P25" s="223"/>
      <c r="Q25" s="223"/>
      <c r="R25" s="223"/>
      <c r="S25" s="223"/>
      <c r="T25" s="223"/>
      <c r="U25" s="223"/>
      <c r="V25" s="223"/>
      <c r="W25" s="223"/>
      <c r="X25" s="223"/>
      <c r="Y25" s="223"/>
      <c r="Z25" s="223"/>
    </row>
    <row r="26" spans="1:26" ht="18" customHeight="1">
      <c r="A26" s="14"/>
      <c r="B26" s="134" t="s">
        <v>100</v>
      </c>
      <c r="C26" s="135"/>
      <c r="D26" s="135"/>
      <c r="E26" s="135"/>
      <c r="F26" s="136"/>
      <c r="G26" s="30" t="s">
        <v>141</v>
      </c>
      <c r="H26" s="109" t="s">
        <v>140</v>
      </c>
      <c r="I26" s="135" t="s">
        <v>101</v>
      </c>
      <c r="J26" s="135"/>
      <c r="K26" s="135"/>
      <c r="L26" s="73" t="s">
        <v>127</v>
      </c>
      <c r="M26" s="73" t="s">
        <v>128</v>
      </c>
      <c r="N26" s="134" t="s">
        <v>100</v>
      </c>
      <c r="O26" s="135"/>
      <c r="P26" s="135"/>
      <c r="Q26" s="135"/>
      <c r="R26" s="135"/>
      <c r="S26" s="136"/>
      <c r="T26" s="30" t="s">
        <v>141</v>
      </c>
      <c r="U26" s="109" t="s">
        <v>140</v>
      </c>
      <c r="V26" s="135" t="s">
        <v>101</v>
      </c>
      <c r="W26" s="135"/>
      <c r="X26" s="135"/>
      <c r="Y26" s="73" t="s">
        <v>127</v>
      </c>
      <c r="Z26" s="73" t="s">
        <v>128</v>
      </c>
    </row>
    <row r="27" spans="1:26" ht="18" customHeight="1">
      <c r="A27" s="14"/>
      <c r="B27" s="187" t="s">
        <v>187</v>
      </c>
      <c r="C27" s="188"/>
      <c r="D27" s="188"/>
      <c r="E27" s="188"/>
      <c r="F27" s="189"/>
      <c r="G27" s="110">
        <v>2</v>
      </c>
      <c r="H27" s="110" t="s">
        <v>158</v>
      </c>
      <c r="I27" s="193" t="s">
        <v>159</v>
      </c>
      <c r="J27" s="194"/>
      <c r="K27" s="195"/>
      <c r="L27" s="110" t="s">
        <v>158</v>
      </c>
      <c r="M27" s="110" t="s">
        <v>158</v>
      </c>
      <c r="N27" s="165"/>
      <c r="O27" s="166"/>
      <c r="P27" s="166"/>
      <c r="Q27" s="166"/>
      <c r="R27" s="166"/>
      <c r="S27" s="167"/>
      <c r="T27" s="110"/>
      <c r="U27" s="110"/>
      <c r="V27" s="193"/>
      <c r="W27" s="194"/>
      <c r="X27" s="195"/>
      <c r="Y27" s="110"/>
      <c r="Z27" s="110"/>
    </row>
    <row r="28" spans="1:26" ht="18" customHeight="1">
      <c r="A28" s="14"/>
      <c r="B28" s="180"/>
      <c r="C28" s="181"/>
      <c r="D28" s="181"/>
      <c r="E28" s="181"/>
      <c r="F28" s="182"/>
      <c r="G28" s="111"/>
      <c r="H28" s="111"/>
      <c r="I28" s="174"/>
      <c r="J28" s="175"/>
      <c r="K28" s="176"/>
      <c r="L28" s="111"/>
      <c r="M28" s="111"/>
      <c r="N28" s="168"/>
      <c r="O28" s="169"/>
      <c r="P28" s="169"/>
      <c r="Q28" s="169"/>
      <c r="R28" s="169"/>
      <c r="S28" s="170"/>
      <c r="T28" s="111"/>
      <c r="U28" s="111"/>
      <c r="V28" s="174"/>
      <c r="W28" s="175"/>
      <c r="X28" s="176"/>
      <c r="Y28" s="111"/>
      <c r="Z28" s="111"/>
    </row>
    <row r="29" spans="1:26" ht="18" customHeight="1">
      <c r="A29" s="14"/>
      <c r="B29" s="180"/>
      <c r="C29" s="181"/>
      <c r="D29" s="181"/>
      <c r="E29" s="181"/>
      <c r="F29" s="182"/>
      <c r="G29" s="111"/>
      <c r="H29" s="111"/>
      <c r="I29" s="174"/>
      <c r="J29" s="175"/>
      <c r="K29" s="176"/>
      <c r="L29" s="111"/>
      <c r="M29" s="111"/>
      <c r="N29" s="168"/>
      <c r="O29" s="169"/>
      <c r="P29" s="169"/>
      <c r="Q29" s="169"/>
      <c r="R29" s="169"/>
      <c r="S29" s="170"/>
      <c r="T29" s="111"/>
      <c r="U29" s="111"/>
      <c r="V29" s="174"/>
      <c r="W29" s="175"/>
      <c r="X29" s="176"/>
      <c r="Y29" s="111"/>
      <c r="Z29" s="111"/>
    </row>
    <row r="30" spans="1:26" ht="18" customHeight="1">
      <c r="A30" s="14"/>
      <c r="B30" s="180"/>
      <c r="C30" s="181"/>
      <c r="D30" s="181"/>
      <c r="E30" s="181"/>
      <c r="F30" s="182"/>
      <c r="G30" s="111"/>
      <c r="H30" s="111"/>
      <c r="I30" s="174"/>
      <c r="J30" s="175"/>
      <c r="K30" s="176"/>
      <c r="L30" s="111"/>
      <c r="M30" s="111"/>
      <c r="N30" s="168"/>
      <c r="O30" s="169"/>
      <c r="P30" s="169"/>
      <c r="Q30" s="169"/>
      <c r="R30" s="169"/>
      <c r="S30" s="170"/>
      <c r="T30" s="111"/>
      <c r="U30" s="111"/>
      <c r="V30" s="174"/>
      <c r="W30" s="175"/>
      <c r="X30" s="176"/>
      <c r="Y30" s="111"/>
      <c r="Z30" s="111"/>
    </row>
    <row r="31" spans="1:26" ht="18" customHeight="1">
      <c r="A31" s="14"/>
      <c r="B31" s="180"/>
      <c r="C31" s="181"/>
      <c r="D31" s="181"/>
      <c r="E31" s="181"/>
      <c r="F31" s="182"/>
      <c r="G31" s="111"/>
      <c r="H31" s="111"/>
      <c r="I31" s="174"/>
      <c r="J31" s="175"/>
      <c r="K31" s="176"/>
      <c r="L31" s="111"/>
      <c r="M31" s="111"/>
      <c r="N31" s="168"/>
      <c r="O31" s="169"/>
      <c r="P31" s="169"/>
      <c r="Q31" s="169"/>
      <c r="R31" s="169"/>
      <c r="S31" s="170"/>
      <c r="T31" s="111"/>
      <c r="U31" s="111"/>
      <c r="V31" s="174"/>
      <c r="W31" s="175"/>
      <c r="X31" s="176"/>
      <c r="Y31" s="111"/>
      <c r="Z31" s="111"/>
    </row>
    <row r="32" spans="1:26" ht="18" customHeight="1">
      <c r="A32" s="14"/>
      <c r="B32" s="180"/>
      <c r="C32" s="181"/>
      <c r="D32" s="181"/>
      <c r="E32" s="181"/>
      <c r="F32" s="182"/>
      <c r="G32" s="111"/>
      <c r="H32" s="111"/>
      <c r="I32" s="174"/>
      <c r="J32" s="175"/>
      <c r="K32" s="176"/>
      <c r="L32" s="111"/>
      <c r="M32" s="111"/>
      <c r="N32" s="168"/>
      <c r="O32" s="169"/>
      <c r="P32" s="169"/>
      <c r="Q32" s="169"/>
      <c r="R32" s="169"/>
      <c r="S32" s="170"/>
      <c r="T32" s="111"/>
      <c r="U32" s="111"/>
      <c r="V32" s="174"/>
      <c r="W32" s="175"/>
      <c r="X32" s="176"/>
      <c r="Y32" s="111"/>
      <c r="Z32" s="111"/>
    </row>
    <row r="33" spans="1:26" ht="18" customHeight="1">
      <c r="A33" s="14"/>
      <c r="B33" s="183"/>
      <c r="C33" s="184"/>
      <c r="D33" s="184"/>
      <c r="E33" s="184"/>
      <c r="F33" s="185"/>
      <c r="G33" s="112"/>
      <c r="H33" s="112"/>
      <c r="I33" s="177"/>
      <c r="J33" s="178"/>
      <c r="K33" s="179"/>
      <c r="L33" s="118"/>
      <c r="M33" s="118"/>
      <c r="N33" s="171"/>
      <c r="O33" s="172"/>
      <c r="P33" s="172"/>
      <c r="Q33" s="172"/>
      <c r="R33" s="172"/>
      <c r="S33" s="173"/>
      <c r="T33" s="112"/>
      <c r="U33" s="112"/>
      <c r="V33" s="177"/>
      <c r="W33" s="178"/>
      <c r="X33" s="179"/>
      <c r="Y33" s="118"/>
      <c r="Z33" s="118"/>
    </row>
    <row r="34" spans="1:26" ht="7.5" customHeight="1">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c r="A35" s="223" t="s">
        <v>129</v>
      </c>
      <c r="B35" s="223"/>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row>
    <row r="36" spans="1:26" ht="18" customHeight="1">
      <c r="A36" s="223"/>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row>
    <row r="37" spans="1:26" ht="18" customHeight="1">
      <c r="A37" s="14"/>
      <c r="B37" s="134" t="s">
        <v>100</v>
      </c>
      <c r="C37" s="135"/>
      <c r="D37" s="135"/>
      <c r="E37" s="135"/>
      <c r="F37" s="136"/>
      <c r="G37" s="30" t="s">
        <v>141</v>
      </c>
      <c r="H37" s="109" t="s">
        <v>140</v>
      </c>
      <c r="I37" s="134" t="s">
        <v>101</v>
      </c>
      <c r="J37" s="135"/>
      <c r="K37" s="136"/>
      <c r="L37" s="73" t="s">
        <v>130</v>
      </c>
      <c r="M37" s="73" t="s">
        <v>131</v>
      </c>
      <c r="N37" s="134" t="s">
        <v>100</v>
      </c>
      <c r="O37" s="135"/>
      <c r="P37" s="135"/>
      <c r="Q37" s="135"/>
      <c r="R37" s="135"/>
      <c r="S37" s="136"/>
      <c r="T37" s="30" t="s">
        <v>141</v>
      </c>
      <c r="U37" s="109" t="s">
        <v>140</v>
      </c>
      <c r="V37" s="134" t="s">
        <v>101</v>
      </c>
      <c r="W37" s="135"/>
      <c r="X37" s="136"/>
      <c r="Y37" s="73" t="s">
        <v>130</v>
      </c>
      <c r="Z37" s="73" t="s">
        <v>131</v>
      </c>
    </row>
    <row r="38" spans="1:26" ht="18" customHeight="1">
      <c r="A38" s="29"/>
      <c r="B38" s="187" t="s">
        <v>187</v>
      </c>
      <c r="C38" s="188"/>
      <c r="D38" s="188"/>
      <c r="E38" s="188"/>
      <c r="F38" s="189"/>
      <c r="G38" s="110">
        <v>2</v>
      </c>
      <c r="H38" s="110" t="s">
        <v>158</v>
      </c>
      <c r="I38" s="193" t="s">
        <v>159</v>
      </c>
      <c r="J38" s="194"/>
      <c r="K38" s="195"/>
      <c r="L38" s="110" t="s">
        <v>158</v>
      </c>
      <c r="M38" s="110" t="s">
        <v>158</v>
      </c>
      <c r="N38" s="165"/>
      <c r="O38" s="166"/>
      <c r="P38" s="166"/>
      <c r="Q38" s="166"/>
      <c r="R38" s="166"/>
      <c r="S38" s="167"/>
      <c r="T38" s="110"/>
      <c r="U38" s="110"/>
      <c r="V38" s="193"/>
      <c r="W38" s="194"/>
      <c r="X38" s="195"/>
      <c r="Y38" s="110"/>
      <c r="Z38" s="110"/>
    </row>
    <row r="39" spans="1:26" ht="18" customHeight="1">
      <c r="A39" s="29"/>
      <c r="B39" s="180"/>
      <c r="C39" s="181"/>
      <c r="D39" s="181"/>
      <c r="E39" s="181"/>
      <c r="F39" s="182"/>
      <c r="G39" s="111"/>
      <c r="H39" s="111"/>
      <c r="I39" s="174"/>
      <c r="J39" s="175"/>
      <c r="K39" s="176"/>
      <c r="L39" s="111"/>
      <c r="M39" s="111"/>
      <c r="N39" s="168"/>
      <c r="O39" s="169"/>
      <c r="P39" s="169"/>
      <c r="Q39" s="169"/>
      <c r="R39" s="169"/>
      <c r="S39" s="170"/>
      <c r="T39" s="111"/>
      <c r="U39" s="111"/>
      <c r="V39" s="174"/>
      <c r="W39" s="175"/>
      <c r="X39" s="176"/>
      <c r="Y39" s="111"/>
      <c r="Z39" s="111"/>
    </row>
    <row r="40" spans="1:26" ht="18" customHeight="1">
      <c r="A40" s="29"/>
      <c r="B40" s="180"/>
      <c r="C40" s="181"/>
      <c r="D40" s="181"/>
      <c r="E40" s="181"/>
      <c r="F40" s="182"/>
      <c r="G40" s="111"/>
      <c r="H40" s="111"/>
      <c r="I40" s="174"/>
      <c r="J40" s="175"/>
      <c r="K40" s="176"/>
      <c r="L40" s="111"/>
      <c r="M40" s="111"/>
      <c r="N40" s="168"/>
      <c r="O40" s="169"/>
      <c r="P40" s="169"/>
      <c r="Q40" s="169"/>
      <c r="R40" s="169"/>
      <c r="S40" s="170"/>
      <c r="T40" s="111"/>
      <c r="U40" s="111"/>
      <c r="V40" s="174"/>
      <c r="W40" s="175"/>
      <c r="X40" s="176"/>
      <c r="Y40" s="111"/>
      <c r="Z40" s="111"/>
    </row>
    <row r="41" spans="1:26" ht="18" customHeight="1">
      <c r="A41" s="29"/>
      <c r="B41" s="180"/>
      <c r="C41" s="181"/>
      <c r="D41" s="181"/>
      <c r="E41" s="181"/>
      <c r="F41" s="182"/>
      <c r="G41" s="111"/>
      <c r="H41" s="111"/>
      <c r="I41" s="174"/>
      <c r="J41" s="175"/>
      <c r="K41" s="176"/>
      <c r="L41" s="111"/>
      <c r="M41" s="111"/>
      <c r="N41" s="168"/>
      <c r="O41" s="169"/>
      <c r="P41" s="169"/>
      <c r="Q41" s="169"/>
      <c r="R41" s="169"/>
      <c r="S41" s="170"/>
      <c r="T41" s="111"/>
      <c r="U41" s="111"/>
      <c r="V41" s="174"/>
      <c r="W41" s="175"/>
      <c r="X41" s="176"/>
      <c r="Y41" s="111"/>
      <c r="Z41" s="111"/>
    </row>
    <row r="42" spans="1:26" ht="18" customHeight="1">
      <c r="A42" s="29"/>
      <c r="B42" s="180"/>
      <c r="C42" s="181"/>
      <c r="D42" s="181"/>
      <c r="E42" s="181"/>
      <c r="F42" s="182"/>
      <c r="G42" s="111"/>
      <c r="H42" s="111"/>
      <c r="I42" s="174"/>
      <c r="J42" s="175"/>
      <c r="K42" s="176"/>
      <c r="L42" s="111"/>
      <c r="M42" s="111"/>
      <c r="N42" s="168"/>
      <c r="O42" s="169"/>
      <c r="P42" s="169"/>
      <c r="Q42" s="169"/>
      <c r="R42" s="169"/>
      <c r="S42" s="170"/>
      <c r="T42" s="111"/>
      <c r="U42" s="111"/>
      <c r="V42" s="174"/>
      <c r="W42" s="175"/>
      <c r="X42" s="176"/>
      <c r="Y42" s="111"/>
      <c r="Z42" s="111"/>
    </row>
    <row r="43" spans="1:26" ht="18" customHeight="1">
      <c r="A43" s="29"/>
      <c r="B43" s="180"/>
      <c r="C43" s="181"/>
      <c r="D43" s="181"/>
      <c r="E43" s="181"/>
      <c r="F43" s="182"/>
      <c r="G43" s="111"/>
      <c r="H43" s="111"/>
      <c r="I43" s="174"/>
      <c r="J43" s="175"/>
      <c r="K43" s="176"/>
      <c r="L43" s="111"/>
      <c r="M43" s="111"/>
      <c r="N43" s="168"/>
      <c r="O43" s="169"/>
      <c r="P43" s="169"/>
      <c r="Q43" s="169"/>
      <c r="R43" s="169"/>
      <c r="S43" s="170"/>
      <c r="T43" s="111"/>
      <c r="U43" s="111"/>
      <c r="V43" s="174"/>
      <c r="W43" s="175"/>
      <c r="X43" s="176"/>
      <c r="Y43" s="111"/>
      <c r="Z43" s="111"/>
    </row>
    <row r="44" spans="1:26" ht="18" customHeight="1">
      <c r="A44" s="29"/>
      <c r="B44" s="183"/>
      <c r="C44" s="184"/>
      <c r="D44" s="184"/>
      <c r="E44" s="184"/>
      <c r="F44" s="185"/>
      <c r="G44" s="112"/>
      <c r="H44" s="112"/>
      <c r="I44" s="177"/>
      <c r="J44" s="178"/>
      <c r="K44" s="179"/>
      <c r="L44" s="118"/>
      <c r="M44" s="118"/>
      <c r="N44" s="171"/>
      <c r="O44" s="172"/>
      <c r="P44" s="172"/>
      <c r="Q44" s="172"/>
      <c r="R44" s="172"/>
      <c r="S44" s="173"/>
      <c r="T44" s="112"/>
      <c r="U44" s="112"/>
      <c r="V44" s="177"/>
      <c r="W44" s="178"/>
      <c r="X44" s="179"/>
      <c r="Y44" s="118"/>
      <c r="Z44" s="118"/>
    </row>
    <row r="45" spans="1:26" ht="7.5" customHeight="1">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c r="A46" s="223" t="s">
        <v>132</v>
      </c>
      <c r="B46" s="223"/>
      <c r="C46" s="223"/>
      <c r="D46" s="223"/>
      <c r="E46" s="223"/>
      <c r="F46" s="223"/>
      <c r="G46" s="223"/>
      <c r="H46" s="223"/>
      <c r="I46" s="223"/>
      <c r="J46" s="223"/>
      <c r="K46" s="223"/>
      <c r="L46" s="223"/>
      <c r="M46" s="223"/>
      <c r="N46" s="223"/>
      <c r="O46" s="223"/>
      <c r="P46" s="223"/>
      <c r="Q46" s="223"/>
      <c r="R46" s="223"/>
      <c r="S46" s="223"/>
      <c r="T46" s="223"/>
      <c r="U46" s="223"/>
      <c r="V46" s="223"/>
      <c r="W46" s="223"/>
      <c r="X46" s="223"/>
      <c r="Y46" s="223"/>
      <c r="Z46" s="223"/>
    </row>
    <row r="47" spans="1:26" ht="18" customHeight="1">
      <c r="A47" s="223"/>
      <c r="B47" s="223"/>
      <c r="C47" s="223"/>
      <c r="D47" s="223"/>
      <c r="E47" s="223"/>
      <c r="F47" s="223"/>
      <c r="G47" s="223"/>
      <c r="H47" s="223"/>
      <c r="I47" s="223"/>
      <c r="J47" s="223"/>
      <c r="K47" s="223"/>
      <c r="L47" s="223"/>
      <c r="M47" s="223"/>
      <c r="N47" s="223"/>
      <c r="O47" s="223"/>
      <c r="P47" s="223"/>
      <c r="Q47" s="223"/>
      <c r="R47" s="223"/>
      <c r="S47" s="223"/>
      <c r="T47" s="223"/>
      <c r="U47" s="223"/>
      <c r="V47" s="223"/>
      <c r="W47" s="223"/>
      <c r="X47" s="223"/>
      <c r="Y47" s="223"/>
      <c r="Z47" s="223"/>
    </row>
    <row r="48" spans="1:26" ht="18" customHeight="1">
      <c r="A48" s="14"/>
      <c r="B48" s="134" t="s">
        <v>100</v>
      </c>
      <c r="C48" s="135"/>
      <c r="D48" s="135"/>
      <c r="E48" s="135"/>
      <c r="F48" s="136"/>
      <c r="G48" s="30" t="s">
        <v>141</v>
      </c>
      <c r="H48" s="109" t="s">
        <v>140</v>
      </c>
      <c r="I48" s="134" t="s">
        <v>101</v>
      </c>
      <c r="J48" s="135"/>
      <c r="K48" s="136"/>
      <c r="L48" s="73" t="s">
        <v>105</v>
      </c>
      <c r="M48" s="73" t="s">
        <v>107</v>
      </c>
      <c r="N48" s="134" t="s">
        <v>100</v>
      </c>
      <c r="O48" s="135"/>
      <c r="P48" s="135"/>
      <c r="Q48" s="135"/>
      <c r="R48" s="135"/>
      <c r="S48" s="136"/>
      <c r="T48" s="30" t="s">
        <v>141</v>
      </c>
      <c r="U48" s="109" t="s">
        <v>140</v>
      </c>
      <c r="V48" s="134" t="s">
        <v>101</v>
      </c>
      <c r="W48" s="135"/>
      <c r="X48" s="136"/>
      <c r="Y48" s="73" t="s">
        <v>105</v>
      </c>
      <c r="Z48" s="73" t="s">
        <v>107</v>
      </c>
    </row>
    <row r="49" spans="1:26" ht="18" customHeight="1">
      <c r="A49" s="29"/>
      <c r="B49" s="187" t="s">
        <v>187</v>
      </c>
      <c r="C49" s="188"/>
      <c r="D49" s="188"/>
      <c r="E49" s="188"/>
      <c r="F49" s="189"/>
      <c r="G49" s="110">
        <v>2</v>
      </c>
      <c r="H49" s="110" t="s">
        <v>158</v>
      </c>
      <c r="I49" s="193" t="s">
        <v>159</v>
      </c>
      <c r="J49" s="194"/>
      <c r="K49" s="195"/>
      <c r="L49" s="110" t="s">
        <v>158</v>
      </c>
      <c r="M49" s="110" t="s">
        <v>158</v>
      </c>
      <c r="N49" s="165"/>
      <c r="O49" s="166"/>
      <c r="P49" s="166"/>
      <c r="Q49" s="166"/>
      <c r="R49" s="166"/>
      <c r="S49" s="167"/>
      <c r="T49" s="110"/>
      <c r="U49" s="110"/>
      <c r="V49" s="193"/>
      <c r="W49" s="194"/>
      <c r="X49" s="195"/>
      <c r="Y49" s="110"/>
      <c r="Z49" s="110"/>
    </row>
    <row r="50" spans="1:26" ht="18" customHeight="1">
      <c r="A50" s="29"/>
      <c r="B50" s="180"/>
      <c r="C50" s="181"/>
      <c r="D50" s="181"/>
      <c r="E50" s="181"/>
      <c r="F50" s="182"/>
      <c r="G50" s="111"/>
      <c r="H50" s="111"/>
      <c r="I50" s="174"/>
      <c r="J50" s="175"/>
      <c r="K50" s="176"/>
      <c r="L50" s="111"/>
      <c r="M50" s="111"/>
      <c r="N50" s="168"/>
      <c r="O50" s="169"/>
      <c r="P50" s="169"/>
      <c r="Q50" s="169"/>
      <c r="R50" s="169"/>
      <c r="S50" s="170"/>
      <c r="T50" s="111"/>
      <c r="U50" s="111"/>
      <c r="V50" s="174"/>
      <c r="W50" s="175"/>
      <c r="X50" s="176"/>
      <c r="Y50" s="111"/>
      <c r="Z50" s="111"/>
    </row>
    <row r="51" spans="1:26" ht="18" customHeight="1">
      <c r="A51" s="29"/>
      <c r="B51" s="180"/>
      <c r="C51" s="181"/>
      <c r="D51" s="181"/>
      <c r="E51" s="181"/>
      <c r="F51" s="182"/>
      <c r="G51" s="111"/>
      <c r="H51" s="111"/>
      <c r="I51" s="174"/>
      <c r="J51" s="175"/>
      <c r="K51" s="176"/>
      <c r="L51" s="111"/>
      <c r="M51" s="111"/>
      <c r="N51" s="168"/>
      <c r="O51" s="169"/>
      <c r="P51" s="169"/>
      <c r="Q51" s="169"/>
      <c r="R51" s="169"/>
      <c r="S51" s="170"/>
      <c r="T51" s="111"/>
      <c r="U51" s="111"/>
      <c r="V51" s="174"/>
      <c r="W51" s="175"/>
      <c r="X51" s="176"/>
      <c r="Y51" s="111"/>
      <c r="Z51" s="111"/>
    </row>
    <row r="52" spans="1:26" ht="18" customHeight="1">
      <c r="A52" s="29"/>
      <c r="B52" s="180"/>
      <c r="C52" s="181"/>
      <c r="D52" s="181"/>
      <c r="E52" s="181"/>
      <c r="F52" s="182"/>
      <c r="G52" s="111"/>
      <c r="H52" s="111"/>
      <c r="I52" s="174"/>
      <c r="J52" s="175"/>
      <c r="K52" s="176"/>
      <c r="L52" s="111"/>
      <c r="M52" s="111"/>
      <c r="N52" s="168"/>
      <c r="O52" s="169"/>
      <c r="P52" s="169"/>
      <c r="Q52" s="169"/>
      <c r="R52" s="169"/>
      <c r="S52" s="170"/>
      <c r="T52" s="111"/>
      <c r="U52" s="111"/>
      <c r="V52" s="174"/>
      <c r="W52" s="175"/>
      <c r="X52" s="176"/>
      <c r="Y52" s="111"/>
      <c r="Z52" s="111"/>
    </row>
    <row r="53" spans="1:26" ht="18" customHeight="1">
      <c r="A53" s="29"/>
      <c r="B53" s="180"/>
      <c r="C53" s="181"/>
      <c r="D53" s="181"/>
      <c r="E53" s="181"/>
      <c r="F53" s="182"/>
      <c r="G53" s="111"/>
      <c r="H53" s="111"/>
      <c r="I53" s="174"/>
      <c r="J53" s="175"/>
      <c r="K53" s="176"/>
      <c r="L53" s="111"/>
      <c r="M53" s="111"/>
      <c r="N53" s="168"/>
      <c r="O53" s="169"/>
      <c r="P53" s="169"/>
      <c r="Q53" s="169"/>
      <c r="R53" s="169"/>
      <c r="S53" s="170"/>
      <c r="T53" s="111"/>
      <c r="U53" s="111"/>
      <c r="V53" s="174"/>
      <c r="W53" s="175"/>
      <c r="X53" s="176"/>
      <c r="Y53" s="111"/>
      <c r="Z53" s="111"/>
    </row>
    <row r="54" spans="1:26" ht="18" customHeight="1">
      <c r="A54" s="29"/>
      <c r="B54" s="180"/>
      <c r="C54" s="181"/>
      <c r="D54" s="181"/>
      <c r="E54" s="181"/>
      <c r="F54" s="182"/>
      <c r="G54" s="111"/>
      <c r="H54" s="111"/>
      <c r="I54" s="174"/>
      <c r="J54" s="175"/>
      <c r="K54" s="176"/>
      <c r="L54" s="111"/>
      <c r="M54" s="111"/>
      <c r="N54" s="168"/>
      <c r="O54" s="169"/>
      <c r="P54" s="169"/>
      <c r="Q54" s="169"/>
      <c r="R54" s="169"/>
      <c r="S54" s="170"/>
      <c r="T54" s="111"/>
      <c r="U54" s="111"/>
      <c r="V54" s="174"/>
      <c r="W54" s="175"/>
      <c r="X54" s="176"/>
      <c r="Y54" s="111"/>
      <c r="Z54" s="111"/>
    </row>
    <row r="55" spans="1:26" ht="18" customHeight="1">
      <c r="A55" s="29"/>
      <c r="B55" s="183"/>
      <c r="C55" s="184"/>
      <c r="D55" s="184"/>
      <c r="E55" s="184"/>
      <c r="F55" s="185"/>
      <c r="G55" s="112"/>
      <c r="H55" s="112"/>
      <c r="I55" s="177"/>
      <c r="J55" s="178"/>
      <c r="K55" s="179"/>
      <c r="L55" s="118"/>
      <c r="M55" s="118"/>
      <c r="N55" s="171"/>
      <c r="O55" s="172"/>
      <c r="P55" s="172"/>
      <c r="Q55" s="172"/>
      <c r="R55" s="172"/>
      <c r="S55" s="173"/>
      <c r="T55" s="112"/>
      <c r="U55" s="112"/>
      <c r="V55" s="177"/>
      <c r="W55" s="178"/>
      <c r="X55" s="179"/>
      <c r="Y55" s="118"/>
      <c r="Z55" s="118"/>
    </row>
    <row r="56" spans="1:26" ht="7.5" customHeight="1">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c r="A57" s="223" t="s">
        <v>133</v>
      </c>
      <c r="B57" s="223"/>
      <c r="C57" s="223"/>
      <c r="D57" s="223"/>
      <c r="E57" s="223"/>
      <c r="F57" s="223"/>
      <c r="G57" s="223"/>
      <c r="H57" s="223"/>
      <c r="I57" s="223"/>
      <c r="J57" s="223"/>
      <c r="K57" s="223"/>
      <c r="L57" s="223"/>
      <c r="M57" s="223"/>
      <c r="N57" s="223"/>
      <c r="O57" s="223"/>
      <c r="P57" s="223"/>
      <c r="Q57" s="223"/>
      <c r="R57" s="223"/>
      <c r="S57" s="223"/>
      <c r="T57" s="223"/>
      <c r="U57" s="223"/>
      <c r="V57" s="223"/>
      <c r="W57" s="223"/>
      <c r="X57" s="223"/>
      <c r="Y57" s="223"/>
      <c r="Z57" s="223"/>
    </row>
    <row r="58" spans="1:26" ht="18" customHeight="1">
      <c r="A58" s="223"/>
      <c r="B58" s="223"/>
      <c r="C58" s="223"/>
      <c r="D58" s="223"/>
      <c r="E58" s="223"/>
      <c r="F58" s="223"/>
      <c r="G58" s="223"/>
      <c r="H58" s="223"/>
      <c r="I58" s="223"/>
      <c r="J58" s="223"/>
      <c r="K58" s="223"/>
      <c r="L58" s="223"/>
      <c r="M58" s="223"/>
      <c r="N58" s="223"/>
      <c r="O58" s="223"/>
      <c r="P58" s="223"/>
      <c r="Q58" s="223"/>
      <c r="R58" s="223"/>
      <c r="S58" s="223"/>
      <c r="T58" s="223"/>
      <c r="U58" s="223"/>
      <c r="V58" s="223"/>
      <c r="W58" s="223"/>
      <c r="X58" s="223"/>
      <c r="Y58" s="223"/>
      <c r="Z58" s="223"/>
    </row>
    <row r="59" spans="1:26" ht="18" customHeight="1">
      <c r="A59" s="14"/>
      <c r="B59" s="134" t="s">
        <v>100</v>
      </c>
      <c r="C59" s="135"/>
      <c r="D59" s="135"/>
      <c r="E59" s="136"/>
      <c r="F59" s="30" t="s">
        <v>141</v>
      </c>
      <c r="G59" s="109" t="s">
        <v>140</v>
      </c>
      <c r="H59" s="104" t="s">
        <v>101</v>
      </c>
      <c r="I59" s="105"/>
      <c r="J59" s="106"/>
      <c r="K59" s="73" t="s">
        <v>104</v>
      </c>
      <c r="L59" s="73" t="s">
        <v>134</v>
      </c>
      <c r="M59" s="73" t="s">
        <v>135</v>
      </c>
      <c r="N59" s="134" t="s">
        <v>100</v>
      </c>
      <c r="O59" s="135"/>
      <c r="P59" s="135"/>
      <c r="Q59" s="135"/>
      <c r="R59" s="136"/>
      <c r="S59" s="30" t="s">
        <v>141</v>
      </c>
      <c r="T59" s="109" t="s">
        <v>140</v>
      </c>
      <c r="U59" s="104" t="s">
        <v>101</v>
      </c>
      <c r="V59" s="105"/>
      <c r="W59" s="106"/>
      <c r="X59" s="73" t="s">
        <v>104</v>
      </c>
      <c r="Y59" s="73" t="s">
        <v>134</v>
      </c>
      <c r="Z59" s="73" t="s">
        <v>135</v>
      </c>
    </row>
    <row r="60" spans="1:26" ht="18" customHeight="1">
      <c r="A60" s="29"/>
      <c r="B60" s="165" t="s">
        <v>187</v>
      </c>
      <c r="C60" s="166"/>
      <c r="D60" s="166"/>
      <c r="E60" s="167"/>
      <c r="F60" s="110">
        <v>2</v>
      </c>
      <c r="G60" s="110" t="s">
        <v>158</v>
      </c>
      <c r="H60" s="193" t="s">
        <v>159</v>
      </c>
      <c r="I60" s="194"/>
      <c r="J60" s="195"/>
      <c r="K60" s="110" t="s">
        <v>158</v>
      </c>
      <c r="L60" s="110" t="s">
        <v>158</v>
      </c>
      <c r="M60" s="110" t="s">
        <v>158</v>
      </c>
      <c r="N60" s="165"/>
      <c r="O60" s="166"/>
      <c r="P60" s="166"/>
      <c r="Q60" s="166"/>
      <c r="R60" s="167"/>
      <c r="S60" s="110"/>
      <c r="T60" s="110"/>
      <c r="U60" s="193"/>
      <c r="V60" s="194"/>
      <c r="W60" s="195"/>
      <c r="X60" s="117"/>
      <c r="Y60" s="110"/>
      <c r="Z60" s="110"/>
    </row>
    <row r="61" spans="1:26" ht="18" customHeight="1">
      <c r="A61" s="29"/>
      <c r="B61" s="168"/>
      <c r="C61" s="169"/>
      <c r="D61" s="169"/>
      <c r="E61" s="170"/>
      <c r="F61" s="111"/>
      <c r="G61" s="111"/>
      <c r="H61" s="174"/>
      <c r="I61" s="175"/>
      <c r="J61" s="176"/>
      <c r="K61" s="115"/>
      <c r="L61" s="111"/>
      <c r="M61" s="111"/>
      <c r="N61" s="168"/>
      <c r="O61" s="169"/>
      <c r="P61" s="169"/>
      <c r="Q61" s="169"/>
      <c r="R61" s="170"/>
      <c r="S61" s="111"/>
      <c r="T61" s="111"/>
      <c r="U61" s="174"/>
      <c r="V61" s="175"/>
      <c r="W61" s="176"/>
      <c r="X61" s="115"/>
      <c r="Y61" s="111"/>
      <c r="Z61" s="111"/>
    </row>
    <row r="62" spans="1:26" ht="18" customHeight="1">
      <c r="A62" s="29"/>
      <c r="B62" s="168"/>
      <c r="C62" s="169"/>
      <c r="D62" s="169"/>
      <c r="E62" s="170"/>
      <c r="F62" s="111"/>
      <c r="G62" s="111"/>
      <c r="H62" s="174"/>
      <c r="I62" s="175"/>
      <c r="J62" s="176"/>
      <c r="K62" s="115"/>
      <c r="L62" s="111"/>
      <c r="M62" s="111"/>
      <c r="N62" s="168"/>
      <c r="O62" s="169"/>
      <c r="P62" s="169"/>
      <c r="Q62" s="169"/>
      <c r="R62" s="170"/>
      <c r="S62" s="111"/>
      <c r="T62" s="111"/>
      <c r="U62" s="174"/>
      <c r="V62" s="175"/>
      <c r="W62" s="176"/>
      <c r="X62" s="115"/>
      <c r="Y62" s="111"/>
      <c r="Z62" s="111"/>
    </row>
    <row r="63" spans="1:26" ht="18" customHeight="1">
      <c r="A63" s="29"/>
      <c r="B63" s="168"/>
      <c r="C63" s="169"/>
      <c r="D63" s="169"/>
      <c r="E63" s="170"/>
      <c r="F63" s="111"/>
      <c r="G63" s="111"/>
      <c r="H63" s="174"/>
      <c r="I63" s="175"/>
      <c r="J63" s="176"/>
      <c r="K63" s="115"/>
      <c r="L63" s="111"/>
      <c r="M63" s="111"/>
      <c r="N63" s="168"/>
      <c r="O63" s="169"/>
      <c r="P63" s="169"/>
      <c r="Q63" s="169"/>
      <c r="R63" s="170"/>
      <c r="S63" s="111"/>
      <c r="T63" s="111"/>
      <c r="U63" s="174"/>
      <c r="V63" s="175"/>
      <c r="W63" s="176"/>
      <c r="X63" s="115"/>
      <c r="Y63" s="111"/>
      <c r="Z63" s="111"/>
    </row>
    <row r="64" spans="1:26" ht="18" customHeight="1">
      <c r="A64" s="29"/>
      <c r="B64" s="168"/>
      <c r="C64" s="169"/>
      <c r="D64" s="169"/>
      <c r="E64" s="170"/>
      <c r="F64" s="111"/>
      <c r="G64" s="111"/>
      <c r="H64" s="174"/>
      <c r="I64" s="175"/>
      <c r="J64" s="176"/>
      <c r="K64" s="115"/>
      <c r="L64" s="111"/>
      <c r="M64" s="111"/>
      <c r="N64" s="168"/>
      <c r="O64" s="169"/>
      <c r="P64" s="169"/>
      <c r="Q64" s="169"/>
      <c r="R64" s="170"/>
      <c r="S64" s="111"/>
      <c r="T64" s="111"/>
      <c r="U64" s="174"/>
      <c r="V64" s="175"/>
      <c r="W64" s="176"/>
      <c r="X64" s="115"/>
      <c r="Y64" s="111"/>
      <c r="Z64" s="111"/>
    </row>
    <row r="65" spans="1:26" ht="18" customHeight="1">
      <c r="A65" s="29"/>
      <c r="B65" s="168"/>
      <c r="C65" s="169"/>
      <c r="D65" s="169"/>
      <c r="E65" s="170"/>
      <c r="F65" s="111"/>
      <c r="G65" s="111"/>
      <c r="H65" s="174"/>
      <c r="I65" s="175"/>
      <c r="J65" s="176"/>
      <c r="K65" s="115"/>
      <c r="L65" s="111"/>
      <c r="M65" s="111"/>
      <c r="N65" s="168"/>
      <c r="O65" s="169"/>
      <c r="P65" s="169"/>
      <c r="Q65" s="169"/>
      <c r="R65" s="170"/>
      <c r="S65" s="111"/>
      <c r="T65" s="111"/>
      <c r="U65" s="174"/>
      <c r="V65" s="175"/>
      <c r="W65" s="176"/>
      <c r="X65" s="115"/>
      <c r="Y65" s="111"/>
      <c r="Z65" s="111"/>
    </row>
    <row r="66" spans="1:26" ht="18" customHeight="1">
      <c r="A66" s="29"/>
      <c r="B66" s="171"/>
      <c r="C66" s="172"/>
      <c r="D66" s="172"/>
      <c r="E66" s="173"/>
      <c r="F66" s="112"/>
      <c r="G66" s="112"/>
      <c r="H66" s="177"/>
      <c r="I66" s="178"/>
      <c r="J66" s="179"/>
      <c r="K66" s="116"/>
      <c r="L66" s="118"/>
      <c r="M66" s="118"/>
      <c r="N66" s="171"/>
      <c r="O66" s="172"/>
      <c r="P66" s="172"/>
      <c r="Q66" s="172"/>
      <c r="R66" s="173"/>
      <c r="S66" s="112"/>
      <c r="T66" s="112"/>
      <c r="U66" s="177"/>
      <c r="V66" s="178"/>
      <c r="W66" s="179"/>
      <c r="X66" s="116"/>
      <c r="Y66" s="118"/>
      <c r="Z66" s="118"/>
    </row>
    <row r="67" spans="1:26" ht="7.5" customHeight="1">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34" t="s">
        <v>100</v>
      </c>
      <c r="C69" s="135"/>
      <c r="D69" s="135"/>
      <c r="E69" s="135"/>
      <c r="F69" s="136"/>
      <c r="G69" s="134" t="s">
        <v>146</v>
      </c>
      <c r="H69" s="135"/>
      <c r="I69" s="135"/>
      <c r="J69" s="135"/>
      <c r="K69" s="135"/>
      <c r="L69" s="135"/>
      <c r="M69" s="136"/>
      <c r="N69" s="190" t="s">
        <v>100</v>
      </c>
      <c r="O69" s="191"/>
      <c r="P69" s="191"/>
      <c r="Q69" s="191"/>
      <c r="R69" s="191"/>
      <c r="S69" s="192"/>
      <c r="T69" s="134" t="s">
        <v>146</v>
      </c>
      <c r="U69" s="135"/>
      <c r="V69" s="135"/>
      <c r="W69" s="135"/>
      <c r="X69" s="135"/>
      <c r="Y69" s="135"/>
      <c r="Z69" s="136"/>
    </row>
    <row r="70" spans="1:26" ht="18" customHeight="1">
      <c r="A70" s="29"/>
      <c r="B70" s="165"/>
      <c r="C70" s="166"/>
      <c r="D70" s="166"/>
      <c r="E70" s="166"/>
      <c r="F70" s="167"/>
      <c r="G70" s="235"/>
      <c r="H70" s="236"/>
      <c r="I70" s="236"/>
      <c r="J70" s="236"/>
      <c r="K70" s="236"/>
      <c r="L70" s="236"/>
      <c r="M70" s="237"/>
      <c r="N70" s="165"/>
      <c r="O70" s="166"/>
      <c r="P70" s="166"/>
      <c r="Q70" s="166"/>
      <c r="R70" s="166"/>
      <c r="S70" s="167"/>
      <c r="T70" s="235"/>
      <c r="U70" s="236"/>
      <c r="V70" s="236"/>
      <c r="W70" s="236"/>
      <c r="X70" s="236"/>
      <c r="Y70" s="236"/>
      <c r="Z70" s="237"/>
    </row>
    <row r="71" spans="1:26" ht="18" customHeight="1">
      <c r="A71" s="29"/>
      <c r="B71" s="168"/>
      <c r="C71" s="169"/>
      <c r="D71" s="169"/>
      <c r="E71" s="169"/>
      <c r="F71" s="170"/>
      <c r="G71" s="210"/>
      <c r="H71" s="211"/>
      <c r="I71" s="211"/>
      <c r="J71" s="211"/>
      <c r="K71" s="211"/>
      <c r="L71" s="211"/>
      <c r="M71" s="212"/>
      <c r="N71" s="168"/>
      <c r="O71" s="169"/>
      <c r="P71" s="169"/>
      <c r="Q71" s="169"/>
      <c r="R71" s="169"/>
      <c r="S71" s="170"/>
      <c r="T71" s="210"/>
      <c r="U71" s="211"/>
      <c r="V71" s="211"/>
      <c r="W71" s="211"/>
      <c r="X71" s="211"/>
      <c r="Y71" s="211"/>
      <c r="Z71" s="212"/>
    </row>
    <row r="72" spans="1:26" ht="18" customHeight="1">
      <c r="A72" s="29"/>
      <c r="B72" s="168"/>
      <c r="C72" s="169"/>
      <c r="D72" s="169"/>
      <c r="E72" s="169"/>
      <c r="F72" s="170"/>
      <c r="G72" s="210"/>
      <c r="H72" s="211"/>
      <c r="I72" s="211"/>
      <c r="J72" s="211"/>
      <c r="K72" s="211"/>
      <c r="L72" s="211"/>
      <c r="M72" s="212"/>
      <c r="N72" s="168"/>
      <c r="O72" s="169"/>
      <c r="P72" s="169"/>
      <c r="Q72" s="169"/>
      <c r="R72" s="169"/>
      <c r="S72" s="170"/>
      <c r="T72" s="210"/>
      <c r="U72" s="211"/>
      <c r="V72" s="211"/>
      <c r="W72" s="211"/>
      <c r="X72" s="211"/>
      <c r="Y72" s="211"/>
      <c r="Z72" s="212"/>
    </row>
    <row r="73" spans="1:26" ht="18" customHeight="1">
      <c r="A73" s="29"/>
      <c r="B73" s="168"/>
      <c r="C73" s="169"/>
      <c r="D73" s="169"/>
      <c r="E73" s="169"/>
      <c r="F73" s="170"/>
      <c r="G73" s="210"/>
      <c r="H73" s="211"/>
      <c r="I73" s="211"/>
      <c r="J73" s="211"/>
      <c r="K73" s="211"/>
      <c r="L73" s="211"/>
      <c r="M73" s="212"/>
      <c r="N73" s="168"/>
      <c r="O73" s="169"/>
      <c r="P73" s="169"/>
      <c r="Q73" s="169"/>
      <c r="R73" s="169"/>
      <c r="S73" s="170"/>
      <c r="T73" s="210"/>
      <c r="U73" s="211"/>
      <c r="V73" s="211"/>
      <c r="W73" s="211"/>
      <c r="X73" s="211"/>
      <c r="Y73" s="211"/>
      <c r="Z73" s="212"/>
    </row>
    <row r="74" spans="1:26" ht="18" customHeight="1">
      <c r="A74" s="29"/>
      <c r="B74" s="168"/>
      <c r="C74" s="169"/>
      <c r="D74" s="169"/>
      <c r="E74" s="169"/>
      <c r="F74" s="170"/>
      <c r="G74" s="210"/>
      <c r="H74" s="211"/>
      <c r="I74" s="211"/>
      <c r="J74" s="211"/>
      <c r="K74" s="211"/>
      <c r="L74" s="211"/>
      <c r="M74" s="212"/>
      <c r="N74" s="168"/>
      <c r="O74" s="169"/>
      <c r="P74" s="169"/>
      <c r="Q74" s="169"/>
      <c r="R74" s="169"/>
      <c r="S74" s="170"/>
      <c r="T74" s="210"/>
      <c r="U74" s="211"/>
      <c r="V74" s="211"/>
      <c r="W74" s="211"/>
      <c r="X74" s="211"/>
      <c r="Y74" s="211"/>
      <c r="Z74" s="212"/>
    </row>
    <row r="75" spans="1:26" ht="18" customHeight="1">
      <c r="A75" s="29"/>
      <c r="B75" s="168"/>
      <c r="C75" s="169"/>
      <c r="D75" s="169"/>
      <c r="E75" s="169"/>
      <c r="F75" s="170"/>
      <c r="G75" s="210"/>
      <c r="H75" s="211"/>
      <c r="I75" s="211"/>
      <c r="J75" s="211"/>
      <c r="K75" s="211"/>
      <c r="L75" s="211"/>
      <c r="M75" s="212"/>
      <c r="N75" s="168"/>
      <c r="O75" s="169"/>
      <c r="P75" s="169"/>
      <c r="Q75" s="169"/>
      <c r="R75" s="169"/>
      <c r="S75" s="170"/>
      <c r="T75" s="210"/>
      <c r="U75" s="211"/>
      <c r="V75" s="211"/>
      <c r="W75" s="211"/>
      <c r="X75" s="211"/>
      <c r="Y75" s="211"/>
      <c r="Z75" s="212"/>
    </row>
    <row r="76" spans="1:26" ht="18" customHeight="1">
      <c r="A76" s="29"/>
      <c r="B76" s="171"/>
      <c r="C76" s="172"/>
      <c r="D76" s="172"/>
      <c r="E76" s="172"/>
      <c r="F76" s="173"/>
      <c r="G76" s="207"/>
      <c r="H76" s="208"/>
      <c r="I76" s="208"/>
      <c r="J76" s="208"/>
      <c r="K76" s="208"/>
      <c r="L76" s="208"/>
      <c r="M76" s="209"/>
      <c r="N76" s="171"/>
      <c r="O76" s="172"/>
      <c r="P76" s="172"/>
      <c r="Q76" s="172"/>
      <c r="R76" s="172"/>
      <c r="S76" s="173"/>
      <c r="T76" s="207"/>
      <c r="U76" s="208"/>
      <c r="V76" s="208"/>
      <c r="W76" s="208"/>
      <c r="X76" s="208"/>
      <c r="Y76" s="208"/>
      <c r="Z76" s="209"/>
    </row>
    <row r="77" spans="1:26" ht="18" customHeight="1">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c r="A78" s="13" t="s">
        <v>142</v>
      </c>
    </row>
    <row r="79" spans="1:26" ht="18.75" customHeight="1">
      <c r="B79" s="76" t="s">
        <v>102</v>
      </c>
      <c r="C79" s="77"/>
      <c r="D79" s="256" t="s">
        <v>190</v>
      </c>
      <c r="E79" s="256"/>
      <c r="F79" s="256"/>
      <c r="G79" s="256"/>
      <c r="H79" s="256"/>
      <c r="I79" s="256"/>
      <c r="J79" s="256"/>
      <c r="K79" s="256"/>
      <c r="L79" s="256"/>
      <c r="M79" s="256"/>
      <c r="N79" s="256"/>
      <c r="O79" s="256"/>
      <c r="P79" s="256"/>
      <c r="Q79" s="256"/>
      <c r="R79" s="256"/>
      <c r="S79" s="256"/>
      <c r="T79" s="256"/>
      <c r="U79" s="256"/>
      <c r="V79" s="256"/>
      <c r="W79" s="256"/>
      <c r="X79" s="256"/>
      <c r="Y79" s="256"/>
      <c r="Z79" s="257"/>
    </row>
    <row r="80" spans="1:26" ht="78" customHeight="1">
      <c r="B80" s="243" t="s">
        <v>108</v>
      </c>
      <c r="C80" s="82" t="s">
        <v>103</v>
      </c>
      <c r="D80" s="258" t="s">
        <v>169</v>
      </c>
      <c r="E80" s="253"/>
      <c r="F80" s="253"/>
      <c r="G80" s="253"/>
      <c r="H80" s="253"/>
      <c r="I80" s="253"/>
      <c r="J80" s="253"/>
      <c r="K80" s="253"/>
      <c r="L80" s="253"/>
      <c r="M80" s="253"/>
      <c r="N80" s="253"/>
      <c r="O80" s="253"/>
      <c r="P80" s="253"/>
      <c r="Q80" s="253"/>
      <c r="R80" s="253"/>
      <c r="S80" s="253"/>
      <c r="T80" s="253"/>
      <c r="U80" s="253"/>
      <c r="V80" s="253"/>
      <c r="W80" s="253"/>
      <c r="X80" s="253"/>
      <c r="Y80" s="253"/>
      <c r="Z80" s="254"/>
    </row>
    <row r="81" spans="1:26" ht="78" customHeight="1">
      <c r="B81" s="244"/>
      <c r="C81" s="107" t="s">
        <v>137</v>
      </c>
      <c r="D81" s="213" t="s">
        <v>170</v>
      </c>
      <c r="E81" s="214"/>
      <c r="F81" s="214"/>
      <c r="G81" s="214"/>
      <c r="H81" s="214"/>
      <c r="I81" s="214"/>
      <c r="J81" s="214"/>
      <c r="K81" s="214"/>
      <c r="L81" s="214"/>
      <c r="M81" s="214"/>
      <c r="N81" s="214"/>
      <c r="O81" s="214"/>
      <c r="P81" s="214"/>
      <c r="Q81" s="214"/>
      <c r="R81" s="214"/>
      <c r="S81" s="214"/>
      <c r="T81" s="214"/>
      <c r="U81" s="214"/>
      <c r="V81" s="214"/>
      <c r="W81" s="214"/>
      <c r="X81" s="214"/>
      <c r="Y81" s="214"/>
      <c r="Z81" s="215"/>
    </row>
    <row r="82" spans="1:26" ht="78" customHeight="1">
      <c r="B82" s="241" t="s">
        <v>109</v>
      </c>
      <c r="C82" s="78" t="s">
        <v>127</v>
      </c>
      <c r="D82" s="213" t="s">
        <v>165</v>
      </c>
      <c r="E82" s="214"/>
      <c r="F82" s="214"/>
      <c r="G82" s="214"/>
      <c r="H82" s="214"/>
      <c r="I82" s="214"/>
      <c r="J82" s="214"/>
      <c r="K82" s="214"/>
      <c r="L82" s="214"/>
      <c r="M82" s="214"/>
      <c r="N82" s="214"/>
      <c r="O82" s="214"/>
      <c r="P82" s="214"/>
      <c r="Q82" s="214"/>
      <c r="R82" s="214"/>
      <c r="S82" s="214"/>
      <c r="T82" s="214"/>
      <c r="U82" s="214"/>
      <c r="V82" s="214"/>
      <c r="W82" s="214"/>
      <c r="X82" s="214"/>
      <c r="Y82" s="214"/>
      <c r="Z82" s="215"/>
    </row>
    <row r="83" spans="1:26" ht="78" customHeight="1">
      <c r="B83" s="242"/>
      <c r="C83" s="108" t="s">
        <v>128</v>
      </c>
      <c r="D83" s="219" t="s">
        <v>166</v>
      </c>
      <c r="E83" s="184"/>
      <c r="F83" s="184"/>
      <c r="G83" s="184"/>
      <c r="H83" s="184"/>
      <c r="I83" s="184"/>
      <c r="J83" s="184"/>
      <c r="K83" s="184"/>
      <c r="L83" s="184"/>
      <c r="M83" s="184"/>
      <c r="N83" s="184"/>
      <c r="O83" s="184"/>
      <c r="P83" s="184"/>
      <c r="Q83" s="184"/>
      <c r="R83" s="184"/>
      <c r="S83" s="184"/>
      <c r="T83" s="184"/>
      <c r="U83" s="184"/>
      <c r="V83" s="184"/>
      <c r="W83" s="184"/>
      <c r="X83" s="184"/>
      <c r="Y83" s="184"/>
      <c r="Z83" s="185"/>
    </row>
    <row r="84" spans="1:26" ht="66" customHeight="1">
      <c r="B84" s="241" t="s">
        <v>110</v>
      </c>
      <c r="C84" s="78" t="s">
        <v>130</v>
      </c>
      <c r="D84" s="220" t="s">
        <v>167</v>
      </c>
      <c r="E84" s="221"/>
      <c r="F84" s="221"/>
      <c r="G84" s="221"/>
      <c r="H84" s="221"/>
      <c r="I84" s="221"/>
      <c r="J84" s="221"/>
      <c r="K84" s="221"/>
      <c r="L84" s="221"/>
      <c r="M84" s="221"/>
      <c r="N84" s="221"/>
      <c r="O84" s="221"/>
      <c r="P84" s="221"/>
      <c r="Q84" s="221"/>
      <c r="R84" s="221"/>
      <c r="S84" s="221"/>
      <c r="T84" s="221"/>
      <c r="U84" s="221"/>
      <c r="V84" s="221"/>
      <c r="W84" s="221"/>
      <c r="X84" s="221"/>
      <c r="Y84" s="221"/>
      <c r="Z84" s="222"/>
    </row>
    <row r="85" spans="1:26" ht="66" customHeight="1">
      <c r="B85" s="242"/>
      <c r="C85" s="79" t="s">
        <v>131</v>
      </c>
      <c r="D85" s="216" t="s">
        <v>168</v>
      </c>
      <c r="E85" s="217"/>
      <c r="F85" s="217"/>
      <c r="G85" s="217"/>
      <c r="H85" s="217"/>
      <c r="I85" s="217"/>
      <c r="J85" s="217"/>
      <c r="K85" s="217"/>
      <c r="L85" s="217"/>
      <c r="M85" s="217"/>
      <c r="N85" s="217"/>
      <c r="O85" s="217"/>
      <c r="P85" s="217"/>
      <c r="Q85" s="217"/>
      <c r="R85" s="217"/>
      <c r="S85" s="217"/>
      <c r="T85" s="217"/>
      <c r="U85" s="217"/>
      <c r="V85" s="217"/>
      <c r="W85" s="217"/>
      <c r="X85" s="217"/>
      <c r="Y85" s="217"/>
      <c r="Z85" s="218"/>
    </row>
    <row r="86" spans="1:26" ht="66" customHeight="1">
      <c r="B86" s="243" t="s">
        <v>138</v>
      </c>
      <c r="C86" s="130" t="s">
        <v>105</v>
      </c>
      <c r="D86" s="252" t="s">
        <v>200</v>
      </c>
      <c r="E86" s="253"/>
      <c r="F86" s="253"/>
      <c r="G86" s="253"/>
      <c r="H86" s="253"/>
      <c r="I86" s="253"/>
      <c r="J86" s="253"/>
      <c r="K86" s="253"/>
      <c r="L86" s="253"/>
      <c r="M86" s="253"/>
      <c r="N86" s="253"/>
      <c r="O86" s="253"/>
      <c r="P86" s="253"/>
      <c r="Q86" s="253"/>
      <c r="R86" s="253"/>
      <c r="S86" s="253"/>
      <c r="T86" s="253"/>
      <c r="U86" s="253"/>
      <c r="V86" s="253"/>
      <c r="W86" s="253"/>
      <c r="X86" s="253"/>
      <c r="Y86" s="253"/>
      <c r="Z86" s="254"/>
    </row>
    <row r="87" spans="1:26" ht="66" customHeight="1">
      <c r="B87" s="245"/>
      <c r="C87" s="128" t="s">
        <v>107</v>
      </c>
      <c r="D87" s="255" t="s">
        <v>201</v>
      </c>
      <c r="E87" s="181"/>
      <c r="F87" s="181"/>
      <c r="G87" s="181"/>
      <c r="H87" s="181"/>
      <c r="I87" s="181"/>
      <c r="J87" s="181"/>
      <c r="K87" s="181"/>
      <c r="L87" s="181"/>
      <c r="M87" s="181"/>
      <c r="N87" s="181"/>
      <c r="O87" s="181"/>
      <c r="P87" s="181"/>
      <c r="Q87" s="181"/>
      <c r="R87" s="181"/>
      <c r="S87" s="181"/>
      <c r="T87" s="181"/>
      <c r="U87" s="181"/>
      <c r="V87" s="181"/>
      <c r="W87" s="181"/>
      <c r="X87" s="181"/>
      <c r="Y87" s="181"/>
      <c r="Z87" s="182"/>
    </row>
    <row r="88" spans="1:26" ht="66" customHeight="1">
      <c r="B88" s="243" t="s">
        <v>139</v>
      </c>
      <c r="C88" s="78" t="s">
        <v>104</v>
      </c>
      <c r="D88" s="246" t="s">
        <v>191</v>
      </c>
      <c r="E88" s="247"/>
      <c r="F88" s="247"/>
      <c r="G88" s="247"/>
      <c r="H88" s="247"/>
      <c r="I88" s="247"/>
      <c r="J88" s="247"/>
      <c r="K88" s="247"/>
      <c r="L88" s="247"/>
      <c r="M88" s="247"/>
      <c r="N88" s="247"/>
      <c r="O88" s="247"/>
      <c r="P88" s="247"/>
      <c r="Q88" s="247"/>
      <c r="R88" s="247"/>
      <c r="S88" s="247"/>
      <c r="T88" s="247"/>
      <c r="U88" s="247"/>
      <c r="V88" s="247"/>
      <c r="W88" s="247"/>
      <c r="X88" s="247"/>
      <c r="Y88" s="247"/>
      <c r="Z88" s="248"/>
    </row>
    <row r="89" spans="1:26" ht="66" customHeight="1">
      <c r="B89" s="245"/>
      <c r="C89" s="128" t="s">
        <v>134</v>
      </c>
      <c r="D89" s="238" t="s">
        <v>202</v>
      </c>
      <c r="E89" s="239"/>
      <c r="F89" s="239"/>
      <c r="G89" s="239"/>
      <c r="H89" s="239"/>
      <c r="I89" s="239"/>
      <c r="J89" s="239"/>
      <c r="K89" s="239"/>
      <c r="L89" s="239"/>
      <c r="M89" s="239"/>
      <c r="N89" s="239"/>
      <c r="O89" s="239"/>
      <c r="P89" s="239"/>
      <c r="Q89" s="239"/>
      <c r="R89" s="239"/>
      <c r="S89" s="239"/>
      <c r="T89" s="239"/>
      <c r="U89" s="239"/>
      <c r="V89" s="239"/>
      <c r="W89" s="239"/>
      <c r="X89" s="239"/>
      <c r="Y89" s="239"/>
      <c r="Z89" s="240"/>
    </row>
    <row r="90" spans="1:26" ht="66" customHeight="1">
      <c r="B90" s="242"/>
      <c r="C90" s="129" t="s">
        <v>135</v>
      </c>
      <c r="D90" s="249" t="s">
        <v>203</v>
      </c>
      <c r="E90" s="250"/>
      <c r="F90" s="250"/>
      <c r="G90" s="250"/>
      <c r="H90" s="250"/>
      <c r="I90" s="250"/>
      <c r="J90" s="250"/>
      <c r="K90" s="250"/>
      <c r="L90" s="250"/>
      <c r="M90" s="250"/>
      <c r="N90" s="250"/>
      <c r="O90" s="250"/>
      <c r="P90" s="250"/>
      <c r="Q90" s="250"/>
      <c r="R90" s="250"/>
      <c r="S90" s="250"/>
      <c r="T90" s="250"/>
      <c r="U90" s="250"/>
      <c r="V90" s="250"/>
      <c r="W90" s="250"/>
      <c r="X90" s="250"/>
      <c r="Y90" s="250"/>
      <c r="Z90" s="251"/>
    </row>
    <row r="91" spans="1:26" ht="6" customHeight="1">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8.75" customHeight="1">
      <c r="A92" s="13" t="s">
        <v>143</v>
      </c>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8.75" customHeight="1">
      <c r="B93" s="196" t="s">
        <v>204</v>
      </c>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8"/>
    </row>
    <row r="94" spans="1:26" ht="18.75" customHeight="1">
      <c r="B94" s="199"/>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200"/>
    </row>
    <row r="95" spans="1:26" ht="18.75" customHeight="1">
      <c r="B95" s="201"/>
      <c r="C95" s="202"/>
      <c r="D95" s="202"/>
      <c r="E95" s="202"/>
      <c r="F95" s="202"/>
      <c r="G95" s="202"/>
      <c r="H95" s="202"/>
      <c r="I95" s="202"/>
      <c r="J95" s="202"/>
      <c r="K95" s="202"/>
      <c r="L95" s="202"/>
      <c r="M95" s="202"/>
      <c r="N95" s="202"/>
      <c r="O95" s="202"/>
      <c r="P95" s="202"/>
      <c r="Q95" s="202"/>
      <c r="R95" s="202"/>
      <c r="S95" s="202"/>
      <c r="T95" s="202"/>
      <c r="U95" s="202"/>
      <c r="V95" s="202"/>
      <c r="W95" s="202"/>
      <c r="X95" s="202"/>
      <c r="Y95" s="202"/>
      <c r="Z95" s="203"/>
    </row>
    <row r="96" spans="1:26" ht="6" customHeight="1"/>
    <row r="97" spans="1:26" ht="15" customHeight="1">
      <c r="A97" s="13" t="s">
        <v>144</v>
      </c>
    </row>
    <row r="98" spans="1:26" ht="15" customHeight="1">
      <c r="B98" s="204" t="s">
        <v>160</v>
      </c>
      <c r="C98" s="205"/>
      <c r="D98" s="205"/>
      <c r="E98" s="205"/>
      <c r="F98" s="205"/>
      <c r="G98" s="205"/>
      <c r="H98" s="205"/>
      <c r="I98" s="205"/>
      <c r="J98" s="205"/>
      <c r="K98" s="205"/>
      <c r="L98" s="205"/>
      <c r="M98" s="205"/>
      <c r="N98" s="205"/>
      <c r="O98" s="205"/>
      <c r="P98" s="205"/>
      <c r="Q98" s="205"/>
      <c r="R98" s="205"/>
      <c r="S98" s="205"/>
      <c r="T98" s="205"/>
      <c r="U98" s="205"/>
      <c r="V98" s="205"/>
      <c r="W98" s="205"/>
      <c r="X98" s="205"/>
      <c r="Y98" s="205"/>
      <c r="Z98" s="206"/>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K60">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tabSelected="1" view="pageBreakPreview" topLeftCell="A4" zoomScaleNormal="100" zoomScaleSheetLayoutView="100" workbookViewId="0">
      <selection activeCell="B21" sqref="B21"/>
    </sheetView>
  </sheetViews>
  <sheetFormatPr defaultColWidth="9"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259" t="s">
        <v>63</v>
      </c>
      <c r="G1" s="259"/>
      <c r="H1" s="259"/>
      <c r="I1" s="259"/>
      <c r="J1" s="259"/>
      <c r="K1" s="259"/>
      <c r="L1" s="259"/>
      <c r="M1" s="259"/>
      <c r="N1" s="259"/>
      <c r="O1" s="259"/>
      <c r="P1" s="259"/>
      <c r="Q1" s="259"/>
      <c r="R1" s="259"/>
    </row>
    <row r="2" spans="1:20" ht="18" customHeight="1">
      <c r="A2" s="260" t="s">
        <v>89</v>
      </c>
      <c r="B2" s="260"/>
      <c r="C2" s="260"/>
      <c r="D2" s="260"/>
      <c r="E2" s="260"/>
      <c r="F2" s="260"/>
      <c r="G2" s="260"/>
      <c r="H2" s="260"/>
      <c r="I2" s="260"/>
      <c r="J2" s="260"/>
      <c r="K2" s="260"/>
      <c r="L2" s="260"/>
      <c r="M2" s="260"/>
      <c r="N2" s="260"/>
      <c r="O2" s="260"/>
      <c r="P2" s="260"/>
      <c r="Q2" s="260"/>
      <c r="R2" s="260"/>
      <c r="S2" s="4"/>
    </row>
    <row r="3" spans="1:20" ht="7.5" customHeight="1">
      <c r="A3" s="36"/>
      <c r="B3" s="36"/>
      <c r="C3" s="36"/>
      <c r="D3" s="36"/>
      <c r="E3" s="36"/>
      <c r="F3" s="36"/>
      <c r="G3" s="36"/>
      <c r="H3" s="36"/>
      <c r="I3" s="36"/>
      <c r="J3" s="36"/>
      <c r="K3" s="36"/>
      <c r="L3" s="36"/>
      <c r="M3" s="36"/>
      <c r="N3" s="36"/>
      <c r="O3" s="36"/>
      <c r="P3" s="36"/>
      <c r="Q3" s="36"/>
      <c r="R3" s="36"/>
    </row>
    <row r="4" spans="1:20" ht="18" customHeight="1">
      <c r="A4" s="4" t="s">
        <v>147</v>
      </c>
      <c r="B4" s="4"/>
      <c r="C4" s="261" t="str">
        <f>'様式１　大学等概要'!E12</f>
        <v>令和２</v>
      </c>
      <c r="D4" s="262"/>
      <c r="E4" s="36" t="s">
        <v>113</v>
      </c>
      <c r="F4" s="36"/>
      <c r="G4" s="36"/>
      <c r="H4" s="36"/>
      <c r="I4" s="36"/>
      <c r="J4" s="83"/>
      <c r="K4" s="36"/>
      <c r="L4" s="36"/>
      <c r="M4" s="113"/>
      <c r="N4" s="113"/>
      <c r="O4" s="113"/>
      <c r="P4" s="113"/>
      <c r="Q4" s="113"/>
      <c r="R4" s="113"/>
    </row>
    <row r="5" spans="1:20" ht="6" customHeight="1">
      <c r="A5" s="36"/>
      <c r="B5" s="36"/>
      <c r="C5" s="36"/>
      <c r="D5" s="36"/>
      <c r="E5" s="36"/>
      <c r="F5" s="36"/>
      <c r="G5" s="36"/>
      <c r="H5" s="36"/>
      <c r="I5" s="36"/>
      <c r="J5" s="36"/>
      <c r="K5" s="36"/>
      <c r="L5" s="36"/>
      <c r="M5" s="36"/>
      <c r="N5" s="36"/>
      <c r="O5" s="36"/>
      <c r="P5" s="36"/>
      <c r="Q5" s="36"/>
      <c r="R5" s="36"/>
    </row>
    <row r="6" spans="1:20" ht="18" customHeight="1">
      <c r="A6" s="4" t="s">
        <v>145</v>
      </c>
      <c r="B6" s="36"/>
      <c r="C6" s="36"/>
      <c r="D6" s="36"/>
      <c r="E6" s="36"/>
      <c r="F6" s="36"/>
      <c r="G6" s="36"/>
      <c r="H6" s="36"/>
      <c r="I6" s="36"/>
      <c r="J6" s="36"/>
      <c r="K6" s="36"/>
      <c r="L6" s="36"/>
      <c r="M6" s="36"/>
      <c r="N6" s="36"/>
      <c r="O6" s="36"/>
      <c r="P6" s="36"/>
      <c r="Q6" s="36"/>
      <c r="R6" s="36"/>
    </row>
    <row r="7" spans="1:20" ht="6" customHeight="1">
      <c r="A7" s="4"/>
      <c r="B7" s="36"/>
      <c r="C7" s="36"/>
      <c r="D7" s="36"/>
      <c r="E7" s="36"/>
      <c r="F7" s="36"/>
      <c r="G7" s="36"/>
      <c r="H7" s="36"/>
      <c r="I7" s="36"/>
      <c r="J7" s="36"/>
      <c r="K7" s="36"/>
      <c r="L7" s="36"/>
      <c r="M7" s="36"/>
      <c r="N7" s="36"/>
      <c r="O7" s="36"/>
      <c r="P7" s="36"/>
      <c r="Q7" s="36"/>
      <c r="R7" s="36"/>
    </row>
    <row r="8" spans="1:20" ht="18" customHeight="1">
      <c r="B8" s="263" t="s">
        <v>79</v>
      </c>
      <c r="C8" s="265" t="s">
        <v>84</v>
      </c>
      <c r="D8" s="267" t="s">
        <v>67</v>
      </c>
      <c r="E8" s="269" t="s">
        <v>90</v>
      </c>
      <c r="F8" s="269"/>
      <c r="G8" s="269" t="s">
        <v>91</v>
      </c>
      <c r="H8" s="269"/>
      <c r="I8" s="269" t="s">
        <v>92</v>
      </c>
      <c r="J8" s="269"/>
      <c r="K8" s="270" t="s">
        <v>93</v>
      </c>
      <c r="L8" s="271"/>
      <c r="M8" s="270" t="s">
        <v>94</v>
      </c>
      <c r="N8" s="271"/>
      <c r="O8" s="270" t="s">
        <v>95</v>
      </c>
      <c r="P8" s="271"/>
      <c r="Q8" s="272" t="s">
        <v>62</v>
      </c>
      <c r="R8" s="274" t="s">
        <v>56</v>
      </c>
      <c r="T8" s="32"/>
    </row>
    <row r="9" spans="1:20" ht="18" customHeight="1">
      <c r="A9" s="4"/>
      <c r="B9" s="264"/>
      <c r="C9" s="266"/>
      <c r="D9" s="268"/>
      <c r="E9" s="41" t="s">
        <v>44</v>
      </c>
      <c r="F9" s="42" t="s">
        <v>43</v>
      </c>
      <c r="G9" s="43" t="s">
        <v>44</v>
      </c>
      <c r="H9" s="44" t="s">
        <v>43</v>
      </c>
      <c r="I9" s="41" t="s">
        <v>44</v>
      </c>
      <c r="J9" s="42" t="s">
        <v>43</v>
      </c>
      <c r="K9" s="43" t="s">
        <v>44</v>
      </c>
      <c r="L9" s="44" t="s">
        <v>43</v>
      </c>
      <c r="M9" s="41" t="s">
        <v>44</v>
      </c>
      <c r="N9" s="42" t="s">
        <v>43</v>
      </c>
      <c r="O9" s="43" t="s">
        <v>44</v>
      </c>
      <c r="P9" s="44" t="s">
        <v>43</v>
      </c>
      <c r="Q9" s="273"/>
      <c r="R9" s="275"/>
      <c r="T9" s="32"/>
    </row>
    <row r="10" spans="1:20" ht="18" customHeight="1">
      <c r="A10" s="45"/>
      <c r="B10" s="84" t="s">
        <v>171</v>
      </c>
      <c r="C10" s="45">
        <v>410</v>
      </c>
      <c r="D10" s="119">
        <v>1640</v>
      </c>
      <c r="E10" s="47">
        <v>414</v>
      </c>
      <c r="F10" s="48">
        <v>408</v>
      </c>
      <c r="G10" s="49">
        <v>417</v>
      </c>
      <c r="H10" s="50">
        <v>404</v>
      </c>
      <c r="I10" s="47"/>
      <c r="J10" s="48"/>
      <c r="K10" s="49"/>
      <c r="L10" s="50"/>
      <c r="M10" s="47"/>
      <c r="N10" s="48"/>
      <c r="O10" s="49"/>
      <c r="P10" s="50"/>
      <c r="Q10" s="51">
        <f>E10+G10+I10+K10+M10+O10</f>
        <v>831</v>
      </c>
      <c r="R10" s="52">
        <f>Q10/D10</f>
        <v>0.50670731707317074</v>
      </c>
    </row>
    <row r="11" spans="1:20" ht="18" customHeight="1">
      <c r="A11" s="45"/>
      <c r="B11" s="85" t="s">
        <v>172</v>
      </c>
      <c r="C11" s="61">
        <v>190</v>
      </c>
      <c r="D11" s="120">
        <v>810</v>
      </c>
      <c r="E11" s="55">
        <v>191</v>
      </c>
      <c r="F11" s="56">
        <v>185</v>
      </c>
      <c r="G11" s="57">
        <v>194</v>
      </c>
      <c r="H11" s="58">
        <v>191</v>
      </c>
      <c r="I11" s="55"/>
      <c r="J11" s="56"/>
      <c r="K11" s="57"/>
      <c r="L11" s="58"/>
      <c r="M11" s="55"/>
      <c r="N11" s="56"/>
      <c r="O11" s="57"/>
      <c r="P11" s="58"/>
      <c r="Q11" s="59">
        <f t="shared" ref="Q11:Q19" si="0">E11+G11+I11+K11+M11+O11</f>
        <v>385</v>
      </c>
      <c r="R11" s="60">
        <f t="shared" ref="R11:R19" si="1">Q11/D11</f>
        <v>0.47530864197530864</v>
      </c>
    </row>
    <row r="12" spans="1:20" ht="18" customHeight="1">
      <c r="A12" s="45"/>
      <c r="B12" s="85" t="s">
        <v>173</v>
      </c>
      <c r="C12" s="61">
        <v>185</v>
      </c>
      <c r="D12" s="120">
        <v>740</v>
      </c>
      <c r="E12" s="55">
        <v>193</v>
      </c>
      <c r="F12" s="56">
        <v>190</v>
      </c>
      <c r="G12" s="57">
        <v>198</v>
      </c>
      <c r="H12" s="58">
        <v>178</v>
      </c>
      <c r="I12" s="55"/>
      <c r="J12" s="56"/>
      <c r="K12" s="57"/>
      <c r="L12" s="58"/>
      <c r="M12" s="55"/>
      <c r="N12" s="56"/>
      <c r="O12" s="57"/>
      <c r="P12" s="58"/>
      <c r="Q12" s="59">
        <f t="shared" si="0"/>
        <v>391</v>
      </c>
      <c r="R12" s="60">
        <f t="shared" si="1"/>
        <v>0.52837837837837842</v>
      </c>
    </row>
    <row r="13" spans="1:20" ht="18" customHeight="1">
      <c r="A13" s="45"/>
      <c r="B13" s="85" t="s">
        <v>174</v>
      </c>
      <c r="C13" s="61">
        <v>110</v>
      </c>
      <c r="D13" s="120">
        <v>648</v>
      </c>
      <c r="E13" s="55">
        <v>110</v>
      </c>
      <c r="F13" s="56">
        <v>108</v>
      </c>
      <c r="G13" s="126">
        <v>109</v>
      </c>
      <c r="H13" s="127">
        <v>108</v>
      </c>
      <c r="I13" s="55"/>
      <c r="J13" s="56"/>
      <c r="K13" s="57"/>
      <c r="L13" s="58"/>
      <c r="M13" s="55"/>
      <c r="N13" s="56"/>
      <c r="O13" s="57"/>
      <c r="P13" s="58"/>
      <c r="Q13" s="59">
        <f t="shared" si="0"/>
        <v>219</v>
      </c>
      <c r="R13" s="60">
        <f t="shared" si="1"/>
        <v>0.33796296296296297</v>
      </c>
    </row>
    <row r="14" spans="1:20" ht="18" customHeight="1">
      <c r="A14" s="45"/>
      <c r="B14" s="85" t="s">
        <v>175</v>
      </c>
      <c r="C14" s="61">
        <v>120</v>
      </c>
      <c r="D14" s="120">
        <v>480</v>
      </c>
      <c r="E14" s="55">
        <v>120</v>
      </c>
      <c r="F14" s="56">
        <v>120</v>
      </c>
      <c r="G14" s="126">
        <v>123</v>
      </c>
      <c r="H14" s="127">
        <v>122</v>
      </c>
      <c r="I14" s="55"/>
      <c r="J14" s="56"/>
      <c r="K14" s="57"/>
      <c r="L14" s="58"/>
      <c r="M14" s="55"/>
      <c r="N14" s="56"/>
      <c r="O14" s="57"/>
      <c r="P14" s="58"/>
      <c r="Q14" s="59">
        <f t="shared" si="0"/>
        <v>243</v>
      </c>
      <c r="R14" s="60">
        <f t="shared" si="1"/>
        <v>0.50624999999999998</v>
      </c>
    </row>
    <row r="15" spans="1:20" ht="18" customHeight="1">
      <c r="A15" s="45"/>
      <c r="B15" s="85" t="s">
        <v>176</v>
      </c>
      <c r="C15" s="61">
        <v>53</v>
      </c>
      <c r="D15" s="120">
        <v>318</v>
      </c>
      <c r="E15" s="55">
        <v>53</v>
      </c>
      <c r="F15" s="56">
        <v>52</v>
      </c>
      <c r="G15" s="57">
        <v>53</v>
      </c>
      <c r="H15" s="58">
        <v>51</v>
      </c>
      <c r="I15" s="55"/>
      <c r="J15" s="56"/>
      <c r="K15" s="57"/>
      <c r="L15" s="58"/>
      <c r="M15" s="55"/>
      <c r="N15" s="56"/>
      <c r="O15" s="57"/>
      <c r="P15" s="58"/>
      <c r="Q15" s="59">
        <f t="shared" si="0"/>
        <v>106</v>
      </c>
      <c r="R15" s="60">
        <f t="shared" si="1"/>
        <v>0.33333333333333331</v>
      </c>
    </row>
    <row r="16" spans="1:20" ht="18" customHeight="1">
      <c r="A16" s="45"/>
      <c r="B16" s="85" t="s">
        <v>177</v>
      </c>
      <c r="C16" s="61">
        <v>440</v>
      </c>
      <c r="D16" s="120">
        <v>1760</v>
      </c>
      <c r="E16" s="55">
        <v>445</v>
      </c>
      <c r="F16" s="56">
        <v>437</v>
      </c>
      <c r="G16" s="57">
        <v>450</v>
      </c>
      <c r="H16" s="58">
        <v>443</v>
      </c>
      <c r="I16" s="55"/>
      <c r="J16" s="56"/>
      <c r="K16" s="57"/>
      <c r="L16" s="58"/>
      <c r="M16" s="55"/>
      <c r="N16" s="56"/>
      <c r="O16" s="57"/>
      <c r="P16" s="58"/>
      <c r="Q16" s="59">
        <f t="shared" si="0"/>
        <v>895</v>
      </c>
      <c r="R16" s="60">
        <f t="shared" si="1"/>
        <v>0.50852272727272729</v>
      </c>
    </row>
    <row r="17" spans="1:18" ht="18" customHeight="1">
      <c r="A17" s="45"/>
      <c r="B17" s="85" t="s">
        <v>178</v>
      </c>
      <c r="C17" s="61">
        <v>205</v>
      </c>
      <c r="D17" s="120">
        <v>820</v>
      </c>
      <c r="E17" s="55">
        <v>214</v>
      </c>
      <c r="F17" s="56">
        <v>211</v>
      </c>
      <c r="G17" s="57">
        <v>225</v>
      </c>
      <c r="H17" s="58">
        <v>221</v>
      </c>
      <c r="I17" s="55"/>
      <c r="J17" s="56"/>
      <c r="K17" s="57"/>
      <c r="L17" s="58"/>
      <c r="M17" s="55"/>
      <c r="N17" s="56"/>
      <c r="O17" s="57"/>
      <c r="P17" s="58"/>
      <c r="Q17" s="59">
        <f t="shared" si="0"/>
        <v>439</v>
      </c>
      <c r="R17" s="60">
        <f t="shared" si="1"/>
        <v>0.53536585365853662</v>
      </c>
    </row>
    <row r="18" spans="1:18" ht="18" customHeight="1">
      <c r="A18" s="45"/>
      <c r="B18" s="85" t="s">
        <v>179</v>
      </c>
      <c r="C18" s="61">
        <v>140</v>
      </c>
      <c r="D18" s="120">
        <v>560</v>
      </c>
      <c r="E18" s="55">
        <v>145</v>
      </c>
      <c r="F18" s="56">
        <v>142</v>
      </c>
      <c r="G18" s="57">
        <v>153</v>
      </c>
      <c r="H18" s="58">
        <v>148</v>
      </c>
      <c r="I18" s="55"/>
      <c r="J18" s="56"/>
      <c r="K18" s="57"/>
      <c r="L18" s="58"/>
      <c r="M18" s="55"/>
      <c r="N18" s="56"/>
      <c r="O18" s="57"/>
      <c r="P18" s="58"/>
      <c r="Q18" s="59">
        <f>E18+G18+I18+K18+M18+O18</f>
        <v>298</v>
      </c>
      <c r="R18" s="60">
        <f t="shared" si="1"/>
        <v>0.53214285714285714</v>
      </c>
    </row>
    <row r="19" spans="1:18" ht="18" customHeight="1">
      <c r="A19" s="45"/>
      <c r="B19" s="85" t="s">
        <v>180</v>
      </c>
      <c r="C19" s="61">
        <v>30</v>
      </c>
      <c r="D19" s="120">
        <v>180</v>
      </c>
      <c r="E19" s="121">
        <v>31</v>
      </c>
      <c r="F19" s="122">
        <v>30.5</v>
      </c>
      <c r="G19" s="123">
        <v>31</v>
      </c>
      <c r="H19" s="124">
        <v>31</v>
      </c>
      <c r="I19" s="121"/>
      <c r="J19" s="122"/>
      <c r="K19" s="123"/>
      <c r="L19" s="124"/>
      <c r="M19" s="121"/>
      <c r="N19" s="122"/>
      <c r="O19" s="123"/>
      <c r="P19" s="124"/>
      <c r="Q19" s="59">
        <f t="shared" si="0"/>
        <v>62</v>
      </c>
      <c r="R19" s="60">
        <f t="shared" si="1"/>
        <v>0.34444444444444444</v>
      </c>
    </row>
    <row r="20" spans="1:18" ht="18" customHeight="1">
      <c r="A20" s="45"/>
      <c r="B20" s="85"/>
      <c r="C20" s="61"/>
      <c r="D20" s="54"/>
      <c r="E20" s="55"/>
      <c r="F20" s="56"/>
      <c r="G20" s="57"/>
      <c r="H20" s="58"/>
      <c r="I20" s="55"/>
      <c r="J20" s="56"/>
      <c r="K20" s="57"/>
      <c r="L20" s="58"/>
      <c r="M20" s="55"/>
      <c r="N20" s="56"/>
      <c r="O20" s="57"/>
      <c r="P20" s="58"/>
      <c r="Q20" s="59"/>
      <c r="R20" s="60"/>
    </row>
    <row r="21" spans="1:18" ht="35.25" customHeight="1">
      <c r="A21" s="45"/>
      <c r="B21" s="125"/>
      <c r="C21" s="61"/>
      <c r="D21" s="54"/>
      <c r="E21" s="55"/>
      <c r="F21" s="56"/>
      <c r="G21" s="57"/>
      <c r="H21" s="58"/>
      <c r="I21" s="55"/>
      <c r="J21" s="56"/>
      <c r="K21" s="57"/>
      <c r="L21" s="58"/>
      <c r="M21" s="55"/>
      <c r="N21" s="56"/>
      <c r="O21" s="57"/>
      <c r="P21" s="58"/>
      <c r="Q21" s="59"/>
      <c r="R21" s="60"/>
    </row>
    <row r="22" spans="1:18" ht="18" customHeight="1">
      <c r="A22" s="45"/>
      <c r="B22" s="85"/>
      <c r="C22" s="61"/>
      <c r="D22" s="54"/>
      <c r="E22" s="55"/>
      <c r="F22" s="56"/>
      <c r="G22" s="57"/>
      <c r="H22" s="58"/>
      <c r="I22" s="55"/>
      <c r="J22" s="56"/>
      <c r="K22" s="57"/>
      <c r="L22" s="58"/>
      <c r="M22" s="55"/>
      <c r="N22" s="56"/>
      <c r="O22" s="57"/>
      <c r="P22" s="58"/>
      <c r="Q22" s="59"/>
      <c r="R22" s="60"/>
    </row>
    <row r="23" spans="1:18" ht="18" customHeight="1">
      <c r="A23" s="45"/>
      <c r="B23" s="85"/>
      <c r="C23" s="61"/>
      <c r="D23" s="54"/>
      <c r="E23" s="55"/>
      <c r="F23" s="56"/>
      <c r="G23" s="57"/>
      <c r="H23" s="58"/>
      <c r="I23" s="55"/>
      <c r="J23" s="56"/>
      <c r="K23" s="57"/>
      <c r="L23" s="58"/>
      <c r="M23" s="55"/>
      <c r="N23" s="56"/>
      <c r="O23" s="57"/>
      <c r="P23" s="58"/>
      <c r="Q23" s="59"/>
      <c r="R23" s="60"/>
    </row>
    <row r="24" spans="1:18" ht="18" customHeight="1">
      <c r="A24" s="45"/>
      <c r="B24" s="85"/>
      <c r="C24" s="61"/>
      <c r="D24" s="54"/>
      <c r="E24" s="55"/>
      <c r="F24" s="56"/>
      <c r="G24" s="57"/>
      <c r="H24" s="58"/>
      <c r="I24" s="55"/>
      <c r="J24" s="56"/>
      <c r="K24" s="57"/>
      <c r="L24" s="58"/>
      <c r="M24" s="55"/>
      <c r="N24" s="56"/>
      <c r="O24" s="57"/>
      <c r="P24" s="58"/>
      <c r="Q24" s="59"/>
      <c r="R24" s="60"/>
    </row>
    <row r="25" spans="1:18" ht="18" customHeight="1">
      <c r="A25" s="45"/>
      <c r="B25" s="85"/>
      <c r="C25" s="61"/>
      <c r="D25" s="54"/>
      <c r="E25" s="55"/>
      <c r="F25" s="56"/>
      <c r="G25" s="57"/>
      <c r="H25" s="58"/>
      <c r="I25" s="55"/>
      <c r="J25" s="56"/>
      <c r="K25" s="57"/>
      <c r="L25" s="58"/>
      <c r="M25" s="55"/>
      <c r="N25" s="56"/>
      <c r="O25" s="57"/>
      <c r="P25" s="58"/>
      <c r="Q25" s="59"/>
      <c r="R25" s="60"/>
    </row>
    <row r="26" spans="1:18" ht="18" customHeight="1">
      <c r="A26" s="45"/>
      <c r="B26" s="85"/>
      <c r="C26" s="61"/>
      <c r="D26" s="54"/>
      <c r="E26" s="55"/>
      <c r="F26" s="56"/>
      <c r="G26" s="57"/>
      <c r="H26" s="58"/>
      <c r="I26" s="55"/>
      <c r="J26" s="56"/>
      <c r="K26" s="57"/>
      <c r="L26" s="58"/>
      <c r="M26" s="55"/>
      <c r="N26" s="56"/>
      <c r="O26" s="57"/>
      <c r="P26" s="58"/>
      <c r="Q26" s="59"/>
      <c r="R26" s="60"/>
    </row>
    <row r="27" spans="1:18" ht="18" customHeight="1">
      <c r="A27" s="45"/>
      <c r="B27" s="85"/>
      <c r="C27" s="53"/>
      <c r="D27" s="54"/>
      <c r="E27" s="55"/>
      <c r="F27" s="56"/>
      <c r="G27" s="57"/>
      <c r="H27" s="58"/>
      <c r="I27" s="55"/>
      <c r="J27" s="56"/>
      <c r="K27" s="57"/>
      <c r="L27" s="58"/>
      <c r="M27" s="55"/>
      <c r="N27" s="56"/>
      <c r="O27" s="57"/>
      <c r="P27" s="58"/>
      <c r="Q27" s="59"/>
      <c r="R27" s="60"/>
    </row>
    <row r="28" spans="1:18" ht="18" customHeight="1">
      <c r="A28" s="45"/>
      <c r="B28" s="85"/>
      <c r="C28" s="53"/>
      <c r="D28" s="54"/>
      <c r="E28" s="55"/>
      <c r="F28" s="56"/>
      <c r="G28" s="57"/>
      <c r="H28" s="58"/>
      <c r="I28" s="55"/>
      <c r="J28" s="56"/>
      <c r="K28" s="57"/>
      <c r="L28" s="58"/>
      <c r="M28" s="55"/>
      <c r="N28" s="56"/>
      <c r="O28" s="57"/>
      <c r="P28" s="58"/>
      <c r="Q28" s="59"/>
      <c r="R28" s="60"/>
    </row>
    <row r="29" spans="1:18" ht="18" customHeight="1" thickBot="1">
      <c r="A29" s="45"/>
      <c r="B29" s="86"/>
      <c r="C29" s="87"/>
      <c r="D29" s="46"/>
      <c r="E29" s="47"/>
      <c r="F29" s="48"/>
      <c r="G29" s="49"/>
      <c r="H29" s="50"/>
      <c r="I29" s="47"/>
      <c r="J29" s="48"/>
      <c r="K29" s="49"/>
      <c r="L29" s="50"/>
      <c r="M29" s="47"/>
      <c r="N29" s="48"/>
      <c r="O29" s="49"/>
      <c r="P29" s="50"/>
      <c r="Q29" s="62"/>
      <c r="R29" s="52"/>
    </row>
    <row r="30" spans="1:18" ht="18" customHeight="1" thickTop="1">
      <c r="B30" s="88" t="s">
        <v>57</v>
      </c>
      <c r="C30" s="89">
        <f t="shared" ref="C30:Q30" si="2">SUM(C10:C29)</f>
        <v>1883</v>
      </c>
      <c r="D30" s="63">
        <f t="shared" si="2"/>
        <v>7956</v>
      </c>
      <c r="E30" s="64">
        <f t="shared" si="2"/>
        <v>1916</v>
      </c>
      <c r="F30" s="65">
        <f t="shared" si="2"/>
        <v>1883.5</v>
      </c>
      <c r="G30" s="66">
        <f t="shared" si="2"/>
        <v>1953</v>
      </c>
      <c r="H30" s="67">
        <f t="shared" si="2"/>
        <v>1897</v>
      </c>
      <c r="I30" s="64">
        <f t="shared" si="2"/>
        <v>0</v>
      </c>
      <c r="J30" s="65">
        <f t="shared" si="2"/>
        <v>0</v>
      </c>
      <c r="K30" s="66">
        <f t="shared" si="2"/>
        <v>0</v>
      </c>
      <c r="L30" s="67">
        <f t="shared" si="2"/>
        <v>0</v>
      </c>
      <c r="M30" s="64">
        <f t="shared" si="2"/>
        <v>0</v>
      </c>
      <c r="N30" s="65">
        <f t="shared" si="2"/>
        <v>0</v>
      </c>
      <c r="O30" s="66">
        <f t="shared" si="2"/>
        <v>0</v>
      </c>
      <c r="P30" s="67">
        <f t="shared" si="2"/>
        <v>0</v>
      </c>
      <c r="Q30" s="68">
        <f t="shared" si="2"/>
        <v>3869</v>
      </c>
      <c r="R30" s="69">
        <f>Q30/D30</f>
        <v>0.48629964806435394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13" zoomScaleNormal="100" zoomScaleSheetLayoutView="100" workbookViewId="0">
      <selection activeCell="F29" sqref="F29"/>
    </sheetView>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c r="A1" s="2" t="s">
        <v>114</v>
      </c>
      <c r="J1" s="39" t="s">
        <v>115</v>
      </c>
    </row>
    <row r="2" spans="1:11" ht="18.75" customHeight="1">
      <c r="A2" s="260" t="s">
        <v>64</v>
      </c>
      <c r="B2" s="260"/>
      <c r="C2" s="260"/>
      <c r="D2" s="260"/>
      <c r="E2" s="260"/>
      <c r="F2" s="260"/>
      <c r="G2" s="260"/>
      <c r="H2" s="260"/>
      <c r="I2" s="260"/>
      <c r="J2" s="260"/>
    </row>
    <row r="3" spans="1:11" ht="7.5" customHeight="1">
      <c r="B3" s="36"/>
      <c r="C3" s="36"/>
      <c r="D3" s="36"/>
      <c r="E3" s="36"/>
      <c r="F3" s="36"/>
      <c r="G3" s="36"/>
      <c r="H3" s="36"/>
      <c r="I3" s="36"/>
      <c r="J3" s="36"/>
    </row>
    <row r="4" spans="1:11" ht="18.75" customHeight="1">
      <c r="A4" s="1" t="s">
        <v>6</v>
      </c>
      <c r="B4" s="4" t="s">
        <v>72</v>
      </c>
      <c r="C4" s="4"/>
      <c r="D4" s="4"/>
      <c r="E4" s="4"/>
      <c r="F4" s="4"/>
      <c r="G4" s="4"/>
      <c r="H4" s="4"/>
      <c r="I4" s="36"/>
      <c r="J4" s="36"/>
    </row>
    <row r="5" spans="1:11" ht="18.75" customHeight="1">
      <c r="A5" s="1"/>
      <c r="B5" s="163" t="s">
        <v>164</v>
      </c>
      <c r="C5" s="164"/>
      <c r="D5" s="164"/>
      <c r="E5" s="164"/>
      <c r="F5" s="164"/>
      <c r="G5" s="164"/>
      <c r="H5" s="164"/>
      <c r="I5" s="164"/>
      <c r="J5" s="297"/>
      <c r="K5" s="31" t="str">
        <f>IF(B5="","入力してください","")</f>
        <v/>
      </c>
    </row>
    <row r="6" spans="1:11" ht="7.5" customHeight="1">
      <c r="B6" s="36"/>
      <c r="C6" s="36"/>
      <c r="D6" s="36"/>
      <c r="E6" s="36"/>
      <c r="F6" s="36"/>
      <c r="G6" s="36"/>
      <c r="H6" s="36"/>
      <c r="I6" s="36"/>
      <c r="J6" s="36"/>
    </row>
    <row r="7" spans="1:11" s="4" customFormat="1" ht="18.75" customHeight="1">
      <c r="A7" s="1" t="s">
        <v>10</v>
      </c>
      <c r="B7" s="1" t="s">
        <v>39</v>
      </c>
      <c r="C7" s="1"/>
      <c r="D7" s="1"/>
      <c r="E7" s="1"/>
      <c r="F7" s="1"/>
      <c r="G7" s="1"/>
      <c r="H7" s="1"/>
      <c r="I7" s="1"/>
      <c r="J7" s="1"/>
      <c r="K7" s="33"/>
    </row>
    <row r="8" spans="1:11" s="4" customFormat="1" ht="18.75" customHeight="1">
      <c r="A8" s="90"/>
      <c r="B8" s="298" t="s">
        <v>205</v>
      </c>
      <c r="C8" s="277"/>
      <c r="D8" s="277"/>
      <c r="E8" s="277"/>
      <c r="F8" s="277"/>
      <c r="G8" s="277"/>
      <c r="H8" s="277"/>
      <c r="I8" s="285"/>
      <c r="J8" s="286"/>
      <c r="K8" s="31" t="str">
        <f>IF(B8="","入力してください","")</f>
        <v/>
      </c>
    </row>
    <row r="9" spans="1:11" s="4" customFormat="1" ht="18.75" customHeight="1">
      <c r="A9" s="90"/>
      <c r="B9" s="287"/>
      <c r="C9" s="288"/>
      <c r="D9" s="288"/>
      <c r="E9" s="288"/>
      <c r="F9" s="288"/>
      <c r="G9" s="288"/>
      <c r="H9" s="288"/>
      <c r="I9" s="288"/>
      <c r="J9" s="289"/>
      <c r="K9" s="31"/>
    </row>
    <row r="10" spans="1:11" s="4" customFormat="1" ht="18.75" customHeight="1">
      <c r="A10" s="90"/>
      <c r="B10" s="287"/>
      <c r="C10" s="288"/>
      <c r="D10" s="288"/>
      <c r="E10" s="288"/>
      <c r="F10" s="288"/>
      <c r="G10" s="288"/>
      <c r="H10" s="288"/>
      <c r="I10" s="288"/>
      <c r="J10" s="289"/>
      <c r="K10" s="31"/>
    </row>
    <row r="11" spans="1:11" s="4" customFormat="1" ht="18.75" customHeight="1">
      <c r="A11" s="90"/>
      <c r="B11" s="287"/>
      <c r="C11" s="288"/>
      <c r="D11" s="288"/>
      <c r="E11" s="288"/>
      <c r="F11" s="288"/>
      <c r="G11" s="288"/>
      <c r="H11" s="288"/>
      <c r="I11" s="288"/>
      <c r="J11" s="289"/>
      <c r="K11" s="31"/>
    </row>
    <row r="12" spans="1:11" s="4" customFormat="1" ht="29.25" customHeight="1">
      <c r="A12" s="90"/>
      <c r="B12" s="290"/>
      <c r="C12" s="291"/>
      <c r="D12" s="291"/>
      <c r="E12" s="291"/>
      <c r="F12" s="291"/>
      <c r="G12" s="291"/>
      <c r="H12" s="291"/>
      <c r="I12" s="291"/>
      <c r="J12" s="292"/>
      <c r="K12" s="31"/>
    </row>
    <row r="13" spans="1:11" s="4" customFormat="1" ht="7.5" customHeight="1">
      <c r="A13" s="90"/>
      <c r="B13" s="90"/>
      <c r="C13" s="90"/>
      <c r="D13" s="90"/>
      <c r="E13" s="90"/>
      <c r="F13" s="90"/>
      <c r="G13" s="90"/>
      <c r="H13" s="90"/>
      <c r="I13" s="90"/>
      <c r="J13" s="90"/>
      <c r="K13" s="31"/>
    </row>
    <row r="14" spans="1:11" s="4" customFormat="1" ht="18.75" customHeight="1">
      <c r="A14" s="91" t="s">
        <v>11</v>
      </c>
      <c r="B14" s="91" t="s">
        <v>16</v>
      </c>
      <c r="C14" s="91"/>
      <c r="D14" s="91"/>
      <c r="E14" s="91"/>
      <c r="F14" s="91"/>
      <c r="G14" s="91"/>
      <c r="H14" s="91"/>
      <c r="I14" s="91"/>
      <c r="J14" s="91"/>
      <c r="K14" s="31"/>
    </row>
    <row r="15" spans="1:11" s="4" customFormat="1" ht="18.75" customHeight="1">
      <c r="A15" s="90"/>
      <c r="B15" s="299" t="s">
        <v>189</v>
      </c>
      <c r="C15" s="300"/>
      <c r="D15" s="300"/>
      <c r="E15" s="300"/>
      <c r="F15" s="300"/>
      <c r="G15" s="300"/>
      <c r="H15" s="300"/>
      <c r="I15" s="301"/>
      <c r="J15" s="302"/>
      <c r="K15" s="31"/>
    </row>
    <row r="16" spans="1:11" s="4" customFormat="1" ht="18.75" customHeight="1">
      <c r="A16" s="90"/>
      <c r="B16" s="303"/>
      <c r="C16" s="304"/>
      <c r="D16" s="304"/>
      <c r="E16" s="304"/>
      <c r="F16" s="304"/>
      <c r="G16" s="304"/>
      <c r="H16" s="304"/>
      <c r="I16" s="304"/>
      <c r="J16" s="305"/>
      <c r="K16" s="31"/>
    </row>
    <row r="17" spans="1:11" s="4" customFormat="1" ht="18.75" customHeight="1">
      <c r="A17" s="90"/>
      <c r="B17" s="303"/>
      <c r="C17" s="304"/>
      <c r="D17" s="304"/>
      <c r="E17" s="304"/>
      <c r="F17" s="304"/>
      <c r="G17" s="304"/>
      <c r="H17" s="304"/>
      <c r="I17" s="304"/>
      <c r="J17" s="305"/>
      <c r="K17" s="31"/>
    </row>
    <row r="18" spans="1:11" s="4" customFormat="1" ht="18.75" customHeight="1">
      <c r="A18" s="90"/>
      <c r="B18" s="303"/>
      <c r="C18" s="304"/>
      <c r="D18" s="304"/>
      <c r="E18" s="304"/>
      <c r="F18" s="304"/>
      <c r="G18" s="304"/>
      <c r="H18" s="304"/>
      <c r="I18" s="304"/>
      <c r="J18" s="305"/>
      <c r="K18" s="31"/>
    </row>
    <row r="19" spans="1:11" s="4" customFormat="1" ht="18.75" customHeight="1">
      <c r="A19" s="90"/>
      <c r="B19" s="303"/>
      <c r="C19" s="304"/>
      <c r="D19" s="304"/>
      <c r="E19" s="304"/>
      <c r="F19" s="304"/>
      <c r="G19" s="304"/>
      <c r="H19" s="304"/>
      <c r="I19" s="304"/>
      <c r="J19" s="305"/>
      <c r="K19" s="31"/>
    </row>
    <row r="20" spans="1:11" s="4" customFormat="1" ht="18.75" customHeight="1">
      <c r="A20" s="90"/>
      <c r="B20" s="303"/>
      <c r="C20" s="304"/>
      <c r="D20" s="304"/>
      <c r="E20" s="304"/>
      <c r="F20" s="304"/>
      <c r="G20" s="304"/>
      <c r="H20" s="304"/>
      <c r="I20" s="304"/>
      <c r="J20" s="305"/>
      <c r="K20" s="31"/>
    </row>
    <row r="21" spans="1:11" s="4" customFormat="1" ht="18.75" customHeight="1">
      <c r="A21" s="90"/>
      <c r="B21" s="303"/>
      <c r="C21" s="304"/>
      <c r="D21" s="304"/>
      <c r="E21" s="304"/>
      <c r="F21" s="304"/>
      <c r="G21" s="304"/>
      <c r="H21" s="304"/>
      <c r="I21" s="304"/>
      <c r="J21" s="305"/>
      <c r="K21" s="31"/>
    </row>
    <row r="22" spans="1:11" s="4" customFormat="1" ht="18.75" customHeight="1">
      <c r="A22" s="90"/>
      <c r="B22" s="303"/>
      <c r="C22" s="304"/>
      <c r="D22" s="304"/>
      <c r="E22" s="304"/>
      <c r="F22" s="304"/>
      <c r="G22" s="304"/>
      <c r="H22" s="304"/>
      <c r="I22" s="304"/>
      <c r="J22" s="305"/>
      <c r="K22" s="31"/>
    </row>
    <row r="23" spans="1:11" s="4" customFormat="1" ht="18.75" customHeight="1">
      <c r="A23" s="90"/>
      <c r="B23" s="303"/>
      <c r="C23" s="304"/>
      <c r="D23" s="304"/>
      <c r="E23" s="304"/>
      <c r="F23" s="304"/>
      <c r="G23" s="304"/>
      <c r="H23" s="304"/>
      <c r="I23" s="304"/>
      <c r="J23" s="305"/>
      <c r="K23" s="31"/>
    </row>
    <row r="24" spans="1:11" s="4" customFormat="1" ht="18.75" customHeight="1">
      <c r="A24" s="90"/>
      <c r="B24" s="303"/>
      <c r="C24" s="304"/>
      <c r="D24" s="304"/>
      <c r="E24" s="304"/>
      <c r="F24" s="304"/>
      <c r="G24" s="304"/>
      <c r="H24" s="304"/>
      <c r="I24" s="304"/>
      <c r="J24" s="305"/>
      <c r="K24" s="31"/>
    </row>
    <row r="25" spans="1:11" s="4" customFormat="1" ht="33" customHeight="1">
      <c r="A25" s="90"/>
      <c r="B25" s="306"/>
      <c r="C25" s="307"/>
      <c r="D25" s="307"/>
      <c r="E25" s="307"/>
      <c r="F25" s="307"/>
      <c r="G25" s="307"/>
      <c r="H25" s="307"/>
      <c r="I25" s="307"/>
      <c r="J25" s="308"/>
      <c r="K25" s="31"/>
    </row>
    <row r="26" spans="1:11" ht="7.5" customHeight="1">
      <c r="A26" s="37"/>
      <c r="B26" s="37"/>
      <c r="C26" s="37"/>
      <c r="D26" s="37"/>
      <c r="E26" s="37"/>
      <c r="F26" s="37"/>
      <c r="G26" s="37"/>
      <c r="H26" s="37"/>
      <c r="I26" s="37"/>
      <c r="J26" s="37"/>
    </row>
    <row r="27" spans="1:11" s="4" customFormat="1" ht="18.75" customHeight="1">
      <c r="A27" s="1" t="s">
        <v>14</v>
      </c>
      <c r="B27" s="1" t="s">
        <v>27</v>
      </c>
      <c r="C27" s="1"/>
      <c r="D27" s="1"/>
      <c r="E27" s="1"/>
      <c r="F27" s="1"/>
      <c r="G27" s="1"/>
      <c r="H27" s="1"/>
      <c r="I27" s="1"/>
      <c r="J27" s="1"/>
      <c r="K27" s="31"/>
    </row>
    <row r="28" spans="1:11" s="29" customFormat="1" ht="18.75" customHeight="1">
      <c r="B28" s="92" t="s">
        <v>116</v>
      </c>
      <c r="C28" s="93">
        <f>'様式３　履修者等数の実績'!R30</f>
        <v>0.48629964806435394</v>
      </c>
      <c r="D28" s="94"/>
      <c r="E28" s="94" t="s">
        <v>117</v>
      </c>
      <c r="F28" s="93">
        <v>0.72</v>
      </c>
      <c r="G28" s="94"/>
      <c r="H28" s="94" t="s">
        <v>118</v>
      </c>
      <c r="I28" s="95">
        <v>0.96</v>
      </c>
      <c r="J28" s="96"/>
      <c r="K28" s="31"/>
    </row>
    <row r="29" spans="1:11" s="29" customFormat="1" ht="18.75" customHeight="1">
      <c r="B29" s="80" t="s">
        <v>119</v>
      </c>
      <c r="C29" s="97">
        <v>1</v>
      </c>
      <c r="D29" s="81"/>
      <c r="E29" s="81" t="s">
        <v>120</v>
      </c>
      <c r="F29" s="97">
        <v>1</v>
      </c>
      <c r="G29" s="81"/>
      <c r="H29" s="81" t="s">
        <v>121</v>
      </c>
      <c r="I29" s="98">
        <f>'様式３　履修者等数の実績'!D30</f>
        <v>7956</v>
      </c>
      <c r="J29" s="99"/>
      <c r="K29" s="33"/>
    </row>
    <row r="30" spans="1:11" s="4" customFormat="1" ht="18.75" customHeight="1">
      <c r="A30" s="1"/>
      <c r="B30" s="210" t="s">
        <v>122</v>
      </c>
      <c r="C30" s="211"/>
      <c r="D30" s="211"/>
      <c r="E30" s="211"/>
      <c r="F30" s="211"/>
      <c r="G30" s="211"/>
      <c r="H30" s="211"/>
      <c r="I30" s="211"/>
      <c r="J30" s="212"/>
      <c r="K30" s="33"/>
    </row>
    <row r="31" spans="1:11" s="4" customFormat="1" ht="18.75" customHeight="1">
      <c r="A31" s="1"/>
      <c r="B31" s="294" t="s">
        <v>206</v>
      </c>
      <c r="C31" s="295"/>
      <c r="D31" s="295"/>
      <c r="E31" s="295"/>
      <c r="F31" s="295"/>
      <c r="G31" s="295"/>
      <c r="H31" s="295"/>
      <c r="I31" s="295"/>
      <c r="J31" s="296"/>
      <c r="K31" s="33" t="str">
        <f>IF(B31="","入力してください","")</f>
        <v/>
      </c>
    </row>
    <row r="32" spans="1:11" s="4" customFormat="1" ht="18.75" customHeight="1">
      <c r="A32" s="1"/>
      <c r="B32" s="287"/>
      <c r="C32" s="288"/>
      <c r="D32" s="288"/>
      <c r="E32" s="288"/>
      <c r="F32" s="288"/>
      <c r="G32" s="288"/>
      <c r="H32" s="288"/>
      <c r="I32" s="288"/>
      <c r="J32" s="289"/>
      <c r="K32" s="33"/>
    </row>
    <row r="33" spans="1:11" s="4" customFormat="1" ht="18.75" customHeight="1">
      <c r="A33" s="1"/>
      <c r="B33" s="287"/>
      <c r="C33" s="288"/>
      <c r="D33" s="288"/>
      <c r="E33" s="288"/>
      <c r="F33" s="288"/>
      <c r="G33" s="288"/>
      <c r="H33" s="288"/>
      <c r="I33" s="288"/>
      <c r="J33" s="289"/>
      <c r="K33" s="33"/>
    </row>
    <row r="34" spans="1:11" s="4" customFormat="1" ht="18.75" customHeight="1">
      <c r="A34" s="1"/>
      <c r="B34" s="287"/>
      <c r="C34" s="288"/>
      <c r="D34" s="288"/>
      <c r="E34" s="288"/>
      <c r="F34" s="288"/>
      <c r="G34" s="288"/>
      <c r="H34" s="288"/>
      <c r="I34" s="288"/>
      <c r="J34" s="289"/>
      <c r="K34" s="33"/>
    </row>
    <row r="35" spans="1:11" s="4" customFormat="1" ht="18.75" customHeight="1">
      <c r="A35" s="1"/>
      <c r="B35" s="287"/>
      <c r="C35" s="288"/>
      <c r="D35" s="288"/>
      <c r="E35" s="288"/>
      <c r="F35" s="288"/>
      <c r="G35" s="288"/>
      <c r="H35" s="288"/>
      <c r="I35" s="288"/>
      <c r="J35" s="289"/>
      <c r="K35" s="33"/>
    </row>
    <row r="36" spans="1:11" s="4" customFormat="1" ht="18.75" customHeight="1">
      <c r="A36" s="1"/>
      <c r="B36" s="287"/>
      <c r="C36" s="288"/>
      <c r="D36" s="288"/>
      <c r="E36" s="288"/>
      <c r="F36" s="288"/>
      <c r="G36" s="288"/>
      <c r="H36" s="288"/>
      <c r="I36" s="288"/>
      <c r="J36" s="289"/>
      <c r="K36" s="33"/>
    </row>
    <row r="37" spans="1:11" s="4" customFormat="1" ht="18.75" customHeight="1">
      <c r="A37" s="1"/>
      <c r="B37" s="287"/>
      <c r="C37" s="288"/>
      <c r="D37" s="288"/>
      <c r="E37" s="288"/>
      <c r="F37" s="288"/>
      <c r="G37" s="288"/>
      <c r="H37" s="288"/>
      <c r="I37" s="288"/>
      <c r="J37" s="289"/>
      <c r="K37" s="33"/>
    </row>
    <row r="38" spans="1:11" s="4" customFormat="1" ht="18.75" customHeight="1">
      <c r="A38" s="1"/>
      <c r="B38" s="287"/>
      <c r="C38" s="288"/>
      <c r="D38" s="288"/>
      <c r="E38" s="288"/>
      <c r="F38" s="288"/>
      <c r="G38" s="288"/>
      <c r="H38" s="288"/>
      <c r="I38" s="288"/>
      <c r="J38" s="289"/>
      <c r="K38" s="33"/>
    </row>
    <row r="39" spans="1:11" s="4" customFormat="1" ht="18.75" customHeight="1">
      <c r="A39" s="1"/>
      <c r="B39" s="287"/>
      <c r="C39" s="288"/>
      <c r="D39" s="288"/>
      <c r="E39" s="288"/>
      <c r="F39" s="288"/>
      <c r="G39" s="288"/>
      <c r="H39" s="288"/>
      <c r="I39" s="288"/>
      <c r="J39" s="289"/>
      <c r="K39" s="33"/>
    </row>
    <row r="40" spans="1:11" s="4" customFormat="1" ht="18.75" customHeight="1">
      <c r="A40" s="1"/>
      <c r="B40" s="287"/>
      <c r="C40" s="288"/>
      <c r="D40" s="288"/>
      <c r="E40" s="288"/>
      <c r="F40" s="288"/>
      <c r="G40" s="288"/>
      <c r="H40" s="288"/>
      <c r="I40" s="288"/>
      <c r="J40" s="289"/>
      <c r="K40" s="33"/>
    </row>
    <row r="41" spans="1:11" s="4" customFormat="1" ht="18.75" customHeight="1">
      <c r="A41" s="1"/>
      <c r="B41" s="287"/>
      <c r="C41" s="288"/>
      <c r="D41" s="288"/>
      <c r="E41" s="288"/>
      <c r="F41" s="288"/>
      <c r="G41" s="288"/>
      <c r="H41" s="288"/>
      <c r="I41" s="288"/>
      <c r="J41" s="289"/>
      <c r="K41" s="33"/>
    </row>
    <row r="42" spans="1:11" s="4" customFormat="1" ht="18.75" customHeight="1">
      <c r="A42" s="1"/>
      <c r="B42" s="287"/>
      <c r="C42" s="288"/>
      <c r="D42" s="288"/>
      <c r="E42" s="288"/>
      <c r="F42" s="288"/>
      <c r="G42" s="288"/>
      <c r="H42" s="288"/>
      <c r="I42" s="288"/>
      <c r="J42" s="289"/>
      <c r="K42" s="33"/>
    </row>
    <row r="43" spans="1:11" ht="18.75" customHeight="1">
      <c r="A43" s="37"/>
      <c r="B43" s="287"/>
      <c r="C43" s="288"/>
      <c r="D43" s="288"/>
      <c r="E43" s="288"/>
      <c r="F43" s="288"/>
      <c r="G43" s="288"/>
      <c r="H43" s="288"/>
      <c r="I43" s="288"/>
      <c r="J43" s="289"/>
      <c r="K43" s="33"/>
    </row>
    <row r="44" spans="1:11" ht="18.75" customHeight="1">
      <c r="A44" s="37"/>
      <c r="B44" s="290"/>
      <c r="C44" s="291"/>
      <c r="D44" s="291"/>
      <c r="E44" s="291"/>
      <c r="F44" s="291"/>
      <c r="G44" s="291"/>
      <c r="H44" s="291"/>
      <c r="I44" s="291"/>
      <c r="J44" s="292"/>
    </row>
    <row r="45" spans="1:11" s="4" customFormat="1" ht="18.75" customHeight="1">
      <c r="A45" s="100" t="s">
        <v>12</v>
      </c>
      <c r="B45" s="1" t="s">
        <v>65</v>
      </c>
      <c r="C45" s="1"/>
      <c r="D45" s="1"/>
      <c r="E45" s="1"/>
      <c r="F45" s="1"/>
      <c r="G45" s="1"/>
      <c r="H45" s="1"/>
      <c r="I45" s="100"/>
      <c r="J45" s="100"/>
      <c r="K45" s="31"/>
    </row>
    <row r="46" spans="1:11" ht="18.75" customHeight="1">
      <c r="A46" s="37"/>
      <c r="B46" s="276" t="s">
        <v>207</v>
      </c>
      <c r="C46" s="277"/>
      <c r="D46" s="277"/>
      <c r="E46" s="277"/>
      <c r="F46" s="277"/>
      <c r="G46" s="277"/>
      <c r="H46" s="277"/>
      <c r="I46" s="277"/>
      <c r="J46" s="278"/>
      <c r="K46" s="31" t="str">
        <f>IF(B46="","入力してください","")</f>
        <v/>
      </c>
    </row>
    <row r="47" spans="1:11" ht="18.75" customHeight="1">
      <c r="A47" s="37"/>
      <c r="B47" s="279"/>
      <c r="C47" s="280"/>
      <c r="D47" s="280"/>
      <c r="E47" s="280"/>
      <c r="F47" s="280"/>
      <c r="G47" s="280"/>
      <c r="H47" s="280"/>
      <c r="I47" s="280"/>
      <c r="J47" s="281"/>
    </row>
    <row r="48" spans="1:11" ht="18.75" customHeight="1">
      <c r="A48" s="37"/>
      <c r="B48" s="279"/>
      <c r="C48" s="280"/>
      <c r="D48" s="280"/>
      <c r="E48" s="280"/>
      <c r="F48" s="280"/>
      <c r="G48" s="280"/>
      <c r="H48" s="280"/>
      <c r="I48" s="280"/>
      <c r="J48" s="281"/>
    </row>
    <row r="49" spans="1:10" ht="18.75" customHeight="1">
      <c r="A49" s="37"/>
      <c r="B49" s="279"/>
      <c r="C49" s="280"/>
      <c r="D49" s="280"/>
      <c r="E49" s="280"/>
      <c r="F49" s="280"/>
      <c r="G49" s="280"/>
      <c r="H49" s="280"/>
      <c r="I49" s="280"/>
      <c r="J49" s="281"/>
    </row>
    <row r="50" spans="1:10" ht="18.75" customHeight="1">
      <c r="A50" s="37"/>
      <c r="B50" s="279"/>
      <c r="C50" s="280"/>
      <c r="D50" s="280"/>
      <c r="E50" s="280"/>
      <c r="F50" s="280"/>
      <c r="G50" s="280"/>
      <c r="H50" s="280"/>
      <c r="I50" s="280"/>
      <c r="J50" s="281"/>
    </row>
    <row r="51" spans="1:10" ht="18.75" customHeight="1">
      <c r="A51" s="37"/>
      <c r="B51" s="279"/>
      <c r="C51" s="280"/>
      <c r="D51" s="280"/>
      <c r="E51" s="280"/>
      <c r="F51" s="280"/>
      <c r="G51" s="280"/>
      <c r="H51" s="280"/>
      <c r="I51" s="280"/>
      <c r="J51" s="281"/>
    </row>
    <row r="52" spans="1:10" ht="18.75" customHeight="1">
      <c r="A52" s="37"/>
      <c r="B52" s="279"/>
      <c r="C52" s="280"/>
      <c r="D52" s="280"/>
      <c r="E52" s="280"/>
      <c r="F52" s="280"/>
      <c r="G52" s="280"/>
      <c r="H52" s="280"/>
      <c r="I52" s="280"/>
      <c r="J52" s="281"/>
    </row>
    <row r="53" spans="1:10" ht="18.75" customHeight="1">
      <c r="A53" s="37"/>
      <c r="B53" s="279"/>
      <c r="C53" s="280"/>
      <c r="D53" s="280"/>
      <c r="E53" s="280"/>
      <c r="F53" s="280"/>
      <c r="G53" s="280"/>
      <c r="H53" s="280"/>
      <c r="I53" s="280"/>
      <c r="J53" s="281"/>
    </row>
    <row r="54" spans="1:10" ht="18.75" customHeight="1">
      <c r="A54" s="37"/>
      <c r="B54" s="279"/>
      <c r="C54" s="280"/>
      <c r="D54" s="280"/>
      <c r="E54" s="280"/>
      <c r="F54" s="280"/>
      <c r="G54" s="280"/>
      <c r="H54" s="280"/>
      <c r="I54" s="280"/>
      <c r="J54" s="281"/>
    </row>
    <row r="55" spans="1:10" ht="18.75" customHeight="1">
      <c r="A55" s="37"/>
      <c r="B55" s="279"/>
      <c r="C55" s="280"/>
      <c r="D55" s="280"/>
      <c r="E55" s="280"/>
      <c r="F55" s="280"/>
      <c r="G55" s="280"/>
      <c r="H55" s="280"/>
      <c r="I55" s="280"/>
      <c r="J55" s="281"/>
    </row>
    <row r="56" spans="1:10" ht="18.75" customHeight="1">
      <c r="A56" s="37"/>
      <c r="B56" s="279"/>
      <c r="C56" s="280"/>
      <c r="D56" s="280"/>
      <c r="E56" s="280"/>
      <c r="F56" s="280"/>
      <c r="G56" s="280"/>
      <c r="H56" s="280"/>
      <c r="I56" s="280"/>
      <c r="J56" s="281"/>
    </row>
    <row r="57" spans="1:10" ht="18.75" customHeight="1">
      <c r="A57" s="37"/>
      <c r="B57" s="279"/>
      <c r="C57" s="280"/>
      <c r="D57" s="280"/>
      <c r="E57" s="280"/>
      <c r="F57" s="280"/>
      <c r="G57" s="280"/>
      <c r="H57" s="280"/>
      <c r="I57" s="280"/>
      <c r="J57" s="281"/>
    </row>
    <row r="58" spans="1:10" ht="18.75" customHeight="1">
      <c r="A58" s="37"/>
      <c r="B58" s="279"/>
      <c r="C58" s="280"/>
      <c r="D58" s="280"/>
      <c r="E58" s="280"/>
      <c r="F58" s="280"/>
      <c r="G58" s="280"/>
      <c r="H58" s="280"/>
      <c r="I58" s="280"/>
      <c r="J58" s="281"/>
    </row>
    <row r="59" spans="1:10" ht="18.75" customHeight="1">
      <c r="A59" s="37"/>
      <c r="B59" s="279"/>
      <c r="C59" s="280"/>
      <c r="D59" s="280"/>
      <c r="E59" s="280"/>
      <c r="F59" s="280"/>
      <c r="G59" s="280"/>
      <c r="H59" s="280"/>
      <c r="I59" s="280"/>
      <c r="J59" s="281"/>
    </row>
    <row r="60" spans="1:10" ht="18.75" customHeight="1">
      <c r="A60" s="37"/>
      <c r="B60" s="279"/>
      <c r="C60" s="280"/>
      <c r="D60" s="280"/>
      <c r="E60" s="280"/>
      <c r="F60" s="280"/>
      <c r="G60" s="280"/>
      <c r="H60" s="280"/>
      <c r="I60" s="280"/>
      <c r="J60" s="281"/>
    </row>
    <row r="61" spans="1:10" ht="18.75" customHeight="1">
      <c r="A61" s="37"/>
      <c r="B61" s="279"/>
      <c r="C61" s="280"/>
      <c r="D61" s="280"/>
      <c r="E61" s="280"/>
      <c r="F61" s="280"/>
      <c r="G61" s="280"/>
      <c r="H61" s="280"/>
      <c r="I61" s="280"/>
      <c r="J61" s="281"/>
    </row>
    <row r="62" spans="1:10" ht="18.75" customHeight="1">
      <c r="A62" s="37"/>
      <c r="B62" s="279"/>
      <c r="C62" s="280"/>
      <c r="D62" s="280"/>
      <c r="E62" s="280"/>
      <c r="F62" s="280"/>
      <c r="G62" s="280"/>
      <c r="H62" s="280"/>
      <c r="I62" s="280"/>
      <c r="J62" s="281"/>
    </row>
    <row r="63" spans="1:10" ht="18.75" customHeight="1">
      <c r="A63" s="37"/>
      <c r="B63" s="279"/>
      <c r="C63" s="280"/>
      <c r="D63" s="280"/>
      <c r="E63" s="280"/>
      <c r="F63" s="280"/>
      <c r="G63" s="280"/>
      <c r="H63" s="280"/>
      <c r="I63" s="280"/>
      <c r="J63" s="281"/>
    </row>
    <row r="64" spans="1:10" ht="18.75" customHeight="1">
      <c r="A64" s="37"/>
      <c r="B64" s="279"/>
      <c r="C64" s="280"/>
      <c r="D64" s="280"/>
      <c r="E64" s="280"/>
      <c r="F64" s="280"/>
      <c r="G64" s="280"/>
      <c r="H64" s="280"/>
      <c r="I64" s="280"/>
      <c r="J64" s="281"/>
    </row>
    <row r="65" spans="1:11" ht="18.75" customHeight="1">
      <c r="A65" s="37"/>
      <c r="B65" s="279"/>
      <c r="C65" s="280"/>
      <c r="D65" s="280"/>
      <c r="E65" s="280"/>
      <c r="F65" s="280"/>
      <c r="G65" s="280"/>
      <c r="H65" s="280"/>
      <c r="I65" s="280"/>
      <c r="J65" s="281"/>
    </row>
    <row r="66" spans="1:11" ht="18.75" customHeight="1">
      <c r="A66" s="37"/>
      <c r="B66" s="282"/>
      <c r="C66" s="283"/>
      <c r="D66" s="283"/>
      <c r="E66" s="283"/>
      <c r="F66" s="283"/>
      <c r="G66" s="283"/>
      <c r="H66" s="283"/>
      <c r="I66" s="283"/>
      <c r="J66" s="284"/>
    </row>
    <row r="67" spans="1:11" ht="7.5" customHeight="1">
      <c r="A67" s="37"/>
      <c r="B67" s="37"/>
      <c r="C67" s="37"/>
      <c r="D67" s="37"/>
      <c r="E67" s="37"/>
      <c r="F67" s="37"/>
      <c r="G67" s="37"/>
      <c r="H67" s="37"/>
      <c r="I67" s="37"/>
      <c r="J67" s="37"/>
    </row>
    <row r="68" spans="1:11" s="4" customFormat="1" ht="18.75" customHeight="1">
      <c r="A68" s="1" t="s">
        <v>15</v>
      </c>
      <c r="B68" s="1" t="s">
        <v>71</v>
      </c>
      <c r="C68" s="1"/>
      <c r="D68" s="1"/>
      <c r="E68" s="1"/>
      <c r="F68" s="1"/>
      <c r="G68" s="1"/>
      <c r="H68" s="1"/>
      <c r="I68" s="1"/>
      <c r="J68" s="1"/>
      <c r="K68" s="31"/>
    </row>
    <row r="69" spans="1:11" s="4" customFormat="1" ht="18.75" customHeight="1">
      <c r="A69" s="1"/>
      <c r="B69" s="276" t="s">
        <v>208</v>
      </c>
      <c r="C69" s="277"/>
      <c r="D69" s="277"/>
      <c r="E69" s="277"/>
      <c r="F69" s="277"/>
      <c r="G69" s="277"/>
      <c r="H69" s="277"/>
      <c r="I69" s="285"/>
      <c r="J69" s="286"/>
      <c r="K69" s="33" t="str">
        <f>IF(B69="","入力してください","")</f>
        <v/>
      </c>
    </row>
    <row r="70" spans="1:11" s="4" customFormat="1" ht="18.75" customHeight="1">
      <c r="A70" s="1"/>
      <c r="B70" s="287"/>
      <c r="C70" s="288"/>
      <c r="D70" s="288"/>
      <c r="E70" s="288"/>
      <c r="F70" s="288"/>
      <c r="G70" s="288"/>
      <c r="H70" s="288"/>
      <c r="I70" s="288"/>
      <c r="J70" s="289"/>
      <c r="K70" s="33"/>
    </row>
    <row r="71" spans="1:11" s="4" customFormat="1" ht="18.75" customHeight="1">
      <c r="A71" s="1"/>
      <c r="B71" s="287"/>
      <c r="C71" s="288"/>
      <c r="D71" s="288"/>
      <c r="E71" s="288"/>
      <c r="F71" s="288"/>
      <c r="G71" s="288"/>
      <c r="H71" s="288"/>
      <c r="I71" s="288"/>
      <c r="J71" s="289"/>
      <c r="K71" s="33"/>
    </row>
    <row r="72" spans="1:11" s="4" customFormat="1" ht="18.75" customHeight="1">
      <c r="A72" s="1"/>
      <c r="B72" s="287"/>
      <c r="C72" s="288"/>
      <c r="D72" s="288"/>
      <c r="E72" s="288"/>
      <c r="F72" s="288"/>
      <c r="G72" s="288"/>
      <c r="H72" s="288"/>
      <c r="I72" s="288"/>
      <c r="J72" s="289"/>
      <c r="K72" s="33"/>
    </row>
    <row r="73" spans="1:11" s="4" customFormat="1" ht="18.75" customHeight="1">
      <c r="A73" s="1"/>
      <c r="B73" s="287"/>
      <c r="C73" s="288"/>
      <c r="D73" s="288"/>
      <c r="E73" s="288"/>
      <c r="F73" s="288"/>
      <c r="G73" s="288"/>
      <c r="H73" s="288"/>
      <c r="I73" s="288"/>
      <c r="J73" s="289"/>
      <c r="K73" s="33"/>
    </row>
    <row r="74" spans="1:11" s="4" customFormat="1" ht="18.75" customHeight="1">
      <c r="A74" s="1"/>
      <c r="B74" s="287"/>
      <c r="C74" s="288"/>
      <c r="D74" s="288"/>
      <c r="E74" s="288"/>
      <c r="F74" s="288"/>
      <c r="G74" s="288"/>
      <c r="H74" s="288"/>
      <c r="I74" s="288"/>
      <c r="J74" s="289"/>
      <c r="K74" s="33"/>
    </row>
    <row r="75" spans="1:11" s="4" customFormat="1" ht="18.75" customHeight="1">
      <c r="A75" s="1"/>
      <c r="B75" s="287"/>
      <c r="C75" s="288"/>
      <c r="D75" s="288"/>
      <c r="E75" s="288"/>
      <c r="F75" s="288"/>
      <c r="G75" s="288"/>
      <c r="H75" s="288"/>
      <c r="I75" s="288"/>
      <c r="J75" s="289"/>
      <c r="K75" s="33"/>
    </row>
    <row r="76" spans="1:11" s="4" customFormat="1" ht="18.75" customHeight="1">
      <c r="A76" s="1"/>
      <c r="B76" s="287"/>
      <c r="C76" s="288"/>
      <c r="D76" s="288"/>
      <c r="E76" s="288"/>
      <c r="F76" s="288"/>
      <c r="G76" s="288"/>
      <c r="H76" s="288"/>
      <c r="I76" s="288"/>
      <c r="J76" s="289"/>
      <c r="K76" s="33"/>
    </row>
    <row r="77" spans="1:11" s="4" customFormat="1" ht="18.75" customHeight="1">
      <c r="A77" s="1"/>
      <c r="B77" s="287"/>
      <c r="C77" s="288"/>
      <c r="D77" s="288"/>
      <c r="E77" s="288"/>
      <c r="F77" s="288"/>
      <c r="G77" s="288"/>
      <c r="H77" s="288"/>
      <c r="I77" s="288"/>
      <c r="J77" s="289"/>
      <c r="K77" s="33"/>
    </row>
    <row r="78" spans="1:11" s="4" customFormat="1" ht="18.75" customHeight="1">
      <c r="A78" s="1"/>
      <c r="B78" s="287"/>
      <c r="C78" s="288"/>
      <c r="D78" s="288"/>
      <c r="E78" s="288"/>
      <c r="F78" s="288"/>
      <c r="G78" s="288"/>
      <c r="H78" s="288"/>
      <c r="I78" s="288"/>
      <c r="J78" s="289"/>
      <c r="K78" s="33"/>
    </row>
    <row r="79" spans="1:11" s="4" customFormat="1" ht="18.75" customHeight="1">
      <c r="A79" s="1"/>
      <c r="B79" s="287"/>
      <c r="C79" s="288"/>
      <c r="D79" s="288"/>
      <c r="E79" s="288"/>
      <c r="F79" s="288"/>
      <c r="G79" s="288"/>
      <c r="H79" s="288"/>
      <c r="I79" s="288"/>
      <c r="J79" s="289"/>
      <c r="K79" s="33"/>
    </row>
    <row r="80" spans="1:11" s="4" customFormat="1" ht="18.75" customHeight="1">
      <c r="A80" s="1"/>
      <c r="B80" s="287"/>
      <c r="C80" s="288"/>
      <c r="D80" s="288"/>
      <c r="E80" s="288"/>
      <c r="F80" s="288"/>
      <c r="G80" s="288"/>
      <c r="H80" s="288"/>
      <c r="I80" s="288"/>
      <c r="J80" s="289"/>
      <c r="K80" s="33"/>
    </row>
    <row r="81" spans="1:11" s="4" customFormat="1" ht="18.75" customHeight="1">
      <c r="A81" s="1"/>
      <c r="B81" s="287"/>
      <c r="C81" s="288"/>
      <c r="D81" s="288"/>
      <c r="E81" s="288"/>
      <c r="F81" s="288"/>
      <c r="G81" s="288"/>
      <c r="H81" s="288"/>
      <c r="I81" s="288"/>
      <c r="J81" s="289"/>
      <c r="K81" s="33"/>
    </row>
    <row r="82" spans="1:11" s="4" customFormat="1" ht="18.75" customHeight="1">
      <c r="A82" s="1"/>
      <c r="B82" s="287"/>
      <c r="C82" s="288"/>
      <c r="D82" s="288"/>
      <c r="E82" s="288"/>
      <c r="F82" s="288"/>
      <c r="G82" s="288"/>
      <c r="H82" s="288"/>
      <c r="I82" s="288"/>
      <c r="J82" s="289"/>
      <c r="K82" s="33"/>
    </row>
    <row r="83" spans="1:11" s="4" customFormat="1" ht="18.75" customHeight="1">
      <c r="A83" s="1"/>
      <c r="B83" s="287"/>
      <c r="C83" s="288"/>
      <c r="D83" s="288"/>
      <c r="E83" s="288"/>
      <c r="F83" s="288"/>
      <c r="G83" s="288"/>
      <c r="H83" s="288"/>
      <c r="I83" s="288"/>
      <c r="J83" s="289"/>
      <c r="K83" s="33"/>
    </row>
    <row r="84" spans="1:11" s="4" customFormat="1" ht="18.75" customHeight="1">
      <c r="A84" s="1"/>
      <c r="B84" s="287"/>
      <c r="C84" s="288"/>
      <c r="D84" s="288"/>
      <c r="E84" s="288"/>
      <c r="F84" s="288"/>
      <c r="G84" s="288"/>
      <c r="H84" s="288"/>
      <c r="I84" s="288"/>
      <c r="J84" s="289"/>
      <c r="K84" s="33"/>
    </row>
    <row r="85" spans="1:11" ht="18.75" customHeight="1">
      <c r="A85" s="37"/>
      <c r="B85" s="287"/>
      <c r="C85" s="288"/>
      <c r="D85" s="288"/>
      <c r="E85" s="288"/>
      <c r="F85" s="288"/>
      <c r="G85" s="288"/>
      <c r="H85" s="288"/>
      <c r="I85" s="288"/>
      <c r="J85" s="289"/>
      <c r="K85" s="33"/>
    </row>
    <row r="86" spans="1:11" ht="18.75" customHeight="1">
      <c r="A86" s="37"/>
      <c r="B86" s="290"/>
      <c r="C86" s="291"/>
      <c r="D86" s="291"/>
      <c r="E86" s="291"/>
      <c r="F86" s="291"/>
      <c r="G86" s="291"/>
      <c r="H86" s="291"/>
      <c r="I86" s="291"/>
      <c r="J86" s="292"/>
      <c r="K86" s="33"/>
    </row>
    <row r="87" spans="1:11" ht="7.5" customHeight="1">
      <c r="A87" s="37"/>
      <c r="B87" s="37"/>
      <c r="C87" s="37"/>
      <c r="D87" s="37"/>
      <c r="E87" s="37"/>
      <c r="F87" s="37"/>
      <c r="G87" s="37"/>
      <c r="H87" s="37"/>
      <c r="I87" s="37"/>
      <c r="J87" s="37"/>
    </row>
    <row r="88" spans="1:11" s="4" customFormat="1" ht="18.75" customHeight="1">
      <c r="A88" s="1" t="s">
        <v>13</v>
      </c>
      <c r="B88" s="1" t="s">
        <v>29</v>
      </c>
      <c r="C88" s="1"/>
      <c r="D88" s="1"/>
      <c r="E88" s="1"/>
      <c r="F88" s="1"/>
      <c r="G88" s="1"/>
      <c r="H88" s="1"/>
      <c r="I88" s="1"/>
      <c r="J88" s="1"/>
      <c r="K88" s="31"/>
    </row>
    <row r="89" spans="1:11" s="4" customFormat="1" ht="18.75" customHeight="1">
      <c r="A89" s="1"/>
      <c r="B89" s="276" t="s">
        <v>185</v>
      </c>
      <c r="C89" s="277"/>
      <c r="D89" s="277"/>
      <c r="E89" s="277"/>
      <c r="F89" s="277"/>
      <c r="G89" s="277"/>
      <c r="H89" s="277"/>
      <c r="I89" s="285"/>
      <c r="J89" s="286"/>
      <c r="K89" s="31"/>
    </row>
    <row r="90" spans="1:11" s="4" customFormat="1" ht="18.75" customHeight="1">
      <c r="A90" s="1"/>
      <c r="B90" s="287"/>
      <c r="C90" s="288"/>
      <c r="D90" s="288"/>
      <c r="E90" s="288"/>
      <c r="F90" s="288"/>
      <c r="G90" s="288"/>
      <c r="H90" s="288"/>
      <c r="I90" s="288"/>
      <c r="J90" s="289"/>
      <c r="K90" s="33"/>
    </row>
    <row r="91" spans="1:11" s="4" customFormat="1" ht="18.75" customHeight="1">
      <c r="A91" s="1"/>
      <c r="B91" s="287"/>
      <c r="C91" s="288"/>
      <c r="D91" s="288"/>
      <c r="E91" s="288"/>
      <c r="F91" s="288"/>
      <c r="G91" s="288"/>
      <c r="H91" s="288"/>
      <c r="I91" s="288"/>
      <c r="J91" s="289"/>
      <c r="K91" s="33" t="str">
        <f>IF(B89="","入力してください","")</f>
        <v/>
      </c>
    </row>
    <row r="92" spans="1:11" s="4" customFormat="1" ht="18.75" customHeight="1">
      <c r="A92" s="1"/>
      <c r="B92" s="287"/>
      <c r="C92" s="288"/>
      <c r="D92" s="288"/>
      <c r="E92" s="288"/>
      <c r="F92" s="288"/>
      <c r="G92" s="288"/>
      <c r="H92" s="288"/>
      <c r="I92" s="288"/>
      <c r="J92" s="289"/>
      <c r="K92" s="33"/>
    </row>
    <row r="93" spans="1:11" s="4" customFormat="1" ht="18.75" customHeight="1">
      <c r="A93" s="1"/>
      <c r="B93" s="287"/>
      <c r="C93" s="288"/>
      <c r="D93" s="288"/>
      <c r="E93" s="288"/>
      <c r="F93" s="288"/>
      <c r="G93" s="288"/>
      <c r="H93" s="288"/>
      <c r="I93" s="288"/>
      <c r="J93" s="289"/>
      <c r="K93" s="33"/>
    </row>
    <row r="94" spans="1:11" s="4" customFormat="1" ht="18.75" customHeight="1">
      <c r="A94" s="1"/>
      <c r="B94" s="287"/>
      <c r="C94" s="288"/>
      <c r="D94" s="288"/>
      <c r="E94" s="288"/>
      <c r="F94" s="288"/>
      <c r="G94" s="288"/>
      <c r="H94" s="288"/>
      <c r="I94" s="288"/>
      <c r="J94" s="289"/>
      <c r="K94" s="33"/>
    </row>
    <row r="95" spans="1:11" s="4" customFormat="1" ht="18.75" customHeight="1">
      <c r="A95" s="1"/>
      <c r="B95" s="287"/>
      <c r="C95" s="288"/>
      <c r="D95" s="288"/>
      <c r="E95" s="288"/>
      <c r="F95" s="288"/>
      <c r="G95" s="288"/>
      <c r="H95" s="288"/>
      <c r="I95" s="288"/>
      <c r="J95" s="289"/>
      <c r="K95" s="33"/>
    </row>
    <row r="96" spans="1:11" s="4" customFormat="1" ht="18.75" customHeight="1">
      <c r="A96" s="1"/>
      <c r="B96" s="287"/>
      <c r="C96" s="288"/>
      <c r="D96" s="288"/>
      <c r="E96" s="288"/>
      <c r="F96" s="288"/>
      <c r="G96" s="288"/>
      <c r="H96" s="288"/>
      <c r="I96" s="288"/>
      <c r="J96" s="289"/>
      <c r="K96" s="33"/>
    </row>
    <row r="97" spans="1:11" s="4" customFormat="1" ht="18.75" customHeight="1">
      <c r="A97" s="1"/>
      <c r="B97" s="287"/>
      <c r="C97" s="288"/>
      <c r="D97" s="288"/>
      <c r="E97" s="288"/>
      <c r="F97" s="288"/>
      <c r="G97" s="288"/>
      <c r="H97" s="288"/>
      <c r="I97" s="288"/>
      <c r="J97" s="289"/>
      <c r="K97" s="33"/>
    </row>
    <row r="98" spans="1:11" s="4" customFormat="1" ht="18.75" customHeight="1">
      <c r="A98" s="1"/>
      <c r="B98" s="287"/>
      <c r="C98" s="288"/>
      <c r="D98" s="288"/>
      <c r="E98" s="288"/>
      <c r="F98" s="288"/>
      <c r="G98" s="288"/>
      <c r="H98" s="288"/>
      <c r="I98" s="288"/>
      <c r="J98" s="289"/>
      <c r="K98" s="33"/>
    </row>
    <row r="99" spans="1:11" s="4" customFormat="1" ht="18.75" customHeight="1">
      <c r="A99" s="1"/>
      <c r="B99" s="287"/>
      <c r="C99" s="288"/>
      <c r="D99" s="288"/>
      <c r="E99" s="288"/>
      <c r="F99" s="288"/>
      <c r="G99" s="288"/>
      <c r="H99" s="288"/>
      <c r="I99" s="288"/>
      <c r="J99" s="289"/>
      <c r="K99" s="33"/>
    </row>
    <row r="100" spans="1:11" s="4" customFormat="1" ht="18.75" customHeight="1">
      <c r="A100" s="1"/>
      <c r="B100" s="287"/>
      <c r="C100" s="288"/>
      <c r="D100" s="288"/>
      <c r="E100" s="288"/>
      <c r="F100" s="288"/>
      <c r="G100" s="288"/>
      <c r="H100" s="288"/>
      <c r="I100" s="288"/>
      <c r="J100" s="289"/>
      <c r="K100" s="33"/>
    </row>
    <row r="101" spans="1:11" s="4" customFormat="1" ht="18.75" customHeight="1">
      <c r="A101" s="1"/>
      <c r="B101" s="287"/>
      <c r="C101" s="288"/>
      <c r="D101" s="288"/>
      <c r="E101" s="288"/>
      <c r="F101" s="288"/>
      <c r="G101" s="288"/>
      <c r="H101" s="288"/>
      <c r="I101" s="288"/>
      <c r="J101" s="289"/>
      <c r="K101" s="33"/>
    </row>
    <row r="102" spans="1:11" s="4" customFormat="1" ht="18.75" customHeight="1">
      <c r="A102" s="1"/>
      <c r="B102" s="287"/>
      <c r="C102" s="288"/>
      <c r="D102" s="288"/>
      <c r="E102" s="288"/>
      <c r="F102" s="288"/>
      <c r="G102" s="288"/>
      <c r="H102" s="288"/>
      <c r="I102" s="288"/>
      <c r="J102" s="289"/>
      <c r="K102" s="33"/>
    </row>
    <row r="103" spans="1:11" s="4" customFormat="1" ht="18.75" customHeight="1">
      <c r="A103" s="1"/>
      <c r="B103" s="287"/>
      <c r="C103" s="288"/>
      <c r="D103" s="288"/>
      <c r="E103" s="288"/>
      <c r="F103" s="288"/>
      <c r="G103" s="288"/>
      <c r="H103" s="288"/>
      <c r="I103" s="288"/>
      <c r="J103" s="289"/>
      <c r="K103" s="33"/>
    </row>
    <row r="104" spans="1:11" s="4" customFormat="1" ht="18.75" customHeight="1">
      <c r="A104" s="1"/>
      <c r="B104" s="287"/>
      <c r="C104" s="288"/>
      <c r="D104" s="288"/>
      <c r="E104" s="288"/>
      <c r="F104" s="288"/>
      <c r="G104" s="288"/>
      <c r="H104" s="288"/>
      <c r="I104" s="288"/>
      <c r="J104" s="289"/>
      <c r="K104" s="33"/>
    </row>
    <row r="105" spans="1:11" s="4" customFormat="1" ht="18.75" customHeight="1">
      <c r="A105" s="1"/>
      <c r="B105" s="287"/>
      <c r="C105" s="288"/>
      <c r="D105" s="288"/>
      <c r="E105" s="288"/>
      <c r="F105" s="288"/>
      <c r="G105" s="288"/>
      <c r="H105" s="288"/>
      <c r="I105" s="288"/>
      <c r="J105" s="289"/>
      <c r="K105" s="33"/>
    </row>
    <row r="106" spans="1:11" s="4" customFormat="1" ht="18.75" customHeight="1">
      <c r="A106" s="1"/>
      <c r="B106" s="287"/>
      <c r="C106" s="288"/>
      <c r="D106" s="288"/>
      <c r="E106" s="288"/>
      <c r="F106" s="288"/>
      <c r="G106" s="288"/>
      <c r="H106" s="288"/>
      <c r="I106" s="288"/>
      <c r="J106" s="289"/>
      <c r="K106" s="33"/>
    </row>
    <row r="107" spans="1:11" ht="18.75" customHeight="1">
      <c r="A107" s="37"/>
      <c r="B107" s="287"/>
      <c r="C107" s="288"/>
      <c r="D107" s="288"/>
      <c r="E107" s="288"/>
      <c r="F107" s="288"/>
      <c r="G107" s="288"/>
      <c r="H107" s="288"/>
      <c r="I107" s="288"/>
      <c r="J107" s="289"/>
      <c r="K107" s="33"/>
    </row>
    <row r="108" spans="1:11" ht="18.75" customHeight="1">
      <c r="A108" s="37"/>
      <c r="B108" s="290"/>
      <c r="C108" s="291"/>
      <c r="D108" s="291"/>
      <c r="E108" s="291"/>
      <c r="F108" s="291"/>
      <c r="G108" s="291"/>
      <c r="H108" s="291"/>
      <c r="I108" s="291"/>
      <c r="J108" s="292"/>
      <c r="K108" s="33"/>
    </row>
    <row r="109" spans="1:11" ht="7.5" customHeight="1">
      <c r="A109" s="37"/>
      <c r="B109" s="37"/>
      <c r="C109" s="37"/>
      <c r="D109" s="37"/>
      <c r="E109" s="37"/>
      <c r="F109" s="37"/>
      <c r="G109" s="37"/>
      <c r="H109" s="37"/>
      <c r="I109" s="37"/>
      <c r="J109" s="37"/>
    </row>
    <row r="110" spans="1:11" s="4" customFormat="1" ht="18.75" customHeight="1">
      <c r="A110" s="1" t="s">
        <v>53</v>
      </c>
      <c r="B110" s="293" t="s">
        <v>82</v>
      </c>
      <c r="C110" s="293"/>
      <c r="D110" s="293"/>
      <c r="E110" s="293"/>
      <c r="F110" s="293"/>
      <c r="G110" s="293"/>
      <c r="H110" s="293"/>
      <c r="I110" s="293"/>
      <c r="J110" s="293"/>
      <c r="K110" s="31"/>
    </row>
    <row r="111" spans="1:11" ht="18.75" customHeight="1">
      <c r="A111" s="37"/>
      <c r="B111" s="276" t="s">
        <v>209</v>
      </c>
      <c r="C111" s="277"/>
      <c r="D111" s="277"/>
      <c r="E111" s="277"/>
      <c r="F111" s="277"/>
      <c r="G111" s="277"/>
      <c r="H111" s="277"/>
      <c r="I111" s="285"/>
      <c r="J111" s="286"/>
    </row>
    <row r="112" spans="1:11" ht="18.75" customHeight="1">
      <c r="A112" s="37"/>
      <c r="B112" s="287"/>
      <c r="C112" s="288"/>
      <c r="D112" s="288"/>
      <c r="E112" s="288"/>
      <c r="F112" s="288"/>
      <c r="G112" s="288"/>
      <c r="H112" s="288"/>
      <c r="I112" s="288"/>
      <c r="J112" s="289"/>
      <c r="K112" s="33"/>
    </row>
    <row r="113" spans="1:11" ht="18.75" customHeight="1">
      <c r="A113" s="37"/>
      <c r="B113" s="287"/>
      <c r="C113" s="288"/>
      <c r="D113" s="288"/>
      <c r="E113" s="288"/>
      <c r="F113" s="288"/>
      <c r="G113" s="288"/>
      <c r="H113" s="288"/>
      <c r="I113" s="288"/>
      <c r="J113" s="289"/>
      <c r="K113" s="31" t="str">
        <f>IF(B111="","入力してください","")</f>
        <v/>
      </c>
    </row>
    <row r="114" spans="1:11" ht="18.75" customHeight="1">
      <c r="A114" s="37"/>
      <c r="B114" s="287"/>
      <c r="C114" s="288"/>
      <c r="D114" s="288"/>
      <c r="E114" s="288"/>
      <c r="F114" s="288"/>
      <c r="G114" s="288"/>
      <c r="H114" s="288"/>
      <c r="I114" s="288"/>
      <c r="J114" s="289"/>
    </row>
    <row r="115" spans="1:11" ht="18.75" customHeight="1">
      <c r="A115" s="37"/>
      <c r="B115" s="287"/>
      <c r="C115" s="288"/>
      <c r="D115" s="288"/>
      <c r="E115" s="288"/>
      <c r="F115" s="288"/>
      <c r="G115" s="288"/>
      <c r="H115" s="288"/>
      <c r="I115" s="288"/>
      <c r="J115" s="289"/>
    </row>
    <row r="116" spans="1:11" ht="18.75" customHeight="1">
      <c r="A116" s="37"/>
      <c r="B116" s="287"/>
      <c r="C116" s="288"/>
      <c r="D116" s="288"/>
      <c r="E116" s="288"/>
      <c r="F116" s="288"/>
      <c r="G116" s="288"/>
      <c r="H116" s="288"/>
      <c r="I116" s="288"/>
      <c r="J116" s="289"/>
    </row>
    <row r="117" spans="1:11" ht="18.75" customHeight="1">
      <c r="A117" s="37"/>
      <c r="B117" s="287"/>
      <c r="C117" s="288"/>
      <c r="D117" s="288"/>
      <c r="E117" s="288"/>
      <c r="F117" s="288"/>
      <c r="G117" s="288"/>
      <c r="H117" s="288"/>
      <c r="I117" s="288"/>
      <c r="J117" s="289"/>
    </row>
    <row r="118" spans="1:11" ht="18.75" customHeight="1">
      <c r="A118" s="37"/>
      <c r="B118" s="287"/>
      <c r="C118" s="288"/>
      <c r="D118" s="288"/>
      <c r="E118" s="288"/>
      <c r="F118" s="288"/>
      <c r="G118" s="288"/>
      <c r="H118" s="288"/>
      <c r="I118" s="288"/>
      <c r="J118" s="289"/>
    </row>
    <row r="119" spans="1:11" ht="18.75" customHeight="1">
      <c r="A119" s="37"/>
      <c r="B119" s="287"/>
      <c r="C119" s="288"/>
      <c r="D119" s="288"/>
      <c r="E119" s="288"/>
      <c r="F119" s="288"/>
      <c r="G119" s="288"/>
      <c r="H119" s="288"/>
      <c r="I119" s="288"/>
      <c r="J119" s="289"/>
    </row>
    <row r="120" spans="1:11" ht="18.75" customHeight="1">
      <c r="A120" s="37"/>
      <c r="B120" s="287"/>
      <c r="C120" s="288"/>
      <c r="D120" s="288"/>
      <c r="E120" s="288"/>
      <c r="F120" s="288"/>
      <c r="G120" s="288"/>
      <c r="H120" s="288"/>
      <c r="I120" s="288"/>
      <c r="J120" s="289"/>
    </row>
    <row r="121" spans="1:11" ht="18.75" customHeight="1">
      <c r="A121" s="37"/>
      <c r="B121" s="287"/>
      <c r="C121" s="288"/>
      <c r="D121" s="288"/>
      <c r="E121" s="288"/>
      <c r="F121" s="288"/>
      <c r="G121" s="288"/>
      <c r="H121" s="288"/>
      <c r="I121" s="288"/>
      <c r="J121" s="289"/>
    </row>
    <row r="122" spans="1:11" ht="18.75" customHeight="1">
      <c r="A122" s="37"/>
      <c r="B122" s="287"/>
      <c r="C122" s="288"/>
      <c r="D122" s="288"/>
      <c r="E122" s="288"/>
      <c r="F122" s="288"/>
      <c r="G122" s="288"/>
      <c r="H122" s="288"/>
      <c r="I122" s="288"/>
      <c r="J122" s="289"/>
    </row>
    <row r="123" spans="1:11" ht="18.75" customHeight="1">
      <c r="A123" s="37"/>
      <c r="B123" s="287"/>
      <c r="C123" s="288"/>
      <c r="D123" s="288"/>
      <c r="E123" s="288"/>
      <c r="F123" s="288"/>
      <c r="G123" s="288"/>
      <c r="H123" s="288"/>
      <c r="I123" s="288"/>
      <c r="J123" s="289"/>
    </row>
    <row r="124" spans="1:11" ht="18.75" customHeight="1">
      <c r="A124" s="37"/>
      <c r="B124" s="287"/>
      <c r="C124" s="288"/>
      <c r="D124" s="288"/>
      <c r="E124" s="288"/>
      <c r="F124" s="288"/>
      <c r="G124" s="288"/>
      <c r="H124" s="288"/>
      <c r="I124" s="288"/>
      <c r="J124" s="289"/>
    </row>
    <row r="125" spans="1:11" ht="18.75" customHeight="1">
      <c r="A125" s="37"/>
      <c r="B125" s="287"/>
      <c r="C125" s="288"/>
      <c r="D125" s="288"/>
      <c r="E125" s="288"/>
      <c r="F125" s="288"/>
      <c r="G125" s="288"/>
      <c r="H125" s="288"/>
      <c r="I125" s="288"/>
      <c r="J125" s="289"/>
    </row>
    <row r="126" spans="1:11" ht="18.75" customHeight="1">
      <c r="A126" s="37"/>
      <c r="B126" s="287"/>
      <c r="C126" s="288"/>
      <c r="D126" s="288"/>
      <c r="E126" s="288"/>
      <c r="F126" s="288"/>
      <c r="G126" s="288"/>
      <c r="H126" s="288"/>
      <c r="I126" s="288"/>
      <c r="J126" s="289"/>
    </row>
    <row r="127" spans="1:11" ht="18.75" customHeight="1">
      <c r="A127" s="37"/>
      <c r="B127" s="287"/>
      <c r="C127" s="288"/>
      <c r="D127" s="288"/>
      <c r="E127" s="288"/>
      <c r="F127" s="288"/>
      <c r="G127" s="288"/>
      <c r="H127" s="288"/>
      <c r="I127" s="288"/>
      <c r="J127" s="289"/>
    </row>
    <row r="128" spans="1:11" ht="18.75" customHeight="1">
      <c r="A128" s="37"/>
      <c r="B128" s="287"/>
      <c r="C128" s="288"/>
      <c r="D128" s="288"/>
      <c r="E128" s="288"/>
      <c r="F128" s="288"/>
      <c r="G128" s="288"/>
      <c r="H128" s="288"/>
      <c r="I128" s="288"/>
      <c r="J128" s="289"/>
    </row>
    <row r="129" spans="1:10" ht="18.75" customHeight="1">
      <c r="A129" s="37"/>
      <c r="B129" s="290"/>
      <c r="C129" s="291"/>
      <c r="D129" s="291"/>
      <c r="E129" s="291"/>
      <c r="F129" s="291"/>
      <c r="G129" s="291"/>
      <c r="H129" s="291"/>
      <c r="I129" s="291"/>
      <c r="J129" s="292"/>
    </row>
    <row r="130" spans="1:10" ht="7.5" customHeight="1">
      <c r="A130" s="37"/>
      <c r="B130" s="101"/>
      <c r="C130" s="101"/>
      <c r="D130" s="101"/>
      <c r="E130" s="101"/>
      <c r="F130" s="101"/>
      <c r="G130" s="101"/>
      <c r="H130" s="101"/>
      <c r="I130" s="101"/>
      <c r="J130" s="101"/>
    </row>
    <row r="131" spans="1:10" ht="18.75" customHeight="1">
      <c r="A131" s="37"/>
      <c r="B131" s="37"/>
      <c r="C131" s="37"/>
      <c r="D131" s="37"/>
      <c r="E131" s="37"/>
      <c r="F131" s="37"/>
      <c r="G131" s="37"/>
      <c r="H131" s="37"/>
      <c r="I131" s="37"/>
      <c r="J131" s="37"/>
    </row>
    <row r="132" spans="1:10" ht="18.75" customHeight="1">
      <c r="A132" s="37"/>
      <c r="B132" s="37"/>
      <c r="C132" s="37"/>
      <c r="D132" s="37"/>
      <c r="E132" s="37"/>
      <c r="F132" s="37"/>
      <c r="G132" s="37"/>
      <c r="H132" s="37"/>
      <c r="I132" s="37"/>
      <c r="J132" s="37"/>
    </row>
    <row r="133" spans="1:10" ht="18.75" customHeight="1">
      <c r="A133" s="37"/>
      <c r="B133" s="37"/>
      <c r="C133" s="37"/>
      <c r="D133" s="37"/>
      <c r="E133" s="37"/>
      <c r="F133" s="37"/>
      <c r="G133" s="37"/>
      <c r="H133" s="37"/>
      <c r="I133" s="37"/>
      <c r="J133" s="37"/>
    </row>
    <row r="134" spans="1:10" ht="18.75" customHeight="1">
      <c r="A134" s="37"/>
      <c r="B134" s="37"/>
      <c r="C134" s="37"/>
      <c r="D134" s="37"/>
      <c r="E134" s="37"/>
      <c r="F134" s="37"/>
      <c r="G134" s="37"/>
      <c r="H134" s="37"/>
      <c r="I134" s="37"/>
      <c r="J134" s="37"/>
    </row>
    <row r="135" spans="1:10" ht="18.75" customHeight="1">
      <c r="A135" s="37"/>
      <c r="B135" s="37"/>
      <c r="C135" s="37"/>
      <c r="D135" s="37"/>
      <c r="E135" s="37"/>
      <c r="F135" s="37"/>
      <c r="G135" s="37"/>
      <c r="H135" s="37"/>
      <c r="I135" s="37"/>
      <c r="J135" s="37"/>
    </row>
    <row r="136" spans="1:10" ht="18.75" customHeight="1">
      <c r="A136" s="37"/>
      <c r="B136" s="37"/>
      <c r="C136" s="37"/>
      <c r="D136" s="37"/>
      <c r="E136" s="37"/>
      <c r="F136" s="37"/>
      <c r="G136" s="37"/>
      <c r="H136" s="37"/>
      <c r="I136" s="37"/>
      <c r="J136" s="37"/>
    </row>
    <row r="137" spans="1:10" ht="18.75" customHeight="1">
      <c r="A137" s="37"/>
      <c r="B137" s="37"/>
      <c r="C137" s="37"/>
      <c r="D137" s="37"/>
      <c r="E137" s="37"/>
      <c r="F137" s="37"/>
      <c r="G137" s="37"/>
      <c r="H137" s="37"/>
      <c r="I137" s="37"/>
      <c r="J137" s="37"/>
    </row>
    <row r="138" spans="1:10" ht="18.75" customHeight="1">
      <c r="A138" s="37"/>
      <c r="B138" s="37"/>
      <c r="C138" s="37"/>
      <c r="D138" s="37"/>
      <c r="E138" s="37"/>
      <c r="F138" s="37"/>
      <c r="G138" s="37"/>
      <c r="H138" s="37"/>
      <c r="I138" s="37"/>
      <c r="J138" s="37"/>
    </row>
    <row r="139" spans="1:10" ht="18.75" customHeight="1">
      <c r="A139" s="37"/>
      <c r="B139" s="37"/>
      <c r="C139" s="37"/>
      <c r="D139" s="37"/>
      <c r="E139" s="37"/>
      <c r="F139" s="37"/>
      <c r="G139" s="37"/>
      <c r="H139" s="37"/>
      <c r="I139" s="37"/>
      <c r="J139" s="37"/>
    </row>
    <row r="140" spans="1:10" ht="18.75" customHeight="1">
      <c r="A140" s="37"/>
      <c r="B140" s="37"/>
      <c r="C140" s="37"/>
      <c r="D140" s="37"/>
      <c r="E140" s="37"/>
      <c r="F140" s="37"/>
      <c r="G140" s="37"/>
      <c r="H140" s="37"/>
      <c r="I140" s="37"/>
      <c r="J140" s="37"/>
    </row>
    <row r="141" spans="1:10" ht="18.75" customHeight="1">
      <c r="A141" s="37"/>
      <c r="B141" s="37"/>
      <c r="C141" s="37"/>
      <c r="D141" s="37"/>
      <c r="E141" s="37"/>
      <c r="F141" s="37"/>
      <c r="G141" s="37"/>
      <c r="H141" s="37"/>
      <c r="I141" s="37"/>
      <c r="J141" s="37"/>
    </row>
    <row r="142" spans="1:10" ht="18.75" customHeight="1">
      <c r="A142" s="37"/>
      <c r="B142" s="37"/>
      <c r="C142" s="37"/>
      <c r="D142" s="37"/>
      <c r="E142" s="37"/>
      <c r="F142" s="37"/>
      <c r="G142" s="37"/>
      <c r="H142" s="37"/>
      <c r="I142" s="37"/>
      <c r="J142" s="37"/>
    </row>
    <row r="143" spans="1:10" ht="14.25">
      <c r="A143" s="37"/>
      <c r="B143" s="37"/>
      <c r="C143" s="37"/>
      <c r="D143" s="37"/>
      <c r="E143" s="37"/>
      <c r="F143" s="37"/>
      <c r="G143" s="37"/>
      <c r="H143" s="37"/>
      <c r="I143" s="37"/>
      <c r="J143" s="37"/>
    </row>
    <row r="144" spans="1:10" ht="7.5" customHeight="1">
      <c r="A144" s="102"/>
      <c r="B144" s="102"/>
      <c r="C144" s="102"/>
      <c r="D144" s="102"/>
      <c r="E144" s="102"/>
      <c r="F144" s="102"/>
      <c r="G144" s="102"/>
      <c r="H144" s="102"/>
      <c r="I144" s="102"/>
      <c r="J144" s="102"/>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90" zoomScaleNormal="100" zoomScaleSheetLayoutView="90" workbookViewId="0">
      <selection activeCell="E7" sqref="E7:J7"/>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c r="A1" s="1" t="s">
        <v>123</v>
      </c>
      <c r="J1" s="39" t="s">
        <v>73</v>
      </c>
    </row>
    <row r="2" spans="1:11" ht="18.75" customHeight="1">
      <c r="A2" s="260" t="s">
        <v>42</v>
      </c>
      <c r="B2" s="260"/>
      <c r="C2" s="260"/>
      <c r="D2" s="260"/>
      <c r="E2" s="260"/>
      <c r="F2" s="260"/>
      <c r="G2" s="260"/>
      <c r="H2" s="260"/>
      <c r="I2" s="260"/>
      <c r="J2" s="260"/>
    </row>
    <row r="3" spans="1:11" ht="7.5" customHeight="1">
      <c r="A3" s="40"/>
      <c r="B3" s="40"/>
      <c r="C3" s="40"/>
      <c r="D3" s="40"/>
      <c r="E3" s="40"/>
      <c r="F3" s="40"/>
      <c r="G3" s="40"/>
      <c r="H3" s="40"/>
      <c r="I3" s="40"/>
      <c r="J3" s="40"/>
    </row>
    <row r="4" spans="1:11" ht="18.75" customHeight="1">
      <c r="A4" s="1" t="s">
        <v>6</v>
      </c>
      <c r="B4" s="4" t="s">
        <v>41</v>
      </c>
      <c r="C4" s="37"/>
      <c r="D4" s="37"/>
      <c r="E4" s="38"/>
      <c r="F4" s="38"/>
      <c r="G4" s="38"/>
      <c r="H4" s="38"/>
      <c r="I4" s="38"/>
      <c r="J4" s="38"/>
    </row>
    <row r="5" spans="1:11" ht="18.75" customHeight="1">
      <c r="B5" s="324" t="s">
        <v>38</v>
      </c>
      <c r="C5" s="325"/>
      <c r="D5" s="326"/>
      <c r="E5" s="327" t="s">
        <v>40</v>
      </c>
      <c r="F5" s="327"/>
      <c r="G5" s="327"/>
      <c r="H5" s="327"/>
      <c r="I5" s="327"/>
      <c r="J5" s="328"/>
    </row>
    <row r="6" spans="1:11" ht="18.75" customHeight="1">
      <c r="B6" s="3" t="s">
        <v>30</v>
      </c>
      <c r="C6" s="37"/>
      <c r="D6" s="7"/>
      <c r="I6" s="38"/>
      <c r="J6" s="5"/>
    </row>
    <row r="7" spans="1:11" ht="207" customHeight="1">
      <c r="B7" s="6"/>
      <c r="C7" s="315" t="s">
        <v>31</v>
      </c>
      <c r="D7" s="316"/>
      <c r="E7" s="321" t="s">
        <v>210</v>
      </c>
      <c r="F7" s="317"/>
      <c r="G7" s="317"/>
      <c r="H7" s="317"/>
      <c r="I7" s="317"/>
      <c r="J7" s="318"/>
      <c r="K7" s="31" t="str">
        <f>IF(E7="","入力してください","")</f>
        <v/>
      </c>
    </row>
    <row r="8" spans="1:11" ht="207" customHeight="1">
      <c r="B8" s="6"/>
      <c r="C8" s="322" t="s">
        <v>32</v>
      </c>
      <c r="D8" s="323"/>
      <c r="E8" s="321" t="s">
        <v>211</v>
      </c>
      <c r="F8" s="317"/>
      <c r="G8" s="317"/>
      <c r="H8" s="317"/>
      <c r="I8" s="317"/>
      <c r="J8" s="318"/>
      <c r="K8" s="31" t="str">
        <f>IF(E8="","入力してください","")</f>
        <v/>
      </c>
    </row>
    <row r="9" spans="1:11" ht="172.5" customHeight="1">
      <c r="B9" s="6"/>
      <c r="C9" s="315" t="s">
        <v>33</v>
      </c>
      <c r="D9" s="316"/>
      <c r="E9" s="321" t="s">
        <v>212</v>
      </c>
      <c r="F9" s="317"/>
      <c r="G9" s="317"/>
      <c r="H9" s="317"/>
      <c r="I9" s="317"/>
      <c r="J9" s="318"/>
      <c r="K9" s="31" t="str">
        <f>IF(E9="","入力してください","")</f>
        <v/>
      </c>
    </row>
    <row r="10" spans="1:11" ht="172.5" customHeight="1">
      <c r="B10" s="6"/>
      <c r="C10" s="315" t="s">
        <v>34</v>
      </c>
      <c r="D10" s="316"/>
      <c r="E10" s="321" t="s">
        <v>213</v>
      </c>
      <c r="F10" s="317"/>
      <c r="G10" s="317"/>
      <c r="H10" s="317"/>
      <c r="I10" s="317"/>
      <c r="J10" s="318"/>
      <c r="K10" s="31" t="str">
        <f t="shared" ref="K10:K14" si="0">IF(E10="","入力してください","")</f>
        <v/>
      </c>
    </row>
    <row r="11" spans="1:11" ht="172.5" customHeight="1">
      <c r="B11" s="6"/>
      <c r="C11" s="315" t="s">
        <v>192</v>
      </c>
      <c r="D11" s="316"/>
      <c r="E11" s="321" t="s">
        <v>214</v>
      </c>
      <c r="F11" s="317"/>
      <c r="G11" s="317"/>
      <c r="H11" s="317"/>
      <c r="I11" s="317"/>
      <c r="J11" s="318"/>
      <c r="K11" s="31" t="str">
        <f t="shared" si="0"/>
        <v/>
      </c>
    </row>
    <row r="12" spans="1:11" ht="18.75" customHeight="1">
      <c r="B12" s="9" t="s">
        <v>35</v>
      </c>
      <c r="C12" s="28"/>
      <c r="D12" s="8"/>
      <c r="E12" s="132"/>
      <c r="F12" s="132"/>
      <c r="G12" s="132"/>
      <c r="H12" s="132"/>
      <c r="I12" s="132"/>
      <c r="J12" s="133"/>
    </row>
    <row r="13" spans="1:11" ht="244.15" customHeight="1">
      <c r="B13" s="6"/>
      <c r="C13" s="315" t="s">
        <v>193</v>
      </c>
      <c r="D13" s="316"/>
      <c r="E13" s="317" t="s">
        <v>215</v>
      </c>
      <c r="F13" s="317"/>
      <c r="G13" s="317"/>
      <c r="H13" s="317"/>
      <c r="I13" s="317"/>
      <c r="J13" s="318"/>
      <c r="K13" s="31" t="str">
        <f t="shared" si="0"/>
        <v/>
      </c>
    </row>
    <row r="14" spans="1:11" ht="255" customHeight="1">
      <c r="B14" s="6"/>
      <c r="C14" s="315" t="s">
        <v>36</v>
      </c>
      <c r="D14" s="316"/>
      <c r="E14" s="317" t="s">
        <v>216</v>
      </c>
      <c r="F14" s="317"/>
      <c r="G14" s="317"/>
      <c r="H14" s="317"/>
      <c r="I14" s="317"/>
      <c r="J14" s="318"/>
      <c r="K14" s="31" t="str">
        <f t="shared" si="0"/>
        <v/>
      </c>
    </row>
    <row r="15" spans="1:11" ht="243" customHeight="1">
      <c r="B15" s="319" t="s">
        <v>37</v>
      </c>
      <c r="C15" s="320"/>
      <c r="D15" s="316"/>
      <c r="E15" s="317" t="s">
        <v>217</v>
      </c>
      <c r="F15" s="317"/>
      <c r="G15" s="317"/>
      <c r="H15" s="317"/>
      <c r="I15" s="317"/>
      <c r="J15" s="318"/>
      <c r="K15" s="31" t="str">
        <f>IF(E15="","入力してください","")</f>
        <v/>
      </c>
    </row>
    <row r="16" spans="1:11" ht="243" customHeight="1">
      <c r="A16" s="31"/>
      <c r="B16" s="309" t="s">
        <v>194</v>
      </c>
      <c r="C16" s="310"/>
      <c r="D16" s="311"/>
      <c r="E16" s="283" t="s">
        <v>218</v>
      </c>
      <c r="F16" s="283"/>
      <c r="G16" s="283"/>
      <c r="H16" s="283"/>
      <c r="I16" s="283"/>
      <c r="J16" s="284"/>
      <c r="K16" s="31" t="str">
        <f>IF(E16="","入力してください","")</f>
        <v/>
      </c>
    </row>
    <row r="17" spans="1:11" ht="7.5" customHeight="1">
      <c r="B17" s="37"/>
      <c r="C17" s="37"/>
      <c r="D17" s="37"/>
      <c r="E17" s="38"/>
      <c r="F17" s="38"/>
      <c r="G17" s="38"/>
      <c r="H17" s="38"/>
      <c r="I17" s="38"/>
      <c r="J17" s="38"/>
    </row>
    <row r="18" spans="1:11" ht="18.75" customHeight="1">
      <c r="A18" s="1" t="s">
        <v>124</v>
      </c>
      <c r="B18" s="4"/>
      <c r="C18" s="37"/>
      <c r="D18" s="37"/>
      <c r="E18" s="38"/>
      <c r="F18" s="91"/>
      <c r="G18" s="312" t="s">
        <v>162</v>
      </c>
      <c r="H18" s="313"/>
      <c r="I18" s="313"/>
      <c r="J18" s="314"/>
      <c r="K18" s="31" t="str">
        <f>IF(G18="","入力してください","")</f>
        <v/>
      </c>
    </row>
    <row r="19" spans="1:11" ht="22.5" customHeight="1">
      <c r="B19" s="37"/>
      <c r="C19" s="37"/>
      <c r="D19" s="37"/>
      <c r="E19" s="38"/>
      <c r="F19" s="38"/>
      <c r="G19" s="38"/>
      <c r="H19" s="38"/>
      <c r="I19" s="38"/>
      <c r="J19" s="38"/>
    </row>
    <row r="20" spans="1:11" ht="22.5" customHeight="1">
      <c r="B20" s="37"/>
      <c r="C20" s="37"/>
      <c r="D20" s="37"/>
      <c r="E20" s="38"/>
      <c r="F20" s="38"/>
      <c r="G20" s="38"/>
      <c r="H20" s="38"/>
      <c r="I20" s="38"/>
      <c r="J20" s="38"/>
    </row>
    <row r="21" spans="1:11" ht="22.5" customHeight="1">
      <c r="B21" s="37"/>
      <c r="C21" s="37"/>
      <c r="D21" s="37"/>
      <c r="E21" s="38"/>
      <c r="F21" s="38"/>
      <c r="G21" s="38"/>
      <c r="H21" s="38"/>
      <c r="I21" s="38"/>
      <c r="J21" s="38"/>
    </row>
    <row r="22" spans="1:11" ht="22.5" customHeight="1">
      <c r="B22" s="37"/>
      <c r="C22" s="37"/>
      <c r="D22" s="37"/>
      <c r="E22" s="38"/>
      <c r="F22" s="38"/>
      <c r="G22" s="38"/>
      <c r="H22" s="38"/>
      <c r="I22" s="38"/>
      <c r="J22" s="38"/>
    </row>
    <row r="23" spans="1:11" ht="22.5" customHeight="1">
      <c r="B23" s="37"/>
      <c r="C23" s="37"/>
      <c r="D23" s="37"/>
      <c r="E23" s="38"/>
      <c r="F23" s="38"/>
      <c r="G23" s="38"/>
      <c r="H23" s="38"/>
      <c r="I23" s="38"/>
      <c r="J23" s="38"/>
    </row>
    <row r="24" spans="1:11" ht="22.5" customHeight="1">
      <c r="B24" s="103"/>
      <c r="C24" s="103"/>
      <c r="D24" s="103"/>
      <c r="E24" s="103"/>
      <c r="F24" s="103"/>
      <c r="G24" s="103"/>
      <c r="H24" s="103"/>
      <c r="I24" s="103"/>
      <c r="J24" s="103"/>
    </row>
    <row r="25" spans="1:11" ht="22.5" customHeight="1">
      <c r="B25" s="103"/>
      <c r="C25" s="103"/>
      <c r="D25" s="103"/>
      <c r="E25" s="103"/>
      <c r="F25" s="103"/>
      <c r="G25" s="103"/>
      <c r="H25" s="103"/>
      <c r="I25" s="103"/>
      <c r="J25" s="103"/>
    </row>
    <row r="26" spans="1:11" ht="22.5" customHeight="1">
      <c r="B26" s="103"/>
      <c r="C26" s="103"/>
      <c r="D26" s="103"/>
      <c r="E26" s="103"/>
      <c r="F26" s="103"/>
      <c r="G26" s="103"/>
      <c r="H26" s="103"/>
      <c r="I26" s="103"/>
      <c r="J26" s="103"/>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B44" sqref="B44:F83"/>
    </sheetView>
  </sheetViews>
  <sheetFormatPr defaultColWidth="11.375" defaultRowHeight="18.75" customHeight="1"/>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c r="E1" s="259" t="s">
        <v>7</v>
      </c>
      <c r="F1" s="259"/>
    </row>
    <row r="2" spans="1:6" ht="18.75" customHeight="1">
      <c r="A2" s="329" t="s">
        <v>186</v>
      </c>
      <c r="B2" s="329"/>
      <c r="C2" s="329"/>
      <c r="D2" s="329"/>
      <c r="E2" s="329"/>
      <c r="F2" s="329"/>
    </row>
    <row r="3" spans="1:6" ht="7.5" customHeight="1">
      <c r="A3" s="36"/>
      <c r="B3" s="36"/>
      <c r="C3" s="36"/>
      <c r="D3" s="36"/>
      <c r="E3" s="36"/>
      <c r="F3" s="36"/>
    </row>
    <row r="4" spans="1:6" ht="18.75" customHeight="1">
      <c r="A4" s="36" t="s">
        <v>6</v>
      </c>
      <c r="B4" s="4" t="s">
        <v>28</v>
      </c>
      <c r="C4" s="36"/>
      <c r="D4" s="36"/>
      <c r="E4" s="36"/>
      <c r="F4" s="36"/>
    </row>
    <row r="5" spans="1:6" ht="18.75" customHeight="1">
      <c r="A5" s="36"/>
      <c r="B5" s="298" t="s">
        <v>219</v>
      </c>
      <c r="C5" s="285"/>
      <c r="D5" s="285"/>
      <c r="E5" s="285"/>
      <c r="F5" s="286"/>
    </row>
    <row r="6" spans="1:6" ht="18.75" customHeight="1">
      <c r="A6" s="36"/>
      <c r="B6" s="287"/>
      <c r="C6" s="288"/>
      <c r="D6" s="288"/>
      <c r="E6" s="288"/>
      <c r="F6" s="289"/>
    </row>
    <row r="7" spans="1:6" ht="18.75" customHeight="1">
      <c r="A7" s="36"/>
      <c r="B7" s="287"/>
      <c r="C7" s="288"/>
      <c r="D7" s="288"/>
      <c r="E7" s="288"/>
      <c r="F7" s="289"/>
    </row>
    <row r="8" spans="1:6" ht="18.75" customHeight="1">
      <c r="A8" s="36"/>
      <c r="B8" s="287"/>
      <c r="C8" s="288"/>
      <c r="D8" s="288"/>
      <c r="E8" s="288"/>
      <c r="F8" s="289"/>
    </row>
    <row r="9" spans="1:6" ht="18.75" customHeight="1">
      <c r="A9" s="36"/>
      <c r="B9" s="287"/>
      <c r="C9" s="288"/>
      <c r="D9" s="288"/>
      <c r="E9" s="288"/>
      <c r="F9" s="289"/>
    </row>
    <row r="10" spans="1:6" ht="18.75" customHeight="1">
      <c r="A10" s="36"/>
      <c r="B10" s="287"/>
      <c r="C10" s="288"/>
      <c r="D10" s="288"/>
      <c r="E10" s="288"/>
      <c r="F10" s="289"/>
    </row>
    <row r="11" spans="1:6" ht="18.75" customHeight="1">
      <c r="A11" s="36"/>
      <c r="B11" s="287"/>
      <c r="C11" s="288"/>
      <c r="D11" s="288"/>
      <c r="E11" s="288"/>
      <c r="F11" s="289"/>
    </row>
    <row r="12" spans="1:6" ht="18.75" customHeight="1">
      <c r="A12" s="36"/>
      <c r="B12" s="287"/>
      <c r="C12" s="288"/>
      <c r="D12" s="288"/>
      <c r="E12" s="288"/>
      <c r="F12" s="289"/>
    </row>
    <row r="13" spans="1:6" ht="18.75" customHeight="1">
      <c r="A13" s="36"/>
      <c r="B13" s="287"/>
      <c r="C13" s="288"/>
      <c r="D13" s="288"/>
      <c r="E13" s="288"/>
      <c r="F13" s="289"/>
    </row>
    <row r="14" spans="1:6" ht="18.75" customHeight="1">
      <c r="A14" s="36"/>
      <c r="B14" s="287"/>
      <c r="C14" s="288"/>
      <c r="D14" s="288"/>
      <c r="E14" s="288"/>
      <c r="F14" s="289"/>
    </row>
    <row r="15" spans="1:6" ht="18.75" customHeight="1">
      <c r="A15" s="36"/>
      <c r="B15" s="287"/>
      <c r="C15" s="288"/>
      <c r="D15" s="288"/>
      <c r="E15" s="288"/>
      <c r="F15" s="289"/>
    </row>
    <row r="16" spans="1:6" ht="18.75" customHeight="1">
      <c r="A16" s="36"/>
      <c r="B16" s="287"/>
      <c r="C16" s="288"/>
      <c r="D16" s="288"/>
      <c r="E16" s="288"/>
      <c r="F16" s="289"/>
    </row>
    <row r="17" spans="1:6" ht="18.75" customHeight="1">
      <c r="A17" s="36"/>
      <c r="B17" s="287"/>
      <c r="C17" s="288"/>
      <c r="D17" s="288"/>
      <c r="E17" s="288"/>
      <c r="F17" s="289"/>
    </row>
    <row r="18" spans="1:6" ht="18.75" customHeight="1">
      <c r="A18" s="36"/>
      <c r="B18" s="287"/>
      <c r="C18" s="288"/>
      <c r="D18" s="288"/>
      <c r="E18" s="288"/>
      <c r="F18" s="289"/>
    </row>
    <row r="19" spans="1:6" ht="18.75" customHeight="1">
      <c r="A19" s="36"/>
      <c r="B19" s="287"/>
      <c r="C19" s="288"/>
      <c r="D19" s="288"/>
      <c r="E19" s="288"/>
      <c r="F19" s="289"/>
    </row>
    <row r="20" spans="1:6" ht="18.75" customHeight="1">
      <c r="A20" s="36"/>
      <c r="B20" s="287"/>
      <c r="C20" s="288"/>
      <c r="D20" s="288"/>
      <c r="E20" s="288"/>
      <c r="F20" s="289"/>
    </row>
    <row r="21" spans="1:6" ht="18.75" customHeight="1">
      <c r="A21" s="36"/>
      <c r="B21" s="287"/>
      <c r="C21" s="288"/>
      <c r="D21" s="288"/>
      <c r="E21" s="288"/>
      <c r="F21" s="289"/>
    </row>
    <row r="22" spans="1:6" ht="18.75" customHeight="1">
      <c r="A22" s="36"/>
      <c r="B22" s="287"/>
      <c r="C22" s="288"/>
      <c r="D22" s="288"/>
      <c r="E22" s="288"/>
      <c r="F22" s="289"/>
    </row>
    <row r="23" spans="1:6" ht="18.75" customHeight="1">
      <c r="A23" s="36"/>
      <c r="B23" s="287"/>
      <c r="C23" s="288"/>
      <c r="D23" s="288"/>
      <c r="E23" s="288"/>
      <c r="F23" s="289"/>
    </row>
    <row r="24" spans="1:6" ht="18.75" customHeight="1">
      <c r="A24" s="36"/>
      <c r="B24" s="287"/>
      <c r="C24" s="288"/>
      <c r="D24" s="288"/>
      <c r="E24" s="288"/>
      <c r="F24" s="289"/>
    </row>
    <row r="25" spans="1:6" ht="18.75" customHeight="1">
      <c r="A25" s="36"/>
      <c r="B25" s="287"/>
      <c r="C25" s="288"/>
      <c r="D25" s="288"/>
      <c r="E25" s="288"/>
      <c r="F25" s="289"/>
    </row>
    <row r="26" spans="1:6" ht="18.75" customHeight="1">
      <c r="A26" s="36"/>
      <c r="B26" s="287"/>
      <c r="C26" s="288"/>
      <c r="D26" s="288"/>
      <c r="E26" s="288"/>
      <c r="F26" s="289"/>
    </row>
    <row r="27" spans="1:6" ht="18.75" customHeight="1">
      <c r="A27" s="36"/>
      <c r="B27" s="287"/>
      <c r="C27" s="288"/>
      <c r="D27" s="288"/>
      <c r="E27" s="288"/>
      <c r="F27" s="289"/>
    </row>
    <row r="28" spans="1:6" ht="18.75" customHeight="1">
      <c r="A28" s="36"/>
      <c r="B28" s="287"/>
      <c r="C28" s="288"/>
      <c r="D28" s="288"/>
      <c r="E28" s="288"/>
      <c r="F28" s="289"/>
    </row>
    <row r="29" spans="1:6" ht="18.75" customHeight="1">
      <c r="A29" s="36"/>
      <c r="B29" s="287"/>
      <c r="C29" s="288"/>
      <c r="D29" s="288"/>
      <c r="E29" s="288"/>
      <c r="F29" s="289"/>
    </row>
    <row r="30" spans="1:6" ht="18.75" customHeight="1">
      <c r="A30" s="36"/>
      <c r="B30" s="287"/>
      <c r="C30" s="288"/>
      <c r="D30" s="288"/>
      <c r="E30" s="288"/>
      <c r="F30" s="289"/>
    </row>
    <row r="31" spans="1:6" ht="18.75" customHeight="1">
      <c r="A31" s="36"/>
      <c r="B31" s="287"/>
      <c r="C31" s="288"/>
      <c r="D31" s="288"/>
      <c r="E31" s="288"/>
      <c r="F31" s="289"/>
    </row>
    <row r="32" spans="1:6" ht="18.75" customHeight="1">
      <c r="A32" s="36"/>
      <c r="B32" s="287"/>
      <c r="C32" s="288"/>
      <c r="D32" s="288"/>
      <c r="E32" s="288"/>
      <c r="F32" s="289"/>
    </row>
    <row r="33" spans="1:6" ht="18.75" customHeight="1">
      <c r="A33" s="36"/>
      <c r="B33" s="287"/>
      <c r="C33" s="288"/>
      <c r="D33" s="288"/>
      <c r="E33" s="288"/>
      <c r="F33" s="289"/>
    </row>
    <row r="34" spans="1:6" ht="18.75" customHeight="1">
      <c r="A34" s="36"/>
      <c r="B34" s="287"/>
      <c r="C34" s="288"/>
      <c r="D34" s="288"/>
      <c r="E34" s="288"/>
      <c r="F34" s="289"/>
    </row>
    <row r="35" spans="1:6" ht="18.75" customHeight="1">
      <c r="A35" s="36"/>
      <c r="B35" s="287"/>
      <c r="C35" s="288"/>
      <c r="D35" s="288"/>
      <c r="E35" s="288"/>
      <c r="F35" s="289"/>
    </row>
    <row r="36" spans="1:6" ht="18.75" customHeight="1">
      <c r="A36" s="36"/>
      <c r="B36" s="287"/>
      <c r="C36" s="288"/>
      <c r="D36" s="288"/>
      <c r="E36" s="288"/>
      <c r="F36" s="289"/>
    </row>
    <row r="37" spans="1:6" ht="18.75" customHeight="1">
      <c r="A37" s="36"/>
      <c r="B37" s="287"/>
      <c r="C37" s="288"/>
      <c r="D37" s="288"/>
      <c r="E37" s="288"/>
      <c r="F37" s="289"/>
    </row>
    <row r="38" spans="1:6" ht="18.75" customHeight="1">
      <c r="A38" s="36"/>
      <c r="B38" s="287"/>
      <c r="C38" s="288"/>
      <c r="D38" s="288"/>
      <c r="E38" s="288"/>
      <c r="F38" s="289"/>
    </row>
    <row r="39" spans="1:6" ht="18.75" customHeight="1">
      <c r="A39" s="36"/>
      <c r="B39" s="287"/>
      <c r="C39" s="288"/>
      <c r="D39" s="288"/>
      <c r="E39" s="288"/>
      <c r="F39" s="289"/>
    </row>
    <row r="40" spans="1:6" ht="18.75" customHeight="1">
      <c r="A40" s="36"/>
      <c r="B40" s="287"/>
      <c r="C40" s="288"/>
      <c r="D40" s="288"/>
      <c r="E40" s="288"/>
      <c r="F40" s="289"/>
    </row>
    <row r="41" spans="1:6" ht="18.75" customHeight="1">
      <c r="A41" s="36"/>
      <c r="B41" s="287"/>
      <c r="C41" s="288"/>
      <c r="D41" s="288"/>
      <c r="E41" s="288"/>
      <c r="F41" s="289"/>
    </row>
    <row r="42" spans="1:6" ht="18.75" customHeight="1">
      <c r="A42" s="36"/>
      <c r="B42" s="290"/>
      <c r="C42" s="291"/>
      <c r="D42" s="291"/>
      <c r="E42" s="291"/>
      <c r="F42" s="292"/>
    </row>
    <row r="43" spans="1:6" ht="18.75" customHeight="1">
      <c r="A43" s="36" t="s">
        <v>10</v>
      </c>
      <c r="B43" s="4" t="s">
        <v>70</v>
      </c>
      <c r="C43" s="36"/>
      <c r="D43" s="36"/>
      <c r="E43" s="36"/>
      <c r="F43" s="36"/>
    </row>
    <row r="44" spans="1:6" ht="18.75" customHeight="1">
      <c r="A44" s="36"/>
      <c r="B44" s="298" t="s">
        <v>220</v>
      </c>
      <c r="C44" s="285"/>
      <c r="D44" s="285"/>
      <c r="E44" s="285"/>
      <c r="F44" s="286"/>
    </row>
    <row r="45" spans="1:6" ht="18.75" customHeight="1">
      <c r="A45" s="36"/>
      <c r="B45" s="287"/>
      <c r="C45" s="288"/>
      <c r="D45" s="288"/>
      <c r="E45" s="288"/>
      <c r="F45" s="289"/>
    </row>
    <row r="46" spans="1:6" ht="18.75" customHeight="1">
      <c r="A46" s="36"/>
      <c r="B46" s="287"/>
      <c r="C46" s="288"/>
      <c r="D46" s="288"/>
      <c r="E46" s="288"/>
      <c r="F46" s="289"/>
    </row>
    <row r="47" spans="1:6" ht="18.75" customHeight="1">
      <c r="A47" s="36"/>
      <c r="B47" s="287"/>
      <c r="C47" s="288"/>
      <c r="D47" s="288"/>
      <c r="E47" s="288"/>
      <c r="F47" s="289"/>
    </row>
    <row r="48" spans="1:6" ht="18.75" customHeight="1">
      <c r="A48" s="36"/>
      <c r="B48" s="287"/>
      <c r="C48" s="288"/>
      <c r="D48" s="288"/>
      <c r="E48" s="288"/>
      <c r="F48" s="289"/>
    </row>
    <row r="49" spans="1:6" ht="18.75" customHeight="1">
      <c r="A49" s="36"/>
      <c r="B49" s="287"/>
      <c r="C49" s="288"/>
      <c r="D49" s="288"/>
      <c r="E49" s="288"/>
      <c r="F49" s="289"/>
    </row>
    <row r="50" spans="1:6" ht="18.75" customHeight="1">
      <c r="A50" s="36"/>
      <c r="B50" s="287"/>
      <c r="C50" s="288"/>
      <c r="D50" s="288"/>
      <c r="E50" s="288"/>
      <c r="F50" s="289"/>
    </row>
    <row r="51" spans="1:6" ht="18.75" customHeight="1">
      <c r="A51" s="36"/>
      <c r="B51" s="287"/>
      <c r="C51" s="288"/>
      <c r="D51" s="288"/>
      <c r="E51" s="288"/>
      <c r="F51" s="289"/>
    </row>
    <row r="52" spans="1:6" ht="18.75" customHeight="1">
      <c r="A52" s="36"/>
      <c r="B52" s="287"/>
      <c r="C52" s="288"/>
      <c r="D52" s="288"/>
      <c r="E52" s="288"/>
      <c r="F52" s="289"/>
    </row>
    <row r="53" spans="1:6" ht="18.75" customHeight="1">
      <c r="A53" s="36"/>
      <c r="B53" s="287"/>
      <c r="C53" s="288"/>
      <c r="D53" s="288"/>
      <c r="E53" s="288"/>
      <c r="F53" s="289"/>
    </row>
    <row r="54" spans="1:6" ht="18.75" customHeight="1">
      <c r="A54" s="36"/>
      <c r="B54" s="287"/>
      <c r="C54" s="288"/>
      <c r="D54" s="288"/>
      <c r="E54" s="288"/>
      <c r="F54" s="289"/>
    </row>
    <row r="55" spans="1:6" ht="18.75" customHeight="1">
      <c r="A55" s="36"/>
      <c r="B55" s="287"/>
      <c r="C55" s="288"/>
      <c r="D55" s="288"/>
      <c r="E55" s="288"/>
      <c r="F55" s="289"/>
    </row>
    <row r="56" spans="1:6" ht="18.75" customHeight="1">
      <c r="A56" s="36"/>
      <c r="B56" s="287"/>
      <c r="C56" s="288"/>
      <c r="D56" s="288"/>
      <c r="E56" s="288"/>
      <c r="F56" s="289"/>
    </row>
    <row r="57" spans="1:6" ht="18.75" customHeight="1">
      <c r="A57" s="36"/>
      <c r="B57" s="287"/>
      <c r="C57" s="288"/>
      <c r="D57" s="288"/>
      <c r="E57" s="288"/>
      <c r="F57" s="289"/>
    </row>
    <row r="58" spans="1:6" ht="18.75" customHeight="1">
      <c r="A58" s="36"/>
      <c r="B58" s="287"/>
      <c r="C58" s="288"/>
      <c r="D58" s="288"/>
      <c r="E58" s="288"/>
      <c r="F58" s="289"/>
    </row>
    <row r="59" spans="1:6" ht="18.75" customHeight="1">
      <c r="A59" s="36"/>
      <c r="B59" s="287"/>
      <c r="C59" s="288"/>
      <c r="D59" s="288"/>
      <c r="E59" s="288"/>
      <c r="F59" s="289"/>
    </row>
    <row r="60" spans="1:6" ht="18.75" customHeight="1">
      <c r="A60" s="36"/>
      <c r="B60" s="287"/>
      <c r="C60" s="288"/>
      <c r="D60" s="288"/>
      <c r="E60" s="288"/>
      <c r="F60" s="289"/>
    </row>
    <row r="61" spans="1:6" ht="18.75" customHeight="1">
      <c r="A61" s="36"/>
      <c r="B61" s="287"/>
      <c r="C61" s="288"/>
      <c r="D61" s="288"/>
      <c r="E61" s="288"/>
      <c r="F61" s="289"/>
    </row>
    <row r="62" spans="1:6" ht="18.75" customHeight="1">
      <c r="A62" s="36"/>
      <c r="B62" s="287"/>
      <c r="C62" s="288"/>
      <c r="D62" s="288"/>
      <c r="E62" s="288"/>
      <c r="F62" s="289"/>
    </row>
    <row r="63" spans="1:6" ht="18.75" customHeight="1">
      <c r="A63" s="36"/>
      <c r="B63" s="287"/>
      <c r="C63" s="288"/>
      <c r="D63" s="288"/>
      <c r="E63" s="288"/>
      <c r="F63" s="289"/>
    </row>
    <row r="64" spans="1:6" ht="18.75" customHeight="1">
      <c r="A64" s="36"/>
      <c r="B64" s="287"/>
      <c r="C64" s="288"/>
      <c r="D64" s="288"/>
      <c r="E64" s="288"/>
      <c r="F64" s="289"/>
    </row>
    <row r="65" spans="1:6" ht="18.75" customHeight="1">
      <c r="A65" s="36"/>
      <c r="B65" s="287"/>
      <c r="C65" s="288"/>
      <c r="D65" s="288"/>
      <c r="E65" s="288"/>
      <c r="F65" s="289"/>
    </row>
    <row r="66" spans="1:6" ht="18.75" customHeight="1">
      <c r="A66" s="36"/>
      <c r="B66" s="287"/>
      <c r="C66" s="288"/>
      <c r="D66" s="288"/>
      <c r="E66" s="288"/>
      <c r="F66" s="289"/>
    </row>
    <row r="67" spans="1:6" ht="18.75" customHeight="1">
      <c r="A67" s="36"/>
      <c r="B67" s="287"/>
      <c r="C67" s="288"/>
      <c r="D67" s="288"/>
      <c r="E67" s="288"/>
      <c r="F67" s="289"/>
    </row>
    <row r="68" spans="1:6" ht="18.75" customHeight="1">
      <c r="A68" s="36"/>
      <c r="B68" s="287"/>
      <c r="C68" s="288"/>
      <c r="D68" s="288"/>
      <c r="E68" s="288"/>
      <c r="F68" s="289"/>
    </row>
    <row r="69" spans="1:6" ht="18.75" customHeight="1">
      <c r="A69" s="36"/>
      <c r="B69" s="287"/>
      <c r="C69" s="288"/>
      <c r="D69" s="288"/>
      <c r="E69" s="288"/>
      <c r="F69" s="289"/>
    </row>
    <row r="70" spans="1:6" ht="18.75" customHeight="1">
      <c r="A70" s="36"/>
      <c r="B70" s="287"/>
      <c r="C70" s="288"/>
      <c r="D70" s="288"/>
      <c r="E70" s="288"/>
      <c r="F70" s="289"/>
    </row>
    <row r="71" spans="1:6" ht="18.75" customHeight="1">
      <c r="A71" s="36"/>
      <c r="B71" s="287"/>
      <c r="C71" s="288"/>
      <c r="D71" s="288"/>
      <c r="E71" s="288"/>
      <c r="F71" s="289"/>
    </row>
    <row r="72" spans="1:6" ht="18.75" customHeight="1">
      <c r="A72" s="36"/>
      <c r="B72" s="287"/>
      <c r="C72" s="288"/>
      <c r="D72" s="288"/>
      <c r="E72" s="288"/>
      <c r="F72" s="289"/>
    </row>
    <row r="73" spans="1:6" ht="18.75" customHeight="1">
      <c r="A73" s="36"/>
      <c r="B73" s="287"/>
      <c r="C73" s="288"/>
      <c r="D73" s="288"/>
      <c r="E73" s="288"/>
      <c r="F73" s="289"/>
    </row>
    <row r="74" spans="1:6" ht="18.75" customHeight="1">
      <c r="A74" s="36"/>
      <c r="B74" s="287"/>
      <c r="C74" s="288"/>
      <c r="D74" s="288"/>
      <c r="E74" s="288"/>
      <c r="F74" s="289"/>
    </row>
    <row r="75" spans="1:6" ht="18.75" customHeight="1">
      <c r="A75" s="36"/>
      <c r="B75" s="287"/>
      <c r="C75" s="288"/>
      <c r="D75" s="288"/>
      <c r="E75" s="288"/>
      <c r="F75" s="289"/>
    </row>
    <row r="76" spans="1:6" ht="18.75" customHeight="1">
      <c r="A76" s="36"/>
      <c r="B76" s="287"/>
      <c r="C76" s="288"/>
      <c r="D76" s="288"/>
      <c r="E76" s="288"/>
      <c r="F76" s="289"/>
    </row>
    <row r="77" spans="1:6" ht="18.75" customHeight="1">
      <c r="A77" s="36"/>
      <c r="B77" s="287"/>
      <c r="C77" s="288"/>
      <c r="D77" s="288"/>
      <c r="E77" s="288"/>
      <c r="F77" s="289"/>
    </row>
    <row r="78" spans="1:6" ht="18.75" customHeight="1">
      <c r="A78" s="36"/>
      <c r="B78" s="287"/>
      <c r="C78" s="288"/>
      <c r="D78" s="288"/>
      <c r="E78" s="288"/>
      <c r="F78" s="289"/>
    </row>
    <row r="79" spans="1:6" ht="18.75" customHeight="1">
      <c r="A79" s="36"/>
      <c r="B79" s="287"/>
      <c r="C79" s="288"/>
      <c r="D79" s="288"/>
      <c r="E79" s="288"/>
      <c r="F79" s="289"/>
    </row>
    <row r="80" spans="1:6" ht="18.75" customHeight="1">
      <c r="A80" s="36"/>
      <c r="B80" s="287"/>
      <c r="C80" s="288"/>
      <c r="D80" s="288"/>
      <c r="E80" s="288"/>
      <c r="F80" s="289"/>
    </row>
    <row r="81" spans="1:6" ht="18.75" customHeight="1">
      <c r="A81" s="36"/>
      <c r="B81" s="287"/>
      <c r="C81" s="288"/>
      <c r="D81" s="288"/>
      <c r="E81" s="288"/>
      <c r="F81" s="289"/>
    </row>
    <row r="82" spans="1:6" ht="18.75" customHeight="1">
      <c r="A82" s="36"/>
      <c r="B82" s="287"/>
      <c r="C82" s="288"/>
      <c r="D82" s="288"/>
      <c r="E82" s="288"/>
      <c r="F82" s="289"/>
    </row>
    <row r="83" spans="1:6" ht="18.75" customHeight="1">
      <c r="A83" s="36"/>
      <c r="B83" s="290"/>
      <c r="C83" s="291"/>
      <c r="D83" s="291"/>
      <c r="E83" s="291"/>
      <c r="F83" s="292"/>
    </row>
    <row r="84" spans="1:6" ht="18.75" customHeight="1">
      <c r="A84" s="4" t="s">
        <v>11</v>
      </c>
      <c r="B84" s="4" t="s">
        <v>195</v>
      </c>
      <c r="C84" s="4"/>
      <c r="D84" s="4"/>
      <c r="E84" s="4"/>
      <c r="F84" s="4"/>
    </row>
    <row r="85" spans="1:6" ht="18.75" customHeight="1">
      <c r="A85" s="36"/>
      <c r="B85" s="330" t="s">
        <v>196</v>
      </c>
      <c r="C85" s="331"/>
      <c r="D85" s="331"/>
      <c r="E85" s="331"/>
      <c r="F85" s="332"/>
    </row>
    <row r="86" spans="1:6" ht="18.75" customHeight="1">
      <c r="A86" s="36"/>
      <c r="B86" s="333"/>
      <c r="C86" s="334"/>
      <c r="D86" s="334"/>
      <c r="E86" s="334"/>
      <c r="F86" s="335"/>
    </row>
    <row r="87" spans="1:6" ht="18.75" customHeight="1">
      <c r="A87" s="36"/>
      <c r="B87" s="333"/>
      <c r="C87" s="334"/>
      <c r="D87" s="334"/>
      <c r="E87" s="334"/>
      <c r="F87" s="335"/>
    </row>
    <row r="88" spans="1:6" ht="18.75" customHeight="1">
      <c r="A88" s="36"/>
      <c r="B88" s="333"/>
      <c r="C88" s="334"/>
      <c r="D88" s="334"/>
      <c r="E88" s="334"/>
      <c r="F88" s="335"/>
    </row>
    <row r="89" spans="1:6" ht="18.75" customHeight="1">
      <c r="A89" s="36"/>
      <c r="B89" s="333"/>
      <c r="C89" s="334"/>
      <c r="D89" s="334"/>
      <c r="E89" s="334"/>
      <c r="F89" s="335"/>
    </row>
    <row r="90" spans="1:6" ht="18.75" customHeight="1">
      <c r="A90" s="36"/>
      <c r="B90" s="333"/>
      <c r="C90" s="334"/>
      <c r="D90" s="334"/>
      <c r="E90" s="334"/>
      <c r="F90" s="335"/>
    </row>
    <row r="91" spans="1:6" ht="18.75" customHeight="1">
      <c r="A91" s="36"/>
      <c r="B91" s="333"/>
      <c r="C91" s="334"/>
      <c r="D91" s="334"/>
      <c r="E91" s="334"/>
      <c r="F91" s="335"/>
    </row>
    <row r="92" spans="1:6" ht="18.75" customHeight="1">
      <c r="A92" s="36"/>
      <c r="B92" s="333"/>
      <c r="C92" s="334"/>
      <c r="D92" s="334"/>
      <c r="E92" s="334"/>
      <c r="F92" s="335"/>
    </row>
    <row r="93" spans="1:6" ht="18.75" customHeight="1">
      <c r="A93" s="36"/>
      <c r="B93" s="333"/>
      <c r="C93" s="334"/>
      <c r="D93" s="334"/>
      <c r="E93" s="334"/>
      <c r="F93" s="335"/>
    </row>
    <row r="94" spans="1:6" ht="18.75" customHeight="1">
      <c r="A94" s="36"/>
      <c r="B94" s="333"/>
      <c r="C94" s="334"/>
      <c r="D94" s="334"/>
      <c r="E94" s="334"/>
      <c r="F94" s="335"/>
    </row>
    <row r="95" spans="1:6" ht="18.75" customHeight="1">
      <c r="A95" s="36"/>
      <c r="B95" s="333"/>
      <c r="C95" s="334"/>
      <c r="D95" s="334"/>
      <c r="E95" s="334"/>
      <c r="F95" s="335"/>
    </row>
    <row r="96" spans="1:6" ht="18.75" customHeight="1">
      <c r="A96" s="36"/>
      <c r="B96" s="333"/>
      <c r="C96" s="334"/>
      <c r="D96" s="334"/>
      <c r="E96" s="334"/>
      <c r="F96" s="335"/>
    </row>
    <row r="97" spans="1:6" ht="18.75" customHeight="1">
      <c r="A97" s="36"/>
      <c r="B97" s="333"/>
      <c r="C97" s="334"/>
      <c r="D97" s="334"/>
      <c r="E97" s="334"/>
      <c r="F97" s="335"/>
    </row>
    <row r="98" spans="1:6" ht="18.75" customHeight="1">
      <c r="A98" s="36"/>
      <c r="B98" s="333"/>
      <c r="C98" s="334"/>
      <c r="D98" s="334"/>
      <c r="E98" s="334"/>
      <c r="F98" s="335"/>
    </row>
    <row r="99" spans="1:6" ht="18.75" customHeight="1">
      <c r="A99" s="36"/>
      <c r="B99" s="333"/>
      <c r="C99" s="334"/>
      <c r="D99" s="334"/>
      <c r="E99" s="334"/>
      <c r="F99" s="335"/>
    </row>
    <row r="100" spans="1:6" ht="18.75" customHeight="1">
      <c r="A100" s="36"/>
      <c r="B100" s="333"/>
      <c r="C100" s="334"/>
      <c r="D100" s="334"/>
      <c r="E100" s="334"/>
      <c r="F100" s="335"/>
    </row>
    <row r="101" spans="1:6" ht="18.75" customHeight="1">
      <c r="A101" s="36"/>
      <c r="B101" s="333"/>
      <c r="C101" s="334"/>
      <c r="D101" s="334"/>
      <c r="E101" s="334"/>
      <c r="F101" s="335"/>
    </row>
    <row r="102" spans="1:6" ht="18.75" customHeight="1">
      <c r="A102" s="36"/>
      <c r="B102" s="333"/>
      <c r="C102" s="334"/>
      <c r="D102" s="334"/>
      <c r="E102" s="334"/>
      <c r="F102" s="335"/>
    </row>
    <row r="103" spans="1:6" ht="18.75" customHeight="1">
      <c r="A103" s="36"/>
      <c r="B103" s="333"/>
      <c r="C103" s="334"/>
      <c r="D103" s="334"/>
      <c r="E103" s="334"/>
      <c r="F103" s="335"/>
    </row>
    <row r="104" spans="1:6" ht="18.75" customHeight="1">
      <c r="A104" s="36"/>
      <c r="B104" s="333"/>
      <c r="C104" s="334"/>
      <c r="D104" s="334"/>
      <c r="E104" s="334"/>
      <c r="F104" s="335"/>
    </row>
    <row r="105" spans="1:6" ht="18.75" customHeight="1">
      <c r="A105" s="36"/>
      <c r="B105" s="333"/>
      <c r="C105" s="334"/>
      <c r="D105" s="334"/>
      <c r="E105" s="334"/>
      <c r="F105" s="335"/>
    </row>
    <row r="106" spans="1:6" ht="18.75" customHeight="1">
      <c r="A106" s="36"/>
      <c r="B106" s="333"/>
      <c r="C106" s="334"/>
      <c r="D106" s="334"/>
      <c r="E106" s="334"/>
      <c r="F106" s="335"/>
    </row>
    <row r="107" spans="1:6" ht="18.75" customHeight="1">
      <c r="A107" s="36"/>
      <c r="B107" s="333"/>
      <c r="C107" s="334"/>
      <c r="D107" s="334"/>
      <c r="E107" s="334"/>
      <c r="F107" s="335"/>
    </row>
    <row r="108" spans="1:6" ht="18.75" customHeight="1">
      <c r="A108" s="36"/>
      <c r="B108" s="333"/>
      <c r="C108" s="334"/>
      <c r="D108" s="334"/>
      <c r="E108" s="334"/>
      <c r="F108" s="335"/>
    </row>
    <row r="109" spans="1:6" ht="18.75" customHeight="1">
      <c r="A109" s="36"/>
      <c r="B109" s="333"/>
      <c r="C109" s="334"/>
      <c r="D109" s="334"/>
      <c r="E109" s="334"/>
      <c r="F109" s="335"/>
    </row>
    <row r="110" spans="1:6" ht="18.75" customHeight="1">
      <c r="A110" s="36"/>
      <c r="B110" s="333"/>
      <c r="C110" s="334"/>
      <c r="D110" s="334"/>
      <c r="E110" s="334"/>
      <c r="F110" s="335"/>
    </row>
    <row r="111" spans="1:6" ht="18.75" customHeight="1">
      <c r="A111" s="36"/>
      <c r="B111" s="333"/>
      <c r="C111" s="334"/>
      <c r="D111" s="334"/>
      <c r="E111" s="334"/>
      <c r="F111" s="335"/>
    </row>
    <row r="112" spans="1:6" ht="18.75" customHeight="1">
      <c r="A112" s="36"/>
      <c r="B112" s="333"/>
      <c r="C112" s="334"/>
      <c r="D112" s="334"/>
      <c r="E112" s="334"/>
      <c r="F112" s="335"/>
    </row>
    <row r="113" spans="1:6" ht="18.75" customHeight="1">
      <c r="A113" s="36"/>
      <c r="B113" s="333"/>
      <c r="C113" s="334"/>
      <c r="D113" s="334"/>
      <c r="E113" s="334"/>
      <c r="F113" s="335"/>
    </row>
    <row r="114" spans="1:6" ht="18.75" customHeight="1">
      <c r="A114" s="36"/>
      <c r="B114" s="333"/>
      <c r="C114" s="334"/>
      <c r="D114" s="334"/>
      <c r="E114" s="334"/>
      <c r="F114" s="335"/>
    </row>
    <row r="115" spans="1:6" ht="18.75" customHeight="1">
      <c r="A115" s="36"/>
      <c r="B115" s="333"/>
      <c r="C115" s="334"/>
      <c r="D115" s="334"/>
      <c r="E115" s="334"/>
      <c r="F115" s="335"/>
    </row>
    <row r="116" spans="1:6" ht="18.75" customHeight="1">
      <c r="A116" s="36"/>
      <c r="B116" s="333"/>
      <c r="C116" s="334"/>
      <c r="D116" s="334"/>
      <c r="E116" s="334"/>
      <c r="F116" s="335"/>
    </row>
    <row r="117" spans="1:6" ht="18.75" customHeight="1">
      <c r="A117" s="36"/>
      <c r="B117" s="333"/>
      <c r="C117" s="334"/>
      <c r="D117" s="334"/>
      <c r="E117" s="334"/>
      <c r="F117" s="335"/>
    </row>
    <row r="118" spans="1:6" ht="18.75" customHeight="1">
      <c r="A118" s="36"/>
      <c r="B118" s="333"/>
      <c r="C118" s="334"/>
      <c r="D118" s="334"/>
      <c r="E118" s="334"/>
      <c r="F118" s="335"/>
    </row>
    <row r="119" spans="1:6" ht="18.75" customHeight="1">
      <c r="A119" s="36"/>
      <c r="B119" s="333"/>
      <c r="C119" s="334"/>
      <c r="D119" s="334"/>
      <c r="E119" s="334"/>
      <c r="F119" s="335"/>
    </row>
    <row r="120" spans="1:6" ht="18.75" customHeight="1">
      <c r="A120" s="36"/>
      <c r="B120" s="333"/>
      <c r="C120" s="334"/>
      <c r="D120" s="334"/>
      <c r="E120" s="334"/>
      <c r="F120" s="335"/>
    </row>
    <row r="121" spans="1:6" ht="18.75" customHeight="1">
      <c r="A121" s="36"/>
      <c r="B121" s="333"/>
      <c r="C121" s="334"/>
      <c r="D121" s="334"/>
      <c r="E121" s="334"/>
      <c r="F121" s="335"/>
    </row>
    <row r="122" spans="1:6" ht="18.75" customHeight="1">
      <c r="A122" s="36"/>
      <c r="B122" s="333"/>
      <c r="C122" s="334"/>
      <c r="D122" s="334"/>
      <c r="E122" s="334"/>
      <c r="F122" s="335"/>
    </row>
    <row r="123" spans="1:6" ht="18.75" customHeight="1">
      <c r="A123" s="36"/>
      <c r="B123" s="333"/>
      <c r="C123" s="334"/>
      <c r="D123" s="334"/>
      <c r="E123" s="334"/>
      <c r="F123" s="335"/>
    </row>
    <row r="124" spans="1:6" ht="18.75" customHeight="1">
      <c r="A124" s="36"/>
      <c r="B124" s="336"/>
      <c r="C124" s="337"/>
      <c r="D124" s="337"/>
      <c r="E124" s="337"/>
      <c r="F124" s="338"/>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2022-05-17T23:41:51Z</cp:lastPrinted>
  <dcterms:created xsi:type="dcterms:W3CDTF">2011-06-14T05:32:50Z</dcterms:created>
  <dcterms:modified xsi:type="dcterms:W3CDTF">2022-05-25T00:34:47Z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