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24226"/>
  <mc:AlternateContent xmlns:mc="http://schemas.openxmlformats.org/markup-compatibility/2006">
    <mc:Choice Requires="x15">
      <x15ac:absPath xmlns:x15ac="http://schemas.microsoft.com/office/spreadsheetml/2010/11/ac" url="\\LS220D810\k-shien\数理・データサイエンス・AI教育プログラム認定制度\02_申請書類\申請ファイル一式\"/>
    </mc:Choice>
  </mc:AlternateContent>
  <xr:revisionPtr revIDLastSave="0" documentId="13_ncr:1_{9AE81783-B892-4D11-84EF-4F0001D3D365}" xr6:coauthVersionLast="47" xr6:coauthVersionMax="47" xr10:uidLastSave="{00000000-0000-0000-0000-000000000000}"/>
  <bookViews>
    <workbookView xWindow="-120" yWindow="-120" windowWidth="29040" windowHeight="15840" tabRatio="752" firstSheet="1" activeTab="5" xr2:uid="{00000000-000D-0000-FFFF-FFFF00000000}"/>
  </bookViews>
  <sheets>
    <sheet name="様式１　大学等概要" sheetId="8" r:id="rId1"/>
    <sheet name="様式２ー１　プログラムを構成する授業科目" sheetId="49" r:id="rId2"/>
    <sheet name="様式２ー２　プログラムを構成する授業科目" sheetId="50" r:id="rId3"/>
    <sheet name="様式２ー３　プログラムを構成する授業科目" sheetId="51" r:id="rId4"/>
    <sheet name="様式２ー４　プログラムを構成する授業科目" sheetId="45" r:id="rId5"/>
    <sheet name="様式３　履修者等数の実績" sheetId="53" r:id="rId6"/>
    <sheet name="様式４　教育の質・履修者数を向上させるための体制・計画" sheetId="52" r:id="rId7"/>
    <sheet name="様式５　自己点検・評価" sheetId="42" r:id="rId8"/>
  </sheets>
  <definedNames>
    <definedName name="_xlnm._FilterDatabase" localSheetId="1" hidden="1">'様式２ー１　プログラムを構成する授業科目'!#REF!</definedName>
    <definedName name="_xlnm._FilterDatabase" localSheetId="2" hidden="1">'様式２ー２　プログラムを構成する授業科目'!#REF!</definedName>
    <definedName name="_xlnm._FilterDatabase" localSheetId="3" hidden="1">'様式２ー３　プログラムを構成する授業科目'!#REF!</definedName>
    <definedName name="_xlnm._FilterDatabase" localSheetId="4" hidden="1">'様式２ー４　プログラムを構成する授業科目'!#REF!</definedName>
    <definedName name="_xlnm._FilterDatabase" localSheetId="5" hidden="1">'様式３　履修者等数の実績'!#REF!</definedName>
    <definedName name="_xlnm.Print_Area" localSheetId="0">'様式１　大学等概要'!$A$1:$N$45</definedName>
    <definedName name="_xlnm.Print_Area" localSheetId="1">'様式２ー１　プログラムを構成する授業科目'!$A$1:$Z$98</definedName>
    <definedName name="_xlnm.Print_Area" localSheetId="2">'様式２ー２　プログラムを構成する授業科目'!$A$1:$Z$98</definedName>
    <definedName name="_xlnm.Print_Area" localSheetId="3">'様式２ー３　プログラムを構成する授業科目'!$A$1:$Z$98</definedName>
    <definedName name="_xlnm.Print_Area" localSheetId="4">'様式２ー４　プログラムを構成する授業科目'!$A$1:$Z$98</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53" l="1"/>
  <c r="Q10" i="53"/>
  <c r="R10" i="53" s="1"/>
  <c r="Q11" i="53"/>
  <c r="R11" i="53" s="1"/>
  <c r="C30" i="53"/>
  <c r="D30" i="53"/>
  <c r="E30" i="53"/>
  <c r="F30" i="53"/>
  <c r="G30" i="53"/>
  <c r="H30" i="53"/>
  <c r="I30" i="53"/>
  <c r="J30" i="53"/>
  <c r="K30" i="53"/>
  <c r="L30" i="53"/>
  <c r="M30" i="53"/>
  <c r="N30" i="53"/>
  <c r="O30" i="53"/>
  <c r="P30" i="53"/>
  <c r="Q30" i="53" l="1"/>
  <c r="R30" i="53" s="1"/>
  <c r="K5" i="52" l="1"/>
  <c r="K8" i="52"/>
  <c r="K15" i="52"/>
  <c r="K31" i="52"/>
  <c r="K46" i="52"/>
  <c r="K69" i="52"/>
  <c r="K91" i="52"/>
  <c r="K113" i="52"/>
  <c r="K18" i="42" l="1"/>
  <c r="K16" i="42"/>
  <c r="K15" i="42"/>
  <c r="K9" i="42"/>
  <c r="K8" i="42"/>
  <c r="K7" i="42"/>
  <c r="O45" i="8"/>
  <c r="O44" i="8"/>
  <c r="O41" i="8"/>
  <c r="O39" i="8"/>
  <c r="O37" i="8"/>
  <c r="O34" i="8"/>
  <c r="O32" i="8"/>
  <c r="O29" i="8"/>
  <c r="O20" i="8"/>
  <c r="O18" i="8"/>
  <c r="O16" i="8"/>
  <c r="O14" i="8"/>
  <c r="O12" i="8"/>
  <c r="O10" i="8"/>
  <c r="O6" i="8"/>
  <c r="O8" i="8"/>
  <c r="O4" i="8"/>
  <c r="K14" i="42"/>
  <c r="K13" i="42"/>
  <c r="K11" i="42"/>
  <c r="K10" i="42"/>
</calcChain>
</file>

<file path=xl/sharedStrings.xml><?xml version="1.0" encoding="utf-8"?>
<sst xmlns="http://schemas.openxmlformats.org/spreadsheetml/2006/main" count="769" uniqueCount="238">
  <si>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</si>
  <si>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</si>
  <si>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</si>
  <si>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</si>
  <si>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</si>
  <si>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</si>
  <si>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</si>
  <si>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</si>
  <si>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</si>
  <si>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</si>
  <si>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</si>
  <si>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</si>
  <si>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</si>
  <si>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</si>
  <si>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</si>
  <si>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</si>
  <si>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</si>
  <si>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</si>
  <si>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</si>
  <si>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</si>
  <si>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</si>
  <si>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</si>
  <si>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</si>
  <si>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</si>
  <si>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</si>
  <si>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</si>
  <si>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</si>
  <si>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</si>
  <si>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</si>
  <si>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</si>
  <si>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</si>
  <si>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</si>
  <si>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</si>
  <si>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</si>
  <si>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</si>
  <si>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</si>
  <si>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</si>
  <si>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</si>
  <si>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</si>
  <si>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</si>
  <si>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</si>
  <si>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</si>
  <si>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</si>
  <si>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</si>
  <si>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</si>
  <si>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</si>
  <si>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</si>
  <si>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</si>
  <si>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</si>
  <si>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</si>
  <si>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</si>
  <si>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</si>
  <si>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</si>
  <si>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</si>
  <si>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</si>
  <si>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</si>
  <si>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</si>
  <si>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</si>
  <si>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</si>
  <si>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</si>
  <si>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</si>
  <si>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</si>
  <si>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</si>
  <si>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</si>
  <si>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</si>
  <si>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</si>
  <si>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</si>
  <si>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</si>
  <si>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</si>
  <si>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</si>
  <si>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</si>
  <si>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</si>
  <si>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</si>
  <si>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</si>
  <si>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</si>
  <si>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</si>
  <si>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</si>
  <si>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</si>
  <si>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</si>
  <si>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</si>
  <si>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</si>
  <si>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</si>
  <si>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</si>
  <si>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</si>
  <si>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</si>
  <si>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</si>
  <si>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</si>
  <si>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</si>
  <si>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</si>
  <si>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</si>
  <si>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</si>
  <si>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</si>
  <si>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</si>
  <si>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</si>
  <si>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</si>
  <si>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</si>
  <si>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</si>
  <si>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</si>
  <si>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</si>
  <si>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</si>
  <si>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</si>
  <si>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</si>
  <si>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</si>
  <si>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</si>
  <si>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</si>
  <si>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</si>
  <si>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</si>
  <si>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</si>
  <si>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</si>
  <si>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</si>
  <si>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</si>
  <si>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</si>
  <si>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</si>
  <si>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</si>
  <si>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</si>
  <si>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</si>
  <si>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</si>
  <si>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</si>
  <si>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</si>
  <si>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</si>
  <si>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</si>
  <si>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</si>
  <si>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</si>
  <si>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</si>
  <si>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</si>
  <si>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</si>
  <si>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</si>
  <si>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</si>
  <si>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</si>
  <si>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</si>
  <si>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</si>
  <si>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</si>
  <si>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</si>
  <si>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</si>
  <si>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</si>
  <si>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</si>
  <si>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</si>
  <si>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</si>
  <si>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</si>
  <si>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</si>
  <si>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</si>
  <si>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</si>
  <si>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</si>
  <si>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</si>
  <si>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</si>
  <si>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</si>
  <si>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</si>
  <si>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津田塾大学</t>
    <phoneticPr fontId="22"/>
  </si>
  <si>
    <t>私立大学</t>
  </si>
  <si>
    <t>学校法人　津田塾大学</t>
    <phoneticPr fontId="1"/>
  </si>
  <si>
    <t>東京都小平市津田町２-１-１</t>
    <phoneticPr fontId="1"/>
  </si>
  <si>
    <t>無</t>
  </si>
  <si>
    <t>令和3</t>
    <rPh sb="0" eb="2">
      <t>レイワ</t>
    </rPh>
    <phoneticPr fontId="1"/>
  </si>
  <si>
    <t>稲葉　利江子</t>
    <phoneticPr fontId="1"/>
  </si>
  <si>
    <t>全学情報教育運営員会委員長</t>
    <rPh sb="10" eb="13">
      <t>イインチョウ</t>
    </rPh>
    <phoneticPr fontId="1"/>
  </si>
  <si>
    <t>全学情報教育運営員会</t>
    <phoneticPr fontId="1"/>
  </si>
  <si>
    <t>全学情報教育点検評価委員会委員長・学長</t>
    <rPh sb="0" eb="2">
      <t>ゼンガク</t>
    </rPh>
    <phoneticPr fontId="1"/>
  </si>
  <si>
    <t>髙橋　裕子</t>
  </si>
  <si>
    <t>認定教育プログラム</t>
  </si>
  <si>
    <t>教育研究支援事務室</t>
    <phoneticPr fontId="1"/>
  </si>
  <si>
    <t>栗原　郁太</t>
    <phoneticPr fontId="1"/>
  </si>
  <si>
    <t>042-342-7073</t>
    <phoneticPr fontId="1"/>
  </si>
  <si>
    <t>dsai@tsuda.ac.jp</t>
    <phoneticPr fontId="1"/>
  </si>
  <si>
    <t>全学情報教育点検評価委員会</t>
    <rPh sb="0" eb="2">
      <t>ゼンガク</t>
    </rPh>
    <phoneticPr fontId="1"/>
  </si>
  <si>
    <t>学部・学科によって、修了要件は相違する</t>
  </si>
  <si>
    <t>学芸学部</t>
  </si>
  <si>
    <t>総合政策学部</t>
  </si>
  <si>
    <t>全学情報教育運営委員会規程</t>
    <rPh sb="0" eb="2">
      <t>ゼンガク</t>
    </rPh>
    <phoneticPr fontId="1"/>
  </si>
  <si>
    <t>情報教育運営委員会は、本学のデータサイエンスをはじめとした情報教育のカリキュラム編成等を検討・運用する全学的な組織として設置している。具体的には、長期的な基本方針の策定を行うとともに、文部科学大臣が定める「数理・データサイエンス・AI教育プログラム認定制度」に基づく認定プログラム「データサイエンスリテラシープログラム」の立案、実施、改善を継続的に行う。</t>
    <phoneticPr fontId="1"/>
  </si>
  <si>
    <t>全学情報教育運営委員会
【委員長】　学芸学部　情報科学科　教授　稲葉　利江子
【委員】　 学芸学部　情報科学科　教授　中野　美由紀
【委員】　 総合政策学部　総合政策学科　教授　新海　尚子
【委員】　 総合政策学部　総合政策学科　准教授　鈴木　貴久
【事務局】　教育研究支援事務室</t>
    <rPh sb="0" eb="2">
      <t>ゼンガク</t>
    </rPh>
    <phoneticPr fontId="1"/>
  </si>
  <si>
    <t>　本プログラムを多くの学生に周知する手段として、データサイエンスリテラシープログラムのWebサイトや公式SNSにて情報を掲載することで、全学生がいつでもプログラムについて知ることができるようにする。また、本学全体へのアナウンスと連動し、常に最新情報が全学生に届くような体制を作る。
　本学の学生が利用する履修、講義受講のために利用しているポータルサイト（Tsuda Net)、LMSなどに、定期的にデータサイエンス教育に関する情報を発信し、プログラムの趣旨や修了要件を記載したパンフレットを配布するなどして、プログラムの周知に努める。</t>
    <phoneticPr fontId="1"/>
  </si>
  <si>
    <t>　前述のように本学では、全学情報教育運営委員会および学芸学部共通科目委員会と総合政策学科会議が連携し、全学を通じた「データサイエンスリテラシープログラム」の学びの実習を伴う科目については、TAを配置し、授業内での学生のサポート体制を整えている。また、授業外においても、Q&amp;A教室等を開設し、相談にも応じる。
　例えば、総合政策学部では、授業時間外における指導、質疑については、科目担当教員によるオフィスアワーズ、履修人数に応じた複数のTAによる質問タイムが毎週設けられており、科目内容や、理解を定着されるために課される課題への質疑応答が可能になっている。加えて、それらの科目の単位を修得済みの上級生によるメンター制度が設けられており、該当科目の内容や課題について、毎週複数回質問できる環境が整備されている。加えて、オンラインフォーラムなどで、該当科目担当者と履修生が授業外どこからでも質疑応答が可能な体制が構築されている。</t>
    <rPh sb="1" eb="3">
      <t>ゼンジュツ</t>
    </rPh>
    <phoneticPr fontId="1"/>
  </si>
  <si>
    <t>　本学では、全科目に対して授業アンケートを実施しており、このアンケートから各科目の学生の内容理解度を把握する。さらに、本プログラムの修了生に対してアンケートを実施し、特に科目の理解度、サポート体制についての満足度などについて調査することで、今後のプログラム運用の参考にする。
　本プログラムの授業アンケートでは、以下のような学生の意見が寄せられている。
【情報と社会(4)（2020年度）】
・現在の情報技術がどのようになっていて、これからどのようになっていくのかを知ることができたのでよかったです。​​
 【データリテラシーｂ（2021年度）】
・とても興味を持つことができました。なぜなら今後私が使っていこうと思うことができたからです。大学の論文で用いるために、データを集め、分類し、整理し、クレンジングすることを自分で少しでもできるようにしたいと思うことができました。
【情報通信技術と社会（2021年度）】
・私自身初めは情報通信技術について全く詳しくなかったのですが、授業を通して情報通信やITについてたくさんの知識を身につけることができました。
　また、授業担当者が独自で実施している授業アンケートによると「情報と社会(4)」（2021年度）における授業の理解度に関して「授業内容は理解できた」の回答は、「とてもそう思う」が64.7%、「そう思う」が33.6%という結果であった。</t>
    <phoneticPr fontId="1"/>
  </si>
  <si>
    <t>　全学情報教育運営委員会が中心となり、本プログラムの科目の履修状況を分析し、プログラム修了を目指す学生の状況を把握する。また、プログラム修了を目指す学生が単位を修得できていない科目については、担当教員と情報共有しながら、どのように状況を改善するのかについて協議する。</t>
    <rPh sb="1" eb="3">
      <t>ゼンガク</t>
    </rPh>
    <phoneticPr fontId="1"/>
  </si>
  <si>
    <t>　全学情報教育運営委員会が中心となり、本プログラム修了生の成績を分析することで、本プログラムによる学修成果を測ることができる。さらに、本プログラム修了生による資格試験合格などの履歴などを追跡することで学修成果を測る。</t>
    <rPh sb="1" eb="3">
      <t>ゼンガク</t>
    </rPh>
    <phoneticPr fontId="1"/>
  </si>
  <si>
    <t>　本プログラムの修了生に対してアンケートを実施し、設問項目として後輩学生や他の学生への推薦内容について尋ねる。そして、アンケートの回答内容をプログラムの公式Webや公式SNS等に掲載、発信することで、履修と修了の推進を行う。</t>
    <phoneticPr fontId="1"/>
  </si>
  <si>
    <t>　全学情報教育運営委員会が中心となり、プログラムの履修状況の分析を実施し、履修者数や履修率向上に向けた計画を立案し、進捗情報を管理していく。また、履修者数や履修率の向上に向けて、学生への広報を継続的に推進していく。</t>
    <rPh sb="1" eb="3">
      <t>ゼンガク</t>
    </rPh>
    <phoneticPr fontId="1"/>
  </si>
  <si>
    <t>　「情報と社会(4)」や「情報通信技術と社会」などではSociety5.0が実現する社会を具体的にイメージできるよう、実例等を示しながら解説をしている。さらに、レポートとして、具体的な情報技術を示しつつ、近い将来に実現する新たな社会について論じる課題を課すなど、文系学科の学生においても理系分野の学びではなく、文理融合の分野であることを理解できるような内容としている。
　「データリテラシーb」では、「統計において、高校までは手計算でグラフを書いていたことが、プログラムを数行書くことでグラフ化されることが楽しかった」「確率・統計の導入で視聴率など身近な例が触れられており、楽しかった」などという意見が授業アンケートで寄せられており、身近な例を授業に取り入れることで学ぶ楽しさを伝えている。
　さらに、プログラムの科目を通じて、データサイエンスの知識が各自の専門分野において、どのように関連するのかについて考え、学ぶ意義が理解できるようにしている。</t>
    <rPh sb="155" eb="157">
      <t>ブンリ</t>
    </rPh>
    <phoneticPr fontId="1"/>
  </si>
  <si>
    <t>　本学では、全開講科目に対して授業評価アンケートを実施している。このアンケートから学生の内容の理解度を把握することにより、授業内容・水準を維持するとともに、授業改善の必要性等を抽出することができ、さらなる向上を行うことができる。
　また、全学SD・FD委員会が主催するFD研修会が毎年複数回、実施されており、その中で、「教授法」「わかりやすい授業」「大学カリキュラム論」といったテーマで、定期的な研修を実施する体制を整えている。</t>
    <rPh sb="7" eb="9">
      <t>カイコウ</t>
    </rPh>
    <rPh sb="160" eb="163">
      <t>キョウジュホウ</t>
    </rPh>
    <rPh sb="175" eb="177">
      <t>ダイガク</t>
    </rPh>
    <rPh sb="183" eb="184">
      <t>ロン</t>
    </rPh>
    <rPh sb="205" eb="207">
      <t>タイセイ</t>
    </rPh>
    <rPh sb="208" eb="209">
      <t>トトノ</t>
    </rPh>
    <phoneticPr fontId="1"/>
  </si>
  <si>
    <t>様式２－１</t>
    <phoneticPr fontId="1"/>
  </si>
  <si>
    <r>
      <t>　</t>
    </r>
    <r>
      <rPr>
        <sz val="12"/>
        <rFont val="ＭＳ Ｐゴシック"/>
        <family val="3"/>
        <charset val="128"/>
        <scheme val="minor"/>
      </rPr>
      <t>学芸学部英語英文学科、国際関係学科、多文化・国際協力学科では、プログラムを構成する授業科目「情報処理 Ia」「データリテラシーｂ」「情報と社会（4）」各1単位の計3単位を取得すること。</t>
    </r>
    <phoneticPr fontId="1"/>
  </si>
  <si>
    <r>
      <t>　</t>
    </r>
    <r>
      <rPr>
        <sz val="12"/>
        <rFont val="ＭＳ Ｐゴシック"/>
        <family val="3"/>
        <charset val="128"/>
        <scheme val="minor"/>
      </rPr>
      <t>学芸学部数学科では、プログラムを構成する授業科目「情報処理」2単位、「データリテラシーｂ」1単位「情報と社会（4）」1単位の計4単位を取得すること。</t>
    </r>
    <phoneticPr fontId="1"/>
  </si>
  <si>
    <t>　学芸学部情報科学科では、「コンピュータリテラシーa」「データリテラシーｂ」「情報と社会（4）」各1単位の計3単位を取得すること。</t>
    <phoneticPr fontId="1"/>
  </si>
  <si>
    <t>　総合政策学部総合政策学科では、「データ・サイエンス入門」「情報通信技術と社会」各2単位の計4単位を取得すること。</t>
    <phoneticPr fontId="1"/>
  </si>
  <si>
    <t>情報処理Ia</t>
    <phoneticPr fontId="1"/>
  </si>
  <si>
    <t>全学開講</t>
  </si>
  <si>
    <t>○</t>
  </si>
  <si>
    <t>情報と社会(4)</t>
    <phoneticPr fontId="1"/>
  </si>
  <si>
    <t>データリテラシーb</t>
    <phoneticPr fontId="1"/>
  </si>
  <si>
    <t>　本プログラムにより、データサイエンスを含む情報科学に関する基礎的な知識を修得することで、文系・理系問わず幅広い専門領域において、データを用いた客観的な知見を抽出する力を身につけることを目的とする。さらに、Society5.0などの動向やデータ活用事例および、活用にあたる様々な留意事項等を学修することにより、卒業後、身につけた力を社会の中でどう活用していくのかについての方法論も修得する。</t>
    <phoneticPr fontId="1"/>
  </si>
  <si>
    <t>情報処理</t>
    <phoneticPr fontId="1"/>
  </si>
  <si>
    <t>一部開講</t>
  </si>
  <si>
    <t>コンピュータリテラシーa</t>
    <phoneticPr fontId="1"/>
  </si>
  <si>
    <t>情報通信技術と社会</t>
    <phoneticPr fontId="1"/>
  </si>
  <si>
    <t>　本プログラムにより、AI、データサイエンスに関する情報科学、社会科学に関する基礎知識や、第４次産業革命、Society 5.0、データ駆動型社会に至る情報処理、情報通信技術と関係する社会制度についての基礎知識を習得し、社会的な課題に関するデータの収集および分析方法とその結果をわかりやすく表現する能力を身に付ける。</t>
    <rPh sb="106" eb="108">
      <t>シュウトク</t>
    </rPh>
    <rPh sb="152" eb="153">
      <t>ミ</t>
    </rPh>
    <rPh sb="154" eb="155">
      <t>ツ</t>
    </rPh>
    <phoneticPr fontId="1"/>
  </si>
  <si>
    <t>様式２－４</t>
    <phoneticPr fontId="1"/>
  </si>
  <si>
    <t>様式２－３</t>
    <phoneticPr fontId="1"/>
  </si>
  <si>
    <t>様式２－２</t>
    <phoneticPr fontId="1"/>
  </si>
  <si>
    <t>データ・サイエンス入門</t>
    <phoneticPr fontId="1"/>
  </si>
  <si>
    <t>データ分析実践</t>
    <phoneticPr fontId="1"/>
  </si>
  <si>
    <t>4‐7データハンドリング</t>
  </si>
  <si>
    <t>人間の知的活動とAIの関係性 「データサイエンス入門」（第１回、第15回）
ビッグデータ、AI 「データサイエンス入門」（第１回）
データ量の増加、計算機の処理性能の向上 「データサイエンス入門」（第３回）
第4次産業革命、Society 5.0、データ駆動型社会、IoT 「情報通信技術と社会」（第１回）
複数技術を組み合わせたAIサービス 「情報通信技術と社会」（第２回）</t>
    <rPh sb="24" eb="26">
      <t>ニュウモン</t>
    </rPh>
    <rPh sb="28" eb="29">
      <t>ダイ</t>
    </rPh>
    <rPh sb="30" eb="31">
      <t>カイ</t>
    </rPh>
    <rPh sb="32" eb="33">
      <t>ダイ</t>
    </rPh>
    <rPh sb="35" eb="36">
      <t>カイ</t>
    </rPh>
    <rPh sb="57" eb="59">
      <t>ニュウモン</t>
    </rPh>
    <rPh sb="61" eb="62">
      <t>ダイ</t>
    </rPh>
    <rPh sb="63" eb="64">
      <t>カイ</t>
    </rPh>
    <rPh sb="95" eb="97">
      <t>ニュウモン</t>
    </rPh>
    <rPh sb="99" eb="100">
      <t>ダイ</t>
    </rPh>
    <rPh sb="101" eb="102">
      <t>カイ</t>
    </rPh>
    <rPh sb="138" eb="144">
      <t>ジョウホウツウシンギジュツ</t>
    </rPh>
    <rPh sb="145" eb="147">
      <t>シャカイ</t>
    </rPh>
    <rPh sb="149" eb="150">
      <t>ダイ</t>
    </rPh>
    <rPh sb="151" eb="152">
      <t>カイ</t>
    </rPh>
    <phoneticPr fontId="1"/>
  </si>
  <si>
    <t>AI等を活用した新しいビジネスモデル 「情報通信技術と社会」（第２回）
AI最新技術の活用例 「データサイエンス入門」（第15回）</t>
    <rPh sb="20" eb="26">
      <t>ジョウホウツウシンギジュツ</t>
    </rPh>
    <rPh sb="27" eb="29">
      <t>シャカイ</t>
    </rPh>
    <rPh sb="31" eb="32">
      <t>ダイ</t>
    </rPh>
    <rPh sb="33" eb="34">
      <t>カイ</t>
    </rPh>
    <rPh sb="56" eb="58">
      <t>ニュウモン</t>
    </rPh>
    <rPh sb="60" eb="61">
      <t>ダイ</t>
    </rPh>
    <rPh sb="63" eb="64">
      <t>カイ</t>
    </rPh>
    <phoneticPr fontId="1"/>
  </si>
  <si>
    <t>調査データ、実験データ 「データサイエンス入門」（第３回）
データ作成（ビッグデータとアノテーション）、オープンデータ、構造化データ、非構造化データ 「データサイエンス入門」（第15回）
人の行動ログデータ 「情報通信技術と社会」（第３回）</t>
    <rPh sb="21" eb="23">
      <t>ニュウモン</t>
    </rPh>
    <rPh sb="25" eb="26">
      <t>ダイ</t>
    </rPh>
    <rPh sb="27" eb="28">
      <t>カイ</t>
    </rPh>
    <rPh sb="84" eb="86">
      <t>ニュウモン</t>
    </rPh>
    <rPh sb="88" eb="89">
      <t>ダイ</t>
    </rPh>
    <rPh sb="91" eb="92">
      <t>カイ</t>
    </rPh>
    <rPh sb="105" eb="111">
      <t>ジョウホウツウシンギジュツ</t>
    </rPh>
    <rPh sb="112" eb="114">
      <t>シャカイ</t>
    </rPh>
    <rPh sb="116" eb="117">
      <t>ダイ</t>
    </rPh>
    <rPh sb="118" eb="119">
      <t>カイ</t>
    </rPh>
    <phoneticPr fontId="1"/>
  </si>
  <si>
    <t>データサイエンスのサイクル、流通、製造、金融、サービス、インフラ、公共、ヘルスケア等におけるデータ・AI利活用事例紹介 「情報通信技術と社会」（第９～10回）</t>
    <rPh sb="61" eb="67">
      <t>ジョウホウツウシンギジュツ</t>
    </rPh>
    <rPh sb="68" eb="70">
      <t>シャカイ</t>
    </rPh>
    <rPh sb="72" eb="73">
      <t>ダイ</t>
    </rPh>
    <rPh sb="77" eb="78">
      <t>カイ</t>
    </rPh>
    <phoneticPr fontId="1"/>
  </si>
  <si>
    <t>AIとビッグデータ、今のAIで出来ることと出来ないこと 「情報通信技術と社会」（第２回）
データ解析、データ可視化、軌跡の可視化 「情報通信技術と社会」（第11～16回）</t>
    <rPh sb="29" eb="35">
      <t>ジョウホウツウシンギジュツ</t>
    </rPh>
    <rPh sb="36" eb="38">
      <t>シャカイ</t>
    </rPh>
    <rPh sb="40" eb="41">
      <t>ダイ</t>
    </rPh>
    <rPh sb="42" eb="43">
      <t>カイ</t>
    </rPh>
    <phoneticPr fontId="1"/>
  </si>
  <si>
    <t xml:space="preserve">データ表現（棒グラフ、折線グラフ、散布図、ヒートマップ）・データの図表表現（チャート化）、優れた可視化事例の紹介 「データサイエンス入門」（第９～10回）
</t>
    <rPh sb="66" eb="68">
      <t>ニュウモン</t>
    </rPh>
    <rPh sb="70" eb="71">
      <t>ダイ</t>
    </rPh>
    <rPh sb="75" eb="76">
      <t>カイ</t>
    </rPh>
    <phoneticPr fontId="1"/>
  </si>
  <si>
    <t>データの集計、データの並び替え、ランキング、データ解析ツール（Excel） 「データサイエンス入門」（第３～６回）</t>
    <rPh sb="47" eb="49">
      <t>ニュウモン</t>
    </rPh>
    <rPh sb="51" eb="52">
      <t>ダイ</t>
    </rPh>
    <rPh sb="55" eb="56">
      <t>カイ</t>
    </rPh>
    <phoneticPr fontId="1"/>
  </si>
  <si>
    <t>データ・AI活用領域の広がり(生産、消費、文化活動など) 「情報通信技術と社会」（第２回）「データサイエンス入門」（第１～２回）
地域政策、調達、製造、物流、販売、マーケティング、サービス 「情報通信技術と社会」（第９回）
仮説検証、知識発見、原因究明、計画策定、判断支援、活動代替、新規生成 「情報通信技術と社会」（第11～16回）</t>
    <rPh sb="30" eb="36">
      <t>ジョウホウツウシンギジュツ</t>
    </rPh>
    <rPh sb="37" eb="39">
      <t>シャカイ</t>
    </rPh>
    <rPh sb="41" eb="42">
      <t>ダイ</t>
    </rPh>
    <rPh sb="43" eb="44">
      <t>カイ</t>
    </rPh>
    <rPh sb="54" eb="56">
      <t>ニュウモン</t>
    </rPh>
    <rPh sb="58" eb="59">
      <t>ダイ</t>
    </rPh>
    <rPh sb="62" eb="63">
      <t>カイ</t>
    </rPh>
    <rPh sb="65" eb="67">
      <t>チイキ</t>
    </rPh>
    <rPh sb="67" eb="69">
      <t>セイサク</t>
    </rPh>
    <rPh sb="96" eb="102">
      <t>ジョウホウツウシンギジュツ</t>
    </rPh>
    <rPh sb="103" eb="105">
      <t>シャカイ</t>
    </rPh>
    <rPh sb="107" eb="108">
      <t>ダイ</t>
    </rPh>
    <rPh sb="109" eb="110">
      <t>カイ</t>
    </rPh>
    <rPh sb="148" eb="154">
      <t>ジョウホウツウシンギジュツ</t>
    </rPh>
    <rPh sb="155" eb="157">
      <t>シャカイ</t>
    </rPh>
    <rPh sb="159" eb="160">
      <t>ダイ</t>
    </rPh>
    <rPh sb="165" eb="166">
      <t>カイ</t>
    </rPh>
    <phoneticPr fontId="1"/>
  </si>
  <si>
    <t>データの種類 「データサイエンス入門」（第１～２回）
データの分布(ヒストグラム)と代表値、代表値の性質の違い、データのばらつき「データサイエンス入門」（第３～４回）
データクレンジング、観測データに含まれる誤差の扱い 「データサイエンス入門」（第７～８回）
相関と因果、クロス集計表、分割表、相関係数行列、散布図行列「データサイエンス入門」（第13～16回）
母集団と標本抽出「データサイエンス入門」（第11～12回）</t>
    <rPh sb="16" eb="18">
      <t>ニュウモン</t>
    </rPh>
    <rPh sb="20" eb="21">
      <t>ダイ</t>
    </rPh>
    <rPh sb="24" eb="25">
      <t>カイ</t>
    </rPh>
    <phoneticPr fontId="1"/>
  </si>
  <si>
    <t>データ倫理：データのねつ造、改ざん、盗用、プライバシー保護、データ・AI活用における負の事例紹介 「情報通信技術と社会」（第５回）
個人情報保護、GDPR、忘れられる権利、オプトアウト、ELSI 「情報通信技術と社会」（第７～８回）
データバイアス、アルゴリズムバイアス 「データサイエンス入門」（第15回）</t>
    <rPh sb="99" eb="105">
      <t>ジョウホウツウシンギジュツ</t>
    </rPh>
    <rPh sb="106" eb="108">
      <t>シャカイ</t>
    </rPh>
    <rPh sb="110" eb="111">
      <t>ダイ</t>
    </rPh>
    <rPh sb="114" eb="115">
      <t>カイ</t>
    </rPh>
    <rPh sb="145" eb="147">
      <t>ニュウモン</t>
    </rPh>
    <rPh sb="149" eb="150">
      <t>ダイ</t>
    </rPh>
    <rPh sb="152" eb="153">
      <t>カイ</t>
    </rPh>
    <phoneticPr fontId="1"/>
  </si>
  <si>
    <t>情報漏洩等によるセキュリティ事故の事例紹介 「情報通信技術と社会」（第６回）
情報セキュリティ、匿名加工情報、暗号化、パスワード、悪意ある情報搾取 「情報通信技術と社会」（第７～８回）</t>
    <rPh sb="23" eb="29">
      <t>ジョウホウツウシンギジュツ</t>
    </rPh>
    <rPh sb="30" eb="32">
      <t>シャカイ</t>
    </rPh>
    <rPh sb="34" eb="35">
      <t>ダイ</t>
    </rPh>
    <rPh sb="36" eb="37">
      <t>カイ</t>
    </rPh>
    <phoneticPr fontId="1"/>
  </si>
  <si>
    <t>データの説明、扱うための統計基礎知識およびヒストグラムの理解と演習：データリテラシーb(第4回）
散布図、単回帰の結果からデータを説明、扱うことの理解と演習：データリテラシーb(第5回）
オープンデータの読みとりと視覚化、説明することの演習：データリテラシーb(第7回）
オープンデータサイトのツールによる地理的統計情報の理解と演習：データリテラシーｂ（第8回）</t>
    <rPh sb="77" eb="80">
      <t>サンプズ</t>
    </rPh>
    <rPh sb="81" eb="84">
      <t>タンカイキ</t>
    </rPh>
    <rPh sb="85" eb="87">
      <t>ケッカ</t>
    </rPh>
    <rPh sb="130" eb="131">
      <t>ヨ</t>
    </rPh>
    <rPh sb="135" eb="137">
      <t>シカクチリテキトウケイジョウホウ</t>
    </rPh>
    <phoneticPr fontId="1"/>
  </si>
  <si>
    <t>データの説明、扱うための統計基礎知識およびヒストグラムの理解と演習：データリテラシーb(第4回）
散布図、単回帰を用いたデータを説明、扱うことの理解と演習：データリテラシーb(第5回）
オープンデータとそのグラフ化を読み取り、説明することの理解と演習：データリテラシーb(第6回）
オープンデータの読みとりと視覚化、説明することの演習：データリテラシーb(第7回）</t>
    <rPh sb="77" eb="80">
      <t>サンプズ</t>
    </rPh>
    <rPh sb="81" eb="84">
      <t>タンカイキ</t>
    </rPh>
    <rPh sb="85" eb="86">
      <t>モチ</t>
    </rPh>
    <rPh sb="134" eb="135">
      <t>カ</t>
    </rPh>
    <rPh sb="177" eb="178">
      <t>ヨシカク</t>
    </rPh>
    <phoneticPr fontId="1"/>
  </si>
  <si>
    <t>データを読みとることの基礎的な理解と演習：データリテラシーｂ(第2回）
データを扱うことの基礎的な理解と演習：データリテラシーb(第3回）
データの説明、扱うための統計基礎知識およびヒストグラムの理解と演習：データリテラシーb(第4回）
オープンデータとそのグラフ化を読み取り、説明することの理解と演習：データリテラシーb(第6回）</t>
    <rPh sb="11" eb="14">
      <t>キソテキ</t>
    </rPh>
    <rPh sb="15" eb="17">
      <t>リカイ</t>
    </rPh>
    <rPh sb="18" eb="20">
      <t>エンシュウ</t>
    </rPh>
    <rPh sb="40" eb="41">
      <t>アツカ</t>
    </rPh>
    <rPh sb="45" eb="48">
      <t>キソテキ</t>
    </rPh>
    <rPh sb="52" eb="54">
      <t>エンシュウ</t>
    </rPh>
    <rPh sb="82" eb="84">
      <t>トウケイ</t>
    </rPh>
    <rPh sb="84" eb="88">
      <t>キソチシキ</t>
    </rPh>
    <rPh sb="132" eb="133">
      <t>カ</t>
    </rPh>
    <phoneticPr fontId="1"/>
  </si>
  <si>
    <t>インターネット上のトラブルとその対策（個人情報、著作権、情報セキュリティ）：情報処理Ia（第4回）
現代社会における情報セキュリティと情報モラル:情報と社会(4)(第8回）</t>
    <rPh sb="0" eb="86">
      <t xml:space="preserve">ダイ３カイ </t>
    </rPh>
    <phoneticPr fontId="1"/>
  </si>
  <si>
    <t>データ解析におけるセキュリティとプライバシー保護：データリテラシーb(第3回）
現代社会における情報セキュリティと情報モラル:情報と社会(4)(第8回）</t>
    <phoneticPr fontId="1"/>
  </si>
  <si>
    <t>情報の入出力（入力された非構造化データの活用事例）：情報と社会(4)(第4回）
Society5.0/IoT（スマートシティ、企業による活用事例とビジネスモデル）：情報と社会(4)(第6回)</t>
    <phoneticPr fontId="1"/>
  </si>
  <si>
    <t>インターネット上を流通するデータの事例：データリテラシーb（第2回）
オープンデータを用いた事例：データリテラシーb（第6回、第7回、第8回）
社会における適用事例：データリテラシーb(第9回）</t>
    <rPh sb="30" eb="31">
      <t xml:space="preserve">ダイ２カイ </t>
    </rPh>
    <rPh sb="43" eb="44">
      <t>モチ</t>
    </rPh>
    <rPh sb="46" eb="48">
      <t xml:space="preserve">ジレイ </t>
    </rPh>
    <rPh sb="59" eb="60">
      <t xml:space="preserve">ダイ６カイ </t>
    </rPh>
    <rPh sb="63" eb="64">
      <t xml:space="preserve">ダイ７カイ </t>
    </rPh>
    <rPh sb="67" eb="68">
      <t xml:space="preserve">ダイ８カイ </t>
    </rPh>
    <rPh sb="72" eb="74">
      <t>シャカイ</t>
    </rPh>
    <rPh sb="78" eb="80">
      <t>テキヨウ</t>
    </rPh>
    <phoneticPr fontId="1"/>
  </si>
  <si>
    <t>情報の入出力（入力されたデータの処理（言語処理、画像処理、音声処理））：情報と社会(4)（第4回）
家庭の情報化（データ解析とデータ活用の事例、ユビキタスホーム、スマートキッチン）：情報と社会(5)（第5回）</t>
    <phoneticPr fontId="1"/>
  </si>
  <si>
    <t>情報検索とデータ活用（インターネット上の様々なデータ）：情報処理Ia（第3回）</t>
    <phoneticPr fontId="1"/>
  </si>
  <si>
    <t>ロボット（ヒト化する機械、機械化するヒト、コミュニケーションロボット：情報と社会(4)(第2回）
IoT（IoTとは、企業による活用事例とビジネスモデル）：情報と社会(4)（第6回）
人工知能（人工知能とは、AI技術の活用例）：情報と社会(4)（第7回）</t>
    <rPh sb="10" eb="12">
      <t xml:space="preserve">キカイ </t>
    </rPh>
    <rPh sb="13" eb="16">
      <t xml:space="preserve">キカイカスル </t>
    </rPh>
    <rPh sb="35" eb="37">
      <t xml:space="preserve">ジョウホウトシャカイ </t>
    </rPh>
    <rPh sb="78" eb="80">
      <t xml:space="preserve">ジョウホウトシャカイ </t>
    </rPh>
    <rPh sb="87" eb="88">
      <t xml:space="preserve">ダイ６カイ </t>
    </rPh>
    <rPh sb="114" eb="116">
      <t xml:space="preserve">ジョウホウトシャカイ </t>
    </rPh>
    <rPh sb="123" eb="124">
      <t xml:space="preserve">ダイ７カイ </t>
    </rPh>
    <phoneticPr fontId="1"/>
  </si>
  <si>
    <t>コンピュータの仕組み：情報処理Ia（第1回）
インターネット上のサービス：情報処理Ia(第3回)
Society5.0（Society5.0とは）：情報と社会(4)（第6回）</t>
    <rPh sb="7" eb="9">
      <t xml:space="preserve">シクミ </t>
    </rPh>
    <rPh sb="18" eb="19">
      <t xml:space="preserve">ダイ１カイ </t>
    </rPh>
    <rPh sb="37" eb="41">
      <t xml:space="preserve">ジョウホウショリ </t>
    </rPh>
    <rPh sb="44" eb="45">
      <t xml:space="preserve">ダイ３カイ </t>
    </rPh>
    <rPh sb="74" eb="76">
      <t xml:space="preserve">ジョウホウトシャカイ </t>
    </rPh>
    <rPh sb="83" eb="84">
      <t xml:space="preserve">ダイ６カイ </t>
    </rPh>
    <phoneticPr fontId="1"/>
  </si>
  <si>
    <t>情報と社会(4)</t>
    <rPh sb="0" eb="1">
      <t xml:space="preserve">ジョウホウトシャカイ </t>
    </rPh>
    <phoneticPr fontId="1"/>
  </si>
  <si>
    <t>インターネット上のトラブルとその対策（個人情報、著作権、情報セキュリティ）：情報処理（第4回）
情報発信(セキュリティ）：情報処理（第17回）
現代社会における情報セキュリティと情報モラル:情報と社会(4)(第8回）</t>
    <rPh sb="0" eb="107">
      <t xml:space="preserve">ダイ３カイ </t>
    </rPh>
    <phoneticPr fontId="1"/>
  </si>
  <si>
    <t>インターネット上を流通するデータの事例：データリテラシーb（第2回）
オープンデータとして日本統計局のデータによる事例：データリテラシーb（第6回、第7回、第8回）
小売業、通信業、コールセンター等の事例：データリテラシーb(第9回）</t>
    <rPh sb="30" eb="31">
      <t xml:space="preserve">ダイ２カイ </t>
    </rPh>
    <rPh sb="45" eb="50">
      <t xml:space="preserve">ニホントウケイキョクノ </t>
    </rPh>
    <rPh sb="57" eb="59">
      <t xml:space="preserve">ジレイ </t>
    </rPh>
    <rPh sb="70" eb="71">
      <t xml:space="preserve">ダイ６カイ </t>
    </rPh>
    <rPh sb="74" eb="75">
      <t xml:space="preserve">ダイ７カイ </t>
    </rPh>
    <rPh sb="78" eb="79">
      <t xml:space="preserve">ダイ８カイ </t>
    </rPh>
    <rPh sb="113" eb="114">
      <t xml:space="preserve">ダイ９カイ </t>
    </rPh>
    <phoneticPr fontId="1"/>
  </si>
  <si>
    <t>情報検索と多様なデータ活用：情報処理（第3回）</t>
    <rPh sb="0" eb="4">
      <t xml:space="preserve">ジョウホウケンサクト </t>
    </rPh>
    <rPh sb="5" eb="7">
      <t xml:space="preserve">タヨウナ </t>
    </rPh>
    <rPh sb="11" eb="13">
      <t xml:space="preserve">カツヨウ </t>
    </rPh>
    <phoneticPr fontId="1"/>
  </si>
  <si>
    <t>コンピュータの仕組み：情報処理（第3回）
インターネット(クラウドコンピューティング）：情報処理(第4回)
Society5.0（Society5.0とは）：情報と社会(4)（第6回）</t>
    <rPh sb="7" eb="9">
      <t xml:space="preserve">シクミ </t>
    </rPh>
    <rPh sb="16" eb="17">
      <t xml:space="preserve">ダイ１カイ </t>
    </rPh>
    <rPh sb="44" eb="48">
      <t xml:space="preserve">ジョウホウショリ </t>
    </rPh>
    <rPh sb="49" eb="50">
      <t xml:space="preserve">ダイ３カイ </t>
    </rPh>
    <rPh sb="79" eb="81">
      <t xml:space="preserve">ジョウホウトシャカイ </t>
    </rPh>
    <rPh sb="88" eb="89">
      <t xml:space="preserve">ダイ６カイ </t>
    </rPh>
    <phoneticPr fontId="1"/>
  </si>
  <si>
    <t>インターネット上のトラブルとその対策（個人情報、著作権、情報セキュリティ）：コンピュータリテラシーa（第4回）
現代社会における情報セキュリティと情報モラル:情報と社会(4)(第8回）</t>
    <rPh sb="0" eb="91">
      <t xml:space="preserve">ダイ３カイ </t>
    </rPh>
    <phoneticPr fontId="1"/>
  </si>
  <si>
    <t>情報検索とWeb上のさまざまなデータ（文書、画像／動画、音声／音楽など）：コンピュータリテラシーa（第3回）</t>
    <rPh sb="0" eb="4">
      <t xml:space="preserve">ジョウホウケンサクト </t>
    </rPh>
    <rPh sb="5" eb="7">
      <t xml:space="preserve">タヨウナ </t>
    </rPh>
    <rPh sb="11" eb="13">
      <t xml:space="preserve">カツヨウ </t>
    </rPh>
    <phoneticPr fontId="1"/>
  </si>
  <si>
    <t>コンピュータの構造：コンピュータリテラシーa（第1回）
インターネットの仕組み：コンピュータリテラシーa(第3回)
Society5.0（Society5.0とは）：情報と社会(4)（第6回）</t>
    <rPh sb="7" eb="9">
      <t xml:space="preserve">コウゾウ </t>
    </rPh>
    <rPh sb="23" eb="24">
      <t xml:space="preserve">ダイ１カイ </t>
    </rPh>
    <rPh sb="40" eb="44">
      <t xml:space="preserve">ジョウホウショリ </t>
    </rPh>
    <rPh sb="45" eb="46">
      <t xml:space="preserve">ダイ３カイ </t>
    </rPh>
    <rPh sb="75" eb="77">
      <t xml:space="preserve">ジョウホウトシャカイ </t>
    </rPh>
    <rPh sb="84" eb="85">
      <t xml:space="preserve">ダイ６カイ </t>
    </rPh>
    <phoneticPr fontId="1"/>
  </si>
  <si>
    <t>https://www.tsuda.ac.jp/learning/data-science-literacy.html</t>
    <phoneticPr fontId="1"/>
  </si>
  <si>
    <r>
      <t>　</t>
    </r>
    <r>
      <rPr>
        <sz val="12"/>
        <rFont val="ＭＳ Ｐゴシック"/>
        <family val="3"/>
        <charset val="128"/>
      </rPr>
      <t>本学では、全学情報教育運営委員会が中心となり学内の関係学科、関係委員会と連携し、全学を通じた「データサイエンスリテラシープログラム」の学びの支援を行う。</t>
    </r>
    <r>
      <rPr>
        <sz val="12"/>
        <rFont val="ＭＳ Ｐゴシック"/>
        <family val="3"/>
        <charset val="128"/>
        <scheme val="minor"/>
      </rPr>
      <t>具体的には、本プログラムの修了を目指す学生の支援として、情報教育運営委員会が中心となり、データサイエンスリテラシープログラムの科目に関する質問への対応や、履修計画などに対する相談にも応じる窓口の開設を行う。
　例えば、総合政策学部では、本プログラム該当科目について、履修生がアクセスできるLMSにおいて、教材等を共有しており、理解度についてはLMSで共有されている演習課題等を通じて確認し、フィードバックを行っている。また、演習付き科目に対しては、授業時間内にTAが複数名配置されており、質疑応答に対応するサポート体制を整えている。</t>
    </r>
    <phoneticPr fontId="1"/>
  </si>
  <si>
    <r>
      <t>　本学では、全学情報教育運営委員会および学芸学部共通科目委員会と総合政策学科会議が連携し、全学を通じた「データサイエンスリテラシープログラム」の学びの検討を行う。
　従来より、学芸学部における、英語英文学科、国際関係学科、多文化・国際協力学科の学生が履修している「情報処理Ia」等や、数学科の「情報処理」、情報科学科「コンピュータリテラシーa」、そして総合政策学部総合政策学科における、「データ・サイエンス入門」といった、2学部6学科の全学生が履修できる科目が用意されている。
　しかし、学芸学部の「データリテラシーb」に関しては、2021年度までは2年生以上が履修する「程度2」の科目として開設され、ノートPC必携の講義としていた。これに対して2022度以降は1年生以上が履修する「程度1」とし、ノートPC必携を義務付けていない学科の学生も履修ができるようにする。
　また、「データサイエンスリテラシープログラム」を履修する学生に向けた情報機器環境の整備を推進する。
　</t>
    </r>
    <r>
      <rPr>
        <sz val="12"/>
        <rFont val="ＭＳ Ｐゴシック"/>
        <family val="3"/>
        <charset val="128"/>
      </rPr>
      <t>さらに、「情報と社会(4)」については、2021年度までも150名程の履修者数となっていた。
2022年度は、学生が他の科目との時間割上の曜日時限の被りを気にせずに履修できるようメディアを利用した科目に申請を行い、オンデマンド型授業としている。これにより、データサイエンスプログラムとしても多くの学生が履修できる。また、オンデマンド型となることで、キャンパスの異なる総合政策学部の学生も履修が可能となる。なお、2021、2022年度はコロナ禍のためオンライン授業としていたため、総合政策学部の学生も履修していた（実績4名）。</t>
    </r>
    <rPh sb="320" eb="321">
      <t>タイ</t>
    </rPh>
    <rPh sb="571" eb="573">
      <t>チョウフク</t>
    </rPh>
    <rPh sb="608" eb="611">
      <t>ホンカモク</t>
    </rPh>
    <rPh sb="635" eb="636">
      <t>チュウ</t>
    </rPh>
    <rPh sb="643" eb="645">
      <t>タイオウ</t>
    </rPh>
    <rPh sb="656" eb="658">
      <t>ウンヨウ</t>
    </rPh>
    <rPh sb="666" eb="669">
      <t>ドウカモク</t>
    </rPh>
    <rPh sb="686" eb="688">
      <t>ジッセキ</t>
    </rPh>
    <phoneticPr fontId="1"/>
  </si>
  <si>
    <t>　2022年度以降は、数学科、情報科学科などですでに開講されているデータ解析基礎に関連する科目とその発展科目がある学科に加え、英語英文学科、国際関係学科、多文化国際協力学科、に向けて、「データサイエンスリテラシープログラム」としてデータ解析基礎科目の開講クラス数を数年にかけて増やし、2025年度以降は「データサイエンスリテラシープログラム」の履修率を全学を通じて50%以上を目指す。
　履修率の向上のために、「データサイエンスリテラシープログラム」に関する広報活動、履修者支援および今後の履修希望者増加に対する受け入れ整備の観点から以下を計画している。
①プログラムの広報活動として、本学学生全体に向けた普及を目的に、公式Webサイトや学生用のポータルサイトを作成し、随時学生へ新しい取組などについて情報提供を行う。
②本プログラムの履修者数向上を目指し、データサイエンスの馴染みの少ない文系学生の履修率、修了率をあげるために、履修者用のサイトを整備し、プログラム履修計画への相談などに対応し、履修を促す体制を整える共に、担当教員を中心にデータリテラシープログラムの科目における学びを支援するためのQ&amp;A教室等を開設し、学びの質の担保と共に修了率をあげることを目指す。
　プログラム開始後は、学生の履修希望などに応じ、適切な開講クラス数、各学科におけるカリキュラムとの連携などの検証を行い、全学横断的に「データサイエンスリテラシープログラム」に関する科目の担当者間での情報共有をし、5年間の学習内容の見直しを図る予定である。</t>
    <phoneticPr fontId="1"/>
  </si>
  <si>
    <t xml:space="preserve">　本学はこれまでも、学科を問わず情報サービス分野への就職者が一定数存在する。
【2020年度学科別　情報サービス分野就職割合】
英語英文学科: 9.9%、国際関係学科: 10.5%、数学科: 26.9%、情報科学科: 38.6%
総合政策学科: 20.2%
情報サービス分野では日本国内のみでなく、海外と協同してのプロジェクトが行われることもあり、また、最新の技術に関する情報は英語で記述されたものがほとんどであり、本学卒業生の語学力に期待するという人事担当者の声も多い。
　今後も、プログラム修了者の卒業後の調査を実施し、その進路や活動状況を確認する。
</t>
    <rPh sb="137" eb="139">
      <t>ブンヤ</t>
    </rPh>
    <phoneticPr fontId="1"/>
  </si>
  <si>
    <t xml:space="preserve">　全学情報教育点検評価委員会が、産業界および産業界出身者を外部評価委員として委嘱し、定期的に本プログラムについての評価、提言が得られる仕組みを構築する。
　令和3年（2021年）度は産業界の２名よりプログラムへの評価、提言を受けた。「企業においてデータ分析はツールであり、重要なのはデータ分析を基にした適切な意思決定である。本プログラムではその点を重視されている」とのコメントがあった。また、初学者、経験者とスキルの幅が大きく、初学者へのフォローが必要であること、講義、事例紹介にとどまらず演習やグループワークを導入するなどにより学習効果を高める必要があるといった提言がなされている。
</t>
    <phoneticPr fontId="1"/>
  </si>
  <si>
    <t>データサイエンス・リテラシープログラム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</si>
</sst>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6"/>
      <name val="ＭＳ Ｐゴシック"/>
      <family val="3"/>
      <charset val="128"/>
    </font>
    <font>
      <sz val="11"/>
      <name val="MS PGothic"/>
      <family val="3"/>
      <charset val="128"/>
    </font>
    <font>
      <sz val="12"/>
      <name val="MS PGothic"/>
      <family val="3"/>
      <charset val="128"/>
    </font>
    <font>
      <sz val="12"/>
      <name val="ＭＳ Ｐゴシック"/>
      <family val="3"/>
      <charset val="128"/>
    </font>
  </fonts>
  <fills count="2">
    <fill>
      <patternFill patternType="none"/>
    </fill>
    <fill>
      <patternFill patternType="gray125"/>
    </fill>
  </fills>
  <borders count="5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5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0" fontId="7" fillId="0" borderId="0" xfId="0" applyFont="1" applyBorder="1">
      <alignment vertical="center"/>
    </xf>
    <xf numFmtId="0" fontId="7" fillId="0" borderId="3" xfId="0" applyFont="1" applyBorder="1" applyAlignment="1">
      <alignment vertical="center" shrinkToFit="1"/>
    </xf>
    <xf numFmtId="0" fontId="7" fillId="0" borderId="0" xfId="0" applyFont="1" applyBorder="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vertical="center"/>
    </xf>
    <xf numFmtId="0" fontId="7" fillId="0" borderId="5" xfId="0" applyFont="1" applyBorder="1">
      <alignment vertical="center"/>
    </xf>
    <xf numFmtId="0" fontId="7" fillId="0" borderId="0" xfId="0" applyFont="1" applyBorder="1" applyAlignment="1">
      <alignment vertical="center" wrapText="1"/>
    </xf>
    <xf numFmtId="0" fontId="7" fillId="0" borderId="0" xfId="0" applyFont="1" applyBorder="1">
      <alignment vertical="center"/>
    </xf>
    <xf numFmtId="0" fontId="7" fillId="0" borderId="5" xfId="0" applyFont="1" applyBorder="1" applyAlignment="1">
      <alignment vertical="center"/>
    </xf>
    <xf numFmtId="0" fontId="7" fillId="0" borderId="0" xfId="0" applyFont="1" applyAlignment="1">
      <alignment vertical="center" wrapText="1"/>
    </xf>
    <xf numFmtId="0" fontId="7" fillId="0" borderId="0" xfId="0"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4" fillId="0" borderId="20" xfId="0" applyFont="1" applyBorder="1" applyAlignment="1">
      <alignment vertical="top" wrapText="1"/>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11" fillId="0" borderId="0" xfId="0" applyFont="1">
      <alignment vertical="center"/>
    </xf>
    <xf numFmtId="0" fontId="7" fillId="0" borderId="0" xfId="0" applyFont="1" applyBorder="1" applyAlignment="1">
      <alignment horizontal="center" vertical="center"/>
    </xf>
    <xf numFmtId="0" fontId="7" fillId="0" borderId="0" xfId="0" applyFont="1" applyBorder="1" applyAlignment="1">
      <alignment vertical="center" shrinkToFit="1"/>
    </xf>
    <xf numFmtId="0" fontId="4" fillId="0" borderId="0" xfId="0" applyFont="1" applyAlignment="1">
      <alignment vertical="top" wrapText="1"/>
    </xf>
    <xf numFmtId="0" fontId="13" fillId="0" borderId="0" xfId="0" applyFont="1" applyAlignment="1">
      <alignment horizontal="center"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9" fontId="3" fillId="0" borderId="10" xfId="0" applyNumberFormat="1" applyFont="1" applyBorder="1" applyAlignment="1">
      <alignment vertical="center" shrinkToFit="1"/>
    </xf>
    <xf numFmtId="0" fontId="3" fillId="0" borderId="19" xfId="0" applyFont="1" applyBorder="1" applyAlignment="1">
      <alignment vertical="center" shrinkToFit="1"/>
    </xf>
    <xf numFmtId="0" fontId="3" fillId="0" borderId="18" xfId="0"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0" fontId="3" fillId="0" borderId="25" xfId="0" applyFont="1" applyBorder="1" applyAlignment="1">
      <alignment vertical="center" shrinkToFit="1"/>
    </xf>
    <xf numFmtId="9" fontId="3" fillId="0" borderId="27" xfId="0" applyNumberFormat="1" applyFont="1" applyBorder="1" applyAlignment="1">
      <alignment vertical="center" shrinkToFit="1"/>
    </xf>
    <xf numFmtId="0" fontId="7" fillId="0" borderId="0" xfId="0" applyFont="1" applyFill="1">
      <alignment vertical="center"/>
    </xf>
    <xf numFmtId="0" fontId="7" fillId="0" borderId="10" xfId="0" applyFont="1" applyBorder="1" applyAlignment="1">
      <alignment vertical="center" shrinkToFit="1"/>
    </xf>
    <xf numFmtId="49" fontId="18" fillId="0" borderId="1" xfId="0" applyNumberFormat="1" applyFont="1" applyBorder="1" applyAlignment="1">
      <alignment horizontal="center" vertical="center"/>
    </xf>
    <xf numFmtId="0" fontId="7" fillId="0" borderId="0" xfId="0" applyFont="1" applyAlignment="1">
      <alignment vertical="center" shrinkToFit="1"/>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7" fillId="0" borderId="44"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7" fillId="0" borderId="7" xfId="0" applyFont="1" applyBorder="1" applyAlignment="1">
      <alignment horizontal="center" vertical="center" wrapText="1" shrinkToFit="1"/>
    </xf>
    <xf numFmtId="9" fontId="7" fillId="0" borderId="8" xfId="0" applyNumberFormat="1" applyFont="1" applyBorder="1" applyAlignment="1">
      <alignment horizontal="center" vertical="center" wrapText="1" shrinkToFit="1"/>
    </xf>
    <xf numFmtId="0" fontId="7" fillId="0" borderId="8" xfId="0" applyFont="1" applyBorder="1" applyAlignment="1">
      <alignment horizontal="center" vertical="center" wrapText="1" shrinkToFit="1"/>
    </xf>
    <xf numFmtId="9" fontId="7" fillId="0" borderId="8" xfId="0" applyNumberFormat="1" applyFont="1" applyBorder="1" applyAlignment="1">
      <alignment horizontal="center" vertical="center" shrinkToFit="1"/>
    </xf>
    <xf numFmtId="0" fontId="7" fillId="0" borderId="9" xfId="0" applyFont="1" applyBorder="1" applyAlignment="1">
      <alignment horizontal="center" vertical="center" shrinkToFit="1"/>
    </xf>
    <xf numFmtId="9" fontId="7" fillId="0" borderId="45" xfId="0" applyNumberFormat="1" applyFont="1" applyBorder="1" applyAlignment="1">
      <alignment horizontal="center" vertical="center" shrinkToFit="1"/>
    </xf>
    <xf numFmtId="0" fontId="7" fillId="0" borderId="45" xfId="0" applyFont="1" applyBorder="1" applyAlignment="1">
      <alignment horizontal="center" vertical="center" shrinkToFit="1"/>
    </xf>
    <xf numFmtId="0" fontId="7"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top" wrapText="1"/>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43" xfId="0" applyFont="1" applyBorder="1" applyAlignment="1">
      <alignment horizontal="center" vertical="center" shrinkToFit="1"/>
    </xf>
    <xf numFmtId="0" fontId="7" fillId="0" borderId="0" xfId="0" applyFont="1" applyBorder="1" applyAlignment="1">
      <alignment vertical="center" shrinkToFit="1"/>
    </xf>
    <xf numFmtId="0" fontId="7" fillId="0" borderId="0" xfId="0" applyFont="1" applyAlignment="1">
      <alignment horizontal="right" vertical="center"/>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7" fillId="0" borderId="0" xfId="0" applyFont="1" applyAlignment="1">
      <alignment vertical="center" wrapText="1"/>
    </xf>
    <xf numFmtId="0" fontId="17" fillId="0" borderId="0" xfId="0" applyFont="1" applyAlignment="1">
      <alignment horizontal="center" vertical="center"/>
    </xf>
    <xf numFmtId="0" fontId="18" fillId="0" borderId="0" xfId="0" applyFont="1" applyAlignment="1">
      <alignment vertical="top" wrapText="1"/>
    </xf>
    <xf numFmtId="0" fontId="18" fillId="0" borderId="0" xfId="0" applyFont="1" applyAlignment="1">
      <alignment vertical="top" shrinkToFit="1"/>
    </xf>
    <xf numFmtId="0" fontId="18" fillId="0" borderId="0" xfId="0" applyFont="1" applyAlignment="1">
      <alignment vertical="center" wrapText="1"/>
    </xf>
    <xf numFmtId="0" fontId="10" fillId="0" borderId="0" xfId="0" applyFont="1" applyAlignment="1">
      <alignment horizontal="left" vertical="center"/>
    </xf>
    <xf numFmtId="0" fontId="18" fillId="0" borderId="10" xfId="0" applyFont="1" applyBorder="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0" fontId="7" fillId="0" borderId="0" xfId="0" applyFont="1" applyAlignment="1">
      <alignment horizontal="right" vertical="center"/>
    </xf>
    <xf numFmtId="0" fontId="7" fillId="0" borderId="38" xfId="0" applyFont="1" applyBorder="1" applyAlignment="1">
      <alignment horizontal="center" vertical="center"/>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0" xfId="0" applyFont="1" applyAlignment="1">
      <alignment vertical="center" wrapText="1"/>
    </xf>
    <xf numFmtId="0" fontId="3" fillId="0" borderId="0" xfId="0" applyFont="1" applyAlignment="1">
      <alignment horizontal="center" vertical="center"/>
    </xf>
    <xf numFmtId="0" fontId="7" fillId="0" borderId="0" xfId="0" applyFont="1" applyAlignment="1">
      <alignment horizontal="center" vertical="center" shrinkToFit="1"/>
    </xf>
    <xf numFmtId="0" fontId="7" fillId="0" borderId="3" xfId="0" applyFont="1" applyBorder="1">
      <alignment vertical="center"/>
    </xf>
    <xf numFmtId="0" fontId="7" fillId="0" borderId="0" xfId="0" applyFont="1" applyFill="1" applyAlignment="1">
      <alignment vertical="center" shrinkToFit="1"/>
    </xf>
    <xf numFmtId="0" fontId="7" fillId="0" borderId="0" xfId="0" applyFont="1" applyFill="1" applyAlignment="1">
      <alignment horizontal="center" vertical="center" shrinkToFit="1"/>
    </xf>
    <xf numFmtId="0" fontId="8" fillId="0" borderId="0" xfId="0" applyFont="1" applyFill="1">
      <alignment vertical="center"/>
    </xf>
    <xf numFmtId="176" fontId="3" fillId="0" borderId="28"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5" xfId="0" applyNumberFormat="1" applyFont="1" applyBorder="1" applyAlignment="1">
      <alignment vertical="center" shrinkToFit="1"/>
    </xf>
    <xf numFmtId="176" fontId="3" fillId="0" borderId="23"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14" xfId="0" applyNumberFormat="1" applyFont="1" applyBorder="1" applyAlignment="1">
      <alignment vertical="center" shrinkToFit="1"/>
    </xf>
    <xf numFmtId="0" fontId="7" fillId="0" borderId="0" xfId="0" applyFont="1" applyFill="1" applyAlignment="1">
      <alignment horizontal="center" vertical="center"/>
    </xf>
    <xf numFmtId="49" fontId="6" fillId="0" borderId="2" xfId="2" applyNumberFormat="1" applyBorder="1" applyAlignment="1">
      <alignment vertical="center" shrinkToFit="1"/>
    </xf>
    <xf numFmtId="49" fontId="7" fillId="0" borderId="3" xfId="0" applyNumberFormat="1" applyFont="1" applyBorder="1" applyAlignment="1">
      <alignment vertical="center" shrinkToFit="1"/>
    </xf>
    <xf numFmtId="49" fontId="7" fillId="0" borderId="4" xfId="0"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0" xfId="0" applyFont="1" applyBorder="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0" xfId="0" applyFont="1" applyBorder="1" applyAlignment="1">
      <alignment horizontal="right"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0" fontId="24" fillId="0" borderId="53" xfId="0" applyFont="1" applyBorder="1" applyAlignment="1">
      <alignment horizontal="center" vertical="center" shrinkToFit="1"/>
    </xf>
    <xf numFmtId="0" fontId="23" fillId="0" borderId="54" xfId="0" applyFont="1" applyBorder="1">
      <alignment vertical="center"/>
    </xf>
    <xf numFmtId="0" fontId="7" fillId="0" borderId="0" xfId="0" applyFont="1" applyAlignment="1">
      <alignment horizontal="right" vertical="center"/>
    </xf>
    <xf numFmtId="0" fontId="7" fillId="0" borderId="0" xfId="0" applyFont="1" applyBorder="1" applyAlignment="1">
      <alignment horizontal="right" vertical="center"/>
    </xf>
    <xf numFmtId="0" fontId="7" fillId="0" borderId="10" xfId="0" applyFont="1" applyBorder="1" applyAlignment="1">
      <alignment horizontal="right" vertical="center"/>
    </xf>
    <xf numFmtId="0" fontId="23" fillId="0" borderId="55" xfId="0" applyFont="1" applyBorder="1">
      <alignment vertical="center"/>
    </xf>
    <xf numFmtId="0" fontId="12" fillId="0" borderId="0" xfId="0" applyFont="1" applyAlignment="1">
      <alignment horizontal="center" vertical="center"/>
    </xf>
    <xf numFmtId="0" fontId="7" fillId="0" borderId="2" xfId="0" applyNumberFormat="1" applyFont="1" applyBorder="1" applyAlignment="1">
      <alignment horizontal="center" vertical="center"/>
    </xf>
    <xf numFmtId="0" fontId="7" fillId="0" borderId="4" xfId="0" applyNumberFormat="1"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vertical="center"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0" xfId="0" applyFont="1" applyAlignment="1">
      <alignment vertical="center" wrapText="1"/>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37"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8" fillId="0" borderId="0" xfId="0" applyFont="1" applyAlignment="1">
      <alignment horizontal="center" vertical="center"/>
    </xf>
    <xf numFmtId="0" fontId="17" fillId="0" borderId="0" xfId="0" applyFont="1" applyAlignment="1">
      <alignment horizontal="center" vertical="center"/>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38"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37" xfId="0" applyFont="1" applyBorder="1" applyAlignment="1">
      <alignment horizontal="center" vertical="center" shrinkToFit="1"/>
    </xf>
    <xf numFmtId="0" fontId="7" fillId="0" borderId="39" xfId="0" applyFont="1" applyBorder="1" applyAlignment="1">
      <alignment horizontal="center" vertical="center" shrinkToFit="1"/>
    </xf>
    <xf numFmtId="0" fontId="7" fillId="0" borderId="38" xfId="0" applyFont="1" applyBorder="1" applyAlignment="1">
      <alignment horizontal="center" vertical="center" shrinkToFit="1"/>
    </xf>
    <xf numFmtId="0" fontId="8" fillId="0" borderId="7"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5" xfId="0" applyFont="1" applyBorder="1" applyAlignment="1">
      <alignment vertical="center" wrapText="1"/>
    </xf>
    <xf numFmtId="0" fontId="8" fillId="0" borderId="0" xfId="0" applyFont="1" applyAlignment="1">
      <alignment vertical="center" wrapText="1"/>
    </xf>
    <xf numFmtId="0" fontId="8" fillId="0" borderId="10"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6" fillId="0" borderId="2" xfId="2"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7" fillId="0" borderId="40" xfId="0" applyFont="1" applyBorder="1" applyAlignment="1">
      <alignment horizontal="center" vertical="center" shrinkToFit="1"/>
    </xf>
    <xf numFmtId="0" fontId="7" fillId="0" borderId="41" xfId="0" applyFont="1" applyBorder="1" applyAlignment="1">
      <alignment horizontal="center" vertical="center" shrinkToFit="1"/>
    </xf>
    <xf numFmtId="0" fontId="7" fillId="0" borderId="4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39" xfId="0" applyFont="1" applyBorder="1" applyAlignment="1">
      <alignment horizontal="left" vertical="center" wrapText="1" shrinkToFit="1"/>
    </xf>
    <xf numFmtId="0" fontId="19" fillId="0" borderId="48" xfId="0" applyFont="1" applyBorder="1" applyAlignment="1">
      <alignment vertical="center" wrapText="1"/>
    </xf>
    <xf numFmtId="0" fontId="19" fillId="0" borderId="32" xfId="0" applyFont="1" applyBorder="1" applyAlignment="1">
      <alignment vertical="center" wrapText="1"/>
    </xf>
    <xf numFmtId="0" fontId="20" fillId="0" borderId="49" xfId="0" applyFont="1" applyBorder="1" applyAlignment="1">
      <alignment vertical="center" wrapText="1"/>
    </xf>
    <xf numFmtId="0" fontId="8" fillId="0" borderId="39" xfId="0" applyFont="1" applyBorder="1" applyAlignment="1">
      <alignment vertical="center" wrapText="1"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0" fillId="0" borderId="32" xfId="0" applyFont="1" applyBorder="1" applyAlignment="1">
      <alignment vertical="center" wrapText="1"/>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20" fillId="0" borderId="48" xfId="0" applyFont="1" applyBorder="1" applyAlignment="1">
      <alignment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7" xfId="0" applyFont="1" applyBorder="1" applyAlignment="1">
      <alignment horizontal="left" vertical="top" shrinkToFit="1"/>
    </xf>
    <xf numFmtId="0" fontId="10" fillId="0" borderId="8" xfId="0" applyFont="1" applyBorder="1" applyAlignment="1">
      <alignment horizontal="left" vertical="top" shrinkToFit="1"/>
    </xf>
    <xf numFmtId="0" fontId="10" fillId="0" borderId="9" xfId="0" applyFont="1" applyBorder="1" applyAlignment="1">
      <alignment horizontal="left" vertical="top" shrinkToFit="1"/>
    </xf>
    <xf numFmtId="0" fontId="10" fillId="0" borderId="5" xfId="0" applyFont="1" applyBorder="1" applyAlignment="1">
      <alignment horizontal="left" vertical="top" shrinkToFit="1"/>
    </xf>
    <xf numFmtId="0" fontId="10" fillId="0" borderId="0" xfId="0" applyFont="1" applyAlignment="1">
      <alignment horizontal="left" vertical="top" shrinkToFit="1"/>
    </xf>
    <xf numFmtId="0" fontId="10" fillId="0" borderId="10" xfId="0" applyFont="1" applyBorder="1" applyAlignment="1">
      <alignment horizontal="left" vertical="top" shrinkToFit="1"/>
    </xf>
    <xf numFmtId="0" fontId="10" fillId="0" borderId="11" xfId="0" applyFont="1" applyBorder="1" applyAlignment="1">
      <alignment horizontal="left" vertical="top" shrinkToFit="1"/>
    </xf>
    <xf numFmtId="0" fontId="10" fillId="0" borderId="6" xfId="0" applyFont="1" applyBorder="1" applyAlignment="1">
      <alignment horizontal="left" vertical="top" shrinkToFit="1"/>
    </xf>
    <xf numFmtId="0" fontId="10" fillId="0" borderId="12" xfId="0" applyFont="1" applyBorder="1" applyAlignment="1">
      <alignment horizontal="left" vertical="top" shrinkToFi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Border="1" applyAlignment="1">
      <alignment horizontal="left" vertical="top" wrapText="1"/>
    </xf>
    <xf numFmtId="0" fontId="7" fillId="0" borderId="10" xfId="0" applyFont="1" applyBorder="1" applyAlignment="1">
      <alignment horizontal="left" vertical="top" wrapText="1"/>
    </xf>
    <xf numFmtId="0" fontId="7" fillId="0" borderId="0" xfId="0" applyFont="1" applyAlignment="1">
      <alignment horizontal="left" vertical="top" wrapText="1"/>
    </xf>
    <xf numFmtId="0" fontId="7" fillId="0" borderId="11" xfId="0" applyFont="1" applyBorder="1" applyAlignment="1">
      <alignment horizontal="left" vertical="top" wrapText="1"/>
    </xf>
    <xf numFmtId="0" fontId="7" fillId="0" borderId="6" xfId="0" applyFont="1" applyBorder="1" applyAlignment="1">
      <alignment horizontal="left" vertical="top" wrapText="1"/>
    </xf>
    <xf numFmtId="0" fontId="7" fillId="0" borderId="12" xfId="0" applyFont="1" applyBorder="1" applyAlignment="1">
      <alignment horizontal="left" vertical="top" wrapText="1"/>
    </xf>
    <xf numFmtId="0" fontId="7" fillId="0" borderId="37" xfId="0" applyFont="1" applyFill="1" applyBorder="1" applyAlignment="1">
      <alignment horizontal="left" vertical="center" shrinkToFit="1"/>
    </xf>
    <xf numFmtId="0" fontId="7" fillId="0" borderId="39" xfId="0" applyFont="1" applyFill="1" applyBorder="1" applyAlignment="1">
      <alignment horizontal="left" vertical="center" shrinkToFit="1"/>
    </xf>
    <xf numFmtId="0" fontId="7" fillId="0" borderId="38" xfId="0" applyFont="1" applyFill="1" applyBorder="1" applyAlignment="1">
      <alignment horizontal="left" vertical="center" shrinkToFit="1"/>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wrapText="1" shrinkToFit="1"/>
    </xf>
    <xf numFmtId="0" fontId="7" fillId="0" borderId="5" xfId="0" applyFont="1" applyBorder="1" applyAlignment="1">
      <alignment vertical="top" wrapText="1" shrinkToFit="1"/>
    </xf>
    <xf numFmtId="0" fontId="7" fillId="0" borderId="0" xfId="0" applyFont="1" applyAlignment="1">
      <alignment vertical="top" wrapText="1" shrinkToFit="1"/>
    </xf>
    <xf numFmtId="0" fontId="7" fillId="0" borderId="10" xfId="0" applyFont="1" applyBorder="1" applyAlignment="1">
      <alignment vertical="top" wrapText="1" shrinkToFit="1"/>
    </xf>
    <xf numFmtId="0" fontId="7" fillId="0" borderId="11" xfId="0" applyFont="1" applyBorder="1" applyAlignment="1">
      <alignment vertical="top" wrapText="1" shrinkToFit="1"/>
    </xf>
    <xf numFmtId="0" fontId="7" fillId="0" borderId="6" xfId="0" applyFont="1" applyBorder="1" applyAlignment="1">
      <alignment vertical="top" wrapText="1" shrinkToFit="1"/>
    </xf>
    <xf numFmtId="0" fontId="7" fillId="0" borderId="12" xfId="0" applyFont="1" applyBorder="1" applyAlignment="1">
      <alignment vertical="top" wrapText="1" shrinkToFit="1"/>
    </xf>
    <xf numFmtId="0" fontId="7" fillId="0" borderId="8" xfId="0" applyFont="1" applyBorder="1" applyAlignment="1">
      <alignment vertical="top"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6" xfId="0" applyFont="1" applyBorder="1">
      <alignment vertical="center"/>
    </xf>
    <xf numFmtId="0" fontId="20" fillId="0" borderId="16" xfId="0" applyFont="1" applyBorder="1" applyAlignment="1">
      <alignment vertical="top" wrapText="1"/>
    </xf>
    <xf numFmtId="0" fontId="20" fillId="0" borderId="22" xfId="0" applyFont="1" applyBorder="1" applyAlignment="1">
      <alignment vertical="top" wrapText="1"/>
    </xf>
    <xf numFmtId="0" fontId="20" fillId="0" borderId="21" xfId="0" applyFont="1" applyBorder="1" applyAlignment="1">
      <alignment vertical="top" wrapText="1"/>
    </xf>
    <xf numFmtId="0" fontId="20" fillId="0" borderId="5" xfId="0" applyFont="1" applyBorder="1" applyAlignment="1">
      <alignment vertical="top" wrapText="1"/>
    </xf>
    <xf numFmtId="0" fontId="20" fillId="0" borderId="0" xfId="0" applyFont="1" applyAlignment="1">
      <alignment vertical="top" wrapText="1"/>
    </xf>
    <xf numFmtId="0" fontId="20" fillId="0" borderId="10" xfId="0" applyFont="1" applyBorder="1" applyAlignment="1">
      <alignment vertical="top" wrapText="1"/>
    </xf>
    <xf numFmtId="0" fontId="20" fillId="0" borderId="11" xfId="0" applyFont="1" applyBorder="1" applyAlignment="1">
      <alignment vertical="top" wrapText="1"/>
    </xf>
    <xf numFmtId="0" fontId="20" fillId="0" borderId="6" xfId="0" applyFont="1" applyBorder="1" applyAlignment="1">
      <alignment vertical="top" wrapText="1"/>
    </xf>
    <xf numFmtId="0" fontId="20" fillId="0" borderId="12" xfId="0" applyFont="1" applyBorder="1" applyAlignment="1">
      <alignment vertical="top" wrapText="1"/>
    </xf>
    <xf numFmtId="0" fontId="7" fillId="0" borderId="4" xfId="0" applyFont="1" applyBorder="1" applyAlignment="1">
      <alignment vertical="center" shrinkToFit="1"/>
    </xf>
    <xf numFmtId="0" fontId="2" fillId="0" borderId="17" xfId="0" applyFont="1" applyBorder="1">
      <alignment vertical="center"/>
    </xf>
    <xf numFmtId="0" fontId="0" fillId="0" borderId="18" xfId="0" applyBorder="1">
      <alignment vertical="center"/>
    </xf>
    <xf numFmtId="0" fontId="7" fillId="0" borderId="19" xfId="0" applyFont="1" applyBorder="1" applyAlignment="1">
      <alignment vertical="top" wrapText="1" shrinkToFit="1"/>
    </xf>
    <xf numFmtId="0" fontId="7" fillId="0" borderId="20" xfId="0" applyFont="1" applyBorder="1" applyAlignment="1">
      <alignment vertical="top" wrapText="1" shrinkToFit="1"/>
    </xf>
    <xf numFmtId="0" fontId="7"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6" fillId="0" borderId="2" xfId="2" applyFill="1" applyBorder="1" applyAlignment="1">
      <alignment horizontal="center" vertical="center" shrinkToFit="1"/>
    </xf>
    <xf numFmtId="0" fontId="16" fillId="0" borderId="3" xfId="2" applyFont="1" applyFill="1" applyBorder="1" applyAlignment="1">
      <alignment horizontal="center" vertical="center" shrinkToFit="1"/>
    </xf>
    <xf numFmtId="0" fontId="16" fillId="0" borderId="4" xfId="2" applyFont="1" applyFill="1" applyBorder="1" applyAlignment="1">
      <alignment horizontal="center" vertical="center" shrinkToFit="1"/>
    </xf>
    <xf numFmtId="0" fontId="7" fillId="0" borderId="19" xfId="0" applyFont="1" applyFill="1" applyBorder="1" applyAlignment="1">
      <alignment vertical="top" wrapText="1" shrinkToFit="1"/>
    </xf>
    <xf numFmtId="0" fontId="7" fillId="0" borderId="20" xfId="0" applyFont="1" applyFill="1" applyBorder="1" applyAlignment="1">
      <alignment vertical="top" wrapText="1" shrinkToFit="1"/>
    </xf>
    <xf numFmtId="0" fontId="7" fillId="0" borderId="18" xfId="0" applyFont="1" applyFill="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sai@tsuda.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suda.ac.jp/learning/data-science-literacy.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suda.ac.jp/learning/data-science-literacy.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tsuda.ac.jp/learning/data-science-literacy.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suda.ac.jp/learning/data-science-literacy.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tsuda.ac.jp/learning/data-science-litera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opLeftCell="A31" zoomScale="145" zoomScaleNormal="145" zoomScaleSheetLayoutView="100" workbookViewId="0">
      <selection activeCell="C48" sqref="C48"/>
    </sheetView>
  </sheetViews>
  <sheetFormatPr defaultColWidth="9" defaultRowHeight="18.75" customHeight="1"/>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625" style="13" customWidth="1"/>
    <col min="13" max="13" width="3.375" style="13" customWidth="1"/>
    <col min="14" max="14" width="4.5" style="13" customWidth="1"/>
    <col min="15" max="15" width="9" style="30"/>
    <col min="16" max="16384" width="9" style="12"/>
  </cols>
  <sheetData>
    <row r="1" spans="1:15" ht="24" customHeight="1">
      <c r="M1" s="151" t="s">
        <v>25</v>
      </c>
      <c r="N1" s="151"/>
    </row>
    <row r="2" spans="1:15" ht="24" customHeight="1">
      <c r="A2" s="155" t="s">
        <v>83</v>
      </c>
      <c r="B2" s="155"/>
      <c r="C2" s="155"/>
      <c r="D2" s="155"/>
      <c r="E2" s="155"/>
      <c r="F2" s="155"/>
      <c r="G2" s="155"/>
      <c r="H2" s="155"/>
      <c r="I2" s="155"/>
      <c r="J2" s="155"/>
      <c r="K2" s="155"/>
      <c r="L2" s="155"/>
      <c r="M2" s="155"/>
      <c r="N2" s="155"/>
    </row>
    <row r="3" spans="1:15" ht="24" customHeight="1"/>
    <row r="4" spans="1:15" ht="24" customHeight="1">
      <c r="A4" s="13" t="s">
        <v>6</v>
      </c>
      <c r="B4" s="14" t="s">
        <v>16</v>
      </c>
      <c r="C4" s="149" t="s">
        <v>147</v>
      </c>
      <c r="D4" s="150"/>
      <c r="E4" s="150"/>
      <c r="F4" s="150"/>
      <c r="G4" s="150"/>
      <c r="H4" s="150"/>
      <c r="I4" s="150"/>
      <c r="J4" s="150"/>
      <c r="K4" s="150"/>
      <c r="L4" s="150"/>
      <c r="M4" s="150"/>
      <c r="N4" s="154"/>
      <c r="O4" s="30" t="str">
        <f>IF(C4="","入力してください","")</f>
        <v/>
      </c>
    </row>
    <row r="5" spans="1:15" ht="7.5" customHeight="1">
      <c r="B5" s="14"/>
      <c r="C5" s="14"/>
      <c r="D5" s="14"/>
      <c r="E5" s="15"/>
      <c r="F5" s="33"/>
      <c r="G5" s="33"/>
      <c r="H5" s="33"/>
      <c r="I5" s="33"/>
      <c r="J5" s="33"/>
      <c r="K5" s="33"/>
      <c r="L5" s="33"/>
      <c r="M5" s="33"/>
      <c r="N5" s="33"/>
    </row>
    <row r="6" spans="1:15" ht="24" customHeight="1">
      <c r="A6" s="13" t="s">
        <v>48</v>
      </c>
      <c r="B6" s="14" t="s">
        <v>49</v>
      </c>
      <c r="C6" s="14"/>
      <c r="D6" s="141" t="s">
        <v>149</v>
      </c>
      <c r="E6" s="142"/>
      <c r="F6" s="142"/>
      <c r="G6" s="142"/>
      <c r="H6" s="143"/>
      <c r="I6" s="16" t="s">
        <v>86</v>
      </c>
      <c r="J6" s="33" t="s">
        <v>87</v>
      </c>
      <c r="K6" s="141" t="s">
        <v>148</v>
      </c>
      <c r="L6" s="142"/>
      <c r="M6" s="142"/>
      <c r="N6" s="143"/>
      <c r="O6" s="30" t="str">
        <f>IF(D6="","入力してください","")</f>
        <v/>
      </c>
    </row>
    <row r="7" spans="1:15" ht="7.5" customHeight="1">
      <c r="B7" s="14"/>
      <c r="C7" s="14"/>
      <c r="D7" s="14"/>
      <c r="E7" s="15"/>
      <c r="F7" s="33"/>
      <c r="G7" s="33"/>
      <c r="H7" s="33"/>
      <c r="I7" s="33"/>
      <c r="J7" s="33"/>
      <c r="K7" s="33"/>
      <c r="L7" s="33"/>
      <c r="M7" s="33"/>
      <c r="N7" s="33"/>
    </row>
    <row r="8" spans="1:15" ht="24" customHeight="1">
      <c r="A8" s="13" t="s">
        <v>13</v>
      </c>
      <c r="B8" s="14" t="s">
        <v>45</v>
      </c>
      <c r="C8" s="141" t="s">
        <v>150</v>
      </c>
      <c r="D8" s="142"/>
      <c r="E8" s="142"/>
      <c r="F8" s="142"/>
      <c r="G8" s="142"/>
      <c r="H8" s="142"/>
      <c r="I8" s="142"/>
      <c r="J8" s="142"/>
      <c r="K8" s="142"/>
      <c r="L8" s="142"/>
      <c r="M8" s="142"/>
      <c r="N8" s="143"/>
      <c r="O8" s="30" t="str">
        <f>IF(C8="","入力してください","")</f>
        <v/>
      </c>
    </row>
    <row r="9" spans="1:15" ht="7.5" customHeight="1">
      <c r="B9" s="14"/>
      <c r="C9" s="14"/>
      <c r="D9" s="14"/>
      <c r="E9" s="15"/>
      <c r="F9" s="33"/>
      <c r="G9" s="33"/>
      <c r="H9" s="33"/>
      <c r="I9" s="33"/>
      <c r="J9" s="33"/>
      <c r="K9" s="33"/>
      <c r="L9" s="33"/>
      <c r="M9" s="33"/>
      <c r="N9" s="33"/>
    </row>
    <row r="10" spans="1:15" ht="24" customHeight="1">
      <c r="A10" s="13" t="s">
        <v>11</v>
      </c>
      <c r="B10" s="14" t="s">
        <v>85</v>
      </c>
      <c r="C10" s="14"/>
      <c r="D10" s="14"/>
      <c r="E10" s="141" t="s">
        <v>237</v>
      </c>
      <c r="F10" s="142"/>
      <c r="G10" s="142"/>
      <c r="H10" s="142"/>
      <c r="I10" s="142"/>
      <c r="J10" s="142"/>
      <c r="K10" s="142"/>
      <c r="L10" s="142"/>
      <c r="M10" s="142"/>
      <c r="N10" s="143"/>
      <c r="O10" s="30" t="str">
        <f>IF(E10="","入力してください","")</f>
        <v/>
      </c>
    </row>
    <row r="11" spans="1:15" ht="7.5" customHeight="1">
      <c r="B11" s="15"/>
      <c r="C11" s="15"/>
      <c r="D11" s="15"/>
      <c r="E11" s="15"/>
      <c r="F11" s="33"/>
      <c r="G11" s="33"/>
      <c r="H11" s="33"/>
      <c r="I11" s="33"/>
      <c r="J11" s="33"/>
      <c r="K11" s="33"/>
      <c r="L11" s="33"/>
      <c r="M11" s="33"/>
      <c r="N11" s="33"/>
    </row>
    <row r="12" spans="1:15" ht="24" customHeight="1">
      <c r="A12" s="13" t="s">
        <v>58</v>
      </c>
      <c r="B12" s="15" t="s">
        <v>59</v>
      </c>
      <c r="C12" s="15"/>
      <c r="D12" s="15"/>
      <c r="E12" s="156" t="s">
        <v>152</v>
      </c>
      <c r="F12" s="157"/>
      <c r="G12" s="16" t="s">
        <v>96</v>
      </c>
      <c r="H12" s="13" t="s">
        <v>97</v>
      </c>
      <c r="N12" s="90" t="s">
        <v>151</v>
      </c>
      <c r="O12" s="30" t="str">
        <f>IF(E12="","入力してください","")</f>
        <v/>
      </c>
    </row>
    <row r="13" spans="1:15" ht="7.5" customHeight="1">
      <c r="B13" s="15"/>
      <c r="C13" s="15"/>
      <c r="D13" s="15"/>
      <c r="E13" s="15"/>
      <c r="F13" s="33"/>
      <c r="G13" s="33"/>
      <c r="H13" s="33"/>
      <c r="I13" s="33"/>
      <c r="J13" s="33"/>
      <c r="K13" s="33"/>
      <c r="L13" s="33"/>
      <c r="M13" s="33"/>
      <c r="N13" s="33"/>
    </row>
    <row r="14" spans="1:15" ht="24" customHeight="1">
      <c r="A14" s="13" t="s">
        <v>53</v>
      </c>
      <c r="B14" s="13" t="s">
        <v>0</v>
      </c>
      <c r="C14" s="152" t="s">
        <v>5</v>
      </c>
      <c r="D14" s="153"/>
      <c r="E14" s="141">
        <v>103</v>
      </c>
      <c r="F14" s="143"/>
      <c r="G14" s="17" t="s">
        <v>7</v>
      </c>
      <c r="I14" s="152" t="s">
        <v>8</v>
      </c>
      <c r="J14" s="153"/>
      <c r="K14" s="141">
        <v>445</v>
      </c>
      <c r="L14" s="142"/>
      <c r="M14" s="143"/>
      <c r="N14" s="18" t="s">
        <v>7</v>
      </c>
      <c r="O14" s="30" t="str">
        <f>IF(OR(E14="",K14=""),"入力してください","")</f>
        <v/>
      </c>
    </row>
    <row r="15" spans="1:15" ht="7.5" customHeight="1">
      <c r="F15" s="19"/>
      <c r="G15" s="19"/>
      <c r="H15" s="19"/>
      <c r="I15" s="19"/>
      <c r="J15" s="19"/>
      <c r="K15" s="19"/>
      <c r="L15" s="19"/>
      <c r="M15" s="18"/>
      <c r="N15" s="18"/>
    </row>
    <row r="16" spans="1:15" ht="24" customHeight="1">
      <c r="A16" s="13" t="s">
        <v>60</v>
      </c>
      <c r="B16" s="13" t="s">
        <v>70</v>
      </c>
      <c r="F16" s="19"/>
      <c r="G16" s="19"/>
      <c r="H16" s="19"/>
      <c r="I16" s="19"/>
      <c r="J16" s="19"/>
      <c r="K16" s="158">
        <v>10</v>
      </c>
      <c r="L16" s="159"/>
      <c r="M16" s="160"/>
      <c r="N16" s="18" t="s">
        <v>51</v>
      </c>
      <c r="O16" s="30" t="str">
        <f>IF(K16="","入力してください","")</f>
        <v/>
      </c>
    </row>
    <row r="17" spans="1:15" ht="7.5" customHeight="1">
      <c r="F17" s="19"/>
      <c r="G17" s="19"/>
      <c r="H17" s="19"/>
      <c r="I17" s="19"/>
      <c r="J17" s="19"/>
      <c r="K17" s="19"/>
      <c r="L17" s="19"/>
      <c r="M17" s="18"/>
      <c r="N17" s="18"/>
    </row>
    <row r="18" spans="1:15" ht="24" customHeight="1">
      <c r="A18" s="13" t="s">
        <v>24</v>
      </c>
      <c r="B18" s="13" t="s">
        <v>77</v>
      </c>
      <c r="E18" s="141">
        <v>690</v>
      </c>
      <c r="F18" s="143"/>
      <c r="G18" s="20" t="s">
        <v>21</v>
      </c>
      <c r="H18" s="19"/>
      <c r="K18" s="161"/>
      <c r="L18" s="161"/>
      <c r="M18" s="161"/>
      <c r="N18" s="161"/>
      <c r="O18" s="30" t="str">
        <f>IF(E18="","入力してください","")</f>
        <v/>
      </c>
    </row>
    <row r="19" spans="1:15" ht="7.5" customHeight="1">
      <c r="E19" s="9"/>
      <c r="F19" s="19"/>
      <c r="G19" s="19"/>
      <c r="L19" s="32"/>
      <c r="M19" s="32"/>
      <c r="N19" s="21"/>
    </row>
    <row r="20" spans="1:15" ht="24" customHeight="1">
      <c r="A20" s="13" t="s">
        <v>76</v>
      </c>
      <c r="B20" s="13" t="s">
        <v>78</v>
      </c>
      <c r="E20" s="9"/>
      <c r="F20" s="19"/>
      <c r="G20" s="19"/>
      <c r="H20" s="13" t="s">
        <v>52</v>
      </c>
      <c r="J20" s="158">
        <v>3142</v>
      </c>
      <c r="K20" s="159"/>
      <c r="L20" s="160"/>
      <c r="M20" s="32" t="s">
        <v>51</v>
      </c>
      <c r="N20" s="21"/>
      <c r="O20" s="30" t="str">
        <f>IF(J20="","入力してください","")</f>
        <v/>
      </c>
    </row>
    <row r="21" spans="1:15" ht="7.5" customHeight="1">
      <c r="E21" s="9"/>
      <c r="F21" s="19"/>
      <c r="G21" s="19"/>
      <c r="L21" s="32"/>
      <c r="M21" s="32"/>
      <c r="N21" s="21"/>
    </row>
    <row r="22" spans="1:15" ht="24" customHeight="1">
      <c r="B22" s="28" t="s">
        <v>17</v>
      </c>
      <c r="C22" s="141">
        <v>773</v>
      </c>
      <c r="D22" s="143"/>
      <c r="E22" s="9" t="s">
        <v>22</v>
      </c>
      <c r="F22" s="19"/>
      <c r="G22" s="140" t="s">
        <v>18</v>
      </c>
      <c r="H22" s="140"/>
      <c r="I22" s="141">
        <v>709</v>
      </c>
      <c r="J22" s="143"/>
      <c r="K22" s="16" t="s">
        <v>22</v>
      </c>
      <c r="M22" s="32"/>
      <c r="N22" s="21"/>
    </row>
    <row r="23" spans="1:15" ht="7.5" customHeight="1">
      <c r="B23" s="28"/>
      <c r="C23" s="10"/>
      <c r="D23" s="10"/>
      <c r="E23" s="9"/>
      <c r="F23" s="19"/>
      <c r="G23" s="32"/>
      <c r="H23" s="32"/>
      <c r="I23" s="10"/>
      <c r="J23" s="10"/>
      <c r="K23" s="16"/>
      <c r="M23" s="32"/>
      <c r="N23" s="21"/>
    </row>
    <row r="24" spans="1:15" ht="24" customHeight="1">
      <c r="B24" s="28" t="s">
        <v>19</v>
      </c>
      <c r="C24" s="141">
        <v>793</v>
      </c>
      <c r="D24" s="143"/>
      <c r="E24" s="9" t="s">
        <v>22</v>
      </c>
      <c r="F24" s="19"/>
      <c r="G24" s="140" t="s">
        <v>20</v>
      </c>
      <c r="H24" s="140"/>
      <c r="I24" s="141">
        <v>867</v>
      </c>
      <c r="J24" s="143"/>
      <c r="K24" s="16" t="s">
        <v>22</v>
      </c>
      <c r="M24" s="32"/>
      <c r="N24" s="21"/>
    </row>
    <row r="25" spans="1:15" ht="7.5" customHeight="1">
      <c r="B25" s="28"/>
      <c r="C25" s="10"/>
      <c r="D25" s="10"/>
      <c r="E25" s="9"/>
      <c r="F25" s="19"/>
      <c r="G25" s="32"/>
      <c r="H25" s="32"/>
      <c r="I25" s="10"/>
      <c r="J25" s="10"/>
      <c r="K25" s="16"/>
      <c r="M25" s="32"/>
      <c r="N25" s="21"/>
    </row>
    <row r="26" spans="1:15" ht="24" customHeight="1">
      <c r="B26" s="28" t="s">
        <v>46</v>
      </c>
      <c r="C26" s="141"/>
      <c r="D26" s="143"/>
      <c r="E26" s="9" t="s">
        <v>7</v>
      </c>
      <c r="F26" s="19"/>
      <c r="G26" s="140" t="s">
        <v>47</v>
      </c>
      <c r="H26" s="140"/>
      <c r="I26" s="141"/>
      <c r="J26" s="143"/>
      <c r="K26" s="16" t="s">
        <v>7</v>
      </c>
      <c r="M26" s="32"/>
      <c r="N26" s="21"/>
    </row>
    <row r="27" spans="1:15" ht="7.5" customHeight="1">
      <c r="F27" s="19"/>
      <c r="G27" s="19"/>
      <c r="M27" s="22"/>
      <c r="N27" s="22"/>
    </row>
    <row r="28" spans="1:15" ht="24" customHeight="1">
      <c r="A28" s="13" t="s">
        <v>50</v>
      </c>
      <c r="B28" s="14" t="s">
        <v>75</v>
      </c>
      <c r="C28" s="14"/>
      <c r="D28" s="14"/>
      <c r="E28" s="14"/>
      <c r="F28" s="16"/>
      <c r="G28" s="33"/>
      <c r="H28" s="33"/>
      <c r="I28" s="33"/>
      <c r="J28" s="23"/>
      <c r="K28" s="23"/>
      <c r="L28" s="23"/>
      <c r="M28" s="23"/>
      <c r="N28" s="23"/>
    </row>
    <row r="29" spans="1:15" s="13" customFormat="1" ht="24" customHeight="1">
      <c r="B29" s="146" t="s">
        <v>74</v>
      </c>
      <c r="C29" s="146"/>
      <c r="D29" s="141" t="s">
        <v>153</v>
      </c>
      <c r="E29" s="142"/>
      <c r="F29" s="142"/>
      <c r="G29" s="147" t="s">
        <v>23</v>
      </c>
      <c r="H29" s="146"/>
      <c r="I29" s="148"/>
      <c r="J29" s="141" t="s">
        <v>154</v>
      </c>
      <c r="K29" s="142"/>
      <c r="L29" s="142"/>
      <c r="M29" s="142"/>
      <c r="N29" s="143"/>
      <c r="O29" s="30" t="str">
        <f>IF(OR(D29="",J29=""),"入力してください","")</f>
        <v/>
      </c>
    </row>
    <row r="30" spans="1:15" ht="7.5" customHeight="1">
      <c r="F30" s="19"/>
      <c r="G30" s="19"/>
      <c r="M30" s="22"/>
      <c r="N30" s="22"/>
    </row>
    <row r="31" spans="1:15" ht="24" customHeight="1">
      <c r="A31" s="13" t="s">
        <v>54</v>
      </c>
      <c r="B31" s="14" t="s">
        <v>80</v>
      </c>
      <c r="C31" s="14"/>
      <c r="D31" s="14"/>
      <c r="E31" s="14"/>
      <c r="F31" s="16"/>
      <c r="G31" s="23"/>
      <c r="H31" s="23"/>
      <c r="I31" s="23"/>
      <c r="J31" s="23"/>
      <c r="K31" s="23"/>
      <c r="L31" s="23"/>
      <c r="M31" s="23"/>
      <c r="N31" s="23"/>
    </row>
    <row r="32" spans="1:15" ht="24" customHeight="1">
      <c r="B32" s="141" t="s">
        <v>155</v>
      </c>
      <c r="C32" s="142"/>
      <c r="D32" s="142"/>
      <c r="E32" s="142"/>
      <c r="F32" s="142"/>
      <c r="G32" s="142"/>
      <c r="H32" s="142"/>
      <c r="I32" s="142"/>
      <c r="J32" s="142"/>
      <c r="K32" s="142"/>
      <c r="L32" s="142"/>
      <c r="M32" s="142"/>
      <c r="N32" s="143"/>
      <c r="O32" s="30" t="str">
        <f>IF(B32="","入力してください","")</f>
        <v/>
      </c>
    </row>
    <row r="33" spans="1:15" ht="7.5" customHeight="1">
      <c r="B33" s="11"/>
      <c r="C33" s="11"/>
      <c r="D33" s="11"/>
      <c r="E33" s="11"/>
      <c r="F33" s="11"/>
      <c r="G33" s="11"/>
      <c r="H33" s="11"/>
      <c r="I33" s="11"/>
      <c r="J33" s="11"/>
      <c r="K33" s="11"/>
      <c r="L33" s="11"/>
      <c r="M33" s="11"/>
      <c r="N33" s="11"/>
    </row>
    <row r="34" spans="1:15" s="13" customFormat="1" ht="24" customHeight="1">
      <c r="B34" s="146" t="s">
        <v>74</v>
      </c>
      <c r="C34" s="146"/>
      <c r="D34" s="141" t="s">
        <v>153</v>
      </c>
      <c r="E34" s="142"/>
      <c r="F34" s="142"/>
      <c r="G34" s="147" t="s">
        <v>55</v>
      </c>
      <c r="H34" s="146"/>
      <c r="I34" s="148"/>
      <c r="J34" s="141" t="s">
        <v>154</v>
      </c>
      <c r="K34" s="142"/>
      <c r="L34" s="142"/>
      <c r="M34" s="142"/>
      <c r="N34" s="143"/>
      <c r="O34" s="30" t="str">
        <f>IF(OR(D34="",J34=""),"入力してください","")</f>
        <v/>
      </c>
    </row>
    <row r="35" spans="1:15" ht="7.5" customHeight="1">
      <c r="F35" s="33"/>
      <c r="G35" s="33"/>
      <c r="H35" s="33"/>
      <c r="I35" s="33"/>
      <c r="J35" s="33"/>
      <c r="K35" s="33"/>
      <c r="L35" s="33"/>
      <c r="M35" s="33"/>
      <c r="N35" s="33"/>
    </row>
    <row r="36" spans="1:15" ht="24" customHeight="1">
      <c r="A36" s="13" t="s">
        <v>61</v>
      </c>
      <c r="B36" s="13" t="s">
        <v>81</v>
      </c>
      <c r="M36" s="22"/>
      <c r="N36" s="22"/>
    </row>
    <row r="37" spans="1:15" ht="24" customHeight="1">
      <c r="B37" s="141" t="s">
        <v>163</v>
      </c>
      <c r="C37" s="142"/>
      <c r="D37" s="142"/>
      <c r="E37" s="142"/>
      <c r="F37" s="142"/>
      <c r="G37" s="142"/>
      <c r="H37" s="142"/>
      <c r="I37" s="142"/>
      <c r="J37" s="142"/>
      <c r="K37" s="142"/>
      <c r="L37" s="142"/>
      <c r="M37" s="142"/>
      <c r="N37" s="143"/>
      <c r="O37" s="30" t="str">
        <f>IF(B37="","入力してください","")</f>
        <v/>
      </c>
    </row>
    <row r="38" spans="1:15" ht="7.5" customHeight="1">
      <c r="F38" s="33"/>
      <c r="G38" s="33"/>
      <c r="H38" s="33"/>
      <c r="I38" s="33"/>
      <c r="J38" s="33"/>
      <c r="K38" s="33"/>
      <c r="L38" s="33"/>
      <c r="M38" s="33"/>
      <c r="N38" s="33"/>
    </row>
    <row r="39" spans="1:15" s="13" customFormat="1" ht="24" customHeight="1">
      <c r="B39" s="146" t="s">
        <v>74</v>
      </c>
      <c r="C39" s="146"/>
      <c r="D39" s="149" t="s">
        <v>157</v>
      </c>
      <c r="E39" s="150"/>
      <c r="F39" s="150"/>
      <c r="G39" s="147" t="s">
        <v>55</v>
      </c>
      <c r="H39" s="146"/>
      <c r="I39" s="148"/>
      <c r="J39" s="141" t="s">
        <v>156</v>
      </c>
      <c r="K39" s="142"/>
      <c r="L39" s="142"/>
      <c r="M39" s="142"/>
      <c r="N39" s="143"/>
      <c r="O39" s="30" t="str">
        <f>IF(OR(D39="",J39=""),"入力してください","")</f>
        <v/>
      </c>
    </row>
    <row r="40" spans="1:15" ht="7.5" customHeight="1">
      <c r="F40" s="33"/>
      <c r="G40" s="33"/>
      <c r="H40" s="33"/>
      <c r="I40" s="33"/>
      <c r="J40" s="33"/>
      <c r="K40" s="33"/>
      <c r="L40" s="33"/>
      <c r="M40" s="33"/>
      <c r="N40" s="33"/>
    </row>
    <row r="41" spans="1:15" ht="24" customHeight="1">
      <c r="A41" s="13" t="s">
        <v>88</v>
      </c>
      <c r="B41" s="49" t="s">
        <v>69</v>
      </c>
      <c r="E41" s="50"/>
      <c r="F41" s="141" t="s">
        <v>158</v>
      </c>
      <c r="G41" s="142"/>
      <c r="H41" s="142"/>
      <c r="I41" s="142"/>
      <c r="J41" s="142"/>
      <c r="K41" s="142"/>
      <c r="L41" s="142"/>
      <c r="M41" s="142"/>
      <c r="N41" s="143"/>
      <c r="O41" s="30" t="str">
        <f>IF(F41="","入力してください","")</f>
        <v/>
      </c>
    </row>
    <row r="42" spans="1:15" ht="7.5" customHeight="1">
      <c r="F42" s="33"/>
      <c r="G42" s="33"/>
      <c r="H42" s="33"/>
      <c r="I42" s="33"/>
      <c r="J42" s="33"/>
      <c r="K42" s="33"/>
      <c r="L42" s="33"/>
      <c r="M42" s="33"/>
      <c r="N42" s="33"/>
    </row>
    <row r="43" spans="1:15" ht="24" customHeight="1">
      <c r="A43" s="13" t="s">
        <v>98</v>
      </c>
    </row>
    <row r="44" spans="1:15" ht="24" customHeight="1">
      <c r="B44" s="29" t="s">
        <v>1</v>
      </c>
      <c r="C44" s="144" t="s">
        <v>159</v>
      </c>
      <c r="D44" s="145"/>
      <c r="E44" s="145"/>
      <c r="F44" s="145"/>
      <c r="G44" s="145"/>
      <c r="H44" s="145"/>
      <c r="I44" s="25" t="s">
        <v>2</v>
      </c>
      <c r="J44" s="26"/>
      <c r="K44" s="141" t="s">
        <v>160</v>
      </c>
      <c r="L44" s="142"/>
      <c r="M44" s="142"/>
      <c r="N44" s="143"/>
      <c r="O44" s="30" t="str">
        <f>IF(OR(C44="",K44=""),"入力してください","")</f>
        <v/>
      </c>
    </row>
    <row r="45" spans="1:15" ht="24" customHeight="1">
      <c r="B45" s="24" t="s">
        <v>4</v>
      </c>
      <c r="C45" s="134" t="s">
        <v>162</v>
      </c>
      <c r="D45" s="135"/>
      <c r="E45" s="135"/>
      <c r="F45" s="135"/>
      <c r="G45" s="135"/>
      <c r="H45" s="136"/>
      <c r="I45" s="25" t="s">
        <v>3</v>
      </c>
      <c r="J45" s="26"/>
      <c r="K45" s="137" t="s">
        <v>161</v>
      </c>
      <c r="L45" s="138"/>
      <c r="M45" s="138"/>
      <c r="N45" s="139"/>
      <c r="O45" s="30"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FB00F751-849F-4CA3-A339-F02799ACF5FD}"/>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A1E7-A138-444B-8CFF-217B81935C1F}">
  <dimension ref="A1:Z98"/>
  <sheetViews>
    <sheetView showZeros="0" zoomScaleNormal="100" zoomScaleSheetLayoutView="100" workbookViewId="0">
      <selection activeCell="B6" sqref="B6:Z11"/>
    </sheetView>
  </sheetViews>
  <sheetFormatPr defaultColWidth="9" defaultRowHeight="18.75" customHeight="1"/>
  <cols>
    <col min="1" max="1" width="2.5" style="12" customWidth="1"/>
    <col min="2" max="2" width="27.62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c r="W1" s="187" t="s">
        <v>179</v>
      </c>
      <c r="X1" s="187"/>
      <c r="Y1" s="187"/>
      <c r="Z1" s="187"/>
    </row>
    <row r="2" spans="1:26" ht="18" customHeight="1">
      <c r="A2" s="188" t="s">
        <v>67</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6" ht="15" customHeight="1">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c r="A4" s="12" t="s">
        <v>99</v>
      </c>
      <c r="B4" s="28"/>
      <c r="C4" s="28"/>
      <c r="D4" s="28"/>
      <c r="E4" s="28"/>
      <c r="F4" s="28"/>
      <c r="G4" s="28"/>
      <c r="H4" s="13" t="s">
        <v>112</v>
      </c>
      <c r="I4" s="28"/>
      <c r="J4" s="28"/>
      <c r="K4" s="28"/>
      <c r="L4" s="28"/>
      <c r="M4" s="28"/>
      <c r="N4" s="28"/>
      <c r="O4" s="158" t="s">
        <v>164</v>
      </c>
      <c r="P4" s="159"/>
      <c r="Q4" s="159"/>
      <c r="R4" s="159"/>
      <c r="S4" s="159"/>
      <c r="T4" s="159"/>
      <c r="U4" s="159"/>
      <c r="V4" s="159"/>
      <c r="W4" s="159"/>
      <c r="X4" s="159"/>
      <c r="Y4" s="159"/>
      <c r="Z4" s="160"/>
    </row>
    <row r="5" spans="1:26" ht="6" customHeight="1">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c r="B6" s="189" t="s">
        <v>180</v>
      </c>
      <c r="C6" s="190"/>
      <c r="D6" s="190"/>
      <c r="E6" s="190"/>
      <c r="F6" s="190"/>
      <c r="G6" s="190"/>
      <c r="H6" s="190"/>
      <c r="I6" s="190"/>
      <c r="J6" s="190"/>
      <c r="K6" s="190"/>
      <c r="L6" s="190"/>
      <c r="M6" s="190"/>
      <c r="N6" s="190"/>
      <c r="O6" s="190"/>
      <c r="P6" s="190"/>
      <c r="Q6" s="190"/>
      <c r="R6" s="190"/>
      <c r="S6" s="190"/>
      <c r="T6" s="190"/>
      <c r="U6" s="190"/>
      <c r="V6" s="190"/>
      <c r="W6" s="190"/>
      <c r="X6" s="190"/>
      <c r="Y6" s="190"/>
      <c r="Z6" s="191"/>
    </row>
    <row r="7" spans="1:26" ht="18" customHeight="1">
      <c r="B7" s="192"/>
      <c r="C7" s="193"/>
      <c r="D7" s="193"/>
      <c r="E7" s="193"/>
      <c r="F7" s="193"/>
      <c r="G7" s="193"/>
      <c r="H7" s="193"/>
      <c r="I7" s="193"/>
      <c r="J7" s="193"/>
      <c r="K7" s="193"/>
      <c r="L7" s="193"/>
      <c r="M7" s="193"/>
      <c r="N7" s="193"/>
      <c r="O7" s="193"/>
      <c r="P7" s="193"/>
      <c r="Q7" s="193"/>
      <c r="R7" s="193"/>
      <c r="S7" s="193"/>
      <c r="T7" s="193"/>
      <c r="U7" s="193"/>
      <c r="V7" s="193"/>
      <c r="W7" s="193"/>
      <c r="X7" s="193"/>
      <c r="Y7" s="193"/>
      <c r="Z7" s="194"/>
    </row>
    <row r="8" spans="1:26" ht="18" customHeight="1">
      <c r="B8" s="192"/>
      <c r="C8" s="193"/>
      <c r="D8" s="193"/>
      <c r="E8" s="193"/>
      <c r="F8" s="193"/>
      <c r="G8" s="193"/>
      <c r="H8" s="193"/>
      <c r="I8" s="193"/>
      <c r="J8" s="193"/>
      <c r="K8" s="193"/>
      <c r="L8" s="193"/>
      <c r="M8" s="193"/>
      <c r="N8" s="193"/>
      <c r="O8" s="193"/>
      <c r="P8" s="193"/>
      <c r="Q8" s="193"/>
      <c r="R8" s="193"/>
      <c r="S8" s="193"/>
      <c r="T8" s="193"/>
      <c r="U8" s="193"/>
      <c r="V8" s="193"/>
      <c r="W8" s="193"/>
      <c r="X8" s="193"/>
      <c r="Y8" s="193"/>
      <c r="Z8" s="194"/>
    </row>
    <row r="9" spans="1:26" ht="18" customHeight="1">
      <c r="B9" s="192"/>
      <c r="C9" s="193"/>
      <c r="D9" s="193"/>
      <c r="E9" s="193"/>
      <c r="F9" s="193"/>
      <c r="G9" s="193"/>
      <c r="H9" s="193"/>
      <c r="I9" s="193"/>
      <c r="J9" s="193"/>
      <c r="K9" s="193"/>
      <c r="L9" s="193"/>
      <c r="M9" s="193"/>
      <c r="N9" s="193"/>
      <c r="O9" s="193"/>
      <c r="P9" s="193"/>
      <c r="Q9" s="193"/>
      <c r="R9" s="193"/>
      <c r="S9" s="193"/>
      <c r="T9" s="193"/>
      <c r="U9" s="193"/>
      <c r="V9" s="193"/>
      <c r="W9" s="193"/>
      <c r="X9" s="193"/>
      <c r="Y9" s="193"/>
      <c r="Z9" s="194"/>
    </row>
    <row r="10" spans="1:26" ht="18" customHeight="1">
      <c r="B10" s="192"/>
      <c r="C10" s="193"/>
      <c r="D10" s="193"/>
      <c r="E10" s="193"/>
      <c r="F10" s="193"/>
      <c r="G10" s="193"/>
      <c r="H10" s="193"/>
      <c r="I10" s="193"/>
      <c r="J10" s="193"/>
      <c r="K10" s="193"/>
      <c r="L10" s="193"/>
      <c r="M10" s="193"/>
      <c r="N10" s="193"/>
      <c r="O10" s="193"/>
      <c r="P10" s="193"/>
      <c r="Q10" s="193"/>
      <c r="R10" s="193"/>
      <c r="S10" s="193"/>
      <c r="T10" s="193"/>
      <c r="U10" s="193"/>
      <c r="V10" s="193"/>
      <c r="W10" s="193"/>
      <c r="X10" s="193"/>
      <c r="Y10" s="193"/>
      <c r="Z10" s="194"/>
    </row>
    <row r="11" spans="1:26" ht="18" customHeight="1">
      <c r="B11" s="195"/>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7"/>
    </row>
    <row r="12" spans="1:26" ht="7.5" customHeight="1">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c r="A13" s="174" t="s">
        <v>124</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ht="18"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ht="18" customHeight="1">
      <c r="A15" s="13"/>
      <c r="B15" s="158" t="s">
        <v>100</v>
      </c>
      <c r="C15" s="159"/>
      <c r="D15" s="159"/>
      <c r="E15" s="159"/>
      <c r="F15" s="160"/>
      <c r="G15" s="29" t="s">
        <v>140</v>
      </c>
      <c r="H15" s="86" t="s">
        <v>139</v>
      </c>
      <c r="I15" s="159" t="s">
        <v>101</v>
      </c>
      <c r="J15" s="159"/>
      <c r="K15" s="159"/>
      <c r="L15" s="51" t="s">
        <v>104</v>
      </c>
      <c r="M15" s="51" t="s">
        <v>107</v>
      </c>
      <c r="N15" s="158" t="s">
        <v>100</v>
      </c>
      <c r="O15" s="159"/>
      <c r="P15" s="159"/>
      <c r="Q15" s="159"/>
      <c r="R15" s="159"/>
      <c r="S15" s="160"/>
      <c r="T15" s="29" t="s">
        <v>140</v>
      </c>
      <c r="U15" s="86" t="s">
        <v>139</v>
      </c>
      <c r="V15" s="159" t="s">
        <v>101</v>
      </c>
      <c r="W15" s="159"/>
      <c r="X15" s="159"/>
      <c r="Y15" s="51" t="s">
        <v>104</v>
      </c>
      <c r="Z15" s="51" t="s">
        <v>107</v>
      </c>
    </row>
    <row r="16" spans="1:26" ht="18" customHeight="1">
      <c r="A16" s="13"/>
      <c r="B16" s="184" t="s">
        <v>184</v>
      </c>
      <c r="C16" s="185"/>
      <c r="D16" s="185"/>
      <c r="E16" s="185"/>
      <c r="F16" s="186"/>
      <c r="G16" s="87">
        <v>1</v>
      </c>
      <c r="H16" s="87"/>
      <c r="I16" s="198" t="s">
        <v>191</v>
      </c>
      <c r="J16" s="199"/>
      <c r="K16" s="200"/>
      <c r="L16" s="87" t="s">
        <v>186</v>
      </c>
      <c r="M16" s="87"/>
      <c r="N16" s="171"/>
      <c r="O16" s="172"/>
      <c r="P16" s="172"/>
      <c r="Q16" s="172"/>
      <c r="R16" s="172"/>
      <c r="S16" s="173"/>
      <c r="T16" s="87"/>
      <c r="U16" s="87"/>
      <c r="V16" s="198"/>
      <c r="W16" s="199"/>
      <c r="X16" s="200"/>
      <c r="Y16" s="87"/>
      <c r="Z16" s="87"/>
    </row>
    <row r="17" spans="1:26" ht="18" customHeight="1">
      <c r="A17" s="13"/>
      <c r="B17" s="175" t="s">
        <v>187</v>
      </c>
      <c r="C17" s="176"/>
      <c r="D17" s="176"/>
      <c r="E17" s="176"/>
      <c r="F17" s="177"/>
      <c r="G17" s="88">
        <v>1</v>
      </c>
      <c r="H17" s="88"/>
      <c r="I17" s="168" t="s">
        <v>185</v>
      </c>
      <c r="J17" s="169"/>
      <c r="K17" s="170"/>
      <c r="L17" s="88" t="s">
        <v>186</v>
      </c>
      <c r="M17" s="88" t="s">
        <v>186</v>
      </c>
      <c r="N17" s="162"/>
      <c r="O17" s="163"/>
      <c r="P17" s="163"/>
      <c r="Q17" s="163"/>
      <c r="R17" s="163"/>
      <c r="S17" s="164"/>
      <c r="T17" s="88"/>
      <c r="U17" s="88"/>
      <c r="V17" s="168"/>
      <c r="W17" s="169"/>
      <c r="X17" s="170"/>
      <c r="Y17" s="88"/>
      <c r="Z17" s="88"/>
    </row>
    <row r="18" spans="1:26" ht="18" customHeight="1">
      <c r="A18" s="13"/>
      <c r="B18" s="175"/>
      <c r="C18" s="176"/>
      <c r="D18" s="176"/>
      <c r="E18" s="176"/>
      <c r="F18" s="177"/>
      <c r="G18" s="88"/>
      <c r="H18" s="88"/>
      <c r="I18" s="168"/>
      <c r="J18" s="169"/>
      <c r="K18" s="170"/>
      <c r="L18" s="88"/>
      <c r="M18" s="88"/>
      <c r="N18" s="162"/>
      <c r="O18" s="163"/>
      <c r="P18" s="163"/>
      <c r="Q18" s="163"/>
      <c r="R18" s="163"/>
      <c r="S18" s="164"/>
      <c r="T18" s="88"/>
      <c r="U18" s="88"/>
      <c r="V18" s="168"/>
      <c r="W18" s="169"/>
      <c r="X18" s="170"/>
      <c r="Y18" s="88"/>
      <c r="Z18" s="88"/>
    </row>
    <row r="19" spans="1:26" ht="18" customHeight="1">
      <c r="A19" s="13"/>
      <c r="B19" s="175"/>
      <c r="C19" s="176"/>
      <c r="D19" s="176"/>
      <c r="E19" s="176"/>
      <c r="F19" s="177"/>
      <c r="G19" s="88"/>
      <c r="H19" s="88"/>
      <c r="I19" s="168"/>
      <c r="J19" s="169"/>
      <c r="K19" s="170"/>
      <c r="L19" s="88"/>
      <c r="M19" s="88"/>
      <c r="N19" s="162"/>
      <c r="O19" s="163"/>
      <c r="P19" s="163"/>
      <c r="Q19" s="163"/>
      <c r="R19" s="163"/>
      <c r="S19" s="164"/>
      <c r="T19" s="88"/>
      <c r="U19" s="88"/>
      <c r="V19" s="168"/>
      <c r="W19" s="169"/>
      <c r="X19" s="170"/>
      <c r="Y19" s="88"/>
      <c r="Z19" s="88"/>
    </row>
    <row r="20" spans="1:26" ht="18" customHeight="1">
      <c r="A20" s="13"/>
      <c r="B20" s="175"/>
      <c r="C20" s="176"/>
      <c r="D20" s="176"/>
      <c r="E20" s="176"/>
      <c r="F20" s="177"/>
      <c r="G20" s="88"/>
      <c r="H20" s="88"/>
      <c r="I20" s="168"/>
      <c r="J20" s="169"/>
      <c r="K20" s="170"/>
      <c r="L20" s="88"/>
      <c r="M20" s="88"/>
      <c r="N20" s="162"/>
      <c r="O20" s="163"/>
      <c r="P20" s="163"/>
      <c r="Q20" s="163"/>
      <c r="R20" s="163"/>
      <c r="S20" s="164"/>
      <c r="T20" s="88"/>
      <c r="U20" s="88"/>
      <c r="V20" s="168"/>
      <c r="W20" s="169"/>
      <c r="X20" s="170"/>
      <c r="Y20" s="88"/>
      <c r="Z20" s="88"/>
    </row>
    <row r="21" spans="1:26" ht="18" customHeight="1">
      <c r="A21" s="28"/>
      <c r="B21" s="175"/>
      <c r="C21" s="176"/>
      <c r="D21" s="176"/>
      <c r="E21" s="176"/>
      <c r="F21" s="177"/>
      <c r="G21" s="88"/>
      <c r="H21" s="88"/>
      <c r="I21" s="168"/>
      <c r="J21" s="169"/>
      <c r="K21" s="170"/>
      <c r="L21" s="88"/>
      <c r="M21" s="88"/>
      <c r="N21" s="162"/>
      <c r="O21" s="163"/>
      <c r="P21" s="163"/>
      <c r="Q21" s="163"/>
      <c r="R21" s="163"/>
      <c r="S21" s="164"/>
      <c r="T21" s="88"/>
      <c r="U21" s="88"/>
      <c r="V21" s="168"/>
      <c r="W21" s="169"/>
      <c r="X21" s="170"/>
      <c r="Y21" s="88"/>
      <c r="Z21" s="88"/>
    </row>
    <row r="22" spans="1:26" ht="18" customHeight="1">
      <c r="A22" s="28"/>
      <c r="B22" s="178"/>
      <c r="C22" s="179"/>
      <c r="D22" s="179"/>
      <c r="E22" s="179"/>
      <c r="F22" s="180"/>
      <c r="G22" s="89"/>
      <c r="H22" s="89"/>
      <c r="I22" s="181"/>
      <c r="J22" s="182"/>
      <c r="K22" s="183"/>
      <c r="L22" s="91"/>
      <c r="M22" s="91"/>
      <c r="N22" s="165"/>
      <c r="O22" s="166"/>
      <c r="P22" s="166"/>
      <c r="Q22" s="166"/>
      <c r="R22" s="166"/>
      <c r="S22" s="167"/>
      <c r="T22" s="89"/>
      <c r="U22" s="89"/>
      <c r="V22" s="181"/>
      <c r="W22" s="182"/>
      <c r="X22" s="183"/>
      <c r="Y22" s="91"/>
      <c r="Z22" s="91"/>
    </row>
    <row r="23" spans="1:26" ht="7.5" customHeight="1">
      <c r="A23" s="28"/>
      <c r="B23" s="52"/>
      <c r="C23" s="52"/>
      <c r="D23" s="28"/>
      <c r="E23" s="28"/>
      <c r="F23" s="28"/>
      <c r="G23" s="28"/>
      <c r="H23" s="28"/>
      <c r="I23" s="28"/>
      <c r="J23" s="28"/>
      <c r="K23" s="28"/>
      <c r="L23" s="52"/>
      <c r="M23" s="52"/>
      <c r="N23" s="52"/>
      <c r="O23" s="52"/>
      <c r="P23" s="52"/>
      <c r="Q23" s="52"/>
      <c r="R23" s="52"/>
      <c r="S23" s="52"/>
      <c r="T23" s="52"/>
      <c r="U23" s="52"/>
      <c r="V23" s="52"/>
      <c r="W23" s="52"/>
      <c r="X23" s="52"/>
      <c r="Y23" s="52"/>
      <c r="Z23" s="28"/>
    </row>
    <row r="24" spans="1:26" ht="18" customHeight="1">
      <c r="A24" s="174" t="s">
        <v>125</v>
      </c>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ht="18" customHeight="1">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ht="18" customHeight="1">
      <c r="A26" s="13"/>
      <c r="B26" s="158" t="s">
        <v>100</v>
      </c>
      <c r="C26" s="159"/>
      <c r="D26" s="159"/>
      <c r="E26" s="159"/>
      <c r="F26" s="160"/>
      <c r="G26" s="29" t="s">
        <v>140</v>
      </c>
      <c r="H26" s="86" t="s">
        <v>139</v>
      </c>
      <c r="I26" s="159" t="s">
        <v>101</v>
      </c>
      <c r="J26" s="159"/>
      <c r="K26" s="159"/>
      <c r="L26" s="51" t="s">
        <v>126</v>
      </c>
      <c r="M26" s="51" t="s">
        <v>127</v>
      </c>
      <c r="N26" s="158" t="s">
        <v>100</v>
      </c>
      <c r="O26" s="159"/>
      <c r="P26" s="159"/>
      <c r="Q26" s="159"/>
      <c r="R26" s="159"/>
      <c r="S26" s="160"/>
      <c r="T26" s="29" t="s">
        <v>140</v>
      </c>
      <c r="U26" s="86" t="s">
        <v>139</v>
      </c>
      <c r="V26" s="159" t="s">
        <v>101</v>
      </c>
      <c r="W26" s="159"/>
      <c r="X26" s="159"/>
      <c r="Y26" s="51" t="s">
        <v>126</v>
      </c>
      <c r="Z26" s="51" t="s">
        <v>127</v>
      </c>
    </row>
    <row r="27" spans="1:26" ht="18" customHeight="1">
      <c r="A27" s="13"/>
      <c r="B27" s="184" t="s">
        <v>184</v>
      </c>
      <c r="C27" s="185"/>
      <c r="D27" s="185"/>
      <c r="E27" s="185"/>
      <c r="F27" s="186"/>
      <c r="G27" s="87">
        <v>1</v>
      </c>
      <c r="H27" s="87"/>
      <c r="I27" s="198" t="s">
        <v>191</v>
      </c>
      <c r="J27" s="199"/>
      <c r="K27" s="200"/>
      <c r="L27" s="87" t="s">
        <v>186</v>
      </c>
      <c r="M27" s="87"/>
      <c r="N27" s="171"/>
      <c r="O27" s="172"/>
      <c r="P27" s="172"/>
      <c r="Q27" s="172"/>
      <c r="R27" s="172"/>
      <c r="S27" s="173"/>
      <c r="T27" s="87"/>
      <c r="U27" s="87"/>
      <c r="V27" s="198"/>
      <c r="W27" s="199"/>
      <c r="X27" s="200"/>
      <c r="Y27" s="87"/>
      <c r="Z27" s="87"/>
    </row>
    <row r="28" spans="1:26" ht="18" customHeight="1">
      <c r="A28" s="13"/>
      <c r="B28" s="175" t="s">
        <v>187</v>
      </c>
      <c r="C28" s="176"/>
      <c r="D28" s="176"/>
      <c r="E28" s="176"/>
      <c r="F28" s="177"/>
      <c r="G28" s="88">
        <v>1</v>
      </c>
      <c r="H28" s="88"/>
      <c r="I28" s="168" t="s">
        <v>185</v>
      </c>
      <c r="J28" s="169"/>
      <c r="K28" s="170"/>
      <c r="L28" s="88"/>
      <c r="M28" s="88" t="s">
        <v>186</v>
      </c>
      <c r="N28" s="162"/>
      <c r="O28" s="163"/>
      <c r="P28" s="163"/>
      <c r="Q28" s="163"/>
      <c r="R28" s="163"/>
      <c r="S28" s="164"/>
      <c r="T28" s="88"/>
      <c r="U28" s="88"/>
      <c r="V28" s="168"/>
      <c r="W28" s="169"/>
      <c r="X28" s="170"/>
      <c r="Y28" s="88"/>
      <c r="Z28" s="88"/>
    </row>
    <row r="29" spans="1:26" ht="18" customHeight="1">
      <c r="A29" s="13"/>
      <c r="B29" s="175"/>
      <c r="C29" s="176"/>
      <c r="D29" s="176"/>
      <c r="E29" s="176"/>
      <c r="F29" s="177"/>
      <c r="G29" s="88"/>
      <c r="H29" s="88"/>
      <c r="I29" s="168"/>
      <c r="J29" s="169"/>
      <c r="K29" s="170"/>
      <c r="L29" s="88"/>
      <c r="M29" s="88"/>
      <c r="N29" s="162"/>
      <c r="O29" s="163"/>
      <c r="P29" s="163"/>
      <c r="Q29" s="163"/>
      <c r="R29" s="163"/>
      <c r="S29" s="164"/>
      <c r="T29" s="88"/>
      <c r="U29" s="88"/>
      <c r="V29" s="168"/>
      <c r="W29" s="169"/>
      <c r="X29" s="170"/>
      <c r="Y29" s="88"/>
      <c r="Z29" s="88"/>
    </row>
    <row r="30" spans="1:26" ht="18" customHeight="1">
      <c r="A30" s="13"/>
      <c r="B30" s="175"/>
      <c r="C30" s="176"/>
      <c r="D30" s="176"/>
      <c r="E30" s="176"/>
      <c r="F30" s="177"/>
      <c r="G30" s="88"/>
      <c r="H30" s="88"/>
      <c r="I30" s="168"/>
      <c r="J30" s="169"/>
      <c r="K30" s="170"/>
      <c r="L30" s="88"/>
      <c r="M30" s="88"/>
      <c r="N30" s="162"/>
      <c r="O30" s="163"/>
      <c r="P30" s="163"/>
      <c r="Q30" s="163"/>
      <c r="R30" s="163"/>
      <c r="S30" s="164"/>
      <c r="T30" s="88"/>
      <c r="U30" s="88"/>
      <c r="V30" s="168"/>
      <c r="W30" s="169"/>
      <c r="X30" s="170"/>
      <c r="Y30" s="88"/>
      <c r="Z30" s="88"/>
    </row>
    <row r="31" spans="1:26" ht="18" customHeight="1">
      <c r="A31" s="13"/>
      <c r="B31" s="175"/>
      <c r="C31" s="176"/>
      <c r="D31" s="176"/>
      <c r="E31" s="176"/>
      <c r="F31" s="177"/>
      <c r="G31" s="88"/>
      <c r="H31" s="88"/>
      <c r="I31" s="168"/>
      <c r="J31" s="169"/>
      <c r="K31" s="170"/>
      <c r="L31" s="88"/>
      <c r="M31" s="88"/>
      <c r="N31" s="162"/>
      <c r="O31" s="163"/>
      <c r="P31" s="163"/>
      <c r="Q31" s="163"/>
      <c r="R31" s="163"/>
      <c r="S31" s="164"/>
      <c r="T31" s="88"/>
      <c r="U31" s="88"/>
      <c r="V31" s="168"/>
      <c r="W31" s="169"/>
      <c r="X31" s="170"/>
      <c r="Y31" s="88"/>
      <c r="Z31" s="88"/>
    </row>
    <row r="32" spans="1:26" ht="18" customHeight="1">
      <c r="A32" s="13"/>
      <c r="B32" s="175"/>
      <c r="C32" s="176"/>
      <c r="D32" s="176"/>
      <c r="E32" s="176"/>
      <c r="F32" s="177"/>
      <c r="G32" s="88"/>
      <c r="H32" s="88"/>
      <c r="I32" s="168"/>
      <c r="J32" s="169"/>
      <c r="K32" s="170"/>
      <c r="L32" s="88"/>
      <c r="M32" s="88"/>
      <c r="N32" s="162"/>
      <c r="O32" s="163"/>
      <c r="P32" s="163"/>
      <c r="Q32" s="163"/>
      <c r="R32" s="163"/>
      <c r="S32" s="164"/>
      <c r="T32" s="88"/>
      <c r="U32" s="88"/>
      <c r="V32" s="168"/>
      <c r="W32" s="169"/>
      <c r="X32" s="170"/>
      <c r="Y32" s="88"/>
      <c r="Z32" s="88"/>
    </row>
    <row r="33" spans="1:26" ht="18" customHeight="1">
      <c r="A33" s="13"/>
      <c r="B33" s="178"/>
      <c r="C33" s="179"/>
      <c r="D33" s="179"/>
      <c r="E33" s="179"/>
      <c r="F33" s="180"/>
      <c r="G33" s="89"/>
      <c r="H33" s="89"/>
      <c r="I33" s="181"/>
      <c r="J33" s="182"/>
      <c r="K33" s="183"/>
      <c r="L33" s="91"/>
      <c r="M33" s="91"/>
      <c r="N33" s="165"/>
      <c r="O33" s="166"/>
      <c r="P33" s="166"/>
      <c r="Q33" s="166"/>
      <c r="R33" s="166"/>
      <c r="S33" s="167"/>
      <c r="T33" s="89"/>
      <c r="U33" s="89"/>
      <c r="V33" s="181"/>
      <c r="W33" s="182"/>
      <c r="X33" s="183"/>
      <c r="Y33" s="91"/>
      <c r="Z33" s="91"/>
    </row>
    <row r="34" spans="1:26" ht="7.5" customHeight="1">
      <c r="A34" s="28"/>
      <c r="B34" s="52"/>
      <c r="C34" s="52"/>
      <c r="D34" s="28"/>
      <c r="E34" s="28"/>
      <c r="F34" s="28"/>
      <c r="G34" s="28"/>
      <c r="H34" s="28"/>
      <c r="I34" s="28"/>
      <c r="J34" s="28"/>
      <c r="K34" s="28"/>
      <c r="L34" s="52"/>
      <c r="M34" s="52"/>
      <c r="N34" s="52"/>
      <c r="O34" s="52"/>
      <c r="P34" s="52"/>
      <c r="Q34" s="52"/>
      <c r="R34" s="52"/>
      <c r="S34" s="52"/>
      <c r="T34" s="52"/>
      <c r="U34" s="52"/>
      <c r="V34" s="52"/>
      <c r="W34" s="52"/>
      <c r="X34" s="52"/>
      <c r="Y34" s="52"/>
      <c r="Z34" s="28"/>
    </row>
    <row r="35" spans="1:26" ht="18" customHeight="1">
      <c r="A35" s="174" t="s">
        <v>128</v>
      </c>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ht="18"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ht="18" customHeight="1">
      <c r="A37" s="13"/>
      <c r="B37" s="158" t="s">
        <v>100</v>
      </c>
      <c r="C37" s="159"/>
      <c r="D37" s="159"/>
      <c r="E37" s="159"/>
      <c r="F37" s="160"/>
      <c r="G37" s="29" t="s">
        <v>140</v>
      </c>
      <c r="H37" s="86" t="s">
        <v>139</v>
      </c>
      <c r="I37" s="158" t="s">
        <v>101</v>
      </c>
      <c r="J37" s="159"/>
      <c r="K37" s="160"/>
      <c r="L37" s="51" t="s">
        <v>129</v>
      </c>
      <c r="M37" s="51" t="s">
        <v>130</v>
      </c>
      <c r="N37" s="158" t="s">
        <v>100</v>
      </c>
      <c r="O37" s="159"/>
      <c r="P37" s="159"/>
      <c r="Q37" s="159"/>
      <c r="R37" s="159"/>
      <c r="S37" s="160"/>
      <c r="T37" s="29" t="s">
        <v>140</v>
      </c>
      <c r="U37" s="86" t="s">
        <v>139</v>
      </c>
      <c r="V37" s="158" t="s">
        <v>101</v>
      </c>
      <c r="W37" s="159"/>
      <c r="X37" s="160"/>
      <c r="Y37" s="51" t="s">
        <v>129</v>
      </c>
      <c r="Z37" s="51" t="s">
        <v>130</v>
      </c>
    </row>
    <row r="38" spans="1:26" ht="18" customHeight="1">
      <c r="A38" s="28"/>
      <c r="B38" s="184" t="s">
        <v>188</v>
      </c>
      <c r="C38" s="185"/>
      <c r="D38" s="185"/>
      <c r="E38" s="185"/>
      <c r="F38" s="186"/>
      <c r="G38" s="87">
        <v>1</v>
      </c>
      <c r="H38" s="87"/>
      <c r="I38" s="198" t="s">
        <v>191</v>
      </c>
      <c r="J38" s="199"/>
      <c r="K38" s="200"/>
      <c r="L38" s="87" t="s">
        <v>186</v>
      </c>
      <c r="M38" s="87"/>
      <c r="N38" s="171"/>
      <c r="O38" s="172"/>
      <c r="P38" s="172"/>
      <c r="Q38" s="172"/>
      <c r="R38" s="172"/>
      <c r="S38" s="173"/>
      <c r="T38" s="87"/>
      <c r="U38" s="87"/>
      <c r="V38" s="198"/>
      <c r="W38" s="199"/>
      <c r="X38" s="200"/>
      <c r="Y38" s="87"/>
      <c r="Z38" s="87"/>
    </row>
    <row r="39" spans="1:26" ht="18" customHeight="1">
      <c r="A39" s="28"/>
      <c r="B39" s="175" t="s">
        <v>187</v>
      </c>
      <c r="C39" s="176"/>
      <c r="D39" s="176"/>
      <c r="E39" s="176"/>
      <c r="F39" s="177"/>
      <c r="G39" s="88">
        <v>1</v>
      </c>
      <c r="H39" s="88"/>
      <c r="I39" s="168" t="s">
        <v>185</v>
      </c>
      <c r="J39" s="169"/>
      <c r="K39" s="170"/>
      <c r="L39" s="88"/>
      <c r="M39" s="88" t="s">
        <v>186</v>
      </c>
      <c r="N39" s="162"/>
      <c r="O39" s="163"/>
      <c r="P39" s="163"/>
      <c r="Q39" s="163"/>
      <c r="R39" s="163"/>
      <c r="S39" s="164"/>
      <c r="T39" s="88"/>
      <c r="U39" s="88"/>
      <c r="V39" s="168"/>
      <c r="W39" s="169"/>
      <c r="X39" s="170"/>
      <c r="Y39" s="88"/>
      <c r="Z39" s="88"/>
    </row>
    <row r="40" spans="1:26" ht="18" customHeight="1">
      <c r="A40" s="28"/>
      <c r="B40" s="175"/>
      <c r="C40" s="176"/>
      <c r="D40" s="176"/>
      <c r="E40" s="176"/>
      <c r="F40" s="177"/>
      <c r="G40" s="88"/>
      <c r="H40" s="88"/>
      <c r="I40" s="168"/>
      <c r="J40" s="169"/>
      <c r="K40" s="170"/>
      <c r="L40" s="88"/>
      <c r="M40" s="88"/>
      <c r="N40" s="162"/>
      <c r="O40" s="163"/>
      <c r="P40" s="163"/>
      <c r="Q40" s="163"/>
      <c r="R40" s="163"/>
      <c r="S40" s="164"/>
      <c r="T40" s="88"/>
      <c r="U40" s="88"/>
      <c r="V40" s="168"/>
      <c r="W40" s="169"/>
      <c r="X40" s="170"/>
      <c r="Y40" s="88"/>
      <c r="Z40" s="88"/>
    </row>
    <row r="41" spans="1:26" ht="18" customHeight="1">
      <c r="A41" s="28"/>
      <c r="B41" s="175"/>
      <c r="C41" s="176"/>
      <c r="D41" s="176"/>
      <c r="E41" s="176"/>
      <c r="F41" s="177"/>
      <c r="G41" s="88"/>
      <c r="H41" s="88"/>
      <c r="I41" s="168"/>
      <c r="J41" s="169"/>
      <c r="K41" s="170"/>
      <c r="L41" s="88"/>
      <c r="M41" s="88"/>
      <c r="N41" s="162"/>
      <c r="O41" s="163"/>
      <c r="P41" s="163"/>
      <c r="Q41" s="163"/>
      <c r="R41" s="163"/>
      <c r="S41" s="164"/>
      <c r="T41" s="88"/>
      <c r="U41" s="88"/>
      <c r="V41" s="168"/>
      <c r="W41" s="169"/>
      <c r="X41" s="170"/>
      <c r="Y41" s="88"/>
      <c r="Z41" s="88"/>
    </row>
    <row r="42" spans="1:26" ht="18" customHeight="1">
      <c r="A42" s="28"/>
      <c r="B42" s="175"/>
      <c r="C42" s="176"/>
      <c r="D42" s="176"/>
      <c r="E42" s="176"/>
      <c r="F42" s="177"/>
      <c r="G42" s="88"/>
      <c r="H42" s="88"/>
      <c r="I42" s="168"/>
      <c r="J42" s="169"/>
      <c r="K42" s="170"/>
      <c r="L42" s="88"/>
      <c r="M42" s="88"/>
      <c r="N42" s="162"/>
      <c r="O42" s="163"/>
      <c r="P42" s="163"/>
      <c r="Q42" s="163"/>
      <c r="R42" s="163"/>
      <c r="S42" s="164"/>
      <c r="T42" s="88"/>
      <c r="U42" s="88"/>
      <c r="V42" s="168"/>
      <c r="W42" s="169"/>
      <c r="X42" s="170"/>
      <c r="Y42" s="88"/>
      <c r="Z42" s="88"/>
    </row>
    <row r="43" spans="1:26" ht="18" customHeight="1">
      <c r="A43" s="28"/>
      <c r="B43" s="175"/>
      <c r="C43" s="176"/>
      <c r="D43" s="176"/>
      <c r="E43" s="176"/>
      <c r="F43" s="177"/>
      <c r="G43" s="88"/>
      <c r="H43" s="88"/>
      <c r="I43" s="168"/>
      <c r="J43" s="169"/>
      <c r="K43" s="170"/>
      <c r="L43" s="88"/>
      <c r="M43" s="88"/>
      <c r="N43" s="162"/>
      <c r="O43" s="163"/>
      <c r="P43" s="163"/>
      <c r="Q43" s="163"/>
      <c r="R43" s="163"/>
      <c r="S43" s="164"/>
      <c r="T43" s="88"/>
      <c r="U43" s="88"/>
      <c r="V43" s="168"/>
      <c r="W43" s="169"/>
      <c r="X43" s="170"/>
      <c r="Y43" s="88"/>
      <c r="Z43" s="88"/>
    </row>
    <row r="44" spans="1:26" ht="18" customHeight="1">
      <c r="A44" s="28"/>
      <c r="B44" s="178"/>
      <c r="C44" s="179"/>
      <c r="D44" s="179"/>
      <c r="E44" s="179"/>
      <c r="F44" s="180"/>
      <c r="G44" s="89"/>
      <c r="H44" s="89"/>
      <c r="I44" s="181"/>
      <c r="J44" s="182"/>
      <c r="K44" s="183"/>
      <c r="L44" s="91"/>
      <c r="M44" s="91"/>
      <c r="N44" s="165"/>
      <c r="O44" s="166"/>
      <c r="P44" s="166"/>
      <c r="Q44" s="166"/>
      <c r="R44" s="166"/>
      <c r="S44" s="167"/>
      <c r="T44" s="89"/>
      <c r="U44" s="89"/>
      <c r="V44" s="181"/>
      <c r="W44" s="182"/>
      <c r="X44" s="183"/>
      <c r="Y44" s="91"/>
      <c r="Z44" s="91"/>
    </row>
    <row r="45" spans="1:26" ht="7.5" customHeight="1">
      <c r="B45" s="53"/>
      <c r="C45" s="53"/>
      <c r="D45" s="53"/>
      <c r="E45" s="53"/>
      <c r="F45" s="53"/>
      <c r="G45" s="53"/>
      <c r="H45" s="53"/>
      <c r="I45" s="53"/>
      <c r="J45" s="53"/>
      <c r="K45" s="53"/>
      <c r="L45" s="53"/>
      <c r="M45" s="53"/>
      <c r="N45" s="53"/>
      <c r="O45" s="53"/>
      <c r="P45" s="53"/>
      <c r="Q45" s="53"/>
      <c r="R45" s="53"/>
      <c r="S45" s="53"/>
      <c r="T45" s="53"/>
      <c r="U45" s="53"/>
      <c r="V45" s="53"/>
      <c r="W45" s="53"/>
      <c r="X45" s="53"/>
      <c r="Y45" s="53"/>
    </row>
    <row r="46" spans="1:26" ht="18" customHeight="1">
      <c r="A46" s="174" t="s">
        <v>131</v>
      </c>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ht="18" customHeight="1">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ht="18" customHeight="1">
      <c r="A48" s="13"/>
      <c r="B48" s="158" t="s">
        <v>100</v>
      </c>
      <c r="C48" s="159"/>
      <c r="D48" s="159"/>
      <c r="E48" s="159"/>
      <c r="F48" s="160"/>
      <c r="G48" s="29" t="s">
        <v>140</v>
      </c>
      <c r="H48" s="86" t="s">
        <v>139</v>
      </c>
      <c r="I48" s="158" t="s">
        <v>101</v>
      </c>
      <c r="J48" s="159"/>
      <c r="K48" s="160"/>
      <c r="L48" s="51" t="s">
        <v>106</v>
      </c>
      <c r="M48" s="51" t="s">
        <v>108</v>
      </c>
      <c r="N48" s="158" t="s">
        <v>100</v>
      </c>
      <c r="O48" s="159"/>
      <c r="P48" s="159"/>
      <c r="Q48" s="159"/>
      <c r="R48" s="159"/>
      <c r="S48" s="160"/>
      <c r="T48" s="29" t="s">
        <v>140</v>
      </c>
      <c r="U48" s="86" t="s">
        <v>139</v>
      </c>
      <c r="V48" s="158" t="s">
        <v>101</v>
      </c>
      <c r="W48" s="159"/>
      <c r="X48" s="160"/>
      <c r="Y48" s="51" t="s">
        <v>106</v>
      </c>
      <c r="Z48" s="51" t="s">
        <v>108</v>
      </c>
    </row>
    <row r="49" spans="1:26" ht="18" customHeight="1">
      <c r="A49" s="28"/>
      <c r="B49" s="184" t="s">
        <v>184</v>
      </c>
      <c r="C49" s="185"/>
      <c r="D49" s="185"/>
      <c r="E49" s="185"/>
      <c r="F49" s="186"/>
      <c r="G49" s="87">
        <v>1</v>
      </c>
      <c r="H49" s="87"/>
      <c r="I49" s="198" t="s">
        <v>191</v>
      </c>
      <c r="J49" s="199"/>
      <c r="K49" s="200"/>
      <c r="L49" s="87"/>
      <c r="M49" s="87" t="s">
        <v>186</v>
      </c>
      <c r="N49" s="171"/>
      <c r="O49" s="172"/>
      <c r="P49" s="172"/>
      <c r="Q49" s="172"/>
      <c r="R49" s="172"/>
      <c r="S49" s="173"/>
      <c r="T49" s="87"/>
      <c r="U49" s="87"/>
      <c r="V49" s="198"/>
      <c r="W49" s="199"/>
      <c r="X49" s="200"/>
      <c r="Y49" s="87"/>
      <c r="Z49" s="87"/>
    </row>
    <row r="50" spans="1:26" ht="18" customHeight="1">
      <c r="A50" s="28"/>
      <c r="B50" s="175" t="s">
        <v>188</v>
      </c>
      <c r="C50" s="176"/>
      <c r="D50" s="176"/>
      <c r="E50" s="176"/>
      <c r="F50" s="177"/>
      <c r="G50" s="88">
        <v>1</v>
      </c>
      <c r="H50" s="88"/>
      <c r="I50" s="168" t="s">
        <v>191</v>
      </c>
      <c r="J50" s="169"/>
      <c r="K50" s="170"/>
      <c r="L50" s="88" t="s">
        <v>186</v>
      </c>
      <c r="M50" s="88"/>
      <c r="N50" s="162"/>
      <c r="O50" s="163"/>
      <c r="P50" s="163"/>
      <c r="Q50" s="163"/>
      <c r="R50" s="163"/>
      <c r="S50" s="164"/>
      <c r="T50" s="88"/>
      <c r="U50" s="88"/>
      <c r="V50" s="168"/>
      <c r="W50" s="169"/>
      <c r="X50" s="170"/>
      <c r="Y50" s="88"/>
      <c r="Z50" s="88"/>
    </row>
    <row r="51" spans="1:26" ht="18" customHeight="1">
      <c r="A51" s="28"/>
      <c r="B51" s="175" t="s">
        <v>223</v>
      </c>
      <c r="C51" s="176"/>
      <c r="D51" s="176"/>
      <c r="E51" s="176"/>
      <c r="F51" s="177"/>
      <c r="G51" s="88">
        <v>1</v>
      </c>
      <c r="H51" s="88"/>
      <c r="I51" s="168" t="s">
        <v>185</v>
      </c>
      <c r="J51" s="169"/>
      <c r="K51" s="170"/>
      <c r="L51" s="88" t="s">
        <v>186</v>
      </c>
      <c r="M51" s="88" t="s">
        <v>186</v>
      </c>
      <c r="N51" s="162"/>
      <c r="O51" s="163"/>
      <c r="P51" s="163"/>
      <c r="Q51" s="163"/>
      <c r="R51" s="163"/>
      <c r="S51" s="164"/>
      <c r="T51" s="88"/>
      <c r="U51" s="88"/>
      <c r="V51" s="168"/>
      <c r="W51" s="169"/>
      <c r="X51" s="170"/>
      <c r="Y51" s="88"/>
      <c r="Z51" s="88"/>
    </row>
    <row r="52" spans="1:26" ht="18" customHeight="1">
      <c r="A52" s="28"/>
      <c r="B52" s="175"/>
      <c r="C52" s="176"/>
      <c r="D52" s="176"/>
      <c r="E52" s="176"/>
      <c r="F52" s="177"/>
      <c r="G52" s="88"/>
      <c r="H52" s="88"/>
      <c r="I52" s="168"/>
      <c r="J52" s="169"/>
      <c r="K52" s="170"/>
      <c r="L52" s="88"/>
      <c r="M52" s="88"/>
      <c r="N52" s="162"/>
      <c r="O52" s="163"/>
      <c r="P52" s="163"/>
      <c r="Q52" s="163"/>
      <c r="R52" s="163"/>
      <c r="S52" s="164"/>
      <c r="T52" s="88"/>
      <c r="U52" s="88"/>
      <c r="V52" s="168"/>
      <c r="W52" s="169"/>
      <c r="X52" s="170"/>
      <c r="Y52" s="88"/>
      <c r="Z52" s="88"/>
    </row>
    <row r="53" spans="1:26" ht="18" customHeight="1">
      <c r="A53" s="28"/>
      <c r="B53" s="175"/>
      <c r="C53" s="176"/>
      <c r="D53" s="176"/>
      <c r="E53" s="176"/>
      <c r="F53" s="177"/>
      <c r="G53" s="88"/>
      <c r="H53" s="88"/>
      <c r="I53" s="168"/>
      <c r="J53" s="169"/>
      <c r="K53" s="170"/>
      <c r="L53" s="88"/>
      <c r="M53" s="88"/>
      <c r="N53" s="162"/>
      <c r="O53" s="163"/>
      <c r="P53" s="163"/>
      <c r="Q53" s="163"/>
      <c r="R53" s="163"/>
      <c r="S53" s="164"/>
      <c r="T53" s="88"/>
      <c r="U53" s="88"/>
      <c r="V53" s="168"/>
      <c r="W53" s="169"/>
      <c r="X53" s="170"/>
      <c r="Y53" s="88"/>
      <c r="Z53" s="88"/>
    </row>
    <row r="54" spans="1:26" ht="18" customHeight="1">
      <c r="A54" s="28"/>
      <c r="B54" s="175"/>
      <c r="C54" s="176"/>
      <c r="D54" s="176"/>
      <c r="E54" s="176"/>
      <c r="F54" s="177"/>
      <c r="G54" s="88"/>
      <c r="H54" s="88"/>
      <c r="I54" s="168"/>
      <c r="J54" s="169"/>
      <c r="K54" s="170"/>
      <c r="L54" s="88"/>
      <c r="M54" s="88"/>
      <c r="N54" s="162"/>
      <c r="O54" s="163"/>
      <c r="P54" s="163"/>
      <c r="Q54" s="163"/>
      <c r="R54" s="163"/>
      <c r="S54" s="164"/>
      <c r="T54" s="88"/>
      <c r="U54" s="88"/>
      <c r="V54" s="168"/>
      <c r="W54" s="169"/>
      <c r="X54" s="170"/>
      <c r="Y54" s="88"/>
      <c r="Z54" s="88"/>
    </row>
    <row r="55" spans="1:26" ht="18" customHeight="1">
      <c r="A55" s="28"/>
      <c r="B55" s="178"/>
      <c r="C55" s="179"/>
      <c r="D55" s="179"/>
      <c r="E55" s="179"/>
      <c r="F55" s="180"/>
      <c r="G55" s="89"/>
      <c r="H55" s="89"/>
      <c r="I55" s="181"/>
      <c r="J55" s="182"/>
      <c r="K55" s="183"/>
      <c r="L55" s="91"/>
      <c r="M55" s="91"/>
      <c r="N55" s="165"/>
      <c r="O55" s="166"/>
      <c r="P55" s="166"/>
      <c r="Q55" s="166"/>
      <c r="R55" s="166"/>
      <c r="S55" s="167"/>
      <c r="T55" s="89"/>
      <c r="U55" s="89"/>
      <c r="V55" s="181"/>
      <c r="W55" s="182"/>
      <c r="X55" s="183"/>
      <c r="Y55" s="91"/>
      <c r="Z55" s="91"/>
    </row>
    <row r="56" spans="1:26" ht="7.5" customHeight="1">
      <c r="B56" s="53"/>
      <c r="C56" s="53"/>
      <c r="D56" s="53"/>
      <c r="E56" s="53"/>
      <c r="F56" s="53"/>
      <c r="G56" s="53"/>
      <c r="H56" s="53"/>
      <c r="I56" s="53"/>
      <c r="J56" s="53"/>
      <c r="K56" s="53"/>
      <c r="L56" s="53"/>
      <c r="M56" s="53"/>
      <c r="N56" s="53"/>
      <c r="O56" s="53"/>
      <c r="P56" s="53"/>
      <c r="Q56" s="53"/>
      <c r="R56" s="53"/>
      <c r="S56" s="53"/>
      <c r="T56" s="53"/>
      <c r="U56" s="53"/>
      <c r="V56" s="53"/>
      <c r="W56" s="53"/>
      <c r="X56" s="53"/>
      <c r="Y56" s="53"/>
    </row>
    <row r="57" spans="1:26" ht="18" customHeight="1">
      <c r="A57" s="174" t="s">
        <v>132</v>
      </c>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ht="18" customHeight="1">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ht="18" customHeight="1">
      <c r="A59" s="13"/>
      <c r="B59" s="158" t="s">
        <v>100</v>
      </c>
      <c r="C59" s="159"/>
      <c r="D59" s="159"/>
      <c r="E59" s="160"/>
      <c r="F59" s="29" t="s">
        <v>140</v>
      </c>
      <c r="G59" s="86" t="s">
        <v>139</v>
      </c>
      <c r="H59" s="25" t="s">
        <v>101</v>
      </c>
      <c r="I59" s="113"/>
      <c r="J59" s="26"/>
      <c r="K59" s="51" t="s">
        <v>105</v>
      </c>
      <c r="L59" s="51" t="s">
        <v>133</v>
      </c>
      <c r="M59" s="51" t="s">
        <v>134</v>
      </c>
      <c r="N59" s="158" t="s">
        <v>100</v>
      </c>
      <c r="O59" s="159"/>
      <c r="P59" s="159"/>
      <c r="Q59" s="159"/>
      <c r="R59" s="160"/>
      <c r="S59" s="29" t="s">
        <v>140</v>
      </c>
      <c r="T59" s="86" t="s">
        <v>139</v>
      </c>
      <c r="U59" s="25" t="s">
        <v>101</v>
      </c>
      <c r="V59" s="113"/>
      <c r="W59" s="26"/>
      <c r="X59" s="51" t="s">
        <v>105</v>
      </c>
      <c r="Y59" s="51" t="s">
        <v>133</v>
      </c>
      <c r="Z59" s="51" t="s">
        <v>134</v>
      </c>
    </row>
    <row r="60" spans="1:26" ht="18" customHeight="1">
      <c r="A60" s="28"/>
      <c r="B60" s="171" t="s">
        <v>188</v>
      </c>
      <c r="C60" s="172"/>
      <c r="D60" s="172"/>
      <c r="E60" s="173"/>
      <c r="F60" s="87">
        <v>1</v>
      </c>
      <c r="G60" s="87"/>
      <c r="H60" s="198" t="s">
        <v>191</v>
      </c>
      <c r="I60" s="199"/>
      <c r="J60" s="200"/>
      <c r="K60" s="87" t="s">
        <v>186</v>
      </c>
      <c r="L60" s="87" t="s">
        <v>186</v>
      </c>
      <c r="M60" s="87" t="s">
        <v>186</v>
      </c>
      <c r="N60" s="171"/>
      <c r="O60" s="172"/>
      <c r="P60" s="172"/>
      <c r="Q60" s="172"/>
      <c r="R60" s="173"/>
      <c r="S60" s="87"/>
      <c r="T60" s="87"/>
      <c r="U60" s="198"/>
      <c r="V60" s="199"/>
      <c r="W60" s="200"/>
      <c r="X60" s="107"/>
      <c r="Y60" s="87"/>
      <c r="Z60" s="87"/>
    </row>
    <row r="61" spans="1:26" ht="18" customHeight="1">
      <c r="A61" s="28"/>
      <c r="B61" s="162"/>
      <c r="C61" s="163"/>
      <c r="D61" s="163"/>
      <c r="E61" s="164"/>
      <c r="F61" s="88"/>
      <c r="G61" s="88"/>
      <c r="H61" s="168"/>
      <c r="I61" s="169"/>
      <c r="J61" s="170"/>
      <c r="K61" s="108"/>
      <c r="L61" s="88"/>
      <c r="M61" s="88"/>
      <c r="N61" s="162"/>
      <c r="O61" s="163"/>
      <c r="P61" s="163"/>
      <c r="Q61" s="163"/>
      <c r="R61" s="164"/>
      <c r="S61" s="88"/>
      <c r="T61" s="88"/>
      <c r="U61" s="168"/>
      <c r="V61" s="169"/>
      <c r="W61" s="170"/>
      <c r="X61" s="108"/>
      <c r="Y61" s="88"/>
      <c r="Z61" s="88"/>
    </row>
    <row r="62" spans="1:26" ht="18" customHeight="1">
      <c r="A62" s="28"/>
      <c r="B62" s="162"/>
      <c r="C62" s="163"/>
      <c r="D62" s="163"/>
      <c r="E62" s="164"/>
      <c r="F62" s="88"/>
      <c r="G62" s="88"/>
      <c r="H62" s="168"/>
      <c r="I62" s="169"/>
      <c r="J62" s="170"/>
      <c r="K62" s="108"/>
      <c r="L62" s="88"/>
      <c r="M62" s="88"/>
      <c r="N62" s="162"/>
      <c r="O62" s="163"/>
      <c r="P62" s="163"/>
      <c r="Q62" s="163"/>
      <c r="R62" s="164"/>
      <c r="S62" s="88"/>
      <c r="T62" s="88"/>
      <c r="U62" s="168"/>
      <c r="V62" s="169"/>
      <c r="W62" s="170"/>
      <c r="X62" s="108"/>
      <c r="Y62" s="88"/>
      <c r="Z62" s="88"/>
    </row>
    <row r="63" spans="1:26" ht="18" customHeight="1">
      <c r="A63" s="28"/>
      <c r="B63" s="162"/>
      <c r="C63" s="163"/>
      <c r="D63" s="163"/>
      <c r="E63" s="164"/>
      <c r="F63" s="88"/>
      <c r="G63" s="88"/>
      <c r="H63" s="168"/>
      <c r="I63" s="169"/>
      <c r="J63" s="170"/>
      <c r="K63" s="108"/>
      <c r="L63" s="88"/>
      <c r="M63" s="88"/>
      <c r="N63" s="162"/>
      <c r="O63" s="163"/>
      <c r="P63" s="163"/>
      <c r="Q63" s="163"/>
      <c r="R63" s="164"/>
      <c r="S63" s="88"/>
      <c r="T63" s="88"/>
      <c r="U63" s="168"/>
      <c r="V63" s="169"/>
      <c r="W63" s="170"/>
      <c r="X63" s="108"/>
      <c r="Y63" s="88"/>
      <c r="Z63" s="88"/>
    </row>
    <row r="64" spans="1:26" ht="18" customHeight="1">
      <c r="A64" s="28"/>
      <c r="B64" s="162"/>
      <c r="C64" s="163"/>
      <c r="D64" s="163"/>
      <c r="E64" s="164"/>
      <c r="F64" s="88"/>
      <c r="G64" s="88"/>
      <c r="H64" s="168"/>
      <c r="I64" s="169"/>
      <c r="J64" s="170"/>
      <c r="K64" s="108"/>
      <c r="L64" s="88"/>
      <c r="M64" s="88"/>
      <c r="N64" s="162"/>
      <c r="O64" s="163"/>
      <c r="P64" s="163"/>
      <c r="Q64" s="163"/>
      <c r="R64" s="164"/>
      <c r="S64" s="88"/>
      <c r="T64" s="88"/>
      <c r="U64" s="168"/>
      <c r="V64" s="169"/>
      <c r="W64" s="170"/>
      <c r="X64" s="108"/>
      <c r="Y64" s="88"/>
      <c r="Z64" s="88"/>
    </row>
    <row r="65" spans="1:26" ht="18" customHeight="1">
      <c r="A65" s="28"/>
      <c r="B65" s="162"/>
      <c r="C65" s="163"/>
      <c r="D65" s="163"/>
      <c r="E65" s="164"/>
      <c r="F65" s="88"/>
      <c r="G65" s="88"/>
      <c r="H65" s="168"/>
      <c r="I65" s="169"/>
      <c r="J65" s="170"/>
      <c r="K65" s="108"/>
      <c r="L65" s="88"/>
      <c r="M65" s="88"/>
      <c r="N65" s="162"/>
      <c r="O65" s="163"/>
      <c r="P65" s="163"/>
      <c r="Q65" s="163"/>
      <c r="R65" s="164"/>
      <c r="S65" s="88"/>
      <c r="T65" s="88"/>
      <c r="U65" s="168"/>
      <c r="V65" s="169"/>
      <c r="W65" s="170"/>
      <c r="X65" s="108"/>
      <c r="Y65" s="88"/>
      <c r="Z65" s="88"/>
    </row>
    <row r="66" spans="1:26" ht="18" customHeight="1">
      <c r="A66" s="28"/>
      <c r="B66" s="165"/>
      <c r="C66" s="166"/>
      <c r="D66" s="166"/>
      <c r="E66" s="167"/>
      <c r="F66" s="89"/>
      <c r="G66" s="89"/>
      <c r="H66" s="181"/>
      <c r="I66" s="182"/>
      <c r="J66" s="183"/>
      <c r="K66" s="109"/>
      <c r="L66" s="91"/>
      <c r="M66" s="91"/>
      <c r="N66" s="165"/>
      <c r="O66" s="166"/>
      <c r="P66" s="166"/>
      <c r="Q66" s="166"/>
      <c r="R66" s="167"/>
      <c r="S66" s="89"/>
      <c r="T66" s="89"/>
      <c r="U66" s="181"/>
      <c r="V66" s="182"/>
      <c r="W66" s="183"/>
      <c r="X66" s="109"/>
      <c r="Y66" s="91"/>
      <c r="Z66" s="91"/>
    </row>
    <row r="67" spans="1:26" ht="7.5" customHeight="1">
      <c r="B67" s="53"/>
      <c r="C67" s="53"/>
      <c r="D67" s="53"/>
      <c r="E67" s="53"/>
      <c r="F67" s="53"/>
      <c r="G67" s="53"/>
      <c r="H67" s="53"/>
      <c r="I67" s="53"/>
      <c r="J67" s="53"/>
      <c r="K67" s="53"/>
      <c r="L67" s="53"/>
      <c r="M67" s="53"/>
      <c r="N67" s="53"/>
      <c r="O67" s="53"/>
      <c r="P67" s="53"/>
      <c r="Q67" s="53"/>
      <c r="R67" s="53"/>
      <c r="S67" s="53"/>
      <c r="T67" s="53"/>
      <c r="U67" s="53"/>
      <c r="V67" s="53"/>
      <c r="W67" s="53"/>
      <c r="X67" s="53"/>
      <c r="Y67" s="53"/>
    </row>
    <row r="68" spans="1:26" ht="18" customHeight="1">
      <c r="A68" s="13" t="s">
        <v>135</v>
      </c>
      <c r="B68" s="13"/>
      <c r="C68" s="13"/>
      <c r="D68" s="13"/>
      <c r="E68" s="13"/>
      <c r="F68" s="13"/>
      <c r="G68" s="13"/>
      <c r="H68" s="13"/>
      <c r="I68" s="13"/>
      <c r="J68" s="13"/>
      <c r="K68" s="13"/>
      <c r="L68" s="28"/>
      <c r="M68" s="28"/>
      <c r="N68" s="28"/>
      <c r="O68" s="28"/>
      <c r="P68" s="28"/>
      <c r="Q68" s="28"/>
      <c r="R68" s="28"/>
      <c r="S68" s="28"/>
      <c r="T68" s="28"/>
      <c r="U68" s="28"/>
      <c r="V68" s="28"/>
      <c r="W68" s="28"/>
      <c r="X68" s="28"/>
      <c r="Y68" s="28"/>
      <c r="Z68" s="28"/>
    </row>
    <row r="69" spans="1:26" ht="18" customHeight="1">
      <c r="A69" s="13"/>
      <c r="B69" s="158" t="s">
        <v>100</v>
      </c>
      <c r="C69" s="159"/>
      <c r="D69" s="159"/>
      <c r="E69" s="159"/>
      <c r="F69" s="160"/>
      <c r="G69" s="158" t="s">
        <v>145</v>
      </c>
      <c r="H69" s="159"/>
      <c r="I69" s="159"/>
      <c r="J69" s="159"/>
      <c r="K69" s="159"/>
      <c r="L69" s="159"/>
      <c r="M69" s="160"/>
      <c r="N69" s="201" t="s">
        <v>100</v>
      </c>
      <c r="O69" s="202"/>
      <c r="P69" s="202"/>
      <c r="Q69" s="202"/>
      <c r="R69" s="202"/>
      <c r="S69" s="203"/>
      <c r="T69" s="158" t="s">
        <v>145</v>
      </c>
      <c r="U69" s="159"/>
      <c r="V69" s="159"/>
      <c r="W69" s="159"/>
      <c r="X69" s="159"/>
      <c r="Y69" s="159"/>
      <c r="Z69" s="160"/>
    </row>
    <row r="70" spans="1:26" ht="18" customHeight="1">
      <c r="A70" s="28"/>
      <c r="B70" s="171"/>
      <c r="C70" s="172"/>
      <c r="D70" s="172"/>
      <c r="E70" s="172"/>
      <c r="F70" s="173"/>
      <c r="G70" s="204"/>
      <c r="H70" s="205"/>
      <c r="I70" s="205"/>
      <c r="J70" s="205"/>
      <c r="K70" s="205"/>
      <c r="L70" s="205"/>
      <c r="M70" s="206"/>
      <c r="N70" s="171"/>
      <c r="O70" s="172"/>
      <c r="P70" s="172"/>
      <c r="Q70" s="172"/>
      <c r="R70" s="172"/>
      <c r="S70" s="173"/>
      <c r="T70" s="204"/>
      <c r="U70" s="205"/>
      <c r="V70" s="205"/>
      <c r="W70" s="205"/>
      <c r="X70" s="205"/>
      <c r="Y70" s="205"/>
      <c r="Z70" s="206"/>
    </row>
    <row r="71" spans="1:26" ht="18" customHeight="1">
      <c r="A71" s="28"/>
      <c r="B71" s="162"/>
      <c r="C71" s="163"/>
      <c r="D71" s="163"/>
      <c r="E71" s="163"/>
      <c r="F71" s="164"/>
      <c r="G71" s="222"/>
      <c r="H71" s="223"/>
      <c r="I71" s="223"/>
      <c r="J71" s="223"/>
      <c r="K71" s="223"/>
      <c r="L71" s="223"/>
      <c r="M71" s="224"/>
      <c r="N71" s="162"/>
      <c r="O71" s="163"/>
      <c r="P71" s="163"/>
      <c r="Q71" s="163"/>
      <c r="R71" s="163"/>
      <c r="S71" s="164"/>
      <c r="T71" s="222"/>
      <c r="U71" s="223"/>
      <c r="V71" s="223"/>
      <c r="W71" s="223"/>
      <c r="X71" s="223"/>
      <c r="Y71" s="223"/>
      <c r="Z71" s="224"/>
    </row>
    <row r="72" spans="1:26" ht="18" customHeight="1">
      <c r="A72" s="28"/>
      <c r="B72" s="162"/>
      <c r="C72" s="163"/>
      <c r="D72" s="163"/>
      <c r="E72" s="163"/>
      <c r="F72" s="164"/>
      <c r="G72" s="222"/>
      <c r="H72" s="223"/>
      <c r="I72" s="223"/>
      <c r="J72" s="223"/>
      <c r="K72" s="223"/>
      <c r="L72" s="223"/>
      <c r="M72" s="224"/>
      <c r="N72" s="162"/>
      <c r="O72" s="163"/>
      <c r="P72" s="163"/>
      <c r="Q72" s="163"/>
      <c r="R72" s="163"/>
      <c r="S72" s="164"/>
      <c r="T72" s="222"/>
      <c r="U72" s="223"/>
      <c r="V72" s="223"/>
      <c r="W72" s="223"/>
      <c r="X72" s="223"/>
      <c r="Y72" s="223"/>
      <c r="Z72" s="224"/>
    </row>
    <row r="73" spans="1:26" ht="18" customHeight="1">
      <c r="A73" s="28"/>
      <c r="B73" s="162"/>
      <c r="C73" s="163"/>
      <c r="D73" s="163"/>
      <c r="E73" s="163"/>
      <c r="F73" s="164"/>
      <c r="G73" s="222"/>
      <c r="H73" s="223"/>
      <c r="I73" s="223"/>
      <c r="J73" s="223"/>
      <c r="K73" s="223"/>
      <c r="L73" s="223"/>
      <c r="M73" s="224"/>
      <c r="N73" s="162"/>
      <c r="O73" s="163"/>
      <c r="P73" s="163"/>
      <c r="Q73" s="163"/>
      <c r="R73" s="163"/>
      <c r="S73" s="164"/>
      <c r="T73" s="222"/>
      <c r="U73" s="223"/>
      <c r="V73" s="223"/>
      <c r="W73" s="223"/>
      <c r="X73" s="223"/>
      <c r="Y73" s="223"/>
      <c r="Z73" s="224"/>
    </row>
    <row r="74" spans="1:26" ht="18" customHeight="1">
      <c r="A74" s="28"/>
      <c r="B74" s="162"/>
      <c r="C74" s="163"/>
      <c r="D74" s="163"/>
      <c r="E74" s="163"/>
      <c r="F74" s="164"/>
      <c r="G74" s="222"/>
      <c r="H74" s="223"/>
      <c r="I74" s="223"/>
      <c r="J74" s="223"/>
      <c r="K74" s="223"/>
      <c r="L74" s="223"/>
      <c r="M74" s="224"/>
      <c r="N74" s="162"/>
      <c r="O74" s="163"/>
      <c r="P74" s="163"/>
      <c r="Q74" s="163"/>
      <c r="R74" s="163"/>
      <c r="S74" s="164"/>
      <c r="T74" s="222"/>
      <c r="U74" s="223"/>
      <c r="V74" s="223"/>
      <c r="W74" s="223"/>
      <c r="X74" s="223"/>
      <c r="Y74" s="223"/>
      <c r="Z74" s="224"/>
    </row>
    <row r="75" spans="1:26" ht="18" customHeight="1">
      <c r="A75" s="28"/>
      <c r="B75" s="162"/>
      <c r="C75" s="163"/>
      <c r="D75" s="163"/>
      <c r="E75" s="163"/>
      <c r="F75" s="164"/>
      <c r="G75" s="222"/>
      <c r="H75" s="223"/>
      <c r="I75" s="223"/>
      <c r="J75" s="223"/>
      <c r="K75" s="223"/>
      <c r="L75" s="223"/>
      <c r="M75" s="224"/>
      <c r="N75" s="162"/>
      <c r="O75" s="163"/>
      <c r="P75" s="163"/>
      <c r="Q75" s="163"/>
      <c r="R75" s="163"/>
      <c r="S75" s="164"/>
      <c r="T75" s="222"/>
      <c r="U75" s="223"/>
      <c r="V75" s="223"/>
      <c r="W75" s="223"/>
      <c r="X75" s="223"/>
      <c r="Y75" s="223"/>
      <c r="Z75" s="224"/>
    </row>
    <row r="76" spans="1:26" ht="18" customHeight="1">
      <c r="A76" s="28"/>
      <c r="B76" s="165"/>
      <c r="C76" s="166"/>
      <c r="D76" s="166"/>
      <c r="E76" s="166"/>
      <c r="F76" s="167"/>
      <c r="G76" s="219"/>
      <c r="H76" s="220"/>
      <c r="I76" s="220"/>
      <c r="J76" s="220"/>
      <c r="K76" s="220"/>
      <c r="L76" s="220"/>
      <c r="M76" s="221"/>
      <c r="N76" s="165"/>
      <c r="O76" s="166"/>
      <c r="P76" s="166"/>
      <c r="Q76" s="166"/>
      <c r="R76" s="166"/>
      <c r="S76" s="167"/>
      <c r="T76" s="219"/>
      <c r="U76" s="220"/>
      <c r="V76" s="220"/>
      <c r="W76" s="220"/>
      <c r="X76" s="220"/>
      <c r="Y76" s="220"/>
      <c r="Z76" s="221"/>
    </row>
    <row r="77" spans="1:26" ht="18" customHeight="1">
      <c r="A77" s="28"/>
      <c r="B77" s="114"/>
      <c r="C77" s="114"/>
      <c r="D77" s="114"/>
      <c r="E77" s="114"/>
      <c r="F77" s="114"/>
      <c r="G77" s="115"/>
      <c r="H77" s="115"/>
      <c r="I77" s="115"/>
      <c r="J77" s="115"/>
      <c r="K77" s="115"/>
      <c r="L77" s="115"/>
      <c r="M77" s="115"/>
      <c r="N77" s="114"/>
      <c r="O77" s="114"/>
      <c r="P77" s="114"/>
      <c r="Q77" s="114"/>
      <c r="R77" s="114"/>
      <c r="S77" s="114"/>
      <c r="T77" s="115"/>
      <c r="U77" s="115"/>
      <c r="V77" s="115"/>
      <c r="W77" s="115"/>
      <c r="X77" s="115"/>
      <c r="Y77" s="115"/>
      <c r="Z77" s="115"/>
    </row>
    <row r="78" spans="1:26" ht="18.75" customHeight="1">
      <c r="A78" s="12" t="s">
        <v>141</v>
      </c>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8.75" customHeight="1">
      <c r="B79" s="54" t="s">
        <v>102</v>
      </c>
      <c r="C79" s="55"/>
      <c r="D79" s="257" t="s">
        <v>103</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6" ht="78" customHeight="1">
      <c r="B80" s="237" t="s">
        <v>109</v>
      </c>
      <c r="C80" s="60" t="s">
        <v>104</v>
      </c>
      <c r="D80" s="250" t="s">
        <v>222</v>
      </c>
      <c r="E80" s="251"/>
      <c r="F80" s="251"/>
      <c r="G80" s="251"/>
      <c r="H80" s="251"/>
      <c r="I80" s="251"/>
      <c r="J80" s="251"/>
      <c r="K80" s="251"/>
      <c r="L80" s="251"/>
      <c r="M80" s="251"/>
      <c r="N80" s="251"/>
      <c r="O80" s="251"/>
      <c r="P80" s="251"/>
      <c r="Q80" s="251"/>
      <c r="R80" s="251"/>
      <c r="S80" s="251"/>
      <c r="T80" s="251"/>
      <c r="U80" s="251"/>
      <c r="V80" s="251"/>
      <c r="W80" s="251"/>
      <c r="X80" s="251"/>
      <c r="Y80" s="251"/>
      <c r="Z80" s="252"/>
    </row>
    <row r="81" spans="1:26" ht="78" customHeight="1">
      <c r="B81" s="238"/>
      <c r="C81" s="84" t="s">
        <v>136</v>
      </c>
      <c r="D81" s="225" t="s">
        <v>221</v>
      </c>
      <c r="E81" s="226"/>
      <c r="F81" s="226"/>
      <c r="G81" s="226"/>
      <c r="H81" s="226"/>
      <c r="I81" s="226"/>
      <c r="J81" s="226"/>
      <c r="K81" s="226"/>
      <c r="L81" s="226"/>
      <c r="M81" s="226"/>
      <c r="N81" s="226"/>
      <c r="O81" s="226"/>
      <c r="P81" s="226"/>
      <c r="Q81" s="226"/>
      <c r="R81" s="226"/>
      <c r="S81" s="226"/>
      <c r="T81" s="226"/>
      <c r="U81" s="226"/>
      <c r="V81" s="226"/>
      <c r="W81" s="226"/>
      <c r="X81" s="226"/>
      <c r="Y81" s="226"/>
      <c r="Z81" s="227"/>
    </row>
    <row r="82" spans="1:26" ht="78" customHeight="1">
      <c r="B82" s="256" t="s">
        <v>110</v>
      </c>
      <c r="C82" s="56" t="s">
        <v>126</v>
      </c>
      <c r="D82" s="228" t="s">
        <v>220</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c r="B83" s="239"/>
      <c r="C83" s="85" t="s">
        <v>127</v>
      </c>
      <c r="D83" s="233" t="s">
        <v>219</v>
      </c>
      <c r="E83" s="234"/>
      <c r="F83" s="234"/>
      <c r="G83" s="234"/>
      <c r="H83" s="234"/>
      <c r="I83" s="234"/>
      <c r="J83" s="234"/>
      <c r="K83" s="234"/>
      <c r="L83" s="234"/>
      <c r="M83" s="234"/>
      <c r="N83" s="234"/>
      <c r="O83" s="234"/>
      <c r="P83" s="234"/>
      <c r="Q83" s="234"/>
      <c r="R83" s="234"/>
      <c r="S83" s="234"/>
      <c r="T83" s="234"/>
      <c r="U83" s="234"/>
      <c r="V83" s="234"/>
      <c r="W83" s="234"/>
      <c r="X83" s="234"/>
      <c r="Y83" s="234"/>
      <c r="Z83" s="235"/>
    </row>
    <row r="84" spans="1:26" ht="66" customHeight="1">
      <c r="B84" s="256" t="s">
        <v>111</v>
      </c>
      <c r="C84" s="56" t="s">
        <v>129</v>
      </c>
      <c r="D84" s="236" t="s">
        <v>218</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c r="B85" s="239"/>
      <c r="C85" s="58" t="s">
        <v>130</v>
      </c>
      <c r="D85" s="230" t="s">
        <v>217</v>
      </c>
      <c r="E85" s="231"/>
      <c r="F85" s="231"/>
      <c r="G85" s="231"/>
      <c r="H85" s="231"/>
      <c r="I85" s="231"/>
      <c r="J85" s="231"/>
      <c r="K85" s="231"/>
      <c r="L85" s="231"/>
      <c r="M85" s="231"/>
      <c r="N85" s="231"/>
      <c r="O85" s="231"/>
      <c r="P85" s="231"/>
      <c r="Q85" s="231"/>
      <c r="R85" s="231"/>
      <c r="S85" s="231"/>
      <c r="T85" s="231"/>
      <c r="U85" s="231"/>
      <c r="V85" s="231"/>
      <c r="W85" s="231"/>
      <c r="X85" s="231"/>
      <c r="Y85" s="231"/>
      <c r="Z85" s="232"/>
    </row>
    <row r="86" spans="1:26" ht="66" customHeight="1">
      <c r="B86" s="237" t="s">
        <v>137</v>
      </c>
      <c r="C86" s="60" t="s">
        <v>106</v>
      </c>
      <c r="D86" s="250" t="s">
        <v>216</v>
      </c>
      <c r="E86" s="251"/>
      <c r="F86" s="251"/>
      <c r="G86" s="251"/>
      <c r="H86" s="251"/>
      <c r="I86" s="251"/>
      <c r="J86" s="251"/>
      <c r="K86" s="251"/>
      <c r="L86" s="251"/>
      <c r="M86" s="251"/>
      <c r="N86" s="251"/>
      <c r="O86" s="251"/>
      <c r="P86" s="251"/>
      <c r="Q86" s="251"/>
      <c r="R86" s="251"/>
      <c r="S86" s="251"/>
      <c r="T86" s="251"/>
      <c r="U86" s="251"/>
      <c r="V86" s="251"/>
      <c r="W86" s="251"/>
      <c r="X86" s="251"/>
      <c r="Y86" s="251"/>
      <c r="Z86" s="252"/>
    </row>
    <row r="87" spans="1:26" ht="66" customHeight="1">
      <c r="B87" s="246"/>
      <c r="C87" s="57" t="s">
        <v>108</v>
      </c>
      <c r="D87" s="253" t="s">
        <v>215</v>
      </c>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71.45" customHeight="1">
      <c r="B88" s="237" t="s">
        <v>138</v>
      </c>
      <c r="C88" s="56" t="s">
        <v>105</v>
      </c>
      <c r="D88" s="240" t="s">
        <v>214</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c r="B89" s="238"/>
      <c r="C89" s="57" t="s">
        <v>133</v>
      </c>
      <c r="D89" s="247" t="s">
        <v>213</v>
      </c>
      <c r="E89" s="248"/>
      <c r="F89" s="248"/>
      <c r="G89" s="248"/>
      <c r="H89" s="248"/>
      <c r="I89" s="248"/>
      <c r="J89" s="248"/>
      <c r="K89" s="248"/>
      <c r="L89" s="248"/>
      <c r="M89" s="248"/>
      <c r="N89" s="248"/>
      <c r="O89" s="248"/>
      <c r="P89" s="248"/>
      <c r="Q89" s="248"/>
      <c r="R89" s="248"/>
      <c r="S89" s="248"/>
      <c r="T89" s="248"/>
      <c r="U89" s="248"/>
      <c r="V89" s="248"/>
      <c r="W89" s="248"/>
      <c r="X89" s="248"/>
      <c r="Y89" s="248"/>
      <c r="Z89" s="249"/>
    </row>
    <row r="90" spans="1:26" ht="66" customHeight="1">
      <c r="B90" s="239"/>
      <c r="C90" s="58" t="s">
        <v>134</v>
      </c>
      <c r="D90" s="243" t="s">
        <v>212</v>
      </c>
      <c r="E90" s="244"/>
      <c r="F90" s="244"/>
      <c r="G90" s="244"/>
      <c r="H90" s="244"/>
      <c r="I90" s="244"/>
      <c r="J90" s="244"/>
      <c r="K90" s="244"/>
      <c r="L90" s="244"/>
      <c r="M90" s="244"/>
      <c r="N90" s="244"/>
      <c r="O90" s="244"/>
      <c r="P90" s="244"/>
      <c r="Q90" s="244"/>
      <c r="R90" s="244"/>
      <c r="S90" s="244"/>
      <c r="T90" s="244"/>
      <c r="U90" s="244"/>
      <c r="V90" s="244"/>
      <c r="W90" s="244"/>
      <c r="X90" s="244"/>
      <c r="Y90" s="244"/>
      <c r="Z90" s="245"/>
    </row>
    <row r="91" spans="1:26" ht="6" customHeight="1"/>
    <row r="92" spans="1:26" ht="18.75" customHeight="1">
      <c r="A92" s="12" t="s">
        <v>142</v>
      </c>
    </row>
    <row r="93" spans="1:26" ht="18.75" customHeight="1">
      <c r="B93" s="207" t="s">
        <v>189</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row r="97" spans="1:26" ht="15" customHeight="1">
      <c r="A97" s="12" t="s">
        <v>143</v>
      </c>
    </row>
    <row r="98" spans="1:26" ht="15" customHeight="1">
      <c r="B98" s="216" t="s">
        <v>231</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D89:Z89"/>
    <mergeCell ref="B73:F73"/>
    <mergeCell ref="G72:M72"/>
    <mergeCell ref="G73:M73"/>
    <mergeCell ref="N72:S72"/>
    <mergeCell ref="D86:Z86"/>
    <mergeCell ref="D87:Z87"/>
    <mergeCell ref="N73:S73"/>
    <mergeCell ref="T72:Z72"/>
    <mergeCell ref="T73:Z73"/>
    <mergeCell ref="B82:B83"/>
    <mergeCell ref="B84:B85"/>
    <mergeCell ref="B80:B81"/>
    <mergeCell ref="D79:Z79"/>
    <mergeCell ref="D80:Z80"/>
    <mergeCell ref="N75:S75"/>
    <mergeCell ref="T75:Z75"/>
    <mergeCell ref="T74:Z74"/>
    <mergeCell ref="B72:F72"/>
    <mergeCell ref="V26:X26"/>
    <mergeCell ref="V27:X27"/>
    <mergeCell ref="V28:X28"/>
    <mergeCell ref="I26:K26"/>
    <mergeCell ref="I27:K27"/>
    <mergeCell ref="I28:K28"/>
    <mergeCell ref="V32:X32"/>
    <mergeCell ref="N26:S26"/>
    <mergeCell ref="N27:S27"/>
    <mergeCell ref="N28:S28"/>
    <mergeCell ref="N29:S29"/>
    <mergeCell ref="N30:S30"/>
    <mergeCell ref="N31:S31"/>
    <mergeCell ref="N32:S32"/>
    <mergeCell ref="V39:X39"/>
    <mergeCell ref="I53:K53"/>
    <mergeCell ref="V53:X53"/>
    <mergeCell ref="I54:K54"/>
    <mergeCell ref="V54:X54"/>
    <mergeCell ref="I55:K55"/>
    <mergeCell ref="I33:K33"/>
    <mergeCell ref="H62:J62"/>
    <mergeCell ref="H63:J63"/>
    <mergeCell ref="U62:W62"/>
    <mergeCell ref="U63:W63"/>
    <mergeCell ref="V48:X48"/>
    <mergeCell ref="I49:K49"/>
    <mergeCell ref="V49:X49"/>
    <mergeCell ref="I51:K51"/>
    <mergeCell ref="V51:X51"/>
    <mergeCell ref="I40:K40"/>
    <mergeCell ref="I41:K41"/>
    <mergeCell ref="V40:X40"/>
    <mergeCell ref="A35:Z36"/>
    <mergeCell ref="U60:W60"/>
    <mergeCell ref="U61:W61"/>
    <mergeCell ref="V41:X41"/>
    <mergeCell ref="V33:X33"/>
    <mergeCell ref="V37:X37"/>
    <mergeCell ref="I38:K38"/>
    <mergeCell ref="V17:X17"/>
    <mergeCell ref="V20:X20"/>
    <mergeCell ref="V21:X21"/>
    <mergeCell ref="V22:X22"/>
    <mergeCell ref="I18:K18"/>
    <mergeCell ref="I19:K19"/>
    <mergeCell ref="V18:X18"/>
    <mergeCell ref="V19:X19"/>
    <mergeCell ref="N22:S22"/>
    <mergeCell ref="I20:K20"/>
    <mergeCell ref="A24:Z25"/>
    <mergeCell ref="I29:K29"/>
    <mergeCell ref="I30:K30"/>
    <mergeCell ref="V29:X29"/>
    <mergeCell ref="V30:X30"/>
    <mergeCell ref="B26:F26"/>
    <mergeCell ref="B27:F27"/>
    <mergeCell ref="B28:F28"/>
    <mergeCell ref="V38:X38"/>
    <mergeCell ref="V31:X31"/>
    <mergeCell ref="I31:K31"/>
    <mergeCell ref="I32:K32"/>
    <mergeCell ref="V50:X50"/>
    <mergeCell ref="B48:F48"/>
    <mergeCell ref="B49:F49"/>
    <mergeCell ref="B50:F50"/>
    <mergeCell ref="V43:X43"/>
    <mergeCell ref="I44:K44"/>
    <mergeCell ref="V44:X44"/>
    <mergeCell ref="I50:K50"/>
    <mergeCell ref="V42:X42"/>
    <mergeCell ref="I42:K42"/>
    <mergeCell ref="B93:Z95"/>
    <mergeCell ref="B98:Z98"/>
    <mergeCell ref="T76:Z76"/>
    <mergeCell ref="B71:F71"/>
    <mergeCell ref="G71:M71"/>
    <mergeCell ref="N71:S71"/>
    <mergeCell ref="T71:Z71"/>
    <mergeCell ref="B74:F74"/>
    <mergeCell ref="B76:F76"/>
    <mergeCell ref="G76:M76"/>
    <mergeCell ref="N76:S76"/>
    <mergeCell ref="G74:M74"/>
    <mergeCell ref="N74:S74"/>
    <mergeCell ref="D81:Z81"/>
    <mergeCell ref="D82:Z82"/>
    <mergeCell ref="D85:Z85"/>
    <mergeCell ref="D83:Z83"/>
    <mergeCell ref="D84:Z84"/>
    <mergeCell ref="B75:F75"/>
    <mergeCell ref="G75:M75"/>
    <mergeCell ref="B88:B90"/>
    <mergeCell ref="D88:Z88"/>
    <mergeCell ref="D90:Z90"/>
    <mergeCell ref="B86:B87"/>
    <mergeCell ref="B60:E60"/>
    <mergeCell ref="B61:E61"/>
    <mergeCell ref="B62:E62"/>
    <mergeCell ref="B63:E63"/>
    <mergeCell ref="B64:E64"/>
    <mergeCell ref="B65:E65"/>
    <mergeCell ref="B66:E66"/>
    <mergeCell ref="N60:R60"/>
    <mergeCell ref="H60:J60"/>
    <mergeCell ref="H61:J61"/>
    <mergeCell ref="N61:R61"/>
    <mergeCell ref="N62:R62"/>
    <mergeCell ref="N63:R63"/>
    <mergeCell ref="B69:F69"/>
    <mergeCell ref="G69:M69"/>
    <mergeCell ref="N69:S69"/>
    <mergeCell ref="U65:W65"/>
    <mergeCell ref="U66:W66"/>
    <mergeCell ref="U64:W64"/>
    <mergeCell ref="N70:S70"/>
    <mergeCell ref="T70:Z70"/>
    <mergeCell ref="T69:Z69"/>
    <mergeCell ref="B70:F70"/>
    <mergeCell ref="G70:M70"/>
    <mergeCell ref="H64:J64"/>
    <mergeCell ref="H65:J65"/>
    <mergeCell ref="H66:J66"/>
    <mergeCell ref="N64:R64"/>
    <mergeCell ref="N65:R65"/>
    <mergeCell ref="N66:R66"/>
    <mergeCell ref="N15:S15"/>
    <mergeCell ref="N16:S16"/>
    <mergeCell ref="N17:S17"/>
    <mergeCell ref="N18:S18"/>
    <mergeCell ref="N19:S19"/>
    <mergeCell ref="N20:S20"/>
    <mergeCell ref="N21:S21"/>
    <mergeCell ref="W1:Z1"/>
    <mergeCell ref="B15:F15"/>
    <mergeCell ref="B16:F16"/>
    <mergeCell ref="B17:F17"/>
    <mergeCell ref="B18:F18"/>
    <mergeCell ref="B19:F19"/>
    <mergeCell ref="I17:K17"/>
    <mergeCell ref="A2:Z2"/>
    <mergeCell ref="B6:Z11"/>
    <mergeCell ref="A13:Z14"/>
    <mergeCell ref="I15:K15"/>
    <mergeCell ref="I16:K16"/>
    <mergeCell ref="V15:X15"/>
    <mergeCell ref="V16:X16"/>
    <mergeCell ref="O4:Z4"/>
    <mergeCell ref="I21:K21"/>
    <mergeCell ref="I22:K22"/>
    <mergeCell ref="B29:F29"/>
    <mergeCell ref="B30:F30"/>
    <mergeCell ref="B31:F31"/>
    <mergeCell ref="B32:F32"/>
    <mergeCell ref="B20:F20"/>
    <mergeCell ref="B21:F21"/>
    <mergeCell ref="B22:F22"/>
    <mergeCell ref="B33:F33"/>
    <mergeCell ref="N33:S33"/>
    <mergeCell ref="B41:F41"/>
    <mergeCell ref="B42:F42"/>
    <mergeCell ref="B43:F43"/>
    <mergeCell ref="B44:F44"/>
    <mergeCell ref="N37:S37"/>
    <mergeCell ref="N38:S38"/>
    <mergeCell ref="N39:S39"/>
    <mergeCell ref="N40:S40"/>
    <mergeCell ref="N41:S41"/>
    <mergeCell ref="N42:S42"/>
    <mergeCell ref="B40:F40"/>
    <mergeCell ref="I37:K37"/>
    <mergeCell ref="B37:F37"/>
    <mergeCell ref="B38:F38"/>
    <mergeCell ref="B39:F39"/>
    <mergeCell ref="I39:K39"/>
    <mergeCell ref="N51:S51"/>
    <mergeCell ref="N52:S52"/>
    <mergeCell ref="N53:S53"/>
    <mergeCell ref="N54:S54"/>
    <mergeCell ref="N55:S55"/>
    <mergeCell ref="B59:E59"/>
    <mergeCell ref="N59:R59"/>
    <mergeCell ref="N43:S43"/>
    <mergeCell ref="N44:S44"/>
    <mergeCell ref="I43:K43"/>
    <mergeCell ref="N48:S48"/>
    <mergeCell ref="N49:S49"/>
    <mergeCell ref="N50:S50"/>
    <mergeCell ref="A46:Z47"/>
    <mergeCell ref="I48:K48"/>
    <mergeCell ref="B51:F51"/>
    <mergeCell ref="B52:F52"/>
    <mergeCell ref="B53:F53"/>
    <mergeCell ref="B54:F54"/>
    <mergeCell ref="B55:F55"/>
    <mergeCell ref="I52:K52"/>
    <mergeCell ref="V52:X52"/>
    <mergeCell ref="V55:X55"/>
    <mergeCell ref="A57:Z58"/>
  </mergeCells>
  <phoneticPr fontId="1"/>
  <dataValidations count="4">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CC907DDE-86DC-4E68-BFF5-E920A71A96A6}">
      <formula1>"全学開講,一部開講"</formula1>
    </dataValidation>
    <dataValidation type="list" allowBlank="1" showInputMessage="1" showErrorMessage="1" sqref="Y16:Z22 L16:M22 Y27:Z33 H27:H33 Y38:Z44 Y49:Z55 Y60:Z66 L60:M66 H16:H22 U16:U22 T60:T66 U27:U33 L27:M33 U38:U44 L38:M44 U49:U55 G60:G66 H38:H44 L49:M55 H49:H55 K60" xr:uid="{4C0986EB-3601-4249-85F7-B678A400A117}">
      <formula1>"○"</formula1>
    </dataValidation>
  </dataValidations>
  <hyperlinks>
    <hyperlink ref="B98" r:id="rId1" xr:uid="{8D2D105D-6365-4320-800C-BC916C7B4B26}"/>
  </hyperlinks>
  <printOptions horizontalCentered="1"/>
  <pageMargins left="0.78740157480314965" right="0.78740157480314965" top="0.6889763779527559" bottom="0.29527559055118113" header="0.31496062992125984" footer="0.31496062992125984"/>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F6670-C4BD-454C-8425-BC952E6146E1}">
  <dimension ref="A1:Z98"/>
  <sheetViews>
    <sheetView showZeros="0" zoomScaleNormal="100" zoomScaleSheetLayoutView="100" workbookViewId="0">
      <selection activeCell="H53" sqref="H53"/>
    </sheetView>
  </sheetViews>
  <sheetFormatPr defaultColWidth="9" defaultRowHeight="18.75" customHeight="1"/>
  <cols>
    <col min="1" max="1" width="2.5" style="12" customWidth="1"/>
    <col min="2" max="2" width="27.62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c r="W1" s="187" t="s">
        <v>197</v>
      </c>
      <c r="X1" s="187"/>
      <c r="Y1" s="187"/>
      <c r="Z1" s="187"/>
    </row>
    <row r="2" spans="1:26" ht="18" customHeight="1">
      <c r="A2" s="188" t="s">
        <v>67</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6" ht="15" customHeight="1">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c r="A4" s="12" t="s">
        <v>99</v>
      </c>
      <c r="B4" s="28"/>
      <c r="C4" s="28"/>
      <c r="D4" s="28"/>
      <c r="E4" s="28"/>
      <c r="F4" s="28"/>
      <c r="G4" s="28"/>
      <c r="H4" s="13" t="s">
        <v>112</v>
      </c>
      <c r="I4" s="28"/>
      <c r="J4" s="28"/>
      <c r="K4" s="28"/>
      <c r="L4" s="28"/>
      <c r="M4" s="28"/>
      <c r="N4" s="28"/>
      <c r="O4" s="158" t="s">
        <v>164</v>
      </c>
      <c r="P4" s="159"/>
      <c r="Q4" s="159"/>
      <c r="R4" s="159"/>
      <c r="S4" s="159"/>
      <c r="T4" s="159"/>
      <c r="U4" s="159"/>
      <c r="V4" s="159"/>
      <c r="W4" s="159"/>
      <c r="X4" s="159"/>
      <c r="Y4" s="159"/>
      <c r="Z4" s="160"/>
    </row>
    <row r="5" spans="1:26" ht="6" customHeight="1">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c r="B6" s="189" t="s">
        <v>181</v>
      </c>
      <c r="C6" s="190"/>
      <c r="D6" s="190"/>
      <c r="E6" s="190"/>
      <c r="F6" s="190"/>
      <c r="G6" s="190"/>
      <c r="H6" s="190"/>
      <c r="I6" s="190"/>
      <c r="J6" s="190"/>
      <c r="K6" s="190"/>
      <c r="L6" s="190"/>
      <c r="M6" s="190"/>
      <c r="N6" s="190"/>
      <c r="O6" s="190"/>
      <c r="P6" s="190"/>
      <c r="Q6" s="190"/>
      <c r="R6" s="190"/>
      <c r="S6" s="190"/>
      <c r="T6" s="190"/>
      <c r="U6" s="190"/>
      <c r="V6" s="190"/>
      <c r="W6" s="190"/>
      <c r="X6" s="190"/>
      <c r="Y6" s="190"/>
      <c r="Z6" s="191"/>
    </row>
    <row r="7" spans="1:26" ht="18" customHeight="1">
      <c r="B7" s="192"/>
      <c r="C7" s="193"/>
      <c r="D7" s="193"/>
      <c r="E7" s="193"/>
      <c r="F7" s="193"/>
      <c r="G7" s="193"/>
      <c r="H7" s="193"/>
      <c r="I7" s="193"/>
      <c r="J7" s="193"/>
      <c r="K7" s="193"/>
      <c r="L7" s="193"/>
      <c r="M7" s="193"/>
      <c r="N7" s="193"/>
      <c r="O7" s="193"/>
      <c r="P7" s="193"/>
      <c r="Q7" s="193"/>
      <c r="R7" s="193"/>
      <c r="S7" s="193"/>
      <c r="T7" s="193"/>
      <c r="U7" s="193"/>
      <c r="V7" s="193"/>
      <c r="W7" s="193"/>
      <c r="X7" s="193"/>
      <c r="Y7" s="193"/>
      <c r="Z7" s="194"/>
    </row>
    <row r="8" spans="1:26" ht="18" customHeight="1">
      <c r="B8" s="192"/>
      <c r="C8" s="193"/>
      <c r="D8" s="193"/>
      <c r="E8" s="193"/>
      <c r="F8" s="193"/>
      <c r="G8" s="193"/>
      <c r="H8" s="193"/>
      <c r="I8" s="193"/>
      <c r="J8" s="193"/>
      <c r="K8" s="193"/>
      <c r="L8" s="193"/>
      <c r="M8" s="193"/>
      <c r="N8" s="193"/>
      <c r="O8" s="193"/>
      <c r="P8" s="193"/>
      <c r="Q8" s="193"/>
      <c r="R8" s="193"/>
      <c r="S8" s="193"/>
      <c r="T8" s="193"/>
      <c r="U8" s="193"/>
      <c r="V8" s="193"/>
      <c r="W8" s="193"/>
      <c r="X8" s="193"/>
      <c r="Y8" s="193"/>
      <c r="Z8" s="194"/>
    </row>
    <row r="9" spans="1:26" ht="18" customHeight="1">
      <c r="B9" s="192"/>
      <c r="C9" s="193"/>
      <c r="D9" s="193"/>
      <c r="E9" s="193"/>
      <c r="F9" s="193"/>
      <c r="G9" s="193"/>
      <c r="H9" s="193"/>
      <c r="I9" s="193"/>
      <c r="J9" s="193"/>
      <c r="K9" s="193"/>
      <c r="L9" s="193"/>
      <c r="M9" s="193"/>
      <c r="N9" s="193"/>
      <c r="O9" s="193"/>
      <c r="P9" s="193"/>
      <c r="Q9" s="193"/>
      <c r="R9" s="193"/>
      <c r="S9" s="193"/>
      <c r="T9" s="193"/>
      <c r="U9" s="193"/>
      <c r="V9" s="193"/>
      <c r="W9" s="193"/>
      <c r="X9" s="193"/>
      <c r="Y9" s="193"/>
      <c r="Z9" s="194"/>
    </row>
    <row r="10" spans="1:26" ht="18" customHeight="1">
      <c r="B10" s="192"/>
      <c r="C10" s="193"/>
      <c r="D10" s="193"/>
      <c r="E10" s="193"/>
      <c r="F10" s="193"/>
      <c r="G10" s="193"/>
      <c r="H10" s="193"/>
      <c r="I10" s="193"/>
      <c r="J10" s="193"/>
      <c r="K10" s="193"/>
      <c r="L10" s="193"/>
      <c r="M10" s="193"/>
      <c r="N10" s="193"/>
      <c r="O10" s="193"/>
      <c r="P10" s="193"/>
      <c r="Q10" s="193"/>
      <c r="R10" s="193"/>
      <c r="S10" s="193"/>
      <c r="T10" s="193"/>
      <c r="U10" s="193"/>
      <c r="V10" s="193"/>
      <c r="W10" s="193"/>
      <c r="X10" s="193"/>
      <c r="Y10" s="193"/>
      <c r="Z10" s="194"/>
    </row>
    <row r="11" spans="1:26" ht="18" customHeight="1">
      <c r="B11" s="195"/>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7"/>
    </row>
    <row r="12" spans="1:26" ht="7.5" customHeight="1">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c r="A13" s="174" t="s">
        <v>124</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ht="18"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ht="18" customHeight="1">
      <c r="A15" s="13"/>
      <c r="B15" s="158" t="s">
        <v>100</v>
      </c>
      <c r="C15" s="159"/>
      <c r="D15" s="159"/>
      <c r="E15" s="159"/>
      <c r="F15" s="160"/>
      <c r="G15" s="29" t="s">
        <v>140</v>
      </c>
      <c r="H15" s="86" t="s">
        <v>139</v>
      </c>
      <c r="I15" s="159" t="s">
        <v>101</v>
      </c>
      <c r="J15" s="159"/>
      <c r="K15" s="159"/>
      <c r="L15" s="51" t="s">
        <v>104</v>
      </c>
      <c r="M15" s="51" t="s">
        <v>107</v>
      </c>
      <c r="N15" s="158" t="s">
        <v>100</v>
      </c>
      <c r="O15" s="159"/>
      <c r="P15" s="159"/>
      <c r="Q15" s="159"/>
      <c r="R15" s="159"/>
      <c r="S15" s="160"/>
      <c r="T15" s="29" t="s">
        <v>140</v>
      </c>
      <c r="U15" s="86" t="s">
        <v>139</v>
      </c>
      <c r="V15" s="159" t="s">
        <v>101</v>
      </c>
      <c r="W15" s="159"/>
      <c r="X15" s="159"/>
      <c r="Y15" s="51" t="s">
        <v>104</v>
      </c>
      <c r="Z15" s="51" t="s">
        <v>107</v>
      </c>
    </row>
    <row r="16" spans="1:26" ht="18" customHeight="1">
      <c r="A16" s="13"/>
      <c r="B16" s="184" t="s">
        <v>190</v>
      </c>
      <c r="C16" s="185"/>
      <c r="D16" s="185"/>
      <c r="E16" s="185"/>
      <c r="F16" s="186"/>
      <c r="G16" s="87">
        <v>2</v>
      </c>
      <c r="H16" s="87"/>
      <c r="I16" s="198" t="s">
        <v>191</v>
      </c>
      <c r="J16" s="199"/>
      <c r="K16" s="200"/>
      <c r="L16" s="87" t="s">
        <v>186</v>
      </c>
      <c r="M16" s="87"/>
      <c r="N16" s="171"/>
      <c r="O16" s="172"/>
      <c r="P16" s="172"/>
      <c r="Q16" s="172"/>
      <c r="R16" s="172"/>
      <c r="S16" s="173"/>
      <c r="T16" s="87"/>
      <c r="U16" s="87"/>
      <c r="V16" s="198"/>
      <c r="W16" s="199"/>
      <c r="X16" s="200"/>
      <c r="Y16" s="87"/>
      <c r="Z16" s="87"/>
    </row>
    <row r="17" spans="1:26" ht="18" customHeight="1">
      <c r="A17" s="13"/>
      <c r="B17" s="175" t="s">
        <v>187</v>
      </c>
      <c r="C17" s="176"/>
      <c r="D17" s="176"/>
      <c r="E17" s="176"/>
      <c r="F17" s="177"/>
      <c r="G17" s="88">
        <v>1</v>
      </c>
      <c r="H17" s="88"/>
      <c r="I17" s="168" t="s">
        <v>185</v>
      </c>
      <c r="J17" s="169"/>
      <c r="K17" s="170"/>
      <c r="L17" s="88" t="s">
        <v>186</v>
      </c>
      <c r="M17" s="88" t="s">
        <v>186</v>
      </c>
      <c r="N17" s="162"/>
      <c r="O17" s="163"/>
      <c r="P17" s="163"/>
      <c r="Q17" s="163"/>
      <c r="R17" s="163"/>
      <c r="S17" s="164"/>
      <c r="T17" s="88"/>
      <c r="U17" s="88"/>
      <c r="V17" s="168"/>
      <c r="W17" s="169"/>
      <c r="X17" s="170"/>
      <c r="Y17" s="88"/>
      <c r="Z17" s="88"/>
    </row>
    <row r="18" spans="1:26" ht="18" customHeight="1">
      <c r="A18" s="13"/>
      <c r="B18" s="175"/>
      <c r="C18" s="176"/>
      <c r="D18" s="176"/>
      <c r="E18" s="176"/>
      <c r="F18" s="177"/>
      <c r="G18" s="88"/>
      <c r="H18" s="88"/>
      <c r="I18" s="168"/>
      <c r="J18" s="169"/>
      <c r="K18" s="170"/>
      <c r="L18" s="88"/>
      <c r="M18" s="88"/>
      <c r="N18" s="162"/>
      <c r="O18" s="163"/>
      <c r="P18" s="163"/>
      <c r="Q18" s="163"/>
      <c r="R18" s="163"/>
      <c r="S18" s="164"/>
      <c r="T18" s="88"/>
      <c r="U18" s="88"/>
      <c r="V18" s="168"/>
      <c r="W18" s="169"/>
      <c r="X18" s="170"/>
      <c r="Y18" s="88"/>
      <c r="Z18" s="88"/>
    </row>
    <row r="19" spans="1:26" ht="18" customHeight="1">
      <c r="A19" s="13"/>
      <c r="B19" s="175"/>
      <c r="C19" s="176"/>
      <c r="D19" s="176"/>
      <c r="E19" s="176"/>
      <c r="F19" s="177"/>
      <c r="G19" s="88"/>
      <c r="H19" s="88"/>
      <c r="I19" s="168"/>
      <c r="J19" s="169"/>
      <c r="K19" s="170"/>
      <c r="L19" s="88"/>
      <c r="M19" s="88"/>
      <c r="N19" s="162"/>
      <c r="O19" s="163"/>
      <c r="P19" s="163"/>
      <c r="Q19" s="163"/>
      <c r="R19" s="163"/>
      <c r="S19" s="164"/>
      <c r="T19" s="88"/>
      <c r="U19" s="88"/>
      <c r="V19" s="168"/>
      <c r="W19" s="169"/>
      <c r="X19" s="170"/>
      <c r="Y19" s="88"/>
      <c r="Z19" s="88"/>
    </row>
    <row r="20" spans="1:26" ht="18" customHeight="1">
      <c r="A20" s="13"/>
      <c r="B20" s="175"/>
      <c r="C20" s="176"/>
      <c r="D20" s="176"/>
      <c r="E20" s="176"/>
      <c r="F20" s="177"/>
      <c r="G20" s="88"/>
      <c r="H20" s="88"/>
      <c r="I20" s="168"/>
      <c r="J20" s="169"/>
      <c r="K20" s="170"/>
      <c r="L20" s="88"/>
      <c r="M20" s="88"/>
      <c r="N20" s="162"/>
      <c r="O20" s="163"/>
      <c r="P20" s="163"/>
      <c r="Q20" s="163"/>
      <c r="R20" s="163"/>
      <c r="S20" s="164"/>
      <c r="T20" s="88"/>
      <c r="U20" s="88"/>
      <c r="V20" s="168"/>
      <c r="W20" s="169"/>
      <c r="X20" s="170"/>
      <c r="Y20" s="88"/>
      <c r="Z20" s="88"/>
    </row>
    <row r="21" spans="1:26" ht="18" customHeight="1">
      <c r="A21" s="28"/>
      <c r="B21" s="175"/>
      <c r="C21" s="176"/>
      <c r="D21" s="176"/>
      <c r="E21" s="176"/>
      <c r="F21" s="177"/>
      <c r="G21" s="88"/>
      <c r="H21" s="88"/>
      <c r="I21" s="168"/>
      <c r="J21" s="169"/>
      <c r="K21" s="170"/>
      <c r="L21" s="88"/>
      <c r="M21" s="88"/>
      <c r="N21" s="162"/>
      <c r="O21" s="163"/>
      <c r="P21" s="163"/>
      <c r="Q21" s="163"/>
      <c r="R21" s="163"/>
      <c r="S21" s="164"/>
      <c r="T21" s="88"/>
      <c r="U21" s="88"/>
      <c r="V21" s="168"/>
      <c r="W21" s="169"/>
      <c r="X21" s="170"/>
      <c r="Y21" s="88"/>
      <c r="Z21" s="88"/>
    </row>
    <row r="22" spans="1:26" ht="18" customHeight="1">
      <c r="A22" s="28"/>
      <c r="B22" s="178"/>
      <c r="C22" s="179"/>
      <c r="D22" s="179"/>
      <c r="E22" s="179"/>
      <c r="F22" s="180"/>
      <c r="G22" s="89"/>
      <c r="H22" s="89"/>
      <c r="I22" s="181"/>
      <c r="J22" s="182"/>
      <c r="K22" s="183"/>
      <c r="L22" s="91"/>
      <c r="M22" s="91"/>
      <c r="N22" s="165"/>
      <c r="O22" s="166"/>
      <c r="P22" s="166"/>
      <c r="Q22" s="166"/>
      <c r="R22" s="166"/>
      <c r="S22" s="167"/>
      <c r="T22" s="89"/>
      <c r="U22" s="89"/>
      <c r="V22" s="181"/>
      <c r="W22" s="182"/>
      <c r="X22" s="183"/>
      <c r="Y22" s="91"/>
      <c r="Z22" s="91"/>
    </row>
    <row r="23" spans="1:26" ht="7.5" customHeight="1">
      <c r="A23" s="28"/>
      <c r="B23" s="52"/>
      <c r="C23" s="52"/>
      <c r="D23" s="28"/>
      <c r="E23" s="28"/>
      <c r="F23" s="28"/>
      <c r="G23" s="28"/>
      <c r="H23" s="28"/>
      <c r="I23" s="28"/>
      <c r="J23" s="28"/>
      <c r="K23" s="28"/>
      <c r="L23" s="52"/>
      <c r="M23" s="52"/>
      <c r="N23" s="52"/>
      <c r="O23" s="52"/>
      <c r="P23" s="52"/>
      <c r="Q23" s="52"/>
      <c r="R23" s="52"/>
      <c r="S23" s="52"/>
      <c r="T23" s="52"/>
      <c r="U23" s="52"/>
      <c r="V23" s="52"/>
      <c r="W23" s="52"/>
      <c r="X23" s="52"/>
      <c r="Y23" s="52"/>
      <c r="Z23" s="28"/>
    </row>
    <row r="24" spans="1:26" ht="18" customHeight="1">
      <c r="A24" s="174" t="s">
        <v>125</v>
      </c>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ht="18" customHeight="1">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ht="18" customHeight="1">
      <c r="A26" s="13"/>
      <c r="B26" s="158" t="s">
        <v>100</v>
      </c>
      <c r="C26" s="159"/>
      <c r="D26" s="159"/>
      <c r="E26" s="159"/>
      <c r="F26" s="160"/>
      <c r="G26" s="29" t="s">
        <v>140</v>
      </c>
      <c r="H26" s="86" t="s">
        <v>139</v>
      </c>
      <c r="I26" s="159" t="s">
        <v>101</v>
      </c>
      <c r="J26" s="159"/>
      <c r="K26" s="159"/>
      <c r="L26" s="51" t="s">
        <v>126</v>
      </c>
      <c r="M26" s="51" t="s">
        <v>127</v>
      </c>
      <c r="N26" s="158" t="s">
        <v>100</v>
      </c>
      <c r="O26" s="159"/>
      <c r="P26" s="159"/>
      <c r="Q26" s="159"/>
      <c r="R26" s="159"/>
      <c r="S26" s="160"/>
      <c r="T26" s="29" t="s">
        <v>140</v>
      </c>
      <c r="U26" s="86" t="s">
        <v>139</v>
      </c>
      <c r="V26" s="159" t="s">
        <v>101</v>
      </c>
      <c r="W26" s="159"/>
      <c r="X26" s="159"/>
      <c r="Y26" s="51" t="s">
        <v>126</v>
      </c>
      <c r="Z26" s="51" t="s">
        <v>127</v>
      </c>
    </row>
    <row r="27" spans="1:26" ht="18" customHeight="1">
      <c r="A27" s="13"/>
      <c r="B27" s="184" t="s">
        <v>190</v>
      </c>
      <c r="C27" s="185"/>
      <c r="D27" s="185"/>
      <c r="E27" s="185"/>
      <c r="F27" s="186"/>
      <c r="G27" s="87">
        <v>2</v>
      </c>
      <c r="H27" s="87"/>
      <c r="I27" s="198" t="s">
        <v>191</v>
      </c>
      <c r="J27" s="199"/>
      <c r="K27" s="200"/>
      <c r="L27" s="87" t="s">
        <v>186</v>
      </c>
      <c r="M27" s="87"/>
      <c r="N27" s="171"/>
      <c r="O27" s="172"/>
      <c r="P27" s="172"/>
      <c r="Q27" s="172"/>
      <c r="R27" s="172"/>
      <c r="S27" s="173"/>
      <c r="T27" s="87"/>
      <c r="U27" s="87"/>
      <c r="V27" s="198"/>
      <c r="W27" s="199"/>
      <c r="X27" s="200"/>
      <c r="Y27" s="87"/>
      <c r="Z27" s="87"/>
    </row>
    <row r="28" spans="1:26" ht="18" customHeight="1">
      <c r="A28" s="13"/>
      <c r="B28" s="175" t="s">
        <v>187</v>
      </c>
      <c r="C28" s="176"/>
      <c r="D28" s="176"/>
      <c r="E28" s="176"/>
      <c r="F28" s="177"/>
      <c r="G28" s="88">
        <v>1</v>
      </c>
      <c r="H28" s="88"/>
      <c r="I28" s="168" t="s">
        <v>185</v>
      </c>
      <c r="J28" s="169"/>
      <c r="K28" s="170"/>
      <c r="L28" s="88"/>
      <c r="M28" s="88" t="s">
        <v>186</v>
      </c>
      <c r="N28" s="162"/>
      <c r="O28" s="163"/>
      <c r="P28" s="163"/>
      <c r="Q28" s="163"/>
      <c r="R28" s="163"/>
      <c r="S28" s="164"/>
      <c r="T28" s="88"/>
      <c r="U28" s="88"/>
      <c r="V28" s="168"/>
      <c r="W28" s="169"/>
      <c r="X28" s="170"/>
      <c r="Y28" s="88"/>
      <c r="Z28" s="88"/>
    </row>
    <row r="29" spans="1:26" ht="18" customHeight="1">
      <c r="A29" s="13"/>
      <c r="B29" s="175"/>
      <c r="C29" s="176"/>
      <c r="D29" s="176"/>
      <c r="E29" s="176"/>
      <c r="F29" s="177"/>
      <c r="G29" s="88"/>
      <c r="H29" s="88"/>
      <c r="I29" s="168"/>
      <c r="J29" s="169"/>
      <c r="K29" s="170"/>
      <c r="L29" s="88"/>
      <c r="M29" s="88"/>
      <c r="N29" s="162"/>
      <c r="O29" s="163"/>
      <c r="P29" s="163"/>
      <c r="Q29" s="163"/>
      <c r="R29" s="163"/>
      <c r="S29" s="164"/>
      <c r="T29" s="88"/>
      <c r="U29" s="88"/>
      <c r="V29" s="168"/>
      <c r="W29" s="169"/>
      <c r="X29" s="170"/>
      <c r="Y29" s="88"/>
      <c r="Z29" s="88"/>
    </row>
    <row r="30" spans="1:26" ht="18" customHeight="1">
      <c r="A30" s="13"/>
      <c r="B30" s="175"/>
      <c r="C30" s="176"/>
      <c r="D30" s="176"/>
      <c r="E30" s="176"/>
      <c r="F30" s="177"/>
      <c r="G30" s="88"/>
      <c r="H30" s="88"/>
      <c r="I30" s="168"/>
      <c r="J30" s="169"/>
      <c r="K30" s="170"/>
      <c r="L30" s="88"/>
      <c r="M30" s="88"/>
      <c r="N30" s="162"/>
      <c r="O30" s="163"/>
      <c r="P30" s="163"/>
      <c r="Q30" s="163"/>
      <c r="R30" s="163"/>
      <c r="S30" s="164"/>
      <c r="T30" s="88"/>
      <c r="U30" s="88"/>
      <c r="V30" s="168"/>
      <c r="W30" s="169"/>
      <c r="X30" s="170"/>
      <c r="Y30" s="88"/>
      <c r="Z30" s="88"/>
    </row>
    <row r="31" spans="1:26" ht="18" customHeight="1">
      <c r="A31" s="13"/>
      <c r="B31" s="175"/>
      <c r="C31" s="176"/>
      <c r="D31" s="176"/>
      <c r="E31" s="176"/>
      <c r="F31" s="177"/>
      <c r="G31" s="88"/>
      <c r="H31" s="88"/>
      <c r="I31" s="168"/>
      <c r="J31" s="169"/>
      <c r="K31" s="170"/>
      <c r="L31" s="88"/>
      <c r="M31" s="88"/>
      <c r="N31" s="162"/>
      <c r="O31" s="163"/>
      <c r="P31" s="163"/>
      <c r="Q31" s="163"/>
      <c r="R31" s="163"/>
      <c r="S31" s="164"/>
      <c r="T31" s="88"/>
      <c r="U31" s="88"/>
      <c r="V31" s="168"/>
      <c r="W31" s="169"/>
      <c r="X31" s="170"/>
      <c r="Y31" s="88"/>
      <c r="Z31" s="88"/>
    </row>
    <row r="32" spans="1:26" ht="18" customHeight="1">
      <c r="A32" s="13"/>
      <c r="B32" s="175"/>
      <c r="C32" s="176"/>
      <c r="D32" s="176"/>
      <c r="E32" s="176"/>
      <c r="F32" s="177"/>
      <c r="G32" s="88"/>
      <c r="H32" s="88"/>
      <c r="I32" s="168"/>
      <c r="J32" s="169"/>
      <c r="K32" s="170"/>
      <c r="L32" s="88"/>
      <c r="M32" s="88"/>
      <c r="N32" s="162"/>
      <c r="O32" s="163"/>
      <c r="P32" s="163"/>
      <c r="Q32" s="163"/>
      <c r="R32" s="163"/>
      <c r="S32" s="164"/>
      <c r="T32" s="88"/>
      <c r="U32" s="88"/>
      <c r="V32" s="168"/>
      <c r="W32" s="169"/>
      <c r="X32" s="170"/>
      <c r="Y32" s="88"/>
      <c r="Z32" s="88"/>
    </row>
    <row r="33" spans="1:26" ht="18" customHeight="1">
      <c r="A33" s="13"/>
      <c r="B33" s="178"/>
      <c r="C33" s="179"/>
      <c r="D33" s="179"/>
      <c r="E33" s="179"/>
      <c r="F33" s="180"/>
      <c r="G33" s="89"/>
      <c r="H33" s="89"/>
      <c r="I33" s="181"/>
      <c r="J33" s="182"/>
      <c r="K33" s="183"/>
      <c r="L33" s="91"/>
      <c r="M33" s="91"/>
      <c r="N33" s="165"/>
      <c r="O33" s="166"/>
      <c r="P33" s="166"/>
      <c r="Q33" s="166"/>
      <c r="R33" s="166"/>
      <c r="S33" s="167"/>
      <c r="T33" s="89"/>
      <c r="U33" s="89"/>
      <c r="V33" s="181"/>
      <c r="W33" s="182"/>
      <c r="X33" s="183"/>
      <c r="Y33" s="91"/>
      <c r="Z33" s="91"/>
    </row>
    <row r="34" spans="1:26" ht="7.5" customHeight="1">
      <c r="A34" s="28"/>
      <c r="B34" s="52"/>
      <c r="C34" s="52"/>
      <c r="D34" s="28"/>
      <c r="E34" s="28"/>
      <c r="F34" s="28"/>
      <c r="G34" s="28"/>
      <c r="H34" s="28"/>
      <c r="I34" s="28"/>
      <c r="J34" s="28"/>
      <c r="K34" s="28"/>
      <c r="L34" s="52"/>
      <c r="M34" s="52"/>
      <c r="N34" s="52"/>
      <c r="O34" s="52"/>
      <c r="P34" s="52"/>
      <c r="Q34" s="52"/>
      <c r="R34" s="52"/>
      <c r="S34" s="52"/>
      <c r="T34" s="52"/>
      <c r="U34" s="52"/>
      <c r="V34" s="52"/>
      <c r="W34" s="52"/>
      <c r="X34" s="52"/>
      <c r="Y34" s="52"/>
      <c r="Z34" s="28"/>
    </row>
    <row r="35" spans="1:26" ht="18" customHeight="1">
      <c r="A35" s="174" t="s">
        <v>128</v>
      </c>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ht="18"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ht="18" customHeight="1">
      <c r="A37" s="13"/>
      <c r="B37" s="158" t="s">
        <v>100</v>
      </c>
      <c r="C37" s="159"/>
      <c r="D37" s="159"/>
      <c r="E37" s="159"/>
      <c r="F37" s="160"/>
      <c r="G37" s="29" t="s">
        <v>140</v>
      </c>
      <c r="H37" s="86" t="s">
        <v>139</v>
      </c>
      <c r="I37" s="158" t="s">
        <v>101</v>
      </c>
      <c r="J37" s="159"/>
      <c r="K37" s="160"/>
      <c r="L37" s="51" t="s">
        <v>129</v>
      </c>
      <c r="M37" s="51" t="s">
        <v>130</v>
      </c>
      <c r="N37" s="158" t="s">
        <v>100</v>
      </c>
      <c r="O37" s="159"/>
      <c r="P37" s="159"/>
      <c r="Q37" s="159"/>
      <c r="R37" s="159"/>
      <c r="S37" s="160"/>
      <c r="T37" s="29" t="s">
        <v>140</v>
      </c>
      <c r="U37" s="86" t="s">
        <v>139</v>
      </c>
      <c r="V37" s="158" t="s">
        <v>101</v>
      </c>
      <c r="W37" s="159"/>
      <c r="X37" s="160"/>
      <c r="Y37" s="51" t="s">
        <v>129</v>
      </c>
      <c r="Z37" s="51" t="s">
        <v>130</v>
      </c>
    </row>
    <row r="38" spans="1:26" ht="18" customHeight="1">
      <c r="A38" s="28"/>
      <c r="B38" s="184" t="s">
        <v>188</v>
      </c>
      <c r="C38" s="185"/>
      <c r="D38" s="185"/>
      <c r="E38" s="185"/>
      <c r="F38" s="186"/>
      <c r="G38" s="87">
        <v>1</v>
      </c>
      <c r="H38" s="87"/>
      <c r="I38" s="198" t="s">
        <v>191</v>
      </c>
      <c r="J38" s="199"/>
      <c r="K38" s="200"/>
      <c r="L38" s="87" t="s">
        <v>186</v>
      </c>
      <c r="M38" s="87"/>
      <c r="N38" s="171"/>
      <c r="O38" s="172"/>
      <c r="P38" s="172"/>
      <c r="Q38" s="172"/>
      <c r="R38" s="172"/>
      <c r="S38" s="173"/>
      <c r="T38" s="87"/>
      <c r="U38" s="87"/>
      <c r="V38" s="198"/>
      <c r="W38" s="199"/>
      <c r="X38" s="200"/>
      <c r="Y38" s="87"/>
      <c r="Z38" s="87"/>
    </row>
    <row r="39" spans="1:26" ht="18" customHeight="1">
      <c r="A39" s="28"/>
      <c r="B39" s="175" t="s">
        <v>187</v>
      </c>
      <c r="C39" s="176"/>
      <c r="D39" s="176"/>
      <c r="E39" s="176"/>
      <c r="F39" s="177"/>
      <c r="G39" s="88">
        <v>1</v>
      </c>
      <c r="H39" s="88"/>
      <c r="I39" s="168" t="s">
        <v>185</v>
      </c>
      <c r="J39" s="169"/>
      <c r="K39" s="170"/>
      <c r="L39" s="88"/>
      <c r="M39" s="88" t="s">
        <v>186</v>
      </c>
      <c r="N39" s="162"/>
      <c r="O39" s="163"/>
      <c r="P39" s="163"/>
      <c r="Q39" s="163"/>
      <c r="R39" s="163"/>
      <c r="S39" s="164"/>
      <c r="T39" s="88"/>
      <c r="U39" s="88"/>
      <c r="V39" s="168"/>
      <c r="W39" s="169"/>
      <c r="X39" s="170"/>
      <c r="Y39" s="88"/>
      <c r="Z39" s="88"/>
    </row>
    <row r="40" spans="1:26" ht="18" customHeight="1">
      <c r="A40" s="28"/>
      <c r="B40" s="175"/>
      <c r="C40" s="176"/>
      <c r="D40" s="176"/>
      <c r="E40" s="176"/>
      <c r="F40" s="177"/>
      <c r="G40" s="88"/>
      <c r="H40" s="88"/>
      <c r="I40" s="168"/>
      <c r="J40" s="169"/>
      <c r="K40" s="170"/>
      <c r="L40" s="88"/>
      <c r="M40" s="88"/>
      <c r="N40" s="162"/>
      <c r="O40" s="163"/>
      <c r="P40" s="163"/>
      <c r="Q40" s="163"/>
      <c r="R40" s="163"/>
      <c r="S40" s="164"/>
      <c r="T40" s="88"/>
      <c r="U40" s="88"/>
      <c r="V40" s="168"/>
      <c r="W40" s="169"/>
      <c r="X40" s="170"/>
      <c r="Y40" s="88"/>
      <c r="Z40" s="88"/>
    </row>
    <row r="41" spans="1:26" ht="18" customHeight="1">
      <c r="A41" s="28"/>
      <c r="B41" s="175"/>
      <c r="C41" s="176"/>
      <c r="D41" s="176"/>
      <c r="E41" s="176"/>
      <c r="F41" s="177"/>
      <c r="G41" s="88"/>
      <c r="H41" s="88"/>
      <c r="I41" s="168"/>
      <c r="J41" s="169"/>
      <c r="K41" s="170"/>
      <c r="L41" s="88"/>
      <c r="M41" s="88"/>
      <c r="N41" s="162"/>
      <c r="O41" s="163"/>
      <c r="P41" s="163"/>
      <c r="Q41" s="163"/>
      <c r="R41" s="163"/>
      <c r="S41" s="164"/>
      <c r="T41" s="88"/>
      <c r="U41" s="88"/>
      <c r="V41" s="168"/>
      <c r="W41" s="169"/>
      <c r="X41" s="170"/>
      <c r="Y41" s="88"/>
      <c r="Z41" s="88"/>
    </row>
    <row r="42" spans="1:26" ht="18" customHeight="1">
      <c r="A42" s="28"/>
      <c r="B42" s="175"/>
      <c r="C42" s="176"/>
      <c r="D42" s="176"/>
      <c r="E42" s="176"/>
      <c r="F42" s="177"/>
      <c r="G42" s="88"/>
      <c r="H42" s="88"/>
      <c r="I42" s="168"/>
      <c r="J42" s="169"/>
      <c r="K42" s="170"/>
      <c r="L42" s="88"/>
      <c r="M42" s="88"/>
      <c r="N42" s="162"/>
      <c r="O42" s="163"/>
      <c r="P42" s="163"/>
      <c r="Q42" s="163"/>
      <c r="R42" s="163"/>
      <c r="S42" s="164"/>
      <c r="T42" s="88"/>
      <c r="U42" s="88"/>
      <c r="V42" s="168"/>
      <c r="W42" s="169"/>
      <c r="X42" s="170"/>
      <c r="Y42" s="88"/>
      <c r="Z42" s="88"/>
    </row>
    <row r="43" spans="1:26" ht="18" customHeight="1">
      <c r="A43" s="28"/>
      <c r="B43" s="175"/>
      <c r="C43" s="176"/>
      <c r="D43" s="176"/>
      <c r="E43" s="176"/>
      <c r="F43" s="177"/>
      <c r="G43" s="88"/>
      <c r="H43" s="88"/>
      <c r="I43" s="168"/>
      <c r="J43" s="169"/>
      <c r="K43" s="170"/>
      <c r="L43" s="88"/>
      <c r="M43" s="88"/>
      <c r="N43" s="162"/>
      <c r="O43" s="163"/>
      <c r="P43" s="163"/>
      <c r="Q43" s="163"/>
      <c r="R43" s="163"/>
      <c r="S43" s="164"/>
      <c r="T43" s="88"/>
      <c r="U43" s="88"/>
      <c r="V43" s="168"/>
      <c r="W43" s="169"/>
      <c r="X43" s="170"/>
      <c r="Y43" s="88"/>
      <c r="Z43" s="88"/>
    </row>
    <row r="44" spans="1:26" ht="18" customHeight="1">
      <c r="A44" s="28"/>
      <c r="B44" s="178"/>
      <c r="C44" s="179"/>
      <c r="D44" s="179"/>
      <c r="E44" s="179"/>
      <c r="F44" s="180"/>
      <c r="G44" s="89"/>
      <c r="H44" s="89"/>
      <c r="I44" s="181"/>
      <c r="J44" s="182"/>
      <c r="K44" s="183"/>
      <c r="L44" s="91"/>
      <c r="M44" s="91"/>
      <c r="N44" s="165"/>
      <c r="O44" s="166"/>
      <c r="P44" s="166"/>
      <c r="Q44" s="166"/>
      <c r="R44" s="166"/>
      <c r="S44" s="167"/>
      <c r="T44" s="89"/>
      <c r="U44" s="89"/>
      <c r="V44" s="181"/>
      <c r="W44" s="182"/>
      <c r="X44" s="183"/>
      <c r="Y44" s="91"/>
      <c r="Z44" s="91"/>
    </row>
    <row r="45" spans="1:26" ht="7.5" customHeight="1">
      <c r="B45" s="53"/>
      <c r="C45" s="53"/>
      <c r="D45" s="53"/>
      <c r="E45" s="53"/>
      <c r="F45" s="53"/>
      <c r="G45" s="53"/>
      <c r="H45" s="53"/>
      <c r="I45" s="53"/>
      <c r="J45" s="53"/>
      <c r="K45" s="53"/>
      <c r="L45" s="53"/>
      <c r="M45" s="53"/>
      <c r="N45" s="53"/>
      <c r="O45" s="53"/>
      <c r="P45" s="53"/>
      <c r="Q45" s="53"/>
      <c r="R45" s="53"/>
      <c r="S45" s="53"/>
      <c r="T45" s="53"/>
      <c r="U45" s="53"/>
      <c r="V45" s="53"/>
      <c r="W45" s="53"/>
      <c r="X45" s="53"/>
      <c r="Y45" s="53"/>
    </row>
    <row r="46" spans="1:26" ht="18" customHeight="1">
      <c r="A46" s="174" t="s">
        <v>131</v>
      </c>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ht="18" customHeight="1">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ht="18" customHeight="1">
      <c r="A48" s="13"/>
      <c r="B48" s="158" t="s">
        <v>100</v>
      </c>
      <c r="C48" s="159"/>
      <c r="D48" s="159"/>
      <c r="E48" s="159"/>
      <c r="F48" s="160"/>
      <c r="G48" s="29" t="s">
        <v>140</v>
      </c>
      <c r="H48" s="86" t="s">
        <v>139</v>
      </c>
      <c r="I48" s="158" t="s">
        <v>101</v>
      </c>
      <c r="J48" s="159"/>
      <c r="K48" s="160"/>
      <c r="L48" s="51" t="s">
        <v>106</v>
      </c>
      <c r="M48" s="51" t="s">
        <v>108</v>
      </c>
      <c r="N48" s="158" t="s">
        <v>100</v>
      </c>
      <c r="O48" s="159"/>
      <c r="P48" s="159"/>
      <c r="Q48" s="159"/>
      <c r="R48" s="159"/>
      <c r="S48" s="160"/>
      <c r="T48" s="29" t="s">
        <v>140</v>
      </c>
      <c r="U48" s="86" t="s">
        <v>139</v>
      </c>
      <c r="V48" s="158" t="s">
        <v>101</v>
      </c>
      <c r="W48" s="159"/>
      <c r="X48" s="160"/>
      <c r="Y48" s="51" t="s">
        <v>106</v>
      </c>
      <c r="Z48" s="51" t="s">
        <v>108</v>
      </c>
    </row>
    <row r="49" spans="1:26" ht="18" customHeight="1">
      <c r="A49" s="28"/>
      <c r="B49" s="184" t="s">
        <v>190</v>
      </c>
      <c r="C49" s="185"/>
      <c r="D49" s="185"/>
      <c r="E49" s="185"/>
      <c r="F49" s="186"/>
      <c r="G49" s="87">
        <v>2</v>
      </c>
      <c r="H49" s="87"/>
      <c r="I49" s="198" t="s">
        <v>191</v>
      </c>
      <c r="J49" s="199"/>
      <c r="K49" s="200"/>
      <c r="L49" s="87"/>
      <c r="M49" s="87" t="s">
        <v>186</v>
      </c>
      <c r="N49" s="171"/>
      <c r="O49" s="172"/>
      <c r="P49" s="172"/>
      <c r="Q49" s="172"/>
      <c r="R49" s="172"/>
      <c r="S49" s="173"/>
      <c r="T49" s="87"/>
      <c r="U49" s="87"/>
      <c r="V49" s="198"/>
      <c r="W49" s="199"/>
      <c r="X49" s="200"/>
      <c r="Y49" s="87"/>
      <c r="Z49" s="87"/>
    </row>
    <row r="50" spans="1:26" ht="18" customHeight="1">
      <c r="A50" s="28"/>
      <c r="B50" s="175" t="s">
        <v>188</v>
      </c>
      <c r="C50" s="176"/>
      <c r="D50" s="176"/>
      <c r="E50" s="176"/>
      <c r="F50" s="177"/>
      <c r="G50" s="88">
        <v>1</v>
      </c>
      <c r="H50" s="88"/>
      <c r="I50" s="168" t="s">
        <v>191</v>
      </c>
      <c r="J50" s="169"/>
      <c r="K50" s="170"/>
      <c r="L50" s="88" t="s">
        <v>186</v>
      </c>
      <c r="M50" s="88"/>
      <c r="N50" s="162"/>
      <c r="O50" s="163"/>
      <c r="P50" s="163"/>
      <c r="Q50" s="163"/>
      <c r="R50" s="163"/>
      <c r="S50" s="164"/>
      <c r="T50" s="88"/>
      <c r="U50" s="88"/>
      <c r="V50" s="168"/>
      <c r="W50" s="169"/>
      <c r="X50" s="170"/>
      <c r="Y50" s="88"/>
      <c r="Z50" s="88"/>
    </row>
    <row r="51" spans="1:26" ht="18" customHeight="1">
      <c r="A51" s="28"/>
      <c r="B51" s="175" t="s">
        <v>187</v>
      </c>
      <c r="C51" s="176"/>
      <c r="D51" s="176"/>
      <c r="E51" s="176"/>
      <c r="F51" s="177"/>
      <c r="G51" s="88">
        <v>1</v>
      </c>
      <c r="H51" s="88"/>
      <c r="I51" s="168" t="s">
        <v>185</v>
      </c>
      <c r="J51" s="169"/>
      <c r="K51" s="170"/>
      <c r="L51" s="88" t="s">
        <v>186</v>
      </c>
      <c r="M51" s="88" t="s">
        <v>186</v>
      </c>
      <c r="N51" s="162"/>
      <c r="O51" s="163"/>
      <c r="P51" s="163"/>
      <c r="Q51" s="163"/>
      <c r="R51" s="163"/>
      <c r="S51" s="164"/>
      <c r="T51" s="88"/>
      <c r="U51" s="88"/>
      <c r="V51" s="168"/>
      <c r="W51" s="169"/>
      <c r="X51" s="170"/>
      <c r="Y51" s="88"/>
      <c r="Z51" s="88"/>
    </row>
    <row r="52" spans="1:26" ht="18" customHeight="1">
      <c r="A52" s="28"/>
      <c r="B52" s="175"/>
      <c r="C52" s="176"/>
      <c r="D52" s="176"/>
      <c r="E52" s="176"/>
      <c r="F52" s="177"/>
      <c r="G52" s="88"/>
      <c r="H52" s="88"/>
      <c r="I52" s="168"/>
      <c r="J52" s="169"/>
      <c r="K52" s="170"/>
      <c r="L52" s="88"/>
      <c r="M52" s="88"/>
      <c r="N52" s="162"/>
      <c r="O52" s="163"/>
      <c r="P52" s="163"/>
      <c r="Q52" s="163"/>
      <c r="R52" s="163"/>
      <c r="S52" s="164"/>
      <c r="T52" s="88"/>
      <c r="U52" s="88"/>
      <c r="V52" s="168"/>
      <c r="W52" s="169"/>
      <c r="X52" s="170"/>
      <c r="Y52" s="88"/>
      <c r="Z52" s="88"/>
    </row>
    <row r="53" spans="1:26" ht="18" customHeight="1">
      <c r="A53" s="28"/>
      <c r="B53" s="175"/>
      <c r="C53" s="176"/>
      <c r="D53" s="176"/>
      <c r="E53" s="176"/>
      <c r="F53" s="177"/>
      <c r="G53" s="88"/>
      <c r="H53" s="88"/>
      <c r="I53" s="168"/>
      <c r="J53" s="169"/>
      <c r="K53" s="170"/>
      <c r="L53" s="88"/>
      <c r="M53" s="88"/>
      <c r="N53" s="162"/>
      <c r="O53" s="163"/>
      <c r="P53" s="163"/>
      <c r="Q53" s="163"/>
      <c r="R53" s="163"/>
      <c r="S53" s="164"/>
      <c r="T53" s="88"/>
      <c r="U53" s="88"/>
      <c r="V53" s="168"/>
      <c r="W53" s="169"/>
      <c r="X53" s="170"/>
      <c r="Y53" s="88"/>
      <c r="Z53" s="88"/>
    </row>
    <row r="54" spans="1:26" ht="18" customHeight="1">
      <c r="A54" s="28"/>
      <c r="B54" s="175"/>
      <c r="C54" s="176"/>
      <c r="D54" s="176"/>
      <c r="E54" s="176"/>
      <c r="F54" s="177"/>
      <c r="G54" s="88"/>
      <c r="H54" s="88"/>
      <c r="I54" s="168"/>
      <c r="J54" s="169"/>
      <c r="K54" s="170"/>
      <c r="L54" s="88"/>
      <c r="M54" s="88"/>
      <c r="N54" s="162"/>
      <c r="O54" s="163"/>
      <c r="P54" s="163"/>
      <c r="Q54" s="163"/>
      <c r="R54" s="163"/>
      <c r="S54" s="164"/>
      <c r="T54" s="88"/>
      <c r="U54" s="88"/>
      <c r="V54" s="168"/>
      <c r="W54" s="169"/>
      <c r="X54" s="170"/>
      <c r="Y54" s="88"/>
      <c r="Z54" s="88"/>
    </row>
    <row r="55" spans="1:26" ht="18" customHeight="1">
      <c r="A55" s="28"/>
      <c r="B55" s="178"/>
      <c r="C55" s="179"/>
      <c r="D55" s="179"/>
      <c r="E55" s="179"/>
      <c r="F55" s="180"/>
      <c r="G55" s="89"/>
      <c r="H55" s="89"/>
      <c r="I55" s="181"/>
      <c r="J55" s="182"/>
      <c r="K55" s="183"/>
      <c r="L55" s="91"/>
      <c r="M55" s="91"/>
      <c r="N55" s="165"/>
      <c r="O55" s="166"/>
      <c r="P55" s="166"/>
      <c r="Q55" s="166"/>
      <c r="R55" s="166"/>
      <c r="S55" s="167"/>
      <c r="T55" s="89"/>
      <c r="U55" s="89"/>
      <c r="V55" s="181"/>
      <c r="W55" s="182"/>
      <c r="X55" s="183"/>
      <c r="Y55" s="91"/>
      <c r="Z55" s="91"/>
    </row>
    <row r="56" spans="1:26" ht="7.5" customHeight="1">
      <c r="B56" s="53"/>
      <c r="C56" s="53"/>
      <c r="D56" s="53"/>
      <c r="E56" s="53"/>
      <c r="F56" s="53"/>
      <c r="G56" s="53"/>
      <c r="H56" s="53"/>
      <c r="I56" s="53"/>
      <c r="J56" s="53"/>
      <c r="K56" s="53"/>
      <c r="L56" s="53"/>
      <c r="M56" s="53"/>
      <c r="N56" s="53"/>
      <c r="O56" s="53"/>
      <c r="P56" s="53"/>
      <c r="Q56" s="53"/>
      <c r="R56" s="53"/>
      <c r="S56" s="53"/>
      <c r="T56" s="53"/>
      <c r="U56" s="53"/>
      <c r="V56" s="53"/>
      <c r="W56" s="53"/>
      <c r="X56" s="53"/>
      <c r="Y56" s="53"/>
    </row>
    <row r="57" spans="1:26" ht="18" customHeight="1">
      <c r="A57" s="174" t="s">
        <v>132</v>
      </c>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ht="18" customHeight="1">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ht="18" customHeight="1">
      <c r="A59" s="13"/>
      <c r="B59" s="158" t="s">
        <v>100</v>
      </c>
      <c r="C59" s="159"/>
      <c r="D59" s="159"/>
      <c r="E59" s="160"/>
      <c r="F59" s="29" t="s">
        <v>140</v>
      </c>
      <c r="G59" s="86" t="s">
        <v>139</v>
      </c>
      <c r="H59" s="25" t="s">
        <v>101</v>
      </c>
      <c r="I59" s="113"/>
      <c r="J59" s="26"/>
      <c r="K59" s="51" t="s">
        <v>105</v>
      </c>
      <c r="L59" s="51" t="s">
        <v>133</v>
      </c>
      <c r="M59" s="51" t="s">
        <v>134</v>
      </c>
      <c r="N59" s="158" t="s">
        <v>100</v>
      </c>
      <c r="O59" s="159"/>
      <c r="P59" s="159"/>
      <c r="Q59" s="159"/>
      <c r="R59" s="160"/>
      <c r="S59" s="29" t="s">
        <v>140</v>
      </c>
      <c r="T59" s="86" t="s">
        <v>139</v>
      </c>
      <c r="U59" s="25" t="s">
        <v>101</v>
      </c>
      <c r="V59" s="113"/>
      <c r="W59" s="26"/>
      <c r="X59" s="51" t="s">
        <v>105</v>
      </c>
      <c r="Y59" s="51" t="s">
        <v>133</v>
      </c>
      <c r="Z59" s="51" t="s">
        <v>134</v>
      </c>
    </row>
    <row r="60" spans="1:26" ht="18" customHeight="1">
      <c r="A60" s="28"/>
      <c r="B60" s="171" t="s">
        <v>188</v>
      </c>
      <c r="C60" s="172"/>
      <c r="D60" s="172"/>
      <c r="E60" s="173"/>
      <c r="F60" s="87">
        <v>1</v>
      </c>
      <c r="G60" s="87"/>
      <c r="H60" s="198" t="s">
        <v>191</v>
      </c>
      <c r="I60" s="199"/>
      <c r="J60" s="200"/>
      <c r="K60" s="87" t="s">
        <v>186</v>
      </c>
      <c r="L60" s="87" t="s">
        <v>186</v>
      </c>
      <c r="M60" s="87" t="s">
        <v>186</v>
      </c>
      <c r="N60" s="171"/>
      <c r="O60" s="172"/>
      <c r="P60" s="172"/>
      <c r="Q60" s="172"/>
      <c r="R60" s="173"/>
      <c r="S60" s="87"/>
      <c r="T60" s="87"/>
      <c r="U60" s="198"/>
      <c r="V60" s="199"/>
      <c r="W60" s="200"/>
      <c r="X60" s="107"/>
      <c r="Y60" s="87"/>
      <c r="Z60" s="87"/>
    </row>
    <row r="61" spans="1:26" ht="18" customHeight="1">
      <c r="A61" s="28"/>
      <c r="B61" s="162"/>
      <c r="C61" s="163"/>
      <c r="D61" s="163"/>
      <c r="E61" s="164"/>
      <c r="F61" s="88"/>
      <c r="G61" s="88"/>
      <c r="H61" s="168"/>
      <c r="I61" s="169"/>
      <c r="J61" s="170"/>
      <c r="K61" s="108"/>
      <c r="L61" s="88"/>
      <c r="M61" s="88"/>
      <c r="N61" s="162"/>
      <c r="O61" s="163"/>
      <c r="P61" s="163"/>
      <c r="Q61" s="163"/>
      <c r="R61" s="164"/>
      <c r="S61" s="88"/>
      <c r="T61" s="88"/>
      <c r="U61" s="168"/>
      <c r="V61" s="169"/>
      <c r="W61" s="170"/>
      <c r="X61" s="108"/>
      <c r="Y61" s="88"/>
      <c r="Z61" s="88"/>
    </row>
    <row r="62" spans="1:26" ht="18" customHeight="1">
      <c r="A62" s="28"/>
      <c r="B62" s="162"/>
      <c r="C62" s="163"/>
      <c r="D62" s="163"/>
      <c r="E62" s="164"/>
      <c r="F62" s="88"/>
      <c r="G62" s="88"/>
      <c r="H62" s="168"/>
      <c r="I62" s="169"/>
      <c r="J62" s="170"/>
      <c r="K62" s="108"/>
      <c r="L62" s="88"/>
      <c r="M62" s="88"/>
      <c r="N62" s="162"/>
      <c r="O62" s="163"/>
      <c r="P62" s="163"/>
      <c r="Q62" s="163"/>
      <c r="R62" s="164"/>
      <c r="S62" s="88"/>
      <c r="T62" s="88"/>
      <c r="U62" s="168"/>
      <c r="V62" s="169"/>
      <c r="W62" s="170"/>
      <c r="X62" s="108"/>
      <c r="Y62" s="88"/>
      <c r="Z62" s="88"/>
    </row>
    <row r="63" spans="1:26" ht="18" customHeight="1">
      <c r="A63" s="28"/>
      <c r="B63" s="162"/>
      <c r="C63" s="163"/>
      <c r="D63" s="163"/>
      <c r="E63" s="164"/>
      <c r="F63" s="88"/>
      <c r="G63" s="88"/>
      <c r="H63" s="168"/>
      <c r="I63" s="169"/>
      <c r="J63" s="170"/>
      <c r="K63" s="108"/>
      <c r="L63" s="88"/>
      <c r="M63" s="88"/>
      <c r="N63" s="162"/>
      <c r="O63" s="163"/>
      <c r="P63" s="163"/>
      <c r="Q63" s="163"/>
      <c r="R63" s="164"/>
      <c r="S63" s="88"/>
      <c r="T63" s="88"/>
      <c r="U63" s="168"/>
      <c r="V63" s="169"/>
      <c r="W63" s="170"/>
      <c r="X63" s="108"/>
      <c r="Y63" s="88"/>
      <c r="Z63" s="88"/>
    </row>
    <row r="64" spans="1:26" ht="18" customHeight="1">
      <c r="A64" s="28"/>
      <c r="B64" s="162"/>
      <c r="C64" s="163"/>
      <c r="D64" s="163"/>
      <c r="E64" s="164"/>
      <c r="F64" s="88"/>
      <c r="G64" s="88"/>
      <c r="H64" s="168"/>
      <c r="I64" s="169"/>
      <c r="J64" s="170"/>
      <c r="K64" s="108"/>
      <c r="L64" s="88"/>
      <c r="M64" s="88"/>
      <c r="N64" s="162"/>
      <c r="O64" s="163"/>
      <c r="P64" s="163"/>
      <c r="Q64" s="163"/>
      <c r="R64" s="164"/>
      <c r="S64" s="88"/>
      <c r="T64" s="88"/>
      <c r="U64" s="168"/>
      <c r="V64" s="169"/>
      <c r="W64" s="170"/>
      <c r="X64" s="108"/>
      <c r="Y64" s="88"/>
      <c r="Z64" s="88"/>
    </row>
    <row r="65" spans="1:26" ht="18" customHeight="1">
      <c r="A65" s="28"/>
      <c r="B65" s="162"/>
      <c r="C65" s="163"/>
      <c r="D65" s="163"/>
      <c r="E65" s="164"/>
      <c r="F65" s="88"/>
      <c r="G65" s="88"/>
      <c r="H65" s="168"/>
      <c r="I65" s="169"/>
      <c r="J65" s="170"/>
      <c r="K65" s="108"/>
      <c r="L65" s="88"/>
      <c r="M65" s="88"/>
      <c r="N65" s="162"/>
      <c r="O65" s="163"/>
      <c r="P65" s="163"/>
      <c r="Q65" s="163"/>
      <c r="R65" s="164"/>
      <c r="S65" s="88"/>
      <c r="T65" s="88"/>
      <c r="U65" s="168"/>
      <c r="V65" s="169"/>
      <c r="W65" s="170"/>
      <c r="X65" s="108"/>
      <c r="Y65" s="88"/>
      <c r="Z65" s="88"/>
    </row>
    <row r="66" spans="1:26" ht="18" customHeight="1">
      <c r="A66" s="28"/>
      <c r="B66" s="165"/>
      <c r="C66" s="166"/>
      <c r="D66" s="166"/>
      <c r="E66" s="167"/>
      <c r="F66" s="89"/>
      <c r="G66" s="89"/>
      <c r="H66" s="181"/>
      <c r="I66" s="182"/>
      <c r="J66" s="183"/>
      <c r="K66" s="109"/>
      <c r="L66" s="91"/>
      <c r="M66" s="91"/>
      <c r="N66" s="165"/>
      <c r="O66" s="166"/>
      <c r="P66" s="166"/>
      <c r="Q66" s="166"/>
      <c r="R66" s="167"/>
      <c r="S66" s="89"/>
      <c r="T66" s="89"/>
      <c r="U66" s="181"/>
      <c r="V66" s="182"/>
      <c r="W66" s="183"/>
      <c r="X66" s="109"/>
      <c r="Y66" s="91"/>
      <c r="Z66" s="91"/>
    </row>
    <row r="67" spans="1:26" ht="7.5" customHeight="1">
      <c r="B67" s="53"/>
      <c r="C67" s="53"/>
      <c r="D67" s="53"/>
      <c r="E67" s="53"/>
      <c r="F67" s="53"/>
      <c r="G67" s="53"/>
      <c r="H67" s="53"/>
      <c r="I67" s="53"/>
      <c r="J67" s="53"/>
      <c r="K67" s="53"/>
      <c r="L67" s="53"/>
      <c r="M67" s="53"/>
      <c r="N67" s="53"/>
      <c r="O67" s="53"/>
      <c r="P67" s="53"/>
      <c r="Q67" s="53"/>
      <c r="R67" s="53"/>
      <c r="S67" s="53"/>
      <c r="T67" s="53"/>
      <c r="U67" s="53"/>
      <c r="V67" s="53"/>
      <c r="W67" s="53"/>
      <c r="X67" s="53"/>
      <c r="Y67" s="53"/>
    </row>
    <row r="68" spans="1:26" ht="18" customHeight="1">
      <c r="A68" s="13" t="s">
        <v>135</v>
      </c>
      <c r="B68" s="13"/>
      <c r="C68" s="13"/>
      <c r="D68" s="13"/>
      <c r="E68" s="13"/>
      <c r="F68" s="13"/>
      <c r="G68" s="13"/>
      <c r="H68" s="13"/>
      <c r="I68" s="13"/>
      <c r="J68" s="13"/>
      <c r="K68" s="13"/>
      <c r="L68" s="28"/>
      <c r="M68" s="28"/>
      <c r="N68" s="28"/>
      <c r="O68" s="28"/>
      <c r="P68" s="28"/>
      <c r="Q68" s="28"/>
      <c r="R68" s="28"/>
      <c r="S68" s="28"/>
      <c r="T68" s="28"/>
      <c r="U68" s="28"/>
      <c r="V68" s="28"/>
      <c r="W68" s="28"/>
      <c r="X68" s="28"/>
      <c r="Y68" s="28"/>
      <c r="Z68" s="28"/>
    </row>
    <row r="69" spans="1:26" ht="18" customHeight="1">
      <c r="A69" s="13"/>
      <c r="B69" s="158" t="s">
        <v>100</v>
      </c>
      <c r="C69" s="159"/>
      <c r="D69" s="159"/>
      <c r="E69" s="159"/>
      <c r="F69" s="160"/>
      <c r="G69" s="158" t="s">
        <v>145</v>
      </c>
      <c r="H69" s="159"/>
      <c r="I69" s="159"/>
      <c r="J69" s="159"/>
      <c r="K69" s="159"/>
      <c r="L69" s="159"/>
      <c r="M69" s="160"/>
      <c r="N69" s="201" t="s">
        <v>100</v>
      </c>
      <c r="O69" s="202"/>
      <c r="P69" s="202"/>
      <c r="Q69" s="202"/>
      <c r="R69" s="202"/>
      <c r="S69" s="203"/>
      <c r="T69" s="158" t="s">
        <v>145</v>
      </c>
      <c r="U69" s="159"/>
      <c r="V69" s="159"/>
      <c r="W69" s="159"/>
      <c r="X69" s="159"/>
      <c r="Y69" s="159"/>
      <c r="Z69" s="160"/>
    </row>
    <row r="70" spans="1:26" ht="18" customHeight="1">
      <c r="A70" s="28"/>
      <c r="B70" s="171"/>
      <c r="C70" s="172"/>
      <c r="D70" s="172"/>
      <c r="E70" s="172"/>
      <c r="F70" s="173"/>
      <c r="G70" s="204"/>
      <c r="H70" s="205"/>
      <c r="I70" s="205"/>
      <c r="J70" s="205"/>
      <c r="K70" s="205"/>
      <c r="L70" s="205"/>
      <c r="M70" s="206"/>
      <c r="N70" s="171"/>
      <c r="O70" s="172"/>
      <c r="P70" s="172"/>
      <c r="Q70" s="172"/>
      <c r="R70" s="172"/>
      <c r="S70" s="173"/>
      <c r="T70" s="204"/>
      <c r="U70" s="205"/>
      <c r="V70" s="205"/>
      <c r="W70" s="205"/>
      <c r="X70" s="205"/>
      <c r="Y70" s="205"/>
      <c r="Z70" s="206"/>
    </row>
    <row r="71" spans="1:26" ht="18" customHeight="1">
      <c r="A71" s="28"/>
      <c r="B71" s="162"/>
      <c r="C71" s="163"/>
      <c r="D71" s="163"/>
      <c r="E71" s="163"/>
      <c r="F71" s="164"/>
      <c r="G71" s="222"/>
      <c r="H71" s="223"/>
      <c r="I71" s="223"/>
      <c r="J71" s="223"/>
      <c r="K71" s="223"/>
      <c r="L71" s="223"/>
      <c r="M71" s="224"/>
      <c r="N71" s="162"/>
      <c r="O71" s="163"/>
      <c r="P71" s="163"/>
      <c r="Q71" s="163"/>
      <c r="R71" s="163"/>
      <c r="S71" s="164"/>
      <c r="T71" s="222"/>
      <c r="U71" s="223"/>
      <c r="V71" s="223"/>
      <c r="W71" s="223"/>
      <c r="X71" s="223"/>
      <c r="Y71" s="223"/>
      <c r="Z71" s="224"/>
    </row>
    <row r="72" spans="1:26" ht="18" customHeight="1">
      <c r="A72" s="28"/>
      <c r="B72" s="162"/>
      <c r="C72" s="163"/>
      <c r="D72" s="163"/>
      <c r="E72" s="163"/>
      <c r="F72" s="164"/>
      <c r="G72" s="222"/>
      <c r="H72" s="223"/>
      <c r="I72" s="223"/>
      <c r="J72" s="223"/>
      <c r="K72" s="223"/>
      <c r="L72" s="223"/>
      <c r="M72" s="224"/>
      <c r="N72" s="162"/>
      <c r="O72" s="163"/>
      <c r="P72" s="163"/>
      <c r="Q72" s="163"/>
      <c r="R72" s="163"/>
      <c r="S72" s="164"/>
      <c r="T72" s="222"/>
      <c r="U72" s="223"/>
      <c r="V72" s="223"/>
      <c r="W72" s="223"/>
      <c r="X72" s="223"/>
      <c r="Y72" s="223"/>
      <c r="Z72" s="224"/>
    </row>
    <row r="73" spans="1:26" ht="18" customHeight="1">
      <c r="A73" s="28"/>
      <c r="B73" s="162"/>
      <c r="C73" s="163"/>
      <c r="D73" s="163"/>
      <c r="E73" s="163"/>
      <c r="F73" s="164"/>
      <c r="G73" s="222"/>
      <c r="H73" s="223"/>
      <c r="I73" s="223"/>
      <c r="J73" s="223"/>
      <c r="K73" s="223"/>
      <c r="L73" s="223"/>
      <c r="M73" s="224"/>
      <c r="N73" s="162"/>
      <c r="O73" s="163"/>
      <c r="P73" s="163"/>
      <c r="Q73" s="163"/>
      <c r="R73" s="163"/>
      <c r="S73" s="164"/>
      <c r="T73" s="222"/>
      <c r="U73" s="223"/>
      <c r="V73" s="223"/>
      <c r="W73" s="223"/>
      <c r="X73" s="223"/>
      <c r="Y73" s="223"/>
      <c r="Z73" s="224"/>
    </row>
    <row r="74" spans="1:26" ht="18" customHeight="1">
      <c r="A74" s="28"/>
      <c r="B74" s="162"/>
      <c r="C74" s="163"/>
      <c r="D74" s="163"/>
      <c r="E74" s="163"/>
      <c r="F74" s="164"/>
      <c r="G74" s="222"/>
      <c r="H74" s="223"/>
      <c r="I74" s="223"/>
      <c r="J74" s="223"/>
      <c r="K74" s="223"/>
      <c r="L74" s="223"/>
      <c r="M74" s="224"/>
      <c r="N74" s="162"/>
      <c r="O74" s="163"/>
      <c r="P74" s="163"/>
      <c r="Q74" s="163"/>
      <c r="R74" s="163"/>
      <c r="S74" s="164"/>
      <c r="T74" s="222"/>
      <c r="U74" s="223"/>
      <c r="V74" s="223"/>
      <c r="W74" s="223"/>
      <c r="X74" s="223"/>
      <c r="Y74" s="223"/>
      <c r="Z74" s="224"/>
    </row>
    <row r="75" spans="1:26" ht="18" customHeight="1">
      <c r="A75" s="28"/>
      <c r="B75" s="162"/>
      <c r="C75" s="163"/>
      <c r="D75" s="163"/>
      <c r="E75" s="163"/>
      <c r="F75" s="164"/>
      <c r="G75" s="222"/>
      <c r="H75" s="223"/>
      <c r="I75" s="223"/>
      <c r="J75" s="223"/>
      <c r="K75" s="223"/>
      <c r="L75" s="223"/>
      <c r="M75" s="224"/>
      <c r="N75" s="162"/>
      <c r="O75" s="163"/>
      <c r="P75" s="163"/>
      <c r="Q75" s="163"/>
      <c r="R75" s="163"/>
      <c r="S75" s="164"/>
      <c r="T75" s="222"/>
      <c r="U75" s="223"/>
      <c r="V75" s="223"/>
      <c r="W75" s="223"/>
      <c r="X75" s="223"/>
      <c r="Y75" s="223"/>
      <c r="Z75" s="224"/>
    </row>
    <row r="76" spans="1:26" ht="18" customHeight="1">
      <c r="A76" s="28"/>
      <c r="B76" s="165"/>
      <c r="C76" s="166"/>
      <c r="D76" s="166"/>
      <c r="E76" s="166"/>
      <c r="F76" s="167"/>
      <c r="G76" s="219"/>
      <c r="H76" s="220"/>
      <c r="I76" s="220"/>
      <c r="J76" s="220"/>
      <c r="K76" s="220"/>
      <c r="L76" s="220"/>
      <c r="M76" s="221"/>
      <c r="N76" s="165"/>
      <c r="O76" s="166"/>
      <c r="P76" s="166"/>
      <c r="Q76" s="166"/>
      <c r="R76" s="166"/>
      <c r="S76" s="167"/>
      <c r="T76" s="219"/>
      <c r="U76" s="220"/>
      <c r="V76" s="220"/>
      <c r="W76" s="220"/>
      <c r="X76" s="220"/>
      <c r="Y76" s="220"/>
      <c r="Z76" s="221"/>
    </row>
    <row r="77" spans="1:26" ht="18" customHeight="1">
      <c r="A77" s="28"/>
      <c r="B77" s="52"/>
      <c r="C77" s="52"/>
      <c r="D77" s="52"/>
      <c r="E77" s="52"/>
      <c r="F77" s="52"/>
      <c r="G77" s="112"/>
      <c r="H77" s="112"/>
      <c r="I77" s="112"/>
      <c r="J77" s="112"/>
      <c r="K77" s="112"/>
      <c r="L77" s="112"/>
      <c r="M77" s="112"/>
      <c r="N77" s="52"/>
      <c r="O77" s="52"/>
      <c r="P77" s="52"/>
      <c r="Q77" s="52"/>
      <c r="R77" s="52"/>
      <c r="S77" s="52"/>
      <c r="T77" s="112"/>
      <c r="U77" s="112"/>
      <c r="V77" s="112"/>
      <c r="W77" s="112"/>
      <c r="X77" s="112"/>
      <c r="Y77" s="112"/>
      <c r="Z77" s="112"/>
    </row>
    <row r="78" spans="1:26" ht="18.75" customHeight="1">
      <c r="A78" s="12" t="s">
        <v>141</v>
      </c>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8.75" customHeight="1">
      <c r="B79" s="54" t="s">
        <v>102</v>
      </c>
      <c r="C79" s="55"/>
      <c r="D79" s="257" t="s">
        <v>103</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6" ht="78" customHeight="1">
      <c r="B80" s="237" t="s">
        <v>109</v>
      </c>
      <c r="C80" s="60" t="s">
        <v>104</v>
      </c>
      <c r="D80" s="250" t="s">
        <v>227</v>
      </c>
      <c r="E80" s="251"/>
      <c r="F80" s="251"/>
      <c r="G80" s="251"/>
      <c r="H80" s="251"/>
      <c r="I80" s="251"/>
      <c r="J80" s="251"/>
      <c r="K80" s="251"/>
      <c r="L80" s="251"/>
      <c r="M80" s="251"/>
      <c r="N80" s="251"/>
      <c r="O80" s="251"/>
      <c r="P80" s="251"/>
      <c r="Q80" s="251"/>
      <c r="R80" s="251"/>
      <c r="S80" s="251"/>
      <c r="T80" s="251"/>
      <c r="U80" s="251"/>
      <c r="V80" s="251"/>
      <c r="W80" s="251"/>
      <c r="X80" s="251"/>
      <c r="Y80" s="251"/>
      <c r="Z80" s="252"/>
    </row>
    <row r="81" spans="1:26" ht="78" customHeight="1">
      <c r="B81" s="238"/>
      <c r="C81" s="84" t="s">
        <v>136</v>
      </c>
      <c r="D81" s="225" t="s">
        <v>221</v>
      </c>
      <c r="E81" s="226"/>
      <c r="F81" s="226"/>
      <c r="G81" s="226"/>
      <c r="H81" s="226"/>
      <c r="I81" s="226"/>
      <c r="J81" s="226"/>
      <c r="K81" s="226"/>
      <c r="L81" s="226"/>
      <c r="M81" s="226"/>
      <c r="N81" s="226"/>
      <c r="O81" s="226"/>
      <c r="P81" s="226"/>
      <c r="Q81" s="226"/>
      <c r="R81" s="226"/>
      <c r="S81" s="226"/>
      <c r="T81" s="226"/>
      <c r="U81" s="226"/>
      <c r="V81" s="226"/>
      <c r="W81" s="226"/>
      <c r="X81" s="226"/>
      <c r="Y81" s="226"/>
      <c r="Z81" s="227"/>
    </row>
    <row r="82" spans="1:26" ht="78" customHeight="1">
      <c r="B82" s="256" t="s">
        <v>110</v>
      </c>
      <c r="C82" s="56" t="s">
        <v>126</v>
      </c>
      <c r="D82" s="228" t="s">
        <v>226</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c r="B83" s="239"/>
      <c r="C83" s="85" t="s">
        <v>127</v>
      </c>
      <c r="D83" s="233" t="s">
        <v>219</v>
      </c>
      <c r="E83" s="234"/>
      <c r="F83" s="234"/>
      <c r="G83" s="234"/>
      <c r="H83" s="234"/>
      <c r="I83" s="234"/>
      <c r="J83" s="234"/>
      <c r="K83" s="234"/>
      <c r="L83" s="234"/>
      <c r="M83" s="234"/>
      <c r="N83" s="234"/>
      <c r="O83" s="234"/>
      <c r="P83" s="234"/>
      <c r="Q83" s="234"/>
      <c r="R83" s="234"/>
      <c r="S83" s="234"/>
      <c r="T83" s="234"/>
      <c r="U83" s="234"/>
      <c r="V83" s="234"/>
      <c r="W83" s="234"/>
      <c r="X83" s="234"/>
      <c r="Y83" s="234"/>
      <c r="Z83" s="235"/>
    </row>
    <row r="84" spans="1:26" ht="66" customHeight="1">
      <c r="B84" s="256" t="s">
        <v>111</v>
      </c>
      <c r="C84" s="56" t="s">
        <v>129</v>
      </c>
      <c r="D84" s="236" t="s">
        <v>225</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c r="B85" s="239"/>
      <c r="C85" s="58" t="s">
        <v>130</v>
      </c>
      <c r="D85" s="230" t="s">
        <v>217</v>
      </c>
      <c r="E85" s="231"/>
      <c r="F85" s="231"/>
      <c r="G85" s="231"/>
      <c r="H85" s="231"/>
      <c r="I85" s="231"/>
      <c r="J85" s="231"/>
      <c r="K85" s="231"/>
      <c r="L85" s="231"/>
      <c r="M85" s="231"/>
      <c r="N85" s="231"/>
      <c r="O85" s="231"/>
      <c r="P85" s="231"/>
      <c r="Q85" s="231"/>
      <c r="R85" s="231"/>
      <c r="S85" s="231"/>
      <c r="T85" s="231"/>
      <c r="U85" s="231"/>
      <c r="V85" s="231"/>
      <c r="W85" s="231"/>
      <c r="X85" s="231"/>
      <c r="Y85" s="231"/>
      <c r="Z85" s="232"/>
    </row>
    <row r="86" spans="1:26" ht="66" customHeight="1">
      <c r="B86" s="237" t="s">
        <v>137</v>
      </c>
      <c r="C86" s="60" t="s">
        <v>106</v>
      </c>
      <c r="D86" s="250" t="s">
        <v>216</v>
      </c>
      <c r="E86" s="251"/>
      <c r="F86" s="251"/>
      <c r="G86" s="251"/>
      <c r="H86" s="251"/>
      <c r="I86" s="251"/>
      <c r="J86" s="251"/>
      <c r="K86" s="251"/>
      <c r="L86" s="251"/>
      <c r="M86" s="251"/>
      <c r="N86" s="251"/>
      <c r="O86" s="251"/>
      <c r="P86" s="251"/>
      <c r="Q86" s="251"/>
      <c r="R86" s="251"/>
      <c r="S86" s="251"/>
      <c r="T86" s="251"/>
      <c r="U86" s="251"/>
      <c r="V86" s="251"/>
      <c r="W86" s="251"/>
      <c r="X86" s="251"/>
      <c r="Y86" s="251"/>
      <c r="Z86" s="252"/>
    </row>
    <row r="87" spans="1:26" ht="66" customHeight="1">
      <c r="B87" s="246"/>
      <c r="C87" s="57" t="s">
        <v>108</v>
      </c>
      <c r="D87" s="253" t="s">
        <v>224</v>
      </c>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66" customHeight="1">
      <c r="B88" s="237" t="s">
        <v>138</v>
      </c>
      <c r="C88" s="56" t="s">
        <v>105</v>
      </c>
      <c r="D88" s="240" t="s">
        <v>214</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c r="B89" s="238"/>
      <c r="C89" s="57" t="s">
        <v>133</v>
      </c>
      <c r="D89" s="247" t="s">
        <v>213</v>
      </c>
      <c r="E89" s="248"/>
      <c r="F89" s="248"/>
      <c r="G89" s="248"/>
      <c r="H89" s="248"/>
      <c r="I89" s="248"/>
      <c r="J89" s="248"/>
      <c r="K89" s="248"/>
      <c r="L89" s="248"/>
      <c r="M89" s="248"/>
      <c r="N89" s="248"/>
      <c r="O89" s="248"/>
      <c r="P89" s="248"/>
      <c r="Q89" s="248"/>
      <c r="R89" s="248"/>
      <c r="S89" s="248"/>
      <c r="T89" s="248"/>
      <c r="U89" s="248"/>
      <c r="V89" s="248"/>
      <c r="W89" s="248"/>
      <c r="X89" s="248"/>
      <c r="Y89" s="248"/>
      <c r="Z89" s="249"/>
    </row>
    <row r="90" spans="1:26" ht="66" customHeight="1">
      <c r="B90" s="239"/>
      <c r="C90" s="58" t="s">
        <v>134</v>
      </c>
      <c r="D90" s="243" t="s">
        <v>212</v>
      </c>
      <c r="E90" s="244"/>
      <c r="F90" s="244"/>
      <c r="G90" s="244"/>
      <c r="H90" s="244"/>
      <c r="I90" s="244"/>
      <c r="J90" s="244"/>
      <c r="K90" s="244"/>
      <c r="L90" s="244"/>
      <c r="M90" s="244"/>
      <c r="N90" s="244"/>
      <c r="O90" s="244"/>
      <c r="P90" s="244"/>
      <c r="Q90" s="244"/>
      <c r="R90" s="244"/>
      <c r="S90" s="244"/>
      <c r="T90" s="244"/>
      <c r="U90" s="244"/>
      <c r="V90" s="244"/>
      <c r="W90" s="244"/>
      <c r="X90" s="244"/>
      <c r="Y90" s="244"/>
      <c r="Z90" s="245"/>
    </row>
    <row r="91" spans="1:26" ht="6" customHeight="1"/>
    <row r="92" spans="1:26" ht="18.75" customHeight="1">
      <c r="A92" s="12" t="s">
        <v>142</v>
      </c>
    </row>
    <row r="93" spans="1:26" ht="18.75" customHeight="1">
      <c r="B93" s="207" t="s">
        <v>189</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row r="97" spans="1:26" ht="15" customHeight="1">
      <c r="A97" s="12" t="s">
        <v>143</v>
      </c>
    </row>
    <row r="98" spans="1:26" ht="15" customHeight="1">
      <c r="B98" s="216" t="s">
        <v>231</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7:F27"/>
    <mergeCell ref="I27:K27"/>
    <mergeCell ref="N27:S27"/>
    <mergeCell ref="V27:X27"/>
    <mergeCell ref="B28:F28"/>
    <mergeCell ref="I28:K28"/>
    <mergeCell ref="N28:S28"/>
    <mergeCell ref="V28:X28"/>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38:F38"/>
    <mergeCell ref="I38:K38"/>
    <mergeCell ref="N38:S38"/>
    <mergeCell ref="V38:X38"/>
    <mergeCell ref="B39:F39"/>
    <mergeCell ref="I39:K39"/>
    <mergeCell ref="N39:S39"/>
    <mergeCell ref="V39:X39"/>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49:F49"/>
    <mergeCell ref="I49:K49"/>
    <mergeCell ref="N49:S49"/>
    <mergeCell ref="V49:X49"/>
    <mergeCell ref="B50:F50"/>
    <mergeCell ref="I50:K50"/>
    <mergeCell ref="N50:S50"/>
    <mergeCell ref="V50:X50"/>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61:E61"/>
    <mergeCell ref="H61:J61"/>
    <mergeCell ref="N61:R61"/>
    <mergeCell ref="U61:W61"/>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71:F71"/>
    <mergeCell ref="G71:M71"/>
    <mergeCell ref="N71:S71"/>
    <mergeCell ref="T71:Z7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84:B85"/>
    <mergeCell ref="D84:Z84"/>
    <mergeCell ref="D85:Z85"/>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G76:M76"/>
    <mergeCell ref="N76:S76"/>
    <mergeCell ref="T76:Z76"/>
    <mergeCell ref="D79:Z79"/>
    <mergeCell ref="B80:B81"/>
    <mergeCell ref="D80:Z80"/>
    <mergeCell ref="D81:Z81"/>
    <mergeCell ref="B82:B83"/>
    <mergeCell ref="D82:Z82"/>
    <mergeCell ref="D83:Z83"/>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H27:H33 Y38:Z44 Y49:Z55 Y60:Z66 L60:M66 H16:H22 U16:U22 T60:T66 U27:U33 L27:M33 U38:U44 L38:M44 U49:U55 G60:G66 H38:H44 K60 H49:H55 L49:M55" xr:uid="{335FD122-A766-4AD6-8BA1-B7CBD71B1119}">
      <formula1>"○"</formula1>
    </dataValidation>
    <dataValidation type="list" allowBlank="1" showInputMessage="1" showErrorMessage="1" sqref="Z23 Z34 D34:K34 D23:K23 V16:V22 I16:I22 V27:V33 H60:H66 V38:V44 I27:I33 V49:V55 I38:I44 U60:U66 I49:I55" xr:uid="{11222515-75AF-44EF-B33A-198FFD8F6365}">
      <formula1>"全学開講,一部開講"</formula1>
    </dataValidation>
    <dataValidation type="list" allowBlank="1" showInputMessage="1" showErrorMessage="1" sqref="O4" xr:uid="{EB1DB89A-3401-437A-ADAD-0C9B3D793043}">
      <formula1>"学部・学科によって、修了要件は相違する,学部・学科によって、修了要件は相違しない"</formula1>
    </dataValidation>
    <dataValidation type="list" allowBlank="1" showInputMessage="1" showErrorMessage="1" sqref="H74:M77 G70:G77 H70:M71 T70:T77 U70:Z71 U74:Z77" xr:uid="{99D9AE56-ADC8-44E8-9074-088D998CE23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59B59EC3-8AFB-49CD-B75E-2F855E8D45DB}"/>
  </hyperlinks>
  <printOptions horizontalCentered="1"/>
  <pageMargins left="0.78740157480314965" right="0.78740157480314965" top="0.6889763779527559" bottom="0.29527559055118113" header="0.31496062992125984" footer="0.31496062992125984"/>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5E99-C3EE-4EE8-8D47-B56BB4983E50}">
  <dimension ref="A1:Z98"/>
  <sheetViews>
    <sheetView showZeros="0" zoomScaleNormal="100" zoomScaleSheetLayoutView="100" workbookViewId="0">
      <selection activeCell="B6" sqref="B6:Z11"/>
    </sheetView>
  </sheetViews>
  <sheetFormatPr defaultColWidth="9" defaultRowHeight="18.75" customHeight="1"/>
  <cols>
    <col min="1" max="1" width="2.5" style="12" customWidth="1"/>
    <col min="2" max="2" width="27.62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c r="W1" s="187" t="s">
        <v>196</v>
      </c>
      <c r="X1" s="187"/>
      <c r="Y1" s="187"/>
      <c r="Z1" s="187"/>
    </row>
    <row r="2" spans="1:26" ht="18" customHeight="1">
      <c r="A2" s="188" t="s">
        <v>67</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6" ht="15" customHeight="1">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c r="A4" s="12" t="s">
        <v>99</v>
      </c>
      <c r="B4" s="28"/>
      <c r="C4" s="28"/>
      <c r="D4" s="28"/>
      <c r="E4" s="28"/>
      <c r="F4" s="28"/>
      <c r="G4" s="28"/>
      <c r="H4" s="13" t="s">
        <v>112</v>
      </c>
      <c r="I4" s="28"/>
      <c r="J4" s="28"/>
      <c r="K4" s="28"/>
      <c r="L4" s="28"/>
      <c r="M4" s="28"/>
      <c r="N4" s="28"/>
      <c r="O4" s="158" t="s">
        <v>164</v>
      </c>
      <c r="P4" s="159"/>
      <c r="Q4" s="159"/>
      <c r="R4" s="159"/>
      <c r="S4" s="159"/>
      <c r="T4" s="159"/>
      <c r="U4" s="159"/>
      <c r="V4" s="159"/>
      <c r="W4" s="159"/>
      <c r="X4" s="159"/>
      <c r="Y4" s="159"/>
      <c r="Z4" s="160"/>
    </row>
    <row r="5" spans="1:26" ht="6" customHeight="1">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c r="B6" s="259" t="s">
        <v>182</v>
      </c>
      <c r="C6" s="260"/>
      <c r="D6" s="260"/>
      <c r="E6" s="260"/>
      <c r="F6" s="260"/>
      <c r="G6" s="260"/>
      <c r="H6" s="260"/>
      <c r="I6" s="260"/>
      <c r="J6" s="260"/>
      <c r="K6" s="260"/>
      <c r="L6" s="260"/>
      <c r="M6" s="260"/>
      <c r="N6" s="260"/>
      <c r="O6" s="260"/>
      <c r="P6" s="260"/>
      <c r="Q6" s="260"/>
      <c r="R6" s="260"/>
      <c r="S6" s="260"/>
      <c r="T6" s="260"/>
      <c r="U6" s="260"/>
      <c r="V6" s="260"/>
      <c r="W6" s="260"/>
      <c r="X6" s="260"/>
      <c r="Y6" s="260"/>
      <c r="Z6" s="261"/>
    </row>
    <row r="7" spans="1:26" ht="18" customHeight="1">
      <c r="B7" s="262"/>
      <c r="C7" s="263"/>
      <c r="D7" s="263"/>
      <c r="E7" s="263"/>
      <c r="F7" s="263"/>
      <c r="G7" s="263"/>
      <c r="H7" s="263"/>
      <c r="I7" s="263"/>
      <c r="J7" s="263"/>
      <c r="K7" s="263"/>
      <c r="L7" s="263"/>
      <c r="M7" s="263"/>
      <c r="N7" s="263"/>
      <c r="O7" s="263"/>
      <c r="P7" s="263"/>
      <c r="Q7" s="263"/>
      <c r="R7" s="263"/>
      <c r="S7" s="263"/>
      <c r="T7" s="263"/>
      <c r="U7" s="263"/>
      <c r="V7" s="263"/>
      <c r="W7" s="263"/>
      <c r="X7" s="263"/>
      <c r="Y7" s="263"/>
      <c r="Z7" s="264"/>
    </row>
    <row r="8" spans="1:26" ht="18" customHeight="1">
      <c r="B8" s="262"/>
      <c r="C8" s="263"/>
      <c r="D8" s="263"/>
      <c r="E8" s="263"/>
      <c r="F8" s="263"/>
      <c r="G8" s="263"/>
      <c r="H8" s="263"/>
      <c r="I8" s="263"/>
      <c r="J8" s="263"/>
      <c r="K8" s="263"/>
      <c r="L8" s="263"/>
      <c r="M8" s="263"/>
      <c r="N8" s="263"/>
      <c r="O8" s="263"/>
      <c r="P8" s="263"/>
      <c r="Q8" s="263"/>
      <c r="R8" s="263"/>
      <c r="S8" s="263"/>
      <c r="T8" s="263"/>
      <c r="U8" s="263"/>
      <c r="V8" s="263"/>
      <c r="W8" s="263"/>
      <c r="X8" s="263"/>
      <c r="Y8" s="263"/>
      <c r="Z8" s="264"/>
    </row>
    <row r="9" spans="1:26" ht="18" customHeight="1">
      <c r="B9" s="262"/>
      <c r="C9" s="263"/>
      <c r="D9" s="263"/>
      <c r="E9" s="263"/>
      <c r="F9" s="263"/>
      <c r="G9" s="263"/>
      <c r="H9" s="263"/>
      <c r="I9" s="263"/>
      <c r="J9" s="263"/>
      <c r="K9" s="263"/>
      <c r="L9" s="263"/>
      <c r="M9" s="263"/>
      <c r="N9" s="263"/>
      <c r="O9" s="263"/>
      <c r="P9" s="263"/>
      <c r="Q9" s="263"/>
      <c r="R9" s="263"/>
      <c r="S9" s="263"/>
      <c r="T9" s="263"/>
      <c r="U9" s="263"/>
      <c r="V9" s="263"/>
      <c r="W9" s="263"/>
      <c r="X9" s="263"/>
      <c r="Y9" s="263"/>
      <c r="Z9" s="264"/>
    </row>
    <row r="10" spans="1:26" ht="18" customHeight="1">
      <c r="B10" s="262"/>
      <c r="C10" s="263"/>
      <c r="D10" s="263"/>
      <c r="E10" s="263"/>
      <c r="F10" s="263"/>
      <c r="G10" s="263"/>
      <c r="H10" s="263"/>
      <c r="I10" s="263"/>
      <c r="J10" s="263"/>
      <c r="K10" s="263"/>
      <c r="L10" s="263"/>
      <c r="M10" s="263"/>
      <c r="N10" s="263"/>
      <c r="O10" s="263"/>
      <c r="P10" s="263"/>
      <c r="Q10" s="263"/>
      <c r="R10" s="263"/>
      <c r="S10" s="263"/>
      <c r="T10" s="263"/>
      <c r="U10" s="263"/>
      <c r="V10" s="263"/>
      <c r="W10" s="263"/>
      <c r="X10" s="263"/>
      <c r="Y10" s="263"/>
      <c r="Z10" s="264"/>
    </row>
    <row r="11" spans="1:26" ht="18" customHeight="1">
      <c r="B11" s="265"/>
      <c r="C11" s="266"/>
      <c r="D11" s="266"/>
      <c r="E11" s="266"/>
      <c r="F11" s="266"/>
      <c r="G11" s="266"/>
      <c r="H11" s="266"/>
      <c r="I11" s="266"/>
      <c r="J11" s="266"/>
      <c r="K11" s="266"/>
      <c r="L11" s="266"/>
      <c r="M11" s="266"/>
      <c r="N11" s="266"/>
      <c r="O11" s="266"/>
      <c r="P11" s="266"/>
      <c r="Q11" s="266"/>
      <c r="R11" s="266"/>
      <c r="S11" s="266"/>
      <c r="T11" s="266"/>
      <c r="U11" s="266"/>
      <c r="V11" s="266"/>
      <c r="W11" s="266"/>
      <c r="X11" s="266"/>
      <c r="Y11" s="266"/>
      <c r="Z11" s="267"/>
    </row>
    <row r="12" spans="1:26" ht="7.5" customHeight="1">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c r="A13" s="174" t="s">
        <v>124</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ht="18"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ht="18" customHeight="1">
      <c r="A15" s="13"/>
      <c r="B15" s="158" t="s">
        <v>100</v>
      </c>
      <c r="C15" s="159"/>
      <c r="D15" s="159"/>
      <c r="E15" s="159"/>
      <c r="F15" s="160"/>
      <c r="G15" s="29" t="s">
        <v>140</v>
      </c>
      <c r="H15" s="86" t="s">
        <v>139</v>
      </c>
      <c r="I15" s="159" t="s">
        <v>101</v>
      </c>
      <c r="J15" s="159"/>
      <c r="K15" s="159"/>
      <c r="L15" s="51" t="s">
        <v>104</v>
      </c>
      <c r="M15" s="51" t="s">
        <v>107</v>
      </c>
      <c r="N15" s="158" t="s">
        <v>100</v>
      </c>
      <c r="O15" s="159"/>
      <c r="P15" s="159"/>
      <c r="Q15" s="159"/>
      <c r="R15" s="159"/>
      <c r="S15" s="160"/>
      <c r="T15" s="29" t="s">
        <v>140</v>
      </c>
      <c r="U15" s="86" t="s">
        <v>139</v>
      </c>
      <c r="V15" s="159" t="s">
        <v>101</v>
      </c>
      <c r="W15" s="159"/>
      <c r="X15" s="159"/>
      <c r="Y15" s="51" t="s">
        <v>104</v>
      </c>
      <c r="Z15" s="51" t="s">
        <v>107</v>
      </c>
    </row>
    <row r="16" spans="1:26" ht="18" customHeight="1">
      <c r="A16" s="13"/>
      <c r="B16" s="184" t="s">
        <v>192</v>
      </c>
      <c r="C16" s="185"/>
      <c r="D16" s="185"/>
      <c r="E16" s="185"/>
      <c r="F16" s="186"/>
      <c r="G16" s="87">
        <v>1</v>
      </c>
      <c r="H16" s="87" t="s">
        <v>186</v>
      </c>
      <c r="I16" s="198" t="s">
        <v>191</v>
      </c>
      <c r="J16" s="199"/>
      <c r="K16" s="200"/>
      <c r="L16" s="87" t="s">
        <v>186</v>
      </c>
      <c r="M16" s="87"/>
      <c r="N16" s="171"/>
      <c r="O16" s="172"/>
      <c r="P16" s="172"/>
      <c r="Q16" s="172"/>
      <c r="R16" s="172"/>
      <c r="S16" s="173"/>
      <c r="T16" s="87"/>
      <c r="U16" s="87"/>
      <c r="V16" s="198"/>
      <c r="W16" s="199"/>
      <c r="X16" s="200"/>
      <c r="Y16" s="87"/>
      <c r="Z16" s="87"/>
    </row>
    <row r="17" spans="1:26" ht="18" customHeight="1">
      <c r="A17" s="13"/>
      <c r="B17" s="175" t="s">
        <v>187</v>
      </c>
      <c r="C17" s="176"/>
      <c r="D17" s="176"/>
      <c r="E17" s="176"/>
      <c r="F17" s="177"/>
      <c r="G17" s="88">
        <v>1</v>
      </c>
      <c r="H17" s="88"/>
      <c r="I17" s="168" t="s">
        <v>185</v>
      </c>
      <c r="J17" s="169"/>
      <c r="K17" s="170"/>
      <c r="L17" s="88" t="s">
        <v>186</v>
      </c>
      <c r="M17" s="88" t="s">
        <v>186</v>
      </c>
      <c r="N17" s="162"/>
      <c r="O17" s="163"/>
      <c r="P17" s="163"/>
      <c r="Q17" s="163"/>
      <c r="R17" s="163"/>
      <c r="S17" s="164"/>
      <c r="T17" s="88"/>
      <c r="U17" s="88"/>
      <c r="V17" s="168"/>
      <c r="W17" s="169"/>
      <c r="X17" s="170"/>
      <c r="Y17" s="88"/>
      <c r="Z17" s="88"/>
    </row>
    <row r="18" spans="1:26" ht="18" customHeight="1">
      <c r="A18" s="13"/>
      <c r="B18" s="175"/>
      <c r="C18" s="176"/>
      <c r="D18" s="176"/>
      <c r="E18" s="176"/>
      <c r="F18" s="177"/>
      <c r="G18" s="88"/>
      <c r="H18" s="88"/>
      <c r="I18" s="168"/>
      <c r="J18" s="169"/>
      <c r="K18" s="170"/>
      <c r="L18" s="88"/>
      <c r="M18" s="88"/>
      <c r="N18" s="162"/>
      <c r="O18" s="163"/>
      <c r="P18" s="163"/>
      <c r="Q18" s="163"/>
      <c r="R18" s="163"/>
      <c r="S18" s="164"/>
      <c r="T18" s="88"/>
      <c r="U18" s="88"/>
      <c r="V18" s="168"/>
      <c r="W18" s="169"/>
      <c r="X18" s="170"/>
      <c r="Y18" s="88"/>
      <c r="Z18" s="88"/>
    </row>
    <row r="19" spans="1:26" ht="18" customHeight="1">
      <c r="A19" s="13"/>
      <c r="B19" s="175"/>
      <c r="C19" s="176"/>
      <c r="D19" s="176"/>
      <c r="E19" s="176"/>
      <c r="F19" s="177"/>
      <c r="G19" s="88"/>
      <c r="H19" s="88"/>
      <c r="I19" s="168"/>
      <c r="J19" s="169"/>
      <c r="K19" s="170"/>
      <c r="L19" s="88"/>
      <c r="M19" s="88"/>
      <c r="N19" s="162"/>
      <c r="O19" s="163"/>
      <c r="P19" s="163"/>
      <c r="Q19" s="163"/>
      <c r="R19" s="163"/>
      <c r="S19" s="164"/>
      <c r="T19" s="88"/>
      <c r="U19" s="88"/>
      <c r="V19" s="168"/>
      <c r="W19" s="169"/>
      <c r="X19" s="170"/>
      <c r="Y19" s="88"/>
      <c r="Z19" s="88"/>
    </row>
    <row r="20" spans="1:26" ht="18" customHeight="1">
      <c r="A20" s="13"/>
      <c r="B20" s="175"/>
      <c r="C20" s="176"/>
      <c r="D20" s="176"/>
      <c r="E20" s="176"/>
      <c r="F20" s="177"/>
      <c r="G20" s="88"/>
      <c r="H20" s="88"/>
      <c r="I20" s="168"/>
      <c r="J20" s="169"/>
      <c r="K20" s="170"/>
      <c r="L20" s="88"/>
      <c r="M20" s="88"/>
      <c r="N20" s="162"/>
      <c r="O20" s="163"/>
      <c r="P20" s="163"/>
      <c r="Q20" s="163"/>
      <c r="R20" s="163"/>
      <c r="S20" s="164"/>
      <c r="T20" s="88"/>
      <c r="U20" s="88"/>
      <c r="V20" s="168"/>
      <c r="W20" s="169"/>
      <c r="X20" s="170"/>
      <c r="Y20" s="88"/>
      <c r="Z20" s="88"/>
    </row>
    <row r="21" spans="1:26" ht="18" customHeight="1">
      <c r="A21" s="28"/>
      <c r="B21" s="175"/>
      <c r="C21" s="176"/>
      <c r="D21" s="176"/>
      <c r="E21" s="176"/>
      <c r="F21" s="177"/>
      <c r="G21" s="88"/>
      <c r="H21" s="88"/>
      <c r="I21" s="168"/>
      <c r="J21" s="169"/>
      <c r="K21" s="170"/>
      <c r="L21" s="88"/>
      <c r="M21" s="88"/>
      <c r="N21" s="162"/>
      <c r="O21" s="163"/>
      <c r="P21" s="163"/>
      <c r="Q21" s="163"/>
      <c r="R21" s="163"/>
      <c r="S21" s="164"/>
      <c r="T21" s="88"/>
      <c r="U21" s="88"/>
      <c r="V21" s="168"/>
      <c r="W21" s="169"/>
      <c r="X21" s="170"/>
      <c r="Y21" s="88"/>
      <c r="Z21" s="88"/>
    </row>
    <row r="22" spans="1:26" ht="18" customHeight="1">
      <c r="A22" s="28"/>
      <c r="B22" s="178"/>
      <c r="C22" s="179"/>
      <c r="D22" s="179"/>
      <c r="E22" s="179"/>
      <c r="F22" s="180"/>
      <c r="G22" s="89"/>
      <c r="H22" s="89"/>
      <c r="I22" s="181"/>
      <c r="J22" s="182"/>
      <c r="K22" s="183"/>
      <c r="L22" s="91"/>
      <c r="M22" s="91"/>
      <c r="N22" s="165"/>
      <c r="O22" s="166"/>
      <c r="P22" s="166"/>
      <c r="Q22" s="166"/>
      <c r="R22" s="166"/>
      <c r="S22" s="167"/>
      <c r="T22" s="89"/>
      <c r="U22" s="89"/>
      <c r="V22" s="181"/>
      <c r="W22" s="182"/>
      <c r="X22" s="183"/>
      <c r="Y22" s="91"/>
      <c r="Z22" s="91"/>
    </row>
    <row r="23" spans="1:26" ht="7.5" customHeight="1">
      <c r="A23" s="28"/>
      <c r="B23" s="52"/>
      <c r="C23" s="52"/>
      <c r="D23" s="28"/>
      <c r="E23" s="28"/>
      <c r="F23" s="28"/>
      <c r="G23" s="28"/>
      <c r="H23" s="28"/>
      <c r="I23" s="28"/>
      <c r="J23" s="28"/>
      <c r="K23" s="28"/>
      <c r="L23" s="52"/>
      <c r="M23" s="52"/>
      <c r="N23" s="52"/>
      <c r="O23" s="52"/>
      <c r="P23" s="52"/>
      <c r="Q23" s="52"/>
      <c r="R23" s="52"/>
      <c r="S23" s="52"/>
      <c r="T23" s="52"/>
      <c r="U23" s="52"/>
      <c r="V23" s="52"/>
      <c r="W23" s="52"/>
      <c r="X23" s="52"/>
      <c r="Y23" s="52"/>
      <c r="Z23" s="28"/>
    </row>
    <row r="24" spans="1:26" ht="18" customHeight="1">
      <c r="A24" s="174" t="s">
        <v>125</v>
      </c>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ht="18" customHeight="1">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ht="18" customHeight="1">
      <c r="A26" s="13"/>
      <c r="B26" s="158" t="s">
        <v>100</v>
      </c>
      <c r="C26" s="159"/>
      <c r="D26" s="159"/>
      <c r="E26" s="159"/>
      <c r="F26" s="160"/>
      <c r="G26" s="29" t="s">
        <v>140</v>
      </c>
      <c r="H26" s="86" t="s">
        <v>139</v>
      </c>
      <c r="I26" s="159" t="s">
        <v>101</v>
      </c>
      <c r="J26" s="159"/>
      <c r="K26" s="159"/>
      <c r="L26" s="51" t="s">
        <v>126</v>
      </c>
      <c r="M26" s="51" t="s">
        <v>127</v>
      </c>
      <c r="N26" s="158" t="s">
        <v>100</v>
      </c>
      <c r="O26" s="159"/>
      <c r="P26" s="159"/>
      <c r="Q26" s="159"/>
      <c r="R26" s="159"/>
      <c r="S26" s="160"/>
      <c r="T26" s="29" t="s">
        <v>140</v>
      </c>
      <c r="U26" s="86" t="s">
        <v>139</v>
      </c>
      <c r="V26" s="159" t="s">
        <v>101</v>
      </c>
      <c r="W26" s="159"/>
      <c r="X26" s="159"/>
      <c r="Y26" s="51" t="s">
        <v>126</v>
      </c>
      <c r="Z26" s="51" t="s">
        <v>127</v>
      </c>
    </row>
    <row r="27" spans="1:26" ht="18" customHeight="1">
      <c r="A27" s="13"/>
      <c r="B27" s="184" t="s">
        <v>192</v>
      </c>
      <c r="C27" s="185"/>
      <c r="D27" s="185"/>
      <c r="E27" s="185"/>
      <c r="F27" s="186"/>
      <c r="G27" s="87">
        <v>1</v>
      </c>
      <c r="H27" s="87" t="s">
        <v>186</v>
      </c>
      <c r="I27" s="198" t="s">
        <v>191</v>
      </c>
      <c r="J27" s="199"/>
      <c r="K27" s="200"/>
      <c r="L27" s="87" t="s">
        <v>186</v>
      </c>
      <c r="M27" s="87"/>
      <c r="N27" s="171"/>
      <c r="O27" s="172"/>
      <c r="P27" s="172"/>
      <c r="Q27" s="172"/>
      <c r="R27" s="172"/>
      <c r="S27" s="173"/>
      <c r="T27" s="87"/>
      <c r="U27" s="87"/>
      <c r="V27" s="198"/>
      <c r="W27" s="199"/>
      <c r="X27" s="200"/>
      <c r="Y27" s="87"/>
      <c r="Z27" s="87"/>
    </row>
    <row r="28" spans="1:26" ht="18" customHeight="1">
      <c r="A28" s="13"/>
      <c r="B28" s="175" t="s">
        <v>187</v>
      </c>
      <c r="C28" s="176"/>
      <c r="D28" s="176"/>
      <c r="E28" s="176"/>
      <c r="F28" s="177"/>
      <c r="G28" s="88">
        <v>1</v>
      </c>
      <c r="H28" s="88"/>
      <c r="I28" s="168" t="s">
        <v>185</v>
      </c>
      <c r="J28" s="169"/>
      <c r="K28" s="170"/>
      <c r="L28" s="88"/>
      <c r="M28" s="88" t="s">
        <v>186</v>
      </c>
      <c r="N28" s="162"/>
      <c r="O28" s="163"/>
      <c r="P28" s="163"/>
      <c r="Q28" s="163"/>
      <c r="R28" s="163"/>
      <c r="S28" s="164"/>
      <c r="T28" s="88"/>
      <c r="U28" s="88"/>
      <c r="V28" s="168"/>
      <c r="W28" s="169"/>
      <c r="X28" s="170"/>
      <c r="Y28" s="88"/>
      <c r="Z28" s="88"/>
    </row>
    <row r="29" spans="1:26" ht="18" customHeight="1">
      <c r="A29" s="13"/>
      <c r="B29" s="175"/>
      <c r="C29" s="176"/>
      <c r="D29" s="176"/>
      <c r="E29" s="176"/>
      <c r="F29" s="177"/>
      <c r="G29" s="88"/>
      <c r="H29" s="88"/>
      <c r="I29" s="168"/>
      <c r="J29" s="169"/>
      <c r="K29" s="170"/>
      <c r="L29" s="88"/>
      <c r="M29" s="88"/>
      <c r="N29" s="162"/>
      <c r="O29" s="163"/>
      <c r="P29" s="163"/>
      <c r="Q29" s="163"/>
      <c r="R29" s="163"/>
      <c r="S29" s="164"/>
      <c r="T29" s="88"/>
      <c r="U29" s="88"/>
      <c r="V29" s="168"/>
      <c r="W29" s="169"/>
      <c r="X29" s="170"/>
      <c r="Y29" s="88"/>
      <c r="Z29" s="88"/>
    </row>
    <row r="30" spans="1:26" ht="18" customHeight="1">
      <c r="A30" s="13"/>
      <c r="B30" s="175"/>
      <c r="C30" s="176"/>
      <c r="D30" s="176"/>
      <c r="E30" s="176"/>
      <c r="F30" s="177"/>
      <c r="G30" s="88"/>
      <c r="H30" s="88"/>
      <c r="I30" s="168"/>
      <c r="J30" s="169"/>
      <c r="K30" s="170"/>
      <c r="L30" s="88"/>
      <c r="M30" s="88"/>
      <c r="N30" s="162"/>
      <c r="O30" s="163"/>
      <c r="P30" s="163"/>
      <c r="Q30" s="163"/>
      <c r="R30" s="163"/>
      <c r="S30" s="164"/>
      <c r="T30" s="88"/>
      <c r="U30" s="88"/>
      <c r="V30" s="168"/>
      <c r="W30" s="169"/>
      <c r="X30" s="170"/>
      <c r="Y30" s="88"/>
      <c r="Z30" s="88"/>
    </row>
    <row r="31" spans="1:26" ht="18" customHeight="1">
      <c r="A31" s="13"/>
      <c r="B31" s="175"/>
      <c r="C31" s="176"/>
      <c r="D31" s="176"/>
      <c r="E31" s="176"/>
      <c r="F31" s="177"/>
      <c r="G31" s="88"/>
      <c r="H31" s="88"/>
      <c r="I31" s="168"/>
      <c r="J31" s="169"/>
      <c r="K31" s="170"/>
      <c r="L31" s="88"/>
      <c r="M31" s="88"/>
      <c r="N31" s="162"/>
      <c r="O31" s="163"/>
      <c r="P31" s="163"/>
      <c r="Q31" s="163"/>
      <c r="R31" s="163"/>
      <c r="S31" s="164"/>
      <c r="T31" s="88"/>
      <c r="U31" s="88"/>
      <c r="V31" s="168"/>
      <c r="W31" s="169"/>
      <c r="X31" s="170"/>
      <c r="Y31" s="88"/>
      <c r="Z31" s="88"/>
    </row>
    <row r="32" spans="1:26" ht="18" customHeight="1">
      <c r="A32" s="13"/>
      <c r="B32" s="175"/>
      <c r="C32" s="176"/>
      <c r="D32" s="176"/>
      <c r="E32" s="176"/>
      <c r="F32" s="177"/>
      <c r="G32" s="88"/>
      <c r="H32" s="88"/>
      <c r="I32" s="168"/>
      <c r="J32" s="169"/>
      <c r="K32" s="170"/>
      <c r="L32" s="88"/>
      <c r="M32" s="88"/>
      <c r="N32" s="162"/>
      <c r="O32" s="163"/>
      <c r="P32" s="163"/>
      <c r="Q32" s="163"/>
      <c r="R32" s="163"/>
      <c r="S32" s="164"/>
      <c r="T32" s="88"/>
      <c r="U32" s="88"/>
      <c r="V32" s="168"/>
      <c r="W32" s="169"/>
      <c r="X32" s="170"/>
      <c r="Y32" s="88"/>
      <c r="Z32" s="88"/>
    </row>
    <row r="33" spans="1:26" ht="18" customHeight="1">
      <c r="A33" s="13"/>
      <c r="B33" s="178"/>
      <c r="C33" s="179"/>
      <c r="D33" s="179"/>
      <c r="E33" s="179"/>
      <c r="F33" s="180"/>
      <c r="G33" s="89"/>
      <c r="H33" s="89"/>
      <c r="I33" s="181"/>
      <c r="J33" s="182"/>
      <c r="K33" s="183"/>
      <c r="L33" s="91"/>
      <c r="M33" s="91"/>
      <c r="N33" s="165"/>
      <c r="O33" s="166"/>
      <c r="P33" s="166"/>
      <c r="Q33" s="166"/>
      <c r="R33" s="166"/>
      <c r="S33" s="167"/>
      <c r="T33" s="89"/>
      <c r="U33" s="89"/>
      <c r="V33" s="181"/>
      <c r="W33" s="182"/>
      <c r="X33" s="183"/>
      <c r="Y33" s="91"/>
      <c r="Z33" s="91"/>
    </row>
    <row r="34" spans="1:26" ht="7.5" customHeight="1">
      <c r="A34" s="28"/>
      <c r="B34" s="52"/>
      <c r="C34" s="52"/>
      <c r="D34" s="28"/>
      <c r="E34" s="28"/>
      <c r="F34" s="28"/>
      <c r="G34" s="28"/>
      <c r="H34" s="28"/>
      <c r="I34" s="28"/>
      <c r="J34" s="28"/>
      <c r="K34" s="28"/>
      <c r="L34" s="52"/>
      <c r="M34" s="52"/>
      <c r="N34" s="52"/>
      <c r="O34" s="52"/>
      <c r="P34" s="52"/>
      <c r="Q34" s="52"/>
      <c r="R34" s="52"/>
      <c r="S34" s="52"/>
      <c r="T34" s="52"/>
      <c r="U34" s="52"/>
      <c r="V34" s="52"/>
      <c r="W34" s="52"/>
      <c r="X34" s="52"/>
      <c r="Y34" s="52"/>
      <c r="Z34" s="28"/>
    </row>
    <row r="35" spans="1:26" ht="18" customHeight="1">
      <c r="A35" s="174" t="s">
        <v>128</v>
      </c>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ht="18"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ht="18" customHeight="1">
      <c r="A37" s="13"/>
      <c r="B37" s="158" t="s">
        <v>100</v>
      </c>
      <c r="C37" s="159"/>
      <c r="D37" s="159"/>
      <c r="E37" s="159"/>
      <c r="F37" s="160"/>
      <c r="G37" s="29" t="s">
        <v>140</v>
      </c>
      <c r="H37" s="86" t="s">
        <v>139</v>
      </c>
      <c r="I37" s="158" t="s">
        <v>101</v>
      </c>
      <c r="J37" s="159"/>
      <c r="K37" s="160"/>
      <c r="L37" s="51" t="s">
        <v>129</v>
      </c>
      <c r="M37" s="51" t="s">
        <v>130</v>
      </c>
      <c r="N37" s="158" t="s">
        <v>100</v>
      </c>
      <c r="O37" s="159"/>
      <c r="P37" s="159"/>
      <c r="Q37" s="159"/>
      <c r="R37" s="159"/>
      <c r="S37" s="160"/>
      <c r="T37" s="29" t="s">
        <v>140</v>
      </c>
      <c r="U37" s="86" t="s">
        <v>139</v>
      </c>
      <c r="V37" s="158" t="s">
        <v>101</v>
      </c>
      <c r="W37" s="159"/>
      <c r="X37" s="160"/>
      <c r="Y37" s="51" t="s">
        <v>129</v>
      </c>
      <c r="Z37" s="51" t="s">
        <v>130</v>
      </c>
    </row>
    <row r="38" spans="1:26" ht="18" customHeight="1">
      <c r="A38" s="28"/>
      <c r="B38" s="184" t="s">
        <v>192</v>
      </c>
      <c r="C38" s="185"/>
      <c r="D38" s="185"/>
      <c r="E38" s="185"/>
      <c r="F38" s="186"/>
      <c r="G38" s="87">
        <v>1</v>
      </c>
      <c r="H38" s="87" t="s">
        <v>186</v>
      </c>
      <c r="I38" s="198" t="s">
        <v>191</v>
      </c>
      <c r="J38" s="199"/>
      <c r="K38" s="200"/>
      <c r="L38" s="87" t="s">
        <v>186</v>
      </c>
      <c r="M38" s="87"/>
      <c r="N38" s="171"/>
      <c r="O38" s="172"/>
      <c r="P38" s="172"/>
      <c r="Q38" s="172"/>
      <c r="R38" s="172"/>
      <c r="S38" s="173"/>
      <c r="T38" s="87"/>
      <c r="U38" s="87"/>
      <c r="V38" s="198"/>
      <c r="W38" s="199"/>
      <c r="X38" s="200"/>
      <c r="Y38" s="87"/>
      <c r="Z38" s="87"/>
    </row>
    <row r="39" spans="1:26" ht="18" customHeight="1">
      <c r="A39" s="28"/>
      <c r="B39" s="175" t="s">
        <v>187</v>
      </c>
      <c r="C39" s="176"/>
      <c r="D39" s="176"/>
      <c r="E39" s="176"/>
      <c r="F39" s="177"/>
      <c r="G39" s="88">
        <v>1</v>
      </c>
      <c r="H39" s="88"/>
      <c r="I39" s="168" t="s">
        <v>185</v>
      </c>
      <c r="J39" s="169"/>
      <c r="K39" s="170"/>
      <c r="L39" s="88"/>
      <c r="M39" s="88" t="s">
        <v>186</v>
      </c>
      <c r="N39" s="162"/>
      <c r="O39" s="163"/>
      <c r="P39" s="163"/>
      <c r="Q39" s="163"/>
      <c r="R39" s="163"/>
      <c r="S39" s="164"/>
      <c r="T39" s="88"/>
      <c r="U39" s="88"/>
      <c r="V39" s="168"/>
      <c r="W39" s="169"/>
      <c r="X39" s="170"/>
      <c r="Y39" s="88"/>
      <c r="Z39" s="88"/>
    </row>
    <row r="40" spans="1:26" ht="18" customHeight="1">
      <c r="A40" s="28"/>
      <c r="B40" s="175"/>
      <c r="C40" s="176"/>
      <c r="D40" s="176"/>
      <c r="E40" s="176"/>
      <c r="F40" s="177"/>
      <c r="G40" s="88"/>
      <c r="H40" s="88"/>
      <c r="I40" s="168"/>
      <c r="J40" s="169"/>
      <c r="K40" s="170"/>
      <c r="L40" s="88"/>
      <c r="M40" s="88"/>
      <c r="N40" s="162"/>
      <c r="O40" s="163"/>
      <c r="P40" s="163"/>
      <c r="Q40" s="163"/>
      <c r="R40" s="163"/>
      <c r="S40" s="164"/>
      <c r="T40" s="88"/>
      <c r="U40" s="88"/>
      <c r="V40" s="168"/>
      <c r="W40" s="169"/>
      <c r="X40" s="170"/>
      <c r="Y40" s="88"/>
      <c r="Z40" s="88"/>
    </row>
    <row r="41" spans="1:26" ht="18" customHeight="1">
      <c r="A41" s="28"/>
      <c r="B41" s="175"/>
      <c r="C41" s="176"/>
      <c r="D41" s="176"/>
      <c r="E41" s="176"/>
      <c r="F41" s="177"/>
      <c r="G41" s="88"/>
      <c r="H41" s="88"/>
      <c r="I41" s="168"/>
      <c r="J41" s="169"/>
      <c r="K41" s="170"/>
      <c r="L41" s="88"/>
      <c r="M41" s="88"/>
      <c r="N41" s="162"/>
      <c r="O41" s="163"/>
      <c r="P41" s="163"/>
      <c r="Q41" s="163"/>
      <c r="R41" s="163"/>
      <c r="S41" s="164"/>
      <c r="T41" s="88"/>
      <c r="U41" s="88"/>
      <c r="V41" s="168"/>
      <c r="W41" s="169"/>
      <c r="X41" s="170"/>
      <c r="Y41" s="88"/>
      <c r="Z41" s="88"/>
    </row>
    <row r="42" spans="1:26" ht="18" customHeight="1">
      <c r="A42" s="28"/>
      <c r="B42" s="175"/>
      <c r="C42" s="176"/>
      <c r="D42" s="176"/>
      <c r="E42" s="176"/>
      <c r="F42" s="177"/>
      <c r="G42" s="88"/>
      <c r="H42" s="88"/>
      <c r="I42" s="168"/>
      <c r="J42" s="169"/>
      <c r="K42" s="170"/>
      <c r="L42" s="88"/>
      <c r="M42" s="88"/>
      <c r="N42" s="162"/>
      <c r="O42" s="163"/>
      <c r="P42" s="163"/>
      <c r="Q42" s="163"/>
      <c r="R42" s="163"/>
      <c r="S42" s="164"/>
      <c r="T42" s="88"/>
      <c r="U42" s="88"/>
      <c r="V42" s="168"/>
      <c r="W42" s="169"/>
      <c r="X42" s="170"/>
      <c r="Y42" s="88"/>
      <c r="Z42" s="88"/>
    </row>
    <row r="43" spans="1:26" ht="18" customHeight="1">
      <c r="A43" s="28"/>
      <c r="B43" s="175"/>
      <c r="C43" s="176"/>
      <c r="D43" s="176"/>
      <c r="E43" s="176"/>
      <c r="F43" s="177"/>
      <c r="G43" s="88"/>
      <c r="H43" s="88"/>
      <c r="I43" s="168"/>
      <c r="J43" s="169"/>
      <c r="K43" s="170"/>
      <c r="L43" s="88"/>
      <c r="M43" s="88"/>
      <c r="N43" s="162"/>
      <c r="O43" s="163"/>
      <c r="P43" s="163"/>
      <c r="Q43" s="163"/>
      <c r="R43" s="163"/>
      <c r="S43" s="164"/>
      <c r="T43" s="88"/>
      <c r="U43" s="88"/>
      <c r="V43" s="168"/>
      <c r="W43" s="169"/>
      <c r="X43" s="170"/>
      <c r="Y43" s="88"/>
      <c r="Z43" s="88"/>
    </row>
    <row r="44" spans="1:26" ht="18" customHeight="1">
      <c r="A44" s="28"/>
      <c r="B44" s="178"/>
      <c r="C44" s="179"/>
      <c r="D44" s="179"/>
      <c r="E44" s="179"/>
      <c r="F44" s="180"/>
      <c r="G44" s="89"/>
      <c r="H44" s="89"/>
      <c r="I44" s="181"/>
      <c r="J44" s="182"/>
      <c r="K44" s="183"/>
      <c r="L44" s="91"/>
      <c r="M44" s="91"/>
      <c r="N44" s="165"/>
      <c r="O44" s="166"/>
      <c r="P44" s="166"/>
      <c r="Q44" s="166"/>
      <c r="R44" s="166"/>
      <c r="S44" s="167"/>
      <c r="T44" s="89"/>
      <c r="U44" s="89"/>
      <c r="V44" s="181"/>
      <c r="W44" s="182"/>
      <c r="X44" s="183"/>
      <c r="Y44" s="91"/>
      <c r="Z44" s="91"/>
    </row>
    <row r="45" spans="1:26" ht="7.5" customHeight="1">
      <c r="B45" s="53"/>
      <c r="C45" s="53"/>
      <c r="D45" s="53"/>
      <c r="E45" s="53"/>
      <c r="F45" s="53"/>
      <c r="G45" s="53"/>
      <c r="H45" s="53"/>
      <c r="I45" s="53"/>
      <c r="J45" s="53"/>
      <c r="K45" s="53"/>
      <c r="L45" s="53"/>
      <c r="M45" s="53"/>
      <c r="N45" s="53"/>
      <c r="O45" s="53"/>
      <c r="P45" s="53"/>
      <c r="Q45" s="53"/>
      <c r="R45" s="53"/>
      <c r="S45" s="53"/>
      <c r="T45" s="53"/>
      <c r="U45" s="53"/>
      <c r="V45" s="53"/>
      <c r="W45" s="53"/>
      <c r="X45" s="53"/>
      <c r="Y45" s="53"/>
    </row>
    <row r="46" spans="1:26" ht="18" customHeight="1">
      <c r="A46" s="174" t="s">
        <v>131</v>
      </c>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ht="18" customHeight="1">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ht="18" customHeight="1">
      <c r="A48" s="13"/>
      <c r="B48" s="158" t="s">
        <v>100</v>
      </c>
      <c r="C48" s="159"/>
      <c r="D48" s="159"/>
      <c r="E48" s="159"/>
      <c r="F48" s="160"/>
      <c r="G48" s="29" t="s">
        <v>140</v>
      </c>
      <c r="H48" s="86" t="s">
        <v>139</v>
      </c>
      <c r="I48" s="158" t="s">
        <v>101</v>
      </c>
      <c r="J48" s="159"/>
      <c r="K48" s="160"/>
      <c r="L48" s="51" t="s">
        <v>106</v>
      </c>
      <c r="M48" s="51" t="s">
        <v>108</v>
      </c>
      <c r="N48" s="158" t="s">
        <v>100</v>
      </c>
      <c r="O48" s="159"/>
      <c r="P48" s="159"/>
      <c r="Q48" s="159"/>
      <c r="R48" s="159"/>
      <c r="S48" s="160"/>
      <c r="T48" s="29" t="s">
        <v>140</v>
      </c>
      <c r="U48" s="86" t="s">
        <v>139</v>
      </c>
      <c r="V48" s="158" t="s">
        <v>101</v>
      </c>
      <c r="W48" s="159"/>
      <c r="X48" s="160"/>
      <c r="Y48" s="51" t="s">
        <v>106</v>
      </c>
      <c r="Z48" s="51" t="s">
        <v>108</v>
      </c>
    </row>
    <row r="49" spans="1:26" ht="18" customHeight="1">
      <c r="A49" s="28"/>
      <c r="B49" s="184" t="s">
        <v>192</v>
      </c>
      <c r="C49" s="185"/>
      <c r="D49" s="185"/>
      <c r="E49" s="185"/>
      <c r="F49" s="186"/>
      <c r="G49" s="87">
        <v>1</v>
      </c>
      <c r="H49" s="87" t="s">
        <v>186</v>
      </c>
      <c r="I49" s="198" t="s">
        <v>191</v>
      </c>
      <c r="J49" s="199"/>
      <c r="K49" s="200"/>
      <c r="L49" s="87"/>
      <c r="M49" s="87" t="s">
        <v>186</v>
      </c>
      <c r="N49" s="171"/>
      <c r="O49" s="172"/>
      <c r="P49" s="172"/>
      <c r="Q49" s="172"/>
      <c r="R49" s="172"/>
      <c r="S49" s="173"/>
      <c r="T49" s="87"/>
      <c r="U49" s="87"/>
      <c r="V49" s="198"/>
      <c r="W49" s="199"/>
      <c r="X49" s="200"/>
      <c r="Y49" s="87"/>
      <c r="Z49" s="87"/>
    </row>
    <row r="50" spans="1:26" ht="18" customHeight="1">
      <c r="A50" s="28"/>
      <c r="B50" s="175" t="s">
        <v>188</v>
      </c>
      <c r="C50" s="176"/>
      <c r="D50" s="176"/>
      <c r="E50" s="176"/>
      <c r="F50" s="177"/>
      <c r="G50" s="88">
        <v>1</v>
      </c>
      <c r="H50" s="88"/>
      <c r="I50" s="168" t="s">
        <v>191</v>
      </c>
      <c r="J50" s="169"/>
      <c r="K50" s="170"/>
      <c r="L50" s="88" t="s">
        <v>186</v>
      </c>
      <c r="M50" s="88"/>
      <c r="N50" s="162"/>
      <c r="O50" s="163"/>
      <c r="P50" s="163"/>
      <c r="Q50" s="163"/>
      <c r="R50" s="163"/>
      <c r="S50" s="164"/>
      <c r="T50" s="88"/>
      <c r="U50" s="88"/>
      <c r="V50" s="168"/>
      <c r="W50" s="169"/>
      <c r="X50" s="170"/>
      <c r="Y50" s="88"/>
      <c r="Z50" s="88"/>
    </row>
    <row r="51" spans="1:26" ht="18" customHeight="1">
      <c r="A51" s="28"/>
      <c r="B51" s="175" t="s">
        <v>187</v>
      </c>
      <c r="C51" s="176"/>
      <c r="D51" s="176"/>
      <c r="E51" s="176"/>
      <c r="F51" s="177"/>
      <c r="G51" s="88">
        <v>1</v>
      </c>
      <c r="H51" s="88"/>
      <c r="I51" s="168" t="s">
        <v>185</v>
      </c>
      <c r="J51" s="169"/>
      <c r="K51" s="170"/>
      <c r="L51" s="88" t="s">
        <v>186</v>
      </c>
      <c r="M51" s="88" t="s">
        <v>186</v>
      </c>
      <c r="N51" s="162"/>
      <c r="O51" s="163"/>
      <c r="P51" s="163"/>
      <c r="Q51" s="163"/>
      <c r="R51" s="163"/>
      <c r="S51" s="164"/>
      <c r="T51" s="88"/>
      <c r="U51" s="88"/>
      <c r="V51" s="168"/>
      <c r="W51" s="169"/>
      <c r="X51" s="170"/>
      <c r="Y51" s="88"/>
      <c r="Z51" s="88"/>
    </row>
    <row r="52" spans="1:26" ht="18" customHeight="1">
      <c r="A52" s="28"/>
      <c r="B52" s="175"/>
      <c r="C52" s="176"/>
      <c r="D52" s="176"/>
      <c r="E52" s="176"/>
      <c r="F52" s="177"/>
      <c r="G52" s="88"/>
      <c r="H52" s="88"/>
      <c r="I52" s="168"/>
      <c r="J52" s="169"/>
      <c r="K52" s="170"/>
      <c r="L52" s="88"/>
      <c r="M52" s="88"/>
      <c r="N52" s="162"/>
      <c r="O52" s="163"/>
      <c r="P52" s="163"/>
      <c r="Q52" s="163"/>
      <c r="R52" s="163"/>
      <c r="S52" s="164"/>
      <c r="T52" s="88"/>
      <c r="U52" s="88"/>
      <c r="V52" s="168"/>
      <c r="W52" s="169"/>
      <c r="X52" s="170"/>
      <c r="Y52" s="88"/>
      <c r="Z52" s="88"/>
    </row>
    <row r="53" spans="1:26" ht="18" customHeight="1">
      <c r="A53" s="28"/>
      <c r="B53" s="175"/>
      <c r="C53" s="176"/>
      <c r="D53" s="176"/>
      <c r="E53" s="176"/>
      <c r="F53" s="177"/>
      <c r="G53" s="88"/>
      <c r="H53" s="88"/>
      <c r="I53" s="168"/>
      <c r="J53" s="169"/>
      <c r="K53" s="170"/>
      <c r="L53" s="88"/>
      <c r="M53" s="88"/>
      <c r="N53" s="162"/>
      <c r="O53" s="163"/>
      <c r="P53" s="163"/>
      <c r="Q53" s="163"/>
      <c r="R53" s="163"/>
      <c r="S53" s="164"/>
      <c r="T53" s="88"/>
      <c r="U53" s="88"/>
      <c r="V53" s="168"/>
      <c r="W53" s="169"/>
      <c r="X53" s="170"/>
      <c r="Y53" s="88"/>
      <c r="Z53" s="88"/>
    </row>
    <row r="54" spans="1:26" ht="18" customHeight="1">
      <c r="A54" s="28"/>
      <c r="B54" s="175"/>
      <c r="C54" s="176"/>
      <c r="D54" s="176"/>
      <c r="E54" s="176"/>
      <c r="F54" s="177"/>
      <c r="G54" s="88"/>
      <c r="H54" s="88"/>
      <c r="I54" s="168"/>
      <c r="J54" s="169"/>
      <c r="K54" s="170"/>
      <c r="L54" s="88"/>
      <c r="M54" s="88"/>
      <c r="N54" s="162"/>
      <c r="O54" s="163"/>
      <c r="P54" s="163"/>
      <c r="Q54" s="163"/>
      <c r="R54" s="163"/>
      <c r="S54" s="164"/>
      <c r="T54" s="88"/>
      <c r="U54" s="88"/>
      <c r="V54" s="168"/>
      <c r="W54" s="169"/>
      <c r="X54" s="170"/>
      <c r="Y54" s="88"/>
      <c r="Z54" s="88"/>
    </row>
    <row r="55" spans="1:26" ht="18" customHeight="1">
      <c r="A55" s="28"/>
      <c r="B55" s="178"/>
      <c r="C55" s="179"/>
      <c r="D55" s="179"/>
      <c r="E55" s="179"/>
      <c r="F55" s="180"/>
      <c r="G55" s="89"/>
      <c r="H55" s="89"/>
      <c r="I55" s="181"/>
      <c r="J55" s="182"/>
      <c r="K55" s="183"/>
      <c r="L55" s="91"/>
      <c r="M55" s="91"/>
      <c r="N55" s="165"/>
      <c r="O55" s="166"/>
      <c r="P55" s="166"/>
      <c r="Q55" s="166"/>
      <c r="R55" s="166"/>
      <c r="S55" s="167"/>
      <c r="T55" s="89"/>
      <c r="U55" s="89"/>
      <c r="V55" s="181"/>
      <c r="W55" s="182"/>
      <c r="X55" s="183"/>
      <c r="Y55" s="91"/>
      <c r="Z55" s="91"/>
    </row>
    <row r="56" spans="1:26" ht="7.5" customHeight="1">
      <c r="B56" s="53"/>
      <c r="C56" s="53"/>
      <c r="D56" s="53"/>
      <c r="E56" s="53"/>
      <c r="F56" s="53"/>
      <c r="G56" s="53"/>
      <c r="H56" s="53"/>
      <c r="I56" s="53"/>
      <c r="J56" s="53"/>
      <c r="K56" s="53"/>
      <c r="L56" s="53"/>
      <c r="M56" s="53"/>
      <c r="N56" s="53"/>
      <c r="O56" s="53"/>
      <c r="P56" s="53"/>
      <c r="Q56" s="53"/>
      <c r="R56" s="53"/>
      <c r="S56" s="53"/>
      <c r="T56" s="53"/>
      <c r="U56" s="53"/>
      <c r="V56" s="53"/>
      <c r="W56" s="53"/>
      <c r="X56" s="53"/>
      <c r="Y56" s="53"/>
    </row>
    <row r="57" spans="1:26" ht="18" customHeight="1">
      <c r="A57" s="174" t="s">
        <v>132</v>
      </c>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ht="18" customHeight="1">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ht="18" customHeight="1">
      <c r="A59" s="13"/>
      <c r="B59" s="158" t="s">
        <v>100</v>
      </c>
      <c r="C59" s="159"/>
      <c r="D59" s="159"/>
      <c r="E59" s="160"/>
      <c r="F59" s="29" t="s">
        <v>140</v>
      </c>
      <c r="G59" s="86" t="s">
        <v>139</v>
      </c>
      <c r="H59" s="25" t="s">
        <v>101</v>
      </c>
      <c r="I59" s="113"/>
      <c r="J59" s="26"/>
      <c r="K59" s="51" t="s">
        <v>105</v>
      </c>
      <c r="L59" s="51" t="s">
        <v>133</v>
      </c>
      <c r="M59" s="51" t="s">
        <v>134</v>
      </c>
      <c r="N59" s="158" t="s">
        <v>100</v>
      </c>
      <c r="O59" s="159"/>
      <c r="P59" s="159"/>
      <c r="Q59" s="159"/>
      <c r="R59" s="160"/>
      <c r="S59" s="29" t="s">
        <v>140</v>
      </c>
      <c r="T59" s="86" t="s">
        <v>139</v>
      </c>
      <c r="U59" s="25" t="s">
        <v>101</v>
      </c>
      <c r="V59" s="113"/>
      <c r="W59" s="26"/>
      <c r="X59" s="51" t="s">
        <v>105</v>
      </c>
      <c r="Y59" s="51" t="s">
        <v>133</v>
      </c>
      <c r="Z59" s="51" t="s">
        <v>134</v>
      </c>
    </row>
    <row r="60" spans="1:26" ht="18" customHeight="1">
      <c r="A60" s="28"/>
      <c r="B60" s="171" t="s">
        <v>188</v>
      </c>
      <c r="C60" s="172"/>
      <c r="D60" s="172"/>
      <c r="E60" s="173"/>
      <c r="F60" s="87">
        <v>1</v>
      </c>
      <c r="G60" s="87"/>
      <c r="H60" s="198" t="s">
        <v>191</v>
      </c>
      <c r="I60" s="199"/>
      <c r="J60" s="200"/>
      <c r="K60" s="87" t="s">
        <v>186</v>
      </c>
      <c r="L60" s="87" t="s">
        <v>186</v>
      </c>
      <c r="M60" s="87" t="s">
        <v>186</v>
      </c>
      <c r="N60" s="171"/>
      <c r="O60" s="172"/>
      <c r="P60" s="172"/>
      <c r="Q60" s="172"/>
      <c r="R60" s="173"/>
      <c r="S60" s="87"/>
      <c r="T60" s="87"/>
      <c r="U60" s="198"/>
      <c r="V60" s="199"/>
      <c r="W60" s="200"/>
      <c r="X60" s="107"/>
      <c r="Y60" s="87"/>
      <c r="Z60" s="87"/>
    </row>
    <row r="61" spans="1:26" ht="18" customHeight="1">
      <c r="A61" s="28"/>
      <c r="B61" s="162"/>
      <c r="C61" s="163"/>
      <c r="D61" s="163"/>
      <c r="E61" s="164"/>
      <c r="F61" s="88"/>
      <c r="G61" s="88"/>
      <c r="H61" s="168"/>
      <c r="I61" s="169"/>
      <c r="J61" s="170"/>
      <c r="K61" s="108"/>
      <c r="L61" s="88"/>
      <c r="M61" s="88"/>
      <c r="N61" s="162"/>
      <c r="O61" s="163"/>
      <c r="P61" s="163"/>
      <c r="Q61" s="163"/>
      <c r="R61" s="164"/>
      <c r="S61" s="88"/>
      <c r="T61" s="88"/>
      <c r="U61" s="168"/>
      <c r="V61" s="169"/>
      <c r="W61" s="170"/>
      <c r="X61" s="108"/>
      <c r="Y61" s="88"/>
      <c r="Z61" s="88"/>
    </row>
    <row r="62" spans="1:26" ht="18" customHeight="1">
      <c r="A62" s="28"/>
      <c r="B62" s="162"/>
      <c r="C62" s="163"/>
      <c r="D62" s="163"/>
      <c r="E62" s="164"/>
      <c r="F62" s="88"/>
      <c r="G62" s="88"/>
      <c r="H62" s="168"/>
      <c r="I62" s="169"/>
      <c r="J62" s="170"/>
      <c r="K62" s="108"/>
      <c r="L62" s="88"/>
      <c r="M62" s="88"/>
      <c r="N62" s="162"/>
      <c r="O62" s="163"/>
      <c r="P62" s="163"/>
      <c r="Q62" s="163"/>
      <c r="R62" s="164"/>
      <c r="S62" s="88"/>
      <c r="T62" s="88"/>
      <c r="U62" s="168"/>
      <c r="V62" s="169"/>
      <c r="W62" s="170"/>
      <c r="X62" s="108"/>
      <c r="Y62" s="88"/>
      <c r="Z62" s="88"/>
    </row>
    <row r="63" spans="1:26" ht="18" customHeight="1">
      <c r="A63" s="28"/>
      <c r="B63" s="162"/>
      <c r="C63" s="163"/>
      <c r="D63" s="163"/>
      <c r="E63" s="164"/>
      <c r="F63" s="88"/>
      <c r="G63" s="88"/>
      <c r="H63" s="168"/>
      <c r="I63" s="169"/>
      <c r="J63" s="170"/>
      <c r="K63" s="108"/>
      <c r="L63" s="88"/>
      <c r="M63" s="88"/>
      <c r="N63" s="162"/>
      <c r="O63" s="163"/>
      <c r="P63" s="163"/>
      <c r="Q63" s="163"/>
      <c r="R63" s="164"/>
      <c r="S63" s="88"/>
      <c r="T63" s="88"/>
      <c r="U63" s="168"/>
      <c r="V63" s="169"/>
      <c r="W63" s="170"/>
      <c r="X63" s="108"/>
      <c r="Y63" s="88"/>
      <c r="Z63" s="88"/>
    </row>
    <row r="64" spans="1:26" ht="18" customHeight="1">
      <c r="A64" s="28"/>
      <c r="B64" s="162"/>
      <c r="C64" s="163"/>
      <c r="D64" s="163"/>
      <c r="E64" s="164"/>
      <c r="F64" s="88"/>
      <c r="G64" s="88"/>
      <c r="H64" s="168"/>
      <c r="I64" s="169"/>
      <c r="J64" s="170"/>
      <c r="K64" s="108"/>
      <c r="L64" s="88"/>
      <c r="M64" s="88"/>
      <c r="N64" s="162"/>
      <c r="O64" s="163"/>
      <c r="P64" s="163"/>
      <c r="Q64" s="163"/>
      <c r="R64" s="164"/>
      <c r="S64" s="88"/>
      <c r="T64" s="88"/>
      <c r="U64" s="168"/>
      <c r="V64" s="169"/>
      <c r="W64" s="170"/>
      <c r="X64" s="108"/>
      <c r="Y64" s="88"/>
      <c r="Z64" s="88"/>
    </row>
    <row r="65" spans="1:26" ht="18" customHeight="1">
      <c r="A65" s="28"/>
      <c r="B65" s="162"/>
      <c r="C65" s="163"/>
      <c r="D65" s="163"/>
      <c r="E65" s="164"/>
      <c r="F65" s="88"/>
      <c r="G65" s="88"/>
      <c r="H65" s="168"/>
      <c r="I65" s="169"/>
      <c r="J65" s="170"/>
      <c r="K65" s="108"/>
      <c r="L65" s="88"/>
      <c r="M65" s="88"/>
      <c r="N65" s="162"/>
      <c r="O65" s="163"/>
      <c r="P65" s="163"/>
      <c r="Q65" s="163"/>
      <c r="R65" s="164"/>
      <c r="S65" s="88"/>
      <c r="T65" s="88"/>
      <c r="U65" s="168"/>
      <c r="V65" s="169"/>
      <c r="W65" s="170"/>
      <c r="X65" s="108"/>
      <c r="Y65" s="88"/>
      <c r="Z65" s="88"/>
    </row>
    <row r="66" spans="1:26" ht="18" customHeight="1">
      <c r="A66" s="28"/>
      <c r="B66" s="165"/>
      <c r="C66" s="166"/>
      <c r="D66" s="166"/>
      <c r="E66" s="167"/>
      <c r="F66" s="89"/>
      <c r="G66" s="89"/>
      <c r="H66" s="181"/>
      <c r="I66" s="182"/>
      <c r="J66" s="183"/>
      <c r="K66" s="109"/>
      <c r="L66" s="91"/>
      <c r="M66" s="91"/>
      <c r="N66" s="165"/>
      <c r="O66" s="166"/>
      <c r="P66" s="166"/>
      <c r="Q66" s="166"/>
      <c r="R66" s="167"/>
      <c r="S66" s="89"/>
      <c r="T66" s="89"/>
      <c r="U66" s="181"/>
      <c r="V66" s="182"/>
      <c r="W66" s="183"/>
      <c r="X66" s="109"/>
      <c r="Y66" s="91"/>
      <c r="Z66" s="91"/>
    </row>
    <row r="67" spans="1:26" ht="7.5" customHeight="1">
      <c r="B67" s="53"/>
      <c r="C67" s="53"/>
      <c r="D67" s="53"/>
      <c r="E67" s="53"/>
      <c r="F67" s="53"/>
      <c r="G67" s="53"/>
      <c r="H67" s="53"/>
      <c r="I67" s="53"/>
      <c r="J67" s="53"/>
      <c r="K67" s="53"/>
      <c r="L67" s="53"/>
      <c r="M67" s="53"/>
      <c r="N67" s="53"/>
      <c r="O67" s="53"/>
      <c r="P67" s="53"/>
      <c r="Q67" s="53"/>
      <c r="R67" s="53"/>
      <c r="S67" s="53"/>
      <c r="T67" s="53"/>
      <c r="U67" s="53"/>
      <c r="V67" s="53"/>
      <c r="W67" s="53"/>
      <c r="X67" s="53"/>
      <c r="Y67" s="53"/>
    </row>
    <row r="68" spans="1:26" ht="18" customHeight="1">
      <c r="A68" s="13" t="s">
        <v>135</v>
      </c>
      <c r="B68" s="13"/>
      <c r="C68" s="13"/>
      <c r="D68" s="13"/>
      <c r="E68" s="13"/>
      <c r="F68" s="13"/>
      <c r="G68" s="13"/>
      <c r="H68" s="13"/>
      <c r="I68" s="13"/>
      <c r="J68" s="13"/>
      <c r="K68" s="13"/>
      <c r="L68" s="28"/>
      <c r="M68" s="28"/>
      <c r="N68" s="28"/>
      <c r="O68" s="28"/>
      <c r="P68" s="28"/>
      <c r="Q68" s="28"/>
      <c r="R68" s="28"/>
      <c r="S68" s="28"/>
      <c r="T68" s="28"/>
      <c r="U68" s="28"/>
      <c r="V68" s="28"/>
      <c r="W68" s="28"/>
      <c r="X68" s="28"/>
      <c r="Y68" s="28"/>
      <c r="Z68" s="28"/>
    </row>
    <row r="69" spans="1:26" ht="18" customHeight="1">
      <c r="A69" s="13"/>
      <c r="B69" s="158" t="s">
        <v>100</v>
      </c>
      <c r="C69" s="159"/>
      <c r="D69" s="159"/>
      <c r="E69" s="159"/>
      <c r="F69" s="160"/>
      <c r="G69" s="158" t="s">
        <v>145</v>
      </c>
      <c r="H69" s="159"/>
      <c r="I69" s="159"/>
      <c r="J69" s="159"/>
      <c r="K69" s="159"/>
      <c r="L69" s="159"/>
      <c r="M69" s="160"/>
      <c r="N69" s="201" t="s">
        <v>100</v>
      </c>
      <c r="O69" s="202"/>
      <c r="P69" s="202"/>
      <c r="Q69" s="202"/>
      <c r="R69" s="202"/>
      <c r="S69" s="203"/>
      <c r="T69" s="158" t="s">
        <v>145</v>
      </c>
      <c r="U69" s="159"/>
      <c r="V69" s="159"/>
      <c r="W69" s="159"/>
      <c r="X69" s="159"/>
      <c r="Y69" s="159"/>
      <c r="Z69" s="160"/>
    </row>
    <row r="70" spans="1:26" ht="18" customHeight="1">
      <c r="A70" s="28"/>
      <c r="B70" s="171"/>
      <c r="C70" s="172"/>
      <c r="D70" s="172"/>
      <c r="E70" s="172"/>
      <c r="F70" s="173"/>
      <c r="G70" s="204"/>
      <c r="H70" s="205"/>
      <c r="I70" s="205"/>
      <c r="J70" s="205"/>
      <c r="K70" s="205"/>
      <c r="L70" s="205"/>
      <c r="M70" s="206"/>
      <c r="N70" s="171"/>
      <c r="O70" s="172"/>
      <c r="P70" s="172"/>
      <c r="Q70" s="172"/>
      <c r="R70" s="172"/>
      <c r="S70" s="173"/>
      <c r="T70" s="204"/>
      <c r="U70" s="205"/>
      <c r="V70" s="205"/>
      <c r="W70" s="205"/>
      <c r="X70" s="205"/>
      <c r="Y70" s="205"/>
      <c r="Z70" s="206"/>
    </row>
    <row r="71" spans="1:26" ht="18" customHeight="1">
      <c r="A71" s="28"/>
      <c r="B71" s="162"/>
      <c r="C71" s="163"/>
      <c r="D71" s="163"/>
      <c r="E71" s="163"/>
      <c r="F71" s="164"/>
      <c r="G71" s="222"/>
      <c r="H71" s="223"/>
      <c r="I71" s="223"/>
      <c r="J71" s="223"/>
      <c r="K71" s="223"/>
      <c r="L71" s="223"/>
      <c r="M71" s="224"/>
      <c r="N71" s="162"/>
      <c r="O71" s="163"/>
      <c r="P71" s="163"/>
      <c r="Q71" s="163"/>
      <c r="R71" s="163"/>
      <c r="S71" s="164"/>
      <c r="T71" s="222"/>
      <c r="U71" s="223"/>
      <c r="V71" s="223"/>
      <c r="W71" s="223"/>
      <c r="X71" s="223"/>
      <c r="Y71" s="223"/>
      <c r="Z71" s="224"/>
    </row>
    <row r="72" spans="1:26" ht="18" customHeight="1">
      <c r="A72" s="28"/>
      <c r="B72" s="162"/>
      <c r="C72" s="163"/>
      <c r="D72" s="163"/>
      <c r="E72" s="163"/>
      <c r="F72" s="164"/>
      <c r="G72" s="222"/>
      <c r="H72" s="223"/>
      <c r="I72" s="223"/>
      <c r="J72" s="223"/>
      <c r="K72" s="223"/>
      <c r="L72" s="223"/>
      <c r="M72" s="224"/>
      <c r="N72" s="162"/>
      <c r="O72" s="163"/>
      <c r="P72" s="163"/>
      <c r="Q72" s="163"/>
      <c r="R72" s="163"/>
      <c r="S72" s="164"/>
      <c r="T72" s="222"/>
      <c r="U72" s="223"/>
      <c r="V72" s="223"/>
      <c r="W72" s="223"/>
      <c r="X72" s="223"/>
      <c r="Y72" s="223"/>
      <c r="Z72" s="224"/>
    </row>
    <row r="73" spans="1:26" ht="18" customHeight="1">
      <c r="A73" s="28"/>
      <c r="B73" s="162"/>
      <c r="C73" s="163"/>
      <c r="D73" s="163"/>
      <c r="E73" s="163"/>
      <c r="F73" s="164"/>
      <c r="G73" s="222"/>
      <c r="H73" s="223"/>
      <c r="I73" s="223"/>
      <c r="J73" s="223"/>
      <c r="K73" s="223"/>
      <c r="L73" s="223"/>
      <c r="M73" s="224"/>
      <c r="N73" s="162"/>
      <c r="O73" s="163"/>
      <c r="P73" s="163"/>
      <c r="Q73" s="163"/>
      <c r="R73" s="163"/>
      <c r="S73" s="164"/>
      <c r="T73" s="222"/>
      <c r="U73" s="223"/>
      <c r="V73" s="223"/>
      <c r="W73" s="223"/>
      <c r="X73" s="223"/>
      <c r="Y73" s="223"/>
      <c r="Z73" s="224"/>
    </row>
    <row r="74" spans="1:26" ht="18" customHeight="1">
      <c r="A74" s="28"/>
      <c r="B74" s="162"/>
      <c r="C74" s="163"/>
      <c r="D74" s="163"/>
      <c r="E74" s="163"/>
      <c r="F74" s="164"/>
      <c r="G74" s="222"/>
      <c r="H74" s="223"/>
      <c r="I74" s="223"/>
      <c r="J74" s="223"/>
      <c r="K74" s="223"/>
      <c r="L74" s="223"/>
      <c r="M74" s="224"/>
      <c r="N74" s="162"/>
      <c r="O74" s="163"/>
      <c r="P74" s="163"/>
      <c r="Q74" s="163"/>
      <c r="R74" s="163"/>
      <c r="S74" s="164"/>
      <c r="T74" s="222"/>
      <c r="U74" s="223"/>
      <c r="V74" s="223"/>
      <c r="W74" s="223"/>
      <c r="X74" s="223"/>
      <c r="Y74" s="223"/>
      <c r="Z74" s="224"/>
    </row>
    <row r="75" spans="1:26" ht="18" customHeight="1">
      <c r="A75" s="28"/>
      <c r="B75" s="162"/>
      <c r="C75" s="163"/>
      <c r="D75" s="163"/>
      <c r="E75" s="163"/>
      <c r="F75" s="164"/>
      <c r="G75" s="222"/>
      <c r="H75" s="223"/>
      <c r="I75" s="223"/>
      <c r="J75" s="223"/>
      <c r="K75" s="223"/>
      <c r="L75" s="223"/>
      <c r="M75" s="224"/>
      <c r="N75" s="162"/>
      <c r="O75" s="163"/>
      <c r="P75" s="163"/>
      <c r="Q75" s="163"/>
      <c r="R75" s="163"/>
      <c r="S75" s="164"/>
      <c r="T75" s="222"/>
      <c r="U75" s="223"/>
      <c r="V75" s="223"/>
      <c r="W75" s="223"/>
      <c r="X75" s="223"/>
      <c r="Y75" s="223"/>
      <c r="Z75" s="224"/>
    </row>
    <row r="76" spans="1:26" ht="18" customHeight="1">
      <c r="A76" s="28"/>
      <c r="B76" s="165"/>
      <c r="C76" s="166"/>
      <c r="D76" s="166"/>
      <c r="E76" s="166"/>
      <c r="F76" s="167"/>
      <c r="G76" s="219"/>
      <c r="H76" s="220"/>
      <c r="I76" s="220"/>
      <c r="J76" s="220"/>
      <c r="K76" s="220"/>
      <c r="L76" s="220"/>
      <c r="M76" s="221"/>
      <c r="N76" s="165"/>
      <c r="O76" s="166"/>
      <c r="P76" s="166"/>
      <c r="Q76" s="166"/>
      <c r="R76" s="166"/>
      <c r="S76" s="167"/>
      <c r="T76" s="219"/>
      <c r="U76" s="220"/>
      <c r="V76" s="220"/>
      <c r="W76" s="220"/>
      <c r="X76" s="220"/>
      <c r="Y76" s="220"/>
      <c r="Z76" s="221"/>
    </row>
    <row r="77" spans="1:26" ht="18" customHeight="1">
      <c r="A77" s="28"/>
      <c r="B77" s="52"/>
      <c r="C77" s="52"/>
      <c r="D77" s="52"/>
      <c r="E77" s="52"/>
      <c r="F77" s="52"/>
      <c r="G77" s="112"/>
      <c r="H77" s="112"/>
      <c r="I77" s="112"/>
      <c r="J77" s="112"/>
      <c r="K77" s="112"/>
      <c r="L77" s="112"/>
      <c r="M77" s="112"/>
      <c r="N77" s="52"/>
      <c r="O77" s="52"/>
      <c r="P77" s="52"/>
      <c r="Q77" s="52"/>
      <c r="R77" s="52"/>
      <c r="S77" s="52"/>
      <c r="T77" s="112"/>
      <c r="U77" s="112"/>
      <c r="V77" s="112"/>
      <c r="W77" s="112"/>
      <c r="X77" s="112"/>
      <c r="Y77" s="112"/>
      <c r="Z77" s="112"/>
    </row>
    <row r="78" spans="1:26" ht="18.75" customHeight="1">
      <c r="A78" s="12" t="s">
        <v>141</v>
      </c>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8.75" customHeight="1">
      <c r="B79" s="54" t="s">
        <v>102</v>
      </c>
      <c r="C79" s="55"/>
      <c r="D79" s="257" t="s">
        <v>103</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6" ht="78" customHeight="1">
      <c r="B80" s="237" t="s">
        <v>109</v>
      </c>
      <c r="C80" s="60" t="s">
        <v>104</v>
      </c>
      <c r="D80" s="250" t="s">
        <v>230</v>
      </c>
      <c r="E80" s="251"/>
      <c r="F80" s="251"/>
      <c r="G80" s="251"/>
      <c r="H80" s="251"/>
      <c r="I80" s="251"/>
      <c r="J80" s="251"/>
      <c r="K80" s="251"/>
      <c r="L80" s="251"/>
      <c r="M80" s="251"/>
      <c r="N80" s="251"/>
      <c r="O80" s="251"/>
      <c r="P80" s="251"/>
      <c r="Q80" s="251"/>
      <c r="R80" s="251"/>
      <c r="S80" s="251"/>
      <c r="T80" s="251"/>
      <c r="U80" s="251"/>
      <c r="V80" s="251"/>
      <c r="W80" s="251"/>
      <c r="X80" s="251"/>
      <c r="Y80" s="251"/>
      <c r="Z80" s="252"/>
    </row>
    <row r="81" spans="1:26" ht="78" customHeight="1">
      <c r="B81" s="238"/>
      <c r="C81" s="84" t="s">
        <v>136</v>
      </c>
      <c r="D81" s="225" t="s">
        <v>221</v>
      </c>
      <c r="E81" s="226"/>
      <c r="F81" s="226"/>
      <c r="G81" s="226"/>
      <c r="H81" s="226"/>
      <c r="I81" s="226"/>
      <c r="J81" s="226"/>
      <c r="K81" s="226"/>
      <c r="L81" s="226"/>
      <c r="M81" s="226"/>
      <c r="N81" s="226"/>
      <c r="O81" s="226"/>
      <c r="P81" s="226"/>
      <c r="Q81" s="226"/>
      <c r="R81" s="226"/>
      <c r="S81" s="226"/>
      <c r="T81" s="226"/>
      <c r="U81" s="226"/>
      <c r="V81" s="226"/>
      <c r="W81" s="226"/>
      <c r="X81" s="226"/>
      <c r="Y81" s="226"/>
      <c r="Z81" s="227"/>
    </row>
    <row r="82" spans="1:26" ht="78" customHeight="1">
      <c r="B82" s="256" t="s">
        <v>110</v>
      </c>
      <c r="C82" s="56" t="s">
        <v>126</v>
      </c>
      <c r="D82" s="228" t="s">
        <v>229</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c r="B83" s="239"/>
      <c r="C83" s="85" t="s">
        <v>127</v>
      </c>
      <c r="D83" s="233" t="s">
        <v>219</v>
      </c>
      <c r="E83" s="234"/>
      <c r="F83" s="234"/>
      <c r="G83" s="234"/>
      <c r="H83" s="234"/>
      <c r="I83" s="234"/>
      <c r="J83" s="234"/>
      <c r="K83" s="234"/>
      <c r="L83" s="234"/>
      <c r="M83" s="234"/>
      <c r="N83" s="234"/>
      <c r="O83" s="234"/>
      <c r="P83" s="234"/>
      <c r="Q83" s="234"/>
      <c r="R83" s="234"/>
      <c r="S83" s="234"/>
      <c r="T83" s="234"/>
      <c r="U83" s="234"/>
      <c r="V83" s="234"/>
      <c r="W83" s="234"/>
      <c r="X83" s="234"/>
      <c r="Y83" s="234"/>
      <c r="Z83" s="235"/>
    </row>
    <row r="84" spans="1:26" ht="66" customHeight="1">
      <c r="B84" s="256" t="s">
        <v>111</v>
      </c>
      <c r="C84" s="56" t="s">
        <v>129</v>
      </c>
      <c r="D84" s="236" t="s">
        <v>225</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c r="B85" s="239"/>
      <c r="C85" s="58" t="s">
        <v>130</v>
      </c>
      <c r="D85" s="230" t="s">
        <v>217</v>
      </c>
      <c r="E85" s="231"/>
      <c r="F85" s="231"/>
      <c r="G85" s="231"/>
      <c r="H85" s="231"/>
      <c r="I85" s="231"/>
      <c r="J85" s="231"/>
      <c r="K85" s="231"/>
      <c r="L85" s="231"/>
      <c r="M85" s="231"/>
      <c r="N85" s="231"/>
      <c r="O85" s="231"/>
      <c r="P85" s="231"/>
      <c r="Q85" s="231"/>
      <c r="R85" s="231"/>
      <c r="S85" s="231"/>
      <c r="T85" s="231"/>
      <c r="U85" s="231"/>
      <c r="V85" s="231"/>
      <c r="W85" s="231"/>
      <c r="X85" s="231"/>
      <c r="Y85" s="231"/>
      <c r="Z85" s="232"/>
    </row>
    <row r="86" spans="1:26" ht="66" customHeight="1">
      <c r="B86" s="237" t="s">
        <v>137</v>
      </c>
      <c r="C86" s="60" t="s">
        <v>106</v>
      </c>
      <c r="D86" s="250" t="s">
        <v>216</v>
      </c>
      <c r="E86" s="251"/>
      <c r="F86" s="251"/>
      <c r="G86" s="251"/>
      <c r="H86" s="251"/>
      <c r="I86" s="251"/>
      <c r="J86" s="251"/>
      <c r="K86" s="251"/>
      <c r="L86" s="251"/>
      <c r="M86" s="251"/>
      <c r="N86" s="251"/>
      <c r="O86" s="251"/>
      <c r="P86" s="251"/>
      <c r="Q86" s="251"/>
      <c r="R86" s="251"/>
      <c r="S86" s="251"/>
      <c r="T86" s="251"/>
      <c r="U86" s="251"/>
      <c r="V86" s="251"/>
      <c r="W86" s="251"/>
      <c r="X86" s="251"/>
      <c r="Y86" s="251"/>
      <c r="Z86" s="252"/>
    </row>
    <row r="87" spans="1:26" ht="66" customHeight="1">
      <c r="B87" s="246"/>
      <c r="C87" s="57" t="s">
        <v>108</v>
      </c>
      <c r="D87" s="253" t="s">
        <v>228</v>
      </c>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66" customHeight="1">
      <c r="B88" s="237" t="s">
        <v>138</v>
      </c>
      <c r="C88" s="56" t="s">
        <v>105</v>
      </c>
      <c r="D88" s="240" t="s">
        <v>214</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c r="B89" s="238"/>
      <c r="C89" s="57" t="s">
        <v>133</v>
      </c>
      <c r="D89" s="247" t="s">
        <v>213</v>
      </c>
      <c r="E89" s="248"/>
      <c r="F89" s="248"/>
      <c r="G89" s="248"/>
      <c r="H89" s="248"/>
      <c r="I89" s="248"/>
      <c r="J89" s="248"/>
      <c r="K89" s="248"/>
      <c r="L89" s="248"/>
      <c r="M89" s="248"/>
      <c r="N89" s="248"/>
      <c r="O89" s="248"/>
      <c r="P89" s="248"/>
      <c r="Q89" s="248"/>
      <c r="R89" s="248"/>
      <c r="S89" s="248"/>
      <c r="T89" s="248"/>
      <c r="U89" s="248"/>
      <c r="V89" s="248"/>
      <c r="W89" s="248"/>
      <c r="X89" s="248"/>
      <c r="Y89" s="248"/>
      <c r="Z89" s="249"/>
    </row>
    <row r="90" spans="1:26" ht="66" customHeight="1">
      <c r="B90" s="239"/>
      <c r="C90" s="58" t="s">
        <v>134</v>
      </c>
      <c r="D90" s="243" t="s">
        <v>212</v>
      </c>
      <c r="E90" s="244"/>
      <c r="F90" s="244"/>
      <c r="G90" s="244"/>
      <c r="H90" s="244"/>
      <c r="I90" s="244"/>
      <c r="J90" s="244"/>
      <c r="K90" s="244"/>
      <c r="L90" s="244"/>
      <c r="M90" s="244"/>
      <c r="N90" s="244"/>
      <c r="O90" s="244"/>
      <c r="P90" s="244"/>
      <c r="Q90" s="244"/>
      <c r="R90" s="244"/>
      <c r="S90" s="244"/>
      <c r="T90" s="244"/>
      <c r="U90" s="244"/>
      <c r="V90" s="244"/>
      <c r="W90" s="244"/>
      <c r="X90" s="244"/>
      <c r="Y90" s="244"/>
      <c r="Z90" s="245"/>
    </row>
    <row r="91" spans="1:26" ht="6" customHeight="1"/>
    <row r="92" spans="1:26" ht="18.75" customHeight="1">
      <c r="A92" s="12" t="s">
        <v>142</v>
      </c>
    </row>
    <row r="93" spans="1:26" ht="18.75" customHeight="1">
      <c r="B93" s="207" t="s">
        <v>189</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row r="97" spans="1:26" ht="15" customHeight="1">
      <c r="A97" s="12" t="s">
        <v>143</v>
      </c>
    </row>
    <row r="98" spans="1:26" ht="15" customHeight="1">
      <c r="B98" s="216" t="s">
        <v>231</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7:F27"/>
    <mergeCell ref="I27:K27"/>
    <mergeCell ref="N27:S27"/>
    <mergeCell ref="V27:X27"/>
    <mergeCell ref="B28:F28"/>
    <mergeCell ref="I28:K28"/>
    <mergeCell ref="N28:S28"/>
    <mergeCell ref="V28:X28"/>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38:F38"/>
    <mergeCell ref="I38:K38"/>
    <mergeCell ref="N38:S38"/>
    <mergeCell ref="V38:X38"/>
    <mergeCell ref="B39:F39"/>
    <mergeCell ref="I39:K39"/>
    <mergeCell ref="N39:S39"/>
    <mergeCell ref="V39:X39"/>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49:F49"/>
    <mergeCell ref="I49:K49"/>
    <mergeCell ref="N49:S49"/>
    <mergeCell ref="V49:X49"/>
    <mergeCell ref="B50:F50"/>
    <mergeCell ref="I50:K50"/>
    <mergeCell ref="N50:S50"/>
    <mergeCell ref="V50:X50"/>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61:E61"/>
    <mergeCell ref="H61:J61"/>
    <mergeCell ref="N61:R61"/>
    <mergeCell ref="U61:W61"/>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71:F71"/>
    <mergeCell ref="G71:M71"/>
    <mergeCell ref="N71:S71"/>
    <mergeCell ref="T71:Z7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84:B85"/>
    <mergeCell ref="D84:Z84"/>
    <mergeCell ref="D85:Z85"/>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G76:M76"/>
    <mergeCell ref="N76:S76"/>
    <mergeCell ref="T76:Z76"/>
    <mergeCell ref="D79:Z79"/>
    <mergeCell ref="B80:B81"/>
    <mergeCell ref="D80:Z80"/>
    <mergeCell ref="D81:Z81"/>
    <mergeCell ref="B82:B83"/>
    <mergeCell ref="D82:Z82"/>
    <mergeCell ref="D83:Z83"/>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H27:H33 Y38:Z44 Y49:Z55 Y60:Z66 L60:M66 H16:H22 U16:U22 T60:T66 U27:U33 L27:M33 U38:U44 L38:M44 U49:U55 G60:G66 K60 H38:H44 L49:M55 H49:H55" xr:uid="{E5DFDE0C-D6EA-4BD4-BE6D-E38BE3329C8F}">
      <formula1>"○"</formula1>
    </dataValidation>
    <dataValidation type="list" allowBlank="1" showInputMessage="1" showErrorMessage="1" sqref="Z23 Z34 D34:K34 D23:K23 V16:V22 I16:I22 V27:V33 H60:H66 V38:V44 I27:I33 V49:V55 I38:I44 U60:U66 I49:I55" xr:uid="{D40E0859-8328-45FB-8BE0-C89F8E37C1F4}">
      <formula1>"全学開講,一部開講"</formula1>
    </dataValidation>
    <dataValidation type="list" allowBlank="1" showInputMessage="1" showErrorMessage="1" sqref="O4" xr:uid="{26CB058F-883A-4DB6-95AF-49FAB5FD946F}">
      <formula1>"学部・学科によって、修了要件は相違する,学部・学科によって、修了要件は相違しない"</formula1>
    </dataValidation>
    <dataValidation type="list" allowBlank="1" showInputMessage="1" showErrorMessage="1" sqref="H74:M77 G70:G77 H70:M71 T70:T77 U70:Z71 U74:Z77" xr:uid="{39B7D1E5-546D-483D-A671-1C3CE20CE70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DEF8AA97-0537-4EB4-BBF7-910F21A698E7}"/>
  </hyperlinks>
  <printOptions horizontalCentered="1"/>
  <pageMargins left="0.78740157480314965" right="0.78740157480314965" top="0.6889763779527559" bottom="0.29527559055118113" header="0.31496062992125984" footer="0.31496062992125984"/>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35ADF-8B09-4865-B675-5DE8EE7683A3}">
  <dimension ref="A1:AA98"/>
  <sheetViews>
    <sheetView showZeros="0" topLeftCell="A85" zoomScaleNormal="100" zoomScaleSheetLayoutView="100" workbookViewId="0">
      <selection activeCell="AB90" sqref="AB90"/>
    </sheetView>
  </sheetViews>
  <sheetFormatPr defaultColWidth="9" defaultRowHeight="18.75" customHeight="1"/>
  <cols>
    <col min="1" max="1" width="2.5" style="12" customWidth="1"/>
    <col min="2" max="2" width="27.62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c r="W1" s="187" t="s">
        <v>195</v>
      </c>
      <c r="X1" s="187"/>
      <c r="Y1" s="187"/>
      <c r="Z1" s="187"/>
    </row>
    <row r="2" spans="1:26" ht="18" customHeight="1">
      <c r="A2" s="188" t="s">
        <v>67</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6" ht="15" customHeight="1">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c r="A4" s="12" t="s">
        <v>99</v>
      </c>
      <c r="B4" s="28"/>
      <c r="C4" s="28"/>
      <c r="D4" s="28"/>
      <c r="E4" s="28"/>
      <c r="F4" s="28"/>
      <c r="G4" s="28"/>
      <c r="H4" s="14" t="s">
        <v>112</v>
      </c>
      <c r="I4" s="28"/>
      <c r="J4" s="28"/>
      <c r="K4" s="28"/>
      <c r="L4" s="28"/>
      <c r="M4" s="28"/>
      <c r="N4" s="28"/>
      <c r="O4" s="158" t="s">
        <v>164</v>
      </c>
      <c r="P4" s="159"/>
      <c r="Q4" s="159"/>
      <c r="R4" s="159"/>
      <c r="S4" s="159"/>
      <c r="T4" s="159"/>
      <c r="U4" s="159"/>
      <c r="V4" s="159"/>
      <c r="W4" s="159"/>
      <c r="X4" s="159"/>
      <c r="Y4" s="159"/>
      <c r="Z4" s="160"/>
    </row>
    <row r="5" spans="1:26" ht="6" customHeight="1">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c r="B6" s="268" t="s">
        <v>183</v>
      </c>
      <c r="C6" s="269"/>
      <c r="D6" s="269"/>
      <c r="E6" s="269"/>
      <c r="F6" s="269"/>
      <c r="G6" s="269"/>
      <c r="H6" s="269"/>
      <c r="I6" s="269"/>
      <c r="J6" s="269"/>
      <c r="K6" s="269"/>
      <c r="L6" s="269"/>
      <c r="M6" s="269"/>
      <c r="N6" s="269"/>
      <c r="O6" s="269"/>
      <c r="P6" s="269"/>
      <c r="Q6" s="269"/>
      <c r="R6" s="269"/>
      <c r="S6" s="269"/>
      <c r="T6" s="269"/>
      <c r="U6" s="269"/>
      <c r="V6" s="269"/>
      <c r="W6" s="269"/>
      <c r="X6" s="269"/>
      <c r="Y6" s="269"/>
      <c r="Z6" s="270"/>
    </row>
    <row r="7" spans="1:26" ht="18" customHeight="1">
      <c r="B7" s="271"/>
      <c r="C7" s="272"/>
      <c r="D7" s="272"/>
      <c r="E7" s="272"/>
      <c r="F7" s="272"/>
      <c r="G7" s="272"/>
      <c r="H7" s="272"/>
      <c r="I7" s="272"/>
      <c r="J7" s="272"/>
      <c r="K7" s="272"/>
      <c r="L7" s="272"/>
      <c r="M7" s="272"/>
      <c r="N7" s="272"/>
      <c r="O7" s="272"/>
      <c r="P7" s="272"/>
      <c r="Q7" s="272"/>
      <c r="R7" s="272"/>
      <c r="S7" s="272"/>
      <c r="T7" s="272"/>
      <c r="U7" s="272"/>
      <c r="V7" s="272"/>
      <c r="W7" s="272"/>
      <c r="X7" s="272"/>
      <c r="Y7" s="272"/>
      <c r="Z7" s="273"/>
    </row>
    <row r="8" spans="1:26" ht="18" customHeight="1">
      <c r="B8" s="271"/>
      <c r="C8" s="272"/>
      <c r="D8" s="272"/>
      <c r="E8" s="272"/>
      <c r="F8" s="272"/>
      <c r="G8" s="272"/>
      <c r="H8" s="272"/>
      <c r="I8" s="272"/>
      <c r="J8" s="272"/>
      <c r="K8" s="272"/>
      <c r="L8" s="272"/>
      <c r="M8" s="272"/>
      <c r="N8" s="272"/>
      <c r="O8" s="272"/>
      <c r="P8" s="272"/>
      <c r="Q8" s="272"/>
      <c r="R8" s="272"/>
      <c r="S8" s="272"/>
      <c r="T8" s="272"/>
      <c r="U8" s="272"/>
      <c r="V8" s="272"/>
      <c r="W8" s="272"/>
      <c r="X8" s="272"/>
      <c r="Y8" s="272"/>
      <c r="Z8" s="273"/>
    </row>
    <row r="9" spans="1:26" ht="18" customHeight="1">
      <c r="B9" s="271"/>
      <c r="C9" s="272"/>
      <c r="D9" s="272"/>
      <c r="E9" s="272"/>
      <c r="F9" s="272"/>
      <c r="G9" s="272"/>
      <c r="H9" s="272"/>
      <c r="I9" s="272"/>
      <c r="J9" s="272"/>
      <c r="K9" s="272"/>
      <c r="L9" s="272"/>
      <c r="M9" s="272"/>
      <c r="N9" s="272"/>
      <c r="O9" s="272"/>
      <c r="P9" s="272"/>
      <c r="Q9" s="272"/>
      <c r="R9" s="272"/>
      <c r="S9" s="272"/>
      <c r="T9" s="272"/>
      <c r="U9" s="272"/>
      <c r="V9" s="272"/>
      <c r="W9" s="272"/>
      <c r="X9" s="272"/>
      <c r="Y9" s="272"/>
      <c r="Z9" s="273"/>
    </row>
    <row r="10" spans="1:26" ht="18" customHeight="1">
      <c r="B10" s="271"/>
      <c r="C10" s="274"/>
      <c r="D10" s="274"/>
      <c r="E10" s="274"/>
      <c r="F10" s="274"/>
      <c r="G10" s="274"/>
      <c r="H10" s="274"/>
      <c r="I10" s="274"/>
      <c r="J10" s="274"/>
      <c r="K10" s="274"/>
      <c r="L10" s="274"/>
      <c r="M10" s="274"/>
      <c r="N10" s="274"/>
      <c r="O10" s="274"/>
      <c r="P10" s="274"/>
      <c r="Q10" s="274"/>
      <c r="R10" s="274"/>
      <c r="S10" s="274"/>
      <c r="T10" s="274"/>
      <c r="U10" s="274"/>
      <c r="V10" s="274"/>
      <c r="W10" s="274"/>
      <c r="X10" s="274"/>
      <c r="Y10" s="274"/>
      <c r="Z10" s="273"/>
    </row>
    <row r="11" spans="1:26" ht="18" customHeight="1">
      <c r="B11" s="275"/>
      <c r="C11" s="276"/>
      <c r="D11" s="276"/>
      <c r="E11" s="276"/>
      <c r="F11" s="276"/>
      <c r="G11" s="276"/>
      <c r="H11" s="276"/>
      <c r="I11" s="276"/>
      <c r="J11" s="276"/>
      <c r="K11" s="276"/>
      <c r="L11" s="276"/>
      <c r="M11" s="276"/>
      <c r="N11" s="276"/>
      <c r="O11" s="276"/>
      <c r="P11" s="276"/>
      <c r="Q11" s="276"/>
      <c r="R11" s="276"/>
      <c r="S11" s="276"/>
      <c r="T11" s="276"/>
      <c r="U11" s="276"/>
      <c r="V11" s="276"/>
      <c r="W11" s="276"/>
      <c r="X11" s="276"/>
      <c r="Y11" s="276"/>
      <c r="Z11" s="277"/>
    </row>
    <row r="12" spans="1:26" ht="7.5" customHeight="1">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c r="A13" s="174" t="s">
        <v>124</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ht="18"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ht="18" customHeight="1">
      <c r="A15" s="13"/>
      <c r="B15" s="158" t="s">
        <v>100</v>
      </c>
      <c r="C15" s="159"/>
      <c r="D15" s="159"/>
      <c r="E15" s="159"/>
      <c r="F15" s="160"/>
      <c r="G15" s="29" t="s">
        <v>140</v>
      </c>
      <c r="H15" s="86" t="s">
        <v>139</v>
      </c>
      <c r="I15" s="159" t="s">
        <v>101</v>
      </c>
      <c r="J15" s="159"/>
      <c r="K15" s="159"/>
      <c r="L15" s="51" t="s">
        <v>104</v>
      </c>
      <c r="M15" s="51" t="s">
        <v>107</v>
      </c>
      <c r="N15" s="158" t="s">
        <v>100</v>
      </c>
      <c r="O15" s="159"/>
      <c r="P15" s="159"/>
      <c r="Q15" s="159"/>
      <c r="R15" s="159"/>
      <c r="S15" s="160"/>
      <c r="T15" s="29" t="s">
        <v>140</v>
      </c>
      <c r="U15" s="86" t="s">
        <v>139</v>
      </c>
      <c r="V15" s="159" t="s">
        <v>101</v>
      </c>
      <c r="W15" s="159"/>
      <c r="X15" s="159"/>
      <c r="Y15" s="51" t="s">
        <v>104</v>
      </c>
      <c r="Z15" s="51" t="s">
        <v>107</v>
      </c>
    </row>
    <row r="16" spans="1:26" ht="18" customHeight="1">
      <c r="A16" s="13"/>
      <c r="B16" s="184" t="s">
        <v>198</v>
      </c>
      <c r="C16" s="185"/>
      <c r="D16" s="185"/>
      <c r="E16" s="185"/>
      <c r="F16" s="186"/>
      <c r="G16" s="87">
        <v>2</v>
      </c>
      <c r="H16" s="87" t="s">
        <v>186</v>
      </c>
      <c r="I16" s="198" t="s">
        <v>191</v>
      </c>
      <c r="J16" s="199"/>
      <c r="K16" s="200"/>
      <c r="L16" s="87" t="s">
        <v>186</v>
      </c>
      <c r="M16" s="87" t="s">
        <v>186</v>
      </c>
      <c r="N16" s="171"/>
      <c r="O16" s="172"/>
      <c r="P16" s="172"/>
      <c r="Q16" s="172"/>
      <c r="R16" s="172"/>
      <c r="S16" s="173"/>
      <c r="T16" s="87"/>
      <c r="U16" s="87"/>
      <c r="V16" s="198"/>
      <c r="W16" s="199"/>
      <c r="X16" s="200"/>
      <c r="Y16" s="87"/>
      <c r="Z16" s="87"/>
    </row>
    <row r="17" spans="1:26" ht="18" customHeight="1">
      <c r="A17" s="13"/>
      <c r="B17" s="175" t="s">
        <v>193</v>
      </c>
      <c r="C17" s="176"/>
      <c r="D17" s="176"/>
      <c r="E17" s="176"/>
      <c r="F17" s="177"/>
      <c r="G17" s="88">
        <v>2</v>
      </c>
      <c r="H17" s="88"/>
      <c r="I17" s="168" t="s">
        <v>185</v>
      </c>
      <c r="J17" s="169"/>
      <c r="K17" s="170"/>
      <c r="L17" s="88" t="s">
        <v>186</v>
      </c>
      <c r="M17" s="88" t="s">
        <v>186</v>
      </c>
      <c r="N17" s="162"/>
      <c r="O17" s="163"/>
      <c r="P17" s="163"/>
      <c r="Q17" s="163"/>
      <c r="R17" s="163"/>
      <c r="S17" s="164"/>
      <c r="T17" s="88"/>
      <c r="U17" s="88"/>
      <c r="V17" s="168"/>
      <c r="W17" s="169"/>
      <c r="X17" s="170"/>
      <c r="Y17" s="88"/>
      <c r="Z17" s="88"/>
    </row>
    <row r="18" spans="1:26" ht="18" customHeight="1">
      <c r="A18" s="13"/>
      <c r="B18" s="175"/>
      <c r="C18" s="176"/>
      <c r="D18" s="176"/>
      <c r="E18" s="176"/>
      <c r="F18" s="177"/>
      <c r="G18" s="88"/>
      <c r="H18" s="88"/>
      <c r="I18" s="168"/>
      <c r="J18" s="169"/>
      <c r="K18" s="170"/>
      <c r="L18" s="88"/>
      <c r="M18" s="88"/>
      <c r="N18" s="162"/>
      <c r="O18" s="163"/>
      <c r="P18" s="163"/>
      <c r="Q18" s="163"/>
      <c r="R18" s="163"/>
      <c r="S18" s="164"/>
      <c r="T18" s="88"/>
      <c r="U18" s="88"/>
      <c r="V18" s="168"/>
      <c r="W18" s="169"/>
      <c r="X18" s="170"/>
      <c r="Y18" s="88"/>
      <c r="Z18" s="88"/>
    </row>
    <row r="19" spans="1:26" ht="18" customHeight="1">
      <c r="A19" s="13"/>
      <c r="B19" s="175"/>
      <c r="C19" s="176"/>
      <c r="D19" s="176"/>
      <c r="E19" s="176"/>
      <c r="F19" s="177"/>
      <c r="G19" s="88"/>
      <c r="H19" s="88"/>
      <c r="I19" s="168"/>
      <c r="J19" s="169"/>
      <c r="K19" s="170"/>
      <c r="L19" s="88"/>
      <c r="M19" s="88"/>
      <c r="N19" s="162"/>
      <c r="O19" s="163"/>
      <c r="P19" s="163"/>
      <c r="Q19" s="163"/>
      <c r="R19" s="163"/>
      <c r="S19" s="164"/>
      <c r="T19" s="88"/>
      <c r="U19" s="88"/>
      <c r="V19" s="168"/>
      <c r="W19" s="169"/>
      <c r="X19" s="170"/>
      <c r="Y19" s="88"/>
      <c r="Z19" s="88"/>
    </row>
    <row r="20" spans="1:26" ht="18" customHeight="1">
      <c r="A20" s="13"/>
      <c r="B20" s="175"/>
      <c r="C20" s="176"/>
      <c r="D20" s="176"/>
      <c r="E20" s="176"/>
      <c r="F20" s="177"/>
      <c r="G20" s="88"/>
      <c r="H20" s="88"/>
      <c r="I20" s="168"/>
      <c r="J20" s="169"/>
      <c r="K20" s="170"/>
      <c r="L20" s="88"/>
      <c r="M20" s="88"/>
      <c r="N20" s="162"/>
      <c r="O20" s="163"/>
      <c r="P20" s="163"/>
      <c r="Q20" s="163"/>
      <c r="R20" s="163"/>
      <c r="S20" s="164"/>
      <c r="T20" s="88"/>
      <c r="U20" s="88"/>
      <c r="V20" s="168"/>
      <c r="W20" s="169"/>
      <c r="X20" s="170"/>
      <c r="Y20" s="88"/>
      <c r="Z20" s="88"/>
    </row>
    <row r="21" spans="1:26" ht="18" customHeight="1">
      <c r="A21" s="28"/>
      <c r="B21" s="175"/>
      <c r="C21" s="176"/>
      <c r="D21" s="176"/>
      <c r="E21" s="176"/>
      <c r="F21" s="177"/>
      <c r="G21" s="88"/>
      <c r="H21" s="88"/>
      <c r="I21" s="168"/>
      <c r="J21" s="169"/>
      <c r="K21" s="170"/>
      <c r="L21" s="88"/>
      <c r="M21" s="88"/>
      <c r="N21" s="162"/>
      <c r="O21" s="163"/>
      <c r="P21" s="163"/>
      <c r="Q21" s="163"/>
      <c r="R21" s="163"/>
      <c r="S21" s="164"/>
      <c r="T21" s="88"/>
      <c r="U21" s="88"/>
      <c r="V21" s="168"/>
      <c r="W21" s="169"/>
      <c r="X21" s="170"/>
      <c r="Y21" s="88"/>
      <c r="Z21" s="88"/>
    </row>
    <row r="22" spans="1:26" ht="18" customHeight="1">
      <c r="A22" s="28"/>
      <c r="B22" s="178"/>
      <c r="C22" s="179"/>
      <c r="D22" s="179"/>
      <c r="E22" s="179"/>
      <c r="F22" s="180"/>
      <c r="G22" s="89"/>
      <c r="H22" s="89"/>
      <c r="I22" s="181"/>
      <c r="J22" s="182"/>
      <c r="K22" s="183"/>
      <c r="L22" s="91"/>
      <c r="M22" s="91"/>
      <c r="N22" s="165"/>
      <c r="O22" s="166"/>
      <c r="P22" s="166"/>
      <c r="Q22" s="166"/>
      <c r="R22" s="166"/>
      <c r="S22" s="167"/>
      <c r="T22" s="89"/>
      <c r="U22" s="89"/>
      <c r="V22" s="181"/>
      <c r="W22" s="182"/>
      <c r="X22" s="183"/>
      <c r="Y22" s="91"/>
      <c r="Z22" s="91"/>
    </row>
    <row r="23" spans="1:26" ht="7.5" customHeight="1">
      <c r="A23" s="28"/>
      <c r="B23" s="52"/>
      <c r="C23" s="52"/>
      <c r="D23" s="28"/>
      <c r="E23" s="28"/>
      <c r="F23" s="28"/>
      <c r="G23" s="28"/>
      <c r="H23" s="28"/>
      <c r="I23" s="28"/>
      <c r="J23" s="28"/>
      <c r="K23" s="28"/>
      <c r="L23" s="52"/>
      <c r="M23" s="52"/>
      <c r="N23" s="52"/>
      <c r="O23" s="52"/>
      <c r="P23" s="52"/>
      <c r="Q23" s="52"/>
      <c r="R23" s="52"/>
      <c r="S23" s="52"/>
      <c r="T23" s="52"/>
      <c r="U23" s="52"/>
      <c r="V23" s="52"/>
      <c r="W23" s="52"/>
      <c r="X23" s="52"/>
      <c r="Y23" s="52"/>
      <c r="Z23" s="28"/>
    </row>
    <row r="24" spans="1:26" ht="18" customHeight="1">
      <c r="A24" s="174" t="s">
        <v>125</v>
      </c>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ht="18" customHeight="1">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ht="18" customHeight="1">
      <c r="A26" s="13"/>
      <c r="B26" s="158" t="s">
        <v>100</v>
      </c>
      <c r="C26" s="159"/>
      <c r="D26" s="159"/>
      <c r="E26" s="159"/>
      <c r="F26" s="160"/>
      <c r="G26" s="29" t="s">
        <v>140</v>
      </c>
      <c r="H26" s="86" t="s">
        <v>139</v>
      </c>
      <c r="I26" s="159" t="s">
        <v>101</v>
      </c>
      <c r="J26" s="159"/>
      <c r="K26" s="159"/>
      <c r="L26" s="51" t="s">
        <v>126</v>
      </c>
      <c r="M26" s="51" t="s">
        <v>127</v>
      </c>
      <c r="N26" s="158" t="s">
        <v>100</v>
      </c>
      <c r="O26" s="159"/>
      <c r="P26" s="159"/>
      <c r="Q26" s="159"/>
      <c r="R26" s="159"/>
      <c r="S26" s="160"/>
      <c r="T26" s="29" t="s">
        <v>140</v>
      </c>
      <c r="U26" s="86" t="s">
        <v>139</v>
      </c>
      <c r="V26" s="159" t="s">
        <v>101</v>
      </c>
      <c r="W26" s="159"/>
      <c r="X26" s="159"/>
      <c r="Y26" s="51" t="s">
        <v>126</v>
      </c>
      <c r="Z26" s="51" t="s">
        <v>127</v>
      </c>
    </row>
    <row r="27" spans="1:26" ht="18" customHeight="1">
      <c r="A27" s="13"/>
      <c r="B27" s="184" t="s">
        <v>198</v>
      </c>
      <c r="C27" s="185"/>
      <c r="D27" s="185"/>
      <c r="E27" s="185"/>
      <c r="F27" s="186"/>
      <c r="G27" s="87">
        <v>2</v>
      </c>
      <c r="H27" s="87" t="s">
        <v>186</v>
      </c>
      <c r="I27" s="198" t="s">
        <v>191</v>
      </c>
      <c r="J27" s="199"/>
      <c r="K27" s="200"/>
      <c r="L27" s="87" t="s">
        <v>186</v>
      </c>
      <c r="M27" s="87" t="s">
        <v>186</v>
      </c>
      <c r="N27" s="171"/>
      <c r="O27" s="172"/>
      <c r="P27" s="172"/>
      <c r="Q27" s="172"/>
      <c r="R27" s="172"/>
      <c r="S27" s="173"/>
      <c r="T27" s="87"/>
      <c r="U27" s="87"/>
      <c r="V27" s="198"/>
      <c r="W27" s="199"/>
      <c r="X27" s="200"/>
      <c r="Y27" s="87"/>
      <c r="Z27" s="87"/>
    </row>
    <row r="28" spans="1:26" ht="18" customHeight="1">
      <c r="A28" s="13"/>
      <c r="B28" s="175" t="s">
        <v>193</v>
      </c>
      <c r="C28" s="176"/>
      <c r="D28" s="176"/>
      <c r="E28" s="176"/>
      <c r="F28" s="177"/>
      <c r="G28" s="88">
        <v>2</v>
      </c>
      <c r="H28" s="88"/>
      <c r="I28" s="168" t="s">
        <v>185</v>
      </c>
      <c r="J28" s="169"/>
      <c r="K28" s="170"/>
      <c r="L28" s="88" t="s">
        <v>186</v>
      </c>
      <c r="M28" s="88" t="s">
        <v>186</v>
      </c>
      <c r="N28" s="162"/>
      <c r="O28" s="163"/>
      <c r="P28" s="163"/>
      <c r="Q28" s="163"/>
      <c r="R28" s="163"/>
      <c r="S28" s="164"/>
      <c r="T28" s="88"/>
      <c r="U28" s="88"/>
      <c r="V28" s="168"/>
      <c r="W28" s="169"/>
      <c r="X28" s="170"/>
      <c r="Y28" s="88"/>
      <c r="Z28" s="88"/>
    </row>
    <row r="29" spans="1:26" ht="18" customHeight="1">
      <c r="A29" s="13"/>
      <c r="B29" s="175"/>
      <c r="C29" s="176"/>
      <c r="D29" s="176"/>
      <c r="E29" s="176"/>
      <c r="F29" s="177"/>
      <c r="G29" s="88"/>
      <c r="H29" s="88"/>
      <c r="I29" s="168"/>
      <c r="J29" s="169"/>
      <c r="K29" s="170"/>
      <c r="L29" s="88"/>
      <c r="M29" s="88"/>
      <c r="N29" s="162"/>
      <c r="O29" s="163"/>
      <c r="P29" s="163"/>
      <c r="Q29" s="163"/>
      <c r="R29" s="163"/>
      <c r="S29" s="164"/>
      <c r="T29" s="88"/>
      <c r="U29" s="88"/>
      <c r="V29" s="168"/>
      <c r="W29" s="169"/>
      <c r="X29" s="170"/>
      <c r="Y29" s="88"/>
      <c r="Z29" s="88"/>
    </row>
    <row r="30" spans="1:26" ht="18" customHeight="1">
      <c r="A30" s="13"/>
      <c r="B30" s="175"/>
      <c r="C30" s="176"/>
      <c r="D30" s="176"/>
      <c r="E30" s="176"/>
      <c r="F30" s="177"/>
      <c r="G30" s="88"/>
      <c r="H30" s="88"/>
      <c r="I30" s="168"/>
      <c r="J30" s="169"/>
      <c r="K30" s="170"/>
      <c r="L30" s="88"/>
      <c r="M30" s="88"/>
      <c r="N30" s="162"/>
      <c r="O30" s="163"/>
      <c r="P30" s="163"/>
      <c r="Q30" s="163"/>
      <c r="R30" s="163"/>
      <c r="S30" s="164"/>
      <c r="T30" s="88"/>
      <c r="U30" s="88"/>
      <c r="V30" s="168"/>
      <c r="W30" s="169"/>
      <c r="X30" s="170"/>
      <c r="Y30" s="88"/>
      <c r="Z30" s="88"/>
    </row>
    <row r="31" spans="1:26" ht="18" customHeight="1">
      <c r="A31" s="13"/>
      <c r="B31" s="175"/>
      <c r="C31" s="176"/>
      <c r="D31" s="176"/>
      <c r="E31" s="176"/>
      <c r="F31" s="177"/>
      <c r="G31" s="88"/>
      <c r="H31" s="88"/>
      <c r="I31" s="168"/>
      <c r="J31" s="169"/>
      <c r="K31" s="170"/>
      <c r="L31" s="88"/>
      <c r="M31" s="88"/>
      <c r="N31" s="162"/>
      <c r="O31" s="163"/>
      <c r="P31" s="163"/>
      <c r="Q31" s="163"/>
      <c r="R31" s="163"/>
      <c r="S31" s="164"/>
      <c r="T31" s="88"/>
      <c r="U31" s="88"/>
      <c r="V31" s="168"/>
      <c r="W31" s="169"/>
      <c r="X31" s="170"/>
      <c r="Y31" s="88"/>
      <c r="Z31" s="88"/>
    </row>
    <row r="32" spans="1:26" ht="18" customHeight="1">
      <c r="A32" s="13"/>
      <c r="B32" s="175"/>
      <c r="C32" s="176"/>
      <c r="D32" s="176"/>
      <c r="E32" s="176"/>
      <c r="F32" s="177"/>
      <c r="G32" s="88"/>
      <c r="H32" s="88"/>
      <c r="I32" s="168"/>
      <c r="J32" s="169"/>
      <c r="K32" s="170"/>
      <c r="L32" s="88"/>
      <c r="M32" s="88"/>
      <c r="N32" s="162"/>
      <c r="O32" s="163"/>
      <c r="P32" s="163"/>
      <c r="Q32" s="163"/>
      <c r="R32" s="163"/>
      <c r="S32" s="164"/>
      <c r="T32" s="88"/>
      <c r="U32" s="88"/>
      <c r="V32" s="168"/>
      <c r="W32" s="169"/>
      <c r="X32" s="170"/>
      <c r="Y32" s="88"/>
      <c r="Z32" s="88"/>
    </row>
    <row r="33" spans="1:26" ht="18" customHeight="1">
      <c r="A33" s="13"/>
      <c r="B33" s="178"/>
      <c r="C33" s="179"/>
      <c r="D33" s="179"/>
      <c r="E33" s="179"/>
      <c r="F33" s="180"/>
      <c r="G33" s="89"/>
      <c r="H33" s="89"/>
      <c r="I33" s="181"/>
      <c r="J33" s="182"/>
      <c r="K33" s="183"/>
      <c r="L33" s="91"/>
      <c r="M33" s="91"/>
      <c r="N33" s="165"/>
      <c r="O33" s="166"/>
      <c r="P33" s="166"/>
      <c r="Q33" s="166"/>
      <c r="R33" s="166"/>
      <c r="S33" s="167"/>
      <c r="T33" s="89"/>
      <c r="U33" s="89"/>
      <c r="V33" s="181"/>
      <c r="W33" s="182"/>
      <c r="X33" s="183"/>
      <c r="Y33" s="91"/>
      <c r="Z33" s="91"/>
    </row>
    <row r="34" spans="1:26" ht="7.5" customHeight="1">
      <c r="A34" s="28"/>
      <c r="B34" s="52"/>
      <c r="C34" s="52"/>
      <c r="D34" s="28"/>
      <c r="E34" s="28"/>
      <c r="F34" s="28"/>
      <c r="G34" s="28"/>
      <c r="H34" s="28"/>
      <c r="I34" s="28"/>
      <c r="J34" s="28"/>
      <c r="K34" s="28"/>
      <c r="L34" s="52"/>
      <c r="M34" s="52"/>
      <c r="N34" s="52"/>
      <c r="O34" s="52"/>
      <c r="P34" s="52"/>
      <c r="Q34" s="52"/>
      <c r="R34" s="52"/>
      <c r="S34" s="52"/>
      <c r="T34" s="52"/>
      <c r="U34" s="52"/>
      <c r="V34" s="52"/>
      <c r="W34" s="52"/>
      <c r="X34" s="52"/>
      <c r="Y34" s="52"/>
      <c r="Z34" s="28"/>
    </row>
    <row r="35" spans="1:26" ht="18" customHeight="1">
      <c r="A35" s="174" t="s">
        <v>128</v>
      </c>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ht="18"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ht="18" customHeight="1">
      <c r="A37" s="13"/>
      <c r="B37" s="158" t="s">
        <v>100</v>
      </c>
      <c r="C37" s="159"/>
      <c r="D37" s="159"/>
      <c r="E37" s="159"/>
      <c r="F37" s="160"/>
      <c r="G37" s="29" t="s">
        <v>140</v>
      </c>
      <c r="H37" s="86" t="s">
        <v>139</v>
      </c>
      <c r="I37" s="158" t="s">
        <v>101</v>
      </c>
      <c r="J37" s="159"/>
      <c r="K37" s="160"/>
      <c r="L37" s="51" t="s">
        <v>129</v>
      </c>
      <c r="M37" s="51" t="s">
        <v>130</v>
      </c>
      <c r="N37" s="158" t="s">
        <v>100</v>
      </c>
      <c r="O37" s="159"/>
      <c r="P37" s="159"/>
      <c r="Q37" s="159"/>
      <c r="R37" s="159"/>
      <c r="S37" s="160"/>
      <c r="T37" s="29" t="s">
        <v>140</v>
      </c>
      <c r="U37" s="86" t="s">
        <v>139</v>
      </c>
      <c r="V37" s="158" t="s">
        <v>101</v>
      </c>
      <c r="W37" s="159"/>
      <c r="X37" s="160"/>
      <c r="Y37" s="51" t="s">
        <v>129</v>
      </c>
      <c r="Z37" s="51" t="s">
        <v>130</v>
      </c>
    </row>
    <row r="38" spans="1:26" ht="18" customHeight="1">
      <c r="A38" s="28"/>
      <c r="B38" s="278" t="s">
        <v>193</v>
      </c>
      <c r="C38" s="279"/>
      <c r="D38" s="279"/>
      <c r="E38" s="279"/>
      <c r="F38" s="280"/>
      <c r="G38" s="87">
        <v>2</v>
      </c>
      <c r="H38" s="87"/>
      <c r="I38" s="198" t="s">
        <v>185</v>
      </c>
      <c r="J38" s="199"/>
      <c r="K38" s="200"/>
      <c r="L38" s="87" t="s">
        <v>186</v>
      </c>
      <c r="M38" s="87" t="s">
        <v>186</v>
      </c>
      <c r="N38" s="171"/>
      <c r="O38" s="172"/>
      <c r="P38" s="172"/>
      <c r="Q38" s="172"/>
      <c r="R38" s="172"/>
      <c r="S38" s="173"/>
      <c r="T38" s="87"/>
      <c r="U38" s="87"/>
      <c r="V38" s="198"/>
      <c r="W38" s="199"/>
      <c r="X38" s="200"/>
      <c r="Y38" s="87"/>
      <c r="Z38" s="87"/>
    </row>
    <row r="39" spans="1:26" ht="18" customHeight="1">
      <c r="A39" s="28"/>
      <c r="B39" s="175"/>
      <c r="C39" s="176"/>
      <c r="D39" s="176"/>
      <c r="E39" s="176"/>
      <c r="F39" s="177"/>
      <c r="G39" s="88"/>
      <c r="H39" s="88"/>
      <c r="I39" s="168"/>
      <c r="J39" s="169"/>
      <c r="K39" s="170"/>
      <c r="L39" s="88"/>
      <c r="M39" s="88"/>
      <c r="N39" s="162"/>
      <c r="O39" s="163"/>
      <c r="P39" s="163"/>
      <c r="Q39" s="163"/>
      <c r="R39" s="163"/>
      <c r="S39" s="164"/>
      <c r="T39" s="88"/>
      <c r="U39" s="88"/>
      <c r="V39" s="168"/>
      <c r="W39" s="169"/>
      <c r="X39" s="170"/>
      <c r="Y39" s="88"/>
      <c r="Z39" s="88"/>
    </row>
    <row r="40" spans="1:26" ht="18" customHeight="1">
      <c r="A40" s="28"/>
      <c r="B40" s="175"/>
      <c r="C40" s="176"/>
      <c r="D40" s="176"/>
      <c r="E40" s="176"/>
      <c r="F40" s="177"/>
      <c r="G40" s="88"/>
      <c r="H40" s="88"/>
      <c r="I40" s="168"/>
      <c r="J40" s="169"/>
      <c r="K40" s="170"/>
      <c r="L40" s="88"/>
      <c r="M40" s="88"/>
      <c r="N40" s="162"/>
      <c r="O40" s="163"/>
      <c r="P40" s="163"/>
      <c r="Q40" s="163"/>
      <c r="R40" s="163"/>
      <c r="S40" s="164"/>
      <c r="T40" s="88"/>
      <c r="U40" s="88"/>
      <c r="V40" s="168"/>
      <c r="W40" s="169"/>
      <c r="X40" s="170"/>
      <c r="Y40" s="88"/>
      <c r="Z40" s="88"/>
    </row>
    <row r="41" spans="1:26" ht="18" customHeight="1">
      <c r="A41" s="28"/>
      <c r="B41" s="175"/>
      <c r="C41" s="176"/>
      <c r="D41" s="176"/>
      <c r="E41" s="176"/>
      <c r="F41" s="177"/>
      <c r="G41" s="88"/>
      <c r="H41" s="88"/>
      <c r="I41" s="168"/>
      <c r="J41" s="169"/>
      <c r="K41" s="170"/>
      <c r="L41" s="88"/>
      <c r="M41" s="88"/>
      <c r="N41" s="162"/>
      <c r="O41" s="163"/>
      <c r="P41" s="163"/>
      <c r="Q41" s="163"/>
      <c r="R41" s="163"/>
      <c r="S41" s="164"/>
      <c r="T41" s="88"/>
      <c r="U41" s="88"/>
      <c r="V41" s="168"/>
      <c r="W41" s="169"/>
      <c r="X41" s="170"/>
      <c r="Y41" s="88"/>
      <c r="Z41" s="88"/>
    </row>
    <row r="42" spans="1:26" ht="18" customHeight="1">
      <c r="A42" s="28"/>
      <c r="B42" s="175"/>
      <c r="C42" s="176"/>
      <c r="D42" s="176"/>
      <c r="E42" s="176"/>
      <c r="F42" s="177"/>
      <c r="G42" s="88"/>
      <c r="H42" s="88"/>
      <c r="I42" s="168"/>
      <c r="J42" s="169"/>
      <c r="K42" s="170"/>
      <c r="L42" s="88"/>
      <c r="M42" s="88"/>
      <c r="N42" s="162"/>
      <c r="O42" s="163"/>
      <c r="P42" s="163"/>
      <c r="Q42" s="163"/>
      <c r="R42" s="163"/>
      <c r="S42" s="164"/>
      <c r="T42" s="88"/>
      <c r="U42" s="88"/>
      <c r="V42" s="168"/>
      <c r="W42" s="169"/>
      <c r="X42" s="170"/>
      <c r="Y42" s="88"/>
      <c r="Z42" s="88"/>
    </row>
    <row r="43" spans="1:26" ht="18" customHeight="1">
      <c r="A43" s="28"/>
      <c r="B43" s="175"/>
      <c r="C43" s="176"/>
      <c r="D43" s="176"/>
      <c r="E43" s="176"/>
      <c r="F43" s="177"/>
      <c r="G43" s="88"/>
      <c r="H43" s="88"/>
      <c r="I43" s="168"/>
      <c r="J43" s="169"/>
      <c r="K43" s="170"/>
      <c r="L43" s="88"/>
      <c r="M43" s="88"/>
      <c r="N43" s="162"/>
      <c r="O43" s="163"/>
      <c r="P43" s="163"/>
      <c r="Q43" s="163"/>
      <c r="R43" s="163"/>
      <c r="S43" s="164"/>
      <c r="T43" s="88"/>
      <c r="U43" s="88"/>
      <c r="V43" s="168"/>
      <c r="W43" s="169"/>
      <c r="X43" s="170"/>
      <c r="Y43" s="88"/>
      <c r="Z43" s="88"/>
    </row>
    <row r="44" spans="1:26" ht="18" customHeight="1">
      <c r="A44" s="28"/>
      <c r="B44" s="178"/>
      <c r="C44" s="179"/>
      <c r="D44" s="179"/>
      <c r="E44" s="179"/>
      <c r="F44" s="180"/>
      <c r="G44" s="89"/>
      <c r="H44" s="89"/>
      <c r="I44" s="181"/>
      <c r="J44" s="182"/>
      <c r="K44" s="183"/>
      <c r="L44" s="91"/>
      <c r="M44" s="91"/>
      <c r="N44" s="165"/>
      <c r="O44" s="166"/>
      <c r="P44" s="166"/>
      <c r="Q44" s="166"/>
      <c r="R44" s="166"/>
      <c r="S44" s="167"/>
      <c r="T44" s="89"/>
      <c r="U44" s="89"/>
      <c r="V44" s="181"/>
      <c r="W44" s="182"/>
      <c r="X44" s="183"/>
      <c r="Y44" s="91"/>
      <c r="Z44" s="91"/>
    </row>
    <row r="45" spans="1:26" ht="7.5" customHeight="1">
      <c r="B45" s="53"/>
      <c r="C45" s="53"/>
      <c r="D45" s="53"/>
      <c r="E45" s="53"/>
      <c r="F45" s="53"/>
      <c r="G45" s="53"/>
      <c r="H45" s="53"/>
      <c r="I45" s="53"/>
      <c r="J45" s="53"/>
      <c r="K45" s="53"/>
      <c r="L45" s="53"/>
      <c r="M45" s="53"/>
      <c r="N45" s="53"/>
      <c r="O45" s="53"/>
      <c r="P45" s="53"/>
      <c r="Q45" s="53"/>
      <c r="R45" s="53"/>
      <c r="S45" s="53"/>
      <c r="T45" s="53"/>
      <c r="U45" s="53"/>
      <c r="V45" s="53"/>
      <c r="W45" s="53"/>
      <c r="X45" s="53"/>
      <c r="Y45" s="53"/>
    </row>
    <row r="46" spans="1:26" ht="18" customHeight="1">
      <c r="A46" s="174" t="s">
        <v>131</v>
      </c>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ht="18" customHeight="1">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ht="18" customHeight="1">
      <c r="A48" s="13"/>
      <c r="B48" s="158" t="s">
        <v>100</v>
      </c>
      <c r="C48" s="159"/>
      <c r="D48" s="159"/>
      <c r="E48" s="159"/>
      <c r="F48" s="160"/>
      <c r="G48" s="29" t="s">
        <v>140</v>
      </c>
      <c r="H48" s="86" t="s">
        <v>139</v>
      </c>
      <c r="I48" s="158" t="s">
        <v>101</v>
      </c>
      <c r="J48" s="159"/>
      <c r="K48" s="160"/>
      <c r="L48" s="51" t="s">
        <v>106</v>
      </c>
      <c r="M48" s="51" t="s">
        <v>108</v>
      </c>
      <c r="N48" s="158" t="s">
        <v>100</v>
      </c>
      <c r="O48" s="159"/>
      <c r="P48" s="159"/>
      <c r="Q48" s="159"/>
      <c r="R48" s="159"/>
      <c r="S48" s="160"/>
      <c r="T48" s="29" t="s">
        <v>140</v>
      </c>
      <c r="U48" s="86" t="s">
        <v>139</v>
      </c>
      <c r="V48" s="158" t="s">
        <v>101</v>
      </c>
      <c r="W48" s="159"/>
      <c r="X48" s="160"/>
      <c r="Y48" s="51" t="s">
        <v>106</v>
      </c>
      <c r="Z48" s="51" t="s">
        <v>108</v>
      </c>
    </row>
    <row r="49" spans="1:26" ht="18" customHeight="1">
      <c r="A49" s="28"/>
      <c r="B49" s="184" t="s">
        <v>198</v>
      </c>
      <c r="C49" s="185"/>
      <c r="D49" s="185"/>
      <c r="E49" s="185"/>
      <c r="F49" s="186"/>
      <c r="G49" s="87">
        <v>2</v>
      </c>
      <c r="H49" s="87" t="s">
        <v>186</v>
      </c>
      <c r="I49" s="198" t="s">
        <v>191</v>
      </c>
      <c r="J49" s="199"/>
      <c r="K49" s="200"/>
      <c r="L49" s="87" t="s">
        <v>186</v>
      </c>
      <c r="M49" s="88"/>
      <c r="N49" s="171"/>
      <c r="O49" s="172"/>
      <c r="P49" s="172"/>
      <c r="Q49" s="172"/>
      <c r="R49" s="172"/>
      <c r="S49" s="173"/>
      <c r="T49" s="87"/>
      <c r="U49" s="87"/>
      <c r="V49" s="198"/>
      <c r="W49" s="199"/>
      <c r="X49" s="200"/>
      <c r="Y49" s="87"/>
      <c r="Z49" s="87"/>
    </row>
    <row r="50" spans="1:26" ht="18" customHeight="1">
      <c r="A50" s="28"/>
      <c r="B50" s="175" t="s">
        <v>193</v>
      </c>
      <c r="C50" s="176"/>
      <c r="D50" s="176"/>
      <c r="E50" s="176"/>
      <c r="F50" s="177"/>
      <c r="G50" s="88">
        <v>2</v>
      </c>
      <c r="H50" s="88"/>
      <c r="I50" s="168" t="s">
        <v>185</v>
      </c>
      <c r="J50" s="169"/>
      <c r="K50" s="170"/>
      <c r="L50" s="88" t="s">
        <v>186</v>
      </c>
      <c r="M50" s="88" t="s">
        <v>186</v>
      </c>
      <c r="N50" s="162"/>
      <c r="O50" s="163"/>
      <c r="P50" s="163"/>
      <c r="Q50" s="163"/>
      <c r="R50" s="163"/>
      <c r="S50" s="164"/>
      <c r="T50" s="88"/>
      <c r="U50" s="88"/>
      <c r="V50" s="168"/>
      <c r="W50" s="169"/>
      <c r="X50" s="170"/>
      <c r="Y50" s="88"/>
      <c r="Z50" s="88"/>
    </row>
    <row r="51" spans="1:26" ht="18" customHeight="1">
      <c r="A51" s="28"/>
      <c r="B51" s="175"/>
      <c r="C51" s="176"/>
      <c r="D51" s="176"/>
      <c r="E51" s="176"/>
      <c r="F51" s="177"/>
      <c r="G51" s="88"/>
      <c r="H51" s="88"/>
      <c r="I51" s="168"/>
      <c r="J51" s="169"/>
      <c r="K51" s="170"/>
      <c r="L51" s="88"/>
      <c r="M51" s="88"/>
      <c r="N51" s="162"/>
      <c r="O51" s="163"/>
      <c r="P51" s="163"/>
      <c r="Q51" s="163"/>
      <c r="R51" s="163"/>
      <c r="S51" s="164"/>
      <c r="T51" s="88"/>
      <c r="U51" s="88"/>
      <c r="V51" s="168"/>
      <c r="W51" s="169"/>
      <c r="X51" s="170"/>
      <c r="Y51" s="88"/>
      <c r="Z51" s="88"/>
    </row>
    <row r="52" spans="1:26" ht="18" customHeight="1">
      <c r="A52" s="28"/>
      <c r="B52" s="175"/>
      <c r="C52" s="176"/>
      <c r="D52" s="176"/>
      <c r="E52" s="176"/>
      <c r="F52" s="177"/>
      <c r="G52" s="88"/>
      <c r="H52" s="88"/>
      <c r="I52" s="168"/>
      <c r="J52" s="169"/>
      <c r="K52" s="170"/>
      <c r="L52" s="88"/>
      <c r="M52" s="88"/>
      <c r="N52" s="162"/>
      <c r="O52" s="163"/>
      <c r="P52" s="163"/>
      <c r="Q52" s="163"/>
      <c r="R52" s="163"/>
      <c r="S52" s="164"/>
      <c r="T52" s="88"/>
      <c r="U52" s="88"/>
      <c r="V52" s="168"/>
      <c r="W52" s="169"/>
      <c r="X52" s="170"/>
      <c r="Y52" s="88"/>
      <c r="Z52" s="88"/>
    </row>
    <row r="53" spans="1:26" ht="18" customHeight="1">
      <c r="A53" s="28"/>
      <c r="B53" s="175"/>
      <c r="C53" s="176"/>
      <c r="D53" s="176"/>
      <c r="E53" s="176"/>
      <c r="F53" s="177"/>
      <c r="G53" s="88"/>
      <c r="H53" s="88"/>
      <c r="I53" s="168"/>
      <c r="J53" s="169"/>
      <c r="K53" s="170"/>
      <c r="L53" s="88"/>
      <c r="M53" s="88"/>
      <c r="N53" s="162"/>
      <c r="O53" s="163"/>
      <c r="P53" s="163"/>
      <c r="Q53" s="163"/>
      <c r="R53" s="163"/>
      <c r="S53" s="164"/>
      <c r="T53" s="88"/>
      <c r="U53" s="88"/>
      <c r="V53" s="168"/>
      <c r="W53" s="169"/>
      <c r="X53" s="170"/>
      <c r="Y53" s="88"/>
      <c r="Z53" s="88"/>
    </row>
    <row r="54" spans="1:26" ht="18" customHeight="1">
      <c r="A54" s="28"/>
      <c r="B54" s="175"/>
      <c r="C54" s="176"/>
      <c r="D54" s="176"/>
      <c r="E54" s="176"/>
      <c r="F54" s="177"/>
      <c r="G54" s="88"/>
      <c r="H54" s="88"/>
      <c r="I54" s="168"/>
      <c r="J54" s="169"/>
      <c r="K54" s="170"/>
      <c r="L54" s="88"/>
      <c r="M54" s="88"/>
      <c r="N54" s="162"/>
      <c r="O54" s="163"/>
      <c r="P54" s="163"/>
      <c r="Q54" s="163"/>
      <c r="R54" s="163"/>
      <c r="S54" s="164"/>
      <c r="T54" s="88"/>
      <c r="U54" s="88"/>
      <c r="V54" s="168"/>
      <c r="W54" s="169"/>
      <c r="X54" s="170"/>
      <c r="Y54" s="88"/>
      <c r="Z54" s="88"/>
    </row>
    <row r="55" spans="1:26" ht="18" customHeight="1">
      <c r="A55" s="28"/>
      <c r="B55" s="178"/>
      <c r="C55" s="179"/>
      <c r="D55" s="179"/>
      <c r="E55" s="179"/>
      <c r="F55" s="180"/>
      <c r="G55" s="89"/>
      <c r="H55" s="89"/>
      <c r="I55" s="181"/>
      <c r="J55" s="182"/>
      <c r="K55" s="183"/>
      <c r="L55" s="91"/>
      <c r="M55" s="91"/>
      <c r="N55" s="165"/>
      <c r="O55" s="166"/>
      <c r="P55" s="166"/>
      <c r="Q55" s="166"/>
      <c r="R55" s="166"/>
      <c r="S55" s="167"/>
      <c r="T55" s="89"/>
      <c r="U55" s="89"/>
      <c r="V55" s="181"/>
      <c r="W55" s="182"/>
      <c r="X55" s="183"/>
      <c r="Y55" s="91"/>
      <c r="Z55" s="91"/>
    </row>
    <row r="56" spans="1:26" ht="7.5" customHeight="1">
      <c r="B56" s="53"/>
      <c r="C56" s="53"/>
      <c r="D56" s="53"/>
      <c r="E56" s="53"/>
      <c r="F56" s="53"/>
      <c r="G56" s="53"/>
      <c r="H56" s="53"/>
      <c r="I56" s="53"/>
      <c r="J56" s="53"/>
      <c r="K56" s="53"/>
      <c r="L56" s="53"/>
      <c r="M56" s="53"/>
      <c r="N56" s="53"/>
      <c r="O56" s="53"/>
      <c r="P56" s="53"/>
      <c r="Q56" s="53"/>
      <c r="R56" s="53"/>
      <c r="S56" s="53"/>
      <c r="T56" s="53"/>
      <c r="U56" s="53"/>
      <c r="V56" s="53"/>
      <c r="W56" s="53"/>
      <c r="X56" s="53"/>
      <c r="Y56" s="53"/>
    </row>
    <row r="57" spans="1:26" ht="18" customHeight="1">
      <c r="A57" s="174" t="s">
        <v>132</v>
      </c>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ht="18" customHeight="1">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ht="18" customHeight="1">
      <c r="A59" s="13"/>
      <c r="B59" s="158" t="s">
        <v>100</v>
      </c>
      <c r="C59" s="159"/>
      <c r="D59" s="159"/>
      <c r="E59" s="160"/>
      <c r="F59" s="29" t="s">
        <v>140</v>
      </c>
      <c r="G59" s="86" t="s">
        <v>139</v>
      </c>
      <c r="H59" s="81" t="s">
        <v>101</v>
      </c>
      <c r="I59" s="82"/>
      <c r="J59" s="83"/>
      <c r="K59" s="51" t="s">
        <v>105</v>
      </c>
      <c r="L59" s="51" t="s">
        <v>133</v>
      </c>
      <c r="M59" s="51" t="s">
        <v>134</v>
      </c>
      <c r="N59" s="158" t="s">
        <v>100</v>
      </c>
      <c r="O59" s="159"/>
      <c r="P59" s="159"/>
      <c r="Q59" s="159"/>
      <c r="R59" s="160"/>
      <c r="S59" s="29" t="s">
        <v>140</v>
      </c>
      <c r="T59" s="86" t="s">
        <v>139</v>
      </c>
      <c r="U59" s="81" t="s">
        <v>101</v>
      </c>
      <c r="V59" s="82"/>
      <c r="W59" s="83"/>
      <c r="X59" s="51" t="s">
        <v>105</v>
      </c>
      <c r="Y59" s="51" t="s">
        <v>133</v>
      </c>
      <c r="Z59" s="51" t="s">
        <v>134</v>
      </c>
    </row>
    <row r="60" spans="1:26" ht="18" customHeight="1">
      <c r="A60" s="28"/>
      <c r="B60" s="171" t="s">
        <v>198</v>
      </c>
      <c r="C60" s="172"/>
      <c r="D60" s="172"/>
      <c r="E60" s="173"/>
      <c r="F60" s="87">
        <v>2</v>
      </c>
      <c r="G60" s="87" t="s">
        <v>186</v>
      </c>
      <c r="H60" s="198" t="s">
        <v>191</v>
      </c>
      <c r="I60" s="199"/>
      <c r="J60" s="200"/>
      <c r="K60" s="87" t="s">
        <v>186</v>
      </c>
      <c r="L60" s="87" t="s">
        <v>186</v>
      </c>
      <c r="M60" s="87" t="s">
        <v>186</v>
      </c>
      <c r="N60" s="171"/>
      <c r="O60" s="172"/>
      <c r="P60" s="172"/>
      <c r="Q60" s="172"/>
      <c r="R60" s="173"/>
      <c r="S60" s="87"/>
      <c r="T60" s="87"/>
      <c r="U60" s="198"/>
      <c r="V60" s="199"/>
      <c r="W60" s="200"/>
      <c r="X60" s="96"/>
      <c r="Y60" s="87"/>
      <c r="Z60" s="87"/>
    </row>
    <row r="61" spans="1:26" ht="18" customHeight="1">
      <c r="A61" s="28"/>
      <c r="B61" s="162"/>
      <c r="C61" s="163"/>
      <c r="D61" s="163"/>
      <c r="E61" s="164"/>
      <c r="F61" s="88"/>
      <c r="G61" s="88"/>
      <c r="H61" s="168"/>
      <c r="I61" s="169"/>
      <c r="J61" s="170"/>
      <c r="K61" s="94"/>
      <c r="L61" s="88"/>
      <c r="M61" s="88"/>
      <c r="N61" s="162"/>
      <c r="O61" s="163"/>
      <c r="P61" s="163"/>
      <c r="Q61" s="163"/>
      <c r="R61" s="164"/>
      <c r="S61" s="88"/>
      <c r="T61" s="88"/>
      <c r="U61" s="168"/>
      <c r="V61" s="169"/>
      <c r="W61" s="170"/>
      <c r="X61" s="94"/>
      <c r="Y61" s="88"/>
      <c r="Z61" s="88"/>
    </row>
    <row r="62" spans="1:26" ht="18" customHeight="1">
      <c r="A62" s="28"/>
      <c r="B62" s="162"/>
      <c r="C62" s="163"/>
      <c r="D62" s="163"/>
      <c r="E62" s="164"/>
      <c r="F62" s="88"/>
      <c r="G62" s="88"/>
      <c r="H62" s="168"/>
      <c r="I62" s="169"/>
      <c r="J62" s="170"/>
      <c r="K62" s="94"/>
      <c r="L62" s="88"/>
      <c r="M62" s="88"/>
      <c r="N62" s="162"/>
      <c r="O62" s="163"/>
      <c r="P62" s="163"/>
      <c r="Q62" s="163"/>
      <c r="R62" s="164"/>
      <c r="S62" s="88"/>
      <c r="T62" s="88"/>
      <c r="U62" s="168"/>
      <c r="V62" s="169"/>
      <c r="W62" s="170"/>
      <c r="X62" s="94"/>
      <c r="Y62" s="88"/>
      <c r="Z62" s="88"/>
    </row>
    <row r="63" spans="1:26" ht="18" customHeight="1">
      <c r="A63" s="28"/>
      <c r="B63" s="162"/>
      <c r="C63" s="163"/>
      <c r="D63" s="163"/>
      <c r="E63" s="164"/>
      <c r="F63" s="88"/>
      <c r="G63" s="88"/>
      <c r="H63" s="168"/>
      <c r="I63" s="169"/>
      <c r="J63" s="170"/>
      <c r="K63" s="94"/>
      <c r="L63" s="88"/>
      <c r="M63" s="88"/>
      <c r="N63" s="162"/>
      <c r="O63" s="163"/>
      <c r="P63" s="163"/>
      <c r="Q63" s="163"/>
      <c r="R63" s="164"/>
      <c r="S63" s="88"/>
      <c r="T63" s="88"/>
      <c r="U63" s="168"/>
      <c r="V63" s="169"/>
      <c r="W63" s="170"/>
      <c r="X63" s="94"/>
      <c r="Y63" s="88"/>
      <c r="Z63" s="88"/>
    </row>
    <row r="64" spans="1:26" ht="18" customHeight="1">
      <c r="A64" s="28"/>
      <c r="B64" s="162"/>
      <c r="C64" s="163"/>
      <c r="D64" s="163"/>
      <c r="E64" s="164"/>
      <c r="F64" s="88"/>
      <c r="G64" s="88"/>
      <c r="H64" s="168"/>
      <c r="I64" s="169"/>
      <c r="J64" s="170"/>
      <c r="K64" s="94"/>
      <c r="L64" s="88"/>
      <c r="M64" s="88"/>
      <c r="N64" s="162"/>
      <c r="O64" s="163"/>
      <c r="P64" s="163"/>
      <c r="Q64" s="163"/>
      <c r="R64" s="164"/>
      <c r="S64" s="88"/>
      <c r="T64" s="88"/>
      <c r="U64" s="168"/>
      <c r="V64" s="169"/>
      <c r="W64" s="170"/>
      <c r="X64" s="94"/>
      <c r="Y64" s="88"/>
      <c r="Z64" s="88"/>
    </row>
    <row r="65" spans="1:27" ht="18" customHeight="1">
      <c r="A65" s="28"/>
      <c r="B65" s="162"/>
      <c r="C65" s="163"/>
      <c r="D65" s="163"/>
      <c r="E65" s="164"/>
      <c r="F65" s="88"/>
      <c r="G65" s="88"/>
      <c r="H65" s="168"/>
      <c r="I65" s="169"/>
      <c r="J65" s="170"/>
      <c r="K65" s="94"/>
      <c r="L65" s="88"/>
      <c r="M65" s="88"/>
      <c r="N65" s="162"/>
      <c r="O65" s="163"/>
      <c r="P65" s="163"/>
      <c r="Q65" s="163"/>
      <c r="R65" s="164"/>
      <c r="S65" s="88"/>
      <c r="T65" s="88"/>
      <c r="U65" s="168"/>
      <c r="V65" s="169"/>
      <c r="W65" s="170"/>
      <c r="X65" s="94"/>
      <c r="Y65" s="88"/>
      <c r="Z65" s="88"/>
    </row>
    <row r="66" spans="1:27" ht="18" customHeight="1">
      <c r="A66" s="28"/>
      <c r="B66" s="165"/>
      <c r="C66" s="166"/>
      <c r="D66" s="166"/>
      <c r="E66" s="167"/>
      <c r="F66" s="89"/>
      <c r="G66" s="89"/>
      <c r="H66" s="181"/>
      <c r="I66" s="182"/>
      <c r="J66" s="183"/>
      <c r="K66" s="95"/>
      <c r="L66" s="91"/>
      <c r="M66" s="91"/>
      <c r="N66" s="165"/>
      <c r="O66" s="166"/>
      <c r="P66" s="166"/>
      <c r="Q66" s="166"/>
      <c r="R66" s="167"/>
      <c r="S66" s="89"/>
      <c r="T66" s="89"/>
      <c r="U66" s="181"/>
      <c r="V66" s="182"/>
      <c r="W66" s="183"/>
      <c r="X66" s="95"/>
      <c r="Y66" s="91"/>
      <c r="Z66" s="91"/>
    </row>
    <row r="67" spans="1:27" ht="7.5" customHeight="1">
      <c r="B67" s="53"/>
      <c r="C67" s="53"/>
      <c r="D67" s="53"/>
      <c r="E67" s="53"/>
      <c r="F67" s="53"/>
      <c r="G67" s="53"/>
      <c r="H67" s="53"/>
      <c r="I67" s="53"/>
      <c r="J67" s="53"/>
      <c r="K67" s="53"/>
      <c r="L67" s="53"/>
      <c r="M67" s="53"/>
      <c r="N67" s="53"/>
      <c r="O67" s="53"/>
      <c r="P67" s="53"/>
      <c r="Q67" s="53"/>
      <c r="R67" s="53"/>
      <c r="S67" s="53"/>
      <c r="T67" s="53"/>
      <c r="U67" s="53"/>
      <c r="V67" s="53"/>
      <c r="W67" s="53"/>
      <c r="X67" s="53"/>
      <c r="Y67" s="53"/>
    </row>
    <row r="68" spans="1:27" ht="18" customHeight="1">
      <c r="A68" s="49" t="s">
        <v>135</v>
      </c>
      <c r="B68" s="49"/>
      <c r="C68" s="49"/>
      <c r="D68" s="49"/>
      <c r="E68" s="49"/>
      <c r="F68" s="49"/>
      <c r="G68" s="49"/>
      <c r="H68" s="49"/>
      <c r="I68" s="49"/>
      <c r="J68" s="49"/>
      <c r="K68" s="49"/>
      <c r="L68" s="133"/>
      <c r="M68" s="133"/>
      <c r="N68" s="133"/>
      <c r="O68" s="133"/>
      <c r="P68" s="133"/>
      <c r="Q68" s="133"/>
      <c r="R68" s="133"/>
      <c r="S68" s="133"/>
      <c r="T68" s="133"/>
      <c r="U68" s="133"/>
      <c r="V68" s="133"/>
      <c r="W68" s="133"/>
      <c r="X68" s="133"/>
      <c r="Y68" s="133"/>
      <c r="Z68" s="133"/>
      <c r="AA68" s="116"/>
    </row>
    <row r="69" spans="1:27" ht="18" customHeight="1">
      <c r="A69" s="13"/>
      <c r="B69" s="158" t="s">
        <v>100</v>
      </c>
      <c r="C69" s="159"/>
      <c r="D69" s="159"/>
      <c r="E69" s="159"/>
      <c r="F69" s="160"/>
      <c r="G69" s="158" t="s">
        <v>145</v>
      </c>
      <c r="H69" s="159"/>
      <c r="I69" s="159"/>
      <c r="J69" s="159"/>
      <c r="K69" s="159"/>
      <c r="L69" s="159"/>
      <c r="M69" s="160"/>
      <c r="N69" s="201" t="s">
        <v>100</v>
      </c>
      <c r="O69" s="202"/>
      <c r="P69" s="202"/>
      <c r="Q69" s="202"/>
      <c r="R69" s="202"/>
      <c r="S69" s="203"/>
      <c r="T69" s="158" t="s">
        <v>145</v>
      </c>
      <c r="U69" s="159"/>
      <c r="V69" s="159"/>
      <c r="W69" s="159"/>
      <c r="X69" s="159"/>
      <c r="Y69" s="159"/>
      <c r="Z69" s="160"/>
    </row>
    <row r="70" spans="1:27" ht="18" customHeight="1">
      <c r="A70" s="28"/>
      <c r="B70" s="171" t="s">
        <v>199</v>
      </c>
      <c r="C70" s="172"/>
      <c r="D70" s="172"/>
      <c r="E70" s="172"/>
      <c r="F70" s="173"/>
      <c r="G70" s="204" t="s">
        <v>200</v>
      </c>
      <c r="H70" s="205"/>
      <c r="I70" s="205"/>
      <c r="J70" s="205"/>
      <c r="K70" s="205"/>
      <c r="L70" s="205"/>
      <c r="M70" s="206"/>
      <c r="N70" s="171"/>
      <c r="O70" s="172"/>
      <c r="P70" s="172"/>
      <c r="Q70" s="172"/>
      <c r="R70" s="172"/>
      <c r="S70" s="173"/>
      <c r="T70" s="204"/>
      <c r="U70" s="205"/>
      <c r="V70" s="205"/>
      <c r="W70" s="205"/>
      <c r="X70" s="205"/>
      <c r="Y70" s="205"/>
      <c r="Z70" s="206"/>
    </row>
    <row r="71" spans="1:27" ht="18" customHeight="1">
      <c r="A71" s="28"/>
      <c r="B71" s="162"/>
      <c r="C71" s="163"/>
      <c r="D71" s="163"/>
      <c r="E71" s="163"/>
      <c r="F71" s="164"/>
      <c r="G71" s="222"/>
      <c r="H71" s="223"/>
      <c r="I71" s="223"/>
      <c r="J71" s="223"/>
      <c r="K71" s="223"/>
      <c r="L71" s="223"/>
      <c r="M71" s="224"/>
      <c r="N71" s="162"/>
      <c r="O71" s="163"/>
      <c r="P71" s="163"/>
      <c r="Q71" s="163"/>
      <c r="R71" s="163"/>
      <c r="S71" s="164"/>
      <c r="T71" s="222"/>
      <c r="U71" s="223"/>
      <c r="V71" s="223"/>
      <c r="W71" s="223"/>
      <c r="X71" s="223"/>
      <c r="Y71" s="223"/>
      <c r="Z71" s="224"/>
    </row>
    <row r="72" spans="1:27" ht="18" customHeight="1">
      <c r="A72" s="28"/>
      <c r="B72" s="162"/>
      <c r="C72" s="163"/>
      <c r="D72" s="163"/>
      <c r="E72" s="163"/>
      <c r="F72" s="164"/>
      <c r="G72" s="222"/>
      <c r="H72" s="223"/>
      <c r="I72" s="223"/>
      <c r="J72" s="223"/>
      <c r="K72" s="223"/>
      <c r="L72" s="223"/>
      <c r="M72" s="224"/>
      <c r="N72" s="162"/>
      <c r="O72" s="163"/>
      <c r="P72" s="163"/>
      <c r="Q72" s="163"/>
      <c r="R72" s="163"/>
      <c r="S72" s="164"/>
      <c r="T72" s="222"/>
      <c r="U72" s="223"/>
      <c r="V72" s="223"/>
      <c r="W72" s="223"/>
      <c r="X72" s="223"/>
      <c r="Y72" s="223"/>
      <c r="Z72" s="224"/>
    </row>
    <row r="73" spans="1:27" ht="18" customHeight="1">
      <c r="A73" s="28"/>
      <c r="B73" s="162"/>
      <c r="C73" s="163"/>
      <c r="D73" s="163"/>
      <c r="E73" s="163"/>
      <c r="F73" s="164"/>
      <c r="G73" s="222"/>
      <c r="H73" s="223"/>
      <c r="I73" s="223"/>
      <c r="J73" s="223"/>
      <c r="K73" s="223"/>
      <c r="L73" s="223"/>
      <c r="M73" s="224"/>
      <c r="N73" s="162"/>
      <c r="O73" s="163"/>
      <c r="P73" s="163"/>
      <c r="Q73" s="163"/>
      <c r="R73" s="163"/>
      <c r="S73" s="164"/>
      <c r="T73" s="222"/>
      <c r="U73" s="223"/>
      <c r="V73" s="223"/>
      <c r="W73" s="223"/>
      <c r="X73" s="223"/>
      <c r="Y73" s="223"/>
      <c r="Z73" s="224"/>
    </row>
    <row r="74" spans="1:27" ht="18" customHeight="1">
      <c r="A74" s="28"/>
      <c r="B74" s="162"/>
      <c r="C74" s="163"/>
      <c r="D74" s="163"/>
      <c r="E74" s="163"/>
      <c r="F74" s="164"/>
      <c r="G74" s="222"/>
      <c r="H74" s="223"/>
      <c r="I74" s="223"/>
      <c r="J74" s="223"/>
      <c r="K74" s="223"/>
      <c r="L74" s="223"/>
      <c r="M74" s="224"/>
      <c r="N74" s="162"/>
      <c r="O74" s="163"/>
      <c r="P74" s="163"/>
      <c r="Q74" s="163"/>
      <c r="R74" s="163"/>
      <c r="S74" s="164"/>
      <c r="T74" s="222"/>
      <c r="U74" s="223"/>
      <c r="V74" s="223"/>
      <c r="W74" s="223"/>
      <c r="X74" s="223"/>
      <c r="Y74" s="223"/>
      <c r="Z74" s="224"/>
    </row>
    <row r="75" spans="1:27" ht="18" customHeight="1">
      <c r="A75" s="28"/>
      <c r="B75" s="162"/>
      <c r="C75" s="163"/>
      <c r="D75" s="163"/>
      <c r="E75" s="163"/>
      <c r="F75" s="164"/>
      <c r="G75" s="222"/>
      <c r="H75" s="223"/>
      <c r="I75" s="223"/>
      <c r="J75" s="223"/>
      <c r="K75" s="223"/>
      <c r="L75" s="223"/>
      <c r="M75" s="224"/>
      <c r="N75" s="162"/>
      <c r="O75" s="163"/>
      <c r="P75" s="163"/>
      <c r="Q75" s="163"/>
      <c r="R75" s="163"/>
      <c r="S75" s="164"/>
      <c r="T75" s="222"/>
      <c r="U75" s="223"/>
      <c r="V75" s="223"/>
      <c r="W75" s="223"/>
      <c r="X75" s="223"/>
      <c r="Y75" s="223"/>
      <c r="Z75" s="224"/>
    </row>
    <row r="76" spans="1:27" ht="18" customHeight="1">
      <c r="A76" s="28"/>
      <c r="B76" s="165"/>
      <c r="C76" s="166"/>
      <c r="D76" s="166"/>
      <c r="E76" s="166"/>
      <c r="F76" s="167"/>
      <c r="G76" s="219"/>
      <c r="H76" s="220"/>
      <c r="I76" s="220"/>
      <c r="J76" s="220"/>
      <c r="K76" s="220"/>
      <c r="L76" s="220"/>
      <c r="M76" s="221"/>
      <c r="N76" s="165"/>
      <c r="O76" s="166"/>
      <c r="P76" s="166"/>
      <c r="Q76" s="166"/>
      <c r="R76" s="166"/>
      <c r="S76" s="167"/>
      <c r="T76" s="219"/>
      <c r="U76" s="220"/>
      <c r="V76" s="220"/>
      <c r="W76" s="220"/>
      <c r="X76" s="220"/>
      <c r="Y76" s="220"/>
      <c r="Z76" s="221"/>
    </row>
    <row r="77" spans="1:27" ht="18" customHeight="1">
      <c r="A77" s="28"/>
      <c r="B77" s="92"/>
      <c r="C77" s="92"/>
      <c r="D77" s="92"/>
      <c r="E77" s="92"/>
      <c r="F77" s="92"/>
      <c r="G77" s="11"/>
      <c r="H77" s="11"/>
      <c r="I77" s="11"/>
      <c r="J77" s="11"/>
      <c r="K77" s="11"/>
      <c r="L77" s="11"/>
      <c r="M77" s="11"/>
      <c r="N77" s="92"/>
      <c r="O77" s="92"/>
      <c r="P77" s="92"/>
      <c r="Q77" s="92"/>
      <c r="R77" s="92"/>
      <c r="S77" s="92"/>
      <c r="T77" s="11"/>
      <c r="U77" s="11"/>
      <c r="V77" s="11"/>
      <c r="W77" s="11"/>
      <c r="X77" s="11"/>
      <c r="Y77" s="11"/>
      <c r="Z77" s="11"/>
    </row>
    <row r="78" spans="1:27" ht="18.75" customHeight="1">
      <c r="A78" s="116" t="s">
        <v>141</v>
      </c>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7" ht="18.75" customHeight="1">
      <c r="B79" s="54" t="s">
        <v>102</v>
      </c>
      <c r="C79" s="55"/>
      <c r="D79" s="257" t="s">
        <v>103</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7" ht="78" customHeight="1">
      <c r="B80" s="237" t="s">
        <v>109</v>
      </c>
      <c r="C80" s="60" t="s">
        <v>104</v>
      </c>
      <c r="D80" s="250" t="s">
        <v>201</v>
      </c>
      <c r="E80" s="251"/>
      <c r="F80" s="251"/>
      <c r="G80" s="251"/>
      <c r="H80" s="251"/>
      <c r="I80" s="251"/>
      <c r="J80" s="251"/>
      <c r="K80" s="251"/>
      <c r="L80" s="251"/>
      <c r="M80" s="251"/>
      <c r="N80" s="251"/>
      <c r="O80" s="251"/>
      <c r="P80" s="251"/>
      <c r="Q80" s="251"/>
      <c r="R80" s="251"/>
      <c r="S80" s="251"/>
      <c r="T80" s="251"/>
      <c r="U80" s="251"/>
      <c r="V80" s="251"/>
      <c r="W80" s="251"/>
      <c r="X80" s="251"/>
      <c r="Y80" s="251"/>
      <c r="Z80" s="252"/>
    </row>
    <row r="81" spans="1:26" ht="78" customHeight="1">
      <c r="B81" s="238"/>
      <c r="C81" s="84" t="s">
        <v>136</v>
      </c>
      <c r="D81" s="225" t="s">
        <v>202</v>
      </c>
      <c r="E81" s="226"/>
      <c r="F81" s="226"/>
      <c r="G81" s="226"/>
      <c r="H81" s="226"/>
      <c r="I81" s="226"/>
      <c r="J81" s="226"/>
      <c r="K81" s="226"/>
      <c r="L81" s="226"/>
      <c r="M81" s="226"/>
      <c r="N81" s="226"/>
      <c r="O81" s="226"/>
      <c r="P81" s="226"/>
      <c r="Q81" s="226"/>
      <c r="R81" s="226"/>
      <c r="S81" s="226"/>
      <c r="T81" s="226"/>
      <c r="U81" s="226"/>
      <c r="V81" s="226"/>
      <c r="W81" s="226"/>
      <c r="X81" s="226"/>
      <c r="Y81" s="226"/>
      <c r="Z81" s="227"/>
    </row>
    <row r="82" spans="1:26" ht="78" customHeight="1">
      <c r="B82" s="256" t="s">
        <v>110</v>
      </c>
      <c r="C82" s="56" t="s">
        <v>126</v>
      </c>
      <c r="D82" s="236" t="s">
        <v>203</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c r="B83" s="239"/>
      <c r="C83" s="85" t="s">
        <v>127</v>
      </c>
      <c r="D83" s="233" t="s">
        <v>208</v>
      </c>
      <c r="E83" s="234"/>
      <c r="F83" s="234"/>
      <c r="G83" s="234"/>
      <c r="H83" s="234"/>
      <c r="I83" s="234"/>
      <c r="J83" s="234"/>
      <c r="K83" s="234"/>
      <c r="L83" s="234"/>
      <c r="M83" s="234"/>
      <c r="N83" s="234"/>
      <c r="O83" s="234"/>
      <c r="P83" s="234"/>
      <c r="Q83" s="234"/>
      <c r="R83" s="234"/>
      <c r="S83" s="234"/>
      <c r="T83" s="234"/>
      <c r="U83" s="234"/>
      <c r="V83" s="234"/>
      <c r="W83" s="234"/>
      <c r="X83" s="234"/>
      <c r="Y83" s="234"/>
      <c r="Z83" s="235"/>
    </row>
    <row r="84" spans="1:26" ht="66" customHeight="1">
      <c r="B84" s="256" t="s">
        <v>111</v>
      </c>
      <c r="C84" s="56" t="s">
        <v>129</v>
      </c>
      <c r="D84" s="236" t="s">
        <v>205</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c r="B85" s="239"/>
      <c r="C85" s="58" t="s">
        <v>130</v>
      </c>
      <c r="D85" s="230" t="s">
        <v>204</v>
      </c>
      <c r="E85" s="231"/>
      <c r="F85" s="231"/>
      <c r="G85" s="231"/>
      <c r="H85" s="231"/>
      <c r="I85" s="231"/>
      <c r="J85" s="231"/>
      <c r="K85" s="231"/>
      <c r="L85" s="231"/>
      <c r="M85" s="231"/>
      <c r="N85" s="231"/>
      <c r="O85" s="231"/>
      <c r="P85" s="231"/>
      <c r="Q85" s="231"/>
      <c r="R85" s="231"/>
      <c r="S85" s="231"/>
      <c r="T85" s="231"/>
      <c r="U85" s="231"/>
      <c r="V85" s="231"/>
      <c r="W85" s="231"/>
      <c r="X85" s="231"/>
      <c r="Y85" s="231"/>
      <c r="Z85" s="232"/>
    </row>
    <row r="86" spans="1:26" ht="66" customHeight="1">
      <c r="B86" s="237" t="s">
        <v>137</v>
      </c>
      <c r="C86" s="60" t="s">
        <v>106</v>
      </c>
      <c r="D86" s="250" t="s">
        <v>210</v>
      </c>
      <c r="E86" s="251"/>
      <c r="F86" s="251"/>
      <c r="G86" s="251"/>
      <c r="H86" s="251"/>
      <c r="I86" s="251"/>
      <c r="J86" s="251"/>
      <c r="K86" s="251"/>
      <c r="L86" s="251"/>
      <c r="M86" s="251"/>
      <c r="N86" s="251"/>
      <c r="O86" s="251"/>
      <c r="P86" s="251"/>
      <c r="Q86" s="251"/>
      <c r="R86" s="251"/>
      <c r="S86" s="251"/>
      <c r="T86" s="251"/>
      <c r="U86" s="251"/>
      <c r="V86" s="251"/>
      <c r="W86" s="251"/>
      <c r="X86" s="251"/>
      <c r="Y86" s="251"/>
      <c r="Z86" s="252"/>
    </row>
    <row r="87" spans="1:26" ht="66" customHeight="1">
      <c r="B87" s="246"/>
      <c r="C87" s="57" t="s">
        <v>108</v>
      </c>
      <c r="D87" s="253" t="s">
        <v>211</v>
      </c>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87.75" customHeight="1">
      <c r="B88" s="237" t="s">
        <v>138</v>
      </c>
      <c r="C88" s="56" t="s">
        <v>105</v>
      </c>
      <c r="D88" s="240" t="s">
        <v>209</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39.75" customHeight="1">
      <c r="B89" s="238"/>
      <c r="C89" s="57" t="s">
        <v>133</v>
      </c>
      <c r="D89" s="247" t="s">
        <v>206</v>
      </c>
      <c r="E89" s="248"/>
      <c r="F89" s="248"/>
      <c r="G89" s="248"/>
      <c r="H89" s="248"/>
      <c r="I89" s="248"/>
      <c r="J89" s="248"/>
      <c r="K89" s="248"/>
      <c r="L89" s="248"/>
      <c r="M89" s="248"/>
      <c r="N89" s="248"/>
      <c r="O89" s="248"/>
      <c r="P89" s="248"/>
      <c r="Q89" s="248"/>
      <c r="R89" s="248"/>
      <c r="S89" s="248"/>
      <c r="T89" s="248"/>
      <c r="U89" s="248"/>
      <c r="V89" s="248"/>
      <c r="W89" s="248"/>
      <c r="X89" s="248"/>
      <c r="Y89" s="248"/>
      <c r="Z89" s="249"/>
    </row>
    <row r="90" spans="1:26" ht="57" customHeight="1">
      <c r="B90" s="239"/>
      <c r="C90" s="58" t="s">
        <v>134</v>
      </c>
      <c r="D90" s="244" t="s">
        <v>207</v>
      </c>
      <c r="E90" s="244"/>
      <c r="F90" s="244"/>
      <c r="G90" s="244"/>
      <c r="H90" s="244"/>
      <c r="I90" s="244"/>
      <c r="J90" s="244"/>
      <c r="K90" s="244"/>
      <c r="L90" s="244"/>
      <c r="M90" s="244"/>
      <c r="N90" s="244"/>
      <c r="O90" s="244"/>
      <c r="P90" s="244"/>
      <c r="Q90" s="244"/>
      <c r="R90" s="244"/>
      <c r="S90" s="244"/>
      <c r="T90" s="244"/>
      <c r="U90" s="244"/>
      <c r="V90" s="244"/>
      <c r="W90" s="244"/>
      <c r="X90" s="244"/>
      <c r="Y90" s="244"/>
      <c r="Z90" s="245"/>
    </row>
    <row r="91" spans="1:26" ht="6" customHeight="1"/>
    <row r="92" spans="1:26" ht="18.75" customHeight="1">
      <c r="A92" s="12" t="s">
        <v>142</v>
      </c>
    </row>
    <row r="93" spans="1:26" ht="18.75" customHeight="1">
      <c r="B93" s="281" t="s">
        <v>194</v>
      </c>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3"/>
    </row>
    <row r="94" spans="1:26" ht="18.75" customHeight="1">
      <c r="B94" s="284"/>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6"/>
    </row>
    <row r="95" spans="1:26" ht="18.75" customHeight="1">
      <c r="B95" s="287"/>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5"/>
    </row>
    <row r="96" spans="1:26" ht="6" customHeight="1"/>
    <row r="97" spans="1:26" ht="15" customHeight="1">
      <c r="A97" s="12" t="s">
        <v>143</v>
      </c>
    </row>
    <row r="98" spans="1:26" ht="15" customHeight="1">
      <c r="B98" s="216" t="s">
        <v>231</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C712B5D5-1789-4D62-B414-B7DC6D416CC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DD79EA0C-C3FF-406E-A2B5-716500048666}">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CB93AC0A-C215-459F-AFE8-4CDABF848209}">
      <formula1>"全学開講,一部開講"</formula1>
    </dataValidation>
    <dataValidation type="list" allowBlank="1" showInputMessage="1" showErrorMessage="1" sqref="Y16:Z22 L16:M22 Y27:Z33 H27:H33 H38:H44 Y38:Z44 H49:H55 Y49:Z55 Y60:Z66 L60:M66 H16:H22 U16:U22 T60:T66 U27:U33 L27:M33 U38:U44 L38:M44 U49:U55 G60:G66 K60 L49:M55" xr:uid="{EDEBA871-1AF3-4E36-8B89-3E9BD4568A3B}">
      <formula1>"○"</formula1>
    </dataValidation>
  </dataValidations>
  <hyperlinks>
    <hyperlink ref="B98" r:id="rId1" xr:uid="{5BDF9325-B0CD-4BF6-B74D-A63EBA17F779}"/>
  </hyperlinks>
  <printOptions horizontalCentered="1"/>
  <pageMargins left="0.78740157480314965" right="0.78740157480314965" top="0.6889763779527559" bottom="0.29527559055118113" header="0.31496062992125984" footer="0.31496062992125984"/>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637C-5BDB-4009-B13E-F585CEB0C430}">
  <dimension ref="A1:T30"/>
  <sheetViews>
    <sheetView tabSelected="1" view="pageBreakPreview" zoomScaleNormal="100" zoomScaleSheetLayoutView="100" workbookViewId="0">
      <selection activeCell="F11" sqref="F11"/>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94" t="s">
        <v>63</v>
      </c>
      <c r="G1" s="294"/>
      <c r="H1" s="294"/>
      <c r="I1" s="294"/>
      <c r="J1" s="294"/>
      <c r="K1" s="294"/>
      <c r="L1" s="294"/>
      <c r="M1" s="294"/>
      <c r="N1" s="294"/>
      <c r="O1" s="294"/>
      <c r="P1" s="294"/>
      <c r="Q1" s="294"/>
      <c r="R1" s="294"/>
    </row>
    <row r="2" spans="1:20" ht="18" customHeight="1">
      <c r="A2" s="295" t="s">
        <v>89</v>
      </c>
      <c r="B2" s="295"/>
      <c r="C2" s="295"/>
      <c r="D2" s="295"/>
      <c r="E2" s="295"/>
      <c r="F2" s="295"/>
      <c r="G2" s="295"/>
      <c r="H2" s="295"/>
      <c r="I2" s="295"/>
      <c r="J2" s="295"/>
      <c r="K2" s="295"/>
      <c r="L2" s="295"/>
      <c r="M2" s="295"/>
      <c r="N2" s="295"/>
      <c r="O2" s="295"/>
      <c r="P2" s="295"/>
      <c r="Q2" s="295"/>
      <c r="R2" s="295"/>
      <c r="S2" s="4"/>
    </row>
    <row r="3" spans="1:20" ht="7.5" customHeight="1">
      <c r="A3" s="111"/>
      <c r="B3" s="111"/>
      <c r="C3" s="111"/>
      <c r="D3" s="111"/>
      <c r="E3" s="111"/>
      <c r="F3" s="111"/>
      <c r="G3" s="111"/>
      <c r="H3" s="111"/>
      <c r="I3" s="111"/>
      <c r="J3" s="111"/>
      <c r="K3" s="111"/>
      <c r="L3" s="111"/>
      <c r="M3" s="111"/>
      <c r="N3" s="111"/>
      <c r="O3" s="111"/>
      <c r="P3" s="111"/>
      <c r="Q3" s="111"/>
      <c r="R3" s="111"/>
    </row>
    <row r="4" spans="1:20" ht="18" customHeight="1">
      <c r="A4" s="4" t="s">
        <v>146</v>
      </c>
      <c r="B4" s="4"/>
      <c r="C4" s="296" t="str">
        <f>'様式１　大学等概要'!E12</f>
        <v>令和3</v>
      </c>
      <c r="D4" s="297"/>
      <c r="E4" s="111" t="s">
        <v>96</v>
      </c>
      <c r="F4" s="111"/>
      <c r="G4" s="111"/>
      <c r="H4" s="111"/>
      <c r="I4" s="111"/>
      <c r="J4" s="61"/>
      <c r="K4" s="111"/>
      <c r="L4" s="111"/>
      <c r="M4" s="40"/>
      <c r="N4" s="40"/>
      <c r="O4" s="40"/>
      <c r="P4" s="40"/>
      <c r="Q4" s="40"/>
      <c r="R4" s="40"/>
    </row>
    <row r="5" spans="1:20" ht="6" customHeight="1">
      <c r="A5" s="111"/>
      <c r="B5" s="111"/>
      <c r="C5" s="111"/>
      <c r="D5" s="111"/>
      <c r="E5" s="111"/>
      <c r="F5" s="111"/>
      <c r="G5" s="111"/>
      <c r="H5" s="111"/>
      <c r="I5" s="111"/>
      <c r="J5" s="111"/>
      <c r="K5" s="111"/>
      <c r="L5" s="111"/>
      <c r="M5" s="111"/>
      <c r="N5" s="111"/>
      <c r="O5" s="111"/>
      <c r="P5" s="111"/>
      <c r="Q5" s="111"/>
      <c r="R5" s="111"/>
    </row>
    <row r="6" spans="1:20" ht="18" customHeight="1">
      <c r="A6" s="4" t="s">
        <v>144</v>
      </c>
      <c r="B6" s="111"/>
      <c r="C6" s="111"/>
      <c r="D6" s="111"/>
      <c r="E6" s="111"/>
      <c r="F6" s="111"/>
      <c r="G6" s="111"/>
      <c r="H6" s="111"/>
      <c r="I6" s="111"/>
      <c r="J6" s="111"/>
      <c r="K6" s="111"/>
      <c r="L6" s="111"/>
      <c r="M6" s="111"/>
      <c r="N6" s="111"/>
      <c r="O6" s="111"/>
      <c r="P6" s="111"/>
      <c r="Q6" s="111"/>
      <c r="R6" s="111"/>
    </row>
    <row r="7" spans="1:20" ht="6" customHeight="1">
      <c r="A7" s="4"/>
      <c r="B7" s="111"/>
      <c r="C7" s="111"/>
      <c r="D7" s="111"/>
      <c r="E7" s="111"/>
      <c r="F7" s="111"/>
      <c r="G7" s="111"/>
      <c r="H7" s="111"/>
      <c r="I7" s="111"/>
      <c r="J7" s="111"/>
      <c r="K7" s="111"/>
      <c r="L7" s="111"/>
      <c r="M7" s="111"/>
      <c r="N7" s="111"/>
      <c r="O7" s="111"/>
      <c r="P7" s="111"/>
      <c r="Q7" s="111"/>
      <c r="R7" s="111"/>
    </row>
    <row r="8" spans="1:20" ht="18" customHeight="1">
      <c r="B8" s="298" t="s">
        <v>79</v>
      </c>
      <c r="C8" s="300" t="s">
        <v>84</v>
      </c>
      <c r="D8" s="302" t="s">
        <v>68</v>
      </c>
      <c r="E8" s="304" t="s">
        <v>90</v>
      </c>
      <c r="F8" s="304"/>
      <c r="G8" s="304" t="s">
        <v>91</v>
      </c>
      <c r="H8" s="304"/>
      <c r="I8" s="304" t="s">
        <v>92</v>
      </c>
      <c r="J8" s="304"/>
      <c r="K8" s="288" t="s">
        <v>93</v>
      </c>
      <c r="L8" s="289"/>
      <c r="M8" s="288" t="s">
        <v>94</v>
      </c>
      <c r="N8" s="289"/>
      <c r="O8" s="288" t="s">
        <v>95</v>
      </c>
      <c r="P8" s="289"/>
      <c r="Q8" s="290" t="s">
        <v>62</v>
      </c>
      <c r="R8" s="292" t="s">
        <v>56</v>
      </c>
      <c r="T8" s="31"/>
    </row>
    <row r="9" spans="1:20" ht="18" customHeight="1">
      <c r="A9" s="4"/>
      <c r="B9" s="299"/>
      <c r="C9" s="301"/>
      <c r="D9" s="303"/>
      <c r="E9" s="36" t="s">
        <v>44</v>
      </c>
      <c r="F9" s="37" t="s">
        <v>43</v>
      </c>
      <c r="G9" s="38" t="s">
        <v>44</v>
      </c>
      <c r="H9" s="39" t="s">
        <v>43</v>
      </c>
      <c r="I9" s="36" t="s">
        <v>44</v>
      </c>
      <c r="J9" s="37" t="s">
        <v>43</v>
      </c>
      <c r="K9" s="38" t="s">
        <v>44</v>
      </c>
      <c r="L9" s="39" t="s">
        <v>43</v>
      </c>
      <c r="M9" s="36" t="s">
        <v>44</v>
      </c>
      <c r="N9" s="37" t="s">
        <v>43</v>
      </c>
      <c r="O9" s="38" t="s">
        <v>44</v>
      </c>
      <c r="P9" s="39" t="s">
        <v>43</v>
      </c>
      <c r="Q9" s="291"/>
      <c r="R9" s="293"/>
      <c r="T9" s="31"/>
    </row>
    <row r="10" spans="1:20" ht="18" customHeight="1">
      <c r="A10" s="40"/>
      <c r="B10" s="62" t="s">
        <v>165</v>
      </c>
      <c r="C10" s="40">
        <v>580</v>
      </c>
      <c r="D10" s="41">
        <v>2320</v>
      </c>
      <c r="E10" s="126">
        <v>812</v>
      </c>
      <c r="F10" s="125">
        <v>0</v>
      </c>
      <c r="G10" s="124">
        <v>0</v>
      </c>
      <c r="H10" s="123">
        <v>0</v>
      </c>
      <c r="I10" s="124">
        <v>0</v>
      </c>
      <c r="J10" s="123">
        <v>0</v>
      </c>
      <c r="K10" s="124">
        <v>0</v>
      </c>
      <c r="L10" s="123">
        <v>0</v>
      </c>
      <c r="M10" s="124">
        <v>0</v>
      </c>
      <c r="N10" s="123">
        <v>0</v>
      </c>
      <c r="O10" s="124">
        <v>0</v>
      </c>
      <c r="P10" s="123">
        <v>0</v>
      </c>
      <c r="Q10" s="132">
        <f>E10+G10+I10+K10+M10+O10</f>
        <v>812</v>
      </c>
      <c r="R10" s="42">
        <f>Q10/D10</f>
        <v>0.35</v>
      </c>
    </row>
    <row r="11" spans="1:20" ht="18" customHeight="1">
      <c r="A11" s="40"/>
      <c r="B11" s="63" t="s">
        <v>166</v>
      </c>
      <c r="C11" s="46">
        <v>110</v>
      </c>
      <c r="D11" s="43">
        <v>440</v>
      </c>
      <c r="E11" s="131">
        <v>216</v>
      </c>
      <c r="F11" s="130">
        <v>53</v>
      </c>
      <c r="G11" s="129">
        <v>0</v>
      </c>
      <c r="H11" s="128">
        <v>0</v>
      </c>
      <c r="I11" s="129">
        <v>0</v>
      </c>
      <c r="J11" s="128">
        <v>0</v>
      </c>
      <c r="K11" s="129">
        <v>0</v>
      </c>
      <c r="L11" s="128">
        <v>0</v>
      </c>
      <c r="M11" s="129">
        <v>0</v>
      </c>
      <c r="N11" s="128">
        <v>0</v>
      </c>
      <c r="O11" s="129">
        <v>0</v>
      </c>
      <c r="P11" s="128">
        <v>0</v>
      </c>
      <c r="Q11" s="127">
        <f>E11+G11+I11+K11+M11+O11</f>
        <v>216</v>
      </c>
      <c r="R11" s="45">
        <f>Q11/D11</f>
        <v>0.49090909090909091</v>
      </c>
    </row>
    <row r="12" spans="1:20" ht="18" customHeight="1">
      <c r="A12" s="40"/>
      <c r="B12" s="63"/>
      <c r="C12" s="46"/>
      <c r="D12" s="43"/>
      <c r="E12" s="131"/>
      <c r="F12" s="130"/>
      <c r="G12" s="129"/>
      <c r="H12" s="128"/>
      <c r="I12" s="131"/>
      <c r="J12" s="130"/>
      <c r="K12" s="129"/>
      <c r="L12" s="128"/>
      <c r="M12" s="131"/>
      <c r="N12" s="130"/>
      <c r="O12" s="129"/>
      <c r="P12" s="128"/>
      <c r="Q12" s="127"/>
      <c r="R12" s="45"/>
    </row>
    <row r="13" spans="1:20" ht="18" customHeight="1">
      <c r="A13" s="40"/>
      <c r="B13" s="63"/>
      <c r="C13" s="46"/>
      <c r="D13" s="43"/>
      <c r="E13" s="131"/>
      <c r="F13" s="130"/>
      <c r="G13" s="129"/>
      <c r="H13" s="128"/>
      <c r="I13" s="131"/>
      <c r="J13" s="130"/>
      <c r="K13" s="129"/>
      <c r="L13" s="128"/>
      <c r="M13" s="131"/>
      <c r="N13" s="130"/>
      <c r="O13" s="129"/>
      <c r="P13" s="128"/>
      <c r="Q13" s="127"/>
      <c r="R13" s="45"/>
    </row>
    <row r="14" spans="1:20" ht="18" customHeight="1">
      <c r="A14" s="40"/>
      <c r="B14" s="63"/>
      <c r="C14" s="46"/>
      <c r="D14" s="43"/>
      <c r="E14" s="131"/>
      <c r="F14" s="130"/>
      <c r="G14" s="129"/>
      <c r="H14" s="128"/>
      <c r="I14" s="131"/>
      <c r="J14" s="130"/>
      <c r="K14" s="129"/>
      <c r="L14" s="128"/>
      <c r="M14" s="131"/>
      <c r="N14" s="130"/>
      <c r="O14" s="129"/>
      <c r="P14" s="128"/>
      <c r="Q14" s="127"/>
      <c r="R14" s="45"/>
    </row>
    <row r="15" spans="1:20" ht="18" customHeight="1">
      <c r="A15" s="40"/>
      <c r="B15" s="63"/>
      <c r="C15" s="46"/>
      <c r="D15" s="43"/>
      <c r="E15" s="131"/>
      <c r="F15" s="130"/>
      <c r="G15" s="129"/>
      <c r="H15" s="128"/>
      <c r="I15" s="131"/>
      <c r="J15" s="130"/>
      <c r="K15" s="129"/>
      <c r="L15" s="128"/>
      <c r="M15" s="131"/>
      <c r="N15" s="130"/>
      <c r="O15" s="129"/>
      <c r="P15" s="128"/>
      <c r="Q15" s="127"/>
      <c r="R15" s="45"/>
    </row>
    <row r="16" spans="1:20" ht="18" customHeight="1">
      <c r="A16" s="40"/>
      <c r="B16" s="63"/>
      <c r="C16" s="46"/>
      <c r="D16" s="43"/>
      <c r="E16" s="131"/>
      <c r="F16" s="130"/>
      <c r="G16" s="129"/>
      <c r="H16" s="128"/>
      <c r="I16" s="131"/>
      <c r="J16" s="130"/>
      <c r="K16" s="129"/>
      <c r="L16" s="128"/>
      <c r="M16" s="131"/>
      <c r="N16" s="130"/>
      <c r="O16" s="129"/>
      <c r="P16" s="128"/>
      <c r="Q16" s="127"/>
      <c r="R16" s="45"/>
    </row>
    <row r="17" spans="1:18" ht="18" customHeight="1">
      <c r="A17" s="40"/>
      <c r="B17" s="63"/>
      <c r="C17" s="46"/>
      <c r="D17" s="43"/>
      <c r="E17" s="131"/>
      <c r="F17" s="130"/>
      <c r="G17" s="129"/>
      <c r="H17" s="128"/>
      <c r="I17" s="131"/>
      <c r="J17" s="130"/>
      <c r="K17" s="129"/>
      <c r="L17" s="128"/>
      <c r="M17" s="131"/>
      <c r="N17" s="130"/>
      <c r="O17" s="129"/>
      <c r="P17" s="128"/>
      <c r="Q17" s="127"/>
      <c r="R17" s="45"/>
    </row>
    <row r="18" spans="1:18" ht="18" customHeight="1">
      <c r="A18" s="40"/>
      <c r="B18" s="63"/>
      <c r="C18" s="46"/>
      <c r="D18" s="43"/>
      <c r="E18" s="131"/>
      <c r="F18" s="130"/>
      <c r="G18" s="129"/>
      <c r="H18" s="128"/>
      <c r="I18" s="131"/>
      <c r="J18" s="130"/>
      <c r="K18" s="129"/>
      <c r="L18" s="128"/>
      <c r="M18" s="131"/>
      <c r="N18" s="130"/>
      <c r="O18" s="129"/>
      <c r="P18" s="128"/>
      <c r="Q18" s="127"/>
      <c r="R18" s="45"/>
    </row>
    <row r="19" spans="1:18" ht="18" customHeight="1">
      <c r="A19" s="40"/>
      <c r="B19" s="63"/>
      <c r="C19" s="46"/>
      <c r="D19" s="43"/>
      <c r="E19" s="131"/>
      <c r="F19" s="130"/>
      <c r="G19" s="129"/>
      <c r="H19" s="128"/>
      <c r="I19" s="131"/>
      <c r="J19" s="130"/>
      <c r="K19" s="129"/>
      <c r="L19" s="128"/>
      <c r="M19" s="131"/>
      <c r="N19" s="130"/>
      <c r="O19" s="129"/>
      <c r="P19" s="128"/>
      <c r="Q19" s="127"/>
      <c r="R19" s="45"/>
    </row>
    <row r="20" spans="1:18" ht="18" customHeight="1">
      <c r="A20" s="40"/>
      <c r="B20" s="63"/>
      <c r="C20" s="46"/>
      <c r="D20" s="43"/>
      <c r="E20" s="131"/>
      <c r="F20" s="130"/>
      <c r="G20" s="129"/>
      <c r="H20" s="128"/>
      <c r="I20" s="131"/>
      <c r="J20" s="130"/>
      <c r="K20" s="129"/>
      <c r="L20" s="128"/>
      <c r="M20" s="131"/>
      <c r="N20" s="130"/>
      <c r="O20" s="129"/>
      <c r="P20" s="128"/>
      <c r="Q20" s="127"/>
      <c r="R20" s="45"/>
    </row>
    <row r="21" spans="1:18" ht="18" customHeight="1">
      <c r="A21" s="40"/>
      <c r="B21" s="63"/>
      <c r="C21" s="46"/>
      <c r="D21" s="43"/>
      <c r="E21" s="131"/>
      <c r="F21" s="130"/>
      <c r="G21" s="129"/>
      <c r="H21" s="128"/>
      <c r="I21" s="131"/>
      <c r="J21" s="130"/>
      <c r="K21" s="129"/>
      <c r="L21" s="128"/>
      <c r="M21" s="131"/>
      <c r="N21" s="130"/>
      <c r="O21" s="129"/>
      <c r="P21" s="128"/>
      <c r="Q21" s="127"/>
      <c r="R21" s="45"/>
    </row>
    <row r="22" spans="1:18" ht="18" customHeight="1">
      <c r="A22" s="40"/>
      <c r="B22" s="63"/>
      <c r="C22" s="46"/>
      <c r="D22" s="43"/>
      <c r="E22" s="131"/>
      <c r="F22" s="130"/>
      <c r="G22" s="129"/>
      <c r="H22" s="128"/>
      <c r="I22" s="131"/>
      <c r="J22" s="130"/>
      <c r="K22" s="129"/>
      <c r="L22" s="128"/>
      <c r="M22" s="131"/>
      <c r="N22" s="130"/>
      <c r="O22" s="129"/>
      <c r="P22" s="128"/>
      <c r="Q22" s="127"/>
      <c r="R22" s="45"/>
    </row>
    <row r="23" spans="1:18" ht="18" customHeight="1">
      <c r="A23" s="40"/>
      <c r="B23" s="63"/>
      <c r="C23" s="46"/>
      <c r="D23" s="43"/>
      <c r="E23" s="131"/>
      <c r="F23" s="130"/>
      <c r="G23" s="129"/>
      <c r="H23" s="128"/>
      <c r="I23" s="131"/>
      <c r="J23" s="130"/>
      <c r="K23" s="129"/>
      <c r="L23" s="128"/>
      <c r="M23" s="131"/>
      <c r="N23" s="130"/>
      <c r="O23" s="129"/>
      <c r="P23" s="128"/>
      <c r="Q23" s="127"/>
      <c r="R23" s="45"/>
    </row>
    <row r="24" spans="1:18" ht="18" customHeight="1">
      <c r="A24" s="40"/>
      <c r="B24" s="63"/>
      <c r="C24" s="46"/>
      <c r="D24" s="43"/>
      <c r="E24" s="131"/>
      <c r="F24" s="130"/>
      <c r="G24" s="129"/>
      <c r="H24" s="128"/>
      <c r="I24" s="131"/>
      <c r="J24" s="130"/>
      <c r="K24" s="129"/>
      <c r="L24" s="128"/>
      <c r="M24" s="131"/>
      <c r="N24" s="130"/>
      <c r="O24" s="129"/>
      <c r="P24" s="128"/>
      <c r="Q24" s="127"/>
      <c r="R24" s="45"/>
    </row>
    <row r="25" spans="1:18" ht="18" customHeight="1">
      <c r="A25" s="40"/>
      <c r="B25" s="63"/>
      <c r="C25" s="46"/>
      <c r="D25" s="43"/>
      <c r="E25" s="131"/>
      <c r="F25" s="130"/>
      <c r="G25" s="129"/>
      <c r="H25" s="128"/>
      <c r="I25" s="131"/>
      <c r="J25" s="130"/>
      <c r="K25" s="129"/>
      <c r="L25" s="128"/>
      <c r="M25" s="131"/>
      <c r="N25" s="130"/>
      <c r="O25" s="129"/>
      <c r="P25" s="128"/>
      <c r="Q25" s="127"/>
      <c r="R25" s="45"/>
    </row>
    <row r="26" spans="1:18" ht="18" customHeight="1">
      <c r="A26" s="40"/>
      <c r="B26" s="63"/>
      <c r="C26" s="46"/>
      <c r="D26" s="43"/>
      <c r="E26" s="131"/>
      <c r="F26" s="130"/>
      <c r="G26" s="129"/>
      <c r="H26" s="128"/>
      <c r="I26" s="131"/>
      <c r="J26" s="130"/>
      <c r="K26" s="129"/>
      <c r="L26" s="128"/>
      <c r="M26" s="131"/>
      <c r="N26" s="130"/>
      <c r="O26" s="129"/>
      <c r="P26" s="128"/>
      <c r="Q26" s="127"/>
      <c r="R26" s="45"/>
    </row>
    <row r="27" spans="1:18" ht="18" customHeight="1">
      <c r="A27" s="40"/>
      <c r="B27" s="63"/>
      <c r="C27" s="44"/>
      <c r="D27" s="43"/>
      <c r="E27" s="131"/>
      <c r="F27" s="130"/>
      <c r="G27" s="129"/>
      <c r="H27" s="128"/>
      <c r="I27" s="131"/>
      <c r="J27" s="130"/>
      <c r="K27" s="129"/>
      <c r="L27" s="128"/>
      <c r="M27" s="131"/>
      <c r="N27" s="130"/>
      <c r="O27" s="129"/>
      <c r="P27" s="128"/>
      <c r="Q27" s="127"/>
      <c r="R27" s="45"/>
    </row>
    <row r="28" spans="1:18" ht="18" customHeight="1">
      <c r="A28" s="40"/>
      <c r="B28" s="63"/>
      <c r="C28" s="44"/>
      <c r="D28" s="43"/>
      <c r="E28" s="131"/>
      <c r="F28" s="130"/>
      <c r="G28" s="129"/>
      <c r="H28" s="128"/>
      <c r="I28" s="131"/>
      <c r="J28" s="130"/>
      <c r="K28" s="129"/>
      <c r="L28" s="128"/>
      <c r="M28" s="131"/>
      <c r="N28" s="130"/>
      <c r="O28" s="129"/>
      <c r="P28" s="128"/>
      <c r="Q28" s="127"/>
      <c r="R28" s="45"/>
    </row>
    <row r="29" spans="1:18" ht="18" customHeight="1" thickBot="1">
      <c r="A29" s="40"/>
      <c r="B29" s="64"/>
      <c r="C29" s="65"/>
      <c r="D29" s="41"/>
      <c r="E29" s="126"/>
      <c r="F29" s="125"/>
      <c r="G29" s="124"/>
      <c r="H29" s="123"/>
      <c r="I29" s="126"/>
      <c r="J29" s="125"/>
      <c r="K29" s="124"/>
      <c r="L29" s="123"/>
      <c r="M29" s="126"/>
      <c r="N29" s="125"/>
      <c r="O29" s="124"/>
      <c r="P29" s="123"/>
      <c r="Q29" s="122"/>
      <c r="R29" s="42"/>
    </row>
    <row r="30" spans="1:18" ht="18" customHeight="1" thickTop="1">
      <c r="B30" s="66" t="s">
        <v>57</v>
      </c>
      <c r="C30" s="67">
        <f t="shared" ref="C30:Q30" si="0">SUM(C10:C29)</f>
        <v>690</v>
      </c>
      <c r="D30" s="47">
        <f t="shared" si="0"/>
        <v>2760</v>
      </c>
      <c r="E30" s="121">
        <f t="shared" si="0"/>
        <v>1028</v>
      </c>
      <c r="F30" s="120">
        <f t="shared" si="0"/>
        <v>53</v>
      </c>
      <c r="G30" s="119">
        <f t="shared" si="0"/>
        <v>0</v>
      </c>
      <c r="H30" s="118">
        <f t="shared" si="0"/>
        <v>0</v>
      </c>
      <c r="I30" s="121">
        <f t="shared" si="0"/>
        <v>0</v>
      </c>
      <c r="J30" s="120">
        <f t="shared" si="0"/>
        <v>0</v>
      </c>
      <c r="K30" s="119">
        <f t="shared" si="0"/>
        <v>0</v>
      </c>
      <c r="L30" s="118">
        <f t="shared" si="0"/>
        <v>0</v>
      </c>
      <c r="M30" s="121">
        <f t="shared" si="0"/>
        <v>0</v>
      </c>
      <c r="N30" s="120">
        <f t="shared" si="0"/>
        <v>0</v>
      </c>
      <c r="O30" s="119">
        <f t="shared" si="0"/>
        <v>0</v>
      </c>
      <c r="P30" s="118">
        <f t="shared" si="0"/>
        <v>0</v>
      </c>
      <c r="Q30" s="117">
        <f t="shared" si="0"/>
        <v>1028</v>
      </c>
      <c r="R30" s="48">
        <f>Q30/D30</f>
        <v>0.37246376811594201</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3937007874015748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B0AEA-42DE-42AF-9892-F138AC2EE31F}">
  <dimension ref="A1:L144"/>
  <sheetViews>
    <sheetView showZeros="0" view="pageBreakPreview" topLeftCell="A43" zoomScale="120" zoomScaleNormal="100" zoomScaleSheetLayoutView="120" workbookViewId="0">
      <selection activeCell="O13" sqref="O13"/>
    </sheetView>
  </sheetViews>
  <sheetFormatPr defaultColWidth="11.375" defaultRowHeight="18.75" customHeight="1"/>
  <cols>
    <col min="1" max="1" width="2.625" style="2" customWidth="1"/>
    <col min="2" max="2" width="16.625" style="13" customWidth="1"/>
    <col min="3" max="3" width="8.875" style="13" customWidth="1"/>
    <col min="4" max="4" width="2.125" style="13" customWidth="1"/>
    <col min="5" max="5" width="16.625" style="13" customWidth="1"/>
    <col min="6" max="6" width="8.875" style="13" customWidth="1"/>
    <col min="7" max="7" width="2.125" style="13" customWidth="1"/>
    <col min="8" max="8" width="16.625" style="13" customWidth="1"/>
    <col min="9" max="9" width="8.875" style="13" customWidth="1"/>
    <col min="10" max="10" width="2.125" style="13" customWidth="1"/>
    <col min="11" max="11" width="11.375" style="13"/>
    <col min="12" max="16384" width="11.375" style="1"/>
  </cols>
  <sheetData>
    <row r="1" spans="1:11" ht="18.75" customHeight="1">
      <c r="A1" s="2" t="s">
        <v>113</v>
      </c>
      <c r="J1" s="106" t="s">
        <v>114</v>
      </c>
    </row>
    <row r="2" spans="1:11" ht="18.75" customHeight="1">
      <c r="A2" s="295" t="s">
        <v>64</v>
      </c>
      <c r="B2" s="295"/>
      <c r="C2" s="295"/>
      <c r="D2" s="295"/>
      <c r="E2" s="295"/>
      <c r="F2" s="295"/>
      <c r="G2" s="295"/>
      <c r="H2" s="295"/>
      <c r="I2" s="295"/>
      <c r="J2" s="295"/>
    </row>
    <row r="3" spans="1:11" ht="7.5" customHeight="1">
      <c r="B3" s="28"/>
      <c r="C3" s="28"/>
      <c r="D3" s="28"/>
      <c r="E3" s="28"/>
      <c r="F3" s="28"/>
      <c r="G3" s="28"/>
      <c r="H3" s="28"/>
      <c r="I3" s="28"/>
      <c r="J3" s="28"/>
    </row>
    <row r="4" spans="1:11" ht="18.75" customHeight="1">
      <c r="A4" s="1" t="s">
        <v>6</v>
      </c>
      <c r="B4" s="13" t="s">
        <v>72</v>
      </c>
      <c r="I4" s="28"/>
      <c r="J4" s="28"/>
    </row>
    <row r="5" spans="1:11" ht="18.75" customHeight="1">
      <c r="A5" s="1"/>
      <c r="B5" s="144" t="s">
        <v>167</v>
      </c>
      <c r="C5" s="145"/>
      <c r="D5" s="145"/>
      <c r="E5" s="145"/>
      <c r="F5" s="145"/>
      <c r="G5" s="145"/>
      <c r="H5" s="145"/>
      <c r="I5" s="145"/>
      <c r="J5" s="332"/>
      <c r="K5" s="13" t="str">
        <f>IF(B5="","入力してください","")</f>
        <v/>
      </c>
    </row>
    <row r="6" spans="1:11" ht="7.5" customHeight="1">
      <c r="B6" s="28"/>
      <c r="C6" s="28"/>
      <c r="D6" s="28"/>
      <c r="E6" s="28"/>
      <c r="F6" s="28"/>
      <c r="G6" s="28"/>
      <c r="H6" s="28"/>
      <c r="I6" s="28"/>
      <c r="J6" s="28"/>
    </row>
    <row r="7" spans="1:11" s="4" customFormat="1" ht="18.75" customHeight="1">
      <c r="A7" s="1" t="s">
        <v>9</v>
      </c>
      <c r="B7" s="13" t="s">
        <v>39</v>
      </c>
      <c r="C7" s="13"/>
      <c r="D7" s="13"/>
      <c r="E7" s="13"/>
      <c r="F7" s="13"/>
      <c r="G7" s="13"/>
      <c r="H7" s="13"/>
      <c r="I7" s="13"/>
      <c r="J7" s="13"/>
      <c r="K7" s="13"/>
    </row>
    <row r="8" spans="1:11" s="4" customFormat="1" ht="18.75" customHeight="1">
      <c r="A8" s="68"/>
      <c r="B8" s="305" t="s">
        <v>168</v>
      </c>
      <c r="C8" s="306"/>
      <c r="D8" s="306"/>
      <c r="E8" s="306"/>
      <c r="F8" s="306"/>
      <c r="G8" s="306"/>
      <c r="H8" s="306"/>
      <c r="I8" s="314"/>
      <c r="J8" s="315"/>
      <c r="K8" s="13" t="str">
        <f>IF(B8="","入力してください","")</f>
        <v/>
      </c>
    </row>
    <row r="9" spans="1:11" s="4" customFormat="1" ht="18.75" customHeight="1">
      <c r="A9" s="68"/>
      <c r="B9" s="316"/>
      <c r="C9" s="317"/>
      <c r="D9" s="317"/>
      <c r="E9" s="317"/>
      <c r="F9" s="317"/>
      <c r="G9" s="317"/>
      <c r="H9" s="317"/>
      <c r="I9" s="317"/>
      <c r="J9" s="318"/>
      <c r="K9" s="13"/>
    </row>
    <row r="10" spans="1:11" s="4" customFormat="1" ht="18.75" customHeight="1">
      <c r="A10" s="68"/>
      <c r="B10" s="316"/>
      <c r="C10" s="317"/>
      <c r="D10" s="317"/>
      <c r="E10" s="317"/>
      <c r="F10" s="317"/>
      <c r="G10" s="317"/>
      <c r="H10" s="317"/>
      <c r="I10" s="317"/>
      <c r="J10" s="318"/>
      <c r="K10" s="13"/>
    </row>
    <row r="11" spans="1:11" s="4" customFormat="1" ht="18.75" customHeight="1">
      <c r="A11" s="68"/>
      <c r="B11" s="316"/>
      <c r="C11" s="317"/>
      <c r="D11" s="317"/>
      <c r="E11" s="317"/>
      <c r="F11" s="317"/>
      <c r="G11" s="317"/>
      <c r="H11" s="317"/>
      <c r="I11" s="317"/>
      <c r="J11" s="318"/>
      <c r="K11" s="13"/>
    </row>
    <row r="12" spans="1:11" s="4" customFormat="1" ht="18.75" customHeight="1">
      <c r="A12" s="68"/>
      <c r="B12" s="319"/>
      <c r="C12" s="320"/>
      <c r="D12" s="320"/>
      <c r="E12" s="320"/>
      <c r="F12" s="320"/>
      <c r="G12" s="320"/>
      <c r="H12" s="320"/>
      <c r="I12" s="320"/>
      <c r="J12" s="321"/>
      <c r="K12" s="13"/>
    </row>
    <row r="13" spans="1:11" s="4" customFormat="1" ht="7.5" customHeight="1">
      <c r="A13" s="68"/>
      <c r="B13" s="53"/>
      <c r="C13" s="53"/>
      <c r="D13" s="53"/>
      <c r="E13" s="53"/>
      <c r="F13" s="53"/>
      <c r="G13" s="53"/>
      <c r="H13" s="53"/>
      <c r="I13" s="53"/>
      <c r="J13" s="53"/>
      <c r="K13" s="13"/>
    </row>
    <row r="14" spans="1:11" s="4" customFormat="1" ht="18.75" customHeight="1">
      <c r="A14" s="69" t="s">
        <v>10</v>
      </c>
      <c r="B14" s="110" t="s">
        <v>15</v>
      </c>
      <c r="C14" s="110"/>
      <c r="D14" s="110"/>
      <c r="E14" s="110"/>
      <c r="F14" s="110"/>
      <c r="G14" s="110"/>
      <c r="H14" s="110"/>
      <c r="I14" s="110"/>
      <c r="J14" s="110"/>
      <c r="K14" s="13"/>
    </row>
    <row r="15" spans="1:11" s="4" customFormat="1" ht="18.75" customHeight="1">
      <c r="A15" s="68"/>
      <c r="B15" s="305" t="s">
        <v>169</v>
      </c>
      <c r="C15" s="306"/>
      <c r="D15" s="306"/>
      <c r="E15" s="306"/>
      <c r="F15" s="306"/>
      <c r="G15" s="306"/>
      <c r="H15" s="306"/>
      <c r="I15" s="314"/>
      <c r="J15" s="315"/>
      <c r="K15" s="13" t="str">
        <f>IF(B15="","入力してください","")</f>
        <v/>
      </c>
    </row>
    <row r="16" spans="1:11" s="4" customFormat="1" ht="18.75" customHeight="1">
      <c r="A16" s="68"/>
      <c r="B16" s="316"/>
      <c r="C16" s="317"/>
      <c r="D16" s="317"/>
      <c r="E16" s="317"/>
      <c r="F16" s="317"/>
      <c r="G16" s="317"/>
      <c r="H16" s="317"/>
      <c r="I16" s="317"/>
      <c r="J16" s="318"/>
      <c r="K16" s="13"/>
    </row>
    <row r="17" spans="1:12" s="4" customFormat="1" ht="18.75" customHeight="1">
      <c r="A17" s="68"/>
      <c r="B17" s="316"/>
      <c r="C17" s="317"/>
      <c r="D17" s="317"/>
      <c r="E17" s="317"/>
      <c r="F17" s="317"/>
      <c r="G17" s="317"/>
      <c r="H17" s="317"/>
      <c r="I17" s="317"/>
      <c r="J17" s="318"/>
      <c r="K17" s="13"/>
    </row>
    <row r="18" spans="1:12" s="4" customFormat="1" ht="18.75" customHeight="1">
      <c r="A18" s="68"/>
      <c r="B18" s="316"/>
      <c r="C18" s="317"/>
      <c r="D18" s="317"/>
      <c r="E18" s="317"/>
      <c r="F18" s="317"/>
      <c r="G18" s="317"/>
      <c r="H18" s="317"/>
      <c r="I18" s="317"/>
      <c r="J18" s="318"/>
      <c r="K18" s="13"/>
    </row>
    <row r="19" spans="1:12" s="4" customFormat="1" ht="18.75" customHeight="1">
      <c r="A19" s="68"/>
      <c r="B19" s="316"/>
      <c r="C19" s="317"/>
      <c r="D19" s="317"/>
      <c r="E19" s="317"/>
      <c r="F19" s="317"/>
      <c r="G19" s="317"/>
      <c r="H19" s="317"/>
      <c r="I19" s="317"/>
      <c r="J19" s="318"/>
      <c r="K19" s="13"/>
    </row>
    <row r="20" spans="1:12" s="4" customFormat="1" ht="18.75" customHeight="1">
      <c r="A20" s="68"/>
      <c r="B20" s="316"/>
      <c r="C20" s="317"/>
      <c r="D20" s="317"/>
      <c r="E20" s="317"/>
      <c r="F20" s="317"/>
      <c r="G20" s="317"/>
      <c r="H20" s="317"/>
      <c r="I20" s="317"/>
      <c r="J20" s="318"/>
      <c r="K20" s="13"/>
    </row>
    <row r="21" spans="1:12" s="4" customFormat="1" ht="18.75" customHeight="1">
      <c r="A21" s="68"/>
      <c r="B21" s="316"/>
      <c r="C21" s="317"/>
      <c r="D21" s="317"/>
      <c r="E21" s="317"/>
      <c r="F21" s="317"/>
      <c r="G21" s="317"/>
      <c r="H21" s="317"/>
      <c r="I21" s="317"/>
      <c r="J21" s="318"/>
      <c r="K21" s="13"/>
    </row>
    <row r="22" spans="1:12" s="4" customFormat="1" ht="18.75" customHeight="1">
      <c r="A22" s="68"/>
      <c r="B22" s="316"/>
      <c r="C22" s="317"/>
      <c r="D22" s="317"/>
      <c r="E22" s="317"/>
      <c r="F22" s="317"/>
      <c r="G22" s="317"/>
      <c r="H22" s="317"/>
      <c r="I22" s="317"/>
      <c r="J22" s="318"/>
      <c r="K22" s="13"/>
    </row>
    <row r="23" spans="1:12" s="4" customFormat="1" ht="18.75" customHeight="1">
      <c r="A23" s="68"/>
      <c r="B23" s="316"/>
      <c r="C23" s="317"/>
      <c r="D23" s="317"/>
      <c r="E23" s="317"/>
      <c r="F23" s="317"/>
      <c r="G23" s="317"/>
      <c r="H23" s="317"/>
      <c r="I23" s="317"/>
      <c r="J23" s="318"/>
      <c r="K23" s="13"/>
    </row>
    <row r="24" spans="1:12" s="4" customFormat="1" ht="18.75" customHeight="1">
      <c r="A24" s="68"/>
      <c r="B24" s="316"/>
      <c r="C24" s="317"/>
      <c r="D24" s="317"/>
      <c r="E24" s="317"/>
      <c r="F24" s="317"/>
      <c r="G24" s="317"/>
      <c r="H24" s="317"/>
      <c r="I24" s="317"/>
      <c r="J24" s="318"/>
      <c r="K24" s="13"/>
    </row>
    <row r="25" spans="1:12" s="4" customFormat="1" ht="18.75" customHeight="1">
      <c r="A25" s="68"/>
      <c r="B25" s="319"/>
      <c r="C25" s="320"/>
      <c r="D25" s="320"/>
      <c r="E25" s="320"/>
      <c r="F25" s="320"/>
      <c r="G25" s="320"/>
      <c r="H25" s="320"/>
      <c r="I25" s="320"/>
      <c r="J25" s="321"/>
      <c r="K25" s="13"/>
    </row>
    <row r="26" spans="1:12" ht="7.5" customHeight="1">
      <c r="A26" s="34"/>
      <c r="B26" s="99"/>
      <c r="C26" s="99"/>
      <c r="D26" s="99"/>
      <c r="E26" s="99"/>
      <c r="F26" s="99"/>
      <c r="G26" s="99"/>
      <c r="H26" s="99"/>
      <c r="I26" s="99"/>
      <c r="J26" s="99"/>
    </row>
    <row r="27" spans="1:12" s="4" customFormat="1" ht="18.75" customHeight="1">
      <c r="A27" s="1" t="s">
        <v>13</v>
      </c>
      <c r="B27" s="13" t="s">
        <v>26</v>
      </c>
      <c r="C27" s="13"/>
      <c r="D27" s="13"/>
      <c r="E27" s="13"/>
      <c r="F27" s="13"/>
      <c r="G27" s="13"/>
      <c r="H27" s="13"/>
      <c r="I27" s="13"/>
      <c r="J27" s="13"/>
      <c r="K27" s="13"/>
    </row>
    <row r="28" spans="1:12" s="28" customFormat="1" ht="18.75" customHeight="1">
      <c r="B28" s="70" t="s">
        <v>115</v>
      </c>
      <c r="C28" s="71">
        <v>0.11992753623188405</v>
      </c>
      <c r="D28" s="72"/>
      <c r="E28" s="72" t="s">
        <v>116</v>
      </c>
      <c r="F28" s="71">
        <v>0.15</v>
      </c>
      <c r="G28" s="72"/>
      <c r="H28" s="72" t="s">
        <v>117</v>
      </c>
      <c r="I28" s="73">
        <v>0.33</v>
      </c>
      <c r="J28" s="74"/>
      <c r="K28" s="13"/>
      <c r="L28" s="102"/>
    </row>
    <row r="29" spans="1:12" s="28" customFormat="1" ht="18.75" customHeight="1">
      <c r="B29" s="59" t="s">
        <v>118</v>
      </c>
      <c r="C29" s="75">
        <v>0.34</v>
      </c>
      <c r="D29" s="76"/>
      <c r="E29" s="76" t="s">
        <v>119</v>
      </c>
      <c r="F29" s="75">
        <v>0.56999999999999995</v>
      </c>
      <c r="G29" s="76"/>
      <c r="H29" s="76" t="s">
        <v>120</v>
      </c>
      <c r="I29" s="76">
        <v>2760</v>
      </c>
      <c r="J29" s="77"/>
      <c r="K29" s="13"/>
      <c r="L29" s="102"/>
    </row>
    <row r="30" spans="1:12" s="4" customFormat="1" ht="18.75" customHeight="1">
      <c r="A30" s="1"/>
      <c r="B30" s="222" t="s">
        <v>121</v>
      </c>
      <c r="C30" s="223"/>
      <c r="D30" s="223"/>
      <c r="E30" s="223"/>
      <c r="F30" s="223"/>
      <c r="G30" s="223"/>
      <c r="H30" s="223"/>
      <c r="I30" s="223"/>
      <c r="J30" s="224"/>
      <c r="K30" s="13"/>
      <c r="L30" s="102"/>
    </row>
    <row r="31" spans="1:12" s="4" customFormat="1" ht="18.75" customHeight="1">
      <c r="A31" s="1"/>
      <c r="B31" s="323" t="s">
        <v>234</v>
      </c>
      <c r="C31" s="324"/>
      <c r="D31" s="324"/>
      <c r="E31" s="324"/>
      <c r="F31" s="324"/>
      <c r="G31" s="324"/>
      <c r="H31" s="324"/>
      <c r="I31" s="324"/>
      <c r="J31" s="325"/>
      <c r="K31" s="13" t="str">
        <f>IF(B31="","入力してください","")</f>
        <v/>
      </c>
      <c r="L31" s="102"/>
    </row>
    <row r="32" spans="1:12" s="4" customFormat="1" ht="18.75" customHeight="1">
      <c r="A32" s="1"/>
      <c r="B32" s="326"/>
      <c r="C32" s="327"/>
      <c r="D32" s="327"/>
      <c r="E32" s="327"/>
      <c r="F32" s="327"/>
      <c r="G32" s="327"/>
      <c r="H32" s="327"/>
      <c r="I32" s="327"/>
      <c r="J32" s="328"/>
      <c r="K32" s="13"/>
    </row>
    <row r="33" spans="1:11" s="4" customFormat="1" ht="18.75" customHeight="1">
      <c r="A33" s="1"/>
      <c r="B33" s="326"/>
      <c r="C33" s="327"/>
      <c r="D33" s="327"/>
      <c r="E33" s="327"/>
      <c r="F33" s="327"/>
      <c r="G33" s="327"/>
      <c r="H33" s="327"/>
      <c r="I33" s="327"/>
      <c r="J33" s="328"/>
      <c r="K33" s="13"/>
    </row>
    <row r="34" spans="1:11" s="4" customFormat="1" ht="18.75" customHeight="1">
      <c r="A34" s="1"/>
      <c r="B34" s="326"/>
      <c r="C34" s="327"/>
      <c r="D34" s="327"/>
      <c r="E34" s="327"/>
      <c r="F34" s="327"/>
      <c r="G34" s="327"/>
      <c r="H34" s="327"/>
      <c r="I34" s="327"/>
      <c r="J34" s="328"/>
      <c r="K34" s="13"/>
    </row>
    <row r="35" spans="1:11" s="4" customFormat="1" ht="18.75" customHeight="1">
      <c r="A35" s="1"/>
      <c r="B35" s="326"/>
      <c r="C35" s="327"/>
      <c r="D35" s="327"/>
      <c r="E35" s="327"/>
      <c r="F35" s="327"/>
      <c r="G35" s="327"/>
      <c r="H35" s="327"/>
      <c r="I35" s="327"/>
      <c r="J35" s="328"/>
      <c r="K35" s="13"/>
    </row>
    <row r="36" spans="1:11" s="4" customFormat="1" ht="18.75" customHeight="1">
      <c r="A36" s="1"/>
      <c r="B36" s="326"/>
      <c r="C36" s="327"/>
      <c r="D36" s="327"/>
      <c r="E36" s="327"/>
      <c r="F36" s="327"/>
      <c r="G36" s="327"/>
      <c r="H36" s="327"/>
      <c r="I36" s="327"/>
      <c r="J36" s="328"/>
      <c r="K36" s="13"/>
    </row>
    <row r="37" spans="1:11" s="4" customFormat="1" ht="18.75" customHeight="1">
      <c r="A37" s="1"/>
      <c r="B37" s="326"/>
      <c r="C37" s="327"/>
      <c r="D37" s="327"/>
      <c r="E37" s="327"/>
      <c r="F37" s="327"/>
      <c r="G37" s="327"/>
      <c r="H37" s="327"/>
      <c r="I37" s="327"/>
      <c r="J37" s="328"/>
      <c r="K37" s="13"/>
    </row>
    <row r="38" spans="1:11" s="4" customFormat="1" ht="18.75" customHeight="1">
      <c r="A38" s="1"/>
      <c r="B38" s="326"/>
      <c r="C38" s="327"/>
      <c r="D38" s="327"/>
      <c r="E38" s="327"/>
      <c r="F38" s="327"/>
      <c r="G38" s="327"/>
      <c r="H38" s="327"/>
      <c r="I38" s="327"/>
      <c r="J38" s="328"/>
      <c r="K38" s="13"/>
    </row>
    <row r="39" spans="1:11" s="4" customFormat="1" ht="18.75" customHeight="1">
      <c r="A39" s="1"/>
      <c r="B39" s="326"/>
      <c r="C39" s="327"/>
      <c r="D39" s="327"/>
      <c r="E39" s="327"/>
      <c r="F39" s="327"/>
      <c r="G39" s="327"/>
      <c r="H39" s="327"/>
      <c r="I39" s="327"/>
      <c r="J39" s="328"/>
      <c r="K39" s="13"/>
    </row>
    <row r="40" spans="1:11" s="4" customFormat="1" ht="18.75" customHeight="1">
      <c r="A40" s="1"/>
      <c r="B40" s="326"/>
      <c r="C40" s="327"/>
      <c r="D40" s="327"/>
      <c r="E40" s="327"/>
      <c r="F40" s="327"/>
      <c r="G40" s="327"/>
      <c r="H40" s="327"/>
      <c r="I40" s="327"/>
      <c r="J40" s="328"/>
      <c r="K40" s="13"/>
    </row>
    <row r="41" spans="1:11" s="4" customFormat="1" ht="18.75" customHeight="1">
      <c r="A41" s="1"/>
      <c r="B41" s="326"/>
      <c r="C41" s="327"/>
      <c r="D41" s="327"/>
      <c r="E41" s="327"/>
      <c r="F41" s="327"/>
      <c r="G41" s="327"/>
      <c r="H41" s="327"/>
      <c r="I41" s="327"/>
      <c r="J41" s="328"/>
      <c r="K41" s="13"/>
    </row>
    <row r="42" spans="1:11" s="4" customFormat="1" ht="18.75" customHeight="1">
      <c r="A42" s="1"/>
      <c r="B42" s="326"/>
      <c r="C42" s="327"/>
      <c r="D42" s="327"/>
      <c r="E42" s="327"/>
      <c r="F42" s="327"/>
      <c r="G42" s="327"/>
      <c r="H42" s="327"/>
      <c r="I42" s="327"/>
      <c r="J42" s="328"/>
      <c r="K42" s="13"/>
    </row>
    <row r="43" spans="1:11" ht="18.75" customHeight="1">
      <c r="A43" s="34"/>
      <c r="B43" s="326"/>
      <c r="C43" s="327"/>
      <c r="D43" s="327"/>
      <c r="E43" s="327"/>
      <c r="F43" s="327"/>
      <c r="G43" s="327"/>
      <c r="H43" s="327"/>
      <c r="I43" s="327"/>
      <c r="J43" s="328"/>
    </row>
    <row r="44" spans="1:11" ht="27.95" customHeight="1">
      <c r="A44" s="34"/>
      <c r="B44" s="329"/>
      <c r="C44" s="330"/>
      <c r="D44" s="330"/>
      <c r="E44" s="330"/>
      <c r="F44" s="330"/>
      <c r="G44" s="330"/>
      <c r="H44" s="330"/>
      <c r="I44" s="330"/>
      <c r="J44" s="331"/>
    </row>
    <row r="45" spans="1:11" s="4" customFormat="1" ht="18.75" customHeight="1">
      <c r="A45" s="78" t="s">
        <v>11</v>
      </c>
      <c r="B45" s="13" t="s">
        <v>65</v>
      </c>
      <c r="C45" s="13"/>
      <c r="D45" s="13"/>
      <c r="E45" s="13"/>
      <c r="F45" s="13"/>
      <c r="G45" s="13"/>
      <c r="H45" s="13"/>
      <c r="I45" s="110"/>
      <c r="J45" s="110"/>
      <c r="K45" s="13"/>
    </row>
    <row r="46" spans="1:11" ht="18.75" customHeight="1">
      <c r="A46" s="34"/>
      <c r="B46" s="305" t="s">
        <v>233</v>
      </c>
      <c r="C46" s="306"/>
      <c r="D46" s="306"/>
      <c r="E46" s="306"/>
      <c r="F46" s="306"/>
      <c r="G46" s="306"/>
      <c r="H46" s="306"/>
      <c r="I46" s="306"/>
      <c r="J46" s="307"/>
      <c r="K46" s="13" t="str">
        <f>IF(B46="","入力してください","")</f>
        <v/>
      </c>
    </row>
    <row r="47" spans="1:11" ht="18.75" customHeight="1">
      <c r="A47" s="34"/>
      <c r="B47" s="308"/>
      <c r="C47" s="309"/>
      <c r="D47" s="309"/>
      <c r="E47" s="309"/>
      <c r="F47" s="309"/>
      <c r="G47" s="309"/>
      <c r="H47" s="309"/>
      <c r="I47" s="309"/>
      <c r="J47" s="310"/>
    </row>
    <row r="48" spans="1:11" ht="18.75" customHeight="1">
      <c r="A48" s="34"/>
      <c r="B48" s="308"/>
      <c r="C48" s="309"/>
      <c r="D48" s="309"/>
      <c r="E48" s="309"/>
      <c r="F48" s="309"/>
      <c r="G48" s="309"/>
      <c r="H48" s="309"/>
      <c r="I48" s="309"/>
      <c r="J48" s="310"/>
    </row>
    <row r="49" spans="1:10" ht="18.75" customHeight="1">
      <c r="A49" s="34"/>
      <c r="B49" s="308"/>
      <c r="C49" s="309"/>
      <c r="D49" s="309"/>
      <c r="E49" s="309"/>
      <c r="F49" s="309"/>
      <c r="G49" s="309"/>
      <c r="H49" s="309"/>
      <c r="I49" s="309"/>
      <c r="J49" s="310"/>
    </row>
    <row r="50" spans="1:10" ht="18.75" customHeight="1">
      <c r="A50" s="34"/>
      <c r="B50" s="308"/>
      <c r="C50" s="309"/>
      <c r="D50" s="309"/>
      <c r="E50" s="309"/>
      <c r="F50" s="309"/>
      <c r="G50" s="309"/>
      <c r="H50" s="309"/>
      <c r="I50" s="309"/>
      <c r="J50" s="310"/>
    </row>
    <row r="51" spans="1:10" ht="18.75" customHeight="1">
      <c r="A51" s="34"/>
      <c r="B51" s="308"/>
      <c r="C51" s="309"/>
      <c r="D51" s="309"/>
      <c r="E51" s="309"/>
      <c r="F51" s="309"/>
      <c r="G51" s="309"/>
      <c r="H51" s="309"/>
      <c r="I51" s="309"/>
      <c r="J51" s="310"/>
    </row>
    <row r="52" spans="1:10" ht="18.75" customHeight="1">
      <c r="A52" s="34"/>
      <c r="B52" s="308"/>
      <c r="C52" s="309"/>
      <c r="D52" s="309"/>
      <c r="E52" s="309"/>
      <c r="F52" s="309"/>
      <c r="G52" s="309"/>
      <c r="H52" s="309"/>
      <c r="I52" s="309"/>
      <c r="J52" s="310"/>
    </row>
    <row r="53" spans="1:10" ht="18.75" customHeight="1">
      <c r="A53" s="34"/>
      <c r="B53" s="308"/>
      <c r="C53" s="309"/>
      <c r="D53" s="309"/>
      <c r="E53" s="309"/>
      <c r="F53" s="309"/>
      <c r="G53" s="309"/>
      <c r="H53" s="309"/>
      <c r="I53" s="309"/>
      <c r="J53" s="310"/>
    </row>
    <row r="54" spans="1:10" ht="18.75" customHeight="1">
      <c r="A54" s="34"/>
      <c r="B54" s="308"/>
      <c r="C54" s="309"/>
      <c r="D54" s="309"/>
      <c r="E54" s="309"/>
      <c r="F54" s="309"/>
      <c r="G54" s="309"/>
      <c r="H54" s="309"/>
      <c r="I54" s="309"/>
      <c r="J54" s="310"/>
    </row>
    <row r="55" spans="1:10" ht="18.75" customHeight="1">
      <c r="A55" s="34"/>
      <c r="B55" s="308"/>
      <c r="C55" s="309"/>
      <c r="D55" s="309"/>
      <c r="E55" s="309"/>
      <c r="F55" s="309"/>
      <c r="G55" s="309"/>
      <c r="H55" s="309"/>
      <c r="I55" s="309"/>
      <c r="J55" s="310"/>
    </row>
    <row r="56" spans="1:10" ht="18.75" customHeight="1">
      <c r="A56" s="34"/>
      <c r="B56" s="308"/>
      <c r="C56" s="309"/>
      <c r="D56" s="309"/>
      <c r="E56" s="309"/>
      <c r="F56" s="309"/>
      <c r="G56" s="309"/>
      <c r="H56" s="309"/>
      <c r="I56" s="309"/>
      <c r="J56" s="310"/>
    </row>
    <row r="57" spans="1:10" ht="18.75" customHeight="1">
      <c r="A57" s="34"/>
      <c r="B57" s="308"/>
      <c r="C57" s="309"/>
      <c r="D57" s="309"/>
      <c r="E57" s="309"/>
      <c r="F57" s="309"/>
      <c r="G57" s="309"/>
      <c r="H57" s="309"/>
      <c r="I57" s="309"/>
      <c r="J57" s="310"/>
    </row>
    <row r="58" spans="1:10" ht="18.75" customHeight="1">
      <c r="A58" s="34"/>
      <c r="B58" s="308"/>
      <c r="C58" s="309"/>
      <c r="D58" s="309"/>
      <c r="E58" s="309"/>
      <c r="F58" s="309"/>
      <c r="G58" s="309"/>
      <c r="H58" s="309"/>
      <c r="I58" s="309"/>
      <c r="J58" s="310"/>
    </row>
    <row r="59" spans="1:10" ht="18.75" customHeight="1">
      <c r="A59" s="34"/>
      <c r="B59" s="308"/>
      <c r="C59" s="309"/>
      <c r="D59" s="309"/>
      <c r="E59" s="309"/>
      <c r="F59" s="309"/>
      <c r="G59" s="309"/>
      <c r="H59" s="309"/>
      <c r="I59" s="309"/>
      <c r="J59" s="310"/>
    </row>
    <row r="60" spans="1:10" ht="18.75" customHeight="1">
      <c r="A60" s="34"/>
      <c r="B60" s="308"/>
      <c r="C60" s="309"/>
      <c r="D60" s="309"/>
      <c r="E60" s="309"/>
      <c r="F60" s="309"/>
      <c r="G60" s="309"/>
      <c r="H60" s="309"/>
      <c r="I60" s="309"/>
      <c r="J60" s="310"/>
    </row>
    <row r="61" spans="1:10" ht="18.75" customHeight="1">
      <c r="A61" s="34"/>
      <c r="B61" s="308"/>
      <c r="C61" s="309"/>
      <c r="D61" s="309"/>
      <c r="E61" s="309"/>
      <c r="F61" s="309"/>
      <c r="G61" s="309"/>
      <c r="H61" s="309"/>
      <c r="I61" s="309"/>
      <c r="J61" s="310"/>
    </row>
    <row r="62" spans="1:10" ht="18.75" customHeight="1">
      <c r="A62" s="34"/>
      <c r="B62" s="308"/>
      <c r="C62" s="309"/>
      <c r="D62" s="309"/>
      <c r="E62" s="309"/>
      <c r="F62" s="309"/>
      <c r="G62" s="309"/>
      <c r="H62" s="309"/>
      <c r="I62" s="309"/>
      <c r="J62" s="310"/>
    </row>
    <row r="63" spans="1:10" ht="18.75" customHeight="1">
      <c r="A63" s="34"/>
      <c r="B63" s="308"/>
      <c r="C63" s="309"/>
      <c r="D63" s="309"/>
      <c r="E63" s="309"/>
      <c r="F63" s="309"/>
      <c r="G63" s="309"/>
      <c r="H63" s="309"/>
      <c r="I63" s="309"/>
      <c r="J63" s="310"/>
    </row>
    <row r="64" spans="1:10" ht="18.75" customHeight="1">
      <c r="A64" s="34"/>
      <c r="B64" s="308"/>
      <c r="C64" s="309"/>
      <c r="D64" s="309"/>
      <c r="E64" s="309"/>
      <c r="F64" s="309"/>
      <c r="G64" s="309"/>
      <c r="H64" s="309"/>
      <c r="I64" s="309"/>
      <c r="J64" s="310"/>
    </row>
    <row r="65" spans="1:11" ht="18.75" customHeight="1">
      <c r="A65" s="34"/>
      <c r="B65" s="308"/>
      <c r="C65" s="309"/>
      <c r="D65" s="309"/>
      <c r="E65" s="309"/>
      <c r="F65" s="309"/>
      <c r="G65" s="309"/>
      <c r="H65" s="309"/>
      <c r="I65" s="309"/>
      <c r="J65" s="310"/>
    </row>
    <row r="66" spans="1:11" ht="18.75" customHeight="1">
      <c r="A66" s="34"/>
      <c r="B66" s="311"/>
      <c r="C66" s="312"/>
      <c r="D66" s="312"/>
      <c r="E66" s="312"/>
      <c r="F66" s="312"/>
      <c r="G66" s="312"/>
      <c r="H66" s="312"/>
      <c r="I66" s="312"/>
      <c r="J66" s="313"/>
    </row>
    <row r="67" spans="1:11" ht="7.5" customHeight="1">
      <c r="A67" s="34"/>
      <c r="B67" s="99"/>
      <c r="C67" s="99"/>
      <c r="D67" s="99"/>
      <c r="E67" s="99"/>
      <c r="F67" s="99"/>
      <c r="G67" s="99"/>
      <c r="H67" s="99"/>
      <c r="I67" s="99"/>
      <c r="J67" s="99"/>
    </row>
    <row r="68" spans="1:11" s="4" customFormat="1" ht="18.75" customHeight="1">
      <c r="A68" s="1" t="s">
        <v>14</v>
      </c>
      <c r="B68" s="13" t="s">
        <v>71</v>
      </c>
      <c r="C68" s="13"/>
      <c r="D68" s="13"/>
      <c r="E68" s="13"/>
      <c r="F68" s="13"/>
      <c r="G68" s="13"/>
      <c r="H68" s="13"/>
      <c r="I68" s="13"/>
      <c r="J68" s="13"/>
      <c r="K68" s="13"/>
    </row>
    <row r="69" spans="1:11" s="4" customFormat="1" ht="18.75" customHeight="1">
      <c r="A69" s="1"/>
      <c r="B69" s="305" t="s">
        <v>170</v>
      </c>
      <c r="C69" s="306"/>
      <c r="D69" s="306"/>
      <c r="E69" s="306"/>
      <c r="F69" s="306"/>
      <c r="G69" s="306"/>
      <c r="H69" s="306"/>
      <c r="I69" s="314"/>
      <c r="J69" s="315"/>
      <c r="K69" s="13" t="str">
        <f>IF(B69="","入力してください","")</f>
        <v/>
      </c>
    </row>
    <row r="70" spans="1:11" s="4" customFormat="1" ht="18.75" customHeight="1">
      <c r="A70" s="1"/>
      <c r="B70" s="316"/>
      <c r="C70" s="317"/>
      <c r="D70" s="317"/>
      <c r="E70" s="317"/>
      <c r="F70" s="317"/>
      <c r="G70" s="317"/>
      <c r="H70" s="317"/>
      <c r="I70" s="317"/>
      <c r="J70" s="318"/>
      <c r="K70" s="13"/>
    </row>
    <row r="71" spans="1:11" s="4" customFormat="1" ht="18.75" customHeight="1">
      <c r="A71" s="1"/>
      <c r="B71" s="316"/>
      <c r="C71" s="317"/>
      <c r="D71" s="317"/>
      <c r="E71" s="317"/>
      <c r="F71" s="317"/>
      <c r="G71" s="317"/>
      <c r="H71" s="317"/>
      <c r="I71" s="317"/>
      <c r="J71" s="318"/>
      <c r="K71" s="13"/>
    </row>
    <row r="72" spans="1:11" s="4" customFormat="1" ht="18.75" customHeight="1">
      <c r="A72" s="1"/>
      <c r="B72" s="316"/>
      <c r="C72" s="317"/>
      <c r="D72" s="317"/>
      <c r="E72" s="317"/>
      <c r="F72" s="317"/>
      <c r="G72" s="317"/>
      <c r="H72" s="317"/>
      <c r="I72" s="317"/>
      <c r="J72" s="318"/>
      <c r="K72" s="13"/>
    </row>
    <row r="73" spans="1:11" s="4" customFormat="1" ht="18.75" customHeight="1">
      <c r="A73" s="1"/>
      <c r="B73" s="316"/>
      <c r="C73" s="317"/>
      <c r="D73" s="317"/>
      <c r="E73" s="317"/>
      <c r="F73" s="317"/>
      <c r="G73" s="317"/>
      <c r="H73" s="317"/>
      <c r="I73" s="317"/>
      <c r="J73" s="318"/>
      <c r="K73" s="13"/>
    </row>
    <row r="74" spans="1:11" s="4" customFormat="1" ht="18.75" customHeight="1">
      <c r="A74" s="1"/>
      <c r="B74" s="316"/>
      <c r="C74" s="317"/>
      <c r="D74" s="317"/>
      <c r="E74" s="317"/>
      <c r="F74" s="317"/>
      <c r="G74" s="317"/>
      <c r="H74" s="317"/>
      <c r="I74" s="317"/>
      <c r="J74" s="318"/>
      <c r="K74" s="13"/>
    </row>
    <row r="75" spans="1:11" s="4" customFormat="1" ht="18.75" customHeight="1">
      <c r="A75" s="1"/>
      <c r="B75" s="316"/>
      <c r="C75" s="317"/>
      <c r="D75" s="317"/>
      <c r="E75" s="317"/>
      <c r="F75" s="317"/>
      <c r="G75" s="317"/>
      <c r="H75" s="317"/>
      <c r="I75" s="317"/>
      <c r="J75" s="318"/>
      <c r="K75" s="13"/>
    </row>
    <row r="76" spans="1:11" s="4" customFormat="1" ht="18.75" customHeight="1">
      <c r="A76" s="1"/>
      <c r="B76" s="316"/>
      <c r="C76" s="317"/>
      <c r="D76" s="317"/>
      <c r="E76" s="317"/>
      <c r="F76" s="317"/>
      <c r="G76" s="317"/>
      <c r="H76" s="317"/>
      <c r="I76" s="317"/>
      <c r="J76" s="318"/>
      <c r="K76" s="13"/>
    </row>
    <row r="77" spans="1:11" s="4" customFormat="1" ht="18.75" customHeight="1">
      <c r="A77" s="1"/>
      <c r="B77" s="316"/>
      <c r="C77" s="317"/>
      <c r="D77" s="317"/>
      <c r="E77" s="317"/>
      <c r="F77" s="317"/>
      <c r="G77" s="317"/>
      <c r="H77" s="317"/>
      <c r="I77" s="317"/>
      <c r="J77" s="318"/>
      <c r="K77" s="13"/>
    </row>
    <row r="78" spans="1:11" s="4" customFormat="1" ht="18.75" customHeight="1">
      <c r="A78" s="1"/>
      <c r="B78" s="316"/>
      <c r="C78" s="317"/>
      <c r="D78" s="317"/>
      <c r="E78" s="317"/>
      <c r="F78" s="317"/>
      <c r="G78" s="317"/>
      <c r="H78" s="317"/>
      <c r="I78" s="317"/>
      <c r="J78" s="318"/>
      <c r="K78" s="13"/>
    </row>
    <row r="79" spans="1:11" s="4" customFormat="1" ht="18.75" customHeight="1">
      <c r="A79" s="1"/>
      <c r="B79" s="316"/>
      <c r="C79" s="317"/>
      <c r="D79" s="317"/>
      <c r="E79" s="317"/>
      <c r="F79" s="317"/>
      <c r="G79" s="317"/>
      <c r="H79" s="317"/>
      <c r="I79" s="317"/>
      <c r="J79" s="318"/>
      <c r="K79" s="13"/>
    </row>
    <row r="80" spans="1:11" s="4" customFormat="1" ht="18.75" customHeight="1">
      <c r="A80" s="1"/>
      <c r="B80" s="316"/>
      <c r="C80" s="317"/>
      <c r="D80" s="317"/>
      <c r="E80" s="317"/>
      <c r="F80" s="317"/>
      <c r="G80" s="317"/>
      <c r="H80" s="317"/>
      <c r="I80" s="317"/>
      <c r="J80" s="318"/>
      <c r="K80" s="13"/>
    </row>
    <row r="81" spans="1:11" s="4" customFormat="1" ht="18.75" customHeight="1">
      <c r="A81" s="1"/>
      <c r="B81" s="316"/>
      <c r="C81" s="317"/>
      <c r="D81" s="317"/>
      <c r="E81" s="317"/>
      <c r="F81" s="317"/>
      <c r="G81" s="317"/>
      <c r="H81" s="317"/>
      <c r="I81" s="317"/>
      <c r="J81" s="318"/>
      <c r="K81" s="13"/>
    </row>
    <row r="82" spans="1:11" s="4" customFormat="1" ht="18.75" customHeight="1">
      <c r="A82" s="1"/>
      <c r="B82" s="316"/>
      <c r="C82" s="317"/>
      <c r="D82" s="317"/>
      <c r="E82" s="317"/>
      <c r="F82" s="317"/>
      <c r="G82" s="317"/>
      <c r="H82" s="317"/>
      <c r="I82" s="317"/>
      <c r="J82" s="318"/>
      <c r="K82" s="13"/>
    </row>
    <row r="83" spans="1:11" s="4" customFormat="1" ht="18.75" customHeight="1">
      <c r="A83" s="1"/>
      <c r="B83" s="316"/>
      <c r="C83" s="317"/>
      <c r="D83" s="317"/>
      <c r="E83" s="317"/>
      <c r="F83" s="317"/>
      <c r="G83" s="317"/>
      <c r="H83" s="317"/>
      <c r="I83" s="317"/>
      <c r="J83" s="318"/>
      <c r="K83" s="13"/>
    </row>
    <row r="84" spans="1:11" s="4" customFormat="1" ht="18.75" customHeight="1">
      <c r="A84" s="1"/>
      <c r="B84" s="316"/>
      <c r="C84" s="317"/>
      <c r="D84" s="317"/>
      <c r="E84" s="317"/>
      <c r="F84" s="317"/>
      <c r="G84" s="317"/>
      <c r="H84" s="317"/>
      <c r="I84" s="317"/>
      <c r="J84" s="318"/>
      <c r="K84" s="13"/>
    </row>
    <row r="85" spans="1:11" ht="18.75" customHeight="1">
      <c r="A85" s="34"/>
      <c r="B85" s="316"/>
      <c r="C85" s="317"/>
      <c r="D85" s="317"/>
      <c r="E85" s="317"/>
      <c r="F85" s="317"/>
      <c r="G85" s="317"/>
      <c r="H85" s="317"/>
      <c r="I85" s="317"/>
      <c r="J85" s="318"/>
    </row>
    <row r="86" spans="1:11" ht="18.75" customHeight="1">
      <c r="A86" s="34"/>
      <c r="B86" s="319"/>
      <c r="C86" s="320"/>
      <c r="D86" s="320"/>
      <c r="E86" s="320"/>
      <c r="F86" s="320"/>
      <c r="G86" s="320"/>
      <c r="H86" s="320"/>
      <c r="I86" s="320"/>
      <c r="J86" s="321"/>
    </row>
    <row r="87" spans="1:11" ht="7.5" customHeight="1">
      <c r="A87" s="34"/>
      <c r="B87" s="99"/>
      <c r="C87" s="99"/>
      <c r="D87" s="99"/>
      <c r="E87" s="99"/>
      <c r="F87" s="99"/>
      <c r="G87" s="99"/>
      <c r="H87" s="99"/>
      <c r="I87" s="99"/>
      <c r="J87" s="99"/>
    </row>
    <row r="88" spans="1:11" s="4" customFormat="1" ht="18.75" customHeight="1">
      <c r="A88" s="1" t="s">
        <v>12</v>
      </c>
      <c r="B88" s="13" t="s">
        <v>27</v>
      </c>
      <c r="C88" s="13"/>
      <c r="D88" s="13"/>
      <c r="E88" s="13"/>
      <c r="F88" s="13"/>
      <c r="G88" s="13"/>
      <c r="H88" s="13"/>
      <c r="I88" s="13"/>
      <c r="J88" s="13"/>
      <c r="K88" s="13"/>
    </row>
    <row r="89" spans="1:11" s="4" customFormat="1" ht="18.75" customHeight="1">
      <c r="A89" s="1"/>
      <c r="B89" s="305" t="s">
        <v>232</v>
      </c>
      <c r="C89" s="306"/>
      <c r="D89" s="306"/>
      <c r="E89" s="306"/>
      <c r="F89" s="306"/>
      <c r="G89" s="306"/>
      <c r="H89" s="306"/>
      <c r="I89" s="314"/>
      <c r="J89" s="315"/>
      <c r="K89" s="13"/>
    </row>
    <row r="90" spans="1:11" s="4" customFormat="1" ht="18.75" customHeight="1">
      <c r="A90" s="1"/>
      <c r="B90" s="316"/>
      <c r="C90" s="317"/>
      <c r="D90" s="317"/>
      <c r="E90" s="317"/>
      <c r="F90" s="317"/>
      <c r="G90" s="317"/>
      <c r="H90" s="317"/>
      <c r="I90" s="317"/>
      <c r="J90" s="318"/>
      <c r="K90" s="13"/>
    </row>
    <row r="91" spans="1:11" s="4" customFormat="1" ht="18.75" customHeight="1">
      <c r="A91" s="1"/>
      <c r="B91" s="316"/>
      <c r="C91" s="317"/>
      <c r="D91" s="317"/>
      <c r="E91" s="317"/>
      <c r="F91" s="317"/>
      <c r="G91" s="317"/>
      <c r="H91" s="317"/>
      <c r="I91" s="317"/>
      <c r="J91" s="318"/>
      <c r="K91" s="13" t="str">
        <f>IF(B89="","入力してください","")</f>
        <v/>
      </c>
    </row>
    <row r="92" spans="1:11" s="4" customFormat="1" ht="18.75" customHeight="1">
      <c r="A92" s="1"/>
      <c r="B92" s="316"/>
      <c r="C92" s="317"/>
      <c r="D92" s="317"/>
      <c r="E92" s="317"/>
      <c r="F92" s="317"/>
      <c r="G92" s="317"/>
      <c r="H92" s="317"/>
      <c r="I92" s="317"/>
      <c r="J92" s="318"/>
      <c r="K92" s="13"/>
    </row>
    <row r="93" spans="1:11" s="4" customFormat="1" ht="18.75" customHeight="1">
      <c r="A93" s="1"/>
      <c r="B93" s="316"/>
      <c r="C93" s="317"/>
      <c r="D93" s="317"/>
      <c r="E93" s="317"/>
      <c r="F93" s="317"/>
      <c r="G93" s="317"/>
      <c r="H93" s="317"/>
      <c r="I93" s="317"/>
      <c r="J93" s="318"/>
      <c r="K93" s="13"/>
    </row>
    <row r="94" spans="1:11" s="4" customFormat="1" ht="18.75" customHeight="1">
      <c r="A94" s="1"/>
      <c r="B94" s="316"/>
      <c r="C94" s="317"/>
      <c r="D94" s="317"/>
      <c r="E94" s="317"/>
      <c r="F94" s="317"/>
      <c r="G94" s="317"/>
      <c r="H94" s="317"/>
      <c r="I94" s="317"/>
      <c r="J94" s="318"/>
      <c r="K94" s="13"/>
    </row>
    <row r="95" spans="1:11" s="4" customFormat="1" ht="18.75" customHeight="1">
      <c r="A95" s="1"/>
      <c r="B95" s="316"/>
      <c r="C95" s="317"/>
      <c r="D95" s="317"/>
      <c r="E95" s="317"/>
      <c r="F95" s="317"/>
      <c r="G95" s="317"/>
      <c r="H95" s="317"/>
      <c r="I95" s="317"/>
      <c r="J95" s="318"/>
      <c r="K95" s="13"/>
    </row>
    <row r="96" spans="1:11" s="4" customFormat="1" ht="18.75" customHeight="1">
      <c r="A96" s="1"/>
      <c r="B96" s="316"/>
      <c r="C96" s="317"/>
      <c r="D96" s="317"/>
      <c r="E96" s="317"/>
      <c r="F96" s="317"/>
      <c r="G96" s="317"/>
      <c r="H96" s="317"/>
      <c r="I96" s="317"/>
      <c r="J96" s="318"/>
      <c r="K96" s="13"/>
    </row>
    <row r="97" spans="1:11" s="4" customFormat="1" ht="18.75" customHeight="1">
      <c r="A97" s="1"/>
      <c r="B97" s="316"/>
      <c r="C97" s="317"/>
      <c r="D97" s="317"/>
      <c r="E97" s="317"/>
      <c r="F97" s="317"/>
      <c r="G97" s="317"/>
      <c r="H97" s="317"/>
      <c r="I97" s="317"/>
      <c r="J97" s="318"/>
      <c r="K97" s="13"/>
    </row>
    <row r="98" spans="1:11" s="4" customFormat="1" ht="18.75" customHeight="1">
      <c r="A98" s="1"/>
      <c r="B98" s="316"/>
      <c r="C98" s="317"/>
      <c r="D98" s="317"/>
      <c r="E98" s="317"/>
      <c r="F98" s="317"/>
      <c r="G98" s="317"/>
      <c r="H98" s="317"/>
      <c r="I98" s="317"/>
      <c r="J98" s="318"/>
      <c r="K98" s="13"/>
    </row>
    <row r="99" spans="1:11" s="4" customFormat="1" ht="18.75" customHeight="1">
      <c r="A99" s="1"/>
      <c r="B99" s="316"/>
      <c r="C99" s="317"/>
      <c r="D99" s="317"/>
      <c r="E99" s="317"/>
      <c r="F99" s="317"/>
      <c r="G99" s="317"/>
      <c r="H99" s="317"/>
      <c r="I99" s="317"/>
      <c r="J99" s="318"/>
      <c r="K99" s="13"/>
    </row>
    <row r="100" spans="1:11" s="4" customFormat="1" ht="18.75" customHeight="1">
      <c r="A100" s="1"/>
      <c r="B100" s="316"/>
      <c r="C100" s="317"/>
      <c r="D100" s="317"/>
      <c r="E100" s="317"/>
      <c r="F100" s="317"/>
      <c r="G100" s="317"/>
      <c r="H100" s="317"/>
      <c r="I100" s="317"/>
      <c r="J100" s="318"/>
      <c r="K100" s="13"/>
    </row>
    <row r="101" spans="1:11" s="4" customFormat="1" ht="18.75" customHeight="1">
      <c r="A101" s="1"/>
      <c r="B101" s="316"/>
      <c r="C101" s="317"/>
      <c r="D101" s="317"/>
      <c r="E101" s="317"/>
      <c r="F101" s="317"/>
      <c r="G101" s="317"/>
      <c r="H101" s="317"/>
      <c r="I101" s="317"/>
      <c r="J101" s="318"/>
      <c r="K101" s="13"/>
    </row>
    <row r="102" spans="1:11" s="4" customFormat="1" ht="18.75" customHeight="1">
      <c r="A102" s="1"/>
      <c r="B102" s="316"/>
      <c r="C102" s="317"/>
      <c r="D102" s="317"/>
      <c r="E102" s="317"/>
      <c r="F102" s="317"/>
      <c r="G102" s="317"/>
      <c r="H102" s="317"/>
      <c r="I102" s="317"/>
      <c r="J102" s="318"/>
      <c r="K102" s="13"/>
    </row>
    <row r="103" spans="1:11" s="4" customFormat="1" ht="18.75" customHeight="1">
      <c r="A103" s="1"/>
      <c r="B103" s="316"/>
      <c r="C103" s="317"/>
      <c r="D103" s="317"/>
      <c r="E103" s="317"/>
      <c r="F103" s="317"/>
      <c r="G103" s="317"/>
      <c r="H103" s="317"/>
      <c r="I103" s="317"/>
      <c r="J103" s="318"/>
      <c r="K103" s="13"/>
    </row>
    <row r="104" spans="1:11" s="4" customFormat="1" ht="18.75" customHeight="1">
      <c r="A104" s="1"/>
      <c r="B104" s="316"/>
      <c r="C104" s="317"/>
      <c r="D104" s="317"/>
      <c r="E104" s="317"/>
      <c r="F104" s="317"/>
      <c r="G104" s="317"/>
      <c r="H104" s="317"/>
      <c r="I104" s="317"/>
      <c r="J104" s="318"/>
      <c r="K104" s="13"/>
    </row>
    <row r="105" spans="1:11" s="4" customFormat="1" ht="18.75" customHeight="1">
      <c r="A105" s="1"/>
      <c r="B105" s="316"/>
      <c r="C105" s="317"/>
      <c r="D105" s="317"/>
      <c r="E105" s="317"/>
      <c r="F105" s="317"/>
      <c r="G105" s="317"/>
      <c r="H105" s="317"/>
      <c r="I105" s="317"/>
      <c r="J105" s="318"/>
      <c r="K105" s="13"/>
    </row>
    <row r="106" spans="1:11" s="4" customFormat="1" ht="18.75" customHeight="1">
      <c r="A106" s="1"/>
      <c r="B106" s="316"/>
      <c r="C106" s="317"/>
      <c r="D106" s="317"/>
      <c r="E106" s="317"/>
      <c r="F106" s="317"/>
      <c r="G106" s="317"/>
      <c r="H106" s="317"/>
      <c r="I106" s="317"/>
      <c r="J106" s="318"/>
      <c r="K106" s="13"/>
    </row>
    <row r="107" spans="1:11" ht="18.75" customHeight="1">
      <c r="A107" s="34"/>
      <c r="B107" s="316"/>
      <c r="C107" s="317"/>
      <c r="D107" s="317"/>
      <c r="E107" s="317"/>
      <c r="F107" s="317"/>
      <c r="G107" s="317"/>
      <c r="H107" s="317"/>
      <c r="I107" s="317"/>
      <c r="J107" s="318"/>
    </row>
    <row r="108" spans="1:11" ht="18.75" customHeight="1">
      <c r="A108" s="34"/>
      <c r="B108" s="319"/>
      <c r="C108" s="320"/>
      <c r="D108" s="320"/>
      <c r="E108" s="320"/>
      <c r="F108" s="320"/>
      <c r="G108" s="320"/>
      <c r="H108" s="320"/>
      <c r="I108" s="320"/>
      <c r="J108" s="321"/>
    </row>
    <row r="109" spans="1:11" ht="7.5" customHeight="1">
      <c r="A109" s="34"/>
      <c r="B109" s="99"/>
      <c r="C109" s="99"/>
      <c r="D109" s="99"/>
      <c r="E109" s="99"/>
      <c r="F109" s="99"/>
      <c r="G109" s="99"/>
      <c r="H109" s="99"/>
      <c r="I109" s="99"/>
      <c r="J109" s="99"/>
    </row>
    <row r="110" spans="1:11" s="4" customFormat="1" ht="18.75" customHeight="1">
      <c r="A110" s="1" t="s">
        <v>53</v>
      </c>
      <c r="B110" s="322" t="s">
        <v>82</v>
      </c>
      <c r="C110" s="322"/>
      <c r="D110" s="322"/>
      <c r="E110" s="322"/>
      <c r="F110" s="322"/>
      <c r="G110" s="322"/>
      <c r="H110" s="322"/>
      <c r="I110" s="322"/>
      <c r="J110" s="322"/>
      <c r="K110" s="13"/>
    </row>
    <row r="111" spans="1:11" ht="18.75" customHeight="1">
      <c r="A111" s="34"/>
      <c r="B111" s="305" t="s">
        <v>171</v>
      </c>
      <c r="C111" s="306"/>
      <c r="D111" s="306"/>
      <c r="E111" s="306"/>
      <c r="F111" s="306"/>
      <c r="G111" s="306"/>
      <c r="H111" s="306"/>
      <c r="I111" s="314"/>
      <c r="J111" s="315"/>
    </row>
    <row r="112" spans="1:11" ht="18.75" customHeight="1">
      <c r="A112" s="34"/>
      <c r="B112" s="316"/>
      <c r="C112" s="317"/>
      <c r="D112" s="317"/>
      <c r="E112" s="317"/>
      <c r="F112" s="317"/>
      <c r="G112" s="317"/>
      <c r="H112" s="317"/>
      <c r="I112" s="317"/>
      <c r="J112" s="318"/>
    </row>
    <row r="113" spans="1:11" ht="18.75" customHeight="1">
      <c r="A113" s="34"/>
      <c r="B113" s="316"/>
      <c r="C113" s="317"/>
      <c r="D113" s="317"/>
      <c r="E113" s="317"/>
      <c r="F113" s="317"/>
      <c r="G113" s="317"/>
      <c r="H113" s="317"/>
      <c r="I113" s="317"/>
      <c r="J113" s="318"/>
      <c r="K113" s="13" t="str">
        <f>IF(B111="","入力してください","")</f>
        <v/>
      </c>
    </row>
    <row r="114" spans="1:11" ht="18.75" customHeight="1">
      <c r="A114" s="34"/>
      <c r="B114" s="316"/>
      <c r="C114" s="317"/>
      <c r="D114" s="317"/>
      <c r="E114" s="317"/>
      <c r="F114" s="317"/>
      <c r="G114" s="317"/>
      <c r="H114" s="317"/>
      <c r="I114" s="317"/>
      <c r="J114" s="318"/>
    </row>
    <row r="115" spans="1:11" ht="18.75" customHeight="1">
      <c r="A115" s="34"/>
      <c r="B115" s="316"/>
      <c r="C115" s="317"/>
      <c r="D115" s="317"/>
      <c r="E115" s="317"/>
      <c r="F115" s="317"/>
      <c r="G115" s="317"/>
      <c r="H115" s="317"/>
      <c r="I115" s="317"/>
      <c r="J115" s="318"/>
    </row>
    <row r="116" spans="1:11" ht="18.75" customHeight="1">
      <c r="A116" s="34"/>
      <c r="B116" s="316"/>
      <c r="C116" s="317"/>
      <c r="D116" s="317"/>
      <c r="E116" s="317"/>
      <c r="F116" s="317"/>
      <c r="G116" s="317"/>
      <c r="H116" s="317"/>
      <c r="I116" s="317"/>
      <c r="J116" s="318"/>
    </row>
    <row r="117" spans="1:11" ht="18.75" customHeight="1">
      <c r="A117" s="34"/>
      <c r="B117" s="316"/>
      <c r="C117" s="317"/>
      <c r="D117" s="317"/>
      <c r="E117" s="317"/>
      <c r="F117" s="317"/>
      <c r="G117" s="317"/>
      <c r="H117" s="317"/>
      <c r="I117" s="317"/>
      <c r="J117" s="318"/>
    </row>
    <row r="118" spans="1:11" ht="18.75" customHeight="1">
      <c r="A118" s="34"/>
      <c r="B118" s="316"/>
      <c r="C118" s="317"/>
      <c r="D118" s="317"/>
      <c r="E118" s="317"/>
      <c r="F118" s="317"/>
      <c r="G118" s="317"/>
      <c r="H118" s="317"/>
      <c r="I118" s="317"/>
      <c r="J118" s="318"/>
    </row>
    <row r="119" spans="1:11" ht="18.75" customHeight="1">
      <c r="A119" s="34"/>
      <c r="B119" s="316"/>
      <c r="C119" s="317"/>
      <c r="D119" s="317"/>
      <c r="E119" s="317"/>
      <c r="F119" s="317"/>
      <c r="G119" s="317"/>
      <c r="H119" s="317"/>
      <c r="I119" s="317"/>
      <c r="J119" s="318"/>
    </row>
    <row r="120" spans="1:11" ht="18.75" customHeight="1">
      <c r="A120" s="34"/>
      <c r="B120" s="316"/>
      <c r="C120" s="317"/>
      <c r="D120" s="317"/>
      <c r="E120" s="317"/>
      <c r="F120" s="317"/>
      <c r="G120" s="317"/>
      <c r="H120" s="317"/>
      <c r="I120" s="317"/>
      <c r="J120" s="318"/>
    </row>
    <row r="121" spans="1:11" ht="18.75" customHeight="1">
      <c r="A121" s="34"/>
      <c r="B121" s="316"/>
      <c r="C121" s="317"/>
      <c r="D121" s="317"/>
      <c r="E121" s="317"/>
      <c r="F121" s="317"/>
      <c r="G121" s="317"/>
      <c r="H121" s="317"/>
      <c r="I121" s="317"/>
      <c r="J121" s="318"/>
    </row>
    <row r="122" spans="1:11" ht="18.75" customHeight="1">
      <c r="A122" s="34"/>
      <c r="B122" s="316"/>
      <c r="C122" s="317"/>
      <c r="D122" s="317"/>
      <c r="E122" s="317"/>
      <c r="F122" s="317"/>
      <c r="G122" s="317"/>
      <c r="H122" s="317"/>
      <c r="I122" s="317"/>
      <c r="J122" s="318"/>
    </row>
    <row r="123" spans="1:11" ht="18.75" customHeight="1">
      <c r="A123" s="34"/>
      <c r="B123" s="316"/>
      <c r="C123" s="317"/>
      <c r="D123" s="317"/>
      <c r="E123" s="317"/>
      <c r="F123" s="317"/>
      <c r="G123" s="317"/>
      <c r="H123" s="317"/>
      <c r="I123" s="317"/>
      <c r="J123" s="318"/>
    </row>
    <row r="124" spans="1:11" ht="18.75" customHeight="1">
      <c r="A124" s="34"/>
      <c r="B124" s="316"/>
      <c r="C124" s="317"/>
      <c r="D124" s="317"/>
      <c r="E124" s="317"/>
      <c r="F124" s="317"/>
      <c r="G124" s="317"/>
      <c r="H124" s="317"/>
      <c r="I124" s="317"/>
      <c r="J124" s="318"/>
    </row>
    <row r="125" spans="1:11" ht="18.75" customHeight="1">
      <c r="A125" s="34"/>
      <c r="B125" s="316"/>
      <c r="C125" s="317"/>
      <c r="D125" s="317"/>
      <c r="E125" s="317"/>
      <c r="F125" s="317"/>
      <c r="G125" s="317"/>
      <c r="H125" s="317"/>
      <c r="I125" s="317"/>
      <c r="J125" s="318"/>
    </row>
    <row r="126" spans="1:11" ht="18.75" customHeight="1">
      <c r="A126" s="34"/>
      <c r="B126" s="316"/>
      <c r="C126" s="317"/>
      <c r="D126" s="317"/>
      <c r="E126" s="317"/>
      <c r="F126" s="317"/>
      <c r="G126" s="317"/>
      <c r="H126" s="317"/>
      <c r="I126" s="317"/>
      <c r="J126" s="318"/>
    </row>
    <row r="127" spans="1:11" ht="18.75" customHeight="1">
      <c r="A127" s="34"/>
      <c r="B127" s="316"/>
      <c r="C127" s="317"/>
      <c r="D127" s="317"/>
      <c r="E127" s="317"/>
      <c r="F127" s="317"/>
      <c r="G127" s="317"/>
      <c r="H127" s="317"/>
      <c r="I127" s="317"/>
      <c r="J127" s="318"/>
    </row>
    <row r="128" spans="1:11" ht="18.75" customHeight="1">
      <c r="A128" s="34"/>
      <c r="B128" s="316"/>
      <c r="C128" s="317"/>
      <c r="D128" s="317"/>
      <c r="E128" s="317"/>
      <c r="F128" s="317"/>
      <c r="G128" s="317"/>
      <c r="H128" s="317"/>
      <c r="I128" s="317"/>
      <c r="J128" s="318"/>
    </row>
    <row r="129" spans="1:10" ht="18.75" customHeight="1">
      <c r="A129" s="34"/>
      <c r="B129" s="319"/>
      <c r="C129" s="320"/>
      <c r="D129" s="320"/>
      <c r="E129" s="320"/>
      <c r="F129" s="320"/>
      <c r="G129" s="320"/>
      <c r="H129" s="320"/>
      <c r="I129" s="320"/>
      <c r="J129" s="321"/>
    </row>
    <row r="130" spans="1:10" ht="7.5" customHeight="1">
      <c r="A130" s="34"/>
      <c r="B130" s="100"/>
      <c r="C130" s="100"/>
      <c r="D130" s="100"/>
      <c r="E130" s="100"/>
      <c r="F130" s="100"/>
      <c r="G130" s="100"/>
      <c r="H130" s="100"/>
      <c r="I130" s="100"/>
      <c r="J130" s="100"/>
    </row>
    <row r="131" spans="1:10" ht="18.75" customHeight="1">
      <c r="A131" s="34"/>
      <c r="B131" s="99"/>
      <c r="C131" s="99"/>
      <c r="D131" s="99"/>
      <c r="E131" s="99"/>
      <c r="F131" s="99"/>
      <c r="G131" s="99"/>
      <c r="H131" s="99"/>
      <c r="I131" s="99"/>
      <c r="J131" s="99"/>
    </row>
    <row r="132" spans="1:10" ht="18.75" customHeight="1">
      <c r="A132" s="34"/>
      <c r="B132" s="99"/>
      <c r="C132" s="99"/>
      <c r="D132" s="99"/>
      <c r="E132" s="99"/>
      <c r="F132" s="99"/>
      <c r="G132" s="99"/>
      <c r="H132" s="99"/>
      <c r="I132" s="99"/>
      <c r="J132" s="99"/>
    </row>
    <row r="133" spans="1:10" ht="18.75" customHeight="1">
      <c r="A133" s="34"/>
      <c r="B133" s="99"/>
      <c r="C133" s="99"/>
      <c r="D133" s="99"/>
      <c r="E133" s="99"/>
      <c r="F133" s="99"/>
      <c r="G133" s="99"/>
      <c r="H133" s="99"/>
      <c r="I133" s="99"/>
      <c r="J133" s="99"/>
    </row>
    <row r="134" spans="1:10" ht="18.75" customHeight="1">
      <c r="A134" s="34"/>
      <c r="B134" s="99"/>
      <c r="C134" s="99"/>
      <c r="D134" s="99"/>
      <c r="E134" s="99"/>
      <c r="F134" s="99"/>
      <c r="G134" s="99"/>
      <c r="H134" s="99"/>
      <c r="I134" s="99"/>
      <c r="J134" s="99"/>
    </row>
    <row r="135" spans="1:10" ht="18.75" customHeight="1">
      <c r="A135" s="34"/>
      <c r="B135" s="99"/>
      <c r="C135" s="99"/>
      <c r="D135" s="99"/>
      <c r="E135" s="99"/>
      <c r="F135" s="99"/>
      <c r="G135" s="99"/>
      <c r="H135" s="99"/>
      <c r="I135" s="99"/>
      <c r="J135" s="99"/>
    </row>
    <row r="136" spans="1:10" ht="18.75" customHeight="1">
      <c r="A136" s="34"/>
      <c r="B136" s="99"/>
      <c r="C136" s="99"/>
      <c r="D136" s="99"/>
      <c r="E136" s="99"/>
      <c r="F136" s="99"/>
      <c r="G136" s="99"/>
      <c r="H136" s="99"/>
      <c r="I136" s="99"/>
      <c r="J136" s="99"/>
    </row>
    <row r="137" spans="1:10" ht="18.75" customHeight="1">
      <c r="A137" s="34"/>
      <c r="B137" s="99"/>
      <c r="C137" s="99"/>
      <c r="D137" s="99"/>
      <c r="E137" s="99"/>
      <c r="F137" s="99"/>
      <c r="G137" s="99"/>
      <c r="H137" s="99"/>
      <c r="I137" s="99"/>
      <c r="J137" s="99"/>
    </row>
    <row r="138" spans="1:10" ht="18.75" customHeight="1">
      <c r="A138" s="34"/>
      <c r="B138" s="99"/>
      <c r="C138" s="99"/>
      <c r="D138" s="99"/>
      <c r="E138" s="99"/>
      <c r="F138" s="99"/>
      <c r="G138" s="99"/>
      <c r="H138" s="99"/>
      <c r="I138" s="99"/>
      <c r="J138" s="99"/>
    </row>
    <row r="139" spans="1:10" ht="18.75" customHeight="1">
      <c r="A139" s="34"/>
      <c r="B139" s="99"/>
      <c r="C139" s="99"/>
      <c r="D139" s="99"/>
      <c r="E139" s="99"/>
      <c r="F139" s="99"/>
      <c r="G139" s="99"/>
      <c r="H139" s="99"/>
      <c r="I139" s="99"/>
      <c r="J139" s="99"/>
    </row>
    <row r="140" spans="1:10" ht="18.75" customHeight="1">
      <c r="A140" s="34"/>
      <c r="B140" s="99"/>
      <c r="C140" s="99"/>
      <c r="D140" s="99"/>
      <c r="E140" s="99"/>
      <c r="F140" s="99"/>
      <c r="G140" s="99"/>
      <c r="H140" s="99"/>
      <c r="I140" s="99"/>
      <c r="J140" s="99"/>
    </row>
    <row r="141" spans="1:10" ht="18.75" customHeight="1">
      <c r="A141" s="34"/>
      <c r="B141" s="99"/>
      <c r="C141" s="99"/>
      <c r="D141" s="99"/>
      <c r="E141" s="99"/>
      <c r="F141" s="99"/>
      <c r="G141" s="99"/>
      <c r="H141" s="99"/>
      <c r="I141" s="99"/>
      <c r="J141" s="99"/>
    </row>
    <row r="142" spans="1:10" ht="18.75" customHeight="1">
      <c r="A142" s="34"/>
      <c r="B142" s="99"/>
      <c r="C142" s="99"/>
      <c r="D142" s="99"/>
      <c r="E142" s="99"/>
      <c r="F142" s="99"/>
      <c r="G142" s="99"/>
      <c r="H142" s="99"/>
      <c r="I142" s="99"/>
      <c r="J142" s="99"/>
    </row>
    <row r="143" spans="1:10" ht="14.25">
      <c r="A143" s="34"/>
      <c r="B143" s="99"/>
      <c r="C143" s="99"/>
      <c r="D143" s="99"/>
      <c r="E143" s="99"/>
      <c r="F143" s="99"/>
      <c r="G143" s="99"/>
      <c r="H143" s="99"/>
      <c r="I143" s="99"/>
      <c r="J143" s="99"/>
    </row>
    <row r="144" spans="1:10" ht="7.5" customHeight="1">
      <c r="A144" s="79"/>
      <c r="B144" s="101"/>
      <c r="C144" s="101"/>
      <c r="D144" s="101"/>
      <c r="E144" s="101"/>
      <c r="F144" s="101"/>
      <c r="G144" s="101"/>
      <c r="H144" s="101"/>
      <c r="I144" s="101"/>
      <c r="J144" s="101"/>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39370078740157483" header="0.31496062992125984" footer="0.31496062992125984"/>
  <pageSetup paperSize="9" orientation="portrait" r:id="rId1"/>
  <rowBreaks count="2" manualBreakCount="2">
    <brk id="44" max="9" man="1"/>
    <brk id="8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0" zoomScaleNormal="100" zoomScaleSheetLayoutView="100" workbookViewId="0">
      <selection activeCell="L25" sqref="L25"/>
    </sheetView>
  </sheetViews>
  <sheetFormatPr defaultColWidth="11.375" defaultRowHeight="22.5" customHeight="1"/>
  <cols>
    <col min="1" max="3" width="2.625" style="1" customWidth="1"/>
    <col min="4" max="4" width="22.125" style="1" customWidth="1"/>
    <col min="5" max="5" width="21.625" style="13" customWidth="1"/>
    <col min="6" max="7" width="7.625" style="13" customWidth="1"/>
    <col min="8" max="8" width="33.375" style="13" customWidth="1"/>
    <col min="9" max="9" width="24.5" style="13" customWidth="1"/>
    <col min="10" max="10" width="5.5" style="13" customWidth="1"/>
    <col min="11" max="11" width="4.125" style="30" customWidth="1"/>
    <col min="12" max="16384" width="11.375" style="1"/>
  </cols>
  <sheetData>
    <row r="1" spans="1:11" ht="18.75" customHeight="1">
      <c r="A1" s="1" t="s">
        <v>122</v>
      </c>
      <c r="J1" s="93" t="s">
        <v>73</v>
      </c>
    </row>
    <row r="2" spans="1:11" ht="18.75" customHeight="1">
      <c r="A2" s="295" t="s">
        <v>42</v>
      </c>
      <c r="B2" s="295"/>
      <c r="C2" s="295"/>
      <c r="D2" s="295"/>
      <c r="E2" s="295"/>
      <c r="F2" s="295"/>
      <c r="G2" s="295"/>
      <c r="H2" s="295"/>
      <c r="I2" s="295"/>
      <c r="J2" s="295"/>
    </row>
    <row r="3" spans="1:11" ht="7.5" customHeight="1">
      <c r="A3" s="35"/>
      <c r="B3" s="35"/>
      <c r="C3" s="35"/>
      <c r="D3" s="35"/>
      <c r="E3" s="98"/>
      <c r="F3" s="98"/>
      <c r="G3" s="98"/>
      <c r="H3" s="98"/>
      <c r="I3" s="98"/>
      <c r="J3" s="98"/>
    </row>
    <row r="4" spans="1:11" ht="18.75" customHeight="1">
      <c r="A4" s="1" t="s">
        <v>6</v>
      </c>
      <c r="B4" s="4" t="s">
        <v>41</v>
      </c>
      <c r="C4" s="34"/>
      <c r="D4" s="34"/>
      <c r="E4" s="99"/>
      <c r="F4" s="99"/>
      <c r="G4" s="99"/>
      <c r="H4" s="99"/>
      <c r="I4" s="99"/>
      <c r="J4" s="99"/>
    </row>
    <row r="5" spans="1:11" ht="18.75" customHeight="1">
      <c r="B5" s="338" t="s">
        <v>38</v>
      </c>
      <c r="C5" s="339"/>
      <c r="D5" s="340"/>
      <c r="E5" s="159" t="s">
        <v>40</v>
      </c>
      <c r="F5" s="159"/>
      <c r="G5" s="159"/>
      <c r="H5" s="159"/>
      <c r="I5" s="159"/>
      <c r="J5" s="160"/>
    </row>
    <row r="6" spans="1:11" ht="18.75" customHeight="1">
      <c r="B6" s="3" t="s">
        <v>28</v>
      </c>
      <c r="C6" s="34"/>
      <c r="D6" s="6"/>
      <c r="I6" s="99"/>
      <c r="J6" s="103"/>
    </row>
    <row r="7" spans="1:11" ht="72.75" customHeight="1">
      <c r="B7" s="5"/>
      <c r="C7" s="341" t="s">
        <v>29</v>
      </c>
      <c r="D7" s="342"/>
      <c r="E7" s="335" t="s">
        <v>173</v>
      </c>
      <c r="F7" s="336"/>
      <c r="G7" s="336"/>
      <c r="H7" s="336"/>
      <c r="I7" s="336"/>
      <c r="J7" s="337"/>
      <c r="K7" s="30" t="str">
        <f>IF(E7="","入力してください","")</f>
        <v/>
      </c>
    </row>
    <row r="8" spans="1:11" ht="72.75" customHeight="1">
      <c r="B8" s="5"/>
      <c r="C8" s="333" t="s">
        <v>30</v>
      </c>
      <c r="D8" s="334"/>
      <c r="E8" s="335" t="s">
        <v>174</v>
      </c>
      <c r="F8" s="336"/>
      <c r="G8" s="336"/>
      <c r="H8" s="336"/>
      <c r="I8" s="336"/>
      <c r="J8" s="337"/>
      <c r="K8" s="30" t="str">
        <f>IF(E8="","入力してください","")</f>
        <v/>
      </c>
    </row>
    <row r="9" spans="1:11" ht="281.25" customHeight="1">
      <c r="B9" s="5"/>
      <c r="C9" s="341" t="s">
        <v>31</v>
      </c>
      <c r="D9" s="342"/>
      <c r="E9" s="335" t="s">
        <v>172</v>
      </c>
      <c r="F9" s="336"/>
      <c r="G9" s="336"/>
      <c r="H9" s="336"/>
      <c r="I9" s="336"/>
      <c r="J9" s="337"/>
      <c r="K9" s="30" t="str">
        <f>IF(E9="","入力してください","")</f>
        <v/>
      </c>
    </row>
    <row r="10" spans="1:11" ht="172.5" customHeight="1">
      <c r="B10" s="5"/>
      <c r="C10" s="341" t="s">
        <v>32</v>
      </c>
      <c r="D10" s="342"/>
      <c r="E10" s="335" t="s">
        <v>175</v>
      </c>
      <c r="F10" s="336"/>
      <c r="G10" s="336"/>
      <c r="H10" s="336"/>
      <c r="I10" s="336"/>
      <c r="J10" s="337"/>
      <c r="K10" s="30" t="str">
        <f t="shared" ref="K10:K14" si="0">IF(E10="","入力してください","")</f>
        <v/>
      </c>
    </row>
    <row r="11" spans="1:11" ht="172.5" customHeight="1">
      <c r="B11" s="5"/>
      <c r="C11" s="341" t="s">
        <v>33</v>
      </c>
      <c r="D11" s="342"/>
      <c r="E11" s="335" t="s">
        <v>176</v>
      </c>
      <c r="F11" s="336"/>
      <c r="G11" s="336"/>
      <c r="H11" s="336"/>
      <c r="I11" s="336"/>
      <c r="J11" s="337"/>
      <c r="K11" s="30" t="str">
        <f t="shared" si="0"/>
        <v/>
      </c>
    </row>
    <row r="12" spans="1:11" ht="18.75" customHeight="1">
      <c r="B12" s="8" t="s">
        <v>34</v>
      </c>
      <c r="C12" s="27"/>
      <c r="D12" s="7"/>
      <c r="E12" s="104"/>
      <c r="F12" s="104"/>
      <c r="G12" s="104"/>
      <c r="H12" s="104"/>
      <c r="I12" s="104"/>
      <c r="J12" s="105"/>
    </row>
    <row r="13" spans="1:11" ht="244.35" customHeight="1">
      <c r="B13" s="5"/>
      <c r="C13" s="341" t="s">
        <v>35</v>
      </c>
      <c r="D13" s="342"/>
      <c r="E13" s="349" t="s">
        <v>235</v>
      </c>
      <c r="F13" s="350"/>
      <c r="G13" s="350"/>
      <c r="H13" s="350"/>
      <c r="I13" s="350"/>
      <c r="J13" s="351"/>
      <c r="K13" s="30" t="str">
        <f t="shared" si="0"/>
        <v/>
      </c>
    </row>
    <row r="14" spans="1:11" ht="197.25" customHeight="1">
      <c r="B14" s="5"/>
      <c r="C14" s="341" t="s">
        <v>36</v>
      </c>
      <c r="D14" s="342"/>
      <c r="E14" s="349" t="s">
        <v>236</v>
      </c>
      <c r="F14" s="350"/>
      <c r="G14" s="350"/>
      <c r="H14" s="350"/>
      <c r="I14" s="350"/>
      <c r="J14" s="351"/>
      <c r="K14" s="30" t="str">
        <f t="shared" si="0"/>
        <v/>
      </c>
    </row>
    <row r="15" spans="1:11" ht="243" customHeight="1">
      <c r="B15" s="352" t="s">
        <v>37</v>
      </c>
      <c r="C15" s="353"/>
      <c r="D15" s="342"/>
      <c r="E15" s="336" t="s">
        <v>177</v>
      </c>
      <c r="F15" s="336"/>
      <c r="G15" s="336"/>
      <c r="H15" s="336"/>
      <c r="I15" s="336"/>
      <c r="J15" s="337"/>
      <c r="K15" s="30" t="str">
        <f>IF(E15="","入力してください","")</f>
        <v/>
      </c>
    </row>
    <row r="16" spans="1:11" ht="243" customHeight="1">
      <c r="A16" s="30"/>
      <c r="B16" s="343" t="s">
        <v>66</v>
      </c>
      <c r="C16" s="344"/>
      <c r="D16" s="345"/>
      <c r="E16" s="312" t="s">
        <v>178</v>
      </c>
      <c r="F16" s="312"/>
      <c r="G16" s="312"/>
      <c r="H16" s="312"/>
      <c r="I16" s="312"/>
      <c r="J16" s="313"/>
      <c r="K16" s="30" t="str">
        <f>IF(E16="","入力してください","")</f>
        <v/>
      </c>
    </row>
    <row r="17" spans="1:11" ht="7.5" customHeight="1">
      <c r="B17" s="34"/>
      <c r="C17" s="34"/>
      <c r="D17" s="34"/>
      <c r="E17" s="99"/>
      <c r="F17" s="99"/>
      <c r="G17" s="99"/>
      <c r="H17" s="99"/>
      <c r="I17" s="99"/>
      <c r="J17" s="99"/>
    </row>
    <row r="18" spans="1:11" ht="18.75" customHeight="1">
      <c r="A18" s="1" t="s">
        <v>123</v>
      </c>
      <c r="B18" s="4"/>
      <c r="C18" s="34"/>
      <c r="D18" s="34"/>
      <c r="E18" s="99"/>
      <c r="F18" s="97"/>
      <c r="G18" s="346" t="s">
        <v>231</v>
      </c>
      <c r="H18" s="347"/>
      <c r="I18" s="347"/>
      <c r="J18" s="348"/>
      <c r="K18" s="30" t="str">
        <f>IF(G18="","入力してください","")</f>
        <v/>
      </c>
    </row>
    <row r="19" spans="1:11" ht="22.5" customHeight="1">
      <c r="B19" s="34"/>
      <c r="C19" s="34"/>
      <c r="D19" s="34"/>
      <c r="E19" s="99"/>
      <c r="F19" s="99"/>
      <c r="G19" s="99"/>
      <c r="H19" s="99"/>
      <c r="I19" s="99"/>
      <c r="J19" s="99"/>
    </row>
    <row r="20" spans="1:11" ht="22.5" customHeight="1">
      <c r="B20" s="34"/>
      <c r="C20" s="34"/>
      <c r="D20" s="34"/>
      <c r="E20" s="99"/>
      <c r="F20" s="99"/>
      <c r="G20" s="99"/>
      <c r="H20" s="99"/>
      <c r="I20" s="99"/>
      <c r="J20" s="99"/>
    </row>
    <row r="21" spans="1:11" ht="22.5" customHeight="1">
      <c r="B21" s="34"/>
      <c r="C21" s="34"/>
      <c r="D21" s="34"/>
      <c r="E21" s="99"/>
      <c r="F21" s="99"/>
      <c r="G21" s="99"/>
      <c r="H21" s="99"/>
      <c r="I21" s="99"/>
      <c r="J21" s="99"/>
    </row>
    <row r="22" spans="1:11" ht="22.5" customHeight="1">
      <c r="B22" s="34"/>
      <c r="C22" s="34"/>
      <c r="D22" s="34"/>
      <c r="E22" s="99"/>
      <c r="F22" s="99"/>
      <c r="G22" s="99"/>
      <c r="H22" s="99"/>
      <c r="I22" s="99"/>
      <c r="J22" s="99"/>
    </row>
    <row r="23" spans="1:11" ht="22.5" customHeight="1">
      <c r="B23" s="34"/>
      <c r="C23" s="34"/>
      <c r="D23" s="34"/>
      <c r="E23" s="99"/>
      <c r="F23" s="99"/>
      <c r="G23" s="99"/>
      <c r="H23" s="99"/>
      <c r="I23" s="99"/>
      <c r="J23" s="99"/>
    </row>
    <row r="24" spans="1:11" ht="22.5" customHeight="1">
      <c r="B24" s="80"/>
      <c r="C24" s="80"/>
      <c r="D24" s="80"/>
      <c r="E24" s="53"/>
      <c r="F24" s="53"/>
      <c r="G24" s="53"/>
      <c r="H24" s="53"/>
      <c r="I24" s="53"/>
      <c r="J24" s="53"/>
    </row>
    <row r="25" spans="1:11" ht="22.5" customHeight="1">
      <c r="B25" s="80"/>
      <c r="C25" s="80"/>
      <c r="D25" s="80"/>
      <c r="E25" s="53"/>
      <c r="F25" s="53"/>
      <c r="G25" s="53"/>
      <c r="H25" s="53"/>
      <c r="I25" s="53"/>
      <c r="J25" s="53"/>
    </row>
    <row r="26" spans="1:11" ht="22.5" customHeight="1">
      <c r="B26" s="80"/>
      <c r="C26" s="80"/>
      <c r="D26" s="80"/>
      <c r="E26" s="53"/>
      <c r="F26" s="53"/>
      <c r="G26" s="53"/>
      <c r="H26" s="53"/>
      <c r="I26" s="53"/>
      <c r="J26" s="5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98FB665A-6C40-4C1B-B748-5C35AE803255}"/>
  </hyperlinks>
  <printOptions horizontalCentered="1"/>
  <pageMargins left="0.78740157480314965" right="0.78740157480314965" top="0.78740157480314965" bottom="0.39370078740157483" header="0.31496062992125984" footer="0.31496062992125984"/>
  <pageSetup paperSize="9" orientation="landscape" r:id="rId2"/>
  <rowBreaks count="1" manualBreakCount="1">
    <brk id="1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様式２ー１　プログラムを構成する授業科目</vt:lpstr>
      <vt:lpstr>様式２ー２　プログラムを構成する授業科目</vt:lpstr>
      <vt:lpstr>様式２ー３　プログラムを構成する授業科目</vt:lpstr>
      <vt:lpstr>様式２ー４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'様式２ー１　プログラムを構成する授業科目'!Print_Area</vt:lpstr>
      <vt:lpstr>'様式２ー２　プログラムを構成する授業科目'!Print_Area</vt:lpstr>
      <vt:lpstr>'様式２ー３　プログラムを構成する授業科目'!Print_Area</vt:lpstr>
      <vt:lpstr>'様式２ー４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栗原</cp:lastModifiedBy>
  <cp:lastPrinted>2022-04-04T23:19:56Z</cp:lastPrinted>
  <dcterms:created xsi:type="dcterms:W3CDTF">2011-06-14T05:32:50Z</dcterms:created>
  <dcterms:modified xsi:type="dcterms:W3CDTF">2022-07-15T01:55:22Z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