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67.3.20\学務\44.MCC（モデルコアカリキュラム）\AI数理データサイエンス教育プログラム認定制度リテラシーレベル\申請書類\再々再々提出0715\仙台高専_0715修正\01仙台高専_リテラシー_0715修正\"/>
    </mc:Choice>
  </mc:AlternateContent>
  <bookViews>
    <workbookView xWindow="18420" yWindow="5385" windowWidth="22170" windowHeight="16410" tabRatio="885" firstSheet="4" activeTab="4"/>
  </bookViews>
  <sheets>
    <sheet name="様式１　大学等概要" sheetId="8" r:id="rId1"/>
    <sheet name="様式２　プログラムを構成する授業科目" sheetId="39" r:id="rId2"/>
    <sheet name="様式２　プログラムを構成する授業科目 (2)" sheetId="45" r:id="rId3"/>
    <sheet name="様式２　プログラムを構成する授業科目 (3)" sheetId="47" r:id="rId4"/>
    <sheet name="様式３　履修者等数の実績" sheetId="40" r:id="rId5"/>
    <sheet name="様式４　教育の質・履修者数を向上させるための体制・計画" sheetId="41" r:id="rId6"/>
    <sheet name="様式５　自己点検・評価" sheetId="42" r:id="rId7"/>
  </sheets>
  <definedNames>
    <definedName name="_xlnm._FilterDatabase" localSheetId="1" hidden="1">'様式２　プログラムを構成する授業科目'!#REF!</definedName>
    <definedName name="_xlnm._FilterDatabase" localSheetId="2" hidden="1">'様式２　プログラムを構成する授業科目 (2)'!#REF!</definedName>
    <definedName name="_xlnm._FilterDatabase" localSheetId="3" hidden="1">'様式２　プログラムを構成する授業科目 (3)'!#REF!</definedName>
    <definedName name="_xlnm._FilterDatabase" localSheetId="4"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'様式２　プログラムを構成する授業科目 (2)'!$A$1:$Z$98</definedName>
    <definedName name="_xlnm.Print_Area" localSheetId="3">'様式２　プログラムを構成する授業科目 (3)'!$A$1:$Z$98</definedName>
    <definedName name="_xlnm.Print_Area" localSheetId="4">'様式３　履修者等数の実績'!$A$1:$R$30</definedName>
    <definedName name="_xlnm.Print_Area" localSheetId="5">'様式４　教育の質・履修者数を向上させるための体制・計画'!$A$1:$J$130</definedName>
    <definedName name="_xlnm.Print_Area" localSheetId="6">'様式５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0" i="40" l="1"/>
  <c r="I29" i="41" s="1"/>
  <c r="K18" i="42"/>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c r="O30" i="40"/>
  <c r="N30" i="40"/>
  <c r="M30" i="40"/>
  <c r="L30" i="40"/>
  <c r="K30" i="40"/>
  <c r="J30" i="40"/>
  <c r="I30" i="40"/>
  <c r="H30" i="40"/>
  <c r="G30" i="40"/>
  <c r="F30" i="40"/>
  <c r="E30" i="40"/>
  <c r="C30" i="40"/>
  <c r="Q29" i="40"/>
  <c r="R29" i="40"/>
  <c r="Q28" i="40"/>
  <c r="R28" i="40"/>
  <c r="Q27" i="40"/>
  <c r="R27" i="40"/>
  <c r="R26" i="40"/>
  <c r="Q26" i="40"/>
  <c r="Q25" i="40"/>
  <c r="R25" i="40"/>
  <c r="R24" i="40"/>
  <c r="Q24" i="40"/>
  <c r="Q23" i="40"/>
  <c r="R23" i="40"/>
  <c r="R22" i="40"/>
  <c r="Q22" i="40"/>
  <c r="Q21" i="40"/>
  <c r="R21" i="40"/>
  <c r="R20" i="40"/>
  <c r="Q20" i="40"/>
  <c r="Q19" i="40"/>
  <c r="R19" i="40" s="1"/>
  <c r="R18" i="40"/>
  <c r="Q18" i="40"/>
  <c r="Q17" i="40"/>
  <c r="R17" i="40"/>
  <c r="Q16" i="40"/>
  <c r="R16" i="40" s="1"/>
  <c r="Q15" i="40"/>
  <c r="Q14" i="40"/>
  <c r="R14" i="40" s="1"/>
  <c r="Q13" i="40"/>
  <c r="R13" i="40" s="1"/>
  <c r="Q12" i="40"/>
  <c r="R12" i="40" s="1"/>
  <c r="Q11" i="40"/>
  <c r="R11" i="40" s="1"/>
  <c r="Q10" i="40"/>
  <c r="R10" i="40" s="1"/>
  <c r="Q30" i="40" l="1"/>
  <c r="R30" i="40" s="1"/>
  <c r="C28" i="41" s="1"/>
  <c r="R15" i="40"/>
</calcChain>
</file>

<file path=xl/sharedStrings.xml><?xml version="1.0" encoding="utf-8"?>
<sst xmlns="http://schemas.openxmlformats.org/spreadsheetml/2006/main" count="704" uniqueCount="238">
  <si>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</si>
  <si>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</si>
  <si>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</si>
  <si>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</si>
  <si>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仙台高等専門学校</t>
    <phoneticPr fontId="1"/>
  </si>
  <si>
    <t>②</t>
    <phoneticPr fontId="1"/>
  </si>
  <si>
    <t>大学等の設置者</t>
  </si>
  <si>
    <t>独立行政法人 国立高等専門学校機構</t>
    <phoneticPr fontId="1"/>
  </si>
  <si>
    <t>③</t>
  </si>
  <si>
    <t>設置形態</t>
    <phoneticPr fontId="1"/>
  </si>
  <si>
    <t>高等専門学校</t>
  </si>
  <si>
    <t>④</t>
    <phoneticPr fontId="1"/>
  </si>
  <si>
    <t>所在地</t>
    <phoneticPr fontId="1"/>
  </si>
  <si>
    <t>宮城県仙台市青葉区愛子中央4丁目16番1号</t>
  </si>
  <si>
    <t>⑤</t>
    <phoneticPr fontId="1"/>
  </si>
  <si>
    <t>申請するプログラム名称</t>
    <rPh sb="0" eb="2">
      <t>シンセイ</t>
    </rPh>
    <rPh sb="9" eb="11">
      <t>メイショウ</t>
    </rPh>
    <phoneticPr fontId="1"/>
  </si>
  <si>
    <t>仙台高等専門学校数理・データサイエンス・AI教育プログラム</t>
  </si>
  <si>
    <t>⑥</t>
    <phoneticPr fontId="1"/>
  </si>
  <si>
    <t>プログラムの開設年度</t>
    <rPh sb="6" eb="8">
      <t>カイセツ</t>
    </rPh>
    <rPh sb="8" eb="10">
      <t>ネンド</t>
    </rPh>
    <phoneticPr fontId="1"/>
  </si>
  <si>
    <t>令和3</t>
  </si>
  <si>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</si>
  <si>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</si>
  <si>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</si>
  <si>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</si>
  <si>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</si>
  <si>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</si>
  <si>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</si>
  <si>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</si>
  <si>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</si>
  <si>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</si>
  <si>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</si>
  <si>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</si>
  <si>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</si>
  <si>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</si>
  <si>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</si>
  <si>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</si>
  <si>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</si>
  <si>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</si>
  <si>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</si>
  <si>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</si>
  <si>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</si>
  <si>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</si>
  <si>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</si>
  <si>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</si>
  <si>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</si>
  <si>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澤田　惠介</t>
  </si>
  <si>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</si>
  <si>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</si>
  <si>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</si>
  <si>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</si>
  <si>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教務統括室</t>
    <rPh sb="0" eb="2">
      <t>キョウム</t>
    </rPh>
    <rPh sb="2" eb="4">
      <t>トウカツ</t>
    </rPh>
    <rPh sb="4" eb="5">
      <t>シツ</t>
    </rPh>
    <phoneticPr fontId="1"/>
  </si>
  <si>
    <t>矢島　邦昭</t>
  </si>
  <si>
    <t>副校長（教務担当）</t>
  </si>
  <si>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</si>
  <si>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</si>
  <si>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評価・改善統括室</t>
    <phoneticPr fontId="1"/>
  </si>
  <si>
    <t>白根　崇</t>
  </si>
  <si>
    <t>副校長（総務担当）</t>
  </si>
  <si>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</si>
  <si>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</si>
  <si>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</si>
  <si>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</si>
  <si>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</si>
  <si>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学務課学務係</t>
    <rPh sb="0" eb="3">
      <t>ガクムカ</t>
    </rPh>
    <rPh sb="3" eb="5">
      <t>ガクム</t>
    </rPh>
    <rPh sb="5" eb="6">
      <t>カカリ</t>
    </rPh>
    <phoneticPr fontId="1"/>
  </si>
  <si>
    <t>担当者名</t>
    <rPh sb="0" eb="2">
      <t>タントウ</t>
    </rPh>
    <rPh sb="2" eb="3">
      <t>シャ</t>
    </rPh>
    <rPh sb="3" eb="4">
      <t>メイ</t>
    </rPh>
    <phoneticPr fontId="1"/>
  </si>
  <si>
    <t>鹿野　尚美</t>
  </si>
  <si>
    <t>E-mail</t>
  </si>
  <si>
    <t>gakumu@sendai-nct.ac.jp</t>
  </si>
  <si>
    <t>電話番号</t>
  </si>
  <si>
    <t>022-391-5537</t>
  </si>
  <si>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</si>
  <si>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</si>
  <si>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</si>
  <si>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</si>
  <si>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</si>
  <si>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</si>
  <si>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</si>
  <si>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</si>
  <si>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</si>
  <si>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</si>
  <si>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</si>
  <si>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</si>
  <si>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情報社会学</t>
    <rPh sb="0" eb="2">
      <t>ジョウホウ</t>
    </rPh>
    <rPh sb="2" eb="5">
      <t>シャカイガク</t>
    </rPh>
    <phoneticPr fontId="1"/>
  </si>
  <si>
    <t>○</t>
  </si>
  <si>
    <t>一部開講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</si>
  <si>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</si>
  <si>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</si>
  <si>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</si>
  <si>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</si>
  <si>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</si>
  <si>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</si>
  <si>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</si>
  <si>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</si>
  <si>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</si>
  <si>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情報セキュリティ</t>
    <rPh sb="0" eb="2">
      <t>ジョウホウ</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</si>
  <si>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</si>
  <si>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</si>
  <si>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</si>
  <si>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</si>
  <si>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第Ⅰ類基礎実験</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</si>
  <si>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</si>
  <si>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</si>
  <si>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</si>
  <si>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</si>
  <si>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</si>
  <si>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</si>
  <si>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・ビッグデータとAI「情報社会学」 （6, 7週目）
・様々な情報サービス「情報社会学」（12-14週目）</t>
    <rPh sb="11" eb="13">
      <t>ジョウホウ</t>
    </rPh>
    <rPh sb="13" eb="16">
      <t>シャカイガク</t>
    </rPh>
    <rPh sb="23" eb="24">
      <t>シュウ</t>
    </rPh>
    <rPh sb="24" eb="25">
      <t>メ</t>
    </rPh>
    <rPh sb="28" eb="30">
      <t>サマザマ</t>
    </rPh>
    <rPh sb="31" eb="33">
      <t>ジョウホウ</t>
    </rPh>
    <rPh sb="38" eb="43">
      <t xml:space="preserve">ジョウホウシャカイガク </t>
    </rPh>
    <rPh sb="50" eb="52">
      <t>シュウメ</t>
    </rPh>
    <phoneticPr fontId="1"/>
  </si>
  <si>
    <t>1-6</t>
    <phoneticPr fontId="1"/>
  </si>
  <si>
    <t>・ビッグデータとAI「情報社会学」 （6, 7週目）
・様々な情報サービス「情報社会学」（12-14週目）</t>
    <rPh sb="38" eb="43">
      <t xml:space="preserve">ジョウホウシャカイガク </t>
    </rPh>
    <phoneticPr fontId="1"/>
  </si>
  <si>
    <t>（２）「社会で活用されているデータ」や「データの活用領域」は非常に広範囲であって、日常生活や社会の課題を解決する有用なツールになり得るもの</t>
    <phoneticPr fontId="1"/>
  </si>
  <si>
    <t>・データサイエンスとは「情報社会学」（7週目）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</si>
  <si>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</si>
  <si>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・オープンデータ「情報社会学」（8-10週目）
・オープンデータとマーケティング「情報社会学」（11週目）</t>
    <rPh sb="41" eb="43">
      <t>ジョウホウ</t>
    </rPh>
    <rPh sb="43" eb="46">
      <t>シャカイガク</t>
    </rPh>
    <rPh sb="50" eb="52">
      <t>シュウメ</t>
    </rPh>
    <phoneticPr fontId="1"/>
  </si>
  <si>
    <t>・様々な情報サービス「情報社会学」（12-14週目）</t>
    <rPh sb="11" eb="13">
      <t xml:space="preserve">ジョウホウ </t>
    </rPh>
    <rPh sb="13" eb="16">
      <t xml:space="preserve">シャカイガク </t>
    </rPh>
    <phoneticPr fontId="1"/>
  </si>
  <si>
    <t>（４）活用に当たっての様々な留意事項（ELSI、個人情報、データ倫理、ＡＩ社会原則等）を考慮し、情報セキュリティや情報漏洩等、データを守る上での留意事項への理解をする</t>
    <phoneticPr fontId="1"/>
  </si>
  <si>
    <t>・情報に関する法と情報発信「情報社会学」（2, 3週目）
・サイバーセキュリティとSOC「情報セキュリティ」(2週目)</t>
    <phoneticPr fontId="1"/>
  </si>
  <si>
    <t>・情報に関する法と情報発信「情報社会学」（2, 3週目）
・ネットワークセキュリティの原則「情報セキュリティ」(7週目)</t>
    <rPh sb="43" eb="45">
      <t>ゲンソク</t>
    </rPh>
    <rPh sb="46" eb="48">
      <t>ジョウホウ</t>
    </rPh>
    <rPh sb="57" eb="59">
      <t>シュウメ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</si>
  <si>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</si>
  <si>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・オープンデータ「情報社会学」（8-10週目）
・データ・処理統計「第I類基礎実験」（後期1-6週目）</t>
    <rPh sb="29" eb="31">
      <t>ショリ</t>
    </rPh>
    <rPh sb="31" eb="33">
      <t>トウケイ</t>
    </rPh>
    <rPh sb="34" eb="35">
      <t>ダイ</t>
    </rPh>
    <rPh sb="36" eb="37">
      <t>ルイ</t>
    </rPh>
    <rPh sb="37" eb="39">
      <t>キソ</t>
    </rPh>
    <rPh sb="39" eb="41">
      <t>ジッケン</t>
    </rPh>
    <rPh sb="43" eb="45">
      <t>コウキ</t>
    </rPh>
    <rPh sb="48" eb="50">
      <t>シュウメ</t>
    </rPh>
    <phoneticPr fontId="1"/>
  </si>
  <si>
    <t>・オープンデータ「情報社会学」（8-10週目）
・データ・処理統計「第I類基礎実験」（後期1-6週目）</t>
    <phoneticPr fontId="1"/>
  </si>
  <si>
    <t>⑩プログラムの学修成果（学生等が身に付けられる能力等）</t>
    <phoneticPr fontId="1"/>
  </si>
  <si>
    <t>社会におけるデータ・ＡＩ利活用に関する知識やデータを適切に読み解く能力</t>
    <phoneticPr fontId="1"/>
  </si>
  <si>
    <t>⑪プログラムの授業内容等を公表しているアドレス</t>
    <phoneticPr fontId="1"/>
  </si>
  <si>
    <t>総合工学基礎</t>
  </si>
  <si>
    <t>工学基礎実験Ⅰ</t>
  </si>
  <si>
    <t>現代社会</t>
  </si>
  <si>
    <t xml:space="preserve">総合工学基礎				</t>
  </si>
  <si>
    <t xml:space="preserve">現代社会				</t>
  </si>
  <si>
    <t>基礎数学B</t>
  </si>
  <si>
    <t>・社会変化からのコミュニケーションツールの変遷「総合工学基礎」（前期3週目）
・デバイスの小型化・高性能化によるデータ収集量の飛躍的な増大「工学基礎実験Ⅰ」（後期9週目）
・第４次産業革命「現代社会」 （後期7週目）</t>
  </si>
  <si>
    <t>・データ・AI利活用の最新動向「総合工学基礎」（前期8,12,13,14,15週目）
・現代におけるビッグデータの活用事例紹介「工学基礎実験Ⅰ」（後期9週目）
・データやAIの活用「現代社会」 （後期8, 9週目）</t>
  </si>
  <si>
    <t>・産業や研究開発におけるデータ・AI利活用の最新動向「総合工学基礎」（前期8,12,13,14,15週目）
・現代におけるビッグデータの活用事例紹介「工学基礎実験Ⅰ」（後期9週目）
・データによる社会問題の理解「現代社会」（後期12, 13週目）</t>
  </si>
  <si>
    <t>・産業や研究開発におけるデータ・AI利活用の最新動向「総合工学基礎」（前期8,12,13,14,15週目）
・現代におけるビッグデータの活用事例紹介「工学基礎実験Ⅰ」（後期9週目）</t>
  </si>
  <si>
    <t>・研究開発におけるデータ・AI利活用の最新動向「総合工学基礎」（前期12,13,14,15週目）
・計算機の発達とディープラーニングによる人工知能の性能向上「工学基礎実験Ⅰ」（後期9週目）
・データやAIの活用「現代社会」 （後期8, 9週目）</t>
  </si>
  <si>
    <t>・産業におけるデータ・AI利活用の最新動向「総合工学基礎」（前期8週目）
・機械学習を用いたＥコマースサイトにおけるおすすめの提案「工学基礎実験Ⅰ」（後期9週目）
・データやAIの活用「現代社会」 （後期8, 9週目）</t>
  </si>
  <si>
    <t>・情報倫理講話（数理・データサイエンス・AIの利活用に関する留意事項）「総合工学基礎」（前期1週目）
・データの重要性と危険性「工学基礎実験Ⅰ」（後期9週目）</t>
  </si>
  <si>
    <t>・情報倫理講話（数理・データサイエンス・AIの利活用に関する留意事項）「総合工学基礎」（前期1週目）
・データ活用とセキュリティ「現代社会」（前期13週目）</t>
  </si>
  <si>
    <t>・表計算ソフトによる実データ可視化の実習「総合工学基礎」（前期7週目）
・実験結果の整理およびレポートの作成「工学基礎実験Ⅰ」（前期8,15週目, 後期15週目）
・データによる社会問題の理解「現代社会」（後期12, 13週目）</t>
  </si>
  <si>
    <t>・表計算・プレゼンソフトによる実データの解説実習「総合工学基礎」（前期10,11週目）
・実験結果の発表「工学基礎実験Ⅰ」（前期9,16週目, 後期16週目）
・データの整理「基礎数学B」（後期15週目）
・情報（データ）の整理と課題や提案の説明「現代社会」（後期5週目）</t>
  </si>
  <si>
    <t>・初等研究倫理（中等教育向け研究倫理、基礎・実践編）の解説と受講「総合工学基礎」（前期5週目）
・データの重要性と危険性「工学基礎実験Ⅰ」（後期9週目）
・実験結果の整理およびレポートの作成「工学基礎実験Ⅰ」（前期8,15週目, 後期15週目）
・データの整理「基礎数学B」（後期15週目）
・情報（データ）の整理と課題や提案の説明「現代社会」（後期5週目）</t>
  </si>
  <si>
    <t>空間デザイン概論A</t>
  </si>
  <si>
    <t>・社会変化からのコミュニケーションツールの変遷「総合工学基礎」（前期3週目）
・社会変化「空間デザイン概論A」（前期3, 5, 13週目）
・第４次産業革命「現代社会」 （後期7週目）</t>
  </si>
  <si>
    <t>・データ・AI利活用の最新動向「総合工学基礎」（前期8,12,13,14,15週目）
・データの活用領域と活用動向「空間デザイン概論A」（前期3, 5, 13週目）
・データやAIの活用「現代社会」 （後期8, 9週目）</t>
  </si>
  <si>
    <t>・産業や研究開発におけるデータ・AI利活用の最新動向「総合工学基礎」（前期8,12,13,14,15週目）
・データによる社会問題の理解「現代社会」（後期12, 13週目）</t>
  </si>
  <si>
    <t>・産業や研究開発におけるデータ・AI利活用の最新動向「総合工学基礎」（前期8,12,13,14,15週目）
・データ活用の最新動向「空間デザイン概論A」（前期3, 5, 13週目）</t>
  </si>
  <si>
    <t>・研究開発におけるデータ・AI利活用の最新動向「総合工学基礎」（前期12,13,14,15週目）
・データやAIの活用「現代社会」 （後期8, 9週目）</t>
  </si>
  <si>
    <t>・産業におけるデータ・AI利活用の最新動向「総合工学基礎」（前期8週目）
・データやAIの活用「現代社会」 （後期8, 9週目）</t>
  </si>
  <si>
    <t>・情報倫理講話（数理・データサイエンス・AIの利活用に関する留意事項）「総合工学基礎」（前期1週目）</t>
  </si>
  <si>
    <t>・表計算ソフトによる実データ可視化の実習「総合工学基礎」（前期7週目）
・データによる社会問題の理解「現代社会」（後期12, 13週目）</t>
  </si>
  <si>
    <t>・表計算・プレゼンソフトによる実データの解説実習「総合工学基礎」（前期10,11週目）
・データの整理「基礎数学B」（後期15週目）
・情報（データ）の整理と課題や提案の説明「現代社会」（後期5週目）</t>
  </si>
  <si>
    <t>・初等研究倫理（中等教育向け研究倫理、基礎・実践編）の解説と受講「総合工学基礎」（前期5週目）
・建築設計分野のデータの扱い「空間デザイン概論A」（前期14週目）
・データの整理「基礎数学B」（後期15週目）
・情報（データ）の整理と課題や提案の説明「現代社会」（後期5週目）</t>
  </si>
  <si>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</si>
  <si>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</si>
  <si>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</si>
  <si>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</si>
  <si>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</si>
  <si>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</si>
  <si>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</si>
  <si>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</si>
  <si>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</si>
  <si>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</si>
  <si>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</si>
  <si>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</si>
  <si>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</si>
  <si>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</si>
  <si>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</si>
  <si>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</si>
  <si>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</si>
  <si>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情報システムコース</t>
    <rPh sb="0" eb="2">
      <t xml:space="preserve">ジョウホウシステム </t>
    </rPh>
    <phoneticPr fontId="1"/>
  </si>
  <si>
    <t>情報通信コース</t>
    <rPh sb="0" eb="1">
      <t xml:space="preserve">ジョウホウ </t>
    </rPh>
    <rPh sb="2" eb="4">
      <t xml:space="preserve">ツウシン </t>
    </rPh>
    <phoneticPr fontId="1"/>
  </si>
  <si>
    <t>知能エレクトロニクスコース</t>
    <rPh sb="0" eb="2">
      <t xml:space="preserve">チノウ </t>
    </rPh>
    <phoneticPr fontId="1"/>
  </si>
  <si>
    <t>ロボティクスコース</t>
  </si>
  <si>
    <t>マテリアル環境コース</t>
  </si>
  <si>
    <t>機械・エネルギーコース</t>
  </si>
  <si>
    <t>建築デザインコース</t>
  </si>
  <si>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</si>
  <si>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</si>
  <si>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</si>
  <si>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</si>
  <si>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</si>
  <si>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</si>
  <si>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現行のカリキュラムを発展させ，数理・AIデータサイエンスのリテラシーレベルの内容を包含したカリキュラムを実現するため，教務全般に関する実働組織において本プログラムを改善・進化させる．</t>
    <rPh sb="0" eb="2">
      <t>ゲンコウ</t>
    </rPh>
    <rPh sb="10" eb="12">
      <t>ハッテン</t>
    </rPh>
    <rPh sb="15" eb="17">
      <t>スウリ</t>
    </rPh>
    <rPh sb="38" eb="40">
      <t>ナイヨウ</t>
    </rPh>
    <rPh sb="41" eb="43">
      <t>ホウガン</t>
    </rPh>
    <rPh sb="52" eb="54">
      <t>ジツゲン</t>
    </rPh>
    <rPh sb="59" eb="61">
      <t>キョウム</t>
    </rPh>
    <rPh sb="61" eb="63">
      <t>ゼンパン</t>
    </rPh>
    <rPh sb="64" eb="65">
      <t>カン</t>
    </rPh>
    <rPh sb="67" eb="69">
      <t>ジツドウ</t>
    </rPh>
    <rPh sb="69" eb="71">
      <t>ソシキ</t>
    </rPh>
    <rPh sb="75" eb="76">
      <t>ホン</t>
    </rPh>
    <rPh sb="82" eb="84">
      <t>カイゼン</t>
    </rPh>
    <rPh sb="85" eb="87">
      <t>シンカ</t>
    </rPh>
    <phoneticPr fontId="1"/>
  </si>
  <si>
    <t>y</t>
    <phoneticPr fontId="1"/>
  </si>
  <si>
    <t>③</t>
    <phoneticPr fontId="1"/>
  </si>
  <si>
    <t>具体的な構成員</t>
  </si>
  <si>
    <t>教務統括室および教務統括室の実働となる教務企画室員を構成員とする．
教務統括室：矢島邦昭，佐藤一志
教務企画室：藤原和彦，髙橋晶子, 井海寿俊, 永弘進一郎</t>
    <rPh sb="8" eb="10">
      <t>キョウム</t>
    </rPh>
    <rPh sb="10" eb="13">
      <t>トウカツシツ</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</si>
  <si>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</si>
  <si>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</si>
  <si>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</si>
  <si>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</si>
  <si>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</si>
  <si>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</si>
  <si>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</si>
  <si>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</si>
  <si>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プログラムを構成する科目は極力必修科目とすることで，多くの学生が受講できるようにしている．選択科目の履修が必要となる学生についても，全体の8割弱の学生が履修している．そこで，履修登録の際に極力該当科目を履修するように学生に指導することで，履修者・履修率の向上を目指す．</t>
    <rPh sb="0" eb="1">
      <t>ホン</t>
    </rPh>
    <rPh sb="7" eb="9">
      <t>コウセイ</t>
    </rPh>
    <rPh sb="11" eb="13">
      <t>カモク</t>
    </rPh>
    <rPh sb="14" eb="16">
      <t>キョクリョク</t>
    </rPh>
    <rPh sb="16" eb="18">
      <t>ヒッシュウ</t>
    </rPh>
    <rPh sb="18" eb="20">
      <t>カモク</t>
    </rPh>
    <rPh sb="27" eb="28">
      <t>オオ</t>
    </rPh>
    <rPh sb="30" eb="32">
      <t>ガクセイ</t>
    </rPh>
    <rPh sb="33" eb="35">
      <t>ジュコウ</t>
    </rPh>
    <rPh sb="46" eb="48">
      <t>センタク</t>
    </rPh>
    <rPh sb="48" eb="50">
      <t>カモク</t>
    </rPh>
    <rPh sb="51" eb="53">
      <t>リシュウ</t>
    </rPh>
    <rPh sb="54" eb="56">
      <t>ヒツヨウ</t>
    </rPh>
    <rPh sb="59" eb="61">
      <t>ガクセイ</t>
    </rPh>
    <rPh sb="67" eb="69">
      <t>ゼンタイ</t>
    </rPh>
    <rPh sb="71" eb="73">
      <t>ワリジャク</t>
    </rPh>
    <rPh sb="74" eb="76">
      <t>ガクセイ</t>
    </rPh>
    <rPh sb="77" eb="79">
      <t>リシュウ</t>
    </rPh>
    <rPh sb="88" eb="90">
      <t>リシュウ</t>
    </rPh>
    <rPh sb="90" eb="92">
      <t>トウロク</t>
    </rPh>
    <rPh sb="93" eb="94">
      <t>サイ</t>
    </rPh>
    <rPh sb="95" eb="97">
      <t>キョクリョク</t>
    </rPh>
    <rPh sb="97" eb="99">
      <t>ガイトウ</t>
    </rPh>
    <rPh sb="99" eb="101">
      <t>カモク</t>
    </rPh>
    <rPh sb="102" eb="104">
      <t>リシュウ</t>
    </rPh>
    <rPh sb="109" eb="111">
      <t>ガクセイ</t>
    </rPh>
    <rPh sb="112" eb="114">
      <t>シドウ</t>
    </rPh>
    <rPh sb="123" eb="126">
      <t>リシュウシャ</t>
    </rPh>
    <rPh sb="127" eb="129">
      <t>リシュウ</t>
    </rPh>
    <rPh sb="129" eb="130">
      <t>リツ</t>
    </rPh>
    <rPh sb="131" eb="133">
      <t>コウジョウメザ</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</si>
  <si>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</si>
  <si>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本プログラムを構成する科目は極力必修科目とすることで，多くの学生が受講できるようにしている．また，選択科目については，すべての学生が履修できる時間割配置とし，受講を促す．</t>
    <rPh sb="0" eb="1">
      <t>ホン</t>
    </rPh>
    <rPh sb="7" eb="9">
      <t>コウセイ</t>
    </rPh>
    <rPh sb="11" eb="13">
      <t>カモク</t>
    </rPh>
    <rPh sb="14" eb="16">
      <t>キョクリョク</t>
    </rPh>
    <rPh sb="16" eb="18">
      <t>ヒッシュウ</t>
    </rPh>
    <rPh sb="18" eb="20">
      <t>カモク</t>
    </rPh>
    <rPh sb="27" eb="28">
      <t>オオ</t>
    </rPh>
    <rPh sb="30" eb="32">
      <t>ガクセイ</t>
    </rPh>
    <rPh sb="33" eb="35">
      <t>ジュコウ</t>
    </rPh>
    <rPh sb="49" eb="51">
      <t>センタク</t>
    </rPh>
    <rPh sb="51" eb="53">
      <t>カモク</t>
    </rPh>
    <rPh sb="63" eb="65">
      <t>ガクセイ</t>
    </rPh>
    <rPh sb="66" eb="68">
      <t>リシュウ</t>
    </rPh>
    <rPh sb="71" eb="74">
      <t>ジカンワリ</t>
    </rPh>
    <rPh sb="74" eb="76">
      <t>ハイチ</t>
    </rPh>
    <rPh sb="79" eb="81">
      <t>ジュコウ</t>
    </rPh>
    <rPh sb="82" eb="83">
      <t>ウナガ</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</si>
  <si>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</si>
  <si>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プログラムを構成する科目は極力必修科目とすることで，多くの学生が受講できるようにしている．また，選択科目については，年度初めのガイダンスと履修登録の際に，本プログラムと合わせて履修を促すことで，全ての学生に周知する．</t>
    <rPh sb="59" eb="61">
      <t>ネンド</t>
    </rPh>
    <rPh sb="61" eb="62">
      <t>ハジ</t>
    </rPh>
    <rPh sb="70" eb="72">
      <t>リシュウ</t>
    </rPh>
    <rPh sb="72" eb="74">
      <t>トウロク</t>
    </rPh>
    <rPh sb="75" eb="76">
      <t>サイ</t>
    </rPh>
    <rPh sb="78" eb="79">
      <t>ホン</t>
    </rPh>
    <rPh sb="85" eb="86">
      <t>ア</t>
    </rPh>
    <rPh sb="89" eb="91">
      <t>リシュウ</t>
    </rPh>
    <rPh sb="92" eb="93">
      <t>ウナガ</t>
    </rPh>
    <rPh sb="98" eb="99">
      <t>スベ</t>
    </rPh>
    <rPh sb="101" eb="103">
      <t>ガクセイ</t>
    </rPh>
    <rPh sb="104" eb="106">
      <t>シュウチ</t>
    </rPh>
    <phoneticPr fontId="1"/>
  </si>
  <si>
    <t>⑦</t>
    <phoneticPr fontId="1"/>
  </si>
  <si>
    <t>できる限り多くの学生が履修・修得できるようなサポート体制</t>
    <rPh sb="26" eb="28">
      <t>タイセイ</t>
    </rPh>
    <phoneticPr fontId="1"/>
  </si>
  <si>
    <t>選択科目については，全ての学生が履修できるように時間割を構成する．また，5年生が4年生の科目を履修できるようにする．</t>
    <rPh sb="0" eb="4">
      <t>センタクカモク</t>
    </rPh>
    <rPh sb="10" eb="11">
      <t>スベ</t>
    </rPh>
    <rPh sb="13" eb="15">
      <t>ガクセイ</t>
    </rPh>
    <rPh sb="16" eb="18">
      <t>リシュウ</t>
    </rPh>
    <rPh sb="24" eb="27">
      <t>ジカンワリ</t>
    </rPh>
    <rPh sb="28" eb="30">
      <t>コウセイ</t>
    </rPh>
    <rPh sb="37" eb="39">
      <t>ネンセイ</t>
    </rPh>
    <rPh sb="41" eb="43">
      <t>ネンセイ</t>
    </rPh>
    <rPh sb="44" eb="46">
      <t>カモク</t>
    </rPh>
    <rPh sb="47" eb="49">
      <t>リシュウ</t>
    </rPh>
    <phoneticPr fontId="1"/>
  </si>
  <si>
    <t>授業時間内外で学習指導、質問を受け付ける具体的な仕組み</t>
    <rPh sb="20" eb="23">
      <t>グタイテキ</t>
    </rPh>
    <phoneticPr fontId="1"/>
  </si>
  <si>
    <t>全学生がmicrosoft teamsおよびGmailを利用できる状況にあるため，授業時間外においてもオンラインで教員に相談できる体制が構築されている．また，本プログラムに限らず，学生が自由に各教員の部屋で質問できる環境があるため，本プログラムについても同様に対応する．</t>
    <rPh sb="0" eb="3">
      <t>ゼンガクセイ</t>
    </rPh>
    <rPh sb="28" eb="30">
      <t>リヨウ</t>
    </rPh>
    <rPh sb="33" eb="35">
      <t>ジョウキョウ</t>
    </rPh>
    <rPh sb="41" eb="43">
      <t>ジュギョウ</t>
    </rPh>
    <rPh sb="43" eb="46">
      <t>ジカンガイ</t>
    </rPh>
    <rPh sb="57" eb="59">
      <t>キョウイン</t>
    </rPh>
    <rPh sb="60" eb="62">
      <t>ソウダン</t>
    </rPh>
    <rPh sb="65" eb="67">
      <t>タイセイ</t>
    </rPh>
    <rPh sb="68" eb="70">
      <t>コウチク</t>
    </rPh>
    <rPh sb="79" eb="80">
      <t>ホン</t>
    </rPh>
    <rPh sb="86" eb="87">
      <t>カギ</t>
    </rPh>
    <rPh sb="90" eb="92">
      <t>ガクセイ</t>
    </rPh>
    <rPh sb="93" eb="95">
      <t>ジユウ</t>
    </rPh>
    <rPh sb="96" eb="97">
      <t>カク</t>
    </rPh>
    <rPh sb="97" eb="99">
      <t>キョウイン</t>
    </rPh>
    <rPh sb="100" eb="102">
      <t>ヘヤ</t>
    </rPh>
    <rPh sb="103" eb="105">
      <t>シツモン</t>
    </rPh>
    <rPh sb="108" eb="110">
      <t>カンキョウ</t>
    </rPh>
    <rPh sb="116" eb="117">
      <t>ホン</t>
    </rPh>
    <rPh sb="127" eb="129">
      <t>ドウヨウ</t>
    </rPh>
    <rPh sb="130" eb="132">
      <t>タイオウ</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</si>
  <si>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</si>
  <si>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</si>
  <si>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</si>
  <si>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</si>
  <si>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</si>
  <si>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</si>
  <si>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</si>
  <si>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</si>
  <si>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履修者の状況については，クラス担任や授業担当の教員において情報共有をしてきた．教務企画室においては，履修状況や単位の取得状況をとりまとめ，状況を把握してきた．本プログラムの対象科目は必修科目を中心にし，選択科目についても履修を希望する全ての学生が履修できるように時間割を構成している．また，学生にもプログラムの修了要件と履修すべき科目を説明することで履修を促している．これにより，履修率も高く維持できる見込みである．</t>
    <phoneticPr fontId="1"/>
  </si>
  <si>
    <t>学修成果</t>
    <rPh sb="0" eb="2">
      <t>ガクシュウ</t>
    </rPh>
    <rPh sb="2" eb="4">
      <t>セイカ</t>
    </rPh>
    <phoneticPr fontId="1"/>
  </si>
  <si>
    <t>各授業担当者および教務企画室にて履修・単位取得の状況は把握されている．また，別添のその他補足資料に添付したような授業評価アンケートを実施している．本アンケートを確認する範囲では，受講した学生の理解度などは高く，学習成果があるように伺うことができ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</si>
  <si>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</si>
  <si>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別添のその他補足資料に添付したような授業評価アンケートを実施している．本アンケートを確認する範囲では，受講した学生の理解度などは高く，学習成果があるように伺うことができる．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</si>
  <si>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</si>
  <si>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本プログラムに関わる科目は，主に必修科目で構成することで，履修および修得を促す．また，選択科目についても，全学生が履修できる時間割とする．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</si>
  <si>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</si>
  <si>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関連科目の学年ごとの履修率は，必修は100%，選択科目は75%となっている．選択科目の履修については，学生に周知することで履修率向上が図れる．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</si>
  <si>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</si>
  <si>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</si>
  <si>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令和4年3月卒業時点で修了者はいない．</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</si>
  <si>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</si>
  <si>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本プログラムの科目を含めた教育プログラムの内容および手法については，運営諮問会議の委員から高い評価を得ており，期待されている．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</si>
  <si>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</si>
  <si>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単なる知識の教授ではなく，社会での利活用についても含めたり，実データを用いた実習を含むことで学ぶ楽しさや学ぶことの意義を理解させている．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</si>
  <si>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</si>
  <si>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授業評価アンケートに基づき授業の改善を継続することと，新しい情報を常に意識して追加することで分かりやすい授業を実現している．</t>
    <phoneticPr fontId="1"/>
  </si>
  <si>
    <t>②自己点検・評価体制における意見等を公表しているアドレス</t>
    <phoneticPr fontId="1"/>
  </si>
  <si>
    <t>仙台高等専門学校教務統括室・教務企画室規則</t>
    <rPh sb="0" eb="8">
      <t>センダイコウトウセンモンガッコウ</t>
    </rPh>
    <rPh sb="8" eb="10">
      <t>キョウム</t>
    </rPh>
    <rPh sb="10" eb="13">
      <t>トウカツシツ</t>
    </rPh>
    <rPh sb="14" eb="19">
      <t>キョウムキカクシツ</t>
    </rPh>
    <rPh sb="19" eb="21">
      <t>キソク</t>
    </rPh>
    <phoneticPr fontId="1"/>
  </si>
  <si>
    <t>総合工学科Ⅱ類（ロボティクスコース、マテリアル環境コース、機械・エネルギーコース）では，プログラムを構成する下記科目を全て取得すること．
授業科目名：現代社会、基礎数学B、総合工学基礎、工学基礎実験Ⅰ</t>
    <rPh sb="69" eb="74">
      <t>ジュギョウカモクメイ</t>
    </rPh>
    <rPh sb="75" eb="79">
      <t>ゲンダイシャカイ</t>
    </rPh>
    <rPh sb="80" eb="84">
      <t>キソスウガク</t>
    </rPh>
    <rPh sb="86" eb="92">
      <t>ソウゴウコウガクキソ</t>
    </rPh>
    <rPh sb="93" eb="99">
      <t>コウガクキソジッケン</t>
    </rPh>
    <phoneticPr fontId="1"/>
  </si>
  <si>
    <t>総合工学科Ⅲ類（建築デザインコース）では，プログラムを構成する下記科目を全て取得すること．
授業科目名：現代社会、基礎数学B、総合工学基礎、空間デザイン概論A</t>
    <rPh sb="70" eb="72">
      <t>クウカン</t>
    </rPh>
    <rPh sb="76" eb="78">
      <t>ガイロン</t>
    </rPh>
    <phoneticPr fontId="1"/>
  </si>
  <si>
    <t>総合工学科Ⅰ類（情報システムコース，情報通信コース，知能エレクトロニクスコース）では，プログラムを構成する下記科目を全て取得すること．
授業科目名：第Ⅰ類基礎実験、情報セキュリティ、情報社会学</t>
    <rPh sb="0" eb="5">
      <t>ソウゴウコウガッカ</t>
    </rPh>
    <rPh sb="5" eb="7">
      <t>1ルイ</t>
    </rPh>
    <rPh sb="18" eb="22">
      <t>ジョウホウツウシン</t>
    </rPh>
    <rPh sb="68" eb="73">
      <t>ジュギョウカモクメイ</t>
    </rPh>
    <rPh sb="74" eb="77">
      <t>ダイ1ルイ</t>
    </rPh>
    <rPh sb="77" eb="81">
      <t>キソジッケン</t>
    </rPh>
    <rPh sb="82" eb="84">
      <t>ジョウホウ</t>
    </rPh>
    <rPh sb="91" eb="96">
      <t>ジョウホウシャカイガク</t>
    </rPh>
    <phoneticPr fontId="1"/>
  </si>
  <si>
    <t>様式２－２</t>
    <phoneticPr fontId="1"/>
  </si>
  <si>
    <t>様式２－３</t>
    <phoneticPr fontId="1"/>
  </si>
  <si>
    <t>https://www.sendai-nct.ac.jp/sclife/datascience/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</si>
</sst>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_);[Red]\(0\)"/>
  </numFmts>
  <fonts count="2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3"/>
      <charset val="128"/>
    </font>
    <font>
      <sz val="12"/>
      <name val="ＭＳ Ｐゴシック"/>
      <family val="3"/>
      <charset val="128"/>
    </font>
    <font>
      <sz val="12"/>
      <color rgb="FF000000"/>
      <name val="ＭＳ Ｐゴシック"/>
      <family val="3"/>
      <charset val="128"/>
      <scheme val="minor"/>
    </font>
    <font>
      <sz val="10"/>
      <name val="ＭＳ Ｐゴシック"/>
      <family val="3"/>
      <charset val="128"/>
    </font>
  </fonts>
  <fills count="3">
    <fill>
      <patternFill patternType="none"/>
    </fill>
    <fill>
      <patternFill patternType="gray125"/>
    </fill>
    <fill>
      <patternFill patternType="solid">
        <fgColor rgb="FFFFFFFF"/>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indexed="64"/>
      </left>
      <right style="thin">
        <color indexed="64"/>
      </right>
      <top/>
      <bottom style="hair">
        <color indexed="64"/>
      </bottom>
      <diagonal/>
    </border>
    <border>
      <left/>
      <right style="thin">
        <color rgb="FF000000"/>
      </right>
      <top style="thin">
        <color indexed="64"/>
      </top>
      <bottom/>
      <diagonal/>
    </border>
    <border>
      <left/>
      <right style="thin">
        <color rgb="FF000000"/>
      </right>
      <top style="hair">
        <color indexed="64"/>
      </top>
      <bottom/>
      <diagonal/>
    </border>
    <border>
      <left/>
      <right style="thin">
        <color rgb="FF000000"/>
      </right>
      <top style="thin">
        <color indexed="64"/>
      </top>
      <bottom style="hair">
        <color indexed="64"/>
      </bottom>
      <diagonal/>
    </border>
    <border>
      <left/>
      <right style="thin">
        <color rgb="FF000000"/>
      </right>
      <top style="hair">
        <color indexed="64"/>
      </top>
      <bottom style="thin">
        <color indexed="64"/>
      </bottom>
      <diagonal/>
    </border>
    <border>
      <left/>
      <right style="thin">
        <color rgb="FF000000"/>
      </right>
      <top/>
      <bottom style="thin">
        <color indexed="64"/>
      </bottom>
      <diagonal/>
    </border>
    <border>
      <left/>
      <right style="thin">
        <color rgb="FF000000"/>
      </right>
      <top style="hair">
        <color indexed="64"/>
      </top>
      <bottom style="hair">
        <color indexed="64"/>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54">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lignment vertical="center"/>
    </xf>
    <xf numFmtId="176" fontId="8" fillId="0" borderId="0" xfId="0" applyNumberFormat="1" applyFont="1">
      <alignment vertical="center"/>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9" xfId="0"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lignment vertical="center"/>
    </xf>
    <xf numFmtId="0" fontId="8" fillId="0" borderId="3" xfId="0" applyFont="1" applyBorder="1">
      <alignment vertical="center"/>
    </xf>
    <xf numFmtId="0" fontId="8" fillId="0" borderId="4" xfId="0" applyFont="1" applyBorder="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2" borderId="2" xfId="0" applyFont="1" applyFill="1" applyBorder="1">
      <alignment vertical="center"/>
    </xf>
    <xf numFmtId="0" fontId="8" fillId="2" borderId="4" xfId="0" applyFont="1" applyFill="1" applyBorder="1">
      <alignment vertical="center"/>
    </xf>
    <xf numFmtId="0" fontId="8" fillId="2" borderId="0" xfId="0" applyFont="1" applyFill="1">
      <alignment vertical="center"/>
    </xf>
    <xf numFmtId="0" fontId="19" fillId="0" borderId="0" xfId="0" applyFont="1" applyAlignment="1">
      <alignment vertical="top" wrapText="1"/>
    </xf>
    <xf numFmtId="0" fontId="19" fillId="0" borderId="10" xfId="0" applyFont="1" applyBorder="1" applyAlignment="1">
      <alignment vertical="top" wrapText="1"/>
    </xf>
    <xf numFmtId="0" fontId="19" fillId="0" borderId="5" xfId="0" applyFont="1" applyBorder="1" applyAlignment="1">
      <alignment vertical="top" wrapText="1"/>
    </xf>
    <xf numFmtId="0" fontId="8" fillId="0" borderId="16" xfId="0" applyFont="1" applyBorder="1">
      <alignment vertical="center"/>
    </xf>
    <xf numFmtId="0" fontId="19" fillId="0" borderId="20" xfId="0" applyFont="1" applyBorder="1" applyAlignment="1">
      <alignment vertical="top" wrapText="1"/>
    </xf>
    <xf numFmtId="0" fontId="19" fillId="0" borderId="18" xfId="0" applyFont="1" applyBorder="1" applyAlignment="1">
      <alignment vertical="top" wrapText="1"/>
    </xf>
    <xf numFmtId="0" fontId="19" fillId="0" borderId="20" xfId="0" applyFont="1" applyBorder="1" applyAlignment="1">
      <alignment vertical="top" shrinkToFit="1"/>
    </xf>
    <xf numFmtId="0" fontId="19" fillId="0" borderId="18" xfId="0" applyFont="1" applyBorder="1" applyAlignment="1">
      <alignment vertical="top" shrinkToFi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44" xfId="0"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8" fillId="0" borderId="45"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23" fillId="0" borderId="23" xfId="0" applyFont="1" applyBorder="1">
      <alignment vertical="center"/>
    </xf>
    <xf numFmtId="0" fontId="23" fillId="0" borderId="20" xfId="0" applyFont="1" applyBorder="1">
      <alignment vertical="center"/>
    </xf>
    <xf numFmtId="0" fontId="23" fillId="0" borderId="19" xfId="0" applyFont="1" applyBorder="1">
      <alignment vertical="center"/>
    </xf>
    <xf numFmtId="0" fontId="23" fillId="0" borderId="53" xfId="0" applyFont="1" applyBorder="1">
      <alignment vertical="center"/>
    </xf>
    <xf numFmtId="0" fontId="23" fillId="0" borderId="45" xfId="0" applyFont="1" applyBorder="1">
      <alignment vertical="center"/>
    </xf>
    <xf numFmtId="0" fontId="23" fillId="0" borderId="44" xfId="0" applyFont="1" applyBorder="1">
      <alignment vertical="center"/>
    </xf>
    <xf numFmtId="0" fontId="8" fillId="2" borderId="14" xfId="0" applyFont="1" applyFill="1" applyBorder="1" applyAlignment="1">
      <alignment horizontal="center" vertical="center" shrinkToFit="1"/>
    </xf>
    <xf numFmtId="0" fontId="8" fillId="2" borderId="23" xfId="0" applyFont="1" applyFill="1" applyBorder="1" applyAlignment="1">
      <alignment horizontal="center" vertical="center" shrinkToFit="1"/>
    </xf>
    <xf numFmtId="0" fontId="25" fillId="0" borderId="5" xfId="0" applyFont="1" applyBorder="1">
      <alignment vertical="center"/>
    </xf>
    <xf numFmtId="0" fontId="25" fillId="0" borderId="0" xfId="0" applyFont="1">
      <alignment vertical="center"/>
    </xf>
    <xf numFmtId="176" fontId="25" fillId="0" borderId="0" xfId="0" applyNumberFormat="1" applyFont="1" applyAlignment="1">
      <alignment vertical="center" wrapText="1"/>
    </xf>
    <xf numFmtId="176" fontId="25" fillId="0" borderId="5" xfId="0" applyNumberFormat="1" applyFont="1" applyBorder="1">
      <alignment vertical="center"/>
    </xf>
    <xf numFmtId="176" fontId="8" fillId="2" borderId="0" xfId="0" applyNumberFormat="1" applyFont="1" applyFill="1">
      <alignment vertical="center"/>
    </xf>
    <xf numFmtId="0" fontId="8" fillId="2" borderId="0" xfId="0" applyFont="1" applyFill="1" applyAlignment="1">
      <alignment horizontal="center" vertical="center"/>
    </xf>
    <xf numFmtId="176" fontId="8" fillId="2" borderId="3" xfId="0" applyNumberFormat="1" applyFont="1" applyFill="1" applyBorder="1" applyAlignment="1">
      <alignment vertical="center" shrinkToFit="1"/>
    </xf>
    <xf numFmtId="0" fontId="8" fillId="0" borderId="15" xfId="0" applyFont="1" applyBorder="1" applyAlignment="1">
      <alignment horizontal="center" vertical="center" shrinkToFit="1"/>
    </xf>
    <xf numFmtId="177" fontId="23" fillId="0" borderId="19" xfId="0" applyNumberFormat="1" applyFont="1" applyBorder="1">
      <alignment vertical="center"/>
    </xf>
    <xf numFmtId="177" fontId="23" fillId="0" borderId="44" xfId="0" applyNumberFormat="1" applyFont="1" applyBorder="1">
      <alignment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176" fontId="8" fillId="2" borderId="2" xfId="0" applyNumberFormat="1" applyFont="1" applyFill="1" applyBorder="1" applyAlignment="1">
      <alignment horizontal="center" vertical="center"/>
    </xf>
    <xf numFmtId="176" fontId="8" fillId="2" borderId="3" xfId="0" applyNumberFormat="1" applyFont="1" applyFill="1" applyBorder="1" applyAlignment="1">
      <alignment horizontal="center" vertical="center"/>
    </xf>
    <xf numFmtId="176" fontId="8" fillId="2" borderId="4" xfId="0" applyNumberFormat="1" applyFont="1" applyFill="1" applyBorder="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2" borderId="2" xfId="0" applyNumberFormat="1" applyFont="1" applyFill="1" applyBorder="1" applyAlignment="1">
      <alignment horizontal="center" vertical="center" shrinkToFit="1"/>
    </xf>
    <xf numFmtId="176" fontId="8" fillId="2" borderId="4" xfId="0" applyNumberFormat="1" applyFont="1" applyFill="1" applyBorder="1" applyAlignment="1">
      <alignment horizontal="center" vertical="center" shrinkToFit="1"/>
    </xf>
    <xf numFmtId="0" fontId="25" fillId="0" borderId="0" xfId="0" applyFont="1" applyAlignment="1">
      <alignment vertical="center" shrinkToFit="1"/>
    </xf>
    <xf numFmtId="176" fontId="25" fillId="0" borderId="2" xfId="0" applyNumberFormat="1" applyFont="1" applyBorder="1" applyAlignment="1">
      <alignment horizontal="center" vertical="center" shrinkToFit="1"/>
    </xf>
    <xf numFmtId="176" fontId="25" fillId="0" borderId="4" xfId="0" applyNumberFormat="1" applyFont="1" applyBorder="1" applyAlignment="1">
      <alignment horizontal="center"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25" fillId="0" borderId="3" xfId="0" applyNumberFormat="1" applyFont="1" applyBorder="1" applyAlignment="1">
      <alignment horizontal="center" vertical="center" shrinkToFit="1"/>
    </xf>
    <xf numFmtId="0" fontId="14" fillId="0" borderId="0" xfId="0" applyFont="1" applyAlignment="1">
      <alignment horizontal="center" vertical="center"/>
    </xf>
    <xf numFmtId="0" fontId="25" fillId="0" borderId="0" xfId="0" applyFont="1" applyAlignment="1">
      <alignment horizontal="right" vertical="center"/>
    </xf>
    <xf numFmtId="0" fontId="25" fillId="0" borderId="10" xfId="0" applyFont="1" applyBorder="1" applyAlignment="1">
      <alignment horizontal="right"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49" fontId="7" fillId="2" borderId="2" xfId="2" applyNumberFormat="1" applyFill="1" applyBorder="1" applyAlignment="1">
      <alignment vertical="center" shrinkToFit="1"/>
    </xf>
    <xf numFmtId="49" fontId="7" fillId="2" borderId="3" xfId="2" applyNumberFormat="1" applyFill="1" applyBorder="1" applyAlignment="1">
      <alignment vertical="center" shrinkToFit="1"/>
    </xf>
    <xf numFmtId="49" fontId="7" fillId="2" borderId="4" xfId="2" applyNumberFormat="1" applyFill="1" applyBorder="1" applyAlignment="1">
      <alignment vertical="center" shrinkToFit="1"/>
    </xf>
    <xf numFmtId="49" fontId="8" fillId="2" borderId="2" xfId="1" applyNumberFormat="1" applyFont="1" applyFill="1" applyBorder="1" applyAlignment="1">
      <alignment horizontal="center" vertical="center" shrinkToFit="1"/>
    </xf>
    <xf numFmtId="49" fontId="8" fillId="2" borderId="3" xfId="1" applyNumberFormat="1" applyFont="1" applyFill="1" applyBorder="1" applyAlignment="1">
      <alignment horizontal="center" vertical="center" shrinkToFit="1"/>
    </xf>
    <xf numFmtId="49" fontId="8" fillId="2" borderId="4" xfId="1" applyNumberFormat="1" applyFont="1" applyFill="1" applyBorder="1" applyAlignment="1">
      <alignment horizontal="center" vertical="center" shrinkToFit="1"/>
    </xf>
    <xf numFmtId="0" fontId="8" fillId="2" borderId="2" xfId="0" applyFont="1" applyFill="1" applyBorder="1" applyAlignment="1">
      <alignment horizontal="center" vertical="center" shrinkToFit="1"/>
    </xf>
    <xf numFmtId="0" fontId="8" fillId="2" borderId="3" xfId="0" applyFont="1" applyFill="1" applyBorder="1" applyAlignment="1">
      <alignment horizontal="center" vertical="center" shrinkToFit="1"/>
    </xf>
    <xf numFmtId="0" fontId="8" fillId="2" borderId="4" xfId="0" applyFont="1" applyFill="1" applyBorder="1" applyAlignment="1">
      <alignment horizontal="center" vertical="center" shrinkToFit="1"/>
    </xf>
    <xf numFmtId="0" fontId="8" fillId="2" borderId="2" xfId="0" applyFont="1" applyFill="1" applyBorder="1" applyAlignment="1">
      <alignment vertical="center" shrinkToFit="1"/>
    </xf>
    <xf numFmtId="0" fontId="8" fillId="2" borderId="3" xfId="0" applyFont="1" applyFill="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3"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9" xfId="0" applyFont="1" applyBorder="1" applyAlignment="1">
      <alignment horizontal="left" vertical="center" wrapText="1" shrinkToFit="1"/>
    </xf>
    <xf numFmtId="0" fontId="8" fillId="0" borderId="0" xfId="0" applyFont="1" applyAlignment="1">
      <alignment vertical="center" wrapTex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2" borderId="7" xfId="0" applyFont="1" applyFill="1" applyBorder="1" applyAlignment="1">
      <alignment vertical="center" shrinkToFit="1"/>
    </xf>
    <xf numFmtId="0" fontId="9" fillId="2" borderId="8" xfId="0" applyFont="1" applyFill="1" applyBorder="1" applyAlignment="1">
      <alignment vertical="center" shrinkToFit="1"/>
    </xf>
    <xf numFmtId="0" fontId="9" fillId="2" borderId="9" xfId="0" applyFont="1" applyFill="1" applyBorder="1" applyAlignment="1">
      <alignment vertical="center" shrinkToFit="1"/>
    </xf>
    <xf numFmtId="0" fontId="9" fillId="2" borderId="5" xfId="0" applyFont="1" applyFill="1" applyBorder="1" applyAlignment="1">
      <alignment vertical="center" shrinkToFit="1"/>
    </xf>
    <xf numFmtId="0" fontId="9" fillId="2" borderId="0" xfId="0" applyFont="1" applyFill="1" applyAlignment="1">
      <alignment vertical="center" shrinkToFit="1"/>
    </xf>
    <xf numFmtId="0" fontId="9" fillId="2" borderId="10" xfId="0" applyFont="1" applyFill="1" applyBorder="1" applyAlignment="1">
      <alignment vertical="center" shrinkToFit="1"/>
    </xf>
    <xf numFmtId="0" fontId="9" fillId="2" borderId="11" xfId="0" applyFont="1" applyFill="1" applyBorder="1" applyAlignment="1">
      <alignment vertical="center" shrinkToFit="1"/>
    </xf>
    <xf numFmtId="0" fontId="9" fillId="2" borderId="6" xfId="0" applyFont="1" applyFill="1" applyBorder="1" applyAlignment="1">
      <alignment vertical="center" shrinkToFit="1"/>
    </xf>
    <xf numFmtId="0" fontId="9" fillId="2" borderId="12" xfId="0" applyFont="1" applyFill="1" applyBorder="1" applyAlignment="1">
      <alignment vertical="center" shrinkToFit="1"/>
    </xf>
    <xf numFmtId="0" fontId="24" fillId="0" borderId="8" xfId="0" applyFont="1" applyBorder="1" applyAlignment="1">
      <alignment vertical="center" wrapText="1"/>
    </xf>
    <xf numFmtId="0" fontId="24" fillId="0" borderId="54" xfId="0" applyFont="1" applyBorder="1" applyAlignment="1">
      <alignment vertical="center" wrapText="1"/>
    </xf>
    <xf numFmtId="0" fontId="24" fillId="0" borderId="20" xfId="0" applyFont="1" applyBorder="1" applyAlignment="1">
      <alignment vertical="center" wrapText="1"/>
    </xf>
    <xf numFmtId="0" fontId="24" fillId="0" borderId="59" xfId="0" applyFont="1" applyBorder="1" applyAlignment="1">
      <alignment vertical="center" wrapText="1"/>
    </xf>
    <xf numFmtId="0" fontId="24" fillId="0" borderId="39" xfId="0" applyFont="1" applyBorder="1" applyAlignment="1">
      <alignment vertical="center" wrapText="1"/>
    </xf>
    <xf numFmtId="0" fontId="24" fillId="0" borderId="56" xfId="0" applyFont="1" applyBorder="1" applyAlignment="1">
      <alignment vertical="center" wrapText="1"/>
    </xf>
    <xf numFmtId="0" fontId="24" fillId="0" borderId="19" xfId="0" applyFont="1" applyBorder="1" applyAlignment="1">
      <alignment vertical="center" wrapText="1"/>
    </xf>
    <xf numFmtId="0" fontId="26" fillId="0" borderId="6" xfId="0" applyFont="1" applyBorder="1" applyAlignment="1">
      <alignment vertical="center" wrapText="1"/>
    </xf>
    <xf numFmtId="0" fontId="26" fillId="0" borderId="58" xfId="0" applyFont="1" applyBorder="1" applyAlignment="1">
      <alignment vertical="center" wrapText="1"/>
    </xf>
    <xf numFmtId="0" fontId="24" fillId="0" borderId="41" xfId="0" applyFont="1" applyBorder="1" applyAlignment="1">
      <alignment vertical="center" wrapText="1"/>
    </xf>
    <xf numFmtId="0" fontId="24" fillId="0" borderId="57" xfId="0" applyFont="1" applyBorder="1" applyAlignment="1">
      <alignment vertical="center" wrapText="1"/>
    </xf>
    <xf numFmtId="0" fontId="24" fillId="0" borderId="6" xfId="0" applyFont="1" applyBorder="1" applyAlignment="1">
      <alignment vertical="center" wrapText="1"/>
    </xf>
    <xf numFmtId="0" fontId="24" fillId="0" borderId="58" xfId="0" applyFont="1" applyBorder="1" applyAlignment="1">
      <alignment vertical="center" wrapText="1"/>
    </xf>
    <xf numFmtId="0" fontId="24" fillId="0" borderId="22" xfId="0" applyFont="1" applyBorder="1" applyAlignment="1">
      <alignment vertical="center" wrapText="1"/>
    </xf>
    <xf numFmtId="0" fontId="24" fillId="0" borderId="55" xfId="0" applyFont="1" applyBorder="1" applyAlignment="1">
      <alignment vertical="center" wrapText="1"/>
    </xf>
    <xf numFmtId="0" fontId="8" fillId="2" borderId="19" xfId="0" applyFont="1" applyFill="1" applyBorder="1" applyAlignment="1">
      <alignment vertical="center" shrinkToFit="1"/>
    </xf>
    <xf numFmtId="0" fontId="8" fillId="2" borderId="20" xfId="0" applyFont="1" applyFill="1" applyBorder="1" applyAlignment="1">
      <alignment vertical="center" shrinkToFit="1"/>
    </xf>
    <xf numFmtId="0" fontId="8" fillId="2" borderId="18" xfId="0" applyFont="1" applyFill="1" applyBorder="1" applyAlignment="1">
      <alignment vertical="center"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pplyAlignment="1">
      <alignment vertical="center"/>
    </xf>
    <xf numFmtId="0" fontId="8"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7" fillId="0" borderId="2" xfId="2" applyBorder="1" applyAlignment="1">
      <alignment horizontal="center" vertical="center" wrapText="1"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19" xfId="0" applyFont="1" applyBorder="1" applyAlignment="1">
      <alignment vertical="top" wrapText="1" shrinkToFit="1"/>
    </xf>
    <xf numFmtId="0" fontId="8" fillId="0" borderId="17" xfId="0" applyFont="1" applyBorder="1" applyAlignment="1">
      <alignment vertical="center"/>
    </xf>
    <xf numFmtId="0" fontId="21" fillId="0" borderId="18" xfId="0" applyFont="1" applyBorder="1" applyAlignment="1">
      <alignment vertical="center"/>
    </xf>
  </cellXfs>
  <cellStyles count="4">
    <cellStyle name="Hyperlink" xfId="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mu@sendai-n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endai-nct.ac.jp/sclife/datascienc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endai-nct.ac.jp/sclife/datascienc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endai-nct.ac.jp/sclife/datascienc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endai-nct.ac.jp/sclife/data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6"/>
  <sheetViews>
    <sheetView view="pageBreakPreview" zoomScaleNormal="100" zoomScaleSheetLayoutView="100" workbookViewId="0">
      <selection activeCell="K17" sqref="K17"/>
    </sheetView>
  </sheetViews>
  <sheetFormatPr defaultColWidth="9" defaultRowHeight="18.75" customHeight="1" x14ac:dyDescent="0.15"/>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625" style="7" customWidth="1"/>
    <col min="13" max="13" width="3.375" style="7" customWidth="1"/>
    <col min="14" max="14" width="4.5" style="7" customWidth="1"/>
    <col min="15" max="15" width="9" style="16"/>
    <col min="16" max="16384" width="9" style="6"/>
  </cols>
  <sheetData>
    <row r="1" spans="1:15" ht="24" customHeight="1" x14ac:dyDescent="0.15">
      <c r="M1" s="146" t="s">
        <v>0</v>
      </c>
      <c r="N1" s="146"/>
    </row>
    <row r="2" spans="1:15" ht="24" customHeight="1" x14ac:dyDescent="0.15">
      <c r="A2" s="149" t="s">
        <v>1</v>
      </c>
      <c r="B2" s="149"/>
      <c r="C2" s="149"/>
      <c r="D2" s="149"/>
      <c r="E2" s="149"/>
      <c r="F2" s="149"/>
      <c r="G2" s="149"/>
      <c r="H2" s="149"/>
      <c r="I2" s="149"/>
      <c r="J2" s="149"/>
      <c r="K2" s="149"/>
      <c r="L2" s="149"/>
      <c r="M2" s="149"/>
      <c r="N2" s="149"/>
    </row>
    <row r="3" spans="1:15" ht="24" customHeight="1" x14ac:dyDescent="0.15"/>
    <row r="4" spans="1:15" ht="24" customHeight="1" x14ac:dyDescent="0.15">
      <c r="A4" s="7" t="s">
        <v>2</v>
      </c>
      <c r="B4" s="7" t="s">
        <v>3</v>
      </c>
      <c r="C4" s="136" t="s">
        <v>4</v>
      </c>
      <c r="D4" s="137"/>
      <c r="E4" s="137"/>
      <c r="F4" s="137"/>
      <c r="G4" s="137"/>
      <c r="H4" s="137"/>
      <c r="I4" s="137"/>
      <c r="J4" s="137"/>
      <c r="K4" s="137"/>
      <c r="L4" s="137"/>
      <c r="M4" s="137"/>
      <c r="N4" s="145"/>
      <c r="O4" s="16" t="str">
        <f>IF(C4="","入力してください","")</f>
        <v/>
      </c>
    </row>
    <row r="5" spans="1:15" ht="7.5" customHeight="1" x14ac:dyDescent="0.15">
      <c r="E5" s="8"/>
      <c r="F5" s="18"/>
      <c r="G5" s="18"/>
      <c r="H5" s="18"/>
      <c r="I5" s="18"/>
      <c r="J5" s="18"/>
      <c r="K5" s="18"/>
      <c r="L5" s="18"/>
      <c r="M5" s="18"/>
      <c r="N5" s="18"/>
    </row>
    <row r="6" spans="1:15" ht="24" customHeight="1" x14ac:dyDescent="0.15">
      <c r="A6" s="7" t="s">
        <v>5</v>
      </c>
      <c r="B6" s="7" t="s">
        <v>6</v>
      </c>
      <c r="D6" s="136" t="s">
        <v>7</v>
      </c>
      <c r="E6" s="137"/>
      <c r="F6" s="137"/>
      <c r="G6" s="137"/>
      <c r="H6" s="145"/>
      <c r="I6" s="7" t="s">
        <v>8</v>
      </c>
      <c r="J6" s="18" t="s">
        <v>9</v>
      </c>
      <c r="K6" s="136" t="s">
        <v>10</v>
      </c>
      <c r="L6" s="137"/>
      <c r="M6" s="137"/>
      <c r="N6" s="145"/>
      <c r="O6" s="16" t="str">
        <f>IF(D6="","入力してください","")</f>
        <v/>
      </c>
    </row>
    <row r="7" spans="1:15" ht="7.5" customHeight="1" x14ac:dyDescent="0.15">
      <c r="E7" s="8"/>
      <c r="F7" s="18"/>
      <c r="G7" s="18"/>
      <c r="H7" s="18"/>
      <c r="I7" s="18"/>
      <c r="J7" s="18"/>
      <c r="K7" s="18"/>
      <c r="L7" s="18"/>
      <c r="M7" s="18"/>
      <c r="N7" s="18"/>
    </row>
    <row r="8" spans="1:15" ht="24" customHeight="1" x14ac:dyDescent="0.15">
      <c r="A8" s="7" t="s">
        <v>11</v>
      </c>
      <c r="B8" s="7" t="s">
        <v>12</v>
      </c>
      <c r="C8" s="136" t="s">
        <v>13</v>
      </c>
      <c r="D8" s="137"/>
      <c r="E8" s="137"/>
      <c r="F8" s="137"/>
      <c r="G8" s="137"/>
      <c r="H8" s="137"/>
      <c r="I8" s="137"/>
      <c r="J8" s="137"/>
      <c r="K8" s="137"/>
      <c r="L8" s="137"/>
      <c r="M8" s="137"/>
      <c r="N8" s="145"/>
      <c r="O8" s="16" t="str">
        <f>IF(C8="","入力してください","")</f>
        <v/>
      </c>
    </row>
    <row r="9" spans="1:15" ht="7.5" customHeight="1" x14ac:dyDescent="0.15">
      <c r="E9" s="8"/>
      <c r="F9" s="18"/>
      <c r="G9" s="18"/>
      <c r="H9" s="18"/>
      <c r="I9" s="18"/>
      <c r="J9" s="18"/>
      <c r="K9" s="18"/>
      <c r="L9" s="18"/>
      <c r="M9" s="18"/>
      <c r="N9" s="18"/>
    </row>
    <row r="10" spans="1:15" ht="24" customHeight="1" x14ac:dyDescent="0.15">
      <c r="A10" s="7" t="s">
        <v>14</v>
      </c>
      <c r="B10" s="7" t="s">
        <v>15</v>
      </c>
      <c r="E10" s="136" t="s">
        <v>16</v>
      </c>
      <c r="F10" s="137"/>
      <c r="G10" s="137"/>
      <c r="H10" s="137"/>
      <c r="I10" s="137"/>
      <c r="J10" s="137"/>
      <c r="K10" s="137"/>
      <c r="L10" s="137"/>
      <c r="M10" s="137"/>
      <c r="N10" s="145"/>
      <c r="O10" s="16" t="str">
        <f>IF(E10="","入力してください","")</f>
        <v/>
      </c>
    </row>
    <row r="11" spans="1:15" ht="7.5" customHeight="1" x14ac:dyDescent="0.15">
      <c r="B11" s="8"/>
      <c r="C11" s="8"/>
      <c r="D11" s="8"/>
      <c r="E11" s="8"/>
      <c r="F11" s="18"/>
      <c r="G11" s="18"/>
      <c r="H11" s="18"/>
      <c r="I11" s="18"/>
      <c r="J11" s="18"/>
      <c r="K11" s="18"/>
      <c r="L11" s="18"/>
      <c r="M11" s="18"/>
      <c r="N11" s="18"/>
    </row>
    <row r="12" spans="1:15" ht="24" customHeight="1" x14ac:dyDescent="0.15">
      <c r="A12" s="7" t="s">
        <v>17</v>
      </c>
      <c r="B12" s="8" t="s">
        <v>18</v>
      </c>
      <c r="C12" s="8"/>
      <c r="D12" s="8"/>
      <c r="E12" s="152" t="s">
        <v>19</v>
      </c>
      <c r="F12" s="153"/>
      <c r="G12" s="7" t="s">
        <v>20</v>
      </c>
      <c r="H12" s="7" t="s">
        <v>21</v>
      </c>
      <c r="N12" s="86" t="s">
        <v>22</v>
      </c>
      <c r="O12" s="16" t="str">
        <f>IF(E12="","入力してください","")</f>
        <v/>
      </c>
    </row>
    <row r="13" spans="1:15" ht="7.5" customHeight="1" x14ac:dyDescent="0.15">
      <c r="B13" s="8"/>
      <c r="C13" s="8"/>
      <c r="D13" s="8"/>
      <c r="E13" s="8"/>
      <c r="F13" s="18"/>
      <c r="G13" s="18"/>
      <c r="H13" s="18"/>
      <c r="I13" s="18"/>
      <c r="J13" s="18"/>
      <c r="K13" s="18"/>
      <c r="L13" s="18"/>
      <c r="M13" s="18"/>
      <c r="N13" s="18"/>
    </row>
    <row r="14" spans="1:15" ht="24" customHeight="1" x14ac:dyDescent="0.15">
      <c r="A14" s="7" t="s">
        <v>23</v>
      </c>
      <c r="B14" s="7" t="s">
        <v>24</v>
      </c>
      <c r="C14" s="146" t="s">
        <v>25</v>
      </c>
      <c r="D14" s="147"/>
      <c r="E14" s="143">
        <v>112</v>
      </c>
      <c r="F14" s="144"/>
      <c r="G14" s="118" t="s">
        <v>26</v>
      </c>
      <c r="H14" s="119"/>
      <c r="I14" s="150" t="s">
        <v>27</v>
      </c>
      <c r="J14" s="151"/>
      <c r="K14" s="143">
        <v>42</v>
      </c>
      <c r="L14" s="148"/>
      <c r="M14" s="144"/>
      <c r="N14" s="120" t="s">
        <v>26</v>
      </c>
      <c r="O14" s="16" t="str">
        <f>IF(OR(E14="",K14=""),"入力してください","")</f>
        <v/>
      </c>
    </row>
    <row r="15" spans="1:15" ht="7.5" customHeight="1" x14ac:dyDescent="0.15">
      <c r="E15" s="119"/>
      <c r="F15" s="119"/>
      <c r="G15" s="119"/>
      <c r="H15" s="119"/>
      <c r="I15" s="119"/>
      <c r="J15" s="119"/>
      <c r="K15" s="119"/>
      <c r="L15" s="119"/>
      <c r="M15" s="120"/>
      <c r="N15" s="120"/>
    </row>
    <row r="16" spans="1:15" ht="24" customHeight="1" x14ac:dyDescent="0.15">
      <c r="A16" s="7" t="s">
        <v>28</v>
      </c>
      <c r="B16" s="7" t="s">
        <v>29</v>
      </c>
      <c r="E16" s="119"/>
      <c r="F16" s="119"/>
      <c r="G16" s="119"/>
      <c r="H16" s="119"/>
      <c r="I16" s="119"/>
      <c r="J16" s="119"/>
      <c r="K16" s="128">
        <v>15</v>
      </c>
      <c r="L16" s="129"/>
      <c r="M16" s="130"/>
      <c r="N16" s="120" t="s">
        <v>26</v>
      </c>
      <c r="O16" s="16" t="str">
        <f>IF(K16="","入力してください","")</f>
        <v/>
      </c>
    </row>
    <row r="17" spans="1:15" ht="7.5" customHeight="1" x14ac:dyDescent="0.15">
      <c r="E17" s="119"/>
      <c r="F17" s="119"/>
      <c r="G17" s="119"/>
      <c r="H17" s="119"/>
      <c r="I17" s="119"/>
      <c r="J17" s="119"/>
      <c r="K17" s="119"/>
      <c r="L17" s="119"/>
      <c r="M17" s="120"/>
      <c r="N17" s="120"/>
    </row>
    <row r="18" spans="1:15" ht="24" customHeight="1" x14ac:dyDescent="0.15">
      <c r="A18" s="7" t="s">
        <v>30</v>
      </c>
      <c r="B18" s="7" t="s">
        <v>31</v>
      </c>
      <c r="E18" s="143">
        <v>280</v>
      </c>
      <c r="F18" s="144"/>
      <c r="G18" s="121" t="s">
        <v>32</v>
      </c>
      <c r="H18" s="119"/>
      <c r="I18" s="119"/>
      <c r="J18" s="119"/>
      <c r="K18" s="142"/>
      <c r="L18" s="142"/>
      <c r="M18" s="142"/>
      <c r="N18" s="142"/>
      <c r="O18" s="16" t="str">
        <f>IF(E18="","入力してください","")</f>
        <v/>
      </c>
    </row>
    <row r="19" spans="1:15" ht="7.5" customHeight="1" x14ac:dyDescent="0.15">
      <c r="E19" s="4"/>
      <c r="L19" s="14"/>
      <c r="M19" s="14"/>
      <c r="N19" s="10"/>
    </row>
    <row r="20" spans="1:15" ht="24" customHeight="1" x14ac:dyDescent="0.15">
      <c r="A20" s="7" t="s">
        <v>33</v>
      </c>
      <c r="B20" s="7" t="s">
        <v>34</v>
      </c>
      <c r="C20" s="93"/>
      <c r="D20" s="93"/>
      <c r="E20" s="122"/>
      <c r="F20" s="93"/>
      <c r="G20" s="93"/>
      <c r="H20" s="93" t="s">
        <v>35</v>
      </c>
      <c r="I20" s="93"/>
      <c r="J20" s="131">
        <v>1482</v>
      </c>
      <c r="K20" s="132"/>
      <c r="L20" s="133"/>
      <c r="M20" s="14" t="s">
        <v>26</v>
      </c>
      <c r="N20" s="10"/>
      <c r="O20" s="16" t="str">
        <f>IF(J20="","入力してください","")</f>
        <v/>
      </c>
    </row>
    <row r="21" spans="1:15" ht="7.5" customHeight="1" x14ac:dyDescent="0.15">
      <c r="C21" s="93"/>
      <c r="D21" s="93"/>
      <c r="E21" s="122"/>
      <c r="F21" s="93"/>
      <c r="G21" s="93"/>
      <c r="H21" s="93"/>
      <c r="I21" s="93"/>
      <c r="J21" s="93"/>
      <c r="K21" s="93"/>
      <c r="L21" s="123"/>
      <c r="M21" s="14"/>
      <c r="N21" s="10"/>
    </row>
    <row r="22" spans="1:15" ht="24" customHeight="1" x14ac:dyDescent="0.15">
      <c r="B22" s="14" t="s">
        <v>36</v>
      </c>
      <c r="C22" s="140">
        <v>292</v>
      </c>
      <c r="D22" s="141"/>
      <c r="E22" s="122" t="s">
        <v>26</v>
      </c>
      <c r="F22" s="93"/>
      <c r="G22" s="134" t="s">
        <v>37</v>
      </c>
      <c r="H22" s="134"/>
      <c r="I22" s="140">
        <v>282</v>
      </c>
      <c r="J22" s="141"/>
      <c r="K22" s="93" t="s">
        <v>26</v>
      </c>
      <c r="L22" s="93"/>
      <c r="M22" s="14"/>
      <c r="N22" s="10"/>
    </row>
    <row r="23" spans="1:15" ht="7.5" customHeight="1" x14ac:dyDescent="0.15">
      <c r="B23" s="14"/>
      <c r="C23" s="124"/>
      <c r="D23" s="124"/>
      <c r="E23" s="122"/>
      <c r="F23" s="93"/>
      <c r="G23" s="123"/>
      <c r="H23" s="123"/>
      <c r="I23" s="124"/>
      <c r="J23" s="124"/>
      <c r="K23" s="93"/>
      <c r="L23" s="93"/>
      <c r="M23" s="14"/>
      <c r="N23" s="10"/>
    </row>
    <row r="24" spans="1:15" ht="24" customHeight="1" x14ac:dyDescent="0.15">
      <c r="B24" s="14" t="s">
        <v>38</v>
      </c>
      <c r="C24" s="140">
        <v>306</v>
      </c>
      <c r="D24" s="141"/>
      <c r="E24" s="122" t="s">
        <v>26</v>
      </c>
      <c r="F24" s="93"/>
      <c r="G24" s="134" t="s">
        <v>39</v>
      </c>
      <c r="H24" s="134"/>
      <c r="I24" s="140">
        <v>300</v>
      </c>
      <c r="J24" s="141"/>
      <c r="K24" s="93" t="s">
        <v>26</v>
      </c>
      <c r="L24" s="93"/>
      <c r="M24" s="14"/>
      <c r="N24" s="10"/>
    </row>
    <row r="25" spans="1:15" ht="7.5" customHeight="1" x14ac:dyDescent="0.15">
      <c r="B25" s="14"/>
      <c r="C25" s="124"/>
      <c r="D25" s="124"/>
      <c r="E25" s="122"/>
      <c r="F25" s="93"/>
      <c r="G25" s="123"/>
      <c r="H25" s="123"/>
      <c r="I25" s="124"/>
      <c r="J25" s="124"/>
      <c r="K25" s="93"/>
      <c r="L25" s="93"/>
      <c r="M25" s="14"/>
      <c r="N25" s="10"/>
    </row>
    <row r="26" spans="1:15" ht="24" customHeight="1" x14ac:dyDescent="0.15">
      <c r="B26" s="14" t="s">
        <v>40</v>
      </c>
      <c r="C26" s="140">
        <v>302</v>
      </c>
      <c r="D26" s="141"/>
      <c r="E26" s="122" t="s">
        <v>26</v>
      </c>
      <c r="F26" s="93"/>
      <c r="G26" s="134" t="s">
        <v>41</v>
      </c>
      <c r="H26" s="134"/>
      <c r="I26" s="140"/>
      <c r="J26" s="141"/>
      <c r="K26" s="93" t="s">
        <v>26</v>
      </c>
      <c r="L26" s="93"/>
      <c r="M26" s="14"/>
      <c r="N26" s="10"/>
    </row>
    <row r="27" spans="1:15" ht="7.5" customHeight="1" x14ac:dyDescent="0.15">
      <c r="M27" s="11"/>
      <c r="N27" s="11"/>
    </row>
    <row r="28" spans="1:15" ht="24" customHeight="1" x14ac:dyDescent="0.15">
      <c r="A28" s="7" t="s">
        <v>42</v>
      </c>
      <c r="B28" s="7" t="s">
        <v>43</v>
      </c>
      <c r="G28" s="18"/>
      <c r="H28" s="18"/>
      <c r="I28" s="18"/>
      <c r="J28" s="12"/>
      <c r="K28" s="12"/>
      <c r="L28" s="12"/>
      <c r="M28" s="12"/>
      <c r="N28" s="12"/>
    </row>
    <row r="29" spans="1:15" s="7" customFormat="1" ht="24" customHeight="1" x14ac:dyDescent="0.15">
      <c r="B29" s="135" t="s">
        <v>44</v>
      </c>
      <c r="C29" s="135"/>
      <c r="D29" s="136" t="s">
        <v>45</v>
      </c>
      <c r="E29" s="137"/>
      <c r="F29" s="137"/>
      <c r="G29" s="138" t="s">
        <v>46</v>
      </c>
      <c r="H29" s="135"/>
      <c r="I29" s="139"/>
      <c r="J29" s="136" t="s">
        <v>47</v>
      </c>
      <c r="K29" s="137"/>
      <c r="L29" s="137"/>
      <c r="M29" s="137"/>
      <c r="N29" s="145"/>
      <c r="O29" s="16" t="str">
        <f>IF(OR(D29="",J29=""),"入力してください","")</f>
        <v/>
      </c>
    </row>
    <row r="30" spans="1:15" ht="7.5" customHeight="1" x14ac:dyDescent="0.15">
      <c r="M30" s="11"/>
      <c r="N30" s="11"/>
    </row>
    <row r="31" spans="1:15" ht="24" customHeight="1" x14ac:dyDescent="0.15">
      <c r="A31" s="7" t="s">
        <v>48</v>
      </c>
      <c r="B31" s="7" t="s">
        <v>49</v>
      </c>
      <c r="G31" s="12"/>
      <c r="H31" s="12"/>
      <c r="I31" s="12"/>
      <c r="J31" s="12"/>
      <c r="K31" s="12"/>
      <c r="L31" s="12"/>
      <c r="M31" s="12"/>
      <c r="N31" s="12"/>
    </row>
    <row r="32" spans="1:15" ht="24" customHeight="1" x14ac:dyDescent="0.15">
      <c r="B32" s="136" t="s">
        <v>50</v>
      </c>
      <c r="C32" s="137"/>
      <c r="D32" s="137"/>
      <c r="E32" s="137"/>
      <c r="F32" s="137"/>
      <c r="G32" s="137"/>
      <c r="H32" s="137"/>
      <c r="I32" s="137"/>
      <c r="J32" s="137"/>
      <c r="K32" s="137"/>
      <c r="L32" s="137"/>
      <c r="M32" s="137"/>
      <c r="N32" s="145"/>
      <c r="O32" s="16" t="str">
        <f>IF(B32="","入力してください","")</f>
        <v/>
      </c>
    </row>
    <row r="33" spans="1:15" ht="7.5" customHeight="1" x14ac:dyDescent="0.15">
      <c r="B33" s="5"/>
      <c r="C33" s="5"/>
      <c r="D33" s="5"/>
      <c r="E33" s="5"/>
      <c r="F33" s="5"/>
      <c r="G33" s="5"/>
      <c r="H33" s="5"/>
      <c r="I33" s="5"/>
      <c r="J33" s="5"/>
      <c r="K33" s="5"/>
      <c r="L33" s="5"/>
      <c r="M33" s="5"/>
      <c r="N33" s="5"/>
    </row>
    <row r="34" spans="1:15" s="7" customFormat="1" ht="24" customHeight="1" x14ac:dyDescent="0.15">
      <c r="B34" s="135" t="s">
        <v>44</v>
      </c>
      <c r="C34" s="135"/>
      <c r="D34" s="136" t="s">
        <v>51</v>
      </c>
      <c r="E34" s="137"/>
      <c r="F34" s="137"/>
      <c r="G34" s="138" t="s">
        <v>46</v>
      </c>
      <c r="H34" s="135"/>
      <c r="I34" s="139"/>
      <c r="J34" s="136" t="s">
        <v>52</v>
      </c>
      <c r="K34" s="137"/>
      <c r="L34" s="137"/>
      <c r="M34" s="137"/>
      <c r="N34" s="145"/>
      <c r="O34" s="16" t="str">
        <f>IF(OR(D34="",J34=""),"入力してください","")</f>
        <v/>
      </c>
    </row>
    <row r="35" spans="1:15" ht="7.5" customHeight="1" x14ac:dyDescent="0.15">
      <c r="F35" s="18"/>
      <c r="G35" s="18"/>
      <c r="H35" s="18"/>
      <c r="I35" s="18"/>
      <c r="J35" s="18"/>
      <c r="K35" s="18"/>
      <c r="L35" s="18"/>
      <c r="M35" s="18"/>
      <c r="N35" s="18"/>
    </row>
    <row r="36" spans="1:15" ht="24" customHeight="1" x14ac:dyDescent="0.15">
      <c r="A36" s="7" t="s">
        <v>53</v>
      </c>
      <c r="B36" s="7" t="s">
        <v>54</v>
      </c>
      <c r="M36" s="11"/>
      <c r="N36" s="11"/>
    </row>
    <row r="37" spans="1:15" ht="24" customHeight="1" x14ac:dyDescent="0.15">
      <c r="B37" s="136" t="s">
        <v>55</v>
      </c>
      <c r="C37" s="137"/>
      <c r="D37" s="137"/>
      <c r="E37" s="137"/>
      <c r="F37" s="137"/>
      <c r="G37" s="137"/>
      <c r="H37" s="137"/>
      <c r="I37" s="137"/>
      <c r="J37" s="137"/>
      <c r="K37" s="137"/>
      <c r="L37" s="137"/>
      <c r="M37" s="137"/>
      <c r="N37" s="145"/>
      <c r="O37" s="16" t="str">
        <f>IF(B37="","入力してください","")</f>
        <v/>
      </c>
    </row>
    <row r="38" spans="1:15" ht="7.5" customHeight="1" x14ac:dyDescent="0.15">
      <c r="F38" s="18"/>
      <c r="G38" s="18"/>
      <c r="H38" s="18"/>
      <c r="I38" s="18"/>
      <c r="J38" s="18"/>
      <c r="K38" s="18"/>
      <c r="L38" s="18"/>
      <c r="M38" s="18"/>
      <c r="N38" s="18"/>
    </row>
    <row r="39" spans="1:15" s="7" customFormat="1" ht="24" customHeight="1" x14ac:dyDescent="0.15">
      <c r="B39" s="135" t="s">
        <v>44</v>
      </c>
      <c r="C39" s="135"/>
      <c r="D39" s="136" t="s">
        <v>56</v>
      </c>
      <c r="E39" s="137"/>
      <c r="F39" s="137"/>
      <c r="G39" s="138" t="s">
        <v>46</v>
      </c>
      <c r="H39" s="135"/>
      <c r="I39" s="139"/>
      <c r="J39" s="136" t="s">
        <v>57</v>
      </c>
      <c r="K39" s="137"/>
      <c r="L39" s="137"/>
      <c r="M39" s="137"/>
      <c r="N39" s="145"/>
      <c r="O39" s="16" t="str">
        <f>IF(OR(D39="",J39=""),"入力してください","")</f>
        <v/>
      </c>
    </row>
    <row r="40" spans="1:15" ht="7.5" customHeight="1" x14ac:dyDescent="0.15">
      <c r="F40" s="18"/>
      <c r="G40" s="18"/>
      <c r="H40" s="18"/>
      <c r="I40" s="18"/>
      <c r="J40" s="18"/>
      <c r="K40" s="18"/>
      <c r="L40" s="18"/>
      <c r="M40" s="18"/>
      <c r="N40" s="18"/>
    </row>
    <row r="41" spans="1:15" ht="24" customHeight="1" x14ac:dyDescent="0.15">
      <c r="A41" s="7" t="s">
        <v>58</v>
      </c>
      <c r="B41" s="7" t="s">
        <v>59</v>
      </c>
      <c r="E41" s="53"/>
      <c r="F41" s="136" t="s">
        <v>60</v>
      </c>
      <c r="G41" s="137"/>
      <c r="H41" s="137"/>
      <c r="I41" s="137"/>
      <c r="J41" s="137"/>
      <c r="K41" s="137"/>
      <c r="L41" s="137"/>
      <c r="M41" s="137"/>
      <c r="N41" s="145"/>
      <c r="O41" s="16" t="str">
        <f>IF(F41="","入力してください","")</f>
        <v/>
      </c>
    </row>
    <row r="42" spans="1:15" ht="7.5" customHeight="1" x14ac:dyDescent="0.15">
      <c r="F42" s="18"/>
      <c r="G42" s="18"/>
      <c r="H42" s="18"/>
      <c r="I42" s="18"/>
      <c r="J42" s="18"/>
      <c r="K42" s="18"/>
      <c r="L42" s="18"/>
      <c r="M42" s="18"/>
      <c r="N42" s="18"/>
    </row>
    <row r="43" spans="1:15" ht="24" customHeight="1" x14ac:dyDescent="0.15">
      <c r="A43" s="7" t="s">
        <v>61</v>
      </c>
    </row>
    <row r="44" spans="1:15" ht="24" customHeight="1" x14ac:dyDescent="0.15">
      <c r="B44" s="15" t="s">
        <v>62</v>
      </c>
      <c r="C44" s="163" t="s">
        <v>63</v>
      </c>
      <c r="D44" s="164"/>
      <c r="E44" s="164"/>
      <c r="F44" s="164"/>
      <c r="G44" s="164"/>
      <c r="H44" s="164"/>
      <c r="I44" s="91" t="s">
        <v>64</v>
      </c>
      <c r="J44" s="92"/>
      <c r="K44" s="160" t="s">
        <v>65</v>
      </c>
      <c r="L44" s="161"/>
      <c r="M44" s="161"/>
      <c r="N44" s="162"/>
      <c r="O44" s="16" t="str">
        <f>IF(OR(C44="",K44=""),"入力してください","")</f>
        <v/>
      </c>
    </row>
    <row r="45" spans="1:15" ht="24" customHeight="1" x14ac:dyDescent="0.15">
      <c r="B45" s="13" t="s">
        <v>66</v>
      </c>
      <c r="C45" s="154" t="s">
        <v>67</v>
      </c>
      <c r="D45" s="155"/>
      <c r="E45" s="155"/>
      <c r="F45" s="155"/>
      <c r="G45" s="155"/>
      <c r="H45" s="156"/>
      <c r="I45" s="91" t="s">
        <v>68</v>
      </c>
      <c r="J45" s="92"/>
      <c r="K45" s="157" t="s">
        <v>69</v>
      </c>
      <c r="L45" s="158"/>
      <c r="M45" s="158"/>
      <c r="N45" s="159"/>
      <c r="O45" s="16" t="str">
        <f>IF(OR(C45="",K45=""),"入力してください","")</f>
        <v/>
      </c>
    </row>
    <row r="46" spans="1:15" ht="18.75" customHeight="1" x14ac:dyDescent="0.15">
      <c r="C46" s="93"/>
      <c r="D46" s="93"/>
      <c r="E46" s="93"/>
      <c r="F46" s="93"/>
      <c r="G46" s="93"/>
      <c r="H46" s="93"/>
      <c r="I46" s="93"/>
      <c r="J46" s="93"/>
      <c r="K46" s="93"/>
      <c r="L46" s="93"/>
      <c r="M46" s="93"/>
      <c r="N46" s="93"/>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H45" r:id="rId1" display="gakumu@sendai-nct.ac.jp"/>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1" zoomScaleNormal="100" zoomScaleSheetLayoutView="100" workbookViewId="0">
      <selection activeCell="B98" sqref="B98:Z98"/>
    </sheetView>
  </sheetViews>
  <sheetFormatPr defaultColWidth="9" defaultRowHeight="18.75" customHeight="1" x14ac:dyDescent="0.15"/>
  <cols>
    <col min="1" max="1" width="2.5" style="6" customWidth="1"/>
    <col min="2" max="2" width="27.62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187" t="s">
        <v>70</v>
      </c>
      <c r="X1" s="187"/>
      <c r="Y1" s="187"/>
      <c r="Z1" s="187"/>
    </row>
    <row r="2" spans="1:26" ht="18" customHeight="1" x14ac:dyDescent="0.15">
      <c r="A2" s="226" t="s">
        <v>71</v>
      </c>
      <c r="B2" s="226"/>
      <c r="C2" s="226"/>
      <c r="D2" s="226"/>
      <c r="E2" s="226"/>
      <c r="F2" s="226"/>
      <c r="G2" s="226"/>
      <c r="H2" s="226"/>
      <c r="I2" s="226"/>
      <c r="J2" s="226"/>
      <c r="K2" s="226"/>
      <c r="L2" s="226"/>
      <c r="M2" s="226"/>
      <c r="N2" s="226"/>
      <c r="O2" s="226"/>
      <c r="P2" s="226"/>
      <c r="Q2" s="226"/>
      <c r="R2" s="226"/>
      <c r="S2" s="226"/>
      <c r="T2" s="226"/>
      <c r="U2" s="226"/>
      <c r="V2" s="226"/>
      <c r="W2" s="226"/>
      <c r="X2" s="226"/>
      <c r="Y2" s="226"/>
      <c r="Z2" s="226"/>
    </row>
    <row r="3" spans="1:26" ht="15" customHeight="1" x14ac:dyDescent="0.15">
      <c r="B3" s="14"/>
      <c r="C3" s="14"/>
      <c r="D3" s="14"/>
      <c r="E3" s="14"/>
      <c r="F3" s="14"/>
      <c r="G3" s="14"/>
      <c r="H3" s="14"/>
      <c r="I3" s="14"/>
      <c r="J3" s="14"/>
      <c r="K3" s="14"/>
      <c r="L3" s="14"/>
      <c r="M3" s="14"/>
      <c r="N3" s="14"/>
      <c r="O3" s="14"/>
      <c r="P3" s="14"/>
      <c r="Q3" s="14"/>
      <c r="R3" s="14"/>
      <c r="S3" s="14"/>
      <c r="T3" s="14"/>
      <c r="U3" s="14"/>
      <c r="V3" s="14"/>
      <c r="W3" s="14"/>
      <c r="X3" s="14"/>
      <c r="Y3" s="14"/>
      <c r="Z3" s="14"/>
    </row>
    <row r="4" spans="1:26" ht="18" customHeight="1" x14ac:dyDescent="0.15">
      <c r="A4" s="6" t="s">
        <v>72</v>
      </c>
      <c r="B4" s="14"/>
      <c r="C4" s="14"/>
      <c r="D4" s="14"/>
      <c r="E4" s="14"/>
      <c r="F4" s="14"/>
      <c r="G4" s="14"/>
      <c r="H4" s="7" t="s">
        <v>73</v>
      </c>
      <c r="I4" s="14"/>
      <c r="J4" s="14"/>
      <c r="K4" s="14"/>
      <c r="L4" s="14"/>
      <c r="M4" s="14"/>
      <c r="N4" s="14"/>
      <c r="O4" s="152" t="s">
        <v>74</v>
      </c>
      <c r="P4" s="180"/>
      <c r="Q4" s="180"/>
      <c r="R4" s="180"/>
      <c r="S4" s="180"/>
      <c r="T4" s="180"/>
      <c r="U4" s="180"/>
      <c r="V4" s="180"/>
      <c r="W4" s="180"/>
      <c r="X4" s="180"/>
      <c r="Y4" s="180"/>
      <c r="Z4" s="153"/>
    </row>
    <row r="5" spans="1:26" ht="6" customHeight="1" x14ac:dyDescent="0.15">
      <c r="B5" s="14"/>
      <c r="C5" s="14"/>
      <c r="D5" s="14"/>
      <c r="E5" s="14"/>
      <c r="F5" s="14"/>
      <c r="G5" s="14"/>
      <c r="H5" s="14"/>
      <c r="I5" s="14"/>
      <c r="J5" s="14"/>
      <c r="K5" s="14"/>
      <c r="L5" s="14"/>
      <c r="M5" s="14"/>
      <c r="N5" s="14"/>
      <c r="O5" s="8"/>
      <c r="P5" s="14"/>
      <c r="Q5" s="14"/>
      <c r="R5" s="14"/>
      <c r="S5" s="14"/>
      <c r="T5" s="14"/>
      <c r="U5" s="14"/>
      <c r="V5" s="14"/>
      <c r="W5" s="14"/>
      <c r="X5" s="14"/>
      <c r="Y5" s="14"/>
      <c r="Z5" s="14"/>
    </row>
    <row r="6" spans="1:26" ht="18" customHeight="1" x14ac:dyDescent="0.15">
      <c r="B6" s="227" t="s">
        <v>234</v>
      </c>
      <c r="C6" s="228"/>
      <c r="D6" s="228"/>
      <c r="E6" s="228"/>
      <c r="F6" s="228"/>
      <c r="G6" s="228"/>
      <c r="H6" s="228"/>
      <c r="I6" s="228"/>
      <c r="J6" s="228"/>
      <c r="K6" s="228"/>
      <c r="L6" s="228"/>
      <c r="M6" s="228"/>
      <c r="N6" s="228"/>
      <c r="O6" s="228"/>
      <c r="P6" s="228"/>
      <c r="Q6" s="228"/>
      <c r="R6" s="228"/>
      <c r="S6" s="228"/>
      <c r="T6" s="228"/>
      <c r="U6" s="228"/>
      <c r="V6" s="228"/>
      <c r="W6" s="228"/>
      <c r="X6" s="228"/>
      <c r="Y6" s="228"/>
      <c r="Z6" s="229"/>
    </row>
    <row r="7" spans="1:26" ht="18" customHeight="1" x14ac:dyDescent="0.15">
      <c r="B7" s="230"/>
      <c r="C7" s="231"/>
      <c r="D7" s="231"/>
      <c r="E7" s="231"/>
      <c r="F7" s="231"/>
      <c r="G7" s="231"/>
      <c r="H7" s="231"/>
      <c r="I7" s="231"/>
      <c r="J7" s="231"/>
      <c r="K7" s="231"/>
      <c r="L7" s="231"/>
      <c r="M7" s="231"/>
      <c r="N7" s="231"/>
      <c r="O7" s="231"/>
      <c r="P7" s="231"/>
      <c r="Q7" s="231"/>
      <c r="R7" s="231"/>
      <c r="S7" s="231"/>
      <c r="T7" s="231"/>
      <c r="U7" s="231"/>
      <c r="V7" s="231"/>
      <c r="W7" s="231"/>
      <c r="X7" s="231"/>
      <c r="Y7" s="231"/>
      <c r="Z7" s="232"/>
    </row>
    <row r="8" spans="1:26" ht="18" customHeight="1" x14ac:dyDescent="0.15">
      <c r="B8" s="230"/>
      <c r="C8" s="231"/>
      <c r="D8" s="231"/>
      <c r="E8" s="231"/>
      <c r="F8" s="231"/>
      <c r="G8" s="231"/>
      <c r="H8" s="231"/>
      <c r="I8" s="231"/>
      <c r="J8" s="231"/>
      <c r="K8" s="231"/>
      <c r="L8" s="231"/>
      <c r="M8" s="231"/>
      <c r="N8" s="231"/>
      <c r="O8" s="231"/>
      <c r="P8" s="231"/>
      <c r="Q8" s="231"/>
      <c r="R8" s="231"/>
      <c r="S8" s="231"/>
      <c r="T8" s="231"/>
      <c r="U8" s="231"/>
      <c r="V8" s="231"/>
      <c r="W8" s="231"/>
      <c r="X8" s="231"/>
      <c r="Y8" s="231"/>
      <c r="Z8" s="232"/>
    </row>
    <row r="9" spans="1:26" ht="18" customHeight="1" x14ac:dyDescent="0.15">
      <c r="B9" s="230"/>
      <c r="C9" s="231"/>
      <c r="D9" s="231"/>
      <c r="E9" s="231"/>
      <c r="F9" s="231"/>
      <c r="G9" s="231"/>
      <c r="H9" s="231"/>
      <c r="I9" s="231"/>
      <c r="J9" s="231"/>
      <c r="K9" s="231"/>
      <c r="L9" s="231"/>
      <c r="M9" s="231"/>
      <c r="N9" s="231"/>
      <c r="O9" s="231"/>
      <c r="P9" s="231"/>
      <c r="Q9" s="231"/>
      <c r="R9" s="231"/>
      <c r="S9" s="231"/>
      <c r="T9" s="231"/>
      <c r="U9" s="231"/>
      <c r="V9" s="231"/>
      <c r="W9" s="231"/>
      <c r="X9" s="231"/>
      <c r="Y9" s="231"/>
      <c r="Z9" s="232"/>
    </row>
    <row r="10" spans="1:26" ht="18" customHeight="1" x14ac:dyDescent="0.15">
      <c r="B10" s="230"/>
      <c r="C10" s="231"/>
      <c r="D10" s="231"/>
      <c r="E10" s="231"/>
      <c r="F10" s="231"/>
      <c r="G10" s="231"/>
      <c r="H10" s="231"/>
      <c r="I10" s="231"/>
      <c r="J10" s="231"/>
      <c r="K10" s="231"/>
      <c r="L10" s="231"/>
      <c r="M10" s="231"/>
      <c r="N10" s="231"/>
      <c r="O10" s="231"/>
      <c r="P10" s="231"/>
      <c r="Q10" s="231"/>
      <c r="R10" s="231"/>
      <c r="S10" s="231"/>
      <c r="T10" s="231"/>
      <c r="U10" s="231"/>
      <c r="V10" s="231"/>
      <c r="W10" s="231"/>
      <c r="X10" s="231"/>
      <c r="Y10" s="231"/>
      <c r="Z10" s="232"/>
    </row>
    <row r="11" spans="1:26" ht="18" customHeight="1" x14ac:dyDescent="0.15">
      <c r="B11" s="233"/>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5"/>
    </row>
    <row r="12" spans="1:26" ht="7.5" customHeight="1" x14ac:dyDescent="0.1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8" customHeight="1" x14ac:dyDescent="0.15">
      <c r="A13" s="225" t="s">
        <v>75</v>
      </c>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spans="1:26" ht="18" customHeight="1" x14ac:dyDescent="0.15">
      <c r="A14" s="225"/>
      <c r="B14" s="225"/>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row>
    <row r="15" spans="1:26" ht="18" customHeight="1" x14ac:dyDescent="0.15">
      <c r="A15" s="7"/>
      <c r="B15" s="152" t="s">
        <v>76</v>
      </c>
      <c r="C15" s="180"/>
      <c r="D15" s="180"/>
      <c r="E15" s="180"/>
      <c r="F15" s="153"/>
      <c r="G15" s="15" t="s">
        <v>77</v>
      </c>
      <c r="H15" s="82" t="s">
        <v>78</v>
      </c>
      <c r="I15" s="180" t="s">
        <v>79</v>
      </c>
      <c r="J15" s="180"/>
      <c r="K15" s="180"/>
      <c r="L15" s="54" t="s">
        <v>80</v>
      </c>
      <c r="M15" s="54" t="s">
        <v>81</v>
      </c>
      <c r="N15" s="152" t="s">
        <v>76</v>
      </c>
      <c r="O15" s="180"/>
      <c r="P15" s="180"/>
      <c r="Q15" s="180"/>
      <c r="R15" s="180"/>
      <c r="S15" s="153"/>
      <c r="T15" s="15" t="s">
        <v>77</v>
      </c>
      <c r="U15" s="82" t="s">
        <v>78</v>
      </c>
      <c r="V15" s="180" t="s">
        <v>79</v>
      </c>
      <c r="W15" s="180"/>
      <c r="X15" s="180"/>
      <c r="Y15" s="54" t="s">
        <v>80</v>
      </c>
      <c r="Z15" s="54" t="s">
        <v>81</v>
      </c>
    </row>
    <row r="16" spans="1:26" ht="18" customHeight="1" x14ac:dyDescent="0.15">
      <c r="A16" s="7"/>
      <c r="B16" s="188" t="s">
        <v>82</v>
      </c>
      <c r="C16" s="189"/>
      <c r="D16" s="189"/>
      <c r="E16" s="189"/>
      <c r="F16" s="190"/>
      <c r="G16" s="83">
        <v>2</v>
      </c>
      <c r="H16" s="83" t="s">
        <v>83</v>
      </c>
      <c r="I16" s="194" t="s">
        <v>84</v>
      </c>
      <c r="J16" s="195"/>
      <c r="K16" s="196"/>
      <c r="L16" s="83" t="s">
        <v>83</v>
      </c>
      <c r="M16" s="83" t="s">
        <v>83</v>
      </c>
      <c r="N16" s="165"/>
      <c r="O16" s="166"/>
      <c r="P16" s="166"/>
      <c r="Q16" s="166"/>
      <c r="R16" s="166"/>
      <c r="S16" s="167"/>
      <c r="T16" s="83"/>
      <c r="U16" s="83"/>
      <c r="V16" s="194"/>
      <c r="W16" s="195"/>
      <c r="X16" s="196"/>
      <c r="Y16" s="83"/>
      <c r="Z16" s="83"/>
    </row>
    <row r="17" spans="1:26" ht="18" customHeight="1" x14ac:dyDescent="0.15">
      <c r="A17" s="7"/>
      <c r="B17" s="181"/>
      <c r="C17" s="182"/>
      <c r="D17" s="182"/>
      <c r="E17" s="182"/>
      <c r="F17" s="183"/>
      <c r="G17" s="84"/>
      <c r="H17" s="84"/>
      <c r="I17" s="174"/>
      <c r="J17" s="175"/>
      <c r="K17" s="176"/>
      <c r="L17" s="84"/>
      <c r="M17" s="84"/>
      <c r="N17" s="168"/>
      <c r="O17" s="169"/>
      <c r="P17" s="169"/>
      <c r="Q17" s="169"/>
      <c r="R17" s="169"/>
      <c r="S17" s="170"/>
      <c r="T17" s="84"/>
      <c r="U17" s="84"/>
      <c r="V17" s="174"/>
      <c r="W17" s="175"/>
      <c r="X17" s="176"/>
      <c r="Y17" s="84"/>
      <c r="Z17" s="84"/>
    </row>
    <row r="18" spans="1:26" ht="18" customHeight="1" x14ac:dyDescent="0.15">
      <c r="A18" s="7"/>
      <c r="B18" s="181"/>
      <c r="C18" s="182"/>
      <c r="D18" s="182"/>
      <c r="E18" s="182"/>
      <c r="F18" s="183"/>
      <c r="G18" s="84"/>
      <c r="H18" s="84"/>
      <c r="I18" s="174"/>
      <c r="J18" s="175"/>
      <c r="K18" s="176"/>
      <c r="L18" s="84"/>
      <c r="M18" s="84"/>
      <c r="N18" s="168"/>
      <c r="O18" s="169"/>
      <c r="P18" s="169"/>
      <c r="Q18" s="169"/>
      <c r="R18" s="169"/>
      <c r="S18" s="170"/>
      <c r="T18" s="84"/>
      <c r="U18" s="84"/>
      <c r="V18" s="174"/>
      <c r="W18" s="175"/>
      <c r="X18" s="176"/>
      <c r="Y18" s="84"/>
      <c r="Z18" s="84"/>
    </row>
    <row r="19" spans="1:26" ht="18" customHeight="1" x14ac:dyDescent="0.15">
      <c r="A19" s="7"/>
      <c r="B19" s="181"/>
      <c r="C19" s="182"/>
      <c r="D19" s="182"/>
      <c r="E19" s="182"/>
      <c r="F19" s="183"/>
      <c r="G19" s="84"/>
      <c r="H19" s="84"/>
      <c r="I19" s="174"/>
      <c r="J19" s="175"/>
      <c r="K19" s="176"/>
      <c r="L19" s="84"/>
      <c r="M19" s="84"/>
      <c r="N19" s="168"/>
      <c r="O19" s="169"/>
      <c r="P19" s="169"/>
      <c r="Q19" s="169"/>
      <c r="R19" s="169"/>
      <c r="S19" s="170"/>
      <c r="T19" s="84"/>
      <c r="U19" s="84"/>
      <c r="V19" s="174"/>
      <c r="W19" s="175"/>
      <c r="X19" s="176"/>
      <c r="Y19" s="84"/>
      <c r="Z19" s="84"/>
    </row>
    <row r="20" spans="1:26" ht="18" customHeight="1" x14ac:dyDescent="0.15">
      <c r="A20" s="7"/>
      <c r="B20" s="181"/>
      <c r="C20" s="182"/>
      <c r="D20" s="182"/>
      <c r="E20" s="182"/>
      <c r="F20" s="183"/>
      <c r="G20" s="84"/>
      <c r="H20" s="84"/>
      <c r="I20" s="174"/>
      <c r="J20" s="175"/>
      <c r="K20" s="176"/>
      <c r="L20" s="84"/>
      <c r="M20" s="84"/>
      <c r="N20" s="168"/>
      <c r="O20" s="169"/>
      <c r="P20" s="169"/>
      <c r="Q20" s="169"/>
      <c r="R20" s="169"/>
      <c r="S20" s="170"/>
      <c r="T20" s="84"/>
      <c r="U20" s="84"/>
      <c r="V20" s="174"/>
      <c r="W20" s="175"/>
      <c r="X20" s="176"/>
      <c r="Y20" s="84"/>
      <c r="Z20" s="84"/>
    </row>
    <row r="21" spans="1:26" ht="18" customHeight="1" x14ac:dyDescent="0.15">
      <c r="A21" s="14"/>
      <c r="B21" s="181"/>
      <c r="C21" s="182"/>
      <c r="D21" s="182"/>
      <c r="E21" s="182"/>
      <c r="F21" s="183"/>
      <c r="G21" s="84"/>
      <c r="H21" s="84"/>
      <c r="I21" s="174"/>
      <c r="J21" s="175"/>
      <c r="K21" s="176"/>
      <c r="L21" s="84"/>
      <c r="M21" s="84"/>
      <c r="N21" s="168"/>
      <c r="O21" s="169"/>
      <c r="P21" s="169"/>
      <c r="Q21" s="169"/>
      <c r="R21" s="169"/>
      <c r="S21" s="170"/>
      <c r="T21" s="84"/>
      <c r="U21" s="84"/>
      <c r="V21" s="174"/>
      <c r="W21" s="175"/>
      <c r="X21" s="176"/>
      <c r="Y21" s="84"/>
      <c r="Z21" s="84"/>
    </row>
    <row r="22" spans="1:26" ht="18" customHeight="1" x14ac:dyDescent="0.15">
      <c r="A22" s="14"/>
      <c r="B22" s="184"/>
      <c r="C22" s="185"/>
      <c r="D22" s="185"/>
      <c r="E22" s="185"/>
      <c r="F22" s="186"/>
      <c r="G22" s="85"/>
      <c r="H22" s="85"/>
      <c r="I22" s="177"/>
      <c r="J22" s="178"/>
      <c r="K22" s="179"/>
      <c r="L22" s="90"/>
      <c r="M22" s="90"/>
      <c r="N22" s="171"/>
      <c r="O22" s="172"/>
      <c r="P22" s="172"/>
      <c r="Q22" s="172"/>
      <c r="R22" s="172"/>
      <c r="S22" s="173"/>
      <c r="T22" s="85"/>
      <c r="U22" s="85"/>
      <c r="V22" s="177"/>
      <c r="W22" s="178"/>
      <c r="X22" s="179"/>
      <c r="Y22" s="90"/>
      <c r="Z22" s="90"/>
    </row>
    <row r="23" spans="1:26" ht="7.5" customHeight="1" x14ac:dyDescent="0.15">
      <c r="A23" s="14"/>
      <c r="B23" s="18"/>
      <c r="C23" s="18"/>
      <c r="D23" s="14"/>
      <c r="E23" s="14"/>
      <c r="F23" s="14"/>
      <c r="G23" s="14"/>
      <c r="H23" s="14"/>
      <c r="I23" s="14"/>
      <c r="J23" s="14"/>
      <c r="K23" s="14"/>
      <c r="L23" s="18"/>
      <c r="M23" s="18"/>
      <c r="N23" s="18"/>
      <c r="O23" s="18"/>
      <c r="P23" s="18"/>
      <c r="Q23" s="18"/>
      <c r="R23" s="18"/>
      <c r="S23" s="18"/>
      <c r="T23" s="18"/>
      <c r="U23" s="18"/>
      <c r="V23" s="18"/>
      <c r="W23" s="18"/>
      <c r="X23" s="18"/>
      <c r="Y23" s="18"/>
      <c r="Z23" s="14"/>
    </row>
    <row r="24" spans="1:26" ht="18" customHeight="1" x14ac:dyDescent="0.15">
      <c r="A24" s="225" t="s">
        <v>85</v>
      </c>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spans="1:26" ht="18" customHeight="1" x14ac:dyDescent="0.15">
      <c r="A25" s="225"/>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spans="1:26" ht="18" customHeight="1" x14ac:dyDescent="0.15">
      <c r="A26" s="7"/>
      <c r="B26" s="152" t="s">
        <v>76</v>
      </c>
      <c r="C26" s="180"/>
      <c r="D26" s="180"/>
      <c r="E26" s="180"/>
      <c r="F26" s="153"/>
      <c r="G26" s="15" t="s">
        <v>77</v>
      </c>
      <c r="H26" s="82" t="s">
        <v>78</v>
      </c>
      <c r="I26" s="180" t="s">
        <v>79</v>
      </c>
      <c r="J26" s="180"/>
      <c r="K26" s="180"/>
      <c r="L26" s="54" t="s">
        <v>86</v>
      </c>
      <c r="M26" s="54" t="s">
        <v>87</v>
      </c>
      <c r="N26" s="152" t="s">
        <v>76</v>
      </c>
      <c r="O26" s="180"/>
      <c r="P26" s="180"/>
      <c r="Q26" s="180"/>
      <c r="R26" s="180"/>
      <c r="S26" s="153"/>
      <c r="T26" s="15" t="s">
        <v>77</v>
      </c>
      <c r="U26" s="82" t="s">
        <v>78</v>
      </c>
      <c r="V26" s="180" t="s">
        <v>79</v>
      </c>
      <c r="W26" s="180"/>
      <c r="X26" s="180"/>
      <c r="Y26" s="54" t="s">
        <v>86</v>
      </c>
      <c r="Z26" s="54" t="s">
        <v>87</v>
      </c>
    </row>
    <row r="27" spans="1:26" ht="18" customHeight="1" x14ac:dyDescent="0.15">
      <c r="A27" s="7"/>
      <c r="B27" s="188" t="s">
        <v>82</v>
      </c>
      <c r="C27" s="189"/>
      <c r="D27" s="189"/>
      <c r="E27" s="189"/>
      <c r="F27" s="190"/>
      <c r="G27" s="83">
        <v>2</v>
      </c>
      <c r="H27" s="83" t="s">
        <v>83</v>
      </c>
      <c r="I27" s="194" t="s">
        <v>84</v>
      </c>
      <c r="J27" s="195"/>
      <c r="K27" s="196"/>
      <c r="L27" s="83" t="s">
        <v>83</v>
      </c>
      <c r="M27" s="83" t="s">
        <v>83</v>
      </c>
      <c r="N27" s="165"/>
      <c r="O27" s="166"/>
      <c r="P27" s="166"/>
      <c r="Q27" s="166"/>
      <c r="R27" s="166"/>
      <c r="S27" s="167"/>
      <c r="T27" s="83"/>
      <c r="U27" s="83"/>
      <c r="V27" s="194"/>
      <c r="W27" s="195"/>
      <c r="X27" s="196"/>
      <c r="Y27" s="83"/>
      <c r="Z27" s="83"/>
    </row>
    <row r="28" spans="1:26" ht="18" customHeight="1" x14ac:dyDescent="0.15">
      <c r="A28" s="7"/>
      <c r="B28" s="181"/>
      <c r="C28" s="182"/>
      <c r="D28" s="182"/>
      <c r="E28" s="182"/>
      <c r="F28" s="183"/>
      <c r="G28" s="84"/>
      <c r="H28" s="84"/>
      <c r="I28" s="174"/>
      <c r="J28" s="175"/>
      <c r="K28" s="176"/>
      <c r="L28" s="84"/>
      <c r="M28" s="84"/>
      <c r="N28" s="168"/>
      <c r="O28" s="169"/>
      <c r="P28" s="169"/>
      <c r="Q28" s="169"/>
      <c r="R28" s="169"/>
      <c r="S28" s="170"/>
      <c r="T28" s="84"/>
      <c r="U28" s="84"/>
      <c r="V28" s="174"/>
      <c r="W28" s="175"/>
      <c r="X28" s="176"/>
      <c r="Y28" s="84"/>
      <c r="Z28" s="84"/>
    </row>
    <row r="29" spans="1:26" ht="18" customHeight="1" x14ac:dyDescent="0.15">
      <c r="A29" s="7"/>
      <c r="B29" s="181"/>
      <c r="C29" s="182"/>
      <c r="D29" s="182"/>
      <c r="E29" s="182"/>
      <c r="F29" s="183"/>
      <c r="G29" s="84"/>
      <c r="H29" s="84"/>
      <c r="I29" s="174"/>
      <c r="J29" s="175"/>
      <c r="K29" s="176"/>
      <c r="L29" s="84"/>
      <c r="M29" s="84"/>
      <c r="N29" s="168"/>
      <c r="O29" s="169"/>
      <c r="P29" s="169"/>
      <c r="Q29" s="169"/>
      <c r="R29" s="169"/>
      <c r="S29" s="170"/>
      <c r="T29" s="84"/>
      <c r="U29" s="84"/>
      <c r="V29" s="174"/>
      <c r="W29" s="175"/>
      <c r="X29" s="176"/>
      <c r="Y29" s="84"/>
      <c r="Z29" s="84"/>
    </row>
    <row r="30" spans="1:26" ht="18" customHeight="1" x14ac:dyDescent="0.15">
      <c r="A30" s="7"/>
      <c r="B30" s="181"/>
      <c r="C30" s="182"/>
      <c r="D30" s="182"/>
      <c r="E30" s="182"/>
      <c r="F30" s="183"/>
      <c r="G30" s="84"/>
      <c r="H30" s="84"/>
      <c r="I30" s="174"/>
      <c r="J30" s="175"/>
      <c r="K30" s="176"/>
      <c r="L30" s="84"/>
      <c r="M30" s="84"/>
      <c r="N30" s="168"/>
      <c r="O30" s="169"/>
      <c r="P30" s="169"/>
      <c r="Q30" s="169"/>
      <c r="R30" s="169"/>
      <c r="S30" s="170"/>
      <c r="T30" s="84"/>
      <c r="U30" s="84"/>
      <c r="V30" s="174"/>
      <c r="W30" s="175"/>
      <c r="X30" s="176"/>
      <c r="Y30" s="84"/>
      <c r="Z30" s="84"/>
    </row>
    <row r="31" spans="1:26" ht="18" customHeight="1" x14ac:dyDescent="0.15">
      <c r="A31" s="7"/>
      <c r="B31" s="181"/>
      <c r="C31" s="182"/>
      <c r="D31" s="182"/>
      <c r="E31" s="182"/>
      <c r="F31" s="183"/>
      <c r="G31" s="84"/>
      <c r="H31" s="84"/>
      <c r="I31" s="174"/>
      <c r="J31" s="175"/>
      <c r="K31" s="176"/>
      <c r="L31" s="84"/>
      <c r="M31" s="84"/>
      <c r="N31" s="168"/>
      <c r="O31" s="169"/>
      <c r="P31" s="169"/>
      <c r="Q31" s="169"/>
      <c r="R31" s="169"/>
      <c r="S31" s="170"/>
      <c r="T31" s="84"/>
      <c r="U31" s="84"/>
      <c r="V31" s="174"/>
      <c r="W31" s="175"/>
      <c r="X31" s="176"/>
      <c r="Y31" s="84"/>
      <c r="Z31" s="84"/>
    </row>
    <row r="32" spans="1:26" ht="18" customHeight="1" x14ac:dyDescent="0.15">
      <c r="A32" s="7"/>
      <c r="B32" s="181"/>
      <c r="C32" s="182"/>
      <c r="D32" s="182"/>
      <c r="E32" s="182"/>
      <c r="F32" s="183"/>
      <c r="G32" s="84"/>
      <c r="H32" s="84"/>
      <c r="I32" s="174"/>
      <c r="J32" s="175"/>
      <c r="K32" s="176"/>
      <c r="L32" s="84"/>
      <c r="M32" s="84"/>
      <c r="N32" s="168"/>
      <c r="O32" s="169"/>
      <c r="P32" s="169"/>
      <c r="Q32" s="169"/>
      <c r="R32" s="169"/>
      <c r="S32" s="170"/>
      <c r="T32" s="84"/>
      <c r="U32" s="84"/>
      <c r="V32" s="174"/>
      <c r="W32" s="175"/>
      <c r="X32" s="176"/>
      <c r="Y32" s="84"/>
      <c r="Z32" s="84"/>
    </row>
    <row r="33" spans="1:26" ht="18" customHeight="1" x14ac:dyDescent="0.15">
      <c r="A33" s="7"/>
      <c r="B33" s="184"/>
      <c r="C33" s="185"/>
      <c r="D33" s="185"/>
      <c r="E33" s="185"/>
      <c r="F33" s="186"/>
      <c r="G33" s="85"/>
      <c r="H33" s="85"/>
      <c r="I33" s="177"/>
      <c r="J33" s="178"/>
      <c r="K33" s="179"/>
      <c r="L33" s="90"/>
      <c r="M33" s="90"/>
      <c r="N33" s="171"/>
      <c r="O33" s="172"/>
      <c r="P33" s="172"/>
      <c r="Q33" s="172"/>
      <c r="R33" s="172"/>
      <c r="S33" s="173"/>
      <c r="T33" s="85"/>
      <c r="U33" s="85"/>
      <c r="V33" s="177"/>
      <c r="W33" s="178"/>
      <c r="X33" s="179"/>
      <c r="Y33" s="90"/>
      <c r="Z33" s="90"/>
    </row>
    <row r="34" spans="1:26" ht="7.5" customHeight="1" x14ac:dyDescent="0.15">
      <c r="A34" s="14"/>
      <c r="B34" s="18"/>
      <c r="C34" s="18"/>
      <c r="D34" s="14"/>
      <c r="E34" s="14"/>
      <c r="F34" s="14"/>
      <c r="G34" s="14"/>
      <c r="H34" s="14"/>
      <c r="I34" s="14"/>
      <c r="J34" s="14"/>
      <c r="K34" s="14"/>
      <c r="L34" s="18"/>
      <c r="M34" s="18"/>
      <c r="N34" s="18"/>
      <c r="O34" s="18"/>
      <c r="P34" s="18"/>
      <c r="Q34" s="18"/>
      <c r="R34" s="18"/>
      <c r="S34" s="18"/>
      <c r="T34" s="18"/>
      <c r="U34" s="18"/>
      <c r="V34" s="18"/>
      <c r="W34" s="18"/>
      <c r="X34" s="18"/>
      <c r="Y34" s="18"/>
      <c r="Z34" s="14"/>
    </row>
    <row r="35" spans="1:26" ht="18" customHeight="1" x14ac:dyDescent="0.15">
      <c r="A35" s="225" t="s">
        <v>88</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ht="18" customHeight="1" x14ac:dyDescent="0.15">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ht="18" customHeight="1" x14ac:dyDescent="0.15">
      <c r="A37" s="7"/>
      <c r="B37" s="152" t="s">
        <v>76</v>
      </c>
      <c r="C37" s="180"/>
      <c r="D37" s="180"/>
      <c r="E37" s="180"/>
      <c r="F37" s="153"/>
      <c r="G37" s="15" t="s">
        <v>77</v>
      </c>
      <c r="H37" s="82" t="s">
        <v>78</v>
      </c>
      <c r="I37" s="152" t="s">
        <v>79</v>
      </c>
      <c r="J37" s="180"/>
      <c r="K37" s="153"/>
      <c r="L37" s="54" t="s">
        <v>89</v>
      </c>
      <c r="M37" s="54" t="s">
        <v>90</v>
      </c>
      <c r="N37" s="152" t="s">
        <v>76</v>
      </c>
      <c r="O37" s="180"/>
      <c r="P37" s="180"/>
      <c r="Q37" s="180"/>
      <c r="R37" s="180"/>
      <c r="S37" s="153"/>
      <c r="T37" s="15" t="s">
        <v>77</v>
      </c>
      <c r="U37" s="82" t="s">
        <v>78</v>
      </c>
      <c r="V37" s="152" t="s">
        <v>79</v>
      </c>
      <c r="W37" s="180"/>
      <c r="X37" s="153"/>
      <c r="Y37" s="54" t="s">
        <v>89</v>
      </c>
      <c r="Z37" s="54" t="s">
        <v>90</v>
      </c>
    </row>
    <row r="38" spans="1:26" ht="18" customHeight="1" x14ac:dyDescent="0.15">
      <c r="A38" s="14"/>
      <c r="B38" s="188" t="s">
        <v>82</v>
      </c>
      <c r="C38" s="189"/>
      <c r="D38" s="189"/>
      <c r="E38" s="189"/>
      <c r="F38" s="190"/>
      <c r="G38" s="83">
        <v>2</v>
      </c>
      <c r="H38" s="83" t="s">
        <v>83</v>
      </c>
      <c r="I38" s="194" t="s">
        <v>84</v>
      </c>
      <c r="J38" s="195"/>
      <c r="K38" s="196"/>
      <c r="L38" s="83" t="s">
        <v>83</v>
      </c>
      <c r="M38" s="83" t="s">
        <v>83</v>
      </c>
      <c r="N38" s="165"/>
      <c r="O38" s="166"/>
      <c r="P38" s="166"/>
      <c r="Q38" s="166"/>
      <c r="R38" s="166"/>
      <c r="S38" s="167"/>
      <c r="T38" s="83"/>
      <c r="U38" s="83"/>
      <c r="V38" s="194"/>
      <c r="W38" s="195"/>
      <c r="X38" s="196"/>
      <c r="Y38" s="83"/>
      <c r="Z38" s="83"/>
    </row>
    <row r="39" spans="1:26" ht="18" customHeight="1" x14ac:dyDescent="0.15">
      <c r="A39" s="14"/>
      <c r="B39" s="181"/>
      <c r="C39" s="182"/>
      <c r="D39" s="182"/>
      <c r="E39" s="182"/>
      <c r="F39" s="183"/>
      <c r="G39" s="84"/>
      <c r="H39" s="84"/>
      <c r="I39" s="174"/>
      <c r="J39" s="175"/>
      <c r="K39" s="176"/>
      <c r="L39" s="84"/>
      <c r="M39" s="84"/>
      <c r="N39" s="168"/>
      <c r="O39" s="169"/>
      <c r="P39" s="169"/>
      <c r="Q39" s="169"/>
      <c r="R39" s="169"/>
      <c r="S39" s="170"/>
      <c r="T39" s="84"/>
      <c r="U39" s="84"/>
      <c r="V39" s="174"/>
      <c r="W39" s="175"/>
      <c r="X39" s="176"/>
      <c r="Y39" s="84"/>
      <c r="Z39" s="84"/>
    </row>
    <row r="40" spans="1:26" ht="18" customHeight="1" x14ac:dyDescent="0.15">
      <c r="A40" s="14"/>
      <c r="B40" s="181"/>
      <c r="C40" s="182"/>
      <c r="D40" s="182"/>
      <c r="E40" s="182"/>
      <c r="F40" s="183"/>
      <c r="G40" s="84"/>
      <c r="H40" s="84"/>
      <c r="I40" s="174"/>
      <c r="J40" s="175"/>
      <c r="K40" s="176"/>
      <c r="L40" s="84"/>
      <c r="M40" s="84"/>
      <c r="N40" s="168"/>
      <c r="O40" s="169"/>
      <c r="P40" s="169"/>
      <c r="Q40" s="169"/>
      <c r="R40" s="169"/>
      <c r="S40" s="170"/>
      <c r="T40" s="84"/>
      <c r="U40" s="84"/>
      <c r="V40" s="174"/>
      <c r="W40" s="175"/>
      <c r="X40" s="176"/>
      <c r="Y40" s="84"/>
      <c r="Z40" s="84"/>
    </row>
    <row r="41" spans="1:26" ht="18" customHeight="1" x14ac:dyDescent="0.15">
      <c r="A41" s="14"/>
      <c r="B41" s="181"/>
      <c r="C41" s="182"/>
      <c r="D41" s="182"/>
      <c r="E41" s="182"/>
      <c r="F41" s="183"/>
      <c r="G41" s="84"/>
      <c r="H41" s="84"/>
      <c r="I41" s="174"/>
      <c r="J41" s="175"/>
      <c r="K41" s="176"/>
      <c r="L41" s="84"/>
      <c r="M41" s="84"/>
      <c r="N41" s="168"/>
      <c r="O41" s="169"/>
      <c r="P41" s="169"/>
      <c r="Q41" s="169"/>
      <c r="R41" s="169"/>
      <c r="S41" s="170"/>
      <c r="T41" s="84"/>
      <c r="U41" s="84"/>
      <c r="V41" s="174"/>
      <c r="W41" s="175"/>
      <c r="X41" s="176"/>
      <c r="Y41" s="84"/>
      <c r="Z41" s="84"/>
    </row>
    <row r="42" spans="1:26" ht="18" customHeight="1" x14ac:dyDescent="0.15">
      <c r="A42" s="14"/>
      <c r="B42" s="181"/>
      <c r="C42" s="182"/>
      <c r="D42" s="182"/>
      <c r="E42" s="182"/>
      <c r="F42" s="183"/>
      <c r="G42" s="84"/>
      <c r="H42" s="84"/>
      <c r="I42" s="174"/>
      <c r="J42" s="175"/>
      <c r="K42" s="176"/>
      <c r="L42" s="84"/>
      <c r="M42" s="84"/>
      <c r="N42" s="168"/>
      <c r="O42" s="169"/>
      <c r="P42" s="169"/>
      <c r="Q42" s="169"/>
      <c r="R42" s="169"/>
      <c r="S42" s="170"/>
      <c r="T42" s="84"/>
      <c r="U42" s="84"/>
      <c r="V42" s="174"/>
      <c r="W42" s="175"/>
      <c r="X42" s="176"/>
      <c r="Y42" s="84"/>
      <c r="Z42" s="84"/>
    </row>
    <row r="43" spans="1:26" ht="18" customHeight="1" x14ac:dyDescent="0.15">
      <c r="A43" s="14"/>
      <c r="B43" s="181"/>
      <c r="C43" s="182"/>
      <c r="D43" s="182"/>
      <c r="E43" s="182"/>
      <c r="F43" s="183"/>
      <c r="G43" s="84"/>
      <c r="H43" s="84"/>
      <c r="I43" s="174"/>
      <c r="J43" s="175"/>
      <c r="K43" s="176"/>
      <c r="L43" s="84"/>
      <c r="M43" s="84"/>
      <c r="N43" s="168"/>
      <c r="O43" s="169"/>
      <c r="P43" s="169"/>
      <c r="Q43" s="169"/>
      <c r="R43" s="169"/>
      <c r="S43" s="170"/>
      <c r="T43" s="84"/>
      <c r="U43" s="84"/>
      <c r="V43" s="174"/>
      <c r="W43" s="175"/>
      <c r="X43" s="176"/>
      <c r="Y43" s="84"/>
      <c r="Z43" s="84"/>
    </row>
    <row r="44" spans="1:26" ht="18" customHeight="1" x14ac:dyDescent="0.15">
      <c r="A44" s="14"/>
      <c r="B44" s="184"/>
      <c r="C44" s="185"/>
      <c r="D44" s="185"/>
      <c r="E44" s="185"/>
      <c r="F44" s="186"/>
      <c r="G44" s="85"/>
      <c r="H44" s="85"/>
      <c r="I44" s="177"/>
      <c r="J44" s="178"/>
      <c r="K44" s="179"/>
      <c r="L44" s="90"/>
      <c r="M44" s="90"/>
      <c r="N44" s="171"/>
      <c r="O44" s="172"/>
      <c r="P44" s="172"/>
      <c r="Q44" s="172"/>
      <c r="R44" s="172"/>
      <c r="S44" s="173"/>
      <c r="T44" s="85"/>
      <c r="U44" s="85"/>
      <c r="V44" s="177"/>
      <c r="W44" s="178"/>
      <c r="X44" s="179"/>
      <c r="Y44" s="90"/>
      <c r="Z44" s="90"/>
    </row>
    <row r="45" spans="1:26" ht="7.5" customHeight="1" x14ac:dyDescent="0.15">
      <c r="B45" s="55"/>
      <c r="C45" s="55"/>
      <c r="D45" s="55"/>
      <c r="E45" s="55"/>
      <c r="F45" s="55"/>
      <c r="G45" s="55"/>
      <c r="H45" s="55"/>
      <c r="I45" s="55"/>
      <c r="J45" s="55"/>
      <c r="K45" s="55"/>
      <c r="L45" s="55"/>
      <c r="M45" s="55"/>
      <c r="N45" s="55"/>
      <c r="O45" s="55"/>
      <c r="P45" s="55"/>
      <c r="Q45" s="55"/>
      <c r="R45" s="55"/>
      <c r="S45" s="55"/>
      <c r="T45" s="55"/>
      <c r="U45" s="55"/>
      <c r="V45" s="55"/>
      <c r="W45" s="55"/>
      <c r="X45" s="55"/>
      <c r="Y45" s="55"/>
    </row>
    <row r="46" spans="1:26" ht="18" customHeight="1" x14ac:dyDescent="0.15">
      <c r="A46" s="225" t="s">
        <v>91</v>
      </c>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spans="1:26" ht="18" customHeight="1" x14ac:dyDescent="0.15">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spans="1:26" ht="18" customHeight="1" x14ac:dyDescent="0.15">
      <c r="A48" s="7"/>
      <c r="B48" s="152" t="s">
        <v>76</v>
      </c>
      <c r="C48" s="180"/>
      <c r="D48" s="180"/>
      <c r="E48" s="180"/>
      <c r="F48" s="153"/>
      <c r="G48" s="15" t="s">
        <v>77</v>
      </c>
      <c r="H48" s="82" t="s">
        <v>78</v>
      </c>
      <c r="I48" s="152" t="s">
        <v>79</v>
      </c>
      <c r="J48" s="180"/>
      <c r="K48" s="153"/>
      <c r="L48" s="54" t="s">
        <v>92</v>
      </c>
      <c r="M48" s="54" t="s">
        <v>93</v>
      </c>
      <c r="N48" s="152" t="s">
        <v>76</v>
      </c>
      <c r="O48" s="180"/>
      <c r="P48" s="180"/>
      <c r="Q48" s="180"/>
      <c r="R48" s="180"/>
      <c r="S48" s="153"/>
      <c r="T48" s="15" t="s">
        <v>77</v>
      </c>
      <c r="U48" s="82" t="s">
        <v>78</v>
      </c>
      <c r="V48" s="152" t="s">
        <v>79</v>
      </c>
      <c r="W48" s="180"/>
      <c r="X48" s="153"/>
      <c r="Y48" s="54" t="s">
        <v>92</v>
      </c>
      <c r="Z48" s="54" t="s">
        <v>93</v>
      </c>
    </row>
    <row r="49" spans="1:26" ht="18" customHeight="1" x14ac:dyDescent="0.15">
      <c r="A49" s="14"/>
      <c r="B49" s="188" t="s">
        <v>82</v>
      </c>
      <c r="C49" s="189"/>
      <c r="D49" s="189"/>
      <c r="E49" s="189"/>
      <c r="F49" s="190"/>
      <c r="G49" s="83">
        <v>2</v>
      </c>
      <c r="H49" s="83" t="s">
        <v>83</v>
      </c>
      <c r="I49" s="194" t="s">
        <v>84</v>
      </c>
      <c r="J49" s="195"/>
      <c r="K49" s="196"/>
      <c r="L49" s="83" t="s">
        <v>83</v>
      </c>
      <c r="M49" s="83" t="s">
        <v>83</v>
      </c>
      <c r="N49" s="165"/>
      <c r="O49" s="166"/>
      <c r="P49" s="166"/>
      <c r="Q49" s="166"/>
      <c r="R49" s="166"/>
      <c r="S49" s="167"/>
      <c r="T49" s="83"/>
      <c r="U49" s="83"/>
      <c r="V49" s="194"/>
      <c r="W49" s="195"/>
      <c r="X49" s="196"/>
      <c r="Y49" s="83"/>
      <c r="Z49" s="83"/>
    </row>
    <row r="50" spans="1:26" ht="18" customHeight="1" x14ac:dyDescent="0.15">
      <c r="A50" s="14"/>
      <c r="B50" s="181" t="s">
        <v>94</v>
      </c>
      <c r="C50" s="182"/>
      <c r="D50" s="182"/>
      <c r="E50" s="182"/>
      <c r="F50" s="183"/>
      <c r="G50" s="84">
        <v>2</v>
      </c>
      <c r="H50" s="84" t="s">
        <v>83</v>
      </c>
      <c r="I50" s="174" t="s">
        <v>84</v>
      </c>
      <c r="J50" s="175"/>
      <c r="K50" s="176"/>
      <c r="L50" s="84" t="s">
        <v>83</v>
      </c>
      <c r="M50" s="84" t="s">
        <v>83</v>
      </c>
      <c r="N50" s="168"/>
      <c r="O50" s="169"/>
      <c r="P50" s="169"/>
      <c r="Q50" s="169"/>
      <c r="R50" s="169"/>
      <c r="S50" s="170"/>
      <c r="T50" s="84"/>
      <c r="U50" s="84"/>
      <c r="V50" s="174"/>
      <c r="W50" s="175"/>
      <c r="X50" s="176"/>
      <c r="Y50" s="84"/>
      <c r="Z50" s="84"/>
    </row>
    <row r="51" spans="1:26" ht="18" customHeight="1" x14ac:dyDescent="0.15">
      <c r="A51" s="14"/>
      <c r="B51" s="181"/>
      <c r="C51" s="182"/>
      <c r="D51" s="182"/>
      <c r="E51" s="182"/>
      <c r="F51" s="183"/>
      <c r="G51" s="84"/>
      <c r="H51" s="84"/>
      <c r="I51" s="174"/>
      <c r="J51" s="175"/>
      <c r="K51" s="176"/>
      <c r="L51" s="84"/>
      <c r="M51" s="84"/>
      <c r="N51" s="168"/>
      <c r="O51" s="169"/>
      <c r="P51" s="169"/>
      <c r="Q51" s="169"/>
      <c r="R51" s="169"/>
      <c r="S51" s="170"/>
      <c r="T51" s="84"/>
      <c r="U51" s="84"/>
      <c r="V51" s="174"/>
      <c r="W51" s="175"/>
      <c r="X51" s="176"/>
      <c r="Y51" s="84"/>
      <c r="Z51" s="84"/>
    </row>
    <row r="52" spans="1:26" ht="18" customHeight="1" x14ac:dyDescent="0.15">
      <c r="A52" s="14"/>
      <c r="B52" s="181"/>
      <c r="C52" s="182"/>
      <c r="D52" s="182"/>
      <c r="E52" s="182"/>
      <c r="F52" s="183"/>
      <c r="G52" s="84"/>
      <c r="H52" s="84"/>
      <c r="I52" s="174"/>
      <c r="J52" s="175"/>
      <c r="K52" s="176"/>
      <c r="L52" s="84"/>
      <c r="M52" s="84"/>
      <c r="N52" s="168"/>
      <c r="O52" s="169"/>
      <c r="P52" s="169"/>
      <c r="Q52" s="169"/>
      <c r="R52" s="169"/>
      <c r="S52" s="170"/>
      <c r="T52" s="84"/>
      <c r="U52" s="84"/>
      <c r="V52" s="174"/>
      <c r="W52" s="175"/>
      <c r="X52" s="176"/>
      <c r="Y52" s="84"/>
      <c r="Z52" s="84"/>
    </row>
    <row r="53" spans="1:26" ht="18" customHeight="1" x14ac:dyDescent="0.15">
      <c r="A53" s="14"/>
      <c r="B53" s="181"/>
      <c r="C53" s="182"/>
      <c r="D53" s="182"/>
      <c r="E53" s="182"/>
      <c r="F53" s="183"/>
      <c r="G53" s="84"/>
      <c r="H53" s="84"/>
      <c r="I53" s="174"/>
      <c r="J53" s="175"/>
      <c r="K53" s="176"/>
      <c r="L53" s="84"/>
      <c r="M53" s="84"/>
      <c r="N53" s="168"/>
      <c r="O53" s="169"/>
      <c r="P53" s="169"/>
      <c r="Q53" s="169"/>
      <c r="R53" s="169"/>
      <c r="S53" s="170"/>
      <c r="T53" s="84"/>
      <c r="U53" s="84"/>
      <c r="V53" s="174"/>
      <c r="W53" s="175"/>
      <c r="X53" s="176"/>
      <c r="Y53" s="84"/>
      <c r="Z53" s="84"/>
    </row>
    <row r="54" spans="1:26" ht="18" customHeight="1" x14ac:dyDescent="0.15">
      <c r="A54" s="14"/>
      <c r="B54" s="181"/>
      <c r="C54" s="182"/>
      <c r="D54" s="182"/>
      <c r="E54" s="182"/>
      <c r="F54" s="183"/>
      <c r="G54" s="84"/>
      <c r="H54" s="84"/>
      <c r="I54" s="174"/>
      <c r="J54" s="175"/>
      <c r="K54" s="176"/>
      <c r="L54" s="84"/>
      <c r="M54" s="84"/>
      <c r="N54" s="168"/>
      <c r="O54" s="169"/>
      <c r="P54" s="169"/>
      <c r="Q54" s="169"/>
      <c r="R54" s="169"/>
      <c r="S54" s="170"/>
      <c r="T54" s="84"/>
      <c r="U54" s="84"/>
      <c r="V54" s="174"/>
      <c r="W54" s="175"/>
      <c r="X54" s="176"/>
      <c r="Y54" s="84"/>
      <c r="Z54" s="84"/>
    </row>
    <row r="55" spans="1:26" ht="18" customHeight="1" x14ac:dyDescent="0.15">
      <c r="A55" s="14"/>
      <c r="B55" s="184"/>
      <c r="C55" s="185"/>
      <c r="D55" s="185"/>
      <c r="E55" s="185"/>
      <c r="F55" s="186"/>
      <c r="G55" s="85"/>
      <c r="H55" s="85"/>
      <c r="I55" s="177"/>
      <c r="J55" s="178"/>
      <c r="K55" s="179"/>
      <c r="L55" s="90"/>
      <c r="M55" s="90"/>
      <c r="N55" s="171"/>
      <c r="O55" s="172"/>
      <c r="P55" s="172"/>
      <c r="Q55" s="172"/>
      <c r="R55" s="172"/>
      <c r="S55" s="173"/>
      <c r="T55" s="85"/>
      <c r="U55" s="85"/>
      <c r="V55" s="177"/>
      <c r="W55" s="178"/>
      <c r="X55" s="179"/>
      <c r="Y55" s="90"/>
      <c r="Z55" s="90"/>
    </row>
    <row r="56" spans="1:26" ht="7.5" customHeight="1" x14ac:dyDescent="0.15">
      <c r="B56" s="55"/>
      <c r="C56" s="55"/>
      <c r="D56" s="55"/>
      <c r="E56" s="55"/>
      <c r="F56" s="55"/>
      <c r="G56" s="55"/>
      <c r="H56" s="55"/>
      <c r="I56" s="55"/>
      <c r="J56" s="55"/>
      <c r="K56" s="55"/>
      <c r="L56" s="55"/>
      <c r="M56" s="55"/>
      <c r="N56" s="55"/>
      <c r="O56" s="55"/>
      <c r="P56" s="55"/>
      <c r="Q56" s="55"/>
      <c r="R56" s="55"/>
      <c r="S56" s="55"/>
      <c r="T56" s="55"/>
      <c r="U56" s="55"/>
      <c r="V56" s="55"/>
      <c r="W56" s="55"/>
      <c r="X56" s="55"/>
      <c r="Y56" s="55"/>
    </row>
    <row r="57" spans="1:26" ht="18" customHeight="1" x14ac:dyDescent="0.15">
      <c r="A57" s="225" t="s">
        <v>95</v>
      </c>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spans="1:26" ht="18" customHeight="1" x14ac:dyDescent="0.15">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spans="1:26" ht="18" customHeight="1" x14ac:dyDescent="0.15">
      <c r="A59" s="7"/>
      <c r="B59" s="152" t="s">
        <v>76</v>
      </c>
      <c r="C59" s="180"/>
      <c r="D59" s="180"/>
      <c r="E59" s="153"/>
      <c r="F59" s="15" t="s">
        <v>77</v>
      </c>
      <c r="G59" s="82" t="s">
        <v>78</v>
      </c>
      <c r="H59" s="152" t="s">
        <v>79</v>
      </c>
      <c r="I59" s="180"/>
      <c r="J59" s="153"/>
      <c r="K59" s="54" t="s">
        <v>96</v>
      </c>
      <c r="L59" s="54" t="s">
        <v>97</v>
      </c>
      <c r="M59" s="54" t="s">
        <v>98</v>
      </c>
      <c r="N59" s="152" t="s">
        <v>76</v>
      </c>
      <c r="O59" s="180"/>
      <c r="P59" s="180"/>
      <c r="Q59" s="180"/>
      <c r="R59" s="153"/>
      <c r="S59" s="15" t="s">
        <v>77</v>
      </c>
      <c r="T59" s="82" t="s">
        <v>78</v>
      </c>
      <c r="U59" s="77" t="s">
        <v>79</v>
      </c>
      <c r="V59" s="78"/>
      <c r="W59" s="79"/>
      <c r="X59" s="54" t="s">
        <v>96</v>
      </c>
      <c r="Y59" s="54" t="s">
        <v>97</v>
      </c>
      <c r="Z59" s="54" t="s">
        <v>98</v>
      </c>
    </row>
    <row r="60" spans="1:26" ht="18" customHeight="1" x14ac:dyDescent="0.15">
      <c r="A60" s="14"/>
      <c r="B60" s="165" t="s">
        <v>82</v>
      </c>
      <c r="C60" s="166"/>
      <c r="D60" s="166"/>
      <c r="E60" s="167"/>
      <c r="F60" s="83">
        <v>2</v>
      </c>
      <c r="G60" s="83" t="s">
        <v>83</v>
      </c>
      <c r="H60" s="194" t="s">
        <v>84</v>
      </c>
      <c r="I60" s="195"/>
      <c r="J60" s="196"/>
      <c r="K60" s="125" t="s">
        <v>83</v>
      </c>
      <c r="L60" s="83" t="s">
        <v>83</v>
      </c>
      <c r="M60" s="83" t="s">
        <v>83</v>
      </c>
      <c r="N60" s="165"/>
      <c r="O60" s="166"/>
      <c r="P60" s="166"/>
      <c r="Q60" s="166"/>
      <c r="R60" s="167"/>
      <c r="S60" s="83"/>
      <c r="T60" s="83"/>
      <c r="U60" s="194"/>
      <c r="V60" s="195"/>
      <c r="W60" s="196"/>
      <c r="X60" s="89"/>
      <c r="Y60" s="83"/>
      <c r="Z60" s="83"/>
    </row>
    <row r="61" spans="1:26" ht="18" customHeight="1" x14ac:dyDescent="0.15">
      <c r="A61" s="14"/>
      <c r="B61" s="168" t="s">
        <v>99</v>
      </c>
      <c r="C61" s="169"/>
      <c r="D61" s="169"/>
      <c r="E61" s="170"/>
      <c r="F61" s="84">
        <v>4</v>
      </c>
      <c r="G61" s="84" t="s">
        <v>83</v>
      </c>
      <c r="H61" s="174" t="s">
        <v>84</v>
      </c>
      <c r="I61" s="175"/>
      <c r="J61" s="176"/>
      <c r="K61" s="84" t="s">
        <v>83</v>
      </c>
      <c r="L61" s="84" t="s">
        <v>83</v>
      </c>
      <c r="M61" s="84" t="s">
        <v>83</v>
      </c>
      <c r="N61" s="168"/>
      <c r="O61" s="169"/>
      <c r="P61" s="169"/>
      <c r="Q61" s="169"/>
      <c r="R61" s="170"/>
      <c r="S61" s="84"/>
      <c r="T61" s="84"/>
      <c r="U61" s="174"/>
      <c r="V61" s="175"/>
      <c r="W61" s="176"/>
      <c r="X61" s="87"/>
      <c r="Y61" s="84"/>
      <c r="Z61" s="84"/>
    </row>
    <row r="62" spans="1:26" ht="18" customHeight="1" x14ac:dyDescent="0.15">
      <c r="A62" s="14"/>
      <c r="B62" s="168"/>
      <c r="C62" s="169"/>
      <c r="D62" s="169"/>
      <c r="E62" s="170"/>
      <c r="F62" s="84"/>
      <c r="G62" s="84"/>
      <c r="H62" s="174"/>
      <c r="I62" s="175"/>
      <c r="J62" s="176"/>
      <c r="K62" s="87"/>
      <c r="L62" s="84"/>
      <c r="M62" s="84"/>
      <c r="N62" s="168"/>
      <c r="O62" s="169"/>
      <c r="P62" s="169"/>
      <c r="Q62" s="169"/>
      <c r="R62" s="170"/>
      <c r="S62" s="84"/>
      <c r="T62" s="84"/>
      <c r="U62" s="174"/>
      <c r="V62" s="175"/>
      <c r="W62" s="176"/>
      <c r="X62" s="87"/>
      <c r="Y62" s="84"/>
      <c r="Z62" s="84"/>
    </row>
    <row r="63" spans="1:26" ht="18" customHeight="1" x14ac:dyDescent="0.15">
      <c r="A63" s="14"/>
      <c r="B63" s="168"/>
      <c r="C63" s="169"/>
      <c r="D63" s="169"/>
      <c r="E63" s="170"/>
      <c r="F63" s="84"/>
      <c r="G63" s="84"/>
      <c r="H63" s="174"/>
      <c r="I63" s="175"/>
      <c r="J63" s="176"/>
      <c r="K63" s="87"/>
      <c r="L63" s="84"/>
      <c r="M63" s="84"/>
      <c r="N63" s="168"/>
      <c r="O63" s="169"/>
      <c r="P63" s="169"/>
      <c r="Q63" s="169"/>
      <c r="R63" s="170"/>
      <c r="S63" s="84"/>
      <c r="T63" s="84"/>
      <c r="U63" s="174"/>
      <c r="V63" s="175"/>
      <c r="W63" s="176"/>
      <c r="X63" s="87"/>
      <c r="Y63" s="84"/>
      <c r="Z63" s="84"/>
    </row>
    <row r="64" spans="1:26" ht="18" customHeight="1" x14ac:dyDescent="0.15">
      <c r="A64" s="14"/>
      <c r="B64" s="168"/>
      <c r="C64" s="169"/>
      <c r="D64" s="169"/>
      <c r="E64" s="170"/>
      <c r="F64" s="84"/>
      <c r="G64" s="84"/>
      <c r="H64" s="174"/>
      <c r="I64" s="175"/>
      <c r="J64" s="176"/>
      <c r="K64" s="87"/>
      <c r="L64" s="84"/>
      <c r="M64" s="84"/>
      <c r="N64" s="168"/>
      <c r="O64" s="169"/>
      <c r="P64" s="169"/>
      <c r="Q64" s="169"/>
      <c r="R64" s="170"/>
      <c r="S64" s="84"/>
      <c r="T64" s="84"/>
      <c r="U64" s="174"/>
      <c r="V64" s="175"/>
      <c r="W64" s="176"/>
      <c r="X64" s="87"/>
      <c r="Y64" s="84"/>
      <c r="Z64" s="84"/>
    </row>
    <row r="65" spans="1:26" ht="18" customHeight="1" x14ac:dyDescent="0.15">
      <c r="A65" s="14"/>
      <c r="B65" s="168"/>
      <c r="C65" s="169"/>
      <c r="D65" s="169"/>
      <c r="E65" s="170"/>
      <c r="F65" s="84"/>
      <c r="G65" s="84"/>
      <c r="H65" s="174"/>
      <c r="I65" s="175"/>
      <c r="J65" s="176"/>
      <c r="K65" s="87"/>
      <c r="L65" s="84"/>
      <c r="M65" s="84"/>
      <c r="N65" s="168"/>
      <c r="O65" s="169"/>
      <c r="P65" s="169"/>
      <c r="Q65" s="169"/>
      <c r="R65" s="170"/>
      <c r="S65" s="84"/>
      <c r="T65" s="84"/>
      <c r="U65" s="174"/>
      <c r="V65" s="175"/>
      <c r="W65" s="176"/>
      <c r="X65" s="87"/>
      <c r="Y65" s="84"/>
      <c r="Z65" s="84"/>
    </row>
    <row r="66" spans="1:26" ht="18" customHeight="1" x14ac:dyDescent="0.15">
      <c r="A66" s="14"/>
      <c r="B66" s="171"/>
      <c r="C66" s="172"/>
      <c r="D66" s="172"/>
      <c r="E66" s="173"/>
      <c r="F66" s="85"/>
      <c r="G66" s="85"/>
      <c r="H66" s="177"/>
      <c r="I66" s="178"/>
      <c r="J66" s="179"/>
      <c r="K66" s="88"/>
      <c r="L66" s="90"/>
      <c r="M66" s="90"/>
      <c r="N66" s="171"/>
      <c r="O66" s="172"/>
      <c r="P66" s="172"/>
      <c r="Q66" s="172"/>
      <c r="R66" s="173"/>
      <c r="S66" s="85"/>
      <c r="T66" s="85"/>
      <c r="U66" s="177"/>
      <c r="V66" s="178"/>
      <c r="W66" s="179"/>
      <c r="X66" s="88"/>
      <c r="Y66" s="90"/>
      <c r="Z66" s="90"/>
    </row>
    <row r="67" spans="1:26" ht="7.5" customHeight="1" x14ac:dyDescent="0.15">
      <c r="B67" s="55"/>
      <c r="C67" s="55"/>
      <c r="D67" s="55"/>
      <c r="E67" s="55"/>
      <c r="F67" s="55"/>
      <c r="G67" s="55"/>
      <c r="H67" s="55"/>
      <c r="I67" s="55"/>
      <c r="J67" s="55"/>
      <c r="K67" s="55"/>
      <c r="L67" s="55"/>
      <c r="M67" s="55"/>
      <c r="N67" s="55"/>
      <c r="O67" s="55"/>
      <c r="P67" s="55"/>
      <c r="Q67" s="55"/>
      <c r="R67" s="55"/>
      <c r="S67" s="55"/>
      <c r="T67" s="55"/>
      <c r="U67" s="55"/>
      <c r="V67" s="55"/>
      <c r="W67" s="55"/>
      <c r="X67" s="55"/>
      <c r="Y67" s="55"/>
    </row>
    <row r="68" spans="1:26" ht="18" customHeight="1" x14ac:dyDescent="0.15">
      <c r="A68" s="7" t="s">
        <v>100</v>
      </c>
      <c r="B68" s="7"/>
      <c r="C68" s="7"/>
      <c r="D68" s="7"/>
      <c r="E68" s="7"/>
      <c r="F68" s="7"/>
      <c r="G68" s="7"/>
      <c r="H68" s="7"/>
      <c r="I68" s="7"/>
      <c r="J68" s="7"/>
      <c r="K68" s="7"/>
      <c r="L68" s="14"/>
      <c r="M68" s="14"/>
      <c r="N68" s="14"/>
      <c r="O68" s="14"/>
      <c r="P68" s="14"/>
      <c r="Q68" s="14"/>
      <c r="R68" s="14"/>
      <c r="S68" s="14"/>
      <c r="T68" s="14"/>
      <c r="U68" s="14"/>
      <c r="V68" s="14"/>
      <c r="W68" s="14"/>
      <c r="X68" s="14"/>
      <c r="Y68" s="14"/>
      <c r="Z68" s="14"/>
    </row>
    <row r="69" spans="1:26" ht="18" customHeight="1" x14ac:dyDescent="0.15">
      <c r="A69" s="7"/>
      <c r="B69" s="152" t="s">
        <v>76</v>
      </c>
      <c r="C69" s="180"/>
      <c r="D69" s="180"/>
      <c r="E69" s="180"/>
      <c r="F69" s="153"/>
      <c r="G69" s="152" t="s">
        <v>101</v>
      </c>
      <c r="H69" s="180"/>
      <c r="I69" s="180"/>
      <c r="J69" s="180"/>
      <c r="K69" s="180"/>
      <c r="L69" s="180"/>
      <c r="M69" s="153"/>
      <c r="N69" s="191" t="s">
        <v>76</v>
      </c>
      <c r="O69" s="192"/>
      <c r="P69" s="192"/>
      <c r="Q69" s="192"/>
      <c r="R69" s="192"/>
      <c r="S69" s="193"/>
      <c r="T69" s="152" t="s">
        <v>101</v>
      </c>
      <c r="U69" s="180"/>
      <c r="V69" s="180"/>
      <c r="W69" s="180"/>
      <c r="X69" s="180"/>
      <c r="Y69" s="180"/>
      <c r="Z69" s="153"/>
    </row>
    <row r="70" spans="1:26" ht="18" customHeight="1" x14ac:dyDescent="0.15">
      <c r="A70" s="14"/>
      <c r="B70" s="165"/>
      <c r="C70" s="166"/>
      <c r="D70" s="166"/>
      <c r="E70" s="166"/>
      <c r="F70" s="167"/>
      <c r="G70" s="236"/>
      <c r="H70" s="237"/>
      <c r="I70" s="237"/>
      <c r="J70" s="237"/>
      <c r="K70" s="237"/>
      <c r="L70" s="237"/>
      <c r="M70" s="238"/>
      <c r="N70" s="165"/>
      <c r="O70" s="166"/>
      <c r="P70" s="166"/>
      <c r="Q70" s="166"/>
      <c r="R70" s="166"/>
      <c r="S70" s="167"/>
      <c r="T70" s="236"/>
      <c r="U70" s="237"/>
      <c r="V70" s="237"/>
      <c r="W70" s="237"/>
      <c r="X70" s="237"/>
      <c r="Y70" s="237"/>
      <c r="Z70" s="238"/>
    </row>
    <row r="71" spans="1:26" ht="18" customHeight="1" x14ac:dyDescent="0.15">
      <c r="A71" s="14"/>
      <c r="B71" s="168"/>
      <c r="C71" s="169"/>
      <c r="D71" s="169"/>
      <c r="E71" s="169"/>
      <c r="F71" s="170"/>
      <c r="G71" s="212"/>
      <c r="H71" s="213"/>
      <c r="I71" s="213"/>
      <c r="J71" s="213"/>
      <c r="K71" s="213"/>
      <c r="L71" s="213"/>
      <c r="M71" s="214"/>
      <c r="N71" s="168"/>
      <c r="O71" s="169"/>
      <c r="P71" s="169"/>
      <c r="Q71" s="169"/>
      <c r="R71" s="169"/>
      <c r="S71" s="170"/>
      <c r="T71" s="212"/>
      <c r="U71" s="213"/>
      <c r="V71" s="213"/>
      <c r="W71" s="213"/>
      <c r="X71" s="213"/>
      <c r="Y71" s="213"/>
      <c r="Z71" s="214"/>
    </row>
    <row r="72" spans="1:26" ht="18" customHeight="1" x14ac:dyDescent="0.15">
      <c r="A72" s="14"/>
      <c r="B72" s="168"/>
      <c r="C72" s="169"/>
      <c r="D72" s="169"/>
      <c r="E72" s="169"/>
      <c r="F72" s="170"/>
      <c r="G72" s="212"/>
      <c r="H72" s="213"/>
      <c r="I72" s="213"/>
      <c r="J72" s="213"/>
      <c r="K72" s="213"/>
      <c r="L72" s="213"/>
      <c r="M72" s="214"/>
      <c r="N72" s="168"/>
      <c r="O72" s="169"/>
      <c r="P72" s="169"/>
      <c r="Q72" s="169"/>
      <c r="R72" s="169"/>
      <c r="S72" s="170"/>
      <c r="T72" s="212"/>
      <c r="U72" s="213"/>
      <c r="V72" s="213"/>
      <c r="W72" s="213"/>
      <c r="X72" s="213"/>
      <c r="Y72" s="213"/>
      <c r="Z72" s="214"/>
    </row>
    <row r="73" spans="1:26" ht="18" customHeight="1" x14ac:dyDescent="0.15">
      <c r="A73" s="14"/>
      <c r="B73" s="168"/>
      <c r="C73" s="169"/>
      <c r="D73" s="169"/>
      <c r="E73" s="169"/>
      <c r="F73" s="170"/>
      <c r="G73" s="212"/>
      <c r="H73" s="213"/>
      <c r="I73" s="213"/>
      <c r="J73" s="213"/>
      <c r="K73" s="213"/>
      <c r="L73" s="213"/>
      <c r="M73" s="214"/>
      <c r="N73" s="168"/>
      <c r="O73" s="169"/>
      <c r="P73" s="169"/>
      <c r="Q73" s="169"/>
      <c r="R73" s="169"/>
      <c r="S73" s="170"/>
      <c r="T73" s="212"/>
      <c r="U73" s="213"/>
      <c r="V73" s="213"/>
      <c r="W73" s="213"/>
      <c r="X73" s="213"/>
      <c r="Y73" s="213"/>
      <c r="Z73" s="214"/>
    </row>
    <row r="74" spans="1:26" ht="18" customHeight="1" x14ac:dyDescent="0.15">
      <c r="A74" s="14"/>
      <c r="B74" s="168"/>
      <c r="C74" s="169"/>
      <c r="D74" s="169"/>
      <c r="E74" s="169"/>
      <c r="F74" s="170"/>
      <c r="G74" s="212"/>
      <c r="H74" s="213"/>
      <c r="I74" s="213"/>
      <c r="J74" s="213"/>
      <c r="K74" s="213"/>
      <c r="L74" s="213"/>
      <c r="M74" s="214"/>
      <c r="N74" s="168"/>
      <c r="O74" s="169"/>
      <c r="P74" s="169"/>
      <c r="Q74" s="169"/>
      <c r="R74" s="169"/>
      <c r="S74" s="170"/>
      <c r="T74" s="212"/>
      <c r="U74" s="213"/>
      <c r="V74" s="213"/>
      <c r="W74" s="213"/>
      <c r="X74" s="213"/>
      <c r="Y74" s="213"/>
      <c r="Z74" s="214"/>
    </row>
    <row r="75" spans="1:26" ht="18" customHeight="1" x14ac:dyDescent="0.15">
      <c r="A75" s="14"/>
      <c r="B75" s="168"/>
      <c r="C75" s="169"/>
      <c r="D75" s="169"/>
      <c r="E75" s="169"/>
      <c r="F75" s="170"/>
      <c r="G75" s="212"/>
      <c r="H75" s="213"/>
      <c r="I75" s="213"/>
      <c r="J75" s="213"/>
      <c r="K75" s="213"/>
      <c r="L75" s="213"/>
      <c r="M75" s="214"/>
      <c r="N75" s="168"/>
      <c r="O75" s="169"/>
      <c r="P75" s="169"/>
      <c r="Q75" s="169"/>
      <c r="R75" s="169"/>
      <c r="S75" s="170"/>
      <c r="T75" s="212"/>
      <c r="U75" s="213"/>
      <c r="V75" s="213"/>
      <c r="W75" s="213"/>
      <c r="X75" s="213"/>
      <c r="Y75" s="213"/>
      <c r="Z75" s="214"/>
    </row>
    <row r="76" spans="1:26" ht="18" customHeight="1" x14ac:dyDescent="0.15">
      <c r="A76" s="14"/>
      <c r="B76" s="171"/>
      <c r="C76" s="172"/>
      <c r="D76" s="172"/>
      <c r="E76" s="172"/>
      <c r="F76" s="173"/>
      <c r="G76" s="209"/>
      <c r="H76" s="210"/>
      <c r="I76" s="210"/>
      <c r="J76" s="210"/>
      <c r="K76" s="210"/>
      <c r="L76" s="210"/>
      <c r="M76" s="211"/>
      <c r="N76" s="171"/>
      <c r="O76" s="172"/>
      <c r="P76" s="172"/>
      <c r="Q76" s="172"/>
      <c r="R76" s="172"/>
      <c r="S76" s="173"/>
      <c r="T76" s="209"/>
      <c r="U76" s="210"/>
      <c r="V76" s="210"/>
      <c r="W76" s="210"/>
      <c r="X76" s="210"/>
      <c r="Y76" s="210"/>
      <c r="Z76" s="211"/>
    </row>
    <row r="77" spans="1:26" ht="18" customHeight="1" x14ac:dyDescent="0.15">
      <c r="A77" s="14"/>
      <c r="B77" s="18"/>
      <c r="C77" s="18"/>
      <c r="D77" s="18"/>
      <c r="E77" s="18"/>
      <c r="F77" s="18"/>
      <c r="G77" s="5"/>
      <c r="H77" s="5"/>
      <c r="I77" s="5"/>
      <c r="J77" s="5"/>
      <c r="K77" s="5"/>
      <c r="L77" s="5"/>
      <c r="M77" s="5"/>
      <c r="N77" s="18"/>
      <c r="O77" s="18"/>
      <c r="P77" s="18"/>
      <c r="Q77" s="18"/>
      <c r="R77" s="18"/>
      <c r="S77" s="18"/>
      <c r="T77" s="5"/>
      <c r="U77" s="5"/>
      <c r="V77" s="5"/>
      <c r="W77" s="5"/>
      <c r="X77" s="5"/>
      <c r="Y77" s="5"/>
      <c r="Z77" s="5"/>
    </row>
    <row r="78" spans="1:26" ht="18.75" customHeight="1" x14ac:dyDescent="0.15">
      <c r="A78" s="6" t="s">
        <v>102</v>
      </c>
    </row>
    <row r="79" spans="1:26" ht="18.75" customHeight="1" x14ac:dyDescent="0.15">
      <c r="B79" s="56" t="s">
        <v>103</v>
      </c>
      <c r="C79" s="57"/>
      <c r="D79" s="257" t="s">
        <v>104</v>
      </c>
      <c r="E79" s="257"/>
      <c r="F79" s="257"/>
      <c r="G79" s="257"/>
      <c r="H79" s="257"/>
      <c r="I79" s="257"/>
      <c r="J79" s="257"/>
      <c r="K79" s="257"/>
      <c r="L79" s="257"/>
      <c r="M79" s="257"/>
      <c r="N79" s="257"/>
      <c r="O79" s="257"/>
      <c r="P79" s="257"/>
      <c r="Q79" s="257"/>
      <c r="R79" s="257"/>
      <c r="S79" s="257"/>
      <c r="T79" s="257"/>
      <c r="U79" s="257"/>
      <c r="V79" s="257"/>
      <c r="W79" s="257"/>
      <c r="X79" s="257"/>
      <c r="Y79" s="257"/>
      <c r="Z79" s="258"/>
    </row>
    <row r="80" spans="1:26" ht="78" customHeight="1" x14ac:dyDescent="0.15">
      <c r="B80" s="244" t="s">
        <v>105</v>
      </c>
      <c r="C80" s="61" t="s">
        <v>80</v>
      </c>
      <c r="D80" s="251" t="s">
        <v>106</v>
      </c>
      <c r="E80" s="252"/>
      <c r="F80" s="252"/>
      <c r="G80" s="252"/>
      <c r="H80" s="252"/>
      <c r="I80" s="252"/>
      <c r="J80" s="252"/>
      <c r="K80" s="252"/>
      <c r="L80" s="252"/>
      <c r="M80" s="252"/>
      <c r="N80" s="252"/>
      <c r="O80" s="252"/>
      <c r="P80" s="252"/>
      <c r="Q80" s="252"/>
      <c r="R80" s="252"/>
      <c r="S80" s="252"/>
      <c r="T80" s="252"/>
      <c r="U80" s="252"/>
      <c r="V80" s="252"/>
      <c r="W80" s="252"/>
      <c r="X80" s="252"/>
      <c r="Y80" s="252"/>
      <c r="Z80" s="253"/>
    </row>
    <row r="81" spans="1:26" ht="78" customHeight="1" x14ac:dyDescent="0.15">
      <c r="B81" s="245"/>
      <c r="C81" s="80" t="s">
        <v>107</v>
      </c>
      <c r="D81" s="215" t="s">
        <v>108</v>
      </c>
      <c r="E81" s="216"/>
      <c r="F81" s="216"/>
      <c r="G81" s="216"/>
      <c r="H81" s="216"/>
      <c r="I81" s="216"/>
      <c r="J81" s="216"/>
      <c r="K81" s="216"/>
      <c r="L81" s="216"/>
      <c r="M81" s="216"/>
      <c r="N81" s="216"/>
      <c r="O81" s="216"/>
      <c r="P81" s="216"/>
      <c r="Q81" s="216"/>
      <c r="R81" s="216"/>
      <c r="S81" s="216"/>
      <c r="T81" s="216"/>
      <c r="U81" s="216"/>
      <c r="V81" s="216"/>
      <c r="W81" s="216"/>
      <c r="X81" s="216"/>
      <c r="Y81" s="216"/>
      <c r="Z81" s="217"/>
    </row>
    <row r="82" spans="1:26" ht="78" customHeight="1" x14ac:dyDescent="0.15">
      <c r="B82" s="242" t="s">
        <v>109</v>
      </c>
      <c r="C82" s="58" t="s">
        <v>86</v>
      </c>
      <c r="D82" s="218" t="s">
        <v>110</v>
      </c>
      <c r="E82" s="218"/>
      <c r="F82" s="218"/>
      <c r="G82" s="218"/>
      <c r="H82" s="218"/>
      <c r="I82" s="218"/>
      <c r="J82" s="218"/>
      <c r="K82" s="218"/>
      <c r="L82" s="218"/>
      <c r="M82" s="218"/>
      <c r="N82" s="218"/>
      <c r="O82" s="218"/>
      <c r="P82" s="218"/>
      <c r="Q82" s="218"/>
      <c r="R82" s="218"/>
      <c r="S82" s="218"/>
      <c r="T82" s="218"/>
      <c r="U82" s="218"/>
      <c r="V82" s="218"/>
      <c r="W82" s="218"/>
      <c r="X82" s="218"/>
      <c r="Y82" s="218"/>
      <c r="Z82" s="219"/>
    </row>
    <row r="83" spans="1:26" ht="78" customHeight="1" x14ac:dyDescent="0.15">
      <c r="B83" s="243"/>
      <c r="C83" s="81" t="s">
        <v>87</v>
      </c>
      <c r="D83" s="222" t="s">
        <v>110</v>
      </c>
      <c r="E83" s="222"/>
      <c r="F83" s="222"/>
      <c r="G83" s="222"/>
      <c r="H83" s="222"/>
      <c r="I83" s="222"/>
      <c r="J83" s="222"/>
      <c r="K83" s="222"/>
      <c r="L83" s="222"/>
      <c r="M83" s="222"/>
      <c r="N83" s="222"/>
      <c r="O83" s="222"/>
      <c r="P83" s="222"/>
      <c r="Q83" s="222"/>
      <c r="R83" s="222"/>
      <c r="S83" s="222"/>
      <c r="T83" s="222"/>
      <c r="U83" s="222"/>
      <c r="V83" s="222"/>
      <c r="W83" s="222"/>
      <c r="X83" s="222"/>
      <c r="Y83" s="222"/>
      <c r="Z83" s="223"/>
    </row>
    <row r="84" spans="1:26" ht="66" customHeight="1" x14ac:dyDescent="0.15">
      <c r="B84" s="242" t="s">
        <v>111</v>
      </c>
      <c r="C84" s="58" t="s">
        <v>89</v>
      </c>
      <c r="D84" s="224" t="s">
        <v>112</v>
      </c>
      <c r="E84" s="218"/>
      <c r="F84" s="218"/>
      <c r="G84" s="218"/>
      <c r="H84" s="218"/>
      <c r="I84" s="218"/>
      <c r="J84" s="218"/>
      <c r="K84" s="218"/>
      <c r="L84" s="218"/>
      <c r="M84" s="218"/>
      <c r="N84" s="218"/>
      <c r="O84" s="218"/>
      <c r="P84" s="218"/>
      <c r="Q84" s="218"/>
      <c r="R84" s="218"/>
      <c r="S84" s="218"/>
      <c r="T84" s="218"/>
      <c r="U84" s="218"/>
      <c r="V84" s="218"/>
      <c r="W84" s="218"/>
      <c r="X84" s="218"/>
      <c r="Y84" s="218"/>
      <c r="Z84" s="219"/>
    </row>
    <row r="85" spans="1:26" ht="66" customHeight="1" x14ac:dyDescent="0.15">
      <c r="B85" s="243"/>
      <c r="C85" s="60" t="s">
        <v>90</v>
      </c>
      <c r="D85" s="220" t="s">
        <v>113</v>
      </c>
      <c r="E85" s="220"/>
      <c r="F85" s="220"/>
      <c r="G85" s="220"/>
      <c r="H85" s="220"/>
      <c r="I85" s="220"/>
      <c r="J85" s="220"/>
      <c r="K85" s="220"/>
      <c r="L85" s="220"/>
      <c r="M85" s="220"/>
      <c r="N85" s="220"/>
      <c r="O85" s="220"/>
      <c r="P85" s="220"/>
      <c r="Q85" s="220"/>
      <c r="R85" s="220"/>
      <c r="S85" s="220"/>
      <c r="T85" s="220"/>
      <c r="U85" s="220"/>
      <c r="V85" s="220"/>
      <c r="W85" s="220"/>
      <c r="X85" s="220"/>
      <c r="Y85" s="220"/>
      <c r="Z85" s="221"/>
    </row>
    <row r="86" spans="1:26" ht="66" customHeight="1" x14ac:dyDescent="0.15">
      <c r="B86" s="244" t="s">
        <v>114</v>
      </c>
      <c r="C86" s="61" t="s">
        <v>92</v>
      </c>
      <c r="D86" s="251" t="s">
        <v>115</v>
      </c>
      <c r="E86" s="252"/>
      <c r="F86" s="252"/>
      <c r="G86" s="252"/>
      <c r="H86" s="252"/>
      <c r="I86" s="252"/>
      <c r="J86" s="252"/>
      <c r="K86" s="252"/>
      <c r="L86" s="252"/>
      <c r="M86" s="252"/>
      <c r="N86" s="252"/>
      <c r="O86" s="252"/>
      <c r="P86" s="252"/>
      <c r="Q86" s="252"/>
      <c r="R86" s="252"/>
      <c r="S86" s="252"/>
      <c r="T86" s="252"/>
      <c r="U86" s="252"/>
      <c r="V86" s="252"/>
      <c r="W86" s="252"/>
      <c r="X86" s="252"/>
      <c r="Y86" s="252"/>
      <c r="Z86" s="253"/>
    </row>
    <row r="87" spans="1:26" ht="66" customHeight="1" x14ac:dyDescent="0.15">
      <c r="B87" s="250"/>
      <c r="C87" s="59" t="s">
        <v>93</v>
      </c>
      <c r="D87" s="254" t="s">
        <v>116</v>
      </c>
      <c r="E87" s="255"/>
      <c r="F87" s="255"/>
      <c r="G87" s="255"/>
      <c r="H87" s="255"/>
      <c r="I87" s="255"/>
      <c r="J87" s="255"/>
      <c r="K87" s="255"/>
      <c r="L87" s="255"/>
      <c r="M87" s="255"/>
      <c r="N87" s="255"/>
      <c r="O87" s="255"/>
      <c r="P87" s="255"/>
      <c r="Q87" s="255"/>
      <c r="R87" s="255"/>
      <c r="S87" s="255"/>
      <c r="T87" s="255"/>
      <c r="U87" s="255"/>
      <c r="V87" s="255"/>
      <c r="W87" s="255"/>
      <c r="X87" s="255"/>
      <c r="Y87" s="255"/>
      <c r="Z87" s="256"/>
    </row>
    <row r="88" spans="1:26" ht="66" customHeight="1" x14ac:dyDescent="0.15">
      <c r="B88" s="244" t="s">
        <v>117</v>
      </c>
      <c r="C88" s="58" t="s">
        <v>96</v>
      </c>
      <c r="D88" s="246" t="s">
        <v>118</v>
      </c>
      <c r="E88" s="247"/>
      <c r="F88" s="247"/>
      <c r="G88" s="247"/>
      <c r="H88" s="247"/>
      <c r="I88" s="247"/>
      <c r="J88" s="247"/>
      <c r="K88" s="247"/>
      <c r="L88" s="247"/>
      <c r="M88" s="247"/>
      <c r="N88" s="247"/>
      <c r="O88" s="247"/>
      <c r="P88" s="247"/>
      <c r="Q88" s="247"/>
      <c r="R88" s="247"/>
      <c r="S88" s="247"/>
      <c r="T88" s="247"/>
      <c r="U88" s="247"/>
      <c r="V88" s="247"/>
      <c r="W88" s="247"/>
      <c r="X88" s="247"/>
      <c r="Y88" s="247"/>
      <c r="Z88" s="248"/>
    </row>
    <row r="89" spans="1:26" ht="66" customHeight="1" x14ac:dyDescent="0.15">
      <c r="B89" s="245"/>
      <c r="C89" s="59" t="s">
        <v>97</v>
      </c>
      <c r="D89" s="239" t="s">
        <v>119</v>
      </c>
      <c r="E89" s="240"/>
      <c r="F89" s="240"/>
      <c r="G89" s="240"/>
      <c r="H89" s="240"/>
      <c r="I89" s="240"/>
      <c r="J89" s="240"/>
      <c r="K89" s="240"/>
      <c r="L89" s="240"/>
      <c r="M89" s="240"/>
      <c r="N89" s="240"/>
      <c r="O89" s="240"/>
      <c r="P89" s="240"/>
      <c r="Q89" s="240"/>
      <c r="R89" s="240"/>
      <c r="S89" s="240"/>
      <c r="T89" s="240"/>
      <c r="U89" s="240"/>
      <c r="V89" s="240"/>
      <c r="W89" s="240"/>
      <c r="X89" s="240"/>
      <c r="Y89" s="240"/>
      <c r="Z89" s="241"/>
    </row>
    <row r="90" spans="1:26" ht="66" customHeight="1" x14ac:dyDescent="0.15">
      <c r="B90" s="243"/>
      <c r="C90" s="60" t="s">
        <v>98</v>
      </c>
      <c r="D90" s="249" t="s">
        <v>119</v>
      </c>
      <c r="E90" s="204"/>
      <c r="F90" s="204"/>
      <c r="G90" s="204"/>
      <c r="H90" s="204"/>
      <c r="I90" s="204"/>
      <c r="J90" s="204"/>
      <c r="K90" s="204"/>
      <c r="L90" s="204"/>
      <c r="M90" s="204"/>
      <c r="N90" s="204"/>
      <c r="O90" s="204"/>
      <c r="P90" s="204"/>
      <c r="Q90" s="204"/>
      <c r="R90" s="204"/>
      <c r="S90" s="204"/>
      <c r="T90" s="204"/>
      <c r="U90" s="204"/>
      <c r="V90" s="204"/>
      <c r="W90" s="204"/>
      <c r="X90" s="204"/>
      <c r="Y90" s="204"/>
      <c r="Z90" s="205"/>
    </row>
    <row r="91" spans="1:26" ht="6" customHeight="1" x14ac:dyDescent="0.15"/>
    <row r="92" spans="1:26" ht="18.75" customHeight="1" x14ac:dyDescent="0.15">
      <c r="A92" s="6" t="s">
        <v>120</v>
      </c>
    </row>
    <row r="93" spans="1:26" ht="18.75" customHeight="1" x14ac:dyDescent="0.15">
      <c r="B93" s="197" t="s">
        <v>121</v>
      </c>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9"/>
    </row>
    <row r="94" spans="1:26" ht="18.75" customHeight="1" x14ac:dyDescent="0.15">
      <c r="B94" s="200"/>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2"/>
    </row>
    <row r="95" spans="1:26" ht="18.75" customHeight="1" x14ac:dyDescent="0.15">
      <c r="B95" s="203"/>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5"/>
    </row>
    <row r="96" spans="1:26" ht="6" customHeight="1" x14ac:dyDescent="0.15"/>
    <row r="97" spans="1:26" ht="15" customHeight="1" x14ac:dyDescent="0.15">
      <c r="A97" s="6" t="s">
        <v>122</v>
      </c>
    </row>
    <row r="98" spans="1:26" ht="15" customHeight="1" x14ac:dyDescent="0.15">
      <c r="B98" s="206" t="s">
        <v>237</v>
      </c>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8"/>
    </row>
  </sheetData>
  <mergeCells count="219">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H59:J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K60:K61 U49:U55 G60:G66 T60:T66 H49:H55">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3" man="1"/>
    <brk id="67" max="23" man="1"/>
    <brk id="83" max="2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1" zoomScaleNormal="100" zoomScaleSheetLayoutView="100" workbookViewId="0">
      <selection activeCell="B98" sqref="B98:Z98"/>
    </sheetView>
  </sheetViews>
  <sheetFormatPr defaultColWidth="9" defaultRowHeight="18.75" customHeight="1" x14ac:dyDescent="0.15"/>
  <cols>
    <col min="1" max="1" width="2.5" style="6" customWidth="1"/>
    <col min="2" max="2" width="27.62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187" t="s">
        <v>235</v>
      </c>
      <c r="X1" s="187"/>
      <c r="Y1" s="187"/>
      <c r="Z1" s="187"/>
    </row>
    <row r="2" spans="1:26" ht="18" customHeight="1" x14ac:dyDescent="0.15">
      <c r="A2" s="226" t="s">
        <v>71</v>
      </c>
      <c r="B2" s="226"/>
      <c r="C2" s="226"/>
      <c r="D2" s="226"/>
      <c r="E2" s="226"/>
      <c r="F2" s="226"/>
      <c r="G2" s="226"/>
      <c r="H2" s="226"/>
      <c r="I2" s="226"/>
      <c r="J2" s="226"/>
      <c r="K2" s="226"/>
      <c r="L2" s="226"/>
      <c r="M2" s="226"/>
      <c r="N2" s="226"/>
      <c r="O2" s="226"/>
      <c r="P2" s="226"/>
      <c r="Q2" s="226"/>
      <c r="R2" s="226"/>
      <c r="S2" s="226"/>
      <c r="T2" s="226"/>
      <c r="U2" s="226"/>
      <c r="V2" s="226"/>
      <c r="W2" s="226"/>
      <c r="X2" s="226"/>
      <c r="Y2" s="226"/>
      <c r="Z2" s="226"/>
    </row>
    <row r="3" spans="1:26" ht="15" customHeight="1" x14ac:dyDescent="0.15">
      <c r="B3" s="14"/>
      <c r="C3" s="14"/>
      <c r="D3" s="14"/>
      <c r="E3" s="14"/>
      <c r="F3" s="14"/>
      <c r="G3" s="14"/>
      <c r="H3" s="14"/>
      <c r="I3" s="14"/>
      <c r="J3" s="14"/>
      <c r="K3" s="14"/>
      <c r="L3" s="14"/>
      <c r="M3" s="14"/>
      <c r="N3" s="14"/>
      <c r="O3" s="14"/>
      <c r="P3" s="14"/>
      <c r="Q3" s="14"/>
      <c r="R3" s="14"/>
      <c r="S3" s="14"/>
      <c r="T3" s="14"/>
      <c r="U3" s="14"/>
      <c r="V3" s="14"/>
      <c r="W3" s="14"/>
      <c r="X3" s="14"/>
      <c r="Y3" s="14"/>
      <c r="Z3" s="14"/>
    </row>
    <row r="4" spans="1:26" ht="18" customHeight="1" x14ac:dyDescent="0.15">
      <c r="A4" s="6" t="s">
        <v>72</v>
      </c>
      <c r="B4" s="14"/>
      <c r="C4" s="14"/>
      <c r="D4" s="14"/>
      <c r="E4" s="14"/>
      <c r="F4" s="14"/>
      <c r="G4" s="14"/>
      <c r="H4" s="7" t="s">
        <v>73</v>
      </c>
      <c r="I4" s="14"/>
      <c r="J4" s="14"/>
      <c r="K4" s="14"/>
      <c r="L4" s="14"/>
      <c r="M4" s="14"/>
      <c r="N4" s="14"/>
      <c r="O4" s="152" t="s">
        <v>74</v>
      </c>
      <c r="P4" s="180"/>
      <c r="Q4" s="180"/>
      <c r="R4" s="180"/>
      <c r="S4" s="180"/>
      <c r="T4" s="180"/>
      <c r="U4" s="180"/>
      <c r="V4" s="180"/>
      <c r="W4" s="180"/>
      <c r="X4" s="180"/>
      <c r="Y4" s="180"/>
      <c r="Z4" s="153"/>
    </row>
    <row r="5" spans="1:26" ht="6" customHeight="1" x14ac:dyDescent="0.15">
      <c r="B5" s="14"/>
      <c r="C5" s="14"/>
      <c r="D5" s="14"/>
      <c r="E5" s="14"/>
      <c r="F5" s="14"/>
      <c r="G5" s="14"/>
      <c r="H5" s="14"/>
      <c r="I5" s="14"/>
      <c r="J5" s="14"/>
      <c r="K5" s="14"/>
      <c r="L5" s="14"/>
      <c r="M5" s="14"/>
      <c r="N5" s="14"/>
      <c r="O5" s="8"/>
      <c r="P5" s="14"/>
      <c r="Q5" s="14"/>
      <c r="R5" s="14"/>
      <c r="S5" s="14"/>
      <c r="T5" s="14"/>
      <c r="U5" s="14"/>
      <c r="V5" s="14"/>
      <c r="W5" s="14"/>
      <c r="X5" s="14"/>
      <c r="Y5" s="14"/>
      <c r="Z5" s="14"/>
    </row>
    <row r="6" spans="1:26" ht="18" customHeight="1" x14ac:dyDescent="0.15">
      <c r="B6" s="227" t="s">
        <v>232</v>
      </c>
      <c r="C6" s="228"/>
      <c r="D6" s="228"/>
      <c r="E6" s="228"/>
      <c r="F6" s="228"/>
      <c r="G6" s="228"/>
      <c r="H6" s="228"/>
      <c r="I6" s="228"/>
      <c r="J6" s="228"/>
      <c r="K6" s="228"/>
      <c r="L6" s="228"/>
      <c r="M6" s="228"/>
      <c r="N6" s="228"/>
      <c r="O6" s="228"/>
      <c r="P6" s="228"/>
      <c r="Q6" s="228"/>
      <c r="R6" s="228"/>
      <c r="S6" s="228"/>
      <c r="T6" s="228"/>
      <c r="U6" s="228"/>
      <c r="V6" s="228"/>
      <c r="W6" s="228"/>
      <c r="X6" s="228"/>
      <c r="Y6" s="228"/>
      <c r="Z6" s="229"/>
    </row>
    <row r="7" spans="1:26" ht="18" customHeight="1" x14ac:dyDescent="0.15">
      <c r="B7" s="230"/>
      <c r="C7" s="231"/>
      <c r="D7" s="231"/>
      <c r="E7" s="231"/>
      <c r="F7" s="231"/>
      <c r="G7" s="231"/>
      <c r="H7" s="231"/>
      <c r="I7" s="231"/>
      <c r="J7" s="231"/>
      <c r="K7" s="231"/>
      <c r="L7" s="231"/>
      <c r="M7" s="231"/>
      <c r="N7" s="231"/>
      <c r="O7" s="231"/>
      <c r="P7" s="231"/>
      <c r="Q7" s="231"/>
      <c r="R7" s="231"/>
      <c r="S7" s="231"/>
      <c r="T7" s="231"/>
      <c r="U7" s="231"/>
      <c r="V7" s="231"/>
      <c r="W7" s="231"/>
      <c r="X7" s="231"/>
      <c r="Y7" s="231"/>
      <c r="Z7" s="232"/>
    </row>
    <row r="8" spans="1:26" ht="18" customHeight="1" x14ac:dyDescent="0.15">
      <c r="B8" s="230"/>
      <c r="C8" s="231"/>
      <c r="D8" s="231"/>
      <c r="E8" s="231"/>
      <c r="F8" s="231"/>
      <c r="G8" s="231"/>
      <c r="H8" s="231"/>
      <c r="I8" s="231"/>
      <c r="J8" s="231"/>
      <c r="K8" s="231"/>
      <c r="L8" s="231"/>
      <c r="M8" s="231"/>
      <c r="N8" s="231"/>
      <c r="O8" s="231"/>
      <c r="P8" s="231"/>
      <c r="Q8" s="231"/>
      <c r="R8" s="231"/>
      <c r="S8" s="231"/>
      <c r="T8" s="231"/>
      <c r="U8" s="231"/>
      <c r="V8" s="231"/>
      <c r="W8" s="231"/>
      <c r="X8" s="231"/>
      <c r="Y8" s="231"/>
      <c r="Z8" s="232"/>
    </row>
    <row r="9" spans="1:26" ht="18" customHeight="1" x14ac:dyDescent="0.15">
      <c r="B9" s="230"/>
      <c r="C9" s="231"/>
      <c r="D9" s="231"/>
      <c r="E9" s="231"/>
      <c r="F9" s="231"/>
      <c r="G9" s="231"/>
      <c r="H9" s="231"/>
      <c r="I9" s="231"/>
      <c r="J9" s="231"/>
      <c r="K9" s="231"/>
      <c r="L9" s="231"/>
      <c r="M9" s="231"/>
      <c r="N9" s="231"/>
      <c r="O9" s="231"/>
      <c r="P9" s="231"/>
      <c r="Q9" s="231"/>
      <c r="R9" s="231"/>
      <c r="S9" s="231"/>
      <c r="T9" s="231"/>
      <c r="U9" s="231"/>
      <c r="V9" s="231"/>
      <c r="W9" s="231"/>
      <c r="X9" s="231"/>
      <c r="Y9" s="231"/>
      <c r="Z9" s="232"/>
    </row>
    <row r="10" spans="1:26" ht="18" customHeight="1" x14ac:dyDescent="0.15">
      <c r="B10" s="230"/>
      <c r="C10" s="231"/>
      <c r="D10" s="231"/>
      <c r="E10" s="231"/>
      <c r="F10" s="231"/>
      <c r="G10" s="231"/>
      <c r="H10" s="231"/>
      <c r="I10" s="231"/>
      <c r="J10" s="231"/>
      <c r="K10" s="231"/>
      <c r="L10" s="231"/>
      <c r="M10" s="231"/>
      <c r="N10" s="231"/>
      <c r="O10" s="231"/>
      <c r="P10" s="231"/>
      <c r="Q10" s="231"/>
      <c r="R10" s="231"/>
      <c r="S10" s="231"/>
      <c r="T10" s="231"/>
      <c r="U10" s="231"/>
      <c r="V10" s="231"/>
      <c r="W10" s="231"/>
      <c r="X10" s="231"/>
      <c r="Y10" s="231"/>
      <c r="Z10" s="232"/>
    </row>
    <row r="11" spans="1:26" ht="18" customHeight="1" x14ac:dyDescent="0.15">
      <c r="B11" s="233"/>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5"/>
    </row>
    <row r="12" spans="1:26" ht="7.5" customHeight="1" x14ac:dyDescent="0.1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8" customHeight="1" x14ac:dyDescent="0.15">
      <c r="A13" s="225" t="s">
        <v>75</v>
      </c>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spans="1:26" ht="18" customHeight="1" x14ac:dyDescent="0.15">
      <c r="A14" s="225"/>
      <c r="B14" s="225"/>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row>
    <row r="15" spans="1:26" ht="18" customHeight="1" x14ac:dyDescent="0.15">
      <c r="A15" s="7"/>
      <c r="B15" s="152" t="s">
        <v>76</v>
      </c>
      <c r="C15" s="180"/>
      <c r="D15" s="180"/>
      <c r="E15" s="180"/>
      <c r="F15" s="153"/>
      <c r="G15" s="15" t="s">
        <v>77</v>
      </c>
      <c r="H15" s="82" t="s">
        <v>78</v>
      </c>
      <c r="I15" s="180" t="s">
        <v>79</v>
      </c>
      <c r="J15" s="180"/>
      <c r="K15" s="180"/>
      <c r="L15" s="54" t="s">
        <v>80</v>
      </c>
      <c r="M15" s="54" t="s">
        <v>81</v>
      </c>
      <c r="N15" s="152" t="s">
        <v>76</v>
      </c>
      <c r="O15" s="180"/>
      <c r="P15" s="180"/>
      <c r="Q15" s="180"/>
      <c r="R15" s="180"/>
      <c r="S15" s="153"/>
      <c r="T15" s="15" t="s">
        <v>77</v>
      </c>
      <c r="U15" s="82" t="s">
        <v>78</v>
      </c>
      <c r="V15" s="180" t="s">
        <v>79</v>
      </c>
      <c r="W15" s="180"/>
      <c r="X15" s="180"/>
      <c r="Y15" s="54" t="s">
        <v>80</v>
      </c>
      <c r="Z15" s="54" t="s">
        <v>81</v>
      </c>
    </row>
    <row r="16" spans="1:26" ht="18" customHeight="1" x14ac:dyDescent="0.15">
      <c r="A16" s="7"/>
      <c r="B16" s="188" t="s">
        <v>123</v>
      </c>
      <c r="C16" s="189"/>
      <c r="D16" s="189"/>
      <c r="E16" s="189"/>
      <c r="F16" s="190"/>
      <c r="G16" s="83">
        <v>4</v>
      </c>
      <c r="H16" s="83" t="s">
        <v>83</v>
      </c>
      <c r="I16" s="194" t="s">
        <v>84</v>
      </c>
      <c r="J16" s="195"/>
      <c r="K16" s="196"/>
      <c r="L16" s="83" t="s">
        <v>83</v>
      </c>
      <c r="M16" s="83" t="s">
        <v>83</v>
      </c>
      <c r="N16" s="165"/>
      <c r="O16" s="166"/>
      <c r="P16" s="166"/>
      <c r="Q16" s="166"/>
      <c r="R16" s="166"/>
      <c r="S16" s="167"/>
      <c r="T16" s="83"/>
      <c r="U16" s="83"/>
      <c r="V16" s="194"/>
      <c r="W16" s="195"/>
      <c r="X16" s="196"/>
      <c r="Y16" s="83"/>
      <c r="Z16" s="83"/>
    </row>
    <row r="17" spans="1:26" ht="18" customHeight="1" x14ac:dyDescent="0.15">
      <c r="A17" s="7"/>
      <c r="B17" s="181" t="s">
        <v>124</v>
      </c>
      <c r="C17" s="182"/>
      <c r="D17" s="182"/>
      <c r="E17" s="182"/>
      <c r="F17" s="183"/>
      <c r="G17" s="84">
        <v>2</v>
      </c>
      <c r="H17" s="84" t="s">
        <v>83</v>
      </c>
      <c r="I17" s="174" t="s">
        <v>84</v>
      </c>
      <c r="J17" s="175"/>
      <c r="K17" s="176"/>
      <c r="L17" s="117" t="s">
        <v>83</v>
      </c>
      <c r="M17" s="117" t="s">
        <v>83</v>
      </c>
      <c r="N17" s="283"/>
      <c r="O17" s="284"/>
      <c r="P17" s="284"/>
      <c r="Q17" s="284"/>
      <c r="R17" s="284"/>
      <c r="S17" s="285"/>
      <c r="T17" s="84"/>
      <c r="U17" s="84"/>
      <c r="V17" s="174"/>
      <c r="W17" s="175"/>
      <c r="X17" s="176"/>
      <c r="Y17" s="84"/>
      <c r="Z17" s="84"/>
    </row>
    <row r="18" spans="1:26" ht="18" customHeight="1" x14ac:dyDescent="0.15">
      <c r="A18" s="7"/>
      <c r="B18" s="181" t="s">
        <v>125</v>
      </c>
      <c r="C18" s="182"/>
      <c r="D18" s="182"/>
      <c r="E18" s="182"/>
      <c r="F18" s="183"/>
      <c r="G18" s="84">
        <v>2</v>
      </c>
      <c r="H18" s="84" t="s">
        <v>83</v>
      </c>
      <c r="I18" s="174" t="s">
        <v>84</v>
      </c>
      <c r="J18" s="175"/>
      <c r="K18" s="176"/>
      <c r="L18" s="117" t="s">
        <v>83</v>
      </c>
      <c r="M18" s="117" t="s">
        <v>83</v>
      </c>
      <c r="N18" s="283"/>
      <c r="O18" s="284"/>
      <c r="P18" s="284"/>
      <c r="Q18" s="284"/>
      <c r="R18" s="284"/>
      <c r="S18" s="285"/>
      <c r="T18" s="84"/>
      <c r="U18" s="84"/>
      <c r="V18" s="174"/>
      <c r="W18" s="175"/>
      <c r="X18" s="176"/>
      <c r="Y18" s="84"/>
      <c r="Z18" s="84"/>
    </row>
    <row r="19" spans="1:26" ht="18" customHeight="1" x14ac:dyDescent="0.15">
      <c r="A19" s="7"/>
      <c r="B19" s="181"/>
      <c r="C19" s="182"/>
      <c r="D19" s="182"/>
      <c r="E19" s="182"/>
      <c r="F19" s="183"/>
      <c r="G19" s="84"/>
      <c r="H19" s="84"/>
      <c r="I19" s="174"/>
      <c r="J19" s="175"/>
      <c r="K19" s="176"/>
      <c r="L19" s="84"/>
      <c r="M19" s="84"/>
      <c r="N19" s="168"/>
      <c r="O19" s="169"/>
      <c r="P19" s="169"/>
      <c r="Q19" s="169"/>
      <c r="R19" s="169"/>
      <c r="S19" s="170"/>
      <c r="T19" s="84"/>
      <c r="U19" s="84"/>
      <c r="V19" s="174"/>
      <c r="W19" s="175"/>
      <c r="X19" s="176"/>
      <c r="Y19" s="84"/>
      <c r="Z19" s="84"/>
    </row>
    <row r="20" spans="1:26" ht="18" customHeight="1" x14ac:dyDescent="0.15">
      <c r="A20" s="7"/>
      <c r="B20" s="181"/>
      <c r="C20" s="182"/>
      <c r="D20" s="182"/>
      <c r="E20" s="182"/>
      <c r="F20" s="183"/>
      <c r="G20" s="84"/>
      <c r="H20" s="84"/>
      <c r="I20" s="174"/>
      <c r="J20" s="175"/>
      <c r="K20" s="176"/>
      <c r="L20" s="84"/>
      <c r="M20" s="84"/>
      <c r="N20" s="168"/>
      <c r="O20" s="169"/>
      <c r="P20" s="169"/>
      <c r="Q20" s="169"/>
      <c r="R20" s="169"/>
      <c r="S20" s="170"/>
      <c r="T20" s="84"/>
      <c r="U20" s="84"/>
      <c r="V20" s="174"/>
      <c r="W20" s="175"/>
      <c r="X20" s="176"/>
      <c r="Y20" s="84"/>
      <c r="Z20" s="84"/>
    </row>
    <row r="21" spans="1:26" ht="18" customHeight="1" x14ac:dyDescent="0.15">
      <c r="A21" s="14"/>
      <c r="B21" s="181"/>
      <c r="C21" s="182"/>
      <c r="D21" s="182"/>
      <c r="E21" s="182"/>
      <c r="F21" s="183"/>
      <c r="G21" s="84"/>
      <c r="H21" s="84"/>
      <c r="I21" s="174"/>
      <c r="J21" s="175"/>
      <c r="K21" s="176"/>
      <c r="L21" s="84"/>
      <c r="M21" s="84"/>
      <c r="N21" s="168"/>
      <c r="O21" s="169"/>
      <c r="P21" s="169"/>
      <c r="Q21" s="169"/>
      <c r="R21" s="169"/>
      <c r="S21" s="170"/>
      <c r="T21" s="84"/>
      <c r="U21" s="84"/>
      <c r="V21" s="174"/>
      <c r="W21" s="175"/>
      <c r="X21" s="176"/>
      <c r="Y21" s="84"/>
      <c r="Z21" s="84"/>
    </row>
    <row r="22" spans="1:26" ht="18" customHeight="1" x14ac:dyDescent="0.15">
      <c r="A22" s="14"/>
      <c r="B22" s="184"/>
      <c r="C22" s="185"/>
      <c r="D22" s="185"/>
      <c r="E22" s="185"/>
      <c r="F22" s="186"/>
      <c r="G22" s="85"/>
      <c r="H22" s="85"/>
      <c r="I22" s="177"/>
      <c r="J22" s="178"/>
      <c r="K22" s="179"/>
      <c r="L22" s="90"/>
      <c r="M22" s="90"/>
      <c r="N22" s="171"/>
      <c r="O22" s="172"/>
      <c r="P22" s="172"/>
      <c r="Q22" s="172"/>
      <c r="R22" s="172"/>
      <c r="S22" s="173"/>
      <c r="T22" s="85"/>
      <c r="U22" s="85"/>
      <c r="V22" s="177"/>
      <c r="W22" s="178"/>
      <c r="X22" s="179"/>
      <c r="Y22" s="90"/>
      <c r="Z22" s="90"/>
    </row>
    <row r="23" spans="1:26" ht="7.5" customHeight="1" x14ac:dyDescent="0.15">
      <c r="A23" s="14"/>
      <c r="B23" s="18"/>
      <c r="C23" s="18"/>
      <c r="D23" s="14"/>
      <c r="E23" s="14"/>
      <c r="F23" s="14"/>
      <c r="G23" s="14"/>
      <c r="H23" s="14"/>
      <c r="I23" s="14"/>
      <c r="J23" s="14"/>
      <c r="K23" s="14"/>
      <c r="L23" s="18"/>
      <c r="M23" s="18"/>
      <c r="N23" s="18"/>
      <c r="O23" s="18"/>
      <c r="P23" s="18"/>
      <c r="Q23" s="18"/>
      <c r="R23" s="18"/>
      <c r="S23" s="18"/>
      <c r="T23" s="18"/>
      <c r="U23" s="18"/>
      <c r="V23" s="18"/>
      <c r="W23" s="18"/>
      <c r="X23" s="18"/>
      <c r="Y23" s="18"/>
      <c r="Z23" s="14"/>
    </row>
    <row r="24" spans="1:26" ht="18" customHeight="1" x14ac:dyDescent="0.15">
      <c r="A24" s="225" t="s">
        <v>85</v>
      </c>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spans="1:26" ht="18" customHeight="1" x14ac:dyDescent="0.15">
      <c r="A25" s="225"/>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spans="1:26" ht="18" customHeight="1" x14ac:dyDescent="0.15">
      <c r="A26" s="7"/>
      <c r="B26" s="152" t="s">
        <v>76</v>
      </c>
      <c r="C26" s="180"/>
      <c r="D26" s="180"/>
      <c r="E26" s="180"/>
      <c r="F26" s="153"/>
      <c r="G26" s="15" t="s">
        <v>77</v>
      </c>
      <c r="H26" s="82" t="s">
        <v>78</v>
      </c>
      <c r="I26" s="180" t="s">
        <v>79</v>
      </c>
      <c r="J26" s="180"/>
      <c r="K26" s="180"/>
      <c r="L26" s="54" t="s">
        <v>86</v>
      </c>
      <c r="M26" s="54" t="s">
        <v>87</v>
      </c>
      <c r="N26" s="152" t="s">
        <v>76</v>
      </c>
      <c r="O26" s="180"/>
      <c r="P26" s="180"/>
      <c r="Q26" s="180"/>
      <c r="R26" s="180"/>
      <c r="S26" s="153"/>
      <c r="T26" s="15" t="s">
        <v>77</v>
      </c>
      <c r="U26" s="82" t="s">
        <v>78</v>
      </c>
      <c r="V26" s="180" t="s">
        <v>79</v>
      </c>
      <c r="W26" s="180"/>
      <c r="X26" s="180"/>
      <c r="Y26" s="54" t="s">
        <v>86</v>
      </c>
      <c r="Z26" s="54" t="s">
        <v>87</v>
      </c>
    </row>
    <row r="27" spans="1:26" ht="18" customHeight="1" x14ac:dyDescent="0.15">
      <c r="A27" s="7"/>
      <c r="B27" s="188" t="s">
        <v>123</v>
      </c>
      <c r="C27" s="189"/>
      <c r="D27" s="189"/>
      <c r="E27" s="189"/>
      <c r="F27" s="190"/>
      <c r="G27" s="83">
        <v>4</v>
      </c>
      <c r="H27" s="83" t="s">
        <v>83</v>
      </c>
      <c r="I27" s="194" t="s">
        <v>84</v>
      </c>
      <c r="J27" s="195"/>
      <c r="K27" s="196"/>
      <c r="L27" s="116" t="s">
        <v>83</v>
      </c>
      <c r="M27" s="116" t="s">
        <v>83</v>
      </c>
      <c r="N27" s="165"/>
      <c r="O27" s="166"/>
      <c r="P27" s="166"/>
      <c r="Q27" s="166"/>
      <c r="R27" s="166"/>
      <c r="S27" s="167"/>
      <c r="T27" s="83"/>
      <c r="U27" s="83"/>
      <c r="V27" s="194"/>
      <c r="W27" s="195"/>
      <c r="X27" s="196"/>
      <c r="Y27" s="83"/>
      <c r="Z27" s="83"/>
    </row>
    <row r="28" spans="1:26" ht="18" customHeight="1" x14ac:dyDescent="0.15">
      <c r="A28" s="7"/>
      <c r="B28" s="181" t="s">
        <v>124</v>
      </c>
      <c r="C28" s="182"/>
      <c r="D28" s="182"/>
      <c r="E28" s="182"/>
      <c r="F28" s="183"/>
      <c r="G28" s="84">
        <v>2</v>
      </c>
      <c r="H28" s="84" t="s">
        <v>83</v>
      </c>
      <c r="I28" s="174" t="s">
        <v>84</v>
      </c>
      <c r="J28" s="175"/>
      <c r="K28" s="176"/>
      <c r="L28" s="117" t="s">
        <v>83</v>
      </c>
      <c r="M28" s="117" t="s">
        <v>83</v>
      </c>
      <c r="N28" s="283"/>
      <c r="O28" s="284"/>
      <c r="P28" s="284"/>
      <c r="Q28" s="284"/>
      <c r="R28" s="284"/>
      <c r="S28" s="285"/>
      <c r="T28" s="84"/>
      <c r="U28" s="84"/>
      <c r="V28" s="174"/>
      <c r="W28" s="175"/>
      <c r="X28" s="176"/>
      <c r="Y28" s="84"/>
      <c r="Z28" s="84"/>
    </row>
    <row r="29" spans="1:26" ht="18" customHeight="1" x14ac:dyDescent="0.15">
      <c r="A29" s="7"/>
      <c r="B29" s="181" t="s">
        <v>125</v>
      </c>
      <c r="C29" s="182"/>
      <c r="D29" s="182"/>
      <c r="E29" s="182"/>
      <c r="F29" s="183"/>
      <c r="G29" s="84">
        <v>2</v>
      </c>
      <c r="H29" s="84" t="s">
        <v>83</v>
      </c>
      <c r="I29" s="174" t="s">
        <v>84</v>
      </c>
      <c r="J29" s="175"/>
      <c r="K29" s="176"/>
      <c r="L29" s="117" t="s">
        <v>83</v>
      </c>
      <c r="M29" s="117"/>
      <c r="N29" s="283"/>
      <c r="O29" s="284"/>
      <c r="P29" s="284"/>
      <c r="Q29" s="284"/>
      <c r="R29" s="284"/>
      <c r="S29" s="285"/>
      <c r="T29" s="84"/>
      <c r="U29" s="84"/>
      <c r="V29" s="174"/>
      <c r="W29" s="175"/>
      <c r="X29" s="176"/>
      <c r="Y29" s="84"/>
      <c r="Z29" s="84"/>
    </row>
    <row r="30" spans="1:26" ht="18" customHeight="1" x14ac:dyDescent="0.15">
      <c r="A30" s="7"/>
      <c r="B30" s="181"/>
      <c r="C30" s="182"/>
      <c r="D30" s="182"/>
      <c r="E30" s="182"/>
      <c r="F30" s="183"/>
      <c r="G30" s="84"/>
      <c r="H30" s="84"/>
      <c r="I30" s="174"/>
      <c r="J30" s="175"/>
      <c r="K30" s="176"/>
      <c r="L30" s="84"/>
      <c r="M30" s="84"/>
      <c r="N30" s="168"/>
      <c r="O30" s="169"/>
      <c r="P30" s="169"/>
      <c r="Q30" s="169"/>
      <c r="R30" s="169"/>
      <c r="S30" s="170"/>
      <c r="T30" s="84"/>
      <c r="U30" s="84"/>
      <c r="V30" s="174"/>
      <c r="W30" s="175"/>
      <c r="X30" s="176"/>
      <c r="Y30" s="84"/>
      <c r="Z30" s="84"/>
    </row>
    <row r="31" spans="1:26" ht="18" customHeight="1" x14ac:dyDescent="0.15">
      <c r="A31" s="7"/>
      <c r="B31" s="181"/>
      <c r="C31" s="182"/>
      <c r="D31" s="182"/>
      <c r="E31" s="182"/>
      <c r="F31" s="183"/>
      <c r="G31" s="84"/>
      <c r="H31" s="84"/>
      <c r="I31" s="174"/>
      <c r="J31" s="175"/>
      <c r="K31" s="176"/>
      <c r="L31" s="84"/>
      <c r="M31" s="84"/>
      <c r="N31" s="168"/>
      <c r="O31" s="169"/>
      <c r="P31" s="169"/>
      <c r="Q31" s="169"/>
      <c r="R31" s="169"/>
      <c r="S31" s="170"/>
      <c r="T31" s="84"/>
      <c r="U31" s="84"/>
      <c r="V31" s="174"/>
      <c r="W31" s="175"/>
      <c r="X31" s="176"/>
      <c r="Y31" s="84"/>
      <c r="Z31" s="84"/>
    </row>
    <row r="32" spans="1:26" ht="18" customHeight="1" x14ac:dyDescent="0.15">
      <c r="A32" s="7"/>
      <c r="B32" s="181"/>
      <c r="C32" s="182"/>
      <c r="D32" s="182"/>
      <c r="E32" s="182"/>
      <c r="F32" s="183"/>
      <c r="G32" s="84"/>
      <c r="H32" s="84"/>
      <c r="I32" s="174"/>
      <c r="J32" s="175"/>
      <c r="K32" s="176"/>
      <c r="L32" s="84"/>
      <c r="M32" s="84"/>
      <c r="N32" s="168"/>
      <c r="O32" s="169"/>
      <c r="P32" s="169"/>
      <c r="Q32" s="169"/>
      <c r="R32" s="169"/>
      <c r="S32" s="170"/>
      <c r="T32" s="84"/>
      <c r="U32" s="84"/>
      <c r="V32" s="174"/>
      <c r="W32" s="175"/>
      <c r="X32" s="176"/>
      <c r="Y32" s="84"/>
      <c r="Z32" s="84"/>
    </row>
    <row r="33" spans="1:26" ht="18" customHeight="1" x14ac:dyDescent="0.15">
      <c r="A33" s="7"/>
      <c r="B33" s="184"/>
      <c r="C33" s="185"/>
      <c r="D33" s="185"/>
      <c r="E33" s="185"/>
      <c r="F33" s="186"/>
      <c r="G33" s="85"/>
      <c r="H33" s="85"/>
      <c r="I33" s="177"/>
      <c r="J33" s="178"/>
      <c r="K33" s="179"/>
      <c r="L33" s="90"/>
      <c r="M33" s="90"/>
      <c r="N33" s="171"/>
      <c r="O33" s="172"/>
      <c r="P33" s="172"/>
      <c r="Q33" s="172"/>
      <c r="R33" s="172"/>
      <c r="S33" s="173"/>
      <c r="T33" s="85"/>
      <c r="U33" s="85"/>
      <c r="V33" s="177"/>
      <c r="W33" s="178"/>
      <c r="X33" s="179"/>
      <c r="Y33" s="90"/>
      <c r="Z33" s="90"/>
    </row>
    <row r="34" spans="1:26" ht="7.5" customHeight="1" x14ac:dyDescent="0.15">
      <c r="A34" s="14"/>
      <c r="B34" s="18"/>
      <c r="C34" s="18"/>
      <c r="D34" s="14"/>
      <c r="E34" s="14"/>
      <c r="F34" s="14"/>
      <c r="G34" s="14"/>
      <c r="H34" s="14"/>
      <c r="I34" s="14"/>
      <c r="J34" s="14"/>
      <c r="K34" s="14"/>
      <c r="L34" s="18"/>
      <c r="M34" s="18"/>
      <c r="N34" s="18"/>
      <c r="O34" s="18"/>
      <c r="P34" s="18"/>
      <c r="Q34" s="18"/>
      <c r="R34" s="18"/>
      <c r="S34" s="18"/>
      <c r="T34" s="18"/>
      <c r="U34" s="18"/>
      <c r="V34" s="18"/>
      <c r="W34" s="18"/>
      <c r="X34" s="18"/>
      <c r="Y34" s="18"/>
      <c r="Z34" s="14"/>
    </row>
    <row r="35" spans="1:26" ht="18" customHeight="1" x14ac:dyDescent="0.15">
      <c r="A35" s="225" t="s">
        <v>88</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ht="18" customHeight="1" x14ac:dyDescent="0.15">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ht="18" customHeight="1" x14ac:dyDescent="0.15">
      <c r="A37" s="7"/>
      <c r="B37" s="152" t="s">
        <v>76</v>
      </c>
      <c r="C37" s="180"/>
      <c r="D37" s="180"/>
      <c r="E37" s="180"/>
      <c r="F37" s="153"/>
      <c r="G37" s="15" t="s">
        <v>77</v>
      </c>
      <c r="H37" s="82" t="s">
        <v>78</v>
      </c>
      <c r="I37" s="152" t="s">
        <v>79</v>
      </c>
      <c r="J37" s="180"/>
      <c r="K37" s="153"/>
      <c r="L37" s="54" t="s">
        <v>89</v>
      </c>
      <c r="M37" s="54" t="s">
        <v>90</v>
      </c>
      <c r="N37" s="152" t="s">
        <v>76</v>
      </c>
      <c r="O37" s="180"/>
      <c r="P37" s="180"/>
      <c r="Q37" s="180"/>
      <c r="R37" s="180"/>
      <c r="S37" s="153"/>
      <c r="T37" s="15" t="s">
        <v>77</v>
      </c>
      <c r="U37" s="82" t="s">
        <v>78</v>
      </c>
      <c r="V37" s="152" t="s">
        <v>79</v>
      </c>
      <c r="W37" s="180"/>
      <c r="X37" s="153"/>
      <c r="Y37" s="54" t="s">
        <v>89</v>
      </c>
      <c r="Z37" s="54" t="s">
        <v>90</v>
      </c>
    </row>
    <row r="38" spans="1:26" ht="18" customHeight="1" x14ac:dyDescent="0.15">
      <c r="A38" s="14"/>
      <c r="B38" s="188" t="s">
        <v>123</v>
      </c>
      <c r="C38" s="189"/>
      <c r="D38" s="189"/>
      <c r="E38" s="189"/>
      <c r="F38" s="190"/>
      <c r="G38" s="83">
        <v>4</v>
      </c>
      <c r="H38" s="83" t="s">
        <v>83</v>
      </c>
      <c r="I38" s="194" t="s">
        <v>84</v>
      </c>
      <c r="J38" s="195"/>
      <c r="K38" s="196"/>
      <c r="L38" s="116" t="s">
        <v>83</v>
      </c>
      <c r="M38" s="116" t="s">
        <v>83</v>
      </c>
      <c r="N38" s="165"/>
      <c r="O38" s="166"/>
      <c r="P38" s="166"/>
      <c r="Q38" s="166"/>
      <c r="R38" s="166"/>
      <c r="S38" s="167"/>
      <c r="T38" s="83"/>
      <c r="U38" s="83"/>
      <c r="V38" s="194"/>
      <c r="W38" s="195"/>
      <c r="X38" s="196"/>
      <c r="Y38" s="83"/>
      <c r="Z38" s="83"/>
    </row>
    <row r="39" spans="1:26" ht="18" customHeight="1" x14ac:dyDescent="0.15">
      <c r="A39" s="14"/>
      <c r="B39" s="181" t="s">
        <v>124</v>
      </c>
      <c r="C39" s="182"/>
      <c r="D39" s="182"/>
      <c r="E39" s="182"/>
      <c r="F39" s="183"/>
      <c r="G39" s="84">
        <v>2</v>
      </c>
      <c r="H39" s="84" t="s">
        <v>83</v>
      </c>
      <c r="I39" s="174" t="s">
        <v>84</v>
      </c>
      <c r="J39" s="175"/>
      <c r="K39" s="176"/>
      <c r="L39" s="117" t="s">
        <v>83</v>
      </c>
      <c r="M39" s="117" t="s">
        <v>83</v>
      </c>
      <c r="N39" s="283"/>
      <c r="O39" s="284"/>
      <c r="P39" s="284"/>
      <c r="Q39" s="284"/>
      <c r="R39" s="284"/>
      <c r="S39" s="285"/>
      <c r="T39" s="84"/>
      <c r="U39" s="84"/>
      <c r="V39" s="174"/>
      <c r="W39" s="175"/>
      <c r="X39" s="176"/>
      <c r="Y39" s="84"/>
      <c r="Z39" s="84"/>
    </row>
    <row r="40" spans="1:26" ht="18" customHeight="1" x14ac:dyDescent="0.15">
      <c r="A40" s="14"/>
      <c r="B40" s="181" t="s">
        <v>125</v>
      </c>
      <c r="C40" s="182"/>
      <c r="D40" s="182"/>
      <c r="E40" s="182"/>
      <c r="F40" s="183"/>
      <c r="G40" s="84">
        <v>2</v>
      </c>
      <c r="H40" s="84" t="s">
        <v>83</v>
      </c>
      <c r="I40" s="174" t="s">
        <v>84</v>
      </c>
      <c r="J40" s="175"/>
      <c r="K40" s="176"/>
      <c r="L40" s="117" t="s">
        <v>83</v>
      </c>
      <c r="M40" s="117" t="s">
        <v>83</v>
      </c>
      <c r="N40" s="283"/>
      <c r="O40" s="284"/>
      <c r="P40" s="284"/>
      <c r="Q40" s="284"/>
      <c r="R40" s="284"/>
      <c r="S40" s="285"/>
      <c r="T40" s="84"/>
      <c r="U40" s="84"/>
      <c r="V40" s="174"/>
      <c r="W40" s="175"/>
      <c r="X40" s="176"/>
      <c r="Y40" s="84"/>
      <c r="Z40" s="84"/>
    </row>
    <row r="41" spans="1:26" ht="18" customHeight="1" x14ac:dyDescent="0.15">
      <c r="A41" s="14"/>
      <c r="B41" s="181"/>
      <c r="C41" s="182"/>
      <c r="D41" s="182"/>
      <c r="E41" s="182"/>
      <c r="F41" s="183"/>
      <c r="G41" s="84"/>
      <c r="H41" s="84"/>
      <c r="I41" s="174"/>
      <c r="J41" s="175"/>
      <c r="K41" s="176"/>
      <c r="L41" s="84"/>
      <c r="M41" s="84"/>
      <c r="N41" s="168"/>
      <c r="O41" s="169"/>
      <c r="P41" s="169"/>
      <c r="Q41" s="169"/>
      <c r="R41" s="169"/>
      <c r="S41" s="170"/>
      <c r="T41" s="84"/>
      <c r="U41" s="84"/>
      <c r="V41" s="174"/>
      <c r="W41" s="175"/>
      <c r="X41" s="176"/>
      <c r="Y41" s="84"/>
      <c r="Z41" s="84"/>
    </row>
    <row r="42" spans="1:26" ht="18" customHeight="1" x14ac:dyDescent="0.15">
      <c r="A42" s="14"/>
      <c r="B42" s="181"/>
      <c r="C42" s="182"/>
      <c r="D42" s="182"/>
      <c r="E42" s="182"/>
      <c r="F42" s="183"/>
      <c r="G42" s="84"/>
      <c r="H42" s="84"/>
      <c r="I42" s="174"/>
      <c r="J42" s="175"/>
      <c r="K42" s="176"/>
      <c r="L42" s="84"/>
      <c r="M42" s="84"/>
      <c r="N42" s="168"/>
      <c r="O42" s="169"/>
      <c r="P42" s="169"/>
      <c r="Q42" s="169"/>
      <c r="R42" s="169"/>
      <c r="S42" s="170"/>
      <c r="T42" s="84"/>
      <c r="U42" s="84"/>
      <c r="V42" s="174"/>
      <c r="W42" s="175"/>
      <c r="X42" s="176"/>
      <c r="Y42" s="84"/>
      <c r="Z42" s="84"/>
    </row>
    <row r="43" spans="1:26" ht="18" customHeight="1" x14ac:dyDescent="0.15">
      <c r="A43" s="14"/>
      <c r="B43" s="181"/>
      <c r="C43" s="182"/>
      <c r="D43" s="182"/>
      <c r="E43" s="182"/>
      <c r="F43" s="183"/>
      <c r="G43" s="84"/>
      <c r="H43" s="84"/>
      <c r="I43" s="174"/>
      <c r="J43" s="175"/>
      <c r="K43" s="176"/>
      <c r="L43" s="84"/>
      <c r="M43" s="84"/>
      <c r="N43" s="168"/>
      <c r="O43" s="169"/>
      <c r="P43" s="169"/>
      <c r="Q43" s="169"/>
      <c r="R43" s="169"/>
      <c r="S43" s="170"/>
      <c r="T43" s="84"/>
      <c r="U43" s="84"/>
      <c r="V43" s="174"/>
      <c r="W43" s="175"/>
      <c r="X43" s="176"/>
      <c r="Y43" s="84"/>
      <c r="Z43" s="84"/>
    </row>
    <row r="44" spans="1:26" ht="18" customHeight="1" x14ac:dyDescent="0.15">
      <c r="A44" s="14"/>
      <c r="B44" s="184"/>
      <c r="C44" s="185"/>
      <c r="D44" s="185"/>
      <c r="E44" s="185"/>
      <c r="F44" s="186"/>
      <c r="G44" s="85"/>
      <c r="H44" s="85"/>
      <c r="I44" s="177"/>
      <c r="J44" s="178"/>
      <c r="K44" s="179"/>
      <c r="L44" s="90"/>
      <c r="M44" s="90"/>
      <c r="N44" s="171"/>
      <c r="O44" s="172"/>
      <c r="P44" s="172"/>
      <c r="Q44" s="172"/>
      <c r="R44" s="172"/>
      <c r="S44" s="173"/>
      <c r="T44" s="85"/>
      <c r="U44" s="85"/>
      <c r="V44" s="177"/>
      <c r="W44" s="178"/>
      <c r="X44" s="179"/>
      <c r="Y44" s="90"/>
      <c r="Z44" s="90"/>
    </row>
    <row r="45" spans="1:26" ht="7.5" customHeight="1" x14ac:dyDescent="0.15">
      <c r="B45" s="55"/>
      <c r="C45" s="55"/>
      <c r="D45" s="55"/>
      <c r="E45" s="55"/>
      <c r="F45" s="55"/>
      <c r="G45" s="55"/>
      <c r="H45" s="55"/>
      <c r="I45" s="55"/>
      <c r="J45" s="55"/>
      <c r="K45" s="55"/>
      <c r="L45" s="55"/>
      <c r="M45" s="55"/>
      <c r="N45" s="55"/>
      <c r="O45" s="55"/>
      <c r="P45" s="55"/>
      <c r="Q45" s="55"/>
      <c r="R45" s="55"/>
      <c r="S45" s="55"/>
      <c r="T45" s="55"/>
      <c r="U45" s="55"/>
      <c r="V45" s="55"/>
      <c r="W45" s="55"/>
      <c r="X45" s="55"/>
      <c r="Y45" s="55"/>
    </row>
    <row r="46" spans="1:26" ht="18" customHeight="1" x14ac:dyDescent="0.15">
      <c r="A46" s="225" t="s">
        <v>91</v>
      </c>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spans="1:26" ht="18" customHeight="1" x14ac:dyDescent="0.15">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spans="1:26" ht="18" customHeight="1" x14ac:dyDescent="0.15">
      <c r="A48" s="7"/>
      <c r="B48" s="152" t="s">
        <v>76</v>
      </c>
      <c r="C48" s="180"/>
      <c r="D48" s="180"/>
      <c r="E48" s="180"/>
      <c r="F48" s="153"/>
      <c r="G48" s="15" t="s">
        <v>77</v>
      </c>
      <c r="H48" s="82" t="s">
        <v>78</v>
      </c>
      <c r="I48" s="152" t="s">
        <v>79</v>
      </c>
      <c r="J48" s="180"/>
      <c r="K48" s="153"/>
      <c r="L48" s="54" t="s">
        <v>92</v>
      </c>
      <c r="M48" s="54" t="s">
        <v>93</v>
      </c>
      <c r="N48" s="152" t="s">
        <v>76</v>
      </c>
      <c r="O48" s="180"/>
      <c r="P48" s="180"/>
      <c r="Q48" s="180"/>
      <c r="R48" s="180"/>
      <c r="S48" s="153"/>
      <c r="T48" s="15" t="s">
        <v>77</v>
      </c>
      <c r="U48" s="82" t="s">
        <v>78</v>
      </c>
      <c r="V48" s="152" t="s">
        <v>79</v>
      </c>
      <c r="W48" s="180"/>
      <c r="X48" s="153"/>
      <c r="Y48" s="54" t="s">
        <v>92</v>
      </c>
      <c r="Z48" s="54" t="s">
        <v>93</v>
      </c>
    </row>
    <row r="49" spans="1:26" ht="18" customHeight="1" x14ac:dyDescent="0.15">
      <c r="A49" s="14"/>
      <c r="B49" s="188" t="s">
        <v>126</v>
      </c>
      <c r="C49" s="189"/>
      <c r="D49" s="189"/>
      <c r="E49" s="189"/>
      <c r="F49" s="190"/>
      <c r="G49" s="83">
        <v>4</v>
      </c>
      <c r="H49" s="83" t="s">
        <v>83</v>
      </c>
      <c r="I49" s="194" t="s">
        <v>84</v>
      </c>
      <c r="J49" s="195"/>
      <c r="K49" s="196"/>
      <c r="L49" s="116" t="s">
        <v>83</v>
      </c>
      <c r="M49" s="116" t="s">
        <v>83</v>
      </c>
      <c r="N49" s="165"/>
      <c r="O49" s="166"/>
      <c r="P49" s="166"/>
      <c r="Q49" s="166"/>
      <c r="R49" s="166"/>
      <c r="S49" s="167"/>
      <c r="T49" s="83"/>
      <c r="U49" s="83"/>
      <c r="V49" s="194"/>
      <c r="W49" s="195"/>
      <c r="X49" s="196"/>
      <c r="Y49" s="83"/>
      <c r="Z49" s="83"/>
    </row>
    <row r="50" spans="1:26" ht="18" customHeight="1" x14ac:dyDescent="0.15">
      <c r="A50" s="14"/>
      <c r="B50" s="181" t="s">
        <v>124</v>
      </c>
      <c r="C50" s="182"/>
      <c r="D50" s="182"/>
      <c r="E50" s="182"/>
      <c r="F50" s="183"/>
      <c r="G50" s="84">
        <v>2</v>
      </c>
      <c r="H50" s="84" t="s">
        <v>83</v>
      </c>
      <c r="I50" s="174" t="s">
        <v>84</v>
      </c>
      <c r="J50" s="175"/>
      <c r="K50" s="176"/>
      <c r="L50" s="117" t="s">
        <v>83</v>
      </c>
      <c r="M50" s="117"/>
      <c r="N50" s="283"/>
      <c r="O50" s="284"/>
      <c r="P50" s="284"/>
      <c r="Q50" s="284"/>
      <c r="R50" s="284"/>
      <c r="S50" s="285"/>
      <c r="T50" s="84"/>
      <c r="U50" s="84"/>
      <c r="V50" s="174"/>
      <c r="W50" s="175"/>
      <c r="X50" s="176"/>
      <c r="Y50" s="84"/>
      <c r="Z50" s="84"/>
    </row>
    <row r="51" spans="1:26" ht="18" customHeight="1" x14ac:dyDescent="0.15">
      <c r="A51" s="14"/>
      <c r="B51" s="181" t="s">
        <v>127</v>
      </c>
      <c r="C51" s="182"/>
      <c r="D51" s="182"/>
      <c r="E51" s="182"/>
      <c r="F51" s="183"/>
      <c r="G51" s="84">
        <v>2</v>
      </c>
      <c r="H51" s="84" t="s">
        <v>83</v>
      </c>
      <c r="I51" s="174" t="s">
        <v>84</v>
      </c>
      <c r="J51" s="175"/>
      <c r="K51" s="176"/>
      <c r="L51" s="117"/>
      <c r="M51" s="117" t="s">
        <v>83</v>
      </c>
      <c r="N51" s="283"/>
      <c r="O51" s="284"/>
      <c r="P51" s="284"/>
      <c r="Q51" s="284"/>
      <c r="R51" s="284"/>
      <c r="S51" s="285"/>
      <c r="T51" s="84"/>
      <c r="U51" s="84"/>
      <c r="V51" s="174"/>
      <c r="W51" s="175"/>
      <c r="X51" s="176"/>
      <c r="Y51" s="84"/>
      <c r="Z51" s="84"/>
    </row>
    <row r="52" spans="1:26" ht="18" customHeight="1" x14ac:dyDescent="0.15">
      <c r="A52" s="14"/>
      <c r="B52" s="181"/>
      <c r="C52" s="182"/>
      <c r="D52" s="182"/>
      <c r="E52" s="182"/>
      <c r="F52" s="183"/>
      <c r="G52" s="84"/>
      <c r="H52" s="84"/>
      <c r="I52" s="174"/>
      <c r="J52" s="175"/>
      <c r="K52" s="176"/>
      <c r="L52" s="84"/>
      <c r="M52" s="84"/>
      <c r="N52" s="168"/>
      <c r="O52" s="169"/>
      <c r="P52" s="169"/>
      <c r="Q52" s="169"/>
      <c r="R52" s="169"/>
      <c r="S52" s="170"/>
      <c r="T52" s="84"/>
      <c r="U52" s="84"/>
      <c r="V52" s="174"/>
      <c r="W52" s="175"/>
      <c r="X52" s="176"/>
      <c r="Y52" s="84"/>
      <c r="Z52" s="84"/>
    </row>
    <row r="53" spans="1:26" ht="18" customHeight="1" x14ac:dyDescent="0.15">
      <c r="A53" s="14"/>
      <c r="B53" s="181"/>
      <c r="C53" s="182"/>
      <c r="D53" s="182"/>
      <c r="E53" s="182"/>
      <c r="F53" s="183"/>
      <c r="G53" s="84"/>
      <c r="H53" s="84"/>
      <c r="I53" s="174"/>
      <c r="J53" s="175"/>
      <c r="K53" s="176"/>
      <c r="L53" s="84"/>
      <c r="M53" s="84"/>
      <c r="N53" s="168"/>
      <c r="O53" s="169"/>
      <c r="P53" s="169"/>
      <c r="Q53" s="169"/>
      <c r="R53" s="169"/>
      <c r="S53" s="170"/>
      <c r="T53" s="84"/>
      <c r="U53" s="84"/>
      <c r="V53" s="174"/>
      <c r="W53" s="175"/>
      <c r="X53" s="176"/>
      <c r="Y53" s="84"/>
      <c r="Z53" s="84"/>
    </row>
    <row r="54" spans="1:26" ht="18" customHeight="1" x14ac:dyDescent="0.15">
      <c r="A54" s="14"/>
      <c r="B54" s="181"/>
      <c r="C54" s="182"/>
      <c r="D54" s="182"/>
      <c r="E54" s="182"/>
      <c r="F54" s="183"/>
      <c r="G54" s="84"/>
      <c r="H54" s="84"/>
      <c r="I54" s="174"/>
      <c r="J54" s="175"/>
      <c r="K54" s="176"/>
      <c r="L54" s="84"/>
      <c r="M54" s="84"/>
      <c r="N54" s="168"/>
      <c r="O54" s="169"/>
      <c r="P54" s="169"/>
      <c r="Q54" s="169"/>
      <c r="R54" s="169"/>
      <c r="S54" s="170"/>
      <c r="T54" s="84"/>
      <c r="U54" s="84"/>
      <c r="V54" s="174"/>
      <c r="W54" s="175"/>
      <c r="X54" s="176"/>
      <c r="Y54" s="84"/>
      <c r="Z54" s="84"/>
    </row>
    <row r="55" spans="1:26" ht="18" customHeight="1" x14ac:dyDescent="0.15">
      <c r="A55" s="14"/>
      <c r="B55" s="184"/>
      <c r="C55" s="185"/>
      <c r="D55" s="185"/>
      <c r="E55" s="185"/>
      <c r="F55" s="186"/>
      <c r="G55" s="85"/>
      <c r="H55" s="85"/>
      <c r="I55" s="177"/>
      <c r="J55" s="178"/>
      <c r="K55" s="179"/>
      <c r="L55" s="90"/>
      <c r="M55" s="90"/>
      <c r="N55" s="171"/>
      <c r="O55" s="172"/>
      <c r="P55" s="172"/>
      <c r="Q55" s="172"/>
      <c r="R55" s="172"/>
      <c r="S55" s="173"/>
      <c r="T55" s="85"/>
      <c r="U55" s="85"/>
      <c r="V55" s="177"/>
      <c r="W55" s="178"/>
      <c r="X55" s="179"/>
      <c r="Y55" s="90"/>
      <c r="Z55" s="90"/>
    </row>
    <row r="56" spans="1:26" ht="7.5" customHeight="1" x14ac:dyDescent="0.15">
      <c r="B56" s="55"/>
      <c r="C56" s="55"/>
      <c r="D56" s="55"/>
      <c r="E56" s="55"/>
      <c r="F56" s="55"/>
      <c r="G56" s="55"/>
      <c r="H56" s="55"/>
      <c r="I56" s="55"/>
      <c r="J56" s="55"/>
      <c r="K56" s="55"/>
      <c r="L56" s="55"/>
      <c r="M56" s="55"/>
      <c r="N56" s="55"/>
      <c r="O56" s="55"/>
      <c r="P56" s="55"/>
      <c r="Q56" s="55"/>
      <c r="R56" s="55"/>
      <c r="S56" s="55"/>
      <c r="T56" s="55"/>
      <c r="U56" s="55"/>
      <c r="V56" s="55"/>
      <c r="W56" s="55"/>
      <c r="X56" s="55"/>
      <c r="Y56" s="55"/>
    </row>
    <row r="57" spans="1:26" ht="18" customHeight="1" x14ac:dyDescent="0.15">
      <c r="A57" s="225" t="s">
        <v>95</v>
      </c>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spans="1:26" ht="18" customHeight="1" x14ac:dyDescent="0.15">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spans="1:26" ht="18" customHeight="1" x14ac:dyDescent="0.15">
      <c r="A59" s="7"/>
      <c r="B59" s="152" t="s">
        <v>76</v>
      </c>
      <c r="C59" s="180"/>
      <c r="D59" s="180"/>
      <c r="E59" s="153"/>
      <c r="F59" s="15" t="s">
        <v>77</v>
      </c>
      <c r="G59" s="82" t="s">
        <v>78</v>
      </c>
      <c r="H59" s="77" t="s">
        <v>79</v>
      </c>
      <c r="I59" s="78"/>
      <c r="J59" s="79"/>
      <c r="K59" s="54" t="s">
        <v>96</v>
      </c>
      <c r="L59" s="54" t="s">
        <v>97</v>
      </c>
      <c r="M59" s="54" t="s">
        <v>98</v>
      </c>
      <c r="N59" s="152" t="s">
        <v>76</v>
      </c>
      <c r="O59" s="180"/>
      <c r="P59" s="180"/>
      <c r="Q59" s="180"/>
      <c r="R59" s="153"/>
      <c r="S59" s="15" t="s">
        <v>77</v>
      </c>
      <c r="T59" s="82" t="s">
        <v>78</v>
      </c>
      <c r="U59" s="77" t="s">
        <v>79</v>
      </c>
      <c r="V59" s="78"/>
      <c r="W59" s="79"/>
      <c r="X59" s="54" t="s">
        <v>96</v>
      </c>
      <c r="Y59" s="54" t="s">
        <v>97</v>
      </c>
      <c r="Z59" s="54" t="s">
        <v>98</v>
      </c>
    </row>
    <row r="60" spans="1:26" ht="18" customHeight="1" x14ac:dyDescent="0.15">
      <c r="A60" s="14"/>
      <c r="B60" s="165" t="s">
        <v>123</v>
      </c>
      <c r="C60" s="166"/>
      <c r="D60" s="166"/>
      <c r="E60" s="167"/>
      <c r="F60" s="83">
        <v>4</v>
      </c>
      <c r="G60" s="83" t="s">
        <v>83</v>
      </c>
      <c r="H60" s="194" t="s">
        <v>84</v>
      </c>
      <c r="I60" s="195"/>
      <c r="J60" s="196"/>
      <c r="K60" s="116" t="s">
        <v>83</v>
      </c>
      <c r="L60" s="116" t="s">
        <v>83</v>
      </c>
      <c r="M60" s="116" t="s">
        <v>83</v>
      </c>
      <c r="N60" s="165"/>
      <c r="O60" s="166"/>
      <c r="P60" s="166"/>
      <c r="Q60" s="166"/>
      <c r="R60" s="167"/>
      <c r="S60" s="83"/>
      <c r="T60" s="83"/>
      <c r="U60" s="194"/>
      <c r="V60" s="195"/>
      <c r="W60" s="196"/>
      <c r="X60" s="89"/>
      <c r="Y60" s="83"/>
      <c r="Z60" s="83"/>
    </row>
    <row r="61" spans="1:26" ht="18" customHeight="1" x14ac:dyDescent="0.15">
      <c r="A61" s="14"/>
      <c r="B61" s="168" t="s">
        <v>124</v>
      </c>
      <c r="C61" s="169"/>
      <c r="D61" s="169"/>
      <c r="E61" s="170"/>
      <c r="F61" s="84">
        <v>2</v>
      </c>
      <c r="G61" s="84" t="s">
        <v>83</v>
      </c>
      <c r="H61" s="174" t="s">
        <v>84</v>
      </c>
      <c r="I61" s="175"/>
      <c r="J61" s="176"/>
      <c r="K61" s="117" t="s">
        <v>83</v>
      </c>
      <c r="L61" s="117" t="s">
        <v>83</v>
      </c>
      <c r="M61" s="117" t="s">
        <v>83</v>
      </c>
      <c r="N61" s="168"/>
      <c r="O61" s="169"/>
      <c r="P61" s="169"/>
      <c r="Q61" s="169"/>
      <c r="R61" s="170"/>
      <c r="S61" s="84"/>
      <c r="T61" s="84"/>
      <c r="U61" s="174"/>
      <c r="V61" s="175"/>
      <c r="W61" s="176"/>
      <c r="X61" s="87"/>
      <c r="Y61" s="84"/>
      <c r="Z61" s="84"/>
    </row>
    <row r="62" spans="1:26" ht="18" customHeight="1" x14ac:dyDescent="0.15">
      <c r="A62" s="14"/>
      <c r="B62" s="168" t="s">
        <v>128</v>
      </c>
      <c r="C62" s="169"/>
      <c r="D62" s="169"/>
      <c r="E62" s="170"/>
      <c r="F62" s="84">
        <v>2</v>
      </c>
      <c r="G62" s="84" t="s">
        <v>83</v>
      </c>
      <c r="H62" s="174" t="s">
        <v>84</v>
      </c>
      <c r="I62" s="175"/>
      <c r="J62" s="176"/>
      <c r="K62" s="84"/>
      <c r="L62" s="84" t="s">
        <v>83</v>
      </c>
      <c r="M62" s="84" t="s">
        <v>83</v>
      </c>
      <c r="N62" s="168"/>
      <c r="O62" s="169"/>
      <c r="P62" s="169"/>
      <c r="Q62" s="169"/>
      <c r="R62" s="170"/>
      <c r="S62" s="84"/>
      <c r="T62" s="84"/>
      <c r="U62" s="174"/>
      <c r="V62" s="175"/>
      <c r="W62" s="176"/>
      <c r="X62" s="87"/>
      <c r="Y62" s="84"/>
      <c r="Z62" s="84"/>
    </row>
    <row r="63" spans="1:26" ht="18" customHeight="1" x14ac:dyDescent="0.15">
      <c r="A63" s="14"/>
      <c r="B63" s="168" t="s">
        <v>125</v>
      </c>
      <c r="C63" s="169"/>
      <c r="D63" s="169"/>
      <c r="E63" s="170"/>
      <c r="F63" s="84">
        <v>2</v>
      </c>
      <c r="G63" s="84" t="s">
        <v>83</v>
      </c>
      <c r="H63" s="174" t="s">
        <v>84</v>
      </c>
      <c r="I63" s="175"/>
      <c r="J63" s="176"/>
      <c r="K63" s="84" t="s">
        <v>83</v>
      </c>
      <c r="L63" s="84" t="s">
        <v>83</v>
      </c>
      <c r="M63" s="84" t="s">
        <v>83</v>
      </c>
      <c r="N63" s="168"/>
      <c r="O63" s="169"/>
      <c r="P63" s="169"/>
      <c r="Q63" s="169"/>
      <c r="R63" s="170"/>
      <c r="S63" s="84"/>
      <c r="T63" s="84"/>
      <c r="U63" s="174"/>
      <c r="V63" s="175"/>
      <c r="W63" s="176"/>
      <c r="X63" s="87"/>
      <c r="Y63" s="84"/>
      <c r="Z63" s="84"/>
    </row>
    <row r="64" spans="1:26" ht="18" customHeight="1" x14ac:dyDescent="0.15">
      <c r="A64" s="14"/>
      <c r="B64" s="168"/>
      <c r="C64" s="169"/>
      <c r="D64" s="169"/>
      <c r="E64" s="170"/>
      <c r="F64" s="84"/>
      <c r="G64" s="84"/>
      <c r="H64" s="174"/>
      <c r="I64" s="175"/>
      <c r="J64" s="176"/>
      <c r="K64" s="87"/>
      <c r="L64" s="84"/>
      <c r="M64" s="84"/>
      <c r="N64" s="168"/>
      <c r="O64" s="169"/>
      <c r="P64" s="169"/>
      <c r="Q64" s="169"/>
      <c r="R64" s="170"/>
      <c r="S64" s="84"/>
      <c r="T64" s="84"/>
      <c r="U64" s="174"/>
      <c r="V64" s="175"/>
      <c r="W64" s="176"/>
      <c r="X64" s="87"/>
      <c r="Y64" s="84"/>
      <c r="Z64" s="84"/>
    </row>
    <row r="65" spans="1:26" ht="18" customHeight="1" x14ac:dyDescent="0.15">
      <c r="A65" s="14"/>
      <c r="B65" s="168"/>
      <c r="C65" s="169"/>
      <c r="D65" s="169"/>
      <c r="E65" s="170"/>
      <c r="F65" s="84"/>
      <c r="G65" s="84"/>
      <c r="H65" s="174"/>
      <c r="I65" s="175"/>
      <c r="J65" s="176"/>
      <c r="K65" s="87"/>
      <c r="L65" s="84"/>
      <c r="M65" s="84"/>
      <c r="N65" s="168"/>
      <c r="O65" s="169"/>
      <c r="P65" s="169"/>
      <c r="Q65" s="169"/>
      <c r="R65" s="170"/>
      <c r="S65" s="84"/>
      <c r="T65" s="84"/>
      <c r="U65" s="174"/>
      <c r="V65" s="175"/>
      <c r="W65" s="176"/>
      <c r="X65" s="87"/>
      <c r="Y65" s="84"/>
      <c r="Z65" s="84"/>
    </row>
    <row r="66" spans="1:26" ht="18" customHeight="1" x14ac:dyDescent="0.15">
      <c r="A66" s="14"/>
      <c r="B66" s="171"/>
      <c r="C66" s="172"/>
      <c r="D66" s="172"/>
      <c r="E66" s="173"/>
      <c r="F66" s="85"/>
      <c r="G66" s="85"/>
      <c r="H66" s="177"/>
      <c r="I66" s="178"/>
      <c r="J66" s="179"/>
      <c r="K66" s="88"/>
      <c r="L66" s="90"/>
      <c r="M66" s="90"/>
      <c r="N66" s="171"/>
      <c r="O66" s="172"/>
      <c r="P66" s="172"/>
      <c r="Q66" s="172"/>
      <c r="R66" s="173"/>
      <c r="S66" s="85"/>
      <c r="T66" s="85"/>
      <c r="U66" s="177"/>
      <c r="V66" s="178"/>
      <c r="W66" s="179"/>
      <c r="X66" s="88"/>
      <c r="Y66" s="90"/>
      <c r="Z66" s="90"/>
    </row>
    <row r="67" spans="1:26" ht="7.5" customHeight="1" x14ac:dyDescent="0.15">
      <c r="B67" s="55"/>
      <c r="C67" s="55"/>
      <c r="D67" s="55"/>
      <c r="E67" s="55"/>
      <c r="F67" s="55"/>
      <c r="G67" s="55"/>
      <c r="H67" s="55"/>
      <c r="I67" s="55"/>
      <c r="J67" s="55"/>
      <c r="K67" s="55"/>
      <c r="L67" s="55"/>
      <c r="M67" s="55"/>
      <c r="N67" s="55"/>
      <c r="O67" s="55"/>
      <c r="P67" s="55"/>
      <c r="Q67" s="55"/>
      <c r="R67" s="55"/>
      <c r="S67" s="55"/>
      <c r="T67" s="55"/>
      <c r="U67" s="55"/>
      <c r="V67" s="55"/>
      <c r="W67" s="55"/>
      <c r="X67" s="55"/>
      <c r="Y67" s="55"/>
    </row>
    <row r="68" spans="1:26" ht="18" customHeight="1" x14ac:dyDescent="0.15">
      <c r="A68" s="7" t="s">
        <v>100</v>
      </c>
      <c r="B68" s="7"/>
      <c r="C68" s="7"/>
      <c r="D68" s="7"/>
      <c r="E68" s="7"/>
      <c r="F68" s="7"/>
      <c r="G68" s="7"/>
      <c r="H68" s="7"/>
      <c r="I68" s="7"/>
      <c r="J68" s="7"/>
      <c r="K68" s="7"/>
      <c r="L68" s="14"/>
      <c r="M68" s="14"/>
      <c r="N68" s="14"/>
      <c r="O68" s="14"/>
      <c r="P68" s="14"/>
      <c r="Q68" s="14"/>
      <c r="R68" s="14"/>
      <c r="S68" s="14"/>
      <c r="T68" s="14"/>
      <c r="U68" s="14"/>
      <c r="V68" s="14"/>
      <c r="W68" s="14"/>
      <c r="X68" s="14"/>
      <c r="Y68" s="14"/>
      <c r="Z68" s="14"/>
    </row>
    <row r="69" spans="1:26" ht="18" customHeight="1" x14ac:dyDescent="0.15">
      <c r="A69" s="7"/>
      <c r="B69" s="152" t="s">
        <v>76</v>
      </c>
      <c r="C69" s="180"/>
      <c r="D69" s="180"/>
      <c r="E69" s="180"/>
      <c r="F69" s="153"/>
      <c r="G69" s="152" t="s">
        <v>101</v>
      </c>
      <c r="H69" s="180"/>
      <c r="I69" s="180"/>
      <c r="J69" s="180"/>
      <c r="K69" s="180"/>
      <c r="L69" s="180"/>
      <c r="M69" s="153"/>
      <c r="N69" s="191" t="s">
        <v>76</v>
      </c>
      <c r="O69" s="192"/>
      <c r="P69" s="192"/>
      <c r="Q69" s="192"/>
      <c r="R69" s="192"/>
      <c r="S69" s="193"/>
      <c r="T69" s="152" t="s">
        <v>101</v>
      </c>
      <c r="U69" s="180"/>
      <c r="V69" s="180"/>
      <c r="W69" s="180"/>
      <c r="X69" s="180"/>
      <c r="Y69" s="180"/>
      <c r="Z69" s="153"/>
    </row>
    <row r="70" spans="1:26" ht="18" customHeight="1" x14ac:dyDescent="0.15">
      <c r="A70" s="14"/>
      <c r="B70" s="165"/>
      <c r="C70" s="166"/>
      <c r="D70" s="166"/>
      <c r="E70" s="166"/>
      <c r="F70" s="167"/>
      <c r="G70" s="236"/>
      <c r="H70" s="237"/>
      <c r="I70" s="237"/>
      <c r="J70" s="237"/>
      <c r="K70" s="237"/>
      <c r="L70" s="237"/>
      <c r="M70" s="238"/>
      <c r="N70" s="165"/>
      <c r="O70" s="166"/>
      <c r="P70" s="166"/>
      <c r="Q70" s="166"/>
      <c r="R70" s="166"/>
      <c r="S70" s="167"/>
      <c r="T70" s="236"/>
      <c r="U70" s="237"/>
      <c r="V70" s="237"/>
      <c r="W70" s="237"/>
      <c r="X70" s="237"/>
      <c r="Y70" s="237"/>
      <c r="Z70" s="238"/>
    </row>
    <row r="71" spans="1:26" ht="18" customHeight="1" x14ac:dyDescent="0.15">
      <c r="A71" s="14"/>
      <c r="B71" s="168"/>
      <c r="C71" s="169"/>
      <c r="D71" s="169"/>
      <c r="E71" s="169"/>
      <c r="F71" s="170"/>
      <c r="G71" s="212"/>
      <c r="H71" s="213"/>
      <c r="I71" s="213"/>
      <c r="J71" s="213"/>
      <c r="K71" s="213"/>
      <c r="L71" s="213"/>
      <c r="M71" s="214"/>
      <c r="N71" s="168"/>
      <c r="O71" s="169"/>
      <c r="P71" s="169"/>
      <c r="Q71" s="169"/>
      <c r="R71" s="169"/>
      <c r="S71" s="170"/>
      <c r="T71" s="212"/>
      <c r="U71" s="213"/>
      <c r="V71" s="213"/>
      <c r="W71" s="213"/>
      <c r="X71" s="213"/>
      <c r="Y71" s="213"/>
      <c r="Z71" s="214"/>
    </row>
    <row r="72" spans="1:26" ht="18" customHeight="1" x14ac:dyDescent="0.15">
      <c r="A72" s="14"/>
      <c r="B72" s="168"/>
      <c r="C72" s="169"/>
      <c r="D72" s="169"/>
      <c r="E72" s="169"/>
      <c r="F72" s="170"/>
      <c r="G72" s="212"/>
      <c r="H72" s="213"/>
      <c r="I72" s="213"/>
      <c r="J72" s="213"/>
      <c r="K72" s="213"/>
      <c r="L72" s="213"/>
      <c r="M72" s="214"/>
      <c r="N72" s="168"/>
      <c r="O72" s="169"/>
      <c r="P72" s="169"/>
      <c r="Q72" s="169"/>
      <c r="R72" s="169"/>
      <c r="S72" s="170"/>
      <c r="T72" s="212"/>
      <c r="U72" s="213"/>
      <c r="V72" s="213"/>
      <c r="W72" s="213"/>
      <c r="X72" s="213"/>
      <c r="Y72" s="213"/>
      <c r="Z72" s="214"/>
    </row>
    <row r="73" spans="1:26" ht="18" customHeight="1" x14ac:dyDescent="0.15">
      <c r="A73" s="14"/>
      <c r="B73" s="168"/>
      <c r="C73" s="169"/>
      <c r="D73" s="169"/>
      <c r="E73" s="169"/>
      <c r="F73" s="170"/>
      <c r="G73" s="212"/>
      <c r="H73" s="213"/>
      <c r="I73" s="213"/>
      <c r="J73" s="213"/>
      <c r="K73" s="213"/>
      <c r="L73" s="213"/>
      <c r="M73" s="214"/>
      <c r="N73" s="168"/>
      <c r="O73" s="169"/>
      <c r="P73" s="169"/>
      <c r="Q73" s="169"/>
      <c r="R73" s="169"/>
      <c r="S73" s="170"/>
      <c r="T73" s="212"/>
      <c r="U73" s="213"/>
      <c r="V73" s="213"/>
      <c r="W73" s="213"/>
      <c r="X73" s="213"/>
      <c r="Y73" s="213"/>
      <c r="Z73" s="214"/>
    </row>
    <row r="74" spans="1:26" ht="18" customHeight="1" x14ac:dyDescent="0.15">
      <c r="A74" s="14"/>
      <c r="B74" s="168"/>
      <c r="C74" s="169"/>
      <c r="D74" s="169"/>
      <c r="E74" s="169"/>
      <c r="F74" s="170"/>
      <c r="G74" s="212"/>
      <c r="H74" s="213"/>
      <c r="I74" s="213"/>
      <c r="J74" s="213"/>
      <c r="K74" s="213"/>
      <c r="L74" s="213"/>
      <c r="M74" s="214"/>
      <c r="N74" s="168"/>
      <c r="O74" s="169"/>
      <c r="P74" s="169"/>
      <c r="Q74" s="169"/>
      <c r="R74" s="169"/>
      <c r="S74" s="170"/>
      <c r="T74" s="212"/>
      <c r="U74" s="213"/>
      <c r="V74" s="213"/>
      <c r="W74" s="213"/>
      <c r="X74" s="213"/>
      <c r="Y74" s="213"/>
      <c r="Z74" s="214"/>
    </row>
    <row r="75" spans="1:26" ht="18" customHeight="1" x14ac:dyDescent="0.15">
      <c r="A75" s="14"/>
      <c r="B75" s="168"/>
      <c r="C75" s="169"/>
      <c r="D75" s="169"/>
      <c r="E75" s="169"/>
      <c r="F75" s="170"/>
      <c r="G75" s="212"/>
      <c r="H75" s="213"/>
      <c r="I75" s="213"/>
      <c r="J75" s="213"/>
      <c r="K75" s="213"/>
      <c r="L75" s="213"/>
      <c r="M75" s="214"/>
      <c r="N75" s="168"/>
      <c r="O75" s="169"/>
      <c r="P75" s="169"/>
      <c r="Q75" s="169"/>
      <c r="R75" s="169"/>
      <c r="S75" s="170"/>
      <c r="T75" s="212"/>
      <c r="U75" s="213"/>
      <c r="V75" s="213"/>
      <c r="W75" s="213"/>
      <c r="X75" s="213"/>
      <c r="Y75" s="213"/>
      <c r="Z75" s="214"/>
    </row>
    <row r="76" spans="1:26" ht="18" customHeight="1" x14ac:dyDescent="0.15">
      <c r="A76" s="14"/>
      <c r="B76" s="171"/>
      <c r="C76" s="172"/>
      <c r="D76" s="172"/>
      <c r="E76" s="172"/>
      <c r="F76" s="173"/>
      <c r="G76" s="209"/>
      <c r="H76" s="210"/>
      <c r="I76" s="210"/>
      <c r="J76" s="210"/>
      <c r="K76" s="210"/>
      <c r="L76" s="210"/>
      <c r="M76" s="211"/>
      <c r="N76" s="171"/>
      <c r="O76" s="172"/>
      <c r="P76" s="172"/>
      <c r="Q76" s="172"/>
      <c r="R76" s="172"/>
      <c r="S76" s="173"/>
      <c r="T76" s="209"/>
      <c r="U76" s="210"/>
      <c r="V76" s="210"/>
      <c r="W76" s="210"/>
      <c r="X76" s="210"/>
      <c r="Y76" s="210"/>
      <c r="Z76" s="211"/>
    </row>
    <row r="77" spans="1:26" ht="18" customHeight="1" x14ac:dyDescent="0.15">
      <c r="A77" s="14"/>
      <c r="B77" s="18"/>
      <c r="C77" s="18"/>
      <c r="D77" s="18"/>
      <c r="E77" s="18"/>
      <c r="F77" s="18"/>
      <c r="G77" s="5"/>
      <c r="H77" s="5"/>
      <c r="I77" s="5"/>
      <c r="J77" s="5"/>
      <c r="K77" s="5"/>
      <c r="L77" s="5"/>
      <c r="M77" s="5"/>
      <c r="N77" s="18"/>
      <c r="O77" s="18"/>
      <c r="P77" s="18"/>
      <c r="Q77" s="18"/>
      <c r="R77" s="18"/>
      <c r="S77" s="18"/>
      <c r="T77" s="5"/>
      <c r="U77" s="5"/>
      <c r="V77" s="5"/>
      <c r="W77" s="5"/>
      <c r="X77" s="5"/>
      <c r="Y77" s="5"/>
      <c r="Z77" s="5"/>
    </row>
    <row r="78" spans="1:26" ht="18.75" customHeight="1" x14ac:dyDescent="0.15">
      <c r="A78" s="6" t="s">
        <v>102</v>
      </c>
    </row>
    <row r="79" spans="1:26" ht="18.75" customHeight="1" x14ac:dyDescent="0.15">
      <c r="B79" s="56" t="s">
        <v>103</v>
      </c>
      <c r="C79" s="57"/>
      <c r="D79" s="257" t="s">
        <v>104</v>
      </c>
      <c r="E79" s="257"/>
      <c r="F79" s="257"/>
      <c r="G79" s="257"/>
      <c r="H79" s="257"/>
      <c r="I79" s="257"/>
      <c r="J79" s="257"/>
      <c r="K79" s="257"/>
      <c r="L79" s="257"/>
      <c r="M79" s="257"/>
      <c r="N79" s="257"/>
      <c r="O79" s="257"/>
      <c r="P79" s="257"/>
      <c r="Q79" s="257"/>
      <c r="R79" s="257"/>
      <c r="S79" s="257"/>
      <c r="T79" s="257"/>
      <c r="U79" s="257"/>
      <c r="V79" s="257"/>
      <c r="W79" s="257"/>
      <c r="X79" s="257"/>
      <c r="Y79" s="257"/>
      <c r="Z79" s="258"/>
    </row>
    <row r="80" spans="1:26" ht="78" customHeight="1" x14ac:dyDescent="0.15">
      <c r="B80" s="244" t="s">
        <v>105</v>
      </c>
      <c r="C80" s="61" t="s">
        <v>80</v>
      </c>
      <c r="D80" s="268" t="s">
        <v>129</v>
      </c>
      <c r="E80" s="268"/>
      <c r="F80" s="268"/>
      <c r="G80" s="268"/>
      <c r="H80" s="268"/>
      <c r="I80" s="268"/>
      <c r="J80" s="268"/>
      <c r="K80" s="268"/>
      <c r="L80" s="268"/>
      <c r="M80" s="268"/>
      <c r="N80" s="268"/>
      <c r="O80" s="268"/>
      <c r="P80" s="268"/>
      <c r="Q80" s="268"/>
      <c r="R80" s="268"/>
      <c r="S80" s="268"/>
      <c r="T80" s="268"/>
      <c r="U80" s="268"/>
      <c r="V80" s="268"/>
      <c r="W80" s="268"/>
      <c r="X80" s="268"/>
      <c r="Y80" s="268"/>
      <c r="Z80" s="269"/>
    </row>
    <row r="81" spans="1:26" ht="78" customHeight="1" x14ac:dyDescent="0.15">
      <c r="B81" s="245"/>
      <c r="C81" s="80" t="s">
        <v>107</v>
      </c>
      <c r="D81" s="281" t="s">
        <v>130</v>
      </c>
      <c r="E81" s="281"/>
      <c r="F81" s="281"/>
      <c r="G81" s="281"/>
      <c r="H81" s="281"/>
      <c r="I81" s="281"/>
      <c r="J81" s="281"/>
      <c r="K81" s="281"/>
      <c r="L81" s="281"/>
      <c r="M81" s="281"/>
      <c r="N81" s="281"/>
      <c r="O81" s="281"/>
      <c r="P81" s="281"/>
      <c r="Q81" s="281"/>
      <c r="R81" s="281"/>
      <c r="S81" s="281"/>
      <c r="T81" s="281"/>
      <c r="U81" s="281"/>
      <c r="V81" s="281"/>
      <c r="W81" s="281"/>
      <c r="X81" s="281"/>
      <c r="Y81" s="281"/>
      <c r="Z81" s="282"/>
    </row>
    <row r="82" spans="1:26" ht="78" customHeight="1" x14ac:dyDescent="0.15">
      <c r="B82" s="242" t="s">
        <v>109</v>
      </c>
      <c r="C82" s="58" t="s">
        <v>86</v>
      </c>
      <c r="D82" s="272" t="s">
        <v>131</v>
      </c>
      <c r="E82" s="272"/>
      <c r="F82" s="272"/>
      <c r="G82" s="272"/>
      <c r="H82" s="272"/>
      <c r="I82" s="272"/>
      <c r="J82" s="272"/>
      <c r="K82" s="272"/>
      <c r="L82" s="272"/>
      <c r="M82" s="272"/>
      <c r="N82" s="272"/>
      <c r="O82" s="272"/>
      <c r="P82" s="272"/>
      <c r="Q82" s="272"/>
      <c r="R82" s="272"/>
      <c r="S82" s="272"/>
      <c r="T82" s="272"/>
      <c r="U82" s="272"/>
      <c r="V82" s="272"/>
      <c r="W82" s="272"/>
      <c r="X82" s="272"/>
      <c r="Y82" s="272"/>
      <c r="Z82" s="273"/>
    </row>
    <row r="83" spans="1:26" ht="78" customHeight="1" x14ac:dyDescent="0.15">
      <c r="B83" s="243"/>
      <c r="C83" s="81" t="s">
        <v>87</v>
      </c>
      <c r="D83" s="277" t="s">
        <v>132</v>
      </c>
      <c r="E83" s="277"/>
      <c r="F83" s="277"/>
      <c r="G83" s="277"/>
      <c r="H83" s="277"/>
      <c r="I83" s="277"/>
      <c r="J83" s="277"/>
      <c r="K83" s="277"/>
      <c r="L83" s="277"/>
      <c r="M83" s="277"/>
      <c r="N83" s="277"/>
      <c r="O83" s="277"/>
      <c r="P83" s="277"/>
      <c r="Q83" s="277"/>
      <c r="R83" s="277"/>
      <c r="S83" s="277"/>
      <c r="T83" s="277"/>
      <c r="U83" s="277"/>
      <c r="V83" s="277"/>
      <c r="W83" s="277"/>
      <c r="X83" s="277"/>
      <c r="Y83" s="277"/>
      <c r="Z83" s="278"/>
    </row>
    <row r="84" spans="1:26" ht="66" customHeight="1" x14ac:dyDescent="0.15">
      <c r="B84" s="242" t="s">
        <v>111</v>
      </c>
      <c r="C84" s="58" t="s">
        <v>89</v>
      </c>
      <c r="D84" s="272" t="s">
        <v>133</v>
      </c>
      <c r="E84" s="272"/>
      <c r="F84" s="272"/>
      <c r="G84" s="272"/>
      <c r="H84" s="272"/>
      <c r="I84" s="272"/>
      <c r="J84" s="272"/>
      <c r="K84" s="272"/>
      <c r="L84" s="272"/>
      <c r="M84" s="272"/>
      <c r="N84" s="272"/>
      <c r="O84" s="272"/>
      <c r="P84" s="272"/>
      <c r="Q84" s="272"/>
      <c r="R84" s="272"/>
      <c r="S84" s="272"/>
      <c r="T84" s="272"/>
      <c r="U84" s="272"/>
      <c r="V84" s="272"/>
      <c r="W84" s="272"/>
      <c r="X84" s="272"/>
      <c r="Y84" s="272"/>
      <c r="Z84" s="273"/>
    </row>
    <row r="85" spans="1:26" ht="66" customHeight="1" x14ac:dyDescent="0.15">
      <c r="B85" s="243"/>
      <c r="C85" s="60" t="s">
        <v>90</v>
      </c>
      <c r="D85" s="279" t="s">
        <v>134</v>
      </c>
      <c r="E85" s="279"/>
      <c r="F85" s="279"/>
      <c r="G85" s="279"/>
      <c r="H85" s="279"/>
      <c r="I85" s="279"/>
      <c r="J85" s="279"/>
      <c r="K85" s="279"/>
      <c r="L85" s="279"/>
      <c r="M85" s="279"/>
      <c r="N85" s="279"/>
      <c r="O85" s="279"/>
      <c r="P85" s="279"/>
      <c r="Q85" s="279"/>
      <c r="R85" s="279"/>
      <c r="S85" s="279"/>
      <c r="T85" s="279"/>
      <c r="U85" s="279"/>
      <c r="V85" s="279"/>
      <c r="W85" s="279"/>
      <c r="X85" s="279"/>
      <c r="Y85" s="279"/>
      <c r="Z85" s="280"/>
    </row>
    <row r="86" spans="1:26" ht="66" customHeight="1" x14ac:dyDescent="0.15">
      <c r="B86" s="244" t="s">
        <v>114</v>
      </c>
      <c r="C86" s="61" t="s">
        <v>92</v>
      </c>
      <c r="D86" s="268" t="s">
        <v>135</v>
      </c>
      <c r="E86" s="268"/>
      <c r="F86" s="268"/>
      <c r="G86" s="268"/>
      <c r="H86" s="268"/>
      <c r="I86" s="268"/>
      <c r="J86" s="268"/>
      <c r="K86" s="268"/>
      <c r="L86" s="268"/>
      <c r="M86" s="268"/>
      <c r="N86" s="268"/>
      <c r="O86" s="268"/>
      <c r="P86" s="268"/>
      <c r="Q86" s="268"/>
      <c r="R86" s="268"/>
      <c r="S86" s="268"/>
      <c r="T86" s="268"/>
      <c r="U86" s="268"/>
      <c r="V86" s="268"/>
      <c r="W86" s="268"/>
      <c r="X86" s="268"/>
      <c r="Y86" s="268"/>
      <c r="Z86" s="269"/>
    </row>
    <row r="87" spans="1:26" ht="66" customHeight="1" x14ac:dyDescent="0.15">
      <c r="B87" s="250"/>
      <c r="C87" s="59" t="s">
        <v>93</v>
      </c>
      <c r="D87" s="270" t="s">
        <v>136</v>
      </c>
      <c r="E87" s="270"/>
      <c r="F87" s="270"/>
      <c r="G87" s="270"/>
      <c r="H87" s="270"/>
      <c r="I87" s="270"/>
      <c r="J87" s="270"/>
      <c r="K87" s="270"/>
      <c r="L87" s="270"/>
      <c r="M87" s="270"/>
      <c r="N87" s="270"/>
      <c r="O87" s="270"/>
      <c r="P87" s="270"/>
      <c r="Q87" s="270"/>
      <c r="R87" s="270"/>
      <c r="S87" s="270"/>
      <c r="T87" s="270"/>
      <c r="U87" s="270"/>
      <c r="V87" s="270"/>
      <c r="W87" s="270"/>
      <c r="X87" s="270"/>
      <c r="Y87" s="270"/>
      <c r="Z87" s="271"/>
    </row>
    <row r="88" spans="1:26" ht="66" customHeight="1" x14ac:dyDescent="0.15">
      <c r="B88" s="244" t="s">
        <v>117</v>
      </c>
      <c r="C88" s="58" t="s">
        <v>96</v>
      </c>
      <c r="D88" s="272" t="s">
        <v>137</v>
      </c>
      <c r="E88" s="272"/>
      <c r="F88" s="272"/>
      <c r="G88" s="272"/>
      <c r="H88" s="272"/>
      <c r="I88" s="272"/>
      <c r="J88" s="272"/>
      <c r="K88" s="272"/>
      <c r="L88" s="272"/>
      <c r="M88" s="272"/>
      <c r="N88" s="272"/>
      <c r="O88" s="272"/>
      <c r="P88" s="272"/>
      <c r="Q88" s="272"/>
      <c r="R88" s="272"/>
      <c r="S88" s="272"/>
      <c r="T88" s="272"/>
      <c r="U88" s="272"/>
      <c r="V88" s="272"/>
      <c r="W88" s="272"/>
      <c r="X88" s="272"/>
      <c r="Y88" s="272"/>
      <c r="Z88" s="273"/>
    </row>
    <row r="89" spans="1:26" ht="66" customHeight="1" x14ac:dyDescent="0.15">
      <c r="B89" s="245"/>
      <c r="C89" s="59" t="s">
        <v>97</v>
      </c>
      <c r="D89" s="274" t="s">
        <v>138</v>
      </c>
      <c r="E89" s="270"/>
      <c r="F89" s="270"/>
      <c r="G89" s="270"/>
      <c r="H89" s="270"/>
      <c r="I89" s="270"/>
      <c r="J89" s="270"/>
      <c r="K89" s="270"/>
      <c r="L89" s="270"/>
      <c r="M89" s="270"/>
      <c r="N89" s="270"/>
      <c r="O89" s="270"/>
      <c r="P89" s="270"/>
      <c r="Q89" s="270"/>
      <c r="R89" s="270"/>
      <c r="S89" s="270"/>
      <c r="T89" s="270"/>
      <c r="U89" s="270"/>
      <c r="V89" s="270"/>
      <c r="W89" s="270"/>
      <c r="X89" s="270"/>
      <c r="Y89" s="270"/>
      <c r="Z89" s="271"/>
    </row>
    <row r="90" spans="1:26" ht="66" customHeight="1" x14ac:dyDescent="0.15">
      <c r="B90" s="243"/>
      <c r="C90" s="60" t="s">
        <v>98</v>
      </c>
      <c r="D90" s="275" t="s">
        <v>139</v>
      </c>
      <c r="E90" s="275"/>
      <c r="F90" s="275"/>
      <c r="G90" s="275"/>
      <c r="H90" s="275"/>
      <c r="I90" s="275"/>
      <c r="J90" s="275"/>
      <c r="K90" s="275"/>
      <c r="L90" s="275"/>
      <c r="M90" s="275"/>
      <c r="N90" s="275"/>
      <c r="O90" s="275"/>
      <c r="P90" s="275"/>
      <c r="Q90" s="275"/>
      <c r="R90" s="275"/>
      <c r="S90" s="275"/>
      <c r="T90" s="275"/>
      <c r="U90" s="275"/>
      <c r="V90" s="275"/>
      <c r="W90" s="275"/>
      <c r="X90" s="275"/>
      <c r="Y90" s="275"/>
      <c r="Z90" s="276"/>
    </row>
    <row r="91" spans="1:26" ht="6" customHeight="1" x14ac:dyDescent="0.15"/>
    <row r="92" spans="1:26" ht="18.75" customHeight="1" x14ac:dyDescent="0.15">
      <c r="A92" s="6" t="s">
        <v>120</v>
      </c>
    </row>
    <row r="93" spans="1:26" ht="18.75" customHeight="1" x14ac:dyDescent="0.15">
      <c r="B93" s="259" t="s">
        <v>121</v>
      </c>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1"/>
    </row>
    <row r="94" spans="1:26" ht="18.75" customHeight="1" x14ac:dyDescent="0.15">
      <c r="B94" s="262"/>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4"/>
    </row>
    <row r="95" spans="1:26" ht="18.75" customHeight="1" x14ac:dyDescent="0.15">
      <c r="B95" s="265"/>
      <c r="C95" s="266"/>
      <c r="D95" s="266"/>
      <c r="E95" s="266"/>
      <c r="F95" s="266"/>
      <c r="G95" s="266"/>
      <c r="H95" s="266"/>
      <c r="I95" s="266"/>
      <c r="J95" s="266"/>
      <c r="K95" s="266"/>
      <c r="L95" s="266"/>
      <c r="M95" s="266"/>
      <c r="N95" s="266"/>
      <c r="O95" s="266"/>
      <c r="P95" s="266"/>
      <c r="Q95" s="266"/>
      <c r="R95" s="266"/>
      <c r="S95" s="266"/>
      <c r="T95" s="266"/>
      <c r="U95" s="266"/>
      <c r="V95" s="266"/>
      <c r="W95" s="266"/>
      <c r="X95" s="266"/>
      <c r="Y95" s="266"/>
      <c r="Z95" s="267"/>
    </row>
    <row r="96" spans="1:26" ht="6" customHeight="1" x14ac:dyDescent="0.15"/>
    <row r="97" spans="1:26" ht="15" customHeight="1" x14ac:dyDescent="0.15">
      <c r="A97" s="6" t="s">
        <v>122</v>
      </c>
    </row>
    <row r="98" spans="1:26" ht="15" customHeight="1" x14ac:dyDescent="0.15">
      <c r="B98" s="206" t="s">
        <v>237</v>
      </c>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8"/>
    </row>
  </sheetData>
  <mergeCells count="218">
    <mergeCell ref="B16:F16"/>
    <mergeCell ref="I16:K16"/>
    <mergeCell ref="N16:S16"/>
    <mergeCell ref="V16:X16"/>
    <mergeCell ref="B17:F17"/>
    <mergeCell ref="I17:K17"/>
    <mergeCell ref="N17:S17"/>
    <mergeCell ref="V17:X17"/>
    <mergeCell ref="B20:F20"/>
    <mergeCell ref="I20:K20"/>
    <mergeCell ref="N20:S20"/>
    <mergeCell ref="V20:X20"/>
    <mergeCell ref="B18:F18"/>
    <mergeCell ref="I18:K18"/>
    <mergeCell ref="N18:S18"/>
    <mergeCell ref="V18:X18"/>
    <mergeCell ref="B19:F19"/>
    <mergeCell ref="I19:K19"/>
    <mergeCell ref="N19:S19"/>
    <mergeCell ref="V19:X19"/>
    <mergeCell ref="W1:Z1"/>
    <mergeCell ref="A2:Z2"/>
    <mergeCell ref="O4:Z4"/>
    <mergeCell ref="B6:Z11"/>
    <mergeCell ref="A13:Z14"/>
    <mergeCell ref="B15:F15"/>
    <mergeCell ref="I15:K15"/>
    <mergeCell ref="N15:S15"/>
    <mergeCell ref="V15:X15"/>
    <mergeCell ref="B28:F28"/>
    <mergeCell ref="I28:K28"/>
    <mergeCell ref="N28:S28"/>
    <mergeCell ref="V28:X28"/>
    <mergeCell ref="B22:F22"/>
    <mergeCell ref="I22:K22"/>
    <mergeCell ref="N22:S22"/>
    <mergeCell ref="V22:X22"/>
    <mergeCell ref="A24:Z25"/>
    <mergeCell ref="B26:F26"/>
    <mergeCell ref="I26:K26"/>
    <mergeCell ref="N26:S26"/>
    <mergeCell ref="V26:X26"/>
    <mergeCell ref="B21:F21"/>
    <mergeCell ref="I21:K21"/>
    <mergeCell ref="N21:S21"/>
    <mergeCell ref="V21:X21"/>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L27:M33 L38:M44 Y38:Z44 Y49:Z55 Y60:Z66 L60:M66 K60:K63 U16:U22 H27:H33 U27:U33 H16:H22 U38:U44 H38:H44 U49:U55 G60:G66 T60:T66 L49:M55 H49:H55">
      <formula1>"○"</formula1>
    </dataValidation>
    <dataValidation type="list" allowBlank="1" showInputMessage="1" showErrorMessage="1" sqref="Z23 Z34 D34:K34 D23:K23 V16:V22 I16:I22 V27:V33 I27:I33 V38:V44 I38:I44 V49:V55 H60:H66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4" zoomScaleNormal="100" zoomScaleSheetLayoutView="100" workbookViewId="0">
      <selection activeCell="B98" sqref="B98:Z98"/>
    </sheetView>
  </sheetViews>
  <sheetFormatPr defaultColWidth="9" defaultRowHeight="18.75" customHeight="1" x14ac:dyDescent="0.15"/>
  <cols>
    <col min="1" max="1" width="2.5" style="6" customWidth="1"/>
    <col min="2" max="2" width="27.62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187" t="s">
        <v>236</v>
      </c>
      <c r="X1" s="187"/>
      <c r="Y1" s="187"/>
      <c r="Z1" s="187"/>
    </row>
    <row r="2" spans="1:26" ht="18" customHeight="1" x14ac:dyDescent="0.15">
      <c r="A2" s="226" t="s">
        <v>71</v>
      </c>
      <c r="B2" s="226"/>
      <c r="C2" s="226"/>
      <c r="D2" s="226"/>
      <c r="E2" s="226"/>
      <c r="F2" s="226"/>
      <c r="G2" s="226"/>
      <c r="H2" s="226"/>
      <c r="I2" s="226"/>
      <c r="J2" s="226"/>
      <c r="K2" s="226"/>
      <c r="L2" s="226"/>
      <c r="M2" s="226"/>
      <c r="N2" s="226"/>
      <c r="O2" s="226"/>
      <c r="P2" s="226"/>
      <c r="Q2" s="226"/>
      <c r="R2" s="226"/>
      <c r="S2" s="226"/>
      <c r="T2" s="226"/>
      <c r="U2" s="226"/>
      <c r="V2" s="226"/>
      <c r="W2" s="226"/>
      <c r="X2" s="226"/>
      <c r="Y2" s="226"/>
      <c r="Z2" s="226"/>
    </row>
    <row r="3" spans="1:26" ht="15" customHeight="1" x14ac:dyDescent="0.15">
      <c r="B3" s="14"/>
      <c r="C3" s="14"/>
      <c r="D3" s="14"/>
      <c r="E3" s="14"/>
      <c r="F3" s="14"/>
      <c r="G3" s="14"/>
      <c r="H3" s="14"/>
      <c r="I3" s="14"/>
      <c r="J3" s="14"/>
      <c r="K3" s="14"/>
      <c r="L3" s="14"/>
      <c r="M3" s="14"/>
      <c r="N3" s="14"/>
      <c r="O3" s="14"/>
      <c r="P3" s="14"/>
      <c r="Q3" s="14"/>
      <c r="R3" s="14"/>
      <c r="S3" s="14"/>
      <c r="T3" s="14"/>
      <c r="U3" s="14"/>
      <c r="V3" s="14"/>
      <c r="W3" s="14"/>
      <c r="X3" s="14"/>
      <c r="Y3" s="14"/>
      <c r="Z3" s="14"/>
    </row>
    <row r="4" spans="1:26" ht="18" customHeight="1" x14ac:dyDescent="0.15">
      <c r="A4" s="6" t="s">
        <v>72</v>
      </c>
      <c r="B4" s="14"/>
      <c r="C4" s="14"/>
      <c r="D4" s="14"/>
      <c r="E4" s="14"/>
      <c r="F4" s="14"/>
      <c r="G4" s="14"/>
      <c r="H4" s="7" t="s">
        <v>73</v>
      </c>
      <c r="I4" s="14"/>
      <c r="J4" s="14"/>
      <c r="K4" s="14"/>
      <c r="L4" s="14"/>
      <c r="M4" s="14"/>
      <c r="N4" s="14"/>
      <c r="O4" s="152" t="s">
        <v>74</v>
      </c>
      <c r="P4" s="180"/>
      <c r="Q4" s="180"/>
      <c r="R4" s="180"/>
      <c r="S4" s="180"/>
      <c r="T4" s="180"/>
      <c r="U4" s="180"/>
      <c r="V4" s="180"/>
      <c r="W4" s="180"/>
      <c r="X4" s="180"/>
      <c r="Y4" s="180"/>
      <c r="Z4" s="153"/>
    </row>
    <row r="5" spans="1:26" ht="6" customHeight="1" x14ac:dyDescent="0.15">
      <c r="B5" s="14"/>
      <c r="C5" s="14"/>
      <c r="D5" s="14"/>
      <c r="E5" s="14"/>
      <c r="F5" s="14"/>
      <c r="G5" s="14"/>
      <c r="H5" s="14"/>
      <c r="I5" s="14"/>
      <c r="J5" s="14"/>
      <c r="K5" s="14"/>
      <c r="L5" s="14"/>
      <c r="M5" s="14"/>
      <c r="N5" s="14"/>
      <c r="O5" s="8"/>
      <c r="P5" s="14"/>
      <c r="Q5" s="14"/>
      <c r="R5" s="14"/>
      <c r="S5" s="14"/>
      <c r="T5" s="14"/>
      <c r="U5" s="14"/>
      <c r="V5" s="14"/>
      <c r="W5" s="14"/>
      <c r="X5" s="14"/>
      <c r="Y5" s="14"/>
      <c r="Z5" s="14"/>
    </row>
    <row r="6" spans="1:26" ht="18" customHeight="1" x14ac:dyDescent="0.15">
      <c r="B6" s="227" t="s">
        <v>233</v>
      </c>
      <c r="C6" s="228"/>
      <c r="D6" s="228"/>
      <c r="E6" s="228"/>
      <c r="F6" s="228"/>
      <c r="G6" s="228"/>
      <c r="H6" s="228"/>
      <c r="I6" s="228"/>
      <c r="J6" s="228"/>
      <c r="K6" s="228"/>
      <c r="L6" s="228"/>
      <c r="M6" s="228"/>
      <c r="N6" s="228"/>
      <c r="O6" s="228"/>
      <c r="P6" s="228"/>
      <c r="Q6" s="228"/>
      <c r="R6" s="228"/>
      <c r="S6" s="228"/>
      <c r="T6" s="228"/>
      <c r="U6" s="228"/>
      <c r="V6" s="228"/>
      <c r="W6" s="228"/>
      <c r="X6" s="228"/>
      <c r="Y6" s="228"/>
      <c r="Z6" s="229"/>
    </row>
    <row r="7" spans="1:26" ht="18" customHeight="1" x14ac:dyDescent="0.15">
      <c r="B7" s="230"/>
      <c r="C7" s="231"/>
      <c r="D7" s="231"/>
      <c r="E7" s="231"/>
      <c r="F7" s="231"/>
      <c r="G7" s="231"/>
      <c r="H7" s="231"/>
      <c r="I7" s="231"/>
      <c r="J7" s="231"/>
      <c r="K7" s="231"/>
      <c r="L7" s="231"/>
      <c r="M7" s="231"/>
      <c r="N7" s="231"/>
      <c r="O7" s="231"/>
      <c r="P7" s="231"/>
      <c r="Q7" s="231"/>
      <c r="R7" s="231"/>
      <c r="S7" s="231"/>
      <c r="T7" s="231"/>
      <c r="U7" s="231"/>
      <c r="V7" s="231"/>
      <c r="W7" s="231"/>
      <c r="X7" s="231"/>
      <c r="Y7" s="231"/>
      <c r="Z7" s="232"/>
    </row>
    <row r="8" spans="1:26" ht="18" customHeight="1" x14ac:dyDescent="0.15">
      <c r="B8" s="230"/>
      <c r="C8" s="231"/>
      <c r="D8" s="231"/>
      <c r="E8" s="231"/>
      <c r="F8" s="231"/>
      <c r="G8" s="231"/>
      <c r="H8" s="231"/>
      <c r="I8" s="231"/>
      <c r="J8" s="231"/>
      <c r="K8" s="231"/>
      <c r="L8" s="231"/>
      <c r="M8" s="231"/>
      <c r="N8" s="231"/>
      <c r="O8" s="231"/>
      <c r="P8" s="231"/>
      <c r="Q8" s="231"/>
      <c r="R8" s="231"/>
      <c r="S8" s="231"/>
      <c r="T8" s="231"/>
      <c r="U8" s="231"/>
      <c r="V8" s="231"/>
      <c r="W8" s="231"/>
      <c r="X8" s="231"/>
      <c r="Y8" s="231"/>
      <c r="Z8" s="232"/>
    </row>
    <row r="9" spans="1:26" ht="18" customHeight="1" x14ac:dyDescent="0.15">
      <c r="B9" s="230"/>
      <c r="C9" s="231"/>
      <c r="D9" s="231"/>
      <c r="E9" s="231"/>
      <c r="F9" s="231"/>
      <c r="G9" s="231"/>
      <c r="H9" s="231"/>
      <c r="I9" s="231"/>
      <c r="J9" s="231"/>
      <c r="K9" s="231"/>
      <c r="L9" s="231"/>
      <c r="M9" s="231"/>
      <c r="N9" s="231"/>
      <c r="O9" s="231"/>
      <c r="P9" s="231"/>
      <c r="Q9" s="231"/>
      <c r="R9" s="231"/>
      <c r="S9" s="231"/>
      <c r="T9" s="231"/>
      <c r="U9" s="231"/>
      <c r="V9" s="231"/>
      <c r="W9" s="231"/>
      <c r="X9" s="231"/>
      <c r="Y9" s="231"/>
      <c r="Z9" s="232"/>
    </row>
    <row r="10" spans="1:26" ht="18" customHeight="1" x14ac:dyDescent="0.15">
      <c r="B10" s="230"/>
      <c r="C10" s="231"/>
      <c r="D10" s="231"/>
      <c r="E10" s="231"/>
      <c r="F10" s="231"/>
      <c r="G10" s="231"/>
      <c r="H10" s="231"/>
      <c r="I10" s="231"/>
      <c r="J10" s="231"/>
      <c r="K10" s="231"/>
      <c r="L10" s="231"/>
      <c r="M10" s="231"/>
      <c r="N10" s="231"/>
      <c r="O10" s="231"/>
      <c r="P10" s="231"/>
      <c r="Q10" s="231"/>
      <c r="R10" s="231"/>
      <c r="S10" s="231"/>
      <c r="T10" s="231"/>
      <c r="U10" s="231"/>
      <c r="V10" s="231"/>
      <c r="W10" s="231"/>
      <c r="X10" s="231"/>
      <c r="Y10" s="231"/>
      <c r="Z10" s="232"/>
    </row>
    <row r="11" spans="1:26" ht="18" customHeight="1" x14ac:dyDescent="0.15">
      <c r="B11" s="233"/>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5"/>
    </row>
    <row r="12" spans="1:26" ht="7.5" customHeight="1" x14ac:dyDescent="0.15">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8" customHeight="1" x14ac:dyDescent="0.15">
      <c r="A13" s="225" t="s">
        <v>75</v>
      </c>
      <c r="B13" s="225"/>
      <c r="C13" s="225"/>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spans="1:26" ht="18" customHeight="1" x14ac:dyDescent="0.15">
      <c r="A14" s="225"/>
      <c r="B14" s="225"/>
      <c r="C14" s="225"/>
      <c r="D14" s="225"/>
      <c r="E14" s="225"/>
      <c r="F14" s="225"/>
      <c r="G14" s="225"/>
      <c r="H14" s="225"/>
      <c r="I14" s="225"/>
      <c r="J14" s="225"/>
      <c r="K14" s="225"/>
      <c r="L14" s="225"/>
      <c r="M14" s="225"/>
      <c r="N14" s="225"/>
      <c r="O14" s="225"/>
      <c r="P14" s="225"/>
      <c r="Q14" s="225"/>
      <c r="R14" s="225"/>
      <c r="S14" s="225"/>
      <c r="T14" s="225"/>
      <c r="U14" s="225"/>
      <c r="V14" s="225"/>
      <c r="W14" s="225"/>
      <c r="X14" s="225"/>
      <c r="Y14" s="225"/>
      <c r="Z14" s="225"/>
    </row>
    <row r="15" spans="1:26" ht="18" customHeight="1" x14ac:dyDescent="0.15">
      <c r="A15" s="7"/>
      <c r="B15" s="152" t="s">
        <v>76</v>
      </c>
      <c r="C15" s="180"/>
      <c r="D15" s="180"/>
      <c r="E15" s="180"/>
      <c r="F15" s="153"/>
      <c r="G15" s="15" t="s">
        <v>77</v>
      </c>
      <c r="H15" s="82" t="s">
        <v>78</v>
      </c>
      <c r="I15" s="180" t="s">
        <v>79</v>
      </c>
      <c r="J15" s="180"/>
      <c r="K15" s="180"/>
      <c r="L15" s="54" t="s">
        <v>80</v>
      </c>
      <c r="M15" s="54" t="s">
        <v>81</v>
      </c>
      <c r="N15" s="152" t="s">
        <v>76</v>
      </c>
      <c r="O15" s="180"/>
      <c r="P15" s="180"/>
      <c r="Q15" s="180"/>
      <c r="R15" s="180"/>
      <c r="S15" s="153"/>
      <c r="T15" s="15" t="s">
        <v>77</v>
      </c>
      <c r="U15" s="82" t="s">
        <v>78</v>
      </c>
      <c r="V15" s="180" t="s">
        <v>79</v>
      </c>
      <c r="W15" s="180"/>
      <c r="X15" s="180"/>
      <c r="Y15" s="54" t="s">
        <v>80</v>
      </c>
      <c r="Z15" s="54" t="s">
        <v>81</v>
      </c>
    </row>
    <row r="16" spans="1:26" ht="18" customHeight="1" x14ac:dyDescent="0.15">
      <c r="A16" s="7"/>
      <c r="B16" s="188" t="s">
        <v>123</v>
      </c>
      <c r="C16" s="189"/>
      <c r="D16" s="189"/>
      <c r="E16" s="189"/>
      <c r="F16" s="190"/>
      <c r="G16" s="83">
        <v>4</v>
      </c>
      <c r="H16" s="83" t="s">
        <v>83</v>
      </c>
      <c r="I16" s="194" t="s">
        <v>84</v>
      </c>
      <c r="J16" s="195"/>
      <c r="K16" s="196"/>
      <c r="L16" s="83" t="s">
        <v>83</v>
      </c>
      <c r="M16" s="83" t="s">
        <v>83</v>
      </c>
      <c r="N16" s="165"/>
      <c r="O16" s="166"/>
      <c r="P16" s="166"/>
      <c r="Q16" s="166"/>
      <c r="R16" s="166"/>
      <c r="S16" s="167"/>
      <c r="T16" s="83"/>
      <c r="U16" s="83"/>
      <c r="V16" s="194"/>
      <c r="W16" s="195"/>
      <c r="X16" s="196"/>
      <c r="Y16" s="83"/>
      <c r="Z16" s="83"/>
    </row>
    <row r="17" spans="1:26" ht="18" customHeight="1" x14ac:dyDescent="0.15">
      <c r="A17" s="7"/>
      <c r="B17" s="181" t="s">
        <v>140</v>
      </c>
      <c r="C17" s="182"/>
      <c r="D17" s="182"/>
      <c r="E17" s="182"/>
      <c r="F17" s="183"/>
      <c r="G17" s="84">
        <v>1</v>
      </c>
      <c r="H17" s="84" t="s">
        <v>83</v>
      </c>
      <c r="I17" s="174" t="s">
        <v>84</v>
      </c>
      <c r="J17" s="175"/>
      <c r="K17" s="176"/>
      <c r="L17" s="117" t="s">
        <v>83</v>
      </c>
      <c r="M17" s="117" t="s">
        <v>83</v>
      </c>
      <c r="N17" s="283"/>
      <c r="O17" s="284"/>
      <c r="P17" s="284"/>
      <c r="Q17" s="284"/>
      <c r="R17" s="284"/>
      <c r="S17" s="285"/>
      <c r="T17" s="84"/>
      <c r="U17" s="84"/>
      <c r="V17" s="174"/>
      <c r="W17" s="175"/>
      <c r="X17" s="176"/>
      <c r="Y17" s="84"/>
      <c r="Z17" s="84"/>
    </row>
    <row r="18" spans="1:26" ht="18" customHeight="1" x14ac:dyDescent="0.15">
      <c r="A18" s="7"/>
      <c r="B18" s="181" t="s">
        <v>125</v>
      </c>
      <c r="C18" s="182"/>
      <c r="D18" s="182"/>
      <c r="E18" s="182"/>
      <c r="F18" s="183"/>
      <c r="G18" s="84">
        <v>2</v>
      </c>
      <c r="H18" s="84" t="s">
        <v>83</v>
      </c>
      <c r="I18" s="174" t="s">
        <v>84</v>
      </c>
      <c r="J18" s="175"/>
      <c r="K18" s="176"/>
      <c r="L18" s="117" t="s">
        <v>83</v>
      </c>
      <c r="M18" s="117" t="s">
        <v>83</v>
      </c>
      <c r="N18" s="283"/>
      <c r="O18" s="284"/>
      <c r="P18" s="284"/>
      <c r="Q18" s="284"/>
      <c r="R18" s="284"/>
      <c r="S18" s="285"/>
      <c r="T18" s="84"/>
      <c r="U18" s="84"/>
      <c r="V18" s="174"/>
      <c r="W18" s="175"/>
      <c r="X18" s="176"/>
      <c r="Y18" s="84"/>
      <c r="Z18" s="84"/>
    </row>
    <row r="19" spans="1:26" ht="18" customHeight="1" x14ac:dyDescent="0.15">
      <c r="A19" s="7"/>
      <c r="B19" s="181"/>
      <c r="C19" s="182"/>
      <c r="D19" s="182"/>
      <c r="E19" s="182"/>
      <c r="F19" s="183"/>
      <c r="G19" s="84"/>
      <c r="H19" s="84"/>
      <c r="I19" s="174"/>
      <c r="J19" s="175"/>
      <c r="K19" s="176"/>
      <c r="L19" s="84"/>
      <c r="M19" s="84"/>
      <c r="N19" s="168"/>
      <c r="O19" s="169"/>
      <c r="P19" s="169"/>
      <c r="Q19" s="169"/>
      <c r="R19" s="169"/>
      <c r="S19" s="170"/>
      <c r="T19" s="84"/>
      <c r="U19" s="84"/>
      <c r="V19" s="174"/>
      <c r="W19" s="175"/>
      <c r="X19" s="176"/>
      <c r="Y19" s="84"/>
      <c r="Z19" s="84"/>
    </row>
    <row r="20" spans="1:26" ht="18" customHeight="1" x14ac:dyDescent="0.15">
      <c r="A20" s="7"/>
      <c r="B20" s="181"/>
      <c r="C20" s="182"/>
      <c r="D20" s="182"/>
      <c r="E20" s="182"/>
      <c r="F20" s="183"/>
      <c r="G20" s="84"/>
      <c r="H20" s="84"/>
      <c r="I20" s="174"/>
      <c r="J20" s="175"/>
      <c r="K20" s="176"/>
      <c r="L20" s="84"/>
      <c r="M20" s="84"/>
      <c r="N20" s="168"/>
      <c r="O20" s="169"/>
      <c r="P20" s="169"/>
      <c r="Q20" s="169"/>
      <c r="R20" s="169"/>
      <c r="S20" s="170"/>
      <c r="T20" s="84"/>
      <c r="U20" s="84"/>
      <c r="V20" s="174"/>
      <c r="W20" s="175"/>
      <c r="X20" s="176"/>
      <c r="Y20" s="84"/>
      <c r="Z20" s="84"/>
    </row>
    <row r="21" spans="1:26" ht="18" customHeight="1" x14ac:dyDescent="0.15">
      <c r="A21" s="14"/>
      <c r="B21" s="181"/>
      <c r="C21" s="182"/>
      <c r="D21" s="182"/>
      <c r="E21" s="182"/>
      <c r="F21" s="183"/>
      <c r="G21" s="84"/>
      <c r="H21" s="84"/>
      <c r="I21" s="174"/>
      <c r="J21" s="175"/>
      <c r="K21" s="176"/>
      <c r="L21" s="84"/>
      <c r="M21" s="84"/>
      <c r="N21" s="168"/>
      <c r="O21" s="169"/>
      <c r="P21" s="169"/>
      <c r="Q21" s="169"/>
      <c r="R21" s="169"/>
      <c r="S21" s="170"/>
      <c r="T21" s="84"/>
      <c r="U21" s="84"/>
      <c r="V21" s="174"/>
      <c r="W21" s="175"/>
      <c r="X21" s="176"/>
      <c r="Y21" s="84"/>
      <c r="Z21" s="84"/>
    </row>
    <row r="22" spans="1:26" ht="18" customHeight="1" x14ac:dyDescent="0.15">
      <c r="A22" s="14"/>
      <c r="B22" s="184"/>
      <c r="C22" s="185"/>
      <c r="D22" s="185"/>
      <c r="E22" s="185"/>
      <c r="F22" s="186"/>
      <c r="G22" s="85"/>
      <c r="H22" s="85"/>
      <c r="I22" s="177"/>
      <c r="J22" s="178"/>
      <c r="K22" s="179"/>
      <c r="L22" s="90"/>
      <c r="M22" s="90"/>
      <c r="N22" s="171"/>
      <c r="O22" s="172"/>
      <c r="P22" s="172"/>
      <c r="Q22" s="172"/>
      <c r="R22" s="172"/>
      <c r="S22" s="173"/>
      <c r="T22" s="85"/>
      <c r="U22" s="85"/>
      <c r="V22" s="177"/>
      <c r="W22" s="178"/>
      <c r="X22" s="179"/>
      <c r="Y22" s="90"/>
      <c r="Z22" s="90"/>
    </row>
    <row r="23" spans="1:26" ht="7.5" customHeight="1" x14ac:dyDescent="0.15">
      <c r="A23" s="14"/>
      <c r="B23" s="18"/>
      <c r="C23" s="18"/>
      <c r="D23" s="14"/>
      <c r="E23" s="14"/>
      <c r="F23" s="14"/>
      <c r="G23" s="14"/>
      <c r="H23" s="14"/>
      <c r="I23" s="14"/>
      <c r="J23" s="14"/>
      <c r="K23" s="14"/>
      <c r="L23" s="18"/>
      <c r="M23" s="18"/>
      <c r="N23" s="18"/>
      <c r="O23" s="18"/>
      <c r="P23" s="18"/>
      <c r="Q23" s="18"/>
      <c r="R23" s="18"/>
      <c r="S23" s="18"/>
      <c r="T23" s="18"/>
      <c r="U23" s="18"/>
      <c r="V23" s="18"/>
      <c r="W23" s="18"/>
      <c r="X23" s="18"/>
      <c r="Y23" s="18"/>
      <c r="Z23" s="14"/>
    </row>
    <row r="24" spans="1:26" ht="18" customHeight="1" x14ac:dyDescent="0.15">
      <c r="A24" s="225" t="s">
        <v>85</v>
      </c>
      <c r="B24" s="225"/>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spans="1:26" ht="18" customHeight="1" x14ac:dyDescent="0.15">
      <c r="A25" s="225"/>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spans="1:26" ht="18" customHeight="1" x14ac:dyDescent="0.15">
      <c r="A26" s="7"/>
      <c r="B26" s="152" t="s">
        <v>76</v>
      </c>
      <c r="C26" s="180"/>
      <c r="D26" s="180"/>
      <c r="E26" s="180"/>
      <c r="F26" s="153"/>
      <c r="G26" s="15" t="s">
        <v>77</v>
      </c>
      <c r="H26" s="82" t="s">
        <v>78</v>
      </c>
      <c r="I26" s="180" t="s">
        <v>79</v>
      </c>
      <c r="J26" s="180"/>
      <c r="K26" s="180"/>
      <c r="L26" s="54" t="s">
        <v>86</v>
      </c>
      <c r="M26" s="54" t="s">
        <v>87</v>
      </c>
      <c r="N26" s="152" t="s">
        <v>76</v>
      </c>
      <c r="O26" s="180"/>
      <c r="P26" s="180"/>
      <c r="Q26" s="180"/>
      <c r="R26" s="180"/>
      <c r="S26" s="153"/>
      <c r="T26" s="15" t="s">
        <v>77</v>
      </c>
      <c r="U26" s="82" t="s">
        <v>78</v>
      </c>
      <c r="V26" s="180" t="s">
        <v>79</v>
      </c>
      <c r="W26" s="180"/>
      <c r="X26" s="180"/>
      <c r="Y26" s="54" t="s">
        <v>86</v>
      </c>
      <c r="Z26" s="54" t="s">
        <v>87</v>
      </c>
    </row>
    <row r="27" spans="1:26" ht="18" customHeight="1" x14ac:dyDescent="0.15">
      <c r="A27" s="7"/>
      <c r="B27" s="188" t="s">
        <v>123</v>
      </c>
      <c r="C27" s="189"/>
      <c r="D27" s="189"/>
      <c r="E27" s="189"/>
      <c r="F27" s="190"/>
      <c r="G27" s="83">
        <v>4</v>
      </c>
      <c r="H27" s="83" t="s">
        <v>83</v>
      </c>
      <c r="I27" s="194" t="s">
        <v>84</v>
      </c>
      <c r="J27" s="195"/>
      <c r="K27" s="196"/>
      <c r="L27" s="116" t="s">
        <v>83</v>
      </c>
      <c r="M27" s="116" t="s">
        <v>83</v>
      </c>
      <c r="N27" s="165"/>
      <c r="O27" s="166"/>
      <c r="P27" s="166"/>
      <c r="Q27" s="166"/>
      <c r="R27" s="166"/>
      <c r="S27" s="167"/>
      <c r="T27" s="83"/>
      <c r="U27" s="83"/>
      <c r="V27" s="194"/>
      <c r="W27" s="195"/>
      <c r="X27" s="196"/>
      <c r="Y27" s="83"/>
      <c r="Z27" s="83"/>
    </row>
    <row r="28" spans="1:26" ht="18" customHeight="1" x14ac:dyDescent="0.15">
      <c r="A28" s="7"/>
      <c r="B28" s="181" t="s">
        <v>140</v>
      </c>
      <c r="C28" s="182"/>
      <c r="D28" s="182"/>
      <c r="E28" s="182"/>
      <c r="F28" s="183"/>
      <c r="G28" s="84">
        <v>1</v>
      </c>
      <c r="H28" s="84" t="s">
        <v>83</v>
      </c>
      <c r="I28" s="174" t="s">
        <v>84</v>
      </c>
      <c r="J28" s="175"/>
      <c r="K28" s="176"/>
      <c r="L28" s="117"/>
      <c r="M28" s="117" t="s">
        <v>83</v>
      </c>
      <c r="N28" s="283"/>
      <c r="O28" s="284"/>
      <c r="P28" s="284"/>
      <c r="Q28" s="284"/>
      <c r="R28" s="284"/>
      <c r="S28" s="285"/>
      <c r="T28" s="84"/>
      <c r="U28" s="84"/>
      <c r="V28" s="174"/>
      <c r="W28" s="175"/>
      <c r="X28" s="176"/>
      <c r="Y28" s="84"/>
      <c r="Z28" s="84"/>
    </row>
    <row r="29" spans="1:26" ht="18" customHeight="1" x14ac:dyDescent="0.15">
      <c r="A29" s="7"/>
      <c r="B29" s="181" t="s">
        <v>125</v>
      </c>
      <c r="C29" s="182"/>
      <c r="D29" s="182"/>
      <c r="E29" s="182"/>
      <c r="F29" s="183"/>
      <c r="G29" s="84">
        <v>2</v>
      </c>
      <c r="H29" s="84" t="s">
        <v>83</v>
      </c>
      <c r="I29" s="174" t="s">
        <v>84</v>
      </c>
      <c r="J29" s="175"/>
      <c r="K29" s="176"/>
      <c r="L29" s="117" t="s">
        <v>83</v>
      </c>
      <c r="M29" s="117"/>
      <c r="N29" s="283"/>
      <c r="O29" s="284"/>
      <c r="P29" s="284"/>
      <c r="Q29" s="284"/>
      <c r="R29" s="284"/>
      <c r="S29" s="285"/>
      <c r="T29" s="84"/>
      <c r="U29" s="84"/>
      <c r="V29" s="174"/>
      <c r="W29" s="175"/>
      <c r="X29" s="176"/>
      <c r="Y29" s="84"/>
      <c r="Z29" s="84"/>
    </row>
    <row r="30" spans="1:26" ht="18" customHeight="1" x14ac:dyDescent="0.15">
      <c r="A30" s="7"/>
      <c r="B30" s="181"/>
      <c r="C30" s="182"/>
      <c r="D30" s="182"/>
      <c r="E30" s="182"/>
      <c r="F30" s="183"/>
      <c r="G30" s="84"/>
      <c r="H30" s="84"/>
      <c r="I30" s="174"/>
      <c r="J30" s="175"/>
      <c r="K30" s="176"/>
      <c r="L30" s="84"/>
      <c r="M30" s="84"/>
      <c r="N30" s="168"/>
      <c r="O30" s="169"/>
      <c r="P30" s="169"/>
      <c r="Q30" s="169"/>
      <c r="R30" s="169"/>
      <c r="S30" s="170"/>
      <c r="T30" s="84"/>
      <c r="U30" s="84"/>
      <c r="V30" s="174"/>
      <c r="W30" s="175"/>
      <c r="X30" s="176"/>
      <c r="Y30" s="84"/>
      <c r="Z30" s="84"/>
    </row>
    <row r="31" spans="1:26" ht="18" customHeight="1" x14ac:dyDescent="0.15">
      <c r="A31" s="7"/>
      <c r="B31" s="181"/>
      <c r="C31" s="182"/>
      <c r="D31" s="182"/>
      <c r="E31" s="182"/>
      <c r="F31" s="183"/>
      <c r="G31" s="84"/>
      <c r="H31" s="84"/>
      <c r="I31" s="174"/>
      <c r="J31" s="175"/>
      <c r="K31" s="176"/>
      <c r="L31" s="84"/>
      <c r="M31" s="84"/>
      <c r="N31" s="168"/>
      <c r="O31" s="169"/>
      <c r="P31" s="169"/>
      <c r="Q31" s="169"/>
      <c r="R31" s="169"/>
      <c r="S31" s="170"/>
      <c r="T31" s="84"/>
      <c r="U31" s="84"/>
      <c r="V31" s="174"/>
      <c r="W31" s="175"/>
      <c r="X31" s="176"/>
      <c r="Y31" s="84"/>
      <c r="Z31" s="84"/>
    </row>
    <row r="32" spans="1:26" ht="18" customHeight="1" x14ac:dyDescent="0.15">
      <c r="A32" s="7"/>
      <c r="B32" s="181"/>
      <c r="C32" s="182"/>
      <c r="D32" s="182"/>
      <c r="E32" s="182"/>
      <c r="F32" s="183"/>
      <c r="G32" s="84"/>
      <c r="H32" s="84"/>
      <c r="I32" s="174"/>
      <c r="J32" s="175"/>
      <c r="K32" s="176"/>
      <c r="L32" s="84"/>
      <c r="M32" s="84"/>
      <c r="N32" s="168"/>
      <c r="O32" s="169"/>
      <c r="P32" s="169"/>
      <c r="Q32" s="169"/>
      <c r="R32" s="169"/>
      <c r="S32" s="170"/>
      <c r="T32" s="84"/>
      <c r="U32" s="84"/>
      <c r="V32" s="174"/>
      <c r="W32" s="175"/>
      <c r="X32" s="176"/>
      <c r="Y32" s="84"/>
      <c r="Z32" s="84"/>
    </row>
    <row r="33" spans="1:26" ht="18" customHeight="1" x14ac:dyDescent="0.15">
      <c r="A33" s="7"/>
      <c r="B33" s="184"/>
      <c r="C33" s="185"/>
      <c r="D33" s="185"/>
      <c r="E33" s="185"/>
      <c r="F33" s="186"/>
      <c r="G33" s="85"/>
      <c r="H33" s="85"/>
      <c r="I33" s="177"/>
      <c r="J33" s="178"/>
      <c r="K33" s="179"/>
      <c r="L33" s="90"/>
      <c r="M33" s="90"/>
      <c r="N33" s="171"/>
      <c r="O33" s="172"/>
      <c r="P33" s="172"/>
      <c r="Q33" s="172"/>
      <c r="R33" s="172"/>
      <c r="S33" s="173"/>
      <c r="T33" s="85"/>
      <c r="U33" s="85"/>
      <c r="V33" s="177"/>
      <c r="W33" s="178"/>
      <c r="X33" s="179"/>
      <c r="Y33" s="90"/>
      <c r="Z33" s="90"/>
    </row>
    <row r="34" spans="1:26" ht="7.5" customHeight="1" x14ac:dyDescent="0.15">
      <c r="A34" s="14"/>
      <c r="B34" s="18"/>
      <c r="C34" s="18"/>
      <c r="D34" s="14"/>
      <c r="E34" s="14"/>
      <c r="F34" s="14"/>
      <c r="G34" s="14"/>
      <c r="H34" s="14"/>
      <c r="I34" s="14"/>
      <c r="J34" s="14"/>
      <c r="K34" s="14"/>
      <c r="L34" s="18"/>
      <c r="M34" s="18"/>
      <c r="N34" s="18"/>
      <c r="O34" s="18"/>
      <c r="P34" s="18"/>
      <c r="Q34" s="18"/>
      <c r="R34" s="18"/>
      <c r="S34" s="18"/>
      <c r="T34" s="18"/>
      <c r="U34" s="18"/>
      <c r="V34" s="18"/>
      <c r="W34" s="18"/>
      <c r="X34" s="18"/>
      <c r="Y34" s="18"/>
      <c r="Z34" s="14"/>
    </row>
    <row r="35" spans="1:26" ht="18" customHeight="1" x14ac:dyDescent="0.15">
      <c r="A35" s="225" t="s">
        <v>88</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ht="18" customHeight="1" x14ac:dyDescent="0.15">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ht="18" customHeight="1" x14ac:dyDescent="0.15">
      <c r="A37" s="7"/>
      <c r="B37" s="152" t="s">
        <v>76</v>
      </c>
      <c r="C37" s="180"/>
      <c r="D37" s="180"/>
      <c r="E37" s="180"/>
      <c r="F37" s="153"/>
      <c r="G37" s="15" t="s">
        <v>77</v>
      </c>
      <c r="H37" s="82" t="s">
        <v>78</v>
      </c>
      <c r="I37" s="152" t="s">
        <v>79</v>
      </c>
      <c r="J37" s="180"/>
      <c r="K37" s="153"/>
      <c r="L37" s="54" t="s">
        <v>89</v>
      </c>
      <c r="M37" s="54" t="s">
        <v>90</v>
      </c>
      <c r="N37" s="152" t="s">
        <v>76</v>
      </c>
      <c r="O37" s="180"/>
      <c r="P37" s="180"/>
      <c r="Q37" s="180"/>
      <c r="R37" s="180"/>
      <c r="S37" s="153"/>
      <c r="T37" s="15" t="s">
        <v>77</v>
      </c>
      <c r="U37" s="82" t="s">
        <v>78</v>
      </c>
      <c r="V37" s="152" t="s">
        <v>79</v>
      </c>
      <c r="W37" s="180"/>
      <c r="X37" s="153"/>
      <c r="Y37" s="54" t="s">
        <v>89</v>
      </c>
      <c r="Z37" s="54" t="s">
        <v>90</v>
      </c>
    </row>
    <row r="38" spans="1:26" ht="18" customHeight="1" x14ac:dyDescent="0.15">
      <c r="A38" s="14"/>
      <c r="B38" s="188" t="s">
        <v>123</v>
      </c>
      <c r="C38" s="189"/>
      <c r="D38" s="189"/>
      <c r="E38" s="189"/>
      <c r="F38" s="190"/>
      <c r="G38" s="83">
        <v>4</v>
      </c>
      <c r="H38" s="83" t="s">
        <v>83</v>
      </c>
      <c r="I38" s="194" t="s">
        <v>84</v>
      </c>
      <c r="J38" s="195"/>
      <c r="K38" s="196"/>
      <c r="L38" s="116" t="s">
        <v>83</v>
      </c>
      <c r="M38" s="116" t="s">
        <v>83</v>
      </c>
      <c r="N38" s="165"/>
      <c r="O38" s="166"/>
      <c r="P38" s="166"/>
      <c r="Q38" s="166"/>
      <c r="R38" s="166"/>
      <c r="S38" s="167"/>
      <c r="T38" s="83"/>
      <c r="U38" s="83"/>
      <c r="V38" s="194"/>
      <c r="W38" s="195"/>
      <c r="X38" s="196"/>
      <c r="Y38" s="83"/>
      <c r="Z38" s="83"/>
    </row>
    <row r="39" spans="1:26" ht="18" customHeight="1" x14ac:dyDescent="0.15">
      <c r="A39" s="14"/>
      <c r="B39" s="181" t="s">
        <v>125</v>
      </c>
      <c r="C39" s="182"/>
      <c r="D39" s="182"/>
      <c r="E39" s="182"/>
      <c r="F39" s="183"/>
      <c r="G39" s="84">
        <v>2</v>
      </c>
      <c r="H39" s="84" t="s">
        <v>83</v>
      </c>
      <c r="I39" s="174" t="s">
        <v>84</v>
      </c>
      <c r="J39" s="175"/>
      <c r="K39" s="176"/>
      <c r="L39" s="117" t="s">
        <v>83</v>
      </c>
      <c r="M39" s="117" t="s">
        <v>83</v>
      </c>
      <c r="N39" s="283"/>
      <c r="O39" s="284"/>
      <c r="P39" s="284"/>
      <c r="Q39" s="284"/>
      <c r="R39" s="284"/>
      <c r="S39" s="285"/>
      <c r="T39" s="84"/>
      <c r="U39" s="84"/>
      <c r="V39" s="174"/>
      <c r="W39" s="175"/>
      <c r="X39" s="176"/>
      <c r="Y39" s="84"/>
      <c r="Z39" s="84"/>
    </row>
    <row r="40" spans="1:26" ht="18" customHeight="1" x14ac:dyDescent="0.15">
      <c r="A40" s="14"/>
      <c r="B40" s="181"/>
      <c r="C40" s="182"/>
      <c r="D40" s="182"/>
      <c r="E40" s="182"/>
      <c r="F40" s="183"/>
      <c r="G40" s="84"/>
      <c r="H40" s="84"/>
      <c r="I40" s="174"/>
      <c r="J40" s="175"/>
      <c r="K40" s="176"/>
      <c r="L40" s="117"/>
      <c r="M40" s="117"/>
      <c r="N40" s="283"/>
      <c r="O40" s="284"/>
      <c r="P40" s="284"/>
      <c r="Q40" s="284"/>
      <c r="R40" s="284"/>
      <c r="S40" s="285"/>
      <c r="T40" s="84"/>
      <c r="U40" s="84"/>
      <c r="V40" s="174"/>
      <c r="W40" s="175"/>
      <c r="X40" s="176"/>
      <c r="Y40" s="84"/>
      <c r="Z40" s="84"/>
    </row>
    <row r="41" spans="1:26" ht="18" customHeight="1" x14ac:dyDescent="0.15">
      <c r="A41" s="14"/>
      <c r="B41" s="181"/>
      <c r="C41" s="182"/>
      <c r="D41" s="182"/>
      <c r="E41" s="182"/>
      <c r="F41" s="183"/>
      <c r="G41" s="84"/>
      <c r="H41" s="84"/>
      <c r="I41" s="174"/>
      <c r="J41" s="175"/>
      <c r="K41" s="176"/>
      <c r="L41" s="84"/>
      <c r="M41" s="84"/>
      <c r="N41" s="168"/>
      <c r="O41" s="169"/>
      <c r="P41" s="169"/>
      <c r="Q41" s="169"/>
      <c r="R41" s="169"/>
      <c r="S41" s="170"/>
      <c r="T41" s="84"/>
      <c r="U41" s="84"/>
      <c r="V41" s="174"/>
      <c r="W41" s="175"/>
      <c r="X41" s="176"/>
      <c r="Y41" s="84"/>
      <c r="Z41" s="84"/>
    </row>
    <row r="42" spans="1:26" ht="18" customHeight="1" x14ac:dyDescent="0.15">
      <c r="A42" s="14"/>
      <c r="B42" s="181"/>
      <c r="C42" s="182"/>
      <c r="D42" s="182"/>
      <c r="E42" s="182"/>
      <c r="F42" s="183"/>
      <c r="G42" s="84"/>
      <c r="H42" s="84"/>
      <c r="I42" s="174"/>
      <c r="J42" s="175"/>
      <c r="K42" s="176"/>
      <c r="L42" s="84"/>
      <c r="M42" s="84"/>
      <c r="N42" s="168"/>
      <c r="O42" s="169"/>
      <c r="P42" s="169"/>
      <c r="Q42" s="169"/>
      <c r="R42" s="169"/>
      <c r="S42" s="170"/>
      <c r="T42" s="84"/>
      <c r="U42" s="84"/>
      <c r="V42" s="174"/>
      <c r="W42" s="175"/>
      <c r="X42" s="176"/>
      <c r="Y42" s="84"/>
      <c r="Z42" s="84"/>
    </row>
    <row r="43" spans="1:26" ht="18" customHeight="1" x14ac:dyDescent="0.15">
      <c r="A43" s="14"/>
      <c r="B43" s="181"/>
      <c r="C43" s="182"/>
      <c r="D43" s="182"/>
      <c r="E43" s="182"/>
      <c r="F43" s="183"/>
      <c r="G43" s="84"/>
      <c r="H43" s="84"/>
      <c r="I43" s="174"/>
      <c r="J43" s="175"/>
      <c r="K43" s="176"/>
      <c r="L43" s="84"/>
      <c r="M43" s="84"/>
      <c r="N43" s="168"/>
      <c r="O43" s="169"/>
      <c r="P43" s="169"/>
      <c r="Q43" s="169"/>
      <c r="R43" s="169"/>
      <c r="S43" s="170"/>
      <c r="T43" s="84"/>
      <c r="U43" s="84"/>
      <c r="V43" s="174"/>
      <c r="W43" s="175"/>
      <c r="X43" s="176"/>
      <c r="Y43" s="84"/>
      <c r="Z43" s="84"/>
    </row>
    <row r="44" spans="1:26" ht="18" customHeight="1" x14ac:dyDescent="0.15">
      <c r="A44" s="14"/>
      <c r="B44" s="184"/>
      <c r="C44" s="185"/>
      <c r="D44" s="185"/>
      <c r="E44" s="185"/>
      <c r="F44" s="186"/>
      <c r="G44" s="85"/>
      <c r="H44" s="85"/>
      <c r="I44" s="177"/>
      <c r="J44" s="178"/>
      <c r="K44" s="179"/>
      <c r="L44" s="90"/>
      <c r="M44" s="90"/>
      <c r="N44" s="171"/>
      <c r="O44" s="172"/>
      <c r="P44" s="172"/>
      <c r="Q44" s="172"/>
      <c r="R44" s="172"/>
      <c r="S44" s="173"/>
      <c r="T44" s="85"/>
      <c r="U44" s="85"/>
      <c r="V44" s="177"/>
      <c r="W44" s="178"/>
      <c r="X44" s="179"/>
      <c r="Y44" s="90"/>
      <c r="Z44" s="90"/>
    </row>
    <row r="45" spans="1:26" ht="7.5" customHeight="1" x14ac:dyDescent="0.15">
      <c r="B45" s="55"/>
      <c r="C45" s="55"/>
      <c r="D45" s="55"/>
      <c r="E45" s="55"/>
      <c r="F45" s="55"/>
      <c r="G45" s="55"/>
      <c r="H45" s="55"/>
      <c r="I45" s="55"/>
      <c r="J45" s="55"/>
      <c r="K45" s="55"/>
      <c r="L45" s="55"/>
      <c r="M45" s="55"/>
      <c r="N45" s="55"/>
      <c r="O45" s="55"/>
      <c r="P45" s="55"/>
      <c r="Q45" s="55"/>
      <c r="R45" s="55"/>
      <c r="S45" s="55"/>
      <c r="T45" s="55"/>
      <c r="U45" s="55"/>
      <c r="V45" s="55"/>
      <c r="W45" s="55"/>
      <c r="X45" s="55"/>
      <c r="Y45" s="55"/>
    </row>
    <row r="46" spans="1:26" ht="18" customHeight="1" x14ac:dyDescent="0.15">
      <c r="A46" s="225" t="s">
        <v>91</v>
      </c>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spans="1:26" ht="18" customHeight="1" x14ac:dyDescent="0.15">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spans="1:26" ht="18" customHeight="1" x14ac:dyDescent="0.15">
      <c r="A48" s="7"/>
      <c r="B48" s="152" t="s">
        <v>76</v>
      </c>
      <c r="C48" s="180"/>
      <c r="D48" s="180"/>
      <c r="E48" s="180"/>
      <c r="F48" s="153"/>
      <c r="G48" s="15" t="s">
        <v>77</v>
      </c>
      <c r="H48" s="82" t="s">
        <v>78</v>
      </c>
      <c r="I48" s="152" t="s">
        <v>79</v>
      </c>
      <c r="J48" s="180"/>
      <c r="K48" s="153"/>
      <c r="L48" s="54" t="s">
        <v>92</v>
      </c>
      <c r="M48" s="54" t="s">
        <v>93</v>
      </c>
      <c r="N48" s="152" t="s">
        <v>76</v>
      </c>
      <c r="O48" s="180"/>
      <c r="P48" s="180"/>
      <c r="Q48" s="180"/>
      <c r="R48" s="180"/>
      <c r="S48" s="153"/>
      <c r="T48" s="15" t="s">
        <v>77</v>
      </c>
      <c r="U48" s="82" t="s">
        <v>78</v>
      </c>
      <c r="V48" s="152" t="s">
        <v>79</v>
      </c>
      <c r="W48" s="180"/>
      <c r="X48" s="153"/>
      <c r="Y48" s="54" t="s">
        <v>92</v>
      </c>
      <c r="Z48" s="54" t="s">
        <v>93</v>
      </c>
    </row>
    <row r="49" spans="1:26" ht="18" customHeight="1" x14ac:dyDescent="0.15">
      <c r="A49" s="14"/>
      <c r="B49" s="188" t="s">
        <v>126</v>
      </c>
      <c r="C49" s="189"/>
      <c r="D49" s="189"/>
      <c r="E49" s="189"/>
      <c r="F49" s="190"/>
      <c r="G49" s="83">
        <v>4</v>
      </c>
      <c r="H49" s="83" t="s">
        <v>83</v>
      </c>
      <c r="I49" s="194" t="s">
        <v>84</v>
      </c>
      <c r="J49" s="195"/>
      <c r="K49" s="196"/>
      <c r="L49" s="116" t="s">
        <v>83</v>
      </c>
      <c r="M49" s="116" t="s">
        <v>83</v>
      </c>
      <c r="N49" s="165"/>
      <c r="O49" s="166"/>
      <c r="P49" s="166"/>
      <c r="Q49" s="166"/>
      <c r="R49" s="166"/>
      <c r="S49" s="167"/>
      <c r="T49" s="83"/>
      <c r="U49" s="83"/>
      <c r="V49" s="194"/>
      <c r="W49" s="195"/>
      <c r="X49" s="196"/>
      <c r="Y49" s="83"/>
      <c r="Z49" s="83"/>
    </row>
    <row r="50" spans="1:26" ht="18" customHeight="1" x14ac:dyDescent="0.15">
      <c r="A50" s="14"/>
      <c r="B50" s="181" t="s">
        <v>127</v>
      </c>
      <c r="C50" s="182"/>
      <c r="D50" s="182"/>
      <c r="E50" s="182"/>
      <c r="F50" s="183"/>
      <c r="G50" s="84">
        <v>2</v>
      </c>
      <c r="H50" s="84" t="s">
        <v>83</v>
      </c>
      <c r="I50" s="174" t="s">
        <v>84</v>
      </c>
      <c r="J50" s="175"/>
      <c r="K50" s="176"/>
      <c r="L50" s="117"/>
      <c r="M50" s="117" t="s">
        <v>83</v>
      </c>
      <c r="N50" s="283"/>
      <c r="O50" s="284"/>
      <c r="P50" s="284"/>
      <c r="Q50" s="284"/>
      <c r="R50" s="284"/>
      <c r="S50" s="285"/>
      <c r="T50" s="84"/>
      <c r="U50" s="84"/>
      <c r="V50" s="174"/>
      <c r="W50" s="175"/>
      <c r="X50" s="176"/>
      <c r="Y50" s="84"/>
      <c r="Z50" s="84"/>
    </row>
    <row r="51" spans="1:26" ht="18" customHeight="1" x14ac:dyDescent="0.15">
      <c r="A51" s="14"/>
      <c r="B51" s="181"/>
      <c r="C51" s="182"/>
      <c r="D51" s="182"/>
      <c r="E51" s="182"/>
      <c r="F51" s="183"/>
      <c r="G51" s="84"/>
      <c r="H51" s="84"/>
      <c r="I51" s="174"/>
      <c r="J51" s="175"/>
      <c r="K51" s="176"/>
      <c r="L51" s="117"/>
      <c r="M51" s="117"/>
      <c r="N51" s="283"/>
      <c r="O51" s="284"/>
      <c r="P51" s="284"/>
      <c r="Q51" s="284"/>
      <c r="R51" s="284"/>
      <c r="S51" s="285"/>
      <c r="T51" s="84"/>
      <c r="U51" s="84"/>
      <c r="V51" s="174"/>
      <c r="W51" s="175"/>
      <c r="X51" s="176"/>
      <c r="Y51" s="84"/>
      <c r="Z51" s="84"/>
    </row>
    <row r="52" spans="1:26" ht="18" customHeight="1" x14ac:dyDescent="0.15">
      <c r="A52" s="14"/>
      <c r="B52" s="181"/>
      <c r="C52" s="182"/>
      <c r="D52" s="182"/>
      <c r="E52" s="182"/>
      <c r="F52" s="183"/>
      <c r="G52" s="84"/>
      <c r="H52" s="84"/>
      <c r="I52" s="174"/>
      <c r="J52" s="175"/>
      <c r="K52" s="176"/>
      <c r="L52" s="84"/>
      <c r="M52" s="84"/>
      <c r="N52" s="168"/>
      <c r="O52" s="169"/>
      <c r="P52" s="169"/>
      <c r="Q52" s="169"/>
      <c r="R52" s="169"/>
      <c r="S52" s="170"/>
      <c r="T52" s="84"/>
      <c r="U52" s="84"/>
      <c r="V52" s="174"/>
      <c r="W52" s="175"/>
      <c r="X52" s="176"/>
      <c r="Y52" s="84"/>
      <c r="Z52" s="84"/>
    </row>
    <row r="53" spans="1:26" ht="18" customHeight="1" x14ac:dyDescent="0.15">
      <c r="A53" s="14"/>
      <c r="B53" s="181"/>
      <c r="C53" s="182"/>
      <c r="D53" s="182"/>
      <c r="E53" s="182"/>
      <c r="F53" s="183"/>
      <c r="G53" s="84"/>
      <c r="H53" s="84"/>
      <c r="I53" s="174"/>
      <c r="J53" s="175"/>
      <c r="K53" s="176"/>
      <c r="L53" s="84"/>
      <c r="M53" s="84"/>
      <c r="N53" s="168"/>
      <c r="O53" s="169"/>
      <c r="P53" s="169"/>
      <c r="Q53" s="169"/>
      <c r="R53" s="169"/>
      <c r="S53" s="170"/>
      <c r="T53" s="84"/>
      <c r="U53" s="84"/>
      <c r="V53" s="174"/>
      <c r="W53" s="175"/>
      <c r="X53" s="176"/>
      <c r="Y53" s="84"/>
      <c r="Z53" s="84"/>
    </row>
    <row r="54" spans="1:26" ht="18" customHeight="1" x14ac:dyDescent="0.15">
      <c r="A54" s="14"/>
      <c r="B54" s="181"/>
      <c r="C54" s="182"/>
      <c r="D54" s="182"/>
      <c r="E54" s="182"/>
      <c r="F54" s="183"/>
      <c r="G54" s="84"/>
      <c r="H54" s="84"/>
      <c r="I54" s="174"/>
      <c r="J54" s="175"/>
      <c r="K54" s="176"/>
      <c r="L54" s="84"/>
      <c r="M54" s="84"/>
      <c r="N54" s="168"/>
      <c r="O54" s="169"/>
      <c r="P54" s="169"/>
      <c r="Q54" s="169"/>
      <c r="R54" s="169"/>
      <c r="S54" s="170"/>
      <c r="T54" s="84"/>
      <c r="U54" s="84"/>
      <c r="V54" s="174"/>
      <c r="W54" s="175"/>
      <c r="X54" s="176"/>
      <c r="Y54" s="84"/>
      <c r="Z54" s="84"/>
    </row>
    <row r="55" spans="1:26" ht="18" customHeight="1" x14ac:dyDescent="0.15">
      <c r="A55" s="14"/>
      <c r="B55" s="184"/>
      <c r="C55" s="185"/>
      <c r="D55" s="185"/>
      <c r="E55" s="185"/>
      <c r="F55" s="186"/>
      <c r="G55" s="85"/>
      <c r="H55" s="85"/>
      <c r="I55" s="177"/>
      <c r="J55" s="178"/>
      <c r="K55" s="179"/>
      <c r="L55" s="90"/>
      <c r="M55" s="90"/>
      <c r="N55" s="171"/>
      <c r="O55" s="172"/>
      <c r="P55" s="172"/>
      <c r="Q55" s="172"/>
      <c r="R55" s="172"/>
      <c r="S55" s="173"/>
      <c r="T55" s="85"/>
      <c r="U55" s="85"/>
      <c r="V55" s="177"/>
      <c r="W55" s="178"/>
      <c r="X55" s="179"/>
      <c r="Y55" s="90"/>
      <c r="Z55" s="90"/>
    </row>
    <row r="56" spans="1:26" ht="7.5" customHeight="1" x14ac:dyDescent="0.15">
      <c r="B56" s="55"/>
      <c r="C56" s="55"/>
      <c r="D56" s="55"/>
      <c r="E56" s="55"/>
      <c r="F56" s="55"/>
      <c r="G56" s="55"/>
      <c r="H56" s="55"/>
      <c r="I56" s="55"/>
      <c r="J56" s="55"/>
      <c r="K56" s="55"/>
      <c r="L56" s="55"/>
      <c r="M56" s="55"/>
      <c r="N56" s="55"/>
      <c r="O56" s="55"/>
      <c r="P56" s="55"/>
      <c r="Q56" s="55"/>
      <c r="R56" s="55"/>
      <c r="S56" s="55"/>
      <c r="T56" s="55"/>
      <c r="U56" s="55"/>
      <c r="V56" s="55"/>
      <c r="W56" s="55"/>
      <c r="X56" s="55"/>
      <c r="Y56" s="55"/>
    </row>
    <row r="57" spans="1:26" ht="18" customHeight="1" x14ac:dyDescent="0.15">
      <c r="A57" s="225" t="s">
        <v>95</v>
      </c>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spans="1:26" ht="18" customHeight="1" x14ac:dyDescent="0.15">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spans="1:26" ht="18" customHeight="1" x14ac:dyDescent="0.15">
      <c r="A59" s="7"/>
      <c r="B59" s="152" t="s">
        <v>76</v>
      </c>
      <c r="C59" s="180"/>
      <c r="D59" s="180"/>
      <c r="E59" s="153"/>
      <c r="F59" s="15" t="s">
        <v>77</v>
      </c>
      <c r="G59" s="82" t="s">
        <v>78</v>
      </c>
      <c r="H59" s="77" t="s">
        <v>79</v>
      </c>
      <c r="I59" s="78"/>
      <c r="J59" s="79"/>
      <c r="K59" s="54" t="s">
        <v>96</v>
      </c>
      <c r="L59" s="54" t="s">
        <v>97</v>
      </c>
      <c r="M59" s="54" t="s">
        <v>98</v>
      </c>
      <c r="N59" s="152" t="s">
        <v>76</v>
      </c>
      <c r="O59" s="180"/>
      <c r="P59" s="180"/>
      <c r="Q59" s="180"/>
      <c r="R59" s="153"/>
      <c r="S59" s="15" t="s">
        <v>77</v>
      </c>
      <c r="T59" s="82" t="s">
        <v>78</v>
      </c>
      <c r="U59" s="77" t="s">
        <v>79</v>
      </c>
      <c r="V59" s="78"/>
      <c r="W59" s="79"/>
      <c r="X59" s="54" t="s">
        <v>96</v>
      </c>
      <c r="Y59" s="54" t="s">
        <v>97</v>
      </c>
      <c r="Z59" s="54" t="s">
        <v>98</v>
      </c>
    </row>
    <row r="60" spans="1:26" ht="18" customHeight="1" x14ac:dyDescent="0.15">
      <c r="A60" s="14"/>
      <c r="B60" s="165" t="s">
        <v>123</v>
      </c>
      <c r="C60" s="166"/>
      <c r="D60" s="166"/>
      <c r="E60" s="167"/>
      <c r="F60" s="83">
        <v>4</v>
      </c>
      <c r="G60" s="83" t="s">
        <v>83</v>
      </c>
      <c r="H60" s="194" t="s">
        <v>84</v>
      </c>
      <c r="I60" s="195"/>
      <c r="J60" s="196"/>
      <c r="K60" s="116" t="s">
        <v>83</v>
      </c>
      <c r="L60" s="116" t="s">
        <v>83</v>
      </c>
      <c r="M60" s="116" t="s">
        <v>83</v>
      </c>
      <c r="N60" s="165"/>
      <c r="O60" s="166"/>
      <c r="P60" s="166"/>
      <c r="Q60" s="166"/>
      <c r="R60" s="167"/>
      <c r="S60" s="83"/>
      <c r="T60" s="83"/>
      <c r="U60" s="194"/>
      <c r="V60" s="195"/>
      <c r="W60" s="196"/>
      <c r="X60" s="89"/>
      <c r="Y60" s="83"/>
      <c r="Z60" s="83"/>
    </row>
    <row r="61" spans="1:26" ht="18" customHeight="1" x14ac:dyDescent="0.15">
      <c r="A61" s="14"/>
      <c r="B61" s="168" t="s">
        <v>140</v>
      </c>
      <c r="C61" s="169"/>
      <c r="D61" s="169"/>
      <c r="E61" s="170"/>
      <c r="F61" s="84">
        <v>1</v>
      </c>
      <c r="G61" s="84" t="s">
        <v>83</v>
      </c>
      <c r="H61" s="174" t="s">
        <v>84</v>
      </c>
      <c r="I61" s="175"/>
      <c r="J61" s="176"/>
      <c r="K61" s="117"/>
      <c r="L61" s="117"/>
      <c r="M61" s="117" t="s">
        <v>83</v>
      </c>
      <c r="N61" s="168"/>
      <c r="O61" s="169"/>
      <c r="P61" s="169"/>
      <c r="Q61" s="169"/>
      <c r="R61" s="170"/>
      <c r="S61" s="84"/>
      <c r="T61" s="84"/>
      <c r="U61" s="174"/>
      <c r="V61" s="175"/>
      <c r="W61" s="176"/>
      <c r="X61" s="87"/>
      <c r="Y61" s="84"/>
      <c r="Z61" s="84"/>
    </row>
    <row r="62" spans="1:26" ht="18" customHeight="1" x14ac:dyDescent="0.15">
      <c r="A62" s="14"/>
      <c r="B62" s="168" t="s">
        <v>128</v>
      </c>
      <c r="C62" s="169"/>
      <c r="D62" s="169"/>
      <c r="E62" s="170"/>
      <c r="F62" s="84">
        <v>2</v>
      </c>
      <c r="G62" s="84" t="s">
        <v>83</v>
      </c>
      <c r="H62" s="174" t="s">
        <v>84</v>
      </c>
      <c r="I62" s="175"/>
      <c r="J62" s="176"/>
      <c r="K62" s="84"/>
      <c r="L62" s="84" t="s">
        <v>83</v>
      </c>
      <c r="M62" s="84" t="s">
        <v>83</v>
      </c>
      <c r="N62" s="168"/>
      <c r="O62" s="169"/>
      <c r="P62" s="169"/>
      <c r="Q62" s="169"/>
      <c r="R62" s="170"/>
      <c r="S62" s="84"/>
      <c r="T62" s="84"/>
      <c r="U62" s="174"/>
      <c r="V62" s="175"/>
      <c r="W62" s="176"/>
      <c r="X62" s="87"/>
      <c r="Y62" s="84"/>
      <c r="Z62" s="84"/>
    </row>
    <row r="63" spans="1:26" ht="18" customHeight="1" x14ac:dyDescent="0.15">
      <c r="A63" s="14"/>
      <c r="B63" s="168" t="s">
        <v>125</v>
      </c>
      <c r="C63" s="169"/>
      <c r="D63" s="169"/>
      <c r="E63" s="170"/>
      <c r="F63" s="84">
        <v>2</v>
      </c>
      <c r="G63" s="84" t="s">
        <v>83</v>
      </c>
      <c r="H63" s="174" t="s">
        <v>84</v>
      </c>
      <c r="I63" s="175"/>
      <c r="J63" s="176"/>
      <c r="K63" s="84" t="s">
        <v>83</v>
      </c>
      <c r="L63" s="84" t="s">
        <v>83</v>
      </c>
      <c r="M63" s="84" t="s">
        <v>83</v>
      </c>
      <c r="N63" s="168"/>
      <c r="O63" s="169"/>
      <c r="P63" s="169"/>
      <c r="Q63" s="169"/>
      <c r="R63" s="170"/>
      <c r="S63" s="84"/>
      <c r="T63" s="84"/>
      <c r="U63" s="174"/>
      <c r="V63" s="175"/>
      <c r="W63" s="176"/>
      <c r="X63" s="87"/>
      <c r="Y63" s="84"/>
      <c r="Z63" s="84"/>
    </row>
    <row r="64" spans="1:26" ht="18" customHeight="1" x14ac:dyDescent="0.15">
      <c r="A64" s="14"/>
      <c r="B64" s="168"/>
      <c r="C64" s="169"/>
      <c r="D64" s="169"/>
      <c r="E64" s="170"/>
      <c r="F64" s="84"/>
      <c r="G64" s="84"/>
      <c r="H64" s="174"/>
      <c r="I64" s="175"/>
      <c r="J64" s="176"/>
      <c r="K64" s="87"/>
      <c r="L64" s="84"/>
      <c r="M64" s="84"/>
      <c r="N64" s="168"/>
      <c r="O64" s="169"/>
      <c r="P64" s="169"/>
      <c r="Q64" s="169"/>
      <c r="R64" s="170"/>
      <c r="S64" s="84"/>
      <c r="T64" s="84"/>
      <c r="U64" s="174"/>
      <c r="V64" s="175"/>
      <c r="W64" s="176"/>
      <c r="X64" s="87"/>
      <c r="Y64" s="84"/>
      <c r="Z64" s="84"/>
    </row>
    <row r="65" spans="1:26" ht="18" customHeight="1" x14ac:dyDescent="0.15">
      <c r="A65" s="14"/>
      <c r="B65" s="168"/>
      <c r="C65" s="169"/>
      <c r="D65" s="169"/>
      <c r="E65" s="170"/>
      <c r="F65" s="84"/>
      <c r="G65" s="84"/>
      <c r="H65" s="174"/>
      <c r="I65" s="175"/>
      <c r="J65" s="176"/>
      <c r="K65" s="87"/>
      <c r="L65" s="84"/>
      <c r="M65" s="84"/>
      <c r="N65" s="168"/>
      <c r="O65" s="169"/>
      <c r="P65" s="169"/>
      <c r="Q65" s="169"/>
      <c r="R65" s="170"/>
      <c r="S65" s="84"/>
      <c r="T65" s="84"/>
      <c r="U65" s="174"/>
      <c r="V65" s="175"/>
      <c r="W65" s="176"/>
      <c r="X65" s="87"/>
      <c r="Y65" s="84"/>
      <c r="Z65" s="84"/>
    </row>
    <row r="66" spans="1:26" ht="18" customHeight="1" x14ac:dyDescent="0.15">
      <c r="A66" s="14"/>
      <c r="B66" s="171"/>
      <c r="C66" s="172"/>
      <c r="D66" s="172"/>
      <c r="E66" s="173"/>
      <c r="F66" s="85"/>
      <c r="G66" s="85"/>
      <c r="H66" s="177"/>
      <c r="I66" s="178"/>
      <c r="J66" s="179"/>
      <c r="K66" s="88"/>
      <c r="L66" s="90"/>
      <c r="M66" s="90"/>
      <c r="N66" s="171"/>
      <c r="O66" s="172"/>
      <c r="P66" s="172"/>
      <c r="Q66" s="172"/>
      <c r="R66" s="173"/>
      <c r="S66" s="85"/>
      <c r="T66" s="85"/>
      <c r="U66" s="177"/>
      <c r="V66" s="178"/>
      <c r="W66" s="179"/>
      <c r="X66" s="88"/>
      <c r="Y66" s="90"/>
      <c r="Z66" s="90"/>
    </row>
    <row r="67" spans="1:26" ht="7.5" customHeight="1" x14ac:dyDescent="0.15">
      <c r="B67" s="55"/>
      <c r="C67" s="55"/>
      <c r="D67" s="55"/>
      <c r="E67" s="55"/>
      <c r="F67" s="55"/>
      <c r="G67" s="55"/>
      <c r="H67" s="55"/>
      <c r="I67" s="55"/>
      <c r="J67" s="55"/>
      <c r="K67" s="55"/>
      <c r="L67" s="55"/>
      <c r="M67" s="55"/>
      <c r="N67" s="55"/>
      <c r="O67" s="55"/>
      <c r="P67" s="55"/>
      <c r="Q67" s="55"/>
      <c r="R67" s="55"/>
      <c r="S67" s="55"/>
      <c r="T67" s="55"/>
      <c r="U67" s="55"/>
      <c r="V67" s="55"/>
      <c r="W67" s="55"/>
      <c r="X67" s="55"/>
      <c r="Y67" s="55"/>
    </row>
    <row r="68" spans="1:26" ht="18" customHeight="1" x14ac:dyDescent="0.15">
      <c r="A68" s="7" t="s">
        <v>100</v>
      </c>
      <c r="B68" s="7"/>
      <c r="C68" s="7"/>
      <c r="D68" s="7"/>
      <c r="E68" s="7"/>
      <c r="F68" s="7"/>
      <c r="G68" s="7"/>
      <c r="H68" s="7"/>
      <c r="I68" s="7"/>
      <c r="J68" s="7"/>
      <c r="K68" s="7"/>
      <c r="L68" s="14"/>
      <c r="M68" s="14"/>
      <c r="N68" s="14"/>
      <c r="O68" s="14"/>
      <c r="P68" s="14"/>
      <c r="Q68" s="14"/>
      <c r="R68" s="14"/>
      <c r="S68" s="14"/>
      <c r="T68" s="14"/>
      <c r="U68" s="14"/>
      <c r="V68" s="14"/>
      <c r="W68" s="14"/>
      <c r="X68" s="14"/>
      <c r="Y68" s="14"/>
      <c r="Z68" s="14"/>
    </row>
    <row r="69" spans="1:26" ht="18" customHeight="1" x14ac:dyDescent="0.15">
      <c r="A69" s="7"/>
      <c r="B69" s="152" t="s">
        <v>76</v>
      </c>
      <c r="C69" s="180"/>
      <c r="D69" s="180"/>
      <c r="E69" s="180"/>
      <c r="F69" s="153"/>
      <c r="G69" s="152" t="s">
        <v>101</v>
      </c>
      <c r="H69" s="180"/>
      <c r="I69" s="180"/>
      <c r="J69" s="180"/>
      <c r="K69" s="180"/>
      <c r="L69" s="180"/>
      <c r="M69" s="153"/>
      <c r="N69" s="191" t="s">
        <v>76</v>
      </c>
      <c r="O69" s="192"/>
      <c r="P69" s="192"/>
      <c r="Q69" s="192"/>
      <c r="R69" s="192"/>
      <c r="S69" s="193"/>
      <c r="T69" s="152" t="s">
        <v>101</v>
      </c>
      <c r="U69" s="180"/>
      <c r="V69" s="180"/>
      <c r="W69" s="180"/>
      <c r="X69" s="180"/>
      <c r="Y69" s="180"/>
      <c r="Z69" s="153"/>
    </row>
    <row r="70" spans="1:26" ht="18" customHeight="1" x14ac:dyDescent="0.15">
      <c r="A70" s="14"/>
      <c r="B70" s="165"/>
      <c r="C70" s="166"/>
      <c r="D70" s="166"/>
      <c r="E70" s="166"/>
      <c r="F70" s="167"/>
      <c r="G70" s="236"/>
      <c r="H70" s="237"/>
      <c r="I70" s="237"/>
      <c r="J70" s="237"/>
      <c r="K70" s="237"/>
      <c r="L70" s="237"/>
      <c r="M70" s="238"/>
      <c r="N70" s="165"/>
      <c r="O70" s="166"/>
      <c r="P70" s="166"/>
      <c r="Q70" s="166"/>
      <c r="R70" s="166"/>
      <c r="S70" s="167"/>
      <c r="T70" s="236"/>
      <c r="U70" s="237"/>
      <c r="V70" s="237"/>
      <c r="W70" s="237"/>
      <c r="X70" s="237"/>
      <c r="Y70" s="237"/>
      <c r="Z70" s="238"/>
    </row>
    <row r="71" spans="1:26" ht="18" customHeight="1" x14ac:dyDescent="0.15">
      <c r="A71" s="14"/>
      <c r="B71" s="168"/>
      <c r="C71" s="169"/>
      <c r="D71" s="169"/>
      <c r="E71" s="169"/>
      <c r="F71" s="170"/>
      <c r="G71" s="212"/>
      <c r="H71" s="213"/>
      <c r="I71" s="213"/>
      <c r="J71" s="213"/>
      <c r="K71" s="213"/>
      <c r="L71" s="213"/>
      <c r="M71" s="214"/>
      <c r="N71" s="168"/>
      <c r="O71" s="169"/>
      <c r="P71" s="169"/>
      <c r="Q71" s="169"/>
      <c r="R71" s="169"/>
      <c r="S71" s="170"/>
      <c r="T71" s="212"/>
      <c r="U71" s="213"/>
      <c r="V71" s="213"/>
      <c r="W71" s="213"/>
      <c r="X71" s="213"/>
      <c r="Y71" s="213"/>
      <c r="Z71" s="214"/>
    </row>
    <row r="72" spans="1:26" ht="18" customHeight="1" x14ac:dyDescent="0.15">
      <c r="A72" s="14"/>
      <c r="B72" s="168"/>
      <c r="C72" s="169"/>
      <c r="D72" s="169"/>
      <c r="E72" s="169"/>
      <c r="F72" s="170"/>
      <c r="G72" s="212"/>
      <c r="H72" s="213"/>
      <c r="I72" s="213"/>
      <c r="J72" s="213"/>
      <c r="K72" s="213"/>
      <c r="L72" s="213"/>
      <c r="M72" s="214"/>
      <c r="N72" s="168"/>
      <c r="O72" s="169"/>
      <c r="P72" s="169"/>
      <c r="Q72" s="169"/>
      <c r="R72" s="169"/>
      <c r="S72" s="170"/>
      <c r="T72" s="212"/>
      <c r="U72" s="213"/>
      <c r="V72" s="213"/>
      <c r="W72" s="213"/>
      <c r="X72" s="213"/>
      <c r="Y72" s="213"/>
      <c r="Z72" s="214"/>
    </row>
    <row r="73" spans="1:26" ht="18" customHeight="1" x14ac:dyDescent="0.15">
      <c r="A73" s="14"/>
      <c r="B73" s="168"/>
      <c r="C73" s="169"/>
      <c r="D73" s="169"/>
      <c r="E73" s="169"/>
      <c r="F73" s="170"/>
      <c r="G73" s="212"/>
      <c r="H73" s="213"/>
      <c r="I73" s="213"/>
      <c r="J73" s="213"/>
      <c r="K73" s="213"/>
      <c r="L73" s="213"/>
      <c r="M73" s="214"/>
      <c r="N73" s="168"/>
      <c r="O73" s="169"/>
      <c r="P73" s="169"/>
      <c r="Q73" s="169"/>
      <c r="R73" s="169"/>
      <c r="S73" s="170"/>
      <c r="T73" s="212"/>
      <c r="U73" s="213"/>
      <c r="V73" s="213"/>
      <c r="W73" s="213"/>
      <c r="X73" s="213"/>
      <c r="Y73" s="213"/>
      <c r="Z73" s="214"/>
    </row>
    <row r="74" spans="1:26" ht="18" customHeight="1" x14ac:dyDescent="0.15">
      <c r="A74" s="14"/>
      <c r="B74" s="168"/>
      <c r="C74" s="169"/>
      <c r="D74" s="169"/>
      <c r="E74" s="169"/>
      <c r="F74" s="170"/>
      <c r="G74" s="212"/>
      <c r="H74" s="213"/>
      <c r="I74" s="213"/>
      <c r="J74" s="213"/>
      <c r="K74" s="213"/>
      <c r="L74" s="213"/>
      <c r="M74" s="214"/>
      <c r="N74" s="168"/>
      <c r="O74" s="169"/>
      <c r="P74" s="169"/>
      <c r="Q74" s="169"/>
      <c r="R74" s="169"/>
      <c r="S74" s="170"/>
      <c r="T74" s="212"/>
      <c r="U74" s="213"/>
      <c r="V74" s="213"/>
      <c r="W74" s="213"/>
      <c r="X74" s="213"/>
      <c r="Y74" s="213"/>
      <c r="Z74" s="214"/>
    </row>
    <row r="75" spans="1:26" ht="18" customHeight="1" x14ac:dyDescent="0.15">
      <c r="A75" s="14"/>
      <c r="B75" s="168"/>
      <c r="C75" s="169"/>
      <c r="D75" s="169"/>
      <c r="E75" s="169"/>
      <c r="F75" s="170"/>
      <c r="G75" s="212"/>
      <c r="H75" s="213"/>
      <c r="I75" s="213"/>
      <c r="J75" s="213"/>
      <c r="K75" s="213"/>
      <c r="L75" s="213"/>
      <c r="M75" s="214"/>
      <c r="N75" s="168"/>
      <c r="O75" s="169"/>
      <c r="P75" s="169"/>
      <c r="Q75" s="169"/>
      <c r="R75" s="169"/>
      <c r="S75" s="170"/>
      <c r="T75" s="212"/>
      <c r="U75" s="213"/>
      <c r="V75" s="213"/>
      <c r="W75" s="213"/>
      <c r="X75" s="213"/>
      <c r="Y75" s="213"/>
      <c r="Z75" s="214"/>
    </row>
    <row r="76" spans="1:26" ht="18" customHeight="1" x14ac:dyDescent="0.15">
      <c r="A76" s="14"/>
      <c r="B76" s="171"/>
      <c r="C76" s="172"/>
      <c r="D76" s="172"/>
      <c r="E76" s="172"/>
      <c r="F76" s="173"/>
      <c r="G76" s="209"/>
      <c r="H76" s="210"/>
      <c r="I76" s="210"/>
      <c r="J76" s="210"/>
      <c r="K76" s="210"/>
      <c r="L76" s="210"/>
      <c r="M76" s="211"/>
      <c r="N76" s="171"/>
      <c r="O76" s="172"/>
      <c r="P76" s="172"/>
      <c r="Q76" s="172"/>
      <c r="R76" s="172"/>
      <c r="S76" s="173"/>
      <c r="T76" s="209"/>
      <c r="U76" s="210"/>
      <c r="V76" s="210"/>
      <c r="W76" s="210"/>
      <c r="X76" s="210"/>
      <c r="Y76" s="210"/>
      <c r="Z76" s="211"/>
    </row>
    <row r="77" spans="1:26" ht="18" customHeight="1" x14ac:dyDescent="0.15">
      <c r="A77" s="14"/>
      <c r="B77" s="18"/>
      <c r="C77" s="18"/>
      <c r="D77" s="18"/>
      <c r="E77" s="18"/>
      <c r="F77" s="18"/>
      <c r="G77" s="5"/>
      <c r="H77" s="5"/>
      <c r="I77" s="5"/>
      <c r="J77" s="5"/>
      <c r="K77" s="5"/>
      <c r="L77" s="5"/>
      <c r="M77" s="5"/>
      <c r="N77" s="18"/>
      <c r="O77" s="18"/>
      <c r="P77" s="18"/>
      <c r="Q77" s="18"/>
      <c r="R77" s="18"/>
      <c r="S77" s="18"/>
      <c r="T77" s="5"/>
      <c r="U77" s="5"/>
      <c r="V77" s="5"/>
      <c r="W77" s="5"/>
      <c r="X77" s="5"/>
      <c r="Y77" s="5"/>
      <c r="Z77" s="5"/>
    </row>
    <row r="78" spans="1:26" ht="18.75" customHeight="1" x14ac:dyDescent="0.15">
      <c r="A78" s="6" t="s">
        <v>102</v>
      </c>
    </row>
    <row r="79" spans="1:26" ht="18.75" customHeight="1" x14ac:dyDescent="0.15">
      <c r="B79" s="56" t="s">
        <v>103</v>
      </c>
      <c r="C79" s="57"/>
      <c r="D79" s="257" t="s">
        <v>104</v>
      </c>
      <c r="E79" s="257"/>
      <c r="F79" s="257"/>
      <c r="G79" s="257"/>
      <c r="H79" s="257"/>
      <c r="I79" s="257"/>
      <c r="J79" s="257"/>
      <c r="K79" s="257"/>
      <c r="L79" s="257"/>
      <c r="M79" s="257"/>
      <c r="N79" s="257"/>
      <c r="O79" s="257"/>
      <c r="P79" s="257"/>
      <c r="Q79" s="257"/>
      <c r="R79" s="257"/>
      <c r="S79" s="257"/>
      <c r="T79" s="257"/>
      <c r="U79" s="257"/>
      <c r="V79" s="257"/>
      <c r="W79" s="257"/>
      <c r="X79" s="257"/>
      <c r="Y79" s="257"/>
      <c r="Z79" s="258"/>
    </row>
    <row r="80" spans="1:26" ht="78" customHeight="1" x14ac:dyDescent="0.15">
      <c r="B80" s="244" t="s">
        <v>105</v>
      </c>
      <c r="C80" s="61" t="s">
        <v>80</v>
      </c>
      <c r="D80" s="268" t="s">
        <v>141</v>
      </c>
      <c r="E80" s="268"/>
      <c r="F80" s="268"/>
      <c r="G80" s="268"/>
      <c r="H80" s="268"/>
      <c r="I80" s="268"/>
      <c r="J80" s="268"/>
      <c r="K80" s="268"/>
      <c r="L80" s="268"/>
      <c r="M80" s="268"/>
      <c r="N80" s="268"/>
      <c r="O80" s="268"/>
      <c r="P80" s="268"/>
      <c r="Q80" s="268"/>
      <c r="R80" s="268"/>
      <c r="S80" s="268"/>
      <c r="T80" s="268"/>
      <c r="U80" s="268"/>
      <c r="V80" s="268"/>
      <c r="W80" s="268"/>
      <c r="X80" s="268"/>
      <c r="Y80" s="268"/>
      <c r="Z80" s="269"/>
    </row>
    <row r="81" spans="1:26" ht="78" customHeight="1" x14ac:dyDescent="0.15">
      <c r="B81" s="245"/>
      <c r="C81" s="80" t="s">
        <v>107</v>
      </c>
      <c r="D81" s="281" t="s">
        <v>142</v>
      </c>
      <c r="E81" s="281"/>
      <c r="F81" s="281"/>
      <c r="G81" s="281"/>
      <c r="H81" s="281"/>
      <c r="I81" s="281"/>
      <c r="J81" s="281"/>
      <c r="K81" s="281"/>
      <c r="L81" s="281"/>
      <c r="M81" s="281"/>
      <c r="N81" s="281"/>
      <c r="O81" s="281"/>
      <c r="P81" s="281"/>
      <c r="Q81" s="281"/>
      <c r="R81" s="281"/>
      <c r="S81" s="281"/>
      <c r="T81" s="281"/>
      <c r="U81" s="281"/>
      <c r="V81" s="281"/>
      <c r="W81" s="281"/>
      <c r="X81" s="281"/>
      <c r="Y81" s="281"/>
      <c r="Z81" s="282"/>
    </row>
    <row r="82" spans="1:26" ht="78" customHeight="1" x14ac:dyDescent="0.15">
      <c r="B82" s="242" t="s">
        <v>109</v>
      </c>
      <c r="C82" s="58" t="s">
        <v>86</v>
      </c>
      <c r="D82" s="272" t="s">
        <v>143</v>
      </c>
      <c r="E82" s="272"/>
      <c r="F82" s="272"/>
      <c r="G82" s="272"/>
      <c r="H82" s="272"/>
      <c r="I82" s="272"/>
      <c r="J82" s="272"/>
      <c r="K82" s="272"/>
      <c r="L82" s="272"/>
      <c r="M82" s="272"/>
      <c r="N82" s="272"/>
      <c r="O82" s="272"/>
      <c r="P82" s="272"/>
      <c r="Q82" s="272"/>
      <c r="R82" s="272"/>
      <c r="S82" s="272"/>
      <c r="T82" s="272"/>
      <c r="U82" s="272"/>
      <c r="V82" s="272"/>
      <c r="W82" s="272"/>
      <c r="X82" s="272"/>
      <c r="Y82" s="272"/>
      <c r="Z82" s="273"/>
    </row>
    <row r="83" spans="1:26" ht="78" customHeight="1" x14ac:dyDescent="0.15">
      <c r="B83" s="243"/>
      <c r="C83" s="81" t="s">
        <v>87</v>
      </c>
      <c r="D83" s="277" t="s">
        <v>144</v>
      </c>
      <c r="E83" s="277"/>
      <c r="F83" s="277"/>
      <c r="G83" s="277"/>
      <c r="H83" s="277"/>
      <c r="I83" s="277"/>
      <c r="J83" s="277"/>
      <c r="K83" s="277"/>
      <c r="L83" s="277"/>
      <c r="M83" s="277"/>
      <c r="N83" s="277"/>
      <c r="O83" s="277"/>
      <c r="P83" s="277"/>
      <c r="Q83" s="277"/>
      <c r="R83" s="277"/>
      <c r="S83" s="277"/>
      <c r="T83" s="277"/>
      <c r="U83" s="277"/>
      <c r="V83" s="277"/>
      <c r="W83" s="277"/>
      <c r="X83" s="277"/>
      <c r="Y83" s="277"/>
      <c r="Z83" s="278"/>
    </row>
    <row r="84" spans="1:26" ht="66" customHeight="1" x14ac:dyDescent="0.15">
      <c r="B84" s="242" t="s">
        <v>111</v>
      </c>
      <c r="C84" s="58" t="s">
        <v>89</v>
      </c>
      <c r="D84" s="272" t="s">
        <v>145</v>
      </c>
      <c r="E84" s="272"/>
      <c r="F84" s="272"/>
      <c r="G84" s="272"/>
      <c r="H84" s="272"/>
      <c r="I84" s="272"/>
      <c r="J84" s="272"/>
      <c r="K84" s="272"/>
      <c r="L84" s="272"/>
      <c r="M84" s="272"/>
      <c r="N84" s="272"/>
      <c r="O84" s="272"/>
      <c r="P84" s="272"/>
      <c r="Q84" s="272"/>
      <c r="R84" s="272"/>
      <c r="S84" s="272"/>
      <c r="T84" s="272"/>
      <c r="U84" s="272"/>
      <c r="V84" s="272"/>
      <c r="W84" s="272"/>
      <c r="X84" s="272"/>
      <c r="Y84" s="272"/>
      <c r="Z84" s="273"/>
    </row>
    <row r="85" spans="1:26" ht="66" customHeight="1" x14ac:dyDescent="0.15">
      <c r="B85" s="243"/>
      <c r="C85" s="60" t="s">
        <v>90</v>
      </c>
      <c r="D85" s="279" t="s">
        <v>146</v>
      </c>
      <c r="E85" s="279"/>
      <c r="F85" s="279"/>
      <c r="G85" s="279"/>
      <c r="H85" s="279"/>
      <c r="I85" s="279"/>
      <c r="J85" s="279"/>
      <c r="K85" s="279"/>
      <c r="L85" s="279"/>
      <c r="M85" s="279"/>
      <c r="N85" s="279"/>
      <c r="O85" s="279"/>
      <c r="P85" s="279"/>
      <c r="Q85" s="279"/>
      <c r="R85" s="279"/>
      <c r="S85" s="279"/>
      <c r="T85" s="279"/>
      <c r="U85" s="279"/>
      <c r="V85" s="279"/>
      <c r="W85" s="279"/>
      <c r="X85" s="279"/>
      <c r="Y85" s="279"/>
      <c r="Z85" s="280"/>
    </row>
    <row r="86" spans="1:26" ht="66" customHeight="1" x14ac:dyDescent="0.15">
      <c r="B86" s="244" t="s">
        <v>114</v>
      </c>
      <c r="C86" s="61" t="s">
        <v>92</v>
      </c>
      <c r="D86" s="268" t="s">
        <v>147</v>
      </c>
      <c r="E86" s="268"/>
      <c r="F86" s="268"/>
      <c r="G86" s="268"/>
      <c r="H86" s="268"/>
      <c r="I86" s="268"/>
      <c r="J86" s="268"/>
      <c r="K86" s="268"/>
      <c r="L86" s="268"/>
      <c r="M86" s="268"/>
      <c r="N86" s="268"/>
      <c r="O86" s="268"/>
      <c r="P86" s="268"/>
      <c r="Q86" s="268"/>
      <c r="R86" s="268"/>
      <c r="S86" s="268"/>
      <c r="T86" s="268"/>
      <c r="U86" s="268"/>
      <c r="V86" s="268"/>
      <c r="W86" s="268"/>
      <c r="X86" s="268"/>
      <c r="Y86" s="268"/>
      <c r="Z86" s="269"/>
    </row>
    <row r="87" spans="1:26" ht="66" customHeight="1" x14ac:dyDescent="0.15">
      <c r="B87" s="250"/>
      <c r="C87" s="59" t="s">
        <v>93</v>
      </c>
      <c r="D87" s="270" t="s">
        <v>136</v>
      </c>
      <c r="E87" s="270"/>
      <c r="F87" s="270"/>
      <c r="G87" s="270"/>
      <c r="H87" s="270"/>
      <c r="I87" s="270"/>
      <c r="J87" s="270"/>
      <c r="K87" s="270"/>
      <c r="L87" s="270"/>
      <c r="M87" s="270"/>
      <c r="N87" s="270"/>
      <c r="O87" s="270"/>
      <c r="P87" s="270"/>
      <c r="Q87" s="270"/>
      <c r="R87" s="270"/>
      <c r="S87" s="270"/>
      <c r="T87" s="270"/>
      <c r="U87" s="270"/>
      <c r="V87" s="270"/>
      <c r="W87" s="270"/>
      <c r="X87" s="270"/>
      <c r="Y87" s="270"/>
      <c r="Z87" s="271"/>
    </row>
    <row r="88" spans="1:26" ht="66" customHeight="1" x14ac:dyDescent="0.15">
      <c r="B88" s="244" t="s">
        <v>117</v>
      </c>
      <c r="C88" s="58" t="s">
        <v>96</v>
      </c>
      <c r="D88" s="272" t="s">
        <v>148</v>
      </c>
      <c r="E88" s="272"/>
      <c r="F88" s="272"/>
      <c r="G88" s="272"/>
      <c r="H88" s="272"/>
      <c r="I88" s="272"/>
      <c r="J88" s="272"/>
      <c r="K88" s="272"/>
      <c r="L88" s="272"/>
      <c r="M88" s="272"/>
      <c r="N88" s="272"/>
      <c r="O88" s="272"/>
      <c r="P88" s="272"/>
      <c r="Q88" s="272"/>
      <c r="R88" s="272"/>
      <c r="S88" s="272"/>
      <c r="T88" s="272"/>
      <c r="U88" s="272"/>
      <c r="V88" s="272"/>
      <c r="W88" s="272"/>
      <c r="X88" s="272"/>
      <c r="Y88" s="272"/>
      <c r="Z88" s="273"/>
    </row>
    <row r="89" spans="1:26" ht="66" customHeight="1" x14ac:dyDescent="0.15">
      <c r="B89" s="245"/>
      <c r="C89" s="59" t="s">
        <v>97</v>
      </c>
      <c r="D89" s="274" t="s">
        <v>149</v>
      </c>
      <c r="E89" s="270"/>
      <c r="F89" s="270"/>
      <c r="G89" s="270"/>
      <c r="H89" s="270"/>
      <c r="I89" s="270"/>
      <c r="J89" s="270"/>
      <c r="K89" s="270"/>
      <c r="L89" s="270"/>
      <c r="M89" s="270"/>
      <c r="N89" s="270"/>
      <c r="O89" s="270"/>
      <c r="P89" s="270"/>
      <c r="Q89" s="270"/>
      <c r="R89" s="270"/>
      <c r="S89" s="270"/>
      <c r="T89" s="270"/>
      <c r="U89" s="270"/>
      <c r="V89" s="270"/>
      <c r="W89" s="270"/>
      <c r="X89" s="270"/>
      <c r="Y89" s="270"/>
      <c r="Z89" s="271"/>
    </row>
    <row r="90" spans="1:26" ht="66" customHeight="1" x14ac:dyDescent="0.15">
      <c r="B90" s="243"/>
      <c r="C90" s="60" t="s">
        <v>98</v>
      </c>
      <c r="D90" s="279" t="s">
        <v>150</v>
      </c>
      <c r="E90" s="279"/>
      <c r="F90" s="279"/>
      <c r="G90" s="279"/>
      <c r="H90" s="279"/>
      <c r="I90" s="279"/>
      <c r="J90" s="279"/>
      <c r="K90" s="279"/>
      <c r="L90" s="279"/>
      <c r="M90" s="279"/>
      <c r="N90" s="279"/>
      <c r="O90" s="279"/>
      <c r="P90" s="279"/>
      <c r="Q90" s="279"/>
      <c r="R90" s="279"/>
      <c r="S90" s="279"/>
      <c r="T90" s="279"/>
      <c r="U90" s="279"/>
      <c r="V90" s="279"/>
      <c r="W90" s="279"/>
      <c r="X90" s="279"/>
      <c r="Y90" s="279"/>
      <c r="Z90" s="280"/>
    </row>
    <row r="91" spans="1:26" ht="6" customHeight="1" x14ac:dyDescent="0.15"/>
    <row r="92" spans="1:26" ht="18.75" customHeight="1" x14ac:dyDescent="0.15">
      <c r="A92" s="6" t="s">
        <v>120</v>
      </c>
    </row>
    <row r="93" spans="1:26" ht="18.75" customHeight="1" x14ac:dyDescent="0.15">
      <c r="B93" s="259" t="s">
        <v>121</v>
      </c>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1"/>
    </row>
    <row r="94" spans="1:26" ht="18.75" customHeight="1" x14ac:dyDescent="0.15">
      <c r="B94" s="262"/>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4"/>
    </row>
    <row r="95" spans="1:26" ht="18.75" customHeight="1" x14ac:dyDescent="0.15">
      <c r="B95" s="265"/>
      <c r="C95" s="266"/>
      <c r="D95" s="266"/>
      <c r="E95" s="266"/>
      <c r="F95" s="266"/>
      <c r="G95" s="266"/>
      <c r="H95" s="266"/>
      <c r="I95" s="266"/>
      <c r="J95" s="266"/>
      <c r="K95" s="266"/>
      <c r="L95" s="266"/>
      <c r="M95" s="266"/>
      <c r="N95" s="266"/>
      <c r="O95" s="266"/>
      <c r="P95" s="266"/>
      <c r="Q95" s="266"/>
      <c r="R95" s="266"/>
      <c r="S95" s="266"/>
      <c r="T95" s="266"/>
      <c r="U95" s="266"/>
      <c r="V95" s="266"/>
      <c r="W95" s="266"/>
      <c r="X95" s="266"/>
      <c r="Y95" s="266"/>
      <c r="Z95" s="267"/>
    </row>
    <row r="96" spans="1:26" ht="6" customHeight="1" x14ac:dyDescent="0.15"/>
    <row r="97" spans="1:26" ht="15" customHeight="1" x14ac:dyDescent="0.15">
      <c r="A97" s="6" t="s">
        <v>122</v>
      </c>
    </row>
    <row r="98" spans="1:26" ht="15" customHeight="1" x14ac:dyDescent="0.15">
      <c r="B98" s="206" t="s">
        <v>237</v>
      </c>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8"/>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49:I55 V49:V55 H60:H66 U60:U66 I38:I44">
      <formula1>"全学開講,一部開講"</formula1>
    </dataValidation>
    <dataValidation type="list" allowBlank="1" showInputMessage="1" showErrorMessage="1" sqref="Y16:Z22 L16:M22 Y27:Z33 L27:M33 Y38:Z44 L49:M55 Y49:Z55 Y60:Z66 L60:M66 H49:H55 U16:U22 H27:H33 U27:U33 H16:H22 U38:U44 K60:K63 U49:U55 G60:G66 T60:T66 H38:H44 L38:M44">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tabSelected="1" view="pageBreakPreview" topLeftCell="A7" zoomScaleNormal="100" zoomScaleSheetLayoutView="100" workbookViewId="0">
      <selection activeCell="G13" sqref="G13"/>
    </sheetView>
  </sheetViews>
  <sheetFormatPr defaultColWidth="9" defaultRowHeight="18.75" customHeight="1" x14ac:dyDescent="0.15"/>
  <cols>
    <col min="1" max="1" width="2.625" style="1" customWidth="1"/>
    <col min="2" max="2" width="30" style="1" customWidth="1"/>
    <col min="3" max="17" width="6.125" style="1" customWidth="1"/>
    <col min="18" max="18" width="6.625" style="1" customWidth="1"/>
    <col min="19" max="16384" width="9" style="1"/>
  </cols>
  <sheetData>
    <row r="1" spans="1:20" ht="18" customHeight="1" x14ac:dyDescent="0.15">
      <c r="F1" s="286" t="s">
        <v>151</v>
      </c>
      <c r="G1" s="286"/>
      <c r="H1" s="286"/>
      <c r="I1" s="286"/>
      <c r="J1" s="286"/>
      <c r="K1" s="286"/>
      <c r="L1" s="286"/>
      <c r="M1" s="286"/>
      <c r="N1" s="286"/>
      <c r="O1" s="286"/>
      <c r="P1" s="286"/>
      <c r="Q1" s="286"/>
      <c r="R1" s="286"/>
    </row>
    <row r="2" spans="1:20" ht="18" customHeight="1" x14ac:dyDescent="0.15">
      <c r="A2" s="287" t="s">
        <v>152</v>
      </c>
      <c r="B2" s="287"/>
      <c r="C2" s="287"/>
      <c r="D2" s="287"/>
      <c r="E2" s="287"/>
      <c r="F2" s="287"/>
      <c r="G2" s="287"/>
      <c r="H2" s="287"/>
      <c r="I2" s="287"/>
      <c r="J2" s="287"/>
      <c r="K2" s="287"/>
      <c r="L2" s="287"/>
      <c r="M2" s="287"/>
      <c r="N2" s="287"/>
      <c r="O2" s="287"/>
      <c r="P2" s="287"/>
      <c r="Q2" s="287"/>
      <c r="R2" s="287"/>
      <c r="S2" s="3"/>
    </row>
    <row r="3" spans="1:20" ht="7.5" customHeight="1" x14ac:dyDescent="0.15">
      <c r="A3" s="19"/>
      <c r="B3" s="19"/>
      <c r="C3" s="19"/>
      <c r="D3" s="19"/>
      <c r="E3" s="19"/>
      <c r="F3" s="19"/>
      <c r="G3" s="19"/>
      <c r="H3" s="19"/>
      <c r="I3" s="19"/>
      <c r="J3" s="19"/>
      <c r="K3" s="19"/>
      <c r="L3" s="19"/>
      <c r="M3" s="19"/>
      <c r="N3" s="19"/>
      <c r="O3" s="19"/>
      <c r="P3" s="19"/>
      <c r="Q3" s="19"/>
      <c r="R3" s="19"/>
    </row>
    <row r="4" spans="1:20" ht="18" customHeight="1" x14ac:dyDescent="0.15">
      <c r="A4" s="3" t="s">
        <v>153</v>
      </c>
      <c r="B4" s="3"/>
      <c r="C4" s="288" t="str">
        <f>'様式１　大学等概要'!E12</f>
        <v>令和3</v>
      </c>
      <c r="D4" s="289"/>
      <c r="E4" s="19" t="s">
        <v>20</v>
      </c>
      <c r="F4" s="19"/>
      <c r="G4" s="19"/>
      <c r="H4" s="19"/>
      <c r="I4" s="19"/>
      <c r="J4" s="62"/>
      <c r="K4" s="19"/>
      <c r="L4" s="19"/>
      <c r="M4" s="28"/>
      <c r="N4" s="28"/>
      <c r="O4" s="28"/>
      <c r="P4" s="28"/>
      <c r="Q4" s="28"/>
      <c r="R4" s="28"/>
    </row>
    <row r="5" spans="1:20" ht="6" customHeight="1" x14ac:dyDescent="0.15">
      <c r="A5" s="19"/>
      <c r="B5" s="19"/>
      <c r="C5" s="19"/>
      <c r="D5" s="19"/>
      <c r="E5" s="19"/>
      <c r="F5" s="19"/>
      <c r="G5" s="19"/>
      <c r="H5" s="19"/>
      <c r="I5" s="19"/>
      <c r="J5" s="19"/>
      <c r="K5" s="19"/>
      <c r="L5" s="19"/>
      <c r="M5" s="19"/>
      <c r="N5" s="19"/>
      <c r="O5" s="19"/>
      <c r="P5" s="19"/>
      <c r="Q5" s="19"/>
      <c r="R5" s="19"/>
    </row>
    <row r="6" spans="1:20" ht="18" customHeight="1" x14ac:dyDescent="0.15">
      <c r="A6" s="3" t="s">
        <v>154</v>
      </c>
      <c r="B6" s="19"/>
      <c r="C6" s="19"/>
      <c r="D6" s="19"/>
      <c r="E6" s="19"/>
      <c r="F6" s="19"/>
      <c r="G6" s="19"/>
      <c r="H6" s="19"/>
      <c r="I6" s="19"/>
      <c r="J6" s="19"/>
      <c r="K6" s="19"/>
      <c r="L6" s="19"/>
      <c r="M6" s="19"/>
      <c r="N6" s="19"/>
      <c r="O6" s="19"/>
      <c r="P6" s="19"/>
      <c r="Q6" s="19"/>
      <c r="R6" s="19"/>
    </row>
    <row r="7" spans="1:20" ht="6" customHeight="1" x14ac:dyDescent="0.15">
      <c r="A7" s="3"/>
      <c r="B7" s="19"/>
      <c r="C7" s="19"/>
      <c r="D7" s="19"/>
      <c r="E7" s="19"/>
      <c r="F7" s="19"/>
      <c r="G7" s="19"/>
      <c r="H7" s="19"/>
      <c r="I7" s="19"/>
      <c r="J7" s="19"/>
      <c r="K7" s="19"/>
      <c r="L7" s="19"/>
      <c r="M7" s="19"/>
      <c r="N7" s="19"/>
      <c r="O7" s="19"/>
      <c r="P7" s="19"/>
      <c r="Q7" s="19"/>
      <c r="R7" s="19"/>
    </row>
    <row r="8" spans="1:20" ht="18" customHeight="1" x14ac:dyDescent="0.15">
      <c r="B8" s="290" t="s">
        <v>155</v>
      </c>
      <c r="C8" s="292" t="s">
        <v>156</v>
      </c>
      <c r="D8" s="294" t="s">
        <v>157</v>
      </c>
      <c r="E8" s="296" t="s">
        <v>158</v>
      </c>
      <c r="F8" s="296"/>
      <c r="G8" s="296" t="s">
        <v>159</v>
      </c>
      <c r="H8" s="296"/>
      <c r="I8" s="296" t="s">
        <v>160</v>
      </c>
      <c r="J8" s="296"/>
      <c r="K8" s="297" t="s">
        <v>161</v>
      </c>
      <c r="L8" s="298"/>
      <c r="M8" s="297" t="s">
        <v>162</v>
      </c>
      <c r="N8" s="298"/>
      <c r="O8" s="297" t="s">
        <v>163</v>
      </c>
      <c r="P8" s="298"/>
      <c r="Q8" s="299" t="s">
        <v>164</v>
      </c>
      <c r="R8" s="301" t="s">
        <v>165</v>
      </c>
      <c r="T8" s="17"/>
    </row>
    <row r="9" spans="1:20" ht="18" customHeight="1" x14ac:dyDescent="0.15">
      <c r="A9" s="3"/>
      <c r="B9" s="291"/>
      <c r="C9" s="293"/>
      <c r="D9" s="295"/>
      <c r="E9" s="24" t="s">
        <v>166</v>
      </c>
      <c r="F9" s="25" t="s">
        <v>167</v>
      </c>
      <c r="G9" s="26" t="s">
        <v>166</v>
      </c>
      <c r="H9" s="27" t="s">
        <v>167</v>
      </c>
      <c r="I9" s="24" t="s">
        <v>166</v>
      </c>
      <c r="J9" s="25" t="s">
        <v>167</v>
      </c>
      <c r="K9" s="26" t="s">
        <v>166</v>
      </c>
      <c r="L9" s="27" t="s">
        <v>167</v>
      </c>
      <c r="M9" s="24" t="s">
        <v>166</v>
      </c>
      <c r="N9" s="25" t="s">
        <v>167</v>
      </c>
      <c r="O9" s="26" t="s">
        <v>166</v>
      </c>
      <c r="P9" s="27" t="s">
        <v>167</v>
      </c>
      <c r="Q9" s="300"/>
      <c r="R9" s="302"/>
      <c r="T9" s="17"/>
    </row>
    <row r="10" spans="1:20" ht="18" customHeight="1" x14ac:dyDescent="0.15">
      <c r="A10" s="28"/>
      <c r="B10" s="63" t="s">
        <v>168</v>
      </c>
      <c r="C10" s="28">
        <v>40</v>
      </c>
      <c r="D10" s="29">
        <v>200</v>
      </c>
      <c r="E10" s="30">
        <v>42</v>
      </c>
      <c r="F10" s="31">
        <v>0</v>
      </c>
      <c r="G10" s="32">
        <v>0</v>
      </c>
      <c r="H10" s="33">
        <v>0</v>
      </c>
      <c r="I10" s="30">
        <v>0</v>
      </c>
      <c r="J10" s="31">
        <v>0</v>
      </c>
      <c r="K10" s="32">
        <v>0</v>
      </c>
      <c r="L10" s="33">
        <v>0</v>
      </c>
      <c r="M10" s="30">
        <v>0</v>
      </c>
      <c r="N10" s="31">
        <v>0</v>
      </c>
      <c r="O10" s="32">
        <v>0</v>
      </c>
      <c r="P10" s="33">
        <v>0</v>
      </c>
      <c r="Q10" s="34">
        <f>E10+G10+I10+K10+M10+O10</f>
        <v>42</v>
      </c>
      <c r="R10" s="35">
        <f>Q10/D10</f>
        <v>0.21</v>
      </c>
    </row>
    <row r="11" spans="1:20" ht="18" customHeight="1" x14ac:dyDescent="0.15">
      <c r="A11" s="28"/>
      <c r="B11" s="64" t="s">
        <v>169</v>
      </c>
      <c r="C11" s="44">
        <v>40</v>
      </c>
      <c r="D11" s="37">
        <v>200</v>
      </c>
      <c r="E11" s="38">
        <v>36</v>
      </c>
      <c r="F11" s="39">
        <v>0</v>
      </c>
      <c r="G11" s="40">
        <v>0</v>
      </c>
      <c r="H11" s="41">
        <v>0</v>
      </c>
      <c r="I11" s="38">
        <v>0</v>
      </c>
      <c r="J11" s="39">
        <v>0</v>
      </c>
      <c r="K11" s="40">
        <v>0</v>
      </c>
      <c r="L11" s="41">
        <v>0</v>
      </c>
      <c r="M11" s="38">
        <v>0</v>
      </c>
      <c r="N11" s="39">
        <v>0</v>
      </c>
      <c r="O11" s="40">
        <v>0</v>
      </c>
      <c r="P11" s="41">
        <v>0</v>
      </c>
      <c r="Q11" s="42">
        <f t="shared" ref="Q11:Q29" si="0">E11+G11+I11+K11+M11+O11</f>
        <v>36</v>
      </c>
      <c r="R11" s="43">
        <f t="shared" ref="R11:R29" si="1">Q11/D11</f>
        <v>0.18</v>
      </c>
    </row>
    <row r="12" spans="1:20" ht="18" customHeight="1" x14ac:dyDescent="0.15">
      <c r="A12" s="28"/>
      <c r="B12" s="64" t="s">
        <v>170</v>
      </c>
      <c r="C12" s="44">
        <v>40</v>
      </c>
      <c r="D12" s="37">
        <v>200</v>
      </c>
      <c r="E12" s="38">
        <v>46</v>
      </c>
      <c r="F12" s="39">
        <v>0</v>
      </c>
      <c r="G12" s="40">
        <v>0</v>
      </c>
      <c r="H12" s="41">
        <v>0</v>
      </c>
      <c r="I12" s="38">
        <v>0</v>
      </c>
      <c r="J12" s="39">
        <v>0</v>
      </c>
      <c r="K12" s="40">
        <v>0</v>
      </c>
      <c r="L12" s="41">
        <v>0</v>
      </c>
      <c r="M12" s="38">
        <v>0</v>
      </c>
      <c r="N12" s="39">
        <v>0</v>
      </c>
      <c r="O12" s="40">
        <v>0</v>
      </c>
      <c r="P12" s="41">
        <v>0</v>
      </c>
      <c r="Q12" s="42">
        <f t="shared" si="0"/>
        <v>46</v>
      </c>
      <c r="R12" s="43">
        <f t="shared" si="1"/>
        <v>0.23</v>
      </c>
    </row>
    <row r="13" spans="1:20" ht="18" customHeight="1" x14ac:dyDescent="0.15">
      <c r="A13" s="28"/>
      <c r="B13" s="110" t="s">
        <v>171</v>
      </c>
      <c r="C13" s="111">
        <v>40</v>
      </c>
      <c r="D13" s="112">
        <v>200</v>
      </c>
      <c r="E13" s="126">
        <v>42</v>
      </c>
      <c r="F13" s="39">
        <v>0</v>
      </c>
      <c r="G13" s="40">
        <v>0</v>
      </c>
      <c r="H13" s="41">
        <v>0</v>
      </c>
      <c r="I13" s="38">
        <v>0</v>
      </c>
      <c r="J13" s="39">
        <v>0</v>
      </c>
      <c r="K13" s="40">
        <v>0</v>
      </c>
      <c r="L13" s="41">
        <v>0</v>
      </c>
      <c r="M13" s="38">
        <v>0</v>
      </c>
      <c r="N13" s="39">
        <v>0</v>
      </c>
      <c r="O13" s="40">
        <v>0</v>
      </c>
      <c r="P13" s="41">
        <v>0</v>
      </c>
      <c r="Q13" s="42">
        <f t="shared" si="0"/>
        <v>42</v>
      </c>
      <c r="R13" s="43">
        <f t="shared" si="1"/>
        <v>0.21</v>
      </c>
    </row>
    <row r="14" spans="1:20" ht="18" customHeight="1" x14ac:dyDescent="0.15">
      <c r="A14" s="28"/>
      <c r="B14" s="113" t="s">
        <v>172</v>
      </c>
      <c r="C14" s="114">
        <v>40</v>
      </c>
      <c r="D14" s="115">
        <v>200</v>
      </c>
      <c r="E14" s="127">
        <v>35</v>
      </c>
      <c r="F14" s="39">
        <v>0</v>
      </c>
      <c r="G14" s="40">
        <v>0</v>
      </c>
      <c r="H14" s="41">
        <v>0</v>
      </c>
      <c r="I14" s="38">
        <v>0</v>
      </c>
      <c r="J14" s="39">
        <v>0</v>
      </c>
      <c r="K14" s="40">
        <v>0</v>
      </c>
      <c r="L14" s="41">
        <v>0</v>
      </c>
      <c r="M14" s="38">
        <v>0</v>
      </c>
      <c r="N14" s="39">
        <v>0</v>
      </c>
      <c r="O14" s="40">
        <v>0</v>
      </c>
      <c r="P14" s="41">
        <v>0</v>
      </c>
      <c r="Q14" s="42">
        <f t="shared" si="0"/>
        <v>35</v>
      </c>
      <c r="R14" s="43">
        <f t="shared" si="1"/>
        <v>0.17499999999999999</v>
      </c>
    </row>
    <row r="15" spans="1:20" ht="18" customHeight="1" x14ac:dyDescent="0.15">
      <c r="A15" s="28"/>
      <c r="B15" s="113" t="s">
        <v>173</v>
      </c>
      <c r="C15" s="114">
        <v>40</v>
      </c>
      <c r="D15" s="115">
        <v>200</v>
      </c>
      <c r="E15" s="127">
        <v>42</v>
      </c>
      <c r="F15" s="39">
        <v>0</v>
      </c>
      <c r="G15" s="40">
        <v>0</v>
      </c>
      <c r="H15" s="41">
        <v>0</v>
      </c>
      <c r="I15" s="38">
        <v>0</v>
      </c>
      <c r="J15" s="39">
        <v>0</v>
      </c>
      <c r="K15" s="40">
        <v>0</v>
      </c>
      <c r="L15" s="41">
        <v>0</v>
      </c>
      <c r="M15" s="38">
        <v>0</v>
      </c>
      <c r="N15" s="39">
        <v>0</v>
      </c>
      <c r="O15" s="40">
        <v>0</v>
      </c>
      <c r="P15" s="41">
        <v>0</v>
      </c>
      <c r="Q15" s="42">
        <f t="shared" si="0"/>
        <v>42</v>
      </c>
      <c r="R15" s="43">
        <f t="shared" si="1"/>
        <v>0.21</v>
      </c>
    </row>
    <row r="16" spans="1:20" ht="18" customHeight="1" x14ac:dyDescent="0.15">
      <c r="A16" s="28"/>
      <c r="B16" s="113" t="s">
        <v>174</v>
      </c>
      <c r="C16" s="114">
        <v>40</v>
      </c>
      <c r="D16" s="115">
        <v>200</v>
      </c>
      <c r="E16" s="127">
        <v>42</v>
      </c>
      <c r="F16" s="39">
        <v>0</v>
      </c>
      <c r="G16" s="40">
        <v>0</v>
      </c>
      <c r="H16" s="41">
        <v>0</v>
      </c>
      <c r="I16" s="38">
        <v>0</v>
      </c>
      <c r="J16" s="39">
        <v>0</v>
      </c>
      <c r="K16" s="40">
        <v>0</v>
      </c>
      <c r="L16" s="41">
        <v>0</v>
      </c>
      <c r="M16" s="38">
        <v>0</v>
      </c>
      <c r="N16" s="39">
        <v>0</v>
      </c>
      <c r="O16" s="40">
        <v>0</v>
      </c>
      <c r="P16" s="41">
        <v>0</v>
      </c>
      <c r="Q16" s="42">
        <f t="shared" si="0"/>
        <v>42</v>
      </c>
      <c r="R16" s="43">
        <f t="shared" si="1"/>
        <v>0.21</v>
      </c>
    </row>
    <row r="17" spans="1:18" ht="18" customHeight="1" x14ac:dyDescent="0.15">
      <c r="A17" s="28"/>
      <c r="B17" s="64"/>
      <c r="C17" s="44"/>
      <c r="D17" s="37"/>
      <c r="E17" s="38"/>
      <c r="F17" s="39"/>
      <c r="G17" s="40"/>
      <c r="H17" s="41"/>
      <c r="I17" s="38"/>
      <c r="J17" s="39"/>
      <c r="K17" s="40"/>
      <c r="L17" s="41"/>
      <c r="M17" s="38"/>
      <c r="N17" s="39"/>
      <c r="O17" s="40"/>
      <c r="P17" s="41"/>
      <c r="Q17" s="42">
        <f t="shared" si="0"/>
        <v>0</v>
      </c>
      <c r="R17" s="43" t="e">
        <f t="shared" si="1"/>
        <v>#DIV/0!</v>
      </c>
    </row>
    <row r="18" spans="1:18" ht="18" customHeight="1" x14ac:dyDescent="0.15">
      <c r="A18" s="28"/>
      <c r="B18" s="64"/>
      <c r="C18" s="44"/>
      <c r="D18" s="37"/>
      <c r="E18" s="38"/>
      <c r="F18" s="39"/>
      <c r="G18" s="40"/>
      <c r="H18" s="41"/>
      <c r="I18" s="38"/>
      <c r="J18" s="39"/>
      <c r="K18" s="40"/>
      <c r="L18" s="41"/>
      <c r="M18" s="38"/>
      <c r="N18" s="39"/>
      <c r="O18" s="40"/>
      <c r="P18" s="41"/>
      <c r="Q18" s="42">
        <f>E18+G18+I18+K18+M18+O18</f>
        <v>0</v>
      </c>
      <c r="R18" s="43" t="e">
        <f t="shared" si="1"/>
        <v>#DIV/0!</v>
      </c>
    </row>
    <row r="19" spans="1:18" ht="18" customHeight="1" x14ac:dyDescent="0.15">
      <c r="A19" s="28"/>
      <c r="B19" s="64"/>
      <c r="C19" s="44"/>
      <c r="D19" s="37"/>
      <c r="E19" s="38"/>
      <c r="F19" s="39"/>
      <c r="G19" s="40"/>
      <c r="H19" s="41"/>
      <c r="I19" s="38"/>
      <c r="J19" s="39"/>
      <c r="K19" s="40"/>
      <c r="L19" s="41"/>
      <c r="M19" s="38"/>
      <c r="N19" s="39"/>
      <c r="O19" s="40"/>
      <c r="P19" s="41"/>
      <c r="Q19" s="42">
        <f t="shared" si="0"/>
        <v>0</v>
      </c>
      <c r="R19" s="43" t="e">
        <f t="shared" si="1"/>
        <v>#DIV/0!</v>
      </c>
    </row>
    <row r="20" spans="1:18" ht="18" customHeight="1" x14ac:dyDescent="0.15">
      <c r="A20" s="28"/>
      <c r="B20" s="64"/>
      <c r="C20" s="44"/>
      <c r="D20" s="37"/>
      <c r="E20" s="38"/>
      <c r="F20" s="39"/>
      <c r="G20" s="40"/>
      <c r="H20" s="41"/>
      <c r="I20" s="38"/>
      <c r="J20" s="39"/>
      <c r="K20" s="40"/>
      <c r="L20" s="41"/>
      <c r="M20" s="38"/>
      <c r="N20" s="39"/>
      <c r="O20" s="40"/>
      <c r="P20" s="41"/>
      <c r="Q20" s="42">
        <f t="shared" si="0"/>
        <v>0</v>
      </c>
      <c r="R20" s="43" t="e">
        <f t="shared" si="1"/>
        <v>#DIV/0!</v>
      </c>
    </row>
    <row r="21" spans="1:18" ht="18" customHeight="1" x14ac:dyDescent="0.15">
      <c r="A21" s="28"/>
      <c r="B21" s="64"/>
      <c r="C21" s="44"/>
      <c r="D21" s="37"/>
      <c r="E21" s="38"/>
      <c r="F21" s="39"/>
      <c r="G21" s="40"/>
      <c r="H21" s="41"/>
      <c r="I21" s="38"/>
      <c r="J21" s="39"/>
      <c r="K21" s="40"/>
      <c r="L21" s="41"/>
      <c r="M21" s="38"/>
      <c r="N21" s="39"/>
      <c r="O21" s="40"/>
      <c r="P21" s="41"/>
      <c r="Q21" s="42">
        <f t="shared" si="0"/>
        <v>0</v>
      </c>
      <c r="R21" s="43" t="e">
        <f t="shared" si="1"/>
        <v>#DIV/0!</v>
      </c>
    </row>
    <row r="22" spans="1:18" ht="18" customHeight="1" x14ac:dyDescent="0.15">
      <c r="A22" s="28"/>
      <c r="B22" s="64"/>
      <c r="C22" s="44"/>
      <c r="D22" s="37"/>
      <c r="E22" s="38"/>
      <c r="F22" s="39"/>
      <c r="G22" s="40"/>
      <c r="H22" s="41"/>
      <c r="I22" s="38"/>
      <c r="J22" s="39"/>
      <c r="K22" s="40"/>
      <c r="L22" s="41"/>
      <c r="M22" s="38"/>
      <c r="N22" s="39"/>
      <c r="O22" s="40"/>
      <c r="P22" s="41"/>
      <c r="Q22" s="42">
        <f t="shared" si="0"/>
        <v>0</v>
      </c>
      <c r="R22" s="43" t="e">
        <f t="shared" si="1"/>
        <v>#DIV/0!</v>
      </c>
    </row>
    <row r="23" spans="1:18" ht="18" customHeight="1" x14ac:dyDescent="0.15">
      <c r="A23" s="28"/>
      <c r="B23" s="64"/>
      <c r="C23" s="44"/>
      <c r="D23" s="37"/>
      <c r="E23" s="38"/>
      <c r="F23" s="39"/>
      <c r="G23" s="40"/>
      <c r="H23" s="41"/>
      <c r="I23" s="38"/>
      <c r="J23" s="39"/>
      <c r="K23" s="40"/>
      <c r="L23" s="41"/>
      <c r="M23" s="38"/>
      <c r="N23" s="39"/>
      <c r="O23" s="40"/>
      <c r="P23" s="41"/>
      <c r="Q23" s="42">
        <f t="shared" si="0"/>
        <v>0</v>
      </c>
      <c r="R23" s="43" t="e">
        <f t="shared" si="1"/>
        <v>#DIV/0!</v>
      </c>
    </row>
    <row r="24" spans="1:18" ht="18" customHeight="1" x14ac:dyDescent="0.15">
      <c r="A24" s="28"/>
      <c r="B24" s="64"/>
      <c r="C24" s="44"/>
      <c r="D24" s="37"/>
      <c r="E24" s="38"/>
      <c r="F24" s="39"/>
      <c r="G24" s="40"/>
      <c r="H24" s="41"/>
      <c r="I24" s="38"/>
      <c r="J24" s="39"/>
      <c r="K24" s="40"/>
      <c r="L24" s="41"/>
      <c r="M24" s="38"/>
      <c r="N24" s="39"/>
      <c r="O24" s="40"/>
      <c r="P24" s="41"/>
      <c r="Q24" s="42">
        <f t="shared" si="0"/>
        <v>0</v>
      </c>
      <c r="R24" s="43" t="e">
        <f t="shared" si="1"/>
        <v>#DIV/0!</v>
      </c>
    </row>
    <row r="25" spans="1:18" ht="18" customHeight="1" x14ac:dyDescent="0.15">
      <c r="A25" s="28"/>
      <c r="B25" s="64"/>
      <c r="C25" s="44"/>
      <c r="D25" s="37"/>
      <c r="E25" s="38"/>
      <c r="F25" s="39"/>
      <c r="G25" s="40"/>
      <c r="H25" s="41"/>
      <c r="I25" s="38"/>
      <c r="J25" s="39"/>
      <c r="K25" s="40"/>
      <c r="L25" s="41"/>
      <c r="M25" s="38"/>
      <c r="N25" s="39"/>
      <c r="O25" s="40"/>
      <c r="P25" s="41"/>
      <c r="Q25" s="42">
        <f t="shared" si="0"/>
        <v>0</v>
      </c>
      <c r="R25" s="43" t="e">
        <f t="shared" si="1"/>
        <v>#DIV/0!</v>
      </c>
    </row>
    <row r="26" spans="1:18" ht="18" customHeight="1" x14ac:dyDescent="0.15">
      <c r="A26" s="28"/>
      <c r="B26" s="64"/>
      <c r="C26" s="44"/>
      <c r="D26" s="37"/>
      <c r="E26" s="38"/>
      <c r="F26" s="39"/>
      <c r="G26" s="40"/>
      <c r="H26" s="41"/>
      <c r="I26" s="38"/>
      <c r="J26" s="39"/>
      <c r="K26" s="40"/>
      <c r="L26" s="41"/>
      <c r="M26" s="38"/>
      <c r="N26" s="39"/>
      <c r="O26" s="40"/>
      <c r="P26" s="41"/>
      <c r="Q26" s="42">
        <f t="shared" si="0"/>
        <v>0</v>
      </c>
      <c r="R26" s="43" t="e">
        <f t="shared" si="1"/>
        <v>#DIV/0!</v>
      </c>
    </row>
    <row r="27" spans="1:18" ht="18" customHeight="1" x14ac:dyDescent="0.15">
      <c r="A27" s="28"/>
      <c r="B27" s="64"/>
      <c r="C27" s="36"/>
      <c r="D27" s="37"/>
      <c r="E27" s="38"/>
      <c r="F27" s="39"/>
      <c r="G27" s="40"/>
      <c r="H27" s="41"/>
      <c r="I27" s="38"/>
      <c r="J27" s="39"/>
      <c r="K27" s="40"/>
      <c r="L27" s="41"/>
      <c r="M27" s="38"/>
      <c r="N27" s="39"/>
      <c r="O27" s="40"/>
      <c r="P27" s="41"/>
      <c r="Q27" s="42">
        <f t="shared" si="0"/>
        <v>0</v>
      </c>
      <c r="R27" s="43" t="e">
        <f t="shared" si="1"/>
        <v>#DIV/0!</v>
      </c>
    </row>
    <row r="28" spans="1:18" ht="18" customHeight="1" x14ac:dyDescent="0.15">
      <c r="A28" s="28"/>
      <c r="B28" s="64"/>
      <c r="C28" s="36"/>
      <c r="D28" s="37"/>
      <c r="E28" s="38"/>
      <c r="F28" s="39"/>
      <c r="G28" s="40"/>
      <c r="H28" s="41"/>
      <c r="I28" s="38"/>
      <c r="J28" s="39"/>
      <c r="K28" s="40"/>
      <c r="L28" s="41"/>
      <c r="M28" s="38"/>
      <c r="N28" s="39"/>
      <c r="O28" s="40"/>
      <c r="P28" s="41"/>
      <c r="Q28" s="42">
        <f t="shared" si="0"/>
        <v>0</v>
      </c>
      <c r="R28" s="43" t="e">
        <f t="shared" si="1"/>
        <v>#DIV/0!</v>
      </c>
    </row>
    <row r="29" spans="1:18" ht="18" customHeight="1" thickBot="1" x14ac:dyDescent="0.2">
      <c r="A29" s="28"/>
      <c r="B29" s="65"/>
      <c r="C29" s="66"/>
      <c r="D29" s="29"/>
      <c r="E29" s="30"/>
      <c r="F29" s="31"/>
      <c r="G29" s="32"/>
      <c r="H29" s="33"/>
      <c r="I29" s="30"/>
      <c r="J29" s="31"/>
      <c r="K29" s="32"/>
      <c r="L29" s="33"/>
      <c r="M29" s="30"/>
      <c r="N29" s="31"/>
      <c r="O29" s="32"/>
      <c r="P29" s="33"/>
      <c r="Q29" s="45">
        <f t="shared" si="0"/>
        <v>0</v>
      </c>
      <c r="R29" s="35" t="e">
        <f t="shared" si="1"/>
        <v>#DIV/0!</v>
      </c>
    </row>
    <row r="30" spans="1:18" ht="18" customHeight="1" thickTop="1" x14ac:dyDescent="0.15">
      <c r="B30" s="67" t="s">
        <v>175</v>
      </c>
      <c r="C30" s="68">
        <f t="shared" ref="C30:Q30" si="2">SUM(C10:C29)</f>
        <v>280</v>
      </c>
      <c r="D30" s="46">
        <f t="shared" si="2"/>
        <v>1400</v>
      </c>
      <c r="E30" s="47">
        <f t="shared" si="2"/>
        <v>285</v>
      </c>
      <c r="F30" s="48">
        <f t="shared" si="2"/>
        <v>0</v>
      </c>
      <c r="G30" s="49">
        <f t="shared" si="2"/>
        <v>0</v>
      </c>
      <c r="H30" s="50">
        <f t="shared" si="2"/>
        <v>0</v>
      </c>
      <c r="I30" s="47">
        <f t="shared" si="2"/>
        <v>0</v>
      </c>
      <c r="J30" s="48">
        <f t="shared" si="2"/>
        <v>0</v>
      </c>
      <c r="K30" s="49">
        <f t="shared" si="2"/>
        <v>0</v>
      </c>
      <c r="L30" s="50">
        <f t="shared" si="2"/>
        <v>0</v>
      </c>
      <c r="M30" s="47">
        <f t="shared" si="2"/>
        <v>0</v>
      </c>
      <c r="N30" s="48">
        <f t="shared" si="2"/>
        <v>0</v>
      </c>
      <c r="O30" s="49">
        <f t="shared" si="2"/>
        <v>0</v>
      </c>
      <c r="P30" s="50">
        <f t="shared" si="2"/>
        <v>0</v>
      </c>
      <c r="Q30" s="51">
        <f t="shared" si="2"/>
        <v>285</v>
      </c>
      <c r="R30" s="52">
        <f>Q30/D30</f>
        <v>0.20357142857142857</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C28" sqref="C28"/>
    </sheetView>
  </sheetViews>
  <sheetFormatPr defaultColWidth="11.375" defaultRowHeight="18.75" customHeight="1" x14ac:dyDescent="0.15"/>
  <cols>
    <col min="1" max="1" width="2.62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16"/>
    <col min="12" max="16384" width="11.375" style="1"/>
  </cols>
  <sheetData>
    <row r="1" spans="1:11" ht="18.75" customHeight="1" x14ac:dyDescent="0.15">
      <c r="A1" s="2" t="s">
        <v>176</v>
      </c>
      <c r="J1" s="22" t="s">
        <v>177</v>
      </c>
    </row>
    <row r="2" spans="1:11" ht="18.75" customHeight="1" x14ac:dyDescent="0.15">
      <c r="A2" s="287" t="s">
        <v>178</v>
      </c>
      <c r="B2" s="287"/>
      <c r="C2" s="287"/>
      <c r="D2" s="287"/>
      <c r="E2" s="287"/>
      <c r="F2" s="287"/>
      <c r="G2" s="287"/>
      <c r="H2" s="287"/>
      <c r="I2" s="287"/>
      <c r="J2" s="287"/>
    </row>
    <row r="3" spans="1:11" ht="7.5" customHeight="1" x14ac:dyDescent="0.15">
      <c r="B3" s="19"/>
      <c r="C3" s="19"/>
      <c r="D3" s="19"/>
      <c r="E3" s="19"/>
      <c r="F3" s="19"/>
      <c r="G3" s="19"/>
      <c r="H3" s="19"/>
      <c r="I3" s="19"/>
      <c r="J3" s="19"/>
    </row>
    <row r="4" spans="1:11" ht="18.75" customHeight="1" x14ac:dyDescent="0.15">
      <c r="A4" s="1" t="s">
        <v>2</v>
      </c>
      <c r="B4" s="3" t="s">
        <v>179</v>
      </c>
      <c r="C4" s="3"/>
      <c r="D4" s="3"/>
      <c r="E4" s="3"/>
      <c r="F4" s="3"/>
      <c r="G4" s="3"/>
      <c r="H4" s="3"/>
      <c r="I4" s="19"/>
      <c r="J4" s="19"/>
    </row>
    <row r="5" spans="1:11" ht="18.75" customHeight="1" x14ac:dyDescent="0.15">
      <c r="A5" s="1"/>
      <c r="B5" s="334" t="s">
        <v>231</v>
      </c>
      <c r="C5" s="335"/>
      <c r="D5" s="335"/>
      <c r="E5" s="335"/>
      <c r="F5" s="335"/>
      <c r="G5" s="335"/>
      <c r="H5" s="335"/>
      <c r="I5" s="335"/>
      <c r="J5" s="336"/>
      <c r="K5" s="16" t="str">
        <f>IF(B5="","入力してください","")</f>
        <v/>
      </c>
    </row>
    <row r="6" spans="1:11" ht="7.5" customHeight="1" x14ac:dyDescent="0.15">
      <c r="B6" s="19"/>
      <c r="C6" s="19"/>
      <c r="D6" s="19"/>
      <c r="E6" s="19"/>
      <c r="F6" s="19"/>
      <c r="G6" s="19"/>
      <c r="H6" s="19"/>
      <c r="I6" s="19"/>
      <c r="J6" s="19"/>
    </row>
    <row r="7" spans="1:11" s="3" customFormat="1" ht="18.75" customHeight="1" x14ac:dyDescent="0.15">
      <c r="A7" s="1" t="s">
        <v>5</v>
      </c>
      <c r="B7" s="1" t="s">
        <v>180</v>
      </c>
      <c r="C7" s="1"/>
      <c r="D7" s="1"/>
      <c r="E7" s="1"/>
      <c r="F7" s="1"/>
      <c r="G7" s="1"/>
      <c r="H7" s="1"/>
      <c r="I7" s="1"/>
      <c r="J7" s="1"/>
      <c r="K7" s="16"/>
    </row>
    <row r="8" spans="1:11" s="3" customFormat="1" ht="18.75" customHeight="1" x14ac:dyDescent="0.15">
      <c r="A8" s="69"/>
      <c r="B8" s="303" t="s">
        <v>181</v>
      </c>
      <c r="C8" s="313"/>
      <c r="D8" s="313"/>
      <c r="E8" s="313"/>
      <c r="F8" s="313"/>
      <c r="G8" s="313"/>
      <c r="H8" s="313"/>
      <c r="I8" s="314"/>
      <c r="J8" s="315"/>
      <c r="K8" s="16" t="str">
        <f>IF(B8="","入力してください","")</f>
        <v/>
      </c>
    </row>
    <row r="9" spans="1:11" s="3" customFormat="1" ht="18.75" customHeight="1" x14ac:dyDescent="0.15">
      <c r="A9" s="69"/>
      <c r="B9" s="316"/>
      <c r="C9" s="317"/>
      <c r="D9" s="317"/>
      <c r="E9" s="317"/>
      <c r="F9" s="317"/>
      <c r="G9" s="317"/>
      <c r="H9" s="317"/>
      <c r="I9" s="317"/>
      <c r="J9" s="318"/>
      <c r="K9" s="16"/>
    </row>
    <row r="10" spans="1:11" s="3" customFormat="1" ht="18.75" customHeight="1" x14ac:dyDescent="0.15">
      <c r="A10" s="69"/>
      <c r="B10" s="316"/>
      <c r="C10" s="317"/>
      <c r="D10" s="317"/>
      <c r="E10" s="317"/>
      <c r="F10" s="317"/>
      <c r="G10" s="317"/>
      <c r="H10" s="317"/>
      <c r="I10" s="317"/>
      <c r="J10" s="318"/>
      <c r="K10" s="16"/>
    </row>
    <row r="11" spans="1:11" s="3" customFormat="1" ht="18.75" customHeight="1" x14ac:dyDescent="0.15">
      <c r="A11" s="69"/>
      <c r="B11" s="316"/>
      <c r="C11" s="317"/>
      <c r="D11" s="317"/>
      <c r="E11" s="317"/>
      <c r="F11" s="317"/>
      <c r="G11" s="317"/>
      <c r="H11" s="317"/>
      <c r="I11" s="317"/>
      <c r="J11" s="318"/>
      <c r="K11" s="16"/>
    </row>
    <row r="12" spans="1:11" s="3" customFormat="1" ht="18.75" customHeight="1" x14ac:dyDescent="0.15">
      <c r="A12" s="69"/>
      <c r="B12" s="319"/>
      <c r="C12" s="320"/>
      <c r="D12" s="320"/>
      <c r="E12" s="320"/>
      <c r="F12" s="320"/>
      <c r="G12" s="320"/>
      <c r="H12" s="320"/>
      <c r="I12" s="320"/>
      <c r="J12" s="321"/>
      <c r="K12" s="16"/>
    </row>
    <row r="13" spans="1:11" s="3" customFormat="1" ht="7.5" customHeight="1" x14ac:dyDescent="0.15">
      <c r="A13" s="69"/>
      <c r="B13" s="69" t="s">
        <v>182</v>
      </c>
      <c r="C13" s="69"/>
      <c r="D13" s="69"/>
      <c r="E13" s="69"/>
      <c r="F13" s="69"/>
      <c r="G13" s="69"/>
      <c r="H13" s="69"/>
      <c r="I13" s="69"/>
      <c r="J13" s="69"/>
      <c r="K13" s="16"/>
    </row>
    <row r="14" spans="1:11" s="3" customFormat="1" ht="18.75" customHeight="1" x14ac:dyDescent="0.15">
      <c r="A14" s="70" t="s">
        <v>183</v>
      </c>
      <c r="B14" s="70" t="s">
        <v>184</v>
      </c>
      <c r="C14" s="70"/>
      <c r="D14" s="70"/>
      <c r="E14" s="70"/>
      <c r="F14" s="70"/>
      <c r="G14" s="70"/>
      <c r="H14" s="70"/>
      <c r="I14" s="70"/>
      <c r="J14" s="70"/>
      <c r="K14" s="16"/>
    </row>
    <row r="15" spans="1:11" s="3" customFormat="1" ht="18.75" customHeight="1" x14ac:dyDescent="0.15">
      <c r="A15" s="69"/>
      <c r="B15" s="303" t="s">
        <v>185</v>
      </c>
      <c r="C15" s="313"/>
      <c r="D15" s="313"/>
      <c r="E15" s="313"/>
      <c r="F15" s="313"/>
      <c r="G15" s="313"/>
      <c r="H15" s="313"/>
      <c r="I15" s="314"/>
      <c r="J15" s="315"/>
      <c r="K15" s="16" t="str">
        <f>IF(B15="","入力してください","")</f>
        <v/>
      </c>
    </row>
    <row r="16" spans="1:11" s="3" customFormat="1" ht="18.75" customHeight="1" x14ac:dyDescent="0.15">
      <c r="A16" s="69"/>
      <c r="B16" s="316"/>
      <c r="C16" s="317"/>
      <c r="D16" s="317"/>
      <c r="E16" s="317"/>
      <c r="F16" s="317"/>
      <c r="G16" s="317"/>
      <c r="H16" s="317"/>
      <c r="I16" s="317"/>
      <c r="J16" s="318"/>
      <c r="K16" s="16"/>
    </row>
    <row r="17" spans="1:11" s="3" customFormat="1" ht="18.75" customHeight="1" x14ac:dyDescent="0.15">
      <c r="A17" s="69"/>
      <c r="B17" s="316"/>
      <c r="C17" s="317"/>
      <c r="D17" s="317"/>
      <c r="E17" s="317"/>
      <c r="F17" s="317"/>
      <c r="G17" s="317"/>
      <c r="H17" s="317"/>
      <c r="I17" s="317"/>
      <c r="J17" s="318"/>
      <c r="K17" s="16"/>
    </row>
    <row r="18" spans="1:11" s="3" customFormat="1" ht="18.75" customHeight="1" x14ac:dyDescent="0.15">
      <c r="A18" s="69"/>
      <c r="B18" s="316"/>
      <c r="C18" s="317"/>
      <c r="D18" s="317"/>
      <c r="E18" s="317"/>
      <c r="F18" s="317"/>
      <c r="G18" s="317"/>
      <c r="H18" s="317"/>
      <c r="I18" s="317"/>
      <c r="J18" s="318"/>
      <c r="K18" s="16"/>
    </row>
    <row r="19" spans="1:11" s="3" customFormat="1" ht="18.75" customHeight="1" x14ac:dyDescent="0.15">
      <c r="A19" s="69"/>
      <c r="B19" s="316"/>
      <c r="C19" s="317"/>
      <c r="D19" s="317"/>
      <c r="E19" s="317"/>
      <c r="F19" s="317"/>
      <c r="G19" s="317"/>
      <c r="H19" s="317"/>
      <c r="I19" s="317"/>
      <c r="J19" s="318"/>
      <c r="K19" s="16"/>
    </row>
    <row r="20" spans="1:11" s="3" customFormat="1" ht="18.75" customHeight="1" x14ac:dyDescent="0.15">
      <c r="A20" s="69"/>
      <c r="B20" s="316"/>
      <c r="C20" s="317"/>
      <c r="D20" s="317"/>
      <c r="E20" s="317"/>
      <c r="F20" s="317"/>
      <c r="G20" s="317"/>
      <c r="H20" s="317"/>
      <c r="I20" s="317"/>
      <c r="J20" s="318"/>
      <c r="K20" s="16"/>
    </row>
    <row r="21" spans="1:11" s="3" customFormat="1" ht="18.75" customHeight="1" x14ac:dyDescent="0.15">
      <c r="A21" s="69"/>
      <c r="B21" s="316"/>
      <c r="C21" s="317"/>
      <c r="D21" s="317"/>
      <c r="E21" s="317"/>
      <c r="F21" s="317"/>
      <c r="G21" s="317"/>
      <c r="H21" s="317"/>
      <c r="I21" s="317"/>
      <c r="J21" s="318"/>
      <c r="K21" s="16"/>
    </row>
    <row r="22" spans="1:11" s="3" customFormat="1" ht="18.75" customHeight="1" x14ac:dyDescent="0.15">
      <c r="A22" s="69"/>
      <c r="B22" s="316"/>
      <c r="C22" s="317"/>
      <c r="D22" s="317"/>
      <c r="E22" s="317"/>
      <c r="F22" s="317"/>
      <c r="G22" s="317"/>
      <c r="H22" s="317"/>
      <c r="I22" s="317"/>
      <c r="J22" s="318"/>
      <c r="K22" s="16"/>
    </row>
    <row r="23" spans="1:11" s="3" customFormat="1" ht="18.75" customHeight="1" x14ac:dyDescent="0.15">
      <c r="A23" s="69"/>
      <c r="B23" s="316"/>
      <c r="C23" s="317"/>
      <c r="D23" s="317"/>
      <c r="E23" s="317"/>
      <c r="F23" s="317"/>
      <c r="G23" s="317"/>
      <c r="H23" s="317"/>
      <c r="I23" s="317"/>
      <c r="J23" s="318"/>
      <c r="K23" s="16"/>
    </row>
    <row r="24" spans="1:11" s="3" customFormat="1" ht="18.75" customHeight="1" x14ac:dyDescent="0.15">
      <c r="A24" s="69"/>
      <c r="B24" s="316"/>
      <c r="C24" s="317"/>
      <c r="D24" s="317"/>
      <c r="E24" s="317"/>
      <c r="F24" s="317"/>
      <c r="G24" s="317"/>
      <c r="H24" s="317"/>
      <c r="I24" s="317"/>
      <c r="J24" s="318"/>
      <c r="K24" s="16"/>
    </row>
    <row r="25" spans="1:11" s="3" customFormat="1" ht="18.75" customHeight="1" x14ac:dyDescent="0.15">
      <c r="A25" s="69"/>
      <c r="B25" s="319"/>
      <c r="C25" s="320"/>
      <c r="D25" s="320"/>
      <c r="E25" s="320"/>
      <c r="F25" s="320"/>
      <c r="G25" s="320"/>
      <c r="H25" s="320"/>
      <c r="I25" s="320"/>
      <c r="J25" s="321"/>
      <c r="K25" s="16"/>
    </row>
    <row r="26" spans="1:11" ht="7.5" customHeight="1" x14ac:dyDescent="0.15">
      <c r="A26" s="20"/>
      <c r="B26" s="20"/>
      <c r="C26" s="20"/>
      <c r="D26" s="20"/>
      <c r="E26" s="20"/>
      <c r="F26" s="20"/>
      <c r="G26" s="20"/>
      <c r="H26" s="20"/>
      <c r="I26" s="20"/>
      <c r="J26" s="20"/>
    </row>
    <row r="27" spans="1:11" s="3" customFormat="1" ht="18.75" customHeight="1" x14ac:dyDescent="0.15">
      <c r="A27" s="1" t="s">
        <v>11</v>
      </c>
      <c r="B27" s="1" t="s">
        <v>186</v>
      </c>
      <c r="C27" s="1"/>
      <c r="D27" s="1"/>
      <c r="E27" s="1"/>
      <c r="F27" s="1"/>
      <c r="G27" s="1"/>
      <c r="H27" s="1"/>
      <c r="I27" s="1"/>
      <c r="J27" s="1"/>
      <c r="K27" s="16"/>
    </row>
    <row r="28" spans="1:11" s="14" customFormat="1" ht="18.75" customHeight="1" x14ac:dyDescent="0.15">
      <c r="B28" s="102" t="s">
        <v>187</v>
      </c>
      <c r="C28" s="103">
        <f>'様式３　履修者等数の実績'!R30</f>
        <v>0.20357142857142857</v>
      </c>
      <c r="D28" s="104"/>
      <c r="E28" s="104" t="s">
        <v>188</v>
      </c>
      <c r="F28" s="103">
        <v>0.4</v>
      </c>
      <c r="G28" s="104"/>
      <c r="H28" s="104" t="s">
        <v>189</v>
      </c>
      <c r="I28" s="105">
        <v>0.6</v>
      </c>
      <c r="J28" s="71"/>
      <c r="K28" s="16"/>
    </row>
    <row r="29" spans="1:11" s="14" customFormat="1" ht="18.75" customHeight="1" x14ac:dyDescent="0.15">
      <c r="B29" s="106" t="s">
        <v>190</v>
      </c>
      <c r="C29" s="107">
        <v>0.8</v>
      </c>
      <c r="D29" s="108"/>
      <c r="E29" s="108" t="s">
        <v>191</v>
      </c>
      <c r="F29" s="107">
        <v>1</v>
      </c>
      <c r="G29" s="108"/>
      <c r="H29" s="108" t="s">
        <v>192</v>
      </c>
      <c r="I29" s="109">
        <f>'様式３　履修者等数の実績'!D30</f>
        <v>1400</v>
      </c>
      <c r="J29" s="72"/>
      <c r="K29" s="16"/>
    </row>
    <row r="30" spans="1:11" s="3" customFormat="1" ht="18.75" customHeight="1" x14ac:dyDescent="0.15">
      <c r="A30" s="1"/>
      <c r="B30" s="212" t="s">
        <v>193</v>
      </c>
      <c r="C30" s="213"/>
      <c r="D30" s="213"/>
      <c r="E30" s="213"/>
      <c r="F30" s="213"/>
      <c r="G30" s="213"/>
      <c r="H30" s="213"/>
      <c r="I30" s="213"/>
      <c r="J30" s="214"/>
      <c r="K30" s="16"/>
    </row>
    <row r="31" spans="1:11" s="3" customFormat="1" ht="18.75" customHeight="1" x14ac:dyDescent="0.15">
      <c r="A31" s="1"/>
      <c r="B31" s="331" t="s">
        <v>194</v>
      </c>
      <c r="C31" s="332"/>
      <c r="D31" s="332"/>
      <c r="E31" s="332"/>
      <c r="F31" s="332"/>
      <c r="G31" s="332"/>
      <c r="H31" s="332"/>
      <c r="I31" s="332"/>
      <c r="J31" s="333"/>
      <c r="K31" s="16" t="str">
        <f>IF(B31="","入力してください","")</f>
        <v/>
      </c>
    </row>
    <row r="32" spans="1:11" s="3" customFormat="1" ht="18.75" customHeight="1" x14ac:dyDescent="0.15">
      <c r="A32" s="1"/>
      <c r="B32" s="324"/>
      <c r="C32" s="325"/>
      <c r="D32" s="325"/>
      <c r="E32" s="325"/>
      <c r="F32" s="325"/>
      <c r="G32" s="325"/>
      <c r="H32" s="325"/>
      <c r="I32" s="325"/>
      <c r="J32" s="326"/>
      <c r="K32" s="16"/>
    </row>
    <row r="33" spans="1:11" s="3" customFormat="1" ht="18.75" customHeight="1" x14ac:dyDescent="0.15">
      <c r="A33" s="1"/>
      <c r="B33" s="324"/>
      <c r="C33" s="325"/>
      <c r="D33" s="325"/>
      <c r="E33" s="325"/>
      <c r="F33" s="325"/>
      <c r="G33" s="325"/>
      <c r="H33" s="325"/>
      <c r="I33" s="325"/>
      <c r="J33" s="326"/>
      <c r="K33" s="16"/>
    </row>
    <row r="34" spans="1:11" s="3" customFormat="1" ht="18.75" customHeight="1" x14ac:dyDescent="0.15">
      <c r="A34" s="1"/>
      <c r="B34" s="324"/>
      <c r="C34" s="325"/>
      <c r="D34" s="325"/>
      <c r="E34" s="325"/>
      <c r="F34" s="325"/>
      <c r="G34" s="325"/>
      <c r="H34" s="325"/>
      <c r="I34" s="325"/>
      <c r="J34" s="326"/>
      <c r="K34" s="16"/>
    </row>
    <row r="35" spans="1:11" s="3" customFormat="1" ht="18.75" customHeight="1" x14ac:dyDescent="0.15">
      <c r="A35" s="1"/>
      <c r="B35" s="324"/>
      <c r="C35" s="325"/>
      <c r="D35" s="325"/>
      <c r="E35" s="325"/>
      <c r="F35" s="325"/>
      <c r="G35" s="325"/>
      <c r="H35" s="325"/>
      <c r="I35" s="325"/>
      <c r="J35" s="326"/>
      <c r="K35" s="16"/>
    </row>
    <row r="36" spans="1:11" s="3" customFormat="1" ht="18.75" customHeight="1" x14ac:dyDescent="0.15">
      <c r="A36" s="1"/>
      <c r="B36" s="324"/>
      <c r="C36" s="325"/>
      <c r="D36" s="325"/>
      <c r="E36" s="325"/>
      <c r="F36" s="325"/>
      <c r="G36" s="325"/>
      <c r="H36" s="325"/>
      <c r="I36" s="325"/>
      <c r="J36" s="326"/>
      <c r="K36" s="16"/>
    </row>
    <row r="37" spans="1:11" s="3" customFormat="1" ht="18.75" customHeight="1" x14ac:dyDescent="0.15">
      <c r="A37" s="1"/>
      <c r="B37" s="324"/>
      <c r="C37" s="325"/>
      <c r="D37" s="325"/>
      <c r="E37" s="325"/>
      <c r="F37" s="325"/>
      <c r="G37" s="325"/>
      <c r="H37" s="325"/>
      <c r="I37" s="325"/>
      <c r="J37" s="326"/>
      <c r="K37" s="16"/>
    </row>
    <row r="38" spans="1:11" s="3" customFormat="1" ht="18.75" customHeight="1" x14ac:dyDescent="0.15">
      <c r="A38" s="1"/>
      <c r="B38" s="324"/>
      <c r="C38" s="325"/>
      <c r="D38" s="325"/>
      <c r="E38" s="325"/>
      <c r="F38" s="325"/>
      <c r="G38" s="325"/>
      <c r="H38" s="325"/>
      <c r="I38" s="325"/>
      <c r="J38" s="326"/>
      <c r="K38" s="16"/>
    </row>
    <row r="39" spans="1:11" s="3" customFormat="1" ht="18.75" customHeight="1" x14ac:dyDescent="0.15">
      <c r="A39" s="1"/>
      <c r="B39" s="324"/>
      <c r="C39" s="325"/>
      <c r="D39" s="325"/>
      <c r="E39" s="325"/>
      <c r="F39" s="325"/>
      <c r="G39" s="325"/>
      <c r="H39" s="325"/>
      <c r="I39" s="325"/>
      <c r="J39" s="326"/>
      <c r="K39" s="16"/>
    </row>
    <row r="40" spans="1:11" s="3" customFormat="1" ht="18.75" customHeight="1" x14ac:dyDescent="0.15">
      <c r="A40" s="1"/>
      <c r="B40" s="324"/>
      <c r="C40" s="325"/>
      <c r="D40" s="325"/>
      <c r="E40" s="325"/>
      <c r="F40" s="325"/>
      <c r="G40" s="325"/>
      <c r="H40" s="325"/>
      <c r="I40" s="325"/>
      <c r="J40" s="326"/>
      <c r="K40" s="16"/>
    </row>
    <row r="41" spans="1:11" s="3" customFormat="1" ht="18.75" customHeight="1" x14ac:dyDescent="0.15">
      <c r="A41" s="1"/>
      <c r="B41" s="324"/>
      <c r="C41" s="325"/>
      <c r="D41" s="325"/>
      <c r="E41" s="325"/>
      <c r="F41" s="325"/>
      <c r="G41" s="325"/>
      <c r="H41" s="325"/>
      <c r="I41" s="325"/>
      <c r="J41" s="326"/>
      <c r="K41" s="16"/>
    </row>
    <row r="42" spans="1:11" s="3" customFormat="1" ht="18.75" customHeight="1" x14ac:dyDescent="0.15">
      <c r="A42" s="1"/>
      <c r="B42" s="324"/>
      <c r="C42" s="325"/>
      <c r="D42" s="325"/>
      <c r="E42" s="325"/>
      <c r="F42" s="325"/>
      <c r="G42" s="325"/>
      <c r="H42" s="325"/>
      <c r="I42" s="325"/>
      <c r="J42" s="326"/>
      <c r="K42" s="16"/>
    </row>
    <row r="43" spans="1:11" ht="18.75" customHeight="1" x14ac:dyDescent="0.15">
      <c r="A43" s="20"/>
      <c r="B43" s="324"/>
      <c r="C43" s="325"/>
      <c r="D43" s="325"/>
      <c r="E43" s="325"/>
      <c r="F43" s="325"/>
      <c r="G43" s="325"/>
      <c r="H43" s="325"/>
      <c r="I43" s="325"/>
      <c r="J43" s="326"/>
    </row>
    <row r="44" spans="1:11" ht="18.75" customHeight="1" x14ac:dyDescent="0.15">
      <c r="A44" s="20"/>
      <c r="B44" s="327"/>
      <c r="C44" s="328"/>
      <c r="D44" s="328"/>
      <c r="E44" s="328"/>
      <c r="F44" s="328"/>
      <c r="G44" s="328"/>
      <c r="H44" s="328"/>
      <c r="I44" s="328"/>
      <c r="J44" s="329"/>
    </row>
    <row r="45" spans="1:11" s="3" customFormat="1" ht="18.75" customHeight="1" x14ac:dyDescent="0.15">
      <c r="A45" s="73" t="s">
        <v>14</v>
      </c>
      <c r="B45" s="1" t="s">
        <v>195</v>
      </c>
      <c r="C45" s="1"/>
      <c r="D45" s="1"/>
      <c r="E45" s="1"/>
      <c r="F45" s="1"/>
      <c r="G45" s="1"/>
      <c r="H45" s="1"/>
      <c r="I45" s="73"/>
      <c r="J45" s="73"/>
      <c r="K45" s="16"/>
    </row>
    <row r="46" spans="1:11" ht="18.75" customHeight="1" x14ac:dyDescent="0.15">
      <c r="A46" s="20"/>
      <c r="B46" s="303" t="s">
        <v>196</v>
      </c>
      <c r="C46" s="304"/>
      <c r="D46" s="304"/>
      <c r="E46" s="304"/>
      <c r="F46" s="304"/>
      <c r="G46" s="304"/>
      <c r="H46" s="304"/>
      <c r="I46" s="305"/>
      <c r="J46" s="306"/>
      <c r="K46" s="16" t="str">
        <f>IF(B46="","入力してください","")</f>
        <v/>
      </c>
    </row>
    <row r="47" spans="1:11" ht="18.75" customHeight="1" x14ac:dyDescent="0.15">
      <c r="A47" s="20"/>
      <c r="B47" s="307"/>
      <c r="C47" s="308"/>
      <c r="D47" s="308"/>
      <c r="E47" s="308"/>
      <c r="F47" s="308"/>
      <c r="G47" s="308"/>
      <c r="H47" s="308"/>
      <c r="I47" s="308"/>
      <c r="J47" s="309"/>
    </row>
    <row r="48" spans="1:11" ht="18.75" customHeight="1" x14ac:dyDescent="0.15">
      <c r="A48" s="20"/>
      <c r="B48" s="307"/>
      <c r="C48" s="308"/>
      <c r="D48" s="308"/>
      <c r="E48" s="308"/>
      <c r="F48" s="308"/>
      <c r="G48" s="308"/>
      <c r="H48" s="308"/>
      <c r="I48" s="308"/>
      <c r="J48" s="309"/>
    </row>
    <row r="49" spans="1:10" ht="18.75" customHeight="1" x14ac:dyDescent="0.15">
      <c r="A49" s="20"/>
      <c r="B49" s="307"/>
      <c r="C49" s="308"/>
      <c r="D49" s="308"/>
      <c r="E49" s="308"/>
      <c r="F49" s="308"/>
      <c r="G49" s="308"/>
      <c r="H49" s="308"/>
      <c r="I49" s="308"/>
      <c r="J49" s="309"/>
    </row>
    <row r="50" spans="1:10" ht="18.75" customHeight="1" x14ac:dyDescent="0.15">
      <c r="A50" s="20"/>
      <c r="B50" s="307"/>
      <c r="C50" s="308"/>
      <c r="D50" s="308"/>
      <c r="E50" s="308"/>
      <c r="F50" s="308"/>
      <c r="G50" s="308"/>
      <c r="H50" s="308"/>
      <c r="I50" s="308"/>
      <c r="J50" s="309"/>
    </row>
    <row r="51" spans="1:10" ht="18.75" customHeight="1" x14ac:dyDescent="0.15">
      <c r="A51" s="20"/>
      <c r="B51" s="307"/>
      <c r="C51" s="308"/>
      <c r="D51" s="308"/>
      <c r="E51" s="308"/>
      <c r="F51" s="308"/>
      <c r="G51" s="308"/>
      <c r="H51" s="308"/>
      <c r="I51" s="308"/>
      <c r="J51" s="309"/>
    </row>
    <row r="52" spans="1:10" ht="18.75" customHeight="1" x14ac:dyDescent="0.15">
      <c r="A52" s="20"/>
      <c r="B52" s="307"/>
      <c r="C52" s="308"/>
      <c r="D52" s="308"/>
      <c r="E52" s="308"/>
      <c r="F52" s="308"/>
      <c r="G52" s="308"/>
      <c r="H52" s="308"/>
      <c r="I52" s="308"/>
      <c r="J52" s="309"/>
    </row>
    <row r="53" spans="1:10" ht="18.75" customHeight="1" x14ac:dyDescent="0.15">
      <c r="A53" s="20"/>
      <c r="B53" s="307"/>
      <c r="C53" s="308"/>
      <c r="D53" s="308"/>
      <c r="E53" s="308"/>
      <c r="F53" s="308"/>
      <c r="G53" s="308"/>
      <c r="H53" s="308"/>
      <c r="I53" s="308"/>
      <c r="J53" s="309"/>
    </row>
    <row r="54" spans="1:10" ht="18.75" customHeight="1" x14ac:dyDescent="0.15">
      <c r="A54" s="20"/>
      <c r="B54" s="307"/>
      <c r="C54" s="308"/>
      <c r="D54" s="308"/>
      <c r="E54" s="308"/>
      <c r="F54" s="308"/>
      <c r="G54" s="308"/>
      <c r="H54" s="308"/>
      <c r="I54" s="308"/>
      <c r="J54" s="309"/>
    </row>
    <row r="55" spans="1:10" ht="18.75" customHeight="1" x14ac:dyDescent="0.15">
      <c r="A55" s="20"/>
      <c r="B55" s="307"/>
      <c r="C55" s="308"/>
      <c r="D55" s="308"/>
      <c r="E55" s="308"/>
      <c r="F55" s="308"/>
      <c r="G55" s="308"/>
      <c r="H55" s="308"/>
      <c r="I55" s="308"/>
      <c r="J55" s="309"/>
    </row>
    <row r="56" spans="1:10" ht="18.75" customHeight="1" x14ac:dyDescent="0.15">
      <c r="A56" s="20"/>
      <c r="B56" s="307"/>
      <c r="C56" s="308"/>
      <c r="D56" s="308"/>
      <c r="E56" s="308"/>
      <c r="F56" s="308"/>
      <c r="G56" s="308"/>
      <c r="H56" s="308"/>
      <c r="I56" s="308"/>
      <c r="J56" s="309"/>
    </row>
    <row r="57" spans="1:10" ht="18.75" customHeight="1" x14ac:dyDescent="0.15">
      <c r="A57" s="20"/>
      <c r="B57" s="307"/>
      <c r="C57" s="308"/>
      <c r="D57" s="308"/>
      <c r="E57" s="308"/>
      <c r="F57" s="308"/>
      <c r="G57" s="308"/>
      <c r="H57" s="308"/>
      <c r="I57" s="308"/>
      <c r="J57" s="309"/>
    </row>
    <row r="58" spans="1:10" ht="18.75" customHeight="1" x14ac:dyDescent="0.15">
      <c r="A58" s="20"/>
      <c r="B58" s="307"/>
      <c r="C58" s="308"/>
      <c r="D58" s="308"/>
      <c r="E58" s="308"/>
      <c r="F58" s="308"/>
      <c r="G58" s="308"/>
      <c r="H58" s="308"/>
      <c r="I58" s="308"/>
      <c r="J58" s="309"/>
    </row>
    <row r="59" spans="1:10" ht="18.75" customHeight="1" x14ac:dyDescent="0.15">
      <c r="A59" s="20"/>
      <c r="B59" s="307"/>
      <c r="C59" s="308"/>
      <c r="D59" s="308"/>
      <c r="E59" s="308"/>
      <c r="F59" s="308"/>
      <c r="G59" s="308"/>
      <c r="H59" s="308"/>
      <c r="I59" s="308"/>
      <c r="J59" s="309"/>
    </row>
    <row r="60" spans="1:10" ht="18.75" customHeight="1" x14ac:dyDescent="0.15">
      <c r="A60" s="20"/>
      <c r="B60" s="307"/>
      <c r="C60" s="308"/>
      <c r="D60" s="308"/>
      <c r="E60" s="308"/>
      <c r="F60" s="308"/>
      <c r="G60" s="308"/>
      <c r="H60" s="308"/>
      <c r="I60" s="308"/>
      <c r="J60" s="309"/>
    </row>
    <row r="61" spans="1:10" ht="18.75" customHeight="1" x14ac:dyDescent="0.15">
      <c r="A61" s="20"/>
      <c r="B61" s="307"/>
      <c r="C61" s="308"/>
      <c r="D61" s="308"/>
      <c r="E61" s="308"/>
      <c r="F61" s="308"/>
      <c r="G61" s="308"/>
      <c r="H61" s="308"/>
      <c r="I61" s="308"/>
      <c r="J61" s="309"/>
    </row>
    <row r="62" spans="1:10" ht="18.75" customHeight="1" x14ac:dyDescent="0.15">
      <c r="A62" s="20"/>
      <c r="B62" s="307"/>
      <c r="C62" s="308"/>
      <c r="D62" s="308"/>
      <c r="E62" s="308"/>
      <c r="F62" s="308"/>
      <c r="G62" s="308"/>
      <c r="H62" s="308"/>
      <c r="I62" s="308"/>
      <c r="J62" s="309"/>
    </row>
    <row r="63" spans="1:10" ht="18.75" customHeight="1" x14ac:dyDescent="0.15">
      <c r="A63" s="20"/>
      <c r="B63" s="307"/>
      <c r="C63" s="308"/>
      <c r="D63" s="308"/>
      <c r="E63" s="308"/>
      <c r="F63" s="308"/>
      <c r="G63" s="308"/>
      <c r="H63" s="308"/>
      <c r="I63" s="308"/>
      <c r="J63" s="309"/>
    </row>
    <row r="64" spans="1:10" ht="18.75" customHeight="1" x14ac:dyDescent="0.15">
      <c r="A64" s="20"/>
      <c r="B64" s="307"/>
      <c r="C64" s="308"/>
      <c r="D64" s="308"/>
      <c r="E64" s="308"/>
      <c r="F64" s="308"/>
      <c r="G64" s="308"/>
      <c r="H64" s="308"/>
      <c r="I64" s="308"/>
      <c r="J64" s="309"/>
    </row>
    <row r="65" spans="1:11" ht="18.75" customHeight="1" x14ac:dyDescent="0.15">
      <c r="A65" s="20"/>
      <c r="B65" s="307"/>
      <c r="C65" s="308"/>
      <c r="D65" s="308"/>
      <c r="E65" s="308"/>
      <c r="F65" s="308"/>
      <c r="G65" s="308"/>
      <c r="H65" s="308"/>
      <c r="I65" s="308"/>
      <c r="J65" s="309"/>
    </row>
    <row r="66" spans="1:11" ht="18.75" customHeight="1" x14ac:dyDescent="0.15">
      <c r="A66" s="20"/>
      <c r="B66" s="310"/>
      <c r="C66" s="311"/>
      <c r="D66" s="311"/>
      <c r="E66" s="311"/>
      <c r="F66" s="311"/>
      <c r="G66" s="311"/>
      <c r="H66" s="311"/>
      <c r="I66" s="311"/>
      <c r="J66" s="312"/>
    </row>
    <row r="67" spans="1:11" ht="7.5" customHeight="1" x14ac:dyDescent="0.15">
      <c r="A67" s="20"/>
      <c r="B67" s="20"/>
      <c r="C67" s="20"/>
      <c r="D67" s="20"/>
      <c r="E67" s="20"/>
      <c r="F67" s="20"/>
      <c r="G67" s="20"/>
      <c r="H67" s="20"/>
      <c r="I67" s="20"/>
      <c r="J67" s="20"/>
    </row>
    <row r="68" spans="1:11" s="3" customFormat="1" ht="18.75" customHeight="1" x14ac:dyDescent="0.15">
      <c r="A68" s="1" t="s">
        <v>17</v>
      </c>
      <c r="B68" s="1" t="s">
        <v>197</v>
      </c>
      <c r="C68" s="1"/>
      <c r="D68" s="1"/>
      <c r="E68" s="1"/>
      <c r="F68" s="1"/>
      <c r="G68" s="1"/>
      <c r="H68" s="1"/>
      <c r="I68" s="1"/>
      <c r="J68" s="1"/>
      <c r="K68" s="16"/>
    </row>
    <row r="69" spans="1:11" s="3" customFormat="1" ht="18.75" customHeight="1" x14ac:dyDescent="0.15">
      <c r="A69" s="1"/>
      <c r="B69" s="303" t="s">
        <v>198</v>
      </c>
      <c r="C69" s="313"/>
      <c r="D69" s="313"/>
      <c r="E69" s="313"/>
      <c r="F69" s="313"/>
      <c r="G69" s="313"/>
      <c r="H69" s="313"/>
      <c r="I69" s="314"/>
      <c r="J69" s="315"/>
      <c r="K69" s="16" t="str">
        <f>IF(B69="","入力してください","")</f>
        <v/>
      </c>
    </row>
    <row r="70" spans="1:11" s="3" customFormat="1" ht="18.75" customHeight="1" x14ac:dyDescent="0.15">
      <c r="A70" s="1"/>
      <c r="B70" s="316"/>
      <c r="C70" s="317"/>
      <c r="D70" s="317"/>
      <c r="E70" s="317"/>
      <c r="F70" s="317"/>
      <c r="G70" s="317"/>
      <c r="H70" s="317"/>
      <c r="I70" s="317"/>
      <c r="J70" s="318"/>
      <c r="K70" s="16"/>
    </row>
    <row r="71" spans="1:11" s="3" customFormat="1" ht="18.75" customHeight="1" x14ac:dyDescent="0.15">
      <c r="A71" s="1"/>
      <c r="B71" s="316"/>
      <c r="C71" s="317"/>
      <c r="D71" s="317"/>
      <c r="E71" s="317"/>
      <c r="F71" s="317"/>
      <c r="G71" s="317"/>
      <c r="H71" s="317"/>
      <c r="I71" s="317"/>
      <c r="J71" s="318"/>
      <c r="K71" s="16"/>
    </row>
    <row r="72" spans="1:11" s="3" customFormat="1" ht="18.75" customHeight="1" x14ac:dyDescent="0.15">
      <c r="A72" s="1"/>
      <c r="B72" s="316"/>
      <c r="C72" s="317"/>
      <c r="D72" s="317"/>
      <c r="E72" s="317"/>
      <c r="F72" s="317"/>
      <c r="G72" s="317"/>
      <c r="H72" s="317"/>
      <c r="I72" s="317"/>
      <c r="J72" s="318"/>
      <c r="K72" s="16"/>
    </row>
    <row r="73" spans="1:11" s="3" customFormat="1" ht="18.75" customHeight="1" x14ac:dyDescent="0.15">
      <c r="A73" s="1"/>
      <c r="B73" s="316"/>
      <c r="C73" s="317"/>
      <c r="D73" s="317"/>
      <c r="E73" s="317"/>
      <c r="F73" s="317"/>
      <c r="G73" s="317"/>
      <c r="H73" s="317"/>
      <c r="I73" s="317"/>
      <c r="J73" s="318"/>
      <c r="K73" s="16"/>
    </row>
    <row r="74" spans="1:11" s="3" customFormat="1" ht="18.75" customHeight="1" x14ac:dyDescent="0.15">
      <c r="A74" s="1"/>
      <c r="B74" s="316"/>
      <c r="C74" s="317"/>
      <c r="D74" s="317"/>
      <c r="E74" s="317"/>
      <c r="F74" s="317"/>
      <c r="G74" s="317"/>
      <c r="H74" s="317"/>
      <c r="I74" s="317"/>
      <c r="J74" s="318"/>
      <c r="K74" s="16"/>
    </row>
    <row r="75" spans="1:11" s="3" customFormat="1" ht="18.75" customHeight="1" x14ac:dyDescent="0.15">
      <c r="A75" s="1"/>
      <c r="B75" s="316"/>
      <c r="C75" s="317"/>
      <c r="D75" s="317"/>
      <c r="E75" s="317"/>
      <c r="F75" s="317"/>
      <c r="G75" s="317"/>
      <c r="H75" s="317"/>
      <c r="I75" s="317"/>
      <c r="J75" s="318"/>
      <c r="K75" s="16"/>
    </row>
    <row r="76" spans="1:11" s="3" customFormat="1" ht="18.75" customHeight="1" x14ac:dyDescent="0.15">
      <c r="A76" s="1"/>
      <c r="B76" s="316"/>
      <c r="C76" s="317"/>
      <c r="D76" s="317"/>
      <c r="E76" s="317"/>
      <c r="F76" s="317"/>
      <c r="G76" s="317"/>
      <c r="H76" s="317"/>
      <c r="I76" s="317"/>
      <c r="J76" s="318"/>
      <c r="K76" s="16"/>
    </row>
    <row r="77" spans="1:11" s="3" customFormat="1" ht="18.75" customHeight="1" x14ac:dyDescent="0.15">
      <c r="A77" s="1"/>
      <c r="B77" s="316"/>
      <c r="C77" s="317"/>
      <c r="D77" s="317"/>
      <c r="E77" s="317"/>
      <c r="F77" s="317"/>
      <c r="G77" s="317"/>
      <c r="H77" s="317"/>
      <c r="I77" s="317"/>
      <c r="J77" s="318"/>
      <c r="K77" s="16"/>
    </row>
    <row r="78" spans="1:11" s="3" customFormat="1" ht="18.75" customHeight="1" x14ac:dyDescent="0.15">
      <c r="A78" s="1"/>
      <c r="B78" s="316"/>
      <c r="C78" s="317"/>
      <c r="D78" s="317"/>
      <c r="E78" s="317"/>
      <c r="F78" s="317"/>
      <c r="G78" s="317"/>
      <c r="H78" s="317"/>
      <c r="I78" s="317"/>
      <c r="J78" s="318"/>
      <c r="K78" s="16"/>
    </row>
    <row r="79" spans="1:11" s="3" customFormat="1" ht="18.75" customHeight="1" x14ac:dyDescent="0.15">
      <c r="A79" s="1"/>
      <c r="B79" s="316"/>
      <c r="C79" s="317"/>
      <c r="D79" s="317"/>
      <c r="E79" s="317"/>
      <c r="F79" s="317"/>
      <c r="G79" s="317"/>
      <c r="H79" s="317"/>
      <c r="I79" s="317"/>
      <c r="J79" s="318"/>
      <c r="K79" s="16"/>
    </row>
    <row r="80" spans="1:11" s="3" customFormat="1" ht="18.75" customHeight="1" x14ac:dyDescent="0.15">
      <c r="A80" s="1"/>
      <c r="B80" s="316"/>
      <c r="C80" s="317"/>
      <c r="D80" s="317"/>
      <c r="E80" s="317"/>
      <c r="F80" s="317"/>
      <c r="G80" s="317"/>
      <c r="H80" s="317"/>
      <c r="I80" s="317"/>
      <c r="J80" s="318"/>
      <c r="K80" s="16"/>
    </row>
    <row r="81" spans="1:11" s="3" customFormat="1" ht="18.75" customHeight="1" x14ac:dyDescent="0.15">
      <c r="A81" s="1"/>
      <c r="B81" s="316"/>
      <c r="C81" s="317"/>
      <c r="D81" s="317"/>
      <c r="E81" s="317"/>
      <c r="F81" s="317"/>
      <c r="G81" s="317"/>
      <c r="H81" s="317"/>
      <c r="I81" s="317"/>
      <c r="J81" s="318"/>
      <c r="K81" s="16"/>
    </row>
    <row r="82" spans="1:11" s="3" customFormat="1" ht="18.75" customHeight="1" x14ac:dyDescent="0.15">
      <c r="A82" s="1"/>
      <c r="B82" s="316"/>
      <c r="C82" s="317"/>
      <c r="D82" s="317"/>
      <c r="E82" s="317"/>
      <c r="F82" s="317"/>
      <c r="G82" s="317"/>
      <c r="H82" s="317"/>
      <c r="I82" s="317"/>
      <c r="J82" s="318"/>
      <c r="K82" s="16"/>
    </row>
    <row r="83" spans="1:11" s="3" customFormat="1" ht="18.75" customHeight="1" x14ac:dyDescent="0.15">
      <c r="A83" s="1"/>
      <c r="B83" s="316"/>
      <c r="C83" s="317"/>
      <c r="D83" s="317"/>
      <c r="E83" s="317"/>
      <c r="F83" s="317"/>
      <c r="G83" s="317"/>
      <c r="H83" s="317"/>
      <c r="I83" s="317"/>
      <c r="J83" s="318"/>
      <c r="K83" s="16"/>
    </row>
    <row r="84" spans="1:11" s="3" customFormat="1" ht="18.75" customHeight="1" x14ac:dyDescent="0.15">
      <c r="A84" s="1"/>
      <c r="B84" s="316"/>
      <c r="C84" s="317"/>
      <c r="D84" s="317"/>
      <c r="E84" s="317"/>
      <c r="F84" s="317"/>
      <c r="G84" s="317"/>
      <c r="H84" s="317"/>
      <c r="I84" s="317"/>
      <c r="J84" s="318"/>
      <c r="K84" s="16"/>
    </row>
    <row r="85" spans="1:11" ht="18.75" customHeight="1" x14ac:dyDescent="0.15">
      <c r="A85" s="20"/>
      <c r="B85" s="316"/>
      <c r="C85" s="317"/>
      <c r="D85" s="317"/>
      <c r="E85" s="317"/>
      <c r="F85" s="317"/>
      <c r="G85" s="317"/>
      <c r="H85" s="317"/>
      <c r="I85" s="317"/>
      <c r="J85" s="318"/>
    </row>
    <row r="86" spans="1:11" ht="18.75" customHeight="1" x14ac:dyDescent="0.15">
      <c r="A86" s="20"/>
      <c r="B86" s="319"/>
      <c r="C86" s="320"/>
      <c r="D86" s="320"/>
      <c r="E86" s="320"/>
      <c r="F86" s="320"/>
      <c r="G86" s="320"/>
      <c r="H86" s="320"/>
      <c r="I86" s="320"/>
      <c r="J86" s="321"/>
    </row>
    <row r="87" spans="1:11" ht="7.5" customHeight="1" x14ac:dyDescent="0.15">
      <c r="A87" s="20"/>
      <c r="B87" s="20"/>
      <c r="C87" s="20"/>
      <c r="D87" s="20"/>
      <c r="E87" s="20"/>
      <c r="F87" s="20"/>
      <c r="G87" s="20"/>
      <c r="H87" s="20"/>
      <c r="I87" s="20"/>
      <c r="J87" s="20"/>
    </row>
    <row r="88" spans="1:11" s="3" customFormat="1" ht="18.75" customHeight="1" x14ac:dyDescent="0.15">
      <c r="A88" s="1" t="s">
        <v>199</v>
      </c>
      <c r="B88" s="1" t="s">
        <v>200</v>
      </c>
      <c r="C88" s="1"/>
      <c r="D88" s="1"/>
      <c r="E88" s="1"/>
      <c r="F88" s="1"/>
      <c r="G88" s="1"/>
      <c r="H88" s="1"/>
      <c r="I88" s="1"/>
      <c r="J88" s="1"/>
      <c r="K88" s="16"/>
    </row>
    <row r="89" spans="1:11" s="3" customFormat="1" ht="18.75" customHeight="1" x14ac:dyDescent="0.15">
      <c r="A89" s="1"/>
      <c r="B89" s="303" t="s">
        <v>201</v>
      </c>
      <c r="C89" s="304"/>
      <c r="D89" s="304"/>
      <c r="E89" s="304"/>
      <c r="F89" s="304"/>
      <c r="G89" s="304"/>
      <c r="H89" s="304"/>
      <c r="I89" s="322"/>
      <c r="J89" s="323"/>
      <c r="K89" s="16"/>
    </row>
    <row r="90" spans="1:11" s="3" customFormat="1" ht="18.75" customHeight="1" x14ac:dyDescent="0.15">
      <c r="A90" s="1"/>
      <c r="B90" s="324"/>
      <c r="C90" s="325"/>
      <c r="D90" s="325"/>
      <c r="E90" s="325"/>
      <c r="F90" s="325"/>
      <c r="G90" s="325"/>
      <c r="H90" s="325"/>
      <c r="I90" s="325"/>
      <c r="J90" s="326"/>
      <c r="K90" s="16"/>
    </row>
    <row r="91" spans="1:11" s="3" customFormat="1" ht="18.75" customHeight="1" x14ac:dyDescent="0.15">
      <c r="A91" s="1"/>
      <c r="B91" s="324"/>
      <c r="C91" s="325"/>
      <c r="D91" s="325"/>
      <c r="E91" s="325"/>
      <c r="F91" s="325"/>
      <c r="G91" s="325"/>
      <c r="H91" s="325"/>
      <c r="I91" s="325"/>
      <c r="J91" s="326"/>
      <c r="K91" s="16" t="str">
        <f>IF(B89="","入力してください","")</f>
        <v/>
      </c>
    </row>
    <row r="92" spans="1:11" s="3" customFormat="1" ht="18.75" customHeight="1" x14ac:dyDescent="0.15">
      <c r="A92" s="1"/>
      <c r="B92" s="324"/>
      <c r="C92" s="325"/>
      <c r="D92" s="325"/>
      <c r="E92" s="325"/>
      <c r="F92" s="325"/>
      <c r="G92" s="325"/>
      <c r="H92" s="325"/>
      <c r="I92" s="325"/>
      <c r="J92" s="326"/>
      <c r="K92" s="16"/>
    </row>
    <row r="93" spans="1:11" s="3" customFormat="1" ht="18.75" customHeight="1" x14ac:dyDescent="0.15">
      <c r="A93" s="1"/>
      <c r="B93" s="324"/>
      <c r="C93" s="325"/>
      <c r="D93" s="325"/>
      <c r="E93" s="325"/>
      <c r="F93" s="325"/>
      <c r="G93" s="325"/>
      <c r="H93" s="325"/>
      <c r="I93" s="325"/>
      <c r="J93" s="326"/>
      <c r="K93" s="16"/>
    </row>
    <row r="94" spans="1:11" s="3" customFormat="1" ht="18.75" customHeight="1" x14ac:dyDescent="0.15">
      <c r="A94" s="1"/>
      <c r="B94" s="324"/>
      <c r="C94" s="325"/>
      <c r="D94" s="325"/>
      <c r="E94" s="325"/>
      <c r="F94" s="325"/>
      <c r="G94" s="325"/>
      <c r="H94" s="325"/>
      <c r="I94" s="325"/>
      <c r="J94" s="326"/>
      <c r="K94" s="16"/>
    </row>
    <row r="95" spans="1:11" s="3" customFormat="1" ht="18.75" customHeight="1" x14ac:dyDescent="0.15">
      <c r="A95" s="1"/>
      <c r="B95" s="324"/>
      <c r="C95" s="325"/>
      <c r="D95" s="325"/>
      <c r="E95" s="325"/>
      <c r="F95" s="325"/>
      <c r="G95" s="325"/>
      <c r="H95" s="325"/>
      <c r="I95" s="325"/>
      <c r="J95" s="326"/>
      <c r="K95" s="16"/>
    </row>
    <row r="96" spans="1:11" s="3" customFormat="1" ht="18.75" customHeight="1" x14ac:dyDescent="0.15">
      <c r="A96" s="1"/>
      <c r="B96" s="324"/>
      <c r="C96" s="325"/>
      <c r="D96" s="325"/>
      <c r="E96" s="325"/>
      <c r="F96" s="325"/>
      <c r="G96" s="325"/>
      <c r="H96" s="325"/>
      <c r="I96" s="325"/>
      <c r="J96" s="326"/>
      <c r="K96" s="16"/>
    </row>
    <row r="97" spans="1:11" s="3" customFormat="1" ht="18.75" customHeight="1" x14ac:dyDescent="0.15">
      <c r="A97" s="1"/>
      <c r="B97" s="324"/>
      <c r="C97" s="325"/>
      <c r="D97" s="325"/>
      <c r="E97" s="325"/>
      <c r="F97" s="325"/>
      <c r="G97" s="325"/>
      <c r="H97" s="325"/>
      <c r="I97" s="325"/>
      <c r="J97" s="326"/>
      <c r="K97" s="16"/>
    </row>
    <row r="98" spans="1:11" s="3" customFormat="1" ht="18.75" customHeight="1" x14ac:dyDescent="0.15">
      <c r="A98" s="1"/>
      <c r="B98" s="324"/>
      <c r="C98" s="325"/>
      <c r="D98" s="325"/>
      <c r="E98" s="325"/>
      <c r="F98" s="325"/>
      <c r="G98" s="325"/>
      <c r="H98" s="325"/>
      <c r="I98" s="325"/>
      <c r="J98" s="326"/>
      <c r="K98" s="16"/>
    </row>
    <row r="99" spans="1:11" s="3" customFormat="1" ht="18.75" customHeight="1" x14ac:dyDescent="0.15">
      <c r="A99" s="1"/>
      <c r="B99" s="324"/>
      <c r="C99" s="325"/>
      <c r="D99" s="325"/>
      <c r="E99" s="325"/>
      <c r="F99" s="325"/>
      <c r="G99" s="325"/>
      <c r="H99" s="325"/>
      <c r="I99" s="325"/>
      <c r="J99" s="326"/>
      <c r="K99" s="16"/>
    </row>
    <row r="100" spans="1:11" s="3" customFormat="1" ht="18.75" customHeight="1" x14ac:dyDescent="0.15">
      <c r="A100" s="1"/>
      <c r="B100" s="324"/>
      <c r="C100" s="325"/>
      <c r="D100" s="325"/>
      <c r="E100" s="325"/>
      <c r="F100" s="325"/>
      <c r="G100" s="325"/>
      <c r="H100" s="325"/>
      <c r="I100" s="325"/>
      <c r="J100" s="326"/>
      <c r="K100" s="16"/>
    </row>
    <row r="101" spans="1:11" s="3" customFormat="1" ht="18.75" customHeight="1" x14ac:dyDescent="0.15">
      <c r="A101" s="1"/>
      <c r="B101" s="324"/>
      <c r="C101" s="325"/>
      <c r="D101" s="325"/>
      <c r="E101" s="325"/>
      <c r="F101" s="325"/>
      <c r="G101" s="325"/>
      <c r="H101" s="325"/>
      <c r="I101" s="325"/>
      <c r="J101" s="326"/>
      <c r="K101" s="16"/>
    </row>
    <row r="102" spans="1:11" s="3" customFormat="1" ht="18.75" customHeight="1" x14ac:dyDescent="0.15">
      <c r="A102" s="1"/>
      <c r="B102" s="324"/>
      <c r="C102" s="325"/>
      <c r="D102" s="325"/>
      <c r="E102" s="325"/>
      <c r="F102" s="325"/>
      <c r="G102" s="325"/>
      <c r="H102" s="325"/>
      <c r="I102" s="325"/>
      <c r="J102" s="326"/>
      <c r="K102" s="16"/>
    </row>
    <row r="103" spans="1:11" s="3" customFormat="1" ht="18.75" customHeight="1" x14ac:dyDescent="0.15">
      <c r="A103" s="1"/>
      <c r="B103" s="324"/>
      <c r="C103" s="325"/>
      <c r="D103" s="325"/>
      <c r="E103" s="325"/>
      <c r="F103" s="325"/>
      <c r="G103" s="325"/>
      <c r="H103" s="325"/>
      <c r="I103" s="325"/>
      <c r="J103" s="326"/>
      <c r="K103" s="16"/>
    </row>
    <row r="104" spans="1:11" s="3" customFormat="1" ht="18.75" customHeight="1" x14ac:dyDescent="0.15">
      <c r="A104" s="1"/>
      <c r="B104" s="324"/>
      <c r="C104" s="325"/>
      <c r="D104" s="325"/>
      <c r="E104" s="325"/>
      <c r="F104" s="325"/>
      <c r="G104" s="325"/>
      <c r="H104" s="325"/>
      <c r="I104" s="325"/>
      <c r="J104" s="326"/>
      <c r="K104" s="16"/>
    </row>
    <row r="105" spans="1:11" s="3" customFormat="1" ht="18.75" customHeight="1" x14ac:dyDescent="0.15">
      <c r="A105" s="1"/>
      <c r="B105" s="324"/>
      <c r="C105" s="325"/>
      <c r="D105" s="325"/>
      <c r="E105" s="325"/>
      <c r="F105" s="325"/>
      <c r="G105" s="325"/>
      <c r="H105" s="325"/>
      <c r="I105" s="325"/>
      <c r="J105" s="326"/>
      <c r="K105" s="16"/>
    </row>
    <row r="106" spans="1:11" s="3" customFormat="1" ht="18.75" customHeight="1" x14ac:dyDescent="0.15">
      <c r="A106" s="1"/>
      <c r="B106" s="324"/>
      <c r="C106" s="325"/>
      <c r="D106" s="325"/>
      <c r="E106" s="325"/>
      <c r="F106" s="325"/>
      <c r="G106" s="325"/>
      <c r="H106" s="325"/>
      <c r="I106" s="325"/>
      <c r="J106" s="326"/>
      <c r="K106" s="16"/>
    </row>
    <row r="107" spans="1:11" ht="18.75" customHeight="1" x14ac:dyDescent="0.15">
      <c r="A107" s="20"/>
      <c r="B107" s="324"/>
      <c r="C107" s="325"/>
      <c r="D107" s="325"/>
      <c r="E107" s="325"/>
      <c r="F107" s="325"/>
      <c r="G107" s="325"/>
      <c r="H107" s="325"/>
      <c r="I107" s="325"/>
      <c r="J107" s="326"/>
    </row>
    <row r="108" spans="1:11" ht="18.75" customHeight="1" x14ac:dyDescent="0.15">
      <c r="A108" s="20"/>
      <c r="B108" s="327"/>
      <c r="C108" s="328"/>
      <c r="D108" s="328"/>
      <c r="E108" s="328"/>
      <c r="F108" s="328"/>
      <c r="G108" s="328"/>
      <c r="H108" s="328"/>
      <c r="I108" s="328"/>
      <c r="J108" s="329"/>
    </row>
    <row r="109" spans="1:11" ht="7.5" customHeight="1" x14ac:dyDescent="0.15">
      <c r="A109" s="20"/>
      <c r="B109" s="20"/>
      <c r="C109" s="20"/>
      <c r="D109" s="20"/>
      <c r="E109" s="20"/>
      <c r="F109" s="20"/>
      <c r="G109" s="20"/>
      <c r="H109" s="20"/>
      <c r="I109" s="20"/>
      <c r="J109" s="20"/>
    </row>
    <row r="110" spans="1:11" s="3" customFormat="1" ht="18.75" customHeight="1" x14ac:dyDescent="0.15">
      <c r="A110" s="1" t="s">
        <v>23</v>
      </c>
      <c r="B110" s="330" t="s">
        <v>202</v>
      </c>
      <c r="C110" s="330"/>
      <c r="D110" s="330"/>
      <c r="E110" s="330"/>
      <c r="F110" s="330"/>
      <c r="G110" s="330"/>
      <c r="H110" s="330"/>
      <c r="I110" s="330"/>
      <c r="J110" s="330"/>
      <c r="K110" s="16"/>
    </row>
    <row r="111" spans="1:11" ht="18.75" customHeight="1" x14ac:dyDescent="0.15">
      <c r="A111" s="20"/>
      <c r="B111" s="303" t="s">
        <v>203</v>
      </c>
      <c r="C111" s="313"/>
      <c r="D111" s="313"/>
      <c r="E111" s="313"/>
      <c r="F111" s="313"/>
      <c r="G111" s="313"/>
      <c r="H111" s="313"/>
      <c r="I111" s="314"/>
      <c r="J111" s="315"/>
    </row>
    <row r="112" spans="1:11" ht="18.75" customHeight="1" x14ac:dyDescent="0.15">
      <c r="A112" s="20"/>
      <c r="B112" s="316"/>
      <c r="C112" s="317"/>
      <c r="D112" s="317"/>
      <c r="E112" s="317"/>
      <c r="F112" s="317"/>
      <c r="G112" s="317"/>
      <c r="H112" s="317"/>
      <c r="I112" s="317"/>
      <c r="J112" s="318"/>
    </row>
    <row r="113" spans="1:11" ht="18.75" customHeight="1" x14ac:dyDescent="0.15">
      <c r="A113" s="20"/>
      <c r="B113" s="316"/>
      <c r="C113" s="317"/>
      <c r="D113" s="317"/>
      <c r="E113" s="317"/>
      <c r="F113" s="317"/>
      <c r="G113" s="317"/>
      <c r="H113" s="317"/>
      <c r="I113" s="317"/>
      <c r="J113" s="318"/>
      <c r="K113" s="16" t="str">
        <f>IF(B111="","入力してください","")</f>
        <v/>
      </c>
    </row>
    <row r="114" spans="1:11" ht="18.75" customHeight="1" x14ac:dyDescent="0.15">
      <c r="A114" s="20"/>
      <c r="B114" s="316"/>
      <c r="C114" s="317"/>
      <c r="D114" s="317"/>
      <c r="E114" s="317"/>
      <c r="F114" s="317"/>
      <c r="G114" s="317"/>
      <c r="H114" s="317"/>
      <c r="I114" s="317"/>
      <c r="J114" s="318"/>
    </row>
    <row r="115" spans="1:11" ht="18.75" customHeight="1" x14ac:dyDescent="0.15">
      <c r="A115" s="20"/>
      <c r="B115" s="316"/>
      <c r="C115" s="317"/>
      <c r="D115" s="317"/>
      <c r="E115" s="317"/>
      <c r="F115" s="317"/>
      <c r="G115" s="317"/>
      <c r="H115" s="317"/>
      <c r="I115" s="317"/>
      <c r="J115" s="318"/>
    </row>
    <row r="116" spans="1:11" ht="18.75" customHeight="1" x14ac:dyDescent="0.15">
      <c r="A116" s="20"/>
      <c r="B116" s="316"/>
      <c r="C116" s="317"/>
      <c r="D116" s="317"/>
      <c r="E116" s="317"/>
      <c r="F116" s="317"/>
      <c r="G116" s="317"/>
      <c r="H116" s="317"/>
      <c r="I116" s="317"/>
      <c r="J116" s="318"/>
    </row>
    <row r="117" spans="1:11" ht="18.75" customHeight="1" x14ac:dyDescent="0.15">
      <c r="A117" s="20"/>
      <c r="B117" s="316"/>
      <c r="C117" s="317"/>
      <c r="D117" s="317"/>
      <c r="E117" s="317"/>
      <c r="F117" s="317"/>
      <c r="G117" s="317"/>
      <c r="H117" s="317"/>
      <c r="I117" s="317"/>
      <c r="J117" s="318"/>
    </row>
    <row r="118" spans="1:11" ht="18.75" customHeight="1" x14ac:dyDescent="0.15">
      <c r="A118" s="20"/>
      <c r="B118" s="316"/>
      <c r="C118" s="317"/>
      <c r="D118" s="317"/>
      <c r="E118" s="317"/>
      <c r="F118" s="317"/>
      <c r="G118" s="317"/>
      <c r="H118" s="317"/>
      <c r="I118" s="317"/>
      <c r="J118" s="318"/>
    </row>
    <row r="119" spans="1:11" ht="18.75" customHeight="1" x14ac:dyDescent="0.15">
      <c r="A119" s="20"/>
      <c r="B119" s="316"/>
      <c r="C119" s="317"/>
      <c r="D119" s="317"/>
      <c r="E119" s="317"/>
      <c r="F119" s="317"/>
      <c r="G119" s="317"/>
      <c r="H119" s="317"/>
      <c r="I119" s="317"/>
      <c r="J119" s="318"/>
    </row>
    <row r="120" spans="1:11" ht="18.75" customHeight="1" x14ac:dyDescent="0.15">
      <c r="A120" s="20"/>
      <c r="B120" s="316"/>
      <c r="C120" s="317"/>
      <c r="D120" s="317"/>
      <c r="E120" s="317"/>
      <c r="F120" s="317"/>
      <c r="G120" s="317"/>
      <c r="H120" s="317"/>
      <c r="I120" s="317"/>
      <c r="J120" s="318"/>
    </row>
    <row r="121" spans="1:11" ht="18.75" customHeight="1" x14ac:dyDescent="0.15">
      <c r="A121" s="20"/>
      <c r="B121" s="316"/>
      <c r="C121" s="317"/>
      <c r="D121" s="317"/>
      <c r="E121" s="317"/>
      <c r="F121" s="317"/>
      <c r="G121" s="317"/>
      <c r="H121" s="317"/>
      <c r="I121" s="317"/>
      <c r="J121" s="318"/>
    </row>
    <row r="122" spans="1:11" ht="18.75" customHeight="1" x14ac:dyDescent="0.15">
      <c r="A122" s="20"/>
      <c r="B122" s="316"/>
      <c r="C122" s="317"/>
      <c r="D122" s="317"/>
      <c r="E122" s="317"/>
      <c r="F122" s="317"/>
      <c r="G122" s="317"/>
      <c r="H122" s="317"/>
      <c r="I122" s="317"/>
      <c r="J122" s="318"/>
    </row>
    <row r="123" spans="1:11" ht="18.75" customHeight="1" x14ac:dyDescent="0.15">
      <c r="A123" s="20"/>
      <c r="B123" s="316"/>
      <c r="C123" s="317"/>
      <c r="D123" s="317"/>
      <c r="E123" s="317"/>
      <c r="F123" s="317"/>
      <c r="G123" s="317"/>
      <c r="H123" s="317"/>
      <c r="I123" s="317"/>
      <c r="J123" s="318"/>
    </row>
    <row r="124" spans="1:11" ht="18.75" customHeight="1" x14ac:dyDescent="0.15">
      <c r="A124" s="20"/>
      <c r="B124" s="316"/>
      <c r="C124" s="317"/>
      <c r="D124" s="317"/>
      <c r="E124" s="317"/>
      <c r="F124" s="317"/>
      <c r="G124" s="317"/>
      <c r="H124" s="317"/>
      <c r="I124" s="317"/>
      <c r="J124" s="318"/>
    </row>
    <row r="125" spans="1:11" ht="18.75" customHeight="1" x14ac:dyDescent="0.15">
      <c r="A125" s="20"/>
      <c r="B125" s="316"/>
      <c r="C125" s="317"/>
      <c r="D125" s="317"/>
      <c r="E125" s="317"/>
      <c r="F125" s="317"/>
      <c r="G125" s="317"/>
      <c r="H125" s="317"/>
      <c r="I125" s="317"/>
      <c r="J125" s="318"/>
    </row>
    <row r="126" spans="1:11" ht="18.75" customHeight="1" x14ac:dyDescent="0.15">
      <c r="A126" s="20"/>
      <c r="B126" s="316"/>
      <c r="C126" s="317"/>
      <c r="D126" s="317"/>
      <c r="E126" s="317"/>
      <c r="F126" s="317"/>
      <c r="G126" s="317"/>
      <c r="H126" s="317"/>
      <c r="I126" s="317"/>
      <c r="J126" s="318"/>
    </row>
    <row r="127" spans="1:11" ht="18.75" customHeight="1" x14ac:dyDescent="0.15">
      <c r="A127" s="20"/>
      <c r="B127" s="316"/>
      <c r="C127" s="317"/>
      <c r="D127" s="317"/>
      <c r="E127" s="317"/>
      <c r="F127" s="317"/>
      <c r="G127" s="317"/>
      <c r="H127" s="317"/>
      <c r="I127" s="317"/>
      <c r="J127" s="318"/>
    </row>
    <row r="128" spans="1:11" ht="18.75" customHeight="1" x14ac:dyDescent="0.15">
      <c r="A128" s="20"/>
      <c r="B128" s="316"/>
      <c r="C128" s="317"/>
      <c r="D128" s="317"/>
      <c r="E128" s="317"/>
      <c r="F128" s="317"/>
      <c r="G128" s="317"/>
      <c r="H128" s="317"/>
      <c r="I128" s="317"/>
      <c r="J128" s="318"/>
    </row>
    <row r="129" spans="1:10" ht="18.75" customHeight="1" x14ac:dyDescent="0.15">
      <c r="A129" s="20"/>
      <c r="B129" s="319"/>
      <c r="C129" s="320"/>
      <c r="D129" s="320"/>
      <c r="E129" s="320"/>
      <c r="F129" s="320"/>
      <c r="G129" s="320"/>
      <c r="H129" s="320"/>
      <c r="I129" s="320"/>
      <c r="J129" s="321"/>
    </row>
    <row r="130" spans="1:10" ht="7.5" customHeight="1" x14ac:dyDescent="0.15">
      <c r="A130" s="20"/>
      <c r="B130" s="74"/>
      <c r="C130" s="74"/>
      <c r="D130" s="74"/>
      <c r="E130" s="74"/>
      <c r="F130" s="74"/>
      <c r="G130" s="74"/>
      <c r="H130" s="74"/>
      <c r="I130" s="74"/>
      <c r="J130" s="74"/>
    </row>
    <row r="131" spans="1:10" ht="18.75" customHeight="1" x14ac:dyDescent="0.15">
      <c r="A131" s="20"/>
      <c r="B131" s="20"/>
      <c r="C131" s="20"/>
      <c r="D131" s="20"/>
      <c r="E131" s="20"/>
      <c r="F131" s="20"/>
      <c r="G131" s="20"/>
      <c r="H131" s="20"/>
      <c r="I131" s="20"/>
      <c r="J131" s="20"/>
    </row>
    <row r="132" spans="1:10" ht="18.75" customHeight="1" x14ac:dyDescent="0.15">
      <c r="A132" s="20"/>
      <c r="B132" s="20"/>
      <c r="C132" s="20"/>
      <c r="D132" s="20"/>
      <c r="E132" s="20"/>
      <c r="F132" s="20"/>
      <c r="G132" s="20"/>
      <c r="H132" s="20"/>
      <c r="I132" s="20"/>
      <c r="J132" s="20"/>
    </row>
    <row r="133" spans="1:10" ht="18.75" customHeight="1" x14ac:dyDescent="0.15">
      <c r="A133" s="20"/>
      <c r="B133" s="20"/>
      <c r="C133" s="20"/>
      <c r="D133" s="20"/>
      <c r="E133" s="20"/>
      <c r="F133" s="20"/>
      <c r="G133" s="20"/>
      <c r="H133" s="20"/>
      <c r="I133" s="20"/>
      <c r="J133" s="20"/>
    </row>
    <row r="134" spans="1:10" ht="18.75" customHeight="1" x14ac:dyDescent="0.15">
      <c r="A134" s="20"/>
      <c r="B134" s="20"/>
      <c r="C134" s="20"/>
      <c r="D134" s="20"/>
      <c r="E134" s="20"/>
      <c r="F134" s="20"/>
      <c r="G134" s="20"/>
      <c r="H134" s="20"/>
      <c r="I134" s="20"/>
      <c r="J134" s="20"/>
    </row>
    <row r="135" spans="1:10" ht="18.75" customHeight="1" x14ac:dyDescent="0.15">
      <c r="A135" s="20"/>
      <c r="B135" s="20"/>
      <c r="C135" s="20"/>
      <c r="D135" s="20"/>
      <c r="E135" s="20"/>
      <c r="F135" s="20"/>
      <c r="G135" s="20"/>
      <c r="H135" s="20"/>
      <c r="I135" s="20"/>
      <c r="J135" s="20"/>
    </row>
    <row r="136" spans="1:10" ht="18.75" customHeight="1" x14ac:dyDescent="0.15">
      <c r="A136" s="20"/>
      <c r="B136" s="20"/>
      <c r="C136" s="20"/>
      <c r="D136" s="20"/>
      <c r="E136" s="20"/>
      <c r="F136" s="20"/>
      <c r="G136" s="20"/>
      <c r="H136" s="20"/>
      <c r="I136" s="20"/>
      <c r="J136" s="20"/>
    </row>
    <row r="137" spans="1:10" ht="18.75" customHeight="1" x14ac:dyDescent="0.15">
      <c r="A137" s="20"/>
      <c r="B137" s="20"/>
      <c r="C137" s="20"/>
      <c r="D137" s="20"/>
      <c r="E137" s="20"/>
      <c r="F137" s="20"/>
      <c r="G137" s="20"/>
      <c r="H137" s="20"/>
      <c r="I137" s="20"/>
      <c r="J137" s="20"/>
    </row>
    <row r="138" spans="1:10" ht="18.75" customHeight="1" x14ac:dyDescent="0.15">
      <c r="A138" s="20"/>
      <c r="B138" s="20"/>
      <c r="C138" s="20"/>
      <c r="D138" s="20"/>
      <c r="E138" s="20"/>
      <c r="F138" s="20"/>
      <c r="G138" s="20"/>
      <c r="H138" s="20"/>
      <c r="I138" s="20"/>
      <c r="J138" s="20"/>
    </row>
    <row r="139" spans="1:10" ht="18.75" customHeight="1" x14ac:dyDescent="0.15">
      <c r="A139" s="20"/>
      <c r="B139" s="20"/>
      <c r="C139" s="20"/>
      <c r="D139" s="20"/>
      <c r="E139" s="20"/>
      <c r="F139" s="20"/>
      <c r="G139" s="20"/>
      <c r="H139" s="20"/>
      <c r="I139" s="20"/>
      <c r="J139" s="20"/>
    </row>
    <row r="140" spans="1:10" ht="18.75" customHeight="1" x14ac:dyDescent="0.15">
      <c r="A140" s="20"/>
      <c r="B140" s="20"/>
      <c r="C140" s="20"/>
      <c r="D140" s="20"/>
      <c r="E140" s="20"/>
      <c r="F140" s="20"/>
      <c r="G140" s="20"/>
      <c r="H140" s="20"/>
      <c r="I140" s="20"/>
      <c r="J140" s="20"/>
    </row>
    <row r="141" spans="1:10" ht="18.75" customHeight="1" x14ac:dyDescent="0.15">
      <c r="A141" s="20"/>
      <c r="B141" s="20"/>
      <c r="C141" s="20"/>
      <c r="D141" s="20"/>
      <c r="E141" s="20"/>
      <c r="F141" s="20"/>
      <c r="G141" s="20"/>
      <c r="H141" s="20"/>
      <c r="I141" s="20"/>
      <c r="J141" s="20"/>
    </row>
    <row r="142" spans="1:10" ht="18.75" customHeight="1" x14ac:dyDescent="0.15">
      <c r="A142" s="20"/>
      <c r="B142" s="20"/>
      <c r="C142" s="20"/>
      <c r="D142" s="20"/>
      <c r="E142" s="20"/>
      <c r="F142" s="20"/>
      <c r="G142" s="20"/>
      <c r="H142" s="20"/>
      <c r="I142" s="20"/>
      <c r="J142" s="20"/>
    </row>
    <row r="143" spans="1:10" ht="14.25" x14ac:dyDescent="0.15">
      <c r="A143" s="20"/>
      <c r="B143" s="20"/>
      <c r="C143" s="20"/>
      <c r="D143" s="20"/>
      <c r="E143" s="20"/>
      <c r="F143" s="20"/>
      <c r="G143" s="20"/>
      <c r="H143" s="20"/>
      <c r="I143" s="20"/>
      <c r="J143" s="20"/>
    </row>
    <row r="144" spans="1:10" ht="7.5" customHeight="1" x14ac:dyDescent="0.15">
      <c r="A144" s="75"/>
      <c r="B144" s="75"/>
      <c r="C144" s="75"/>
      <c r="D144" s="75"/>
      <c r="E144" s="75"/>
      <c r="F144" s="75"/>
      <c r="G144" s="75"/>
      <c r="H144" s="75"/>
      <c r="I144" s="75"/>
      <c r="J144" s="7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G19" sqref="G19"/>
    </sheetView>
  </sheetViews>
  <sheetFormatPr defaultColWidth="11.375" defaultRowHeight="22.5" customHeight="1" x14ac:dyDescent="0.15"/>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16" customWidth="1"/>
    <col min="12" max="16384" width="11.375" style="1"/>
  </cols>
  <sheetData>
    <row r="1" spans="1:11" ht="18.75" customHeight="1" x14ac:dyDescent="0.15">
      <c r="A1" s="1" t="s">
        <v>204</v>
      </c>
      <c r="J1" s="22" t="s">
        <v>205</v>
      </c>
    </row>
    <row r="2" spans="1:11" ht="18.75" customHeight="1" x14ac:dyDescent="0.15">
      <c r="A2" s="287" t="s">
        <v>206</v>
      </c>
      <c r="B2" s="287"/>
      <c r="C2" s="287"/>
      <c r="D2" s="287"/>
      <c r="E2" s="287"/>
      <c r="F2" s="287"/>
      <c r="G2" s="287"/>
      <c r="H2" s="287"/>
      <c r="I2" s="287"/>
      <c r="J2" s="287"/>
    </row>
    <row r="3" spans="1:11" ht="7.5" customHeight="1" x14ac:dyDescent="0.15">
      <c r="A3" s="23"/>
      <c r="B3" s="23"/>
      <c r="C3" s="23"/>
      <c r="D3" s="23"/>
      <c r="E3" s="23"/>
      <c r="F3" s="23"/>
      <c r="G3" s="23"/>
      <c r="H3" s="23"/>
      <c r="I3" s="23"/>
      <c r="J3" s="23"/>
    </row>
    <row r="4" spans="1:11" ht="18.75" customHeight="1" x14ac:dyDescent="0.15">
      <c r="A4" s="7" t="s">
        <v>2</v>
      </c>
      <c r="B4" s="7" t="s">
        <v>207</v>
      </c>
      <c r="C4" s="94"/>
      <c r="D4" s="94"/>
      <c r="E4" s="94"/>
      <c r="F4" s="94"/>
      <c r="G4" s="94"/>
      <c r="H4" s="94"/>
      <c r="I4" s="94"/>
      <c r="J4" s="94"/>
      <c r="K4" s="7"/>
    </row>
    <row r="5" spans="1:11" ht="18.75" customHeight="1" x14ac:dyDescent="0.15">
      <c r="A5" s="7"/>
      <c r="B5" s="152" t="s">
        <v>208</v>
      </c>
      <c r="C5" s="180"/>
      <c r="D5" s="153"/>
      <c r="E5" s="180" t="s">
        <v>209</v>
      </c>
      <c r="F5" s="180"/>
      <c r="G5" s="180"/>
      <c r="H5" s="180"/>
      <c r="I5" s="180"/>
      <c r="J5" s="153"/>
      <c r="K5" s="7"/>
    </row>
    <row r="6" spans="1:11" ht="18.75" customHeight="1" x14ac:dyDescent="0.15">
      <c r="A6" s="7"/>
      <c r="B6" s="9" t="s">
        <v>210</v>
      </c>
      <c r="C6" s="94"/>
      <c r="D6" s="95"/>
      <c r="E6" s="7"/>
      <c r="F6" s="7"/>
      <c r="G6" s="7"/>
      <c r="H6" s="7"/>
      <c r="I6" s="94"/>
      <c r="J6" s="95"/>
      <c r="K6" s="7"/>
    </row>
    <row r="7" spans="1:11" ht="207" customHeight="1" x14ac:dyDescent="0.15">
      <c r="A7" s="7"/>
      <c r="B7" s="96"/>
      <c r="C7" s="345" t="s">
        <v>211</v>
      </c>
      <c r="D7" s="346"/>
      <c r="E7" s="351" t="s">
        <v>212</v>
      </c>
      <c r="F7" s="347"/>
      <c r="G7" s="347"/>
      <c r="H7" s="347"/>
      <c r="I7" s="347"/>
      <c r="J7" s="348"/>
      <c r="K7" s="7" t="str">
        <f>IF(E7="","入力してください","")</f>
        <v/>
      </c>
    </row>
    <row r="8" spans="1:11" ht="207" customHeight="1" x14ac:dyDescent="0.15">
      <c r="A8" s="7"/>
      <c r="B8" s="96"/>
      <c r="C8" s="352" t="s">
        <v>213</v>
      </c>
      <c r="D8" s="353"/>
      <c r="E8" s="351" t="s">
        <v>214</v>
      </c>
      <c r="F8" s="347"/>
      <c r="G8" s="347"/>
      <c r="H8" s="347"/>
      <c r="I8" s="347"/>
      <c r="J8" s="348"/>
      <c r="K8" s="7" t="str">
        <f>IF(E8="","入力してください","")</f>
        <v/>
      </c>
    </row>
    <row r="9" spans="1:11" ht="172.5" customHeight="1" x14ac:dyDescent="0.15">
      <c r="A9" s="7"/>
      <c r="B9" s="96"/>
      <c r="C9" s="345" t="s">
        <v>215</v>
      </c>
      <c r="D9" s="346"/>
      <c r="E9" s="351" t="s">
        <v>216</v>
      </c>
      <c r="F9" s="347"/>
      <c r="G9" s="347"/>
      <c r="H9" s="347"/>
      <c r="I9" s="347"/>
      <c r="J9" s="348"/>
      <c r="K9" s="7" t="str">
        <f>IF(E9="","入力してください","")</f>
        <v/>
      </c>
    </row>
    <row r="10" spans="1:11" ht="172.5" customHeight="1" x14ac:dyDescent="0.15">
      <c r="A10" s="7"/>
      <c r="B10" s="96"/>
      <c r="C10" s="345" t="s">
        <v>217</v>
      </c>
      <c r="D10" s="346"/>
      <c r="E10" s="351" t="s">
        <v>218</v>
      </c>
      <c r="F10" s="347"/>
      <c r="G10" s="347"/>
      <c r="H10" s="347"/>
      <c r="I10" s="347"/>
      <c r="J10" s="348"/>
      <c r="K10" s="7" t="str">
        <f t="shared" ref="K10:K14" si="0">IF(E10="","入力してください","")</f>
        <v/>
      </c>
    </row>
    <row r="11" spans="1:11" ht="172.5" customHeight="1" x14ac:dyDescent="0.15">
      <c r="A11" s="7"/>
      <c r="B11" s="96"/>
      <c r="C11" s="345" t="s">
        <v>219</v>
      </c>
      <c r="D11" s="346"/>
      <c r="E11" s="351" t="s">
        <v>220</v>
      </c>
      <c r="F11" s="347"/>
      <c r="G11" s="347"/>
      <c r="H11" s="347"/>
      <c r="I11" s="347"/>
      <c r="J11" s="348"/>
      <c r="K11" s="7" t="str">
        <f t="shared" si="0"/>
        <v/>
      </c>
    </row>
    <row r="12" spans="1:11" ht="18.75" customHeight="1" x14ac:dyDescent="0.15">
      <c r="A12" s="7"/>
      <c r="B12" s="97" t="s">
        <v>221</v>
      </c>
      <c r="C12" s="98"/>
      <c r="D12" s="99"/>
      <c r="E12" s="100"/>
      <c r="F12" s="100"/>
      <c r="G12" s="100"/>
      <c r="H12" s="100"/>
      <c r="I12" s="100"/>
      <c r="J12" s="101"/>
      <c r="K12" s="7"/>
    </row>
    <row r="13" spans="1:11" ht="244.35" customHeight="1" x14ac:dyDescent="0.15">
      <c r="A13" s="7"/>
      <c r="B13" s="96"/>
      <c r="C13" s="345" t="s">
        <v>222</v>
      </c>
      <c r="D13" s="346"/>
      <c r="E13" s="347" t="s">
        <v>223</v>
      </c>
      <c r="F13" s="347"/>
      <c r="G13" s="347"/>
      <c r="H13" s="347"/>
      <c r="I13" s="347"/>
      <c r="J13" s="348"/>
      <c r="K13" s="7" t="str">
        <f t="shared" si="0"/>
        <v/>
      </c>
    </row>
    <row r="14" spans="1:11" ht="255" customHeight="1" x14ac:dyDescent="0.15">
      <c r="A14" s="7"/>
      <c r="B14" s="96"/>
      <c r="C14" s="345" t="s">
        <v>224</v>
      </c>
      <c r="D14" s="346"/>
      <c r="E14" s="347" t="s">
        <v>225</v>
      </c>
      <c r="F14" s="347"/>
      <c r="G14" s="347"/>
      <c r="H14" s="347"/>
      <c r="I14" s="347"/>
      <c r="J14" s="348"/>
      <c r="K14" s="7" t="str">
        <f t="shared" si="0"/>
        <v/>
      </c>
    </row>
    <row r="15" spans="1:11" ht="243" customHeight="1" x14ac:dyDescent="0.15">
      <c r="A15" s="7"/>
      <c r="B15" s="349" t="s">
        <v>226</v>
      </c>
      <c r="C15" s="350"/>
      <c r="D15" s="346"/>
      <c r="E15" s="347" t="s">
        <v>227</v>
      </c>
      <c r="F15" s="347"/>
      <c r="G15" s="347"/>
      <c r="H15" s="347"/>
      <c r="I15" s="347"/>
      <c r="J15" s="348"/>
      <c r="K15" s="7" t="str">
        <f>IF(E15="","入力してください","")</f>
        <v/>
      </c>
    </row>
    <row r="16" spans="1:11" ht="243" customHeight="1" x14ac:dyDescent="0.15">
      <c r="A16" s="7"/>
      <c r="B16" s="337" t="s">
        <v>228</v>
      </c>
      <c r="C16" s="338"/>
      <c r="D16" s="339"/>
      <c r="E16" s="340" t="s">
        <v>229</v>
      </c>
      <c r="F16" s="340"/>
      <c r="G16" s="340"/>
      <c r="H16" s="340"/>
      <c r="I16" s="340"/>
      <c r="J16" s="341"/>
      <c r="K16" s="7" t="str">
        <f>IF(E16="","入力してください","")</f>
        <v/>
      </c>
    </row>
    <row r="17" spans="1:11" ht="7.5" customHeight="1" x14ac:dyDescent="0.15">
      <c r="B17" s="20"/>
      <c r="C17" s="20"/>
      <c r="D17" s="20"/>
      <c r="E17" s="21"/>
      <c r="F17" s="21"/>
      <c r="G17" s="21"/>
      <c r="H17" s="21"/>
      <c r="I17" s="21"/>
      <c r="J17" s="21"/>
    </row>
    <row r="18" spans="1:11" ht="18.75" customHeight="1" x14ac:dyDescent="0.15">
      <c r="A18" s="1" t="s">
        <v>230</v>
      </c>
      <c r="B18" s="3"/>
      <c r="C18" s="20"/>
      <c r="D18" s="20"/>
      <c r="E18" s="21"/>
      <c r="F18" s="70"/>
      <c r="G18" s="342" t="s">
        <v>237</v>
      </c>
      <c r="H18" s="343"/>
      <c r="I18" s="343"/>
      <c r="J18" s="344"/>
      <c r="K18" s="16" t="str">
        <f>IF(G18="","入力してください","")</f>
        <v/>
      </c>
    </row>
    <row r="19" spans="1:11" ht="22.5" customHeight="1" x14ac:dyDescent="0.15">
      <c r="B19" s="20"/>
      <c r="C19" s="20"/>
      <c r="D19" s="20"/>
      <c r="E19" s="21"/>
      <c r="F19" s="21"/>
      <c r="G19" s="21"/>
      <c r="H19" s="21"/>
      <c r="I19" s="21"/>
      <c r="J19" s="21"/>
    </row>
    <row r="20" spans="1:11" ht="22.5" customHeight="1" x14ac:dyDescent="0.15">
      <c r="B20" s="20"/>
      <c r="C20" s="20"/>
      <c r="D20" s="20"/>
      <c r="E20" s="21"/>
      <c r="F20" s="21"/>
      <c r="G20" s="21"/>
      <c r="H20" s="21"/>
      <c r="I20" s="21"/>
      <c r="J20" s="21"/>
    </row>
    <row r="21" spans="1:11" ht="22.5" customHeight="1" x14ac:dyDescent="0.15">
      <c r="B21" s="20"/>
      <c r="C21" s="20"/>
      <c r="D21" s="20"/>
      <c r="E21" s="21"/>
      <c r="F21" s="21"/>
      <c r="G21" s="21"/>
      <c r="H21" s="21"/>
      <c r="I21" s="21"/>
      <c r="J21" s="21"/>
    </row>
    <row r="22" spans="1:11" ht="22.5" customHeight="1" x14ac:dyDescent="0.15">
      <c r="B22" s="20"/>
      <c r="C22" s="20"/>
      <c r="D22" s="20"/>
      <c r="E22" s="21"/>
      <c r="F22" s="21"/>
      <c r="G22" s="21"/>
      <c r="H22" s="21"/>
      <c r="I22" s="21"/>
      <c r="J22" s="21"/>
    </row>
    <row r="23" spans="1:11" ht="22.5" customHeight="1" x14ac:dyDescent="0.15">
      <c r="B23" s="20"/>
      <c r="C23" s="20"/>
      <c r="D23" s="20"/>
      <c r="E23" s="21"/>
      <c r="F23" s="21"/>
      <c r="G23" s="21"/>
      <c r="H23" s="21"/>
      <c r="I23" s="21"/>
      <c r="J23" s="21"/>
    </row>
    <row r="24" spans="1:11" ht="22.5" customHeight="1" x14ac:dyDescent="0.15">
      <c r="B24" s="76"/>
      <c r="C24" s="76"/>
      <c r="D24" s="76"/>
      <c r="E24" s="76"/>
      <c r="F24" s="76"/>
      <c r="G24" s="76"/>
      <c r="H24" s="76"/>
      <c r="I24" s="76"/>
      <c r="J24" s="76"/>
    </row>
    <row r="25" spans="1:11" ht="22.5" customHeight="1" x14ac:dyDescent="0.15">
      <c r="B25" s="76"/>
      <c r="C25" s="76"/>
      <c r="D25" s="76"/>
      <c r="E25" s="76"/>
      <c r="F25" s="76"/>
      <c r="G25" s="76"/>
      <c r="H25" s="76"/>
      <c r="I25" s="76"/>
      <c r="J25" s="76"/>
    </row>
    <row r="26" spans="1:11" ht="22.5" customHeight="1" x14ac:dyDescent="0.15">
      <c r="B26" s="76"/>
      <c r="C26" s="76"/>
      <c r="D26" s="76"/>
      <c r="E26" s="76"/>
      <c r="F26" s="76"/>
      <c r="G26" s="76"/>
      <c r="H26" s="76"/>
      <c r="I26" s="76"/>
      <c r="J26" s="7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56554CA9939E743AFA9A584AA41A35D" ma:contentTypeVersion="2" ma:contentTypeDescription="新しいドキュメントを作成します。" ma:contentTypeScope="" ma:versionID="7167ea0707e67ea1f090b2ce892ed5b5">
  <xsd:schema xmlns:xsd="http://www.w3.org/2001/XMLSchema" xmlns:xs="http://www.w3.org/2001/XMLSchema" xmlns:p="http://schemas.microsoft.com/office/2006/metadata/properties" xmlns:ns2="7ab8dacf-efb4-4e41-ae6c-1484657b756d" targetNamespace="http://schemas.microsoft.com/office/2006/metadata/properties" ma:root="true" ma:fieldsID="41f141fb6db751b5a87b26c5abef7780" ns2:_="">
    <xsd:import namespace="7ab8dacf-efb4-4e41-ae6c-1484657b756d"/>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b8dacf-efb4-4e41-ae6c-1484657b75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C20A44-40C4-4339-8375-F642B329CEA5}">
  <ds:schemaRefs>
    <ds:schemaRef ds:uri="7ab8dacf-efb4-4e41-ae6c-1484657b756d"/>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2FC39D15-8AD3-48DE-92F2-D7E4C36CEC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b8dacf-efb4-4e41-ae6c-1484657b75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D09209-F176-42A1-8DE5-BB1E866D1E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vt:lpstr>
      <vt:lpstr>様式２　プログラムを構成する授業科目 (2)</vt:lpstr>
      <vt:lpstr>様式２　プログラムを構成する授業科目 (3)</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'様式２　プログラムを構成する授業科目 (2)'!Print_Area</vt:lpstr>
      <vt:lpstr>'様式２　プログラムを構成する授業科目 (3)'!Print_Area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学務係</cp:lastModifiedBy>
  <cp:revision/>
  <cp:lastPrinted>2022-05-19T03:42:02Z</cp:lastPrinted>
  <dcterms:created xsi:type="dcterms:W3CDTF">2011-06-14T05:32:50Z</dcterms:created>
  <dcterms:modified xsi:type="dcterms:W3CDTF">2022-07-15T00:18:45Z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0x010100756554CA9939E743AFA9A584AA41A35D</vt:lpwstr>
  </property>
</Properties>
</file>