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18"/>
  <workbookPr defaultThemeVersion="124226"/>
  <mc:AlternateContent xmlns:mc="http://schemas.openxmlformats.org/markup-compatibility/2006">
    <mc:Choice Requires="x15">
      <x15ac:absPath xmlns:x15ac="http://schemas.microsoft.com/office/spreadsheetml/2010/11/ac" url="Z:\00 委員会等会議資料\●数理データサイエンス\認定プログラム申請書類\リテラシーレベル\申請書類一式（R4.5修正_申請版）\"/>
    </mc:Choice>
  </mc:AlternateContent>
  <xr:revisionPtr revIDLastSave="0" documentId="11_2EEC5CBE65241DC8D96A8532E7D6BD21BE4C1DAF" xr6:coauthVersionLast="47" xr6:coauthVersionMax="47" xr10:uidLastSave="{00000000-0000-0000-0000-000000000000}"/>
  <bookViews>
    <workbookView xWindow="0" yWindow="0" windowWidth="21810" windowHeight="12120" tabRatio="885" firstSheet="1" activeTab="1"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31" i="41" l="1"/>
  <c r="K15" i="41" l="1"/>
  <c r="K18" i="42" l="1"/>
  <c r="K16" i="42"/>
  <c r="K15" i="42"/>
  <c r="K9" i="42"/>
  <c r="K8" i="42"/>
  <c r="K7" i="42"/>
  <c r="K113" i="41"/>
  <c r="K91" i="41"/>
  <c r="K69" i="41"/>
  <c r="K46"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R10" i="40"/>
</calcChain>
</file>

<file path=xl/sharedStrings.xml><?xml version="1.0" encoding="utf-8"?>
<sst xmlns="http://schemas.openxmlformats.org/spreadsheetml/2006/main" count="345" uniqueCount="218">
  <si>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</si>
  <si>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</si>
  <si>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</si>
  <si>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</si>
  <si>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弘前大学</t>
    <rPh sb="0" eb="4">
      <t>ヒロサキダイガク</t>
    </rPh>
    <phoneticPr fontId="1"/>
  </si>
  <si>
    <t>②</t>
    <phoneticPr fontId="1"/>
  </si>
  <si>
    <t>大学等の設置者</t>
  </si>
  <si>
    <t>国立大学法人弘前大学</t>
    <rPh sb="0" eb="2">
      <t>コクリツ</t>
    </rPh>
    <rPh sb="2" eb="4">
      <t>ダイガク</t>
    </rPh>
    <rPh sb="4" eb="6">
      <t>ホウジン</t>
    </rPh>
    <rPh sb="6" eb="10">
      <t>ヒロサキダイガク</t>
    </rPh>
    <phoneticPr fontId="1"/>
  </si>
  <si>
    <t>③</t>
  </si>
  <si>
    <t>設置形態</t>
    <phoneticPr fontId="1"/>
  </si>
  <si>
    <t>国立大学</t>
  </si>
  <si>
    <t>④</t>
    <phoneticPr fontId="1"/>
  </si>
  <si>
    <t>所在地</t>
    <phoneticPr fontId="1"/>
  </si>
  <si>
    <t>青森県弘前市文京町１番地</t>
    <rPh sb="0" eb="3">
      <t>アオモリケン</t>
    </rPh>
    <rPh sb="3" eb="6">
      <t>ヒロサキシ</t>
    </rPh>
    <rPh sb="6" eb="9">
      <t>ブンキョウチョウ</t>
    </rPh>
    <rPh sb="10" eb="12">
      <t>バンチ</t>
    </rPh>
    <phoneticPr fontId="1"/>
  </si>
  <si>
    <t>⑤</t>
    <phoneticPr fontId="1"/>
  </si>
  <si>
    <t>申請するプログラム名称</t>
    <rPh sb="0" eb="2">
      <t>シンセイ</t>
    </rPh>
    <rPh sb="9" eb="11">
      <t>メイショウ</t>
    </rPh>
    <phoneticPr fontId="1"/>
  </si>
  <si>
    <t>数理・データサイエンス・リテラシープログラム</t>
    <phoneticPr fontId="1"/>
  </si>
  <si>
    <t>⑥</t>
    <phoneticPr fontId="1"/>
  </si>
  <si>
    <t>プログラムの開設年度</t>
    <rPh sb="6" eb="8">
      <t>カイセツ</t>
    </rPh>
    <rPh sb="8" eb="10">
      <t>ネンド</t>
    </rPh>
    <phoneticPr fontId="1"/>
  </si>
  <si>
    <t>令和２</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</si>
  <si>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</si>
  <si>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</si>
  <si>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</si>
  <si>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</si>
  <si>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</si>
  <si>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</si>
  <si>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</si>
  <si>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</si>
  <si>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</si>
  <si>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</si>
  <si>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</si>
  <si>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</si>
  <si>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</si>
  <si>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</si>
  <si>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</si>
  <si>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</si>
  <si>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</si>
  <si>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</si>
  <si>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</si>
  <si>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</si>
  <si>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</si>
  <si>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</si>
  <si>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</si>
  <si>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</si>
  <si>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</si>
  <si>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郡　千寿子</t>
  </si>
  <si>
    <t>（役職名）</t>
    <rPh sb="1" eb="4">
      <t>ヤクショクメイ</t>
    </rPh>
    <phoneticPr fontId="1"/>
  </si>
  <si>
    <t>教育推進機構長（理事(教育担当)）</t>
  </si>
  <si>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</si>
  <si>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</si>
  <si>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教育推進機構　教養教育開発実践センター　数理・データサイエンス授業実施検討部会</t>
  </si>
  <si>
    <t>岡﨑　雅明</t>
  </si>
  <si>
    <t>教養教育開発実践センター長</t>
  </si>
  <si>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</si>
  <si>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</si>
  <si>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教育推進機構，教育推進機構会議</t>
  </si>
  <si>
    <t>⑮</t>
    <phoneticPr fontId="1"/>
  </si>
  <si>
    <t>申請する認定プログラム</t>
    <rPh sb="0" eb="2">
      <t>シンセイ</t>
    </rPh>
    <rPh sb="4" eb="6">
      <t>ニンテイ</t>
    </rPh>
    <phoneticPr fontId="1"/>
  </si>
  <si>
    <t>認定教育プログラムと認定教育プログラム+（プラス）</t>
  </si>
  <si>
    <t>連絡先</t>
  </si>
  <si>
    <t>所属部署名</t>
    <rPh sb="0" eb="2">
      <t>ショゾク</t>
    </rPh>
    <rPh sb="2" eb="4">
      <t>ブショ</t>
    </rPh>
    <rPh sb="4" eb="5">
      <t>メイ</t>
    </rPh>
    <phoneticPr fontId="1"/>
  </si>
  <si>
    <t>学務部教務課</t>
  </si>
  <si>
    <t>担当者名</t>
    <rPh sb="0" eb="2">
      <t>タントウ</t>
    </rPh>
    <rPh sb="2" eb="3">
      <t>シャ</t>
    </rPh>
    <rPh sb="3" eb="4">
      <t>メイ</t>
    </rPh>
    <phoneticPr fontId="1"/>
  </si>
  <si>
    <t>鳴海　博志</t>
    <rPh sb="0" eb="2">
      <t>ナルミ</t>
    </rPh>
    <rPh sb="3" eb="5">
      <t>ヒロシ</t>
    </rPh>
    <phoneticPr fontId="1"/>
  </si>
  <si>
    <t>E-mail</t>
  </si>
  <si>
    <t>jm3104@hirosaki-u.ac.jp</t>
    <phoneticPr fontId="1"/>
  </si>
  <si>
    <t>電話番号</t>
  </si>
  <si>
    <t>0172-39-3104</t>
  </si>
  <si>
    <t>様式２</t>
    <phoneticPr fontId="1"/>
  </si>
  <si>
    <t>プログラムを構成する授業科目について</t>
    <phoneticPr fontId="1"/>
  </si>
  <si>
    <t>①具体的な修了要件</t>
    <phoneticPr fontId="1"/>
  </si>
  <si>
    <t>②教育プログラムの修了要件</t>
    <phoneticPr fontId="1"/>
  </si>
  <si>
    <t>学部・学科によって、修了要件は相違しない</t>
  </si>
  <si>
    <t>「情報処理入門A－データサイエンス基礎」及び「地域学ゼミナール」の計４単位を修得すること。</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</si>
  <si>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</si>
  <si>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</si>
  <si>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</si>
  <si>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</si>
  <si>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</si>
  <si>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</si>
  <si>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</si>
  <si>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「情報処理入門A－データサイエンス基礎」</t>
  </si>
  <si>
    <t>○</t>
  </si>
  <si>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</si>
  <si>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</si>
  <si>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</si>
  <si>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</si>
  <si>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地域学ゼミナール</t>
    <rPh sb="0" eb="3">
      <t>チイキガク</t>
    </rPh>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</si>
  <si>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</si>
  <si>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</si>
  <si>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</si>
  <si>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</si>
  <si>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</si>
  <si>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</si>
  <si>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</si>
  <si>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</si>
  <si>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</si>
  <si>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</si>
  <si>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〇</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</si>
  <si>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</si>
  <si>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</si>
  <si>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「情報処理入門A－データサイエンス基礎」</t>
    <phoneticPr fontId="1"/>
  </si>
  <si>
    <t>4-1統計および数理基礎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</si>
  <si>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</si>
  <si>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</si>
  <si>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</si>
  <si>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</si>
  <si>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・ビッグデータ、IoT、AI、ロボット、データ量の増加、計算機の処理性能の向上、第4次産業革命、Society 5.0、データ駆動型社会、複数技術を組み合わせたAIサービス、データを起点としたものの見方「情報処理入門A－データサイエンス基礎」（第1回）</t>
    <phoneticPr fontId="1"/>
  </si>
  <si>
    <t>1-6</t>
    <phoneticPr fontId="1"/>
  </si>
  <si>
    <t>・AI等を活用した新しいビジネスモデル(シェアリングエコノミー、商品のレコメンデーションなど)「情報処理入門A－データサイエンス基礎」（第1回）</t>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</si>
  <si>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</si>
  <si>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1次データ、2次データ、データのメタ化、構造化データ、非構造化データ（文章、画像/動画、音声/音楽など）、データ作成（ビッグデータとアノテーション）、データのオープン化（オープンデータ）「情報処理入門A－データサイエンス基礎」（第2回）
・データのオープン化（オープンデータ）「地域学ゼミナール」（第5〜7回）</t>
    <rPh sb="185" eb="186">
      <t>ダイ5</t>
    </rPh>
    <rPh sb="189" eb="190">
      <t>カイ</t>
    </rPh>
    <phoneticPr fontId="1"/>
  </si>
  <si>
    <t>・データ・AI活用領域の広がり(生産、消費、文化活動など)、研究開発、調達、製造、物流、販売、マーケティング、サービスなど、仮説検証、知識発見、原因究明、計画策定、判断支援、活動代替、新規生成など「情報処理入門A－データサイエンス基礎」（第2回）</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</si>
  <si>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</si>
  <si>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シミュレーション・データ同化など、データ可視化：複合グラフ、2軸グラフ、多次元の可視化、関係性の可視化、地図上の可視化、挙動・軌跡の可視化、リアルタイム可視化など、特化型AIと汎用AI、今のAIで出来ることと出来ないこと、AIとビッグデータ、ルールベース、自動化技術「情報処理入門A－データサイエンス基礎」（第3回）</t>
    <phoneticPr fontId="1"/>
  </si>
  <si>
    <t>・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紹介「情報処理入門A－データサイエンス基礎」（第3回）</t>
    <phoneticPr fontId="1"/>
  </si>
  <si>
    <t>（４）活用に当たっての様々な留意事項（ELSI、個人情報、データ倫理、ＡＩ社会原則等）を考慮し、情報セキュリティや情報漏洩等、データを守る上での留意事項への理解をする</t>
    <phoneticPr fontId="1"/>
  </si>
  <si>
    <t>・ELSI、個人情報保護、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紹介「情報処理入門A－データサイエンス基礎」（第15回）</t>
    <phoneticPr fontId="1"/>
  </si>
  <si>
    <t>・情報セキュリティ：機密性、完全性、可用性、匿名加工情報、暗号化、パスワード、悪意ある情報搾取、情報漏洩等によるセキュリティ事故の事例紹介「情報処理入門A－データサイエンス基礎」（第15回）</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</si>
  <si>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</si>
  <si>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種類、データの分布と代表値、代表値の性質の違い、データのばらつき、層別の必要なデータ、相関と因果（相関係数、擬似相関、交絡）、母集団と標本抽出、クロス集計表、分割表、相関係数行列、散布図行列、統計情報の正しい理解「情報処理入門A－データサイエンス基礎」（第4〜8回）</t>
    <phoneticPr fontId="1"/>
  </si>
  <si>
    <r>
      <t>・データ表現（棒グラフ、折線グラフ、散布図、ヒートマップ）、データの図表表現、データの比較（条件をそろえた比較、処理の前後での比較、A/Bテスト)、不適切なグラフ表現、優れた可視化事例の紹介「情報処理入門A－データサイエンス基礎」（第4〜8回）
・データ表現</t>
    </r>
    <r>
      <rPr>
        <sz val="11"/>
        <rFont val="ＭＳ Ｐゴシック"/>
        <family val="3"/>
        <charset val="128"/>
        <scheme val="minor"/>
      </rPr>
      <t>（棒グラフ、折線グラフ、散布図、ヒートマップ）</t>
    </r>
    <r>
      <rPr>
        <sz val="12"/>
        <rFont val="ＭＳ Ｐゴシック"/>
        <family val="2"/>
        <charset val="128"/>
        <scheme val="minor"/>
      </rPr>
      <t>、データの図表表現「地域学ゼミナール」</t>
    </r>
    <r>
      <rPr>
        <sz val="11"/>
        <rFont val="ＭＳ Ｐゴシック"/>
        <family val="3"/>
        <charset val="128"/>
        <scheme val="minor"/>
      </rPr>
      <t>（第8、9回）</t>
    </r>
    <phoneticPr fontId="1"/>
  </si>
  <si>
    <t>・データの集計（和、平均）、データの並び替え、ランキング、データ解析ツール（スプレッドシート）、表形式のデータ（csv）「情報処理入門A－データサイエンス基礎」（第15回）
・データ解析ツール（スプレッドシート）「地域学ゼミナール」（第8、9回）</t>
    <phoneticPr fontId="1"/>
  </si>
  <si>
    <t>⑩プログラムの学修成果（学生等が身に付けられる能力等）</t>
    <phoneticPr fontId="1"/>
  </si>
  <si>
    <t>(1) 実世界の課題解決におけるデータサイエンスの役割を理解する。
(2) データ分析やデータ可視化の基本的な方法を理解し、実践することができる。
(3) 統計的な分析手法や機械学習に関する基本的事項を理解する。
(4) 社会の中でどのようにデータサイエンスが活用されているか述べられる。</t>
    <phoneticPr fontId="1"/>
  </si>
  <si>
    <t>⑪プログラムの授業内容等を公表しているアドレス</t>
    <phoneticPr fontId="1"/>
  </si>
  <si>
    <t>https://gkm.hirosaki-u.ac.jp/cmds/</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</si>
  <si>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</si>
  <si>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</si>
  <si>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</si>
  <si>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</si>
  <si>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</si>
  <si>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</si>
  <si>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</si>
  <si>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</si>
  <si>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</si>
  <si>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</si>
  <si>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</si>
  <si>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</si>
  <si>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</si>
  <si>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</si>
  <si>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</si>
  <si>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</si>
  <si>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</si>
  <si>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人文社会科学部</t>
  </si>
  <si>
    <t>教育学部</t>
  </si>
  <si>
    <t>医学部医学科</t>
  </si>
  <si>
    <t>医学部保健学科</t>
  </si>
  <si>
    <t>医学部心理支援科学科</t>
  </si>
  <si>
    <t>理工学部</t>
  </si>
  <si>
    <t>農学生命科学部</t>
  </si>
  <si>
    <t>※　収容定員は，医学部医学科の２年次</t>
  </si>
  <si>
    <t>　編入，医学部保健学科の３年次編入及び</t>
  </si>
  <si>
    <t>　理工学部の３年次編入を除く。</t>
  </si>
  <si>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</si>
  <si>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</si>
  <si>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</si>
  <si>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</si>
  <si>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</si>
  <si>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教養教育科目における数理・データサイエンス授業実施検討部会要項</t>
  </si>
  <si>
    <t>体制の目的</t>
    <rPh sb="0" eb="2">
      <t>タイセイ</t>
    </rPh>
    <rPh sb="3" eb="5">
      <t>モクテキ</t>
    </rPh>
    <phoneticPr fontId="1"/>
  </si>
  <si>
    <r>
      <t>AI戦略2019で標榜された、データを活用し社会の課題を発見、解決できる人材の育成を目的とする数理・データサイエンス・AI教育の全学的な普及と関連科目の整備を行うため、教育推進機構・教養教育開発実践センターの運営委員会に</t>
    </r>
    <r>
      <rPr>
        <u/>
        <sz val="12"/>
        <rFont val="ＭＳ Ｐゴシック"/>
        <family val="3"/>
        <charset val="128"/>
        <scheme val="minor"/>
      </rPr>
      <t>「数理・データサイエンス授業実施検討部会」</t>
    </r>
    <r>
      <rPr>
        <sz val="12"/>
        <rFont val="ＭＳ Ｐゴシック"/>
        <family val="3"/>
        <charset val="128"/>
        <scheme val="minor"/>
      </rPr>
      <t>を令和２年度に設置した。本部会は、教養教育における数理・データサイエンスの授業を実施するための授業内容、実施体制等の検討と本教育の検証・改善等を担う。
なお、令和４年４月には本教育に関する授業の実施、授業の内容・方法の改善、質保証等を図ることを目的として、</t>
    </r>
    <r>
      <rPr>
        <u/>
        <sz val="12"/>
        <rFont val="ＭＳ Ｐゴシック"/>
        <family val="3"/>
        <charset val="128"/>
        <scheme val="minor"/>
      </rPr>
      <t>数理・データサイエンス教育センターを設置</t>
    </r>
    <r>
      <rPr>
        <sz val="12"/>
        <rFont val="ＭＳ Ｐゴシック"/>
        <family val="3"/>
        <charset val="128"/>
        <scheme val="minor"/>
      </rPr>
      <t>し、本部会の機能は当センターに移管する予定である。</t>
    </r>
    <phoneticPr fontId="1"/>
  </si>
  <si>
    <t>③</t>
    <phoneticPr fontId="1"/>
  </si>
  <si>
    <t>具体的な構成員</t>
    <rPh sb="0" eb="3">
      <t>グタイテキ</t>
    </rPh>
    <rPh sb="4" eb="7">
      <t>コウセイイン</t>
    </rPh>
    <phoneticPr fontId="1"/>
  </si>
  <si>
    <r>
      <t>数理・データサイエンス授業実施検討部会主査</t>
    </r>
    <r>
      <rPr>
        <sz val="11"/>
        <rFont val="ＭＳ Ｐゴシック"/>
        <family val="3"/>
        <charset val="128"/>
        <scheme val="minor"/>
      </rPr>
      <t>(教養教育開発実践センター長)</t>
    </r>
    <r>
      <rPr>
        <sz val="12"/>
        <rFont val="ＭＳ Ｐゴシック"/>
        <family val="3"/>
        <charset val="128"/>
        <scheme val="minor"/>
      </rPr>
      <t>　岡﨑　雅明
人文社会科学部　教授　　 羽渕　一代
教育学部　　　　　 講師　　 蒔田　　純
医学部医学科　　 教授　　 井原　一成
医学部保健学科　教授　　 對馬　栄輝
理工学部　　　　　 教授　　 守　真太郎
農学生命科学部　准教授　森田　英嗣
教育戦略室　　　　准教授　宋　　美蘭
教育戦略室　　　　助教　   紅林　　亘
教育戦略室　　　　助教　　 徐　　貺哲
教育改革推進室　室長　   山口　大地</t>
    </r>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</si>
  <si>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</si>
  <si>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</si>
  <si>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</si>
  <si>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</si>
  <si>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</si>
  <si>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</si>
  <si>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</si>
  <si>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</si>
  <si>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r>
      <t>１．令和2年度後期に「グローバル社会・経済-データサイエンスへの招待」を、令和３年度前期に「情報処理入門Ａ－データサイエンス基礎」をそれぞれ１クラスと３クラス開講し、</t>
    </r>
    <r>
      <rPr>
        <u/>
        <sz val="12"/>
        <rFont val="ＭＳ Ｐゴシック"/>
        <family val="3"/>
        <charset val="128"/>
        <scheme val="minor"/>
      </rPr>
      <t>全学部から希望する学生約２００名が履修</t>
    </r>
    <r>
      <rPr>
        <sz val="12"/>
        <rFont val="ＭＳ Ｐゴシック"/>
        <family val="3"/>
        <charset val="128"/>
        <scheme val="minor"/>
      </rPr>
      <t>した。また、令和3年度後期に本プログラムのシラバスに基づいた</t>
    </r>
    <r>
      <rPr>
        <u/>
        <sz val="12"/>
        <rFont val="ＭＳ Ｐゴシック"/>
        <family val="3"/>
        <charset val="128"/>
        <scheme val="minor"/>
      </rPr>
      <t>「地域学ゼミナール」を1クラス開講し38名が履修</t>
    </r>
    <r>
      <rPr>
        <sz val="12"/>
        <rFont val="ＭＳ Ｐゴシック"/>
        <family val="3"/>
        <charset val="128"/>
        <scheme val="minor"/>
      </rPr>
      <t>した。
２．</t>
    </r>
    <r>
      <rPr>
        <u/>
        <sz val="12"/>
        <rFont val="ＭＳ Ｐゴシック"/>
        <family val="3"/>
        <charset val="128"/>
        <scheme val="minor"/>
      </rPr>
      <t>令和4年度より全学必修とする計画であり、同年度以降の入学者はすべて本プログラムを履修することになる。</t>
    </r>
    <r>
      <rPr>
        <sz val="12"/>
        <rFont val="ＭＳ Ｐゴシック"/>
        <family val="3"/>
        <charset val="128"/>
        <scheme val="minor"/>
      </rPr>
      <t>従って、学部・学科に関係なく全学生が受講し、令和9年度の医学部医学科学生の履修により、</t>
    </r>
    <r>
      <rPr>
        <u/>
        <sz val="12"/>
        <rFont val="ＭＳ Ｐゴシック"/>
        <family val="3"/>
        <charset val="128"/>
        <scheme val="minor"/>
      </rPr>
      <t>100％の履修率となる見込み</t>
    </r>
    <r>
      <rPr>
        <sz val="12"/>
        <rFont val="ＭＳ Ｐゴシック"/>
        <family val="3"/>
        <charset val="128"/>
        <scheme val="minor"/>
      </rPr>
      <t>である。
３．必修科目である同プログラムの単位を落とさないように、</t>
    </r>
    <r>
      <rPr>
        <u/>
        <sz val="12"/>
        <rFont val="ＭＳ Ｐゴシック"/>
        <family val="3"/>
        <charset val="128"/>
        <scheme val="minor"/>
      </rPr>
      <t>学生が所属する学部・学科の教員が出席・課題提出状況をチェックし、問題のある学生にはすぐに対応</t>
    </r>
    <r>
      <rPr>
        <sz val="12"/>
        <rFont val="ＭＳ Ｐゴシック"/>
        <family val="3"/>
        <charset val="128"/>
        <scheme val="minor"/>
      </rPr>
      <t>し、単位取得率100％を目指す。</t>
    </r>
    <rPh sb="116" eb="117">
      <t>ホン</t>
    </rPh>
    <rPh sb="128" eb="129">
      <t>モト</t>
    </rPh>
    <rPh sb="152" eb="153">
      <t>メイ</t>
    </rPh>
    <rPh sb="154" eb="156">
      <t>リシュウ</t>
    </rPh>
    <rPh sb="177" eb="179">
      <t>ケイカク</t>
    </rPh>
    <rPh sb="183" eb="186">
      <t>ドウネンド</t>
    </rPh>
    <rPh sb="186" eb="188">
      <t>イコウ</t>
    </rPh>
    <rPh sb="189" eb="192">
      <t>ニュウガクシャ</t>
    </rPh>
    <rPh sb="196" eb="197">
      <t>ホン</t>
    </rPh>
    <rPh sb="203" eb="205">
      <t>リシュウ</t>
    </rPh>
    <rPh sb="213" eb="214">
      <t>シタガ</t>
    </rPh>
    <rPh sb="217" eb="219">
      <t>ガクブ</t>
    </rPh>
    <rPh sb="220" eb="222">
      <t>ガッカ</t>
    </rPh>
    <rPh sb="223" eb="225">
      <t>カンケイ</t>
    </rPh>
    <rPh sb="227" eb="230">
      <t>ゼンガクセイ</t>
    </rPh>
    <rPh sb="231" eb="233">
      <t>ジュコウ</t>
    </rPh>
    <rPh sb="235" eb="237">
      <t>レイワ</t>
    </rPh>
    <rPh sb="238" eb="240">
      <t>ネンド</t>
    </rPh>
    <rPh sb="267" eb="269">
      <t>ミコ</t>
    </rPh>
    <rPh sb="278" eb="282">
      <t>ヒッシュウカモク</t>
    </rPh>
    <rPh sb="285" eb="286">
      <t>ドウ</t>
    </rPh>
    <rPh sb="292" eb="294">
      <t>タンイ</t>
    </rPh>
    <rPh sb="295" eb="296">
      <t>オ</t>
    </rPh>
    <rPh sb="304" eb="306">
      <t>ガクセイ</t>
    </rPh>
    <rPh sb="307" eb="309">
      <t>ショゾク</t>
    </rPh>
    <rPh sb="311" eb="313">
      <t>ガクブ</t>
    </rPh>
    <rPh sb="314" eb="316">
      <t>ガッカ</t>
    </rPh>
    <rPh sb="317" eb="319">
      <t>キョウイン</t>
    </rPh>
    <rPh sb="336" eb="338">
      <t>モンダイ</t>
    </rPh>
    <rPh sb="341" eb="343">
      <t>ガクセイ</t>
    </rPh>
    <rPh sb="348" eb="350">
      <t>タイオウ</t>
    </rPh>
    <rPh sb="352" eb="357">
      <t>タンイシュトクリツ</t>
    </rPh>
    <rPh sb="362" eb="364">
      <t>メザ</t>
    </rPh>
    <phoneticPr fontId="1"/>
  </si>
  <si>
    <t>学部・学科に関係なく希望する学生全員が受講可能となるような必要な体制・取組等</t>
    <phoneticPr fontId="1"/>
  </si>
  <si>
    <r>
      <t>１．令和2年度から授業内容を授業実施検討部会で検討・精査し、</t>
    </r>
    <r>
      <rPr>
        <u/>
        <sz val="12"/>
        <rFont val="ＭＳ Ｐゴシック"/>
        <family val="3"/>
        <charset val="128"/>
        <scheme val="minor"/>
      </rPr>
      <t>文系・理系を問わず受講可能な内容の講義を準備</t>
    </r>
    <r>
      <rPr>
        <sz val="12"/>
        <rFont val="ＭＳ Ｐゴシック"/>
        <family val="3"/>
        <charset val="128"/>
        <scheme val="minor"/>
      </rPr>
      <t>してきた。令和4年度からAI・DS教育を全学的に実施する教養教育科目「データサイエンス基礎」（1年前期2単位）「地域学ゼミナール」（1年後期2単位）を開設し、</t>
    </r>
    <r>
      <rPr>
        <u/>
        <sz val="12"/>
        <rFont val="ＭＳ Ｐゴシック"/>
        <family val="3"/>
        <charset val="128"/>
        <scheme val="minor"/>
      </rPr>
      <t>全学必修科目とすることで、学部・学科に関係なく全学生がAI・DS教育を受講できる体制とした。</t>
    </r>
    <r>
      <rPr>
        <sz val="12"/>
        <rFont val="ＭＳ Ｐゴシック"/>
        <family val="3"/>
        <charset val="128"/>
        <scheme val="minor"/>
      </rPr>
      <t xml:space="preserve">
２．</t>
    </r>
    <r>
      <rPr>
        <u/>
        <sz val="12"/>
        <rFont val="ＭＳ Ｐゴシック"/>
        <family val="3"/>
        <charset val="128"/>
        <scheme val="minor"/>
      </rPr>
      <t>データサイエンスを専門としない教員を考慮し、オンデマンドでのAI・データサイエンス教育と対面式のデータ分析演習のハイブリッド方式の講義とした</t>
    </r>
    <r>
      <rPr>
        <sz val="12"/>
        <rFont val="ＭＳ Ｐゴシック"/>
        <family val="3"/>
        <charset val="128"/>
        <scheme val="minor"/>
      </rPr>
      <t>。また、令和3年12月と令和4年2月に授業担当教員向けのＦＤを実施して授業担当教員からの意見を集め、これまで用いた教材の改善を行った。授業の補助を行うTAについても令和4年3月にFDを実施して授業の実施体制を整えた。
３．令和4年4月に数理・データサイエンス教育センターが設置される。</t>
    </r>
    <r>
      <rPr>
        <u/>
        <sz val="12"/>
        <rFont val="ＭＳ Ｐゴシック"/>
        <family val="3"/>
        <charset val="128"/>
        <scheme val="minor"/>
      </rPr>
      <t>センターには全学部から1名以上の兼任教員を配置</t>
    </r>
    <r>
      <rPr>
        <sz val="12"/>
        <rFont val="ＭＳ Ｐゴシック"/>
        <family val="3"/>
        <charset val="128"/>
        <scheme val="minor"/>
      </rPr>
      <t>し、授業担当教員からのフィードバック、授業アンケートをもとに教材・授業内容の見直し、学生の教育環境調査を行い、</t>
    </r>
    <r>
      <rPr>
        <u/>
        <sz val="12"/>
        <rFont val="ＭＳ Ｐゴシック"/>
        <family val="3"/>
        <charset val="128"/>
        <scheme val="minor"/>
      </rPr>
      <t>次年度以降の授業内容の見直しを行う体制</t>
    </r>
    <r>
      <rPr>
        <sz val="12"/>
        <rFont val="ＭＳ Ｐゴシック"/>
        <family val="3"/>
        <charset val="128"/>
        <scheme val="minor"/>
      </rPr>
      <t>とすることで、同教育プログラムに関する</t>
    </r>
    <r>
      <rPr>
        <u/>
        <sz val="12"/>
        <rFont val="ＭＳ Ｐゴシック"/>
        <family val="3"/>
        <charset val="128"/>
        <scheme val="minor"/>
      </rPr>
      <t>全学的な情報共有</t>
    </r>
    <r>
      <rPr>
        <sz val="12"/>
        <rFont val="ＭＳ Ｐゴシック"/>
        <family val="3"/>
        <charset val="128"/>
        <scheme val="minor"/>
      </rPr>
      <t xml:space="preserve">ができる。
</t>
    </r>
    <rPh sb="47" eb="49">
      <t>コウギ</t>
    </rPh>
    <rPh sb="50" eb="52">
      <t>ジュンビ</t>
    </rPh>
    <rPh sb="57" eb="59">
      <t>レイワ</t>
    </rPh>
    <rPh sb="60" eb="62">
      <t>ネンド</t>
    </rPh>
    <rPh sb="69" eb="71">
      <t>キョウイク</t>
    </rPh>
    <rPh sb="72" eb="75">
      <t>ゼンガクテキ</t>
    </rPh>
    <rPh sb="76" eb="78">
      <t>ジッシ</t>
    </rPh>
    <rPh sb="80" eb="86">
      <t>キョウヨウキョウイクカモク</t>
    </rPh>
    <rPh sb="95" eb="97">
      <t>キソ</t>
    </rPh>
    <rPh sb="100" eb="103">
      <t>ネンゼンキ</t>
    </rPh>
    <rPh sb="104" eb="106">
      <t>タンイ</t>
    </rPh>
    <rPh sb="108" eb="111">
      <t>チイキガク</t>
    </rPh>
    <rPh sb="119" eb="120">
      <t>ネン</t>
    </rPh>
    <rPh sb="120" eb="122">
      <t>コウキ</t>
    </rPh>
    <rPh sb="123" eb="125">
      <t>タンイ</t>
    </rPh>
    <rPh sb="127" eb="129">
      <t>カイセツ</t>
    </rPh>
    <rPh sb="131" eb="133">
      <t>ゼンガク</t>
    </rPh>
    <rPh sb="133" eb="135">
      <t>ヒッシュウ</t>
    </rPh>
    <rPh sb="135" eb="137">
      <t>カモク</t>
    </rPh>
    <rPh sb="144" eb="146">
      <t>ガクブ</t>
    </rPh>
    <rPh sb="147" eb="149">
      <t>ガッカ</t>
    </rPh>
    <rPh sb="150" eb="152">
      <t>カンケイ</t>
    </rPh>
    <rPh sb="154" eb="157">
      <t>ゼンガクセイ</t>
    </rPh>
    <rPh sb="163" eb="165">
      <t>キョウイク</t>
    </rPh>
    <rPh sb="166" eb="168">
      <t>ジュコウ</t>
    </rPh>
    <rPh sb="171" eb="173">
      <t>タイセイ</t>
    </rPh>
    <rPh sb="400" eb="401">
      <t>ゼン</t>
    </rPh>
    <rPh sb="406" eb="407">
      <t>メイ</t>
    </rPh>
    <rPh sb="407" eb="409">
      <t>イジョウ</t>
    </rPh>
    <rPh sb="489" eb="491">
      <t>タイセイ</t>
    </rPh>
    <rPh sb="498" eb="499">
      <t>ドウ</t>
    </rPh>
    <rPh sb="499" eb="501">
      <t>キョウイク</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</si>
  <si>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</si>
  <si>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r>
      <t>１．令和3年度までは授業時間割及び</t>
    </r>
    <r>
      <rPr>
        <u/>
        <sz val="12"/>
        <rFont val="ＭＳ Ｐゴシック"/>
        <family val="3"/>
        <charset val="128"/>
        <scheme val="minor"/>
      </rPr>
      <t>シラバスの提示、チラシの配布</t>
    </r>
    <r>
      <rPr>
        <sz val="12"/>
        <rFont val="ＭＳ Ｐゴシック"/>
        <family val="3"/>
        <charset val="128"/>
        <scheme val="minor"/>
      </rPr>
      <t>により周知を図っていた。
２．</t>
    </r>
    <r>
      <rPr>
        <u/>
        <sz val="12"/>
        <rFont val="ＭＳ Ｐゴシック"/>
        <family val="3"/>
        <charset val="128"/>
        <scheme val="minor"/>
      </rPr>
      <t>令和4年度以降は本プログラム</t>
    </r>
    <r>
      <rPr>
        <sz val="12"/>
        <rFont val="ＭＳ Ｐゴシック"/>
        <family val="3"/>
        <charset val="128"/>
        <scheme val="minor"/>
      </rPr>
      <t>のリテラシーレベルの科目群「データサイエンス基礎」（1年前期2単位）、「地域学ゼミナール」（1年後期2単位）を全学部１年次学生の必修科目として位置付け、2年次以降に履修する応用基礎レベルの科目群「データサイエンス発展Ｉ、ＩＩ」（2科目4単位）も含めた本学のデータサイエンス教育プログラムの</t>
    </r>
    <r>
      <rPr>
        <u/>
        <sz val="12"/>
        <rFont val="ＭＳ Ｐゴシック"/>
        <family val="3"/>
        <charset val="128"/>
        <scheme val="minor"/>
      </rPr>
      <t>概要について本学の数理・データサイエンス教育センターホームページにも紹介</t>
    </r>
    <r>
      <rPr>
        <sz val="12"/>
        <rFont val="ＭＳ Ｐゴシック"/>
        <family val="3"/>
        <charset val="128"/>
        <scheme val="minor"/>
      </rPr>
      <t>する。
３．令和4年4月には</t>
    </r>
    <r>
      <rPr>
        <u/>
        <sz val="12"/>
        <rFont val="ＭＳ Ｐゴシック"/>
        <family val="3"/>
        <charset val="128"/>
        <scheme val="minor"/>
      </rPr>
      <t>本学の数理・データサイエンス教育プログラムのチラシを作成して新入生全員に配布</t>
    </r>
    <r>
      <rPr>
        <sz val="12"/>
        <rFont val="ＭＳ Ｐゴシック"/>
        <family val="3"/>
        <charset val="128"/>
        <scheme val="minor"/>
      </rPr>
      <t>し、プログラムの周知と履修を促進する。</t>
    </r>
    <rPh sb="55" eb="56">
      <t>ホン</t>
    </rPh>
    <rPh sb="71" eb="74">
      <t>カモクグン</t>
    </rPh>
    <rPh sb="83" eb="85">
      <t>キソ</t>
    </rPh>
    <rPh sb="88" eb="91">
      <t>ネンゼンキ</t>
    </rPh>
    <rPh sb="92" eb="94">
      <t>タンイ</t>
    </rPh>
    <rPh sb="97" eb="100">
      <t>チイキガク</t>
    </rPh>
    <rPh sb="108" eb="109">
      <t>ネン</t>
    </rPh>
    <rPh sb="109" eb="111">
      <t>コウキ</t>
    </rPh>
    <rPh sb="112" eb="114">
      <t>タンイ</t>
    </rPh>
    <rPh sb="138" eb="140">
      <t>ネンジ</t>
    </rPh>
    <rPh sb="140" eb="142">
      <t>イコウ</t>
    </rPh>
    <rPh sb="143" eb="145">
      <t>リシュウ</t>
    </rPh>
    <rPh sb="155" eb="157">
      <t>カモク</t>
    </rPh>
    <rPh sb="157" eb="158">
      <t>グン</t>
    </rPh>
    <rPh sb="167" eb="169">
      <t>ハッテン</t>
    </rPh>
    <rPh sb="176" eb="178">
      <t>カモク</t>
    </rPh>
    <rPh sb="179" eb="181">
      <t>タンイ</t>
    </rPh>
    <rPh sb="239" eb="241">
      <t>ショウカイ</t>
    </rPh>
    <rPh sb="256" eb="258">
      <t>ホンガク</t>
    </rPh>
    <rPh sb="259" eb="261">
      <t>スウリ</t>
    </rPh>
    <rPh sb="270" eb="272">
      <t>キョウイク</t>
    </rPh>
    <phoneticPr fontId="1"/>
  </si>
  <si>
    <t>⑦</t>
    <phoneticPr fontId="1"/>
  </si>
  <si>
    <t>できる限り多くの学生が履修・修得できるようなサポート体制</t>
    <rPh sb="26" eb="28">
      <t>タイセイ</t>
    </rPh>
    <phoneticPr fontId="1"/>
  </si>
  <si>
    <r>
      <t>１．令和4年度からの全学部でのプログラムの実施にあたり、</t>
    </r>
    <r>
      <rPr>
        <u/>
        <sz val="12"/>
        <rFont val="ＭＳ Ｐゴシック"/>
        <family val="3"/>
        <charset val="128"/>
        <scheme val="minor"/>
      </rPr>
      <t>各学部の学生は所属学部の教員から指導を受ける体制とし、学生の学習状況の把握・サポートを迅速に行える</t>
    </r>
    <r>
      <rPr>
        <sz val="12"/>
        <rFont val="ＭＳ Ｐゴシック"/>
        <family val="3"/>
        <charset val="128"/>
        <scheme val="minor"/>
      </rPr>
      <t>ようにする。
２．</t>
    </r>
    <r>
      <rPr>
        <u/>
        <sz val="12"/>
        <rFont val="ＭＳ Ｐゴシック"/>
        <family val="3"/>
        <charset val="128"/>
        <scheme val="minor"/>
      </rPr>
      <t>授業には学生20名から25名に対して1名のTAを配置</t>
    </r>
    <r>
      <rPr>
        <sz val="12"/>
        <rFont val="ＭＳ Ｐゴシック"/>
        <family val="3"/>
        <charset val="128"/>
        <scheme val="minor"/>
      </rPr>
      <t>し、対面授業で学ぶ</t>
    </r>
    <r>
      <rPr>
        <u/>
        <sz val="12"/>
        <rFont val="ＭＳ Ｐゴシック"/>
        <family val="3"/>
        <charset val="128"/>
        <scheme val="minor"/>
      </rPr>
      <t>データ分析、パソコン操作の習得のサポート体制を万全</t>
    </r>
    <r>
      <rPr>
        <sz val="12"/>
        <rFont val="ＭＳ Ｐゴシック"/>
        <family val="3"/>
        <charset val="128"/>
        <scheme val="minor"/>
      </rPr>
      <t>なものとする。
３．</t>
    </r>
    <r>
      <rPr>
        <u/>
        <sz val="12"/>
        <rFont val="ＭＳ Ｐゴシック"/>
        <family val="3"/>
        <charset val="128"/>
        <scheme val="minor"/>
      </rPr>
      <t>講義動画、及び演習問題解説動画のオンデマンドコンテンツをMoodle上に用意</t>
    </r>
    <r>
      <rPr>
        <sz val="12"/>
        <rFont val="ＭＳ Ｐゴシック"/>
        <family val="3"/>
        <charset val="128"/>
        <scheme val="minor"/>
      </rPr>
      <t>し、授業でよくわからなかった部分などの</t>
    </r>
    <r>
      <rPr>
        <u/>
        <sz val="12"/>
        <rFont val="ＭＳ Ｐゴシック"/>
        <family val="3"/>
        <charset val="128"/>
        <scheme val="minor"/>
      </rPr>
      <t>再確認や復習が可能な環境を構築</t>
    </r>
    <r>
      <rPr>
        <sz val="12"/>
        <rFont val="ＭＳ Ｐゴシック"/>
        <family val="3"/>
        <charset val="128"/>
        <scheme val="minor"/>
      </rPr>
      <t>する。
４</t>
    </r>
    <r>
      <rPr>
        <u/>
        <sz val="12"/>
        <rFont val="ＭＳ Ｐゴシック"/>
        <family val="3"/>
        <charset val="128"/>
        <scheme val="minor"/>
      </rPr>
      <t>．学生は授業担当教員のオフィスアワーで質問</t>
    </r>
    <r>
      <rPr>
        <sz val="12"/>
        <rFont val="ＭＳ Ｐゴシック"/>
        <family val="3"/>
        <charset val="128"/>
        <scheme val="minor"/>
      </rPr>
      <t>ができることに加え、</t>
    </r>
    <r>
      <rPr>
        <u/>
        <sz val="12"/>
        <rFont val="ＭＳ Ｐゴシック"/>
        <family val="3"/>
        <charset val="128"/>
        <scheme val="minor"/>
      </rPr>
      <t>学習サロン（学生相談室）に専用の窓口</t>
    </r>
    <r>
      <rPr>
        <sz val="12"/>
        <rFont val="ＭＳ Ｐゴシック"/>
        <family val="3"/>
        <charset val="128"/>
        <scheme val="minor"/>
      </rPr>
      <t>を設け、授業担当教員及びTAが対応するなどサポート体制を構築する。令和4年度以降は、</t>
    </r>
    <r>
      <rPr>
        <u/>
        <sz val="12"/>
        <rFont val="ＭＳ Ｐゴシック"/>
        <family val="3"/>
        <charset val="128"/>
        <scheme val="minor"/>
      </rPr>
      <t>数理・データサイエンス教育センターに質問コーナー</t>
    </r>
    <r>
      <rPr>
        <sz val="12"/>
        <rFont val="ＭＳ Ｐゴシック"/>
        <family val="3"/>
        <charset val="128"/>
        <scheme val="minor"/>
      </rPr>
      <t>を設置し、</t>
    </r>
    <r>
      <rPr>
        <u/>
        <sz val="12"/>
        <rFont val="ＭＳ Ｐゴシック"/>
        <family val="3"/>
        <charset val="128"/>
        <scheme val="minor"/>
      </rPr>
      <t>Q&amp;Aを共有する</t>
    </r>
    <r>
      <rPr>
        <sz val="12"/>
        <rFont val="ＭＳ Ｐゴシック"/>
        <family val="3"/>
        <charset val="128"/>
        <scheme val="minor"/>
      </rPr>
      <t xml:space="preserve">予定である。
</t>
    </r>
    <rPh sb="50" eb="52">
      <t>タイセイ</t>
    </rPh>
    <rPh sb="115" eb="119">
      <t>タイメンジュギョウ</t>
    </rPh>
    <rPh sb="120" eb="121">
      <t>マナ</t>
    </rPh>
    <rPh sb="125" eb="127">
      <t>ブンセキ</t>
    </rPh>
    <rPh sb="135" eb="137">
      <t>シュウトク</t>
    </rPh>
    <rPh sb="160" eb="162">
      <t>ドウガ</t>
    </rPh>
    <rPh sb="167" eb="169">
      <t>モンダイ</t>
    </rPh>
    <rPh sb="169" eb="171">
      <t>カイセツ</t>
    </rPh>
    <rPh sb="171" eb="173">
      <t>ドウガ</t>
    </rPh>
    <rPh sb="192" eb="193">
      <t>ジョウ</t>
    </rPh>
    <rPh sb="318" eb="320">
      <t>レイワ</t>
    </rPh>
    <rPh sb="321" eb="322">
      <t>ネン</t>
    </rPh>
    <rPh sb="322" eb="323">
      <t>ド</t>
    </rPh>
    <rPh sb="323" eb="325">
      <t>イコウ</t>
    </rPh>
    <rPh sb="327" eb="329">
      <t>スウリ</t>
    </rPh>
    <rPh sb="338" eb="340">
      <t>キョウイク</t>
    </rPh>
    <rPh sb="345" eb="347">
      <t>シツモン</t>
    </rPh>
    <rPh sb="352" eb="354">
      <t>セッチ</t>
    </rPh>
    <rPh sb="360" eb="362">
      <t>キョウユウ</t>
    </rPh>
    <rPh sb="364" eb="366">
      <t>ヨテイ</t>
    </rPh>
    <phoneticPr fontId="1"/>
  </si>
  <si>
    <t>授業時間内外で学習指導、質問を受け付ける具体的な仕組み</t>
    <rPh sb="20" eb="23">
      <t>グタイテキ</t>
    </rPh>
    <phoneticPr fontId="1"/>
  </si>
  <si>
    <r>
      <t>１．</t>
    </r>
    <r>
      <rPr>
        <u/>
        <sz val="12"/>
        <rFont val="ＭＳ Ｐゴシック"/>
        <family val="3"/>
        <charset val="128"/>
        <scheme val="minor"/>
      </rPr>
      <t>令和2年度と3年度は授業担当教員のオフィスアワーと学習サロン（学生相談室）に窓口</t>
    </r>
    <r>
      <rPr>
        <sz val="12"/>
        <rFont val="ＭＳ Ｐゴシック"/>
        <family val="3"/>
        <charset val="128"/>
        <scheme val="minor"/>
      </rPr>
      <t>を設け授業担当教員が対応した。
２．令和4年度からも授業担当教員のオフィスアワーでの対応に加え、</t>
    </r>
    <r>
      <rPr>
        <u/>
        <sz val="12"/>
        <rFont val="ＭＳ Ｐゴシック"/>
        <family val="3"/>
        <charset val="128"/>
        <scheme val="minor"/>
      </rPr>
      <t>学習サロンにＴＡを配置</t>
    </r>
    <r>
      <rPr>
        <sz val="12"/>
        <rFont val="ＭＳ Ｐゴシック"/>
        <family val="3"/>
        <charset val="128"/>
        <scheme val="minor"/>
      </rPr>
      <t>するなど、授業時間外での学習指導、質問を受け付ける体制等の更なる充実を図る予定である。
３．令和4年度からは</t>
    </r>
    <r>
      <rPr>
        <u/>
        <sz val="12"/>
        <rFont val="ＭＳ Ｐゴシック"/>
        <family val="3"/>
        <charset val="128"/>
        <scheme val="minor"/>
      </rPr>
      <t>数理データサイエンス教育センターのWEBサイトに質問コーナを用意</t>
    </r>
    <r>
      <rPr>
        <sz val="12"/>
        <rFont val="ＭＳ Ｐゴシック"/>
        <family val="3"/>
        <charset val="128"/>
        <scheme val="minor"/>
      </rPr>
      <t>し、学生からの質問に対する回答を共有する予定である。</t>
    </r>
    <rPh sb="149" eb="151">
      <t>レイワ</t>
    </rPh>
    <rPh sb="152" eb="154">
      <t>ネンド</t>
    </rPh>
    <rPh sb="157" eb="159">
      <t>スウリ</t>
    </rPh>
    <rPh sb="167" eb="169">
      <t>キョウイク</t>
    </rPh>
    <rPh sb="181" eb="183">
      <t>シツモン</t>
    </rPh>
    <rPh sb="187" eb="189">
      <t>ヨウイ</t>
    </rPh>
    <rPh sb="191" eb="193">
      <t>ガクセイ</t>
    </rPh>
    <rPh sb="196" eb="198">
      <t>シツモン</t>
    </rPh>
    <rPh sb="199" eb="200">
      <t>タイ</t>
    </rPh>
    <rPh sb="202" eb="204">
      <t>カイトウ</t>
    </rPh>
    <rPh sb="205" eb="207">
      <t>キョウユウ</t>
    </rPh>
    <rPh sb="209" eb="211">
      <t>ヨテイ</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</si>
  <si>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</si>
  <si>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</si>
  <si>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</si>
  <si>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</si>
  <si>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</si>
  <si>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</si>
  <si>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</si>
  <si>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</si>
  <si>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r>
      <t>１．令和3年度までは</t>
    </r>
    <r>
      <rPr>
        <u/>
        <sz val="12"/>
        <rFont val="ＭＳ Ｐゴシック"/>
        <family val="3"/>
        <charset val="128"/>
        <scheme val="minor"/>
      </rPr>
      <t>「数理・データサイエンス授業実施検討部会」で履修者数・学習内容の修得状況の調査</t>
    </r>
    <r>
      <rPr>
        <sz val="12"/>
        <rFont val="ＭＳ Ｐゴシック"/>
        <family val="3"/>
        <charset val="128"/>
        <scheme val="minor"/>
      </rPr>
      <t>を行った。その結果を受けて</t>
    </r>
    <r>
      <rPr>
        <u/>
        <sz val="12"/>
        <rFont val="ＭＳ Ｐゴシック"/>
        <family val="3"/>
        <charset val="128"/>
        <scheme val="minor"/>
      </rPr>
      <t>ワーキンググループを設置し、カリキュラムの改善</t>
    </r>
    <r>
      <rPr>
        <sz val="12"/>
        <rFont val="ＭＳ Ｐゴシック"/>
        <family val="3"/>
        <charset val="128"/>
        <scheme val="minor"/>
      </rPr>
      <t>を行った。
２．令和4年度からの全学部での必修化に伴い、</t>
    </r>
    <r>
      <rPr>
        <u/>
        <sz val="12"/>
        <rFont val="ＭＳ Ｐゴシック"/>
        <family val="3"/>
        <charset val="128"/>
        <scheme val="minor"/>
      </rPr>
      <t>令和3年度は授業担当教員を決めたのち、2回のFD等でシラバス・授業内容について意見を募り、シラバス・授業内容の改訂</t>
    </r>
    <r>
      <rPr>
        <sz val="12"/>
        <rFont val="ＭＳ Ｐゴシック"/>
        <family val="3"/>
        <charset val="128"/>
        <scheme val="minor"/>
      </rPr>
      <t>を行った。
３．令和4年度以降の本教育の履修・修得状況と点検・評価および改善状況は、</t>
    </r>
    <r>
      <rPr>
        <u/>
        <sz val="12"/>
        <rFont val="ＭＳ Ｐゴシック"/>
        <family val="3"/>
        <charset val="128"/>
        <scheme val="minor"/>
      </rPr>
      <t>数理・データサイエンス教育センターのホームページにおいて実施・公開</t>
    </r>
    <r>
      <rPr>
        <sz val="12"/>
        <rFont val="ＭＳ Ｐゴシック"/>
        <family val="3"/>
        <charset val="128"/>
        <scheme val="minor"/>
      </rPr>
      <t xml:space="preserve">する。学習管理システム（LMS:Moodle）とオンラインアンケート（マイクロソフトのTeams、Forms）を活用して履修・修得状況を確認・分析する。
</t>
    </r>
    <rPh sb="2" eb="4">
      <t>レイワ</t>
    </rPh>
    <rPh sb="5" eb="7">
      <t>ネンド</t>
    </rPh>
    <rPh sb="42" eb="46">
      <t>シュウトクジョウキョウ</t>
    </rPh>
    <rPh sb="47" eb="49">
      <t>チョウサ</t>
    </rPh>
    <rPh sb="56" eb="58">
      <t>ケッカ</t>
    </rPh>
    <rPh sb="59" eb="60">
      <t>ウ</t>
    </rPh>
    <rPh sb="72" eb="74">
      <t>セッチ</t>
    </rPh>
    <rPh sb="83" eb="85">
      <t>カイゼン</t>
    </rPh>
    <rPh sb="86" eb="87">
      <t>オコナ</t>
    </rPh>
    <rPh sb="114" eb="116">
      <t>レイワ</t>
    </rPh>
    <rPh sb="117" eb="119">
      <t>ネンド</t>
    </rPh>
    <rPh sb="134" eb="135">
      <t>カイ</t>
    </rPh>
    <rPh sb="138" eb="139">
      <t>トウ</t>
    </rPh>
    <rPh sb="164" eb="168">
      <t>ジュギョウナイヨウ</t>
    </rPh>
    <rPh sb="208" eb="210">
      <t>カイゼン</t>
    </rPh>
    <rPh sb="210" eb="212">
      <t>ジョウキョウ</t>
    </rPh>
    <rPh sb="250" eb="254">
      <t>ガクシュウカンリ</t>
    </rPh>
    <rPh sb="303" eb="305">
      <t>カツヨウ</t>
    </rPh>
    <rPh sb="307" eb="309">
      <t>リシュウ</t>
    </rPh>
    <rPh sb="310" eb="314">
      <t>シュウトクジョウキョウ</t>
    </rPh>
    <rPh sb="315" eb="317">
      <t>カクニン</t>
    </rPh>
    <rPh sb="318" eb="320">
      <t>ブンセキ</t>
    </rPh>
    <phoneticPr fontId="1"/>
  </si>
  <si>
    <t>学修成果</t>
    <rPh sb="0" eb="2">
      <t>ガクシュウ</t>
    </rPh>
    <rPh sb="2" eb="4">
      <t>セイカ</t>
    </rPh>
    <phoneticPr fontId="1"/>
  </si>
  <si>
    <r>
      <t>１．令和3年度までは「数理・データサイエンス授業実施検討部会」で履修者数・修得状況を調査した。また、</t>
    </r>
    <r>
      <rPr>
        <u/>
        <sz val="12"/>
        <rFont val="ＭＳ Ｐゴシック"/>
        <family val="3"/>
        <charset val="128"/>
        <scheme val="minor"/>
      </rPr>
      <t>学生アンケートの集計結果を数理・データサイエンス教育センターのホームページの自己点検評価の中で公開</t>
    </r>
    <r>
      <rPr>
        <sz val="12"/>
        <rFont val="ＭＳ Ｐゴシック"/>
        <family val="3"/>
        <charset val="128"/>
        <scheme val="minor"/>
      </rPr>
      <t>している。本教育プログラム科目に関する学生の理解度や教材に関する学生の評価を把握できる。
２．令和4年度からは、「データサイエンス基礎」及び「地域学ゼミナール」の全学必修化に伴い、</t>
    </r>
    <r>
      <rPr>
        <u/>
        <sz val="12"/>
        <rFont val="ＭＳ Ｐゴシック"/>
        <family val="3"/>
        <charset val="128"/>
        <scheme val="minor"/>
      </rPr>
      <t>数理・データサイエンス教育センターにおいて学修成果の包括的な調査を行い、評価・改善へ活用</t>
    </r>
    <r>
      <rPr>
        <sz val="12"/>
        <rFont val="ＭＳ Ｐゴシック"/>
        <family val="3"/>
        <charset val="128"/>
        <scheme val="minor"/>
      </rPr>
      <t>する計画である。</t>
    </r>
    <rPh sb="2" eb="4">
      <t>レイワ</t>
    </rPh>
    <rPh sb="5" eb="7">
      <t>ネンド</t>
    </rPh>
    <rPh sb="37" eb="41">
      <t>シュウトクジョウキョウ</t>
    </rPh>
    <rPh sb="42" eb="44">
      <t>チョウサ</t>
    </rPh>
    <rPh sb="50" eb="52">
      <t>ガクセイ</t>
    </rPh>
    <rPh sb="63" eb="65">
      <t>スウリ</t>
    </rPh>
    <rPh sb="74" eb="76">
      <t>キョウイク</t>
    </rPh>
    <rPh sb="97" eb="99">
      <t>コウカイ</t>
    </rPh>
    <rPh sb="104" eb="105">
      <t>ホン</t>
    </rPh>
    <rPh sb="105" eb="107">
      <t>キョウイク</t>
    </rPh>
    <rPh sb="112" eb="114">
      <t>カモク</t>
    </rPh>
    <rPh sb="115" eb="116">
      <t>カン</t>
    </rPh>
    <rPh sb="118" eb="120">
      <t>ガクセイ</t>
    </rPh>
    <rPh sb="121" eb="124">
      <t>リカイド</t>
    </rPh>
    <rPh sb="125" eb="127">
      <t>キョウザイ</t>
    </rPh>
    <rPh sb="128" eb="129">
      <t>カン</t>
    </rPh>
    <rPh sb="131" eb="133">
      <t>ガクセイ</t>
    </rPh>
    <rPh sb="134" eb="136">
      <t>ヒョウカ</t>
    </rPh>
    <rPh sb="137" eb="139">
      <t>ハアク</t>
    </rPh>
    <rPh sb="147" eb="149">
      <t>レイワ</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</si>
  <si>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</si>
  <si>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r>
      <t>１．令和3年度までは授業担当教員が受講者に対して授業アンケートを実施している。その結果、高度なExcel操作を扱った回以外では、「ちょうど良い」という回答が最多となった。また、統計学や数学を扱った回も難易度が高かったことが分かった。
２．令和４年度以降も継続して授業に関するアンケートを実施し、数理・データサイエンス教育センターにおいて理解度の分析・評価・改善を推進する。具体的には</t>
    </r>
    <r>
      <rPr>
        <u/>
        <sz val="12"/>
        <rFont val="ＭＳ Ｐゴシック"/>
        <family val="3"/>
        <charset val="128"/>
        <scheme val="minor"/>
      </rPr>
      <t>「データサイエンス基礎」の初回と13回目</t>
    </r>
    <r>
      <rPr>
        <sz val="12"/>
        <rFont val="ＭＳ Ｐゴシック"/>
        <family val="3"/>
        <charset val="128"/>
        <scheme val="minor"/>
      </rPr>
      <t>に統計学・データサイエンスの履修・修得状況を調査し、</t>
    </r>
    <r>
      <rPr>
        <u/>
        <sz val="12"/>
        <rFont val="ＭＳ Ｐゴシック"/>
        <family val="3"/>
        <charset val="128"/>
        <scheme val="minor"/>
      </rPr>
      <t>理解度や授業の効果検証</t>
    </r>
    <r>
      <rPr>
        <sz val="12"/>
        <rFont val="ＭＳ Ｐゴシック"/>
        <family val="3"/>
        <charset val="128"/>
        <scheme val="minor"/>
      </rPr>
      <t>を行う。</t>
    </r>
    <rPh sb="2" eb="4">
      <t>レイワ</t>
    </rPh>
    <rPh sb="5" eb="7">
      <t>ネンド</t>
    </rPh>
    <rPh sb="41" eb="43">
      <t>ケッカ</t>
    </rPh>
    <rPh sb="44" eb="46">
      <t>コウド</t>
    </rPh>
    <rPh sb="52" eb="54">
      <t>ソウサ</t>
    </rPh>
    <rPh sb="55" eb="56">
      <t>アツカ</t>
    </rPh>
    <rPh sb="58" eb="59">
      <t>カイ</t>
    </rPh>
    <rPh sb="59" eb="61">
      <t>イガイ</t>
    </rPh>
    <rPh sb="69" eb="70">
      <t>ヨ</t>
    </rPh>
    <rPh sb="75" eb="77">
      <t>カイトウ</t>
    </rPh>
    <rPh sb="78" eb="80">
      <t>サイタ</t>
    </rPh>
    <rPh sb="88" eb="91">
      <t>トウケイガク</t>
    </rPh>
    <rPh sb="92" eb="94">
      <t>スウガク</t>
    </rPh>
    <rPh sb="95" eb="96">
      <t>アツカ</t>
    </rPh>
    <rPh sb="98" eb="99">
      <t>カイ</t>
    </rPh>
    <rPh sb="100" eb="103">
      <t>ナンイド</t>
    </rPh>
    <rPh sb="104" eb="105">
      <t>タカ</t>
    </rPh>
    <rPh sb="111" eb="112">
      <t>ワ</t>
    </rPh>
    <rPh sb="187" eb="190">
      <t>グタイテキ</t>
    </rPh>
    <rPh sb="201" eb="203">
      <t>キソ</t>
    </rPh>
    <rPh sb="205" eb="207">
      <t>ショカイ</t>
    </rPh>
    <rPh sb="210" eb="211">
      <t>カイ</t>
    </rPh>
    <rPh sb="211" eb="212">
      <t>メ</t>
    </rPh>
    <rPh sb="213" eb="216">
      <t>トウケイガク</t>
    </rPh>
    <rPh sb="226" eb="228">
      <t>リシュウ</t>
    </rPh>
    <rPh sb="229" eb="231">
      <t>シュウトク</t>
    </rPh>
    <rPh sb="231" eb="233">
      <t>ジョウキョウ</t>
    </rPh>
    <rPh sb="234" eb="236">
      <t>チョウサ</t>
    </rPh>
    <rPh sb="238" eb="241">
      <t>リカイド</t>
    </rPh>
    <rPh sb="242" eb="244">
      <t>ジュギョウ</t>
    </rPh>
    <rPh sb="245" eb="249">
      <t>コウカケンショウ</t>
    </rPh>
    <rPh sb="250" eb="251">
      <t>オコナ</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</si>
  <si>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</si>
  <si>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１．リテラシーレベルの教育プログラムは全学必修科目であるが、応用基礎レベルの科目群は選択科目である。それらの履修の推奨のために、学生インタビューを行い、数理・データサイエンス教育センターのホームページで公開している。
２．令和4年4月には本プログラムのチラシを作成して新入生全員に配布し、数理・データサイエンス教育プログラムの認知度を高めるとともに、本教育の専用ページを活用するなどして、応用基礎レベルの科目群の履修の推奨を更に推進する。</t>
    <rPh sb="11" eb="13">
      <t>キョウイク</t>
    </rPh>
    <rPh sb="42" eb="46">
      <t>センタクカモク</t>
    </rPh>
    <rPh sb="76" eb="78">
      <t>スウリ</t>
    </rPh>
    <rPh sb="87" eb="89">
      <t>キョウイク</t>
    </rPh>
    <rPh sb="136" eb="139">
      <t>シンニュウセイ</t>
    </rPh>
    <rPh sb="139" eb="141">
      <t>ゼンイン</t>
    </rPh>
    <rPh sb="142" eb="144">
      <t>ハイフ</t>
    </rPh>
    <rPh sb="157" eb="159">
      <t>キョウイク</t>
    </rPh>
    <rPh sb="196" eb="200">
      <t>オウヨウキソ</t>
    </rPh>
    <rPh sb="204" eb="207">
      <t>カモクグン</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</si>
  <si>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</si>
  <si>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r>
      <t>本プログラムの「データサイエンス基礎」及び「地域学ゼミナール」は、令和4年度から全学必修となり、履修者数、履修率の向上に向けて推進し、</t>
    </r>
    <r>
      <rPr>
        <u/>
        <sz val="12"/>
        <rFont val="ＭＳ Ｐゴシック"/>
        <family val="3"/>
        <charset val="128"/>
        <scheme val="minor"/>
      </rPr>
      <t>令和9年度の医学部医学科学生の履修により、100％の履修率</t>
    </r>
    <r>
      <rPr>
        <sz val="12"/>
        <rFont val="ＭＳ Ｐゴシック"/>
        <family val="3"/>
        <charset val="128"/>
        <scheme val="minor"/>
      </rPr>
      <t>となる見込みである。同科目群は教養教育科目であり、様々な分野を専攻する多様な学生の履修に対応できるように、全学科の教員により構成される数理・データサイエンス授業実施検討部会において授業内容の検討や見直しが行われてきた。令和4年4月から同検討部会の機能は数理・データサイエンス教育センターに引き継がれる。</t>
    </r>
    <rPh sb="106" eb="107">
      <t>ドウ</t>
    </rPh>
    <rPh sb="107" eb="110">
      <t>カモクグン</t>
    </rPh>
    <rPh sb="111" eb="115">
      <t>キョウヨウキョウイク</t>
    </rPh>
    <rPh sb="115" eb="117">
      <t>カモク</t>
    </rPh>
    <rPh sb="121" eb="123">
      <t>サマザマ</t>
    </rPh>
    <rPh sb="124" eb="126">
      <t>ブンヤ</t>
    </rPh>
    <rPh sb="127" eb="129">
      <t>センコウ</t>
    </rPh>
    <rPh sb="131" eb="133">
      <t>タヨウ</t>
    </rPh>
    <rPh sb="134" eb="136">
      <t>ガクセイ</t>
    </rPh>
    <rPh sb="137" eb="139">
      <t>リシュウ</t>
    </rPh>
    <rPh sb="140" eb="142">
      <t>タイオウ</t>
    </rPh>
    <rPh sb="149" eb="152">
      <t>ゼンガッカ</t>
    </rPh>
    <rPh sb="153" eb="155">
      <t>キョウイン</t>
    </rPh>
    <rPh sb="158" eb="160">
      <t>コウセイ</t>
    </rPh>
    <rPh sb="163" eb="165">
      <t>スウリ</t>
    </rPh>
    <rPh sb="174" eb="178">
      <t>ジュギョウジッシ</t>
    </rPh>
    <rPh sb="178" eb="182">
      <t>ケントウブカイ</t>
    </rPh>
    <rPh sb="186" eb="190">
      <t>ジュギョウナイヨウ</t>
    </rPh>
    <rPh sb="191" eb="193">
      <t>ケントウ</t>
    </rPh>
    <rPh sb="194" eb="196">
      <t>ミナオ</t>
    </rPh>
    <rPh sb="198" eb="199">
      <t>オコナ</t>
    </rPh>
    <rPh sb="205" eb="207">
      <t>レイワ</t>
    </rPh>
    <rPh sb="208" eb="209">
      <t>ネン</t>
    </rPh>
    <rPh sb="210" eb="211">
      <t>ガツ</t>
    </rPh>
    <rPh sb="213" eb="214">
      <t>ドウ</t>
    </rPh>
    <rPh sb="219" eb="221">
      <t>キノウ</t>
    </rPh>
    <rPh sb="222" eb="224">
      <t>スウリ</t>
    </rPh>
    <rPh sb="233" eb="235">
      <t>キョウイク</t>
    </rPh>
    <rPh sb="240" eb="241">
      <t>ヒ</t>
    </rPh>
    <rPh sb="242" eb="243">
      <t>ツ</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</si>
  <si>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</si>
  <si>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</si>
  <si>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r>
      <t>本プログラムは令和2年後期から試行授業が開始され、令和4年度から全学で実施されるため令和3年末の時点では修了者の進路などについての情報がない。以下は予定である。
１．</t>
    </r>
    <r>
      <rPr>
        <u/>
        <sz val="12"/>
        <rFont val="ＭＳ Ｐゴシック"/>
        <family val="3"/>
        <charset val="128"/>
        <scheme val="minor"/>
      </rPr>
      <t>卒業生の調査を卒後2年ごとに実施</t>
    </r>
    <r>
      <rPr>
        <sz val="12"/>
        <rFont val="ＭＳ Ｐゴシック"/>
        <family val="3"/>
        <charset val="128"/>
        <scheme val="minor"/>
      </rPr>
      <t>し、本教育を修了した卒業生の進路先や活躍状況の把握を行う予定である。
２．本学のキャリアセンターが実施する</t>
    </r>
    <r>
      <rPr>
        <u/>
        <sz val="12"/>
        <rFont val="ＭＳ Ｐゴシック"/>
        <family val="3"/>
        <charset val="128"/>
        <scheme val="minor"/>
      </rPr>
      <t>民間企業や公務員団体等に対するアンケート調査</t>
    </r>
    <r>
      <rPr>
        <sz val="12"/>
        <rFont val="ＭＳ Ｐゴシック"/>
        <family val="3"/>
        <charset val="128"/>
        <scheme val="minor"/>
      </rPr>
      <t>と</t>
    </r>
    <r>
      <rPr>
        <u/>
        <sz val="12"/>
        <rFont val="ＭＳ Ｐゴシック"/>
        <family val="3"/>
        <charset val="128"/>
        <scheme val="minor"/>
      </rPr>
      <t>本教育を修了した卒業生の採用状況</t>
    </r>
    <r>
      <rPr>
        <sz val="12"/>
        <rFont val="ＭＳ Ｐゴシック"/>
        <family val="3"/>
        <charset val="128"/>
        <scheme val="minor"/>
      </rPr>
      <t>をもとに企業等評価を行う予定である。
３．今後、</t>
    </r>
    <r>
      <rPr>
        <u/>
        <sz val="12"/>
        <rFont val="ＭＳ Ｐゴシック"/>
        <family val="3"/>
        <charset val="128"/>
        <scheme val="minor"/>
      </rPr>
      <t>企業のインターンシップや共同研究に参加する学生に対する評価や本プログラムの内容に対する意見を収集</t>
    </r>
    <r>
      <rPr>
        <sz val="12"/>
        <rFont val="ＭＳ Ｐゴシック"/>
        <family val="3"/>
        <charset val="128"/>
        <scheme val="minor"/>
      </rPr>
      <t>し、プログラムの評価・改善に活用していく予定である。</t>
    </r>
    <rPh sb="0" eb="1">
      <t>ホン</t>
    </rPh>
    <rPh sb="7" eb="9">
      <t>レイワ</t>
    </rPh>
    <rPh sb="10" eb="11">
      <t>ネン</t>
    </rPh>
    <rPh sb="11" eb="13">
      <t>コウキ</t>
    </rPh>
    <rPh sb="15" eb="19">
      <t>シコウジュギョウ</t>
    </rPh>
    <rPh sb="20" eb="22">
      <t>カイシ</t>
    </rPh>
    <rPh sb="25" eb="27">
      <t>レイワ</t>
    </rPh>
    <rPh sb="28" eb="30">
      <t>ネンド</t>
    </rPh>
    <rPh sb="32" eb="34">
      <t>ゼンガク</t>
    </rPh>
    <rPh sb="35" eb="37">
      <t>ジッシ</t>
    </rPh>
    <rPh sb="42" eb="44">
      <t>レイワ</t>
    </rPh>
    <rPh sb="45" eb="46">
      <t>ネン</t>
    </rPh>
    <rPh sb="46" eb="47">
      <t>マツ</t>
    </rPh>
    <rPh sb="48" eb="50">
      <t>ジテン</t>
    </rPh>
    <rPh sb="52" eb="55">
      <t>シュウリョウシャ</t>
    </rPh>
    <rPh sb="56" eb="58">
      <t>シンロ</t>
    </rPh>
    <rPh sb="65" eb="67">
      <t>ジョウホウ</t>
    </rPh>
    <rPh sb="71" eb="73">
      <t>イカ</t>
    </rPh>
    <rPh sb="74" eb="76">
      <t>ヨテイ</t>
    </rPh>
    <rPh sb="138" eb="140">
      <t>ホンガク</t>
    </rPh>
    <rPh sb="150" eb="152">
      <t>ジッシ</t>
    </rPh>
    <rPh sb="215" eb="217">
      <t>コンゴ</t>
    </rPh>
    <rPh sb="218" eb="220">
      <t>キギョウ</t>
    </rPh>
    <rPh sb="230" eb="232">
      <t>キョウドウ</t>
    </rPh>
    <rPh sb="232" eb="234">
      <t>ケンキュウ</t>
    </rPh>
    <rPh sb="235" eb="237">
      <t>サンカ</t>
    </rPh>
    <rPh sb="239" eb="241">
      <t>ガクセイ</t>
    </rPh>
    <rPh sb="242" eb="243">
      <t>タイ</t>
    </rPh>
    <rPh sb="245" eb="247">
      <t>ヒョウカ</t>
    </rPh>
    <rPh sb="248" eb="249">
      <t>ホン</t>
    </rPh>
    <rPh sb="255" eb="257">
      <t>ナイヨウ</t>
    </rPh>
    <rPh sb="258" eb="259">
      <t>タイ</t>
    </rPh>
    <rPh sb="261" eb="263">
      <t>イケン</t>
    </rPh>
    <rPh sb="264" eb="266">
      <t>シュウシュウ</t>
    </rPh>
    <rPh sb="274" eb="276">
      <t>ヒョウカ</t>
    </rPh>
    <rPh sb="277" eb="279">
      <t>カイゼン</t>
    </rPh>
    <rPh sb="280" eb="282">
      <t>カツヨウ</t>
    </rPh>
    <rPh sb="286" eb="288">
      <t>ヨテイ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</si>
  <si>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</si>
  <si>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r>
      <t>令和4年4月に設置される数理・データサイエンス教育センターでは、</t>
    </r>
    <r>
      <rPr>
        <u/>
        <sz val="12"/>
        <rFont val="ＭＳ Ｐゴシック"/>
        <family val="3"/>
        <charset val="128"/>
        <scheme val="minor"/>
      </rPr>
      <t>外部評価委員や数理データサイエンス業界で活躍する社会人、また、本プログラムを地域の社会人</t>
    </r>
    <r>
      <rPr>
        <sz val="12"/>
        <rFont val="ＭＳ Ｐゴシック"/>
        <family val="3"/>
        <charset val="128"/>
        <scheme val="minor"/>
      </rPr>
      <t>に展開したときの受講者にアンケートを実施し、</t>
    </r>
    <r>
      <rPr>
        <u/>
        <sz val="12"/>
        <rFont val="ＭＳ Ｐゴシック"/>
        <family val="3"/>
        <charset val="128"/>
        <scheme val="minor"/>
      </rPr>
      <t>本プログラムの教育内容・教育手法やどのような人材を育成していくべきかについて意見を集め</t>
    </r>
    <r>
      <rPr>
        <sz val="12"/>
        <rFont val="ＭＳ Ｐゴシック"/>
        <family val="3"/>
        <charset val="128"/>
        <scheme val="minor"/>
      </rPr>
      <t xml:space="preserve">ていくことを予定している。こうしたフィードバックを教育の改善に活かすことで、社会のニーズに応えることのできる数理・DS人材の育成に務める。
</t>
    </r>
    <rPh sb="0" eb="2">
      <t>レイワ</t>
    </rPh>
    <rPh sb="3" eb="4">
      <t>ネン</t>
    </rPh>
    <rPh sb="12" eb="14">
      <t>スウリ</t>
    </rPh>
    <rPh sb="23" eb="25">
      <t>キョウイク</t>
    </rPh>
    <rPh sb="32" eb="38">
      <t>ガイブヒョウカイイン</t>
    </rPh>
    <rPh sb="39" eb="41">
      <t>スウリ</t>
    </rPh>
    <rPh sb="49" eb="51">
      <t>ギョウカイ</t>
    </rPh>
    <rPh sb="52" eb="54">
      <t>カツヤク</t>
    </rPh>
    <rPh sb="56" eb="59">
      <t>シャカイジン</t>
    </rPh>
    <rPh sb="63" eb="64">
      <t>ホン</t>
    </rPh>
    <rPh sb="70" eb="72">
      <t>チイキ</t>
    </rPh>
    <rPh sb="73" eb="76">
      <t>シャカイジン</t>
    </rPh>
    <rPh sb="77" eb="79">
      <t>テンカイ</t>
    </rPh>
    <rPh sb="84" eb="87">
      <t>ジュコウシャ</t>
    </rPh>
    <rPh sb="94" eb="96">
      <t>ジッシ</t>
    </rPh>
    <rPh sb="98" eb="99">
      <t>ホン</t>
    </rPh>
    <rPh sb="105" eb="109">
      <t>キョウイクナイヨウ</t>
    </rPh>
    <rPh sb="110" eb="114">
      <t>キョウイクシュホウ</t>
    </rPh>
    <rPh sb="120" eb="122">
      <t>ジンザイ</t>
    </rPh>
    <rPh sb="123" eb="125">
      <t>イクセイ</t>
    </rPh>
    <rPh sb="136" eb="138">
      <t>イケン</t>
    </rPh>
    <rPh sb="139" eb="140">
      <t>アツ</t>
    </rPh>
    <rPh sb="147" eb="149">
      <t>ヨテイ</t>
    </rPh>
    <rPh sb="166" eb="168">
      <t>キョウイク</t>
    </rPh>
    <rPh sb="169" eb="171">
      <t>カイゼン</t>
    </rPh>
    <rPh sb="172" eb="173">
      <t>イ</t>
    </rPh>
    <rPh sb="179" eb="181">
      <t>シャカイ</t>
    </rPh>
    <rPh sb="186" eb="187">
      <t>コタ</t>
    </rPh>
    <rPh sb="195" eb="197">
      <t>スウリ</t>
    </rPh>
    <rPh sb="200" eb="202">
      <t>ジンザイ</t>
    </rPh>
    <rPh sb="203" eb="205">
      <t>イクセイ</t>
    </rPh>
    <rPh sb="206" eb="207">
      <t>ツト</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</si>
  <si>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</si>
  <si>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r>
      <t>1.リテラシーレベル・モデルカリキュラムの導入部分に準じた内容を、</t>
    </r>
    <r>
      <rPr>
        <u/>
        <sz val="12"/>
        <rFont val="ＭＳ Ｐゴシック"/>
        <family val="3"/>
        <charset val="128"/>
        <scheme val="minor"/>
      </rPr>
      <t>現代社会での実例を基にＡＩ等がどのような活用をされているのかを中心に構成することで好奇心を促す講義内容</t>
    </r>
    <r>
      <rPr>
        <sz val="12"/>
        <rFont val="ＭＳ Ｐゴシック"/>
        <family val="3"/>
        <charset val="128"/>
        <scheme val="minor"/>
      </rPr>
      <t>としている。また、</t>
    </r>
    <r>
      <rPr>
        <u/>
        <sz val="12"/>
        <rFont val="ＭＳ Ｐゴシック"/>
        <family val="3"/>
        <charset val="128"/>
        <scheme val="minor"/>
      </rPr>
      <t>実際のデータ分析に取り組む時間を多くとることで、学生の主体的な学びを促進</t>
    </r>
    <r>
      <rPr>
        <sz val="12"/>
        <rFont val="ＭＳ Ｐゴシック"/>
        <family val="3"/>
        <charset val="128"/>
        <scheme val="minor"/>
      </rPr>
      <t>する工夫も行っている。
２．</t>
    </r>
    <r>
      <rPr>
        <u/>
        <sz val="12"/>
        <rFont val="ＭＳ Ｐゴシック"/>
        <family val="3"/>
        <charset val="128"/>
        <scheme val="minor"/>
      </rPr>
      <t>一般向け、学生向けのデータサイエンス講演会</t>
    </r>
    <r>
      <rPr>
        <sz val="12"/>
        <rFont val="ＭＳ Ｐゴシック"/>
        <family val="3"/>
        <charset val="128"/>
        <scheme val="minor"/>
      </rPr>
      <t>を実施する。令和3年度は「データサイエンスへの招待～弘前大学の研究事例を中心に」と題した全5回の講演会を開催した。令和4年4月にも、新入生対象の講演会を実施する予定である。</t>
    </r>
    <rPh sb="33" eb="35">
      <t>ゲンダイ</t>
    </rPh>
    <rPh sb="67" eb="69">
      <t>コウセイ</t>
    </rPh>
    <rPh sb="144" eb="146">
      <t>イッパン</t>
    </rPh>
    <rPh sb="146" eb="147">
      <t>ム</t>
    </rPh>
    <rPh sb="149" eb="151">
      <t>ガクセイ</t>
    </rPh>
    <rPh sb="151" eb="152">
      <t>ム</t>
    </rPh>
    <rPh sb="162" eb="165">
      <t>コウエンカイ</t>
    </rPh>
    <rPh sb="166" eb="168">
      <t>ジッシ</t>
    </rPh>
    <rPh sb="171" eb="173">
      <t>レイワ</t>
    </rPh>
    <rPh sb="174" eb="176">
      <t>ネンド</t>
    </rPh>
    <rPh sb="188" eb="190">
      <t>ショウタイ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</si>
  <si>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</si>
  <si>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r>
      <t>１．令和3年度までは授業担当教員が受講者全員に対して</t>
    </r>
    <r>
      <rPr>
        <u/>
        <sz val="12"/>
        <rFont val="ＭＳ Ｐゴシック"/>
        <family val="3"/>
        <charset val="128"/>
        <scheme val="minor"/>
      </rPr>
      <t>授業内容等に関するアンケート</t>
    </r>
    <r>
      <rPr>
        <sz val="12"/>
        <rFont val="ＭＳ Ｐゴシック"/>
        <family val="3"/>
        <charset val="128"/>
        <scheme val="minor"/>
      </rPr>
      <t>を実施し、「分かりやすさ」の観点からも講義の内容や実施方法等の見直しを行うとともに、</t>
    </r>
    <r>
      <rPr>
        <u/>
        <sz val="12"/>
        <rFont val="ＭＳ Ｐゴシック"/>
        <family val="3"/>
        <charset val="128"/>
        <scheme val="minor"/>
      </rPr>
      <t>数理・データサイエンス授業実施検討部会においても検討</t>
    </r>
    <r>
      <rPr>
        <sz val="12"/>
        <rFont val="ＭＳ Ｐゴシック"/>
        <family val="3"/>
        <charset val="128"/>
        <scheme val="minor"/>
      </rPr>
      <t>した。
２．令和4年度からは、</t>
    </r>
    <r>
      <rPr>
        <u/>
        <sz val="12"/>
        <rFont val="ＭＳ Ｐゴシック"/>
        <family val="3"/>
        <charset val="128"/>
        <scheme val="minor"/>
      </rPr>
      <t>数理・データサイエンス教育センターにおいて全学包括的な調査を行い、内容や水準の維持・向上を図りつつ展開する</t>
    </r>
    <r>
      <rPr>
        <sz val="12"/>
        <rFont val="ＭＳ Ｐゴシック"/>
        <family val="3"/>
        <charset val="128"/>
        <scheme val="minor"/>
      </rPr>
      <t>予定である。</t>
    </r>
    <r>
      <rPr>
        <u/>
        <sz val="12"/>
        <rFont val="ＭＳ Ｐゴシック"/>
        <family val="3"/>
        <charset val="128"/>
        <scheme val="minor"/>
      </rPr>
      <t>授業実施後に担当教員を集めたFDを実施し、教育成果・改善点の報告・共有</t>
    </r>
    <r>
      <rPr>
        <sz val="12"/>
        <rFont val="ＭＳ Ｐゴシック"/>
        <family val="3"/>
        <charset val="128"/>
        <scheme val="minor"/>
      </rPr>
      <t>を行い、次年度以降の授業内容に反映させる予定である。</t>
    </r>
    <phoneticPr fontId="1"/>
  </si>
  <si>
    <t>②自己点検・評価体制における意見等を公表しているアドレス</t>
    <phoneticPr fontId="1"/>
  </si>
  <si>
    <t>様式６</t>
    <rPh sb="0" eb="2">
      <t>ヨウシキ</t>
    </rPh>
    <phoneticPr fontId="1"/>
  </si>
  <si>
    <t>数理・データサイエンス・AI教育プログラム認定制度（リテラシーレベル）プラス　申請書</t>
  </si>
  <si>
    <t>授業内容</t>
    <rPh sb="0" eb="2">
      <t>ジュギョウ</t>
    </rPh>
    <rPh sb="2" eb="4">
      <t>ナイヨウ</t>
    </rPh>
    <phoneticPr fontId="1"/>
  </si>
  <si>
    <r>
      <t xml:space="preserve">本プログラムは、「リテラシーレベル」の教育プログラムとして全学部において必須のプログラムとなっている。さらに、本学において「応用基礎レベル」に対応する「応用基礎レベルプログラム」への学修の橋渡しとなる仕組みを構築している。
【本学のプログラムの特色】
</t>
    </r>
    <r>
      <rPr>
        <u/>
        <sz val="12"/>
        <color theme="1"/>
        <rFont val="ＭＳ Ｐゴシック"/>
        <family val="3"/>
        <charset val="128"/>
        <scheme val="minor"/>
      </rPr>
      <t>本学のプログラムの特色はデータサイエンス・AIの導入から地域の課題解決学習(PBL)のグループワーク演習までを全学必修の教養教育科目2科目「データサイエンス基礎」「地域学ゼミナール」で連携して行うこと</t>
    </r>
    <r>
      <rPr>
        <sz val="12"/>
        <color theme="1"/>
        <rFont val="ＭＳ Ｐゴシック"/>
        <family val="3"/>
        <charset val="128"/>
        <scheme val="minor"/>
      </rPr>
      <t>にある。
【授業内容】
「データサイエンス基礎」は、令和2・3年度に試行授業として始まり、令和4年度から全学で展開される。</t>
    </r>
    <r>
      <rPr>
        <u/>
        <sz val="12"/>
        <color theme="1"/>
        <rFont val="ＭＳ Ｐゴシック"/>
        <family val="3"/>
        <charset val="128"/>
        <scheme val="minor"/>
      </rPr>
      <t>モデルカリキュラムの基礎に関する内容を網羅する</t>
    </r>
    <r>
      <rPr>
        <sz val="12"/>
        <color theme="1"/>
        <rFont val="ＭＳ Ｐゴシック"/>
        <family val="3"/>
        <charset val="128"/>
        <scheme val="minor"/>
      </rPr>
      <t>ことはもちろん、</t>
    </r>
    <r>
      <rPr>
        <u/>
        <sz val="12"/>
        <color theme="1"/>
        <rFont val="ＭＳ Ｐゴシック"/>
        <family val="3"/>
        <charset val="128"/>
        <scheme val="minor"/>
      </rPr>
      <t>全15回のうちの第6回以降ではExcelを用いた対面式のデータ分析演習</t>
    </r>
    <r>
      <rPr>
        <sz val="12"/>
        <color theme="1"/>
        <rFont val="ＭＳ Ｐゴシック"/>
        <family val="3"/>
        <charset val="128"/>
        <scheme val="minor"/>
      </rPr>
      <t>を学生所属学部の教員の解説とTAのサポートのもとで受講し、データを実際に扱う経験を積むことに重点を置いた構成になっている。また、最後の2回についてはデータ分析演習回とし、数理・データサイエンス教育センターが用意したモデル教材を用いて探索的データ分析・回帰分析を復習して重回帰分析を修得させることでも、</t>
    </r>
    <r>
      <rPr>
        <u/>
        <sz val="12"/>
        <color theme="1"/>
        <rFont val="ＭＳ Ｐゴシック"/>
        <family val="3"/>
        <charset val="128"/>
        <scheme val="minor"/>
      </rPr>
      <t>所属学部の学生が興味をもつテーマでの演習をとおして理解を深めさせる</t>
    </r>
    <r>
      <rPr>
        <sz val="12"/>
        <color theme="1"/>
        <rFont val="ＭＳ Ｐゴシック"/>
        <family val="3"/>
        <charset val="128"/>
        <scheme val="minor"/>
      </rPr>
      <t>ことでもよいとしており、学修内容に教員の裁量による自由度を持たせている。また、データ分析演習に先行して、第4回の講義でPPDACフレームワークを滋賀県のEBPM事例の紹介で教授することで、</t>
    </r>
    <r>
      <rPr>
        <u/>
        <sz val="12"/>
        <color theme="1"/>
        <rFont val="ＭＳ Ｐゴシック"/>
        <family val="3"/>
        <charset val="128"/>
        <scheme val="minor"/>
      </rPr>
      <t>課題解決のためのデータ分析</t>
    </r>
    <r>
      <rPr>
        <sz val="12"/>
        <color theme="1"/>
        <rFont val="ＭＳ Ｐゴシック"/>
        <family val="3"/>
        <charset val="128"/>
        <scheme val="minor"/>
      </rPr>
      <t>であることを明確にした授業構成となっている。
「地域学ゼミナール」は、平成28年度より全学で開講された</t>
    </r>
    <r>
      <rPr>
        <u/>
        <sz val="12"/>
        <color theme="1"/>
        <rFont val="ＭＳ Ｐゴシック"/>
        <family val="3"/>
        <charset val="128"/>
        <scheme val="minor"/>
      </rPr>
      <t>地域をテーマにしたPBLを行う授業</t>
    </r>
    <r>
      <rPr>
        <sz val="12"/>
        <color theme="1"/>
        <rFont val="ＭＳ Ｐゴシック"/>
        <family val="3"/>
        <charset val="128"/>
        <scheme val="minor"/>
      </rPr>
      <t>である。この地域課題の解決を志向するという点に、産業界を含む地域社会からの要請があり、それに応えるための授業としてデザインされた。その科目内容を</t>
    </r>
    <r>
      <rPr>
        <u/>
        <sz val="12"/>
        <color theme="1"/>
        <rFont val="ＭＳ Ｐゴシック"/>
        <family val="3"/>
        <charset val="128"/>
        <scheme val="minor"/>
      </rPr>
      <t>エビデンスに基づいた解決策の必要性とデータサイエンスの目的である課題解決を踏まえ</t>
    </r>
    <r>
      <rPr>
        <sz val="12"/>
        <color theme="1"/>
        <rFont val="ＭＳ Ｐゴシック"/>
        <family val="3"/>
        <charset val="128"/>
        <scheme val="minor"/>
      </rPr>
      <t>、数理・データサイエンス教育の要素を取り入れた改善を行い、令和3年度に試行科目を実施し、令和4年度から本プログラムの科目として全学で展開される。PPDACフレームワークについて復習したのち、第5回から第9回にかけてデータ収集・分析演習を行い、9つの地域課題（「白神山地魅力再発見—白神山地観光客数の減少を食い止めろ—」「身近なところから短命県返上-弘大生の生活習慣病リスクゼロに挑戦-」など）からひとつ選択してPBLに取り組む。
【応用基礎との接続】
「データサイエンス基礎」では探索的データ分析・統計・回帰分析などのモデルカリキュラムの選択も一部含む。2年次以降に開講される応用基礎レベルの科目では</t>
    </r>
    <r>
      <rPr>
        <u/>
        <sz val="12"/>
        <color theme="1"/>
        <rFont val="ＭＳ Ｐゴシック"/>
        <family val="3"/>
        <charset val="128"/>
        <scheme val="minor"/>
      </rPr>
      <t>、データサイエンス基礎で学んだことをPythonを用いたプログラミングにより復習することから始める</t>
    </r>
    <r>
      <rPr>
        <sz val="12"/>
        <color theme="1"/>
        <rFont val="ＭＳ Ｐゴシック"/>
        <family val="3"/>
        <charset val="128"/>
        <scheme val="minor"/>
      </rPr>
      <t>ことで、応用基礎レベルの科目ともシームレスに連携できるカリキュラムとなっている。
【履修計画】
令和4年度からの全学必修化により令和6年度には72％の履修率</t>
    </r>
    <r>
      <rPr>
        <u/>
        <sz val="12"/>
        <color theme="1"/>
        <rFont val="ＭＳ Ｐゴシック"/>
        <family val="3"/>
        <charset val="128"/>
        <scheme val="minor"/>
      </rPr>
      <t>、令和9年度の医学部医学科学生の履修により、100％の履修率</t>
    </r>
    <r>
      <rPr>
        <sz val="12"/>
        <color theme="1"/>
        <rFont val="ＭＳ Ｐゴシック"/>
        <family val="3"/>
        <charset val="128"/>
        <scheme val="minor"/>
      </rPr>
      <t xml:space="preserve">となる見込みである。
</t>
    </r>
    <phoneticPr fontId="1"/>
  </si>
  <si>
    <t>学生への学習支援</t>
    <rPh sb="0" eb="2">
      <t>ガクセイ</t>
    </rPh>
    <rPh sb="4" eb="6">
      <t>ガクシュウ</t>
    </rPh>
    <rPh sb="6" eb="8">
      <t>シエン</t>
    </rPh>
    <phoneticPr fontId="1"/>
  </si>
  <si>
    <r>
      <t>本プログラムでは、以下の独自の学習支援を実施している。
【情報システム利用ガイダンスによる学習環境のスムースな導入】
本学では令和3年度より学生が自分のパソコンを用意することを推奨し、令和4年度から必須としている。それに伴い、</t>
    </r>
    <r>
      <rPr>
        <u/>
        <sz val="12"/>
        <color theme="1"/>
        <rFont val="ＭＳ Ｐゴシック"/>
        <family val="3"/>
        <charset val="128"/>
        <scheme val="minor"/>
      </rPr>
      <t>情報基盤センターでは授業開始前に情報システム利用ガイダンスを実施し、多要素認証やオンライン授業では必須となるMoodle(LMS)・Teams・出席管理システム(Campus Square)の利用に支障がない</t>
    </r>
    <r>
      <rPr>
        <sz val="12"/>
        <color theme="1"/>
        <rFont val="ＭＳ Ｐゴシック"/>
        <family val="3"/>
        <charset val="128"/>
        <scheme val="minor"/>
      </rPr>
      <t xml:space="preserve">ようにしている。また、「データサイエンス基礎」の初回に学生にPCを持参させ、ガイダンスの実施内容の確認と学生のPCにインストールしたMicrosoft OfficeのExcelの起動確認と簡単な操作の練習を行っている。
【学習支援システムとしてMoodleコースに講義動画・演習解説動画を用意】
</t>
    </r>
    <r>
      <rPr>
        <u/>
        <sz val="12"/>
        <color theme="1"/>
        <rFont val="ＭＳ Ｐゴシック"/>
        <family val="3"/>
        <charset val="128"/>
        <scheme val="minor"/>
      </rPr>
      <t>本プログラムの「データサイエンス基礎」は数理・データサイエンス教育センターがMoodle上にコースを用意</t>
    </r>
    <r>
      <rPr>
        <sz val="12"/>
        <color theme="1"/>
        <rFont val="ＭＳ Ｐゴシック"/>
        <family val="3"/>
        <charset val="128"/>
        <scheme val="minor"/>
      </rPr>
      <t>している。受講生の履修管理、課題提出、小テスト、授業アンケートなどをコース上で一括して管理し、数理・データサイエンス教育センター教員と担当教員が受講生の理解度・習熟度を的確に把握することが可能となっている。また、授業スライド、授業動画、データ分析演習課題・課題解説動画を掲載することで、</t>
    </r>
    <r>
      <rPr>
        <u/>
        <sz val="12"/>
        <color theme="1"/>
        <rFont val="ＭＳ Ｐゴシック"/>
        <family val="3"/>
        <charset val="128"/>
        <scheme val="minor"/>
      </rPr>
      <t>授業の予復習とパソコン操作で分からないことも動画で確認</t>
    </r>
    <r>
      <rPr>
        <sz val="12"/>
        <color theme="1"/>
        <rFont val="ＭＳ Ｐゴシック"/>
        <family val="3"/>
        <charset val="128"/>
        <scheme val="minor"/>
      </rPr>
      <t>できる体制としている。
【授業内外のサポート】
「データサイエンス基礎」は学生の</t>
    </r>
    <r>
      <rPr>
        <u/>
        <sz val="12"/>
        <color theme="1"/>
        <rFont val="ＭＳ Ｐゴシック"/>
        <family val="3"/>
        <charset val="128"/>
        <scheme val="minor"/>
      </rPr>
      <t>所属部局の教員が担当</t>
    </r>
    <r>
      <rPr>
        <sz val="12"/>
        <color theme="1"/>
        <rFont val="ＭＳ Ｐゴシック"/>
        <family val="3"/>
        <charset val="128"/>
        <scheme val="minor"/>
      </rPr>
      <t>するため、授業内およびオフィスアワーなどで履修上の問題には迅速に対応でき、また、教材を学生の興味に合わせて変更することもできる。</t>
    </r>
    <r>
      <rPr>
        <u/>
        <sz val="12"/>
        <color theme="1"/>
        <rFont val="ＭＳ Ｐゴシック"/>
        <family val="3"/>
        <charset val="128"/>
        <scheme val="minor"/>
      </rPr>
      <t>対面授業でのパソコン演習では学生の20人から25人に1人のパソコンに習熟したTAを配置</t>
    </r>
    <r>
      <rPr>
        <sz val="12"/>
        <color theme="1"/>
        <rFont val="ＭＳ Ｐゴシック"/>
        <family val="3"/>
        <charset val="128"/>
        <scheme val="minor"/>
      </rPr>
      <t>することで、パソコン操作の細かな指導にも対応している。授業担当TAにはFDを実施し、業務内容を明確にしている。授業外では</t>
    </r>
    <r>
      <rPr>
        <u/>
        <sz val="12"/>
        <color theme="1"/>
        <rFont val="ＭＳ Ｐゴシック"/>
        <family val="3"/>
        <charset val="128"/>
        <scheme val="minor"/>
      </rPr>
      <t>、学習サロンに相談コーナー</t>
    </r>
    <r>
      <rPr>
        <sz val="12"/>
        <color theme="1"/>
        <rFont val="ＭＳ Ｐゴシック"/>
        <family val="3"/>
        <charset val="128"/>
        <scheme val="minor"/>
      </rPr>
      <t>を設けて、学部生が相談に乗る他、数理・データサイエンス教育センターの</t>
    </r>
    <r>
      <rPr>
        <u/>
        <sz val="12"/>
        <color theme="1"/>
        <rFont val="ＭＳ Ｐゴシック"/>
        <family val="3"/>
        <charset val="128"/>
        <scheme val="minor"/>
      </rPr>
      <t>WEBサイトには、学生からの質問に対する解答をQ&amp;A</t>
    </r>
    <r>
      <rPr>
        <sz val="12"/>
        <color theme="1"/>
        <rFont val="ＭＳ Ｐゴシック"/>
        <family val="3"/>
        <charset val="128"/>
        <scheme val="minor"/>
      </rPr>
      <t>としてまとめている。
【分析・プログラミング環境の提供】
マイクロソフト社との</t>
    </r>
    <r>
      <rPr>
        <u/>
        <sz val="12"/>
        <color theme="1"/>
        <rFont val="ＭＳ Ｐゴシック"/>
        <family val="3"/>
        <charset val="128"/>
        <scheme val="minor"/>
      </rPr>
      <t>包括契約により</t>
    </r>
    <r>
      <rPr>
        <sz val="12"/>
        <color theme="1"/>
        <rFont val="ＭＳ Ｐゴシック"/>
        <family val="3"/>
        <charset val="128"/>
        <scheme val="minor"/>
      </rPr>
      <t>Office365の利用と自身のパソコンにダウンロード版Officeのインストールが可能となって、</t>
    </r>
    <r>
      <rPr>
        <u/>
        <sz val="12"/>
        <color theme="1"/>
        <rFont val="ＭＳ Ｐゴシック"/>
        <family val="3"/>
        <charset val="128"/>
        <scheme val="minor"/>
      </rPr>
      <t>全学生がExcelを用いたデータ分析が可能</t>
    </r>
    <r>
      <rPr>
        <sz val="12"/>
        <color theme="1"/>
        <rFont val="ＭＳ Ｐゴシック"/>
        <family val="3"/>
        <charset val="128"/>
        <scheme val="minor"/>
      </rPr>
      <t>となっている。また、</t>
    </r>
    <r>
      <rPr>
        <u/>
        <sz val="12"/>
        <color theme="1"/>
        <rFont val="ＭＳ Ｐゴシック"/>
        <family val="3"/>
        <charset val="128"/>
        <scheme val="minor"/>
      </rPr>
      <t>情報基盤センターではJupyter HUBを用意</t>
    </r>
    <r>
      <rPr>
        <sz val="12"/>
        <color theme="1"/>
        <rFont val="ＭＳ Ｐゴシック"/>
        <family val="3"/>
        <charset val="128"/>
        <scheme val="minor"/>
      </rPr>
      <t>し、オンラインでPython、R、C、Fortranなどの</t>
    </r>
    <r>
      <rPr>
        <u/>
        <sz val="12"/>
        <color theme="1"/>
        <rFont val="ＭＳ Ｐゴシック"/>
        <family val="3"/>
        <charset val="128"/>
        <scheme val="minor"/>
      </rPr>
      <t>プログラミング言語が利用可能な環境を提供</t>
    </r>
    <r>
      <rPr>
        <sz val="12"/>
        <color theme="1"/>
        <rFont val="ＭＳ Ｐゴシック"/>
        <family val="3"/>
        <charset val="128"/>
        <scheme val="minor"/>
      </rPr>
      <t>し、ＷＥＢサイトに各プログラミング言語の基本教材を用意してプログラミング学習をサポートしている。Pythonの環境は2年次以降の</t>
    </r>
    <r>
      <rPr>
        <u/>
        <sz val="12"/>
        <color theme="1"/>
        <rFont val="ＭＳ Ｐゴシック"/>
        <family val="3"/>
        <charset val="128"/>
        <scheme val="minor"/>
      </rPr>
      <t>応用基礎レベルの授業科目で利用</t>
    </r>
    <r>
      <rPr>
        <sz val="12"/>
        <color theme="1"/>
        <rFont val="ＭＳ Ｐゴシック"/>
        <family val="3"/>
        <charset val="128"/>
        <scheme val="minor"/>
      </rPr>
      <t>する。</t>
    </r>
    <rPh sb="330" eb="334">
      <t>ガクシュウシエン</t>
    </rPh>
    <rPh sb="466" eb="468">
      <t>スウリ</t>
    </rPh>
    <rPh sb="477" eb="479">
      <t>キョウイク</t>
    </rPh>
    <rPh sb="483" eb="485">
      <t>キョウイン</t>
    </rPh>
    <rPh sb="738" eb="740">
      <t>シュウジュク</t>
    </rPh>
    <rPh sb="774" eb="778">
      <t>ジュギョウタントウ</t>
    </rPh>
    <rPh sb="785" eb="787">
      <t>ジッシ</t>
    </rPh>
    <rPh sb="789" eb="793">
      <t>ギョウムナイヨウ</t>
    </rPh>
    <rPh sb="794" eb="796">
      <t>メイカク</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</si>
  <si>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</si>
  <si>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r>
      <t>本プログラムでは、以下のような外部連携を実施している。
【教材の提供準備】
モデルカリキュラムに基づいた内容の</t>
    </r>
    <r>
      <rPr>
        <u/>
        <sz val="12"/>
        <color theme="1"/>
        <rFont val="ＭＳ Ｐゴシック"/>
        <family val="3"/>
        <charset val="128"/>
        <scheme val="minor"/>
      </rPr>
      <t>「データサイエンス基礎」の教材</t>
    </r>
    <r>
      <rPr>
        <sz val="12"/>
        <color theme="1"/>
        <rFont val="ＭＳ Ｐゴシック"/>
        <family val="3"/>
        <charset val="128"/>
        <scheme val="minor"/>
      </rPr>
      <t>（講義スライドとその講義動画、演習課題と演習解説動画）を配布する準備は完了し</t>
    </r>
    <r>
      <rPr>
        <u/>
        <sz val="12"/>
        <color theme="1"/>
        <rFont val="ＭＳ Ｐゴシック"/>
        <family val="3"/>
        <charset val="128"/>
        <scheme val="minor"/>
      </rPr>
      <t>提供可能であることを数理・データサイエンス教育センターのホームページで周知</t>
    </r>
    <r>
      <rPr>
        <sz val="12"/>
        <color theme="1"/>
        <rFont val="ＭＳ Ｐゴシック"/>
        <family val="3"/>
        <charset val="128"/>
        <scheme val="minor"/>
      </rPr>
      <t>している。今後、学都ひろさきコンソーシアムに参加する教育機関やその他の一般の</t>
    </r>
    <r>
      <rPr>
        <u/>
        <sz val="12"/>
        <color theme="1"/>
        <rFont val="ＭＳ Ｐゴシック"/>
        <family val="3"/>
        <charset val="128"/>
        <scheme val="minor"/>
      </rPr>
      <t>教育機関に無償で提供</t>
    </r>
    <r>
      <rPr>
        <sz val="12"/>
        <color theme="1"/>
        <rFont val="ＭＳ Ｐゴシック"/>
        <family val="3"/>
        <charset val="128"/>
        <scheme val="minor"/>
      </rPr>
      <t>すること、</t>
    </r>
    <r>
      <rPr>
        <u/>
        <sz val="12"/>
        <color theme="1"/>
        <rFont val="ＭＳ Ｐゴシック"/>
        <family val="3"/>
        <charset val="128"/>
        <scheme val="minor"/>
      </rPr>
      <t>地域の社会人のリカレント教育での活用</t>
    </r>
    <r>
      <rPr>
        <sz val="12"/>
        <color theme="1"/>
        <rFont val="ＭＳ Ｐゴシック"/>
        <family val="3"/>
        <charset val="128"/>
        <scheme val="minor"/>
      </rPr>
      <t xml:space="preserve">を考えている。
また、「データサイエンス基礎」の内容に沿ったテキストを数理・データサイエンス教育センター所属の教員が弘前大学出版会から出版準備中であり、令和5年度の授業から教科書として採用予定である。
【医療ビッグデータの提供】
弘前大学は弘前市などと協力し、「短命県返上」を目的に2005年度から弘前市(岩木地区) において、「岩木健康増進プロジェクト(大規模住民合同健診)」を実施し、頭からつま先・ゲノム・腸内細菌・軽度認知障害までカバーする多様な検査項目(3,000項目超)を17年以上蓄積し、予防医療に関する研究や学生のデータサイエンス教育だけでなく産官学民連携による社会実装まで行ってきた。また、医療ビッグデータの利活用促進のため、弘前市と弘前大学、日本医師会医療情報管理機構(J-MIMO)が「次世代医療基盤法に基づく医療情報提供契約」を、2021年５月27日に締結した。これにより市民の健診や診療などに関する情報を、認定事業者が高いセキュリティーを確保した上で名寄せし、匿名加工して研究機関に提供することが可能となり、岩木地区における健診データと併せ医療データをより複合的に分析することが可能となった。匿名化におけるセキュリティーは、日本の医療分野で最も厳しいレベルの基準をクリアしている。研究成果を弘前市にフィードバックすることで、市の健康政策に反映させ、医療費の抑制に向けた解析にもつなげていく。
 【地域課題のPBL】
</t>
    </r>
    <r>
      <rPr>
        <u/>
        <sz val="12"/>
        <color theme="1"/>
        <rFont val="ＭＳ Ｐゴシック"/>
        <family val="3"/>
        <charset val="128"/>
        <scheme val="minor"/>
      </rPr>
      <t>地域活性化と学生の地元定着に向けた本学のCOC+事業「オール青森で取り組む「地域創成人財」育成・定着事業」</t>
    </r>
    <r>
      <rPr>
        <sz val="12"/>
        <color theme="1"/>
        <rFont val="ＭＳ Ｐゴシック"/>
        <family val="3"/>
        <charset val="128"/>
        <scheme val="minor"/>
      </rPr>
      <t>の事業がその目的を十分に達成できたと評価され、</t>
    </r>
    <r>
      <rPr>
        <u/>
        <sz val="12"/>
        <color theme="1"/>
        <rFont val="ＭＳ Ｐゴシック"/>
        <family val="3"/>
        <charset val="128"/>
        <scheme val="minor"/>
      </rPr>
      <t>最上位評価の「Ｓ」評価</t>
    </r>
    <r>
      <rPr>
        <sz val="12"/>
        <color theme="1"/>
        <rFont val="ＭＳ Ｐゴシック"/>
        <family val="3"/>
        <charset val="128"/>
        <scheme val="minor"/>
      </rPr>
      <t>を獲得した。
【人文社会科学部の専門教育でのPBL】
「地域学ゼミナール」で学ぶ</t>
    </r>
    <r>
      <rPr>
        <u/>
        <sz val="12"/>
        <color theme="1"/>
        <rFont val="ＭＳ Ｐゴシック"/>
        <family val="3"/>
        <charset val="128"/>
        <scheme val="minor"/>
      </rPr>
      <t>地域課題のPBLを専門教育でも行う</t>
    </r>
    <r>
      <rPr>
        <sz val="12"/>
        <color theme="1"/>
        <rFont val="ＭＳ Ｐゴシック"/>
        <family val="3"/>
        <charset val="128"/>
        <scheme val="minor"/>
      </rPr>
      <t>のが本学の人文社会科学部の特色である。経済法律・企業戦略・地域行動の3つのコースがあり、それぞれのコースでPBLを行っている。自治体の政策の検討（「婚活推進事業」「青森ブランド事業」）、企業との長期の協同でのさまざまな課題解決（コミュニティーカフェの「SNSを活用した顔が見える関係性の構築」「青森県の発明のPR」「学生のバスの需要調査」）、地域社会の未来の構想（「大人の小学校」「ヒトリノ鶴田」）を行う中で、データサイエンスを駆使している。
企業戦略コースの実績紹介
https://human.hirosaki-u.ac.jp/facultycourse/4/jissyu.html
また、人文社会科学部以外の学部・研究科でもそれぞれの学科でデータサイエンスを地域課題解決に役立てている。</t>
    </r>
    <rPh sb="69" eb="71">
      <t>キョウザイ</t>
    </rPh>
    <rPh sb="109" eb="113">
      <t>テイキョウカノウ</t>
    </rPh>
    <rPh sb="119" eb="121">
      <t>スウリ</t>
    </rPh>
    <rPh sb="130" eb="132">
      <t>キョウイク</t>
    </rPh>
    <rPh sb="144" eb="146">
      <t>シュウチ</t>
    </rPh>
    <rPh sb="199" eb="201">
      <t>チイキ</t>
    </rPh>
    <rPh sb="202" eb="205">
      <t>シャカイジン</t>
    </rPh>
    <rPh sb="211" eb="213">
      <t>キョウイク</t>
    </rPh>
    <rPh sb="215" eb="217">
      <t>カツヨウ</t>
    </rPh>
    <rPh sb="941" eb="942">
      <t>ブ</t>
    </rPh>
    <rPh sb="986" eb="988">
      <t>ホンガク</t>
    </rPh>
    <rPh sb="997" eb="999">
      <t>トクショク</t>
    </rPh>
    <rPh sb="1206" eb="1210">
      <t>キギョウセンリャク</t>
    </rPh>
    <rPh sb="1214" eb="1216">
      <t>ジッセキ</t>
    </rPh>
    <rPh sb="1216" eb="1218">
      <t>ショウカイ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</si>
</sst>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2"/>
      <color theme="1"/>
      <name val="ＭＳ Ｐゴシック"/>
      <family val="3"/>
      <charset val="128"/>
      <scheme val="minor"/>
    </font>
    <font>
      <sz val="12"/>
      <color rgb="FF000000"/>
      <name val="ＭＳ Ｐゴシック"/>
      <family val="3"/>
      <charset val="128"/>
      <scheme val="minor"/>
    </font>
    <font>
      <sz val="9"/>
      <name val="ＭＳ Ｐゴシック"/>
      <family val="2"/>
      <charset val="128"/>
      <scheme val="minor"/>
    </font>
    <font>
      <u/>
      <sz val="12"/>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345">
    <xf numFmtId="0" fontId="0" fillId="0" borderId="0" xfId="0">
      <alignment vertical="center"/>
    </xf>
    <xf numFmtId="0" fontId="2" fillId="0" borderId="0" xfId="0" applyFont="1">
      <alignment vertical="center"/>
    </xf>
    <xf numFmtId="0" fontId="3" fillId="0" borderId="0" xfId="0" applyFont="1">
      <alignment vertical="center"/>
    </xf>
    <xf numFmtId="176" fontId="6" fillId="0" borderId="0" xfId="0" applyNumberFormat="1" applyFont="1" applyBorder="1">
      <alignment vertical="center"/>
    </xf>
    <xf numFmtId="176" fontId="6" fillId="0" borderId="3" xfId="0" applyNumberFormat="1" applyFont="1" applyBorder="1" applyAlignment="1">
      <alignment vertical="center" shrinkToFit="1"/>
    </xf>
    <xf numFmtId="0" fontId="6" fillId="0" borderId="0" xfId="0" applyFont="1" applyBorder="1" applyAlignment="1">
      <alignment horizontal="center"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Border="1" applyAlignment="1">
      <alignment vertical="center"/>
    </xf>
    <xf numFmtId="0" fontId="6" fillId="0" borderId="5" xfId="0" applyFont="1" applyBorder="1">
      <alignment vertical="center"/>
    </xf>
    <xf numFmtId="176" fontId="6" fillId="0" borderId="0" xfId="0" applyNumberFormat="1" applyFont="1" applyBorder="1" applyAlignment="1">
      <alignment vertical="center" wrapText="1"/>
    </xf>
    <xf numFmtId="0" fontId="6" fillId="0" borderId="0" xfId="0" applyFont="1" applyBorder="1">
      <alignment vertical="center"/>
    </xf>
    <xf numFmtId="176" fontId="6" fillId="0" borderId="5" xfId="0" applyNumberFormat="1" applyFont="1" applyBorder="1" applyAlignment="1">
      <alignment vertical="center"/>
    </xf>
    <xf numFmtId="176" fontId="6" fillId="0" borderId="0" xfId="0" applyNumberFormat="1" applyFont="1" applyAlignment="1">
      <alignment vertical="center" wrapText="1"/>
    </xf>
    <xf numFmtId="176" fontId="6" fillId="0" borderId="0" xfId="0" applyNumberFormat="1" applyFont="1" applyAlignment="1">
      <alignment horizontal="left" vertical="center" wrapText="1"/>
    </xf>
    <xf numFmtId="0" fontId="6" fillId="0" borderId="6" xfId="0" applyFont="1" applyBorder="1" applyAlignment="1">
      <alignment vertical="center" shrinkToFit="1"/>
    </xf>
    <xf numFmtId="0" fontId="6" fillId="0" borderId="1" xfId="0" applyFont="1" applyBorder="1">
      <alignment vertical="center"/>
    </xf>
    <xf numFmtId="0" fontId="6" fillId="0" borderId="2" xfId="0" applyFont="1" applyBorder="1">
      <alignment vertical="center"/>
    </xf>
    <xf numFmtId="0" fontId="6" fillId="0" borderId="4" xfId="0" applyFont="1" applyBorder="1">
      <alignment vertical="center"/>
    </xf>
    <xf numFmtId="0" fontId="6" fillId="0" borderId="0" xfId="0" applyFont="1" applyAlignment="1">
      <alignment horizontal="center" vertical="center"/>
    </xf>
    <xf numFmtId="0" fontId="6" fillId="0" borderId="1" xfId="0" applyFont="1" applyBorder="1" applyAlignment="1">
      <alignment vertical="center" shrinkToFit="1"/>
    </xf>
    <xf numFmtId="0" fontId="8" fillId="0" borderId="0" xfId="0" applyFont="1">
      <alignment vertical="center"/>
    </xf>
    <xf numFmtId="0" fontId="9" fillId="0" borderId="0" xfId="0" applyFont="1">
      <alignment vertical="center"/>
    </xf>
    <xf numFmtId="0" fontId="3" fillId="0" borderId="0" xfId="0" applyFont="1" applyAlignment="1">
      <alignment horizontal="center"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6" fillId="0" borderId="0" xfId="0" applyFont="1" applyFill="1">
      <alignment vertical="center"/>
    </xf>
    <xf numFmtId="0" fontId="6" fillId="0" borderId="10" xfId="0" applyFont="1" applyBorder="1" applyAlignment="1">
      <alignment vertical="center" shrinkToFit="1"/>
    </xf>
    <xf numFmtId="49" fontId="15" fillId="0" borderId="1" xfId="0" applyNumberFormat="1" applyFont="1" applyBorder="1" applyAlignment="1">
      <alignment horizontal="center" vertical="center"/>
    </xf>
    <xf numFmtId="0" fontId="6" fillId="0" borderId="0" xfId="0" applyFont="1" applyAlignment="1">
      <alignment vertical="center" shrinkToFit="1"/>
    </xf>
    <xf numFmtId="0" fontId="6" fillId="0" borderId="0" xfId="0" applyFont="1" applyAlignment="1">
      <alignment vertical="top" wrapText="1"/>
    </xf>
    <xf numFmtId="0" fontId="7" fillId="0" borderId="2" xfId="0" applyFont="1" applyBorder="1">
      <alignment vertical="center"/>
    </xf>
    <xf numFmtId="0" fontId="7" fillId="0" borderId="4" xfId="0" applyFont="1" applyBorder="1">
      <alignment vertical="center"/>
    </xf>
    <xf numFmtId="49" fontId="15" fillId="0" borderId="47" xfId="0" applyNumberFormat="1" applyFont="1" applyBorder="1" applyAlignment="1">
      <alignment horizontal="center" vertical="center"/>
    </xf>
    <xf numFmtId="49" fontId="15" fillId="0" borderId="33" xfId="0" applyNumberFormat="1" applyFont="1" applyBorder="1" applyAlignment="1">
      <alignment horizontal="center" vertical="center"/>
    </xf>
    <xf numFmtId="49" fontId="15" fillId="0" borderId="50" xfId="0" applyNumberFormat="1" applyFont="1" applyBorder="1" applyAlignment="1">
      <alignment horizontal="center" vertical="center"/>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49" fontId="15"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6" fillId="0" borderId="7" xfId="0" applyFont="1" applyBorder="1" applyAlignment="1">
      <alignment horizontal="center" vertical="center" wrapText="1" shrinkToFit="1"/>
    </xf>
    <xf numFmtId="9" fontId="6" fillId="0" borderId="8" xfId="0" applyNumberFormat="1" applyFont="1" applyBorder="1" applyAlignment="1">
      <alignment horizontal="center" vertical="center" wrapText="1" shrinkToFit="1"/>
    </xf>
    <xf numFmtId="0" fontId="6" fillId="0" borderId="8" xfId="0"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0" fontId="6" fillId="0" borderId="9" xfId="0" applyFont="1" applyBorder="1" applyAlignment="1">
      <alignment horizontal="center" vertical="center" shrinkToFit="1"/>
    </xf>
    <xf numFmtId="9" fontId="6" fillId="0" borderId="45" xfId="0" applyNumberFormat="1" applyFont="1" applyBorder="1" applyAlignment="1">
      <alignment horizontal="center" vertical="center" shrinkToFit="1"/>
    </xf>
    <xf numFmtId="176" fontId="6" fillId="0" borderId="45" xfId="0" applyNumberFormat="1" applyFont="1" applyBorder="1" applyAlignment="1">
      <alignment horizontal="center" vertical="center" shrinkToFit="1"/>
    </xf>
    <xf numFmtId="0" fontId="6" fillId="0" borderId="46" xfId="0" applyFont="1" applyBorder="1" applyAlignment="1">
      <alignment horizontal="center" vertical="center" shrinkToFit="1"/>
    </xf>
    <xf numFmtId="49" fontId="15" fillId="0" borderId="52" xfId="0" applyNumberFormat="1" applyFont="1" applyBorder="1" applyAlignment="1">
      <alignment horizontal="center" vertical="center"/>
    </xf>
    <xf numFmtId="49" fontId="15" fillId="0" borderId="29" xfId="0" applyNumberFormat="1" applyFont="1" applyBorder="1" applyAlignment="1">
      <alignment horizontal="center" vertical="center"/>
    </xf>
    <xf numFmtId="0" fontId="18" fillId="0" borderId="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3" fillId="0" borderId="0" xfId="0" applyFont="1" applyBorder="1" applyAlignment="1">
      <alignment vertical="center" shrinkToFit="1"/>
    </xf>
    <xf numFmtId="0" fontId="6" fillId="0" borderId="43" xfId="0" applyFont="1" applyBorder="1" applyAlignment="1">
      <alignment horizontal="center" vertical="center" shrinkToFit="1"/>
    </xf>
    <xf numFmtId="0" fontId="6" fillId="0" borderId="1" xfId="0" applyFont="1" applyFill="1" applyBorder="1" applyAlignment="1">
      <alignment horizontal="center" vertical="center" shrinkToFit="1"/>
    </xf>
    <xf numFmtId="0" fontId="6" fillId="0" borderId="14" xfId="0" applyFont="1" applyFill="1" applyBorder="1" applyAlignment="1">
      <alignment horizontal="center" vertical="center" shrinkToFit="1"/>
    </xf>
    <xf numFmtId="0" fontId="6" fillId="0" borderId="23" xfId="0" applyFont="1" applyFill="1" applyBorder="1" applyAlignment="1">
      <alignment horizontal="center" vertical="center" shrinkToFit="1"/>
    </xf>
    <xf numFmtId="0" fontId="6" fillId="0" borderId="0" xfId="0" applyFont="1" applyFill="1" applyAlignment="1">
      <alignment horizontal="center" vertical="center"/>
    </xf>
    <xf numFmtId="0" fontId="6" fillId="0" borderId="13" xfId="0" applyFont="1" applyFill="1" applyBorder="1" applyAlignment="1">
      <alignment horizontal="center" vertical="center" shrinkToFit="1"/>
    </xf>
    <xf numFmtId="0" fontId="6" fillId="0" borderId="43" xfId="0" applyFont="1" applyFill="1" applyBorder="1" applyAlignment="1">
      <alignment horizontal="center" vertical="center" shrinkToFit="1"/>
    </xf>
    <xf numFmtId="0" fontId="6" fillId="0" borderId="0" xfId="0" applyFont="1" applyFill="1" applyAlignment="1">
      <alignment vertical="center" shrinkToFit="1"/>
    </xf>
    <xf numFmtId="0" fontId="6" fillId="0" borderId="1" xfId="0" applyFont="1" applyFill="1" applyBorder="1" applyAlignment="1">
      <alignment vertical="center" shrinkToFit="1"/>
    </xf>
    <xf numFmtId="0" fontId="18" fillId="0" borderId="4" xfId="0" applyFont="1" applyFill="1" applyBorder="1" applyAlignment="1">
      <alignment horizontal="center" vertical="center" shrinkToFit="1"/>
    </xf>
    <xf numFmtId="49" fontId="15" fillId="0" borderId="1" xfId="0" applyNumberFormat="1" applyFont="1" applyFill="1" applyBorder="1" applyAlignment="1">
      <alignment horizontal="center" vertical="center"/>
    </xf>
    <xf numFmtId="0" fontId="7" fillId="0" borderId="0" xfId="0" applyFont="1" applyFill="1">
      <alignment vertical="center"/>
    </xf>
    <xf numFmtId="0" fontId="6" fillId="0" borderId="0" xfId="0" applyFont="1" applyFill="1" applyAlignment="1">
      <alignment vertical="top" wrapText="1"/>
    </xf>
    <xf numFmtId="0" fontId="6" fillId="0" borderId="2" xfId="0" applyFont="1" applyFill="1" applyBorder="1" applyAlignment="1">
      <alignment vertical="center"/>
    </xf>
    <xf numFmtId="0" fontId="6" fillId="0" borderId="3" xfId="0" applyFont="1" applyFill="1" applyBorder="1" applyAlignment="1">
      <alignment vertical="center"/>
    </xf>
    <xf numFmtId="0" fontId="6" fillId="0" borderId="4" xfId="0" applyFont="1" applyFill="1" applyBorder="1" applyAlignment="1">
      <alignment vertical="center"/>
    </xf>
    <xf numFmtId="0" fontId="21" fillId="0" borderId="0" xfId="0" applyFont="1">
      <alignment vertical="center"/>
    </xf>
    <xf numFmtId="0" fontId="15" fillId="0" borderId="0" xfId="0" applyFont="1" applyAlignment="1">
      <alignment vertical="top" wrapText="1"/>
    </xf>
    <xf numFmtId="0" fontId="15" fillId="0" borderId="0" xfId="0" applyFont="1" applyAlignment="1">
      <alignment vertical="top" shrinkToFit="1"/>
    </xf>
    <xf numFmtId="0" fontId="15" fillId="0" borderId="0" xfId="0" applyFont="1" applyAlignment="1">
      <alignment vertical="center" wrapText="1"/>
    </xf>
    <xf numFmtId="0" fontId="15" fillId="0" borderId="10" xfId="0" applyFont="1" applyBorder="1" applyAlignment="1">
      <alignment vertical="top" wrapText="1"/>
    </xf>
    <xf numFmtId="0" fontId="15" fillId="0" borderId="5" xfId="0" applyFont="1" applyBorder="1" applyAlignment="1">
      <alignment vertical="top" wrapText="1"/>
    </xf>
    <xf numFmtId="0" fontId="6" fillId="0" borderId="16" xfId="0" applyFont="1" applyBorder="1">
      <alignment vertical="center"/>
    </xf>
    <xf numFmtId="0" fontId="15" fillId="0" borderId="20" xfId="0" applyFont="1" applyBorder="1" applyAlignment="1">
      <alignment vertical="top" wrapText="1"/>
    </xf>
    <xf numFmtId="0" fontId="15" fillId="0" borderId="18" xfId="0" applyFont="1" applyBorder="1" applyAlignment="1">
      <alignment vertical="top" wrapText="1"/>
    </xf>
    <xf numFmtId="0" fontId="15" fillId="0" borderId="20" xfId="0" applyFont="1" applyBorder="1" applyAlignment="1">
      <alignment vertical="top" shrinkToFit="1"/>
    </xf>
    <xf numFmtId="0" fontId="15" fillId="0" borderId="18" xfId="0" applyFont="1" applyBorder="1" applyAlignment="1">
      <alignment vertical="top" shrinkToFit="1"/>
    </xf>
    <xf numFmtId="176" fontId="6" fillId="0" borderId="5" xfId="0" applyNumberFormat="1" applyFont="1" applyBorder="1" applyAlignment="1">
      <alignment vertical="center" shrinkToFit="1"/>
    </xf>
    <xf numFmtId="176" fontId="6" fillId="0" borderId="31" xfId="0" applyNumberFormat="1" applyFont="1" applyBorder="1" applyAlignment="1">
      <alignment vertical="center" shrinkToFit="1"/>
    </xf>
    <xf numFmtId="176" fontId="6" fillId="0" borderId="32" xfId="0" applyNumberFormat="1" applyFont="1" applyBorder="1" applyAlignment="1">
      <alignment vertical="center" shrinkToFit="1"/>
    </xf>
    <xf numFmtId="176" fontId="6" fillId="0" borderId="10" xfId="0" applyNumberFormat="1" applyFont="1" applyBorder="1" applyAlignment="1">
      <alignment vertical="center" shrinkToFit="1"/>
    </xf>
    <xf numFmtId="176" fontId="6" fillId="0" borderId="19" xfId="0" applyNumberFormat="1" applyFont="1" applyBorder="1" applyAlignment="1">
      <alignment vertical="center" shrinkToFit="1"/>
    </xf>
    <xf numFmtId="176" fontId="6" fillId="0" borderId="33" xfId="0" applyNumberFormat="1" applyFont="1" applyBorder="1" applyAlignment="1">
      <alignment vertical="center" shrinkToFit="1"/>
    </xf>
    <xf numFmtId="176" fontId="6" fillId="0" borderId="34" xfId="0" applyNumberFormat="1" applyFont="1" applyBorder="1" applyAlignment="1">
      <alignment vertical="center" shrinkToFit="1"/>
    </xf>
    <xf numFmtId="176" fontId="6" fillId="0" borderId="18" xfId="0" applyNumberFormat="1" applyFont="1" applyBorder="1" applyAlignment="1">
      <alignment vertical="center" shrinkToFit="1"/>
    </xf>
    <xf numFmtId="0" fontId="6" fillId="0" borderId="0" xfId="0" applyFont="1" applyBorder="1" applyAlignment="1">
      <alignment horizontal="center" vertical="center"/>
    </xf>
    <xf numFmtId="0" fontId="6" fillId="0" borderId="0" xfId="0" applyFont="1" applyBorder="1" applyAlignment="1">
      <alignment vertical="center" shrinkToFit="1"/>
    </xf>
    <xf numFmtId="0" fontId="6" fillId="0" borderId="0" xfId="0" applyFont="1" applyAlignment="1">
      <alignment horizontal="right" vertical="center"/>
    </xf>
    <xf numFmtId="0" fontId="6" fillId="0" borderId="18" xfId="0" applyFont="1" applyBorder="1" applyAlignment="1">
      <alignment horizontal="center" vertical="center"/>
    </xf>
    <xf numFmtId="0" fontId="6" fillId="0" borderId="42" xfId="0" applyFont="1" applyBorder="1" applyAlignment="1">
      <alignment horizontal="center" vertical="center"/>
    </xf>
    <xf numFmtId="0" fontId="6" fillId="0" borderId="18" xfId="0" applyFont="1" applyFill="1" applyBorder="1" applyAlignment="1">
      <alignment horizontal="center" vertical="center"/>
    </xf>
    <xf numFmtId="0" fontId="6" fillId="0" borderId="38" xfId="0" applyFont="1" applyFill="1" applyBorder="1" applyAlignment="1">
      <alignment horizontal="center" vertical="center"/>
    </xf>
    <xf numFmtId="0" fontId="14" fillId="0" borderId="0" xfId="0" applyFont="1" applyAlignment="1">
      <alignment horizontal="center" vertical="center"/>
    </xf>
    <xf numFmtId="0" fontId="6" fillId="0" borderId="0" xfId="0" applyFont="1" applyAlignment="1">
      <alignment vertical="center" wrapText="1"/>
    </xf>
    <xf numFmtId="49" fontId="16" fillId="0" borderId="2" xfId="2" applyNumberFormat="1" applyFont="1" applyBorder="1" applyAlignment="1">
      <alignment vertical="center" shrinkToFit="1"/>
    </xf>
    <xf numFmtId="49" fontId="6" fillId="0" borderId="3" xfId="0" applyNumberFormat="1" applyFont="1" applyBorder="1" applyAlignment="1">
      <alignment vertical="center" shrinkToFit="1"/>
    </xf>
    <xf numFmtId="49" fontId="6" fillId="0" borderId="4" xfId="0" applyNumberFormat="1" applyFont="1" applyBorder="1" applyAlignment="1">
      <alignment vertical="center" shrinkToFit="1"/>
    </xf>
    <xf numFmtId="49" fontId="6" fillId="0" borderId="2" xfId="1" applyNumberFormat="1" applyFont="1" applyBorder="1" applyAlignment="1">
      <alignment horizontal="center" vertical="center" shrinkToFit="1"/>
    </xf>
    <xf numFmtId="49" fontId="6" fillId="0" borderId="3" xfId="1" applyNumberFormat="1" applyFont="1" applyBorder="1" applyAlignment="1">
      <alignment horizontal="center" vertical="center" shrinkToFit="1"/>
    </xf>
    <xf numFmtId="49" fontId="6" fillId="0" borderId="4" xfId="1" applyNumberFormat="1" applyFont="1" applyBorder="1" applyAlignment="1">
      <alignment horizontal="center" vertical="center" shrinkToFit="1"/>
    </xf>
    <xf numFmtId="0" fontId="6" fillId="0" borderId="0" xfId="0" applyFont="1" applyBorder="1" applyAlignment="1">
      <alignment horizontal="center" vertical="center"/>
    </xf>
    <xf numFmtId="0" fontId="6" fillId="0" borderId="2" xfId="0" applyFont="1" applyFill="1" applyBorder="1" applyAlignment="1">
      <alignment horizontal="center" vertical="center" shrinkToFit="1"/>
    </xf>
    <xf numFmtId="0" fontId="6" fillId="0" borderId="3" xfId="0" applyFont="1" applyFill="1" applyBorder="1" applyAlignment="1">
      <alignment horizontal="center" vertical="center" shrinkToFit="1"/>
    </xf>
    <xf numFmtId="0" fontId="6" fillId="0" borderId="4" xfId="0" applyFont="1" applyFill="1" applyBorder="1" applyAlignment="1">
      <alignment horizontal="center"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0" xfId="0" applyFont="1" applyBorder="1" applyAlignment="1">
      <alignment horizontal="right" vertical="center" shrinkToFit="1"/>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0" fontId="6" fillId="0" borderId="0" xfId="0" applyFont="1" applyAlignment="1">
      <alignment horizontal="right" vertical="center"/>
    </xf>
    <xf numFmtId="0" fontId="6" fillId="0" borderId="0" xfId="0" applyFont="1" applyBorder="1" applyAlignment="1">
      <alignment horizontal="right" vertical="center"/>
    </xf>
    <xf numFmtId="0" fontId="6" fillId="0" borderId="10" xfId="0" applyFont="1" applyBorder="1" applyAlignment="1">
      <alignment horizontal="right" vertical="center"/>
    </xf>
    <xf numFmtId="176" fontId="6" fillId="0" borderId="3" xfId="0" applyNumberFormat="1" applyFont="1" applyBorder="1" applyAlignment="1">
      <alignment horizontal="center" vertical="center" shrinkToFit="1"/>
    </xf>
    <xf numFmtId="0" fontId="10" fillId="0" borderId="0" xfId="0" applyFont="1" applyAlignment="1">
      <alignment horizontal="center" vertical="center"/>
    </xf>
    <xf numFmtId="0" fontId="6" fillId="0" borderId="2" xfId="0" applyNumberFormat="1" applyFont="1" applyBorder="1" applyAlignment="1">
      <alignment horizontal="center" vertical="center"/>
    </xf>
    <xf numFmtId="0" fontId="6" fillId="0" borderId="4" xfId="0" applyNumberFormat="1"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0" fontId="6" fillId="0" borderId="0" xfId="0" applyFont="1" applyBorder="1" applyAlignment="1">
      <alignment vertical="center" shrinkToFit="1"/>
    </xf>
    <xf numFmtId="0" fontId="6" fillId="0" borderId="37" xfId="0" applyFont="1" applyBorder="1" applyAlignment="1">
      <alignment vertical="center"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6" fillId="0" borderId="37" xfId="0" applyFont="1" applyFill="1" applyBorder="1" applyAlignment="1">
      <alignment vertical="center" shrinkToFit="1"/>
    </xf>
    <xf numFmtId="0" fontId="6" fillId="0" borderId="39" xfId="0" applyFont="1" applyFill="1" applyBorder="1" applyAlignment="1">
      <alignment vertical="center" shrinkToFit="1"/>
    </xf>
    <xf numFmtId="0" fontId="6" fillId="0" borderId="38" xfId="0" applyFont="1" applyFill="1" applyBorder="1" applyAlignment="1">
      <alignment vertical="center" shrinkToFit="1"/>
    </xf>
    <xf numFmtId="0" fontId="6" fillId="0" borderId="37" xfId="0" applyFont="1" applyFill="1" applyBorder="1" applyAlignment="1">
      <alignment horizontal="center" vertical="center" shrinkToFit="1"/>
    </xf>
    <xf numFmtId="0" fontId="6" fillId="0" borderId="39" xfId="0" applyFont="1" applyFill="1" applyBorder="1" applyAlignment="1">
      <alignment horizontal="center" vertical="center" shrinkToFit="1"/>
    </xf>
    <xf numFmtId="0" fontId="6" fillId="0" borderId="38" xfId="0" applyFont="1" applyFill="1" applyBorder="1" applyAlignment="1">
      <alignment horizontal="center" vertical="center" shrinkToFit="1"/>
    </xf>
    <xf numFmtId="0" fontId="7" fillId="0" borderId="19" xfId="0" applyFont="1" applyFill="1" applyBorder="1" applyAlignment="1">
      <alignment vertical="center" wrapText="1" shrinkToFit="1"/>
    </xf>
    <xf numFmtId="0" fontId="7" fillId="0" borderId="20" xfId="0" applyFont="1" applyFill="1" applyBorder="1" applyAlignment="1">
      <alignment vertical="center" wrapText="1" shrinkToFit="1"/>
    </xf>
    <xf numFmtId="0" fontId="7" fillId="0" borderId="18" xfId="0" applyFont="1" applyFill="1" applyBorder="1" applyAlignment="1">
      <alignment vertical="center" wrapText="1"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17" fillId="0" borderId="48" xfId="0" applyFont="1" applyBorder="1" applyAlignment="1">
      <alignment vertical="center" wrapText="1"/>
    </xf>
    <xf numFmtId="0" fontId="17" fillId="0" borderId="49" xfId="0" applyFont="1" applyBorder="1" applyAlignment="1">
      <alignment vertical="center" wrapText="1"/>
    </xf>
    <xf numFmtId="0" fontId="16" fillId="0" borderId="48" xfId="0" applyFont="1" applyBorder="1" applyAlignment="1">
      <alignment vertical="center" wrapText="1"/>
    </xf>
    <xf numFmtId="0" fontId="16" fillId="0" borderId="32" xfId="0" applyFont="1" applyBorder="1" applyAlignment="1">
      <alignment vertical="center" wrapText="1"/>
    </xf>
    <xf numFmtId="0" fontId="7" fillId="0" borderId="39" xfId="0" applyFont="1" applyFill="1" applyBorder="1" applyAlignment="1">
      <alignment vertical="center" wrapText="1" shrinkToFit="1"/>
    </xf>
    <xf numFmtId="0" fontId="7" fillId="0" borderId="38" xfId="0" applyFont="1" applyFill="1" applyBorder="1" applyAlignment="1">
      <alignment vertical="center" wrapText="1" shrinkToFit="1"/>
    </xf>
    <xf numFmtId="0" fontId="7" fillId="0" borderId="6" xfId="0" applyFont="1" applyFill="1" applyBorder="1" applyAlignment="1">
      <alignment vertical="center" wrapText="1" shrinkToFit="1"/>
    </xf>
    <xf numFmtId="0" fontId="7" fillId="0" borderId="12" xfId="0" applyFont="1" applyFill="1" applyBorder="1" applyAlignment="1">
      <alignment vertical="center" wrapText="1" shrinkToFit="1"/>
    </xf>
    <xf numFmtId="0" fontId="17" fillId="0" borderId="32" xfId="0" applyFont="1" applyBorder="1" applyAlignment="1">
      <alignment vertical="center" wrapText="1"/>
    </xf>
    <xf numFmtId="0" fontId="7" fillId="0" borderId="8" xfId="0" applyFont="1" applyFill="1" applyBorder="1" applyAlignment="1">
      <alignment vertical="center" wrapText="1" shrinkToFit="1"/>
    </xf>
    <xf numFmtId="0" fontId="7" fillId="0" borderId="9" xfId="0" applyFont="1" applyFill="1" applyBorder="1" applyAlignment="1">
      <alignment vertical="center" wrapText="1" shrinkToFi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3" xfId="0" applyFont="1" applyFill="1" applyBorder="1" applyAlignment="1">
      <alignment horizontal="center" vertical="center"/>
    </xf>
    <xf numFmtId="0" fontId="6" fillId="0" borderId="37" xfId="0" applyFont="1" applyFill="1" applyBorder="1" applyAlignment="1">
      <alignment horizontal="center" vertical="center"/>
    </xf>
    <xf numFmtId="0" fontId="6" fillId="0" borderId="39" xfId="0" applyFont="1" applyFill="1" applyBorder="1" applyAlignment="1">
      <alignment horizontal="center" vertical="center"/>
    </xf>
    <xf numFmtId="0" fontId="6" fillId="0" borderId="38" xfId="0" applyFont="1" applyFill="1" applyBorder="1" applyAlignment="1">
      <alignment horizontal="center" vertical="center"/>
    </xf>
    <xf numFmtId="0" fontId="6" fillId="0" borderId="19" xfId="0" applyFont="1" applyFill="1" applyBorder="1" applyAlignment="1">
      <alignment horizontal="center" vertical="center"/>
    </xf>
    <xf numFmtId="0" fontId="6" fillId="0" borderId="20" xfId="0" applyFont="1" applyFill="1" applyBorder="1" applyAlignment="1">
      <alignment horizontal="center" vertical="center"/>
    </xf>
    <xf numFmtId="0" fontId="6" fillId="0" borderId="18"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37" xfId="0" applyFont="1" applyFill="1" applyBorder="1" applyAlignment="1">
      <alignment horizontal="left" vertical="center" shrinkToFit="1"/>
    </xf>
    <xf numFmtId="0" fontId="6" fillId="0" borderId="39" xfId="0" applyFont="1" applyFill="1" applyBorder="1" applyAlignment="1">
      <alignment horizontal="left" vertical="center" shrinkToFit="1"/>
    </xf>
    <xf numFmtId="0" fontId="6" fillId="0" borderId="38" xfId="0" applyFont="1" applyFill="1" applyBorder="1" applyAlignment="1">
      <alignment horizontal="left" vertical="center" shrinkToFit="1"/>
    </xf>
    <xf numFmtId="0" fontId="6" fillId="0" borderId="19" xfId="0" applyFont="1" applyFill="1" applyBorder="1" applyAlignment="1">
      <alignment horizontal="left" vertical="center" shrinkToFit="1"/>
    </xf>
    <xf numFmtId="0" fontId="6" fillId="0" borderId="20" xfId="0" applyFont="1" applyFill="1" applyBorder="1" applyAlignment="1">
      <alignment horizontal="left" vertical="center" shrinkToFit="1"/>
    </xf>
    <xf numFmtId="0" fontId="6" fillId="0" borderId="18" xfId="0" applyFont="1" applyFill="1" applyBorder="1" applyAlignment="1">
      <alignment horizontal="left" vertical="center" shrinkToFit="1"/>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0" xfId="0" applyFont="1" applyAlignment="1">
      <alignment vertical="center" wrapText="1"/>
    </xf>
    <xf numFmtId="0" fontId="6" fillId="0" borderId="40" xfId="0" applyFont="1" applyFill="1" applyBorder="1" applyAlignment="1">
      <alignment horizontal="center" vertical="center"/>
    </xf>
    <xf numFmtId="0" fontId="6" fillId="0" borderId="41" xfId="0" applyFont="1" applyFill="1" applyBorder="1" applyAlignment="1">
      <alignment horizontal="center" vertical="center"/>
    </xf>
    <xf numFmtId="0" fontId="6" fillId="0" borderId="42" xfId="0" applyFont="1" applyFill="1" applyBorder="1" applyAlignment="1">
      <alignment horizontal="center" vertical="center"/>
    </xf>
    <xf numFmtId="0" fontId="6" fillId="0" borderId="0" xfId="0" applyFont="1" applyFill="1" applyAlignment="1">
      <alignment vertical="center" wrapText="1"/>
    </xf>
    <xf numFmtId="0" fontId="6" fillId="0" borderId="40" xfId="0" applyFont="1" applyFill="1" applyBorder="1" applyAlignment="1">
      <alignment horizontal="left" vertical="center" shrinkToFit="1"/>
    </xf>
    <xf numFmtId="0" fontId="6" fillId="0" borderId="41" xfId="0" applyFont="1" applyFill="1" applyBorder="1" applyAlignment="1">
      <alignment horizontal="left" vertical="center" shrinkToFit="1"/>
    </xf>
    <xf numFmtId="0" fontId="6" fillId="0" borderId="42" xfId="0" applyFont="1" applyFill="1" applyBorder="1" applyAlignment="1">
      <alignment horizontal="left" vertical="center" shrinkToFit="1"/>
    </xf>
    <xf numFmtId="0" fontId="14" fillId="0" borderId="0" xfId="0" applyFont="1" applyAlignment="1">
      <alignment horizontal="center" vertical="center"/>
    </xf>
    <xf numFmtId="0" fontId="6" fillId="0" borderId="7" xfId="0" applyFont="1" applyBorder="1" applyAlignment="1">
      <alignment horizontal="left" vertical="top" shrinkToFit="1"/>
    </xf>
    <xf numFmtId="0" fontId="6" fillId="0" borderId="8" xfId="0" applyFont="1" applyBorder="1" applyAlignment="1">
      <alignment horizontal="left" vertical="top" shrinkToFit="1"/>
    </xf>
    <xf numFmtId="0" fontId="6" fillId="0" borderId="9" xfId="0" applyFont="1" applyBorder="1" applyAlignment="1">
      <alignment horizontal="left" vertical="top" shrinkToFit="1"/>
    </xf>
    <xf numFmtId="0" fontId="6" fillId="0" borderId="5" xfId="0" applyFont="1" applyBorder="1" applyAlignment="1">
      <alignment horizontal="left" vertical="top" shrinkToFit="1"/>
    </xf>
    <xf numFmtId="0" fontId="6" fillId="0" borderId="0" xfId="0" applyFont="1" applyBorder="1" applyAlignment="1">
      <alignment horizontal="left" vertical="top" shrinkToFit="1"/>
    </xf>
    <xf numFmtId="0" fontId="6" fillId="0" borderId="10" xfId="0" applyFont="1" applyBorder="1" applyAlignment="1">
      <alignment horizontal="left" vertical="top" shrinkToFit="1"/>
    </xf>
    <xf numFmtId="0" fontId="6" fillId="0" borderId="11" xfId="0" applyFont="1" applyBorder="1" applyAlignment="1">
      <alignment horizontal="left" vertical="top" shrinkToFit="1"/>
    </xf>
    <xf numFmtId="0" fontId="6" fillId="0" borderId="6" xfId="0" applyFont="1" applyBorder="1" applyAlignment="1">
      <alignment horizontal="left" vertical="top" shrinkToFit="1"/>
    </xf>
    <xf numFmtId="0" fontId="6" fillId="0" borderId="12" xfId="0" applyFont="1" applyBorder="1" applyAlignment="1">
      <alignment horizontal="left" vertical="top" shrinkToFit="1"/>
    </xf>
    <xf numFmtId="0" fontId="7" fillId="0" borderId="22" xfId="0" applyFont="1" applyFill="1" applyBorder="1" applyAlignment="1">
      <alignment vertical="center" wrapText="1" shrinkToFit="1"/>
    </xf>
    <xf numFmtId="0" fontId="7" fillId="0" borderId="21" xfId="0" applyFont="1" applyFill="1" applyBorder="1" applyAlignment="1">
      <alignment vertical="center" wrapText="1" shrinkToFit="1"/>
    </xf>
    <xf numFmtId="0" fontId="7" fillId="0" borderId="41" xfId="0" applyFont="1" applyFill="1" applyBorder="1" applyAlignment="1">
      <alignment vertical="center" wrapText="1" shrinkToFit="1"/>
    </xf>
    <xf numFmtId="0" fontId="7" fillId="0" borderId="42" xfId="0" applyFont="1" applyFill="1" applyBorder="1" applyAlignment="1">
      <alignment vertical="center" wrapText="1" shrinkToFit="1"/>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7" fillId="0" borderId="5" xfId="0" applyFont="1" applyBorder="1" applyAlignment="1">
      <alignment vertical="center" wrapText="1"/>
    </xf>
    <xf numFmtId="0" fontId="7" fillId="0" borderId="0" xfId="0" applyFont="1" applyBorder="1" applyAlignment="1">
      <alignment vertical="center" wrapText="1"/>
    </xf>
    <xf numFmtId="0" fontId="7" fillId="0" borderId="10" xfId="0" applyFont="1" applyBorder="1" applyAlignment="1">
      <alignment vertical="center" wrapText="1"/>
    </xf>
    <xf numFmtId="0" fontId="7" fillId="0" borderId="11" xfId="0" applyFont="1" applyBorder="1" applyAlignment="1">
      <alignment vertical="center" wrapText="1"/>
    </xf>
    <xf numFmtId="0" fontId="7" fillId="0" borderId="6" xfId="0" applyFont="1" applyBorder="1" applyAlignment="1">
      <alignment vertical="center" wrapText="1"/>
    </xf>
    <xf numFmtId="0" fontId="7" fillId="0" borderId="12" xfId="0" applyFont="1" applyBorder="1" applyAlignment="1">
      <alignment vertical="center" wrapText="1"/>
    </xf>
    <xf numFmtId="0" fontId="16" fillId="0" borderId="2" xfId="2" applyFont="1" applyBorder="1" applyAlignment="1">
      <alignment vertical="center" shrinkToFit="1"/>
    </xf>
    <xf numFmtId="0" fontId="6" fillId="0" borderId="4" xfId="0" applyFont="1" applyBorder="1" applyAlignment="1">
      <alignment vertical="center" shrinkToFit="1"/>
    </xf>
    <xf numFmtId="0" fontId="6" fillId="0" borderId="19" xfId="0" applyFont="1" applyFill="1" applyBorder="1" applyAlignment="1">
      <alignment vertical="center" shrinkToFit="1"/>
    </xf>
    <xf numFmtId="0" fontId="6" fillId="0" borderId="20" xfId="0" applyFont="1" applyFill="1" applyBorder="1" applyAlignment="1">
      <alignment vertical="center" shrinkToFit="1"/>
    </xf>
    <xf numFmtId="0" fontId="6" fillId="0" borderId="18" xfId="0" applyFont="1" applyFill="1" applyBorder="1" applyAlignment="1">
      <alignment vertical="center" shrinkToFit="1"/>
    </xf>
    <xf numFmtId="0" fontId="6" fillId="0" borderId="19" xfId="0" applyFont="1" applyFill="1" applyBorder="1" applyAlignment="1">
      <alignment horizontal="center" vertical="center" shrinkToFit="1"/>
    </xf>
    <xf numFmtId="0" fontId="6" fillId="0" borderId="20" xfId="0" applyFont="1" applyFill="1" applyBorder="1" applyAlignment="1">
      <alignment horizontal="center" vertical="center" shrinkToFit="1"/>
    </xf>
    <xf numFmtId="0" fontId="6" fillId="0" borderId="18" xfId="0" applyFont="1" applyFill="1" applyBorder="1" applyAlignment="1">
      <alignment horizontal="center" vertical="center" shrinkToFit="1"/>
    </xf>
    <xf numFmtId="0" fontId="7" fillId="0" borderId="0" xfId="0" applyFont="1" applyAlignment="1">
      <alignment horizontal="center" vertical="center"/>
    </xf>
    <xf numFmtId="0" fontId="6" fillId="0" borderId="40" xfId="0" applyFont="1" applyFill="1" applyBorder="1" applyAlignment="1">
      <alignment vertical="center" shrinkToFit="1"/>
    </xf>
    <xf numFmtId="0" fontId="6" fillId="0" borderId="41" xfId="0" applyFont="1" applyFill="1" applyBorder="1" applyAlignment="1">
      <alignment vertical="center" shrinkToFit="1"/>
    </xf>
    <xf numFmtId="0" fontId="6" fillId="0" borderId="42" xfId="0" applyFont="1" applyFill="1" applyBorder="1" applyAlignment="1">
      <alignment vertical="center" shrinkToFit="1"/>
    </xf>
    <xf numFmtId="0" fontId="6" fillId="0" borderId="1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2" fillId="0" borderId="0" xfId="0" applyFont="1" applyAlignment="1">
      <alignment horizontal="right" vertical="center"/>
    </xf>
    <xf numFmtId="0" fontId="11"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6" fillId="0" borderId="16" xfId="0" applyFont="1" applyBorder="1" applyAlignment="1">
      <alignment vertical="top" wrapText="1" shrinkToFit="1"/>
    </xf>
    <xf numFmtId="0" fontId="6" fillId="0" borderId="22" xfId="0" applyFont="1" applyBorder="1" applyAlignment="1">
      <alignment vertical="top" shrinkToFit="1"/>
    </xf>
    <xf numFmtId="0" fontId="6" fillId="0" borderId="21" xfId="0" applyFont="1" applyBorder="1" applyAlignment="1">
      <alignment vertical="top" shrinkToFit="1"/>
    </xf>
    <xf numFmtId="0" fontId="6" fillId="0" borderId="5" xfId="0" applyFont="1" applyBorder="1" applyAlignment="1">
      <alignment vertical="top" shrinkToFit="1"/>
    </xf>
    <xf numFmtId="0" fontId="6" fillId="0" borderId="0" xfId="0" applyFont="1" applyBorder="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0" xfId="0" applyFont="1" applyAlignment="1">
      <alignment vertical="top"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Border="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0" xfId="0" applyFont="1" applyAlignment="1">
      <alignment vertical="top" wrapText="1" shrinkToFit="1"/>
    </xf>
    <xf numFmtId="0" fontId="6" fillId="0" borderId="19" xfId="0" applyFont="1" applyBorder="1" applyAlignment="1">
      <alignment vertical="top" wrapText="1" shrinkToFi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17" fillId="0" borderId="2" xfId="2" applyFont="1" applyBorder="1" applyAlignment="1">
      <alignment horizontal="left" vertical="center" shrinkToFit="1"/>
    </xf>
    <xf numFmtId="0" fontId="17" fillId="0" borderId="3" xfId="2" applyFont="1" applyBorder="1" applyAlignment="1">
      <alignment horizontal="left" vertical="center" shrinkToFit="1"/>
    </xf>
    <xf numFmtId="0" fontId="17" fillId="0" borderId="4" xfId="2" applyFont="1" applyBorder="1" applyAlignment="1">
      <alignment horizontal="left" vertical="center" shrinkToFit="1"/>
    </xf>
    <xf numFmtId="0" fontId="6" fillId="0" borderId="19" xfId="0" applyFont="1" applyBorder="1" applyAlignment="1">
      <alignment vertical="center" wrapText="1"/>
    </xf>
    <xf numFmtId="0" fontId="6" fillId="0" borderId="20" xfId="0" applyFont="1" applyBorder="1" applyAlignment="1">
      <alignment vertical="center" wrapText="1"/>
    </xf>
    <xf numFmtId="0" fontId="20"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6" fillId="0" borderId="6" xfId="0" applyFont="1" applyBorder="1" applyAlignment="1">
      <alignment vertical="center"/>
    </xf>
    <xf numFmtId="0" fontId="6" fillId="0" borderId="17" xfId="0" applyFont="1" applyBorder="1" applyAlignment="1">
      <alignment vertical="center"/>
    </xf>
    <xf numFmtId="0" fontId="17" fillId="0" borderId="18" xfId="0" applyFont="1" applyBorder="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m3104@hirosaki-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km.hirosaki-u.ac.jp/cmd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gkm.hirosaki-u.ac.jp/cmd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E13" sqref="E13"/>
    </sheetView>
  </sheetViews>
  <sheetFormatPr defaultColWidth="9" defaultRowHeight="18.75" customHeight="1"/>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625" style="7" customWidth="1"/>
    <col min="13" max="13" width="3.375" style="7" customWidth="1"/>
    <col min="14" max="14" width="4.5" style="7" customWidth="1"/>
    <col min="15" max="15" width="9" style="23"/>
    <col min="16" max="16384" width="9" style="6"/>
  </cols>
  <sheetData>
    <row r="1" spans="1:15" ht="24" customHeight="1">
      <c r="M1" s="153" t="s">
        <v>0</v>
      </c>
      <c r="N1" s="153"/>
    </row>
    <row r="2" spans="1:15" ht="24" customHeight="1">
      <c r="A2" s="157" t="s">
        <v>1</v>
      </c>
      <c r="B2" s="157"/>
      <c r="C2" s="157"/>
      <c r="D2" s="157"/>
      <c r="E2" s="157"/>
      <c r="F2" s="157"/>
      <c r="G2" s="157"/>
      <c r="H2" s="157"/>
      <c r="I2" s="157"/>
      <c r="J2" s="157"/>
      <c r="K2" s="157"/>
      <c r="L2" s="157"/>
      <c r="M2" s="157"/>
      <c r="N2" s="157"/>
    </row>
    <row r="3" spans="1:15" ht="24" customHeight="1"/>
    <row r="4" spans="1:15" ht="24" customHeight="1">
      <c r="A4" s="7" t="s">
        <v>2</v>
      </c>
      <c r="B4" s="8" t="s">
        <v>3</v>
      </c>
      <c r="C4" s="148" t="s">
        <v>4</v>
      </c>
      <c r="D4" s="149"/>
      <c r="E4" s="149"/>
      <c r="F4" s="149"/>
      <c r="G4" s="149"/>
      <c r="H4" s="149"/>
      <c r="I4" s="149"/>
      <c r="J4" s="149"/>
      <c r="K4" s="149"/>
      <c r="L4" s="149"/>
      <c r="M4" s="149"/>
      <c r="N4" s="150"/>
      <c r="O4" s="23" t="str">
        <f>IF(C4="","入力してください","")</f>
        <v/>
      </c>
    </row>
    <row r="5" spans="1:15" ht="7.5" customHeight="1">
      <c r="B5" s="8"/>
      <c r="C5" s="8"/>
      <c r="D5" s="8"/>
      <c r="E5" s="9"/>
      <c r="F5" s="125"/>
      <c r="G5" s="125"/>
      <c r="H5" s="125"/>
      <c r="I5" s="125"/>
      <c r="J5" s="125"/>
      <c r="K5" s="125"/>
      <c r="L5" s="125"/>
      <c r="M5" s="125"/>
      <c r="N5" s="125"/>
    </row>
    <row r="6" spans="1:15" ht="24" customHeight="1">
      <c r="A6" s="7" t="s">
        <v>5</v>
      </c>
      <c r="B6" s="8" t="s">
        <v>6</v>
      </c>
      <c r="C6" s="8"/>
      <c r="D6" s="148" t="s">
        <v>7</v>
      </c>
      <c r="E6" s="149"/>
      <c r="F6" s="149"/>
      <c r="G6" s="149"/>
      <c r="H6" s="150"/>
      <c r="I6" s="10" t="s">
        <v>8</v>
      </c>
      <c r="J6" s="125" t="s">
        <v>9</v>
      </c>
      <c r="K6" s="148" t="s">
        <v>10</v>
      </c>
      <c r="L6" s="149"/>
      <c r="M6" s="149"/>
      <c r="N6" s="150"/>
      <c r="O6" s="23" t="str">
        <f>IF(D6="","入力してください","")</f>
        <v/>
      </c>
    </row>
    <row r="7" spans="1:15" ht="7.5" customHeight="1">
      <c r="B7" s="8"/>
      <c r="C7" s="8"/>
      <c r="D7" s="8"/>
      <c r="E7" s="9"/>
      <c r="F7" s="125"/>
      <c r="G7" s="125"/>
      <c r="H7" s="125"/>
      <c r="I7" s="125"/>
      <c r="J7" s="125"/>
      <c r="K7" s="125"/>
      <c r="L7" s="125"/>
      <c r="M7" s="125"/>
      <c r="N7" s="125"/>
    </row>
    <row r="8" spans="1:15" ht="24" customHeight="1">
      <c r="A8" s="7" t="s">
        <v>11</v>
      </c>
      <c r="B8" s="8" t="s">
        <v>12</v>
      </c>
      <c r="C8" s="148" t="s">
        <v>13</v>
      </c>
      <c r="D8" s="149"/>
      <c r="E8" s="149"/>
      <c r="F8" s="149"/>
      <c r="G8" s="149"/>
      <c r="H8" s="149"/>
      <c r="I8" s="149"/>
      <c r="J8" s="149"/>
      <c r="K8" s="149"/>
      <c r="L8" s="149"/>
      <c r="M8" s="149"/>
      <c r="N8" s="150"/>
      <c r="O8" s="23" t="str">
        <f>IF(C8="","入力してください","")</f>
        <v/>
      </c>
    </row>
    <row r="9" spans="1:15" ht="7.5" customHeight="1">
      <c r="B9" s="8"/>
      <c r="C9" s="8"/>
      <c r="D9" s="8"/>
      <c r="E9" s="9"/>
      <c r="F9" s="125"/>
      <c r="G9" s="125"/>
      <c r="H9" s="125"/>
      <c r="I9" s="125"/>
      <c r="J9" s="125"/>
      <c r="K9" s="125"/>
      <c r="L9" s="125"/>
      <c r="M9" s="125"/>
      <c r="N9" s="125"/>
    </row>
    <row r="10" spans="1:15" ht="24" customHeight="1">
      <c r="A10" s="7" t="s">
        <v>14</v>
      </c>
      <c r="B10" s="8" t="s">
        <v>15</v>
      </c>
      <c r="C10" s="8"/>
      <c r="D10" s="8"/>
      <c r="E10" s="140" t="s">
        <v>16</v>
      </c>
      <c r="F10" s="141"/>
      <c r="G10" s="141"/>
      <c r="H10" s="141"/>
      <c r="I10" s="141"/>
      <c r="J10" s="141"/>
      <c r="K10" s="141"/>
      <c r="L10" s="141"/>
      <c r="M10" s="141"/>
      <c r="N10" s="142"/>
      <c r="O10" s="23" t="str">
        <f>IF(E10="","入力してください","")</f>
        <v/>
      </c>
    </row>
    <row r="11" spans="1:15" ht="7.5" customHeight="1">
      <c r="B11" s="9"/>
      <c r="C11" s="9"/>
      <c r="D11" s="9"/>
      <c r="E11" s="9"/>
      <c r="F11" s="125"/>
      <c r="G11" s="125"/>
      <c r="H11" s="125"/>
      <c r="I11" s="125"/>
      <c r="J11" s="125"/>
      <c r="K11" s="125"/>
      <c r="L11" s="125"/>
      <c r="M11" s="125"/>
      <c r="N11" s="125"/>
    </row>
    <row r="12" spans="1:15" ht="24" customHeight="1">
      <c r="A12" s="7" t="s">
        <v>17</v>
      </c>
      <c r="B12" s="9" t="s">
        <v>18</v>
      </c>
      <c r="C12" s="9"/>
      <c r="D12" s="9"/>
      <c r="E12" s="158" t="s">
        <v>19</v>
      </c>
      <c r="F12" s="159"/>
      <c r="G12" s="10" t="s">
        <v>20</v>
      </c>
      <c r="H12" s="7" t="s">
        <v>21</v>
      </c>
      <c r="N12" s="90" t="s">
        <v>22</v>
      </c>
      <c r="O12" s="23" t="str">
        <f>IF(E12="","入力してください","")</f>
        <v/>
      </c>
    </row>
    <row r="13" spans="1:15" ht="7.5" customHeight="1">
      <c r="B13" s="9"/>
      <c r="C13" s="9"/>
      <c r="D13" s="9"/>
      <c r="E13" s="9"/>
      <c r="F13" s="125"/>
      <c r="G13" s="125"/>
      <c r="H13" s="125"/>
      <c r="I13" s="125"/>
      <c r="J13" s="125"/>
      <c r="K13" s="125"/>
      <c r="L13" s="125"/>
      <c r="M13" s="125"/>
      <c r="N13" s="125"/>
    </row>
    <row r="14" spans="1:15" ht="24" customHeight="1">
      <c r="A14" s="7" t="s">
        <v>23</v>
      </c>
      <c r="B14" s="7" t="s">
        <v>24</v>
      </c>
      <c r="C14" s="154" t="s">
        <v>25</v>
      </c>
      <c r="D14" s="155"/>
      <c r="E14" s="143">
        <v>878</v>
      </c>
      <c r="F14" s="144"/>
      <c r="G14" s="11" t="s">
        <v>26</v>
      </c>
      <c r="I14" s="154" t="s">
        <v>27</v>
      </c>
      <c r="J14" s="155"/>
      <c r="K14" s="143">
        <v>292</v>
      </c>
      <c r="L14" s="156"/>
      <c r="M14" s="144"/>
      <c r="N14" s="12" t="s">
        <v>26</v>
      </c>
      <c r="O14" s="23" t="str">
        <f>IF(OR(E14="",K14=""),"入力してください","")</f>
        <v/>
      </c>
    </row>
    <row r="15" spans="1:15" ht="7.5" customHeight="1">
      <c r="F15" s="13"/>
      <c r="G15" s="13"/>
      <c r="H15" s="13"/>
      <c r="I15" s="13"/>
      <c r="J15" s="13"/>
      <c r="K15" s="13"/>
      <c r="L15" s="13"/>
      <c r="M15" s="12"/>
      <c r="N15" s="12"/>
    </row>
    <row r="16" spans="1:15" ht="24" customHeight="1">
      <c r="A16" s="7" t="s">
        <v>28</v>
      </c>
      <c r="B16" s="7" t="s">
        <v>29</v>
      </c>
      <c r="F16" s="13"/>
      <c r="G16" s="13"/>
      <c r="H16" s="13"/>
      <c r="I16" s="13"/>
      <c r="J16" s="13"/>
      <c r="K16" s="160">
        <v>4</v>
      </c>
      <c r="L16" s="161"/>
      <c r="M16" s="162"/>
      <c r="N16" s="12" t="s">
        <v>26</v>
      </c>
      <c r="O16" s="23" t="str">
        <f>IF(K16="","入力してください","")</f>
        <v/>
      </c>
    </row>
    <row r="17" spans="1:15" ht="7.5" customHeight="1">
      <c r="F17" s="13"/>
      <c r="G17" s="13"/>
      <c r="H17" s="13"/>
      <c r="I17" s="13"/>
      <c r="J17" s="13"/>
      <c r="K17" s="13"/>
      <c r="L17" s="13"/>
      <c r="M17" s="12"/>
      <c r="N17" s="12"/>
    </row>
    <row r="18" spans="1:15" ht="24" customHeight="1">
      <c r="A18" s="7" t="s">
        <v>30</v>
      </c>
      <c r="B18" s="7" t="s">
        <v>31</v>
      </c>
      <c r="E18" s="143">
        <v>1322</v>
      </c>
      <c r="F18" s="144"/>
      <c r="G18" s="14" t="s">
        <v>32</v>
      </c>
      <c r="H18" s="13"/>
      <c r="K18" s="166"/>
      <c r="L18" s="166"/>
      <c r="M18" s="166"/>
      <c r="N18" s="166"/>
      <c r="O18" s="23" t="str">
        <f>IF(E18="","入力してください","")</f>
        <v/>
      </c>
    </row>
    <row r="19" spans="1:15" ht="7.5" customHeight="1">
      <c r="E19" s="3"/>
      <c r="F19" s="13"/>
      <c r="G19" s="13"/>
      <c r="L19" s="124"/>
      <c r="M19" s="124"/>
      <c r="N19" s="15"/>
    </row>
    <row r="20" spans="1:15" ht="24" customHeight="1">
      <c r="A20" s="7" t="s">
        <v>33</v>
      </c>
      <c r="B20" s="7" t="s">
        <v>34</v>
      </c>
      <c r="E20" s="3"/>
      <c r="F20" s="13"/>
      <c r="G20" s="13"/>
      <c r="H20" s="7" t="s">
        <v>35</v>
      </c>
      <c r="J20" s="163">
        <v>5964</v>
      </c>
      <c r="K20" s="164"/>
      <c r="L20" s="165"/>
      <c r="M20" s="124" t="s">
        <v>26</v>
      </c>
      <c r="N20" s="15"/>
      <c r="O20" s="23" t="str">
        <f>IF(J20="","入力してください","")</f>
        <v/>
      </c>
    </row>
    <row r="21" spans="1:15" ht="7.5" customHeight="1">
      <c r="E21" s="3"/>
      <c r="F21" s="13"/>
      <c r="G21" s="13"/>
      <c r="L21" s="124"/>
      <c r="M21" s="124"/>
      <c r="N21" s="15"/>
    </row>
    <row r="22" spans="1:15" ht="24" customHeight="1">
      <c r="B22" s="21" t="s">
        <v>36</v>
      </c>
      <c r="C22" s="143">
        <v>1376</v>
      </c>
      <c r="D22" s="144"/>
      <c r="E22" s="3" t="s">
        <v>26</v>
      </c>
      <c r="F22" s="13"/>
      <c r="G22" s="139" t="s">
        <v>37</v>
      </c>
      <c r="H22" s="139"/>
      <c r="I22" s="143">
        <v>1402</v>
      </c>
      <c r="J22" s="144"/>
      <c r="K22" s="10" t="s">
        <v>26</v>
      </c>
      <c r="M22" s="124"/>
      <c r="N22" s="15"/>
    </row>
    <row r="23" spans="1:15" ht="7.5" customHeight="1">
      <c r="B23" s="21"/>
      <c r="C23" s="4"/>
      <c r="D23" s="4"/>
      <c r="E23" s="3"/>
      <c r="F23" s="13"/>
      <c r="G23" s="124"/>
      <c r="H23" s="124"/>
      <c r="I23" s="4"/>
      <c r="J23" s="4"/>
      <c r="K23" s="10"/>
      <c r="M23" s="124"/>
      <c r="N23" s="15"/>
    </row>
    <row r="24" spans="1:15" ht="24" customHeight="1">
      <c r="B24" s="21" t="s">
        <v>38</v>
      </c>
      <c r="C24" s="143">
        <v>1386</v>
      </c>
      <c r="D24" s="144"/>
      <c r="E24" s="3" t="s">
        <v>26</v>
      </c>
      <c r="F24" s="13"/>
      <c r="G24" s="139" t="s">
        <v>39</v>
      </c>
      <c r="H24" s="139"/>
      <c r="I24" s="143">
        <v>1522</v>
      </c>
      <c r="J24" s="144"/>
      <c r="K24" s="10" t="s">
        <v>26</v>
      </c>
      <c r="M24" s="124"/>
      <c r="N24" s="15"/>
    </row>
    <row r="25" spans="1:15" ht="7.5" customHeight="1">
      <c r="B25" s="21"/>
      <c r="C25" s="4"/>
      <c r="D25" s="4"/>
      <c r="E25" s="3"/>
      <c r="F25" s="13"/>
      <c r="G25" s="124"/>
      <c r="H25" s="124"/>
      <c r="I25" s="4"/>
      <c r="J25" s="4"/>
      <c r="K25" s="10"/>
      <c r="M25" s="124"/>
      <c r="N25" s="15"/>
    </row>
    <row r="26" spans="1:15" ht="24" customHeight="1">
      <c r="B26" s="21" t="s">
        <v>40</v>
      </c>
      <c r="C26" s="143">
        <v>133</v>
      </c>
      <c r="D26" s="144"/>
      <c r="E26" s="3" t="s">
        <v>26</v>
      </c>
      <c r="F26" s="13"/>
      <c r="G26" s="139" t="s">
        <v>41</v>
      </c>
      <c r="H26" s="139"/>
      <c r="I26" s="143">
        <v>145</v>
      </c>
      <c r="J26" s="144"/>
      <c r="K26" s="10" t="s">
        <v>26</v>
      </c>
      <c r="M26" s="124"/>
      <c r="N26" s="15"/>
    </row>
    <row r="27" spans="1:15" ht="7.5" customHeight="1">
      <c r="F27" s="13"/>
      <c r="G27" s="13"/>
      <c r="M27" s="16"/>
      <c r="N27" s="16"/>
    </row>
    <row r="28" spans="1:15" ht="24" customHeight="1">
      <c r="A28" s="7" t="s">
        <v>42</v>
      </c>
      <c r="B28" s="8" t="s">
        <v>43</v>
      </c>
      <c r="C28" s="8"/>
      <c r="D28" s="8"/>
      <c r="E28" s="8"/>
      <c r="F28" s="10"/>
      <c r="G28" s="125"/>
      <c r="H28" s="125"/>
      <c r="I28" s="125"/>
      <c r="J28" s="17"/>
      <c r="K28" s="17"/>
      <c r="L28" s="17"/>
      <c r="M28" s="17"/>
      <c r="N28" s="17"/>
    </row>
    <row r="29" spans="1:15" s="7" customFormat="1" ht="24" customHeight="1">
      <c r="B29" s="147" t="s">
        <v>44</v>
      </c>
      <c r="C29" s="147"/>
      <c r="D29" s="148" t="s">
        <v>45</v>
      </c>
      <c r="E29" s="149"/>
      <c r="F29" s="150"/>
      <c r="G29" s="151" t="s">
        <v>46</v>
      </c>
      <c r="H29" s="147"/>
      <c r="I29" s="152"/>
      <c r="J29" s="148" t="s">
        <v>47</v>
      </c>
      <c r="K29" s="149"/>
      <c r="L29" s="149"/>
      <c r="M29" s="149"/>
      <c r="N29" s="150"/>
      <c r="O29" s="23" t="str">
        <f>IF(OR(D29="",J29=""),"入力してください","")</f>
        <v/>
      </c>
    </row>
    <row r="30" spans="1:15" ht="7.5" customHeight="1">
      <c r="F30" s="13"/>
      <c r="G30" s="13"/>
      <c r="M30" s="16"/>
      <c r="N30" s="16"/>
    </row>
    <row r="31" spans="1:15" ht="24" customHeight="1">
      <c r="A31" s="7" t="s">
        <v>48</v>
      </c>
      <c r="B31" s="8" t="s">
        <v>49</v>
      </c>
      <c r="C31" s="8"/>
      <c r="D31" s="8"/>
      <c r="E31" s="8"/>
      <c r="F31" s="10"/>
      <c r="G31" s="17"/>
      <c r="H31" s="17"/>
      <c r="I31" s="17"/>
      <c r="J31" s="17"/>
      <c r="K31" s="17"/>
      <c r="L31" s="17"/>
      <c r="M31" s="17"/>
      <c r="N31" s="17"/>
    </row>
    <row r="32" spans="1:15" ht="24" customHeight="1">
      <c r="B32" s="148" t="s">
        <v>50</v>
      </c>
      <c r="C32" s="149"/>
      <c r="D32" s="149"/>
      <c r="E32" s="149"/>
      <c r="F32" s="149"/>
      <c r="G32" s="149"/>
      <c r="H32" s="149"/>
      <c r="I32" s="149"/>
      <c r="J32" s="149"/>
      <c r="K32" s="149"/>
      <c r="L32" s="149"/>
      <c r="M32" s="149"/>
      <c r="N32" s="150"/>
      <c r="O32" s="23" t="str">
        <f>IF(B32="","入力してください","")</f>
        <v/>
      </c>
    </row>
    <row r="33" spans="1:15" ht="7.5" customHeight="1">
      <c r="B33" s="5"/>
      <c r="C33" s="5"/>
      <c r="D33" s="5"/>
      <c r="E33" s="5"/>
      <c r="F33" s="5"/>
      <c r="G33" s="5"/>
      <c r="H33" s="5"/>
      <c r="I33" s="5"/>
      <c r="J33" s="5"/>
      <c r="K33" s="5"/>
      <c r="L33" s="5"/>
      <c r="M33" s="5"/>
      <c r="N33" s="5"/>
    </row>
    <row r="34" spans="1:15" s="7" customFormat="1" ht="24" customHeight="1">
      <c r="B34" s="147" t="s">
        <v>44</v>
      </c>
      <c r="C34" s="147"/>
      <c r="D34" s="148" t="s">
        <v>51</v>
      </c>
      <c r="E34" s="149"/>
      <c r="F34" s="149"/>
      <c r="G34" s="151" t="s">
        <v>46</v>
      </c>
      <c r="H34" s="147"/>
      <c r="I34" s="152"/>
      <c r="J34" s="148" t="s">
        <v>52</v>
      </c>
      <c r="K34" s="149"/>
      <c r="L34" s="149"/>
      <c r="M34" s="149"/>
      <c r="N34" s="150"/>
      <c r="O34" s="23" t="str">
        <f>IF(OR(D34="",J34=""),"入力してください","")</f>
        <v/>
      </c>
    </row>
    <row r="35" spans="1:15" ht="7.5" customHeight="1">
      <c r="F35" s="125"/>
      <c r="G35" s="125"/>
      <c r="H35" s="125"/>
      <c r="I35" s="125"/>
      <c r="J35" s="125"/>
      <c r="K35" s="125"/>
      <c r="L35" s="125"/>
      <c r="M35" s="125"/>
      <c r="N35" s="125"/>
    </row>
    <row r="36" spans="1:15" ht="24" customHeight="1">
      <c r="A36" s="7" t="s">
        <v>53</v>
      </c>
      <c r="B36" s="7" t="s">
        <v>54</v>
      </c>
      <c r="M36" s="16"/>
      <c r="N36" s="16"/>
    </row>
    <row r="37" spans="1:15" ht="24" customHeight="1">
      <c r="B37" s="148" t="s">
        <v>55</v>
      </c>
      <c r="C37" s="149"/>
      <c r="D37" s="149"/>
      <c r="E37" s="149"/>
      <c r="F37" s="149"/>
      <c r="G37" s="149"/>
      <c r="H37" s="149"/>
      <c r="I37" s="149"/>
      <c r="J37" s="149"/>
      <c r="K37" s="149"/>
      <c r="L37" s="149"/>
      <c r="M37" s="149"/>
      <c r="N37" s="150"/>
      <c r="O37" s="23" t="str">
        <f>IF(B37="","入力してください","")</f>
        <v/>
      </c>
    </row>
    <row r="38" spans="1:15" ht="7.5" customHeight="1">
      <c r="F38" s="125"/>
      <c r="G38" s="125"/>
      <c r="H38" s="125"/>
      <c r="I38" s="125"/>
      <c r="J38" s="125"/>
      <c r="K38" s="125"/>
      <c r="L38" s="125"/>
      <c r="M38" s="125"/>
      <c r="N38" s="125"/>
    </row>
    <row r="39" spans="1:15" s="7" customFormat="1" ht="24" customHeight="1">
      <c r="B39" s="147" t="s">
        <v>44</v>
      </c>
      <c r="C39" s="147"/>
      <c r="D39" s="148" t="s">
        <v>45</v>
      </c>
      <c r="E39" s="149"/>
      <c r="F39" s="149"/>
      <c r="G39" s="151" t="s">
        <v>46</v>
      </c>
      <c r="H39" s="147"/>
      <c r="I39" s="152"/>
      <c r="J39" s="148" t="s">
        <v>47</v>
      </c>
      <c r="K39" s="149"/>
      <c r="L39" s="149"/>
      <c r="M39" s="149"/>
      <c r="N39" s="150"/>
      <c r="O39" s="23" t="str">
        <f>IF(OR(D39="",J39=""),"入力してください","")</f>
        <v/>
      </c>
    </row>
    <row r="40" spans="1:15" ht="7.5" customHeight="1">
      <c r="F40" s="125"/>
      <c r="G40" s="125"/>
      <c r="H40" s="125"/>
      <c r="I40" s="125"/>
      <c r="J40" s="125"/>
      <c r="K40" s="125"/>
      <c r="L40" s="125"/>
      <c r="M40" s="125"/>
      <c r="N40" s="125"/>
    </row>
    <row r="41" spans="1:15" ht="24" customHeight="1">
      <c r="A41" s="7" t="s">
        <v>56</v>
      </c>
      <c r="B41" s="55" t="s">
        <v>57</v>
      </c>
      <c r="E41" s="56"/>
      <c r="F41" s="148" t="s">
        <v>58</v>
      </c>
      <c r="G41" s="149"/>
      <c r="H41" s="149"/>
      <c r="I41" s="149"/>
      <c r="J41" s="149"/>
      <c r="K41" s="149"/>
      <c r="L41" s="149"/>
      <c r="M41" s="149"/>
      <c r="N41" s="150"/>
      <c r="O41" s="23" t="str">
        <f>IF(F41="","入力してください","")</f>
        <v/>
      </c>
    </row>
    <row r="42" spans="1:15" ht="7.5" customHeight="1">
      <c r="F42" s="125"/>
      <c r="G42" s="125"/>
      <c r="H42" s="125"/>
      <c r="I42" s="125"/>
      <c r="J42" s="125"/>
      <c r="K42" s="125"/>
      <c r="L42" s="125"/>
      <c r="M42" s="125"/>
      <c r="N42" s="125"/>
    </row>
    <row r="43" spans="1:15" ht="24" customHeight="1">
      <c r="A43" s="7" t="s">
        <v>59</v>
      </c>
    </row>
    <row r="44" spans="1:15" ht="24" customHeight="1">
      <c r="B44" s="22" t="s">
        <v>60</v>
      </c>
      <c r="C44" s="145" t="s">
        <v>61</v>
      </c>
      <c r="D44" s="146"/>
      <c r="E44" s="146"/>
      <c r="F44" s="146"/>
      <c r="G44" s="146"/>
      <c r="H44" s="146"/>
      <c r="I44" s="19" t="s">
        <v>62</v>
      </c>
      <c r="J44" s="20"/>
      <c r="K44" s="140" t="s">
        <v>63</v>
      </c>
      <c r="L44" s="141"/>
      <c r="M44" s="141"/>
      <c r="N44" s="142"/>
      <c r="O44" s="23" t="str">
        <f>IF(OR(C44="",K44=""),"入力してください","")</f>
        <v/>
      </c>
    </row>
    <row r="45" spans="1:15" ht="24" customHeight="1">
      <c r="B45" s="18" t="s">
        <v>64</v>
      </c>
      <c r="C45" s="133" t="s">
        <v>65</v>
      </c>
      <c r="D45" s="134"/>
      <c r="E45" s="134"/>
      <c r="F45" s="134"/>
      <c r="G45" s="134"/>
      <c r="H45" s="135"/>
      <c r="I45" s="19" t="s">
        <v>66</v>
      </c>
      <c r="J45" s="20"/>
      <c r="K45" s="136" t="s">
        <v>67</v>
      </c>
      <c r="L45" s="137"/>
      <c r="M45" s="137"/>
      <c r="N45" s="138"/>
      <c r="O45" s="23"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tabSelected="1" view="pageBreakPreview" zoomScaleNormal="100" zoomScaleSheetLayoutView="100" workbookViewId="0">
      <selection activeCell="AC86" sqref="AC86"/>
    </sheetView>
  </sheetViews>
  <sheetFormatPr defaultColWidth="9" defaultRowHeight="18.75" customHeight="1"/>
  <cols>
    <col min="1" max="1" width="2.5" style="6" customWidth="1"/>
    <col min="2" max="2" width="27.62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c r="W1" s="270" t="s">
        <v>68</v>
      </c>
      <c r="X1" s="270"/>
      <c r="Y1" s="270"/>
      <c r="Z1" s="270"/>
    </row>
    <row r="2" spans="1:26" ht="18" customHeight="1">
      <c r="A2" s="230" t="s">
        <v>69</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c r="A4" s="6" t="s">
        <v>70</v>
      </c>
      <c r="B4" s="21"/>
      <c r="C4" s="21"/>
      <c r="D4" s="21"/>
      <c r="E4" s="21"/>
      <c r="F4" s="21"/>
      <c r="G4" s="21"/>
      <c r="H4" s="8" t="s">
        <v>71</v>
      </c>
      <c r="I4" s="21"/>
      <c r="J4" s="21"/>
      <c r="K4" s="21"/>
      <c r="L4" s="21"/>
      <c r="M4" s="21"/>
      <c r="N4" s="21"/>
      <c r="O4" s="160" t="s">
        <v>72</v>
      </c>
      <c r="P4" s="161"/>
      <c r="Q4" s="161"/>
      <c r="R4" s="161"/>
      <c r="S4" s="161"/>
      <c r="T4" s="161"/>
      <c r="U4" s="161"/>
      <c r="V4" s="161"/>
      <c r="W4" s="161"/>
      <c r="X4" s="161"/>
      <c r="Y4" s="161"/>
      <c r="Z4" s="162"/>
    </row>
    <row r="5" spans="1:26" ht="6" customHeight="1">
      <c r="B5" s="21"/>
      <c r="C5" s="21"/>
      <c r="D5" s="21"/>
      <c r="E5" s="21"/>
      <c r="F5" s="21"/>
      <c r="G5" s="21"/>
      <c r="H5" s="21"/>
      <c r="I5" s="21"/>
      <c r="J5" s="21"/>
      <c r="K5" s="21"/>
      <c r="L5" s="21"/>
      <c r="M5" s="21"/>
      <c r="N5" s="21"/>
      <c r="O5" s="9"/>
      <c r="P5" s="21"/>
      <c r="Q5" s="21"/>
      <c r="R5" s="21"/>
      <c r="S5" s="21"/>
      <c r="T5" s="21"/>
      <c r="U5" s="21"/>
      <c r="V5" s="21"/>
      <c r="W5" s="21"/>
      <c r="X5" s="21"/>
      <c r="Y5" s="21"/>
      <c r="Z5" s="21"/>
    </row>
    <row r="6" spans="1:26" ht="18" customHeight="1">
      <c r="B6" s="231" t="s">
        <v>73</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6"/>
    </row>
    <row r="11" spans="1:26" ht="18" customHeight="1">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9"/>
    </row>
    <row r="12" spans="1:26" ht="7.5" customHeight="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c r="A13" s="222" t="s">
        <v>74</v>
      </c>
      <c r="B13" s="222"/>
      <c r="C13" s="222"/>
      <c r="D13" s="222"/>
      <c r="E13" s="222"/>
      <c r="F13" s="222"/>
      <c r="G13" s="222"/>
      <c r="H13" s="222"/>
      <c r="I13" s="222"/>
      <c r="J13" s="222"/>
      <c r="K13" s="222"/>
      <c r="L13" s="222"/>
      <c r="M13" s="222"/>
      <c r="N13" s="222"/>
      <c r="O13" s="222"/>
      <c r="P13" s="222"/>
      <c r="Q13" s="222"/>
      <c r="R13" s="222"/>
      <c r="S13" s="222"/>
      <c r="T13" s="222"/>
      <c r="U13" s="222"/>
      <c r="V13" s="222"/>
      <c r="W13" s="222"/>
      <c r="X13" s="222"/>
      <c r="Y13" s="222"/>
      <c r="Z13" s="222"/>
    </row>
    <row r="14" spans="1:26" ht="18" customHeight="1">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row>
    <row r="15" spans="1:26" ht="18" customHeight="1">
      <c r="A15" s="7"/>
      <c r="B15" s="160" t="s">
        <v>75</v>
      </c>
      <c r="C15" s="161"/>
      <c r="D15" s="161"/>
      <c r="E15" s="161"/>
      <c r="F15" s="162"/>
      <c r="G15" s="22" t="s">
        <v>76</v>
      </c>
      <c r="H15" s="85" t="s">
        <v>77</v>
      </c>
      <c r="I15" s="161" t="s">
        <v>78</v>
      </c>
      <c r="J15" s="161"/>
      <c r="K15" s="161"/>
      <c r="L15" s="57" t="s">
        <v>79</v>
      </c>
      <c r="M15" s="57" t="s">
        <v>80</v>
      </c>
      <c r="N15" s="160" t="s">
        <v>75</v>
      </c>
      <c r="O15" s="161"/>
      <c r="P15" s="161"/>
      <c r="Q15" s="161"/>
      <c r="R15" s="161"/>
      <c r="S15" s="162"/>
      <c r="T15" s="22" t="s">
        <v>76</v>
      </c>
      <c r="U15" s="85" t="s">
        <v>77</v>
      </c>
      <c r="V15" s="161" t="s">
        <v>78</v>
      </c>
      <c r="W15" s="161"/>
      <c r="X15" s="161"/>
      <c r="Y15" s="57" t="s">
        <v>79</v>
      </c>
      <c r="Z15" s="57" t="s">
        <v>80</v>
      </c>
    </row>
    <row r="16" spans="1:26" ht="18" customHeight="1">
      <c r="A16" s="55"/>
      <c r="B16" s="210" t="s">
        <v>81</v>
      </c>
      <c r="C16" s="211"/>
      <c r="D16" s="211"/>
      <c r="E16" s="211"/>
      <c r="F16" s="212"/>
      <c r="G16" s="91">
        <v>2</v>
      </c>
      <c r="H16" s="91" t="s">
        <v>82</v>
      </c>
      <c r="I16" s="202" t="s">
        <v>83</v>
      </c>
      <c r="J16" s="203"/>
      <c r="K16" s="204"/>
      <c r="L16" s="91" t="s">
        <v>82</v>
      </c>
      <c r="M16" s="91" t="s">
        <v>82</v>
      </c>
      <c r="N16" s="173"/>
      <c r="O16" s="174"/>
      <c r="P16" s="174"/>
      <c r="Q16" s="174"/>
      <c r="R16" s="174"/>
      <c r="S16" s="175"/>
      <c r="T16" s="91"/>
      <c r="U16" s="91"/>
      <c r="V16" s="202"/>
      <c r="W16" s="203"/>
      <c r="X16" s="204"/>
      <c r="Y16" s="91"/>
      <c r="Z16" s="91"/>
    </row>
    <row r="17" spans="1:26" ht="18" customHeight="1">
      <c r="A17" s="55"/>
      <c r="B17" s="213"/>
      <c r="C17" s="214"/>
      <c r="D17" s="214"/>
      <c r="E17" s="214"/>
      <c r="F17" s="215"/>
      <c r="G17" s="92"/>
      <c r="H17" s="92"/>
      <c r="I17" s="205"/>
      <c r="J17" s="206"/>
      <c r="K17" s="207"/>
      <c r="L17" s="92"/>
      <c r="M17" s="92"/>
      <c r="N17" s="264"/>
      <c r="O17" s="265"/>
      <c r="P17" s="265"/>
      <c r="Q17" s="265"/>
      <c r="R17" s="265"/>
      <c r="S17" s="266"/>
      <c r="T17" s="92"/>
      <c r="U17" s="92"/>
      <c r="V17" s="205"/>
      <c r="W17" s="206"/>
      <c r="X17" s="207"/>
      <c r="Y17" s="92"/>
      <c r="Z17" s="92"/>
    </row>
    <row r="18" spans="1:26" ht="18" customHeight="1">
      <c r="A18" s="55"/>
      <c r="B18" s="213"/>
      <c r="C18" s="214"/>
      <c r="D18" s="214"/>
      <c r="E18" s="214"/>
      <c r="F18" s="215"/>
      <c r="G18" s="92"/>
      <c r="H18" s="92"/>
      <c r="I18" s="205"/>
      <c r="J18" s="206"/>
      <c r="K18" s="207"/>
      <c r="L18" s="92"/>
      <c r="M18" s="92"/>
      <c r="N18" s="264"/>
      <c r="O18" s="265"/>
      <c r="P18" s="265"/>
      <c r="Q18" s="265"/>
      <c r="R18" s="265"/>
      <c r="S18" s="266"/>
      <c r="T18" s="92"/>
      <c r="U18" s="92"/>
      <c r="V18" s="205"/>
      <c r="W18" s="206"/>
      <c r="X18" s="207"/>
      <c r="Y18" s="92"/>
      <c r="Z18" s="92"/>
    </row>
    <row r="19" spans="1:26" ht="18" customHeight="1">
      <c r="A19" s="55"/>
      <c r="B19" s="213"/>
      <c r="C19" s="214"/>
      <c r="D19" s="214"/>
      <c r="E19" s="214"/>
      <c r="F19" s="215"/>
      <c r="G19" s="92"/>
      <c r="H19" s="92"/>
      <c r="I19" s="205"/>
      <c r="J19" s="206"/>
      <c r="K19" s="207"/>
      <c r="L19" s="92"/>
      <c r="M19" s="92"/>
      <c r="N19" s="264"/>
      <c r="O19" s="265"/>
      <c r="P19" s="265"/>
      <c r="Q19" s="265"/>
      <c r="R19" s="265"/>
      <c r="S19" s="266"/>
      <c r="T19" s="92"/>
      <c r="U19" s="92"/>
      <c r="V19" s="205"/>
      <c r="W19" s="206"/>
      <c r="X19" s="207"/>
      <c r="Y19" s="92"/>
      <c r="Z19" s="92"/>
    </row>
    <row r="20" spans="1:26" ht="18" customHeight="1">
      <c r="A20" s="55"/>
      <c r="B20" s="213"/>
      <c r="C20" s="214"/>
      <c r="D20" s="214"/>
      <c r="E20" s="214"/>
      <c r="F20" s="215"/>
      <c r="G20" s="92"/>
      <c r="H20" s="92"/>
      <c r="I20" s="205"/>
      <c r="J20" s="206"/>
      <c r="K20" s="207"/>
      <c r="L20" s="92"/>
      <c r="M20" s="92"/>
      <c r="N20" s="264"/>
      <c r="O20" s="265"/>
      <c r="P20" s="265"/>
      <c r="Q20" s="265"/>
      <c r="R20" s="265"/>
      <c r="S20" s="266"/>
      <c r="T20" s="92"/>
      <c r="U20" s="92"/>
      <c r="V20" s="205"/>
      <c r="W20" s="206"/>
      <c r="X20" s="207"/>
      <c r="Y20" s="92"/>
      <c r="Z20" s="92"/>
    </row>
    <row r="21" spans="1:26" ht="18" customHeight="1">
      <c r="A21" s="93"/>
      <c r="B21" s="213"/>
      <c r="C21" s="214"/>
      <c r="D21" s="214"/>
      <c r="E21" s="214"/>
      <c r="F21" s="215"/>
      <c r="G21" s="92"/>
      <c r="H21" s="92"/>
      <c r="I21" s="205"/>
      <c r="J21" s="206"/>
      <c r="K21" s="207"/>
      <c r="L21" s="92"/>
      <c r="M21" s="92"/>
      <c r="N21" s="264"/>
      <c r="O21" s="265"/>
      <c r="P21" s="265"/>
      <c r="Q21" s="265"/>
      <c r="R21" s="265"/>
      <c r="S21" s="266"/>
      <c r="T21" s="92"/>
      <c r="U21" s="92"/>
      <c r="V21" s="205"/>
      <c r="W21" s="206"/>
      <c r="X21" s="207"/>
      <c r="Y21" s="92"/>
      <c r="Z21" s="92"/>
    </row>
    <row r="22" spans="1:26" ht="18" customHeight="1">
      <c r="A22" s="93"/>
      <c r="B22" s="227"/>
      <c r="C22" s="228"/>
      <c r="D22" s="228"/>
      <c r="E22" s="228"/>
      <c r="F22" s="229"/>
      <c r="G22" s="94"/>
      <c r="H22" s="94"/>
      <c r="I22" s="223"/>
      <c r="J22" s="224"/>
      <c r="K22" s="225"/>
      <c r="L22" s="95"/>
      <c r="M22" s="95"/>
      <c r="N22" s="271"/>
      <c r="O22" s="272"/>
      <c r="P22" s="272"/>
      <c r="Q22" s="272"/>
      <c r="R22" s="272"/>
      <c r="S22" s="273"/>
      <c r="T22" s="94"/>
      <c r="U22" s="94"/>
      <c r="V22" s="223"/>
      <c r="W22" s="224"/>
      <c r="X22" s="225"/>
      <c r="Y22" s="95"/>
      <c r="Z22" s="95"/>
    </row>
    <row r="23" spans="1:26" ht="7.5" customHeight="1">
      <c r="A23" s="93"/>
      <c r="B23" s="96"/>
      <c r="C23" s="96"/>
      <c r="D23" s="93"/>
      <c r="E23" s="93"/>
      <c r="F23" s="93"/>
      <c r="G23" s="93"/>
      <c r="H23" s="93"/>
      <c r="I23" s="93"/>
      <c r="J23" s="93"/>
      <c r="K23" s="93"/>
      <c r="L23" s="96"/>
      <c r="M23" s="96"/>
      <c r="N23" s="96"/>
      <c r="O23" s="96"/>
      <c r="P23" s="96"/>
      <c r="Q23" s="96"/>
      <c r="R23" s="96"/>
      <c r="S23" s="96"/>
      <c r="T23" s="96"/>
      <c r="U23" s="96"/>
      <c r="V23" s="96"/>
      <c r="W23" s="96"/>
      <c r="X23" s="96"/>
      <c r="Y23" s="96"/>
      <c r="Z23" s="93"/>
    </row>
    <row r="24" spans="1:26" ht="18" customHeight="1">
      <c r="A24" s="226" t="s">
        <v>84</v>
      </c>
      <c r="B24" s="226"/>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row>
    <row r="25" spans="1:26" ht="18" customHeight="1">
      <c r="A25" s="226"/>
      <c r="B25" s="226"/>
      <c r="C25" s="226"/>
      <c r="D25" s="226"/>
      <c r="E25" s="226"/>
      <c r="F25" s="226"/>
      <c r="G25" s="226"/>
      <c r="H25" s="226"/>
      <c r="I25" s="226"/>
      <c r="J25" s="226"/>
      <c r="K25" s="226"/>
      <c r="L25" s="226"/>
      <c r="M25" s="226"/>
      <c r="N25" s="226"/>
      <c r="O25" s="226"/>
      <c r="P25" s="226"/>
      <c r="Q25" s="226"/>
      <c r="R25" s="226"/>
      <c r="S25" s="226"/>
      <c r="T25" s="226"/>
      <c r="U25" s="226"/>
      <c r="V25" s="226"/>
      <c r="W25" s="226"/>
      <c r="X25" s="226"/>
      <c r="Y25" s="226"/>
      <c r="Z25" s="226"/>
    </row>
    <row r="26" spans="1:26" ht="18" customHeight="1">
      <c r="A26" s="55"/>
      <c r="B26" s="208" t="s">
        <v>75</v>
      </c>
      <c r="C26" s="201"/>
      <c r="D26" s="201"/>
      <c r="E26" s="201"/>
      <c r="F26" s="209"/>
      <c r="G26" s="97" t="s">
        <v>76</v>
      </c>
      <c r="H26" s="98" t="s">
        <v>77</v>
      </c>
      <c r="I26" s="201" t="s">
        <v>78</v>
      </c>
      <c r="J26" s="201"/>
      <c r="K26" s="201"/>
      <c r="L26" s="99" t="s">
        <v>85</v>
      </c>
      <c r="M26" s="99" t="s">
        <v>86</v>
      </c>
      <c r="N26" s="208" t="s">
        <v>75</v>
      </c>
      <c r="O26" s="201"/>
      <c r="P26" s="201"/>
      <c r="Q26" s="201"/>
      <c r="R26" s="201"/>
      <c r="S26" s="209"/>
      <c r="T26" s="97" t="s">
        <v>76</v>
      </c>
      <c r="U26" s="98" t="s">
        <v>77</v>
      </c>
      <c r="V26" s="201" t="s">
        <v>78</v>
      </c>
      <c r="W26" s="201"/>
      <c r="X26" s="201"/>
      <c r="Y26" s="99" t="s">
        <v>85</v>
      </c>
      <c r="Z26" s="99" t="s">
        <v>86</v>
      </c>
    </row>
    <row r="27" spans="1:26" ht="18" customHeight="1">
      <c r="A27" s="55"/>
      <c r="B27" s="210" t="s">
        <v>81</v>
      </c>
      <c r="C27" s="211"/>
      <c r="D27" s="211"/>
      <c r="E27" s="211"/>
      <c r="F27" s="212"/>
      <c r="G27" s="91">
        <v>2</v>
      </c>
      <c r="H27" s="91" t="s">
        <v>82</v>
      </c>
      <c r="I27" s="202" t="s">
        <v>83</v>
      </c>
      <c r="J27" s="203"/>
      <c r="K27" s="204"/>
      <c r="L27" s="91" t="s">
        <v>82</v>
      </c>
      <c r="M27" s="91" t="s">
        <v>82</v>
      </c>
      <c r="N27" s="173"/>
      <c r="O27" s="174"/>
      <c r="P27" s="174"/>
      <c r="Q27" s="174"/>
      <c r="R27" s="174"/>
      <c r="S27" s="175"/>
      <c r="T27" s="91"/>
      <c r="U27" s="91"/>
      <c r="V27" s="202"/>
      <c r="W27" s="203"/>
      <c r="X27" s="204"/>
      <c r="Y27" s="91"/>
      <c r="Z27" s="91"/>
    </row>
    <row r="28" spans="1:26" ht="18" customHeight="1">
      <c r="A28" s="55"/>
      <c r="B28" s="213" t="s">
        <v>87</v>
      </c>
      <c r="C28" s="214"/>
      <c r="D28" s="214"/>
      <c r="E28" s="214"/>
      <c r="F28" s="215"/>
      <c r="G28" s="92">
        <v>2</v>
      </c>
      <c r="H28" s="92" t="s">
        <v>82</v>
      </c>
      <c r="I28" s="205" t="s">
        <v>83</v>
      </c>
      <c r="J28" s="206"/>
      <c r="K28" s="207"/>
      <c r="L28" s="92" t="s">
        <v>82</v>
      </c>
      <c r="M28" s="92"/>
      <c r="N28" s="264"/>
      <c r="O28" s="265"/>
      <c r="P28" s="265"/>
      <c r="Q28" s="265"/>
      <c r="R28" s="265"/>
      <c r="S28" s="266"/>
      <c r="T28" s="92"/>
      <c r="U28" s="92"/>
      <c r="V28" s="205"/>
      <c r="W28" s="206"/>
      <c r="X28" s="207"/>
      <c r="Y28" s="92"/>
      <c r="Z28" s="92"/>
    </row>
    <row r="29" spans="1:26" ht="18" customHeight="1">
      <c r="A29" s="55"/>
      <c r="B29" s="213"/>
      <c r="C29" s="214"/>
      <c r="D29" s="214"/>
      <c r="E29" s="214"/>
      <c r="F29" s="215"/>
      <c r="G29" s="92"/>
      <c r="H29" s="92"/>
      <c r="I29" s="205"/>
      <c r="J29" s="206"/>
      <c r="K29" s="207"/>
      <c r="L29" s="92"/>
      <c r="M29" s="92"/>
      <c r="N29" s="264"/>
      <c r="O29" s="265"/>
      <c r="P29" s="265"/>
      <c r="Q29" s="265"/>
      <c r="R29" s="265"/>
      <c r="S29" s="266"/>
      <c r="T29" s="92"/>
      <c r="U29" s="92"/>
      <c r="V29" s="205"/>
      <c r="W29" s="206"/>
      <c r="X29" s="207"/>
      <c r="Y29" s="92"/>
      <c r="Z29" s="92"/>
    </row>
    <row r="30" spans="1:26" ht="18" customHeight="1">
      <c r="A30" s="7"/>
      <c r="B30" s="274"/>
      <c r="C30" s="275"/>
      <c r="D30" s="275"/>
      <c r="E30" s="275"/>
      <c r="F30" s="276"/>
      <c r="G30" s="86"/>
      <c r="H30" s="86"/>
      <c r="I30" s="216"/>
      <c r="J30" s="217"/>
      <c r="K30" s="218"/>
      <c r="L30" s="86"/>
      <c r="M30" s="86"/>
      <c r="N30" s="182"/>
      <c r="O30" s="183"/>
      <c r="P30" s="183"/>
      <c r="Q30" s="183"/>
      <c r="R30" s="183"/>
      <c r="S30" s="184"/>
      <c r="T30" s="86"/>
      <c r="U30" s="86"/>
      <c r="V30" s="216"/>
      <c r="W30" s="217"/>
      <c r="X30" s="218"/>
      <c r="Y30" s="86"/>
      <c r="Z30" s="86"/>
    </row>
    <row r="31" spans="1:26" ht="18" customHeight="1">
      <c r="A31" s="7"/>
      <c r="B31" s="274"/>
      <c r="C31" s="275"/>
      <c r="D31" s="275"/>
      <c r="E31" s="275"/>
      <c r="F31" s="276"/>
      <c r="G31" s="86"/>
      <c r="H31" s="86"/>
      <c r="I31" s="216"/>
      <c r="J31" s="217"/>
      <c r="K31" s="218"/>
      <c r="L31" s="86"/>
      <c r="M31" s="86"/>
      <c r="N31" s="182"/>
      <c r="O31" s="183"/>
      <c r="P31" s="183"/>
      <c r="Q31" s="183"/>
      <c r="R31" s="183"/>
      <c r="S31" s="184"/>
      <c r="T31" s="86"/>
      <c r="U31" s="86"/>
      <c r="V31" s="216"/>
      <c r="W31" s="217"/>
      <c r="X31" s="218"/>
      <c r="Y31" s="86"/>
      <c r="Z31" s="86"/>
    </row>
    <row r="32" spans="1:26" ht="18" customHeight="1">
      <c r="A32" s="7"/>
      <c r="B32" s="274"/>
      <c r="C32" s="275"/>
      <c r="D32" s="275"/>
      <c r="E32" s="275"/>
      <c r="F32" s="276"/>
      <c r="G32" s="86"/>
      <c r="H32" s="86"/>
      <c r="I32" s="216"/>
      <c r="J32" s="217"/>
      <c r="K32" s="218"/>
      <c r="L32" s="86"/>
      <c r="M32" s="86"/>
      <c r="N32" s="182"/>
      <c r="O32" s="183"/>
      <c r="P32" s="183"/>
      <c r="Q32" s="183"/>
      <c r="R32" s="183"/>
      <c r="S32" s="184"/>
      <c r="T32" s="86"/>
      <c r="U32" s="86"/>
      <c r="V32" s="216"/>
      <c r="W32" s="217"/>
      <c r="X32" s="218"/>
      <c r="Y32" s="86"/>
      <c r="Z32" s="86"/>
    </row>
    <row r="33" spans="1:26" ht="18" customHeight="1">
      <c r="A33" s="7"/>
      <c r="B33" s="277"/>
      <c r="C33" s="278"/>
      <c r="D33" s="278"/>
      <c r="E33" s="278"/>
      <c r="F33" s="279"/>
      <c r="G33" s="87"/>
      <c r="H33" s="87"/>
      <c r="I33" s="219"/>
      <c r="J33" s="220"/>
      <c r="K33" s="221"/>
      <c r="L33" s="89"/>
      <c r="M33" s="89"/>
      <c r="N33" s="244"/>
      <c r="O33" s="245"/>
      <c r="P33" s="245"/>
      <c r="Q33" s="245"/>
      <c r="R33" s="245"/>
      <c r="S33" s="246"/>
      <c r="T33" s="87"/>
      <c r="U33" s="87"/>
      <c r="V33" s="219"/>
      <c r="W33" s="220"/>
      <c r="X33" s="221"/>
      <c r="Y33" s="89"/>
      <c r="Z33" s="89"/>
    </row>
    <row r="34" spans="1:26" ht="7.5" customHeight="1">
      <c r="A34" s="21"/>
      <c r="B34" s="58"/>
      <c r="C34" s="58"/>
      <c r="D34" s="21"/>
      <c r="E34" s="21"/>
      <c r="F34" s="21"/>
      <c r="G34" s="21"/>
      <c r="H34" s="21"/>
      <c r="I34" s="21"/>
      <c r="J34" s="21"/>
      <c r="K34" s="21"/>
      <c r="L34" s="58"/>
      <c r="M34" s="58"/>
      <c r="N34" s="58"/>
      <c r="O34" s="58"/>
      <c r="P34" s="58"/>
      <c r="Q34" s="58"/>
      <c r="R34" s="58"/>
      <c r="S34" s="58"/>
      <c r="T34" s="58"/>
      <c r="U34" s="58"/>
      <c r="V34" s="58"/>
      <c r="W34" s="58"/>
      <c r="X34" s="58"/>
      <c r="Y34" s="58"/>
      <c r="Z34" s="21"/>
    </row>
    <row r="35" spans="1:26" ht="18" customHeight="1">
      <c r="A35" s="222" t="s">
        <v>88</v>
      </c>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row>
    <row r="36" spans="1:26" ht="18" customHeight="1">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row>
    <row r="37" spans="1:26" ht="18" customHeight="1">
      <c r="A37" s="7"/>
      <c r="B37" s="160" t="s">
        <v>75</v>
      </c>
      <c r="C37" s="161"/>
      <c r="D37" s="161"/>
      <c r="E37" s="161"/>
      <c r="F37" s="162"/>
      <c r="G37" s="22" t="s">
        <v>76</v>
      </c>
      <c r="H37" s="85" t="s">
        <v>77</v>
      </c>
      <c r="I37" s="160" t="s">
        <v>78</v>
      </c>
      <c r="J37" s="161"/>
      <c r="K37" s="162"/>
      <c r="L37" s="57" t="s">
        <v>89</v>
      </c>
      <c r="M37" s="57" t="s">
        <v>90</v>
      </c>
      <c r="N37" s="160" t="s">
        <v>75</v>
      </c>
      <c r="O37" s="161"/>
      <c r="P37" s="161"/>
      <c r="Q37" s="161"/>
      <c r="R37" s="161"/>
      <c r="S37" s="162"/>
      <c r="T37" s="22" t="s">
        <v>76</v>
      </c>
      <c r="U37" s="85" t="s">
        <v>77</v>
      </c>
      <c r="V37" s="160" t="s">
        <v>78</v>
      </c>
      <c r="W37" s="161"/>
      <c r="X37" s="162"/>
      <c r="Y37" s="57" t="s">
        <v>89</v>
      </c>
      <c r="Z37" s="57" t="s">
        <v>90</v>
      </c>
    </row>
    <row r="38" spans="1:26" ht="18" customHeight="1">
      <c r="A38" s="93"/>
      <c r="B38" s="210" t="s">
        <v>81</v>
      </c>
      <c r="C38" s="211"/>
      <c r="D38" s="211"/>
      <c r="E38" s="211"/>
      <c r="F38" s="212"/>
      <c r="G38" s="91">
        <v>2</v>
      </c>
      <c r="H38" s="91" t="s">
        <v>82</v>
      </c>
      <c r="I38" s="202" t="s">
        <v>83</v>
      </c>
      <c r="J38" s="203"/>
      <c r="K38" s="204"/>
      <c r="L38" s="91" t="s">
        <v>82</v>
      </c>
      <c r="M38" s="91" t="s">
        <v>82</v>
      </c>
      <c r="N38" s="173"/>
      <c r="O38" s="174"/>
      <c r="P38" s="174"/>
      <c r="Q38" s="174"/>
      <c r="R38" s="174"/>
      <c r="S38" s="175"/>
      <c r="T38" s="91"/>
      <c r="U38" s="91"/>
      <c r="V38" s="202"/>
      <c r="W38" s="203"/>
      <c r="X38" s="204"/>
      <c r="Y38" s="91"/>
      <c r="Z38" s="91"/>
    </row>
    <row r="39" spans="1:26" ht="18" customHeight="1">
      <c r="A39" s="93"/>
      <c r="B39" s="213"/>
      <c r="C39" s="214"/>
      <c r="D39" s="214"/>
      <c r="E39" s="214"/>
      <c r="F39" s="215"/>
      <c r="G39" s="92"/>
      <c r="H39" s="92"/>
      <c r="I39" s="205"/>
      <c r="J39" s="206"/>
      <c r="K39" s="207"/>
      <c r="L39" s="92"/>
      <c r="M39" s="92"/>
      <c r="N39" s="264"/>
      <c r="O39" s="265"/>
      <c r="P39" s="265"/>
      <c r="Q39" s="265"/>
      <c r="R39" s="265"/>
      <c r="S39" s="266"/>
      <c r="T39" s="92"/>
      <c r="U39" s="92"/>
      <c r="V39" s="205"/>
      <c r="W39" s="206"/>
      <c r="X39" s="207"/>
      <c r="Y39" s="92"/>
      <c r="Z39" s="92"/>
    </row>
    <row r="40" spans="1:26" ht="18" customHeight="1">
      <c r="A40" s="93"/>
      <c r="B40" s="213"/>
      <c r="C40" s="214"/>
      <c r="D40" s="214"/>
      <c r="E40" s="214"/>
      <c r="F40" s="215"/>
      <c r="G40" s="92"/>
      <c r="H40" s="92"/>
      <c r="I40" s="205"/>
      <c r="J40" s="206"/>
      <c r="K40" s="207"/>
      <c r="L40" s="92"/>
      <c r="M40" s="92"/>
      <c r="N40" s="264"/>
      <c r="O40" s="265"/>
      <c r="P40" s="265"/>
      <c r="Q40" s="265"/>
      <c r="R40" s="265"/>
      <c r="S40" s="266"/>
      <c r="T40" s="92"/>
      <c r="U40" s="92"/>
      <c r="V40" s="205"/>
      <c r="W40" s="206"/>
      <c r="X40" s="207"/>
      <c r="Y40" s="92"/>
      <c r="Z40" s="92"/>
    </row>
    <row r="41" spans="1:26" ht="18" customHeight="1">
      <c r="A41" s="93"/>
      <c r="B41" s="213"/>
      <c r="C41" s="214"/>
      <c r="D41" s="214"/>
      <c r="E41" s="214"/>
      <c r="F41" s="215"/>
      <c r="G41" s="92"/>
      <c r="H41" s="92"/>
      <c r="I41" s="205"/>
      <c r="J41" s="206"/>
      <c r="K41" s="207"/>
      <c r="L41" s="92"/>
      <c r="M41" s="92"/>
      <c r="N41" s="264"/>
      <c r="O41" s="265"/>
      <c r="P41" s="265"/>
      <c r="Q41" s="265"/>
      <c r="R41" s="265"/>
      <c r="S41" s="266"/>
      <c r="T41" s="92"/>
      <c r="U41" s="92"/>
      <c r="V41" s="205"/>
      <c r="W41" s="206"/>
      <c r="X41" s="207"/>
      <c r="Y41" s="92"/>
      <c r="Z41" s="92"/>
    </row>
    <row r="42" spans="1:26" ht="18" customHeight="1">
      <c r="A42" s="93"/>
      <c r="B42" s="213"/>
      <c r="C42" s="214"/>
      <c r="D42" s="214"/>
      <c r="E42" s="214"/>
      <c r="F42" s="215"/>
      <c r="G42" s="92"/>
      <c r="H42" s="92"/>
      <c r="I42" s="205"/>
      <c r="J42" s="206"/>
      <c r="K42" s="207"/>
      <c r="L42" s="92"/>
      <c r="M42" s="92"/>
      <c r="N42" s="264"/>
      <c r="O42" s="265"/>
      <c r="P42" s="265"/>
      <c r="Q42" s="265"/>
      <c r="R42" s="265"/>
      <c r="S42" s="266"/>
      <c r="T42" s="92"/>
      <c r="U42" s="92"/>
      <c r="V42" s="205"/>
      <c r="W42" s="206"/>
      <c r="X42" s="207"/>
      <c r="Y42" s="92"/>
      <c r="Z42" s="92"/>
    </row>
    <row r="43" spans="1:26" ht="18" customHeight="1">
      <c r="A43" s="93"/>
      <c r="B43" s="213"/>
      <c r="C43" s="214"/>
      <c r="D43" s="214"/>
      <c r="E43" s="214"/>
      <c r="F43" s="215"/>
      <c r="G43" s="92"/>
      <c r="H43" s="92"/>
      <c r="I43" s="205"/>
      <c r="J43" s="206"/>
      <c r="K43" s="207"/>
      <c r="L43" s="92"/>
      <c r="M43" s="92"/>
      <c r="N43" s="264"/>
      <c r="O43" s="265"/>
      <c r="P43" s="265"/>
      <c r="Q43" s="265"/>
      <c r="R43" s="265"/>
      <c r="S43" s="266"/>
      <c r="T43" s="92"/>
      <c r="U43" s="92"/>
      <c r="V43" s="205"/>
      <c r="W43" s="206"/>
      <c r="X43" s="207"/>
      <c r="Y43" s="92"/>
      <c r="Z43" s="92"/>
    </row>
    <row r="44" spans="1:26" ht="18" customHeight="1">
      <c r="A44" s="93"/>
      <c r="B44" s="227"/>
      <c r="C44" s="228"/>
      <c r="D44" s="228"/>
      <c r="E44" s="228"/>
      <c r="F44" s="229"/>
      <c r="G44" s="94"/>
      <c r="H44" s="94"/>
      <c r="I44" s="223"/>
      <c r="J44" s="224"/>
      <c r="K44" s="225"/>
      <c r="L44" s="95"/>
      <c r="M44" s="95"/>
      <c r="N44" s="271"/>
      <c r="O44" s="272"/>
      <c r="P44" s="272"/>
      <c r="Q44" s="272"/>
      <c r="R44" s="272"/>
      <c r="S44" s="273"/>
      <c r="T44" s="94"/>
      <c r="U44" s="94"/>
      <c r="V44" s="223"/>
      <c r="W44" s="224"/>
      <c r="X44" s="225"/>
      <c r="Y44" s="95"/>
      <c r="Z44" s="95"/>
    </row>
    <row r="45" spans="1:26" ht="7.5" customHeight="1">
      <c r="A45" s="100"/>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0"/>
    </row>
    <row r="46" spans="1:26" ht="18" customHeight="1">
      <c r="A46" s="226" t="s">
        <v>91</v>
      </c>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row>
    <row r="47" spans="1:26" ht="18" customHeight="1">
      <c r="A47" s="226"/>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row>
    <row r="48" spans="1:26" ht="18" customHeight="1">
      <c r="A48" s="55"/>
      <c r="B48" s="208" t="s">
        <v>75</v>
      </c>
      <c r="C48" s="201"/>
      <c r="D48" s="201"/>
      <c r="E48" s="201"/>
      <c r="F48" s="209"/>
      <c r="G48" s="97" t="s">
        <v>76</v>
      </c>
      <c r="H48" s="98" t="s">
        <v>77</v>
      </c>
      <c r="I48" s="208" t="s">
        <v>78</v>
      </c>
      <c r="J48" s="201"/>
      <c r="K48" s="209"/>
      <c r="L48" s="99" t="s">
        <v>92</v>
      </c>
      <c r="M48" s="99" t="s">
        <v>93</v>
      </c>
      <c r="N48" s="208" t="s">
        <v>75</v>
      </c>
      <c r="O48" s="201"/>
      <c r="P48" s="201"/>
      <c r="Q48" s="201"/>
      <c r="R48" s="201"/>
      <c r="S48" s="209"/>
      <c r="T48" s="97" t="s">
        <v>76</v>
      </c>
      <c r="U48" s="98" t="s">
        <v>77</v>
      </c>
      <c r="V48" s="208" t="s">
        <v>78</v>
      </c>
      <c r="W48" s="201"/>
      <c r="X48" s="209"/>
      <c r="Y48" s="99" t="s">
        <v>92</v>
      </c>
      <c r="Z48" s="99" t="s">
        <v>93</v>
      </c>
    </row>
    <row r="49" spans="1:26" ht="18" customHeight="1">
      <c r="A49" s="93"/>
      <c r="B49" s="210" t="s">
        <v>81</v>
      </c>
      <c r="C49" s="211"/>
      <c r="D49" s="211"/>
      <c r="E49" s="211"/>
      <c r="F49" s="212"/>
      <c r="G49" s="91">
        <v>2</v>
      </c>
      <c r="H49" s="91" t="s">
        <v>82</v>
      </c>
      <c r="I49" s="202" t="s">
        <v>83</v>
      </c>
      <c r="J49" s="203"/>
      <c r="K49" s="204"/>
      <c r="L49" s="91" t="s">
        <v>82</v>
      </c>
      <c r="M49" s="91" t="s">
        <v>82</v>
      </c>
      <c r="N49" s="173"/>
      <c r="O49" s="174"/>
      <c r="P49" s="174"/>
      <c r="Q49" s="174"/>
      <c r="R49" s="174"/>
      <c r="S49" s="175"/>
      <c r="T49" s="91"/>
      <c r="U49" s="91"/>
      <c r="V49" s="202"/>
      <c r="W49" s="203"/>
      <c r="X49" s="204"/>
      <c r="Y49" s="91"/>
      <c r="Z49" s="91"/>
    </row>
    <row r="50" spans="1:26" ht="18" customHeight="1">
      <c r="A50" s="93"/>
      <c r="B50" s="213"/>
      <c r="C50" s="214"/>
      <c r="D50" s="214"/>
      <c r="E50" s="214"/>
      <c r="F50" s="215"/>
      <c r="G50" s="92"/>
      <c r="H50" s="92"/>
      <c r="I50" s="205"/>
      <c r="J50" s="206"/>
      <c r="K50" s="207"/>
      <c r="L50" s="92"/>
      <c r="M50" s="92"/>
      <c r="N50" s="264"/>
      <c r="O50" s="265"/>
      <c r="P50" s="265"/>
      <c r="Q50" s="265"/>
      <c r="R50" s="265"/>
      <c r="S50" s="266"/>
      <c r="T50" s="92"/>
      <c r="U50" s="92"/>
      <c r="V50" s="205"/>
      <c r="W50" s="206"/>
      <c r="X50" s="207"/>
      <c r="Y50" s="92"/>
      <c r="Z50" s="92"/>
    </row>
    <row r="51" spans="1:26" ht="18" customHeight="1">
      <c r="A51" s="93"/>
      <c r="B51" s="213"/>
      <c r="C51" s="214"/>
      <c r="D51" s="214"/>
      <c r="E51" s="214"/>
      <c r="F51" s="215"/>
      <c r="G51" s="92"/>
      <c r="H51" s="92"/>
      <c r="I51" s="205"/>
      <c r="J51" s="206"/>
      <c r="K51" s="207"/>
      <c r="L51" s="92"/>
      <c r="M51" s="92"/>
      <c r="N51" s="264"/>
      <c r="O51" s="265"/>
      <c r="P51" s="265"/>
      <c r="Q51" s="265"/>
      <c r="R51" s="265"/>
      <c r="S51" s="266"/>
      <c r="T51" s="92"/>
      <c r="U51" s="92"/>
      <c r="V51" s="205"/>
      <c r="W51" s="206"/>
      <c r="X51" s="207"/>
      <c r="Y51" s="92"/>
      <c r="Z51" s="92"/>
    </row>
    <row r="52" spans="1:26" ht="18" customHeight="1">
      <c r="A52" s="93"/>
      <c r="B52" s="213"/>
      <c r="C52" s="214"/>
      <c r="D52" s="214"/>
      <c r="E52" s="214"/>
      <c r="F52" s="215"/>
      <c r="G52" s="92"/>
      <c r="H52" s="92"/>
      <c r="I52" s="205"/>
      <c r="J52" s="206"/>
      <c r="K52" s="207"/>
      <c r="L52" s="92"/>
      <c r="M52" s="92"/>
      <c r="N52" s="264"/>
      <c r="O52" s="265"/>
      <c r="P52" s="265"/>
      <c r="Q52" s="265"/>
      <c r="R52" s="265"/>
      <c r="S52" s="266"/>
      <c r="T52" s="92"/>
      <c r="U52" s="92"/>
      <c r="V52" s="205"/>
      <c r="W52" s="206"/>
      <c r="X52" s="207"/>
      <c r="Y52" s="92"/>
      <c r="Z52" s="92"/>
    </row>
    <row r="53" spans="1:26" ht="18" customHeight="1">
      <c r="A53" s="93"/>
      <c r="B53" s="213"/>
      <c r="C53" s="214"/>
      <c r="D53" s="214"/>
      <c r="E53" s="214"/>
      <c r="F53" s="215"/>
      <c r="G53" s="92"/>
      <c r="H53" s="92"/>
      <c r="I53" s="205"/>
      <c r="J53" s="206"/>
      <c r="K53" s="207"/>
      <c r="L53" s="92"/>
      <c r="M53" s="92"/>
      <c r="N53" s="264"/>
      <c r="O53" s="265"/>
      <c r="P53" s="265"/>
      <c r="Q53" s="265"/>
      <c r="R53" s="265"/>
      <c r="S53" s="266"/>
      <c r="T53" s="92"/>
      <c r="U53" s="92"/>
      <c r="V53" s="205"/>
      <c r="W53" s="206"/>
      <c r="X53" s="207"/>
      <c r="Y53" s="92"/>
      <c r="Z53" s="92"/>
    </row>
    <row r="54" spans="1:26" ht="18" customHeight="1">
      <c r="A54" s="93"/>
      <c r="B54" s="213"/>
      <c r="C54" s="214"/>
      <c r="D54" s="214"/>
      <c r="E54" s="214"/>
      <c r="F54" s="215"/>
      <c r="G54" s="92"/>
      <c r="H54" s="92"/>
      <c r="I54" s="205"/>
      <c r="J54" s="206"/>
      <c r="K54" s="207"/>
      <c r="L54" s="92"/>
      <c r="M54" s="92"/>
      <c r="N54" s="264"/>
      <c r="O54" s="265"/>
      <c r="P54" s="265"/>
      <c r="Q54" s="265"/>
      <c r="R54" s="265"/>
      <c r="S54" s="266"/>
      <c r="T54" s="92"/>
      <c r="U54" s="92"/>
      <c r="V54" s="205"/>
      <c r="W54" s="206"/>
      <c r="X54" s="207"/>
      <c r="Y54" s="92"/>
      <c r="Z54" s="92"/>
    </row>
    <row r="55" spans="1:26" ht="18" customHeight="1">
      <c r="A55" s="93"/>
      <c r="B55" s="227"/>
      <c r="C55" s="228"/>
      <c r="D55" s="228"/>
      <c r="E55" s="228"/>
      <c r="F55" s="229"/>
      <c r="G55" s="94"/>
      <c r="H55" s="94"/>
      <c r="I55" s="223"/>
      <c r="J55" s="224"/>
      <c r="K55" s="225"/>
      <c r="L55" s="95"/>
      <c r="M55" s="95"/>
      <c r="N55" s="271"/>
      <c r="O55" s="272"/>
      <c r="P55" s="272"/>
      <c r="Q55" s="272"/>
      <c r="R55" s="272"/>
      <c r="S55" s="273"/>
      <c r="T55" s="94"/>
      <c r="U55" s="94"/>
      <c r="V55" s="223"/>
      <c r="W55" s="224"/>
      <c r="X55" s="225"/>
      <c r="Y55" s="95"/>
      <c r="Z55" s="95"/>
    </row>
    <row r="56" spans="1:26" ht="7.5" customHeight="1">
      <c r="A56" s="100"/>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0"/>
    </row>
    <row r="57" spans="1:26" ht="18" customHeight="1">
      <c r="A57" s="226" t="s">
        <v>94</v>
      </c>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row>
    <row r="58" spans="1:26" ht="18" customHeight="1">
      <c r="A58" s="226"/>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row>
    <row r="59" spans="1:26" ht="18" customHeight="1">
      <c r="A59" s="55"/>
      <c r="B59" s="208" t="s">
        <v>75</v>
      </c>
      <c r="C59" s="201"/>
      <c r="D59" s="201"/>
      <c r="E59" s="209"/>
      <c r="F59" s="97" t="s">
        <v>76</v>
      </c>
      <c r="G59" s="98" t="s">
        <v>77</v>
      </c>
      <c r="H59" s="102" t="s">
        <v>78</v>
      </c>
      <c r="I59" s="103"/>
      <c r="J59" s="104"/>
      <c r="K59" s="99" t="s">
        <v>95</v>
      </c>
      <c r="L59" s="99" t="s">
        <v>96</v>
      </c>
      <c r="M59" s="99" t="s">
        <v>97</v>
      </c>
      <c r="N59" s="208" t="s">
        <v>75</v>
      </c>
      <c r="O59" s="201"/>
      <c r="P59" s="201"/>
      <c r="Q59" s="201"/>
      <c r="R59" s="209"/>
      <c r="S59" s="97" t="s">
        <v>76</v>
      </c>
      <c r="T59" s="98" t="s">
        <v>77</v>
      </c>
      <c r="U59" s="102" t="s">
        <v>78</v>
      </c>
      <c r="V59" s="103"/>
      <c r="W59" s="104"/>
      <c r="X59" s="99" t="s">
        <v>95</v>
      </c>
      <c r="Y59" s="99" t="s">
        <v>96</v>
      </c>
      <c r="Z59" s="99" t="s">
        <v>97</v>
      </c>
    </row>
    <row r="60" spans="1:26" ht="18" customHeight="1">
      <c r="A60" s="93"/>
      <c r="B60" s="173" t="s">
        <v>81</v>
      </c>
      <c r="C60" s="174"/>
      <c r="D60" s="174"/>
      <c r="E60" s="175"/>
      <c r="F60" s="91">
        <v>2</v>
      </c>
      <c r="G60" s="91" t="s">
        <v>82</v>
      </c>
      <c r="H60" s="202" t="s">
        <v>83</v>
      </c>
      <c r="I60" s="203"/>
      <c r="J60" s="204"/>
      <c r="K60" s="130" t="s">
        <v>98</v>
      </c>
      <c r="L60" s="91" t="s">
        <v>82</v>
      </c>
      <c r="M60" s="91" t="s">
        <v>82</v>
      </c>
      <c r="N60" s="173"/>
      <c r="O60" s="174"/>
      <c r="P60" s="174"/>
      <c r="Q60" s="174"/>
      <c r="R60" s="175"/>
      <c r="S60" s="91"/>
      <c r="T60" s="91"/>
      <c r="U60" s="202"/>
      <c r="V60" s="203"/>
      <c r="W60" s="204"/>
      <c r="X60" s="130"/>
      <c r="Y60" s="91"/>
      <c r="Z60" s="91"/>
    </row>
    <row r="61" spans="1:26" ht="18" customHeight="1">
      <c r="A61" s="93"/>
      <c r="B61" s="264" t="s">
        <v>87</v>
      </c>
      <c r="C61" s="265"/>
      <c r="D61" s="265"/>
      <c r="E61" s="266"/>
      <c r="F61" s="92">
        <v>2</v>
      </c>
      <c r="G61" s="92" t="s">
        <v>82</v>
      </c>
      <c r="H61" s="205" t="s">
        <v>83</v>
      </c>
      <c r="I61" s="206"/>
      <c r="J61" s="207"/>
      <c r="K61" s="129"/>
      <c r="L61" s="92" t="s">
        <v>82</v>
      </c>
      <c r="M61" s="92" t="s">
        <v>82</v>
      </c>
      <c r="N61" s="264"/>
      <c r="O61" s="265"/>
      <c r="P61" s="265"/>
      <c r="Q61" s="265"/>
      <c r="R61" s="266"/>
      <c r="S61" s="92"/>
      <c r="T61" s="92"/>
      <c r="U61" s="205"/>
      <c r="V61" s="206"/>
      <c r="W61" s="207"/>
      <c r="X61" s="129"/>
      <c r="Y61" s="92"/>
      <c r="Z61" s="92"/>
    </row>
    <row r="62" spans="1:26" ht="18" customHeight="1">
      <c r="A62" s="93"/>
      <c r="B62" s="264"/>
      <c r="C62" s="265"/>
      <c r="D62" s="265"/>
      <c r="E62" s="266"/>
      <c r="F62" s="92"/>
      <c r="G62" s="92"/>
      <c r="H62" s="205"/>
      <c r="I62" s="206"/>
      <c r="J62" s="207"/>
      <c r="K62" s="129"/>
      <c r="L62" s="92"/>
      <c r="M62" s="92"/>
      <c r="N62" s="264"/>
      <c r="O62" s="265"/>
      <c r="P62" s="265"/>
      <c r="Q62" s="265"/>
      <c r="R62" s="266"/>
      <c r="S62" s="92"/>
      <c r="T62" s="92"/>
      <c r="U62" s="205"/>
      <c r="V62" s="206"/>
      <c r="W62" s="207"/>
      <c r="X62" s="129"/>
      <c r="Y62" s="92"/>
      <c r="Z62" s="92"/>
    </row>
    <row r="63" spans="1:26" ht="18" customHeight="1">
      <c r="A63" s="21"/>
      <c r="B63" s="182"/>
      <c r="C63" s="183"/>
      <c r="D63" s="183"/>
      <c r="E63" s="184"/>
      <c r="F63" s="86"/>
      <c r="G63" s="86"/>
      <c r="H63" s="216"/>
      <c r="I63" s="217"/>
      <c r="J63" s="218"/>
      <c r="K63" s="127"/>
      <c r="L63" s="86"/>
      <c r="M63" s="86"/>
      <c r="N63" s="182"/>
      <c r="O63" s="183"/>
      <c r="P63" s="183"/>
      <c r="Q63" s="183"/>
      <c r="R63" s="184"/>
      <c r="S63" s="86"/>
      <c r="T63" s="86"/>
      <c r="U63" s="216"/>
      <c r="V63" s="217"/>
      <c r="W63" s="218"/>
      <c r="X63" s="127"/>
      <c r="Y63" s="86"/>
      <c r="Z63" s="86"/>
    </row>
    <row r="64" spans="1:26" ht="18" customHeight="1">
      <c r="A64" s="21"/>
      <c r="B64" s="182"/>
      <c r="C64" s="183"/>
      <c r="D64" s="183"/>
      <c r="E64" s="184"/>
      <c r="F64" s="86"/>
      <c r="G64" s="86"/>
      <c r="H64" s="216"/>
      <c r="I64" s="217"/>
      <c r="J64" s="218"/>
      <c r="K64" s="127"/>
      <c r="L64" s="86"/>
      <c r="M64" s="86"/>
      <c r="N64" s="182"/>
      <c r="O64" s="183"/>
      <c r="P64" s="183"/>
      <c r="Q64" s="183"/>
      <c r="R64" s="184"/>
      <c r="S64" s="86"/>
      <c r="T64" s="86"/>
      <c r="U64" s="216"/>
      <c r="V64" s="217"/>
      <c r="W64" s="218"/>
      <c r="X64" s="127"/>
      <c r="Y64" s="86"/>
      <c r="Z64" s="86"/>
    </row>
    <row r="65" spans="1:26" ht="18" customHeight="1">
      <c r="A65" s="21"/>
      <c r="B65" s="182"/>
      <c r="C65" s="183"/>
      <c r="D65" s="183"/>
      <c r="E65" s="184"/>
      <c r="F65" s="86"/>
      <c r="G65" s="86"/>
      <c r="H65" s="216"/>
      <c r="I65" s="217"/>
      <c r="J65" s="218"/>
      <c r="K65" s="127"/>
      <c r="L65" s="86"/>
      <c r="M65" s="86"/>
      <c r="N65" s="182"/>
      <c r="O65" s="183"/>
      <c r="P65" s="183"/>
      <c r="Q65" s="183"/>
      <c r="R65" s="184"/>
      <c r="S65" s="86"/>
      <c r="T65" s="86"/>
      <c r="U65" s="216"/>
      <c r="V65" s="217"/>
      <c r="W65" s="218"/>
      <c r="X65" s="127"/>
      <c r="Y65" s="86"/>
      <c r="Z65" s="86"/>
    </row>
    <row r="66" spans="1:26" ht="18" customHeight="1">
      <c r="A66" s="21"/>
      <c r="B66" s="244"/>
      <c r="C66" s="245"/>
      <c r="D66" s="245"/>
      <c r="E66" s="246"/>
      <c r="F66" s="87"/>
      <c r="G66" s="87"/>
      <c r="H66" s="219"/>
      <c r="I66" s="220"/>
      <c r="J66" s="221"/>
      <c r="K66" s="128"/>
      <c r="L66" s="89"/>
      <c r="M66" s="89"/>
      <c r="N66" s="244"/>
      <c r="O66" s="245"/>
      <c r="P66" s="245"/>
      <c r="Q66" s="245"/>
      <c r="R66" s="246"/>
      <c r="S66" s="87"/>
      <c r="T66" s="87"/>
      <c r="U66" s="219"/>
      <c r="V66" s="220"/>
      <c r="W66" s="221"/>
      <c r="X66" s="128"/>
      <c r="Y66" s="89"/>
      <c r="Z66" s="89"/>
    </row>
    <row r="67" spans="1:26" ht="7.5" customHeight="1">
      <c r="B67" s="59"/>
      <c r="C67" s="59"/>
      <c r="D67" s="59"/>
      <c r="E67" s="59"/>
      <c r="F67" s="59"/>
      <c r="G67" s="59"/>
      <c r="H67" s="59"/>
      <c r="I67" s="59"/>
      <c r="J67" s="59"/>
      <c r="K67" s="59"/>
      <c r="L67" s="59"/>
      <c r="M67" s="59"/>
      <c r="N67" s="59"/>
      <c r="O67" s="59"/>
      <c r="P67" s="59"/>
      <c r="Q67" s="59"/>
      <c r="R67" s="59"/>
      <c r="S67" s="59"/>
      <c r="T67" s="59"/>
      <c r="U67" s="59"/>
      <c r="V67" s="59"/>
      <c r="W67" s="59"/>
      <c r="X67" s="59"/>
      <c r="Y67" s="59"/>
    </row>
    <row r="68" spans="1:26" ht="18" customHeight="1">
      <c r="A68" s="7" t="s">
        <v>99</v>
      </c>
      <c r="B68" s="7"/>
      <c r="C68" s="7"/>
      <c r="D68" s="7"/>
      <c r="E68" s="7"/>
      <c r="F68" s="7"/>
      <c r="G68" s="7"/>
      <c r="H68" s="7"/>
      <c r="I68" s="7"/>
      <c r="J68" s="7"/>
      <c r="K68" s="7"/>
      <c r="L68" s="21"/>
      <c r="M68" s="21"/>
      <c r="N68" s="21"/>
      <c r="O68" s="21"/>
      <c r="P68" s="21"/>
      <c r="Q68" s="21"/>
      <c r="R68" s="21"/>
      <c r="S68" s="21"/>
      <c r="T68" s="21"/>
      <c r="U68" s="21"/>
      <c r="V68" s="21"/>
      <c r="W68" s="21"/>
      <c r="X68" s="21"/>
      <c r="Y68" s="21"/>
      <c r="Z68" s="21"/>
    </row>
    <row r="69" spans="1:26" ht="18" customHeight="1">
      <c r="A69" s="7"/>
      <c r="B69" s="160" t="s">
        <v>75</v>
      </c>
      <c r="C69" s="161"/>
      <c r="D69" s="161"/>
      <c r="E69" s="161"/>
      <c r="F69" s="162"/>
      <c r="G69" s="160" t="s">
        <v>100</v>
      </c>
      <c r="H69" s="161"/>
      <c r="I69" s="161"/>
      <c r="J69" s="161"/>
      <c r="K69" s="161"/>
      <c r="L69" s="161"/>
      <c r="M69" s="162"/>
      <c r="N69" s="250" t="s">
        <v>75</v>
      </c>
      <c r="O69" s="251"/>
      <c r="P69" s="251"/>
      <c r="Q69" s="251"/>
      <c r="R69" s="251"/>
      <c r="S69" s="252"/>
      <c r="T69" s="160" t="s">
        <v>100</v>
      </c>
      <c r="U69" s="161"/>
      <c r="V69" s="161"/>
      <c r="W69" s="161"/>
      <c r="X69" s="161"/>
      <c r="Y69" s="161"/>
      <c r="Z69" s="162"/>
    </row>
    <row r="70" spans="1:26" ht="18" customHeight="1">
      <c r="A70" s="21"/>
      <c r="B70" s="173" t="s">
        <v>101</v>
      </c>
      <c r="C70" s="174"/>
      <c r="D70" s="174"/>
      <c r="E70" s="174"/>
      <c r="F70" s="175"/>
      <c r="G70" s="176" t="s">
        <v>102</v>
      </c>
      <c r="H70" s="177"/>
      <c r="I70" s="177"/>
      <c r="J70" s="177"/>
      <c r="K70" s="177"/>
      <c r="L70" s="177"/>
      <c r="M70" s="178"/>
      <c r="N70" s="167"/>
      <c r="O70" s="168"/>
      <c r="P70" s="168"/>
      <c r="Q70" s="168"/>
      <c r="R70" s="168"/>
      <c r="S70" s="169"/>
      <c r="T70" s="170"/>
      <c r="U70" s="171"/>
      <c r="V70" s="171"/>
      <c r="W70" s="171"/>
      <c r="X70" s="171"/>
      <c r="Y70" s="171"/>
      <c r="Z70" s="172"/>
    </row>
    <row r="71" spans="1:26" ht="18" customHeight="1">
      <c r="A71" s="21"/>
      <c r="B71" s="264"/>
      <c r="C71" s="265"/>
      <c r="D71" s="265"/>
      <c r="E71" s="265"/>
      <c r="F71" s="266"/>
      <c r="G71" s="267"/>
      <c r="H71" s="268"/>
      <c r="I71" s="268"/>
      <c r="J71" s="268"/>
      <c r="K71" s="268"/>
      <c r="L71" s="268"/>
      <c r="M71" s="269"/>
      <c r="N71" s="182"/>
      <c r="O71" s="183"/>
      <c r="P71" s="183"/>
      <c r="Q71" s="183"/>
      <c r="R71" s="183"/>
      <c r="S71" s="184"/>
      <c r="T71" s="185"/>
      <c r="U71" s="186"/>
      <c r="V71" s="186"/>
      <c r="W71" s="186"/>
      <c r="X71" s="186"/>
      <c r="Y71" s="186"/>
      <c r="Z71" s="187"/>
    </row>
    <row r="72" spans="1:26" ht="18" customHeight="1">
      <c r="A72" s="21"/>
      <c r="B72" s="182"/>
      <c r="C72" s="183"/>
      <c r="D72" s="183"/>
      <c r="E72" s="183"/>
      <c r="F72" s="184"/>
      <c r="G72" s="185"/>
      <c r="H72" s="186"/>
      <c r="I72" s="186"/>
      <c r="J72" s="186"/>
      <c r="K72" s="186"/>
      <c r="L72" s="186"/>
      <c r="M72" s="187"/>
      <c r="N72" s="182"/>
      <c r="O72" s="183"/>
      <c r="P72" s="183"/>
      <c r="Q72" s="183"/>
      <c r="R72" s="183"/>
      <c r="S72" s="184"/>
      <c r="T72" s="185"/>
      <c r="U72" s="186"/>
      <c r="V72" s="186"/>
      <c r="W72" s="186"/>
      <c r="X72" s="186"/>
      <c r="Y72" s="186"/>
      <c r="Z72" s="187"/>
    </row>
    <row r="73" spans="1:26" ht="18" customHeight="1">
      <c r="A73" s="21"/>
      <c r="B73" s="182"/>
      <c r="C73" s="183"/>
      <c r="D73" s="183"/>
      <c r="E73" s="183"/>
      <c r="F73" s="184"/>
      <c r="G73" s="185"/>
      <c r="H73" s="186"/>
      <c r="I73" s="186"/>
      <c r="J73" s="186"/>
      <c r="K73" s="186"/>
      <c r="L73" s="186"/>
      <c r="M73" s="187"/>
      <c r="N73" s="182"/>
      <c r="O73" s="183"/>
      <c r="P73" s="183"/>
      <c r="Q73" s="183"/>
      <c r="R73" s="183"/>
      <c r="S73" s="184"/>
      <c r="T73" s="185"/>
      <c r="U73" s="186"/>
      <c r="V73" s="186"/>
      <c r="W73" s="186"/>
      <c r="X73" s="186"/>
      <c r="Y73" s="186"/>
      <c r="Z73" s="187"/>
    </row>
    <row r="74" spans="1:26" ht="18" customHeight="1">
      <c r="A74" s="21"/>
      <c r="B74" s="182"/>
      <c r="C74" s="183"/>
      <c r="D74" s="183"/>
      <c r="E74" s="183"/>
      <c r="F74" s="184"/>
      <c r="G74" s="185"/>
      <c r="H74" s="186"/>
      <c r="I74" s="186"/>
      <c r="J74" s="186"/>
      <c r="K74" s="186"/>
      <c r="L74" s="186"/>
      <c r="M74" s="187"/>
      <c r="N74" s="182"/>
      <c r="O74" s="183"/>
      <c r="P74" s="183"/>
      <c r="Q74" s="183"/>
      <c r="R74" s="183"/>
      <c r="S74" s="184"/>
      <c r="T74" s="185"/>
      <c r="U74" s="186"/>
      <c r="V74" s="186"/>
      <c r="W74" s="186"/>
      <c r="X74" s="186"/>
      <c r="Y74" s="186"/>
      <c r="Z74" s="187"/>
    </row>
    <row r="75" spans="1:26" ht="18" customHeight="1">
      <c r="A75" s="21"/>
      <c r="B75" s="182"/>
      <c r="C75" s="183"/>
      <c r="D75" s="183"/>
      <c r="E75" s="183"/>
      <c r="F75" s="184"/>
      <c r="G75" s="185"/>
      <c r="H75" s="186"/>
      <c r="I75" s="186"/>
      <c r="J75" s="186"/>
      <c r="K75" s="186"/>
      <c r="L75" s="186"/>
      <c r="M75" s="187"/>
      <c r="N75" s="182"/>
      <c r="O75" s="183"/>
      <c r="P75" s="183"/>
      <c r="Q75" s="183"/>
      <c r="R75" s="183"/>
      <c r="S75" s="184"/>
      <c r="T75" s="185"/>
      <c r="U75" s="186"/>
      <c r="V75" s="186"/>
      <c r="W75" s="186"/>
      <c r="X75" s="186"/>
      <c r="Y75" s="186"/>
      <c r="Z75" s="187"/>
    </row>
    <row r="76" spans="1:26" ht="18" customHeight="1">
      <c r="A76" s="21"/>
      <c r="B76" s="244"/>
      <c r="C76" s="245"/>
      <c r="D76" s="245"/>
      <c r="E76" s="245"/>
      <c r="F76" s="246"/>
      <c r="G76" s="247"/>
      <c r="H76" s="248"/>
      <c r="I76" s="248"/>
      <c r="J76" s="248"/>
      <c r="K76" s="248"/>
      <c r="L76" s="248"/>
      <c r="M76" s="249"/>
      <c r="N76" s="244"/>
      <c r="O76" s="245"/>
      <c r="P76" s="245"/>
      <c r="Q76" s="245"/>
      <c r="R76" s="245"/>
      <c r="S76" s="246"/>
      <c r="T76" s="247"/>
      <c r="U76" s="248"/>
      <c r="V76" s="248"/>
      <c r="W76" s="248"/>
      <c r="X76" s="248"/>
      <c r="Y76" s="248"/>
      <c r="Z76" s="249"/>
    </row>
    <row r="77" spans="1:26" ht="18" customHeight="1">
      <c r="A77" s="21"/>
      <c r="B77" s="125"/>
      <c r="C77" s="125"/>
      <c r="D77" s="125"/>
      <c r="E77" s="125"/>
      <c r="F77" s="125"/>
      <c r="G77" s="5"/>
      <c r="H77" s="5"/>
      <c r="I77" s="5"/>
      <c r="J77" s="5"/>
      <c r="K77" s="5"/>
      <c r="L77" s="5"/>
      <c r="M77" s="5"/>
      <c r="N77" s="125"/>
      <c r="O77" s="125"/>
      <c r="P77" s="125"/>
      <c r="Q77" s="125"/>
      <c r="R77" s="125"/>
      <c r="S77" s="125"/>
      <c r="T77" s="5"/>
      <c r="U77" s="5"/>
      <c r="V77" s="5"/>
      <c r="W77" s="5"/>
      <c r="X77" s="5"/>
      <c r="Y77" s="5"/>
      <c r="Z77" s="5"/>
    </row>
    <row r="78" spans="1:26" ht="18.75" customHeight="1">
      <c r="A78" s="6" t="s">
        <v>103</v>
      </c>
    </row>
    <row r="79" spans="1:26" ht="18.75" customHeight="1">
      <c r="B79" s="60" t="s">
        <v>104</v>
      </c>
      <c r="C79" s="61"/>
      <c r="D79" s="199" t="s">
        <v>105</v>
      </c>
      <c r="E79" s="199"/>
      <c r="F79" s="199"/>
      <c r="G79" s="199"/>
      <c r="H79" s="199"/>
      <c r="I79" s="199"/>
      <c r="J79" s="199"/>
      <c r="K79" s="199"/>
      <c r="L79" s="199"/>
      <c r="M79" s="199"/>
      <c r="N79" s="199"/>
      <c r="O79" s="199"/>
      <c r="P79" s="199"/>
      <c r="Q79" s="199"/>
      <c r="R79" s="199"/>
      <c r="S79" s="199"/>
      <c r="T79" s="199"/>
      <c r="U79" s="199"/>
      <c r="V79" s="199"/>
      <c r="W79" s="199"/>
      <c r="X79" s="199"/>
      <c r="Y79" s="199"/>
      <c r="Z79" s="200"/>
    </row>
    <row r="80" spans="1:26" ht="78" customHeight="1">
      <c r="B80" s="190" t="s">
        <v>106</v>
      </c>
      <c r="C80" s="67" t="s">
        <v>79</v>
      </c>
      <c r="D80" s="197" t="s">
        <v>107</v>
      </c>
      <c r="E80" s="197"/>
      <c r="F80" s="197"/>
      <c r="G80" s="197"/>
      <c r="H80" s="197"/>
      <c r="I80" s="197"/>
      <c r="J80" s="197"/>
      <c r="K80" s="197"/>
      <c r="L80" s="197"/>
      <c r="M80" s="197"/>
      <c r="N80" s="197"/>
      <c r="O80" s="197"/>
      <c r="P80" s="197"/>
      <c r="Q80" s="197"/>
      <c r="R80" s="197"/>
      <c r="S80" s="197"/>
      <c r="T80" s="197"/>
      <c r="U80" s="197"/>
      <c r="V80" s="197"/>
      <c r="W80" s="197"/>
      <c r="X80" s="197"/>
      <c r="Y80" s="197"/>
      <c r="Z80" s="198"/>
    </row>
    <row r="81" spans="1:26" ht="78" customHeight="1">
      <c r="B81" s="191"/>
      <c r="C81" s="83" t="s">
        <v>108</v>
      </c>
      <c r="D81" s="240" t="s">
        <v>109</v>
      </c>
      <c r="E81" s="240"/>
      <c r="F81" s="240"/>
      <c r="G81" s="240"/>
      <c r="H81" s="240"/>
      <c r="I81" s="240"/>
      <c r="J81" s="240"/>
      <c r="K81" s="240"/>
      <c r="L81" s="240"/>
      <c r="M81" s="240"/>
      <c r="N81" s="240"/>
      <c r="O81" s="240"/>
      <c r="P81" s="240"/>
      <c r="Q81" s="240"/>
      <c r="R81" s="240"/>
      <c r="S81" s="240"/>
      <c r="T81" s="240"/>
      <c r="U81" s="240"/>
      <c r="V81" s="240"/>
      <c r="W81" s="240"/>
      <c r="X81" s="240"/>
      <c r="Y81" s="240"/>
      <c r="Z81" s="241"/>
    </row>
    <row r="82" spans="1:26" ht="78" customHeight="1">
      <c r="B82" s="188" t="s">
        <v>110</v>
      </c>
      <c r="C82" s="62" t="s">
        <v>85</v>
      </c>
      <c r="D82" s="192" t="s">
        <v>111</v>
      </c>
      <c r="E82" s="192"/>
      <c r="F82" s="192"/>
      <c r="G82" s="192"/>
      <c r="H82" s="192"/>
      <c r="I82" s="192"/>
      <c r="J82" s="192"/>
      <c r="K82" s="192"/>
      <c r="L82" s="192"/>
      <c r="M82" s="192"/>
      <c r="N82" s="192"/>
      <c r="O82" s="192"/>
      <c r="P82" s="192"/>
      <c r="Q82" s="192"/>
      <c r="R82" s="192"/>
      <c r="S82" s="192"/>
      <c r="T82" s="192"/>
      <c r="U82" s="192"/>
      <c r="V82" s="192"/>
      <c r="W82" s="192"/>
      <c r="X82" s="192"/>
      <c r="Y82" s="192"/>
      <c r="Z82" s="193"/>
    </row>
    <row r="83" spans="1:26" ht="78" customHeight="1">
      <c r="B83" s="189"/>
      <c r="C83" s="84" t="s">
        <v>86</v>
      </c>
      <c r="D83" s="242" t="s">
        <v>112</v>
      </c>
      <c r="E83" s="242"/>
      <c r="F83" s="242"/>
      <c r="G83" s="242"/>
      <c r="H83" s="242"/>
      <c r="I83" s="242"/>
      <c r="J83" s="242"/>
      <c r="K83" s="242"/>
      <c r="L83" s="242"/>
      <c r="M83" s="242"/>
      <c r="N83" s="242"/>
      <c r="O83" s="242"/>
      <c r="P83" s="242"/>
      <c r="Q83" s="242"/>
      <c r="R83" s="242"/>
      <c r="S83" s="242"/>
      <c r="T83" s="242"/>
      <c r="U83" s="242"/>
      <c r="V83" s="242"/>
      <c r="W83" s="242"/>
      <c r="X83" s="242"/>
      <c r="Y83" s="242"/>
      <c r="Z83" s="243"/>
    </row>
    <row r="84" spans="1:26" ht="66" customHeight="1">
      <c r="B84" s="188" t="s">
        <v>113</v>
      </c>
      <c r="C84" s="62" t="s">
        <v>89</v>
      </c>
      <c r="D84" s="192" t="s">
        <v>114</v>
      </c>
      <c r="E84" s="192"/>
      <c r="F84" s="192"/>
      <c r="G84" s="192"/>
      <c r="H84" s="192"/>
      <c r="I84" s="192"/>
      <c r="J84" s="192"/>
      <c r="K84" s="192"/>
      <c r="L84" s="192"/>
      <c r="M84" s="192"/>
      <c r="N84" s="192"/>
      <c r="O84" s="192"/>
      <c r="P84" s="192"/>
      <c r="Q84" s="192"/>
      <c r="R84" s="192"/>
      <c r="S84" s="192"/>
      <c r="T84" s="192"/>
      <c r="U84" s="192"/>
      <c r="V84" s="192"/>
      <c r="W84" s="192"/>
      <c r="X84" s="192"/>
      <c r="Y84" s="192"/>
      <c r="Z84" s="193"/>
    </row>
    <row r="85" spans="1:26" ht="66" customHeight="1">
      <c r="B85" s="189"/>
      <c r="C85" s="64" t="s">
        <v>90</v>
      </c>
      <c r="D85" s="194" t="s">
        <v>115</v>
      </c>
      <c r="E85" s="194"/>
      <c r="F85" s="194"/>
      <c r="G85" s="194"/>
      <c r="H85" s="194"/>
      <c r="I85" s="194"/>
      <c r="J85" s="194"/>
      <c r="K85" s="194"/>
      <c r="L85" s="194"/>
      <c r="M85" s="194"/>
      <c r="N85" s="194"/>
      <c r="O85" s="194"/>
      <c r="P85" s="194"/>
      <c r="Q85" s="194"/>
      <c r="R85" s="194"/>
      <c r="S85" s="194"/>
      <c r="T85" s="194"/>
      <c r="U85" s="194"/>
      <c r="V85" s="194"/>
      <c r="W85" s="194"/>
      <c r="X85" s="194"/>
      <c r="Y85" s="194"/>
      <c r="Z85" s="195"/>
    </row>
    <row r="86" spans="1:26" ht="66" customHeight="1">
      <c r="B86" s="190" t="s">
        <v>116</v>
      </c>
      <c r="C86" s="67" t="s">
        <v>92</v>
      </c>
      <c r="D86" s="197" t="s">
        <v>117</v>
      </c>
      <c r="E86" s="197"/>
      <c r="F86" s="197"/>
      <c r="G86" s="197"/>
      <c r="H86" s="197"/>
      <c r="I86" s="197"/>
      <c r="J86" s="197"/>
      <c r="K86" s="197"/>
      <c r="L86" s="197"/>
      <c r="M86" s="197"/>
      <c r="N86" s="197"/>
      <c r="O86" s="197"/>
      <c r="P86" s="197"/>
      <c r="Q86" s="197"/>
      <c r="R86" s="197"/>
      <c r="S86" s="197"/>
      <c r="T86" s="197"/>
      <c r="U86" s="197"/>
      <c r="V86" s="197"/>
      <c r="W86" s="197"/>
      <c r="X86" s="197"/>
      <c r="Y86" s="197"/>
      <c r="Z86" s="198"/>
    </row>
    <row r="87" spans="1:26" ht="66" customHeight="1">
      <c r="B87" s="196"/>
      <c r="C87" s="63" t="s">
        <v>93</v>
      </c>
      <c r="D87" s="180" t="s">
        <v>118</v>
      </c>
      <c r="E87" s="180"/>
      <c r="F87" s="180"/>
      <c r="G87" s="180"/>
      <c r="H87" s="180"/>
      <c r="I87" s="180"/>
      <c r="J87" s="180"/>
      <c r="K87" s="180"/>
      <c r="L87" s="180"/>
      <c r="M87" s="180"/>
      <c r="N87" s="180"/>
      <c r="O87" s="180"/>
      <c r="P87" s="180"/>
      <c r="Q87" s="180"/>
      <c r="R87" s="180"/>
      <c r="S87" s="180"/>
      <c r="T87" s="180"/>
      <c r="U87" s="180"/>
      <c r="V87" s="180"/>
      <c r="W87" s="180"/>
      <c r="X87" s="180"/>
      <c r="Y87" s="180"/>
      <c r="Z87" s="181"/>
    </row>
    <row r="88" spans="1:26" ht="66" customHeight="1">
      <c r="B88" s="190" t="s">
        <v>119</v>
      </c>
      <c r="C88" s="62" t="s">
        <v>95</v>
      </c>
      <c r="D88" s="192" t="s">
        <v>120</v>
      </c>
      <c r="E88" s="192"/>
      <c r="F88" s="192"/>
      <c r="G88" s="192"/>
      <c r="H88" s="192"/>
      <c r="I88" s="192"/>
      <c r="J88" s="192"/>
      <c r="K88" s="192"/>
      <c r="L88" s="192"/>
      <c r="M88" s="192"/>
      <c r="N88" s="192"/>
      <c r="O88" s="192"/>
      <c r="P88" s="192"/>
      <c r="Q88" s="192"/>
      <c r="R88" s="192"/>
      <c r="S88" s="192"/>
      <c r="T88" s="192"/>
      <c r="U88" s="192"/>
      <c r="V88" s="192"/>
      <c r="W88" s="192"/>
      <c r="X88" s="192"/>
      <c r="Y88" s="192"/>
      <c r="Z88" s="193"/>
    </row>
    <row r="89" spans="1:26" ht="66" customHeight="1">
      <c r="B89" s="191"/>
      <c r="C89" s="63" t="s">
        <v>96</v>
      </c>
      <c r="D89" s="179" t="s">
        <v>121</v>
      </c>
      <c r="E89" s="180"/>
      <c r="F89" s="180"/>
      <c r="G89" s="180"/>
      <c r="H89" s="180"/>
      <c r="I89" s="180"/>
      <c r="J89" s="180"/>
      <c r="K89" s="180"/>
      <c r="L89" s="180"/>
      <c r="M89" s="180"/>
      <c r="N89" s="180"/>
      <c r="O89" s="180"/>
      <c r="P89" s="180"/>
      <c r="Q89" s="180"/>
      <c r="R89" s="180"/>
      <c r="S89" s="180"/>
      <c r="T89" s="180"/>
      <c r="U89" s="180"/>
      <c r="V89" s="180"/>
      <c r="W89" s="180"/>
      <c r="X89" s="180"/>
      <c r="Y89" s="180"/>
      <c r="Z89" s="181"/>
    </row>
    <row r="90" spans="1:26" ht="66" customHeight="1">
      <c r="B90" s="189"/>
      <c r="C90" s="64" t="s">
        <v>97</v>
      </c>
      <c r="D90" s="194" t="s">
        <v>122</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6" t="s">
        <v>123</v>
      </c>
    </row>
    <row r="93" spans="1:26" ht="18.75" customHeight="1">
      <c r="B93" s="253" t="s">
        <v>124</v>
      </c>
      <c r="C93" s="254"/>
      <c r="D93" s="254"/>
      <c r="E93" s="254"/>
      <c r="F93" s="254"/>
      <c r="G93" s="254"/>
      <c r="H93" s="254"/>
      <c r="I93" s="254"/>
      <c r="J93" s="254"/>
      <c r="K93" s="254"/>
      <c r="L93" s="254"/>
      <c r="M93" s="254"/>
      <c r="N93" s="254"/>
      <c r="O93" s="254"/>
      <c r="P93" s="254"/>
      <c r="Q93" s="254"/>
      <c r="R93" s="254"/>
      <c r="S93" s="254"/>
      <c r="T93" s="254"/>
      <c r="U93" s="254"/>
      <c r="V93" s="254"/>
      <c r="W93" s="254"/>
      <c r="X93" s="254"/>
      <c r="Y93" s="254"/>
      <c r="Z93" s="255"/>
    </row>
    <row r="94" spans="1:26" ht="18.75" customHeight="1">
      <c r="B94" s="256"/>
      <c r="C94" s="257"/>
      <c r="D94" s="257"/>
      <c r="E94" s="257"/>
      <c r="F94" s="257"/>
      <c r="G94" s="257"/>
      <c r="H94" s="257"/>
      <c r="I94" s="257"/>
      <c r="J94" s="257"/>
      <c r="K94" s="257"/>
      <c r="L94" s="257"/>
      <c r="M94" s="257"/>
      <c r="N94" s="257"/>
      <c r="O94" s="257"/>
      <c r="P94" s="257"/>
      <c r="Q94" s="257"/>
      <c r="R94" s="257"/>
      <c r="S94" s="257"/>
      <c r="T94" s="257"/>
      <c r="U94" s="257"/>
      <c r="V94" s="257"/>
      <c r="W94" s="257"/>
      <c r="X94" s="257"/>
      <c r="Y94" s="257"/>
      <c r="Z94" s="258"/>
    </row>
    <row r="95" spans="1:26" ht="18.75" customHeight="1">
      <c r="B95" s="259"/>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1"/>
    </row>
    <row r="96" spans="1:26" ht="6" customHeight="1"/>
    <row r="97" spans="1:26" ht="15" customHeight="1">
      <c r="A97" s="6" t="s">
        <v>125</v>
      </c>
    </row>
    <row r="98" spans="1:26" ht="15" customHeight="1">
      <c r="B98" s="262" t="s">
        <v>126</v>
      </c>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263"/>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showZeros="0" view="pageBreakPreview" zoomScaleNormal="100" zoomScaleSheetLayoutView="100" workbookViewId="0">
      <selection activeCell="C4" sqref="C4:D4"/>
    </sheetView>
  </sheetViews>
  <sheetFormatPr defaultColWidth="9" defaultRowHeight="18.75" customHeight="1"/>
  <cols>
    <col min="1" max="1" width="2.625" style="1" customWidth="1"/>
    <col min="2" max="2" width="30" style="1" customWidth="1"/>
    <col min="3" max="17" width="6.125" style="1" customWidth="1"/>
    <col min="18" max="18" width="6.625" style="1" customWidth="1"/>
    <col min="19" max="16384" width="9" style="1"/>
  </cols>
  <sheetData>
    <row r="1" spans="1:20" ht="18" customHeight="1">
      <c r="F1" s="280" t="s">
        <v>127</v>
      </c>
      <c r="G1" s="280"/>
      <c r="H1" s="280"/>
      <c r="I1" s="280"/>
      <c r="J1" s="280"/>
      <c r="K1" s="280"/>
      <c r="L1" s="280"/>
      <c r="M1" s="280"/>
      <c r="N1" s="280"/>
      <c r="O1" s="280"/>
      <c r="P1" s="280"/>
      <c r="Q1" s="280"/>
      <c r="R1" s="280"/>
    </row>
    <row r="2" spans="1:20" ht="18" customHeight="1">
      <c r="A2" s="281" t="s">
        <v>128</v>
      </c>
      <c r="B2" s="281"/>
      <c r="C2" s="281"/>
      <c r="D2" s="281"/>
      <c r="E2" s="281"/>
      <c r="F2" s="281"/>
      <c r="G2" s="281"/>
      <c r="H2" s="281"/>
      <c r="I2" s="281"/>
      <c r="J2" s="281"/>
      <c r="K2" s="281"/>
      <c r="L2" s="281"/>
      <c r="M2" s="281"/>
      <c r="N2" s="281"/>
      <c r="O2" s="281"/>
      <c r="P2" s="281"/>
      <c r="Q2" s="281"/>
      <c r="R2" s="281"/>
      <c r="S2" s="2"/>
    </row>
    <row r="3" spans="1:20" ht="7.5" customHeight="1">
      <c r="A3" s="25"/>
      <c r="B3" s="25"/>
      <c r="C3" s="25"/>
      <c r="D3" s="25"/>
      <c r="E3" s="25"/>
      <c r="F3" s="25"/>
      <c r="G3" s="25"/>
      <c r="H3" s="25"/>
      <c r="I3" s="25"/>
      <c r="J3" s="25"/>
      <c r="K3" s="25"/>
      <c r="L3" s="25"/>
      <c r="M3" s="25"/>
      <c r="N3" s="25"/>
      <c r="O3" s="25"/>
      <c r="P3" s="25"/>
      <c r="Q3" s="25"/>
      <c r="R3" s="25"/>
    </row>
    <row r="4" spans="1:20" ht="18" customHeight="1">
      <c r="A4" s="2" t="s">
        <v>129</v>
      </c>
      <c r="B4" s="2"/>
      <c r="C4" s="282" t="str">
        <f>'様式１　大学等概要'!E12</f>
        <v>令和２</v>
      </c>
      <c r="D4" s="283"/>
      <c r="E4" s="25" t="s">
        <v>20</v>
      </c>
      <c r="F4" s="25"/>
      <c r="G4" s="25"/>
      <c r="H4" s="25"/>
      <c r="I4" s="25"/>
      <c r="J4" s="68"/>
      <c r="K4" s="25"/>
      <c r="L4" s="25"/>
      <c r="M4" s="88"/>
      <c r="N4" s="88"/>
      <c r="O4" s="88"/>
      <c r="P4" s="88"/>
      <c r="Q4" s="88"/>
      <c r="R4" s="88"/>
    </row>
    <row r="5" spans="1:20" ht="6" customHeight="1">
      <c r="A5" s="25"/>
      <c r="B5" s="25"/>
      <c r="C5" s="25"/>
      <c r="D5" s="25"/>
      <c r="E5" s="25"/>
      <c r="F5" s="25"/>
      <c r="G5" s="25"/>
      <c r="H5" s="25"/>
      <c r="I5" s="25"/>
      <c r="J5" s="25"/>
      <c r="K5" s="25"/>
      <c r="L5" s="25"/>
      <c r="M5" s="25"/>
      <c r="N5" s="25"/>
      <c r="O5" s="25"/>
      <c r="P5" s="25"/>
      <c r="Q5" s="25"/>
      <c r="R5" s="25"/>
    </row>
    <row r="6" spans="1:20" ht="18" customHeight="1">
      <c r="A6" s="2" t="s">
        <v>130</v>
      </c>
      <c r="B6" s="25"/>
      <c r="C6" s="25"/>
      <c r="D6" s="25"/>
      <c r="E6" s="25"/>
      <c r="F6" s="25"/>
      <c r="G6" s="25"/>
      <c r="H6" s="25"/>
      <c r="I6" s="25"/>
      <c r="J6" s="25"/>
      <c r="K6" s="25"/>
      <c r="L6" s="25"/>
      <c r="M6" s="25"/>
      <c r="N6" s="25"/>
      <c r="O6" s="25"/>
      <c r="P6" s="25"/>
      <c r="Q6" s="25"/>
      <c r="R6" s="25"/>
    </row>
    <row r="7" spans="1:20" ht="6" customHeight="1">
      <c r="A7" s="2"/>
      <c r="B7" s="25"/>
      <c r="C7" s="25"/>
      <c r="D7" s="25"/>
      <c r="E7" s="25"/>
      <c r="F7" s="25"/>
      <c r="G7" s="25"/>
      <c r="H7" s="25"/>
      <c r="I7" s="25"/>
      <c r="J7" s="25"/>
      <c r="K7" s="25"/>
      <c r="L7" s="25"/>
      <c r="M7" s="25"/>
      <c r="N7" s="25"/>
      <c r="O7" s="25"/>
      <c r="P7" s="25"/>
      <c r="Q7" s="25"/>
      <c r="R7" s="25"/>
    </row>
    <row r="8" spans="1:20" ht="18" customHeight="1">
      <c r="B8" s="284" t="s">
        <v>131</v>
      </c>
      <c r="C8" s="286" t="s">
        <v>132</v>
      </c>
      <c r="D8" s="288" t="s">
        <v>133</v>
      </c>
      <c r="E8" s="290" t="s">
        <v>134</v>
      </c>
      <c r="F8" s="290"/>
      <c r="G8" s="290" t="s">
        <v>135</v>
      </c>
      <c r="H8" s="290"/>
      <c r="I8" s="290" t="s">
        <v>136</v>
      </c>
      <c r="J8" s="290"/>
      <c r="K8" s="291" t="s">
        <v>137</v>
      </c>
      <c r="L8" s="292"/>
      <c r="M8" s="291" t="s">
        <v>138</v>
      </c>
      <c r="N8" s="292"/>
      <c r="O8" s="291" t="s">
        <v>139</v>
      </c>
      <c r="P8" s="292"/>
      <c r="Q8" s="293" t="s">
        <v>140</v>
      </c>
      <c r="R8" s="295" t="s">
        <v>141</v>
      </c>
      <c r="T8" s="24"/>
    </row>
    <row r="9" spans="1:20" ht="18" customHeight="1">
      <c r="A9" s="2"/>
      <c r="B9" s="285"/>
      <c r="C9" s="287"/>
      <c r="D9" s="289"/>
      <c r="E9" s="26" t="s">
        <v>142</v>
      </c>
      <c r="F9" s="27" t="s">
        <v>143</v>
      </c>
      <c r="G9" s="28" t="s">
        <v>142</v>
      </c>
      <c r="H9" s="29" t="s">
        <v>143</v>
      </c>
      <c r="I9" s="26" t="s">
        <v>142</v>
      </c>
      <c r="J9" s="27" t="s">
        <v>143</v>
      </c>
      <c r="K9" s="28" t="s">
        <v>142</v>
      </c>
      <c r="L9" s="29" t="s">
        <v>143</v>
      </c>
      <c r="M9" s="26" t="s">
        <v>142</v>
      </c>
      <c r="N9" s="27" t="s">
        <v>143</v>
      </c>
      <c r="O9" s="28" t="s">
        <v>142</v>
      </c>
      <c r="P9" s="29" t="s">
        <v>143</v>
      </c>
      <c r="Q9" s="294"/>
      <c r="R9" s="296"/>
      <c r="T9" s="24"/>
    </row>
    <row r="10" spans="1:20" ht="18" customHeight="1">
      <c r="A10" s="30"/>
      <c r="B10" s="69" t="s">
        <v>144</v>
      </c>
      <c r="C10" s="30">
        <v>265</v>
      </c>
      <c r="D10" s="31">
        <v>1060</v>
      </c>
      <c r="E10" s="116">
        <v>39</v>
      </c>
      <c r="F10" s="117">
        <v>1</v>
      </c>
      <c r="G10" s="118">
        <v>9</v>
      </c>
      <c r="H10" s="119"/>
      <c r="I10" s="32">
        <v>0</v>
      </c>
      <c r="J10" s="33">
        <v>0</v>
      </c>
      <c r="K10" s="34">
        <v>0</v>
      </c>
      <c r="L10" s="35">
        <v>0</v>
      </c>
      <c r="M10" s="32">
        <v>0</v>
      </c>
      <c r="N10" s="33">
        <v>0</v>
      </c>
      <c r="O10" s="34">
        <v>0</v>
      </c>
      <c r="P10" s="35">
        <v>0</v>
      </c>
      <c r="Q10" s="36">
        <f>E10+G10+I10+K10+M10+O10</f>
        <v>48</v>
      </c>
      <c r="R10" s="37">
        <f>Q10/D10</f>
        <v>4.5283018867924525E-2</v>
      </c>
    </row>
    <row r="11" spans="1:20" ht="18" customHeight="1">
      <c r="A11" s="30"/>
      <c r="B11" s="70" t="s">
        <v>145</v>
      </c>
      <c r="C11" s="46">
        <v>160</v>
      </c>
      <c r="D11" s="39">
        <v>660</v>
      </c>
      <c r="E11" s="120">
        <v>9</v>
      </c>
      <c r="F11" s="121">
        <v>1</v>
      </c>
      <c r="G11" s="122">
        <v>1</v>
      </c>
      <c r="H11" s="123"/>
      <c r="I11" s="40">
        <v>0</v>
      </c>
      <c r="J11" s="41">
        <v>0</v>
      </c>
      <c r="K11" s="42">
        <v>0</v>
      </c>
      <c r="L11" s="43">
        <v>0</v>
      </c>
      <c r="M11" s="40">
        <v>0</v>
      </c>
      <c r="N11" s="41">
        <v>0</v>
      </c>
      <c r="O11" s="42">
        <v>0</v>
      </c>
      <c r="P11" s="43">
        <v>0</v>
      </c>
      <c r="Q11" s="44">
        <f t="shared" ref="Q11:Q29" si="0">E11+G11+I11+K11+M11+O11</f>
        <v>10</v>
      </c>
      <c r="R11" s="45">
        <f t="shared" ref="R11:R29" si="1">Q11/D11</f>
        <v>1.5151515151515152E-2</v>
      </c>
    </row>
    <row r="12" spans="1:20" ht="18" customHeight="1">
      <c r="A12" s="30"/>
      <c r="B12" s="70" t="s">
        <v>146</v>
      </c>
      <c r="C12" s="46">
        <v>112</v>
      </c>
      <c r="D12" s="39">
        <v>672</v>
      </c>
      <c r="E12" s="120">
        <v>14</v>
      </c>
      <c r="F12" s="121">
        <v>3</v>
      </c>
      <c r="G12" s="122"/>
      <c r="H12" s="123"/>
      <c r="I12" s="40">
        <v>0</v>
      </c>
      <c r="J12" s="41">
        <v>0</v>
      </c>
      <c r="K12" s="42">
        <v>0</v>
      </c>
      <c r="L12" s="43">
        <v>0</v>
      </c>
      <c r="M12" s="40">
        <v>0</v>
      </c>
      <c r="N12" s="41">
        <v>0</v>
      </c>
      <c r="O12" s="42">
        <v>0</v>
      </c>
      <c r="P12" s="43">
        <v>0</v>
      </c>
      <c r="Q12" s="44">
        <f t="shared" si="0"/>
        <v>14</v>
      </c>
      <c r="R12" s="45">
        <f t="shared" si="1"/>
        <v>2.0833333333333332E-2</v>
      </c>
    </row>
    <row r="13" spans="1:20" ht="18" customHeight="1">
      <c r="A13" s="30"/>
      <c r="B13" s="70" t="s">
        <v>147</v>
      </c>
      <c r="C13" s="46">
        <v>200</v>
      </c>
      <c r="D13" s="39">
        <v>800</v>
      </c>
      <c r="E13" s="120">
        <v>2</v>
      </c>
      <c r="F13" s="121"/>
      <c r="G13" s="122"/>
      <c r="H13" s="123"/>
      <c r="I13" s="40">
        <v>0</v>
      </c>
      <c r="J13" s="41">
        <v>0</v>
      </c>
      <c r="K13" s="42">
        <v>0</v>
      </c>
      <c r="L13" s="43">
        <v>0</v>
      </c>
      <c r="M13" s="40">
        <v>0</v>
      </c>
      <c r="N13" s="41">
        <v>0</v>
      </c>
      <c r="O13" s="42">
        <v>0</v>
      </c>
      <c r="P13" s="43">
        <v>0</v>
      </c>
      <c r="Q13" s="44">
        <f t="shared" si="0"/>
        <v>2</v>
      </c>
      <c r="R13" s="45">
        <f t="shared" si="1"/>
        <v>2.5000000000000001E-3</v>
      </c>
    </row>
    <row r="14" spans="1:20" ht="18" customHeight="1">
      <c r="A14" s="30"/>
      <c r="B14" s="70" t="s">
        <v>148</v>
      </c>
      <c r="C14" s="46">
        <v>10</v>
      </c>
      <c r="D14" s="39">
        <v>20</v>
      </c>
      <c r="E14" s="120">
        <v>2</v>
      </c>
      <c r="F14" s="121"/>
      <c r="G14" s="122"/>
      <c r="H14" s="123"/>
      <c r="I14" s="40">
        <v>0</v>
      </c>
      <c r="J14" s="41">
        <v>0</v>
      </c>
      <c r="K14" s="42">
        <v>0</v>
      </c>
      <c r="L14" s="43">
        <v>0</v>
      </c>
      <c r="M14" s="40">
        <v>0</v>
      </c>
      <c r="N14" s="41">
        <v>0</v>
      </c>
      <c r="O14" s="42">
        <v>0</v>
      </c>
      <c r="P14" s="43">
        <v>0</v>
      </c>
      <c r="Q14" s="44">
        <f t="shared" si="0"/>
        <v>2</v>
      </c>
      <c r="R14" s="45">
        <f t="shared" si="1"/>
        <v>0.1</v>
      </c>
    </row>
    <row r="15" spans="1:20" ht="18" customHeight="1">
      <c r="A15" s="30"/>
      <c r="B15" s="70" t="s">
        <v>149</v>
      </c>
      <c r="C15" s="46">
        <v>360</v>
      </c>
      <c r="D15" s="39">
        <v>1440</v>
      </c>
      <c r="E15" s="120">
        <v>122</v>
      </c>
      <c r="F15" s="121">
        <v>33</v>
      </c>
      <c r="G15" s="122">
        <v>15</v>
      </c>
      <c r="H15" s="123"/>
      <c r="I15" s="40">
        <v>0</v>
      </c>
      <c r="J15" s="41">
        <v>0</v>
      </c>
      <c r="K15" s="42">
        <v>0</v>
      </c>
      <c r="L15" s="43">
        <v>0</v>
      </c>
      <c r="M15" s="40">
        <v>0</v>
      </c>
      <c r="N15" s="41">
        <v>0</v>
      </c>
      <c r="O15" s="42">
        <v>0</v>
      </c>
      <c r="P15" s="43">
        <v>0</v>
      </c>
      <c r="Q15" s="44">
        <f t="shared" si="0"/>
        <v>137</v>
      </c>
      <c r="R15" s="45">
        <f t="shared" si="1"/>
        <v>9.5138888888888884E-2</v>
      </c>
    </row>
    <row r="16" spans="1:20" ht="18" customHeight="1">
      <c r="A16" s="30"/>
      <c r="B16" s="70" t="s">
        <v>150</v>
      </c>
      <c r="C16" s="46">
        <v>215</v>
      </c>
      <c r="D16" s="39">
        <v>860</v>
      </c>
      <c r="E16" s="120">
        <v>17</v>
      </c>
      <c r="F16" s="121"/>
      <c r="G16" s="122">
        <v>6</v>
      </c>
      <c r="H16" s="123"/>
      <c r="I16" s="40">
        <v>0</v>
      </c>
      <c r="J16" s="41">
        <v>0</v>
      </c>
      <c r="K16" s="42">
        <v>0</v>
      </c>
      <c r="L16" s="43">
        <v>0</v>
      </c>
      <c r="M16" s="40">
        <v>0</v>
      </c>
      <c r="N16" s="41">
        <v>0</v>
      </c>
      <c r="O16" s="42">
        <v>0</v>
      </c>
      <c r="P16" s="43">
        <v>0</v>
      </c>
      <c r="Q16" s="44">
        <f t="shared" si="0"/>
        <v>23</v>
      </c>
      <c r="R16" s="45">
        <f t="shared" si="1"/>
        <v>2.6744186046511628E-2</v>
      </c>
    </row>
    <row r="17" spans="1:18" ht="18" customHeight="1">
      <c r="A17" s="30"/>
      <c r="B17" s="70"/>
      <c r="C17" s="46"/>
      <c r="D17" s="39"/>
      <c r="E17" s="120"/>
      <c r="F17" s="121"/>
      <c r="G17" s="122"/>
      <c r="H17" s="123"/>
      <c r="I17" s="40"/>
      <c r="J17" s="41"/>
      <c r="K17" s="42"/>
      <c r="L17" s="43"/>
      <c r="M17" s="40"/>
      <c r="N17" s="41"/>
      <c r="O17" s="42"/>
      <c r="P17" s="43"/>
      <c r="Q17" s="44">
        <f t="shared" si="0"/>
        <v>0</v>
      </c>
      <c r="R17" s="45" t="e">
        <f t="shared" si="1"/>
        <v>#DIV/0!</v>
      </c>
    </row>
    <row r="18" spans="1:18" ht="18" customHeight="1">
      <c r="A18" s="30"/>
      <c r="B18" s="70"/>
      <c r="C18" s="46"/>
      <c r="D18" s="39"/>
      <c r="E18" s="120"/>
      <c r="F18" s="121"/>
      <c r="G18" s="122"/>
      <c r="H18" s="123"/>
      <c r="I18" s="40"/>
      <c r="J18" s="41"/>
      <c r="K18" s="42"/>
      <c r="L18" s="43"/>
      <c r="M18" s="40"/>
      <c r="N18" s="41"/>
      <c r="O18" s="42"/>
      <c r="P18" s="43"/>
      <c r="Q18" s="44">
        <f>E18+G18+I18+K18+M18+O18</f>
        <v>0</v>
      </c>
      <c r="R18" s="45" t="e">
        <f t="shared" si="1"/>
        <v>#DIV/0!</v>
      </c>
    </row>
    <row r="19" spans="1:18" ht="18" customHeight="1">
      <c r="A19" s="30"/>
      <c r="B19" s="70" t="s">
        <v>151</v>
      </c>
      <c r="C19" s="46"/>
      <c r="D19" s="39"/>
      <c r="E19" s="120"/>
      <c r="F19" s="121"/>
      <c r="G19" s="122"/>
      <c r="H19" s="123"/>
      <c r="I19" s="40"/>
      <c r="J19" s="41"/>
      <c r="K19" s="42"/>
      <c r="L19" s="43"/>
      <c r="M19" s="40"/>
      <c r="N19" s="41"/>
      <c r="O19" s="42"/>
      <c r="P19" s="43"/>
      <c r="Q19" s="44">
        <f t="shared" si="0"/>
        <v>0</v>
      </c>
      <c r="R19" s="45" t="e">
        <f t="shared" si="1"/>
        <v>#DIV/0!</v>
      </c>
    </row>
    <row r="20" spans="1:18" ht="18" customHeight="1">
      <c r="A20" s="30"/>
      <c r="B20" s="70" t="s">
        <v>152</v>
      </c>
      <c r="C20" s="46"/>
      <c r="D20" s="39"/>
      <c r="E20" s="40"/>
      <c r="F20" s="41"/>
      <c r="G20" s="42"/>
      <c r="H20" s="43"/>
      <c r="I20" s="40"/>
      <c r="J20" s="41"/>
      <c r="K20" s="42"/>
      <c r="L20" s="43"/>
      <c r="M20" s="40"/>
      <c r="N20" s="41"/>
      <c r="O20" s="42"/>
      <c r="P20" s="43"/>
      <c r="Q20" s="44">
        <f t="shared" si="0"/>
        <v>0</v>
      </c>
      <c r="R20" s="45" t="e">
        <f t="shared" si="1"/>
        <v>#DIV/0!</v>
      </c>
    </row>
    <row r="21" spans="1:18" ht="18" customHeight="1">
      <c r="A21" s="30"/>
      <c r="B21" s="70" t="s">
        <v>153</v>
      </c>
      <c r="C21" s="46"/>
      <c r="D21" s="39"/>
      <c r="E21" s="40"/>
      <c r="F21" s="41"/>
      <c r="G21" s="42"/>
      <c r="H21" s="43"/>
      <c r="I21" s="40"/>
      <c r="J21" s="41"/>
      <c r="K21" s="42"/>
      <c r="L21" s="43"/>
      <c r="M21" s="40"/>
      <c r="N21" s="41"/>
      <c r="O21" s="42"/>
      <c r="P21" s="43"/>
      <c r="Q21" s="44">
        <f t="shared" si="0"/>
        <v>0</v>
      </c>
      <c r="R21" s="45" t="e">
        <f t="shared" si="1"/>
        <v>#DIV/0!</v>
      </c>
    </row>
    <row r="22" spans="1:18" ht="18" customHeight="1">
      <c r="A22" s="30"/>
      <c r="B22" s="70"/>
      <c r="C22" s="46"/>
      <c r="D22" s="39"/>
      <c r="E22" s="40"/>
      <c r="F22" s="41"/>
      <c r="G22" s="42"/>
      <c r="H22" s="43"/>
      <c r="I22" s="40"/>
      <c r="J22" s="41"/>
      <c r="K22" s="42"/>
      <c r="L22" s="43"/>
      <c r="M22" s="40"/>
      <c r="N22" s="41"/>
      <c r="O22" s="42"/>
      <c r="P22" s="43"/>
      <c r="Q22" s="44">
        <f t="shared" si="0"/>
        <v>0</v>
      </c>
      <c r="R22" s="45" t="e">
        <f t="shared" si="1"/>
        <v>#DIV/0!</v>
      </c>
    </row>
    <row r="23" spans="1:18" ht="18" customHeight="1">
      <c r="A23" s="30"/>
      <c r="B23" s="70"/>
      <c r="C23" s="46"/>
      <c r="D23" s="39"/>
      <c r="E23" s="40"/>
      <c r="F23" s="41"/>
      <c r="G23" s="42"/>
      <c r="H23" s="43"/>
      <c r="I23" s="40"/>
      <c r="J23" s="41"/>
      <c r="K23" s="42"/>
      <c r="L23" s="43"/>
      <c r="M23" s="40"/>
      <c r="N23" s="41"/>
      <c r="O23" s="42"/>
      <c r="P23" s="43"/>
      <c r="Q23" s="44">
        <f t="shared" si="0"/>
        <v>0</v>
      </c>
      <c r="R23" s="45" t="e">
        <f t="shared" si="1"/>
        <v>#DIV/0!</v>
      </c>
    </row>
    <row r="24" spans="1:18" ht="18" customHeight="1">
      <c r="A24" s="30"/>
      <c r="B24" s="70"/>
      <c r="C24" s="46"/>
      <c r="D24" s="39"/>
      <c r="E24" s="40"/>
      <c r="F24" s="41"/>
      <c r="G24" s="42"/>
      <c r="H24" s="43"/>
      <c r="I24" s="40"/>
      <c r="J24" s="41"/>
      <c r="K24" s="42"/>
      <c r="L24" s="43"/>
      <c r="M24" s="40"/>
      <c r="N24" s="41"/>
      <c r="O24" s="42"/>
      <c r="P24" s="43"/>
      <c r="Q24" s="44">
        <f t="shared" si="0"/>
        <v>0</v>
      </c>
      <c r="R24" s="45" t="e">
        <f t="shared" si="1"/>
        <v>#DIV/0!</v>
      </c>
    </row>
    <row r="25" spans="1:18" ht="18" customHeight="1">
      <c r="A25" s="30"/>
      <c r="B25" s="70"/>
      <c r="C25" s="46"/>
      <c r="D25" s="39"/>
      <c r="E25" s="40"/>
      <c r="F25" s="41"/>
      <c r="G25" s="42"/>
      <c r="H25" s="43"/>
      <c r="I25" s="40"/>
      <c r="J25" s="41"/>
      <c r="K25" s="42"/>
      <c r="L25" s="43"/>
      <c r="M25" s="40"/>
      <c r="N25" s="41"/>
      <c r="O25" s="42"/>
      <c r="P25" s="43"/>
      <c r="Q25" s="44">
        <f t="shared" si="0"/>
        <v>0</v>
      </c>
      <c r="R25" s="45" t="e">
        <f t="shared" si="1"/>
        <v>#DIV/0!</v>
      </c>
    </row>
    <row r="26" spans="1:18" ht="18" customHeight="1">
      <c r="A26" s="30"/>
      <c r="B26" s="70"/>
      <c r="C26" s="46"/>
      <c r="D26" s="39"/>
      <c r="E26" s="40"/>
      <c r="F26" s="41"/>
      <c r="G26" s="42"/>
      <c r="H26" s="43"/>
      <c r="I26" s="40"/>
      <c r="J26" s="41"/>
      <c r="K26" s="42"/>
      <c r="L26" s="43"/>
      <c r="M26" s="40"/>
      <c r="N26" s="41"/>
      <c r="O26" s="42"/>
      <c r="P26" s="43"/>
      <c r="Q26" s="44">
        <f t="shared" si="0"/>
        <v>0</v>
      </c>
      <c r="R26" s="45" t="e">
        <f t="shared" si="1"/>
        <v>#DIV/0!</v>
      </c>
    </row>
    <row r="27" spans="1:18" ht="18" customHeight="1">
      <c r="A27" s="30"/>
      <c r="B27" s="70"/>
      <c r="C27" s="38"/>
      <c r="D27" s="39"/>
      <c r="E27" s="40"/>
      <c r="F27" s="41"/>
      <c r="G27" s="42"/>
      <c r="H27" s="43"/>
      <c r="I27" s="40"/>
      <c r="J27" s="41"/>
      <c r="K27" s="42"/>
      <c r="L27" s="43"/>
      <c r="M27" s="40"/>
      <c r="N27" s="41"/>
      <c r="O27" s="42"/>
      <c r="P27" s="43"/>
      <c r="Q27" s="44">
        <f t="shared" si="0"/>
        <v>0</v>
      </c>
      <c r="R27" s="45" t="e">
        <f t="shared" si="1"/>
        <v>#DIV/0!</v>
      </c>
    </row>
    <row r="28" spans="1:18" ht="18" customHeight="1">
      <c r="A28" s="30"/>
      <c r="B28" s="70"/>
      <c r="C28" s="38"/>
      <c r="D28" s="39"/>
      <c r="E28" s="40"/>
      <c r="F28" s="41"/>
      <c r="G28" s="42"/>
      <c r="H28" s="43"/>
      <c r="I28" s="40"/>
      <c r="J28" s="41"/>
      <c r="K28" s="42"/>
      <c r="L28" s="43"/>
      <c r="M28" s="40"/>
      <c r="N28" s="41"/>
      <c r="O28" s="42"/>
      <c r="P28" s="43"/>
      <c r="Q28" s="44">
        <f t="shared" si="0"/>
        <v>0</v>
      </c>
      <c r="R28" s="45" t="e">
        <f t="shared" si="1"/>
        <v>#DIV/0!</v>
      </c>
    </row>
    <row r="29" spans="1:18" ht="18" customHeight="1" thickBot="1">
      <c r="A29" s="30"/>
      <c r="B29" s="71"/>
      <c r="C29" s="72"/>
      <c r="D29" s="31"/>
      <c r="E29" s="32"/>
      <c r="F29" s="33"/>
      <c r="G29" s="34"/>
      <c r="H29" s="35"/>
      <c r="I29" s="32"/>
      <c r="J29" s="33"/>
      <c r="K29" s="34"/>
      <c r="L29" s="35"/>
      <c r="M29" s="32"/>
      <c r="N29" s="33"/>
      <c r="O29" s="34"/>
      <c r="P29" s="35"/>
      <c r="Q29" s="47">
        <f t="shared" si="0"/>
        <v>0</v>
      </c>
      <c r="R29" s="37" t="e">
        <f t="shared" si="1"/>
        <v>#DIV/0!</v>
      </c>
    </row>
    <row r="30" spans="1:18" ht="18" customHeight="1" thickTop="1">
      <c r="B30" s="73" t="s">
        <v>154</v>
      </c>
      <c r="C30" s="74">
        <f t="shared" ref="C30:Q30" si="2">SUM(C10:C29)</f>
        <v>1322</v>
      </c>
      <c r="D30" s="48">
        <f t="shared" si="2"/>
        <v>5512</v>
      </c>
      <c r="E30" s="49">
        <f t="shared" si="2"/>
        <v>205</v>
      </c>
      <c r="F30" s="50">
        <f t="shared" si="2"/>
        <v>38</v>
      </c>
      <c r="G30" s="51">
        <f t="shared" si="2"/>
        <v>31</v>
      </c>
      <c r="H30" s="52">
        <f t="shared" si="2"/>
        <v>0</v>
      </c>
      <c r="I30" s="49">
        <f t="shared" si="2"/>
        <v>0</v>
      </c>
      <c r="J30" s="50">
        <f t="shared" si="2"/>
        <v>0</v>
      </c>
      <c r="K30" s="51">
        <f t="shared" si="2"/>
        <v>0</v>
      </c>
      <c r="L30" s="52">
        <f t="shared" si="2"/>
        <v>0</v>
      </c>
      <c r="M30" s="49">
        <f t="shared" si="2"/>
        <v>0</v>
      </c>
      <c r="N30" s="50">
        <f t="shared" si="2"/>
        <v>0</v>
      </c>
      <c r="O30" s="51">
        <f t="shared" si="2"/>
        <v>0</v>
      </c>
      <c r="P30" s="52">
        <f t="shared" si="2"/>
        <v>0</v>
      </c>
      <c r="Q30" s="53">
        <f t="shared" si="2"/>
        <v>236</v>
      </c>
      <c r="R30" s="54">
        <f>Q30/D30</f>
        <v>4.2815674891146592E-2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topLeftCell="A47" zoomScaleNormal="100" zoomScaleSheetLayoutView="100" workbookViewId="0">
      <selection activeCell="B87" sqref="B87"/>
    </sheetView>
  </sheetViews>
  <sheetFormatPr defaultColWidth="11.375" defaultRowHeight="18.75" customHeight="1"/>
  <cols>
    <col min="1" max="1" width="2.625" style="105" customWidth="1"/>
    <col min="2" max="2" width="16.625" style="7" customWidth="1"/>
    <col min="3" max="3" width="8.875" style="7" customWidth="1"/>
    <col min="4" max="4" width="2.125" style="7" customWidth="1"/>
    <col min="5" max="5" width="16.625" style="7" customWidth="1"/>
    <col min="6" max="6" width="8.875" style="7" customWidth="1"/>
    <col min="7" max="7" width="2.125" style="7" customWidth="1"/>
    <col min="8" max="8" width="16.625" style="7" customWidth="1"/>
    <col min="9" max="9" width="8.875" style="7" customWidth="1"/>
    <col min="10" max="10" width="2.125" style="7" customWidth="1"/>
    <col min="11" max="16384" width="11.375" style="7"/>
  </cols>
  <sheetData>
    <row r="1" spans="1:11" ht="18.75" customHeight="1">
      <c r="A1" s="105" t="s">
        <v>155</v>
      </c>
      <c r="J1" s="126" t="s">
        <v>156</v>
      </c>
    </row>
    <row r="2" spans="1:11" ht="18.75" customHeight="1">
      <c r="A2" s="230" t="s">
        <v>157</v>
      </c>
      <c r="B2" s="230"/>
      <c r="C2" s="230"/>
      <c r="D2" s="230"/>
      <c r="E2" s="230"/>
      <c r="F2" s="230"/>
      <c r="G2" s="230"/>
      <c r="H2" s="230"/>
      <c r="I2" s="230"/>
      <c r="J2" s="230"/>
    </row>
    <row r="3" spans="1:11" ht="7.5" customHeight="1">
      <c r="B3" s="21"/>
      <c r="C3" s="21"/>
      <c r="D3" s="21"/>
      <c r="E3" s="21"/>
      <c r="F3" s="21"/>
      <c r="G3" s="21"/>
      <c r="H3" s="21"/>
      <c r="I3" s="21"/>
      <c r="J3" s="21"/>
    </row>
    <row r="4" spans="1:11" ht="18.75" customHeight="1">
      <c r="A4" s="7" t="s">
        <v>2</v>
      </c>
      <c r="B4" s="7" t="s">
        <v>158</v>
      </c>
      <c r="I4" s="21"/>
      <c r="J4" s="21"/>
    </row>
    <row r="5" spans="1:11" ht="18.75" customHeight="1">
      <c r="A5" s="7"/>
      <c r="B5" s="145" t="s">
        <v>159</v>
      </c>
      <c r="C5" s="146"/>
      <c r="D5" s="146"/>
      <c r="E5" s="146"/>
      <c r="F5" s="146"/>
      <c r="G5" s="146"/>
      <c r="H5" s="146"/>
      <c r="I5" s="146"/>
      <c r="J5" s="263"/>
      <c r="K5" s="7" t="str">
        <f>IF(B5="","入力してください","")</f>
        <v/>
      </c>
    </row>
    <row r="6" spans="1:11" ht="7.5" customHeight="1">
      <c r="B6" s="21"/>
      <c r="C6" s="21"/>
      <c r="D6" s="21"/>
      <c r="E6" s="21"/>
      <c r="F6" s="21"/>
      <c r="G6" s="21"/>
      <c r="H6" s="21"/>
      <c r="I6" s="21"/>
      <c r="J6" s="21"/>
    </row>
    <row r="7" spans="1:11" ht="18.75" customHeight="1">
      <c r="A7" s="7" t="s">
        <v>5</v>
      </c>
      <c r="B7" s="7" t="s">
        <v>160</v>
      </c>
      <c r="K7" s="8"/>
    </row>
    <row r="8" spans="1:11" ht="18.75" customHeight="1">
      <c r="A8" s="59"/>
      <c r="B8" s="306" t="s">
        <v>161</v>
      </c>
      <c r="C8" s="307"/>
      <c r="D8" s="307"/>
      <c r="E8" s="307"/>
      <c r="F8" s="307"/>
      <c r="G8" s="307"/>
      <c r="H8" s="307"/>
      <c r="I8" s="308"/>
      <c r="J8" s="309"/>
      <c r="K8" s="7" t="str">
        <f>IF(B8="","入力してください","")</f>
        <v/>
      </c>
    </row>
    <row r="9" spans="1:11" ht="18.75" customHeight="1">
      <c r="A9" s="59"/>
      <c r="B9" s="300"/>
      <c r="C9" s="310"/>
      <c r="D9" s="310"/>
      <c r="E9" s="310"/>
      <c r="F9" s="310"/>
      <c r="G9" s="310"/>
      <c r="H9" s="310"/>
      <c r="I9" s="310"/>
      <c r="J9" s="302"/>
    </row>
    <row r="10" spans="1:11" ht="18.75" customHeight="1">
      <c r="A10" s="59"/>
      <c r="B10" s="300"/>
      <c r="C10" s="310"/>
      <c r="D10" s="310"/>
      <c r="E10" s="310"/>
      <c r="F10" s="310"/>
      <c r="G10" s="310"/>
      <c r="H10" s="310"/>
      <c r="I10" s="310"/>
      <c r="J10" s="302"/>
    </row>
    <row r="11" spans="1:11" ht="18.75" customHeight="1">
      <c r="A11" s="59"/>
      <c r="B11" s="300"/>
      <c r="C11" s="310"/>
      <c r="D11" s="310"/>
      <c r="E11" s="310"/>
      <c r="F11" s="310"/>
      <c r="G11" s="310"/>
      <c r="H11" s="310"/>
      <c r="I11" s="310"/>
      <c r="J11" s="302"/>
    </row>
    <row r="12" spans="1:11" ht="69.75" customHeight="1">
      <c r="A12" s="59"/>
      <c r="B12" s="303"/>
      <c r="C12" s="304"/>
      <c r="D12" s="304"/>
      <c r="E12" s="304"/>
      <c r="F12" s="304"/>
      <c r="G12" s="304"/>
      <c r="H12" s="304"/>
      <c r="I12" s="304"/>
      <c r="J12" s="305"/>
    </row>
    <row r="13" spans="1:11" ht="7.5" customHeight="1">
      <c r="A13" s="59"/>
      <c r="B13" s="59"/>
      <c r="C13" s="59"/>
      <c r="D13" s="59"/>
      <c r="E13" s="59"/>
      <c r="F13" s="59"/>
      <c r="G13" s="59"/>
      <c r="H13" s="59"/>
      <c r="I13" s="59"/>
      <c r="J13" s="59"/>
    </row>
    <row r="14" spans="1:11" ht="18.75" customHeight="1">
      <c r="A14" s="132" t="s">
        <v>162</v>
      </c>
      <c r="B14" s="132" t="s">
        <v>163</v>
      </c>
      <c r="C14" s="132"/>
      <c r="D14" s="132"/>
      <c r="E14" s="132"/>
      <c r="F14" s="132"/>
      <c r="G14" s="132"/>
      <c r="H14" s="132"/>
      <c r="I14" s="132"/>
      <c r="J14" s="132"/>
    </row>
    <row r="15" spans="1:11" ht="18.75" customHeight="1">
      <c r="A15" s="59"/>
      <c r="B15" s="306" t="s">
        <v>164</v>
      </c>
      <c r="C15" s="307"/>
      <c r="D15" s="307"/>
      <c r="E15" s="307"/>
      <c r="F15" s="307"/>
      <c r="G15" s="307"/>
      <c r="H15" s="307"/>
      <c r="I15" s="307"/>
      <c r="J15" s="311"/>
      <c r="K15" s="7" t="str">
        <f>IF(B15="","入力してください","")</f>
        <v/>
      </c>
    </row>
    <row r="16" spans="1:11" ht="18.75" customHeight="1">
      <c r="A16" s="59"/>
      <c r="B16" s="312"/>
      <c r="C16" s="313"/>
      <c r="D16" s="313"/>
      <c r="E16" s="313"/>
      <c r="F16" s="313"/>
      <c r="G16" s="313"/>
      <c r="H16" s="313"/>
      <c r="I16" s="313"/>
      <c r="J16" s="314"/>
    </row>
    <row r="17" spans="1:11" ht="18.75" customHeight="1">
      <c r="A17" s="59"/>
      <c r="B17" s="312"/>
      <c r="C17" s="313"/>
      <c r="D17" s="313"/>
      <c r="E17" s="313"/>
      <c r="F17" s="313"/>
      <c r="G17" s="313"/>
      <c r="H17" s="313"/>
      <c r="I17" s="313"/>
      <c r="J17" s="314"/>
    </row>
    <row r="18" spans="1:11" ht="18.75" customHeight="1">
      <c r="A18" s="59"/>
      <c r="B18" s="312"/>
      <c r="C18" s="313"/>
      <c r="D18" s="313"/>
      <c r="E18" s="313"/>
      <c r="F18" s="313"/>
      <c r="G18" s="313"/>
      <c r="H18" s="313"/>
      <c r="I18" s="313"/>
      <c r="J18" s="314"/>
    </row>
    <row r="19" spans="1:11" ht="18.75" customHeight="1">
      <c r="A19" s="59"/>
      <c r="B19" s="312"/>
      <c r="C19" s="313"/>
      <c r="D19" s="313"/>
      <c r="E19" s="313"/>
      <c r="F19" s="313"/>
      <c r="G19" s="313"/>
      <c r="H19" s="313"/>
      <c r="I19" s="313"/>
      <c r="J19" s="314"/>
    </row>
    <row r="20" spans="1:11" ht="18.75" customHeight="1">
      <c r="A20" s="59"/>
      <c r="B20" s="312"/>
      <c r="C20" s="313"/>
      <c r="D20" s="313"/>
      <c r="E20" s="313"/>
      <c r="F20" s="313"/>
      <c r="G20" s="313"/>
      <c r="H20" s="313"/>
      <c r="I20" s="313"/>
      <c r="J20" s="314"/>
    </row>
    <row r="21" spans="1:11" ht="18.75" customHeight="1">
      <c r="A21" s="59"/>
      <c r="B21" s="312"/>
      <c r="C21" s="313"/>
      <c r="D21" s="313"/>
      <c r="E21" s="313"/>
      <c r="F21" s="313"/>
      <c r="G21" s="313"/>
      <c r="H21" s="313"/>
      <c r="I21" s="313"/>
      <c r="J21" s="314"/>
    </row>
    <row r="22" spans="1:11" ht="18.75" customHeight="1">
      <c r="A22" s="59"/>
      <c r="B22" s="312"/>
      <c r="C22" s="313"/>
      <c r="D22" s="313"/>
      <c r="E22" s="313"/>
      <c r="F22" s="313"/>
      <c r="G22" s="313"/>
      <c r="H22" s="313"/>
      <c r="I22" s="313"/>
      <c r="J22" s="314"/>
    </row>
    <row r="23" spans="1:11" ht="12" customHeight="1">
      <c r="A23" s="59"/>
      <c r="B23" s="312"/>
      <c r="C23" s="313"/>
      <c r="D23" s="313"/>
      <c r="E23" s="313"/>
      <c r="F23" s="313"/>
      <c r="G23" s="313"/>
      <c r="H23" s="313"/>
      <c r="I23" s="313"/>
      <c r="J23" s="314"/>
    </row>
    <row r="24" spans="1:11" ht="9" customHeight="1">
      <c r="A24" s="59"/>
      <c r="B24" s="312"/>
      <c r="C24" s="313"/>
      <c r="D24" s="313"/>
      <c r="E24" s="313"/>
      <c r="F24" s="313"/>
      <c r="G24" s="313"/>
      <c r="H24" s="313"/>
      <c r="I24" s="313"/>
      <c r="J24" s="314"/>
    </row>
    <row r="25" spans="1:11" ht="8.25" customHeight="1">
      <c r="A25" s="59"/>
      <c r="B25" s="315"/>
      <c r="C25" s="316"/>
      <c r="D25" s="316"/>
      <c r="E25" s="316"/>
      <c r="F25" s="316"/>
      <c r="G25" s="316"/>
      <c r="H25" s="316"/>
      <c r="I25" s="316"/>
      <c r="J25" s="317"/>
    </row>
    <row r="26" spans="1:11" ht="7.5" customHeight="1">
      <c r="A26" s="106"/>
      <c r="B26" s="106"/>
      <c r="C26" s="106"/>
      <c r="D26" s="106"/>
      <c r="E26" s="106"/>
      <c r="F26" s="106"/>
      <c r="G26" s="106"/>
      <c r="H26" s="106"/>
      <c r="I26" s="106"/>
      <c r="J26" s="106"/>
    </row>
    <row r="27" spans="1:11" ht="18.75" customHeight="1">
      <c r="A27" s="7" t="s">
        <v>11</v>
      </c>
      <c r="B27" s="7" t="s">
        <v>165</v>
      </c>
    </row>
    <row r="28" spans="1:11" s="21" customFormat="1" ht="18.75" customHeight="1">
      <c r="B28" s="75" t="s">
        <v>166</v>
      </c>
      <c r="C28" s="76">
        <v>0.04</v>
      </c>
      <c r="D28" s="77"/>
      <c r="E28" s="77" t="s">
        <v>167</v>
      </c>
      <c r="F28" s="76">
        <v>0.24</v>
      </c>
      <c r="G28" s="77"/>
      <c r="H28" s="77" t="s">
        <v>168</v>
      </c>
      <c r="I28" s="78">
        <v>0.48</v>
      </c>
      <c r="J28" s="79"/>
      <c r="K28" s="7"/>
    </row>
    <row r="29" spans="1:11" s="21" customFormat="1" ht="18.75" customHeight="1">
      <c r="B29" s="65" t="s">
        <v>169</v>
      </c>
      <c r="C29" s="80">
        <v>0.72</v>
      </c>
      <c r="D29" s="66"/>
      <c r="E29" s="66" t="s">
        <v>170</v>
      </c>
      <c r="F29" s="80">
        <v>0.96</v>
      </c>
      <c r="G29" s="66"/>
      <c r="H29" s="66" t="s">
        <v>171</v>
      </c>
      <c r="I29" s="81">
        <v>5512</v>
      </c>
      <c r="J29" s="82"/>
      <c r="K29" s="8"/>
    </row>
    <row r="30" spans="1:11" ht="18.75" customHeight="1">
      <c r="A30" s="7"/>
      <c r="B30" s="185" t="s">
        <v>172</v>
      </c>
      <c r="C30" s="186"/>
      <c r="D30" s="186"/>
      <c r="E30" s="186"/>
      <c r="F30" s="186"/>
      <c r="G30" s="186"/>
      <c r="H30" s="186"/>
      <c r="I30" s="186"/>
      <c r="J30" s="187"/>
      <c r="K30" s="8"/>
    </row>
    <row r="31" spans="1:11" ht="18.75" customHeight="1">
      <c r="A31" s="7"/>
      <c r="B31" s="297" t="s">
        <v>173</v>
      </c>
      <c r="C31" s="298"/>
      <c r="D31" s="298"/>
      <c r="E31" s="298"/>
      <c r="F31" s="298"/>
      <c r="G31" s="298"/>
      <c r="H31" s="298"/>
      <c r="I31" s="298"/>
      <c r="J31" s="299"/>
      <c r="K31" s="8" t="str">
        <f>IF(B31="","入力してください","")</f>
        <v/>
      </c>
    </row>
    <row r="32" spans="1:11" ht="18.75" customHeight="1">
      <c r="A32" s="7"/>
      <c r="B32" s="300"/>
      <c r="C32" s="301"/>
      <c r="D32" s="301"/>
      <c r="E32" s="301"/>
      <c r="F32" s="301"/>
      <c r="G32" s="301"/>
      <c r="H32" s="301"/>
      <c r="I32" s="301"/>
      <c r="J32" s="302"/>
      <c r="K32" s="8"/>
    </row>
    <row r="33" spans="1:11" ht="18.75" customHeight="1">
      <c r="A33" s="7"/>
      <c r="B33" s="300"/>
      <c r="C33" s="301"/>
      <c r="D33" s="301"/>
      <c r="E33" s="301"/>
      <c r="F33" s="301"/>
      <c r="G33" s="301"/>
      <c r="H33" s="301"/>
      <c r="I33" s="301"/>
      <c r="J33" s="302"/>
      <c r="K33" s="8"/>
    </row>
    <row r="34" spans="1:11" ht="18.75" customHeight="1">
      <c r="A34" s="7"/>
      <c r="B34" s="300"/>
      <c r="C34" s="301"/>
      <c r="D34" s="301"/>
      <c r="E34" s="301"/>
      <c r="F34" s="301"/>
      <c r="G34" s="301"/>
      <c r="H34" s="301"/>
      <c r="I34" s="301"/>
      <c r="J34" s="302"/>
      <c r="K34" s="8"/>
    </row>
    <row r="35" spans="1:11" ht="18.75" customHeight="1">
      <c r="A35" s="7"/>
      <c r="B35" s="300"/>
      <c r="C35" s="301"/>
      <c r="D35" s="301"/>
      <c r="E35" s="301"/>
      <c r="F35" s="301"/>
      <c r="G35" s="301"/>
      <c r="H35" s="301"/>
      <c r="I35" s="301"/>
      <c r="J35" s="302"/>
      <c r="K35" s="8"/>
    </row>
    <row r="36" spans="1:11" ht="18.75" customHeight="1">
      <c r="A36" s="7"/>
      <c r="B36" s="300"/>
      <c r="C36" s="301"/>
      <c r="D36" s="301"/>
      <c r="E36" s="301"/>
      <c r="F36" s="301"/>
      <c r="G36" s="301"/>
      <c r="H36" s="301"/>
      <c r="I36" s="301"/>
      <c r="J36" s="302"/>
      <c r="K36" s="8"/>
    </row>
    <row r="37" spans="1:11" ht="18.75" customHeight="1">
      <c r="A37" s="7"/>
      <c r="B37" s="300"/>
      <c r="C37" s="301"/>
      <c r="D37" s="301"/>
      <c r="E37" s="301"/>
      <c r="F37" s="301"/>
      <c r="G37" s="301"/>
      <c r="H37" s="301"/>
      <c r="I37" s="301"/>
      <c r="J37" s="302"/>
      <c r="K37" s="8"/>
    </row>
    <row r="38" spans="1:11" ht="18.75" customHeight="1">
      <c r="A38" s="7"/>
      <c r="B38" s="300"/>
      <c r="C38" s="301"/>
      <c r="D38" s="301"/>
      <c r="E38" s="301"/>
      <c r="F38" s="301"/>
      <c r="G38" s="301"/>
      <c r="H38" s="301"/>
      <c r="I38" s="301"/>
      <c r="J38" s="302"/>
      <c r="K38" s="8"/>
    </row>
    <row r="39" spans="1:11" ht="18.75" customHeight="1">
      <c r="A39" s="7"/>
      <c r="B39" s="300"/>
      <c r="C39" s="301"/>
      <c r="D39" s="301"/>
      <c r="E39" s="301"/>
      <c r="F39" s="301"/>
      <c r="G39" s="301"/>
      <c r="H39" s="301"/>
      <c r="I39" s="301"/>
      <c r="J39" s="302"/>
      <c r="K39" s="8"/>
    </row>
    <row r="40" spans="1:11" ht="18.75" customHeight="1">
      <c r="A40" s="7"/>
      <c r="B40" s="300"/>
      <c r="C40" s="301"/>
      <c r="D40" s="301"/>
      <c r="E40" s="301"/>
      <c r="F40" s="301"/>
      <c r="G40" s="301"/>
      <c r="H40" s="301"/>
      <c r="I40" s="301"/>
      <c r="J40" s="302"/>
      <c r="K40" s="8"/>
    </row>
    <row r="41" spans="1:11" ht="18.75" customHeight="1">
      <c r="A41" s="7"/>
      <c r="B41" s="300"/>
      <c r="C41" s="301"/>
      <c r="D41" s="301"/>
      <c r="E41" s="301"/>
      <c r="F41" s="301"/>
      <c r="G41" s="301"/>
      <c r="H41" s="301"/>
      <c r="I41" s="301"/>
      <c r="J41" s="302"/>
      <c r="K41" s="8"/>
    </row>
    <row r="42" spans="1:11" ht="18.75" customHeight="1">
      <c r="A42" s="7"/>
      <c r="B42" s="300"/>
      <c r="C42" s="301"/>
      <c r="D42" s="301"/>
      <c r="E42" s="301"/>
      <c r="F42" s="301"/>
      <c r="G42" s="301"/>
      <c r="H42" s="301"/>
      <c r="I42" s="301"/>
      <c r="J42" s="302"/>
      <c r="K42" s="8"/>
    </row>
    <row r="43" spans="1:11" ht="18.75" customHeight="1">
      <c r="A43" s="106"/>
      <c r="B43" s="300"/>
      <c r="C43" s="301"/>
      <c r="D43" s="301"/>
      <c r="E43" s="301"/>
      <c r="F43" s="301"/>
      <c r="G43" s="301"/>
      <c r="H43" s="301"/>
      <c r="I43" s="301"/>
      <c r="J43" s="302"/>
      <c r="K43" s="8"/>
    </row>
    <row r="44" spans="1:11" ht="18.75" customHeight="1">
      <c r="A44" s="106"/>
      <c r="B44" s="303"/>
      <c r="C44" s="304"/>
      <c r="D44" s="304"/>
      <c r="E44" s="304"/>
      <c r="F44" s="304"/>
      <c r="G44" s="304"/>
      <c r="H44" s="304"/>
      <c r="I44" s="304"/>
      <c r="J44" s="305"/>
    </row>
    <row r="45" spans="1:11" ht="18.75" customHeight="1">
      <c r="A45" s="132" t="s">
        <v>14</v>
      </c>
      <c r="B45" s="7" t="s">
        <v>174</v>
      </c>
      <c r="I45" s="132"/>
      <c r="J45" s="132"/>
    </row>
    <row r="46" spans="1:11" ht="18.75" customHeight="1">
      <c r="A46" s="106"/>
      <c r="B46" s="306" t="s">
        <v>175</v>
      </c>
      <c r="C46" s="307"/>
      <c r="D46" s="307"/>
      <c r="E46" s="307"/>
      <c r="F46" s="307"/>
      <c r="G46" s="307"/>
      <c r="H46" s="307"/>
      <c r="I46" s="307"/>
      <c r="J46" s="311"/>
      <c r="K46" s="7" t="str">
        <f>IF(B46="","入力してください","")</f>
        <v/>
      </c>
    </row>
    <row r="47" spans="1:11" ht="18.75" customHeight="1">
      <c r="A47" s="106"/>
      <c r="B47" s="312"/>
      <c r="C47" s="318"/>
      <c r="D47" s="318"/>
      <c r="E47" s="318"/>
      <c r="F47" s="318"/>
      <c r="G47" s="318"/>
      <c r="H47" s="318"/>
      <c r="I47" s="318"/>
      <c r="J47" s="314"/>
    </row>
    <row r="48" spans="1:11" ht="18.75" customHeight="1">
      <c r="A48" s="106"/>
      <c r="B48" s="312"/>
      <c r="C48" s="318"/>
      <c r="D48" s="318"/>
      <c r="E48" s="318"/>
      <c r="F48" s="318"/>
      <c r="G48" s="318"/>
      <c r="H48" s="318"/>
      <c r="I48" s="318"/>
      <c r="J48" s="314"/>
    </row>
    <row r="49" spans="1:10" ht="18.75" customHeight="1">
      <c r="A49" s="106"/>
      <c r="B49" s="312"/>
      <c r="C49" s="318"/>
      <c r="D49" s="318"/>
      <c r="E49" s="318"/>
      <c r="F49" s="318"/>
      <c r="G49" s="318"/>
      <c r="H49" s="318"/>
      <c r="I49" s="318"/>
      <c r="J49" s="314"/>
    </row>
    <row r="50" spans="1:10" ht="18.75" customHeight="1">
      <c r="A50" s="106"/>
      <c r="B50" s="312"/>
      <c r="C50" s="318"/>
      <c r="D50" s="318"/>
      <c r="E50" s="318"/>
      <c r="F50" s="318"/>
      <c r="G50" s="318"/>
      <c r="H50" s="318"/>
      <c r="I50" s="318"/>
      <c r="J50" s="314"/>
    </row>
    <row r="51" spans="1:10" ht="18.75" customHeight="1">
      <c r="A51" s="106"/>
      <c r="B51" s="312"/>
      <c r="C51" s="318"/>
      <c r="D51" s="318"/>
      <c r="E51" s="318"/>
      <c r="F51" s="318"/>
      <c r="G51" s="318"/>
      <c r="H51" s="318"/>
      <c r="I51" s="318"/>
      <c r="J51" s="314"/>
    </row>
    <row r="52" spans="1:10" ht="18.75" customHeight="1">
      <c r="A52" s="106"/>
      <c r="B52" s="312"/>
      <c r="C52" s="318"/>
      <c r="D52" s="318"/>
      <c r="E52" s="318"/>
      <c r="F52" s="318"/>
      <c r="G52" s="318"/>
      <c r="H52" s="318"/>
      <c r="I52" s="318"/>
      <c r="J52" s="314"/>
    </row>
    <row r="53" spans="1:10" ht="18.75" customHeight="1">
      <c r="A53" s="106"/>
      <c r="B53" s="312"/>
      <c r="C53" s="318"/>
      <c r="D53" s="318"/>
      <c r="E53" s="318"/>
      <c r="F53" s="318"/>
      <c r="G53" s="318"/>
      <c r="H53" s="318"/>
      <c r="I53" s="318"/>
      <c r="J53" s="314"/>
    </row>
    <row r="54" spans="1:10" ht="18.75" customHeight="1">
      <c r="A54" s="106"/>
      <c r="B54" s="312"/>
      <c r="C54" s="318"/>
      <c r="D54" s="318"/>
      <c r="E54" s="318"/>
      <c r="F54" s="318"/>
      <c r="G54" s="318"/>
      <c r="H54" s="318"/>
      <c r="I54" s="318"/>
      <c r="J54" s="314"/>
    </row>
    <row r="55" spans="1:10" ht="18.75" customHeight="1">
      <c r="A55" s="106"/>
      <c r="B55" s="312"/>
      <c r="C55" s="318"/>
      <c r="D55" s="318"/>
      <c r="E55" s="318"/>
      <c r="F55" s="318"/>
      <c r="G55" s="318"/>
      <c r="H55" s="318"/>
      <c r="I55" s="318"/>
      <c r="J55" s="314"/>
    </row>
    <row r="56" spans="1:10" ht="18.75" customHeight="1">
      <c r="A56" s="106"/>
      <c r="B56" s="312"/>
      <c r="C56" s="318"/>
      <c r="D56" s="318"/>
      <c r="E56" s="318"/>
      <c r="F56" s="318"/>
      <c r="G56" s="318"/>
      <c r="H56" s="318"/>
      <c r="I56" s="318"/>
      <c r="J56" s="314"/>
    </row>
    <row r="57" spans="1:10" ht="18.75" customHeight="1">
      <c r="A57" s="106"/>
      <c r="B57" s="312"/>
      <c r="C57" s="318"/>
      <c r="D57" s="318"/>
      <c r="E57" s="318"/>
      <c r="F57" s="318"/>
      <c r="G57" s="318"/>
      <c r="H57" s="318"/>
      <c r="I57" s="318"/>
      <c r="J57" s="314"/>
    </row>
    <row r="58" spans="1:10" ht="18.75" customHeight="1">
      <c r="A58" s="106"/>
      <c r="B58" s="312"/>
      <c r="C58" s="318"/>
      <c r="D58" s="318"/>
      <c r="E58" s="318"/>
      <c r="F58" s="318"/>
      <c r="G58" s="318"/>
      <c r="H58" s="318"/>
      <c r="I58" s="318"/>
      <c r="J58" s="314"/>
    </row>
    <row r="59" spans="1:10" ht="18.75" customHeight="1">
      <c r="A59" s="106"/>
      <c r="B59" s="312"/>
      <c r="C59" s="318"/>
      <c r="D59" s="318"/>
      <c r="E59" s="318"/>
      <c r="F59" s="318"/>
      <c r="G59" s="318"/>
      <c r="H59" s="318"/>
      <c r="I59" s="318"/>
      <c r="J59" s="314"/>
    </row>
    <row r="60" spans="1:10" ht="18.75" customHeight="1">
      <c r="A60" s="106"/>
      <c r="B60" s="312"/>
      <c r="C60" s="318"/>
      <c r="D60" s="318"/>
      <c r="E60" s="318"/>
      <c r="F60" s="318"/>
      <c r="G60" s="318"/>
      <c r="H60" s="318"/>
      <c r="I60" s="318"/>
      <c r="J60" s="314"/>
    </row>
    <row r="61" spans="1:10" ht="18.75" customHeight="1">
      <c r="A61" s="106"/>
      <c r="B61" s="312"/>
      <c r="C61" s="318"/>
      <c r="D61" s="318"/>
      <c r="E61" s="318"/>
      <c r="F61" s="318"/>
      <c r="G61" s="318"/>
      <c r="H61" s="318"/>
      <c r="I61" s="318"/>
      <c r="J61" s="314"/>
    </row>
    <row r="62" spans="1:10" ht="18.75" customHeight="1">
      <c r="A62" s="106"/>
      <c r="B62" s="312"/>
      <c r="C62" s="318"/>
      <c r="D62" s="318"/>
      <c r="E62" s="318"/>
      <c r="F62" s="318"/>
      <c r="G62" s="318"/>
      <c r="H62" s="318"/>
      <c r="I62" s="318"/>
      <c r="J62" s="314"/>
    </row>
    <row r="63" spans="1:10" ht="18.75" customHeight="1">
      <c r="A63" s="106"/>
      <c r="B63" s="312"/>
      <c r="C63" s="318"/>
      <c r="D63" s="318"/>
      <c r="E63" s="318"/>
      <c r="F63" s="318"/>
      <c r="G63" s="318"/>
      <c r="H63" s="318"/>
      <c r="I63" s="318"/>
      <c r="J63" s="314"/>
    </row>
    <row r="64" spans="1:10" ht="18.75" customHeight="1">
      <c r="A64" s="106"/>
      <c r="B64" s="312"/>
      <c r="C64" s="318"/>
      <c r="D64" s="318"/>
      <c r="E64" s="318"/>
      <c r="F64" s="318"/>
      <c r="G64" s="318"/>
      <c r="H64" s="318"/>
      <c r="I64" s="318"/>
      <c r="J64" s="314"/>
    </row>
    <row r="65" spans="1:11" ht="18.75" customHeight="1">
      <c r="A65" s="106"/>
      <c r="B65" s="312"/>
      <c r="C65" s="318"/>
      <c r="D65" s="318"/>
      <c r="E65" s="318"/>
      <c r="F65" s="318"/>
      <c r="G65" s="318"/>
      <c r="H65" s="318"/>
      <c r="I65" s="318"/>
      <c r="J65" s="314"/>
    </row>
    <row r="66" spans="1:11" ht="18.75" customHeight="1">
      <c r="A66" s="106"/>
      <c r="B66" s="315"/>
      <c r="C66" s="316"/>
      <c r="D66" s="316"/>
      <c r="E66" s="316"/>
      <c r="F66" s="316"/>
      <c r="G66" s="316"/>
      <c r="H66" s="316"/>
      <c r="I66" s="316"/>
      <c r="J66" s="317"/>
    </row>
    <row r="67" spans="1:11" ht="7.5" customHeight="1">
      <c r="A67" s="106"/>
      <c r="B67" s="106"/>
      <c r="C67" s="106"/>
      <c r="D67" s="106"/>
      <c r="E67" s="106"/>
      <c r="F67" s="106"/>
      <c r="G67" s="106"/>
      <c r="H67" s="106"/>
      <c r="I67" s="106"/>
      <c r="J67" s="106"/>
    </row>
    <row r="68" spans="1:11" ht="18.75" customHeight="1">
      <c r="A68" s="7" t="s">
        <v>17</v>
      </c>
      <c r="B68" s="7" t="s">
        <v>176</v>
      </c>
    </row>
    <row r="69" spans="1:11" ht="18.75" customHeight="1">
      <c r="A69" s="7"/>
      <c r="B69" s="306" t="s">
        <v>177</v>
      </c>
      <c r="C69" s="307"/>
      <c r="D69" s="307"/>
      <c r="E69" s="307"/>
      <c r="F69" s="307"/>
      <c r="G69" s="307"/>
      <c r="H69" s="307"/>
      <c r="I69" s="308"/>
      <c r="J69" s="309"/>
      <c r="K69" s="8" t="str">
        <f>IF(B69="","入力してください","")</f>
        <v/>
      </c>
    </row>
    <row r="70" spans="1:11" ht="18.75" customHeight="1">
      <c r="A70" s="7"/>
      <c r="B70" s="300"/>
      <c r="C70" s="310"/>
      <c r="D70" s="310"/>
      <c r="E70" s="310"/>
      <c r="F70" s="310"/>
      <c r="G70" s="310"/>
      <c r="H70" s="310"/>
      <c r="I70" s="310"/>
      <c r="J70" s="302"/>
      <c r="K70" s="8"/>
    </row>
    <row r="71" spans="1:11" ht="18.75" customHeight="1">
      <c r="A71" s="7"/>
      <c r="B71" s="300"/>
      <c r="C71" s="310"/>
      <c r="D71" s="310"/>
      <c r="E71" s="310"/>
      <c r="F71" s="310"/>
      <c r="G71" s="310"/>
      <c r="H71" s="310"/>
      <c r="I71" s="310"/>
      <c r="J71" s="302"/>
      <c r="K71" s="8"/>
    </row>
    <row r="72" spans="1:11" ht="18.75" customHeight="1">
      <c r="A72" s="7"/>
      <c r="B72" s="300"/>
      <c r="C72" s="310"/>
      <c r="D72" s="310"/>
      <c r="E72" s="310"/>
      <c r="F72" s="310"/>
      <c r="G72" s="310"/>
      <c r="H72" s="310"/>
      <c r="I72" s="310"/>
      <c r="J72" s="302"/>
      <c r="K72" s="8"/>
    </row>
    <row r="73" spans="1:11" ht="18.75" customHeight="1">
      <c r="A73" s="7"/>
      <c r="B73" s="300"/>
      <c r="C73" s="310"/>
      <c r="D73" s="310"/>
      <c r="E73" s="310"/>
      <c r="F73" s="310"/>
      <c r="G73" s="310"/>
      <c r="H73" s="310"/>
      <c r="I73" s="310"/>
      <c r="J73" s="302"/>
      <c r="K73" s="8"/>
    </row>
    <row r="74" spans="1:11" ht="18.75" customHeight="1">
      <c r="A74" s="7"/>
      <c r="B74" s="300"/>
      <c r="C74" s="310"/>
      <c r="D74" s="310"/>
      <c r="E74" s="310"/>
      <c r="F74" s="310"/>
      <c r="G74" s="310"/>
      <c r="H74" s="310"/>
      <c r="I74" s="310"/>
      <c r="J74" s="302"/>
      <c r="K74" s="8"/>
    </row>
    <row r="75" spans="1:11" ht="18.75" customHeight="1">
      <c r="A75" s="7"/>
      <c r="B75" s="300"/>
      <c r="C75" s="310"/>
      <c r="D75" s="310"/>
      <c r="E75" s="310"/>
      <c r="F75" s="310"/>
      <c r="G75" s="310"/>
      <c r="H75" s="310"/>
      <c r="I75" s="310"/>
      <c r="J75" s="302"/>
      <c r="K75" s="8"/>
    </row>
    <row r="76" spans="1:11" ht="18.75" customHeight="1">
      <c r="A76" s="7"/>
      <c r="B76" s="300"/>
      <c r="C76" s="310"/>
      <c r="D76" s="310"/>
      <c r="E76" s="310"/>
      <c r="F76" s="310"/>
      <c r="G76" s="310"/>
      <c r="H76" s="310"/>
      <c r="I76" s="310"/>
      <c r="J76" s="302"/>
      <c r="K76" s="8"/>
    </row>
    <row r="77" spans="1:11" ht="18.75" customHeight="1">
      <c r="A77" s="7"/>
      <c r="B77" s="300"/>
      <c r="C77" s="310"/>
      <c r="D77" s="310"/>
      <c r="E77" s="310"/>
      <c r="F77" s="310"/>
      <c r="G77" s="310"/>
      <c r="H77" s="310"/>
      <c r="I77" s="310"/>
      <c r="J77" s="302"/>
      <c r="K77" s="8"/>
    </row>
    <row r="78" spans="1:11" ht="18.75" customHeight="1">
      <c r="A78" s="7"/>
      <c r="B78" s="300"/>
      <c r="C78" s="310"/>
      <c r="D78" s="310"/>
      <c r="E78" s="310"/>
      <c r="F78" s="310"/>
      <c r="G78" s="310"/>
      <c r="H78" s="310"/>
      <c r="I78" s="310"/>
      <c r="J78" s="302"/>
      <c r="K78" s="8"/>
    </row>
    <row r="79" spans="1:11" ht="18.75" customHeight="1">
      <c r="A79" s="7"/>
      <c r="B79" s="300"/>
      <c r="C79" s="310"/>
      <c r="D79" s="310"/>
      <c r="E79" s="310"/>
      <c r="F79" s="310"/>
      <c r="G79" s="310"/>
      <c r="H79" s="310"/>
      <c r="I79" s="310"/>
      <c r="J79" s="302"/>
      <c r="K79" s="8"/>
    </row>
    <row r="80" spans="1:11" ht="18.75" customHeight="1">
      <c r="A80" s="7"/>
      <c r="B80" s="300"/>
      <c r="C80" s="310"/>
      <c r="D80" s="310"/>
      <c r="E80" s="310"/>
      <c r="F80" s="310"/>
      <c r="G80" s="310"/>
      <c r="H80" s="310"/>
      <c r="I80" s="310"/>
      <c r="J80" s="302"/>
      <c r="K80" s="8"/>
    </row>
    <row r="81" spans="1:11" ht="18.75" customHeight="1">
      <c r="A81" s="7"/>
      <c r="B81" s="300"/>
      <c r="C81" s="310"/>
      <c r="D81" s="310"/>
      <c r="E81" s="310"/>
      <c r="F81" s="310"/>
      <c r="G81" s="310"/>
      <c r="H81" s="310"/>
      <c r="I81" s="310"/>
      <c r="J81" s="302"/>
      <c r="K81" s="8"/>
    </row>
    <row r="82" spans="1:11" ht="18.75" customHeight="1">
      <c r="A82" s="7"/>
      <c r="B82" s="300"/>
      <c r="C82" s="310"/>
      <c r="D82" s="310"/>
      <c r="E82" s="310"/>
      <c r="F82" s="310"/>
      <c r="G82" s="310"/>
      <c r="H82" s="310"/>
      <c r="I82" s="310"/>
      <c r="J82" s="302"/>
      <c r="K82" s="8"/>
    </row>
    <row r="83" spans="1:11" ht="18.75" customHeight="1">
      <c r="A83" s="7"/>
      <c r="B83" s="300"/>
      <c r="C83" s="310"/>
      <c r="D83" s="310"/>
      <c r="E83" s="310"/>
      <c r="F83" s="310"/>
      <c r="G83" s="310"/>
      <c r="H83" s="310"/>
      <c r="I83" s="310"/>
      <c r="J83" s="302"/>
      <c r="K83" s="8"/>
    </row>
    <row r="84" spans="1:11" ht="18.75" customHeight="1">
      <c r="A84" s="7"/>
      <c r="B84" s="300"/>
      <c r="C84" s="310"/>
      <c r="D84" s="310"/>
      <c r="E84" s="310"/>
      <c r="F84" s="310"/>
      <c r="G84" s="310"/>
      <c r="H84" s="310"/>
      <c r="I84" s="310"/>
      <c r="J84" s="302"/>
      <c r="K84" s="8"/>
    </row>
    <row r="85" spans="1:11" ht="18.75" customHeight="1">
      <c r="A85" s="106"/>
      <c r="B85" s="300"/>
      <c r="C85" s="310"/>
      <c r="D85" s="310"/>
      <c r="E85" s="310"/>
      <c r="F85" s="310"/>
      <c r="G85" s="310"/>
      <c r="H85" s="310"/>
      <c r="I85" s="310"/>
      <c r="J85" s="302"/>
      <c r="K85" s="8"/>
    </row>
    <row r="86" spans="1:11" ht="18.75" customHeight="1">
      <c r="A86" s="106"/>
      <c r="B86" s="303"/>
      <c r="C86" s="304"/>
      <c r="D86" s="304"/>
      <c r="E86" s="304"/>
      <c r="F86" s="304"/>
      <c r="G86" s="304"/>
      <c r="H86" s="304"/>
      <c r="I86" s="304"/>
      <c r="J86" s="305"/>
      <c r="K86" s="8"/>
    </row>
    <row r="87" spans="1:11" ht="7.5" customHeight="1">
      <c r="A87" s="106"/>
      <c r="B87" s="106"/>
      <c r="C87" s="106"/>
      <c r="D87" s="106"/>
      <c r="E87" s="106"/>
      <c r="F87" s="106"/>
      <c r="G87" s="106"/>
      <c r="H87" s="106"/>
      <c r="I87" s="106"/>
      <c r="J87" s="106"/>
    </row>
    <row r="88" spans="1:11" ht="18.75" customHeight="1">
      <c r="A88" s="7" t="s">
        <v>178</v>
      </c>
      <c r="B88" s="7" t="s">
        <v>179</v>
      </c>
    </row>
    <row r="89" spans="1:11" ht="18.75" customHeight="1">
      <c r="A89" s="7"/>
      <c r="B89" s="306" t="s">
        <v>180</v>
      </c>
      <c r="C89" s="307"/>
      <c r="D89" s="307"/>
      <c r="E89" s="307"/>
      <c r="F89" s="307"/>
      <c r="G89" s="307"/>
      <c r="H89" s="307"/>
      <c r="I89" s="308"/>
      <c r="J89" s="309"/>
    </row>
    <row r="90" spans="1:11" ht="18.75" customHeight="1">
      <c r="A90" s="7"/>
      <c r="B90" s="300"/>
      <c r="C90" s="310"/>
      <c r="D90" s="310"/>
      <c r="E90" s="310"/>
      <c r="F90" s="310"/>
      <c r="G90" s="310"/>
      <c r="H90" s="310"/>
      <c r="I90" s="310"/>
      <c r="J90" s="302"/>
      <c r="K90" s="8"/>
    </row>
    <row r="91" spans="1:11" ht="18.75" customHeight="1">
      <c r="A91" s="7"/>
      <c r="B91" s="300"/>
      <c r="C91" s="310"/>
      <c r="D91" s="310"/>
      <c r="E91" s="310"/>
      <c r="F91" s="310"/>
      <c r="G91" s="310"/>
      <c r="H91" s="310"/>
      <c r="I91" s="310"/>
      <c r="J91" s="302"/>
      <c r="K91" s="8" t="str">
        <f>IF(B89="","入力してください","")</f>
        <v/>
      </c>
    </row>
    <row r="92" spans="1:11" ht="18.75" customHeight="1">
      <c r="A92" s="7"/>
      <c r="B92" s="300"/>
      <c r="C92" s="310"/>
      <c r="D92" s="310"/>
      <c r="E92" s="310"/>
      <c r="F92" s="310"/>
      <c r="G92" s="310"/>
      <c r="H92" s="310"/>
      <c r="I92" s="310"/>
      <c r="J92" s="302"/>
      <c r="K92" s="8"/>
    </row>
    <row r="93" spans="1:11" ht="18.75" customHeight="1">
      <c r="A93" s="7"/>
      <c r="B93" s="300"/>
      <c r="C93" s="310"/>
      <c r="D93" s="310"/>
      <c r="E93" s="310"/>
      <c r="F93" s="310"/>
      <c r="G93" s="310"/>
      <c r="H93" s="310"/>
      <c r="I93" s="310"/>
      <c r="J93" s="302"/>
      <c r="K93" s="8"/>
    </row>
    <row r="94" spans="1:11" ht="18.75" customHeight="1">
      <c r="A94" s="7"/>
      <c r="B94" s="300"/>
      <c r="C94" s="310"/>
      <c r="D94" s="310"/>
      <c r="E94" s="310"/>
      <c r="F94" s="310"/>
      <c r="G94" s="310"/>
      <c r="H94" s="310"/>
      <c r="I94" s="310"/>
      <c r="J94" s="302"/>
      <c r="K94" s="8"/>
    </row>
    <row r="95" spans="1:11" ht="18.75" customHeight="1">
      <c r="A95" s="7"/>
      <c r="B95" s="300"/>
      <c r="C95" s="310"/>
      <c r="D95" s="310"/>
      <c r="E95" s="310"/>
      <c r="F95" s="310"/>
      <c r="G95" s="310"/>
      <c r="H95" s="310"/>
      <c r="I95" s="310"/>
      <c r="J95" s="302"/>
      <c r="K95" s="8"/>
    </row>
    <row r="96" spans="1:11" ht="18.75" customHeight="1">
      <c r="A96" s="7"/>
      <c r="B96" s="300"/>
      <c r="C96" s="310"/>
      <c r="D96" s="310"/>
      <c r="E96" s="310"/>
      <c r="F96" s="310"/>
      <c r="G96" s="310"/>
      <c r="H96" s="310"/>
      <c r="I96" s="310"/>
      <c r="J96" s="302"/>
      <c r="K96" s="8"/>
    </row>
    <row r="97" spans="1:11" ht="18.75" customHeight="1">
      <c r="A97" s="7"/>
      <c r="B97" s="300"/>
      <c r="C97" s="310"/>
      <c r="D97" s="310"/>
      <c r="E97" s="310"/>
      <c r="F97" s="310"/>
      <c r="G97" s="310"/>
      <c r="H97" s="310"/>
      <c r="I97" s="310"/>
      <c r="J97" s="302"/>
      <c r="K97" s="8"/>
    </row>
    <row r="98" spans="1:11" ht="18.75" customHeight="1">
      <c r="A98" s="7"/>
      <c r="B98" s="300"/>
      <c r="C98" s="310"/>
      <c r="D98" s="310"/>
      <c r="E98" s="310"/>
      <c r="F98" s="310"/>
      <c r="G98" s="310"/>
      <c r="H98" s="310"/>
      <c r="I98" s="310"/>
      <c r="J98" s="302"/>
      <c r="K98" s="8"/>
    </row>
    <row r="99" spans="1:11" ht="18.75" customHeight="1">
      <c r="A99" s="7"/>
      <c r="B99" s="300"/>
      <c r="C99" s="310"/>
      <c r="D99" s="310"/>
      <c r="E99" s="310"/>
      <c r="F99" s="310"/>
      <c r="G99" s="310"/>
      <c r="H99" s="310"/>
      <c r="I99" s="310"/>
      <c r="J99" s="302"/>
      <c r="K99" s="8"/>
    </row>
    <row r="100" spans="1:11" ht="18.75" customHeight="1">
      <c r="A100" s="7"/>
      <c r="B100" s="300"/>
      <c r="C100" s="310"/>
      <c r="D100" s="310"/>
      <c r="E100" s="310"/>
      <c r="F100" s="310"/>
      <c r="G100" s="310"/>
      <c r="H100" s="310"/>
      <c r="I100" s="310"/>
      <c r="J100" s="302"/>
      <c r="K100" s="8"/>
    </row>
    <row r="101" spans="1:11" ht="18.75" customHeight="1">
      <c r="A101" s="7"/>
      <c r="B101" s="300"/>
      <c r="C101" s="310"/>
      <c r="D101" s="310"/>
      <c r="E101" s="310"/>
      <c r="F101" s="310"/>
      <c r="G101" s="310"/>
      <c r="H101" s="310"/>
      <c r="I101" s="310"/>
      <c r="J101" s="302"/>
      <c r="K101" s="8"/>
    </row>
    <row r="102" spans="1:11" ht="18.75" customHeight="1">
      <c r="A102" s="7"/>
      <c r="B102" s="300"/>
      <c r="C102" s="310"/>
      <c r="D102" s="310"/>
      <c r="E102" s="310"/>
      <c r="F102" s="310"/>
      <c r="G102" s="310"/>
      <c r="H102" s="310"/>
      <c r="I102" s="310"/>
      <c r="J102" s="302"/>
      <c r="K102" s="8"/>
    </row>
    <row r="103" spans="1:11" ht="18.75" customHeight="1">
      <c r="A103" s="7"/>
      <c r="B103" s="300"/>
      <c r="C103" s="310"/>
      <c r="D103" s="310"/>
      <c r="E103" s="310"/>
      <c r="F103" s="310"/>
      <c r="G103" s="310"/>
      <c r="H103" s="310"/>
      <c r="I103" s="310"/>
      <c r="J103" s="302"/>
      <c r="K103" s="8"/>
    </row>
    <row r="104" spans="1:11" ht="18.75" customHeight="1">
      <c r="A104" s="7"/>
      <c r="B104" s="300"/>
      <c r="C104" s="310"/>
      <c r="D104" s="310"/>
      <c r="E104" s="310"/>
      <c r="F104" s="310"/>
      <c r="G104" s="310"/>
      <c r="H104" s="310"/>
      <c r="I104" s="310"/>
      <c r="J104" s="302"/>
      <c r="K104" s="8"/>
    </row>
    <row r="105" spans="1:11" ht="18.75" customHeight="1">
      <c r="A105" s="7"/>
      <c r="B105" s="300"/>
      <c r="C105" s="310"/>
      <c r="D105" s="310"/>
      <c r="E105" s="310"/>
      <c r="F105" s="310"/>
      <c r="G105" s="310"/>
      <c r="H105" s="310"/>
      <c r="I105" s="310"/>
      <c r="J105" s="302"/>
      <c r="K105" s="8"/>
    </row>
    <row r="106" spans="1:11" ht="18.75" customHeight="1">
      <c r="A106" s="7"/>
      <c r="B106" s="300"/>
      <c r="C106" s="310"/>
      <c r="D106" s="310"/>
      <c r="E106" s="310"/>
      <c r="F106" s="310"/>
      <c r="G106" s="310"/>
      <c r="H106" s="310"/>
      <c r="I106" s="310"/>
      <c r="J106" s="302"/>
      <c r="K106" s="8"/>
    </row>
    <row r="107" spans="1:11" ht="18.75" customHeight="1">
      <c r="A107" s="106"/>
      <c r="B107" s="300"/>
      <c r="C107" s="310"/>
      <c r="D107" s="310"/>
      <c r="E107" s="310"/>
      <c r="F107" s="310"/>
      <c r="G107" s="310"/>
      <c r="H107" s="310"/>
      <c r="I107" s="310"/>
      <c r="J107" s="302"/>
      <c r="K107" s="8"/>
    </row>
    <row r="108" spans="1:11" ht="18.75" customHeight="1">
      <c r="A108" s="106"/>
      <c r="B108" s="303"/>
      <c r="C108" s="304"/>
      <c r="D108" s="304"/>
      <c r="E108" s="304"/>
      <c r="F108" s="304"/>
      <c r="G108" s="304"/>
      <c r="H108" s="304"/>
      <c r="I108" s="304"/>
      <c r="J108" s="305"/>
      <c r="K108" s="8"/>
    </row>
    <row r="109" spans="1:11" ht="7.5" customHeight="1">
      <c r="A109" s="106"/>
      <c r="B109" s="106"/>
      <c r="C109" s="106"/>
      <c r="D109" s="106"/>
      <c r="E109" s="106"/>
      <c r="F109" s="106"/>
      <c r="G109" s="106"/>
      <c r="H109" s="106"/>
      <c r="I109" s="106"/>
      <c r="J109" s="106"/>
    </row>
    <row r="110" spans="1:11" ht="18.75" customHeight="1">
      <c r="A110" s="7" t="s">
        <v>23</v>
      </c>
      <c r="B110" s="342" t="s">
        <v>181</v>
      </c>
      <c r="C110" s="342"/>
      <c r="D110" s="342"/>
      <c r="E110" s="342"/>
      <c r="F110" s="342"/>
      <c r="G110" s="342"/>
      <c r="H110" s="342"/>
      <c r="I110" s="342"/>
      <c r="J110" s="342"/>
    </row>
    <row r="111" spans="1:11" ht="18.75" customHeight="1">
      <c r="A111" s="106"/>
      <c r="B111" s="306" t="s">
        <v>182</v>
      </c>
      <c r="C111" s="307"/>
      <c r="D111" s="307"/>
      <c r="E111" s="307"/>
      <c r="F111" s="307"/>
      <c r="G111" s="307"/>
      <c r="H111" s="307"/>
      <c r="I111" s="308"/>
      <c r="J111" s="309"/>
    </row>
    <row r="112" spans="1:11" ht="18.75" customHeight="1">
      <c r="A112" s="106"/>
      <c r="B112" s="300"/>
      <c r="C112" s="310"/>
      <c r="D112" s="310"/>
      <c r="E112" s="310"/>
      <c r="F112" s="310"/>
      <c r="G112" s="310"/>
      <c r="H112" s="310"/>
      <c r="I112" s="310"/>
      <c r="J112" s="302"/>
      <c r="K112" s="8"/>
    </row>
    <row r="113" spans="1:11" ht="18.75" customHeight="1">
      <c r="A113" s="106"/>
      <c r="B113" s="300"/>
      <c r="C113" s="310"/>
      <c r="D113" s="310"/>
      <c r="E113" s="310"/>
      <c r="F113" s="310"/>
      <c r="G113" s="310"/>
      <c r="H113" s="310"/>
      <c r="I113" s="310"/>
      <c r="J113" s="302"/>
      <c r="K113" s="7" t="str">
        <f>IF(B111="","入力してください","")</f>
        <v/>
      </c>
    </row>
    <row r="114" spans="1:11" ht="18.75" customHeight="1">
      <c r="A114" s="106"/>
      <c r="B114" s="300"/>
      <c r="C114" s="310"/>
      <c r="D114" s="310"/>
      <c r="E114" s="310"/>
      <c r="F114" s="310"/>
      <c r="G114" s="310"/>
      <c r="H114" s="310"/>
      <c r="I114" s="310"/>
      <c r="J114" s="302"/>
    </row>
    <row r="115" spans="1:11" ht="18.75" customHeight="1">
      <c r="A115" s="106"/>
      <c r="B115" s="300"/>
      <c r="C115" s="310"/>
      <c r="D115" s="310"/>
      <c r="E115" s="310"/>
      <c r="F115" s="310"/>
      <c r="G115" s="310"/>
      <c r="H115" s="310"/>
      <c r="I115" s="310"/>
      <c r="J115" s="302"/>
    </row>
    <row r="116" spans="1:11" ht="18.75" customHeight="1">
      <c r="A116" s="106"/>
      <c r="B116" s="300"/>
      <c r="C116" s="310"/>
      <c r="D116" s="310"/>
      <c r="E116" s="310"/>
      <c r="F116" s="310"/>
      <c r="G116" s="310"/>
      <c r="H116" s="310"/>
      <c r="I116" s="310"/>
      <c r="J116" s="302"/>
    </row>
    <row r="117" spans="1:11" ht="18.75" customHeight="1">
      <c r="A117" s="106"/>
      <c r="B117" s="300"/>
      <c r="C117" s="310"/>
      <c r="D117" s="310"/>
      <c r="E117" s="310"/>
      <c r="F117" s="310"/>
      <c r="G117" s="310"/>
      <c r="H117" s="310"/>
      <c r="I117" s="310"/>
      <c r="J117" s="302"/>
    </row>
    <row r="118" spans="1:11" ht="18.75" customHeight="1">
      <c r="A118" s="106"/>
      <c r="B118" s="300"/>
      <c r="C118" s="310"/>
      <c r="D118" s="310"/>
      <c r="E118" s="310"/>
      <c r="F118" s="310"/>
      <c r="G118" s="310"/>
      <c r="H118" s="310"/>
      <c r="I118" s="310"/>
      <c r="J118" s="302"/>
    </row>
    <row r="119" spans="1:11" ht="18.75" customHeight="1">
      <c r="A119" s="106"/>
      <c r="B119" s="300"/>
      <c r="C119" s="310"/>
      <c r="D119" s="310"/>
      <c r="E119" s="310"/>
      <c r="F119" s="310"/>
      <c r="G119" s="310"/>
      <c r="H119" s="310"/>
      <c r="I119" s="310"/>
      <c r="J119" s="302"/>
    </row>
    <row r="120" spans="1:11" ht="18.75" customHeight="1">
      <c r="A120" s="106"/>
      <c r="B120" s="300"/>
      <c r="C120" s="310"/>
      <c r="D120" s="310"/>
      <c r="E120" s="310"/>
      <c r="F120" s="310"/>
      <c r="G120" s="310"/>
      <c r="H120" s="310"/>
      <c r="I120" s="310"/>
      <c r="J120" s="302"/>
    </row>
    <row r="121" spans="1:11" ht="18.75" customHeight="1">
      <c r="A121" s="106"/>
      <c r="B121" s="300"/>
      <c r="C121" s="310"/>
      <c r="D121" s="310"/>
      <c r="E121" s="310"/>
      <c r="F121" s="310"/>
      <c r="G121" s="310"/>
      <c r="H121" s="310"/>
      <c r="I121" s="310"/>
      <c r="J121" s="302"/>
    </row>
    <row r="122" spans="1:11" ht="18.75" customHeight="1">
      <c r="A122" s="106"/>
      <c r="B122" s="300"/>
      <c r="C122" s="310"/>
      <c r="D122" s="310"/>
      <c r="E122" s="310"/>
      <c r="F122" s="310"/>
      <c r="G122" s="310"/>
      <c r="H122" s="310"/>
      <c r="I122" s="310"/>
      <c r="J122" s="302"/>
    </row>
    <row r="123" spans="1:11" ht="18.75" customHeight="1">
      <c r="A123" s="106"/>
      <c r="B123" s="300"/>
      <c r="C123" s="310"/>
      <c r="D123" s="310"/>
      <c r="E123" s="310"/>
      <c r="F123" s="310"/>
      <c r="G123" s="310"/>
      <c r="H123" s="310"/>
      <c r="I123" s="310"/>
      <c r="J123" s="302"/>
    </row>
    <row r="124" spans="1:11" ht="18.75" customHeight="1">
      <c r="A124" s="106"/>
      <c r="B124" s="300"/>
      <c r="C124" s="310"/>
      <c r="D124" s="310"/>
      <c r="E124" s="310"/>
      <c r="F124" s="310"/>
      <c r="G124" s="310"/>
      <c r="H124" s="310"/>
      <c r="I124" s="310"/>
      <c r="J124" s="302"/>
    </row>
    <row r="125" spans="1:11" ht="18.75" customHeight="1">
      <c r="A125" s="106"/>
      <c r="B125" s="300"/>
      <c r="C125" s="310"/>
      <c r="D125" s="310"/>
      <c r="E125" s="310"/>
      <c r="F125" s="310"/>
      <c r="G125" s="310"/>
      <c r="H125" s="310"/>
      <c r="I125" s="310"/>
      <c r="J125" s="302"/>
    </row>
    <row r="126" spans="1:11" ht="18.75" customHeight="1">
      <c r="A126" s="106"/>
      <c r="B126" s="300"/>
      <c r="C126" s="310"/>
      <c r="D126" s="310"/>
      <c r="E126" s="310"/>
      <c r="F126" s="310"/>
      <c r="G126" s="310"/>
      <c r="H126" s="310"/>
      <c r="I126" s="310"/>
      <c r="J126" s="302"/>
    </row>
    <row r="127" spans="1:11" ht="18.75" customHeight="1">
      <c r="A127" s="106"/>
      <c r="B127" s="300"/>
      <c r="C127" s="310"/>
      <c r="D127" s="310"/>
      <c r="E127" s="310"/>
      <c r="F127" s="310"/>
      <c r="G127" s="310"/>
      <c r="H127" s="310"/>
      <c r="I127" s="310"/>
      <c r="J127" s="302"/>
    </row>
    <row r="128" spans="1:11" ht="18.75" customHeight="1">
      <c r="A128" s="106"/>
      <c r="B128" s="300"/>
      <c r="C128" s="310"/>
      <c r="D128" s="310"/>
      <c r="E128" s="310"/>
      <c r="F128" s="310"/>
      <c r="G128" s="310"/>
      <c r="H128" s="310"/>
      <c r="I128" s="310"/>
      <c r="J128" s="302"/>
    </row>
    <row r="129" spans="1:10" ht="18.75" customHeight="1">
      <c r="A129" s="106"/>
      <c r="B129" s="303"/>
      <c r="C129" s="304"/>
      <c r="D129" s="304"/>
      <c r="E129" s="304"/>
      <c r="F129" s="304"/>
      <c r="G129" s="304"/>
      <c r="H129" s="304"/>
      <c r="I129" s="304"/>
      <c r="J129" s="305"/>
    </row>
    <row r="130" spans="1:10" ht="7.5" customHeight="1">
      <c r="A130" s="106"/>
      <c r="B130" s="107"/>
      <c r="C130" s="107"/>
      <c r="D130" s="107"/>
      <c r="E130" s="107"/>
      <c r="F130" s="107"/>
      <c r="G130" s="107"/>
      <c r="H130" s="107"/>
      <c r="I130" s="107"/>
      <c r="J130" s="107"/>
    </row>
    <row r="131" spans="1:10" ht="18.75" customHeight="1">
      <c r="A131" s="106"/>
      <c r="B131" s="106"/>
      <c r="C131" s="106"/>
      <c r="D131" s="106"/>
      <c r="E131" s="106"/>
      <c r="F131" s="106"/>
      <c r="G131" s="106"/>
      <c r="H131" s="106"/>
      <c r="I131" s="106"/>
      <c r="J131" s="106"/>
    </row>
    <row r="132" spans="1:10" ht="18.75" customHeight="1">
      <c r="A132" s="106"/>
      <c r="B132" s="106"/>
      <c r="C132" s="106"/>
      <c r="D132" s="106"/>
      <c r="E132" s="106"/>
      <c r="F132" s="106"/>
      <c r="G132" s="106"/>
      <c r="H132" s="106"/>
      <c r="I132" s="106"/>
      <c r="J132" s="106"/>
    </row>
    <row r="133" spans="1:10" ht="18.75" customHeight="1">
      <c r="A133" s="106"/>
      <c r="B133" s="106"/>
      <c r="C133" s="106"/>
      <c r="D133" s="106"/>
      <c r="E133" s="106"/>
      <c r="F133" s="106"/>
      <c r="G133" s="106"/>
      <c r="H133" s="106"/>
      <c r="I133" s="106"/>
      <c r="J133" s="106"/>
    </row>
    <row r="134" spans="1:10" ht="18.75" customHeight="1">
      <c r="A134" s="106"/>
      <c r="B134" s="106"/>
      <c r="C134" s="106"/>
      <c r="D134" s="106"/>
      <c r="E134" s="106"/>
      <c r="F134" s="106"/>
      <c r="G134" s="106"/>
      <c r="H134" s="106"/>
      <c r="I134" s="106"/>
      <c r="J134" s="106"/>
    </row>
    <row r="135" spans="1:10" ht="18.75" customHeight="1">
      <c r="A135" s="106"/>
      <c r="B135" s="106"/>
      <c r="C135" s="106"/>
      <c r="D135" s="106"/>
      <c r="E135" s="106"/>
      <c r="F135" s="106"/>
      <c r="G135" s="106"/>
      <c r="H135" s="106"/>
      <c r="I135" s="106"/>
      <c r="J135" s="106"/>
    </row>
    <row r="136" spans="1:10" ht="18.75" customHeight="1">
      <c r="A136" s="106"/>
      <c r="B136" s="106"/>
      <c r="C136" s="106"/>
      <c r="D136" s="106"/>
      <c r="E136" s="106"/>
      <c r="F136" s="106"/>
      <c r="G136" s="106"/>
      <c r="H136" s="106"/>
      <c r="I136" s="106"/>
      <c r="J136" s="106"/>
    </row>
    <row r="137" spans="1:10" ht="18.75" customHeight="1">
      <c r="A137" s="106"/>
      <c r="B137" s="106"/>
      <c r="C137" s="106"/>
      <c r="D137" s="106"/>
      <c r="E137" s="106"/>
      <c r="F137" s="106"/>
      <c r="G137" s="106"/>
      <c r="H137" s="106"/>
      <c r="I137" s="106"/>
      <c r="J137" s="106"/>
    </row>
    <row r="138" spans="1:10" ht="18.75" customHeight="1">
      <c r="A138" s="106"/>
      <c r="B138" s="106"/>
      <c r="C138" s="106"/>
      <c r="D138" s="106"/>
      <c r="E138" s="106"/>
      <c r="F138" s="106"/>
      <c r="G138" s="106"/>
      <c r="H138" s="106"/>
      <c r="I138" s="106"/>
      <c r="J138" s="106"/>
    </row>
    <row r="139" spans="1:10" ht="18.75" customHeight="1">
      <c r="A139" s="106"/>
      <c r="B139" s="106"/>
      <c r="C139" s="106"/>
      <c r="D139" s="106"/>
      <c r="E139" s="106"/>
      <c r="F139" s="106"/>
      <c r="G139" s="106"/>
      <c r="H139" s="106"/>
      <c r="I139" s="106"/>
      <c r="J139" s="106"/>
    </row>
    <row r="140" spans="1:10" ht="18.75" customHeight="1">
      <c r="A140" s="106"/>
      <c r="B140" s="106"/>
      <c r="C140" s="106"/>
      <c r="D140" s="106"/>
      <c r="E140" s="106"/>
      <c r="F140" s="106"/>
      <c r="G140" s="106"/>
      <c r="H140" s="106"/>
      <c r="I140" s="106"/>
      <c r="J140" s="106"/>
    </row>
    <row r="141" spans="1:10" ht="18.75" customHeight="1">
      <c r="A141" s="106"/>
      <c r="B141" s="106"/>
      <c r="C141" s="106"/>
      <c r="D141" s="106"/>
      <c r="E141" s="106"/>
      <c r="F141" s="106"/>
      <c r="G141" s="106"/>
      <c r="H141" s="106"/>
      <c r="I141" s="106"/>
      <c r="J141" s="106"/>
    </row>
    <row r="142" spans="1:10" ht="18.75" customHeight="1">
      <c r="A142" s="106"/>
      <c r="B142" s="106"/>
      <c r="C142" s="106"/>
      <c r="D142" s="106"/>
      <c r="E142" s="106"/>
      <c r="F142" s="106"/>
      <c r="G142" s="106"/>
      <c r="H142" s="106"/>
      <c r="I142" s="106"/>
      <c r="J142" s="106"/>
    </row>
    <row r="143" spans="1:10" ht="14.25">
      <c r="A143" s="106"/>
      <c r="B143" s="106"/>
      <c r="C143" s="106"/>
      <c r="D143" s="106"/>
      <c r="E143" s="106"/>
      <c r="F143" s="106"/>
      <c r="G143" s="106"/>
      <c r="H143" s="106"/>
      <c r="I143" s="106"/>
      <c r="J143" s="106"/>
    </row>
    <row r="144" spans="1:10" ht="7.5" customHeight="1">
      <c r="A144" s="108"/>
      <c r="B144" s="108"/>
      <c r="C144" s="108"/>
      <c r="D144" s="108"/>
      <c r="E144" s="108"/>
      <c r="F144" s="108"/>
      <c r="G144" s="108"/>
      <c r="H144" s="108"/>
      <c r="I144" s="108"/>
      <c r="J144" s="108"/>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Normal="100" zoomScaleSheetLayoutView="100" workbookViewId="0">
      <selection activeCell="E9" sqref="E9:J9"/>
    </sheetView>
  </sheetViews>
  <sheetFormatPr defaultColWidth="11.375" defaultRowHeight="22.5" customHeight="1"/>
  <cols>
    <col min="1" max="3" width="2.625" style="6" customWidth="1"/>
    <col min="4" max="4" width="22.125" style="6" customWidth="1"/>
    <col min="5" max="5" width="21.625" style="6" customWidth="1"/>
    <col min="6" max="7" width="7.625" style="6" customWidth="1"/>
    <col min="8" max="8" width="33.375" style="6" customWidth="1"/>
    <col min="9" max="9" width="24.5" style="6" customWidth="1"/>
    <col min="10" max="10" width="5.5" style="6" customWidth="1"/>
    <col min="11" max="11" width="4.125" style="7" customWidth="1"/>
    <col min="12" max="16384" width="11.375" style="6"/>
  </cols>
  <sheetData>
    <row r="1" spans="1:11" ht="18.75" customHeight="1">
      <c r="A1" s="6" t="s">
        <v>183</v>
      </c>
      <c r="J1" s="126" t="s">
        <v>184</v>
      </c>
    </row>
    <row r="2" spans="1:11" ht="18.75" customHeight="1">
      <c r="A2" s="230" t="s">
        <v>185</v>
      </c>
      <c r="B2" s="230"/>
      <c r="C2" s="230"/>
      <c r="D2" s="230"/>
      <c r="E2" s="230"/>
      <c r="F2" s="230"/>
      <c r="G2" s="230"/>
      <c r="H2" s="230"/>
      <c r="I2" s="230"/>
      <c r="J2" s="230"/>
    </row>
    <row r="3" spans="1:11" ht="7.5" customHeight="1">
      <c r="A3" s="131"/>
      <c r="B3" s="131"/>
      <c r="C3" s="131"/>
      <c r="D3" s="131"/>
      <c r="E3" s="131"/>
      <c r="F3" s="131"/>
      <c r="G3" s="131"/>
      <c r="H3" s="131"/>
      <c r="I3" s="131"/>
      <c r="J3" s="131"/>
    </row>
    <row r="4" spans="1:11" ht="18.75" customHeight="1">
      <c r="A4" s="6" t="s">
        <v>2</v>
      </c>
      <c r="B4" s="7" t="s">
        <v>186</v>
      </c>
      <c r="C4" s="106"/>
      <c r="D4" s="106"/>
      <c r="E4" s="106"/>
      <c r="F4" s="106"/>
      <c r="G4" s="106"/>
      <c r="H4" s="106"/>
      <c r="I4" s="106"/>
      <c r="J4" s="106"/>
    </row>
    <row r="5" spans="1:11" ht="18.75" customHeight="1">
      <c r="B5" s="160" t="s">
        <v>187</v>
      </c>
      <c r="C5" s="161"/>
      <c r="D5" s="162"/>
      <c r="E5" s="161" t="s">
        <v>188</v>
      </c>
      <c r="F5" s="161"/>
      <c r="G5" s="161"/>
      <c r="H5" s="161"/>
      <c r="I5" s="161"/>
      <c r="J5" s="162"/>
    </row>
    <row r="6" spans="1:11" ht="18.75" customHeight="1">
      <c r="B6" s="11" t="s">
        <v>189</v>
      </c>
      <c r="C6" s="106"/>
      <c r="D6" s="109"/>
      <c r="I6" s="106"/>
      <c r="J6" s="109"/>
    </row>
    <row r="7" spans="1:11" ht="207" customHeight="1">
      <c r="B7" s="110"/>
      <c r="C7" s="322" t="s">
        <v>190</v>
      </c>
      <c r="D7" s="323"/>
      <c r="E7" s="319" t="s">
        <v>191</v>
      </c>
      <c r="F7" s="320"/>
      <c r="G7" s="320"/>
      <c r="H7" s="320"/>
      <c r="I7" s="320"/>
      <c r="J7" s="321"/>
      <c r="K7" s="7" t="str">
        <f>IF(E7="","入力してください","")</f>
        <v/>
      </c>
    </row>
    <row r="8" spans="1:11" ht="207" customHeight="1">
      <c r="B8" s="110"/>
      <c r="C8" s="343" t="s">
        <v>192</v>
      </c>
      <c r="D8" s="344"/>
      <c r="E8" s="319" t="s">
        <v>193</v>
      </c>
      <c r="F8" s="320"/>
      <c r="G8" s="320"/>
      <c r="H8" s="320"/>
      <c r="I8" s="320"/>
      <c r="J8" s="321"/>
      <c r="K8" s="7" t="str">
        <f>IF(E8="","入力してください","")</f>
        <v/>
      </c>
    </row>
    <row r="9" spans="1:11" ht="172.5" customHeight="1">
      <c r="B9" s="110"/>
      <c r="C9" s="322" t="s">
        <v>194</v>
      </c>
      <c r="D9" s="323"/>
      <c r="E9" s="319" t="s">
        <v>195</v>
      </c>
      <c r="F9" s="320"/>
      <c r="G9" s="320"/>
      <c r="H9" s="320"/>
      <c r="I9" s="320"/>
      <c r="J9" s="321"/>
      <c r="K9" s="7" t="str">
        <f>IF(E9="","入力してください","")</f>
        <v/>
      </c>
    </row>
    <row r="10" spans="1:11" ht="172.5" customHeight="1">
      <c r="B10" s="110"/>
      <c r="C10" s="322" t="s">
        <v>196</v>
      </c>
      <c r="D10" s="323"/>
      <c r="E10" s="319" t="s">
        <v>197</v>
      </c>
      <c r="F10" s="320"/>
      <c r="G10" s="320"/>
      <c r="H10" s="320"/>
      <c r="I10" s="320"/>
      <c r="J10" s="321"/>
      <c r="K10" s="7" t="str">
        <f t="shared" ref="K10:K14" si="0">IF(E10="","入力してください","")</f>
        <v/>
      </c>
    </row>
    <row r="11" spans="1:11" ht="172.5" customHeight="1">
      <c r="B11" s="110"/>
      <c r="C11" s="322" t="s">
        <v>198</v>
      </c>
      <c r="D11" s="323"/>
      <c r="E11" s="319" t="s">
        <v>199</v>
      </c>
      <c r="F11" s="320"/>
      <c r="G11" s="320"/>
      <c r="H11" s="320"/>
      <c r="I11" s="320"/>
      <c r="J11" s="321"/>
      <c r="K11" s="7" t="str">
        <f t="shared" si="0"/>
        <v/>
      </c>
    </row>
    <row r="12" spans="1:11" ht="18.75" customHeight="1">
      <c r="B12" s="111" t="s">
        <v>200</v>
      </c>
      <c r="C12" s="112"/>
      <c r="D12" s="113"/>
      <c r="E12" s="114"/>
      <c r="F12" s="114"/>
      <c r="G12" s="114"/>
      <c r="H12" s="114"/>
      <c r="I12" s="114"/>
      <c r="J12" s="115"/>
    </row>
    <row r="13" spans="1:11" ht="244.35" customHeight="1">
      <c r="B13" s="110"/>
      <c r="C13" s="322" t="s">
        <v>201</v>
      </c>
      <c r="D13" s="323"/>
      <c r="E13" s="320" t="s">
        <v>202</v>
      </c>
      <c r="F13" s="320"/>
      <c r="G13" s="320"/>
      <c r="H13" s="320"/>
      <c r="I13" s="320"/>
      <c r="J13" s="321"/>
      <c r="K13" s="7" t="str">
        <f t="shared" si="0"/>
        <v/>
      </c>
    </row>
    <row r="14" spans="1:11" ht="255" customHeight="1">
      <c r="B14" s="110"/>
      <c r="C14" s="322" t="s">
        <v>203</v>
      </c>
      <c r="D14" s="323"/>
      <c r="E14" s="320" t="s">
        <v>204</v>
      </c>
      <c r="F14" s="320"/>
      <c r="G14" s="320"/>
      <c r="H14" s="320"/>
      <c r="I14" s="320"/>
      <c r="J14" s="321"/>
      <c r="K14" s="7" t="str">
        <f t="shared" si="0"/>
        <v/>
      </c>
    </row>
    <row r="15" spans="1:11" ht="243" customHeight="1">
      <c r="B15" s="330" t="s">
        <v>205</v>
      </c>
      <c r="C15" s="331"/>
      <c r="D15" s="323"/>
      <c r="E15" s="320" t="s">
        <v>206</v>
      </c>
      <c r="F15" s="320"/>
      <c r="G15" s="320"/>
      <c r="H15" s="320"/>
      <c r="I15" s="320"/>
      <c r="J15" s="321"/>
      <c r="K15" s="7" t="str">
        <f>IF(E15="","入力してください","")</f>
        <v/>
      </c>
    </row>
    <row r="16" spans="1:11" ht="243" customHeight="1">
      <c r="A16" s="7"/>
      <c r="B16" s="324" t="s">
        <v>207</v>
      </c>
      <c r="C16" s="325"/>
      <c r="D16" s="326"/>
      <c r="E16" s="316" t="s">
        <v>208</v>
      </c>
      <c r="F16" s="316"/>
      <c r="G16" s="316"/>
      <c r="H16" s="316"/>
      <c r="I16" s="316"/>
      <c r="J16" s="317"/>
      <c r="K16" s="7" t="str">
        <f>IF(E16="","入力してください","")</f>
        <v/>
      </c>
    </row>
    <row r="17" spans="1:11" ht="7.5" customHeight="1">
      <c r="B17" s="106"/>
      <c r="C17" s="106"/>
      <c r="D17" s="106"/>
      <c r="E17" s="106"/>
      <c r="F17" s="106"/>
      <c r="G17" s="106"/>
      <c r="H17" s="106"/>
      <c r="I17" s="106"/>
      <c r="J17" s="106"/>
    </row>
    <row r="18" spans="1:11" ht="18.75" customHeight="1">
      <c r="A18" s="6" t="s">
        <v>209</v>
      </c>
      <c r="B18" s="7"/>
      <c r="C18" s="106"/>
      <c r="D18" s="106"/>
      <c r="E18" s="106"/>
      <c r="F18" s="132"/>
      <c r="G18" s="327" t="s">
        <v>126</v>
      </c>
      <c r="H18" s="328"/>
      <c r="I18" s="328"/>
      <c r="J18" s="329"/>
      <c r="K18" s="7" t="str">
        <f>IF(G18="","入力してください","")</f>
        <v/>
      </c>
    </row>
    <row r="19" spans="1:11" ht="22.5" customHeight="1">
      <c r="B19" s="106"/>
      <c r="C19" s="106"/>
      <c r="D19" s="106"/>
      <c r="E19" s="106"/>
      <c r="F19" s="106"/>
      <c r="G19" s="106"/>
      <c r="H19" s="106"/>
      <c r="I19" s="106"/>
      <c r="J19" s="106"/>
    </row>
    <row r="20" spans="1:11" ht="22.5" customHeight="1">
      <c r="B20" s="106"/>
      <c r="C20" s="106"/>
      <c r="D20" s="106"/>
      <c r="E20" s="106"/>
      <c r="F20" s="106"/>
      <c r="G20" s="106"/>
      <c r="H20" s="106"/>
      <c r="I20" s="106"/>
      <c r="J20" s="106"/>
    </row>
    <row r="21" spans="1:11" ht="22.5" customHeight="1">
      <c r="B21" s="106"/>
      <c r="C21" s="106"/>
      <c r="D21" s="106"/>
      <c r="E21" s="106"/>
      <c r="F21" s="106"/>
      <c r="G21" s="106"/>
      <c r="H21" s="106"/>
      <c r="I21" s="106"/>
      <c r="J21" s="106"/>
    </row>
    <row r="22" spans="1:11" ht="22.5" customHeight="1">
      <c r="B22" s="106"/>
      <c r="C22" s="106"/>
      <c r="D22" s="106"/>
      <c r="E22" s="106"/>
      <c r="F22" s="106"/>
      <c r="G22" s="106"/>
      <c r="H22" s="106"/>
      <c r="I22" s="106"/>
      <c r="J22" s="106"/>
    </row>
    <row r="23" spans="1:11" ht="22.5" customHeight="1">
      <c r="B23" s="106"/>
      <c r="C23" s="106"/>
      <c r="D23" s="106"/>
      <c r="E23" s="106"/>
      <c r="F23" s="106"/>
      <c r="G23" s="106"/>
      <c r="H23" s="106"/>
      <c r="I23" s="106"/>
      <c r="J23" s="106"/>
    </row>
    <row r="24" spans="1:11" ht="22.5" customHeight="1">
      <c r="B24" s="59"/>
      <c r="C24" s="59"/>
      <c r="D24" s="59"/>
      <c r="E24" s="59"/>
      <c r="F24" s="59"/>
      <c r="G24" s="59"/>
      <c r="H24" s="59"/>
      <c r="I24" s="59"/>
      <c r="J24" s="59"/>
    </row>
    <row r="25" spans="1:11" ht="22.5" customHeight="1">
      <c r="B25" s="59"/>
      <c r="C25" s="59"/>
      <c r="D25" s="59"/>
      <c r="E25" s="59"/>
      <c r="F25" s="59"/>
      <c r="G25" s="59"/>
      <c r="H25" s="59"/>
      <c r="I25" s="59"/>
      <c r="J25" s="59"/>
    </row>
    <row r="26" spans="1:11" ht="22.5" customHeight="1">
      <c r="B26" s="59"/>
      <c r="C26" s="59"/>
      <c r="D26" s="59"/>
      <c r="E26" s="59"/>
      <c r="F26" s="59"/>
      <c r="G26" s="59"/>
      <c r="H26" s="59"/>
      <c r="I26" s="59"/>
      <c r="J26" s="59"/>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00000000-0004-0000-04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4"/>
  <sheetViews>
    <sheetView showZeros="0" view="pageBreakPreview" topLeftCell="A55" zoomScaleNormal="100" zoomScaleSheetLayoutView="100" workbookViewId="0">
      <selection activeCell="B84" sqref="B84"/>
    </sheetView>
  </sheetViews>
  <sheetFormatPr defaultColWidth="11.375" defaultRowHeight="18.75" customHeight="1"/>
  <cols>
    <col min="1" max="1" width="3.375" style="1" customWidth="1"/>
    <col min="2" max="2" width="15.5" style="1" customWidth="1"/>
    <col min="3" max="3" width="37.625" style="1" customWidth="1"/>
    <col min="4" max="4" width="1.125" style="1" customWidth="1"/>
    <col min="5" max="5" width="21.125" style="1" customWidth="1"/>
    <col min="6" max="6" width="7.625" style="1" customWidth="1"/>
    <col min="7" max="8" width="2.125" style="1" customWidth="1"/>
    <col min="9" max="16384" width="11.375" style="1"/>
  </cols>
  <sheetData>
    <row r="1" spans="1:6" ht="18.75" customHeight="1">
      <c r="E1" s="280" t="s">
        <v>210</v>
      </c>
      <c r="F1" s="280"/>
    </row>
    <row r="2" spans="1:6" ht="18.75" customHeight="1">
      <c r="A2" s="332" t="s">
        <v>211</v>
      </c>
      <c r="B2" s="332"/>
      <c r="C2" s="332"/>
      <c r="D2" s="332"/>
      <c r="E2" s="332"/>
      <c r="F2" s="332"/>
    </row>
    <row r="3" spans="1:6" ht="18.75" customHeight="1">
      <c r="A3" s="25"/>
      <c r="B3" s="25"/>
      <c r="C3" s="25"/>
      <c r="D3" s="25"/>
      <c r="E3" s="25"/>
      <c r="F3" s="25"/>
    </row>
    <row r="4" spans="1:6" ht="18.75" customHeight="1">
      <c r="A4" s="25" t="s">
        <v>2</v>
      </c>
      <c r="B4" s="2" t="s">
        <v>212</v>
      </c>
      <c r="C4" s="25"/>
      <c r="D4" s="25"/>
      <c r="E4" s="25"/>
      <c r="F4" s="25"/>
    </row>
    <row r="5" spans="1:6" ht="18.75" customHeight="1">
      <c r="A5" s="25"/>
      <c r="B5" s="333" t="s">
        <v>213</v>
      </c>
      <c r="C5" s="334"/>
      <c r="D5" s="334"/>
      <c r="E5" s="334"/>
      <c r="F5" s="335"/>
    </row>
    <row r="6" spans="1:6" ht="18.75" customHeight="1">
      <c r="A6" s="25"/>
      <c r="B6" s="336"/>
      <c r="C6" s="337"/>
      <c r="D6" s="337"/>
      <c r="E6" s="337"/>
      <c r="F6" s="338"/>
    </row>
    <row r="7" spans="1:6" ht="18.75" customHeight="1">
      <c r="A7" s="25"/>
      <c r="B7" s="336"/>
      <c r="C7" s="337"/>
      <c r="D7" s="337"/>
      <c r="E7" s="337"/>
      <c r="F7" s="338"/>
    </row>
    <row r="8" spans="1:6" ht="18.75" customHeight="1">
      <c r="A8" s="25"/>
      <c r="B8" s="336"/>
      <c r="C8" s="337"/>
      <c r="D8" s="337"/>
      <c r="E8" s="337"/>
      <c r="F8" s="338"/>
    </row>
    <row r="9" spans="1:6" ht="18.75" customHeight="1">
      <c r="A9" s="25"/>
      <c r="B9" s="336"/>
      <c r="C9" s="337"/>
      <c r="D9" s="337"/>
      <c r="E9" s="337"/>
      <c r="F9" s="338"/>
    </row>
    <row r="10" spans="1:6" ht="18.75" customHeight="1">
      <c r="A10" s="25"/>
      <c r="B10" s="336"/>
      <c r="C10" s="337"/>
      <c r="D10" s="337"/>
      <c r="E10" s="337"/>
      <c r="F10" s="338"/>
    </row>
    <row r="11" spans="1:6" ht="18.75" customHeight="1">
      <c r="A11" s="25"/>
      <c r="B11" s="336"/>
      <c r="C11" s="337"/>
      <c r="D11" s="337"/>
      <c r="E11" s="337"/>
      <c r="F11" s="338"/>
    </row>
    <row r="12" spans="1:6" ht="18.75" customHeight="1">
      <c r="A12" s="25"/>
      <c r="B12" s="336"/>
      <c r="C12" s="337"/>
      <c r="D12" s="337"/>
      <c r="E12" s="337"/>
      <c r="F12" s="338"/>
    </row>
    <row r="13" spans="1:6" ht="18.75" customHeight="1">
      <c r="A13" s="25"/>
      <c r="B13" s="336"/>
      <c r="C13" s="337"/>
      <c r="D13" s="337"/>
      <c r="E13" s="337"/>
      <c r="F13" s="338"/>
    </row>
    <row r="14" spans="1:6" ht="18.75" customHeight="1">
      <c r="A14" s="25"/>
      <c r="B14" s="336"/>
      <c r="C14" s="337"/>
      <c r="D14" s="337"/>
      <c r="E14" s="337"/>
      <c r="F14" s="338"/>
    </row>
    <row r="15" spans="1:6" ht="18.75" customHeight="1">
      <c r="A15" s="25"/>
      <c r="B15" s="336"/>
      <c r="C15" s="337"/>
      <c r="D15" s="337"/>
      <c r="E15" s="337"/>
      <c r="F15" s="338"/>
    </row>
    <row r="16" spans="1:6" ht="18.75" customHeight="1">
      <c r="A16" s="25"/>
      <c r="B16" s="336"/>
      <c r="C16" s="337"/>
      <c r="D16" s="337"/>
      <c r="E16" s="337"/>
      <c r="F16" s="338"/>
    </row>
    <row r="17" spans="1:6" ht="18.75" customHeight="1">
      <c r="A17" s="25"/>
      <c r="B17" s="336"/>
      <c r="C17" s="337"/>
      <c r="D17" s="337"/>
      <c r="E17" s="337"/>
      <c r="F17" s="338"/>
    </row>
    <row r="18" spans="1:6" ht="18.75" customHeight="1">
      <c r="A18" s="25"/>
      <c r="B18" s="336"/>
      <c r="C18" s="337"/>
      <c r="D18" s="337"/>
      <c r="E18" s="337"/>
      <c r="F18" s="338"/>
    </row>
    <row r="19" spans="1:6" ht="18.75" customHeight="1">
      <c r="A19" s="25"/>
      <c r="B19" s="336"/>
      <c r="C19" s="337"/>
      <c r="D19" s="337"/>
      <c r="E19" s="337"/>
      <c r="F19" s="338"/>
    </row>
    <row r="20" spans="1:6" ht="18.75" customHeight="1">
      <c r="A20" s="25"/>
      <c r="B20" s="336"/>
      <c r="C20" s="337"/>
      <c r="D20" s="337"/>
      <c r="E20" s="337"/>
      <c r="F20" s="338"/>
    </row>
    <row r="21" spans="1:6" ht="18.75" customHeight="1">
      <c r="A21" s="25"/>
      <c r="B21" s="336"/>
      <c r="C21" s="337"/>
      <c r="D21" s="337"/>
      <c r="E21" s="337"/>
      <c r="F21" s="338"/>
    </row>
    <row r="22" spans="1:6" ht="18.75" customHeight="1">
      <c r="A22" s="25"/>
      <c r="B22" s="336"/>
      <c r="C22" s="337"/>
      <c r="D22" s="337"/>
      <c r="E22" s="337"/>
      <c r="F22" s="338"/>
    </row>
    <row r="23" spans="1:6" ht="18.75" customHeight="1">
      <c r="A23" s="25"/>
      <c r="B23" s="336"/>
      <c r="C23" s="337"/>
      <c r="D23" s="337"/>
      <c r="E23" s="337"/>
      <c r="F23" s="338"/>
    </row>
    <row r="24" spans="1:6" ht="18.75" customHeight="1">
      <c r="A24" s="25"/>
      <c r="B24" s="336"/>
      <c r="C24" s="337"/>
      <c r="D24" s="337"/>
      <c r="E24" s="337"/>
      <c r="F24" s="338"/>
    </row>
    <row r="25" spans="1:6" ht="18.75" customHeight="1">
      <c r="A25" s="25"/>
      <c r="B25" s="336"/>
      <c r="C25" s="337"/>
      <c r="D25" s="337"/>
      <c r="E25" s="337"/>
      <c r="F25" s="338"/>
    </row>
    <row r="26" spans="1:6" ht="18.75" customHeight="1">
      <c r="A26" s="25"/>
      <c r="B26" s="336"/>
      <c r="C26" s="337"/>
      <c r="D26" s="337"/>
      <c r="E26" s="337"/>
      <c r="F26" s="338"/>
    </row>
    <row r="27" spans="1:6" ht="18.75" customHeight="1">
      <c r="A27" s="25"/>
      <c r="B27" s="336"/>
      <c r="C27" s="337"/>
      <c r="D27" s="337"/>
      <c r="E27" s="337"/>
      <c r="F27" s="338"/>
    </row>
    <row r="28" spans="1:6" ht="18.75" customHeight="1">
      <c r="A28" s="25"/>
      <c r="B28" s="336"/>
      <c r="C28" s="337"/>
      <c r="D28" s="337"/>
      <c r="E28" s="337"/>
      <c r="F28" s="338"/>
    </row>
    <row r="29" spans="1:6" ht="18.75" customHeight="1">
      <c r="A29" s="25"/>
      <c r="B29" s="336"/>
      <c r="C29" s="337"/>
      <c r="D29" s="337"/>
      <c r="E29" s="337"/>
      <c r="F29" s="338"/>
    </row>
    <row r="30" spans="1:6" ht="18.75" customHeight="1">
      <c r="A30" s="25"/>
      <c r="B30" s="336"/>
      <c r="C30" s="337"/>
      <c r="D30" s="337"/>
      <c r="E30" s="337"/>
      <c r="F30" s="338"/>
    </row>
    <row r="31" spans="1:6" ht="18.75" customHeight="1">
      <c r="A31" s="25"/>
      <c r="B31" s="336"/>
      <c r="C31" s="337"/>
      <c r="D31" s="337"/>
      <c r="E31" s="337"/>
      <c r="F31" s="338"/>
    </row>
    <row r="32" spans="1:6" ht="18.75" customHeight="1">
      <c r="A32" s="25"/>
      <c r="B32" s="336"/>
      <c r="C32" s="337"/>
      <c r="D32" s="337"/>
      <c r="E32" s="337"/>
      <c r="F32" s="338"/>
    </row>
    <row r="33" spans="1:6" ht="18.75" customHeight="1">
      <c r="A33" s="25"/>
      <c r="B33" s="336"/>
      <c r="C33" s="337"/>
      <c r="D33" s="337"/>
      <c r="E33" s="337"/>
      <c r="F33" s="338"/>
    </row>
    <row r="34" spans="1:6" ht="18.75" customHeight="1">
      <c r="A34" s="25"/>
      <c r="B34" s="336"/>
      <c r="C34" s="337"/>
      <c r="D34" s="337"/>
      <c r="E34" s="337"/>
      <c r="F34" s="338"/>
    </row>
    <row r="35" spans="1:6" ht="18.75" customHeight="1">
      <c r="A35" s="25"/>
      <c r="B35" s="336"/>
      <c r="C35" s="337"/>
      <c r="D35" s="337"/>
      <c r="E35" s="337"/>
      <c r="F35" s="338"/>
    </row>
    <row r="36" spans="1:6" ht="18.75" customHeight="1">
      <c r="A36" s="25"/>
      <c r="B36" s="336"/>
      <c r="C36" s="337"/>
      <c r="D36" s="337"/>
      <c r="E36" s="337"/>
      <c r="F36" s="338"/>
    </row>
    <row r="37" spans="1:6" ht="18.75" customHeight="1">
      <c r="A37" s="25"/>
      <c r="B37" s="336"/>
      <c r="C37" s="337"/>
      <c r="D37" s="337"/>
      <c r="E37" s="337"/>
      <c r="F37" s="338"/>
    </row>
    <row r="38" spans="1:6" ht="18.75" customHeight="1">
      <c r="A38" s="25"/>
      <c r="B38" s="336"/>
      <c r="C38" s="337"/>
      <c r="D38" s="337"/>
      <c r="E38" s="337"/>
      <c r="F38" s="338"/>
    </row>
    <row r="39" spans="1:6" ht="18.75" customHeight="1">
      <c r="A39" s="25"/>
      <c r="B39" s="336"/>
      <c r="C39" s="337"/>
      <c r="D39" s="337"/>
      <c r="E39" s="337"/>
      <c r="F39" s="338"/>
    </row>
    <row r="40" spans="1:6" ht="18.75" customHeight="1">
      <c r="A40" s="25"/>
      <c r="B40" s="336"/>
      <c r="C40" s="337"/>
      <c r="D40" s="337"/>
      <c r="E40" s="337"/>
      <c r="F40" s="338"/>
    </row>
    <row r="41" spans="1:6" ht="18.75" customHeight="1">
      <c r="A41" s="25"/>
      <c r="B41" s="336"/>
      <c r="C41" s="337"/>
      <c r="D41" s="337"/>
      <c r="E41" s="337"/>
      <c r="F41" s="338"/>
    </row>
    <row r="42" spans="1:6" ht="18.75" customHeight="1">
      <c r="A42" s="25"/>
      <c r="B42" s="339"/>
      <c r="C42" s="340"/>
      <c r="D42" s="340"/>
      <c r="E42" s="340"/>
      <c r="F42" s="341"/>
    </row>
    <row r="43" spans="1:6" ht="18.75" customHeight="1">
      <c r="A43" s="25" t="s">
        <v>5</v>
      </c>
      <c r="B43" s="2" t="s">
        <v>214</v>
      </c>
      <c r="C43" s="25"/>
      <c r="D43" s="25"/>
      <c r="E43" s="25"/>
      <c r="F43" s="25"/>
    </row>
    <row r="44" spans="1:6" ht="18.75" customHeight="1">
      <c r="A44" s="25"/>
      <c r="B44" s="333" t="s">
        <v>215</v>
      </c>
      <c r="C44" s="334"/>
      <c r="D44" s="334"/>
      <c r="E44" s="334"/>
      <c r="F44" s="335"/>
    </row>
    <row r="45" spans="1:6" ht="18.75" customHeight="1">
      <c r="A45" s="25"/>
      <c r="B45" s="336"/>
      <c r="C45" s="337"/>
      <c r="D45" s="337"/>
      <c r="E45" s="337"/>
      <c r="F45" s="338"/>
    </row>
    <row r="46" spans="1:6" ht="18.75" customHeight="1">
      <c r="A46" s="25"/>
      <c r="B46" s="336"/>
      <c r="C46" s="337"/>
      <c r="D46" s="337"/>
      <c r="E46" s="337"/>
      <c r="F46" s="338"/>
    </row>
    <row r="47" spans="1:6" ht="18.75" customHeight="1">
      <c r="A47" s="25"/>
      <c r="B47" s="336"/>
      <c r="C47" s="337"/>
      <c r="D47" s="337"/>
      <c r="E47" s="337"/>
      <c r="F47" s="338"/>
    </row>
    <row r="48" spans="1:6" ht="18.75" customHeight="1">
      <c r="A48" s="25"/>
      <c r="B48" s="336"/>
      <c r="C48" s="337"/>
      <c r="D48" s="337"/>
      <c r="E48" s="337"/>
      <c r="F48" s="338"/>
    </row>
    <row r="49" spans="1:6" ht="18.75" customHeight="1">
      <c r="A49" s="25"/>
      <c r="B49" s="336"/>
      <c r="C49" s="337"/>
      <c r="D49" s="337"/>
      <c r="E49" s="337"/>
      <c r="F49" s="338"/>
    </row>
    <row r="50" spans="1:6" ht="18.75" customHeight="1">
      <c r="A50" s="25"/>
      <c r="B50" s="336"/>
      <c r="C50" s="337"/>
      <c r="D50" s="337"/>
      <c r="E50" s="337"/>
      <c r="F50" s="338"/>
    </row>
    <row r="51" spans="1:6" ht="18.75" customHeight="1">
      <c r="A51" s="25"/>
      <c r="B51" s="336"/>
      <c r="C51" s="337"/>
      <c r="D51" s="337"/>
      <c r="E51" s="337"/>
      <c r="F51" s="338"/>
    </row>
    <row r="52" spans="1:6" ht="18.75" customHeight="1">
      <c r="A52" s="25"/>
      <c r="B52" s="336"/>
      <c r="C52" s="337"/>
      <c r="D52" s="337"/>
      <c r="E52" s="337"/>
      <c r="F52" s="338"/>
    </row>
    <row r="53" spans="1:6" ht="18.75" customHeight="1">
      <c r="A53" s="25"/>
      <c r="B53" s="336"/>
      <c r="C53" s="337"/>
      <c r="D53" s="337"/>
      <c r="E53" s="337"/>
      <c r="F53" s="338"/>
    </row>
    <row r="54" spans="1:6" ht="18.75" customHeight="1">
      <c r="A54" s="25"/>
      <c r="B54" s="336"/>
      <c r="C54" s="337"/>
      <c r="D54" s="337"/>
      <c r="E54" s="337"/>
      <c r="F54" s="338"/>
    </row>
    <row r="55" spans="1:6" ht="18.75" customHeight="1">
      <c r="A55" s="25"/>
      <c r="B55" s="336"/>
      <c r="C55" s="337"/>
      <c r="D55" s="337"/>
      <c r="E55" s="337"/>
      <c r="F55" s="338"/>
    </row>
    <row r="56" spans="1:6" ht="18.75" customHeight="1">
      <c r="A56" s="25"/>
      <c r="B56" s="336"/>
      <c r="C56" s="337"/>
      <c r="D56" s="337"/>
      <c r="E56" s="337"/>
      <c r="F56" s="338"/>
    </row>
    <row r="57" spans="1:6" ht="18.75" customHeight="1">
      <c r="A57" s="25"/>
      <c r="B57" s="336"/>
      <c r="C57" s="337"/>
      <c r="D57" s="337"/>
      <c r="E57" s="337"/>
      <c r="F57" s="338"/>
    </row>
    <row r="58" spans="1:6" ht="18.75" customHeight="1">
      <c r="A58" s="25"/>
      <c r="B58" s="336"/>
      <c r="C58" s="337"/>
      <c r="D58" s="337"/>
      <c r="E58" s="337"/>
      <c r="F58" s="338"/>
    </row>
    <row r="59" spans="1:6" ht="18.75" customHeight="1">
      <c r="A59" s="25"/>
      <c r="B59" s="336"/>
      <c r="C59" s="337"/>
      <c r="D59" s="337"/>
      <c r="E59" s="337"/>
      <c r="F59" s="338"/>
    </row>
    <row r="60" spans="1:6" ht="18.75" customHeight="1">
      <c r="A60" s="25"/>
      <c r="B60" s="336"/>
      <c r="C60" s="337"/>
      <c r="D60" s="337"/>
      <c r="E60" s="337"/>
      <c r="F60" s="338"/>
    </row>
    <row r="61" spans="1:6" ht="18.75" customHeight="1">
      <c r="A61" s="25"/>
      <c r="B61" s="336"/>
      <c r="C61" s="337"/>
      <c r="D61" s="337"/>
      <c r="E61" s="337"/>
      <c r="F61" s="338"/>
    </row>
    <row r="62" spans="1:6" ht="18.75" customHeight="1">
      <c r="A62" s="25"/>
      <c r="B62" s="336"/>
      <c r="C62" s="337"/>
      <c r="D62" s="337"/>
      <c r="E62" s="337"/>
      <c r="F62" s="338"/>
    </row>
    <row r="63" spans="1:6" ht="18.75" customHeight="1">
      <c r="A63" s="25"/>
      <c r="B63" s="336"/>
      <c r="C63" s="337"/>
      <c r="D63" s="337"/>
      <c r="E63" s="337"/>
      <c r="F63" s="338"/>
    </row>
    <row r="64" spans="1:6" ht="18.75" customHeight="1">
      <c r="A64" s="25"/>
      <c r="B64" s="336"/>
      <c r="C64" s="337"/>
      <c r="D64" s="337"/>
      <c r="E64" s="337"/>
      <c r="F64" s="338"/>
    </row>
    <row r="65" spans="1:6" ht="18.75" customHeight="1">
      <c r="A65" s="25"/>
      <c r="B65" s="336"/>
      <c r="C65" s="337"/>
      <c r="D65" s="337"/>
      <c r="E65" s="337"/>
      <c r="F65" s="338"/>
    </row>
    <row r="66" spans="1:6" ht="18.75" customHeight="1">
      <c r="A66" s="25"/>
      <c r="B66" s="336"/>
      <c r="C66" s="337"/>
      <c r="D66" s="337"/>
      <c r="E66" s="337"/>
      <c r="F66" s="338"/>
    </row>
    <row r="67" spans="1:6" ht="18.75" customHeight="1">
      <c r="A67" s="25"/>
      <c r="B67" s="336"/>
      <c r="C67" s="337"/>
      <c r="D67" s="337"/>
      <c r="E67" s="337"/>
      <c r="F67" s="338"/>
    </row>
    <row r="68" spans="1:6" ht="18.75" customHeight="1">
      <c r="A68" s="25"/>
      <c r="B68" s="336"/>
      <c r="C68" s="337"/>
      <c r="D68" s="337"/>
      <c r="E68" s="337"/>
      <c r="F68" s="338"/>
    </row>
    <row r="69" spans="1:6" ht="18.75" customHeight="1">
      <c r="A69" s="25"/>
      <c r="B69" s="336"/>
      <c r="C69" s="337"/>
      <c r="D69" s="337"/>
      <c r="E69" s="337"/>
      <c r="F69" s="338"/>
    </row>
    <row r="70" spans="1:6" ht="18.75" customHeight="1">
      <c r="A70" s="25"/>
      <c r="B70" s="336"/>
      <c r="C70" s="337"/>
      <c r="D70" s="337"/>
      <c r="E70" s="337"/>
      <c r="F70" s="338"/>
    </row>
    <row r="71" spans="1:6" ht="18.75" customHeight="1">
      <c r="A71" s="25"/>
      <c r="B71" s="336"/>
      <c r="C71" s="337"/>
      <c r="D71" s="337"/>
      <c r="E71" s="337"/>
      <c r="F71" s="338"/>
    </row>
    <row r="72" spans="1:6" ht="18.75" customHeight="1">
      <c r="A72" s="25"/>
      <c r="B72" s="336"/>
      <c r="C72" s="337"/>
      <c r="D72" s="337"/>
      <c r="E72" s="337"/>
      <c r="F72" s="338"/>
    </row>
    <row r="73" spans="1:6" ht="18.75" customHeight="1">
      <c r="A73" s="25"/>
      <c r="B73" s="336"/>
      <c r="C73" s="337"/>
      <c r="D73" s="337"/>
      <c r="E73" s="337"/>
      <c r="F73" s="338"/>
    </row>
    <row r="74" spans="1:6" ht="18.75" customHeight="1">
      <c r="A74" s="25"/>
      <c r="B74" s="336"/>
      <c r="C74" s="337"/>
      <c r="D74" s="337"/>
      <c r="E74" s="337"/>
      <c r="F74" s="338"/>
    </row>
    <row r="75" spans="1:6" ht="18.75" customHeight="1">
      <c r="A75" s="25"/>
      <c r="B75" s="336"/>
      <c r="C75" s="337"/>
      <c r="D75" s="337"/>
      <c r="E75" s="337"/>
      <c r="F75" s="338"/>
    </row>
    <row r="76" spans="1:6" ht="18.75" customHeight="1">
      <c r="A76" s="25"/>
      <c r="B76" s="336"/>
      <c r="C76" s="337"/>
      <c r="D76" s="337"/>
      <c r="E76" s="337"/>
      <c r="F76" s="338"/>
    </row>
    <row r="77" spans="1:6" ht="18.75" customHeight="1">
      <c r="A77" s="25"/>
      <c r="B77" s="336"/>
      <c r="C77" s="337"/>
      <c r="D77" s="337"/>
      <c r="E77" s="337"/>
      <c r="F77" s="338"/>
    </row>
    <row r="78" spans="1:6" ht="18.75" customHeight="1">
      <c r="A78" s="25"/>
      <c r="B78" s="336"/>
      <c r="C78" s="337"/>
      <c r="D78" s="337"/>
      <c r="E78" s="337"/>
      <c r="F78" s="338"/>
    </row>
    <row r="79" spans="1:6" ht="18.75" customHeight="1">
      <c r="A79" s="25"/>
      <c r="B79" s="336"/>
      <c r="C79" s="337"/>
      <c r="D79" s="337"/>
      <c r="E79" s="337"/>
      <c r="F79" s="338"/>
    </row>
    <row r="80" spans="1:6" ht="18.75" customHeight="1">
      <c r="A80" s="25"/>
      <c r="B80" s="336"/>
      <c r="C80" s="337"/>
      <c r="D80" s="337"/>
      <c r="E80" s="337"/>
      <c r="F80" s="338"/>
    </row>
    <row r="81" spans="1:6" ht="18.75" customHeight="1">
      <c r="A81" s="25"/>
      <c r="B81" s="336"/>
      <c r="C81" s="337"/>
      <c r="D81" s="337"/>
      <c r="E81" s="337"/>
      <c r="F81" s="338"/>
    </row>
    <row r="82" spans="1:6" ht="18.75" customHeight="1">
      <c r="A82" s="25"/>
      <c r="B82" s="336"/>
      <c r="C82" s="337"/>
      <c r="D82" s="337"/>
      <c r="E82" s="337"/>
      <c r="F82" s="338"/>
    </row>
    <row r="83" spans="1:6" ht="18.75" customHeight="1">
      <c r="A83" s="25"/>
      <c r="B83" s="339"/>
      <c r="C83" s="340"/>
      <c r="D83" s="340"/>
      <c r="E83" s="340"/>
      <c r="F83" s="341"/>
    </row>
    <row r="84" spans="1:6" ht="18.75" customHeight="1">
      <c r="A84" s="2" t="s">
        <v>162</v>
      </c>
      <c r="B84" s="2" t="s">
        <v>216</v>
      </c>
      <c r="C84" s="2"/>
      <c r="D84" s="2"/>
      <c r="E84" s="2"/>
      <c r="F84" s="2"/>
    </row>
    <row r="85" spans="1:6" ht="18.75" customHeight="1">
      <c r="A85" s="25"/>
      <c r="B85" s="333" t="s">
        <v>217</v>
      </c>
      <c r="C85" s="334"/>
      <c r="D85" s="334"/>
      <c r="E85" s="334"/>
      <c r="F85" s="335"/>
    </row>
    <row r="86" spans="1:6" ht="18.75" customHeight="1">
      <c r="A86" s="25"/>
      <c r="B86" s="336"/>
      <c r="C86" s="337"/>
      <c r="D86" s="337"/>
      <c r="E86" s="337"/>
      <c r="F86" s="338"/>
    </row>
    <row r="87" spans="1:6" ht="18.75" customHeight="1">
      <c r="A87" s="25"/>
      <c r="B87" s="336"/>
      <c r="C87" s="337"/>
      <c r="D87" s="337"/>
      <c r="E87" s="337"/>
      <c r="F87" s="338"/>
    </row>
    <row r="88" spans="1:6" ht="18.75" customHeight="1">
      <c r="A88" s="25"/>
      <c r="B88" s="336"/>
      <c r="C88" s="337"/>
      <c r="D88" s="337"/>
      <c r="E88" s="337"/>
      <c r="F88" s="338"/>
    </row>
    <row r="89" spans="1:6" ht="18.75" customHeight="1">
      <c r="A89" s="25"/>
      <c r="B89" s="336"/>
      <c r="C89" s="337"/>
      <c r="D89" s="337"/>
      <c r="E89" s="337"/>
      <c r="F89" s="338"/>
    </row>
    <row r="90" spans="1:6" ht="18.75" customHeight="1">
      <c r="A90" s="25"/>
      <c r="B90" s="336"/>
      <c r="C90" s="337"/>
      <c r="D90" s="337"/>
      <c r="E90" s="337"/>
      <c r="F90" s="338"/>
    </row>
    <row r="91" spans="1:6" ht="18.75" customHeight="1">
      <c r="A91" s="25"/>
      <c r="B91" s="336"/>
      <c r="C91" s="337"/>
      <c r="D91" s="337"/>
      <c r="E91" s="337"/>
      <c r="F91" s="338"/>
    </row>
    <row r="92" spans="1:6" ht="18.75" customHeight="1">
      <c r="A92" s="25"/>
      <c r="B92" s="336"/>
      <c r="C92" s="337"/>
      <c r="D92" s="337"/>
      <c r="E92" s="337"/>
      <c r="F92" s="338"/>
    </row>
    <row r="93" spans="1:6" ht="18.75" customHeight="1">
      <c r="A93" s="25"/>
      <c r="B93" s="336"/>
      <c r="C93" s="337"/>
      <c r="D93" s="337"/>
      <c r="E93" s="337"/>
      <c r="F93" s="338"/>
    </row>
    <row r="94" spans="1:6" ht="18.75" customHeight="1">
      <c r="A94" s="25"/>
      <c r="B94" s="336"/>
      <c r="C94" s="337"/>
      <c r="D94" s="337"/>
      <c r="E94" s="337"/>
      <c r="F94" s="338"/>
    </row>
    <row r="95" spans="1:6" ht="18.75" customHeight="1">
      <c r="A95" s="25"/>
      <c r="B95" s="336"/>
      <c r="C95" s="337"/>
      <c r="D95" s="337"/>
      <c r="E95" s="337"/>
      <c r="F95" s="338"/>
    </row>
    <row r="96" spans="1:6" ht="18.75" customHeight="1">
      <c r="A96" s="25"/>
      <c r="B96" s="336"/>
      <c r="C96" s="337"/>
      <c r="D96" s="337"/>
      <c r="E96" s="337"/>
      <c r="F96" s="338"/>
    </row>
    <row r="97" spans="1:6" ht="18.75" customHeight="1">
      <c r="A97" s="25"/>
      <c r="B97" s="336"/>
      <c r="C97" s="337"/>
      <c r="D97" s="337"/>
      <c r="E97" s="337"/>
      <c r="F97" s="338"/>
    </row>
    <row r="98" spans="1:6" ht="18.75" customHeight="1">
      <c r="A98" s="25"/>
      <c r="B98" s="336"/>
      <c r="C98" s="337"/>
      <c r="D98" s="337"/>
      <c r="E98" s="337"/>
      <c r="F98" s="338"/>
    </row>
    <row r="99" spans="1:6" ht="18.75" customHeight="1">
      <c r="A99" s="25"/>
      <c r="B99" s="336"/>
      <c r="C99" s="337"/>
      <c r="D99" s="337"/>
      <c r="E99" s="337"/>
      <c r="F99" s="338"/>
    </row>
    <row r="100" spans="1:6" ht="18.75" customHeight="1">
      <c r="A100" s="25"/>
      <c r="B100" s="336"/>
      <c r="C100" s="337"/>
      <c r="D100" s="337"/>
      <c r="E100" s="337"/>
      <c r="F100" s="338"/>
    </row>
    <row r="101" spans="1:6" ht="18.75" customHeight="1">
      <c r="A101" s="25"/>
      <c r="B101" s="336"/>
      <c r="C101" s="337"/>
      <c r="D101" s="337"/>
      <c r="E101" s="337"/>
      <c r="F101" s="338"/>
    </row>
    <row r="102" spans="1:6" ht="18.75" customHeight="1">
      <c r="A102" s="25"/>
      <c r="B102" s="336"/>
      <c r="C102" s="337"/>
      <c r="D102" s="337"/>
      <c r="E102" s="337"/>
      <c r="F102" s="338"/>
    </row>
    <row r="103" spans="1:6" ht="18.75" customHeight="1">
      <c r="A103" s="25"/>
      <c r="B103" s="336"/>
      <c r="C103" s="337"/>
      <c r="D103" s="337"/>
      <c r="E103" s="337"/>
      <c r="F103" s="338"/>
    </row>
    <row r="104" spans="1:6" ht="18.75" customHeight="1">
      <c r="A104" s="25"/>
      <c r="B104" s="336"/>
      <c r="C104" s="337"/>
      <c r="D104" s="337"/>
      <c r="E104" s="337"/>
      <c r="F104" s="338"/>
    </row>
    <row r="105" spans="1:6" ht="18.75" customHeight="1">
      <c r="A105" s="25"/>
      <c r="B105" s="336"/>
      <c r="C105" s="337"/>
      <c r="D105" s="337"/>
      <c r="E105" s="337"/>
      <c r="F105" s="338"/>
    </row>
    <row r="106" spans="1:6" ht="18.75" customHeight="1">
      <c r="A106" s="25"/>
      <c r="B106" s="336"/>
      <c r="C106" s="337"/>
      <c r="D106" s="337"/>
      <c r="E106" s="337"/>
      <c r="F106" s="338"/>
    </row>
    <row r="107" spans="1:6" ht="18.75" customHeight="1">
      <c r="A107" s="25"/>
      <c r="B107" s="336"/>
      <c r="C107" s="337"/>
      <c r="D107" s="337"/>
      <c r="E107" s="337"/>
      <c r="F107" s="338"/>
    </row>
    <row r="108" spans="1:6" ht="18.75" customHeight="1">
      <c r="A108" s="25"/>
      <c r="B108" s="336"/>
      <c r="C108" s="337"/>
      <c r="D108" s="337"/>
      <c r="E108" s="337"/>
      <c r="F108" s="338"/>
    </row>
    <row r="109" spans="1:6" ht="18.75" customHeight="1">
      <c r="A109" s="25"/>
      <c r="B109" s="336"/>
      <c r="C109" s="337"/>
      <c r="D109" s="337"/>
      <c r="E109" s="337"/>
      <c r="F109" s="338"/>
    </row>
    <row r="110" spans="1:6" ht="18.75" customHeight="1">
      <c r="A110" s="25"/>
      <c r="B110" s="336"/>
      <c r="C110" s="337"/>
      <c r="D110" s="337"/>
      <c r="E110" s="337"/>
      <c r="F110" s="338"/>
    </row>
    <row r="111" spans="1:6" ht="18.75" customHeight="1">
      <c r="A111" s="25"/>
      <c r="B111" s="336"/>
      <c r="C111" s="337"/>
      <c r="D111" s="337"/>
      <c r="E111" s="337"/>
      <c r="F111" s="338"/>
    </row>
    <row r="112" spans="1:6" ht="18.75" customHeight="1">
      <c r="A112" s="25"/>
      <c r="B112" s="336"/>
      <c r="C112" s="337"/>
      <c r="D112" s="337"/>
      <c r="E112" s="337"/>
      <c r="F112" s="338"/>
    </row>
    <row r="113" spans="1:6" ht="18.75" customHeight="1">
      <c r="A113" s="25"/>
      <c r="B113" s="336"/>
      <c r="C113" s="337"/>
      <c r="D113" s="337"/>
      <c r="E113" s="337"/>
      <c r="F113" s="338"/>
    </row>
    <row r="114" spans="1:6" ht="18.75" customHeight="1">
      <c r="A114" s="25"/>
      <c r="B114" s="336"/>
      <c r="C114" s="337"/>
      <c r="D114" s="337"/>
      <c r="E114" s="337"/>
      <c r="F114" s="338"/>
    </row>
    <row r="115" spans="1:6" ht="18.75" customHeight="1">
      <c r="A115" s="25"/>
      <c r="B115" s="336"/>
      <c r="C115" s="337"/>
      <c r="D115" s="337"/>
      <c r="E115" s="337"/>
      <c r="F115" s="338"/>
    </row>
    <row r="116" spans="1:6" ht="18.75" customHeight="1">
      <c r="A116" s="25"/>
      <c r="B116" s="336"/>
      <c r="C116" s="337"/>
      <c r="D116" s="337"/>
      <c r="E116" s="337"/>
      <c r="F116" s="338"/>
    </row>
    <row r="117" spans="1:6" ht="18.75" customHeight="1">
      <c r="A117" s="25"/>
      <c r="B117" s="336"/>
      <c r="C117" s="337"/>
      <c r="D117" s="337"/>
      <c r="E117" s="337"/>
      <c r="F117" s="338"/>
    </row>
    <row r="118" spans="1:6" ht="18.75" customHeight="1">
      <c r="A118" s="25"/>
      <c r="B118" s="336"/>
      <c r="C118" s="337"/>
      <c r="D118" s="337"/>
      <c r="E118" s="337"/>
      <c r="F118" s="338"/>
    </row>
    <row r="119" spans="1:6" ht="18.75" customHeight="1">
      <c r="A119" s="25"/>
      <c r="B119" s="336"/>
      <c r="C119" s="337"/>
      <c r="D119" s="337"/>
      <c r="E119" s="337"/>
      <c r="F119" s="338"/>
    </row>
    <row r="120" spans="1:6" ht="18.75" customHeight="1">
      <c r="A120" s="25"/>
      <c r="B120" s="336"/>
      <c r="C120" s="337"/>
      <c r="D120" s="337"/>
      <c r="E120" s="337"/>
      <c r="F120" s="338"/>
    </row>
    <row r="121" spans="1:6" ht="18.75" customHeight="1">
      <c r="A121" s="25"/>
      <c r="B121" s="336"/>
      <c r="C121" s="337"/>
      <c r="D121" s="337"/>
      <c r="E121" s="337"/>
      <c r="F121" s="338"/>
    </row>
    <row r="122" spans="1:6" ht="18.75" customHeight="1">
      <c r="A122" s="25"/>
      <c r="B122" s="336"/>
      <c r="C122" s="337"/>
      <c r="D122" s="337"/>
      <c r="E122" s="337"/>
      <c r="F122" s="338"/>
    </row>
    <row r="123" spans="1:6" ht="18.75" customHeight="1">
      <c r="A123" s="25"/>
      <c r="B123" s="336"/>
      <c r="C123" s="337"/>
      <c r="D123" s="337"/>
      <c r="E123" s="337"/>
      <c r="F123" s="338"/>
    </row>
    <row r="124" spans="1:6" ht="18.75" customHeight="1">
      <c r="A124" s="25"/>
      <c r="B124" s="339"/>
      <c r="C124" s="340"/>
      <c r="D124" s="340"/>
      <c r="E124" s="340"/>
      <c r="F124" s="341"/>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松原　武秀</cp:lastModifiedBy>
  <cp:revision/>
  <dcterms:created xsi:type="dcterms:W3CDTF">2011-06-14T05:32:50Z</dcterms:created>
  <dcterms:modified xsi:type="dcterms:W3CDTF">2022-05-23T07:21:42Z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