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yoshimitu\Desktop\事務局\教務課\数理・データサイエンス・AI教育Program認定制度\リテラシーレベル申請書\申請書類\2022.6.16再提出分\"/>
    </mc:Choice>
  </mc:AlternateContent>
  <bookViews>
    <workbookView xWindow="-120" yWindow="-120" windowWidth="29040" windowHeight="15840"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41" l="1"/>
  <c r="K8" i="41"/>
  <c r="K5" i="41"/>
  <c r="Q12" i="40" l="1"/>
  <c r="Q13" i="40"/>
  <c r="Q14" i="40"/>
  <c r="Q15" i="40"/>
  <c r="O45" i="8" l="1"/>
  <c r="O44" i="8"/>
  <c r="O41" i="8"/>
  <c r="O39" i="8"/>
  <c r="O37" i="8"/>
  <c r="O34" i="8"/>
  <c r="O32" i="8"/>
  <c r="O29" i="8"/>
  <c r="O20" i="8"/>
  <c r="O18" i="8"/>
  <c r="O16" i="8"/>
  <c r="O14" i="8"/>
  <c r="O12" i="8"/>
  <c r="O10" i="8"/>
  <c r="O8" i="8"/>
  <c r="O6" i="8"/>
  <c r="O4" i="8"/>
  <c r="K18" i="42" l="1"/>
  <c r="K16" i="42"/>
  <c r="K15" i="42"/>
  <c r="K9" i="42"/>
  <c r="K8" i="42"/>
  <c r="K7" i="42"/>
  <c r="K113" i="41"/>
  <c r="K91" i="41"/>
  <c r="K69" i="41"/>
  <c r="K46" i="41"/>
  <c r="K31" i="41"/>
  <c r="C4" i="40"/>
  <c r="K14" i="42"/>
  <c r="K13" i="42"/>
  <c r="K11" i="42"/>
  <c r="K10" i="42"/>
  <c r="P30" i="40" l="1"/>
  <c r="O30" i="40"/>
  <c r="N30" i="40"/>
  <c r="M30" i="40"/>
  <c r="L30" i="40"/>
  <c r="K30" i="40"/>
  <c r="J30" i="40"/>
  <c r="I30" i="40"/>
  <c r="H30" i="40"/>
  <c r="G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R15" i="40"/>
  <c r="R14" i="40"/>
  <c r="R13" i="40"/>
  <c r="R12" i="40"/>
  <c r="Q11" i="40"/>
  <c r="R11" i="40" s="1"/>
  <c r="Q10" i="40"/>
  <c r="Q30" i="40" l="1"/>
  <c r="R30" i="40" s="1"/>
  <c r="C28" i="41" s="1"/>
  <c r="R10" i="40"/>
</calcChain>
</file>

<file path=xl/sharedStrings.xml><?xml version="1.0" encoding="utf-8"?>
<sst xmlns="http://schemas.openxmlformats.org/spreadsheetml/2006/main" count="351" uniqueCount="223">
  <si>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</si>
  <si>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</si>
  <si>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</si>
  <si>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</si>
  <si>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</si>
  <si>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</si>
  <si>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</si>
  <si>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</si>
  <si>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</si>
  <si>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</si>
  <si>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</si>
  <si>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</si>
  <si>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</si>
  <si>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</si>
  <si>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</si>
  <si>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</si>
  <si>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</si>
  <si>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</si>
  <si>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</si>
  <si>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</si>
  <si>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</si>
  <si>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</si>
  <si>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</si>
  <si>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</si>
  <si>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</si>
  <si>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</si>
  <si>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</si>
  <si>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</si>
  <si>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</si>
  <si>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</si>
  <si>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</si>
  <si>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</si>
  <si>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</si>
  <si>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</si>
  <si>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</si>
  <si>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</si>
  <si>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</si>
  <si>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</si>
  <si>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</si>
  <si>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</si>
  <si>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</si>
  <si>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</si>
  <si>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</si>
  <si>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</si>
  <si>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５年次</t>
    <rPh sb="1" eb="2">
      <t>ネン</t>
    </rPh>
    <rPh sb="2" eb="3">
      <t>ツギ</t>
    </rPh>
    <phoneticPr fontId="1"/>
  </si>
  <si>
    <t>６年次</t>
    <rPh sb="1" eb="2">
      <t>ネン</t>
    </rPh>
    <rPh sb="2" eb="3">
      <t>ツギ</t>
    </rPh>
    <phoneticPr fontId="1"/>
  </si>
  <si>
    <t>大学等の設置者</t>
  </si>
  <si>
    <t>総数</t>
    <rPh sb="0" eb="2">
      <t>ソウスウ</t>
    </rPh>
    <phoneticPr fontId="1"/>
  </si>
  <si>
    <t>⑧</t>
    <phoneticPr fontId="1"/>
  </si>
  <si>
    <t>履修率</t>
    <rPh sb="0" eb="2">
      <t>リシュウ</t>
    </rPh>
    <rPh sb="2" eb="3">
      <t>リツ</t>
    </rPh>
    <phoneticPr fontId="1"/>
  </si>
  <si>
    <t>合　計</t>
    <phoneticPr fontId="1"/>
  </si>
  <si>
    <t>プログラムの開設年度</t>
    <rPh sb="6" eb="8">
      <t>カイセツ</t>
    </rPh>
    <rPh sb="8" eb="10">
      <t>ネンド</t>
    </rPh>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</si>
  <si>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</si>
  <si>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</si>
  <si>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</si>
  <si>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</si>
  <si>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</si>
  <si>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</si>
  <si>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</si>
  <si>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</si>
  <si>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</si>
  <si>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</si>
  <si>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</si>
  <si>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</si>
  <si>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</si>
  <si>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</si>
  <si>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</si>
  <si>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</si>
  <si>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</si>
  <si>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</si>
  <si>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</si>
  <si>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</si>
  <si>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</si>
  <si>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</si>
  <si>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</si>
  <si>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</si>
  <si>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</si>
  <si>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</si>
  <si>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</si>
  <si>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</si>
  <si>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</si>
  <si>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</si>
  <si>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</si>
  <si>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</si>
  <si>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</si>
  <si>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</si>
  <si>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</si>
  <si>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</si>
  <si>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</si>
  <si>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</si>
  <si>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</si>
  <si>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</si>
  <si>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</si>
  <si>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</si>
  <si>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</si>
  <si>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</si>
  <si>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</si>
  <si>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</si>
  <si>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</si>
  <si>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</si>
  <si>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</si>
  <si>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</si>
  <si>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</si>
  <si>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</si>
  <si>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</si>
  <si>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</si>
  <si>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</si>
  <si>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</si>
  <si>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</si>
  <si>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</si>
  <si>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</si>
  <si>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</si>
  <si>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</si>
  <si>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</si>
  <si>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</si>
  <si>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</si>
  <si>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</si>
  <si>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</si>
  <si>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</si>
  <si>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</si>
  <si>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</si>
  <si>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</si>
  <si>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</si>
  <si>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</si>
  <si>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</si>
  <si>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</si>
  <si>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</si>
  <si>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</si>
  <si>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</si>
  <si>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</si>
  <si>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</si>
  <si>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</si>
  <si>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①</t>
    <phoneticPr fontId="1"/>
  </si>
  <si>
    <t>国際高等専門学校</t>
    <rPh sb="0" eb="2">
      <t>コクサイ</t>
    </rPh>
    <rPh sb="2" eb="4">
      <t>コウトウ</t>
    </rPh>
    <rPh sb="4" eb="6">
      <t>センモン</t>
    </rPh>
    <rPh sb="6" eb="8">
      <t>ガッコウ</t>
    </rPh>
    <phoneticPr fontId="1"/>
  </si>
  <si>
    <t>②</t>
    <phoneticPr fontId="1"/>
  </si>
  <si>
    <t>学校法人金沢工業大学</t>
    <rPh sb="0" eb="2">
      <t>ガッコウ</t>
    </rPh>
    <rPh sb="2" eb="4">
      <t>ホウジン</t>
    </rPh>
    <rPh sb="4" eb="6">
      <t>カナザワ</t>
    </rPh>
    <rPh sb="6" eb="8">
      <t>コウギョウ</t>
    </rPh>
    <rPh sb="8" eb="10">
      <t>ダイガク</t>
    </rPh>
    <phoneticPr fontId="1"/>
  </si>
  <si>
    <t>設置形態</t>
    <phoneticPr fontId="1"/>
  </si>
  <si>
    <t>高等専門学校</t>
  </si>
  <si>
    <t>所在地</t>
    <phoneticPr fontId="1"/>
  </si>
  <si>
    <t>石川県金沢市久安２－２７０</t>
    <rPh sb="0" eb="3">
      <t>イシカワケン</t>
    </rPh>
    <rPh sb="3" eb="6">
      <t>カナザワシ</t>
    </rPh>
    <rPh sb="6" eb="8">
      <t>ヒサヤス</t>
    </rPh>
    <phoneticPr fontId="1"/>
  </si>
  <si>
    <t>⑤</t>
    <phoneticPr fontId="1"/>
  </si>
  <si>
    <t>ICT数理データサイエンス教育プログラム</t>
    <phoneticPr fontId="1"/>
  </si>
  <si>
    <t>⑥</t>
    <phoneticPr fontId="1"/>
  </si>
  <si>
    <t>平成３０</t>
    <rPh sb="0" eb="2">
      <t>ヘイセイ</t>
    </rPh>
    <phoneticPr fontId="1"/>
  </si>
  <si>
    <t>⑦応用基礎レベルの申請の有無</t>
    <phoneticPr fontId="1"/>
  </si>
  <si>
    <t>⑧</t>
    <phoneticPr fontId="1"/>
  </si>
  <si>
    <t>⑨</t>
    <phoneticPr fontId="1"/>
  </si>
  <si>
    <t>⑪</t>
    <phoneticPr fontId="1"/>
  </si>
  <si>
    <t>⑫</t>
    <phoneticPr fontId="1"/>
  </si>
  <si>
    <t>プログラムの運営責任者</t>
    <phoneticPr fontId="1"/>
  </si>
  <si>
    <t>藤澤　武</t>
    <rPh sb="0" eb="2">
      <t>フジサワ</t>
    </rPh>
    <rPh sb="3" eb="4">
      <t>タケシ</t>
    </rPh>
    <phoneticPr fontId="1"/>
  </si>
  <si>
    <t>教務主事</t>
    <rPh sb="0" eb="2">
      <t>キョウム</t>
    </rPh>
    <rPh sb="2" eb="4">
      <t>シュジ</t>
    </rPh>
    <phoneticPr fontId="1"/>
  </si>
  <si>
    <t>⑬</t>
    <phoneticPr fontId="1"/>
  </si>
  <si>
    <t>国際高等専門学校数理データサイエンス教育推進委員会</t>
    <rPh sb="0" eb="2">
      <t>コクサイ</t>
    </rPh>
    <rPh sb="2" eb="4">
      <t>コウトウ</t>
    </rPh>
    <rPh sb="4" eb="6">
      <t>センモン</t>
    </rPh>
    <rPh sb="6" eb="8">
      <t>ガッコウ</t>
    </rPh>
    <rPh sb="8" eb="10">
      <t>スウリ</t>
    </rPh>
    <rPh sb="18" eb="20">
      <t>キョウイク</t>
    </rPh>
    <rPh sb="20" eb="22">
      <t>スイシン</t>
    </rPh>
    <rPh sb="22" eb="25">
      <t>イインカイ</t>
    </rPh>
    <phoneticPr fontId="1"/>
  </si>
  <si>
    <t>同委員長・教務主事</t>
    <rPh sb="0" eb="1">
      <t>ドウ</t>
    </rPh>
    <rPh sb="1" eb="4">
      <t>イインチョウ</t>
    </rPh>
    <rPh sb="5" eb="7">
      <t>キョウム</t>
    </rPh>
    <rPh sb="7" eb="9">
      <t>シュジ</t>
    </rPh>
    <phoneticPr fontId="1"/>
  </si>
  <si>
    <t>⑭</t>
    <phoneticPr fontId="1"/>
  </si>
  <si>
    <t>伊藤　周</t>
    <rPh sb="0" eb="2">
      <t>イトウ</t>
    </rPh>
    <rPh sb="3" eb="4">
      <t>シュウ</t>
    </rPh>
    <phoneticPr fontId="1"/>
  </si>
  <si>
    <t>同委員長・教育点検主事</t>
    <rPh sb="5" eb="7">
      <t>キョウイク</t>
    </rPh>
    <rPh sb="7" eb="9">
      <t>テンケン</t>
    </rPh>
    <rPh sb="9" eb="11">
      <t>シュジ</t>
    </rPh>
    <phoneticPr fontId="1"/>
  </si>
  <si>
    <t>⑮</t>
    <phoneticPr fontId="1"/>
  </si>
  <si>
    <t>事務局学務部教務課</t>
    <rPh sb="0" eb="3">
      <t>ジムキョク</t>
    </rPh>
    <rPh sb="3" eb="6">
      <t>ガクムブ</t>
    </rPh>
    <rPh sb="6" eb="8">
      <t>キョウム</t>
    </rPh>
    <rPh sb="8" eb="9">
      <t>カ</t>
    </rPh>
    <phoneticPr fontId="1"/>
  </si>
  <si>
    <t>宮野純光</t>
    <rPh sb="0" eb="2">
      <t>ミヤノ</t>
    </rPh>
    <rPh sb="2" eb="3">
      <t>ジュン</t>
    </rPh>
    <rPh sb="3" eb="4">
      <t>ヒカリ</t>
    </rPh>
    <phoneticPr fontId="1"/>
  </si>
  <si>
    <t>076-248-1080</t>
    <phoneticPr fontId="1"/>
  </si>
  <si>
    <t>office@ict-kanazawa.ac.jp</t>
    <phoneticPr fontId="1"/>
  </si>
  <si>
    <t>国際理工学科</t>
    <rPh sb="0" eb="2">
      <t>コクサイ</t>
    </rPh>
    <rPh sb="2" eb="4">
      <t>リコウ</t>
    </rPh>
    <rPh sb="4" eb="6">
      <t>ガッカ</t>
    </rPh>
    <phoneticPr fontId="1"/>
  </si>
  <si>
    <t>国際理工学科・電気電子コース</t>
    <rPh sb="0" eb="2">
      <t>コクサイ</t>
    </rPh>
    <rPh sb="2" eb="4">
      <t>リコウ</t>
    </rPh>
    <rPh sb="4" eb="6">
      <t>ガッカ</t>
    </rPh>
    <rPh sb="7" eb="11">
      <t>デンキデンシ</t>
    </rPh>
    <phoneticPr fontId="1"/>
  </si>
  <si>
    <t>国際理工学科・機械工学コース</t>
    <rPh sb="0" eb="2">
      <t>コクサイ</t>
    </rPh>
    <rPh sb="2" eb="4">
      <t>リコウ</t>
    </rPh>
    <rPh sb="4" eb="6">
      <t>ガッカ</t>
    </rPh>
    <rPh sb="7" eb="9">
      <t>キカイ</t>
    </rPh>
    <rPh sb="9" eb="11">
      <t>コウガク</t>
    </rPh>
    <phoneticPr fontId="1"/>
  </si>
  <si>
    <t>国際理工学科・情報フロンティアコース</t>
    <rPh sb="0" eb="2">
      <t>コクサイ</t>
    </rPh>
    <rPh sb="2" eb="4">
      <t>リコウ</t>
    </rPh>
    <rPh sb="4" eb="6">
      <t>ガッカ</t>
    </rPh>
    <rPh sb="7" eb="9">
      <t>ジョウホウ</t>
    </rPh>
    <phoneticPr fontId="1"/>
  </si>
  <si>
    <t>国際理工学科・応用化学コース</t>
    <rPh sb="0" eb="2">
      <t>コクサイ</t>
    </rPh>
    <rPh sb="2" eb="4">
      <t>リコウ</t>
    </rPh>
    <rPh sb="4" eb="6">
      <t>ガッカ</t>
    </rPh>
    <rPh sb="7" eb="9">
      <t>オウヨウ</t>
    </rPh>
    <rPh sb="9" eb="11">
      <t>カガク</t>
    </rPh>
    <phoneticPr fontId="1"/>
  </si>
  <si>
    <t>（内訳）</t>
    <rPh sb="1" eb="3">
      <t>ウチワケ</t>
    </rPh>
    <phoneticPr fontId="1"/>
  </si>
  <si>
    <t>無</t>
  </si>
  <si>
    <t>【委員長】　藤澤  武　（教務主事・教授）
【委員】　 松下　臣仁（国際理工学科長・教授）
　　　　　　木原　均　（数学教科主任・一般科目教授）
　　　　　　藤島　悟志（教授）
　　　　　　宮野　純光（事務局学務部長・教務課長）</t>
    <rPh sb="1" eb="4">
      <t>イインチョウ</t>
    </rPh>
    <rPh sb="13" eb="17">
      <t>キョウムシュジ</t>
    </rPh>
    <rPh sb="18" eb="20">
      <t>キョウジュ</t>
    </rPh>
    <rPh sb="24" eb="26">
      <t>イイン</t>
    </rPh>
    <rPh sb="39" eb="42">
      <t>ガッカチョウ</t>
    </rPh>
    <rPh sb="43" eb="45">
      <t>キョウジュ</t>
    </rPh>
    <rPh sb="53" eb="55">
      <t>キハラ</t>
    </rPh>
    <rPh sb="56" eb="57">
      <t>ヒトシ</t>
    </rPh>
    <rPh sb="59" eb="61">
      <t>スウガク</t>
    </rPh>
    <rPh sb="61" eb="63">
      <t>キョウカ</t>
    </rPh>
    <rPh sb="63" eb="65">
      <t>シュニン</t>
    </rPh>
    <rPh sb="66" eb="68">
      <t>イッパン</t>
    </rPh>
    <rPh sb="68" eb="70">
      <t>カモク</t>
    </rPh>
    <rPh sb="70" eb="72">
      <t>キョウジュ</t>
    </rPh>
    <rPh sb="80" eb="82">
      <t>フジシマ</t>
    </rPh>
    <rPh sb="83" eb="85">
      <t>サトシ</t>
    </rPh>
    <rPh sb="96" eb="98">
      <t>ミヤノ</t>
    </rPh>
    <rPh sb="99" eb="100">
      <t>ジュン</t>
    </rPh>
    <rPh sb="100" eb="101">
      <t>ヒカリ</t>
    </rPh>
    <rPh sb="102" eb="105">
      <t>ジムキョク</t>
    </rPh>
    <rPh sb="105" eb="109">
      <t>ガクムブチョウ</t>
    </rPh>
    <rPh sb="110" eb="112">
      <t>キョウム</t>
    </rPh>
    <rPh sb="112" eb="114">
      <t>カチョウ</t>
    </rPh>
    <phoneticPr fontId="1"/>
  </si>
  <si>
    <t>　本プログラムは、数理データサイエンス・AIのリテラシーレベルの知識やスキルを全学生が体系的に修得すること、そして、将来、情報分野への進路を選択する学生に対しては数理・データサイエンス・AIに関するリテラシーレベルの知識を土台に学生が将来活躍する領域で数理・データサイエンス・AIの知識を応用し実践する力を身に付けることを目的とした教育プログラムである。本委員会は、この教育プログラムについての内容改善をおこない高い教育効果を実現することを目的としている。</t>
    <rPh sb="1" eb="2">
      <t>ホン</t>
    </rPh>
    <phoneticPr fontId="1"/>
  </si>
  <si>
    <t>国際高等専門学校自己点検評価委員会</t>
    <phoneticPr fontId="1"/>
  </si>
  <si>
    <t>※　コース分けは4・5年次のみ、コース定員は設けていない、令和３年の在籍学生は１～４年次</t>
    <rPh sb="5" eb="6">
      <t>ワケ</t>
    </rPh>
    <rPh sb="11" eb="13">
      <t>ネンジ</t>
    </rPh>
    <rPh sb="19" eb="21">
      <t>テイイン</t>
    </rPh>
    <rPh sb="22" eb="23">
      <t>モウ</t>
    </rPh>
    <rPh sb="29" eb="31">
      <t>レイワ</t>
    </rPh>
    <rPh sb="32" eb="33">
      <t>ネン</t>
    </rPh>
    <rPh sb="34" eb="36">
      <t>ザイセキ</t>
    </rPh>
    <rPh sb="36" eb="38">
      <t>ガクセイ</t>
    </rPh>
    <rPh sb="42" eb="44">
      <t>ネンジ</t>
    </rPh>
    <phoneticPr fontId="1"/>
  </si>
  <si>
    <t xml:space="preserve"> 本プログラムは本校の該当カリキュラムで平成３０年度から開始されており、プログラム修了者の卒業・進学は５年後の令和５年となるため、現段階では評価できていない。ただし、本校ではこれまで、本校卒業生と本校卒業生を採用した企業に対して５年に１度の頻度でアンケート調査を実施して、本校の教育成果と問題点を企業からの意見を基に確認している。次回の調査では本プログラムの成果に関する項目を盛り込んで実施することを予定している。</t>
    <rPh sb="1" eb="2">
      <t>ホn</t>
    </rPh>
    <rPh sb="8" eb="10">
      <t>ホンコウ</t>
    </rPh>
    <rPh sb="11" eb="13">
      <t>ガイトウ</t>
    </rPh>
    <rPh sb="20" eb="22">
      <t>ヘイセイ</t>
    </rPh>
    <rPh sb="28" eb="30">
      <t>カイセィ</t>
    </rPh>
    <rPh sb="45" eb="47">
      <t>ソツギョウ</t>
    </rPh>
    <rPh sb="48" eb="50">
      <t>シンガク</t>
    </rPh>
    <rPh sb="65" eb="68">
      <t>ゲンダn</t>
    </rPh>
    <rPh sb="70" eb="72">
      <t>ヒョウカ</t>
    </rPh>
    <rPh sb="92" eb="97">
      <t>ホンコウ</t>
    </rPh>
    <rPh sb="98" eb="103">
      <t>ホンコウ</t>
    </rPh>
    <rPh sb="104" eb="106">
      <t>サイヨウ</t>
    </rPh>
    <rPh sb="131" eb="133">
      <t>ジッセィ</t>
    </rPh>
    <rPh sb="136" eb="138">
      <t>ホンコウ</t>
    </rPh>
    <rPh sb="139" eb="143">
      <t>キョウイク</t>
    </rPh>
    <rPh sb="144" eb="147">
      <t>モンダイ</t>
    </rPh>
    <rPh sb="156" eb="157">
      <t>キギョウ</t>
    </rPh>
    <rPh sb="165" eb="167">
      <t>ジカイ</t>
    </rPh>
    <rPh sb="172" eb="173">
      <t>ホンプ</t>
    </rPh>
    <rPh sb="188" eb="189">
      <t>モリコンデ</t>
    </rPh>
    <rPh sb="200" eb="202">
      <t>ヨテイ</t>
    </rPh>
    <phoneticPr fontId="1"/>
  </si>
  <si>
    <t>　本プログラムでは、構成する全ての科目を必修科目（卒業要件）としているため、在校生の履修者は100％となる。
　現在、国際理工学科開設以来、定員充足を満たせていないため、令和５年度以降は毎年45名の入学定員の充足をめざすことにより、履修者数・履修率の向上を図りたい。</t>
    <rPh sb="56" eb="58">
      <t>ゲンザイ</t>
    </rPh>
    <rPh sb="59" eb="61">
      <t>コクサイ</t>
    </rPh>
    <rPh sb="61" eb="63">
      <t>リコウ</t>
    </rPh>
    <rPh sb="63" eb="65">
      <t>ガッカ</t>
    </rPh>
    <rPh sb="65" eb="67">
      <t>カイセツ</t>
    </rPh>
    <rPh sb="67" eb="69">
      <t>イライ</t>
    </rPh>
    <rPh sb="70" eb="72">
      <t>テイイン</t>
    </rPh>
    <rPh sb="72" eb="74">
      <t>ジュウソク</t>
    </rPh>
    <rPh sb="75" eb="76">
      <t>ミ</t>
    </rPh>
    <phoneticPr fontId="1"/>
  </si>
  <si>
    <t>　本校卒業生と本校卒業生を採用した企業に対して５年に１度の頻度でアンケート調査を実施して、本校の教育成果と問題点を企業からの意見を基に確認している。次回の調査では本プログラムの教育内容・手法等に関する項目を盛り込んで実施し、改善に活かすことを予定している。</t>
    <rPh sb="88" eb="90">
      <t>キョウイク</t>
    </rPh>
    <rPh sb="90" eb="92">
      <t>ナイヨウ</t>
    </rPh>
    <rPh sb="93" eb="95">
      <t>シュホウ</t>
    </rPh>
    <rPh sb="95" eb="96">
      <t>トウ</t>
    </rPh>
    <rPh sb="112" eb="114">
      <t>カイゼン</t>
    </rPh>
    <rPh sb="115" eb="116">
      <t>イ</t>
    </rPh>
    <phoneticPr fontId="1"/>
  </si>
  <si>
    <t>　学生に「学ぶ楽しさ」「学ぶことの意義」を伝えるために、受講開始時に本プログラムの全体像と各科目間の関連を明確に認識させている。また、アクティブラーニングの導入、発表会等を行うことで主体的に学習し、達成感が得られるようにしている。また、AIを学ぶ授業と、それを実際に活用し、地域の課題解決に役立てる実践型の授業を組み合わせることで、学生の知識をスキルとして定着させる構成にしている。確率・統計などにおいても実際の事象をもとに説明し、計算することで実社会への関連を意識づけている。</t>
    <rPh sb="1" eb="3">
      <t>ガクセイ</t>
    </rPh>
    <rPh sb="5" eb="6">
      <t>マナブ</t>
    </rPh>
    <rPh sb="7" eb="8">
      <t>タノセィ</t>
    </rPh>
    <rPh sb="12" eb="13">
      <t>マナブ</t>
    </rPh>
    <rPh sb="17" eb="19">
      <t>イギ</t>
    </rPh>
    <rPh sb="21" eb="22">
      <t>ツタエ</t>
    </rPh>
    <rPh sb="28" eb="33">
      <t>ジュコウ</t>
    </rPh>
    <rPh sb="34" eb="35">
      <t>ポンプログル</t>
    </rPh>
    <rPh sb="41" eb="44">
      <t>ゼンタイゾウト</t>
    </rPh>
    <rPh sb="45" eb="49">
      <t>カクカモク</t>
    </rPh>
    <rPh sb="53" eb="55">
      <t xml:space="preserve">メイカクニ </t>
    </rPh>
    <rPh sb="78" eb="80">
      <t>ドウニュウ</t>
    </rPh>
    <rPh sb="81" eb="85">
      <t>ハッピョウ</t>
    </rPh>
    <rPh sb="86" eb="87">
      <t>オコナウ</t>
    </rPh>
    <rPh sb="91" eb="94">
      <t>シュタイ</t>
    </rPh>
    <rPh sb="99" eb="102">
      <t>タッセイ</t>
    </rPh>
    <rPh sb="121" eb="122">
      <t>マナブ</t>
    </rPh>
    <rPh sb="123" eb="125">
      <t>ジュギョウ</t>
    </rPh>
    <rPh sb="130" eb="132">
      <t>ジッサイ</t>
    </rPh>
    <rPh sb="137" eb="139">
      <t>チイキ</t>
    </rPh>
    <rPh sb="149" eb="152">
      <t>ジッセンガ</t>
    </rPh>
    <rPh sb="166" eb="168">
      <t>ガクセイ</t>
    </rPh>
    <rPh sb="169" eb="171">
      <t>チシキ</t>
    </rPh>
    <rPh sb="183" eb="185">
      <t>コウセイ</t>
    </rPh>
    <rPh sb="191" eb="193">
      <t>カクリテゥ</t>
    </rPh>
    <rPh sb="194" eb="196">
      <t>トウケイ</t>
    </rPh>
    <rPh sb="203" eb="205">
      <t>ジッサイ</t>
    </rPh>
    <rPh sb="212" eb="214">
      <t>セツメイ</t>
    </rPh>
    <rPh sb="216" eb="218">
      <t>ケイサンスル</t>
    </rPh>
    <rPh sb="223" eb="226">
      <t>ジッセィア</t>
    </rPh>
    <rPh sb="231" eb="233">
      <t>イシキ</t>
    </rPh>
    <phoneticPr fontId="1"/>
  </si>
  <si>
    <t>　本プログラムの構成科目は、本校の必修科目であり、令和３年度の関係８科目の履修者は在校生に対して100％となる。科目単位の修得状況は教務委員会において確認し、数理データサイエンス教育推進委員会に共有ができる。
　プログラムを構成する科目の令和３年度の合格率は以下の通りである。
　　・基礎数学B　100％
　　・コンピュータスキルズⅠA　100％
　　・コンピュータスキルズⅡB　100％
　　・エンジニアリングデザインⅡA　100％
　　・エンジニアリングデザインⅡB　100％
　　・エンジニアリングコンテクストⅠA　100％
　　・エンジニアリングコンテクストⅡA　100％
　　・AI基礎　88％　不合格者１名
　各科目で不合格となった学生に対しては、補習を受けることで単位修得するよう指導している。</t>
    <rPh sb="1" eb="2">
      <t>ホン</t>
    </rPh>
    <rPh sb="8" eb="10">
      <t>コウセイ</t>
    </rPh>
    <rPh sb="10" eb="12">
      <t>カモク</t>
    </rPh>
    <rPh sb="14" eb="16">
      <t>ホンコウ</t>
    </rPh>
    <rPh sb="25" eb="27">
      <t>レイワ</t>
    </rPh>
    <rPh sb="28" eb="30">
      <t>ネンド</t>
    </rPh>
    <rPh sb="31" eb="33">
      <t>カンケイ</t>
    </rPh>
    <rPh sb="34" eb="36">
      <t>カモク</t>
    </rPh>
    <rPh sb="37" eb="39">
      <t>リシュウ</t>
    </rPh>
    <rPh sb="39" eb="40">
      <t>シャ</t>
    </rPh>
    <rPh sb="41" eb="44">
      <t>ザイコウセイ</t>
    </rPh>
    <rPh sb="45" eb="46">
      <t>タイ</t>
    </rPh>
    <rPh sb="56" eb="58">
      <t>カモク</t>
    </rPh>
    <rPh sb="58" eb="60">
      <t>タンイ</t>
    </rPh>
    <rPh sb="61" eb="65">
      <t>シュウトク</t>
    </rPh>
    <rPh sb="66" eb="71">
      <t>キョウ</t>
    </rPh>
    <rPh sb="75" eb="77">
      <t>カクニn</t>
    </rPh>
    <rPh sb="97" eb="99">
      <t>キョウユウ</t>
    </rPh>
    <rPh sb="112" eb="114">
      <t>コウセイ</t>
    </rPh>
    <rPh sb="119" eb="121">
      <t>レイワ</t>
    </rPh>
    <rPh sb="122" eb="124">
      <t>ネンド</t>
    </rPh>
    <rPh sb="125" eb="128">
      <t>ゴウカクリツ</t>
    </rPh>
    <rPh sb="129" eb="131">
      <t>イカ</t>
    </rPh>
    <rPh sb="132" eb="133">
      <t>トオ</t>
    </rPh>
    <rPh sb="142" eb="144">
      <t>キソ</t>
    </rPh>
    <rPh sb="144" eb="146">
      <t>スウガク</t>
    </rPh>
    <rPh sb="296" eb="298">
      <t>キソ</t>
    </rPh>
    <rPh sb="303" eb="306">
      <t>フゴウカク</t>
    </rPh>
    <rPh sb="306" eb="307">
      <t>シャ</t>
    </rPh>
    <rPh sb="308" eb="309">
      <t>メイ</t>
    </rPh>
    <rPh sb="311" eb="314">
      <t>カクカモク</t>
    </rPh>
    <rPh sb="315" eb="318">
      <t>フゴウカク</t>
    </rPh>
    <rPh sb="322" eb="324">
      <t>ガクセイ</t>
    </rPh>
    <rPh sb="330" eb="332">
      <t>ホシュウ</t>
    </rPh>
    <rPh sb="333" eb="334">
      <t>ウケ</t>
    </rPh>
    <rPh sb="339" eb="343">
      <t>タンイ</t>
    </rPh>
    <rPh sb="347" eb="349">
      <t>シドウ</t>
    </rPh>
    <phoneticPr fontId="1"/>
  </si>
  <si>
    <t>学部・学科によって、修了要件は相違しない</t>
  </si>
  <si>
    <t>エンジニアリングデザインⅡA</t>
    <phoneticPr fontId="1"/>
  </si>
  <si>
    <t>○</t>
  </si>
  <si>
    <t>全学開講</t>
  </si>
  <si>
    <t>エンジニアリングコンテクストⅡA</t>
    <phoneticPr fontId="1"/>
  </si>
  <si>
    <t>AI基礎</t>
    <rPh sb="2" eb="4">
      <t>キソ</t>
    </rPh>
    <phoneticPr fontId="1"/>
  </si>
  <si>
    <t>4-1統計および数理基礎</t>
  </si>
  <si>
    <t>4‐3データ構造とプログラミング基礎</t>
  </si>
  <si>
    <r>
      <rPr>
        <sz val="12"/>
        <color theme="1"/>
        <rFont val="ＭＳ Ｐゴシック (本文)"/>
        <charset val="128"/>
      </rPr>
      <t>AI最新技術の活用例</t>
    </r>
    <r>
      <rPr>
        <sz val="12"/>
        <color theme="1"/>
        <rFont val="ＭＳ Ｐゴシック"/>
        <family val="2"/>
        <charset val="128"/>
        <scheme val="minor"/>
      </rPr>
      <t>「エンジニアリングコンテクストⅡA」（1回目）</t>
    </r>
    <rPh sb="0" eb="2">
      <t>サイシｎカイメ</t>
    </rPh>
    <phoneticPr fontId="1"/>
  </si>
  <si>
    <r>
      <rPr>
        <sz val="12"/>
        <color theme="1"/>
        <rFont val="ＭＳ Ｐゴシック (本文)"/>
        <charset val="128"/>
      </rPr>
      <t>非構造データ処理</t>
    </r>
    <r>
      <rPr>
        <sz val="12"/>
        <color theme="1"/>
        <rFont val="ＭＳ Ｐゴシック"/>
        <family val="2"/>
        <charset val="128"/>
        <scheme val="minor"/>
      </rPr>
      <t>「エンジニアリングコンテクストⅡA」（5回目）</t>
    </r>
    <rPh sb="0" eb="1">
      <t>ヒ</t>
    </rPh>
    <rPh sb="1" eb="3">
      <t>コウゾウ</t>
    </rPh>
    <rPh sb="6" eb="8">
      <t>ショリ</t>
    </rPh>
    <rPh sb="28" eb="30">
      <t>カイメ</t>
    </rPh>
    <phoneticPr fontId="1"/>
  </si>
  <si>
    <r>
      <rPr>
        <sz val="12"/>
        <color theme="1"/>
        <rFont val="ＭＳ Ｐゴシック (本文)"/>
        <charset val="128"/>
      </rPr>
      <t>データ・AI活用事例紹介</t>
    </r>
    <r>
      <rPr>
        <sz val="12"/>
        <color theme="1"/>
        <rFont val="ＭＳ Ｐゴシック"/>
        <family val="2"/>
        <charset val="128"/>
        <scheme val="minor"/>
      </rPr>
      <t>「エンジニアリングデザインⅡA」（</t>
    </r>
    <r>
      <rPr>
        <sz val="12"/>
        <color theme="1"/>
        <rFont val="ＭＳ Ｐゴシック (本文)"/>
        <family val="3"/>
        <charset val="128"/>
      </rPr>
      <t>1</t>
    </r>
    <r>
      <rPr>
        <sz val="12"/>
        <color theme="1"/>
        <rFont val="ＭＳ Ｐゴシック"/>
        <family val="2"/>
        <charset val="128"/>
        <scheme val="minor"/>
      </rPr>
      <t>回目）</t>
    </r>
    <rPh sb="0" eb="33">
      <t>カツヨウジレイカイメ</t>
    </rPh>
    <phoneticPr fontId="1"/>
  </si>
  <si>
    <r>
      <t>データ表現「コンピュータスキルズIA」（4～6回目）
データ表現、データ比較</t>
    </r>
    <r>
      <rPr>
        <sz val="12"/>
        <color theme="1"/>
        <rFont val="ＭＳ Ｐゴシック"/>
        <family val="2"/>
        <charset val="128"/>
        <scheme val="minor"/>
      </rPr>
      <t>「エンジニアリングデザインⅡB」（27〜</t>
    </r>
    <r>
      <rPr>
        <sz val="12"/>
        <color theme="1"/>
        <rFont val="ＭＳ Ｐゴシック"/>
        <family val="3"/>
        <charset val="128"/>
        <scheme val="minor"/>
      </rPr>
      <t>28</t>
    </r>
    <r>
      <rPr>
        <sz val="12"/>
        <color theme="1"/>
        <rFont val="ＭＳ Ｐゴシック"/>
        <family val="2"/>
        <charset val="128"/>
        <scheme val="minor"/>
      </rPr>
      <t>回目）</t>
    </r>
    <rPh sb="0" eb="2">
      <t>ヨウゲンカイメショウトツカイヒドウサカイメ</t>
    </rPh>
    <phoneticPr fontId="1"/>
  </si>
  <si>
    <r>
      <t>データの集計、データ解析ツール「コンピュータスキルズIA」（4～6回目）
データ集計、解析ツール</t>
    </r>
    <r>
      <rPr>
        <sz val="12"/>
        <color theme="1"/>
        <rFont val="ＭＳ Ｐゴシック"/>
        <family val="2"/>
        <charset val="128"/>
        <scheme val="minor"/>
      </rPr>
      <t>「エンジニアリングデザインⅡB」（27〜</t>
    </r>
    <r>
      <rPr>
        <sz val="12"/>
        <color theme="1"/>
        <rFont val="ＭＳ Ｐゴシック"/>
        <family val="3"/>
        <charset val="128"/>
        <scheme val="minor"/>
      </rPr>
      <t>28</t>
    </r>
    <r>
      <rPr>
        <sz val="12"/>
        <color theme="1"/>
        <rFont val="ＭＳ Ｐゴシック"/>
        <family val="2"/>
        <charset val="128"/>
        <scheme val="minor"/>
      </rPr>
      <t>回目）</t>
    </r>
    <rPh sb="0" eb="2">
      <t>カイセキショウトツカイヒドウサカイメ</t>
    </rPh>
    <phoneticPr fontId="1"/>
  </si>
  <si>
    <t>このプログラムでは、数理・AI・データサイエンスの知識と技術を身に付ける。そして問題解決型のプロジェクトを実践することでAI・データサイエンスの社会実装力を涵養するとともに、加えて社会問題の解決に必要なプロジェクト企画、ユーザリサーチ、アイデア創出のアプローチを学ぶ。
これら幅広い知識・技術を身に付けることでより深い洞察力で真の社会問題を発見し解決策を提案できる能力を養う。</t>
    <phoneticPr fontId="1"/>
  </si>
  <si>
    <t>様式２－１</t>
    <phoneticPr fontId="1"/>
  </si>
  <si>
    <t>認定教育プログラム</t>
  </si>
  <si>
    <r>
      <rPr>
        <sz val="12"/>
        <color theme="1"/>
        <rFont val="ＭＳ Ｐゴシック (本文)"/>
        <charset val="128"/>
      </rPr>
      <t>パスワード、悪意ある情報搾取</t>
    </r>
    <r>
      <rPr>
        <sz val="12"/>
        <color theme="1"/>
        <rFont val="ＭＳ Ｐゴシック"/>
        <family val="2"/>
        <charset val="128"/>
        <scheme val="minor"/>
      </rPr>
      <t>「エンジニアリングコンテクストIA」（2,3回目）</t>
    </r>
    <rPh sb="0" eb="2">
      <t>アクイ</t>
    </rPh>
    <phoneticPr fontId="1"/>
  </si>
  <si>
    <r>
      <rPr>
        <sz val="12"/>
        <color theme="1"/>
        <rFont val="ＭＳ Ｐゴシック (本文)"/>
        <charset val="128"/>
      </rPr>
      <t>データ倫理</t>
    </r>
    <r>
      <rPr>
        <sz val="12"/>
        <color theme="1"/>
        <rFont val="ＭＳ Ｐゴシック"/>
        <family val="2"/>
        <charset val="128"/>
        <scheme val="minor"/>
      </rPr>
      <t xml:space="preserve">「エンジニアリングコンテクストIA」（2,3回目）
</t>
    </r>
    <r>
      <rPr>
        <sz val="12"/>
        <color theme="1"/>
        <rFont val="ＭＳ Ｐゴシック"/>
        <family val="3"/>
        <charset val="128"/>
        <scheme val="minor"/>
      </rPr>
      <t>ELSI「AI基礎」（3回目）</t>
    </r>
    <rPh sb="0" eb="2">
      <t>リンリ</t>
    </rPh>
    <rPh sb="38" eb="40">
      <t>キソ</t>
    </rPh>
    <rPh sb="43" eb="45">
      <t>カイメ</t>
    </rPh>
    <phoneticPr fontId="1"/>
  </si>
  <si>
    <r>
      <rPr>
        <sz val="12"/>
        <color theme="1"/>
        <rFont val="ＭＳ Ｐゴシック (本文)"/>
        <charset val="128"/>
      </rPr>
      <t>構造化データ、非構造化データ、データ作成</t>
    </r>
    <r>
      <rPr>
        <sz val="12"/>
        <color theme="1"/>
        <rFont val="ＭＳ Ｐゴシック"/>
        <family val="2"/>
        <charset val="128"/>
        <scheme val="minor"/>
      </rPr>
      <t xml:space="preserve">「エンジニアリングデザインⅡA」（2～6回目）
</t>
    </r>
    <r>
      <rPr>
        <sz val="12"/>
        <color theme="1"/>
        <rFont val="ＭＳ Ｐゴシック"/>
        <family val="3"/>
        <charset val="128"/>
        <scheme val="minor"/>
      </rPr>
      <t>非構造化データ「AI基礎」（6,7回目)</t>
    </r>
    <rPh sb="0" eb="3">
      <t>、、モク</t>
    </rPh>
    <rPh sb="40" eb="41">
      <t>カイ</t>
    </rPh>
    <rPh sb="44" eb="48">
      <t>ヒコウゾウカ</t>
    </rPh>
    <rPh sb="54" eb="56">
      <t>キソ</t>
    </rPh>
    <rPh sb="61" eb="63">
      <t>カイメ</t>
    </rPh>
    <phoneticPr fontId="1"/>
  </si>
  <si>
    <r>
      <rPr>
        <sz val="12"/>
        <color theme="1"/>
        <rFont val="ＭＳ Ｐゴシック (本文)"/>
        <charset val="128"/>
      </rPr>
      <t>データ・AI活用領域の広がり</t>
    </r>
    <r>
      <rPr>
        <sz val="12"/>
        <color theme="1"/>
        <rFont val="ＭＳ Ｐゴシック"/>
        <family val="2"/>
        <charset val="128"/>
        <scheme val="minor"/>
      </rPr>
      <t>「エンジニアリングコンテクストⅡA」（5～8回目）</t>
    </r>
    <rPh sb="0" eb="4">
      <t>カツヨウリョウイキ</t>
    </rPh>
    <phoneticPr fontId="1"/>
  </si>
  <si>
    <t>プログラムの履修者数等の実績について</t>
    <phoneticPr fontId="1"/>
  </si>
  <si>
    <r>
      <rPr>
        <sz val="12"/>
        <color theme="1"/>
        <rFont val="ＭＳ Ｐゴシック (本文)"/>
        <family val="3"/>
        <charset val="128"/>
      </rPr>
      <t>IoT, AI、ロボット</t>
    </r>
    <r>
      <rPr>
        <sz val="12"/>
        <color theme="1"/>
        <rFont val="ＭＳ Ｐゴシック"/>
        <family val="2"/>
        <charset val="128"/>
        <scheme val="minor"/>
      </rPr>
      <t>「エンジニアリングデザインⅡA」（1回目）</t>
    </r>
    <phoneticPr fontId="1"/>
  </si>
  <si>
    <r>
      <rPr>
        <sz val="12"/>
        <color theme="1"/>
        <rFont val="ＭＳ Ｐゴシック (本文)"/>
        <charset val="128"/>
      </rPr>
      <t>データの分布、データのばらつき「コンピュータスキルズIA」（4～6回目）
データの種類</t>
    </r>
    <r>
      <rPr>
        <sz val="12"/>
        <color theme="1"/>
        <rFont val="ＭＳ Ｐゴシック"/>
        <family val="2"/>
        <charset val="128"/>
        <scheme val="minor"/>
      </rPr>
      <t>「エンジニアリングデザインⅡB」（</t>
    </r>
    <r>
      <rPr>
        <sz val="12"/>
        <color theme="1"/>
        <rFont val="ＭＳ Ｐゴシック"/>
        <family val="3"/>
        <charset val="128"/>
        <scheme val="minor"/>
      </rPr>
      <t>１３～２４</t>
    </r>
    <r>
      <rPr>
        <sz val="12"/>
        <color theme="1"/>
        <rFont val="ＭＳ Ｐゴシック"/>
        <family val="2"/>
        <charset val="128"/>
        <scheme val="minor"/>
      </rPr>
      <t xml:space="preserve">回目）
</t>
    </r>
    <r>
      <rPr>
        <sz val="12"/>
        <color theme="1"/>
        <rFont val="ＭＳ Ｐゴシック (本文)"/>
        <charset val="128"/>
      </rPr>
      <t>観測データに含まれる誤差の扱い</t>
    </r>
    <r>
      <rPr>
        <sz val="12"/>
        <color theme="1"/>
        <rFont val="ＭＳ Ｐゴシック"/>
        <family val="2"/>
        <charset val="128"/>
        <scheme val="minor"/>
      </rPr>
      <t>「エンジニアリングコンテクストⅡA」（13～15回目）</t>
    </r>
    <rPh sb="0" eb="2">
      <t>ブンプノシュリ</t>
    </rPh>
    <phoneticPr fontId="1"/>
  </si>
  <si>
    <t>国際高等専門学校数理データサイエンス教育推進委員会規程</t>
    <rPh sb="0" eb="2">
      <t>コクサイ</t>
    </rPh>
    <rPh sb="2" eb="4">
      <t>コウトウ</t>
    </rPh>
    <rPh sb="4" eb="6">
      <t>センモン</t>
    </rPh>
    <rPh sb="6" eb="8">
      <t>ガッコウ</t>
    </rPh>
    <rPh sb="8" eb="10">
      <t>スウリ</t>
    </rPh>
    <rPh sb="18" eb="20">
      <t>キョウイク</t>
    </rPh>
    <rPh sb="20" eb="22">
      <t>スイシン</t>
    </rPh>
    <rPh sb="22" eb="25">
      <t>イインカイ</t>
    </rPh>
    <rPh sb="25" eb="27">
      <t>キテイ</t>
    </rPh>
    <phoneticPr fontId="1"/>
  </si>
  <si>
    <t>　本校では、全ての学生がリテラシーレベルの数理・データサイエンス・ＡＩ技術を習得する事を目標としている。したがって、平成30年度から開講している本プログラムのリテラシーレベルでは、構成する全ての科目を必修科目（卒業要件）としているため、在校生の履修は100％となる。
　平成30年及び令和元年入学定員は90名、以降は45名となるため、収容定員は令和４年度は315名、令和５年度は270名、令和６年度以降が225名と推移していく。これを元に令和４年度は入学生17名の入学者へのプログラムの履修を行い、令和５年度以降は毎年45名の入学定員の充足をめざすことにより、各年度の予定数値に近づけ、履修者数・履修率の向上を図りたい。</t>
    <rPh sb="1" eb="3">
      <t>ホンコウ</t>
    </rPh>
    <rPh sb="118" eb="121">
      <t>ザイコウセイ</t>
    </rPh>
    <rPh sb="135" eb="137">
      <t>ヘイセイ</t>
    </rPh>
    <rPh sb="139" eb="140">
      <t>ネン</t>
    </rPh>
    <rPh sb="140" eb="141">
      <t>オヨ</t>
    </rPh>
    <rPh sb="142" eb="144">
      <t>レイワ</t>
    </rPh>
    <rPh sb="144" eb="146">
      <t>ガンネン</t>
    </rPh>
    <rPh sb="146" eb="148">
      <t>ニュウガク</t>
    </rPh>
    <rPh sb="148" eb="150">
      <t>テイイン</t>
    </rPh>
    <rPh sb="153" eb="154">
      <t>メイ</t>
    </rPh>
    <rPh sb="155" eb="157">
      <t>イコウ</t>
    </rPh>
    <rPh sb="160" eb="161">
      <t>メイ</t>
    </rPh>
    <rPh sb="167" eb="169">
      <t>シュウヨウ</t>
    </rPh>
    <rPh sb="169" eb="171">
      <t>テイイン</t>
    </rPh>
    <rPh sb="172" eb="174">
      <t>レイワ</t>
    </rPh>
    <rPh sb="175" eb="176">
      <t>ネン</t>
    </rPh>
    <rPh sb="176" eb="177">
      <t>ド</t>
    </rPh>
    <rPh sb="181" eb="182">
      <t>メイ</t>
    </rPh>
    <rPh sb="183" eb="185">
      <t>レイワ</t>
    </rPh>
    <rPh sb="186" eb="187">
      <t>ネン</t>
    </rPh>
    <rPh sb="187" eb="188">
      <t>ド</t>
    </rPh>
    <rPh sb="192" eb="193">
      <t>メイ</t>
    </rPh>
    <rPh sb="194" eb="196">
      <t>レイワ</t>
    </rPh>
    <rPh sb="197" eb="199">
      <t>ネンド</t>
    </rPh>
    <rPh sb="199" eb="201">
      <t>イコウ</t>
    </rPh>
    <rPh sb="205" eb="206">
      <t>メイ</t>
    </rPh>
    <rPh sb="207" eb="209">
      <t>スイイ</t>
    </rPh>
    <rPh sb="217" eb="218">
      <t>モト</t>
    </rPh>
    <rPh sb="219" eb="221">
      <t>レイワ</t>
    </rPh>
    <rPh sb="222" eb="224">
      <t>ネンド</t>
    </rPh>
    <rPh sb="225" eb="228">
      <t>ニュウガクセイ</t>
    </rPh>
    <rPh sb="230" eb="231">
      <t>メイ</t>
    </rPh>
    <rPh sb="232" eb="235">
      <t>ニュウガクシャ</t>
    </rPh>
    <rPh sb="243" eb="245">
      <t>リシュウ</t>
    </rPh>
    <rPh sb="246" eb="247">
      <t>オコナ</t>
    </rPh>
    <rPh sb="249" eb="251">
      <t>レイワ</t>
    </rPh>
    <rPh sb="252" eb="254">
      <t>ネンド</t>
    </rPh>
    <rPh sb="254" eb="256">
      <t>イコウ</t>
    </rPh>
    <rPh sb="257" eb="259">
      <t>マイトシ</t>
    </rPh>
    <rPh sb="261" eb="262">
      <t>メイ</t>
    </rPh>
    <rPh sb="263" eb="265">
      <t>ニュウガク</t>
    </rPh>
    <rPh sb="265" eb="267">
      <t>テイイン</t>
    </rPh>
    <rPh sb="268" eb="270">
      <t>ジュウソク</t>
    </rPh>
    <rPh sb="280" eb="283">
      <t>カクネンド</t>
    </rPh>
    <rPh sb="284" eb="286">
      <t>ヨテイ</t>
    </rPh>
    <rPh sb="286" eb="288">
      <t>スウチ</t>
    </rPh>
    <rPh sb="289" eb="290">
      <t>チカ</t>
    </rPh>
    <rPh sb="293" eb="296">
      <t>リシュウシャ</t>
    </rPh>
    <rPh sb="296" eb="297">
      <t>スウ</t>
    </rPh>
    <rPh sb="298" eb="300">
      <t>リシュウ</t>
    </rPh>
    <rPh sb="300" eb="301">
      <t>リツ</t>
    </rPh>
    <rPh sb="302" eb="304">
      <t>コウジョウ</t>
    </rPh>
    <rPh sb="305" eb="306">
      <t>ハカ</t>
    </rPh>
    <phoneticPr fontId="1"/>
  </si>
  <si>
    <t>　本プログラムのリテラシーレベルは全入学者が履修する必修科目で構成されているため、HPや入学案内などで取り上げることにより入学前から本プログラムの周知を図り、入学者数＝履修学生数の増加につなげたいと考えている。年度初めのガイダンスでも本プログラムの周知を図り、修学意欲の向上に努めていきたい。</t>
    <rPh sb="44" eb="46">
      <t>ニュウガク</t>
    </rPh>
    <rPh sb="46" eb="48">
      <t>アンナイ</t>
    </rPh>
    <rPh sb="51" eb="52">
      <t>ト</t>
    </rPh>
    <rPh sb="53" eb="54">
      <t>ア</t>
    </rPh>
    <rPh sb="61" eb="64">
      <t>ニュウガクマエ</t>
    </rPh>
    <rPh sb="66" eb="67">
      <t>ホン</t>
    </rPh>
    <rPh sb="73" eb="75">
      <t>シュウチ</t>
    </rPh>
    <rPh sb="76" eb="77">
      <t>ハカ</t>
    </rPh>
    <rPh sb="79" eb="82">
      <t>ニュウガクシャ</t>
    </rPh>
    <rPh sb="82" eb="83">
      <t>スウ</t>
    </rPh>
    <rPh sb="90" eb="92">
      <t>ゾウカ</t>
    </rPh>
    <rPh sb="99" eb="100">
      <t>カンガ</t>
    </rPh>
    <rPh sb="105" eb="107">
      <t>ネンド</t>
    </rPh>
    <rPh sb="107" eb="108">
      <t>ハジ</t>
    </rPh>
    <rPh sb="117" eb="118">
      <t>ホン</t>
    </rPh>
    <rPh sb="124" eb="126">
      <t>シュウチ</t>
    </rPh>
    <rPh sb="127" eb="128">
      <t>ハカ</t>
    </rPh>
    <rPh sb="130" eb="132">
      <t>シュウガク</t>
    </rPh>
    <rPh sb="132" eb="134">
      <t>イヨク</t>
    </rPh>
    <rPh sb="135" eb="137">
      <t>コウジョウ</t>
    </rPh>
    <rPh sb="138" eb="139">
      <t>ツト</t>
    </rPh>
    <phoneticPr fontId="1"/>
  </si>
  <si>
    <t>　本プログラムのリテラシーレベルは必修科目で構成されているため、全入学者が履修し単位を修得する必要がある。
　卒業要件に関わる科目であり、単位の修得状況は担任・副担任を中心に修学状況を把握し、修学状況に応じて担当教員が補習授業を実施する体制になっている。
　全学生に入学時にノートPCを支給しており、修学に必要なソフトウェアを用意し、授業を履修できる環境を整えている。</t>
    <rPh sb="40" eb="42">
      <t>タンイ</t>
    </rPh>
    <rPh sb="43" eb="45">
      <t>シュウトク</t>
    </rPh>
    <rPh sb="47" eb="49">
      <t>ヒツヨウ</t>
    </rPh>
    <rPh sb="55" eb="57">
      <t>ソツギョウ</t>
    </rPh>
    <rPh sb="57" eb="59">
      <t>ヨウケン</t>
    </rPh>
    <rPh sb="60" eb="61">
      <t>カカ</t>
    </rPh>
    <rPh sb="63" eb="65">
      <t>カモク</t>
    </rPh>
    <rPh sb="69" eb="71">
      <t>タンイ</t>
    </rPh>
    <rPh sb="72" eb="74">
      <t>シュウトク</t>
    </rPh>
    <rPh sb="74" eb="76">
      <t>ジョウキョウ</t>
    </rPh>
    <rPh sb="77" eb="79">
      <t>タンニン</t>
    </rPh>
    <rPh sb="80" eb="83">
      <t>フクタンニン</t>
    </rPh>
    <rPh sb="84" eb="86">
      <t>チュウシン</t>
    </rPh>
    <rPh sb="87" eb="89">
      <t>シュウガク</t>
    </rPh>
    <rPh sb="89" eb="91">
      <t>ジョウキョウ</t>
    </rPh>
    <rPh sb="92" eb="94">
      <t>ハアク</t>
    </rPh>
    <rPh sb="96" eb="98">
      <t>シュウガク</t>
    </rPh>
    <rPh sb="98" eb="100">
      <t>ジョウキョウ</t>
    </rPh>
    <rPh sb="101" eb="102">
      <t>オウ</t>
    </rPh>
    <rPh sb="104" eb="106">
      <t>タントウ</t>
    </rPh>
    <rPh sb="106" eb="108">
      <t>キョウイン</t>
    </rPh>
    <rPh sb="109" eb="111">
      <t>ホシュウ</t>
    </rPh>
    <rPh sb="111" eb="113">
      <t>ジュギョウ</t>
    </rPh>
    <rPh sb="114" eb="116">
      <t>ジッシ</t>
    </rPh>
    <rPh sb="118" eb="120">
      <t>タイセイ</t>
    </rPh>
    <rPh sb="129" eb="132">
      <t>ゼンガクセイ</t>
    </rPh>
    <rPh sb="133" eb="136">
      <t>ニュウガクジ</t>
    </rPh>
    <rPh sb="143" eb="145">
      <t>シキュウ</t>
    </rPh>
    <rPh sb="150" eb="152">
      <t>シュウガク</t>
    </rPh>
    <rPh sb="153" eb="155">
      <t>ヒツヨウ</t>
    </rPh>
    <rPh sb="163" eb="165">
      <t>ヨウイ</t>
    </rPh>
    <rPh sb="167" eb="169">
      <t>ジュギョウ</t>
    </rPh>
    <rPh sb="170" eb="172">
      <t>リシュウ</t>
    </rPh>
    <rPh sb="175" eb="177">
      <t>カンキョウ</t>
    </rPh>
    <rPh sb="178" eb="179">
      <t>トトノ</t>
    </rPh>
    <phoneticPr fontId="1"/>
  </si>
  <si>
    <t>　プログラムの構成科目の学修の理解度に関わる学生アンケート「科目の達成目標」の結果は以下の通りである。
　　・基礎数学B　達成62.2％,やや達成33.3％
　　・コンピュータスキルズⅠA　達成74％,やや達成20.3％
　　・コンピュータスキルズⅡB　達成76％,やや達成0％
　　・エンジニアリングデザインⅡA　達成57.5％,やや達成36.3％
　　・エンジニアリングデザインⅡB　達成60％,やや達成28.3％
　　・エンジニアリングコンテクストⅠA　達成63％,やや達成37％
　　・エンジニアリングコンテクストⅡA　達成70％,やや達成12％
　　・AI基礎　達成24.4％,やや達成53.3％
　これらのアンケート結果を踏まえて科目担当者は毎年「教育改善への取り組み」を作成し校長へ提出し、改善を図る仕組みとなっている。</t>
    <rPh sb="7" eb="9">
      <t>コウセイ</t>
    </rPh>
    <rPh sb="15" eb="18">
      <t>リカイド</t>
    </rPh>
    <rPh sb="61" eb="63">
      <t>タッセイ</t>
    </rPh>
    <rPh sb="71" eb="73">
      <t>タッセイ</t>
    </rPh>
    <phoneticPr fontId="1"/>
  </si>
  <si>
    <t>　本プログラムを構成する科目を受講する学生全員に対して、法人企画部にて授業アンケートを実施しており、学生の自己点検・評価となると共に、これにより多様な観点から学修成果を分析している。
　学修成果は、年度末に開催される卒業・進級判定会議にて成績による評価を行っており、一定基準での学生の科目修得を決定している。</t>
    <rPh sb="8" eb="10">
      <t>コウセイ</t>
    </rPh>
    <rPh sb="12" eb="14">
      <t>カモク</t>
    </rPh>
    <rPh sb="28" eb="30">
      <t>ホウジン</t>
    </rPh>
    <rPh sb="30" eb="33">
      <t>キカクブ</t>
    </rPh>
    <rPh sb="50" eb="52">
      <t>ガクセイ</t>
    </rPh>
    <rPh sb="53" eb="55">
      <t>ジコ</t>
    </rPh>
    <rPh sb="55" eb="57">
      <t>テンケン</t>
    </rPh>
    <rPh sb="58" eb="60">
      <t>ヒョウカ</t>
    </rPh>
    <rPh sb="64" eb="65">
      <t>トモ</t>
    </rPh>
    <rPh sb="72" eb="74">
      <t>タヨウ</t>
    </rPh>
    <rPh sb="75" eb="77">
      <t>カンテン</t>
    </rPh>
    <rPh sb="79" eb="81">
      <t>ガクシュウ</t>
    </rPh>
    <rPh sb="81" eb="83">
      <t>セイカ</t>
    </rPh>
    <rPh sb="93" eb="95">
      <t>ガクシュウ</t>
    </rPh>
    <rPh sb="95" eb="97">
      <t>セイカ</t>
    </rPh>
    <rPh sb="99" eb="102">
      <t>ネンドマツ</t>
    </rPh>
    <rPh sb="103" eb="105">
      <t>カイサイ</t>
    </rPh>
    <rPh sb="108" eb="110">
      <t>ソツギョウ</t>
    </rPh>
    <rPh sb="111" eb="113">
      <t>シンキュウ</t>
    </rPh>
    <rPh sb="113" eb="115">
      <t>ハンテイ</t>
    </rPh>
    <rPh sb="115" eb="117">
      <t>カイギ</t>
    </rPh>
    <rPh sb="119" eb="121">
      <t>セイセキ</t>
    </rPh>
    <rPh sb="124" eb="126">
      <t>ヒョウカ</t>
    </rPh>
    <rPh sb="127" eb="128">
      <t>オコナ</t>
    </rPh>
    <rPh sb="133" eb="135">
      <t>イッテイ</t>
    </rPh>
    <rPh sb="135" eb="137">
      <t>キジュン</t>
    </rPh>
    <rPh sb="139" eb="141">
      <t>ガクセイ</t>
    </rPh>
    <rPh sb="142" eb="144">
      <t>カモク</t>
    </rPh>
    <rPh sb="144" eb="146">
      <t>シュウトク</t>
    </rPh>
    <rPh sb="147" eb="149">
      <t>ケッテイ</t>
    </rPh>
    <phoneticPr fontId="1"/>
  </si>
  <si>
    <t>　本プログラムでは、構成する全ての科目を必修科目（卒業要件）としているため、在校生の履修者は100％となる。構成する授業科目のアンケート結果については、本校のプログラムに関するwebサイトにて公開されており、在学生に主体的な受講を促すとともに、入学希望者等へ受講を推奨する一助としている。</t>
    <rPh sb="44" eb="45">
      <t>シャ</t>
    </rPh>
    <rPh sb="54" eb="56">
      <t>コウセイ</t>
    </rPh>
    <rPh sb="58" eb="60">
      <t>ジュギョウ</t>
    </rPh>
    <rPh sb="60" eb="62">
      <t>カモク</t>
    </rPh>
    <rPh sb="68" eb="70">
      <t>ケッカ</t>
    </rPh>
    <rPh sb="76" eb="78">
      <t>ホンコウ</t>
    </rPh>
    <rPh sb="85" eb="86">
      <t>カン</t>
    </rPh>
    <rPh sb="96" eb="98">
      <t>コウカ</t>
    </rPh>
    <rPh sb="104" eb="107">
      <t>ザイガク</t>
    </rPh>
    <rPh sb="108" eb="111">
      <t>シュタイテキ</t>
    </rPh>
    <rPh sb="112" eb="114">
      <t>ジュコウ</t>
    </rPh>
    <rPh sb="115" eb="116">
      <t>ウナガ</t>
    </rPh>
    <rPh sb="122" eb="128">
      <t>ニュウガク</t>
    </rPh>
    <rPh sb="129" eb="131">
      <t>ジュコウ</t>
    </rPh>
    <rPh sb="132" eb="134">
      <t>スイショウ</t>
    </rPh>
    <rPh sb="136" eb="138">
      <t>イチジョ</t>
    </rPh>
    <phoneticPr fontId="1"/>
  </si>
  <si>
    <t>　学生に行う授業アンケートにて、「授業への興味」、「教材の適切さ」、「授業への満足度」など細かく情報を収集し、改善のためのデータを収集している。
  　これらのアンケート結果は科目担当者に共有されており、結果を踏まえて科目担当者は毎年「教育改善への取り組み」を作成し校長へ提出し、改善を図る仕組みとなっている。</t>
    <rPh sb="1" eb="3">
      <t>ガクセイニオ</t>
    </rPh>
    <rPh sb="6" eb="8">
      <t>ジュギョウ</t>
    </rPh>
    <rPh sb="17" eb="19">
      <t>ジュギョウ</t>
    </rPh>
    <rPh sb="26" eb="28">
      <t>キョウザイ</t>
    </rPh>
    <rPh sb="29" eb="31">
      <t>テキセテゥ</t>
    </rPh>
    <rPh sb="35" eb="37">
      <t>ジュギョウ</t>
    </rPh>
    <rPh sb="45" eb="46">
      <t>コマカ</t>
    </rPh>
    <rPh sb="48" eb="50">
      <t>ジョウホウ</t>
    </rPh>
    <rPh sb="55" eb="57">
      <t>カイゼン</t>
    </rPh>
    <rPh sb="65" eb="67">
      <t>シュウシュウ</t>
    </rPh>
    <phoneticPr fontId="1"/>
  </si>
  <si>
    <t>https://www.ict-kanazawa.ac.jp/mdash/</t>
    <phoneticPr fontId="1"/>
  </si>
  <si>
    <t>https://www.ict-kanazawa.ac.jp/mdash/</t>
    <phoneticPr fontId="1"/>
  </si>
  <si>
    <t>　本校では平成30年の国際理工学科設置に伴い、既存の３学科「機械工学科」「電気電子工学科」「グローバル情報学科」は募集を停止した。従って本プログラムの対象は国際理工学科に所属する学生のみとなる。
　国際理工学科では、STEM教育の強化と幅広い分野を学べるようにとの教育方針の下、自然科学系では数学や物理・化学・生物を履修できるようにし、専門科目ではITリテラシーと称する科目群を用意し、幅広いIT関連の知識とスキルを修得できるようカリキュラムを設計した。本プログラムを構成する全科目を必修科目（卒業要件）としているため、全学生が履修できる体制である。
　なお、国際理工学科では４年次に４つのコースに別れる。本プログラムの履修を開始する１年次の段階ではコース分けがなく、コース分けを行う４年次にプログラム修了要件の「AI基礎」を修得することとなっており、いずれのコースでもプログラムの受講が可能である。</t>
    <rPh sb="17" eb="19">
      <t>セッチ</t>
    </rPh>
    <rPh sb="20" eb="21">
      <t>トモナ</t>
    </rPh>
    <rPh sb="65" eb="66">
      <t>シタガ</t>
    </rPh>
    <rPh sb="155" eb="157">
      <t>セイブツ</t>
    </rPh>
    <rPh sb="260" eb="263">
      <t>ゼンガクセイ</t>
    </rPh>
    <rPh sb="264" eb="266">
      <t>リシュウ</t>
    </rPh>
    <rPh sb="269" eb="271">
      <t>タイセイ</t>
    </rPh>
    <rPh sb="280" eb="282">
      <t>コクサイ</t>
    </rPh>
    <rPh sb="282" eb="284">
      <t>リコウ</t>
    </rPh>
    <rPh sb="284" eb="286">
      <t>ガッカ</t>
    </rPh>
    <rPh sb="289" eb="290">
      <t>ネン</t>
    </rPh>
    <rPh sb="290" eb="291">
      <t>ジ</t>
    </rPh>
    <rPh sb="299" eb="300">
      <t>ワカ</t>
    </rPh>
    <rPh sb="303" eb="304">
      <t>ホン</t>
    </rPh>
    <rPh sb="310" eb="312">
      <t>リシュウ</t>
    </rPh>
    <rPh sb="313" eb="315">
      <t>カイシ</t>
    </rPh>
    <rPh sb="318" eb="320">
      <t>ネンジ</t>
    </rPh>
    <rPh sb="321" eb="323">
      <t>ダンカイ</t>
    </rPh>
    <rPh sb="328" eb="329">
      <t>ワ</t>
    </rPh>
    <rPh sb="337" eb="338">
      <t>ワ</t>
    </rPh>
    <rPh sb="340" eb="341">
      <t>オコナ</t>
    </rPh>
    <rPh sb="343" eb="345">
      <t>ネンジ</t>
    </rPh>
    <rPh sb="351" eb="353">
      <t>シュウリョウ</t>
    </rPh>
    <rPh sb="353" eb="355">
      <t>ヨウケン</t>
    </rPh>
    <rPh sb="359" eb="361">
      <t>キソ</t>
    </rPh>
    <rPh sb="363" eb="365">
      <t>シュウトク</t>
    </rPh>
    <rPh sb="391" eb="393">
      <t>ジュコウ</t>
    </rPh>
    <rPh sb="394" eb="396">
      <t>カノウ</t>
    </rPh>
    <phoneticPr fontId="1"/>
  </si>
  <si>
    <t>　４年次に開講する「AI基礎」以外の本プログラムの科目は、1、2年次に履修する科目である。本校では「English STEM教育」と称して英語で行うSTEM教育を推進している。本プログラムを構成する全科目が「English STEM教育」科目群に属しており、英語で授業が行われている。
　英語による授業の内容を定着させ、授業をより有意義にするためには、予習、復習は必須であり、全寮制をとっている1、2年次の期間は授業の後にラーニングセッションという課外学習の時間を設けている。ラーニングセッションでは「ラーニングメンター」と呼ばれる外国人教員のサポートの下で学生同士が学び合いを行い、学習内容の理解促進と定着を図っている。
　また、1、2年次では「manaba」というLMSを使用することで、授業外でも学生との課題のやり取りが可能であり、学生毎の課題の取り組み状況・修得状況が把握できるようになっている。</t>
    <rPh sb="5" eb="7">
      <t>カイコウ</t>
    </rPh>
    <rPh sb="266" eb="269">
      <t>ガイコクジン</t>
    </rPh>
    <rPh sb="299" eb="301">
      <t>ソクシン</t>
    </rPh>
    <rPh sb="305" eb="306">
      <t>ハカ</t>
    </rPh>
    <rPh sb="363" eb="365">
      <t>カノウ</t>
    </rPh>
    <rPh sb="388" eb="390">
      <t>ハアク</t>
    </rPh>
    <phoneticPr fontId="1"/>
  </si>
  <si>
    <t>エンジニアリングデザインⅡA</t>
    <phoneticPr fontId="1"/>
  </si>
  <si>
    <t>エンジニアリングコンテクストⅡA</t>
    <phoneticPr fontId="1"/>
  </si>
  <si>
    <t>エンジニアリングコンテクストIA</t>
    <phoneticPr fontId="1"/>
  </si>
  <si>
    <t>エンジニアリングコンテクストⅡA</t>
    <phoneticPr fontId="1"/>
  </si>
  <si>
    <t>エンジニアリングデザインⅡB</t>
    <phoneticPr fontId="1"/>
  </si>
  <si>
    <t>コンピュータスキルズⅡB</t>
    <phoneticPr fontId="1"/>
  </si>
  <si>
    <t>コンピュータスキルズⅠA</t>
    <phoneticPr fontId="1"/>
  </si>
  <si>
    <t>基礎数学B</t>
    <phoneticPr fontId="1"/>
  </si>
  <si>
    <t>次に掲げる、プログラムを構成する全ての科目の単位を修得することを修了要件とする。
エンジニアリングコンテクストIA、コンピュータスキルズⅠA、エンジニアリングデザインⅡA、エンジニアリングデザインⅡB、エンジニアリングコンテクストⅡA、AI基礎。</t>
    <rPh sb="0" eb="1">
      <t>ツギ</t>
    </rPh>
    <rPh sb="2" eb="3">
      <t>カカ</t>
    </rPh>
    <rPh sb="12" eb="14">
      <t>コウセイ</t>
    </rPh>
    <rPh sb="16" eb="17">
      <t>スベ</t>
    </rPh>
    <rPh sb="19" eb="21">
      <t>カモク</t>
    </rPh>
    <rPh sb="22" eb="24">
      <t>タンイ</t>
    </rPh>
    <rPh sb="25" eb="27">
      <t>シュウトク</t>
    </rPh>
    <rPh sb="32" eb="34">
      <t>シュウリョウ</t>
    </rPh>
    <rPh sb="34" eb="36">
      <t>ヨウケン</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</si>
</sst>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theme="1"/>
      <name val="ＭＳ Ｐゴシック (本文)"/>
      <family val="3"/>
      <charset val="128"/>
    </font>
    <font>
      <sz val="12"/>
      <color theme="1"/>
      <name val="ＭＳ Ｐゴシック (本文)"/>
      <charset val="128"/>
    </font>
  </fonts>
  <fills count="2">
    <fill>
      <patternFill patternType="none"/>
    </fill>
    <fill>
      <patternFill patternType="gray125"/>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15" xfId="0" applyFont="1" applyBorder="1" applyAlignment="1">
      <alignment horizontal="left" vertical="center" shrinkToFit="1"/>
    </xf>
    <xf numFmtId="0" fontId="3" fillId="0" borderId="53" xfId="0" applyFont="1" applyBorder="1" applyAlignment="1">
      <alignment horizontal="lef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54" xfId="0" applyFont="1" applyBorder="1" applyAlignment="1">
      <alignment horizontal="center" vertical="center" shrinkToFit="1"/>
    </xf>
    <xf numFmtId="0" fontId="8" fillId="0" borderId="3" xfId="0" applyFont="1" applyBorder="1">
      <alignment vertical="center"/>
    </xf>
    <xf numFmtId="0" fontId="8" fillId="0" borderId="0" xfId="0" applyFont="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44" xfId="0" applyFont="1" applyBorder="1" applyAlignment="1">
      <alignment vertical="center" shrinkToFit="1"/>
    </xf>
    <xf numFmtId="0" fontId="8" fillId="0" borderId="45" xfId="0" applyFont="1" applyBorder="1" applyAlignment="1">
      <alignment vertical="center" shrinkToFit="1"/>
    </xf>
    <xf numFmtId="0" fontId="8" fillId="0" borderId="46" xfId="0" applyFont="1" applyBorder="1" applyAlignment="1">
      <alignment vertical="center"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41" xfId="0" applyFont="1" applyBorder="1" applyAlignment="1">
      <alignment horizontal="left" vertical="center" shrinkToFit="1"/>
    </xf>
    <xf numFmtId="0" fontId="2" fillId="0" borderId="42" xfId="0" applyFont="1" applyBorder="1" applyAlignment="1">
      <alignment horizontal="left" vertical="center"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8" fillId="0" borderId="46" xfId="0" applyFont="1" applyBorder="1" applyAlignment="1">
      <alignment horizontal="left" vertical="center" shrinkToFit="1"/>
    </xf>
    <xf numFmtId="0" fontId="8" fillId="0" borderId="0" xfId="0" applyFont="1" applyAlignment="1">
      <alignment vertical="center" wrapText="1"/>
    </xf>
    <xf numFmtId="0" fontId="19" fillId="0" borderId="0" xfId="0" applyFont="1" applyAlignment="1">
      <alignment horizontal="center" vertical="center"/>
    </xf>
    <xf numFmtId="0" fontId="3"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3" fillId="0" borderId="39" xfId="0" applyFont="1" applyBorder="1" applyAlignment="1">
      <alignment vertical="center" wrapText="1" shrinkToFit="1"/>
    </xf>
    <xf numFmtId="0" fontId="2" fillId="0" borderId="39" xfId="0" applyFont="1" applyBorder="1" applyAlignment="1">
      <alignment vertical="center" shrinkToFit="1"/>
    </xf>
    <xf numFmtId="0" fontId="2" fillId="0" borderId="3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 fillId="0" borderId="39" xfId="0" applyFont="1" applyBorder="1" applyAlignment="1">
      <alignment vertical="center" wrapText="1" shrinkToFit="1"/>
    </xf>
    <xf numFmtId="0" fontId="3" fillId="0" borderId="37" xfId="0" applyFont="1" applyBorder="1" applyAlignment="1">
      <alignment vertical="center" wrapText="1" shrinkToFit="1"/>
    </xf>
    <xf numFmtId="0" fontId="2" fillId="0" borderId="38" xfId="0" applyFont="1" applyBorder="1" applyAlignment="1">
      <alignment vertical="center" wrapText="1" shrinkToFit="1"/>
    </xf>
    <xf numFmtId="0" fontId="22" fillId="0" borderId="32" xfId="0" applyFont="1" applyBorder="1" applyAlignment="1">
      <alignment vertical="center" wrapTex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3" fillId="0" borderId="8" xfId="0" applyFont="1" applyBorder="1" applyAlignment="1">
      <alignment horizontal="lef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3" fillId="0" borderId="0" xfId="0" applyFont="1" applyAlignment="1">
      <alignment horizontal="left" vertical="center"/>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office@ict-kanazawa.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ct-kanazawa.ac.jp/mdas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ct-kanazawa.ac.jp/mda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R14" sqref="R14"/>
    </sheetView>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38" t="s">
        <v>24</v>
      </c>
      <c r="N1" s="138"/>
    </row>
    <row r="2" spans="1:15" ht="24" customHeight="1">
      <c r="A2" s="142" t="s">
        <v>71</v>
      </c>
      <c r="B2" s="142"/>
      <c r="C2" s="142"/>
      <c r="D2" s="142"/>
      <c r="E2" s="142"/>
      <c r="F2" s="142"/>
      <c r="G2" s="142"/>
      <c r="H2" s="142"/>
      <c r="I2" s="142"/>
      <c r="J2" s="142"/>
      <c r="K2" s="142"/>
      <c r="L2" s="142"/>
      <c r="M2" s="142"/>
      <c r="N2" s="142"/>
    </row>
    <row r="3" spans="1:15" ht="24" customHeight="1"/>
    <row r="4" spans="1:15" ht="24" customHeight="1">
      <c r="A4" s="14" t="s">
        <v>132</v>
      </c>
      <c r="B4" s="15" t="s">
        <v>16</v>
      </c>
      <c r="C4" s="130" t="s">
        <v>133</v>
      </c>
      <c r="D4" s="131"/>
      <c r="E4" s="131"/>
      <c r="F4" s="131"/>
      <c r="G4" s="131"/>
      <c r="H4" s="131"/>
      <c r="I4" s="131"/>
      <c r="J4" s="131"/>
      <c r="K4" s="131"/>
      <c r="L4" s="131"/>
      <c r="M4" s="131"/>
      <c r="N4" s="137"/>
      <c r="O4" s="31" t="str">
        <f>IF(C4="","入力してください","")</f>
        <v/>
      </c>
    </row>
    <row r="5" spans="1:15" ht="7.5" customHeight="1">
      <c r="B5" s="15"/>
      <c r="C5" s="15"/>
      <c r="D5" s="15"/>
      <c r="E5" s="16"/>
      <c r="F5" s="113"/>
      <c r="G5" s="113"/>
      <c r="H5" s="113"/>
      <c r="I5" s="113"/>
      <c r="J5" s="113"/>
      <c r="K5" s="113"/>
      <c r="L5" s="113"/>
      <c r="M5" s="113"/>
      <c r="N5" s="113"/>
    </row>
    <row r="6" spans="1:15" ht="24" customHeight="1">
      <c r="A6" s="14" t="s">
        <v>134</v>
      </c>
      <c r="B6" s="15" t="s">
        <v>46</v>
      </c>
      <c r="C6" s="15"/>
      <c r="D6" s="130" t="s">
        <v>135</v>
      </c>
      <c r="E6" s="131"/>
      <c r="F6" s="131"/>
      <c r="G6" s="131"/>
      <c r="H6" s="137"/>
      <c r="I6" s="17" t="s">
        <v>74</v>
      </c>
      <c r="J6" s="113" t="s">
        <v>136</v>
      </c>
      <c r="K6" s="130" t="s">
        <v>137</v>
      </c>
      <c r="L6" s="131"/>
      <c r="M6" s="131"/>
      <c r="N6" s="137"/>
      <c r="O6" s="31" t="str">
        <f>IF(D6="","入力してください","")</f>
        <v/>
      </c>
    </row>
    <row r="7" spans="1:15" ht="7.5" customHeight="1">
      <c r="B7" s="15"/>
      <c r="C7" s="15"/>
      <c r="D7" s="15"/>
      <c r="E7" s="16"/>
      <c r="F7" s="113"/>
      <c r="G7" s="113"/>
      <c r="H7" s="113"/>
      <c r="I7" s="113"/>
      <c r="J7" s="113"/>
      <c r="K7" s="113"/>
      <c r="L7" s="113"/>
      <c r="M7" s="113"/>
      <c r="N7" s="113"/>
    </row>
    <row r="8" spans="1:15" ht="24" customHeight="1">
      <c r="A8" s="14" t="s">
        <v>13</v>
      </c>
      <c r="B8" s="15" t="s">
        <v>138</v>
      </c>
      <c r="C8" s="130" t="s">
        <v>139</v>
      </c>
      <c r="D8" s="131"/>
      <c r="E8" s="131"/>
      <c r="F8" s="131"/>
      <c r="G8" s="131"/>
      <c r="H8" s="131"/>
      <c r="I8" s="131"/>
      <c r="J8" s="131"/>
      <c r="K8" s="131"/>
      <c r="L8" s="131"/>
      <c r="M8" s="131"/>
      <c r="N8" s="137"/>
      <c r="O8" s="31" t="str">
        <f>IF(C8="","入力してください","")</f>
        <v/>
      </c>
    </row>
    <row r="9" spans="1:15" ht="7.5" customHeight="1">
      <c r="B9" s="15"/>
      <c r="C9" s="15"/>
      <c r="D9" s="15"/>
      <c r="E9" s="16"/>
      <c r="F9" s="113"/>
      <c r="G9" s="113"/>
      <c r="H9" s="113"/>
      <c r="I9" s="113"/>
      <c r="J9" s="113"/>
      <c r="K9" s="113"/>
      <c r="L9" s="113"/>
      <c r="M9" s="113"/>
      <c r="N9" s="113"/>
    </row>
    <row r="10" spans="1:15" ht="24" customHeight="1">
      <c r="A10" s="14" t="s">
        <v>140</v>
      </c>
      <c r="B10" s="15" t="s">
        <v>73</v>
      </c>
      <c r="C10" s="15"/>
      <c r="D10" s="15"/>
      <c r="E10" s="130" t="s">
        <v>141</v>
      </c>
      <c r="F10" s="131"/>
      <c r="G10" s="131"/>
      <c r="H10" s="131"/>
      <c r="I10" s="131"/>
      <c r="J10" s="131"/>
      <c r="K10" s="131"/>
      <c r="L10" s="131"/>
      <c r="M10" s="131"/>
      <c r="N10" s="137"/>
      <c r="O10" s="31" t="str">
        <f>IF(E10="","入力してください","")</f>
        <v/>
      </c>
    </row>
    <row r="11" spans="1:15" ht="7.5" customHeight="1">
      <c r="B11" s="16"/>
      <c r="C11" s="16"/>
      <c r="D11" s="16"/>
      <c r="E11" s="16"/>
      <c r="F11" s="113"/>
      <c r="G11" s="113"/>
      <c r="H11" s="113"/>
      <c r="I11" s="113"/>
      <c r="J11" s="113"/>
      <c r="K11" s="113"/>
      <c r="L11" s="113"/>
      <c r="M11" s="113"/>
      <c r="N11" s="113"/>
    </row>
    <row r="12" spans="1:15" ht="24" customHeight="1">
      <c r="A12" s="14" t="s">
        <v>142</v>
      </c>
      <c r="B12" s="16" t="s">
        <v>51</v>
      </c>
      <c r="C12" s="16"/>
      <c r="D12" s="16"/>
      <c r="E12" s="143" t="s">
        <v>143</v>
      </c>
      <c r="F12" s="144"/>
      <c r="G12" s="17" t="s">
        <v>81</v>
      </c>
      <c r="H12" s="14" t="s">
        <v>144</v>
      </c>
      <c r="N12" s="110" t="s">
        <v>169</v>
      </c>
      <c r="O12" s="31" t="str">
        <f>IF(E12="","入力してください","")</f>
        <v/>
      </c>
    </row>
    <row r="13" spans="1:15" ht="7.5" customHeight="1">
      <c r="B13" s="16"/>
      <c r="C13" s="16"/>
      <c r="D13" s="16"/>
      <c r="E13" s="16"/>
      <c r="F13" s="113"/>
      <c r="G13" s="113"/>
      <c r="H13" s="113"/>
      <c r="I13" s="113"/>
      <c r="J13" s="113"/>
      <c r="K13" s="113"/>
      <c r="L13" s="113"/>
      <c r="M13" s="113"/>
      <c r="N13" s="113"/>
    </row>
    <row r="14" spans="1:15" ht="24" customHeight="1">
      <c r="A14" s="14" t="s">
        <v>145</v>
      </c>
      <c r="B14" s="14" t="s">
        <v>0</v>
      </c>
      <c r="C14" s="139" t="s">
        <v>5</v>
      </c>
      <c r="D14" s="140"/>
      <c r="E14" s="134">
        <v>55</v>
      </c>
      <c r="F14" s="135"/>
      <c r="G14" s="18" t="s">
        <v>7</v>
      </c>
      <c r="I14" s="139" t="s">
        <v>8</v>
      </c>
      <c r="J14" s="140"/>
      <c r="K14" s="134">
        <v>6</v>
      </c>
      <c r="L14" s="141"/>
      <c r="M14" s="135"/>
      <c r="N14" s="19" t="s">
        <v>7</v>
      </c>
      <c r="O14" s="31" t="str">
        <f>IF(OR(E14="",K14=""),"入力してください","")</f>
        <v/>
      </c>
    </row>
    <row r="15" spans="1:15" ht="7.5" customHeight="1">
      <c r="F15" s="20"/>
      <c r="G15" s="20"/>
      <c r="H15" s="20"/>
      <c r="I15" s="20"/>
      <c r="J15" s="20"/>
      <c r="K15" s="20"/>
      <c r="L15" s="20"/>
      <c r="M15" s="19"/>
      <c r="N15" s="19"/>
    </row>
    <row r="16" spans="1:15" ht="24" customHeight="1">
      <c r="A16" s="14" t="s">
        <v>146</v>
      </c>
      <c r="B16" s="14" t="s">
        <v>60</v>
      </c>
      <c r="F16" s="20"/>
      <c r="G16" s="20"/>
      <c r="H16" s="20"/>
      <c r="I16" s="20"/>
      <c r="J16" s="20"/>
      <c r="K16" s="122">
        <v>9</v>
      </c>
      <c r="L16" s="123"/>
      <c r="M16" s="124"/>
      <c r="N16" s="19" t="s">
        <v>7</v>
      </c>
      <c r="O16" s="31" t="str">
        <f>IF(K16="","入力してください","")</f>
        <v/>
      </c>
    </row>
    <row r="17" spans="1:15" ht="7.5" customHeight="1">
      <c r="F17" s="20"/>
      <c r="G17" s="20"/>
      <c r="H17" s="20"/>
      <c r="I17" s="20"/>
      <c r="J17" s="20"/>
      <c r="K17" s="20"/>
      <c r="L17" s="20"/>
      <c r="M17" s="19"/>
      <c r="N17" s="19"/>
    </row>
    <row r="18" spans="1:15" ht="24" customHeight="1">
      <c r="A18" s="14" t="s">
        <v>23</v>
      </c>
      <c r="B18" s="14" t="s">
        <v>65</v>
      </c>
      <c r="E18" s="134">
        <v>45</v>
      </c>
      <c r="F18" s="135"/>
      <c r="G18" s="21" t="s">
        <v>21</v>
      </c>
      <c r="H18" s="20"/>
      <c r="K18" s="136"/>
      <c r="L18" s="136"/>
      <c r="M18" s="136"/>
      <c r="N18" s="136"/>
      <c r="O18" s="31" t="str">
        <f>IF(E18="","入力してください","")</f>
        <v/>
      </c>
    </row>
    <row r="19" spans="1:15" ht="7.5" customHeight="1">
      <c r="E19" s="10"/>
      <c r="F19" s="20"/>
      <c r="G19" s="20"/>
      <c r="L19" s="112"/>
      <c r="M19" s="112"/>
      <c r="N19" s="22"/>
    </row>
    <row r="20" spans="1:15" ht="24" customHeight="1">
      <c r="A20" s="14" t="s">
        <v>147</v>
      </c>
      <c r="B20" s="14" t="s">
        <v>66</v>
      </c>
      <c r="E20" s="10"/>
      <c r="F20" s="20"/>
      <c r="G20" s="20"/>
      <c r="H20" s="14" t="s">
        <v>47</v>
      </c>
      <c r="J20" s="125">
        <v>111</v>
      </c>
      <c r="K20" s="126"/>
      <c r="L20" s="127"/>
      <c r="M20" s="112" t="s">
        <v>7</v>
      </c>
      <c r="N20" s="22"/>
      <c r="O20" s="31" t="str">
        <f>IF(J20="","入力してください","")</f>
        <v/>
      </c>
    </row>
    <row r="21" spans="1:15" ht="7.5" customHeight="1">
      <c r="E21" s="10"/>
      <c r="F21" s="20"/>
      <c r="G21" s="20"/>
      <c r="L21" s="112"/>
      <c r="M21" s="112"/>
      <c r="N21" s="22"/>
    </row>
    <row r="22" spans="1:15" ht="24" customHeight="1">
      <c r="B22" s="29" t="s">
        <v>17</v>
      </c>
      <c r="C22" s="134">
        <v>9</v>
      </c>
      <c r="D22" s="135"/>
      <c r="E22" s="10" t="s">
        <v>7</v>
      </c>
      <c r="F22" s="20"/>
      <c r="G22" s="128" t="s">
        <v>18</v>
      </c>
      <c r="H22" s="128"/>
      <c r="I22" s="134">
        <v>12</v>
      </c>
      <c r="J22" s="135"/>
      <c r="K22" s="17" t="s">
        <v>7</v>
      </c>
      <c r="M22" s="112"/>
      <c r="N22" s="22"/>
    </row>
    <row r="23" spans="1:15" ht="7.5" customHeight="1">
      <c r="B23" s="29"/>
      <c r="C23" s="11"/>
      <c r="D23" s="11"/>
      <c r="E23" s="10"/>
      <c r="F23" s="20"/>
      <c r="G23" s="112"/>
      <c r="H23" s="112"/>
      <c r="I23" s="11"/>
      <c r="J23" s="11"/>
      <c r="K23" s="17"/>
      <c r="M23" s="112"/>
      <c r="N23" s="22"/>
    </row>
    <row r="24" spans="1:15" ht="24" customHeight="1">
      <c r="B24" s="29" t="s">
        <v>19</v>
      </c>
      <c r="C24" s="134">
        <v>9</v>
      </c>
      <c r="D24" s="135"/>
      <c r="E24" s="10" t="s">
        <v>7</v>
      </c>
      <c r="F24" s="20"/>
      <c r="G24" s="128" t="s">
        <v>20</v>
      </c>
      <c r="H24" s="128"/>
      <c r="I24" s="134">
        <v>10</v>
      </c>
      <c r="J24" s="135"/>
      <c r="K24" s="17" t="s">
        <v>7</v>
      </c>
      <c r="M24" s="112"/>
      <c r="N24" s="22"/>
    </row>
    <row r="25" spans="1:15" ht="7.5" customHeight="1">
      <c r="B25" s="29"/>
      <c r="C25" s="11"/>
      <c r="D25" s="11"/>
      <c r="E25" s="10"/>
      <c r="F25" s="20"/>
      <c r="G25" s="112"/>
      <c r="H25" s="112"/>
      <c r="I25" s="11"/>
      <c r="J25" s="11"/>
      <c r="K25" s="17"/>
      <c r="M25" s="112"/>
      <c r="N25" s="22"/>
    </row>
    <row r="26" spans="1:15" ht="24" customHeight="1">
      <c r="B26" s="29" t="s">
        <v>44</v>
      </c>
      <c r="C26" s="134">
        <v>71</v>
      </c>
      <c r="D26" s="135"/>
      <c r="E26" s="10" t="s">
        <v>7</v>
      </c>
      <c r="F26" s="20"/>
      <c r="G26" s="128" t="s">
        <v>45</v>
      </c>
      <c r="H26" s="128"/>
      <c r="I26" s="134"/>
      <c r="J26" s="135"/>
      <c r="K26" s="17" t="s">
        <v>7</v>
      </c>
      <c r="M26" s="112"/>
      <c r="N26" s="22"/>
    </row>
    <row r="27" spans="1:15" ht="7.5" customHeight="1">
      <c r="F27" s="20"/>
      <c r="G27" s="20"/>
      <c r="M27" s="23"/>
      <c r="N27" s="23"/>
    </row>
    <row r="28" spans="1:15" ht="24" customHeight="1">
      <c r="A28" s="14" t="s">
        <v>148</v>
      </c>
      <c r="B28" s="15" t="s">
        <v>149</v>
      </c>
      <c r="C28" s="15"/>
      <c r="D28" s="15"/>
      <c r="E28" s="15"/>
      <c r="F28" s="17"/>
      <c r="G28" s="113"/>
      <c r="H28" s="113"/>
      <c r="I28" s="113"/>
      <c r="J28" s="24"/>
      <c r="K28" s="24"/>
      <c r="L28" s="24"/>
      <c r="M28" s="24"/>
      <c r="N28" s="24"/>
    </row>
    <row r="29" spans="1:15" s="14" customFormat="1" ht="24" customHeight="1">
      <c r="B29" s="129" t="s">
        <v>64</v>
      </c>
      <c r="C29" s="129"/>
      <c r="D29" s="130" t="s">
        <v>150</v>
      </c>
      <c r="E29" s="131"/>
      <c r="F29" s="131"/>
      <c r="G29" s="132" t="s">
        <v>22</v>
      </c>
      <c r="H29" s="129"/>
      <c r="I29" s="133"/>
      <c r="J29" s="130" t="s">
        <v>151</v>
      </c>
      <c r="K29" s="131"/>
      <c r="L29" s="131"/>
      <c r="M29" s="131"/>
      <c r="N29" s="137"/>
      <c r="O29" s="31" t="str">
        <f>IF(OR(D29="",J29=""),"入力してください","")</f>
        <v/>
      </c>
    </row>
    <row r="30" spans="1:15" ht="7.5" customHeight="1">
      <c r="F30" s="20"/>
      <c r="G30" s="20"/>
      <c r="M30" s="23"/>
      <c r="N30" s="23"/>
    </row>
    <row r="31" spans="1:15" ht="24" customHeight="1">
      <c r="A31" s="14" t="s">
        <v>152</v>
      </c>
      <c r="B31" s="15" t="s">
        <v>68</v>
      </c>
      <c r="C31" s="15"/>
      <c r="D31" s="15"/>
      <c r="E31" s="15"/>
      <c r="F31" s="17"/>
      <c r="G31" s="24"/>
      <c r="H31" s="24"/>
      <c r="I31" s="24"/>
      <c r="J31" s="24"/>
      <c r="K31" s="24"/>
      <c r="L31" s="24"/>
      <c r="M31" s="24"/>
      <c r="N31" s="24"/>
    </row>
    <row r="32" spans="1:15" ht="24" customHeight="1">
      <c r="B32" s="130" t="s">
        <v>153</v>
      </c>
      <c r="C32" s="131"/>
      <c r="D32" s="131"/>
      <c r="E32" s="131"/>
      <c r="F32" s="131"/>
      <c r="G32" s="131"/>
      <c r="H32" s="131"/>
      <c r="I32" s="131"/>
      <c r="J32" s="131"/>
      <c r="K32" s="131"/>
      <c r="L32" s="131"/>
      <c r="M32" s="131"/>
      <c r="N32" s="137"/>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29" t="s">
        <v>64</v>
      </c>
      <c r="C34" s="129"/>
      <c r="D34" s="130" t="s">
        <v>150</v>
      </c>
      <c r="E34" s="131"/>
      <c r="F34" s="131"/>
      <c r="G34" s="132" t="s">
        <v>22</v>
      </c>
      <c r="H34" s="129"/>
      <c r="I34" s="133"/>
      <c r="J34" s="130" t="s">
        <v>154</v>
      </c>
      <c r="K34" s="131"/>
      <c r="L34" s="131"/>
      <c r="M34" s="131"/>
      <c r="N34" s="137"/>
      <c r="O34" s="31" t="str">
        <f>IF(OR(D34="",J34=""),"入力してください","")</f>
        <v/>
      </c>
    </row>
    <row r="35" spans="1:15" ht="7.5" customHeight="1">
      <c r="F35" s="113"/>
      <c r="G35" s="113"/>
      <c r="H35" s="113"/>
      <c r="I35" s="113"/>
      <c r="J35" s="113"/>
      <c r="K35" s="113"/>
      <c r="L35" s="113"/>
      <c r="M35" s="113"/>
      <c r="N35" s="113"/>
    </row>
    <row r="36" spans="1:15" ht="24" customHeight="1">
      <c r="A36" s="14" t="s">
        <v>155</v>
      </c>
      <c r="B36" s="14" t="s">
        <v>69</v>
      </c>
      <c r="M36" s="23"/>
      <c r="N36" s="23"/>
    </row>
    <row r="37" spans="1:15" ht="24" customHeight="1">
      <c r="B37" s="130" t="s">
        <v>172</v>
      </c>
      <c r="C37" s="131"/>
      <c r="D37" s="131"/>
      <c r="E37" s="131"/>
      <c r="F37" s="131"/>
      <c r="G37" s="131"/>
      <c r="H37" s="131"/>
      <c r="I37" s="131"/>
      <c r="J37" s="131"/>
      <c r="K37" s="131"/>
      <c r="L37" s="131"/>
      <c r="M37" s="131"/>
      <c r="N37" s="137"/>
      <c r="O37" s="31" t="str">
        <f>IF(B37="","入力してください","")</f>
        <v/>
      </c>
    </row>
    <row r="38" spans="1:15" ht="7.5" customHeight="1">
      <c r="F38" s="113"/>
      <c r="G38" s="113"/>
      <c r="H38" s="113"/>
      <c r="I38" s="113"/>
      <c r="J38" s="113"/>
      <c r="K38" s="113"/>
      <c r="L38" s="113"/>
      <c r="M38" s="113"/>
      <c r="N38" s="113"/>
    </row>
    <row r="39" spans="1:15" s="14" customFormat="1" ht="24" customHeight="1">
      <c r="B39" s="129" t="s">
        <v>64</v>
      </c>
      <c r="C39" s="129"/>
      <c r="D39" s="130" t="s">
        <v>156</v>
      </c>
      <c r="E39" s="131"/>
      <c r="F39" s="131"/>
      <c r="G39" s="132" t="s">
        <v>22</v>
      </c>
      <c r="H39" s="129"/>
      <c r="I39" s="133"/>
      <c r="J39" s="130" t="s">
        <v>157</v>
      </c>
      <c r="K39" s="131"/>
      <c r="L39" s="131"/>
      <c r="M39" s="131"/>
      <c r="N39" s="137"/>
      <c r="O39" s="31" t="str">
        <f>IF(OR(D39="",J39=""),"入力してください","")</f>
        <v/>
      </c>
    </row>
    <row r="40" spans="1:15" ht="7.5" customHeight="1">
      <c r="F40" s="113"/>
      <c r="G40" s="113"/>
      <c r="H40" s="113"/>
      <c r="I40" s="113"/>
      <c r="J40" s="113"/>
      <c r="K40" s="113"/>
      <c r="L40" s="113"/>
      <c r="M40" s="113"/>
      <c r="N40" s="113"/>
    </row>
    <row r="41" spans="1:15" ht="24" customHeight="1">
      <c r="A41" s="14" t="s">
        <v>158</v>
      </c>
      <c r="B41" s="70" t="s">
        <v>59</v>
      </c>
      <c r="E41" s="71"/>
      <c r="F41" s="130" t="s">
        <v>194</v>
      </c>
      <c r="G41" s="131"/>
      <c r="H41" s="131"/>
      <c r="I41" s="131"/>
      <c r="J41" s="131"/>
      <c r="K41" s="131"/>
      <c r="L41" s="131"/>
      <c r="M41" s="131"/>
      <c r="N41" s="137"/>
      <c r="O41" s="31" t="str">
        <f>IF(F41="","入力してください","")</f>
        <v/>
      </c>
    </row>
    <row r="42" spans="1:15" ht="7.5" customHeight="1">
      <c r="F42" s="113"/>
      <c r="G42" s="113"/>
      <c r="H42" s="113"/>
      <c r="I42" s="113"/>
      <c r="J42" s="113"/>
      <c r="K42" s="113"/>
      <c r="L42" s="113"/>
      <c r="M42" s="113"/>
      <c r="N42" s="113"/>
    </row>
    <row r="43" spans="1:15" ht="24" customHeight="1">
      <c r="A43" s="14" t="s">
        <v>82</v>
      </c>
    </row>
    <row r="44" spans="1:15" ht="24" customHeight="1">
      <c r="B44" s="30" t="s">
        <v>1</v>
      </c>
      <c r="C44" s="151" t="s">
        <v>159</v>
      </c>
      <c r="D44" s="152"/>
      <c r="E44" s="152"/>
      <c r="F44" s="152"/>
      <c r="G44" s="152"/>
      <c r="H44" s="152"/>
      <c r="I44" s="26" t="s">
        <v>2</v>
      </c>
      <c r="J44" s="27"/>
      <c r="K44" s="130" t="s">
        <v>160</v>
      </c>
      <c r="L44" s="131"/>
      <c r="M44" s="131"/>
      <c r="N44" s="137"/>
      <c r="O44" s="31" t="str">
        <f>IF(OR(C44="",K44=""),"入力してください","")</f>
        <v/>
      </c>
    </row>
    <row r="45" spans="1:15" ht="24" customHeight="1">
      <c r="B45" s="25" t="s">
        <v>4</v>
      </c>
      <c r="C45" s="145" t="s">
        <v>162</v>
      </c>
      <c r="D45" s="146"/>
      <c r="E45" s="146"/>
      <c r="F45" s="146"/>
      <c r="G45" s="146"/>
      <c r="H45" s="147"/>
      <c r="I45" s="26" t="s">
        <v>3</v>
      </c>
      <c r="J45" s="27"/>
      <c r="K45" s="148" t="s">
        <v>161</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Normal="100" zoomScaleSheetLayoutView="100" workbookViewId="0">
      <selection activeCell="B12" sqref="B12"/>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174" t="s">
        <v>193</v>
      </c>
      <c r="X1" s="174"/>
      <c r="Y1" s="174"/>
      <c r="Z1" s="174"/>
    </row>
    <row r="2" spans="1:26" ht="18" customHeight="1">
      <c r="A2" s="222" t="s">
        <v>57</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83</v>
      </c>
      <c r="B4" s="29"/>
      <c r="C4" s="29"/>
      <c r="D4" s="29"/>
      <c r="E4" s="29"/>
      <c r="F4" s="29"/>
      <c r="G4" s="29"/>
      <c r="H4" s="14" t="s">
        <v>96</v>
      </c>
      <c r="I4" s="29"/>
      <c r="J4" s="29"/>
      <c r="K4" s="29"/>
      <c r="L4" s="29"/>
      <c r="M4" s="29"/>
      <c r="N4" s="29"/>
      <c r="O4" s="122" t="s">
        <v>179</v>
      </c>
      <c r="P4" s="123"/>
      <c r="Q4" s="123"/>
      <c r="R4" s="123"/>
      <c r="S4" s="123"/>
      <c r="T4" s="123"/>
      <c r="U4" s="123"/>
      <c r="V4" s="123"/>
      <c r="W4" s="123"/>
      <c r="X4" s="123"/>
      <c r="Y4" s="123"/>
      <c r="Z4" s="124"/>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23" t="s">
        <v>222</v>
      </c>
      <c r="C6" s="224"/>
      <c r="D6" s="224"/>
      <c r="E6" s="224"/>
      <c r="F6" s="224"/>
      <c r="G6" s="224"/>
      <c r="H6" s="224"/>
      <c r="I6" s="224"/>
      <c r="J6" s="224"/>
      <c r="K6" s="224"/>
      <c r="L6" s="224"/>
      <c r="M6" s="224"/>
      <c r="N6" s="224"/>
      <c r="O6" s="224"/>
      <c r="P6" s="224"/>
      <c r="Q6" s="224"/>
      <c r="R6" s="224"/>
      <c r="S6" s="224"/>
      <c r="T6" s="224"/>
      <c r="U6" s="224"/>
      <c r="V6" s="224"/>
      <c r="W6" s="224"/>
      <c r="X6" s="224"/>
      <c r="Y6" s="224"/>
      <c r="Z6" s="225"/>
    </row>
    <row r="7" spans="1:26" ht="18" customHeight="1">
      <c r="B7" s="226"/>
      <c r="C7" s="227"/>
      <c r="D7" s="227"/>
      <c r="E7" s="227"/>
      <c r="F7" s="227"/>
      <c r="G7" s="227"/>
      <c r="H7" s="227"/>
      <c r="I7" s="227"/>
      <c r="J7" s="227"/>
      <c r="K7" s="227"/>
      <c r="L7" s="227"/>
      <c r="M7" s="227"/>
      <c r="N7" s="227"/>
      <c r="O7" s="227"/>
      <c r="P7" s="227"/>
      <c r="Q7" s="227"/>
      <c r="R7" s="227"/>
      <c r="S7" s="227"/>
      <c r="T7" s="227"/>
      <c r="U7" s="227"/>
      <c r="V7" s="227"/>
      <c r="W7" s="227"/>
      <c r="X7" s="227"/>
      <c r="Y7" s="227"/>
      <c r="Z7" s="228"/>
    </row>
    <row r="8" spans="1:26" ht="18" customHeight="1">
      <c r="B8" s="226"/>
      <c r="C8" s="227"/>
      <c r="D8" s="227"/>
      <c r="E8" s="227"/>
      <c r="F8" s="227"/>
      <c r="G8" s="227"/>
      <c r="H8" s="227"/>
      <c r="I8" s="227"/>
      <c r="J8" s="227"/>
      <c r="K8" s="227"/>
      <c r="L8" s="227"/>
      <c r="M8" s="227"/>
      <c r="N8" s="227"/>
      <c r="O8" s="227"/>
      <c r="P8" s="227"/>
      <c r="Q8" s="227"/>
      <c r="R8" s="227"/>
      <c r="S8" s="227"/>
      <c r="T8" s="227"/>
      <c r="U8" s="227"/>
      <c r="V8" s="227"/>
      <c r="W8" s="227"/>
      <c r="X8" s="227"/>
      <c r="Y8" s="227"/>
      <c r="Z8" s="228"/>
    </row>
    <row r="9" spans="1:26" ht="18" customHeight="1">
      <c r="B9" s="226"/>
      <c r="C9" s="227"/>
      <c r="D9" s="227"/>
      <c r="E9" s="227"/>
      <c r="F9" s="227"/>
      <c r="G9" s="227"/>
      <c r="H9" s="227"/>
      <c r="I9" s="227"/>
      <c r="J9" s="227"/>
      <c r="K9" s="227"/>
      <c r="L9" s="227"/>
      <c r="M9" s="227"/>
      <c r="N9" s="227"/>
      <c r="O9" s="227"/>
      <c r="P9" s="227"/>
      <c r="Q9" s="227"/>
      <c r="R9" s="227"/>
      <c r="S9" s="227"/>
      <c r="T9" s="227"/>
      <c r="U9" s="227"/>
      <c r="V9" s="227"/>
      <c r="W9" s="227"/>
      <c r="X9" s="227"/>
      <c r="Y9" s="227"/>
      <c r="Z9" s="228"/>
    </row>
    <row r="10" spans="1:26" ht="18" customHeight="1">
      <c r="B10" s="226"/>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8"/>
    </row>
    <row r="11" spans="1:26" ht="18" customHeight="1">
      <c r="B11" s="229"/>
      <c r="C11" s="230"/>
      <c r="D11" s="230"/>
      <c r="E11" s="230"/>
      <c r="F11" s="230"/>
      <c r="G11" s="230"/>
      <c r="H11" s="230"/>
      <c r="I11" s="230"/>
      <c r="J11" s="230"/>
      <c r="K11" s="230"/>
      <c r="L11" s="230"/>
      <c r="M11" s="230"/>
      <c r="N11" s="230"/>
      <c r="O11" s="230"/>
      <c r="P11" s="230"/>
      <c r="Q11" s="230"/>
      <c r="R11" s="230"/>
      <c r="S11" s="230"/>
      <c r="T11" s="230"/>
      <c r="U11" s="230"/>
      <c r="V11" s="230"/>
      <c r="W11" s="230"/>
      <c r="X11" s="230"/>
      <c r="Y11" s="230"/>
      <c r="Z11" s="231"/>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21" t="s">
        <v>109</v>
      </c>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8" customHeight="1">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8" customHeight="1">
      <c r="A15" s="14"/>
      <c r="B15" s="122" t="s">
        <v>84</v>
      </c>
      <c r="C15" s="123"/>
      <c r="D15" s="123"/>
      <c r="E15" s="123"/>
      <c r="F15" s="124"/>
      <c r="G15" s="30" t="s">
        <v>125</v>
      </c>
      <c r="H15" s="105" t="s">
        <v>124</v>
      </c>
      <c r="I15" s="123" t="s">
        <v>85</v>
      </c>
      <c r="J15" s="123"/>
      <c r="K15" s="123"/>
      <c r="L15" s="72" t="s">
        <v>88</v>
      </c>
      <c r="M15" s="72" t="s">
        <v>91</v>
      </c>
      <c r="N15" s="122" t="s">
        <v>84</v>
      </c>
      <c r="O15" s="123"/>
      <c r="P15" s="123"/>
      <c r="Q15" s="123"/>
      <c r="R15" s="123"/>
      <c r="S15" s="124"/>
      <c r="T15" s="30" t="s">
        <v>125</v>
      </c>
      <c r="U15" s="105" t="s">
        <v>124</v>
      </c>
      <c r="V15" s="123" t="s">
        <v>85</v>
      </c>
      <c r="W15" s="123"/>
      <c r="X15" s="123"/>
      <c r="Y15" s="72" t="s">
        <v>88</v>
      </c>
      <c r="Z15" s="72" t="s">
        <v>91</v>
      </c>
    </row>
    <row r="16" spans="1:26" ht="18" customHeight="1">
      <c r="A16" s="14"/>
      <c r="B16" s="175" t="s">
        <v>214</v>
      </c>
      <c r="C16" s="176"/>
      <c r="D16" s="176"/>
      <c r="E16" s="176"/>
      <c r="F16" s="177"/>
      <c r="G16" s="106">
        <v>2</v>
      </c>
      <c r="H16" s="106" t="s">
        <v>181</v>
      </c>
      <c r="I16" s="181" t="s">
        <v>182</v>
      </c>
      <c r="J16" s="182"/>
      <c r="K16" s="183"/>
      <c r="L16" s="106" t="s">
        <v>181</v>
      </c>
      <c r="M16" s="106"/>
      <c r="N16" s="153"/>
      <c r="O16" s="154"/>
      <c r="P16" s="154"/>
      <c r="Q16" s="154"/>
      <c r="R16" s="154"/>
      <c r="S16" s="155"/>
      <c r="T16" s="106"/>
      <c r="U16" s="106"/>
      <c r="V16" s="181"/>
      <c r="W16" s="182"/>
      <c r="X16" s="183"/>
      <c r="Y16" s="106"/>
      <c r="Z16" s="106"/>
    </row>
    <row r="17" spans="1:26" ht="18" customHeight="1">
      <c r="A17" s="14"/>
      <c r="B17" s="168" t="s">
        <v>215</v>
      </c>
      <c r="C17" s="169"/>
      <c r="D17" s="169"/>
      <c r="E17" s="169"/>
      <c r="F17" s="170"/>
      <c r="G17" s="107">
        <v>1</v>
      </c>
      <c r="H17" s="107" t="s">
        <v>181</v>
      </c>
      <c r="I17" s="162" t="s">
        <v>182</v>
      </c>
      <c r="J17" s="163"/>
      <c r="K17" s="164"/>
      <c r="L17" s="107"/>
      <c r="M17" s="107" t="s">
        <v>181</v>
      </c>
      <c r="N17" s="156"/>
      <c r="O17" s="157"/>
      <c r="P17" s="157"/>
      <c r="Q17" s="157"/>
      <c r="R17" s="157"/>
      <c r="S17" s="158"/>
      <c r="T17" s="107"/>
      <c r="U17" s="107"/>
      <c r="V17" s="162"/>
      <c r="W17" s="163"/>
      <c r="X17" s="164"/>
      <c r="Y17" s="107"/>
      <c r="Z17" s="107"/>
    </row>
    <row r="18" spans="1:26" ht="18" customHeight="1">
      <c r="A18" s="14"/>
      <c r="B18" s="168"/>
      <c r="C18" s="169"/>
      <c r="D18" s="169"/>
      <c r="E18" s="169"/>
      <c r="F18" s="170"/>
      <c r="G18" s="107"/>
      <c r="H18" s="107"/>
      <c r="I18" s="162"/>
      <c r="J18" s="163"/>
      <c r="K18" s="164"/>
      <c r="L18" s="107"/>
      <c r="M18" s="107"/>
      <c r="N18" s="156"/>
      <c r="O18" s="157"/>
      <c r="P18" s="157"/>
      <c r="Q18" s="157"/>
      <c r="R18" s="157"/>
      <c r="S18" s="158"/>
      <c r="T18" s="107"/>
      <c r="U18" s="107"/>
      <c r="V18" s="162"/>
      <c r="W18" s="163"/>
      <c r="X18" s="164"/>
      <c r="Y18" s="107"/>
      <c r="Z18" s="107"/>
    </row>
    <row r="19" spans="1:26" ht="18" customHeight="1">
      <c r="A19" s="14"/>
      <c r="B19" s="168"/>
      <c r="C19" s="169"/>
      <c r="D19" s="169"/>
      <c r="E19" s="169"/>
      <c r="F19" s="170"/>
      <c r="G19" s="107"/>
      <c r="H19" s="107"/>
      <c r="I19" s="162"/>
      <c r="J19" s="163"/>
      <c r="K19" s="164"/>
      <c r="L19" s="107"/>
      <c r="M19" s="107"/>
      <c r="N19" s="156"/>
      <c r="O19" s="157"/>
      <c r="P19" s="157"/>
      <c r="Q19" s="157"/>
      <c r="R19" s="157"/>
      <c r="S19" s="158"/>
      <c r="T19" s="107"/>
      <c r="U19" s="107"/>
      <c r="V19" s="162"/>
      <c r="W19" s="163"/>
      <c r="X19" s="164"/>
      <c r="Y19" s="107"/>
      <c r="Z19" s="107"/>
    </row>
    <row r="20" spans="1:26" ht="18" customHeight="1">
      <c r="A20" s="14"/>
      <c r="B20" s="168"/>
      <c r="C20" s="169"/>
      <c r="D20" s="169"/>
      <c r="E20" s="169"/>
      <c r="F20" s="170"/>
      <c r="G20" s="107"/>
      <c r="H20" s="107"/>
      <c r="I20" s="162"/>
      <c r="J20" s="163"/>
      <c r="K20" s="164"/>
      <c r="L20" s="107"/>
      <c r="M20" s="107"/>
      <c r="N20" s="156"/>
      <c r="O20" s="157"/>
      <c r="P20" s="157"/>
      <c r="Q20" s="157"/>
      <c r="R20" s="157"/>
      <c r="S20" s="158"/>
      <c r="T20" s="107"/>
      <c r="U20" s="107"/>
      <c r="V20" s="162"/>
      <c r="W20" s="163"/>
      <c r="X20" s="164"/>
      <c r="Y20" s="107"/>
      <c r="Z20" s="107"/>
    </row>
    <row r="21" spans="1:26" ht="18" customHeight="1">
      <c r="A21" s="29"/>
      <c r="B21" s="168"/>
      <c r="C21" s="169"/>
      <c r="D21" s="169"/>
      <c r="E21" s="169"/>
      <c r="F21" s="170"/>
      <c r="G21" s="107"/>
      <c r="H21" s="107"/>
      <c r="I21" s="162"/>
      <c r="J21" s="163"/>
      <c r="K21" s="164"/>
      <c r="L21" s="107"/>
      <c r="M21" s="107"/>
      <c r="N21" s="156"/>
      <c r="O21" s="157"/>
      <c r="P21" s="157"/>
      <c r="Q21" s="157"/>
      <c r="R21" s="157"/>
      <c r="S21" s="158"/>
      <c r="T21" s="107"/>
      <c r="U21" s="107"/>
      <c r="V21" s="162"/>
      <c r="W21" s="163"/>
      <c r="X21" s="164"/>
      <c r="Y21" s="107"/>
      <c r="Z21" s="107"/>
    </row>
    <row r="22" spans="1:26" ht="18" customHeight="1">
      <c r="A22" s="29"/>
      <c r="B22" s="171"/>
      <c r="C22" s="172"/>
      <c r="D22" s="172"/>
      <c r="E22" s="172"/>
      <c r="F22" s="173"/>
      <c r="G22" s="108"/>
      <c r="H22" s="108"/>
      <c r="I22" s="165"/>
      <c r="J22" s="166"/>
      <c r="K22" s="167"/>
      <c r="L22" s="111"/>
      <c r="M22" s="111"/>
      <c r="N22" s="159"/>
      <c r="O22" s="160"/>
      <c r="P22" s="160"/>
      <c r="Q22" s="160"/>
      <c r="R22" s="160"/>
      <c r="S22" s="161"/>
      <c r="T22" s="108"/>
      <c r="U22" s="108"/>
      <c r="V22" s="165"/>
      <c r="W22" s="166"/>
      <c r="X22" s="167"/>
      <c r="Y22" s="111"/>
      <c r="Z22" s="111"/>
    </row>
    <row r="23" spans="1:26" ht="7.5" customHeight="1">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c r="A24" s="221" t="s">
        <v>110</v>
      </c>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8" customHeight="1">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8" customHeight="1">
      <c r="A26" s="14"/>
      <c r="B26" s="122" t="s">
        <v>84</v>
      </c>
      <c r="C26" s="123"/>
      <c r="D26" s="123"/>
      <c r="E26" s="123"/>
      <c r="F26" s="124"/>
      <c r="G26" s="30" t="s">
        <v>125</v>
      </c>
      <c r="H26" s="105" t="s">
        <v>124</v>
      </c>
      <c r="I26" s="123" t="s">
        <v>85</v>
      </c>
      <c r="J26" s="123"/>
      <c r="K26" s="123"/>
      <c r="L26" s="72" t="s">
        <v>111</v>
      </c>
      <c r="M26" s="72" t="s">
        <v>112</v>
      </c>
      <c r="N26" s="122" t="s">
        <v>84</v>
      </c>
      <c r="O26" s="123"/>
      <c r="P26" s="123"/>
      <c r="Q26" s="123"/>
      <c r="R26" s="123"/>
      <c r="S26" s="124"/>
      <c r="T26" s="30" t="s">
        <v>125</v>
      </c>
      <c r="U26" s="105" t="s">
        <v>124</v>
      </c>
      <c r="V26" s="123" t="s">
        <v>85</v>
      </c>
      <c r="W26" s="123"/>
      <c r="X26" s="123"/>
      <c r="Y26" s="72" t="s">
        <v>111</v>
      </c>
      <c r="Z26" s="72" t="s">
        <v>112</v>
      </c>
    </row>
    <row r="27" spans="1:26" ht="18" customHeight="1">
      <c r="A27" s="14"/>
      <c r="B27" s="175" t="s">
        <v>180</v>
      </c>
      <c r="C27" s="176"/>
      <c r="D27" s="176"/>
      <c r="E27" s="176"/>
      <c r="F27" s="177"/>
      <c r="G27" s="106">
        <v>2</v>
      </c>
      <c r="H27" s="106" t="s">
        <v>181</v>
      </c>
      <c r="I27" s="181" t="s">
        <v>182</v>
      </c>
      <c r="J27" s="182"/>
      <c r="K27" s="183"/>
      <c r="L27" s="106" t="s">
        <v>181</v>
      </c>
      <c r="M27" s="106"/>
      <c r="N27" s="153"/>
      <c r="O27" s="154"/>
      <c r="P27" s="154"/>
      <c r="Q27" s="154"/>
      <c r="R27" s="154"/>
      <c r="S27" s="155"/>
      <c r="T27" s="106"/>
      <c r="U27" s="106"/>
      <c r="V27" s="181"/>
      <c r="W27" s="182"/>
      <c r="X27" s="183"/>
      <c r="Y27" s="106"/>
      <c r="Z27" s="106"/>
    </row>
    <row r="28" spans="1:26" ht="18" customHeight="1">
      <c r="A28" s="14"/>
      <c r="B28" s="168" t="s">
        <v>183</v>
      </c>
      <c r="C28" s="169"/>
      <c r="D28" s="169"/>
      <c r="E28" s="169"/>
      <c r="F28" s="170"/>
      <c r="G28" s="107">
        <v>1</v>
      </c>
      <c r="H28" s="107" t="s">
        <v>181</v>
      </c>
      <c r="I28" s="162" t="s">
        <v>182</v>
      </c>
      <c r="J28" s="163"/>
      <c r="K28" s="164"/>
      <c r="L28" s="107"/>
      <c r="M28" s="107" t="s">
        <v>181</v>
      </c>
      <c r="N28" s="156"/>
      <c r="O28" s="157"/>
      <c r="P28" s="157"/>
      <c r="Q28" s="157"/>
      <c r="R28" s="157"/>
      <c r="S28" s="158"/>
      <c r="T28" s="107"/>
      <c r="U28" s="107"/>
      <c r="V28" s="162"/>
      <c r="W28" s="163"/>
      <c r="X28" s="164"/>
      <c r="Y28" s="107"/>
      <c r="Z28" s="107"/>
    </row>
    <row r="29" spans="1:26" ht="18" customHeight="1">
      <c r="A29" s="14"/>
      <c r="B29" s="168" t="s">
        <v>184</v>
      </c>
      <c r="C29" s="169"/>
      <c r="D29" s="169"/>
      <c r="E29" s="169"/>
      <c r="F29" s="170"/>
      <c r="G29" s="107">
        <v>1</v>
      </c>
      <c r="H29" s="107" t="s">
        <v>181</v>
      </c>
      <c r="I29" s="162" t="s">
        <v>182</v>
      </c>
      <c r="J29" s="163"/>
      <c r="K29" s="164"/>
      <c r="L29" s="107" t="s">
        <v>181</v>
      </c>
      <c r="M29" s="107"/>
      <c r="N29" s="156"/>
      <c r="O29" s="157"/>
      <c r="P29" s="157"/>
      <c r="Q29" s="157"/>
      <c r="R29" s="157"/>
      <c r="S29" s="158"/>
      <c r="T29" s="107"/>
      <c r="U29" s="107"/>
      <c r="V29" s="162"/>
      <c r="W29" s="163"/>
      <c r="X29" s="164"/>
      <c r="Y29" s="107"/>
      <c r="Z29" s="107"/>
    </row>
    <row r="30" spans="1:26" ht="18" customHeight="1">
      <c r="A30" s="14"/>
      <c r="B30" s="168"/>
      <c r="C30" s="169"/>
      <c r="D30" s="169"/>
      <c r="E30" s="169"/>
      <c r="F30" s="170"/>
      <c r="G30" s="107"/>
      <c r="H30" s="107"/>
      <c r="I30" s="162"/>
      <c r="J30" s="163"/>
      <c r="K30" s="164"/>
      <c r="L30" s="107"/>
      <c r="M30" s="107"/>
      <c r="N30" s="156"/>
      <c r="O30" s="157"/>
      <c r="P30" s="157"/>
      <c r="Q30" s="157"/>
      <c r="R30" s="157"/>
      <c r="S30" s="158"/>
      <c r="T30" s="107"/>
      <c r="U30" s="107"/>
      <c r="V30" s="162"/>
      <c r="W30" s="163"/>
      <c r="X30" s="164"/>
      <c r="Y30" s="107"/>
      <c r="Z30" s="107"/>
    </row>
    <row r="31" spans="1:26" ht="18" customHeight="1">
      <c r="A31" s="14"/>
      <c r="B31" s="168"/>
      <c r="C31" s="169"/>
      <c r="D31" s="169"/>
      <c r="E31" s="169"/>
      <c r="F31" s="170"/>
      <c r="G31" s="107"/>
      <c r="H31" s="107"/>
      <c r="I31" s="162"/>
      <c r="J31" s="163"/>
      <c r="K31" s="164"/>
      <c r="L31" s="107"/>
      <c r="M31" s="107"/>
      <c r="N31" s="156"/>
      <c r="O31" s="157"/>
      <c r="P31" s="157"/>
      <c r="Q31" s="157"/>
      <c r="R31" s="157"/>
      <c r="S31" s="158"/>
      <c r="T31" s="107"/>
      <c r="U31" s="107"/>
      <c r="V31" s="162"/>
      <c r="W31" s="163"/>
      <c r="X31" s="164"/>
      <c r="Y31" s="107"/>
      <c r="Z31" s="107"/>
    </row>
    <row r="32" spans="1:26" ht="18" customHeight="1">
      <c r="A32" s="14"/>
      <c r="B32" s="168"/>
      <c r="C32" s="169"/>
      <c r="D32" s="169"/>
      <c r="E32" s="169"/>
      <c r="F32" s="170"/>
      <c r="G32" s="107"/>
      <c r="H32" s="107"/>
      <c r="I32" s="162"/>
      <c r="J32" s="163"/>
      <c r="K32" s="164"/>
      <c r="L32" s="107"/>
      <c r="M32" s="107"/>
      <c r="N32" s="156"/>
      <c r="O32" s="157"/>
      <c r="P32" s="157"/>
      <c r="Q32" s="157"/>
      <c r="R32" s="157"/>
      <c r="S32" s="158"/>
      <c r="T32" s="107"/>
      <c r="U32" s="107"/>
      <c r="V32" s="162"/>
      <c r="W32" s="163"/>
      <c r="X32" s="164"/>
      <c r="Y32" s="107"/>
      <c r="Z32" s="107"/>
    </row>
    <row r="33" spans="1:26" ht="18" customHeight="1">
      <c r="A33" s="14"/>
      <c r="B33" s="171"/>
      <c r="C33" s="172"/>
      <c r="D33" s="172"/>
      <c r="E33" s="172"/>
      <c r="F33" s="173"/>
      <c r="G33" s="108"/>
      <c r="H33" s="108"/>
      <c r="I33" s="165"/>
      <c r="J33" s="166"/>
      <c r="K33" s="167"/>
      <c r="L33" s="111"/>
      <c r="M33" s="111"/>
      <c r="N33" s="159"/>
      <c r="O33" s="160"/>
      <c r="P33" s="160"/>
      <c r="Q33" s="160"/>
      <c r="R33" s="160"/>
      <c r="S33" s="161"/>
      <c r="T33" s="108"/>
      <c r="U33" s="108"/>
      <c r="V33" s="165"/>
      <c r="W33" s="166"/>
      <c r="X33" s="167"/>
      <c r="Y33" s="111"/>
      <c r="Z33" s="111"/>
    </row>
    <row r="34" spans="1:26" ht="7.5" customHeight="1">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c r="A35" s="221" t="s">
        <v>113</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8" customHeight="1">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8" customHeight="1">
      <c r="A37" s="14"/>
      <c r="B37" s="122" t="s">
        <v>84</v>
      </c>
      <c r="C37" s="123"/>
      <c r="D37" s="123"/>
      <c r="E37" s="123"/>
      <c r="F37" s="124"/>
      <c r="G37" s="30" t="s">
        <v>125</v>
      </c>
      <c r="H37" s="105" t="s">
        <v>124</v>
      </c>
      <c r="I37" s="122" t="s">
        <v>85</v>
      </c>
      <c r="J37" s="123"/>
      <c r="K37" s="124"/>
      <c r="L37" s="72" t="s">
        <v>114</v>
      </c>
      <c r="M37" s="72" t="s">
        <v>115</v>
      </c>
      <c r="N37" s="122" t="s">
        <v>84</v>
      </c>
      <c r="O37" s="123"/>
      <c r="P37" s="123"/>
      <c r="Q37" s="123"/>
      <c r="R37" s="123"/>
      <c r="S37" s="124"/>
      <c r="T37" s="30" t="s">
        <v>125</v>
      </c>
      <c r="U37" s="105" t="s">
        <v>124</v>
      </c>
      <c r="V37" s="122" t="s">
        <v>85</v>
      </c>
      <c r="W37" s="123"/>
      <c r="X37" s="124"/>
      <c r="Y37" s="72" t="s">
        <v>114</v>
      </c>
      <c r="Z37" s="72" t="s">
        <v>115</v>
      </c>
    </row>
    <row r="38" spans="1:26" ht="18" customHeight="1">
      <c r="A38" s="29"/>
      <c r="B38" s="175" t="s">
        <v>183</v>
      </c>
      <c r="C38" s="176"/>
      <c r="D38" s="176"/>
      <c r="E38" s="176"/>
      <c r="F38" s="177"/>
      <c r="G38" s="106">
        <v>1</v>
      </c>
      <c r="H38" s="106" t="s">
        <v>181</v>
      </c>
      <c r="I38" s="181" t="s">
        <v>182</v>
      </c>
      <c r="J38" s="182"/>
      <c r="K38" s="183"/>
      <c r="L38" s="106" t="s">
        <v>181</v>
      </c>
      <c r="M38" s="106"/>
      <c r="N38" s="153"/>
      <c r="O38" s="154"/>
      <c r="P38" s="154"/>
      <c r="Q38" s="154"/>
      <c r="R38" s="154"/>
      <c r="S38" s="155"/>
      <c r="T38" s="106"/>
      <c r="U38" s="106"/>
      <c r="V38" s="181"/>
      <c r="W38" s="182"/>
      <c r="X38" s="183"/>
      <c r="Y38" s="106"/>
      <c r="Z38" s="106"/>
    </row>
    <row r="39" spans="1:26" ht="18" customHeight="1">
      <c r="A39" s="29"/>
      <c r="B39" s="168" t="s">
        <v>180</v>
      </c>
      <c r="C39" s="169"/>
      <c r="D39" s="169"/>
      <c r="E39" s="169"/>
      <c r="F39" s="170"/>
      <c r="G39" s="107">
        <v>2</v>
      </c>
      <c r="H39" s="107" t="s">
        <v>181</v>
      </c>
      <c r="I39" s="162" t="s">
        <v>182</v>
      </c>
      <c r="J39" s="163"/>
      <c r="K39" s="164"/>
      <c r="L39" s="107"/>
      <c r="M39" s="107" t="s">
        <v>181</v>
      </c>
      <c r="N39" s="156"/>
      <c r="O39" s="157"/>
      <c r="P39" s="157"/>
      <c r="Q39" s="157"/>
      <c r="R39" s="157"/>
      <c r="S39" s="158"/>
      <c r="T39" s="107"/>
      <c r="U39" s="107"/>
      <c r="V39" s="162"/>
      <c r="W39" s="163"/>
      <c r="X39" s="164"/>
      <c r="Y39" s="107"/>
      <c r="Z39" s="107"/>
    </row>
    <row r="40" spans="1:26" ht="18" customHeight="1">
      <c r="A40" s="29"/>
      <c r="B40" s="218"/>
      <c r="C40" s="219"/>
      <c r="D40" s="219"/>
      <c r="E40" s="219"/>
      <c r="F40" s="220"/>
      <c r="G40" s="119"/>
      <c r="H40" s="107"/>
      <c r="I40" s="162"/>
      <c r="J40" s="163"/>
      <c r="K40" s="164"/>
      <c r="L40" s="107"/>
      <c r="M40" s="107"/>
      <c r="N40" s="156"/>
      <c r="O40" s="157"/>
      <c r="P40" s="157"/>
      <c r="Q40" s="157"/>
      <c r="R40" s="157"/>
      <c r="S40" s="158"/>
      <c r="T40" s="107"/>
      <c r="U40" s="107"/>
      <c r="V40" s="162"/>
      <c r="W40" s="163"/>
      <c r="X40" s="164"/>
      <c r="Y40" s="107"/>
      <c r="Z40" s="107"/>
    </row>
    <row r="41" spans="1:26" ht="18" customHeight="1">
      <c r="A41" s="29"/>
      <c r="B41" s="168"/>
      <c r="C41" s="169"/>
      <c r="D41" s="169"/>
      <c r="E41" s="169"/>
      <c r="F41" s="170"/>
      <c r="G41" s="107"/>
      <c r="H41" s="107"/>
      <c r="I41" s="162"/>
      <c r="J41" s="163"/>
      <c r="K41" s="164"/>
      <c r="L41" s="107"/>
      <c r="M41" s="107"/>
      <c r="N41" s="156"/>
      <c r="O41" s="157"/>
      <c r="P41" s="157"/>
      <c r="Q41" s="157"/>
      <c r="R41" s="157"/>
      <c r="S41" s="158"/>
      <c r="T41" s="107"/>
      <c r="U41" s="107"/>
      <c r="V41" s="162"/>
      <c r="W41" s="163"/>
      <c r="X41" s="164"/>
      <c r="Y41" s="107"/>
      <c r="Z41" s="107"/>
    </row>
    <row r="42" spans="1:26" ht="18" customHeight="1">
      <c r="A42" s="29"/>
      <c r="B42" s="168"/>
      <c r="C42" s="169"/>
      <c r="D42" s="169"/>
      <c r="E42" s="169"/>
      <c r="F42" s="170"/>
      <c r="G42" s="107"/>
      <c r="H42" s="107"/>
      <c r="I42" s="162"/>
      <c r="J42" s="163"/>
      <c r="K42" s="164"/>
      <c r="L42" s="107"/>
      <c r="M42" s="107"/>
      <c r="N42" s="156"/>
      <c r="O42" s="157"/>
      <c r="P42" s="157"/>
      <c r="Q42" s="157"/>
      <c r="R42" s="157"/>
      <c r="S42" s="158"/>
      <c r="T42" s="107"/>
      <c r="U42" s="107"/>
      <c r="V42" s="162"/>
      <c r="W42" s="163"/>
      <c r="X42" s="164"/>
      <c r="Y42" s="107"/>
      <c r="Z42" s="107"/>
    </row>
    <row r="43" spans="1:26" ht="18" customHeight="1">
      <c r="A43" s="29"/>
      <c r="B43" s="168"/>
      <c r="C43" s="169"/>
      <c r="D43" s="169"/>
      <c r="E43" s="169"/>
      <c r="F43" s="170"/>
      <c r="G43" s="107"/>
      <c r="H43" s="107"/>
      <c r="I43" s="162"/>
      <c r="J43" s="163"/>
      <c r="K43" s="164"/>
      <c r="L43" s="107"/>
      <c r="M43" s="107"/>
      <c r="N43" s="156"/>
      <c r="O43" s="157"/>
      <c r="P43" s="157"/>
      <c r="Q43" s="157"/>
      <c r="R43" s="157"/>
      <c r="S43" s="158"/>
      <c r="T43" s="107"/>
      <c r="U43" s="107"/>
      <c r="V43" s="162"/>
      <c r="W43" s="163"/>
      <c r="X43" s="164"/>
      <c r="Y43" s="107"/>
      <c r="Z43" s="107"/>
    </row>
    <row r="44" spans="1:26" ht="18" customHeight="1">
      <c r="A44" s="29"/>
      <c r="B44" s="171"/>
      <c r="C44" s="172"/>
      <c r="D44" s="172"/>
      <c r="E44" s="172"/>
      <c r="F44" s="173"/>
      <c r="G44" s="108"/>
      <c r="H44" s="108"/>
      <c r="I44" s="165"/>
      <c r="J44" s="166"/>
      <c r="K44" s="167"/>
      <c r="L44" s="111"/>
      <c r="M44" s="111"/>
      <c r="N44" s="159"/>
      <c r="O44" s="160"/>
      <c r="P44" s="160"/>
      <c r="Q44" s="160"/>
      <c r="R44" s="160"/>
      <c r="S44" s="161"/>
      <c r="T44" s="108"/>
      <c r="U44" s="108"/>
      <c r="V44" s="165"/>
      <c r="W44" s="166"/>
      <c r="X44" s="167"/>
      <c r="Y44" s="111"/>
      <c r="Z44" s="111"/>
    </row>
    <row r="45" spans="1:26" ht="7.5" customHeight="1">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c r="A46" s="221" t="s">
        <v>116</v>
      </c>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8" customHeight="1">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8" customHeight="1">
      <c r="A48" s="14"/>
      <c r="B48" s="122" t="s">
        <v>84</v>
      </c>
      <c r="C48" s="123"/>
      <c r="D48" s="123"/>
      <c r="E48" s="123"/>
      <c r="F48" s="124"/>
      <c r="G48" s="30" t="s">
        <v>125</v>
      </c>
      <c r="H48" s="105" t="s">
        <v>124</v>
      </c>
      <c r="I48" s="122" t="s">
        <v>85</v>
      </c>
      <c r="J48" s="123"/>
      <c r="K48" s="124"/>
      <c r="L48" s="72" t="s">
        <v>90</v>
      </c>
      <c r="M48" s="72" t="s">
        <v>92</v>
      </c>
      <c r="N48" s="122" t="s">
        <v>84</v>
      </c>
      <c r="O48" s="123"/>
      <c r="P48" s="123"/>
      <c r="Q48" s="123"/>
      <c r="R48" s="123"/>
      <c r="S48" s="124"/>
      <c r="T48" s="30" t="s">
        <v>125</v>
      </c>
      <c r="U48" s="105" t="s">
        <v>124</v>
      </c>
      <c r="V48" s="122" t="s">
        <v>85</v>
      </c>
      <c r="W48" s="123"/>
      <c r="X48" s="124"/>
      <c r="Y48" s="72" t="s">
        <v>90</v>
      </c>
      <c r="Z48" s="72" t="s">
        <v>92</v>
      </c>
    </row>
    <row r="49" spans="1:26" ht="18" customHeight="1">
      <c r="A49" s="29"/>
      <c r="B49" s="175" t="s">
        <v>216</v>
      </c>
      <c r="C49" s="176"/>
      <c r="D49" s="176"/>
      <c r="E49" s="176"/>
      <c r="F49" s="177"/>
      <c r="G49" s="106">
        <v>1</v>
      </c>
      <c r="H49" s="106" t="s">
        <v>181</v>
      </c>
      <c r="I49" s="181" t="s">
        <v>182</v>
      </c>
      <c r="J49" s="182"/>
      <c r="K49" s="183"/>
      <c r="L49" s="106" t="s">
        <v>181</v>
      </c>
      <c r="M49" s="106" t="s">
        <v>181</v>
      </c>
      <c r="N49" s="153"/>
      <c r="O49" s="154"/>
      <c r="P49" s="154"/>
      <c r="Q49" s="154"/>
      <c r="R49" s="154"/>
      <c r="S49" s="155"/>
      <c r="T49" s="106"/>
      <c r="U49" s="106"/>
      <c r="V49" s="181"/>
      <c r="W49" s="182"/>
      <c r="X49" s="183"/>
      <c r="Y49" s="106"/>
      <c r="Z49" s="106"/>
    </row>
    <row r="50" spans="1:26" ht="18" customHeight="1">
      <c r="A50" s="29"/>
      <c r="B50" s="168" t="s">
        <v>184</v>
      </c>
      <c r="C50" s="169"/>
      <c r="D50" s="169"/>
      <c r="E50" s="169"/>
      <c r="F50" s="170"/>
      <c r="G50" s="107">
        <v>1</v>
      </c>
      <c r="H50" s="107" t="s">
        <v>181</v>
      </c>
      <c r="I50" s="162" t="s">
        <v>182</v>
      </c>
      <c r="J50" s="163"/>
      <c r="K50" s="164"/>
      <c r="L50" s="107" t="s">
        <v>181</v>
      </c>
      <c r="M50" s="107"/>
      <c r="N50" s="156"/>
      <c r="O50" s="157"/>
      <c r="P50" s="157"/>
      <c r="Q50" s="157"/>
      <c r="R50" s="157"/>
      <c r="S50" s="158"/>
      <c r="T50" s="107"/>
      <c r="U50" s="107"/>
      <c r="V50" s="162"/>
      <c r="W50" s="163"/>
      <c r="X50" s="164"/>
      <c r="Y50" s="107"/>
      <c r="Z50" s="107"/>
    </row>
    <row r="51" spans="1:26" ht="18" customHeight="1">
      <c r="A51" s="29"/>
      <c r="B51" s="168"/>
      <c r="C51" s="169"/>
      <c r="D51" s="169"/>
      <c r="E51" s="169"/>
      <c r="F51" s="170"/>
      <c r="G51" s="107"/>
      <c r="H51" s="107"/>
      <c r="I51" s="162"/>
      <c r="J51" s="163"/>
      <c r="K51" s="164"/>
      <c r="L51" s="107"/>
      <c r="M51" s="107"/>
      <c r="N51" s="156"/>
      <c r="O51" s="157"/>
      <c r="P51" s="157"/>
      <c r="Q51" s="157"/>
      <c r="R51" s="157"/>
      <c r="S51" s="158"/>
      <c r="T51" s="107"/>
      <c r="U51" s="107"/>
      <c r="V51" s="162"/>
      <c r="W51" s="163"/>
      <c r="X51" s="164"/>
      <c r="Y51" s="107"/>
      <c r="Z51" s="107"/>
    </row>
    <row r="52" spans="1:26" ht="18" customHeight="1">
      <c r="A52" s="29"/>
      <c r="B52" s="168"/>
      <c r="C52" s="169"/>
      <c r="D52" s="169"/>
      <c r="E52" s="169"/>
      <c r="F52" s="170"/>
      <c r="G52" s="107"/>
      <c r="H52" s="107"/>
      <c r="I52" s="162"/>
      <c r="J52" s="163"/>
      <c r="K52" s="164"/>
      <c r="L52" s="107"/>
      <c r="M52" s="107"/>
      <c r="N52" s="156"/>
      <c r="O52" s="157"/>
      <c r="P52" s="157"/>
      <c r="Q52" s="157"/>
      <c r="R52" s="157"/>
      <c r="S52" s="158"/>
      <c r="T52" s="107"/>
      <c r="U52" s="107"/>
      <c r="V52" s="162"/>
      <c r="W52" s="163"/>
      <c r="X52" s="164"/>
      <c r="Y52" s="107"/>
      <c r="Z52" s="107"/>
    </row>
    <row r="53" spans="1:26" ht="18" customHeight="1">
      <c r="A53" s="29"/>
      <c r="B53" s="168"/>
      <c r="C53" s="169"/>
      <c r="D53" s="169"/>
      <c r="E53" s="169"/>
      <c r="F53" s="170"/>
      <c r="G53" s="107"/>
      <c r="H53" s="107"/>
      <c r="I53" s="162"/>
      <c r="J53" s="163"/>
      <c r="K53" s="164"/>
      <c r="L53" s="107"/>
      <c r="M53" s="107"/>
      <c r="N53" s="156"/>
      <c r="O53" s="157"/>
      <c r="P53" s="157"/>
      <c r="Q53" s="157"/>
      <c r="R53" s="157"/>
      <c r="S53" s="158"/>
      <c r="T53" s="107"/>
      <c r="U53" s="107"/>
      <c r="V53" s="162"/>
      <c r="W53" s="163"/>
      <c r="X53" s="164"/>
      <c r="Y53" s="107"/>
      <c r="Z53" s="107"/>
    </row>
    <row r="54" spans="1:26" ht="18" customHeight="1">
      <c r="A54" s="29"/>
      <c r="B54" s="168"/>
      <c r="C54" s="169"/>
      <c r="D54" s="169"/>
      <c r="E54" s="169"/>
      <c r="F54" s="170"/>
      <c r="G54" s="107"/>
      <c r="H54" s="107"/>
      <c r="I54" s="162"/>
      <c r="J54" s="163"/>
      <c r="K54" s="164"/>
      <c r="L54" s="107"/>
      <c r="M54" s="107"/>
      <c r="N54" s="156"/>
      <c r="O54" s="157"/>
      <c r="P54" s="157"/>
      <c r="Q54" s="157"/>
      <c r="R54" s="157"/>
      <c r="S54" s="158"/>
      <c r="T54" s="107"/>
      <c r="U54" s="107"/>
      <c r="V54" s="162"/>
      <c r="W54" s="163"/>
      <c r="X54" s="164"/>
      <c r="Y54" s="107"/>
      <c r="Z54" s="107"/>
    </row>
    <row r="55" spans="1:26" ht="18" customHeight="1">
      <c r="A55" s="29"/>
      <c r="B55" s="171"/>
      <c r="C55" s="172"/>
      <c r="D55" s="172"/>
      <c r="E55" s="172"/>
      <c r="F55" s="173"/>
      <c r="G55" s="108"/>
      <c r="H55" s="108"/>
      <c r="I55" s="165"/>
      <c r="J55" s="166"/>
      <c r="K55" s="167"/>
      <c r="L55" s="111"/>
      <c r="M55" s="111"/>
      <c r="N55" s="159"/>
      <c r="O55" s="160"/>
      <c r="P55" s="160"/>
      <c r="Q55" s="160"/>
      <c r="R55" s="160"/>
      <c r="S55" s="161"/>
      <c r="T55" s="108"/>
      <c r="U55" s="108"/>
      <c r="V55" s="165"/>
      <c r="W55" s="166"/>
      <c r="X55" s="167"/>
      <c r="Y55" s="111"/>
      <c r="Z55" s="111"/>
    </row>
    <row r="56" spans="1:26" ht="7.5" customHeight="1">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c r="A57" s="221" t="s">
        <v>117</v>
      </c>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8" customHeight="1">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8" customHeight="1">
      <c r="A59" s="14"/>
      <c r="B59" s="122" t="s">
        <v>84</v>
      </c>
      <c r="C59" s="123"/>
      <c r="D59" s="123"/>
      <c r="E59" s="124"/>
      <c r="F59" s="30" t="s">
        <v>125</v>
      </c>
      <c r="G59" s="105" t="s">
        <v>124</v>
      </c>
      <c r="H59" s="26" t="s">
        <v>85</v>
      </c>
      <c r="I59" s="120"/>
      <c r="J59" s="27"/>
      <c r="K59" s="72" t="s">
        <v>89</v>
      </c>
      <c r="L59" s="72" t="s">
        <v>118</v>
      </c>
      <c r="M59" s="72" t="s">
        <v>119</v>
      </c>
      <c r="N59" s="122" t="s">
        <v>84</v>
      </c>
      <c r="O59" s="123"/>
      <c r="P59" s="123"/>
      <c r="Q59" s="123"/>
      <c r="R59" s="124"/>
      <c r="S59" s="30" t="s">
        <v>125</v>
      </c>
      <c r="T59" s="105" t="s">
        <v>124</v>
      </c>
      <c r="U59" s="26" t="s">
        <v>85</v>
      </c>
      <c r="V59" s="120"/>
      <c r="W59" s="27"/>
      <c r="X59" s="72" t="s">
        <v>89</v>
      </c>
      <c r="Y59" s="72" t="s">
        <v>118</v>
      </c>
      <c r="Z59" s="72" t="s">
        <v>119</v>
      </c>
    </row>
    <row r="60" spans="1:26" ht="18" customHeight="1">
      <c r="A60" s="29"/>
      <c r="B60" s="153" t="s">
        <v>220</v>
      </c>
      <c r="C60" s="154"/>
      <c r="D60" s="154"/>
      <c r="E60" s="155"/>
      <c r="F60" s="106">
        <v>1</v>
      </c>
      <c r="G60" s="106" t="s">
        <v>181</v>
      </c>
      <c r="H60" s="181" t="s">
        <v>182</v>
      </c>
      <c r="I60" s="182"/>
      <c r="J60" s="183"/>
      <c r="K60" s="106" t="s">
        <v>181</v>
      </c>
      <c r="L60" s="106" t="s">
        <v>181</v>
      </c>
      <c r="M60" s="106" t="s">
        <v>181</v>
      </c>
      <c r="N60" s="153"/>
      <c r="O60" s="154"/>
      <c r="P60" s="154"/>
      <c r="Q60" s="154"/>
      <c r="R60" s="155"/>
      <c r="S60" s="106"/>
      <c r="T60" s="106"/>
      <c r="U60" s="181"/>
      <c r="V60" s="182"/>
      <c r="W60" s="183"/>
      <c r="X60" s="116"/>
      <c r="Y60" s="106"/>
      <c r="Z60" s="106"/>
    </row>
    <row r="61" spans="1:26" ht="18" customHeight="1">
      <c r="A61" s="29"/>
      <c r="B61" s="205" t="s">
        <v>218</v>
      </c>
      <c r="C61" s="206"/>
      <c r="D61" s="206"/>
      <c r="E61" s="207"/>
      <c r="F61" s="119">
        <v>2</v>
      </c>
      <c r="G61" s="119" t="s">
        <v>181</v>
      </c>
      <c r="H61" s="184" t="s">
        <v>182</v>
      </c>
      <c r="I61" s="185"/>
      <c r="J61" s="186"/>
      <c r="K61" s="119" t="s">
        <v>181</v>
      </c>
      <c r="L61" s="119" t="s">
        <v>181</v>
      </c>
      <c r="M61" s="119" t="s">
        <v>181</v>
      </c>
      <c r="N61" s="156"/>
      <c r="O61" s="157"/>
      <c r="P61" s="157"/>
      <c r="Q61" s="157"/>
      <c r="R61" s="158"/>
      <c r="S61" s="107"/>
      <c r="T61" s="107"/>
      <c r="U61" s="162"/>
      <c r="V61" s="163"/>
      <c r="W61" s="164"/>
      <c r="X61" s="117"/>
      <c r="Y61" s="107"/>
      <c r="Z61" s="107"/>
    </row>
    <row r="62" spans="1:26" ht="18" customHeight="1">
      <c r="A62" s="29"/>
      <c r="B62" s="156" t="s">
        <v>217</v>
      </c>
      <c r="C62" s="157"/>
      <c r="D62" s="157"/>
      <c r="E62" s="158"/>
      <c r="F62" s="107">
        <v>1</v>
      </c>
      <c r="G62" s="107" t="s">
        <v>181</v>
      </c>
      <c r="H62" s="162" t="s">
        <v>182</v>
      </c>
      <c r="I62" s="163"/>
      <c r="J62" s="164"/>
      <c r="K62" s="119" t="s">
        <v>181</v>
      </c>
      <c r="L62" s="119"/>
      <c r="M62" s="119"/>
      <c r="N62" s="156"/>
      <c r="O62" s="157"/>
      <c r="P62" s="157"/>
      <c r="Q62" s="157"/>
      <c r="R62" s="158"/>
      <c r="S62" s="107"/>
      <c r="T62" s="107"/>
      <c r="U62" s="162"/>
      <c r="V62" s="163"/>
      <c r="W62" s="164"/>
      <c r="X62" s="117"/>
      <c r="Y62" s="107"/>
      <c r="Z62" s="107"/>
    </row>
    <row r="63" spans="1:26" ht="18" customHeight="1">
      <c r="A63" s="29"/>
      <c r="B63" s="156"/>
      <c r="C63" s="157"/>
      <c r="D63" s="157"/>
      <c r="E63" s="158"/>
      <c r="F63" s="107"/>
      <c r="G63" s="107"/>
      <c r="H63" s="162"/>
      <c r="I63" s="163"/>
      <c r="J63" s="164"/>
      <c r="K63" s="117"/>
      <c r="L63" s="107"/>
      <c r="M63" s="107"/>
      <c r="N63" s="156"/>
      <c r="O63" s="157"/>
      <c r="P63" s="157"/>
      <c r="Q63" s="157"/>
      <c r="R63" s="158"/>
      <c r="S63" s="107"/>
      <c r="T63" s="107"/>
      <c r="U63" s="162"/>
      <c r="V63" s="163"/>
      <c r="W63" s="164"/>
      <c r="X63" s="117"/>
      <c r="Y63" s="107"/>
      <c r="Z63" s="107"/>
    </row>
    <row r="64" spans="1:26" ht="18" customHeight="1">
      <c r="A64" s="29"/>
      <c r="B64" s="156"/>
      <c r="C64" s="157"/>
      <c r="D64" s="157"/>
      <c r="E64" s="158"/>
      <c r="F64" s="107"/>
      <c r="G64" s="107"/>
      <c r="H64" s="162"/>
      <c r="I64" s="163"/>
      <c r="J64" s="164"/>
      <c r="K64" s="117"/>
      <c r="L64" s="107"/>
      <c r="M64" s="107"/>
      <c r="N64" s="156"/>
      <c r="O64" s="157"/>
      <c r="P64" s="157"/>
      <c r="Q64" s="157"/>
      <c r="R64" s="158"/>
      <c r="S64" s="107"/>
      <c r="T64" s="107"/>
      <c r="U64" s="162"/>
      <c r="V64" s="163"/>
      <c r="W64" s="164"/>
      <c r="X64" s="117"/>
      <c r="Y64" s="107"/>
      <c r="Z64" s="107"/>
    </row>
    <row r="65" spans="1:26" ht="18" customHeight="1">
      <c r="A65" s="29"/>
      <c r="B65" s="156"/>
      <c r="C65" s="157"/>
      <c r="D65" s="157"/>
      <c r="E65" s="158"/>
      <c r="F65" s="107"/>
      <c r="G65" s="107"/>
      <c r="H65" s="162"/>
      <c r="I65" s="163"/>
      <c r="J65" s="164"/>
      <c r="K65" s="117"/>
      <c r="L65" s="107"/>
      <c r="M65" s="107"/>
      <c r="N65" s="156"/>
      <c r="O65" s="157"/>
      <c r="P65" s="157"/>
      <c r="Q65" s="157"/>
      <c r="R65" s="158"/>
      <c r="S65" s="107"/>
      <c r="T65" s="107"/>
      <c r="U65" s="162"/>
      <c r="V65" s="163"/>
      <c r="W65" s="164"/>
      <c r="X65" s="117"/>
      <c r="Y65" s="107"/>
      <c r="Z65" s="107"/>
    </row>
    <row r="66" spans="1:26" ht="18" customHeight="1">
      <c r="A66" s="29"/>
      <c r="B66" s="159"/>
      <c r="C66" s="160"/>
      <c r="D66" s="160"/>
      <c r="E66" s="161"/>
      <c r="F66" s="108"/>
      <c r="G66" s="108"/>
      <c r="H66" s="165"/>
      <c r="I66" s="166"/>
      <c r="J66" s="167"/>
      <c r="K66" s="118"/>
      <c r="L66" s="111"/>
      <c r="M66" s="111"/>
      <c r="N66" s="159"/>
      <c r="O66" s="160"/>
      <c r="P66" s="160"/>
      <c r="Q66" s="160"/>
      <c r="R66" s="161"/>
      <c r="S66" s="108"/>
      <c r="T66" s="108"/>
      <c r="U66" s="165"/>
      <c r="V66" s="166"/>
      <c r="W66" s="167"/>
      <c r="X66" s="118"/>
      <c r="Y66" s="111"/>
      <c r="Z66" s="111"/>
    </row>
    <row r="67" spans="1:26" ht="7.5" customHeight="1">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c r="A68" s="14" t="s">
        <v>120</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22" t="s">
        <v>84</v>
      </c>
      <c r="C69" s="123"/>
      <c r="D69" s="123"/>
      <c r="E69" s="123"/>
      <c r="F69" s="124"/>
      <c r="G69" s="122" t="s">
        <v>130</v>
      </c>
      <c r="H69" s="123"/>
      <c r="I69" s="123"/>
      <c r="J69" s="123"/>
      <c r="K69" s="123"/>
      <c r="L69" s="123"/>
      <c r="M69" s="124"/>
      <c r="N69" s="178" t="s">
        <v>84</v>
      </c>
      <c r="O69" s="179"/>
      <c r="P69" s="179"/>
      <c r="Q69" s="179"/>
      <c r="R69" s="179"/>
      <c r="S69" s="180"/>
      <c r="T69" s="122" t="s">
        <v>130</v>
      </c>
      <c r="U69" s="123"/>
      <c r="V69" s="123"/>
      <c r="W69" s="123"/>
      <c r="X69" s="123"/>
      <c r="Y69" s="123"/>
      <c r="Z69" s="124"/>
    </row>
    <row r="70" spans="1:26" ht="18" customHeight="1">
      <c r="A70" s="29"/>
      <c r="B70" s="153" t="s">
        <v>221</v>
      </c>
      <c r="C70" s="154"/>
      <c r="D70" s="154"/>
      <c r="E70" s="154"/>
      <c r="F70" s="155"/>
      <c r="G70" s="232" t="s">
        <v>185</v>
      </c>
      <c r="H70" s="233"/>
      <c r="I70" s="233"/>
      <c r="J70" s="233"/>
      <c r="K70" s="233"/>
      <c r="L70" s="233"/>
      <c r="M70" s="234"/>
      <c r="N70" s="153"/>
      <c r="O70" s="154"/>
      <c r="P70" s="154"/>
      <c r="Q70" s="154"/>
      <c r="R70" s="154"/>
      <c r="S70" s="155"/>
      <c r="T70" s="232"/>
      <c r="U70" s="233"/>
      <c r="V70" s="233"/>
      <c r="W70" s="233"/>
      <c r="X70" s="233"/>
      <c r="Y70" s="233"/>
      <c r="Z70" s="234"/>
    </row>
    <row r="71" spans="1:26" ht="18" customHeight="1">
      <c r="A71" s="29"/>
      <c r="B71" s="156" t="s">
        <v>219</v>
      </c>
      <c r="C71" s="157"/>
      <c r="D71" s="157"/>
      <c r="E71" s="157"/>
      <c r="F71" s="158"/>
      <c r="G71" s="202" t="s">
        <v>186</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29"/>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29"/>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29"/>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29"/>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29"/>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29"/>
      <c r="B77" s="73"/>
      <c r="C77" s="73"/>
      <c r="D77" s="73"/>
      <c r="E77" s="73"/>
      <c r="F77" s="73"/>
      <c r="G77" s="121"/>
      <c r="H77" s="121"/>
      <c r="I77" s="121"/>
      <c r="J77" s="121"/>
      <c r="K77" s="121"/>
      <c r="L77" s="121"/>
      <c r="M77" s="121"/>
      <c r="N77" s="73"/>
      <c r="O77" s="73"/>
      <c r="P77" s="73"/>
      <c r="Q77" s="73"/>
      <c r="R77" s="73"/>
      <c r="S77" s="73"/>
      <c r="T77" s="121"/>
      <c r="U77" s="121"/>
      <c r="V77" s="121"/>
      <c r="W77" s="121"/>
      <c r="X77" s="121"/>
      <c r="Y77" s="121"/>
      <c r="Z77" s="121"/>
    </row>
    <row r="78" spans="1:26" ht="18.75" customHeight="1">
      <c r="A78" s="13" t="s">
        <v>126</v>
      </c>
    </row>
    <row r="79" spans="1:26" ht="18.75" customHeight="1">
      <c r="B79" s="75" t="s">
        <v>86</v>
      </c>
      <c r="C79" s="76"/>
      <c r="D79" s="248" t="s">
        <v>87</v>
      </c>
      <c r="E79" s="248"/>
      <c r="F79" s="248"/>
      <c r="G79" s="248"/>
      <c r="H79" s="248"/>
      <c r="I79" s="248"/>
      <c r="J79" s="248"/>
      <c r="K79" s="248"/>
      <c r="L79" s="248"/>
      <c r="M79" s="248"/>
      <c r="N79" s="248"/>
      <c r="O79" s="248"/>
      <c r="P79" s="248"/>
      <c r="Q79" s="248"/>
      <c r="R79" s="248"/>
      <c r="S79" s="248"/>
      <c r="T79" s="248"/>
      <c r="U79" s="248"/>
      <c r="V79" s="248"/>
      <c r="W79" s="248"/>
      <c r="X79" s="248"/>
      <c r="Y79" s="248"/>
      <c r="Z79" s="249"/>
    </row>
    <row r="80" spans="1:26" ht="78" customHeight="1">
      <c r="B80" s="240" t="s">
        <v>93</v>
      </c>
      <c r="C80" s="82" t="s">
        <v>88</v>
      </c>
      <c r="D80" s="250" t="s">
        <v>200</v>
      </c>
      <c r="E80" s="211"/>
      <c r="F80" s="211"/>
      <c r="G80" s="211"/>
      <c r="H80" s="211"/>
      <c r="I80" s="211"/>
      <c r="J80" s="211"/>
      <c r="K80" s="211"/>
      <c r="L80" s="211"/>
      <c r="M80" s="211"/>
      <c r="N80" s="211"/>
      <c r="O80" s="211"/>
      <c r="P80" s="211"/>
      <c r="Q80" s="211"/>
      <c r="R80" s="211"/>
      <c r="S80" s="211"/>
      <c r="T80" s="211"/>
      <c r="U80" s="211"/>
      <c r="V80" s="211"/>
      <c r="W80" s="211"/>
      <c r="X80" s="211"/>
      <c r="Y80" s="211"/>
      <c r="Z80" s="212"/>
    </row>
    <row r="81" spans="1:26" ht="78" customHeight="1">
      <c r="B81" s="241"/>
      <c r="C81" s="103" t="s">
        <v>121</v>
      </c>
      <c r="D81" s="208" t="s">
        <v>187</v>
      </c>
      <c r="E81" s="208"/>
      <c r="F81" s="208"/>
      <c r="G81" s="208"/>
      <c r="H81" s="208"/>
      <c r="I81" s="208"/>
      <c r="J81" s="208"/>
      <c r="K81" s="208"/>
      <c r="L81" s="208"/>
      <c r="M81" s="208"/>
      <c r="N81" s="208"/>
      <c r="O81" s="208"/>
      <c r="P81" s="208"/>
      <c r="Q81" s="208"/>
      <c r="R81" s="208"/>
      <c r="S81" s="208"/>
      <c r="T81" s="208"/>
      <c r="U81" s="208"/>
      <c r="V81" s="208"/>
      <c r="W81" s="208"/>
      <c r="X81" s="208"/>
      <c r="Y81" s="208"/>
      <c r="Z81" s="209"/>
    </row>
    <row r="82" spans="1:26" ht="78" customHeight="1">
      <c r="B82" s="238" t="s">
        <v>94</v>
      </c>
      <c r="C82" s="77" t="s">
        <v>111</v>
      </c>
      <c r="D82" s="210" t="s">
        <v>197</v>
      </c>
      <c r="E82" s="211"/>
      <c r="F82" s="211"/>
      <c r="G82" s="211"/>
      <c r="H82" s="211"/>
      <c r="I82" s="211"/>
      <c r="J82" s="211"/>
      <c r="K82" s="211"/>
      <c r="L82" s="211"/>
      <c r="M82" s="211"/>
      <c r="N82" s="211"/>
      <c r="O82" s="211"/>
      <c r="P82" s="211"/>
      <c r="Q82" s="211"/>
      <c r="R82" s="211"/>
      <c r="S82" s="211"/>
      <c r="T82" s="211"/>
      <c r="U82" s="211"/>
      <c r="V82" s="211"/>
      <c r="W82" s="211"/>
      <c r="X82" s="211"/>
      <c r="Y82" s="211"/>
      <c r="Z82" s="212"/>
    </row>
    <row r="83" spans="1:26" ht="78" customHeight="1">
      <c r="B83" s="239"/>
      <c r="C83" s="104" t="s">
        <v>112</v>
      </c>
      <c r="D83" s="213" t="s">
        <v>198</v>
      </c>
      <c r="E83" s="213"/>
      <c r="F83" s="213"/>
      <c r="G83" s="213"/>
      <c r="H83" s="213"/>
      <c r="I83" s="213"/>
      <c r="J83" s="213"/>
      <c r="K83" s="213"/>
      <c r="L83" s="213"/>
      <c r="M83" s="213"/>
      <c r="N83" s="213"/>
      <c r="O83" s="213"/>
      <c r="P83" s="213"/>
      <c r="Q83" s="213"/>
      <c r="R83" s="213"/>
      <c r="S83" s="213"/>
      <c r="T83" s="213"/>
      <c r="U83" s="213"/>
      <c r="V83" s="213"/>
      <c r="W83" s="213"/>
      <c r="X83" s="213"/>
      <c r="Y83" s="213"/>
      <c r="Z83" s="214"/>
    </row>
    <row r="84" spans="1:26" ht="66" customHeight="1">
      <c r="B84" s="238" t="s">
        <v>95</v>
      </c>
      <c r="C84" s="77" t="s">
        <v>114</v>
      </c>
      <c r="D84" s="215" t="s">
        <v>188</v>
      </c>
      <c r="E84" s="216"/>
      <c r="F84" s="216"/>
      <c r="G84" s="216"/>
      <c r="H84" s="216"/>
      <c r="I84" s="216"/>
      <c r="J84" s="216"/>
      <c r="K84" s="216"/>
      <c r="L84" s="216"/>
      <c r="M84" s="216"/>
      <c r="N84" s="216"/>
      <c r="O84" s="216"/>
      <c r="P84" s="216"/>
      <c r="Q84" s="216"/>
      <c r="R84" s="216"/>
      <c r="S84" s="216"/>
      <c r="T84" s="216"/>
      <c r="U84" s="216"/>
      <c r="V84" s="216"/>
      <c r="W84" s="216"/>
      <c r="X84" s="216"/>
      <c r="Y84" s="216"/>
      <c r="Z84" s="217"/>
    </row>
    <row r="85" spans="1:26" ht="66" customHeight="1">
      <c r="B85" s="239"/>
      <c r="C85" s="79" t="s">
        <v>115</v>
      </c>
      <c r="D85" s="211" t="s">
        <v>189</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c r="B86" s="240" t="s">
        <v>122</v>
      </c>
      <c r="C86" s="82" t="s">
        <v>90</v>
      </c>
      <c r="D86" s="210" t="s">
        <v>196</v>
      </c>
      <c r="E86" s="211"/>
      <c r="F86" s="211"/>
      <c r="G86" s="211"/>
      <c r="H86" s="211"/>
      <c r="I86" s="211"/>
      <c r="J86" s="211"/>
      <c r="K86" s="211"/>
      <c r="L86" s="211"/>
      <c r="M86" s="211"/>
      <c r="N86" s="211"/>
      <c r="O86" s="211"/>
      <c r="P86" s="211"/>
      <c r="Q86" s="211"/>
      <c r="R86" s="211"/>
      <c r="S86" s="211"/>
      <c r="T86" s="211"/>
      <c r="U86" s="211"/>
      <c r="V86" s="211"/>
      <c r="W86" s="211"/>
      <c r="X86" s="211"/>
      <c r="Y86" s="211"/>
      <c r="Z86" s="212"/>
    </row>
    <row r="87" spans="1:26" ht="66" customHeight="1">
      <c r="B87" s="245"/>
      <c r="C87" s="78" t="s">
        <v>92</v>
      </c>
      <c r="D87" s="246" t="s">
        <v>195</v>
      </c>
      <c r="E87" s="246"/>
      <c r="F87" s="246"/>
      <c r="G87" s="246"/>
      <c r="H87" s="246"/>
      <c r="I87" s="246"/>
      <c r="J87" s="246"/>
      <c r="K87" s="246"/>
      <c r="L87" s="246"/>
      <c r="M87" s="246"/>
      <c r="N87" s="246"/>
      <c r="O87" s="246"/>
      <c r="P87" s="246"/>
      <c r="Q87" s="246"/>
      <c r="R87" s="246"/>
      <c r="S87" s="246"/>
      <c r="T87" s="246"/>
      <c r="U87" s="246"/>
      <c r="V87" s="246"/>
      <c r="W87" s="246"/>
      <c r="X87" s="246"/>
      <c r="Y87" s="246"/>
      <c r="Z87" s="247"/>
    </row>
    <row r="88" spans="1:26" ht="66" customHeight="1">
      <c r="B88" s="240" t="s">
        <v>123</v>
      </c>
      <c r="C88" s="77" t="s">
        <v>89</v>
      </c>
      <c r="D88" s="242" t="s">
        <v>201</v>
      </c>
      <c r="E88" s="236"/>
      <c r="F88" s="236"/>
      <c r="G88" s="236"/>
      <c r="H88" s="236"/>
      <c r="I88" s="236"/>
      <c r="J88" s="236"/>
      <c r="K88" s="236"/>
      <c r="L88" s="236"/>
      <c r="M88" s="236"/>
      <c r="N88" s="236"/>
      <c r="O88" s="236"/>
      <c r="P88" s="236"/>
      <c r="Q88" s="236"/>
      <c r="R88" s="236"/>
      <c r="S88" s="236"/>
      <c r="T88" s="236"/>
      <c r="U88" s="236"/>
      <c r="V88" s="236"/>
      <c r="W88" s="236"/>
      <c r="X88" s="236"/>
      <c r="Y88" s="236"/>
      <c r="Z88" s="237"/>
    </row>
    <row r="89" spans="1:26" ht="66" customHeight="1">
      <c r="B89" s="241"/>
      <c r="C89" s="78" t="s">
        <v>118</v>
      </c>
      <c r="D89" s="235" t="s">
        <v>190</v>
      </c>
      <c r="E89" s="236"/>
      <c r="F89" s="236"/>
      <c r="G89" s="236"/>
      <c r="H89" s="236"/>
      <c r="I89" s="236"/>
      <c r="J89" s="236"/>
      <c r="K89" s="236"/>
      <c r="L89" s="236"/>
      <c r="M89" s="236"/>
      <c r="N89" s="236"/>
      <c r="O89" s="236"/>
      <c r="P89" s="236"/>
      <c r="Q89" s="236"/>
      <c r="R89" s="236"/>
      <c r="S89" s="236"/>
      <c r="T89" s="236"/>
      <c r="U89" s="236"/>
      <c r="V89" s="236"/>
      <c r="W89" s="236"/>
      <c r="X89" s="236"/>
      <c r="Y89" s="236"/>
      <c r="Z89" s="237"/>
    </row>
    <row r="90" spans="1:26" ht="66" customHeight="1">
      <c r="B90" s="239"/>
      <c r="C90" s="79" t="s">
        <v>119</v>
      </c>
      <c r="D90" s="243" t="s">
        <v>191</v>
      </c>
      <c r="E90" s="242"/>
      <c r="F90" s="242"/>
      <c r="G90" s="242"/>
      <c r="H90" s="242"/>
      <c r="I90" s="242"/>
      <c r="J90" s="242"/>
      <c r="K90" s="242"/>
      <c r="L90" s="242"/>
      <c r="M90" s="242"/>
      <c r="N90" s="242"/>
      <c r="O90" s="242"/>
      <c r="P90" s="242"/>
      <c r="Q90" s="242"/>
      <c r="R90" s="242"/>
      <c r="S90" s="242"/>
      <c r="T90" s="242"/>
      <c r="U90" s="242"/>
      <c r="V90" s="242"/>
      <c r="W90" s="242"/>
      <c r="X90" s="242"/>
      <c r="Y90" s="242"/>
      <c r="Z90" s="244"/>
    </row>
    <row r="91" spans="1:26" ht="6" customHeight="1"/>
    <row r="92" spans="1:26" ht="18.75" customHeight="1">
      <c r="A92" s="13" t="s">
        <v>127</v>
      </c>
    </row>
    <row r="93" spans="1:26" ht="18.75" customHeight="1">
      <c r="B93" s="187" t="s">
        <v>192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13" t="s">
        <v>128</v>
      </c>
    </row>
    <row r="98" spans="1:26" ht="15" customHeight="1">
      <c r="B98" s="196" t="s">
        <v>210</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H27:H33 H16:H22 U16:U22 T60:T66 U27:U33 K60:K62 U38:U44 H38:H44 U49:U55 G60:G66 H49:H55 L60:M66">
      <formula1>"○"</formula1>
    </dataValidation>
    <dataValidation type="list" allowBlank="1" showInputMessage="1" showErrorMessage="1" sqref="Z23 Z34 D34:K34 D23:K23 V16:V22 I16:I22 V27:V33 I27:I33 V38:V44 I49:I55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G19" sqref="G19"/>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51" t="s">
        <v>53</v>
      </c>
      <c r="G1" s="251"/>
      <c r="H1" s="251"/>
      <c r="I1" s="251"/>
      <c r="J1" s="251"/>
      <c r="K1" s="251"/>
      <c r="L1" s="251"/>
      <c r="M1" s="251"/>
      <c r="N1" s="251"/>
      <c r="O1" s="251"/>
      <c r="P1" s="251"/>
      <c r="Q1" s="251"/>
      <c r="R1" s="251"/>
    </row>
    <row r="2" spans="1:20" ht="18" customHeight="1">
      <c r="A2" s="252" t="s">
        <v>199</v>
      </c>
      <c r="B2" s="252"/>
      <c r="C2" s="252"/>
      <c r="D2" s="252"/>
      <c r="E2" s="252"/>
      <c r="F2" s="252"/>
      <c r="G2" s="252"/>
      <c r="H2" s="252"/>
      <c r="I2" s="252"/>
      <c r="J2" s="252"/>
      <c r="K2" s="252"/>
      <c r="L2" s="252"/>
      <c r="M2" s="252"/>
      <c r="N2" s="252"/>
      <c r="O2" s="252"/>
      <c r="P2" s="252"/>
      <c r="Q2" s="252"/>
      <c r="R2" s="252"/>
      <c r="S2" s="4"/>
    </row>
    <row r="3" spans="1:20" ht="7.5" customHeight="1">
      <c r="A3" s="36"/>
      <c r="B3" s="36"/>
      <c r="C3" s="36"/>
      <c r="D3" s="36"/>
      <c r="E3" s="36"/>
      <c r="F3" s="36"/>
      <c r="G3" s="36"/>
      <c r="H3" s="36"/>
      <c r="I3" s="36"/>
      <c r="J3" s="36"/>
      <c r="K3" s="36"/>
      <c r="L3" s="36"/>
      <c r="M3" s="36"/>
      <c r="N3" s="36"/>
      <c r="O3" s="36"/>
      <c r="P3" s="36"/>
      <c r="Q3" s="36"/>
      <c r="R3" s="36"/>
    </row>
    <row r="4" spans="1:20" ht="18" customHeight="1">
      <c r="A4" s="4" t="s">
        <v>131</v>
      </c>
      <c r="B4" s="4"/>
      <c r="C4" s="253" t="str">
        <f>'様式１　大学等概要'!E12</f>
        <v>平成３０</v>
      </c>
      <c r="D4" s="254"/>
      <c r="E4" s="36" t="s">
        <v>97</v>
      </c>
      <c r="F4" s="36"/>
      <c r="G4" s="36"/>
      <c r="H4" s="36"/>
      <c r="I4" s="36"/>
      <c r="J4" s="83"/>
      <c r="K4" s="36"/>
      <c r="L4" s="36"/>
      <c r="M4" s="109"/>
      <c r="N4" s="109"/>
      <c r="O4" s="109"/>
      <c r="P4" s="109"/>
      <c r="Q4" s="109"/>
      <c r="R4" s="109"/>
    </row>
    <row r="5" spans="1:20" ht="6" customHeight="1">
      <c r="A5" s="36"/>
      <c r="B5" s="36"/>
      <c r="C5" s="36"/>
      <c r="D5" s="36"/>
      <c r="E5" s="36"/>
      <c r="F5" s="36"/>
      <c r="G5" s="36"/>
      <c r="H5" s="36"/>
      <c r="I5" s="36"/>
      <c r="J5" s="36"/>
      <c r="K5" s="36"/>
      <c r="L5" s="36"/>
      <c r="M5" s="36"/>
      <c r="N5" s="36"/>
      <c r="O5" s="36"/>
      <c r="P5" s="36"/>
      <c r="Q5" s="36"/>
      <c r="R5" s="36"/>
    </row>
    <row r="6" spans="1:20" ht="18" customHeight="1">
      <c r="A6" s="4" t="s">
        <v>129</v>
      </c>
      <c r="B6" s="36"/>
      <c r="C6" s="268" t="s">
        <v>173</v>
      </c>
      <c r="D6" s="268"/>
      <c r="E6" s="268"/>
      <c r="F6" s="268"/>
      <c r="G6" s="268"/>
      <c r="H6" s="268"/>
      <c r="I6" s="268"/>
      <c r="J6" s="268"/>
      <c r="K6" s="268"/>
      <c r="L6" s="268"/>
      <c r="M6" s="268"/>
      <c r="N6" s="268"/>
      <c r="O6" s="268"/>
      <c r="P6" s="268"/>
      <c r="Q6" s="268"/>
      <c r="R6" s="268"/>
    </row>
    <row r="7" spans="1:20" ht="6" customHeight="1">
      <c r="A7" s="4"/>
      <c r="B7" s="36"/>
      <c r="C7" s="36"/>
      <c r="D7" s="36"/>
      <c r="E7" s="36"/>
      <c r="F7" s="36"/>
      <c r="G7" s="36"/>
      <c r="H7" s="36"/>
      <c r="I7" s="36"/>
      <c r="J7" s="36"/>
      <c r="K7" s="36"/>
      <c r="L7" s="36"/>
      <c r="M7" s="36"/>
      <c r="N7" s="36"/>
      <c r="O7" s="36"/>
      <c r="P7" s="36"/>
      <c r="Q7" s="36"/>
      <c r="R7" s="36"/>
    </row>
    <row r="8" spans="1:20" ht="18" customHeight="1">
      <c r="B8" s="255" t="s">
        <v>67</v>
      </c>
      <c r="C8" s="257" t="s">
        <v>72</v>
      </c>
      <c r="D8" s="259" t="s">
        <v>58</v>
      </c>
      <c r="E8" s="261" t="s">
        <v>75</v>
      </c>
      <c r="F8" s="261"/>
      <c r="G8" s="261" t="s">
        <v>76</v>
      </c>
      <c r="H8" s="261"/>
      <c r="I8" s="261" t="s">
        <v>77</v>
      </c>
      <c r="J8" s="261"/>
      <c r="K8" s="262" t="s">
        <v>78</v>
      </c>
      <c r="L8" s="263"/>
      <c r="M8" s="262" t="s">
        <v>79</v>
      </c>
      <c r="N8" s="263"/>
      <c r="O8" s="262" t="s">
        <v>80</v>
      </c>
      <c r="P8" s="263"/>
      <c r="Q8" s="264" t="s">
        <v>52</v>
      </c>
      <c r="R8" s="266" t="s">
        <v>49</v>
      </c>
      <c r="T8" s="34"/>
    </row>
    <row r="9" spans="1:20" ht="18" customHeight="1">
      <c r="A9" s="4"/>
      <c r="B9" s="256"/>
      <c r="C9" s="258"/>
      <c r="D9" s="260"/>
      <c r="E9" s="41" t="s">
        <v>43</v>
      </c>
      <c r="F9" s="42" t="s">
        <v>42</v>
      </c>
      <c r="G9" s="43" t="s">
        <v>43</v>
      </c>
      <c r="H9" s="44" t="s">
        <v>42</v>
      </c>
      <c r="I9" s="41" t="s">
        <v>43</v>
      </c>
      <c r="J9" s="42" t="s">
        <v>42</v>
      </c>
      <c r="K9" s="43" t="s">
        <v>43</v>
      </c>
      <c r="L9" s="44" t="s">
        <v>42</v>
      </c>
      <c r="M9" s="41" t="s">
        <v>43</v>
      </c>
      <c r="N9" s="42" t="s">
        <v>42</v>
      </c>
      <c r="O9" s="43" t="s">
        <v>43</v>
      </c>
      <c r="P9" s="44" t="s">
        <v>42</v>
      </c>
      <c r="Q9" s="265"/>
      <c r="R9" s="267"/>
      <c r="T9" s="34"/>
    </row>
    <row r="10" spans="1:20" ht="18" customHeight="1">
      <c r="A10" s="45"/>
      <c r="B10" s="114" t="s">
        <v>163</v>
      </c>
      <c r="C10" s="45">
        <v>45</v>
      </c>
      <c r="D10" s="46">
        <v>270</v>
      </c>
      <c r="E10" s="47">
        <v>9</v>
      </c>
      <c r="F10" s="48">
        <v>9</v>
      </c>
      <c r="G10" s="49">
        <v>15</v>
      </c>
      <c r="H10" s="50">
        <v>0</v>
      </c>
      <c r="I10" s="47">
        <v>13</v>
      </c>
      <c r="J10" s="48">
        <v>0</v>
      </c>
      <c r="K10" s="49">
        <v>12</v>
      </c>
      <c r="L10" s="50">
        <v>0</v>
      </c>
      <c r="M10" s="47"/>
      <c r="N10" s="48"/>
      <c r="O10" s="49"/>
      <c r="P10" s="50"/>
      <c r="Q10" s="51">
        <f>E10+G10+I10+K10+M10+O10</f>
        <v>49</v>
      </c>
      <c r="R10" s="52">
        <f>Q10/D10</f>
        <v>0.18148148148148149</v>
      </c>
    </row>
    <row r="11" spans="1:20" ht="18" customHeight="1">
      <c r="A11" s="45"/>
      <c r="B11" s="84" t="s">
        <v>168</v>
      </c>
      <c r="C11" s="61"/>
      <c r="D11" s="54"/>
      <c r="E11" s="55"/>
      <c r="F11" s="56"/>
      <c r="G11" s="57"/>
      <c r="H11" s="58"/>
      <c r="I11" s="55"/>
      <c r="J11" s="56"/>
      <c r="K11" s="57"/>
      <c r="L11" s="58"/>
      <c r="M11" s="55"/>
      <c r="N11" s="56"/>
      <c r="O11" s="57"/>
      <c r="P11" s="58"/>
      <c r="Q11" s="59">
        <f t="shared" ref="Q11:Q29" si="0">E11+G11+I11+K11+M11+O11</f>
        <v>0</v>
      </c>
      <c r="R11" s="60" t="e">
        <f t="shared" ref="R11:R29" si="1">Q11/D11</f>
        <v>#DIV/0!</v>
      </c>
    </row>
    <row r="12" spans="1:20" ht="18" customHeight="1">
      <c r="A12" s="45"/>
      <c r="B12" s="84" t="s">
        <v>164</v>
      </c>
      <c r="C12" s="61"/>
      <c r="D12" s="54"/>
      <c r="E12" s="55"/>
      <c r="F12" s="56">
        <v>0</v>
      </c>
      <c r="G12" s="57"/>
      <c r="H12" s="58">
        <v>0</v>
      </c>
      <c r="I12" s="55"/>
      <c r="J12" s="56">
        <v>0</v>
      </c>
      <c r="K12" s="57"/>
      <c r="L12" s="58">
        <v>0</v>
      </c>
      <c r="M12" s="55"/>
      <c r="N12" s="56"/>
      <c r="O12" s="57"/>
      <c r="P12" s="58"/>
      <c r="Q12" s="59">
        <f t="shared" ref="Q12:Q15" si="2">E12+G12+I12+K12+M12+O12</f>
        <v>0</v>
      </c>
      <c r="R12" s="60" t="e">
        <f t="shared" si="1"/>
        <v>#DIV/0!</v>
      </c>
    </row>
    <row r="13" spans="1:20" ht="18" customHeight="1">
      <c r="A13" s="45"/>
      <c r="B13" s="84" t="s">
        <v>165</v>
      </c>
      <c r="C13" s="61"/>
      <c r="D13" s="54"/>
      <c r="E13" s="55"/>
      <c r="F13" s="56">
        <v>3</v>
      </c>
      <c r="G13" s="57"/>
      <c r="H13" s="58">
        <v>0</v>
      </c>
      <c r="I13" s="55"/>
      <c r="J13" s="56">
        <v>0</v>
      </c>
      <c r="K13" s="57"/>
      <c r="L13" s="58">
        <v>0</v>
      </c>
      <c r="M13" s="55"/>
      <c r="N13" s="56"/>
      <c r="O13" s="57"/>
      <c r="P13" s="58"/>
      <c r="Q13" s="59">
        <f t="shared" si="2"/>
        <v>0</v>
      </c>
      <c r="R13" s="60" t="e">
        <f t="shared" si="1"/>
        <v>#DIV/0!</v>
      </c>
    </row>
    <row r="14" spans="1:20" ht="18" customHeight="1">
      <c r="A14" s="45"/>
      <c r="B14" s="115" t="s">
        <v>166</v>
      </c>
      <c r="C14" s="61"/>
      <c r="D14" s="54"/>
      <c r="E14" s="55"/>
      <c r="F14" s="56">
        <v>6</v>
      </c>
      <c r="G14" s="57"/>
      <c r="H14" s="58">
        <v>0</v>
      </c>
      <c r="I14" s="55"/>
      <c r="J14" s="56">
        <v>0</v>
      </c>
      <c r="K14" s="57"/>
      <c r="L14" s="58">
        <v>0</v>
      </c>
      <c r="M14" s="55"/>
      <c r="N14" s="56"/>
      <c r="O14" s="57"/>
      <c r="P14" s="58"/>
      <c r="Q14" s="59">
        <f t="shared" si="2"/>
        <v>0</v>
      </c>
      <c r="R14" s="60" t="e">
        <f t="shared" si="1"/>
        <v>#DIV/0!</v>
      </c>
    </row>
    <row r="15" spans="1:20" ht="18" customHeight="1">
      <c r="A15" s="45"/>
      <c r="B15" s="84" t="s">
        <v>167</v>
      </c>
      <c r="C15" s="61"/>
      <c r="D15" s="54"/>
      <c r="E15" s="55"/>
      <c r="F15" s="56">
        <v>0</v>
      </c>
      <c r="G15" s="57"/>
      <c r="H15" s="58">
        <v>0</v>
      </c>
      <c r="I15" s="55"/>
      <c r="J15" s="56">
        <v>0</v>
      </c>
      <c r="K15" s="57"/>
      <c r="L15" s="58">
        <v>0</v>
      </c>
      <c r="M15" s="55"/>
      <c r="N15" s="56"/>
      <c r="O15" s="57"/>
      <c r="P15" s="58"/>
      <c r="Q15" s="59">
        <f t="shared" si="2"/>
        <v>0</v>
      </c>
      <c r="R15" s="60" t="e">
        <f t="shared" si="1"/>
        <v>#DIV/0!</v>
      </c>
    </row>
    <row r="16" spans="1:20" ht="18" customHeight="1">
      <c r="A16" s="45"/>
      <c r="B16" s="84"/>
      <c r="C16" s="61"/>
      <c r="D16" s="54"/>
      <c r="E16" s="55"/>
      <c r="F16" s="56"/>
      <c r="G16" s="57"/>
      <c r="H16" s="58"/>
      <c r="I16" s="55"/>
      <c r="J16" s="56"/>
      <c r="K16" s="57"/>
      <c r="L16" s="58"/>
      <c r="M16" s="55"/>
      <c r="N16" s="56"/>
      <c r="O16" s="57"/>
      <c r="P16" s="58"/>
      <c r="Q16" s="59">
        <f t="shared" si="0"/>
        <v>0</v>
      </c>
      <c r="R16" s="60" t="e">
        <f t="shared" si="1"/>
        <v>#DIV/0!</v>
      </c>
    </row>
    <row r="17" spans="1:18" ht="18" customHeight="1">
      <c r="A17" s="45"/>
      <c r="B17" s="84"/>
      <c r="C17" s="61"/>
      <c r="D17" s="54"/>
      <c r="E17" s="55"/>
      <c r="F17" s="56"/>
      <c r="G17" s="57"/>
      <c r="H17" s="58"/>
      <c r="I17" s="55"/>
      <c r="J17" s="56"/>
      <c r="K17" s="57"/>
      <c r="L17" s="58"/>
      <c r="M17" s="55"/>
      <c r="N17" s="56"/>
      <c r="O17" s="57"/>
      <c r="P17" s="58"/>
      <c r="Q17" s="59">
        <f t="shared" si="0"/>
        <v>0</v>
      </c>
      <c r="R17" s="60" t="e">
        <f t="shared" si="1"/>
        <v>#DIV/0!</v>
      </c>
    </row>
    <row r="18" spans="1:18" ht="18" customHeight="1">
      <c r="A18" s="45"/>
      <c r="B18" s="84"/>
      <c r="C18" s="61"/>
      <c r="D18" s="54"/>
      <c r="E18" s="55"/>
      <c r="F18" s="56"/>
      <c r="G18" s="57"/>
      <c r="H18" s="58"/>
      <c r="I18" s="55"/>
      <c r="J18" s="56"/>
      <c r="K18" s="57"/>
      <c r="L18" s="58"/>
      <c r="M18" s="55"/>
      <c r="N18" s="56"/>
      <c r="O18" s="57"/>
      <c r="P18" s="58"/>
      <c r="Q18" s="59">
        <f>E18+G18+I18+K18+M18+O18</f>
        <v>0</v>
      </c>
      <c r="R18" s="60" t="e">
        <f t="shared" si="1"/>
        <v>#DIV/0!</v>
      </c>
    </row>
    <row r="19" spans="1:18" ht="18" customHeight="1">
      <c r="A19" s="45"/>
      <c r="B19" s="84"/>
      <c r="C19" s="61"/>
      <c r="D19" s="54"/>
      <c r="E19" s="55"/>
      <c r="F19" s="56"/>
      <c r="G19" s="57"/>
      <c r="H19" s="58"/>
      <c r="I19" s="55"/>
      <c r="J19" s="56"/>
      <c r="K19" s="57"/>
      <c r="L19" s="58"/>
      <c r="M19" s="55"/>
      <c r="N19" s="56"/>
      <c r="O19" s="57"/>
      <c r="P19" s="58"/>
      <c r="Q19" s="59">
        <f t="shared" si="0"/>
        <v>0</v>
      </c>
      <c r="R19" s="60" t="e">
        <f t="shared" si="1"/>
        <v>#DIV/0!</v>
      </c>
    </row>
    <row r="20" spans="1:18" ht="18" customHeight="1">
      <c r="A20" s="45"/>
      <c r="B20" s="84"/>
      <c r="C20" s="61"/>
      <c r="D20" s="54"/>
      <c r="E20" s="55"/>
      <c r="F20" s="56"/>
      <c r="G20" s="57"/>
      <c r="H20" s="58"/>
      <c r="I20" s="55"/>
      <c r="J20" s="56"/>
      <c r="K20" s="57"/>
      <c r="L20" s="58"/>
      <c r="M20" s="55"/>
      <c r="N20" s="56"/>
      <c r="O20" s="57"/>
      <c r="P20" s="58"/>
      <c r="Q20" s="59">
        <f t="shared" si="0"/>
        <v>0</v>
      </c>
      <c r="R20" s="60" t="e">
        <f t="shared" si="1"/>
        <v>#DIV/0!</v>
      </c>
    </row>
    <row r="21" spans="1:18" ht="18" customHeight="1">
      <c r="A21" s="45"/>
      <c r="B21" s="84"/>
      <c r="C21" s="61"/>
      <c r="D21" s="54"/>
      <c r="E21" s="55"/>
      <c r="F21" s="56"/>
      <c r="G21" s="57"/>
      <c r="H21" s="58"/>
      <c r="I21" s="55"/>
      <c r="J21" s="56"/>
      <c r="K21" s="57"/>
      <c r="L21" s="58"/>
      <c r="M21" s="55"/>
      <c r="N21" s="56"/>
      <c r="O21" s="57"/>
      <c r="P21" s="58"/>
      <c r="Q21" s="59">
        <f t="shared" si="0"/>
        <v>0</v>
      </c>
      <c r="R21" s="60" t="e">
        <f t="shared" si="1"/>
        <v>#DIV/0!</v>
      </c>
    </row>
    <row r="22" spans="1:18" ht="18" customHeight="1">
      <c r="A22" s="45"/>
      <c r="B22" s="84"/>
      <c r="C22" s="61"/>
      <c r="D22" s="54"/>
      <c r="E22" s="55"/>
      <c r="F22" s="56"/>
      <c r="G22" s="57"/>
      <c r="H22" s="58"/>
      <c r="I22" s="55"/>
      <c r="J22" s="56"/>
      <c r="K22" s="57"/>
      <c r="L22" s="58"/>
      <c r="M22" s="55"/>
      <c r="N22" s="56"/>
      <c r="O22" s="57"/>
      <c r="P22" s="58"/>
      <c r="Q22" s="59">
        <f t="shared" si="0"/>
        <v>0</v>
      </c>
      <c r="R22" s="60" t="e">
        <f t="shared" si="1"/>
        <v>#DIV/0!</v>
      </c>
    </row>
    <row r="23" spans="1:18" ht="18" customHeight="1">
      <c r="A23" s="45"/>
      <c r="B23" s="84"/>
      <c r="C23" s="61"/>
      <c r="D23" s="54"/>
      <c r="E23" s="55"/>
      <c r="F23" s="56"/>
      <c r="G23" s="57"/>
      <c r="H23" s="58"/>
      <c r="I23" s="55"/>
      <c r="J23" s="56"/>
      <c r="K23" s="57"/>
      <c r="L23" s="58"/>
      <c r="M23" s="55"/>
      <c r="N23" s="56"/>
      <c r="O23" s="57"/>
      <c r="P23" s="58"/>
      <c r="Q23" s="59">
        <f t="shared" si="0"/>
        <v>0</v>
      </c>
      <c r="R23" s="60" t="e">
        <f t="shared" si="1"/>
        <v>#DIV/0!</v>
      </c>
    </row>
    <row r="24" spans="1:18" ht="18" customHeight="1">
      <c r="A24" s="45"/>
      <c r="B24" s="84"/>
      <c r="C24" s="61"/>
      <c r="D24" s="54"/>
      <c r="E24" s="55"/>
      <c r="F24" s="56"/>
      <c r="G24" s="57"/>
      <c r="H24" s="58"/>
      <c r="I24" s="55"/>
      <c r="J24" s="56"/>
      <c r="K24" s="57"/>
      <c r="L24" s="58"/>
      <c r="M24" s="55"/>
      <c r="N24" s="56"/>
      <c r="O24" s="57"/>
      <c r="P24" s="58"/>
      <c r="Q24" s="59">
        <f t="shared" si="0"/>
        <v>0</v>
      </c>
      <c r="R24" s="60" t="e">
        <f t="shared" si="1"/>
        <v>#DIV/0!</v>
      </c>
    </row>
    <row r="25" spans="1:18" ht="18" customHeight="1">
      <c r="A25" s="45"/>
      <c r="B25" s="84"/>
      <c r="C25" s="61"/>
      <c r="D25" s="54"/>
      <c r="E25" s="55"/>
      <c r="F25" s="56"/>
      <c r="G25" s="57"/>
      <c r="H25" s="58"/>
      <c r="I25" s="55"/>
      <c r="J25" s="56"/>
      <c r="K25" s="57"/>
      <c r="L25" s="58"/>
      <c r="M25" s="55"/>
      <c r="N25" s="56"/>
      <c r="O25" s="57"/>
      <c r="P25" s="58"/>
      <c r="Q25" s="59">
        <f t="shared" si="0"/>
        <v>0</v>
      </c>
      <c r="R25" s="60" t="e">
        <f t="shared" si="1"/>
        <v>#DIV/0!</v>
      </c>
    </row>
    <row r="26" spans="1:18" ht="18" customHeight="1">
      <c r="A26" s="45"/>
      <c r="B26" s="84"/>
      <c r="C26" s="61"/>
      <c r="D26" s="54"/>
      <c r="E26" s="55"/>
      <c r="F26" s="56"/>
      <c r="G26" s="57"/>
      <c r="H26" s="58"/>
      <c r="I26" s="55"/>
      <c r="J26" s="56"/>
      <c r="K26" s="57"/>
      <c r="L26" s="58"/>
      <c r="M26" s="55"/>
      <c r="N26" s="56"/>
      <c r="O26" s="57"/>
      <c r="P26" s="58"/>
      <c r="Q26" s="59">
        <f t="shared" si="0"/>
        <v>0</v>
      </c>
      <c r="R26" s="60" t="e">
        <f t="shared" si="1"/>
        <v>#DIV/0!</v>
      </c>
    </row>
    <row r="27" spans="1:18" ht="18" customHeight="1">
      <c r="A27" s="45"/>
      <c r="B27" s="84"/>
      <c r="C27" s="53"/>
      <c r="D27" s="54"/>
      <c r="E27" s="55"/>
      <c r="F27" s="56"/>
      <c r="G27" s="57"/>
      <c r="H27" s="58"/>
      <c r="I27" s="55"/>
      <c r="J27" s="56"/>
      <c r="K27" s="57"/>
      <c r="L27" s="58"/>
      <c r="M27" s="55"/>
      <c r="N27" s="56"/>
      <c r="O27" s="57"/>
      <c r="P27" s="58"/>
      <c r="Q27" s="59">
        <f t="shared" si="0"/>
        <v>0</v>
      </c>
      <c r="R27" s="60" t="e">
        <f t="shared" si="1"/>
        <v>#DIV/0!</v>
      </c>
    </row>
    <row r="28" spans="1:18" ht="18" customHeight="1">
      <c r="A28" s="45"/>
      <c r="B28" s="84"/>
      <c r="C28" s="53"/>
      <c r="D28" s="54"/>
      <c r="E28" s="55"/>
      <c r="F28" s="56"/>
      <c r="G28" s="57"/>
      <c r="H28" s="58"/>
      <c r="I28" s="55"/>
      <c r="J28" s="56"/>
      <c r="K28" s="57"/>
      <c r="L28" s="58"/>
      <c r="M28" s="55"/>
      <c r="N28" s="56"/>
      <c r="O28" s="57"/>
      <c r="P28" s="58"/>
      <c r="Q28" s="59">
        <f t="shared" si="0"/>
        <v>0</v>
      </c>
      <c r="R28" s="60" t="e">
        <f t="shared" si="1"/>
        <v>#DIV/0!</v>
      </c>
    </row>
    <row r="29" spans="1:18" ht="18" customHeight="1" thickBot="1">
      <c r="A29" s="45"/>
      <c r="B29" s="85"/>
      <c r="C29" s="86"/>
      <c r="D29" s="46"/>
      <c r="E29" s="47"/>
      <c r="F29" s="48"/>
      <c r="G29" s="49"/>
      <c r="H29" s="50"/>
      <c r="I29" s="47"/>
      <c r="J29" s="48"/>
      <c r="K29" s="49"/>
      <c r="L29" s="50"/>
      <c r="M29" s="47"/>
      <c r="N29" s="48"/>
      <c r="O29" s="49"/>
      <c r="P29" s="50"/>
      <c r="Q29" s="62">
        <f t="shared" si="0"/>
        <v>0</v>
      </c>
      <c r="R29" s="52" t="e">
        <f t="shared" si="1"/>
        <v>#DIV/0!</v>
      </c>
    </row>
    <row r="30" spans="1:18" ht="18" customHeight="1" thickTop="1">
      <c r="B30" s="87" t="s">
        <v>50</v>
      </c>
      <c r="C30" s="88">
        <f t="shared" ref="C30:Q30" si="3">SUM(C10:C29)</f>
        <v>45</v>
      </c>
      <c r="D30" s="63">
        <f t="shared" si="3"/>
        <v>270</v>
      </c>
      <c r="E30" s="64">
        <f t="shared" si="3"/>
        <v>9</v>
      </c>
      <c r="F30" s="65">
        <v>9</v>
      </c>
      <c r="G30" s="66">
        <f t="shared" si="3"/>
        <v>15</v>
      </c>
      <c r="H30" s="67">
        <f t="shared" si="3"/>
        <v>0</v>
      </c>
      <c r="I30" s="64">
        <f t="shared" si="3"/>
        <v>13</v>
      </c>
      <c r="J30" s="65">
        <f t="shared" si="3"/>
        <v>0</v>
      </c>
      <c r="K30" s="66">
        <f t="shared" si="3"/>
        <v>12</v>
      </c>
      <c r="L30" s="67">
        <f t="shared" si="3"/>
        <v>0</v>
      </c>
      <c r="M30" s="64">
        <f t="shared" si="3"/>
        <v>0</v>
      </c>
      <c r="N30" s="65">
        <f t="shared" si="3"/>
        <v>0</v>
      </c>
      <c r="O30" s="66">
        <f t="shared" si="3"/>
        <v>0</v>
      </c>
      <c r="P30" s="67">
        <f t="shared" si="3"/>
        <v>0</v>
      </c>
      <c r="Q30" s="68">
        <f t="shared" si="3"/>
        <v>49</v>
      </c>
      <c r="R30" s="69">
        <f>Q30/D30</f>
        <v>0.18148148148148149</v>
      </c>
    </row>
  </sheetData>
  <mergeCells count="15">
    <mergeCell ref="F1:R1"/>
    <mergeCell ref="A2:R2"/>
    <mergeCell ref="C4:D4"/>
    <mergeCell ref="B8:B9"/>
    <mergeCell ref="C8:C9"/>
    <mergeCell ref="D8:D9"/>
    <mergeCell ref="E8:F8"/>
    <mergeCell ref="G8:H8"/>
    <mergeCell ref="I8:J8"/>
    <mergeCell ref="K8:L8"/>
    <mergeCell ref="M8:N8"/>
    <mergeCell ref="O8:P8"/>
    <mergeCell ref="Q8:Q9"/>
    <mergeCell ref="R8:R9"/>
    <mergeCell ref="C6:R6"/>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111" sqref="B111:J129"/>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98</v>
      </c>
      <c r="J1" s="39" t="s">
        <v>99</v>
      </c>
    </row>
    <row r="2" spans="1:11" ht="18.75" customHeight="1">
      <c r="A2" s="252" t="s">
        <v>54</v>
      </c>
      <c r="B2" s="252"/>
      <c r="C2" s="252"/>
      <c r="D2" s="252"/>
      <c r="E2" s="252"/>
      <c r="F2" s="252"/>
      <c r="G2" s="252"/>
      <c r="H2" s="252"/>
      <c r="I2" s="252"/>
      <c r="J2" s="252"/>
    </row>
    <row r="3" spans="1:11" ht="7.5" customHeight="1">
      <c r="B3" s="36"/>
      <c r="C3" s="36"/>
      <c r="D3" s="36"/>
      <c r="E3" s="36"/>
      <c r="F3" s="36"/>
      <c r="G3" s="36"/>
      <c r="H3" s="36"/>
      <c r="I3" s="36"/>
      <c r="J3" s="36"/>
    </row>
    <row r="4" spans="1:11" ht="18.75" customHeight="1">
      <c r="A4" s="1" t="s">
        <v>6</v>
      </c>
      <c r="B4" s="4" t="s">
        <v>62</v>
      </c>
      <c r="C4" s="4"/>
      <c r="D4" s="4"/>
      <c r="E4" s="4"/>
      <c r="F4" s="4"/>
      <c r="G4" s="4"/>
      <c r="H4" s="4"/>
      <c r="I4" s="36"/>
      <c r="J4" s="36"/>
    </row>
    <row r="5" spans="1:11" ht="18.75" customHeight="1">
      <c r="A5" s="1"/>
      <c r="B5" s="151" t="s">
        <v>202</v>
      </c>
      <c r="C5" s="152"/>
      <c r="D5" s="152"/>
      <c r="E5" s="152"/>
      <c r="F5" s="152"/>
      <c r="G5" s="152"/>
      <c r="H5" s="152"/>
      <c r="I5" s="152"/>
      <c r="J5" s="290"/>
      <c r="K5" s="31" t="str">
        <f>IF(B5="","入力してください","")</f>
        <v/>
      </c>
    </row>
    <row r="6" spans="1:11" ht="7.5" customHeight="1">
      <c r="B6" s="29"/>
      <c r="C6" s="29"/>
      <c r="D6" s="29"/>
      <c r="E6" s="29"/>
      <c r="F6" s="29"/>
      <c r="G6" s="29"/>
      <c r="H6" s="29"/>
      <c r="I6" s="29"/>
      <c r="J6" s="29"/>
    </row>
    <row r="7" spans="1:11" s="4" customFormat="1" ht="18.75" customHeight="1">
      <c r="A7" s="1" t="s">
        <v>9</v>
      </c>
      <c r="B7" s="14" t="s">
        <v>38</v>
      </c>
      <c r="C7" s="14"/>
      <c r="D7" s="14"/>
      <c r="E7" s="14"/>
      <c r="F7" s="14"/>
      <c r="G7" s="14"/>
      <c r="H7" s="14"/>
      <c r="I7" s="14"/>
      <c r="J7" s="14"/>
      <c r="K7" s="31"/>
    </row>
    <row r="8" spans="1:11" s="4" customFormat="1" ht="18.75" customHeight="1">
      <c r="A8" s="89"/>
      <c r="B8" s="291" t="s">
        <v>171</v>
      </c>
      <c r="C8" s="270"/>
      <c r="D8" s="270"/>
      <c r="E8" s="270"/>
      <c r="F8" s="270"/>
      <c r="G8" s="270"/>
      <c r="H8" s="270"/>
      <c r="I8" s="278"/>
      <c r="J8" s="279"/>
      <c r="K8" s="31" t="str">
        <f>IF(B8="","入力してください","")</f>
        <v/>
      </c>
    </row>
    <row r="9" spans="1:11" s="4" customFormat="1" ht="18.75" customHeight="1">
      <c r="A9" s="89"/>
      <c r="B9" s="280"/>
      <c r="C9" s="281"/>
      <c r="D9" s="281"/>
      <c r="E9" s="281"/>
      <c r="F9" s="281"/>
      <c r="G9" s="281"/>
      <c r="H9" s="281"/>
      <c r="I9" s="281"/>
      <c r="J9" s="282"/>
      <c r="K9" s="31"/>
    </row>
    <row r="10" spans="1:11" s="4" customFormat="1" ht="18.75" customHeight="1">
      <c r="A10" s="89"/>
      <c r="B10" s="280"/>
      <c r="C10" s="281"/>
      <c r="D10" s="281"/>
      <c r="E10" s="281"/>
      <c r="F10" s="281"/>
      <c r="G10" s="281"/>
      <c r="H10" s="281"/>
      <c r="I10" s="281"/>
      <c r="J10" s="282"/>
      <c r="K10" s="31"/>
    </row>
    <row r="11" spans="1:11" s="4" customFormat="1" ht="18.75" customHeight="1">
      <c r="A11" s="89"/>
      <c r="B11" s="280"/>
      <c r="C11" s="281"/>
      <c r="D11" s="281"/>
      <c r="E11" s="281"/>
      <c r="F11" s="281"/>
      <c r="G11" s="281"/>
      <c r="H11" s="281"/>
      <c r="I11" s="281"/>
      <c r="J11" s="282"/>
      <c r="K11" s="31"/>
    </row>
    <row r="12" spans="1:11" s="4" customFormat="1" ht="18.75" customHeight="1">
      <c r="A12" s="89"/>
      <c r="B12" s="283"/>
      <c r="C12" s="284"/>
      <c r="D12" s="284"/>
      <c r="E12" s="284"/>
      <c r="F12" s="284"/>
      <c r="G12" s="284"/>
      <c r="H12" s="284"/>
      <c r="I12" s="284"/>
      <c r="J12" s="285"/>
      <c r="K12" s="31"/>
    </row>
    <row r="13" spans="1:11" s="4" customFormat="1" ht="7.5" customHeight="1">
      <c r="A13" s="89"/>
      <c r="B13" s="89"/>
      <c r="C13" s="89"/>
      <c r="D13" s="89"/>
      <c r="E13" s="89"/>
      <c r="F13" s="89"/>
      <c r="G13" s="89"/>
      <c r="H13" s="89"/>
      <c r="I13" s="89"/>
      <c r="J13" s="89"/>
      <c r="K13" s="31"/>
    </row>
    <row r="14" spans="1:11" s="4" customFormat="1" ht="18.75" customHeight="1">
      <c r="A14" s="90" t="s">
        <v>10</v>
      </c>
      <c r="B14" s="90" t="s">
        <v>15</v>
      </c>
      <c r="C14" s="90"/>
      <c r="D14" s="90"/>
      <c r="E14" s="90"/>
      <c r="F14" s="90"/>
      <c r="G14" s="90"/>
      <c r="H14" s="90"/>
      <c r="I14" s="90"/>
      <c r="J14" s="90"/>
      <c r="K14" s="31"/>
    </row>
    <row r="15" spans="1:11" s="4" customFormat="1" ht="18.75" customHeight="1">
      <c r="A15" s="89"/>
      <c r="B15" s="291" t="s">
        <v>170</v>
      </c>
      <c r="C15" s="270"/>
      <c r="D15" s="270"/>
      <c r="E15" s="270"/>
      <c r="F15" s="270"/>
      <c r="G15" s="270"/>
      <c r="H15" s="270"/>
      <c r="I15" s="278"/>
      <c r="J15" s="279"/>
      <c r="K15" s="31" t="str">
        <f>IF(B15="","入力してください","")</f>
        <v/>
      </c>
    </row>
    <row r="16" spans="1:11" s="4" customFormat="1" ht="18.75" customHeight="1">
      <c r="A16" s="89"/>
      <c r="B16" s="280"/>
      <c r="C16" s="281"/>
      <c r="D16" s="281"/>
      <c r="E16" s="281"/>
      <c r="F16" s="281"/>
      <c r="G16" s="281"/>
      <c r="H16" s="281"/>
      <c r="I16" s="281"/>
      <c r="J16" s="282"/>
      <c r="K16" s="31"/>
    </row>
    <row r="17" spans="1:11" s="4" customFormat="1" ht="18.75" customHeight="1">
      <c r="A17" s="89"/>
      <c r="B17" s="280"/>
      <c r="C17" s="281"/>
      <c r="D17" s="281"/>
      <c r="E17" s="281"/>
      <c r="F17" s="281"/>
      <c r="G17" s="281"/>
      <c r="H17" s="281"/>
      <c r="I17" s="281"/>
      <c r="J17" s="282"/>
      <c r="K17" s="31"/>
    </row>
    <row r="18" spans="1:11" s="4" customFormat="1" ht="18.75" customHeight="1">
      <c r="A18" s="89"/>
      <c r="B18" s="280"/>
      <c r="C18" s="281"/>
      <c r="D18" s="281"/>
      <c r="E18" s="281"/>
      <c r="F18" s="281"/>
      <c r="G18" s="281"/>
      <c r="H18" s="281"/>
      <c r="I18" s="281"/>
      <c r="J18" s="282"/>
      <c r="K18" s="31"/>
    </row>
    <row r="19" spans="1:11" s="4" customFormat="1" ht="18.75" customHeight="1">
      <c r="A19" s="89"/>
      <c r="B19" s="280"/>
      <c r="C19" s="281"/>
      <c r="D19" s="281"/>
      <c r="E19" s="281"/>
      <c r="F19" s="281"/>
      <c r="G19" s="281"/>
      <c r="H19" s="281"/>
      <c r="I19" s="281"/>
      <c r="J19" s="282"/>
      <c r="K19" s="31"/>
    </row>
    <row r="20" spans="1:11" s="4" customFormat="1" ht="18.75" customHeight="1">
      <c r="A20" s="89"/>
      <c r="B20" s="280"/>
      <c r="C20" s="281"/>
      <c r="D20" s="281"/>
      <c r="E20" s="281"/>
      <c r="F20" s="281"/>
      <c r="G20" s="281"/>
      <c r="H20" s="281"/>
      <c r="I20" s="281"/>
      <c r="J20" s="282"/>
      <c r="K20" s="31"/>
    </row>
    <row r="21" spans="1:11" s="4" customFormat="1" ht="18.75" customHeight="1">
      <c r="A21" s="89"/>
      <c r="B21" s="280"/>
      <c r="C21" s="281"/>
      <c r="D21" s="281"/>
      <c r="E21" s="281"/>
      <c r="F21" s="281"/>
      <c r="G21" s="281"/>
      <c r="H21" s="281"/>
      <c r="I21" s="281"/>
      <c r="J21" s="282"/>
      <c r="K21" s="31"/>
    </row>
    <row r="22" spans="1:11" s="4" customFormat="1" ht="18.75" customHeight="1">
      <c r="A22" s="89"/>
      <c r="B22" s="280"/>
      <c r="C22" s="281"/>
      <c r="D22" s="281"/>
      <c r="E22" s="281"/>
      <c r="F22" s="281"/>
      <c r="G22" s="281"/>
      <c r="H22" s="281"/>
      <c r="I22" s="281"/>
      <c r="J22" s="282"/>
      <c r="K22" s="31"/>
    </row>
    <row r="23" spans="1:11" s="4" customFormat="1" ht="18.75" customHeight="1">
      <c r="A23" s="89"/>
      <c r="B23" s="280"/>
      <c r="C23" s="281"/>
      <c r="D23" s="281"/>
      <c r="E23" s="281"/>
      <c r="F23" s="281"/>
      <c r="G23" s="281"/>
      <c r="H23" s="281"/>
      <c r="I23" s="281"/>
      <c r="J23" s="282"/>
      <c r="K23" s="31"/>
    </row>
    <row r="24" spans="1:11" s="4" customFormat="1" ht="18.75" customHeight="1">
      <c r="A24" s="89"/>
      <c r="B24" s="280"/>
      <c r="C24" s="281"/>
      <c r="D24" s="281"/>
      <c r="E24" s="281"/>
      <c r="F24" s="281"/>
      <c r="G24" s="281"/>
      <c r="H24" s="281"/>
      <c r="I24" s="281"/>
      <c r="J24" s="282"/>
      <c r="K24" s="31"/>
    </row>
    <row r="25" spans="1:11" s="4" customFormat="1" ht="18.75" customHeight="1">
      <c r="A25" s="89"/>
      <c r="B25" s="283"/>
      <c r="C25" s="284"/>
      <c r="D25" s="284"/>
      <c r="E25" s="284"/>
      <c r="F25" s="284"/>
      <c r="G25" s="284"/>
      <c r="H25" s="284"/>
      <c r="I25" s="284"/>
      <c r="J25" s="285"/>
      <c r="K25" s="31"/>
    </row>
    <row r="26" spans="1:11" ht="7.5" customHeight="1">
      <c r="A26" s="37"/>
      <c r="B26" s="37"/>
      <c r="C26" s="37"/>
      <c r="D26" s="37"/>
      <c r="E26" s="37"/>
      <c r="F26" s="37"/>
      <c r="G26" s="37"/>
      <c r="H26" s="37"/>
      <c r="I26" s="37"/>
      <c r="J26" s="37"/>
    </row>
    <row r="27" spans="1:11" s="4" customFormat="1" ht="18.75" customHeight="1">
      <c r="A27" s="1" t="s">
        <v>13</v>
      </c>
      <c r="B27" s="1" t="s">
        <v>25</v>
      </c>
      <c r="C27" s="1"/>
      <c r="D27" s="1"/>
      <c r="E27" s="1"/>
      <c r="F27" s="1"/>
      <c r="G27" s="1"/>
      <c r="H27" s="1"/>
      <c r="I27" s="1"/>
      <c r="J27" s="1"/>
      <c r="K27" s="31"/>
    </row>
    <row r="28" spans="1:11" s="29" customFormat="1" ht="18.75" customHeight="1">
      <c r="B28" s="91" t="s">
        <v>100</v>
      </c>
      <c r="C28" s="92">
        <f>'様式３　履修者等数の実績'!R30</f>
        <v>0.18148148148148149</v>
      </c>
      <c r="D28" s="93"/>
      <c r="E28" s="93" t="s">
        <v>101</v>
      </c>
      <c r="F28" s="92">
        <v>0.21</v>
      </c>
      <c r="G28" s="93"/>
      <c r="H28" s="93" t="s">
        <v>102</v>
      </c>
      <c r="I28" s="94">
        <v>0.41</v>
      </c>
      <c r="J28" s="95"/>
      <c r="K28" s="31"/>
    </row>
    <row r="29" spans="1:11" s="29" customFormat="1" ht="18.75" customHeight="1">
      <c r="B29" s="80" t="s">
        <v>103</v>
      </c>
      <c r="C29" s="96">
        <v>0.59</v>
      </c>
      <c r="D29" s="81"/>
      <c r="E29" s="81" t="s">
        <v>104</v>
      </c>
      <c r="F29" s="96">
        <v>0.87</v>
      </c>
      <c r="G29" s="81"/>
      <c r="H29" s="81" t="s">
        <v>105</v>
      </c>
      <c r="I29" s="97">
        <f>'様式３　履修者等数の実績'!D30</f>
        <v>270</v>
      </c>
      <c r="J29" s="98"/>
      <c r="K29" s="35"/>
    </row>
    <row r="30" spans="1:11" s="4" customFormat="1" ht="18.75" customHeight="1">
      <c r="A30" s="1"/>
      <c r="B30" s="202" t="s">
        <v>106</v>
      </c>
      <c r="C30" s="203"/>
      <c r="D30" s="203"/>
      <c r="E30" s="203"/>
      <c r="F30" s="203"/>
      <c r="G30" s="203"/>
      <c r="H30" s="203"/>
      <c r="I30" s="203"/>
      <c r="J30" s="204"/>
      <c r="K30" s="35"/>
    </row>
    <row r="31" spans="1:11" s="4" customFormat="1" ht="18.75" customHeight="1">
      <c r="A31" s="1"/>
      <c r="B31" s="287" t="s">
        <v>203</v>
      </c>
      <c r="C31" s="288"/>
      <c r="D31" s="288"/>
      <c r="E31" s="288"/>
      <c r="F31" s="288"/>
      <c r="G31" s="288"/>
      <c r="H31" s="288"/>
      <c r="I31" s="288"/>
      <c r="J31" s="289"/>
      <c r="K31" s="35" t="str">
        <f>IF(B31="","入力してください","")</f>
        <v/>
      </c>
    </row>
    <row r="32" spans="1:11" s="4" customFormat="1" ht="18.75" customHeight="1">
      <c r="A32" s="1"/>
      <c r="B32" s="280"/>
      <c r="C32" s="281"/>
      <c r="D32" s="281"/>
      <c r="E32" s="281"/>
      <c r="F32" s="281"/>
      <c r="G32" s="281"/>
      <c r="H32" s="281"/>
      <c r="I32" s="281"/>
      <c r="J32" s="282"/>
      <c r="K32" s="35"/>
    </row>
    <row r="33" spans="1:11" s="4" customFormat="1" ht="18.75" customHeight="1">
      <c r="A33" s="1"/>
      <c r="B33" s="280"/>
      <c r="C33" s="281"/>
      <c r="D33" s="281"/>
      <c r="E33" s="281"/>
      <c r="F33" s="281"/>
      <c r="G33" s="281"/>
      <c r="H33" s="281"/>
      <c r="I33" s="281"/>
      <c r="J33" s="282"/>
      <c r="K33" s="35"/>
    </row>
    <row r="34" spans="1:11" s="4" customFormat="1" ht="18.75" customHeight="1">
      <c r="A34" s="1"/>
      <c r="B34" s="280"/>
      <c r="C34" s="281"/>
      <c r="D34" s="281"/>
      <c r="E34" s="281"/>
      <c r="F34" s="281"/>
      <c r="G34" s="281"/>
      <c r="H34" s="281"/>
      <c r="I34" s="281"/>
      <c r="J34" s="282"/>
      <c r="K34" s="35"/>
    </row>
    <row r="35" spans="1:11" s="4" customFormat="1" ht="18.75" customHeight="1">
      <c r="A35" s="1"/>
      <c r="B35" s="280"/>
      <c r="C35" s="281"/>
      <c r="D35" s="281"/>
      <c r="E35" s="281"/>
      <c r="F35" s="281"/>
      <c r="G35" s="281"/>
      <c r="H35" s="281"/>
      <c r="I35" s="281"/>
      <c r="J35" s="282"/>
      <c r="K35" s="35"/>
    </row>
    <row r="36" spans="1:11" s="4" customFormat="1" ht="18.75" customHeight="1">
      <c r="A36" s="1"/>
      <c r="B36" s="280"/>
      <c r="C36" s="281"/>
      <c r="D36" s="281"/>
      <c r="E36" s="281"/>
      <c r="F36" s="281"/>
      <c r="G36" s="281"/>
      <c r="H36" s="281"/>
      <c r="I36" s="281"/>
      <c r="J36" s="282"/>
      <c r="K36" s="35"/>
    </row>
    <row r="37" spans="1:11" s="4" customFormat="1" ht="18.75" customHeight="1">
      <c r="A37" s="1"/>
      <c r="B37" s="280"/>
      <c r="C37" s="281"/>
      <c r="D37" s="281"/>
      <c r="E37" s="281"/>
      <c r="F37" s="281"/>
      <c r="G37" s="281"/>
      <c r="H37" s="281"/>
      <c r="I37" s="281"/>
      <c r="J37" s="282"/>
      <c r="K37" s="35"/>
    </row>
    <row r="38" spans="1:11" s="4" customFormat="1" ht="18.75" customHeight="1">
      <c r="A38" s="1"/>
      <c r="B38" s="280"/>
      <c r="C38" s="281"/>
      <c r="D38" s="281"/>
      <c r="E38" s="281"/>
      <c r="F38" s="281"/>
      <c r="G38" s="281"/>
      <c r="H38" s="281"/>
      <c r="I38" s="281"/>
      <c r="J38" s="282"/>
      <c r="K38" s="35"/>
    </row>
    <row r="39" spans="1:11" s="4" customFormat="1" ht="18.75" customHeight="1">
      <c r="A39" s="1"/>
      <c r="B39" s="280"/>
      <c r="C39" s="281"/>
      <c r="D39" s="281"/>
      <c r="E39" s="281"/>
      <c r="F39" s="281"/>
      <c r="G39" s="281"/>
      <c r="H39" s="281"/>
      <c r="I39" s="281"/>
      <c r="J39" s="282"/>
      <c r="K39" s="35"/>
    </row>
    <row r="40" spans="1:11" s="4" customFormat="1" ht="18.75" customHeight="1">
      <c r="A40" s="1"/>
      <c r="B40" s="280"/>
      <c r="C40" s="281"/>
      <c r="D40" s="281"/>
      <c r="E40" s="281"/>
      <c r="F40" s="281"/>
      <c r="G40" s="281"/>
      <c r="H40" s="281"/>
      <c r="I40" s="281"/>
      <c r="J40" s="282"/>
      <c r="K40" s="35"/>
    </row>
    <row r="41" spans="1:11" s="4" customFormat="1" ht="18.75" customHeight="1">
      <c r="A41" s="1"/>
      <c r="B41" s="280"/>
      <c r="C41" s="281"/>
      <c r="D41" s="281"/>
      <c r="E41" s="281"/>
      <c r="F41" s="281"/>
      <c r="G41" s="281"/>
      <c r="H41" s="281"/>
      <c r="I41" s="281"/>
      <c r="J41" s="282"/>
      <c r="K41" s="35"/>
    </row>
    <row r="42" spans="1:11" s="4" customFormat="1" ht="18.75" customHeight="1">
      <c r="A42" s="1"/>
      <c r="B42" s="280"/>
      <c r="C42" s="281"/>
      <c r="D42" s="281"/>
      <c r="E42" s="281"/>
      <c r="F42" s="281"/>
      <c r="G42" s="281"/>
      <c r="H42" s="281"/>
      <c r="I42" s="281"/>
      <c r="J42" s="282"/>
      <c r="K42" s="35"/>
    </row>
    <row r="43" spans="1:11" ht="18.75" customHeight="1">
      <c r="A43" s="37"/>
      <c r="B43" s="280"/>
      <c r="C43" s="281"/>
      <c r="D43" s="281"/>
      <c r="E43" s="281"/>
      <c r="F43" s="281"/>
      <c r="G43" s="281"/>
      <c r="H43" s="281"/>
      <c r="I43" s="281"/>
      <c r="J43" s="282"/>
      <c r="K43" s="35"/>
    </row>
    <row r="44" spans="1:11" ht="18.75" customHeight="1">
      <c r="A44" s="37"/>
      <c r="B44" s="283"/>
      <c r="C44" s="284"/>
      <c r="D44" s="284"/>
      <c r="E44" s="284"/>
      <c r="F44" s="284"/>
      <c r="G44" s="284"/>
      <c r="H44" s="284"/>
      <c r="I44" s="284"/>
      <c r="J44" s="285"/>
    </row>
    <row r="45" spans="1:11" s="4" customFormat="1" ht="18.75" customHeight="1">
      <c r="A45" s="99" t="s">
        <v>11</v>
      </c>
      <c r="B45" s="1" t="s">
        <v>55</v>
      </c>
      <c r="C45" s="1"/>
      <c r="D45" s="1"/>
      <c r="E45" s="1"/>
      <c r="F45" s="1"/>
      <c r="G45" s="1"/>
      <c r="H45" s="1"/>
      <c r="I45" s="99"/>
      <c r="J45" s="99"/>
      <c r="K45" s="31"/>
    </row>
    <row r="46" spans="1:11" ht="18.75" customHeight="1">
      <c r="A46" s="37"/>
      <c r="B46" s="269" t="s">
        <v>212</v>
      </c>
      <c r="C46" s="270"/>
      <c r="D46" s="270"/>
      <c r="E46" s="270"/>
      <c r="F46" s="270"/>
      <c r="G46" s="270"/>
      <c r="H46" s="270"/>
      <c r="I46" s="270"/>
      <c r="J46" s="271"/>
      <c r="K46" s="31" t="str">
        <f>IF(B46="","入力してください","")</f>
        <v/>
      </c>
    </row>
    <row r="47" spans="1:11" ht="18.75" customHeight="1">
      <c r="A47" s="37"/>
      <c r="B47" s="272"/>
      <c r="C47" s="273"/>
      <c r="D47" s="273"/>
      <c r="E47" s="273"/>
      <c r="F47" s="273"/>
      <c r="G47" s="273"/>
      <c r="H47" s="273"/>
      <c r="I47" s="273"/>
      <c r="J47" s="274"/>
    </row>
    <row r="48" spans="1:11" ht="18.75" customHeight="1">
      <c r="A48" s="37"/>
      <c r="B48" s="272"/>
      <c r="C48" s="273"/>
      <c r="D48" s="273"/>
      <c r="E48" s="273"/>
      <c r="F48" s="273"/>
      <c r="G48" s="273"/>
      <c r="H48" s="273"/>
      <c r="I48" s="273"/>
      <c r="J48" s="274"/>
    </row>
    <row r="49" spans="1:10" ht="18.75" customHeight="1">
      <c r="A49" s="37"/>
      <c r="B49" s="272"/>
      <c r="C49" s="273"/>
      <c r="D49" s="273"/>
      <c r="E49" s="273"/>
      <c r="F49" s="273"/>
      <c r="G49" s="273"/>
      <c r="H49" s="273"/>
      <c r="I49" s="273"/>
      <c r="J49" s="274"/>
    </row>
    <row r="50" spans="1:10" ht="18.75" customHeight="1">
      <c r="A50" s="37"/>
      <c r="B50" s="272"/>
      <c r="C50" s="273"/>
      <c r="D50" s="273"/>
      <c r="E50" s="273"/>
      <c r="F50" s="273"/>
      <c r="G50" s="273"/>
      <c r="H50" s="273"/>
      <c r="I50" s="273"/>
      <c r="J50" s="274"/>
    </row>
    <row r="51" spans="1:10" ht="18.75" customHeight="1">
      <c r="A51" s="37"/>
      <c r="B51" s="272"/>
      <c r="C51" s="273"/>
      <c r="D51" s="273"/>
      <c r="E51" s="273"/>
      <c r="F51" s="273"/>
      <c r="G51" s="273"/>
      <c r="H51" s="273"/>
      <c r="I51" s="273"/>
      <c r="J51" s="274"/>
    </row>
    <row r="52" spans="1:10" ht="18.75" customHeight="1">
      <c r="A52" s="37"/>
      <c r="B52" s="272"/>
      <c r="C52" s="273"/>
      <c r="D52" s="273"/>
      <c r="E52" s="273"/>
      <c r="F52" s="273"/>
      <c r="G52" s="273"/>
      <c r="H52" s="273"/>
      <c r="I52" s="273"/>
      <c r="J52" s="274"/>
    </row>
    <row r="53" spans="1:10" ht="18.75" customHeight="1">
      <c r="A53" s="37"/>
      <c r="B53" s="272"/>
      <c r="C53" s="273"/>
      <c r="D53" s="273"/>
      <c r="E53" s="273"/>
      <c r="F53" s="273"/>
      <c r="G53" s="273"/>
      <c r="H53" s="273"/>
      <c r="I53" s="273"/>
      <c r="J53" s="274"/>
    </row>
    <row r="54" spans="1:10" ht="18.75" customHeight="1">
      <c r="A54" s="37"/>
      <c r="B54" s="272"/>
      <c r="C54" s="273"/>
      <c r="D54" s="273"/>
      <c r="E54" s="273"/>
      <c r="F54" s="273"/>
      <c r="G54" s="273"/>
      <c r="H54" s="273"/>
      <c r="I54" s="273"/>
      <c r="J54" s="274"/>
    </row>
    <row r="55" spans="1:10" ht="18.75" customHeight="1">
      <c r="A55" s="37"/>
      <c r="B55" s="272"/>
      <c r="C55" s="273"/>
      <c r="D55" s="273"/>
      <c r="E55" s="273"/>
      <c r="F55" s="273"/>
      <c r="G55" s="273"/>
      <c r="H55" s="273"/>
      <c r="I55" s="273"/>
      <c r="J55" s="274"/>
    </row>
    <row r="56" spans="1:10" ht="18.75" customHeight="1">
      <c r="A56" s="37"/>
      <c r="B56" s="272"/>
      <c r="C56" s="273"/>
      <c r="D56" s="273"/>
      <c r="E56" s="273"/>
      <c r="F56" s="273"/>
      <c r="G56" s="273"/>
      <c r="H56" s="273"/>
      <c r="I56" s="273"/>
      <c r="J56" s="274"/>
    </row>
    <row r="57" spans="1:10" ht="18.75" customHeight="1">
      <c r="A57" s="37"/>
      <c r="B57" s="272"/>
      <c r="C57" s="273"/>
      <c r="D57" s="273"/>
      <c r="E57" s="273"/>
      <c r="F57" s="273"/>
      <c r="G57" s="273"/>
      <c r="H57" s="273"/>
      <c r="I57" s="273"/>
      <c r="J57" s="274"/>
    </row>
    <row r="58" spans="1:10" ht="18.75" customHeight="1">
      <c r="A58" s="37"/>
      <c r="B58" s="272"/>
      <c r="C58" s="273"/>
      <c r="D58" s="273"/>
      <c r="E58" s="273"/>
      <c r="F58" s="273"/>
      <c r="G58" s="273"/>
      <c r="H58" s="273"/>
      <c r="I58" s="273"/>
      <c r="J58" s="274"/>
    </row>
    <row r="59" spans="1:10" ht="18.75" customHeight="1">
      <c r="A59" s="37"/>
      <c r="B59" s="272"/>
      <c r="C59" s="273"/>
      <c r="D59" s="273"/>
      <c r="E59" s="273"/>
      <c r="F59" s="273"/>
      <c r="G59" s="273"/>
      <c r="H59" s="273"/>
      <c r="I59" s="273"/>
      <c r="J59" s="274"/>
    </row>
    <row r="60" spans="1:10" ht="18.75" customHeight="1">
      <c r="A60" s="37"/>
      <c r="B60" s="272"/>
      <c r="C60" s="273"/>
      <c r="D60" s="273"/>
      <c r="E60" s="273"/>
      <c r="F60" s="273"/>
      <c r="G60" s="273"/>
      <c r="H60" s="273"/>
      <c r="I60" s="273"/>
      <c r="J60" s="274"/>
    </row>
    <row r="61" spans="1:10" ht="18.75" customHeight="1">
      <c r="A61" s="37"/>
      <c r="B61" s="272"/>
      <c r="C61" s="273"/>
      <c r="D61" s="273"/>
      <c r="E61" s="273"/>
      <c r="F61" s="273"/>
      <c r="G61" s="273"/>
      <c r="H61" s="273"/>
      <c r="I61" s="273"/>
      <c r="J61" s="274"/>
    </row>
    <row r="62" spans="1:10" ht="18.75" customHeight="1">
      <c r="A62" s="37"/>
      <c r="B62" s="272"/>
      <c r="C62" s="273"/>
      <c r="D62" s="273"/>
      <c r="E62" s="273"/>
      <c r="F62" s="273"/>
      <c r="G62" s="273"/>
      <c r="H62" s="273"/>
      <c r="I62" s="273"/>
      <c r="J62" s="274"/>
    </row>
    <row r="63" spans="1:10" ht="18.75" customHeight="1">
      <c r="A63" s="37"/>
      <c r="B63" s="272"/>
      <c r="C63" s="273"/>
      <c r="D63" s="273"/>
      <c r="E63" s="273"/>
      <c r="F63" s="273"/>
      <c r="G63" s="273"/>
      <c r="H63" s="273"/>
      <c r="I63" s="273"/>
      <c r="J63" s="274"/>
    </row>
    <row r="64" spans="1:10" ht="18.75" customHeight="1">
      <c r="A64" s="37"/>
      <c r="B64" s="272"/>
      <c r="C64" s="273"/>
      <c r="D64" s="273"/>
      <c r="E64" s="273"/>
      <c r="F64" s="273"/>
      <c r="G64" s="273"/>
      <c r="H64" s="273"/>
      <c r="I64" s="273"/>
      <c r="J64" s="274"/>
    </row>
    <row r="65" spans="1:11" ht="18.75" customHeight="1">
      <c r="A65" s="37"/>
      <c r="B65" s="272"/>
      <c r="C65" s="273"/>
      <c r="D65" s="273"/>
      <c r="E65" s="273"/>
      <c r="F65" s="273"/>
      <c r="G65" s="273"/>
      <c r="H65" s="273"/>
      <c r="I65" s="273"/>
      <c r="J65" s="274"/>
    </row>
    <row r="66" spans="1:11" ht="18.75" customHeight="1">
      <c r="A66" s="37"/>
      <c r="B66" s="275"/>
      <c r="C66" s="276"/>
      <c r="D66" s="276"/>
      <c r="E66" s="276"/>
      <c r="F66" s="276"/>
      <c r="G66" s="276"/>
      <c r="H66" s="276"/>
      <c r="I66" s="276"/>
      <c r="J66" s="277"/>
    </row>
    <row r="67" spans="1:11" ht="7.5" customHeight="1">
      <c r="A67" s="37"/>
      <c r="B67" s="37"/>
      <c r="C67" s="37"/>
      <c r="D67" s="37"/>
      <c r="E67" s="37"/>
      <c r="F67" s="37"/>
      <c r="G67" s="37"/>
      <c r="H67" s="37"/>
      <c r="I67" s="37"/>
      <c r="J67" s="37"/>
    </row>
    <row r="68" spans="1:11" s="4" customFormat="1" ht="18.75" customHeight="1">
      <c r="A68" s="1" t="s">
        <v>14</v>
      </c>
      <c r="B68" s="1" t="s">
        <v>61</v>
      </c>
      <c r="C68" s="1"/>
      <c r="D68" s="1"/>
      <c r="E68" s="1"/>
      <c r="F68" s="1"/>
      <c r="G68" s="1"/>
      <c r="H68" s="1"/>
      <c r="I68" s="1"/>
      <c r="J68" s="1"/>
      <c r="K68" s="31"/>
    </row>
    <row r="69" spans="1:11" s="4" customFormat="1" ht="18.75" customHeight="1">
      <c r="A69" s="1"/>
      <c r="B69" s="269" t="s">
        <v>204</v>
      </c>
      <c r="C69" s="270"/>
      <c r="D69" s="270"/>
      <c r="E69" s="270"/>
      <c r="F69" s="270"/>
      <c r="G69" s="270"/>
      <c r="H69" s="270"/>
      <c r="I69" s="278"/>
      <c r="J69" s="279"/>
      <c r="K69" s="35" t="str">
        <f>IF(B69="","入力してください","")</f>
        <v/>
      </c>
    </row>
    <row r="70" spans="1:11" s="4" customFormat="1" ht="18.75" customHeight="1">
      <c r="A70" s="1"/>
      <c r="B70" s="280"/>
      <c r="C70" s="281"/>
      <c r="D70" s="281"/>
      <c r="E70" s="281"/>
      <c r="F70" s="281"/>
      <c r="G70" s="281"/>
      <c r="H70" s="281"/>
      <c r="I70" s="281"/>
      <c r="J70" s="282"/>
      <c r="K70" s="35"/>
    </row>
    <row r="71" spans="1:11" s="4" customFormat="1" ht="18.75" customHeight="1">
      <c r="A71" s="1"/>
      <c r="B71" s="280"/>
      <c r="C71" s="281"/>
      <c r="D71" s="281"/>
      <c r="E71" s="281"/>
      <c r="F71" s="281"/>
      <c r="G71" s="281"/>
      <c r="H71" s="281"/>
      <c r="I71" s="281"/>
      <c r="J71" s="282"/>
      <c r="K71" s="35"/>
    </row>
    <row r="72" spans="1:11" s="4" customFormat="1" ht="18.75" customHeight="1">
      <c r="A72" s="1"/>
      <c r="B72" s="280"/>
      <c r="C72" s="281"/>
      <c r="D72" s="281"/>
      <c r="E72" s="281"/>
      <c r="F72" s="281"/>
      <c r="G72" s="281"/>
      <c r="H72" s="281"/>
      <c r="I72" s="281"/>
      <c r="J72" s="282"/>
      <c r="K72" s="35"/>
    </row>
    <row r="73" spans="1:11" s="4" customFormat="1" ht="18.75" customHeight="1">
      <c r="A73" s="1"/>
      <c r="B73" s="280"/>
      <c r="C73" s="281"/>
      <c r="D73" s="281"/>
      <c r="E73" s="281"/>
      <c r="F73" s="281"/>
      <c r="G73" s="281"/>
      <c r="H73" s="281"/>
      <c r="I73" s="281"/>
      <c r="J73" s="282"/>
      <c r="K73" s="35"/>
    </row>
    <row r="74" spans="1:11" s="4" customFormat="1" ht="18.75" customHeight="1">
      <c r="A74" s="1"/>
      <c r="B74" s="280"/>
      <c r="C74" s="281"/>
      <c r="D74" s="281"/>
      <c r="E74" s="281"/>
      <c r="F74" s="281"/>
      <c r="G74" s="281"/>
      <c r="H74" s="281"/>
      <c r="I74" s="281"/>
      <c r="J74" s="282"/>
      <c r="K74" s="35"/>
    </row>
    <row r="75" spans="1:11" s="4" customFormat="1" ht="18.75" customHeight="1">
      <c r="A75" s="1"/>
      <c r="B75" s="280"/>
      <c r="C75" s="281"/>
      <c r="D75" s="281"/>
      <c r="E75" s="281"/>
      <c r="F75" s="281"/>
      <c r="G75" s="281"/>
      <c r="H75" s="281"/>
      <c r="I75" s="281"/>
      <c r="J75" s="282"/>
      <c r="K75" s="35"/>
    </row>
    <row r="76" spans="1:11" s="4" customFormat="1" ht="18.75" customHeight="1">
      <c r="A76" s="1"/>
      <c r="B76" s="280"/>
      <c r="C76" s="281"/>
      <c r="D76" s="281"/>
      <c r="E76" s="281"/>
      <c r="F76" s="281"/>
      <c r="G76" s="281"/>
      <c r="H76" s="281"/>
      <c r="I76" s="281"/>
      <c r="J76" s="282"/>
      <c r="K76" s="35"/>
    </row>
    <row r="77" spans="1:11" s="4" customFormat="1" ht="18.75" customHeight="1">
      <c r="A77" s="1"/>
      <c r="B77" s="280"/>
      <c r="C77" s="281"/>
      <c r="D77" s="281"/>
      <c r="E77" s="281"/>
      <c r="F77" s="281"/>
      <c r="G77" s="281"/>
      <c r="H77" s="281"/>
      <c r="I77" s="281"/>
      <c r="J77" s="282"/>
      <c r="K77" s="35"/>
    </row>
    <row r="78" spans="1:11" s="4" customFormat="1" ht="18.75" customHeight="1">
      <c r="A78" s="1"/>
      <c r="B78" s="280"/>
      <c r="C78" s="281"/>
      <c r="D78" s="281"/>
      <c r="E78" s="281"/>
      <c r="F78" s="281"/>
      <c r="G78" s="281"/>
      <c r="H78" s="281"/>
      <c r="I78" s="281"/>
      <c r="J78" s="282"/>
      <c r="K78" s="35"/>
    </row>
    <row r="79" spans="1:11" s="4" customFormat="1" ht="18.75" customHeight="1">
      <c r="A79" s="1"/>
      <c r="B79" s="280"/>
      <c r="C79" s="281"/>
      <c r="D79" s="281"/>
      <c r="E79" s="281"/>
      <c r="F79" s="281"/>
      <c r="G79" s="281"/>
      <c r="H79" s="281"/>
      <c r="I79" s="281"/>
      <c r="J79" s="282"/>
      <c r="K79" s="35"/>
    </row>
    <row r="80" spans="1:11" s="4" customFormat="1" ht="18.75" customHeight="1">
      <c r="A80" s="1"/>
      <c r="B80" s="280"/>
      <c r="C80" s="281"/>
      <c r="D80" s="281"/>
      <c r="E80" s="281"/>
      <c r="F80" s="281"/>
      <c r="G80" s="281"/>
      <c r="H80" s="281"/>
      <c r="I80" s="281"/>
      <c r="J80" s="282"/>
      <c r="K80" s="35"/>
    </row>
    <row r="81" spans="1:11" s="4" customFormat="1" ht="18.75" customHeight="1">
      <c r="A81" s="1"/>
      <c r="B81" s="280"/>
      <c r="C81" s="281"/>
      <c r="D81" s="281"/>
      <c r="E81" s="281"/>
      <c r="F81" s="281"/>
      <c r="G81" s="281"/>
      <c r="H81" s="281"/>
      <c r="I81" s="281"/>
      <c r="J81" s="282"/>
      <c r="K81" s="35"/>
    </row>
    <row r="82" spans="1:11" s="4" customFormat="1" ht="18.75" customHeight="1">
      <c r="A82" s="1"/>
      <c r="B82" s="280"/>
      <c r="C82" s="281"/>
      <c r="D82" s="281"/>
      <c r="E82" s="281"/>
      <c r="F82" s="281"/>
      <c r="G82" s="281"/>
      <c r="H82" s="281"/>
      <c r="I82" s="281"/>
      <c r="J82" s="282"/>
      <c r="K82" s="35"/>
    </row>
    <row r="83" spans="1:11" s="4" customFormat="1" ht="18.75" customHeight="1">
      <c r="A83" s="1"/>
      <c r="B83" s="280"/>
      <c r="C83" s="281"/>
      <c r="D83" s="281"/>
      <c r="E83" s="281"/>
      <c r="F83" s="281"/>
      <c r="G83" s="281"/>
      <c r="H83" s="281"/>
      <c r="I83" s="281"/>
      <c r="J83" s="282"/>
      <c r="K83" s="35"/>
    </row>
    <row r="84" spans="1:11" s="4" customFormat="1" ht="18.75" customHeight="1">
      <c r="A84" s="1"/>
      <c r="B84" s="280"/>
      <c r="C84" s="281"/>
      <c r="D84" s="281"/>
      <c r="E84" s="281"/>
      <c r="F84" s="281"/>
      <c r="G84" s="281"/>
      <c r="H84" s="281"/>
      <c r="I84" s="281"/>
      <c r="J84" s="282"/>
      <c r="K84" s="35"/>
    </row>
    <row r="85" spans="1:11" ht="18.75" customHeight="1">
      <c r="A85" s="37"/>
      <c r="B85" s="280"/>
      <c r="C85" s="281"/>
      <c r="D85" s="281"/>
      <c r="E85" s="281"/>
      <c r="F85" s="281"/>
      <c r="G85" s="281"/>
      <c r="H85" s="281"/>
      <c r="I85" s="281"/>
      <c r="J85" s="282"/>
      <c r="K85" s="35"/>
    </row>
    <row r="86" spans="1:11" ht="18.75" customHeight="1">
      <c r="A86" s="37"/>
      <c r="B86" s="283"/>
      <c r="C86" s="284"/>
      <c r="D86" s="284"/>
      <c r="E86" s="284"/>
      <c r="F86" s="284"/>
      <c r="G86" s="284"/>
      <c r="H86" s="284"/>
      <c r="I86" s="284"/>
      <c r="J86" s="285"/>
      <c r="K86" s="35"/>
    </row>
    <row r="87" spans="1:11" ht="7.5" customHeight="1">
      <c r="A87" s="37"/>
      <c r="B87" s="37"/>
      <c r="C87" s="37"/>
      <c r="D87" s="37"/>
      <c r="E87" s="37"/>
      <c r="F87" s="37"/>
      <c r="G87" s="37"/>
      <c r="H87" s="37"/>
      <c r="I87" s="37"/>
      <c r="J87" s="37"/>
    </row>
    <row r="88" spans="1:11" s="4" customFormat="1" ht="18.75" customHeight="1">
      <c r="A88" s="1" t="s">
        <v>12</v>
      </c>
      <c r="B88" s="1" t="s">
        <v>26</v>
      </c>
      <c r="C88" s="1"/>
      <c r="D88" s="1"/>
      <c r="E88" s="1"/>
      <c r="F88" s="1"/>
      <c r="G88" s="1"/>
      <c r="H88" s="1"/>
      <c r="I88" s="1"/>
      <c r="J88" s="1"/>
      <c r="K88" s="31"/>
    </row>
    <row r="89" spans="1:11" s="4" customFormat="1" ht="18.75" customHeight="1">
      <c r="A89" s="1"/>
      <c r="B89" s="269" t="s">
        <v>205</v>
      </c>
      <c r="C89" s="270"/>
      <c r="D89" s="270"/>
      <c r="E89" s="270"/>
      <c r="F89" s="270"/>
      <c r="G89" s="270"/>
      <c r="H89" s="270"/>
      <c r="I89" s="278"/>
      <c r="J89" s="279"/>
      <c r="K89" s="31"/>
    </row>
    <row r="90" spans="1:11" s="4" customFormat="1" ht="18.75" customHeight="1">
      <c r="A90" s="1"/>
      <c r="B90" s="280"/>
      <c r="C90" s="281"/>
      <c r="D90" s="281"/>
      <c r="E90" s="281"/>
      <c r="F90" s="281"/>
      <c r="G90" s="281"/>
      <c r="H90" s="281"/>
      <c r="I90" s="281"/>
      <c r="J90" s="282"/>
      <c r="K90" s="35"/>
    </row>
    <row r="91" spans="1:11" s="4" customFormat="1" ht="18.75" customHeight="1">
      <c r="A91" s="1"/>
      <c r="B91" s="280"/>
      <c r="C91" s="281"/>
      <c r="D91" s="281"/>
      <c r="E91" s="281"/>
      <c r="F91" s="281"/>
      <c r="G91" s="281"/>
      <c r="H91" s="281"/>
      <c r="I91" s="281"/>
      <c r="J91" s="282"/>
      <c r="K91" s="35" t="str">
        <f>IF(B89="","入力してください","")</f>
        <v/>
      </c>
    </row>
    <row r="92" spans="1:11" s="4" customFormat="1" ht="18.75" customHeight="1">
      <c r="A92" s="1"/>
      <c r="B92" s="280"/>
      <c r="C92" s="281"/>
      <c r="D92" s="281"/>
      <c r="E92" s="281"/>
      <c r="F92" s="281"/>
      <c r="G92" s="281"/>
      <c r="H92" s="281"/>
      <c r="I92" s="281"/>
      <c r="J92" s="282"/>
      <c r="K92" s="35"/>
    </row>
    <row r="93" spans="1:11" s="4" customFormat="1" ht="18.75" customHeight="1">
      <c r="A93" s="1"/>
      <c r="B93" s="280"/>
      <c r="C93" s="281"/>
      <c r="D93" s="281"/>
      <c r="E93" s="281"/>
      <c r="F93" s="281"/>
      <c r="G93" s="281"/>
      <c r="H93" s="281"/>
      <c r="I93" s="281"/>
      <c r="J93" s="282"/>
      <c r="K93" s="35"/>
    </row>
    <row r="94" spans="1:11" s="4" customFormat="1" ht="18.75" customHeight="1">
      <c r="A94" s="1"/>
      <c r="B94" s="280"/>
      <c r="C94" s="281"/>
      <c r="D94" s="281"/>
      <c r="E94" s="281"/>
      <c r="F94" s="281"/>
      <c r="G94" s="281"/>
      <c r="H94" s="281"/>
      <c r="I94" s="281"/>
      <c r="J94" s="282"/>
      <c r="K94" s="35"/>
    </row>
    <row r="95" spans="1:11" s="4" customFormat="1" ht="18.75" customHeight="1">
      <c r="A95" s="1"/>
      <c r="B95" s="280"/>
      <c r="C95" s="281"/>
      <c r="D95" s="281"/>
      <c r="E95" s="281"/>
      <c r="F95" s="281"/>
      <c r="G95" s="281"/>
      <c r="H95" s="281"/>
      <c r="I95" s="281"/>
      <c r="J95" s="282"/>
      <c r="K95" s="35"/>
    </row>
    <row r="96" spans="1:11" s="4" customFormat="1" ht="18.75" customHeight="1">
      <c r="A96" s="1"/>
      <c r="B96" s="280"/>
      <c r="C96" s="281"/>
      <c r="D96" s="281"/>
      <c r="E96" s="281"/>
      <c r="F96" s="281"/>
      <c r="G96" s="281"/>
      <c r="H96" s="281"/>
      <c r="I96" s="281"/>
      <c r="J96" s="282"/>
      <c r="K96" s="35"/>
    </row>
    <row r="97" spans="1:11" s="4" customFormat="1" ht="18.75" customHeight="1">
      <c r="A97" s="1"/>
      <c r="B97" s="280"/>
      <c r="C97" s="281"/>
      <c r="D97" s="281"/>
      <c r="E97" s="281"/>
      <c r="F97" s="281"/>
      <c r="G97" s="281"/>
      <c r="H97" s="281"/>
      <c r="I97" s="281"/>
      <c r="J97" s="282"/>
      <c r="K97" s="35"/>
    </row>
    <row r="98" spans="1:11" s="4" customFormat="1" ht="18.75" customHeight="1">
      <c r="A98" s="1"/>
      <c r="B98" s="280"/>
      <c r="C98" s="281"/>
      <c r="D98" s="281"/>
      <c r="E98" s="281"/>
      <c r="F98" s="281"/>
      <c r="G98" s="281"/>
      <c r="H98" s="281"/>
      <c r="I98" s="281"/>
      <c r="J98" s="282"/>
      <c r="K98" s="35"/>
    </row>
    <row r="99" spans="1:11" s="4" customFormat="1" ht="18.75" customHeight="1">
      <c r="A99" s="1"/>
      <c r="B99" s="280"/>
      <c r="C99" s="281"/>
      <c r="D99" s="281"/>
      <c r="E99" s="281"/>
      <c r="F99" s="281"/>
      <c r="G99" s="281"/>
      <c r="H99" s="281"/>
      <c r="I99" s="281"/>
      <c r="J99" s="282"/>
      <c r="K99" s="35"/>
    </row>
    <row r="100" spans="1:11" s="4" customFormat="1" ht="18.75" customHeight="1">
      <c r="A100" s="1"/>
      <c r="B100" s="280"/>
      <c r="C100" s="281"/>
      <c r="D100" s="281"/>
      <c r="E100" s="281"/>
      <c r="F100" s="281"/>
      <c r="G100" s="281"/>
      <c r="H100" s="281"/>
      <c r="I100" s="281"/>
      <c r="J100" s="282"/>
      <c r="K100" s="35"/>
    </row>
    <row r="101" spans="1:11" s="4" customFormat="1" ht="18.75" customHeight="1">
      <c r="A101" s="1"/>
      <c r="B101" s="280"/>
      <c r="C101" s="281"/>
      <c r="D101" s="281"/>
      <c r="E101" s="281"/>
      <c r="F101" s="281"/>
      <c r="G101" s="281"/>
      <c r="H101" s="281"/>
      <c r="I101" s="281"/>
      <c r="J101" s="282"/>
      <c r="K101" s="35"/>
    </row>
    <row r="102" spans="1:11" s="4" customFormat="1" ht="18.75" customHeight="1">
      <c r="A102" s="1"/>
      <c r="B102" s="280"/>
      <c r="C102" s="281"/>
      <c r="D102" s="281"/>
      <c r="E102" s="281"/>
      <c r="F102" s="281"/>
      <c r="G102" s="281"/>
      <c r="H102" s="281"/>
      <c r="I102" s="281"/>
      <c r="J102" s="282"/>
      <c r="K102" s="35"/>
    </row>
    <row r="103" spans="1:11" s="4" customFormat="1" ht="18.75" customHeight="1">
      <c r="A103" s="1"/>
      <c r="B103" s="280"/>
      <c r="C103" s="281"/>
      <c r="D103" s="281"/>
      <c r="E103" s="281"/>
      <c r="F103" s="281"/>
      <c r="G103" s="281"/>
      <c r="H103" s="281"/>
      <c r="I103" s="281"/>
      <c r="J103" s="282"/>
      <c r="K103" s="35"/>
    </row>
    <row r="104" spans="1:11" s="4" customFormat="1" ht="18.75" customHeight="1">
      <c r="A104" s="1"/>
      <c r="B104" s="280"/>
      <c r="C104" s="281"/>
      <c r="D104" s="281"/>
      <c r="E104" s="281"/>
      <c r="F104" s="281"/>
      <c r="G104" s="281"/>
      <c r="H104" s="281"/>
      <c r="I104" s="281"/>
      <c r="J104" s="282"/>
      <c r="K104" s="35"/>
    </row>
    <row r="105" spans="1:11" s="4" customFormat="1" ht="18.75" customHeight="1">
      <c r="A105" s="1"/>
      <c r="B105" s="280"/>
      <c r="C105" s="281"/>
      <c r="D105" s="281"/>
      <c r="E105" s="281"/>
      <c r="F105" s="281"/>
      <c r="G105" s="281"/>
      <c r="H105" s="281"/>
      <c r="I105" s="281"/>
      <c r="J105" s="282"/>
      <c r="K105" s="35"/>
    </row>
    <row r="106" spans="1:11" s="4" customFormat="1" ht="18.75" customHeight="1">
      <c r="A106" s="1"/>
      <c r="B106" s="280"/>
      <c r="C106" s="281"/>
      <c r="D106" s="281"/>
      <c r="E106" s="281"/>
      <c r="F106" s="281"/>
      <c r="G106" s="281"/>
      <c r="H106" s="281"/>
      <c r="I106" s="281"/>
      <c r="J106" s="282"/>
      <c r="K106" s="35"/>
    </row>
    <row r="107" spans="1:11" ht="18.75" customHeight="1">
      <c r="A107" s="37"/>
      <c r="B107" s="280"/>
      <c r="C107" s="281"/>
      <c r="D107" s="281"/>
      <c r="E107" s="281"/>
      <c r="F107" s="281"/>
      <c r="G107" s="281"/>
      <c r="H107" s="281"/>
      <c r="I107" s="281"/>
      <c r="J107" s="282"/>
      <c r="K107" s="35"/>
    </row>
    <row r="108" spans="1:11" ht="18.75" customHeight="1">
      <c r="A108" s="37"/>
      <c r="B108" s="283"/>
      <c r="C108" s="284"/>
      <c r="D108" s="284"/>
      <c r="E108" s="284"/>
      <c r="F108" s="284"/>
      <c r="G108" s="284"/>
      <c r="H108" s="284"/>
      <c r="I108" s="284"/>
      <c r="J108" s="285"/>
      <c r="K108" s="35"/>
    </row>
    <row r="109" spans="1:11" ht="7.5" customHeight="1">
      <c r="A109" s="37"/>
      <c r="B109" s="37"/>
      <c r="C109" s="37"/>
      <c r="D109" s="37"/>
      <c r="E109" s="37"/>
      <c r="F109" s="37"/>
      <c r="G109" s="37"/>
      <c r="H109" s="37"/>
      <c r="I109" s="37"/>
      <c r="J109" s="37"/>
    </row>
    <row r="110" spans="1:11" s="4" customFormat="1" ht="18.75" customHeight="1">
      <c r="A110" s="1" t="s">
        <v>48</v>
      </c>
      <c r="B110" s="286" t="s">
        <v>70</v>
      </c>
      <c r="C110" s="286"/>
      <c r="D110" s="286"/>
      <c r="E110" s="286"/>
      <c r="F110" s="286"/>
      <c r="G110" s="286"/>
      <c r="H110" s="286"/>
      <c r="I110" s="286"/>
      <c r="J110" s="286"/>
      <c r="K110" s="31"/>
    </row>
    <row r="111" spans="1:11" ht="18.75" customHeight="1">
      <c r="A111" s="37"/>
      <c r="B111" s="269" t="s">
        <v>213</v>
      </c>
      <c r="C111" s="270"/>
      <c r="D111" s="270"/>
      <c r="E111" s="270"/>
      <c r="F111" s="270"/>
      <c r="G111" s="270"/>
      <c r="H111" s="270"/>
      <c r="I111" s="278"/>
      <c r="J111" s="279"/>
    </row>
    <row r="112" spans="1:11" ht="18.75" customHeight="1">
      <c r="A112" s="37"/>
      <c r="B112" s="280"/>
      <c r="C112" s="281"/>
      <c r="D112" s="281"/>
      <c r="E112" s="281"/>
      <c r="F112" s="281"/>
      <c r="G112" s="281"/>
      <c r="H112" s="281"/>
      <c r="I112" s="281"/>
      <c r="J112" s="282"/>
      <c r="K112" s="35"/>
    </row>
    <row r="113" spans="1:11" ht="18.75" customHeight="1">
      <c r="A113" s="37"/>
      <c r="B113" s="280"/>
      <c r="C113" s="281"/>
      <c r="D113" s="281"/>
      <c r="E113" s="281"/>
      <c r="F113" s="281"/>
      <c r="G113" s="281"/>
      <c r="H113" s="281"/>
      <c r="I113" s="281"/>
      <c r="J113" s="282"/>
      <c r="K113" s="31" t="str">
        <f>IF(B111="","入力してください","")</f>
        <v/>
      </c>
    </row>
    <row r="114" spans="1:11" ht="18.75" customHeight="1">
      <c r="A114" s="37"/>
      <c r="B114" s="280"/>
      <c r="C114" s="281"/>
      <c r="D114" s="281"/>
      <c r="E114" s="281"/>
      <c r="F114" s="281"/>
      <c r="G114" s="281"/>
      <c r="H114" s="281"/>
      <c r="I114" s="281"/>
      <c r="J114" s="282"/>
    </row>
    <row r="115" spans="1:11" ht="18.75" customHeight="1">
      <c r="A115" s="37"/>
      <c r="B115" s="280"/>
      <c r="C115" s="281"/>
      <c r="D115" s="281"/>
      <c r="E115" s="281"/>
      <c r="F115" s="281"/>
      <c r="G115" s="281"/>
      <c r="H115" s="281"/>
      <c r="I115" s="281"/>
      <c r="J115" s="282"/>
    </row>
    <row r="116" spans="1:11" ht="18.75" customHeight="1">
      <c r="A116" s="37"/>
      <c r="B116" s="280"/>
      <c r="C116" s="281"/>
      <c r="D116" s="281"/>
      <c r="E116" s="281"/>
      <c r="F116" s="281"/>
      <c r="G116" s="281"/>
      <c r="H116" s="281"/>
      <c r="I116" s="281"/>
      <c r="J116" s="282"/>
    </row>
    <row r="117" spans="1:11" ht="18.75" customHeight="1">
      <c r="A117" s="37"/>
      <c r="B117" s="280"/>
      <c r="C117" s="281"/>
      <c r="D117" s="281"/>
      <c r="E117" s="281"/>
      <c r="F117" s="281"/>
      <c r="G117" s="281"/>
      <c r="H117" s="281"/>
      <c r="I117" s="281"/>
      <c r="J117" s="282"/>
    </row>
    <row r="118" spans="1:11" ht="18.75" customHeight="1">
      <c r="A118" s="37"/>
      <c r="B118" s="280"/>
      <c r="C118" s="281"/>
      <c r="D118" s="281"/>
      <c r="E118" s="281"/>
      <c r="F118" s="281"/>
      <c r="G118" s="281"/>
      <c r="H118" s="281"/>
      <c r="I118" s="281"/>
      <c r="J118" s="282"/>
    </row>
    <row r="119" spans="1:11" ht="18.75" customHeight="1">
      <c r="A119" s="37"/>
      <c r="B119" s="280"/>
      <c r="C119" s="281"/>
      <c r="D119" s="281"/>
      <c r="E119" s="281"/>
      <c r="F119" s="281"/>
      <c r="G119" s="281"/>
      <c r="H119" s="281"/>
      <c r="I119" s="281"/>
      <c r="J119" s="282"/>
    </row>
    <row r="120" spans="1:11" ht="18.75" customHeight="1">
      <c r="A120" s="37"/>
      <c r="B120" s="280"/>
      <c r="C120" s="281"/>
      <c r="D120" s="281"/>
      <c r="E120" s="281"/>
      <c r="F120" s="281"/>
      <c r="G120" s="281"/>
      <c r="H120" s="281"/>
      <c r="I120" s="281"/>
      <c r="J120" s="282"/>
    </row>
    <row r="121" spans="1:11" ht="18.75" customHeight="1">
      <c r="A121" s="37"/>
      <c r="B121" s="280"/>
      <c r="C121" s="281"/>
      <c r="D121" s="281"/>
      <c r="E121" s="281"/>
      <c r="F121" s="281"/>
      <c r="G121" s="281"/>
      <c r="H121" s="281"/>
      <c r="I121" s="281"/>
      <c r="J121" s="282"/>
    </row>
    <row r="122" spans="1:11" ht="18.75" customHeight="1">
      <c r="A122" s="37"/>
      <c r="B122" s="280"/>
      <c r="C122" s="281"/>
      <c r="D122" s="281"/>
      <c r="E122" s="281"/>
      <c r="F122" s="281"/>
      <c r="G122" s="281"/>
      <c r="H122" s="281"/>
      <c r="I122" s="281"/>
      <c r="J122" s="282"/>
    </row>
    <row r="123" spans="1:11" ht="18.75" customHeight="1">
      <c r="A123" s="37"/>
      <c r="B123" s="280"/>
      <c r="C123" s="281"/>
      <c r="D123" s="281"/>
      <c r="E123" s="281"/>
      <c r="F123" s="281"/>
      <c r="G123" s="281"/>
      <c r="H123" s="281"/>
      <c r="I123" s="281"/>
      <c r="J123" s="282"/>
    </row>
    <row r="124" spans="1:11" ht="18.75" customHeight="1">
      <c r="A124" s="37"/>
      <c r="B124" s="280"/>
      <c r="C124" s="281"/>
      <c r="D124" s="281"/>
      <c r="E124" s="281"/>
      <c r="F124" s="281"/>
      <c r="G124" s="281"/>
      <c r="H124" s="281"/>
      <c r="I124" s="281"/>
      <c r="J124" s="282"/>
    </row>
    <row r="125" spans="1:11" ht="18.75" customHeight="1">
      <c r="A125" s="37"/>
      <c r="B125" s="280"/>
      <c r="C125" s="281"/>
      <c r="D125" s="281"/>
      <c r="E125" s="281"/>
      <c r="F125" s="281"/>
      <c r="G125" s="281"/>
      <c r="H125" s="281"/>
      <c r="I125" s="281"/>
      <c r="J125" s="282"/>
    </row>
    <row r="126" spans="1:11" ht="18.75" customHeight="1">
      <c r="A126" s="37"/>
      <c r="B126" s="280"/>
      <c r="C126" s="281"/>
      <c r="D126" s="281"/>
      <c r="E126" s="281"/>
      <c r="F126" s="281"/>
      <c r="G126" s="281"/>
      <c r="H126" s="281"/>
      <c r="I126" s="281"/>
      <c r="J126" s="282"/>
    </row>
    <row r="127" spans="1:11" ht="18.75" customHeight="1">
      <c r="A127" s="37"/>
      <c r="B127" s="280"/>
      <c r="C127" s="281"/>
      <c r="D127" s="281"/>
      <c r="E127" s="281"/>
      <c r="F127" s="281"/>
      <c r="G127" s="281"/>
      <c r="H127" s="281"/>
      <c r="I127" s="281"/>
      <c r="J127" s="282"/>
    </row>
    <row r="128" spans="1:11" ht="18.75" customHeight="1">
      <c r="A128" s="37"/>
      <c r="B128" s="280"/>
      <c r="C128" s="281"/>
      <c r="D128" s="281"/>
      <c r="E128" s="281"/>
      <c r="F128" s="281"/>
      <c r="G128" s="281"/>
      <c r="H128" s="281"/>
      <c r="I128" s="281"/>
      <c r="J128" s="282"/>
    </row>
    <row r="129" spans="1:10" ht="18.75" customHeight="1">
      <c r="A129" s="37"/>
      <c r="B129" s="283"/>
      <c r="C129" s="284"/>
      <c r="D129" s="284"/>
      <c r="E129" s="284"/>
      <c r="F129" s="284"/>
      <c r="G129" s="284"/>
      <c r="H129" s="284"/>
      <c r="I129" s="284"/>
      <c r="J129" s="285"/>
    </row>
    <row r="130" spans="1:10" ht="7.5" customHeight="1">
      <c r="A130" s="37"/>
      <c r="B130" s="100"/>
      <c r="C130" s="100"/>
      <c r="D130" s="100"/>
      <c r="E130" s="100"/>
      <c r="F130" s="100"/>
      <c r="G130" s="100"/>
      <c r="H130" s="100"/>
      <c r="I130" s="100"/>
      <c r="J130" s="100"/>
    </row>
    <row r="131" spans="1:10" ht="18.75" customHeight="1">
      <c r="A131" s="37"/>
      <c r="B131" s="37"/>
      <c r="C131" s="37"/>
      <c r="D131" s="37"/>
      <c r="E131" s="37"/>
      <c r="F131" s="37"/>
      <c r="G131" s="37"/>
      <c r="H131" s="37"/>
      <c r="I131" s="37"/>
      <c r="J131" s="37"/>
    </row>
    <row r="132" spans="1:10" ht="18.75" customHeight="1">
      <c r="A132" s="37"/>
      <c r="B132" s="37"/>
      <c r="C132" s="37"/>
      <c r="D132" s="37"/>
      <c r="E132" s="37"/>
      <c r="F132" s="37"/>
      <c r="G132" s="37"/>
      <c r="H132" s="37"/>
      <c r="I132" s="37"/>
      <c r="J132" s="37"/>
    </row>
    <row r="133" spans="1:10" ht="18.75" customHeight="1">
      <c r="A133" s="37"/>
      <c r="B133" s="37"/>
      <c r="C133" s="37"/>
      <c r="D133" s="37"/>
      <c r="E133" s="37"/>
      <c r="F133" s="37"/>
      <c r="G133" s="37"/>
      <c r="H133" s="37"/>
      <c r="I133" s="37"/>
      <c r="J133" s="37"/>
    </row>
    <row r="134" spans="1:10" ht="18.75" customHeight="1">
      <c r="A134" s="37"/>
      <c r="B134" s="37"/>
      <c r="C134" s="37"/>
      <c r="D134" s="37"/>
      <c r="E134" s="37"/>
      <c r="F134" s="37"/>
      <c r="G134" s="37"/>
      <c r="H134" s="37"/>
      <c r="I134" s="37"/>
      <c r="J134" s="37"/>
    </row>
    <row r="135" spans="1:10" ht="18.75" customHeight="1">
      <c r="A135" s="37"/>
      <c r="B135" s="37"/>
      <c r="C135" s="37"/>
      <c r="D135" s="37"/>
      <c r="E135" s="37"/>
      <c r="F135" s="37"/>
      <c r="G135" s="37"/>
      <c r="H135" s="37"/>
      <c r="I135" s="37"/>
      <c r="J135" s="37"/>
    </row>
    <row r="136" spans="1:10" ht="18.75" customHeight="1">
      <c r="A136" s="37"/>
      <c r="B136" s="37"/>
      <c r="C136" s="37"/>
      <c r="D136" s="37"/>
      <c r="E136" s="37"/>
      <c r="F136" s="37"/>
      <c r="G136" s="37"/>
      <c r="H136" s="37"/>
      <c r="I136" s="37"/>
      <c r="J136" s="37"/>
    </row>
    <row r="137" spans="1:10" ht="18.75" customHeight="1">
      <c r="A137" s="37"/>
      <c r="B137" s="37"/>
      <c r="C137" s="37"/>
      <c r="D137" s="37"/>
      <c r="E137" s="37"/>
      <c r="F137" s="37"/>
      <c r="G137" s="37"/>
      <c r="H137" s="37"/>
      <c r="I137" s="37"/>
      <c r="J137" s="37"/>
    </row>
    <row r="138" spans="1:10" ht="18.75" customHeight="1">
      <c r="A138" s="37"/>
      <c r="B138" s="37"/>
      <c r="C138" s="37"/>
      <c r="D138" s="37"/>
      <c r="E138" s="37"/>
      <c r="F138" s="37"/>
      <c r="G138" s="37"/>
      <c r="H138" s="37"/>
      <c r="I138" s="37"/>
      <c r="J138" s="37"/>
    </row>
    <row r="139" spans="1:10" ht="18.75" customHeight="1">
      <c r="A139" s="37"/>
      <c r="B139" s="37"/>
      <c r="C139" s="37"/>
      <c r="D139" s="37"/>
      <c r="E139" s="37"/>
      <c r="F139" s="37"/>
      <c r="G139" s="37"/>
      <c r="H139" s="37"/>
      <c r="I139" s="37"/>
      <c r="J139" s="37"/>
    </row>
    <row r="140" spans="1:10" ht="18.75" customHeight="1">
      <c r="A140" s="37"/>
      <c r="B140" s="37"/>
      <c r="C140" s="37"/>
      <c r="D140" s="37"/>
      <c r="E140" s="37"/>
      <c r="F140" s="37"/>
      <c r="G140" s="37"/>
      <c r="H140" s="37"/>
      <c r="I140" s="37"/>
      <c r="J140" s="37"/>
    </row>
    <row r="141" spans="1:10" ht="18.75" customHeight="1">
      <c r="A141" s="37"/>
      <c r="B141" s="37"/>
      <c r="C141" s="37"/>
      <c r="D141" s="37"/>
      <c r="E141" s="37"/>
      <c r="F141" s="37"/>
      <c r="G141" s="37"/>
      <c r="H141" s="37"/>
      <c r="I141" s="37"/>
      <c r="J141" s="37"/>
    </row>
    <row r="142" spans="1:10" ht="18.75" customHeight="1">
      <c r="A142" s="37"/>
      <c r="B142" s="37"/>
      <c r="C142" s="37"/>
      <c r="D142" s="37"/>
      <c r="E142" s="37"/>
      <c r="F142" s="37"/>
      <c r="G142" s="37"/>
      <c r="H142" s="37"/>
      <c r="I142" s="37"/>
      <c r="J142" s="37"/>
    </row>
    <row r="143" spans="1:10" ht="14.25">
      <c r="A143" s="37"/>
      <c r="B143" s="37"/>
      <c r="C143" s="37"/>
      <c r="D143" s="37"/>
      <c r="E143" s="37"/>
      <c r="F143" s="37"/>
      <c r="G143" s="37"/>
      <c r="H143" s="37"/>
      <c r="I143" s="37"/>
      <c r="J143" s="37"/>
    </row>
    <row r="144" spans="1:10" ht="7.5" customHeight="1">
      <c r="A144" s="101"/>
      <c r="B144" s="101"/>
      <c r="C144" s="101"/>
      <c r="D144" s="101"/>
      <c r="E144" s="101"/>
      <c r="F144" s="101"/>
      <c r="G144" s="101"/>
      <c r="H144" s="101"/>
      <c r="I144" s="101"/>
      <c r="J144" s="101"/>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80" zoomScaleNormal="100" zoomScaleSheetLayoutView="80" workbookViewId="0">
      <selection activeCell="E13" sqref="E13:J13"/>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c r="A1" s="1" t="s">
        <v>107</v>
      </c>
      <c r="J1" s="39" t="s">
        <v>63</v>
      </c>
    </row>
    <row r="2" spans="1:11" ht="18.75" customHeight="1">
      <c r="A2" s="252" t="s">
        <v>41</v>
      </c>
      <c r="B2" s="252"/>
      <c r="C2" s="252"/>
      <c r="D2" s="252"/>
      <c r="E2" s="252"/>
      <c r="F2" s="252"/>
      <c r="G2" s="252"/>
      <c r="H2" s="252"/>
      <c r="I2" s="252"/>
      <c r="J2" s="252"/>
    </row>
    <row r="3" spans="1:11" ht="7.5" customHeight="1">
      <c r="A3" s="40"/>
      <c r="B3" s="40"/>
      <c r="C3" s="40"/>
      <c r="D3" s="40"/>
      <c r="E3" s="40"/>
      <c r="F3" s="40"/>
      <c r="G3" s="40"/>
      <c r="H3" s="40"/>
      <c r="I3" s="40"/>
      <c r="J3" s="40"/>
    </row>
    <row r="4" spans="1:11" ht="18.75" customHeight="1">
      <c r="A4" s="1" t="s">
        <v>6</v>
      </c>
      <c r="B4" s="4" t="s">
        <v>40</v>
      </c>
      <c r="C4" s="37"/>
      <c r="D4" s="37"/>
      <c r="E4" s="38"/>
      <c r="F4" s="38"/>
      <c r="G4" s="38"/>
      <c r="H4" s="38"/>
      <c r="I4" s="38"/>
      <c r="J4" s="38"/>
    </row>
    <row r="5" spans="1:11" ht="18.75" customHeight="1">
      <c r="B5" s="307" t="s">
        <v>37</v>
      </c>
      <c r="C5" s="308"/>
      <c r="D5" s="309"/>
      <c r="E5" s="310" t="s">
        <v>39</v>
      </c>
      <c r="F5" s="310"/>
      <c r="G5" s="310"/>
      <c r="H5" s="310"/>
      <c r="I5" s="310"/>
      <c r="J5" s="311"/>
    </row>
    <row r="6" spans="1:11" ht="18.75" customHeight="1">
      <c r="B6" s="3" t="s">
        <v>27</v>
      </c>
      <c r="C6" s="37"/>
      <c r="D6" s="7"/>
      <c r="I6" s="38"/>
      <c r="J6" s="5"/>
    </row>
    <row r="7" spans="1:11" ht="207" customHeight="1">
      <c r="B7" s="6"/>
      <c r="C7" s="298" t="s">
        <v>28</v>
      </c>
      <c r="D7" s="299"/>
      <c r="E7" s="304" t="s">
        <v>178</v>
      </c>
      <c r="F7" s="300"/>
      <c r="G7" s="300"/>
      <c r="H7" s="300"/>
      <c r="I7" s="300"/>
      <c r="J7" s="301"/>
      <c r="K7" s="31" t="str">
        <f>IF(E7="","入力してください","")</f>
        <v/>
      </c>
    </row>
    <row r="8" spans="1:11" ht="207" customHeight="1">
      <c r="B8" s="6"/>
      <c r="C8" s="305" t="s">
        <v>29</v>
      </c>
      <c r="D8" s="306"/>
      <c r="E8" s="304" t="s">
        <v>207</v>
      </c>
      <c r="F8" s="300"/>
      <c r="G8" s="300"/>
      <c r="H8" s="300"/>
      <c r="I8" s="300"/>
      <c r="J8" s="301"/>
      <c r="K8" s="31" t="str">
        <f>IF(E8="","入力してください","")</f>
        <v/>
      </c>
    </row>
    <row r="9" spans="1:11" ht="172.5" customHeight="1">
      <c r="B9" s="6"/>
      <c r="C9" s="298" t="s">
        <v>30</v>
      </c>
      <c r="D9" s="299"/>
      <c r="E9" s="304" t="s">
        <v>206</v>
      </c>
      <c r="F9" s="300"/>
      <c r="G9" s="300"/>
      <c r="H9" s="300"/>
      <c r="I9" s="300"/>
      <c r="J9" s="301"/>
      <c r="K9" s="31" t="str">
        <f>IF(E9="","入力してください","")</f>
        <v/>
      </c>
    </row>
    <row r="10" spans="1:11" ht="172.5" customHeight="1">
      <c r="B10" s="6"/>
      <c r="C10" s="298" t="s">
        <v>31</v>
      </c>
      <c r="D10" s="299"/>
      <c r="E10" s="304" t="s">
        <v>208</v>
      </c>
      <c r="F10" s="300"/>
      <c r="G10" s="300"/>
      <c r="H10" s="300"/>
      <c r="I10" s="300"/>
      <c r="J10" s="301"/>
      <c r="K10" s="31" t="str">
        <f t="shared" ref="K10:K14" si="0">IF(E10="","入力してください","")</f>
        <v/>
      </c>
    </row>
    <row r="11" spans="1:11" ht="172.5" customHeight="1">
      <c r="B11" s="6"/>
      <c r="C11" s="298" t="s">
        <v>32</v>
      </c>
      <c r="D11" s="299"/>
      <c r="E11" s="304" t="s">
        <v>175</v>
      </c>
      <c r="F11" s="300"/>
      <c r="G11" s="300"/>
      <c r="H11" s="300"/>
      <c r="I11" s="300"/>
      <c r="J11" s="301"/>
      <c r="K11" s="31" t="str">
        <f t="shared" si="0"/>
        <v/>
      </c>
    </row>
    <row r="12" spans="1:11" ht="18.75" customHeight="1">
      <c r="B12" s="9" t="s">
        <v>33</v>
      </c>
      <c r="C12" s="28"/>
      <c r="D12" s="8"/>
      <c r="E12" s="32"/>
      <c r="F12" s="32"/>
      <c r="G12" s="32"/>
      <c r="H12" s="32"/>
      <c r="I12" s="32"/>
      <c r="J12" s="33"/>
    </row>
    <row r="13" spans="1:11" ht="244.15" customHeight="1">
      <c r="B13" s="6"/>
      <c r="C13" s="298" t="s">
        <v>34</v>
      </c>
      <c r="D13" s="299"/>
      <c r="E13" s="300" t="s">
        <v>174</v>
      </c>
      <c r="F13" s="300"/>
      <c r="G13" s="300"/>
      <c r="H13" s="300"/>
      <c r="I13" s="300"/>
      <c r="J13" s="301"/>
      <c r="K13" s="31" t="str">
        <f t="shared" si="0"/>
        <v/>
      </c>
    </row>
    <row r="14" spans="1:11" ht="255" customHeight="1">
      <c r="B14" s="6"/>
      <c r="C14" s="298" t="s">
        <v>35</v>
      </c>
      <c r="D14" s="299"/>
      <c r="E14" s="300" t="s">
        <v>176</v>
      </c>
      <c r="F14" s="300"/>
      <c r="G14" s="300"/>
      <c r="H14" s="300"/>
      <c r="I14" s="300"/>
      <c r="J14" s="301"/>
      <c r="K14" s="31" t="str">
        <f t="shared" si="0"/>
        <v/>
      </c>
    </row>
    <row r="15" spans="1:11" ht="243" customHeight="1">
      <c r="B15" s="302" t="s">
        <v>36</v>
      </c>
      <c r="C15" s="303"/>
      <c r="D15" s="299"/>
      <c r="E15" s="300" t="s">
        <v>177</v>
      </c>
      <c r="F15" s="300"/>
      <c r="G15" s="300"/>
      <c r="H15" s="300"/>
      <c r="I15" s="300"/>
      <c r="J15" s="301"/>
      <c r="K15" s="31" t="str">
        <f>IF(E15="","入力してください","")</f>
        <v/>
      </c>
    </row>
    <row r="16" spans="1:11" ht="243" customHeight="1">
      <c r="A16" s="31"/>
      <c r="B16" s="292" t="s">
        <v>56</v>
      </c>
      <c r="C16" s="293"/>
      <c r="D16" s="294"/>
      <c r="E16" s="276" t="s">
        <v>209</v>
      </c>
      <c r="F16" s="276"/>
      <c r="G16" s="276"/>
      <c r="H16" s="276"/>
      <c r="I16" s="276"/>
      <c r="J16" s="277"/>
      <c r="K16" s="31" t="str">
        <f>IF(E16="","入力してください","")</f>
        <v/>
      </c>
    </row>
    <row r="17" spans="1:11" ht="7.5" customHeight="1">
      <c r="B17" s="37"/>
      <c r="C17" s="37"/>
      <c r="D17" s="37"/>
      <c r="E17" s="38"/>
      <c r="F17" s="38"/>
      <c r="G17" s="38"/>
      <c r="H17" s="38"/>
      <c r="I17" s="38"/>
      <c r="J17" s="38"/>
    </row>
    <row r="18" spans="1:11" ht="18.75" customHeight="1">
      <c r="A18" s="1" t="s">
        <v>108</v>
      </c>
      <c r="B18" s="4"/>
      <c r="C18" s="37"/>
      <c r="D18" s="37"/>
      <c r="E18" s="38"/>
      <c r="F18" s="90"/>
      <c r="G18" s="295" t="s">
        <v>211</v>
      </c>
      <c r="H18" s="296"/>
      <c r="I18" s="296"/>
      <c r="J18" s="297"/>
      <c r="K18" s="31" t="str">
        <f>IF(G18="","入力してください","")</f>
        <v/>
      </c>
    </row>
    <row r="19" spans="1:11" ht="22.5" customHeight="1">
      <c r="B19" s="37"/>
      <c r="C19" s="37"/>
      <c r="D19" s="37"/>
      <c r="E19" s="38"/>
      <c r="F19" s="38"/>
      <c r="G19" s="38"/>
      <c r="H19" s="38"/>
      <c r="I19" s="38"/>
      <c r="J19" s="38"/>
    </row>
    <row r="20" spans="1:11" ht="22.5" customHeight="1">
      <c r="B20" s="37"/>
      <c r="C20" s="37"/>
      <c r="D20" s="37"/>
      <c r="E20" s="38"/>
      <c r="F20" s="38"/>
      <c r="G20" s="38"/>
      <c r="H20" s="38"/>
      <c r="I20" s="38"/>
      <c r="J20" s="38"/>
    </row>
    <row r="21" spans="1:11" ht="22.5" customHeight="1">
      <c r="B21" s="37"/>
      <c r="C21" s="37"/>
      <c r="D21" s="37"/>
      <c r="E21" s="38"/>
      <c r="F21" s="38"/>
      <c r="G21" s="38"/>
      <c r="H21" s="38"/>
      <c r="I21" s="38"/>
      <c r="J21" s="38"/>
    </row>
    <row r="22" spans="1:11" ht="22.5" customHeight="1">
      <c r="B22" s="37"/>
      <c r="C22" s="37"/>
      <c r="D22" s="37"/>
      <c r="E22" s="38"/>
      <c r="F22" s="38"/>
      <c r="G22" s="38"/>
      <c r="H22" s="38"/>
      <c r="I22" s="38"/>
      <c r="J22" s="38"/>
    </row>
    <row r="23" spans="1:11" ht="22.5" customHeight="1">
      <c r="B23" s="37"/>
      <c r="C23" s="37"/>
      <c r="D23" s="37"/>
      <c r="E23" s="38"/>
      <c r="F23" s="38"/>
      <c r="G23" s="38"/>
      <c r="H23" s="38"/>
      <c r="I23" s="38"/>
      <c r="J23" s="38"/>
    </row>
    <row r="24" spans="1:11" ht="22.5" customHeight="1">
      <c r="B24" s="102"/>
      <c r="C24" s="102"/>
      <c r="D24" s="102"/>
      <c r="E24" s="102"/>
      <c r="F24" s="102"/>
      <c r="G24" s="102"/>
      <c r="H24" s="102"/>
      <c r="I24" s="102"/>
      <c r="J24" s="102"/>
    </row>
    <row r="25" spans="1:11" ht="22.5" customHeight="1">
      <c r="B25" s="102"/>
      <c r="C25" s="102"/>
      <c r="D25" s="102"/>
      <c r="E25" s="102"/>
      <c r="F25" s="102"/>
      <c r="G25" s="102"/>
      <c r="H25" s="102"/>
      <c r="I25" s="102"/>
      <c r="J25" s="102"/>
    </row>
    <row r="26" spans="1:11" ht="22.5" customHeight="1">
      <c r="B26" s="102"/>
      <c r="C26" s="102"/>
      <c r="D26" s="102"/>
      <c r="E26" s="102"/>
      <c r="F26" s="102"/>
      <c r="G26" s="102"/>
      <c r="H26" s="102"/>
      <c r="I26" s="102"/>
      <c r="J26" s="10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yoshimitu</cp:lastModifiedBy>
  <cp:lastPrinted>2022-05-18T00:50:45Z</cp:lastPrinted>
  <dcterms:created xsi:type="dcterms:W3CDTF">2011-06-14T05:32:50Z</dcterms:created>
  <dcterms:modified xsi:type="dcterms:W3CDTF">2022-06-15T00:14:45Z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