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youmu001\Desktop\教務係（20210401から）平田保管ファイル\数理・データサイエンス・AI教育プログラム認定制度（リテラシーレベル）\2022(R04)\20220614：【文部科学省・依頼】数理データサイエンスAI認定制度の修了要件の記載方法について（リテラシー）\申請（修正）\01(東京工業高等専門学校)_リテラシー\"/>
    </mc:Choice>
  </mc:AlternateContent>
  <bookViews>
    <workbookView xWindow="-90" yWindow="-90" windowWidth="25785" windowHeight="14130"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40" l="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R13" i="40"/>
  <c r="Q12" i="40"/>
  <c r="R12" i="40" s="1"/>
  <c r="Q11" i="40"/>
  <c r="R11" i="40" s="1"/>
  <c r="Q10" i="40"/>
  <c r="Q30" i="40" l="1"/>
  <c r="R30" i="40" s="1"/>
  <c r="C28" i="41" s="1"/>
  <c r="R10" i="40"/>
</calcChain>
</file>

<file path=xl/sharedStrings.xml><?xml version="1.0" encoding="utf-8"?>
<sst xmlns="http://schemas.openxmlformats.org/spreadsheetml/2006/main" count="358" uniqueCount="224">
  <si>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</si>
  <si>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</si>
  <si>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</si>
  <si>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</si>
  <si>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</si>
  <si>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</si>
  <si>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</si>
  <si>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</si>
  <si>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</si>
  <si>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</si>
  <si>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</si>
  <si>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</si>
  <si>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</si>
  <si>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</si>
  <si>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</si>
  <si>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</si>
  <si>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</si>
  <si>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</si>
  <si>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</si>
  <si>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</si>
  <si>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</si>
  <si>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</si>
  <si>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</si>
  <si>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</si>
  <si>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</si>
  <si>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</si>
  <si>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</si>
  <si>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</si>
  <si>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</si>
  <si>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</si>
  <si>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</si>
  <si>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</si>
  <si>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</si>
  <si>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</si>
  <si>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</si>
  <si>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</si>
  <si>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</si>
  <si>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</si>
  <si>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</si>
  <si>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</si>
  <si>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</si>
  <si>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</si>
  <si>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</si>
  <si>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</si>
  <si>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</si>
  <si>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</si>
  <si>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</si>
  <si>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</si>
  <si>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</si>
  <si>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</si>
  <si>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</si>
  <si>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</si>
  <si>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</si>
  <si>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</si>
  <si>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</si>
  <si>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</si>
  <si>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</si>
  <si>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</si>
  <si>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</si>
  <si>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</si>
  <si>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</si>
  <si>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</si>
  <si>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</si>
  <si>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</si>
  <si>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</si>
  <si>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</si>
  <si>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</si>
  <si>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</si>
  <si>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</si>
  <si>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</si>
  <si>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</si>
  <si>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</si>
  <si>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</si>
  <si>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</si>
  <si>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</si>
  <si>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</si>
  <si>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</si>
  <si>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</si>
  <si>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</si>
  <si>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</si>
  <si>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</si>
  <si>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</si>
  <si>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</si>
  <si>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</si>
  <si>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</si>
  <si>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</si>
  <si>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</si>
  <si>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</si>
  <si>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</si>
  <si>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</si>
  <si>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</si>
  <si>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</si>
  <si>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</si>
  <si>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</si>
  <si>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</si>
  <si>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</si>
  <si>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</si>
  <si>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</si>
  <si>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</si>
  <si>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</si>
  <si>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</si>
  <si>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</si>
  <si>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</si>
  <si>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</si>
  <si>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</si>
  <si>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</si>
  <si>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</si>
  <si>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</si>
  <si>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</si>
  <si>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</si>
  <si>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</si>
  <si>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</si>
  <si>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</si>
  <si>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</si>
  <si>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</si>
  <si>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</si>
  <si>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</si>
  <si>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</si>
  <si>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</si>
  <si>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</si>
  <si>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</si>
  <si>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</si>
  <si>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</si>
  <si>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</si>
  <si>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</si>
  <si>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</si>
  <si>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</si>
  <si>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</si>
  <si>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</si>
  <si>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</si>
  <si>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</si>
  <si>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</si>
  <si>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</si>
  <si>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</si>
  <si>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</si>
  <si>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</si>
  <si>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</si>
  <si>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</si>
  <si>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</si>
  <si>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</si>
  <si>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</si>
  <si>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</si>
  <si>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</si>
  <si>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</si>
  <si>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</si>
  <si>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</si>
  <si>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</si>
  <si>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</si>
  <si>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</si>
  <si>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</si>
  <si>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</si>
  <si>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</si>
  <si>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</si>
  <si>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・ビッグデータ、IoT、AI、ロボット「知識情報工学」（６回目）
・人間の知的活動とAIの関係性「知識情報工学」（４回目）
・データを起点としたものの見方、人間の知的活動を起点としたものの見方「知識情報工学」（４回目）</t>
    <rPh sb="20" eb="22">
      <t>チシキ</t>
    </rPh>
    <rPh sb="22" eb="24">
      <t>ジョウホウ</t>
    </rPh>
    <rPh sb="24" eb="26">
      <t>コウガク</t>
    </rPh>
    <rPh sb="29" eb="31">
      <t>カイメ</t>
    </rPh>
    <phoneticPr fontId="1"/>
  </si>
  <si>
    <t>・データ・AI活用領域の広がり(生産、消費、文化活動など)「知識情報工学」（６回目）</t>
    <rPh sb="30" eb="32">
      <t>チシキ</t>
    </rPh>
    <rPh sb="32" eb="34">
      <t>ジョウホウ</t>
    </rPh>
    <rPh sb="34" eb="36">
      <t>コウガク</t>
    </rPh>
    <rPh sb="39" eb="41">
      <t>カイメ</t>
    </rPh>
    <phoneticPr fontId="1"/>
  </si>
  <si>
    <t>・データ可視化：複合グラフ、2軸グラフ、多次元の可視化、関係性の可視化、地図上の可視化、挙動・軌跡の可視化、リアルタイム可視化など「知識情報工学」（１０回目）
・非構造化データ処理：言語処理、画像/動画処理、音声/音楽処理など「情報基礎」（３回目）
・特化型AIと汎用AI、今のAIで出来ることと出来ないこと、AIとビッグデータ「知識情報工学」（６回目）</t>
    <rPh sb="66" eb="68">
      <t>チシキ</t>
    </rPh>
    <rPh sb="68" eb="70">
      <t>ジョウホウ</t>
    </rPh>
    <rPh sb="70" eb="72">
      <t>コウガク</t>
    </rPh>
    <rPh sb="76" eb="78">
      <t>カイメ</t>
    </rPh>
    <rPh sb="114" eb="116">
      <t>ジョウホウ</t>
    </rPh>
    <rPh sb="116" eb="118">
      <t>キソ</t>
    </rPh>
    <rPh sb="121" eb="123">
      <t>カイメ</t>
    </rPh>
    <rPh sb="165" eb="167">
      <t>チシキ</t>
    </rPh>
    <rPh sb="167" eb="169">
      <t>ジョウホウ</t>
    </rPh>
    <rPh sb="169" eb="171">
      <t>コウガク</t>
    </rPh>
    <rPh sb="174" eb="176">
      <t>カイメ</t>
    </rPh>
    <phoneticPr fontId="1"/>
  </si>
  <si>
    <t>・データサイエンスのサイクル（課題抽出と定式化、データの取得・管理・加工、探索的データ解析、データ解析と推論、結果の共有・伝達、課題解決に向けた提案）「社会実装プロジェクトⅠ」（７～１１回目）
・流通、製造、金融、サービス、インフラ、公共、ヘルスケア等におけるデータ・AI利活用事例紹介「社会実装プロジェクトⅠ」（２～６回目）</t>
    <rPh sb="76" eb="78">
      <t>シャカイ</t>
    </rPh>
    <rPh sb="78" eb="80">
      <t>ジッソウ</t>
    </rPh>
    <rPh sb="93" eb="95">
      <t>カイメ</t>
    </rPh>
    <rPh sb="144" eb="146">
      <t>シャカイ</t>
    </rPh>
    <rPh sb="146" eb="148">
      <t>ジッソウ</t>
    </rPh>
    <rPh sb="160" eb="162">
      <t>カイメ</t>
    </rPh>
    <phoneticPr fontId="1"/>
  </si>
  <si>
    <t>・データの分布(ヒストグラム)と代表値（平均値、中央値、最頻値）「確率統計」（５回目）
・データのばらつき（分散、標準偏差、偏差値）「確率統計」（５回目）
・相関と因果（相関係数、擬似相関、交絡）「確率統計」（６回目）</t>
    <rPh sb="33" eb="35">
      <t>カクリツ</t>
    </rPh>
    <rPh sb="35" eb="37">
      <t>トウケイ</t>
    </rPh>
    <rPh sb="40" eb="42">
      <t>カイメ</t>
    </rPh>
    <rPh sb="67" eb="69">
      <t>カクリツ</t>
    </rPh>
    <rPh sb="69" eb="71">
      <t>トウケイ</t>
    </rPh>
    <rPh sb="74" eb="76">
      <t>カイメ</t>
    </rPh>
    <rPh sb="99" eb="101">
      <t>カクリツ</t>
    </rPh>
    <rPh sb="101" eb="103">
      <t>トウケイ</t>
    </rPh>
    <rPh sb="106" eb="108">
      <t>カイメ</t>
    </rPh>
    <phoneticPr fontId="1"/>
  </si>
  <si>
    <t>計算機システム</t>
    <rPh sb="0" eb="3">
      <t>ケイサンキ</t>
    </rPh>
    <phoneticPr fontId="1"/>
  </si>
  <si>
    <t>情報処理基礎</t>
    <rPh sb="0" eb="2">
      <t>ジョウホウ</t>
    </rPh>
    <rPh sb="2" eb="4">
      <t>ショリ</t>
    </rPh>
    <rPh sb="4" eb="6">
      <t>キソ</t>
    </rPh>
    <phoneticPr fontId="1"/>
  </si>
  <si>
    <t>統計リテラシー</t>
    <rPh sb="0" eb="2">
      <t>トウケイ</t>
    </rPh>
    <phoneticPr fontId="1"/>
  </si>
  <si>
    <t>学部・学科によって、修了要件は相違しない</t>
  </si>
  <si>
    <t>様式２</t>
    <phoneticPr fontId="1"/>
  </si>
  <si>
    <t>知識情報工学</t>
    <rPh sb="0" eb="2">
      <t>チシキ</t>
    </rPh>
    <rPh sb="2" eb="4">
      <t>ジョウホウ</t>
    </rPh>
    <rPh sb="4" eb="6">
      <t>コウガク</t>
    </rPh>
    <phoneticPr fontId="1"/>
  </si>
  <si>
    <t>全学開講</t>
  </si>
  <si>
    <t>○</t>
  </si>
  <si>
    <t>社会実装プロジェクトⅠ</t>
    <rPh sb="0" eb="2">
      <t>シャカイ</t>
    </rPh>
    <rPh sb="2" eb="4">
      <t>ジッソウ</t>
    </rPh>
    <phoneticPr fontId="1"/>
  </si>
  <si>
    <t>情報基礎</t>
    <rPh sb="0" eb="2">
      <t>ジョウホウ</t>
    </rPh>
    <rPh sb="2" eb="4">
      <t>キソ</t>
    </rPh>
    <phoneticPr fontId="1"/>
  </si>
  <si>
    <t>確率統計</t>
    <rPh sb="0" eb="2">
      <t>カクリツ</t>
    </rPh>
    <rPh sb="2" eb="4">
      <t>トウケイ</t>
    </rPh>
    <phoneticPr fontId="1"/>
  </si>
  <si>
    <t>技術者のための哲学・倫理</t>
    <rPh sb="0" eb="3">
      <t>ギジュツシャ</t>
    </rPh>
    <rPh sb="7" eb="9">
      <t>テツガク</t>
    </rPh>
    <rPh sb="10" eb="12">
      <t>リンリ</t>
    </rPh>
    <phoneticPr fontId="1"/>
  </si>
  <si>
    <t xml:space="preserve">・調査データ、実験データ、人の行動ログデータ、機械の稼働ログデータなど「知識情報工学」（４回目）
・1次データ、2次データ、データのメタ化「確率統計」（５、６回目）
・構造化データ、非構造化データ（文章、画像/動画、音声/音楽など）「情報基礎」（３回目）
</t>
    <rPh sb="36" eb="38">
      <t>チシキ</t>
    </rPh>
    <rPh sb="38" eb="40">
      <t>ジョウホウ</t>
    </rPh>
    <rPh sb="40" eb="42">
      <t>コウガク</t>
    </rPh>
    <rPh sb="45" eb="47">
      <t>カイメ</t>
    </rPh>
    <rPh sb="70" eb="72">
      <t>カクリツ</t>
    </rPh>
    <rPh sb="72" eb="74">
      <t>トウケイ</t>
    </rPh>
    <rPh sb="79" eb="81">
      <t>カイメ</t>
    </rPh>
    <rPh sb="117" eb="119">
      <t>ジョウホウ</t>
    </rPh>
    <rPh sb="119" eb="121">
      <t>キソ</t>
    </rPh>
    <rPh sb="124" eb="126">
      <t>カイメ</t>
    </rPh>
    <phoneticPr fontId="1"/>
  </si>
  <si>
    <t>・情報セキュリティ：機密性、完全性、可用性「情報基礎」（７回目）
・匿名加工情報、暗号化、パスワード、悪意ある情報搾取「情報基礎」（１、７、８回目）
・情報漏洩等によるセキュリティ事故の事例紹介「情報基礎」（１回目）</t>
    <rPh sb="22" eb="24">
      <t>ジョウホウ</t>
    </rPh>
    <rPh sb="24" eb="26">
      <t>キソ</t>
    </rPh>
    <rPh sb="29" eb="31">
      <t>カイメ</t>
    </rPh>
    <rPh sb="60" eb="62">
      <t>ジョウホウ</t>
    </rPh>
    <rPh sb="62" eb="64">
      <t>キソ</t>
    </rPh>
    <rPh sb="71" eb="73">
      <t>カイメ</t>
    </rPh>
    <rPh sb="98" eb="100">
      <t>ジョウホウ</t>
    </rPh>
    <rPh sb="100" eb="102">
      <t>キソ</t>
    </rPh>
    <rPh sb="105" eb="107">
      <t>カイメ</t>
    </rPh>
    <phoneticPr fontId="1"/>
  </si>
  <si>
    <t>・データ表現（棒グラフ、折線グラフ、散布図、ヒートマップ）「情報基礎」（９、１０回目）
・データの図表表現（チャート化）「情報基礎」（１１、１２回目）</t>
    <phoneticPr fontId="1"/>
  </si>
  <si>
    <t>・データの集計（和、平均）「情報基礎」（９、１０回目）
・データの並び替え、ランキング「情報基礎」（９、１０回目）
・表形式のデータ（csv）「情報基礎」（９、１０回目）</t>
    <rPh sb="44" eb="46">
      <t>ジョウホウ</t>
    </rPh>
    <rPh sb="46" eb="48">
      <t>キソ</t>
    </rPh>
    <rPh sb="54" eb="56">
      <t>カイメ</t>
    </rPh>
    <rPh sb="72" eb="74">
      <t>ジョウホウ</t>
    </rPh>
    <rPh sb="74" eb="76">
      <t>キソ</t>
    </rPh>
    <rPh sb="82" eb="84">
      <t>カイメ</t>
    </rPh>
    <phoneticPr fontId="1"/>
  </si>
  <si>
    <t>・ELSI（Ethical, Legal and Social Issues）「技術者のための哲学・倫理」（１０～１３回）
・個人情報保護、EU一般データ保護規則(GDPR)、忘れられる権利、オプトアウト「情報基礎」（７、８回目）
・データ倫理：データのねつ造、改ざん、盗用、プライバシー保護「技術者のための哲学・倫理」（６～１１回）
・AIサービスの責任論「技術者のための哲学・倫理」（６～１１回）</t>
    <rPh sb="40" eb="43">
      <t>ギジュツシャ</t>
    </rPh>
    <rPh sb="47" eb="49">
      <t>テツガク</t>
    </rPh>
    <rPh sb="50" eb="52">
      <t>リンリ</t>
    </rPh>
    <rPh sb="59" eb="60">
      <t>カイ</t>
    </rPh>
    <rPh sb="103" eb="105">
      <t>ジョウホウ</t>
    </rPh>
    <rPh sb="105" eb="107">
      <t>キソ</t>
    </rPh>
    <rPh sb="112" eb="114">
      <t>カイメ</t>
    </rPh>
    <rPh sb="147" eb="150">
      <t>ギジュツシャ</t>
    </rPh>
    <rPh sb="154" eb="156">
      <t>テツガク</t>
    </rPh>
    <rPh sb="157" eb="159">
      <t>リンリ</t>
    </rPh>
    <rPh sb="165" eb="166">
      <t>カイ</t>
    </rPh>
    <rPh sb="180" eb="183">
      <t>ギジュツシャ</t>
    </rPh>
    <rPh sb="187" eb="189">
      <t>テツガク</t>
    </rPh>
    <rPh sb="190" eb="192">
      <t>リンリ</t>
    </rPh>
    <rPh sb="198" eb="199">
      <t>カイ</t>
    </rPh>
    <phoneticPr fontId="1"/>
  </si>
  <si>
    <t>・AI等を活用した新しいビジネスモデル(シェアリングエコノミー、商品のレコメンデーションなど)「社会実装プロジェクトⅠ」（７～１１回目）
・AI最新技術の活用例（深層生成モデル、敵対的生成ネットワーク、強化学習、転移学習など）「知識情報工学」（１、２、３、７回目）</t>
    <rPh sb="48" eb="50">
      <t>シャカイ</t>
    </rPh>
    <rPh sb="50" eb="52">
      <t>ジッソウ</t>
    </rPh>
    <rPh sb="65" eb="67">
      <t>カイメ</t>
    </rPh>
    <rPh sb="114" eb="116">
      <t>チシキ</t>
    </rPh>
    <rPh sb="116" eb="118">
      <t>ジョウホウ</t>
    </rPh>
    <rPh sb="118" eb="120">
      <t>コウガク</t>
    </rPh>
    <rPh sb="129" eb="131">
      <t>カイメ</t>
    </rPh>
    <phoneticPr fontId="1"/>
  </si>
  <si>
    <t>4‐3データ構造とプログラミング基礎</t>
  </si>
  <si>
    <t>4-1統計および数理基礎</t>
  </si>
  <si>
    <t>4‐8データ活用実践（教師あり学習）</t>
  </si>
  <si>
    <t>デジタル社会の「読み・書き・そろばん」である数理・データサイエンス・AIの基礎的要素を身につけ、自らの専門分野に応用できること。
社会情勢や社会での実例を学び、人間中心の適切な判断ができるようになること。
情報セキュリティや情報漏洩等に留意し、データや学修した知識・スキル等を適切に活用できること。</t>
    <rPh sb="4" eb="6">
      <t>シャカイ</t>
    </rPh>
    <rPh sb="8" eb="9">
      <t>ヨ</t>
    </rPh>
    <rPh sb="11" eb="12">
      <t>カ</t>
    </rPh>
    <rPh sb="22" eb="24">
      <t>スウリ</t>
    </rPh>
    <rPh sb="37" eb="40">
      <t>キソテキ</t>
    </rPh>
    <rPh sb="40" eb="42">
      <t>ヨウソ</t>
    </rPh>
    <rPh sb="43" eb="44">
      <t>ミ</t>
    </rPh>
    <rPh sb="48" eb="49">
      <t>ミズカ</t>
    </rPh>
    <rPh sb="51" eb="53">
      <t>センモン</t>
    </rPh>
    <rPh sb="53" eb="55">
      <t>ブンヤ</t>
    </rPh>
    <rPh sb="56" eb="58">
      <t>オウヨウ</t>
    </rPh>
    <rPh sb="65" eb="67">
      <t>シャカイ</t>
    </rPh>
    <rPh sb="67" eb="69">
      <t>ジョウセイ</t>
    </rPh>
    <rPh sb="70" eb="72">
      <t>シャカイ</t>
    </rPh>
    <rPh sb="74" eb="76">
      <t>ジツレイ</t>
    </rPh>
    <rPh sb="77" eb="78">
      <t>マナ</t>
    </rPh>
    <rPh sb="80" eb="82">
      <t>ニンゲン</t>
    </rPh>
    <rPh sb="82" eb="84">
      <t>チュウシン</t>
    </rPh>
    <rPh sb="85" eb="87">
      <t>テキセツ</t>
    </rPh>
    <rPh sb="88" eb="90">
      <t>ハンダン</t>
    </rPh>
    <rPh sb="103" eb="105">
      <t>ジョウホウ</t>
    </rPh>
    <rPh sb="112" eb="114">
      <t>ジョウホウ</t>
    </rPh>
    <rPh sb="114" eb="116">
      <t>ロウエイ</t>
    </rPh>
    <rPh sb="116" eb="117">
      <t>ナド</t>
    </rPh>
    <rPh sb="118" eb="120">
      <t>リュウイ</t>
    </rPh>
    <rPh sb="126" eb="128">
      <t>ガクシュウ</t>
    </rPh>
    <rPh sb="130" eb="132">
      <t>チシキ</t>
    </rPh>
    <rPh sb="136" eb="137">
      <t>ナド</t>
    </rPh>
    <rPh sb="138" eb="140">
      <t>テキセツ</t>
    </rPh>
    <rPh sb="141" eb="143">
      <t>カツヨウ</t>
    </rPh>
    <phoneticPr fontId="1"/>
  </si>
  <si>
    <t>東京工業高等専門学校</t>
    <rPh sb="0" eb="2">
      <t>トウキョウ</t>
    </rPh>
    <rPh sb="2" eb="4">
      <t>コウギョウ</t>
    </rPh>
    <rPh sb="4" eb="6">
      <t>コウトウ</t>
    </rPh>
    <rPh sb="6" eb="8">
      <t>センモン</t>
    </rPh>
    <rPh sb="8" eb="10">
      <t>ガッコウ</t>
    </rPh>
    <phoneticPr fontId="1"/>
  </si>
  <si>
    <t>独立行政法人国立高等専門学校機構</t>
    <rPh sb="0" eb="2">
      <t>ドクリツ</t>
    </rPh>
    <rPh sb="2" eb="4">
      <t>ギョウセイ</t>
    </rPh>
    <rPh sb="4" eb="6">
      <t>ホウジン</t>
    </rPh>
    <rPh sb="6" eb="8">
      <t>コクリツ</t>
    </rPh>
    <rPh sb="8" eb="10">
      <t>コウトウ</t>
    </rPh>
    <rPh sb="10" eb="12">
      <t>センモン</t>
    </rPh>
    <rPh sb="12" eb="14">
      <t>ガッコウ</t>
    </rPh>
    <rPh sb="14" eb="16">
      <t>キコウ</t>
    </rPh>
    <phoneticPr fontId="1"/>
  </si>
  <si>
    <t>高等専門学校</t>
  </si>
  <si>
    <t>東京都八王子市椚田町１２２０－２</t>
    <rPh sb="0" eb="3">
      <t>トウキョウト</t>
    </rPh>
    <rPh sb="3" eb="7">
      <t>ハチオウジシ</t>
    </rPh>
    <rPh sb="7" eb="9">
      <t>クヌギダ</t>
    </rPh>
    <rPh sb="9" eb="10">
      <t>マチ</t>
    </rPh>
    <phoneticPr fontId="1"/>
  </si>
  <si>
    <t>東京工業高等専門学校数理・データサイエンス・AI教育プログラム</t>
    <rPh sb="0" eb="2">
      <t>トウキョウ</t>
    </rPh>
    <rPh sb="2" eb="4">
      <t>コウギョウ</t>
    </rPh>
    <rPh sb="4" eb="6">
      <t>コウトウ</t>
    </rPh>
    <rPh sb="6" eb="8">
      <t>センモン</t>
    </rPh>
    <rPh sb="8" eb="10">
      <t>ガッコウ</t>
    </rPh>
    <rPh sb="10" eb="12">
      <t>スウリ</t>
    </rPh>
    <rPh sb="24" eb="26">
      <t>キョウイク</t>
    </rPh>
    <phoneticPr fontId="1"/>
  </si>
  <si>
    <t>令和２</t>
    <rPh sb="0" eb="2">
      <t>レイワ</t>
    </rPh>
    <phoneticPr fontId="1"/>
  </si>
  <si>
    <t>無</t>
  </si>
  <si>
    <t>校長</t>
    <rPh sb="0" eb="2">
      <t>コウチョウ</t>
    </rPh>
    <phoneticPr fontId="1"/>
  </si>
  <si>
    <t>教務委員会</t>
    <rPh sb="0" eb="2">
      <t>キョウム</t>
    </rPh>
    <rPh sb="2" eb="5">
      <t>イインカイ</t>
    </rPh>
    <phoneticPr fontId="1"/>
  </si>
  <si>
    <t>副校長(教務主事)</t>
    <rPh sb="0" eb="3">
      <t>フクコウチョウ</t>
    </rPh>
    <rPh sb="4" eb="6">
      <t>キョウム</t>
    </rPh>
    <rPh sb="6" eb="8">
      <t>シュジ</t>
    </rPh>
    <phoneticPr fontId="1"/>
  </si>
  <si>
    <t>認定教育プログラム</t>
  </si>
  <si>
    <t>学生課教務係</t>
    <rPh sb="0" eb="2">
      <t>ガクセイ</t>
    </rPh>
    <rPh sb="2" eb="3">
      <t>カ</t>
    </rPh>
    <rPh sb="3" eb="5">
      <t>キョウム</t>
    </rPh>
    <rPh sb="5" eb="6">
      <t>カカリ</t>
    </rPh>
    <phoneticPr fontId="1"/>
  </si>
  <si>
    <t>平田研司</t>
    <rPh sb="0" eb="2">
      <t>ヒラタ</t>
    </rPh>
    <rPh sb="2" eb="4">
      <t>ケンジ</t>
    </rPh>
    <phoneticPr fontId="1"/>
  </si>
  <si>
    <t>kyoumu@tokyo-ct.ac.jp</t>
    <phoneticPr fontId="1"/>
  </si>
  <si>
    <t>042-668-5127</t>
    <phoneticPr fontId="1"/>
  </si>
  <si>
    <t>副校長（総務・企画担当）</t>
    <rPh sb="0" eb="3">
      <t>フクコウチョウ</t>
    </rPh>
    <rPh sb="4" eb="6">
      <t>ソウム</t>
    </rPh>
    <rPh sb="7" eb="9">
      <t>キカク</t>
    </rPh>
    <rPh sb="9" eb="11">
      <t>タントウ</t>
    </rPh>
    <phoneticPr fontId="1"/>
  </si>
  <si>
    <t>機械工学科</t>
    <rPh sb="0" eb="2">
      <t>キカイ</t>
    </rPh>
    <rPh sb="2" eb="5">
      <t>コウガッカ</t>
    </rPh>
    <phoneticPr fontId="1"/>
  </si>
  <si>
    <t>電気工学科</t>
    <rPh sb="0" eb="2">
      <t>デンキ</t>
    </rPh>
    <rPh sb="2" eb="5">
      <t>コウガッカ</t>
    </rPh>
    <phoneticPr fontId="1"/>
  </si>
  <si>
    <t>情報工学科</t>
    <rPh sb="0" eb="2">
      <t>ジョウホウ</t>
    </rPh>
    <rPh sb="2" eb="5">
      <t>コウガッカ</t>
    </rPh>
    <phoneticPr fontId="1"/>
  </si>
  <si>
    <t>電子工学科</t>
    <rPh sb="0" eb="2">
      <t>デンシ</t>
    </rPh>
    <rPh sb="2" eb="5">
      <t>コウガッカ</t>
    </rPh>
    <phoneticPr fontId="1"/>
  </si>
  <si>
    <t>物質工学科</t>
    <rPh sb="0" eb="2">
      <t>ブッシツ</t>
    </rPh>
    <rPh sb="2" eb="5">
      <t>コウガッカ</t>
    </rPh>
    <phoneticPr fontId="1"/>
  </si>
  <si>
    <t>東京工業高等専門学校教務委員会規則</t>
    <phoneticPr fontId="1"/>
  </si>
  <si>
    <t>教務主事　鈴木雅人
教務主事補　向山大地、高田宗一朗、水戸慎一郎
一般教育科から選出された者　藤井俊介
各学科から選出された者　武田美咲、城石英伸
学生課長　伊藤竜治</t>
    <rPh sb="10" eb="12">
      <t>キョウム</t>
    </rPh>
    <rPh sb="12" eb="14">
      <t>シュジ</t>
    </rPh>
    <rPh sb="14" eb="15">
      <t>ホ</t>
    </rPh>
    <rPh sb="16" eb="18">
      <t>ムコウヤマ</t>
    </rPh>
    <rPh sb="18" eb="20">
      <t>ダイチ</t>
    </rPh>
    <rPh sb="21" eb="23">
      <t>タカタ</t>
    </rPh>
    <rPh sb="23" eb="26">
      <t>ソウイチロウ</t>
    </rPh>
    <rPh sb="27" eb="29">
      <t>ミト</t>
    </rPh>
    <rPh sb="29" eb="32">
      <t>シンイチロウ</t>
    </rPh>
    <rPh sb="33" eb="35">
      <t>イッパン</t>
    </rPh>
    <rPh sb="35" eb="37">
      <t>キョウイク</t>
    </rPh>
    <rPh sb="37" eb="38">
      <t>カ</t>
    </rPh>
    <rPh sb="40" eb="42">
      <t>センシュツ</t>
    </rPh>
    <rPh sb="45" eb="46">
      <t>モノ</t>
    </rPh>
    <rPh sb="47" eb="49">
      <t>フジイ</t>
    </rPh>
    <rPh sb="49" eb="51">
      <t>シュンスケ</t>
    </rPh>
    <rPh sb="52" eb="55">
      <t>カクガッカ</t>
    </rPh>
    <rPh sb="57" eb="59">
      <t>センシュツ</t>
    </rPh>
    <rPh sb="62" eb="63">
      <t>モノ</t>
    </rPh>
    <rPh sb="64" eb="66">
      <t>タケダ</t>
    </rPh>
    <rPh sb="66" eb="68">
      <t>ミサキ</t>
    </rPh>
    <rPh sb="69" eb="71">
      <t>シロイシ</t>
    </rPh>
    <rPh sb="71" eb="73">
      <t>ヒデノブ</t>
    </rPh>
    <rPh sb="74" eb="76">
      <t>ガクセイ</t>
    </rPh>
    <rPh sb="76" eb="78">
      <t>カチョウ</t>
    </rPh>
    <phoneticPr fontId="1"/>
  </si>
  <si>
    <t>東京工業高等専門学校の本科の教育に関する事項を審議し、その運営を円滑に行うため、東京工業高等専門学校教務委員会を置く。同委員会は、数理・データサイエンス・AI教育プログラムを含む、全学科の全てのカリキュラムにする事項を掌握しているため、教務委員会において本プログラムの改善や履修者数構造に関する事項を取り扱う。</t>
    <rPh sb="0" eb="2">
      <t>トウキョウ</t>
    </rPh>
    <rPh sb="2" eb="4">
      <t>コウギョウ</t>
    </rPh>
    <rPh sb="4" eb="6">
      <t>コウトウ</t>
    </rPh>
    <rPh sb="6" eb="8">
      <t>センモン</t>
    </rPh>
    <rPh sb="8" eb="10">
      <t>ガッコウ</t>
    </rPh>
    <rPh sb="11" eb="13">
      <t>ホンカ</t>
    </rPh>
    <rPh sb="14" eb="16">
      <t>キョウイク</t>
    </rPh>
    <rPh sb="17" eb="18">
      <t>カン</t>
    </rPh>
    <rPh sb="20" eb="22">
      <t>ジコウ</t>
    </rPh>
    <rPh sb="23" eb="25">
      <t>シンギ</t>
    </rPh>
    <rPh sb="29" eb="31">
      <t>ウンエイ</t>
    </rPh>
    <rPh sb="32" eb="34">
      <t>エンカツ</t>
    </rPh>
    <rPh sb="35" eb="36">
      <t>オコナ</t>
    </rPh>
    <rPh sb="40" eb="42">
      <t>トウキョウ</t>
    </rPh>
    <rPh sb="42" eb="44">
      <t>コウギョウ</t>
    </rPh>
    <rPh sb="44" eb="46">
      <t>コウトウ</t>
    </rPh>
    <rPh sb="46" eb="48">
      <t>センモン</t>
    </rPh>
    <rPh sb="48" eb="50">
      <t>ガッコウ</t>
    </rPh>
    <rPh sb="50" eb="52">
      <t>キョウム</t>
    </rPh>
    <rPh sb="52" eb="55">
      <t>イインカイ</t>
    </rPh>
    <rPh sb="56" eb="57">
      <t>オ</t>
    </rPh>
    <rPh sb="59" eb="60">
      <t>ドウ</t>
    </rPh>
    <rPh sb="60" eb="63">
      <t>イインカイ</t>
    </rPh>
    <rPh sb="65" eb="67">
      <t>スウリ</t>
    </rPh>
    <rPh sb="79" eb="81">
      <t>キョウイク</t>
    </rPh>
    <rPh sb="87" eb="88">
      <t>フク</t>
    </rPh>
    <rPh sb="90" eb="91">
      <t>ゼン</t>
    </rPh>
    <rPh sb="91" eb="93">
      <t>ガッカ</t>
    </rPh>
    <rPh sb="94" eb="95">
      <t>スベ</t>
    </rPh>
    <rPh sb="106" eb="108">
      <t>ジコウ</t>
    </rPh>
    <rPh sb="109" eb="111">
      <t>ショウアク</t>
    </rPh>
    <rPh sb="118" eb="120">
      <t>キョウム</t>
    </rPh>
    <rPh sb="120" eb="123">
      <t>イインカイ</t>
    </rPh>
    <rPh sb="127" eb="128">
      <t>ホン</t>
    </rPh>
    <rPh sb="134" eb="136">
      <t>カイゼン</t>
    </rPh>
    <rPh sb="137" eb="139">
      <t>リシュウ</t>
    </rPh>
    <rPh sb="139" eb="140">
      <t>シャ</t>
    </rPh>
    <rPh sb="140" eb="141">
      <t>スウ</t>
    </rPh>
    <rPh sb="141" eb="143">
      <t>コウゾウ</t>
    </rPh>
    <rPh sb="144" eb="145">
      <t>カン</t>
    </rPh>
    <rPh sb="147" eb="149">
      <t>ジコウ</t>
    </rPh>
    <rPh sb="150" eb="151">
      <t>ト</t>
    </rPh>
    <rPh sb="152" eb="153">
      <t>アツカ</t>
    </rPh>
    <phoneticPr fontId="1"/>
  </si>
  <si>
    <t>本プログラムを構成する科目のうち、情報基礎、確率統計、技術者のための哲学・倫理、の３科目は、必履修科目（必修科目ではないが履修することが義務付けられている科目）であり、社会実装プロジェクトⅠは必修科目である。従ってこれら４科目は全学生が必ず履修する。
また、履修前年度にはガイダンスを行い、選択科目に関する内容をまとめた「選択科目履修の手引き」を対象学年の学生全員に配付し、その概要や履修上の注意点などを説明している。知識情報工学を含む選択科目に関しては、できるだけ多くの学生が履修できるように周知している。</t>
    <rPh sb="42" eb="44">
      <t>カモク</t>
    </rPh>
    <rPh sb="84" eb="86">
      <t>シャカイ</t>
    </rPh>
    <rPh sb="86" eb="88">
      <t>ジッソウ</t>
    </rPh>
    <rPh sb="96" eb="98">
      <t>ヒッシュウ</t>
    </rPh>
    <rPh sb="98" eb="100">
      <t>カモク</t>
    </rPh>
    <rPh sb="104" eb="105">
      <t>シタガ</t>
    </rPh>
    <rPh sb="111" eb="113">
      <t>カモク</t>
    </rPh>
    <rPh sb="120" eb="122">
      <t>リシュウ</t>
    </rPh>
    <rPh sb="129" eb="131">
      <t>リシュウ</t>
    </rPh>
    <rPh sb="131" eb="134">
      <t>ゼンネンド</t>
    </rPh>
    <rPh sb="142" eb="143">
      <t>オコナ</t>
    </rPh>
    <rPh sb="145" eb="147">
      <t>センタク</t>
    </rPh>
    <rPh sb="147" eb="149">
      <t>カモク</t>
    </rPh>
    <rPh sb="150" eb="151">
      <t>カン</t>
    </rPh>
    <rPh sb="153" eb="155">
      <t>ナイヨウ</t>
    </rPh>
    <rPh sb="161" eb="163">
      <t>センタク</t>
    </rPh>
    <rPh sb="163" eb="165">
      <t>カモク</t>
    </rPh>
    <rPh sb="165" eb="167">
      <t>リシュウ</t>
    </rPh>
    <rPh sb="168" eb="170">
      <t>テビ</t>
    </rPh>
    <rPh sb="173" eb="175">
      <t>タイショウ</t>
    </rPh>
    <rPh sb="175" eb="177">
      <t>ガクネン</t>
    </rPh>
    <rPh sb="178" eb="180">
      <t>ガクセイ</t>
    </rPh>
    <rPh sb="180" eb="182">
      <t>ゼンイン</t>
    </rPh>
    <rPh sb="183" eb="185">
      <t>ハイフ</t>
    </rPh>
    <rPh sb="189" eb="191">
      <t>ガイヨウ</t>
    </rPh>
    <rPh sb="192" eb="194">
      <t>リシュウ</t>
    </rPh>
    <rPh sb="194" eb="195">
      <t>ジョウ</t>
    </rPh>
    <rPh sb="196" eb="198">
      <t>チュウイ</t>
    </rPh>
    <rPh sb="198" eb="199">
      <t>テン</t>
    </rPh>
    <rPh sb="202" eb="204">
      <t>セツメイ</t>
    </rPh>
    <rPh sb="209" eb="211">
      <t>チシキ</t>
    </rPh>
    <rPh sb="211" eb="213">
      <t>ジョウホウ</t>
    </rPh>
    <rPh sb="213" eb="215">
      <t>コウガク</t>
    </rPh>
    <rPh sb="216" eb="217">
      <t>フク</t>
    </rPh>
    <rPh sb="218" eb="220">
      <t>センタク</t>
    </rPh>
    <rPh sb="220" eb="222">
      <t>カモク</t>
    </rPh>
    <rPh sb="223" eb="224">
      <t>カン</t>
    </rPh>
    <rPh sb="233" eb="234">
      <t>オオ</t>
    </rPh>
    <rPh sb="236" eb="238">
      <t>ガクセイ</t>
    </rPh>
    <rPh sb="239" eb="241">
      <t>リシュウ</t>
    </rPh>
    <rPh sb="247" eb="249">
      <t>シュウチ</t>
    </rPh>
    <phoneticPr fontId="1"/>
  </si>
  <si>
    <t>本プログラムを構成する科目は、情報基礎、確率統計、技術者のための哲学・倫理、社会実装プロジェクトⅠ、知識情報工学、の５科目である。このうち、情報基礎、確率統計、技術者のための哲学・倫理は、必履修科目（必修科目ではないが履修することが義務付けられている科目）であり、全学生が必ず履修する科目である。社会実装プロジェクトⅠは必修科目であるため全学生が必ず履修する。また知識情報工学は、第４学年を対象に開講されている学科横断型の選択科目であるが、希望する学生全員が履修できるよう時間割が組まれている。従って、学科に関係なく希望する学生全員が対象科目全てを履修することが可能である。</t>
    <rPh sb="0" eb="1">
      <t>ホン</t>
    </rPh>
    <rPh sb="7" eb="9">
      <t>コウセイ</t>
    </rPh>
    <rPh sb="11" eb="13">
      <t>カモク</t>
    </rPh>
    <rPh sb="50" eb="52">
      <t>チシキ</t>
    </rPh>
    <rPh sb="52" eb="54">
      <t>ジョウホウ</t>
    </rPh>
    <rPh sb="54" eb="56">
      <t>コウガク</t>
    </rPh>
    <rPh sb="59" eb="61">
      <t>カモク</t>
    </rPh>
    <rPh sb="70" eb="72">
      <t>ジョウホウ</t>
    </rPh>
    <rPh sb="72" eb="74">
      <t>キソ</t>
    </rPh>
    <rPh sb="75" eb="77">
      <t>カクリツ</t>
    </rPh>
    <rPh sb="77" eb="79">
      <t>トウケイ</t>
    </rPh>
    <rPh sb="80" eb="83">
      <t>ギジュツシャ</t>
    </rPh>
    <rPh sb="87" eb="89">
      <t>テツガク</t>
    </rPh>
    <rPh sb="90" eb="92">
      <t>リンリ</t>
    </rPh>
    <rPh sb="94" eb="95">
      <t>ヒツ</t>
    </rPh>
    <rPh sb="95" eb="97">
      <t>リシュウ</t>
    </rPh>
    <rPh sb="97" eb="99">
      <t>カモク</t>
    </rPh>
    <rPh sb="100" eb="102">
      <t>ヒッシュウ</t>
    </rPh>
    <rPh sb="102" eb="104">
      <t>カモク</t>
    </rPh>
    <rPh sb="109" eb="111">
      <t>リシュウ</t>
    </rPh>
    <rPh sb="116" eb="119">
      <t>ギムヅ</t>
    </rPh>
    <rPh sb="125" eb="127">
      <t>カモク</t>
    </rPh>
    <rPh sb="132" eb="133">
      <t>ゼン</t>
    </rPh>
    <rPh sb="133" eb="135">
      <t>ガクセイ</t>
    </rPh>
    <rPh sb="136" eb="137">
      <t>カナラ</t>
    </rPh>
    <rPh sb="138" eb="140">
      <t>リシュウ</t>
    </rPh>
    <rPh sb="142" eb="144">
      <t>カモク</t>
    </rPh>
    <rPh sb="148" eb="150">
      <t>シャカイ</t>
    </rPh>
    <rPh sb="150" eb="152">
      <t>ジッソウ</t>
    </rPh>
    <rPh sb="160" eb="162">
      <t>ヒッシュウ</t>
    </rPh>
    <rPh sb="162" eb="164">
      <t>カモク</t>
    </rPh>
    <rPh sb="169" eb="170">
      <t>ゼン</t>
    </rPh>
    <rPh sb="170" eb="172">
      <t>ガクセイ</t>
    </rPh>
    <rPh sb="173" eb="174">
      <t>カナラ</t>
    </rPh>
    <rPh sb="175" eb="177">
      <t>リシュウ</t>
    </rPh>
    <rPh sb="190" eb="191">
      <t>ダイ</t>
    </rPh>
    <rPh sb="192" eb="194">
      <t>ガクネン</t>
    </rPh>
    <rPh sb="195" eb="197">
      <t>タイショウ</t>
    </rPh>
    <rPh sb="198" eb="200">
      <t>カイコウ</t>
    </rPh>
    <rPh sb="209" eb="210">
      <t>ガタ</t>
    </rPh>
    <rPh sb="220" eb="222">
      <t>キボウ</t>
    </rPh>
    <rPh sb="224" eb="226">
      <t>ガクセイ</t>
    </rPh>
    <rPh sb="226" eb="228">
      <t>ゼンイン</t>
    </rPh>
    <rPh sb="229" eb="231">
      <t>リシュウ</t>
    </rPh>
    <rPh sb="236" eb="239">
      <t>ジカンワリ</t>
    </rPh>
    <rPh sb="240" eb="241">
      <t>ク</t>
    </rPh>
    <rPh sb="247" eb="248">
      <t>シタガ</t>
    </rPh>
    <rPh sb="251" eb="253">
      <t>ガッカ</t>
    </rPh>
    <rPh sb="254" eb="256">
      <t>カンケイ</t>
    </rPh>
    <rPh sb="258" eb="260">
      <t>キボウ</t>
    </rPh>
    <rPh sb="262" eb="264">
      <t>ガクセイ</t>
    </rPh>
    <rPh sb="264" eb="266">
      <t>ゼンイン</t>
    </rPh>
    <phoneticPr fontId="1"/>
  </si>
  <si>
    <t xml:space="preserve">本校をはじめとする高専では担任制を導入しており、各クラスの定員は40名である。少人数制の強みを活かし、担任は副担任と協力し合いながら２名体制で学生のサポートにあたっており、学習指導を含む個別の学生指導を手厚く行っている。
本校の教育課程は学年制を採用している。各学年において進級に必要な修得単位数と、１～３年生における開設科目数との差は４単位であるため、全学的な基本方針として、本プログラムの科目を含む全ての科目の単位を必ず修得するよう指導する仕組みになっている。
定期試験ごとに全教員による学習到達度検討会を実施している。成績が低迷する学生の情報を全教員で共有し、中間試験後の補講等フォローアップや、期末試験後の補講や再試験を組織的に行っている。
その他、自学自習室での学習支援や質問への対応の他、教員への質問や相談は、オフィスアワーに関わらず、教員室に出向いて行える他、Microsoft365のTeamsを活用しても可能である。
</t>
    <phoneticPr fontId="1"/>
  </si>
  <si>
    <t>自学自習室を整備し、専攻科生をティーチングアシスタントとして配置することで、自学自習の支援や質問への対応を行っている。特に定期試験前は数学科教員等も自学自習室に待機し、学習支援にあたっている。また、全教員がオフィスアワーを設定しているが、教員への質問や相談はオフィスアワーに限らず、いつでも教員室に出向いて行える仕組みになっている。更に、令和２年度からMicrosoft365のTeamsを用いた遠隔授業も開始しており、教員への質問や相談は、Teamsのチャット機能を活用しても行うことも可能である。</t>
    <rPh sb="59" eb="60">
      <t>トク</t>
    </rPh>
    <rPh sb="61" eb="63">
      <t>テイキ</t>
    </rPh>
    <rPh sb="63" eb="65">
      <t>シケン</t>
    </rPh>
    <rPh sb="65" eb="66">
      <t>マエ</t>
    </rPh>
    <rPh sb="67" eb="69">
      <t>スウガク</t>
    </rPh>
    <rPh sb="69" eb="70">
      <t>カ</t>
    </rPh>
    <rPh sb="70" eb="72">
      <t>キョウイン</t>
    </rPh>
    <rPh sb="72" eb="73">
      <t>ナド</t>
    </rPh>
    <rPh sb="74" eb="76">
      <t>ジガク</t>
    </rPh>
    <rPh sb="76" eb="78">
      <t>ジシュウ</t>
    </rPh>
    <rPh sb="78" eb="79">
      <t>シツ</t>
    </rPh>
    <rPh sb="80" eb="82">
      <t>タイキ</t>
    </rPh>
    <rPh sb="84" eb="86">
      <t>ガクシュウ</t>
    </rPh>
    <rPh sb="86" eb="88">
      <t>シエン</t>
    </rPh>
    <rPh sb="99" eb="100">
      <t>ゼン</t>
    </rPh>
    <rPh sb="100" eb="102">
      <t>キョウイン</t>
    </rPh>
    <rPh sb="111" eb="113">
      <t>セッテイ</t>
    </rPh>
    <rPh sb="119" eb="121">
      <t>キョウイン</t>
    </rPh>
    <rPh sb="123" eb="125">
      <t>シツモン</t>
    </rPh>
    <rPh sb="126" eb="128">
      <t>ソウダン</t>
    </rPh>
    <rPh sb="137" eb="138">
      <t>カギ</t>
    </rPh>
    <rPh sb="145" eb="147">
      <t>キョウイン</t>
    </rPh>
    <rPh sb="147" eb="148">
      <t>シツ</t>
    </rPh>
    <rPh sb="149" eb="151">
      <t>デム</t>
    </rPh>
    <rPh sb="153" eb="154">
      <t>オコナ</t>
    </rPh>
    <rPh sb="156" eb="158">
      <t>シク</t>
    </rPh>
    <rPh sb="239" eb="240">
      <t>オコナ</t>
    </rPh>
    <rPh sb="244" eb="245">
      <t>カ</t>
    </rPh>
    <rPh sb="245" eb="246">
      <t>ノウ</t>
    </rPh>
    <phoneticPr fontId="1"/>
  </si>
  <si>
    <t xml:space="preserve">本プログラムを構成する科目は、１科目のみ選択科目でそれ以外はすべて履修することになっているため、年度初めの教務委員会で当該科目の履修申告状況を確認することにより、本プログラムの履修状況を確認している。また、修得状況は、年度末に行われる学年課程修了認定のための運営会議において確認している。
令和３年度の履修者の単位取得率は95%と非常に高いが、本プログラムの履修率はまだ55％程度である。今後は、年度初めのガイダンスや選択科目履修のガイダンスの際に本プログラムの意義を学生に周知し、履修率向上に向けた改善を行う。
</t>
    <phoneticPr fontId="1"/>
  </si>
  <si>
    <t xml:space="preserve">シラバス記載のルーブリックを基準として科目の成績評価を行うため、成績によって学習成果を確認できる。定期試験後に全教員で行う学習到達度検討会では成績不振学生等について情報共有を行い、その結果は教学マネジメント委員会に報告し、改善に活用する。また、科目担当教員は成績評価提出後に授業改善記録を提出し、次年度に向けた課題等をまとめ対策を実施する。
令和３年度の本プログラム履修者に対する修了者の割合は95%と非常に高く、学習成果が十分出ていると判断する。今後も授業改善記録の内容を次年度に活かし、継続的な改善を行う。
</t>
    <phoneticPr fontId="1"/>
  </si>
  <si>
    <t>教員は各自が実施する科目の中から前期・後期それぞれ１科目選択し、何回かの授業を実施した後に授業評価アンケートを実施している。アンケート項目の中には「授業資料や説明のわかりやすさ」「学生の理解度を確認して授業を進めているか」等の項目があり、これらの結果により学生の理解度を確認し、アンケート結果は残りの授業にフィードバックしている。例えば知識情報工学では、説明及び授業資料のわかりやすさに関しては、83～86%の学生が肯定的な回答をしているが、理解度の確認については肯定的な回答は66%であった。今後も引き続き、特に本プログラムを構成する科目については、アンケート調査及びフィードバックを実施する。</t>
    <phoneticPr fontId="1"/>
  </si>
  <si>
    <t xml:space="preserve">授業評価アンケートでは、「科目に対する興味・関心が深まったかどうか。」「科目内容の学習を今後もっと頑張ってみようと思ったかどうか。」「授業により、将来役立つ知識や技術、または新しいものの見方や考え方を身につけることができたかどうか。」を調査している。例えば令和３年度の知識情報工学では、これらの設問に対する肯定的な回答の割合が、いずれも88～90%であり非常に高かった。
これらの結果から後輩等他の学生への推奨度は高いと推察できるが、本プログラムが開始されて年数が浅く、講義受講の推奨への活用には至っていない。今後、ガイダンス等でこれらの情報を発信し、講義受講の推奨を推進していくことを検討する。
</t>
    <phoneticPr fontId="1"/>
  </si>
  <si>
    <t xml:space="preserve">第１～３学年の課程修了には、開設単位数から４単位を減じた単位数以上を修得している必要があるため、情報基礎及び確率統計を含む開設科目全ての単位を修得するように指導している。技術者のための哲学・倫理についても同様である。また社会実装プロジェクトⅠは必修科目のため必ず単位を修得する必要がある。
令和３年度４年生の本プログラム履修割合は55%であるが、引き続き、本プログラムの趣旨や魅力を学生に周知して履修率を高めていくとともに、選択科目を除いた科目群で本プログラムの要件が満たされるようにカリキュラムを見直すなどの検討もしていく。
</t>
    <phoneticPr fontId="1"/>
  </si>
  <si>
    <t xml:space="preserve">就職・進学に関する詳細は本校学生課が情報を集約している。本プログラムの修了者は令和３年度に初めて卒業しているが、集約データによると、その内訳は、就職が約４割、進学が約６割である。就職先の多くは製造業など、本校で学んだ技術が活かせる業界が多くを占めている。
また、本校卒業生に対する企業アンケートを実施しており、技術力と実践力の観点で高い評価を得ている一方、時代の変化に伴い、IT活用技術を強化する授業の拡充が必要との意見も頂いている。
これから毎年、本プログラム修了者が卒業するため、継続的に活躍状況等の追跡調査が必要である。
</t>
    <phoneticPr fontId="1"/>
  </si>
  <si>
    <t xml:space="preserve">本校の自己点検・評価結果を検証するため、外部有識者を構成員とする参与会を年度ごとに開催し、本プログラムを含む本校の教育全般について検証を行っている。また、本校と協力関係にある技術懇談会は、地元企業を中心に約100社の会員企業で構成されているが、これらの企業からも本校の教育に対する意見を頂いている。
実社会の様々な課題を解決し新しい価値を創造する社会実装教育は、企業からも高く評価されており、数理・データサイエンス・AIはその基盤の一つであることから、その重要性は明らかであり、今後も産業界からの意見を取り入れ、継続的な教育改革を行っていく必要がある。
</t>
    <phoneticPr fontId="1"/>
  </si>
  <si>
    <t xml:space="preserve">本プログラムに関わる科目において、モデルカリキュラムリテラシーレベルの導入部分に準じた内容を展開し、先進的な事例を紹介するとともに、社会実装プロジェクトⅠでは外部講師を招いて、社会実装に係るケーススタディをPBL形式で学習する。これらの取り組みにより、学生の好奇心を促すよう工夫し、その状況は授業評価アンケートで確認し、改善につなげている。
令和3年度の授業評価アンケートでは、科目内容に興味・関心が高まったとの回答や、将来役立つ技術や知識が身についたとの回答がいずれも9割前後であった。今後も引き続き授業アンケートによる状況確認と、改善を継続していく。
</t>
    <phoneticPr fontId="1"/>
  </si>
  <si>
    <t xml:space="preserve">全教員が担当科目の中から前後期１つずつ選び、授業評価アンケートを毎年実施している。授業の分かりやすさは、アンケート項目の中の「授業資料や説明のわかりやすさ」「学生の理解度を確認して授業を進めているか」等の項目で確認している。また内容や水準は、科目担当教員が毎年度作成する授業改善記録にまとめ、それらを教務委員会で確認し、次年度に向けた改善を進めていく。
例えば令和３年度の知識情報工学では、説明及び授業資料のわかりやすさに関しては、83～86%の学生が肯定的な回答をしているが、他のアンケート項目の結果を受けて、次年度は、比較的簡単にコーディングできるAIの例題を取り入れることを検討した。
</t>
    <phoneticPr fontId="1"/>
  </si>
  <si>
    <t>令和３年度末の時点で、本プログラムの修了生は第４学年及び第５学年の学生であり、令和４年度から令和６年度にかけて、一学年分ずつ履修者は増加する。令和２年度及び令和３年度実績によると全学生数の約10%が新たに履修者となるが、今後の履修率改善活動により、令和６年度までに70%の履修率を目標とする。
また中期的には、数理・データサイエンス・AIプログラムを構成する科目を、選択科目を除いて構成することを検討し、令和７年度を目途に履修率100%を目指す。</t>
    <rPh sb="0" eb="2">
      <t>レイワ</t>
    </rPh>
    <rPh sb="3" eb="5">
      <t>ネンド</t>
    </rPh>
    <rPh sb="5" eb="6">
      <t>マツ</t>
    </rPh>
    <rPh sb="7" eb="9">
      <t>ジテン</t>
    </rPh>
    <rPh sb="11" eb="12">
      <t>ホン</t>
    </rPh>
    <rPh sb="18" eb="21">
      <t>シュウリョウセイ</t>
    </rPh>
    <rPh sb="22" eb="23">
      <t>ダイ</t>
    </rPh>
    <rPh sb="24" eb="26">
      <t>ガクネン</t>
    </rPh>
    <rPh sb="26" eb="27">
      <t>オヨ</t>
    </rPh>
    <rPh sb="28" eb="29">
      <t>ダイ</t>
    </rPh>
    <rPh sb="30" eb="32">
      <t>ガクネン</t>
    </rPh>
    <rPh sb="33" eb="35">
      <t>ガクセイ</t>
    </rPh>
    <rPh sb="39" eb="41">
      <t>レイワ</t>
    </rPh>
    <rPh sb="42" eb="44">
      <t>ネンド</t>
    </rPh>
    <rPh sb="46" eb="48">
      <t>レイワ</t>
    </rPh>
    <rPh sb="49" eb="51">
      <t>ネンド</t>
    </rPh>
    <rPh sb="56" eb="57">
      <t>イチ</t>
    </rPh>
    <rPh sb="57" eb="59">
      <t>ガクネン</t>
    </rPh>
    <rPh sb="59" eb="60">
      <t>ブン</t>
    </rPh>
    <rPh sb="62" eb="64">
      <t>リシュウ</t>
    </rPh>
    <rPh sb="64" eb="65">
      <t>シャ</t>
    </rPh>
    <rPh sb="66" eb="68">
      <t>ゾウカ</t>
    </rPh>
    <rPh sb="71" eb="73">
      <t>レイワ</t>
    </rPh>
    <rPh sb="74" eb="76">
      <t>ネンド</t>
    </rPh>
    <rPh sb="76" eb="77">
      <t>オヨ</t>
    </rPh>
    <rPh sb="78" eb="80">
      <t>レイワ</t>
    </rPh>
    <rPh sb="81" eb="83">
      <t>ネンド</t>
    </rPh>
    <rPh sb="83" eb="85">
      <t>ジッセキ</t>
    </rPh>
    <rPh sb="89" eb="90">
      <t>ゼン</t>
    </rPh>
    <rPh sb="90" eb="92">
      <t>ガクセイ</t>
    </rPh>
    <rPh sb="92" eb="93">
      <t>スウ</t>
    </rPh>
    <rPh sb="94" eb="95">
      <t>ヤク</t>
    </rPh>
    <rPh sb="99" eb="100">
      <t>アラ</t>
    </rPh>
    <rPh sb="102" eb="104">
      <t>リシュウ</t>
    </rPh>
    <rPh sb="104" eb="105">
      <t>シャ</t>
    </rPh>
    <rPh sb="110" eb="112">
      <t>コンゴ</t>
    </rPh>
    <rPh sb="113" eb="115">
      <t>リシュウ</t>
    </rPh>
    <rPh sb="115" eb="116">
      <t>リツ</t>
    </rPh>
    <rPh sb="116" eb="118">
      <t>カイゼン</t>
    </rPh>
    <rPh sb="118" eb="120">
      <t>カツドウ</t>
    </rPh>
    <rPh sb="124" eb="126">
      <t>レイワ</t>
    </rPh>
    <rPh sb="127" eb="129">
      <t>ネンド</t>
    </rPh>
    <rPh sb="136" eb="138">
      <t>リシュウ</t>
    </rPh>
    <rPh sb="138" eb="139">
      <t>リツ</t>
    </rPh>
    <rPh sb="140" eb="142">
      <t>モクヒョウ</t>
    </rPh>
    <rPh sb="149" eb="152">
      <t>チュウキテキ</t>
    </rPh>
    <rPh sb="155" eb="157">
      <t>スウリ</t>
    </rPh>
    <rPh sb="175" eb="177">
      <t>コウセイ</t>
    </rPh>
    <rPh sb="179" eb="181">
      <t>カモク</t>
    </rPh>
    <rPh sb="183" eb="185">
      <t>センタク</t>
    </rPh>
    <rPh sb="185" eb="187">
      <t>カモク</t>
    </rPh>
    <rPh sb="188" eb="189">
      <t>ノゾ</t>
    </rPh>
    <rPh sb="191" eb="193">
      <t>コウセイ</t>
    </rPh>
    <rPh sb="198" eb="200">
      <t>ケントウ</t>
    </rPh>
    <rPh sb="202" eb="204">
      <t>レイワ</t>
    </rPh>
    <rPh sb="205" eb="207">
      <t>ネンド</t>
    </rPh>
    <rPh sb="208" eb="210">
      <t>メド</t>
    </rPh>
    <rPh sb="211" eb="213">
      <t>リシュウ</t>
    </rPh>
    <rPh sb="213" eb="214">
      <t>リツ</t>
    </rPh>
    <rPh sb="219" eb="221">
      <t>メザ</t>
    </rPh>
    <phoneticPr fontId="1"/>
  </si>
  <si>
    <t>教学マネジメント委員会</t>
    <rPh sb="0" eb="2">
      <t>キョウガク</t>
    </rPh>
    <rPh sb="8" eb="11">
      <t>イインカイ</t>
    </rPh>
    <phoneticPr fontId="1"/>
  </si>
  <si>
    <t>https://www.tokyo-ct.ac.jp/school_summary/sdai/</t>
    <phoneticPr fontId="1"/>
  </si>
  <si>
    <t>谷合　俊一</t>
    <rPh sb="0" eb="2">
      <t>タニアイ</t>
    </rPh>
    <rPh sb="3" eb="5">
      <t>シュンイチ</t>
    </rPh>
    <phoneticPr fontId="1"/>
  </si>
  <si>
    <t>鈴木　雅人</t>
    <rPh sb="0" eb="2">
      <t>スズキ</t>
    </rPh>
    <rPh sb="3" eb="5">
      <t>マサト</t>
    </rPh>
    <phoneticPr fontId="1"/>
  </si>
  <si>
    <t>多羅尾　進</t>
    <rPh sb="0" eb="3">
      <t>タラオ</t>
    </rPh>
    <rPh sb="4" eb="5">
      <t>スス</t>
    </rPh>
    <phoneticPr fontId="1"/>
  </si>
  <si>
    <t>プログラムを構成するすべての科目の単位を修得すること。
１．社会実装プロジェクトⅠ、２．知識情報工学、３．情報基礎、４．確率統計、５．技術者のための哲学・倫理</t>
    <rPh sb="6" eb="8">
      <t>コウセイ</t>
    </rPh>
    <rPh sb="14" eb="16">
      <t>カモク</t>
    </rPh>
    <rPh sb="17" eb="19">
      <t>タンイ</t>
    </rPh>
    <rPh sb="20" eb="22">
      <t>シュウトク</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</si>
</sst>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5">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176" fontId="8" fillId="0" borderId="3" xfId="0" applyNumberFormat="1"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8" xfId="0" applyNumberFormat="1" applyFont="1" applyFill="1" applyBorder="1" applyAlignment="1">
      <alignment vertical="center" shrinkToFit="1"/>
    </xf>
    <xf numFmtId="0" fontId="8" fillId="0" borderId="7"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0" fontId="8" fillId="0" borderId="44" xfId="0"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49" fontId="18"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2" fillId="0" borderId="19" xfId="0" applyFont="1" applyBorder="1" applyAlignment="1">
      <alignment vertical="center" wrapText="1" shrinkToFit="1"/>
    </xf>
    <xf numFmtId="0" fontId="22" fillId="0" borderId="20" xfId="0" applyFont="1" applyBorder="1" applyAlignment="1">
      <alignment vertical="center" shrinkToFit="1"/>
    </xf>
    <xf numFmtId="0" fontId="22"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1" fillId="0" borderId="39" xfId="0" applyFont="1" applyBorder="1" applyAlignment="1">
      <alignment vertical="center" wrapText="1"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2" fillId="0" borderId="6" xfId="0" applyFont="1" applyBorder="1" applyAlignment="1">
      <alignment vertical="center" wrapText="1" shrinkToFit="1"/>
    </xf>
    <xf numFmtId="0" fontId="22" fillId="0" borderId="6" xfId="0" applyFont="1" applyBorder="1" applyAlignment="1">
      <alignment vertical="center" shrinkToFit="1"/>
    </xf>
    <xf numFmtId="0" fontId="22" fillId="0" borderId="12" xfId="0" applyFont="1" applyBorder="1" applyAlignment="1">
      <alignment vertical="center" shrinkToFit="1"/>
    </xf>
    <xf numFmtId="0" fontId="22" fillId="0" borderId="32" xfId="0" applyFont="1" applyBorder="1" applyAlignment="1">
      <alignment vertical="center" wrapText="1"/>
    </xf>
    <xf numFmtId="0" fontId="21" fillId="0" borderId="8" xfId="0" applyFont="1" applyBorder="1" applyAlignment="1">
      <alignment horizontal="left" vertical="center" wrapText="1" shrinkToFit="1"/>
    </xf>
    <xf numFmtId="0" fontId="22" fillId="0" borderId="8" xfId="0" applyFont="1" applyBorder="1" applyAlignment="1">
      <alignment horizontal="left" vertical="center" shrinkToFit="1"/>
    </xf>
    <xf numFmtId="0" fontId="22" fillId="0" borderId="9" xfId="0" applyFont="1" applyBorder="1" applyAlignment="1">
      <alignment horizontal="left" vertical="center" shrinkToFit="1"/>
    </xf>
    <xf numFmtId="0" fontId="21" fillId="0" borderId="20" xfId="0" applyFont="1" applyBorder="1" applyAlignment="1">
      <alignment horizontal="left" vertical="center" wrapText="1" shrinkToFit="1"/>
    </xf>
    <xf numFmtId="0" fontId="22" fillId="0" borderId="20" xfId="0" applyFont="1" applyBorder="1" applyAlignment="1">
      <alignment horizontal="left" vertical="center" shrinkToFit="1"/>
    </xf>
    <xf numFmtId="0" fontId="22"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1" fillId="0" borderId="22" xfId="0" applyFont="1" applyBorder="1" applyAlignment="1">
      <alignment horizontal="left" vertical="center" wrapText="1" shrinkToFit="1"/>
    </xf>
    <xf numFmtId="0" fontId="22" fillId="0" borderId="22" xfId="0" applyFont="1" applyBorder="1" applyAlignment="1">
      <alignment horizontal="left" vertical="center" shrinkToFit="1"/>
    </xf>
    <xf numFmtId="0" fontId="22" fillId="0" borderId="21" xfId="0" applyFont="1" applyBorder="1" applyAlignment="1">
      <alignment horizontal="left" vertical="center" shrinkToFit="1"/>
    </xf>
    <xf numFmtId="0" fontId="21" fillId="0" borderId="39" xfId="0" applyFont="1" applyBorder="1" applyAlignment="1">
      <alignment horizontal="left" vertical="center" wrapText="1" shrinkToFit="1"/>
    </xf>
    <xf numFmtId="0" fontId="22" fillId="0" borderId="39" xfId="0" applyFont="1" applyBorder="1" applyAlignment="1">
      <alignment horizontal="left" vertical="center" shrinkToFit="1"/>
    </xf>
    <xf numFmtId="0" fontId="22" fillId="0" borderId="38" xfId="0" applyFont="1" applyBorder="1" applyAlignment="1">
      <alignment horizontal="left" vertical="center" shrinkToFit="1"/>
    </xf>
    <xf numFmtId="0" fontId="21" fillId="0" borderId="6" xfId="0" applyFont="1" applyBorder="1" applyAlignment="1">
      <alignment horizontal="left" vertical="center" wrapText="1" shrinkToFit="1"/>
    </xf>
    <xf numFmtId="0" fontId="22" fillId="0" borderId="6" xfId="0" applyFont="1" applyBorder="1" applyAlignment="1">
      <alignment horizontal="left" vertical="center" shrinkToFit="1"/>
    </xf>
    <xf numFmtId="0" fontId="22" fillId="0" borderId="12" xfId="0" applyFont="1" applyBorder="1" applyAlignment="1">
      <alignment horizontal="left" vertical="center" shrinkToFit="1"/>
    </xf>
    <xf numFmtId="0" fontId="22" fillId="0" borderId="41" xfId="0" applyFont="1" applyBorder="1" applyAlignment="1">
      <alignment horizontal="left" vertical="center" wrapText="1" shrinkToFit="1"/>
    </xf>
    <xf numFmtId="0" fontId="22" fillId="0" borderId="41" xfId="0" applyFont="1" applyBorder="1" applyAlignment="1">
      <alignment horizontal="left" vertical="center" shrinkToFit="1"/>
    </xf>
    <xf numFmtId="0" fontId="22"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11"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4" fillId="0" borderId="2" xfId="2" applyFont="1" applyFill="1" applyBorder="1" applyAlignment="1">
      <alignment horizontal="center" vertical="center" shrinkToFit="1"/>
    </xf>
    <xf numFmtId="0" fontId="18" fillId="0" borderId="3" xfId="2" applyFont="1" applyFill="1" applyBorder="1" applyAlignment="1">
      <alignment horizontal="center" vertical="center" shrinkToFit="1"/>
    </xf>
    <xf numFmtId="0" fontId="18" fillId="0"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8" fillId="0" borderId="7" xfId="0" applyFont="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heetViews>
  <sheetFormatPr defaultColWidth="9" defaultRowHeight="18.75" customHeight="1"/>
  <cols>
    <col min="1" max="1" width="3.375" style="14" customWidth="1"/>
    <col min="2" max="2" width="11"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375" style="14" customWidth="1"/>
    <col min="15" max="15" width="9" style="31"/>
    <col min="16" max="16384" width="9" style="13"/>
  </cols>
  <sheetData>
    <row r="1" spans="1:15" ht="24" customHeight="1">
      <c r="M1" s="148" t="s">
        <v>26</v>
      </c>
      <c r="N1" s="148"/>
    </row>
    <row r="2" spans="1:15" ht="24" customHeight="1">
      <c r="A2" s="152" t="s">
        <v>87</v>
      </c>
      <c r="B2" s="152"/>
      <c r="C2" s="152"/>
      <c r="D2" s="152"/>
      <c r="E2" s="152"/>
      <c r="F2" s="152"/>
      <c r="G2" s="152"/>
      <c r="H2" s="152"/>
      <c r="I2" s="152"/>
      <c r="J2" s="152"/>
      <c r="K2" s="152"/>
      <c r="L2" s="152"/>
      <c r="M2" s="152"/>
      <c r="N2" s="152"/>
    </row>
    <row r="3" spans="1:15" ht="24" customHeight="1"/>
    <row r="4" spans="1:15" ht="24" customHeight="1">
      <c r="A4" s="14" t="s">
        <v>6</v>
      </c>
      <c r="B4" s="15" t="s">
        <v>17</v>
      </c>
      <c r="C4" s="138" t="s">
        <v>180</v>
      </c>
      <c r="D4" s="139"/>
      <c r="E4" s="139"/>
      <c r="F4" s="139"/>
      <c r="G4" s="139"/>
      <c r="H4" s="139"/>
      <c r="I4" s="139"/>
      <c r="J4" s="139"/>
      <c r="K4" s="139"/>
      <c r="L4" s="139"/>
      <c r="M4" s="139"/>
      <c r="N4" s="140"/>
      <c r="O4" s="31" t="str">
        <f>IF(C4="","入力してください","")</f>
        <v/>
      </c>
    </row>
    <row r="5" spans="1:15" ht="7.5" customHeight="1">
      <c r="B5" s="15"/>
      <c r="C5" s="15"/>
      <c r="D5" s="15"/>
      <c r="E5" s="16"/>
      <c r="F5" s="37"/>
      <c r="G5" s="37"/>
      <c r="H5" s="37"/>
      <c r="I5" s="37"/>
      <c r="J5" s="37"/>
      <c r="K5" s="37"/>
      <c r="L5" s="37"/>
      <c r="M5" s="37"/>
      <c r="N5" s="37"/>
    </row>
    <row r="6" spans="1:15" ht="24" customHeight="1">
      <c r="A6" s="14" t="s">
        <v>50</v>
      </c>
      <c r="B6" s="15" t="s">
        <v>51</v>
      </c>
      <c r="C6" s="15"/>
      <c r="D6" s="138" t="s">
        <v>181</v>
      </c>
      <c r="E6" s="139"/>
      <c r="F6" s="139"/>
      <c r="G6" s="139"/>
      <c r="H6" s="140"/>
      <c r="I6" s="17" t="s">
        <v>90</v>
      </c>
      <c r="J6" s="37" t="s">
        <v>91</v>
      </c>
      <c r="K6" s="138" t="s">
        <v>182</v>
      </c>
      <c r="L6" s="139"/>
      <c r="M6" s="139"/>
      <c r="N6" s="140"/>
      <c r="O6" s="31" t="str">
        <f>IF(D6="","入力してください","")</f>
        <v/>
      </c>
    </row>
    <row r="7" spans="1:15" ht="7.5" customHeight="1">
      <c r="B7" s="15"/>
      <c r="C7" s="15"/>
      <c r="D7" s="15"/>
      <c r="E7" s="16"/>
      <c r="F7" s="37"/>
      <c r="G7" s="37"/>
      <c r="H7" s="37"/>
      <c r="I7" s="37"/>
      <c r="J7" s="37"/>
      <c r="K7" s="37"/>
      <c r="L7" s="37"/>
      <c r="M7" s="37"/>
      <c r="N7" s="37"/>
    </row>
    <row r="8" spans="1:15" ht="24" customHeight="1">
      <c r="A8" s="14" t="s">
        <v>14</v>
      </c>
      <c r="B8" s="15" t="s">
        <v>47</v>
      </c>
      <c r="C8" s="138" t="s">
        <v>183</v>
      </c>
      <c r="D8" s="139"/>
      <c r="E8" s="139"/>
      <c r="F8" s="139"/>
      <c r="G8" s="139"/>
      <c r="H8" s="139"/>
      <c r="I8" s="139"/>
      <c r="J8" s="139"/>
      <c r="K8" s="139"/>
      <c r="L8" s="139"/>
      <c r="M8" s="139"/>
      <c r="N8" s="140"/>
      <c r="O8" s="31" t="str">
        <f>IF(C8="","入力してください","")</f>
        <v/>
      </c>
    </row>
    <row r="9" spans="1:15" ht="7.5" customHeight="1">
      <c r="B9" s="15"/>
      <c r="C9" s="15"/>
      <c r="D9" s="15"/>
      <c r="E9" s="16"/>
      <c r="F9" s="37"/>
      <c r="G9" s="37"/>
      <c r="H9" s="37"/>
      <c r="I9" s="37"/>
      <c r="J9" s="37"/>
      <c r="K9" s="37"/>
      <c r="L9" s="37"/>
      <c r="M9" s="37"/>
      <c r="N9" s="37"/>
    </row>
    <row r="10" spans="1:15" ht="24" customHeight="1">
      <c r="A10" s="14" t="s">
        <v>12</v>
      </c>
      <c r="B10" s="15" t="s">
        <v>89</v>
      </c>
      <c r="C10" s="15"/>
      <c r="D10" s="15"/>
      <c r="E10" s="138" t="s">
        <v>184</v>
      </c>
      <c r="F10" s="139"/>
      <c r="G10" s="139"/>
      <c r="H10" s="139"/>
      <c r="I10" s="139"/>
      <c r="J10" s="139"/>
      <c r="K10" s="139"/>
      <c r="L10" s="139"/>
      <c r="M10" s="139"/>
      <c r="N10" s="140"/>
      <c r="O10" s="31" t="str">
        <f>IF(E10="","入力してください","")</f>
        <v/>
      </c>
    </row>
    <row r="11" spans="1:15" ht="7.5" customHeight="1">
      <c r="B11" s="16"/>
      <c r="C11" s="16"/>
      <c r="D11" s="16"/>
      <c r="E11" s="16"/>
      <c r="F11" s="37"/>
      <c r="G11" s="37"/>
      <c r="H11" s="37"/>
      <c r="I11" s="37"/>
      <c r="J11" s="37"/>
      <c r="K11" s="37"/>
      <c r="L11" s="37"/>
      <c r="M11" s="37"/>
      <c r="N11" s="37"/>
    </row>
    <row r="12" spans="1:15" ht="24" customHeight="1">
      <c r="A12" s="14" t="s">
        <v>60</v>
      </c>
      <c r="B12" s="16" t="s">
        <v>61</v>
      </c>
      <c r="C12" s="16"/>
      <c r="D12" s="16"/>
      <c r="E12" s="153" t="s">
        <v>185</v>
      </c>
      <c r="F12" s="154"/>
      <c r="G12" s="17" t="s">
        <v>100</v>
      </c>
      <c r="H12" s="14" t="s">
        <v>101</v>
      </c>
      <c r="N12" s="109" t="s">
        <v>186</v>
      </c>
      <c r="O12" s="31" t="str">
        <f>IF(E12="","入力してください","")</f>
        <v/>
      </c>
    </row>
    <row r="13" spans="1:15" ht="7.5" customHeight="1">
      <c r="B13" s="16"/>
      <c r="C13" s="16"/>
      <c r="D13" s="16"/>
      <c r="E13" s="16"/>
      <c r="F13" s="37"/>
      <c r="G13" s="37"/>
      <c r="H13" s="37"/>
      <c r="I13" s="37"/>
      <c r="J13" s="37"/>
      <c r="K13" s="37"/>
      <c r="L13" s="37"/>
      <c r="M13" s="37"/>
      <c r="N13" s="37"/>
    </row>
    <row r="14" spans="1:15" ht="24" customHeight="1">
      <c r="A14" s="14" t="s">
        <v>55</v>
      </c>
      <c r="B14" s="14" t="s">
        <v>0</v>
      </c>
      <c r="C14" s="149" t="s">
        <v>5</v>
      </c>
      <c r="D14" s="150"/>
      <c r="E14" s="141">
        <v>75</v>
      </c>
      <c r="F14" s="142"/>
      <c r="G14" s="18" t="s">
        <v>8</v>
      </c>
      <c r="I14" s="149" t="s">
        <v>9</v>
      </c>
      <c r="J14" s="150"/>
      <c r="K14" s="141">
        <v>21</v>
      </c>
      <c r="L14" s="151"/>
      <c r="M14" s="142"/>
      <c r="N14" s="19" t="s">
        <v>8</v>
      </c>
      <c r="O14" s="31" t="str">
        <f>IF(OR(E14="",K14=""),"入力してください","")</f>
        <v/>
      </c>
    </row>
    <row r="15" spans="1:15" ht="7.5" customHeight="1">
      <c r="F15" s="20"/>
      <c r="G15" s="20"/>
      <c r="H15" s="20"/>
      <c r="I15" s="20"/>
      <c r="J15" s="20"/>
      <c r="K15" s="20"/>
      <c r="L15" s="20"/>
      <c r="M15" s="19"/>
      <c r="N15" s="19"/>
    </row>
    <row r="16" spans="1:15" ht="24" customHeight="1">
      <c r="A16" s="14" t="s">
        <v>62</v>
      </c>
      <c r="B16" s="14" t="s">
        <v>72</v>
      </c>
      <c r="F16" s="20"/>
      <c r="G16" s="20"/>
      <c r="H16" s="20"/>
      <c r="I16" s="20"/>
      <c r="J16" s="20"/>
      <c r="K16" s="160">
        <v>35</v>
      </c>
      <c r="L16" s="161"/>
      <c r="M16" s="162"/>
      <c r="N16" s="19" t="s">
        <v>53</v>
      </c>
      <c r="O16" s="31" t="str">
        <f>IF(K16="","入力してください","")</f>
        <v/>
      </c>
    </row>
    <row r="17" spans="1:15" ht="7.5" customHeight="1">
      <c r="F17" s="20"/>
      <c r="G17" s="20"/>
      <c r="H17" s="20"/>
      <c r="I17" s="20"/>
      <c r="J17" s="20"/>
      <c r="K17" s="20"/>
      <c r="L17" s="20"/>
      <c r="M17" s="19"/>
      <c r="N17" s="19"/>
    </row>
    <row r="18" spans="1:15" ht="24" customHeight="1">
      <c r="A18" s="14" t="s">
        <v>25</v>
      </c>
      <c r="B18" s="14" t="s">
        <v>81</v>
      </c>
      <c r="E18" s="158">
        <v>200</v>
      </c>
      <c r="F18" s="159"/>
      <c r="G18" s="21" t="s">
        <v>22</v>
      </c>
      <c r="H18" s="20"/>
      <c r="K18" s="166"/>
      <c r="L18" s="166"/>
      <c r="M18" s="166"/>
      <c r="N18" s="166"/>
      <c r="O18" s="31" t="str">
        <f>IF(E18="","入力してください","")</f>
        <v/>
      </c>
    </row>
    <row r="19" spans="1:15" ht="7.5" customHeight="1">
      <c r="E19" s="10"/>
      <c r="F19" s="20"/>
      <c r="G19" s="20"/>
      <c r="L19" s="36"/>
      <c r="M19" s="36"/>
      <c r="N19" s="22"/>
    </row>
    <row r="20" spans="1:15" ht="24" customHeight="1">
      <c r="A20" s="14" t="s">
        <v>80</v>
      </c>
      <c r="B20" s="14" t="s">
        <v>82</v>
      </c>
      <c r="E20" s="10"/>
      <c r="F20" s="20"/>
      <c r="G20" s="20"/>
      <c r="H20" s="14" t="s">
        <v>54</v>
      </c>
      <c r="J20" s="163">
        <v>1024</v>
      </c>
      <c r="K20" s="164"/>
      <c r="L20" s="165"/>
      <c r="M20" s="36" t="s">
        <v>53</v>
      </c>
      <c r="N20" s="22"/>
      <c r="O20" s="31" t="str">
        <f>IF(J20="","入力してください","")</f>
        <v/>
      </c>
    </row>
    <row r="21" spans="1:15" ht="7.5" customHeight="1">
      <c r="E21" s="10"/>
      <c r="F21" s="20"/>
      <c r="G21" s="20"/>
      <c r="L21" s="36"/>
      <c r="M21" s="36"/>
      <c r="N21" s="22"/>
    </row>
    <row r="22" spans="1:15" ht="24" customHeight="1">
      <c r="B22" s="29" t="s">
        <v>18</v>
      </c>
      <c r="C22" s="141">
        <v>208</v>
      </c>
      <c r="D22" s="142"/>
      <c r="E22" s="10" t="s">
        <v>23</v>
      </c>
      <c r="F22" s="20"/>
      <c r="G22" s="137" t="s">
        <v>19</v>
      </c>
      <c r="H22" s="137"/>
      <c r="I22" s="141">
        <v>212</v>
      </c>
      <c r="J22" s="142"/>
      <c r="K22" s="17" t="s">
        <v>23</v>
      </c>
      <c r="M22" s="36"/>
      <c r="N22" s="22"/>
    </row>
    <row r="23" spans="1:15" ht="7.5" customHeight="1">
      <c r="B23" s="29"/>
      <c r="C23" s="114"/>
      <c r="D23" s="114"/>
      <c r="E23" s="10"/>
      <c r="F23" s="20"/>
      <c r="G23" s="36"/>
      <c r="H23" s="36"/>
      <c r="I23" s="114"/>
      <c r="J23" s="114"/>
      <c r="K23" s="17"/>
      <c r="M23" s="36"/>
      <c r="N23" s="22"/>
    </row>
    <row r="24" spans="1:15" ht="24" customHeight="1">
      <c r="B24" s="29" t="s">
        <v>20</v>
      </c>
      <c r="C24" s="141">
        <v>210</v>
      </c>
      <c r="D24" s="142"/>
      <c r="E24" s="10" t="s">
        <v>23</v>
      </c>
      <c r="F24" s="20"/>
      <c r="G24" s="137" t="s">
        <v>21</v>
      </c>
      <c r="H24" s="137"/>
      <c r="I24" s="141">
        <v>200</v>
      </c>
      <c r="J24" s="142"/>
      <c r="K24" s="17" t="s">
        <v>23</v>
      </c>
      <c r="M24" s="36"/>
      <c r="N24" s="22"/>
    </row>
    <row r="25" spans="1:15" ht="7.5" customHeight="1">
      <c r="B25" s="29"/>
      <c r="C25" s="114"/>
      <c r="D25" s="114"/>
      <c r="E25" s="10"/>
      <c r="F25" s="20"/>
      <c r="G25" s="36"/>
      <c r="H25" s="36"/>
      <c r="I25" s="11"/>
      <c r="J25" s="11"/>
      <c r="K25" s="17"/>
      <c r="M25" s="36"/>
      <c r="N25" s="22"/>
    </row>
    <row r="26" spans="1:15" ht="24" customHeight="1">
      <c r="B26" s="29" t="s">
        <v>48</v>
      </c>
      <c r="C26" s="141">
        <v>194</v>
      </c>
      <c r="D26" s="142"/>
      <c r="E26" s="10" t="s">
        <v>8</v>
      </c>
      <c r="F26" s="20"/>
      <c r="G26" s="137" t="s">
        <v>49</v>
      </c>
      <c r="H26" s="137"/>
      <c r="I26" s="158"/>
      <c r="J26" s="159"/>
      <c r="K26" s="17" t="s">
        <v>8</v>
      </c>
      <c r="M26" s="36"/>
      <c r="N26" s="22"/>
    </row>
    <row r="27" spans="1:15" ht="7.5" customHeight="1">
      <c r="F27" s="20"/>
      <c r="G27" s="20"/>
      <c r="M27" s="23"/>
      <c r="N27" s="23"/>
    </row>
    <row r="28" spans="1:15" ht="24" customHeight="1">
      <c r="A28" s="14" t="s">
        <v>52</v>
      </c>
      <c r="B28" s="15" t="s">
        <v>79</v>
      </c>
      <c r="C28" s="15"/>
      <c r="D28" s="15"/>
      <c r="E28" s="15"/>
      <c r="F28" s="17"/>
      <c r="G28" s="37"/>
      <c r="H28" s="37"/>
      <c r="I28" s="37"/>
      <c r="J28" s="24"/>
      <c r="K28" s="24"/>
      <c r="L28" s="24"/>
      <c r="M28" s="24"/>
      <c r="N28" s="24"/>
    </row>
    <row r="29" spans="1:15" s="14" customFormat="1" ht="24" customHeight="1">
      <c r="B29" s="145" t="s">
        <v>78</v>
      </c>
      <c r="C29" s="145"/>
      <c r="D29" s="138" t="s">
        <v>220</v>
      </c>
      <c r="E29" s="139"/>
      <c r="F29" s="139"/>
      <c r="G29" s="146" t="s">
        <v>24</v>
      </c>
      <c r="H29" s="145"/>
      <c r="I29" s="147"/>
      <c r="J29" s="138" t="s">
        <v>187</v>
      </c>
      <c r="K29" s="139"/>
      <c r="L29" s="139"/>
      <c r="M29" s="139"/>
      <c r="N29" s="140"/>
      <c r="O29" s="31" t="str">
        <f>IF(OR(D29="",J29=""),"入力してください","")</f>
        <v/>
      </c>
    </row>
    <row r="30" spans="1:15" ht="7.5" customHeight="1">
      <c r="F30" s="20"/>
      <c r="G30" s="20"/>
      <c r="M30" s="23"/>
      <c r="N30" s="23"/>
    </row>
    <row r="31" spans="1:15" ht="24" customHeight="1">
      <c r="A31" s="14" t="s">
        <v>56</v>
      </c>
      <c r="B31" s="15" t="s">
        <v>84</v>
      </c>
      <c r="C31" s="15"/>
      <c r="D31" s="15"/>
      <c r="E31" s="15"/>
      <c r="F31" s="17"/>
      <c r="G31" s="24"/>
      <c r="H31" s="24"/>
      <c r="I31" s="24"/>
      <c r="J31" s="24"/>
      <c r="K31" s="24"/>
      <c r="L31" s="24"/>
      <c r="M31" s="24"/>
      <c r="N31" s="24"/>
    </row>
    <row r="32" spans="1:15" ht="24" customHeight="1">
      <c r="B32" s="138" t="s">
        <v>188</v>
      </c>
      <c r="C32" s="139"/>
      <c r="D32" s="139"/>
      <c r="E32" s="139"/>
      <c r="F32" s="139"/>
      <c r="G32" s="139"/>
      <c r="H32" s="139"/>
      <c r="I32" s="139"/>
      <c r="J32" s="139"/>
      <c r="K32" s="139"/>
      <c r="L32" s="139"/>
      <c r="M32" s="139"/>
      <c r="N32" s="140"/>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45" t="s">
        <v>78</v>
      </c>
      <c r="C34" s="145"/>
      <c r="D34" s="138" t="s">
        <v>221</v>
      </c>
      <c r="E34" s="139"/>
      <c r="F34" s="139"/>
      <c r="G34" s="146" t="s">
        <v>57</v>
      </c>
      <c r="H34" s="145"/>
      <c r="I34" s="147"/>
      <c r="J34" s="138" t="s">
        <v>189</v>
      </c>
      <c r="K34" s="139"/>
      <c r="L34" s="139"/>
      <c r="M34" s="139"/>
      <c r="N34" s="140"/>
      <c r="O34" s="31" t="str">
        <f>IF(OR(D34="",J34=""),"入力してください","")</f>
        <v/>
      </c>
    </row>
    <row r="35" spans="1:15" ht="7.5" customHeight="1">
      <c r="F35" s="37"/>
      <c r="G35" s="37"/>
      <c r="H35" s="37"/>
      <c r="I35" s="37"/>
      <c r="J35" s="37"/>
      <c r="K35" s="37"/>
      <c r="L35" s="37"/>
      <c r="M35" s="37"/>
      <c r="N35" s="37"/>
    </row>
    <row r="36" spans="1:15" ht="24" customHeight="1">
      <c r="A36" s="14" t="s">
        <v>63</v>
      </c>
      <c r="B36" s="14" t="s">
        <v>85</v>
      </c>
      <c r="M36" s="23"/>
      <c r="N36" s="23"/>
    </row>
    <row r="37" spans="1:15" ht="24" customHeight="1">
      <c r="B37" s="155" t="s">
        <v>218</v>
      </c>
      <c r="C37" s="156"/>
      <c r="D37" s="156"/>
      <c r="E37" s="156"/>
      <c r="F37" s="156"/>
      <c r="G37" s="156"/>
      <c r="H37" s="156"/>
      <c r="I37" s="156"/>
      <c r="J37" s="156"/>
      <c r="K37" s="156"/>
      <c r="L37" s="156"/>
      <c r="M37" s="156"/>
      <c r="N37" s="157"/>
      <c r="O37" s="31" t="str">
        <f>IF(B37="","入力してください","")</f>
        <v/>
      </c>
    </row>
    <row r="38" spans="1:15" ht="7.5" customHeight="1">
      <c r="F38" s="37"/>
      <c r="G38" s="37"/>
      <c r="H38" s="37"/>
      <c r="I38" s="37"/>
      <c r="J38" s="37"/>
      <c r="K38" s="37"/>
      <c r="L38" s="37"/>
      <c r="M38" s="37"/>
      <c r="N38" s="37"/>
    </row>
    <row r="39" spans="1:15" s="14" customFormat="1" ht="24" customHeight="1">
      <c r="B39" s="145" t="s">
        <v>78</v>
      </c>
      <c r="C39" s="145"/>
      <c r="D39" s="138" t="s">
        <v>222</v>
      </c>
      <c r="E39" s="139"/>
      <c r="F39" s="139"/>
      <c r="G39" s="146" t="s">
        <v>57</v>
      </c>
      <c r="H39" s="145"/>
      <c r="I39" s="147"/>
      <c r="J39" s="138" t="s">
        <v>195</v>
      </c>
      <c r="K39" s="139"/>
      <c r="L39" s="139"/>
      <c r="M39" s="139"/>
      <c r="N39" s="140"/>
      <c r="O39" s="31" t="str">
        <f>IF(OR(D39="",J39=""),"入力してください","")</f>
        <v/>
      </c>
    </row>
    <row r="40" spans="1:15" ht="7.5" customHeight="1">
      <c r="F40" s="37"/>
      <c r="G40" s="37"/>
      <c r="H40" s="37"/>
      <c r="I40" s="37"/>
      <c r="J40" s="37"/>
      <c r="K40" s="37"/>
      <c r="L40" s="37"/>
      <c r="M40" s="37"/>
      <c r="N40" s="37"/>
    </row>
    <row r="41" spans="1:15" ht="24" customHeight="1">
      <c r="A41" s="14" t="s">
        <v>92</v>
      </c>
      <c r="B41" s="73" t="s">
        <v>71</v>
      </c>
      <c r="E41" s="74"/>
      <c r="F41" s="138" t="s">
        <v>190</v>
      </c>
      <c r="G41" s="139"/>
      <c r="H41" s="139"/>
      <c r="I41" s="139"/>
      <c r="J41" s="139"/>
      <c r="K41" s="139"/>
      <c r="L41" s="139"/>
      <c r="M41" s="139"/>
      <c r="N41" s="140"/>
      <c r="O41" s="31" t="str">
        <f>IF(F41="","入力してください","")</f>
        <v/>
      </c>
    </row>
    <row r="42" spans="1:15" ht="7.5" customHeight="1">
      <c r="F42" s="37"/>
      <c r="G42" s="37"/>
      <c r="H42" s="37"/>
      <c r="I42" s="37"/>
      <c r="J42" s="37"/>
      <c r="K42" s="37"/>
      <c r="L42" s="37"/>
      <c r="M42" s="37"/>
      <c r="N42" s="37"/>
    </row>
    <row r="43" spans="1:15" ht="24" customHeight="1">
      <c r="A43" s="14" t="s">
        <v>102</v>
      </c>
    </row>
    <row r="44" spans="1:15" ht="24" customHeight="1">
      <c r="B44" s="30" t="s">
        <v>1</v>
      </c>
      <c r="C44" s="143" t="s">
        <v>191</v>
      </c>
      <c r="D44" s="144"/>
      <c r="E44" s="144"/>
      <c r="F44" s="144"/>
      <c r="G44" s="144"/>
      <c r="H44" s="144"/>
      <c r="I44" s="26" t="s">
        <v>2</v>
      </c>
      <c r="J44" s="27"/>
      <c r="K44" s="138" t="s">
        <v>192</v>
      </c>
      <c r="L44" s="139"/>
      <c r="M44" s="139"/>
      <c r="N44" s="140"/>
      <c r="O44" s="31" t="str">
        <f>IF(OR(C44="",K44=""),"入力してください","")</f>
        <v/>
      </c>
    </row>
    <row r="45" spans="1:15" ht="24" customHeight="1">
      <c r="B45" s="25" t="s">
        <v>4</v>
      </c>
      <c r="C45" s="131" t="s">
        <v>193</v>
      </c>
      <c r="D45" s="132"/>
      <c r="E45" s="132"/>
      <c r="F45" s="132"/>
      <c r="G45" s="132"/>
      <c r="H45" s="133"/>
      <c r="I45" s="26" t="s">
        <v>3</v>
      </c>
      <c r="J45" s="27"/>
      <c r="K45" s="134" t="s">
        <v>194</v>
      </c>
      <c r="L45" s="135"/>
      <c r="M45" s="135"/>
      <c r="N45" s="136"/>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disablePrompts="1"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70" zoomScaleNormal="100" zoomScaleSheetLayoutView="70" workbookViewId="0">
      <selection activeCell="B6" sqref="B6:Z11"/>
    </sheetView>
  </sheetViews>
  <sheetFormatPr defaultColWidth="9" defaultRowHeight="18.75" customHeight="1"/>
  <cols>
    <col min="1" max="1" width="2.375" style="13" customWidth="1"/>
    <col min="2" max="2" width="27.75" style="13" customWidth="1"/>
    <col min="3" max="13" width="3.375" style="13" customWidth="1"/>
    <col min="14" max="14" width="8.875" style="13" customWidth="1"/>
    <col min="15" max="15" width="18.875" style="13" customWidth="1"/>
    <col min="16" max="26" width="3.375" style="13" customWidth="1"/>
    <col min="27" max="16384" width="9" style="13"/>
  </cols>
  <sheetData>
    <row r="1" spans="1:26" ht="15" customHeight="1">
      <c r="W1" s="263" t="s">
        <v>162</v>
      </c>
      <c r="X1" s="263"/>
      <c r="Y1" s="263"/>
      <c r="Z1" s="263"/>
    </row>
    <row r="2" spans="1:26" ht="18" customHeight="1">
      <c r="A2" s="220" t="s">
        <v>69</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103</v>
      </c>
      <c r="B4" s="29"/>
      <c r="C4" s="29"/>
      <c r="D4" s="29"/>
      <c r="E4" s="29"/>
      <c r="F4" s="29"/>
      <c r="G4" s="29"/>
      <c r="H4" s="15" t="s">
        <v>116</v>
      </c>
      <c r="I4" s="29"/>
      <c r="J4" s="29"/>
      <c r="K4" s="29"/>
      <c r="L4" s="29"/>
      <c r="M4" s="29"/>
      <c r="N4" s="29"/>
      <c r="O4" s="160" t="s">
        <v>161</v>
      </c>
      <c r="P4" s="161"/>
      <c r="Q4" s="161"/>
      <c r="R4" s="161"/>
      <c r="S4" s="161"/>
      <c r="T4" s="161"/>
      <c r="U4" s="161"/>
      <c r="V4" s="161"/>
      <c r="W4" s="161"/>
      <c r="X4" s="161"/>
      <c r="Y4" s="161"/>
      <c r="Z4" s="162"/>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345" t="s">
        <v>223</v>
      </c>
      <c r="C6" s="221"/>
      <c r="D6" s="221"/>
      <c r="E6" s="221"/>
      <c r="F6" s="221"/>
      <c r="G6" s="221"/>
      <c r="H6" s="221"/>
      <c r="I6" s="221"/>
      <c r="J6" s="221"/>
      <c r="K6" s="221"/>
      <c r="L6" s="221"/>
      <c r="M6" s="221"/>
      <c r="N6" s="221"/>
      <c r="O6" s="221"/>
      <c r="P6" s="221"/>
      <c r="Q6" s="221"/>
      <c r="R6" s="221"/>
      <c r="S6" s="221"/>
      <c r="T6" s="221"/>
      <c r="U6" s="221"/>
      <c r="V6" s="221"/>
      <c r="W6" s="221"/>
      <c r="X6" s="221"/>
      <c r="Y6" s="221"/>
      <c r="Z6" s="222"/>
    </row>
    <row r="7" spans="1:26" ht="18" customHeight="1">
      <c r="B7" s="223"/>
      <c r="C7" s="224"/>
      <c r="D7" s="224"/>
      <c r="E7" s="224"/>
      <c r="F7" s="224"/>
      <c r="G7" s="224"/>
      <c r="H7" s="224"/>
      <c r="I7" s="224"/>
      <c r="J7" s="224"/>
      <c r="K7" s="224"/>
      <c r="L7" s="224"/>
      <c r="M7" s="224"/>
      <c r="N7" s="224"/>
      <c r="O7" s="224"/>
      <c r="P7" s="224"/>
      <c r="Q7" s="224"/>
      <c r="R7" s="224"/>
      <c r="S7" s="224"/>
      <c r="T7" s="224"/>
      <c r="U7" s="224"/>
      <c r="V7" s="224"/>
      <c r="W7" s="224"/>
      <c r="X7" s="224"/>
      <c r="Y7" s="224"/>
      <c r="Z7" s="225"/>
    </row>
    <row r="8" spans="1:26" ht="18" customHeight="1">
      <c r="B8" s="223"/>
      <c r="C8" s="224"/>
      <c r="D8" s="224"/>
      <c r="E8" s="224"/>
      <c r="F8" s="224"/>
      <c r="G8" s="224"/>
      <c r="H8" s="224"/>
      <c r="I8" s="224"/>
      <c r="J8" s="224"/>
      <c r="K8" s="224"/>
      <c r="L8" s="224"/>
      <c r="M8" s="224"/>
      <c r="N8" s="224"/>
      <c r="O8" s="224"/>
      <c r="P8" s="224"/>
      <c r="Q8" s="224"/>
      <c r="R8" s="224"/>
      <c r="S8" s="224"/>
      <c r="T8" s="224"/>
      <c r="U8" s="224"/>
      <c r="V8" s="224"/>
      <c r="W8" s="224"/>
      <c r="X8" s="224"/>
      <c r="Y8" s="224"/>
      <c r="Z8" s="225"/>
    </row>
    <row r="9" spans="1:26" ht="18" customHeight="1">
      <c r="B9" s="223"/>
      <c r="C9" s="224"/>
      <c r="D9" s="224"/>
      <c r="E9" s="224"/>
      <c r="F9" s="224"/>
      <c r="G9" s="224"/>
      <c r="H9" s="224"/>
      <c r="I9" s="224"/>
      <c r="J9" s="224"/>
      <c r="K9" s="224"/>
      <c r="L9" s="224"/>
      <c r="M9" s="224"/>
      <c r="N9" s="224"/>
      <c r="O9" s="224"/>
      <c r="P9" s="224"/>
      <c r="Q9" s="224"/>
      <c r="R9" s="224"/>
      <c r="S9" s="224"/>
      <c r="T9" s="224"/>
      <c r="U9" s="224"/>
      <c r="V9" s="224"/>
      <c r="W9" s="224"/>
      <c r="X9" s="224"/>
      <c r="Y9" s="224"/>
      <c r="Z9" s="225"/>
    </row>
    <row r="10" spans="1:26" ht="18" customHeight="1">
      <c r="B10" s="223"/>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5"/>
    </row>
    <row r="11" spans="1:26" ht="18" customHeight="1">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16" t="s">
        <v>130</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c r="A15" s="14"/>
      <c r="B15" s="160" t="s">
        <v>104</v>
      </c>
      <c r="C15" s="161"/>
      <c r="D15" s="161"/>
      <c r="E15" s="161"/>
      <c r="F15" s="162"/>
      <c r="G15" s="30" t="s">
        <v>146</v>
      </c>
      <c r="H15" s="104" t="s">
        <v>145</v>
      </c>
      <c r="I15" s="161" t="s">
        <v>105</v>
      </c>
      <c r="J15" s="161"/>
      <c r="K15" s="161"/>
      <c r="L15" s="75" t="s">
        <v>108</v>
      </c>
      <c r="M15" s="75" t="s">
        <v>111</v>
      </c>
      <c r="N15" s="160" t="s">
        <v>104</v>
      </c>
      <c r="O15" s="161"/>
      <c r="P15" s="161"/>
      <c r="Q15" s="161"/>
      <c r="R15" s="161"/>
      <c r="S15" s="162"/>
      <c r="T15" s="30" t="s">
        <v>146</v>
      </c>
      <c r="U15" s="104" t="s">
        <v>145</v>
      </c>
      <c r="V15" s="161" t="s">
        <v>105</v>
      </c>
      <c r="W15" s="161"/>
      <c r="X15" s="161"/>
      <c r="Y15" s="75" t="s">
        <v>108</v>
      </c>
      <c r="Z15" s="75" t="s">
        <v>111</v>
      </c>
    </row>
    <row r="16" spans="1:26" ht="18" customHeight="1">
      <c r="A16" s="14"/>
      <c r="B16" s="207" t="s">
        <v>166</v>
      </c>
      <c r="C16" s="208"/>
      <c r="D16" s="208"/>
      <c r="E16" s="208"/>
      <c r="F16" s="209"/>
      <c r="G16" s="105">
        <v>1</v>
      </c>
      <c r="H16" s="105" t="s">
        <v>165</v>
      </c>
      <c r="I16" s="201" t="s">
        <v>164</v>
      </c>
      <c r="J16" s="202"/>
      <c r="K16" s="203"/>
      <c r="L16" s="105"/>
      <c r="M16" s="105" t="s">
        <v>165</v>
      </c>
      <c r="N16" s="167"/>
      <c r="O16" s="168"/>
      <c r="P16" s="168"/>
      <c r="Q16" s="168"/>
      <c r="R16" s="168"/>
      <c r="S16" s="169"/>
      <c r="T16" s="105"/>
      <c r="U16" s="105"/>
      <c r="V16" s="201"/>
      <c r="W16" s="202"/>
      <c r="X16" s="203"/>
      <c r="Y16" s="105"/>
      <c r="Z16" s="105"/>
    </row>
    <row r="17" spans="1:26" ht="18" customHeight="1">
      <c r="A17" s="14"/>
      <c r="B17" s="210" t="s">
        <v>163</v>
      </c>
      <c r="C17" s="211"/>
      <c r="D17" s="211"/>
      <c r="E17" s="211"/>
      <c r="F17" s="212"/>
      <c r="G17" s="106">
        <v>2</v>
      </c>
      <c r="H17" s="106" t="s">
        <v>165</v>
      </c>
      <c r="I17" s="204" t="s">
        <v>164</v>
      </c>
      <c r="J17" s="205"/>
      <c r="K17" s="206"/>
      <c r="L17" s="106" t="s">
        <v>165</v>
      </c>
      <c r="M17" s="106" t="s">
        <v>165</v>
      </c>
      <c r="N17" s="176"/>
      <c r="O17" s="177"/>
      <c r="P17" s="177"/>
      <c r="Q17" s="177"/>
      <c r="R17" s="177"/>
      <c r="S17" s="178"/>
      <c r="T17" s="106"/>
      <c r="U17" s="106"/>
      <c r="V17" s="204"/>
      <c r="W17" s="205"/>
      <c r="X17" s="206"/>
      <c r="Y17" s="106"/>
      <c r="Z17" s="106"/>
    </row>
    <row r="18" spans="1:26" ht="18" customHeight="1">
      <c r="A18" s="14"/>
      <c r="B18" s="210"/>
      <c r="C18" s="211"/>
      <c r="D18" s="211"/>
      <c r="E18" s="211"/>
      <c r="F18" s="212"/>
      <c r="G18" s="106"/>
      <c r="H18" s="106"/>
      <c r="I18" s="204"/>
      <c r="J18" s="205"/>
      <c r="K18" s="206"/>
      <c r="L18" s="106"/>
      <c r="M18" s="106"/>
      <c r="N18" s="176"/>
      <c r="O18" s="177"/>
      <c r="P18" s="177"/>
      <c r="Q18" s="177"/>
      <c r="R18" s="177"/>
      <c r="S18" s="178"/>
      <c r="T18" s="106"/>
      <c r="U18" s="106"/>
      <c r="V18" s="204"/>
      <c r="W18" s="205"/>
      <c r="X18" s="206"/>
      <c r="Y18" s="106"/>
      <c r="Z18" s="106"/>
    </row>
    <row r="19" spans="1:26" ht="18" customHeight="1">
      <c r="A19" s="14"/>
      <c r="B19" s="210"/>
      <c r="C19" s="211"/>
      <c r="D19" s="211"/>
      <c r="E19" s="211"/>
      <c r="F19" s="212"/>
      <c r="G19" s="106"/>
      <c r="H19" s="106"/>
      <c r="I19" s="204"/>
      <c r="J19" s="205"/>
      <c r="K19" s="206"/>
      <c r="L19" s="106"/>
      <c r="M19" s="106"/>
      <c r="N19" s="176"/>
      <c r="O19" s="177"/>
      <c r="P19" s="177"/>
      <c r="Q19" s="177"/>
      <c r="R19" s="177"/>
      <c r="S19" s="178"/>
      <c r="T19" s="106"/>
      <c r="U19" s="106"/>
      <c r="V19" s="204"/>
      <c r="W19" s="205"/>
      <c r="X19" s="206"/>
      <c r="Y19" s="106"/>
      <c r="Z19" s="106"/>
    </row>
    <row r="20" spans="1:26" ht="18" customHeight="1">
      <c r="A20" s="14"/>
      <c r="B20" s="210"/>
      <c r="C20" s="211"/>
      <c r="D20" s="211"/>
      <c r="E20" s="211"/>
      <c r="F20" s="212"/>
      <c r="G20" s="106"/>
      <c r="H20" s="106"/>
      <c r="I20" s="204"/>
      <c r="J20" s="205"/>
      <c r="K20" s="206"/>
      <c r="L20" s="106"/>
      <c r="M20" s="106"/>
      <c r="N20" s="176"/>
      <c r="O20" s="177"/>
      <c r="P20" s="177"/>
      <c r="Q20" s="177"/>
      <c r="R20" s="177"/>
      <c r="S20" s="178"/>
      <c r="T20" s="106"/>
      <c r="U20" s="106"/>
      <c r="V20" s="204"/>
      <c r="W20" s="205"/>
      <c r="X20" s="206"/>
      <c r="Y20" s="106"/>
      <c r="Z20" s="106"/>
    </row>
    <row r="21" spans="1:26" ht="18" customHeight="1">
      <c r="A21" s="29"/>
      <c r="B21" s="210"/>
      <c r="C21" s="211"/>
      <c r="D21" s="211"/>
      <c r="E21" s="211"/>
      <c r="F21" s="212"/>
      <c r="G21" s="106"/>
      <c r="H21" s="106"/>
      <c r="I21" s="204"/>
      <c r="J21" s="205"/>
      <c r="K21" s="206"/>
      <c r="L21" s="106"/>
      <c r="M21" s="106"/>
      <c r="N21" s="176"/>
      <c r="O21" s="177"/>
      <c r="P21" s="177"/>
      <c r="Q21" s="177"/>
      <c r="R21" s="177"/>
      <c r="S21" s="178"/>
      <c r="T21" s="106"/>
      <c r="U21" s="106"/>
      <c r="V21" s="204"/>
      <c r="W21" s="205"/>
      <c r="X21" s="206"/>
      <c r="Y21" s="106"/>
      <c r="Z21" s="106"/>
    </row>
    <row r="22" spans="1:26" ht="18" customHeight="1">
      <c r="A22" s="29"/>
      <c r="B22" s="217"/>
      <c r="C22" s="218"/>
      <c r="D22" s="218"/>
      <c r="E22" s="218"/>
      <c r="F22" s="219"/>
      <c r="G22" s="107"/>
      <c r="H22" s="107"/>
      <c r="I22" s="213"/>
      <c r="J22" s="214"/>
      <c r="K22" s="215"/>
      <c r="L22" s="113"/>
      <c r="M22" s="113"/>
      <c r="N22" s="242"/>
      <c r="O22" s="243"/>
      <c r="P22" s="243"/>
      <c r="Q22" s="243"/>
      <c r="R22" s="243"/>
      <c r="S22" s="244"/>
      <c r="T22" s="107"/>
      <c r="U22" s="107"/>
      <c r="V22" s="213"/>
      <c r="W22" s="214"/>
      <c r="X22" s="215"/>
      <c r="Y22" s="113"/>
      <c r="Z22" s="113"/>
    </row>
    <row r="23" spans="1:26" ht="7.5" customHeight="1">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c r="A24" s="216" t="s">
        <v>131</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c r="A26" s="14"/>
      <c r="B26" s="160" t="s">
        <v>104</v>
      </c>
      <c r="C26" s="161"/>
      <c r="D26" s="161"/>
      <c r="E26" s="161"/>
      <c r="F26" s="162"/>
      <c r="G26" s="30" t="s">
        <v>146</v>
      </c>
      <c r="H26" s="104" t="s">
        <v>145</v>
      </c>
      <c r="I26" s="161" t="s">
        <v>105</v>
      </c>
      <c r="J26" s="161"/>
      <c r="K26" s="161"/>
      <c r="L26" s="75" t="s">
        <v>132</v>
      </c>
      <c r="M26" s="75" t="s">
        <v>133</v>
      </c>
      <c r="N26" s="160" t="s">
        <v>104</v>
      </c>
      <c r="O26" s="161"/>
      <c r="P26" s="161"/>
      <c r="Q26" s="161"/>
      <c r="R26" s="161"/>
      <c r="S26" s="162"/>
      <c r="T26" s="30" t="s">
        <v>146</v>
      </c>
      <c r="U26" s="104" t="s">
        <v>145</v>
      </c>
      <c r="V26" s="161" t="s">
        <v>105</v>
      </c>
      <c r="W26" s="161"/>
      <c r="X26" s="161"/>
      <c r="Y26" s="75" t="s">
        <v>132</v>
      </c>
      <c r="Z26" s="75" t="s">
        <v>133</v>
      </c>
    </row>
    <row r="27" spans="1:26" ht="18" customHeight="1">
      <c r="A27" s="14"/>
      <c r="B27" s="207" t="s">
        <v>167</v>
      </c>
      <c r="C27" s="208"/>
      <c r="D27" s="208"/>
      <c r="E27" s="208"/>
      <c r="F27" s="209"/>
      <c r="G27" s="105">
        <v>1</v>
      </c>
      <c r="H27" s="105" t="s">
        <v>165</v>
      </c>
      <c r="I27" s="201" t="s">
        <v>164</v>
      </c>
      <c r="J27" s="202"/>
      <c r="K27" s="203"/>
      <c r="L27" s="105" t="s">
        <v>165</v>
      </c>
      <c r="M27" s="105"/>
      <c r="N27" s="167"/>
      <c r="O27" s="168"/>
      <c r="P27" s="168"/>
      <c r="Q27" s="168"/>
      <c r="R27" s="168"/>
      <c r="S27" s="169"/>
      <c r="T27" s="105"/>
      <c r="U27" s="105"/>
      <c r="V27" s="201"/>
      <c r="W27" s="202"/>
      <c r="X27" s="203"/>
      <c r="Y27" s="105"/>
      <c r="Z27" s="105"/>
    </row>
    <row r="28" spans="1:26" ht="18" customHeight="1">
      <c r="A28" s="14"/>
      <c r="B28" s="210" t="s">
        <v>168</v>
      </c>
      <c r="C28" s="211"/>
      <c r="D28" s="211"/>
      <c r="E28" s="211"/>
      <c r="F28" s="212"/>
      <c r="G28" s="106">
        <v>1</v>
      </c>
      <c r="H28" s="106" t="s">
        <v>165</v>
      </c>
      <c r="I28" s="204" t="s">
        <v>164</v>
      </c>
      <c r="J28" s="205"/>
      <c r="K28" s="206"/>
      <c r="L28" s="106" t="s">
        <v>165</v>
      </c>
      <c r="M28" s="106"/>
      <c r="N28" s="176"/>
      <c r="O28" s="177"/>
      <c r="P28" s="177"/>
      <c r="Q28" s="177"/>
      <c r="R28" s="177"/>
      <c r="S28" s="178"/>
      <c r="T28" s="106"/>
      <c r="U28" s="106"/>
      <c r="V28" s="204"/>
      <c r="W28" s="205"/>
      <c r="X28" s="206"/>
      <c r="Y28" s="106"/>
      <c r="Z28" s="106"/>
    </row>
    <row r="29" spans="1:26" ht="18" customHeight="1">
      <c r="A29" s="14"/>
      <c r="B29" s="210" t="s">
        <v>163</v>
      </c>
      <c r="C29" s="211"/>
      <c r="D29" s="211"/>
      <c r="E29" s="211"/>
      <c r="F29" s="212"/>
      <c r="G29" s="106">
        <v>2</v>
      </c>
      <c r="H29" s="106" t="s">
        <v>165</v>
      </c>
      <c r="I29" s="204" t="s">
        <v>164</v>
      </c>
      <c r="J29" s="205"/>
      <c r="K29" s="206"/>
      <c r="L29" s="106" t="s">
        <v>165</v>
      </c>
      <c r="M29" s="106" t="s">
        <v>165</v>
      </c>
      <c r="N29" s="176"/>
      <c r="O29" s="177"/>
      <c r="P29" s="177"/>
      <c r="Q29" s="177"/>
      <c r="R29" s="177"/>
      <c r="S29" s="178"/>
      <c r="T29" s="106"/>
      <c r="U29" s="106"/>
      <c r="V29" s="204"/>
      <c r="W29" s="205"/>
      <c r="X29" s="206"/>
      <c r="Y29" s="106"/>
      <c r="Z29" s="106"/>
    </row>
    <row r="30" spans="1:26" ht="18" customHeight="1">
      <c r="A30" s="14"/>
      <c r="B30" s="210"/>
      <c r="C30" s="211"/>
      <c r="D30" s="211"/>
      <c r="E30" s="211"/>
      <c r="F30" s="212"/>
      <c r="G30" s="106"/>
      <c r="H30" s="106"/>
      <c r="I30" s="204"/>
      <c r="J30" s="205"/>
      <c r="K30" s="206"/>
      <c r="L30" s="106"/>
      <c r="M30" s="106"/>
      <c r="N30" s="176"/>
      <c r="O30" s="177"/>
      <c r="P30" s="177"/>
      <c r="Q30" s="177"/>
      <c r="R30" s="177"/>
      <c r="S30" s="178"/>
      <c r="T30" s="106"/>
      <c r="U30" s="106"/>
      <c r="V30" s="204"/>
      <c r="W30" s="205"/>
      <c r="X30" s="206"/>
      <c r="Y30" s="106"/>
      <c r="Z30" s="106"/>
    </row>
    <row r="31" spans="1:26" ht="18" customHeight="1">
      <c r="A31" s="14"/>
      <c r="B31" s="210"/>
      <c r="C31" s="211"/>
      <c r="D31" s="211"/>
      <c r="E31" s="211"/>
      <c r="F31" s="212"/>
      <c r="G31" s="106"/>
      <c r="H31" s="106"/>
      <c r="I31" s="204"/>
      <c r="J31" s="205"/>
      <c r="K31" s="206"/>
      <c r="L31" s="106"/>
      <c r="M31" s="106"/>
      <c r="N31" s="176"/>
      <c r="O31" s="177"/>
      <c r="P31" s="177"/>
      <c r="Q31" s="177"/>
      <c r="R31" s="177"/>
      <c r="S31" s="178"/>
      <c r="T31" s="106"/>
      <c r="U31" s="106"/>
      <c r="V31" s="204"/>
      <c r="W31" s="205"/>
      <c r="X31" s="206"/>
      <c r="Y31" s="106"/>
      <c r="Z31" s="106"/>
    </row>
    <row r="32" spans="1:26" ht="18" customHeight="1">
      <c r="A32" s="14"/>
      <c r="B32" s="210"/>
      <c r="C32" s="211"/>
      <c r="D32" s="211"/>
      <c r="E32" s="211"/>
      <c r="F32" s="212"/>
      <c r="G32" s="106"/>
      <c r="H32" s="106"/>
      <c r="I32" s="204"/>
      <c r="J32" s="205"/>
      <c r="K32" s="206"/>
      <c r="L32" s="106"/>
      <c r="M32" s="106"/>
      <c r="N32" s="176"/>
      <c r="O32" s="177"/>
      <c r="P32" s="177"/>
      <c r="Q32" s="177"/>
      <c r="R32" s="177"/>
      <c r="S32" s="178"/>
      <c r="T32" s="106"/>
      <c r="U32" s="106"/>
      <c r="V32" s="204"/>
      <c r="W32" s="205"/>
      <c r="X32" s="206"/>
      <c r="Y32" s="106"/>
      <c r="Z32" s="106"/>
    </row>
    <row r="33" spans="1:26" ht="18" customHeight="1">
      <c r="A33" s="14"/>
      <c r="B33" s="217"/>
      <c r="C33" s="218"/>
      <c r="D33" s="218"/>
      <c r="E33" s="218"/>
      <c r="F33" s="219"/>
      <c r="G33" s="107"/>
      <c r="H33" s="107"/>
      <c r="I33" s="213"/>
      <c r="J33" s="214"/>
      <c r="K33" s="215"/>
      <c r="L33" s="113"/>
      <c r="M33" s="113"/>
      <c r="N33" s="242"/>
      <c r="O33" s="243"/>
      <c r="P33" s="243"/>
      <c r="Q33" s="243"/>
      <c r="R33" s="243"/>
      <c r="S33" s="244"/>
      <c r="T33" s="107"/>
      <c r="U33" s="107"/>
      <c r="V33" s="213"/>
      <c r="W33" s="214"/>
      <c r="X33" s="215"/>
      <c r="Y33" s="113"/>
      <c r="Z33" s="113"/>
    </row>
    <row r="34" spans="1:26" ht="7.5" customHeight="1">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c r="A35" s="216" t="s">
        <v>134</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c r="A37" s="14"/>
      <c r="B37" s="160" t="s">
        <v>104</v>
      </c>
      <c r="C37" s="161"/>
      <c r="D37" s="161"/>
      <c r="E37" s="161"/>
      <c r="F37" s="162"/>
      <c r="G37" s="30" t="s">
        <v>146</v>
      </c>
      <c r="H37" s="104" t="s">
        <v>145</v>
      </c>
      <c r="I37" s="160" t="s">
        <v>105</v>
      </c>
      <c r="J37" s="161"/>
      <c r="K37" s="162"/>
      <c r="L37" s="75" t="s">
        <v>135</v>
      </c>
      <c r="M37" s="75" t="s">
        <v>136</v>
      </c>
      <c r="N37" s="160" t="s">
        <v>104</v>
      </c>
      <c r="O37" s="161"/>
      <c r="P37" s="161"/>
      <c r="Q37" s="161"/>
      <c r="R37" s="161"/>
      <c r="S37" s="162"/>
      <c r="T37" s="30" t="s">
        <v>146</v>
      </c>
      <c r="U37" s="104" t="s">
        <v>145</v>
      </c>
      <c r="V37" s="160" t="s">
        <v>105</v>
      </c>
      <c r="W37" s="161"/>
      <c r="X37" s="162"/>
      <c r="Y37" s="75" t="s">
        <v>135</v>
      </c>
      <c r="Z37" s="75" t="s">
        <v>136</v>
      </c>
    </row>
    <row r="38" spans="1:26" ht="18" customHeight="1">
      <c r="A38" s="29"/>
      <c r="B38" s="207" t="s">
        <v>167</v>
      </c>
      <c r="C38" s="208"/>
      <c r="D38" s="208"/>
      <c r="E38" s="208"/>
      <c r="F38" s="209"/>
      <c r="G38" s="105">
        <v>1</v>
      </c>
      <c r="H38" s="105" t="s">
        <v>165</v>
      </c>
      <c r="I38" s="201" t="s">
        <v>164</v>
      </c>
      <c r="J38" s="202"/>
      <c r="K38" s="203"/>
      <c r="L38" s="105" t="s">
        <v>165</v>
      </c>
      <c r="M38" s="105"/>
      <c r="N38" s="167"/>
      <c r="O38" s="168"/>
      <c r="P38" s="168"/>
      <c r="Q38" s="168"/>
      <c r="R38" s="168"/>
      <c r="S38" s="169"/>
      <c r="T38" s="105"/>
      <c r="U38" s="105"/>
      <c r="V38" s="201"/>
      <c r="W38" s="202"/>
      <c r="X38" s="203"/>
      <c r="Y38" s="105"/>
      <c r="Z38" s="105"/>
    </row>
    <row r="39" spans="1:26" ht="18" customHeight="1">
      <c r="A39" s="29"/>
      <c r="B39" s="210" t="s">
        <v>166</v>
      </c>
      <c r="C39" s="211"/>
      <c r="D39" s="211"/>
      <c r="E39" s="211"/>
      <c r="F39" s="212"/>
      <c r="G39" s="106">
        <v>1</v>
      </c>
      <c r="H39" s="106" t="s">
        <v>165</v>
      </c>
      <c r="I39" s="204" t="s">
        <v>164</v>
      </c>
      <c r="J39" s="205"/>
      <c r="K39" s="206"/>
      <c r="L39" s="106"/>
      <c r="M39" s="106" t="s">
        <v>165</v>
      </c>
      <c r="N39" s="176"/>
      <c r="O39" s="177"/>
      <c r="P39" s="177"/>
      <c r="Q39" s="177"/>
      <c r="R39" s="177"/>
      <c r="S39" s="178"/>
      <c r="T39" s="106"/>
      <c r="U39" s="106"/>
      <c r="V39" s="204"/>
      <c r="W39" s="205"/>
      <c r="X39" s="206"/>
      <c r="Y39" s="106"/>
      <c r="Z39" s="106"/>
    </row>
    <row r="40" spans="1:26" ht="18" customHeight="1">
      <c r="A40" s="29"/>
      <c r="B40" s="210" t="s">
        <v>163</v>
      </c>
      <c r="C40" s="211"/>
      <c r="D40" s="211"/>
      <c r="E40" s="211"/>
      <c r="F40" s="212"/>
      <c r="G40" s="106">
        <v>2</v>
      </c>
      <c r="H40" s="106" t="s">
        <v>165</v>
      </c>
      <c r="I40" s="204" t="s">
        <v>164</v>
      </c>
      <c r="J40" s="205"/>
      <c r="K40" s="206"/>
      <c r="L40" s="106" t="s">
        <v>165</v>
      </c>
      <c r="M40" s="106"/>
      <c r="N40" s="176"/>
      <c r="O40" s="177"/>
      <c r="P40" s="177"/>
      <c r="Q40" s="177"/>
      <c r="R40" s="177"/>
      <c r="S40" s="178"/>
      <c r="T40" s="106"/>
      <c r="U40" s="106"/>
      <c r="V40" s="204"/>
      <c r="W40" s="205"/>
      <c r="X40" s="206"/>
      <c r="Y40" s="106"/>
      <c r="Z40" s="106"/>
    </row>
    <row r="41" spans="1:26" ht="18" customHeight="1">
      <c r="A41" s="29"/>
      <c r="B41" s="210"/>
      <c r="C41" s="211"/>
      <c r="D41" s="211"/>
      <c r="E41" s="211"/>
      <c r="F41" s="212"/>
      <c r="G41" s="106"/>
      <c r="H41" s="106"/>
      <c r="I41" s="204"/>
      <c r="J41" s="205"/>
      <c r="K41" s="206"/>
      <c r="L41" s="106"/>
      <c r="M41" s="106"/>
      <c r="N41" s="176"/>
      <c r="O41" s="177"/>
      <c r="P41" s="177"/>
      <c r="Q41" s="177"/>
      <c r="R41" s="177"/>
      <c r="S41" s="178"/>
      <c r="T41" s="106"/>
      <c r="U41" s="106"/>
      <c r="V41" s="204"/>
      <c r="W41" s="205"/>
      <c r="X41" s="206"/>
      <c r="Y41" s="106"/>
      <c r="Z41" s="106"/>
    </row>
    <row r="42" spans="1:26" ht="18" customHeight="1">
      <c r="A42" s="29"/>
      <c r="B42" s="210"/>
      <c r="C42" s="211"/>
      <c r="D42" s="211"/>
      <c r="E42" s="211"/>
      <c r="F42" s="212"/>
      <c r="G42" s="106"/>
      <c r="H42" s="106"/>
      <c r="I42" s="204"/>
      <c r="J42" s="205"/>
      <c r="K42" s="206"/>
      <c r="L42" s="106"/>
      <c r="M42" s="106"/>
      <c r="N42" s="176"/>
      <c r="O42" s="177"/>
      <c r="P42" s="177"/>
      <c r="Q42" s="177"/>
      <c r="R42" s="177"/>
      <c r="S42" s="178"/>
      <c r="T42" s="106"/>
      <c r="U42" s="106"/>
      <c r="V42" s="204"/>
      <c r="W42" s="205"/>
      <c r="X42" s="206"/>
      <c r="Y42" s="106"/>
      <c r="Z42" s="106"/>
    </row>
    <row r="43" spans="1:26" ht="18" customHeight="1">
      <c r="A43" s="29"/>
      <c r="B43" s="210"/>
      <c r="C43" s="211"/>
      <c r="D43" s="211"/>
      <c r="E43" s="211"/>
      <c r="F43" s="212"/>
      <c r="G43" s="106"/>
      <c r="H43" s="106"/>
      <c r="I43" s="204"/>
      <c r="J43" s="205"/>
      <c r="K43" s="206"/>
      <c r="L43" s="106"/>
      <c r="M43" s="106"/>
      <c r="N43" s="176"/>
      <c r="O43" s="177"/>
      <c r="P43" s="177"/>
      <c r="Q43" s="177"/>
      <c r="R43" s="177"/>
      <c r="S43" s="178"/>
      <c r="T43" s="106"/>
      <c r="U43" s="106"/>
      <c r="V43" s="204"/>
      <c r="W43" s="205"/>
      <c r="X43" s="206"/>
      <c r="Y43" s="106"/>
      <c r="Z43" s="106"/>
    </row>
    <row r="44" spans="1:26" ht="18" customHeight="1">
      <c r="A44" s="29"/>
      <c r="B44" s="217"/>
      <c r="C44" s="218"/>
      <c r="D44" s="218"/>
      <c r="E44" s="218"/>
      <c r="F44" s="219"/>
      <c r="G44" s="107"/>
      <c r="H44" s="107"/>
      <c r="I44" s="213"/>
      <c r="J44" s="214"/>
      <c r="K44" s="215"/>
      <c r="L44" s="113"/>
      <c r="M44" s="113"/>
      <c r="N44" s="242"/>
      <c r="O44" s="243"/>
      <c r="P44" s="243"/>
      <c r="Q44" s="243"/>
      <c r="R44" s="243"/>
      <c r="S44" s="244"/>
      <c r="T44" s="107"/>
      <c r="U44" s="107"/>
      <c r="V44" s="213"/>
      <c r="W44" s="214"/>
      <c r="X44" s="215"/>
      <c r="Y44" s="113"/>
      <c r="Z44" s="113"/>
    </row>
    <row r="45" spans="1:26" ht="7.5" customHeight="1">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c r="A46" s="216" t="s">
        <v>137</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c r="A48" s="14"/>
      <c r="B48" s="160" t="s">
        <v>104</v>
      </c>
      <c r="C48" s="161"/>
      <c r="D48" s="161"/>
      <c r="E48" s="161"/>
      <c r="F48" s="162"/>
      <c r="G48" s="30" t="s">
        <v>146</v>
      </c>
      <c r="H48" s="104" t="s">
        <v>145</v>
      </c>
      <c r="I48" s="160" t="s">
        <v>105</v>
      </c>
      <c r="J48" s="161"/>
      <c r="K48" s="162"/>
      <c r="L48" s="75" t="s">
        <v>110</v>
      </c>
      <c r="M48" s="75" t="s">
        <v>112</v>
      </c>
      <c r="N48" s="160" t="s">
        <v>104</v>
      </c>
      <c r="O48" s="161"/>
      <c r="P48" s="161"/>
      <c r="Q48" s="161"/>
      <c r="R48" s="161"/>
      <c r="S48" s="162"/>
      <c r="T48" s="30" t="s">
        <v>146</v>
      </c>
      <c r="U48" s="104" t="s">
        <v>145</v>
      </c>
      <c r="V48" s="160" t="s">
        <v>105</v>
      </c>
      <c r="W48" s="161"/>
      <c r="X48" s="162"/>
      <c r="Y48" s="75" t="s">
        <v>110</v>
      </c>
      <c r="Z48" s="75" t="s">
        <v>112</v>
      </c>
    </row>
    <row r="49" spans="1:26" ht="18" customHeight="1">
      <c r="A49" s="29"/>
      <c r="B49" s="207" t="s">
        <v>167</v>
      </c>
      <c r="C49" s="208"/>
      <c r="D49" s="208"/>
      <c r="E49" s="208"/>
      <c r="F49" s="209"/>
      <c r="G49" s="105">
        <v>1</v>
      </c>
      <c r="H49" s="105" t="s">
        <v>165</v>
      </c>
      <c r="I49" s="201" t="s">
        <v>164</v>
      </c>
      <c r="J49" s="202"/>
      <c r="K49" s="203"/>
      <c r="L49" s="105" t="s">
        <v>165</v>
      </c>
      <c r="M49" s="105" t="s">
        <v>165</v>
      </c>
      <c r="N49" s="167"/>
      <c r="O49" s="168"/>
      <c r="P49" s="168"/>
      <c r="Q49" s="168"/>
      <c r="R49" s="168"/>
      <c r="S49" s="169"/>
      <c r="T49" s="105"/>
      <c r="U49" s="105"/>
      <c r="V49" s="201"/>
      <c r="W49" s="202"/>
      <c r="X49" s="203"/>
      <c r="Y49" s="105"/>
      <c r="Z49" s="105"/>
    </row>
    <row r="50" spans="1:26" ht="18" customHeight="1">
      <c r="A50" s="29"/>
      <c r="B50" s="210" t="s">
        <v>169</v>
      </c>
      <c r="C50" s="211"/>
      <c r="D50" s="211"/>
      <c r="E50" s="211"/>
      <c r="F50" s="212"/>
      <c r="G50" s="106">
        <v>2</v>
      </c>
      <c r="H50" s="106" t="s">
        <v>165</v>
      </c>
      <c r="I50" s="204" t="s">
        <v>164</v>
      </c>
      <c r="J50" s="205"/>
      <c r="K50" s="206"/>
      <c r="L50" s="106" t="s">
        <v>165</v>
      </c>
      <c r="M50" s="106"/>
      <c r="N50" s="176"/>
      <c r="O50" s="177"/>
      <c r="P50" s="177"/>
      <c r="Q50" s="177"/>
      <c r="R50" s="177"/>
      <c r="S50" s="178"/>
      <c r="T50" s="106"/>
      <c r="U50" s="106"/>
      <c r="V50" s="204"/>
      <c r="W50" s="205"/>
      <c r="X50" s="206"/>
      <c r="Y50" s="106"/>
      <c r="Z50" s="106"/>
    </row>
    <row r="51" spans="1:26" ht="18" customHeight="1">
      <c r="A51" s="29"/>
      <c r="B51" s="210"/>
      <c r="C51" s="211"/>
      <c r="D51" s="211"/>
      <c r="E51" s="211"/>
      <c r="F51" s="212"/>
      <c r="G51" s="106"/>
      <c r="H51" s="106"/>
      <c r="I51" s="204"/>
      <c r="J51" s="205"/>
      <c r="K51" s="206"/>
      <c r="L51" s="106"/>
      <c r="M51" s="106"/>
      <c r="N51" s="176"/>
      <c r="O51" s="177"/>
      <c r="P51" s="177"/>
      <c r="Q51" s="177"/>
      <c r="R51" s="177"/>
      <c r="S51" s="178"/>
      <c r="T51" s="106"/>
      <c r="U51" s="106"/>
      <c r="V51" s="204"/>
      <c r="W51" s="205"/>
      <c r="X51" s="206"/>
      <c r="Y51" s="106"/>
      <c r="Z51" s="106"/>
    </row>
    <row r="52" spans="1:26" ht="18" customHeight="1">
      <c r="A52" s="29"/>
      <c r="B52" s="210"/>
      <c r="C52" s="211"/>
      <c r="D52" s="211"/>
      <c r="E52" s="211"/>
      <c r="F52" s="212"/>
      <c r="G52" s="106"/>
      <c r="H52" s="106"/>
      <c r="I52" s="204"/>
      <c r="J52" s="205"/>
      <c r="K52" s="206"/>
      <c r="L52" s="106"/>
      <c r="M52" s="106"/>
      <c r="N52" s="176"/>
      <c r="O52" s="177"/>
      <c r="P52" s="177"/>
      <c r="Q52" s="177"/>
      <c r="R52" s="177"/>
      <c r="S52" s="178"/>
      <c r="T52" s="106"/>
      <c r="U52" s="106"/>
      <c r="V52" s="204"/>
      <c r="W52" s="205"/>
      <c r="X52" s="206"/>
      <c r="Y52" s="106"/>
      <c r="Z52" s="106"/>
    </row>
    <row r="53" spans="1:26" ht="18" customHeight="1">
      <c r="A53" s="29"/>
      <c r="B53" s="210"/>
      <c r="C53" s="211"/>
      <c r="D53" s="211"/>
      <c r="E53" s="211"/>
      <c r="F53" s="212"/>
      <c r="G53" s="106"/>
      <c r="H53" s="106"/>
      <c r="I53" s="204"/>
      <c r="J53" s="205"/>
      <c r="K53" s="206"/>
      <c r="L53" s="106"/>
      <c r="M53" s="106"/>
      <c r="N53" s="176"/>
      <c r="O53" s="177"/>
      <c r="P53" s="177"/>
      <c r="Q53" s="177"/>
      <c r="R53" s="177"/>
      <c r="S53" s="178"/>
      <c r="T53" s="106"/>
      <c r="U53" s="106"/>
      <c r="V53" s="204"/>
      <c r="W53" s="205"/>
      <c r="X53" s="206"/>
      <c r="Y53" s="106"/>
      <c r="Z53" s="106"/>
    </row>
    <row r="54" spans="1:26" ht="18" customHeight="1">
      <c r="A54" s="29"/>
      <c r="B54" s="210"/>
      <c r="C54" s="211"/>
      <c r="D54" s="211"/>
      <c r="E54" s="211"/>
      <c r="F54" s="212"/>
      <c r="G54" s="106"/>
      <c r="H54" s="106"/>
      <c r="I54" s="204"/>
      <c r="J54" s="205"/>
      <c r="K54" s="206"/>
      <c r="L54" s="106"/>
      <c r="M54" s="106"/>
      <c r="N54" s="176"/>
      <c r="O54" s="177"/>
      <c r="P54" s="177"/>
      <c r="Q54" s="177"/>
      <c r="R54" s="177"/>
      <c r="S54" s="178"/>
      <c r="T54" s="106"/>
      <c r="U54" s="106"/>
      <c r="V54" s="204"/>
      <c r="W54" s="205"/>
      <c r="X54" s="206"/>
      <c r="Y54" s="106"/>
      <c r="Z54" s="106"/>
    </row>
    <row r="55" spans="1:26" ht="18" customHeight="1">
      <c r="A55" s="29"/>
      <c r="B55" s="217"/>
      <c r="C55" s="218"/>
      <c r="D55" s="218"/>
      <c r="E55" s="218"/>
      <c r="F55" s="219"/>
      <c r="G55" s="107"/>
      <c r="H55" s="107"/>
      <c r="I55" s="213"/>
      <c r="J55" s="214"/>
      <c r="K55" s="215"/>
      <c r="L55" s="113"/>
      <c r="M55" s="113"/>
      <c r="N55" s="242"/>
      <c r="O55" s="243"/>
      <c r="P55" s="243"/>
      <c r="Q55" s="243"/>
      <c r="R55" s="243"/>
      <c r="S55" s="244"/>
      <c r="T55" s="107"/>
      <c r="U55" s="107"/>
      <c r="V55" s="213"/>
      <c r="W55" s="214"/>
      <c r="X55" s="215"/>
      <c r="Y55" s="113"/>
      <c r="Z55" s="113"/>
    </row>
    <row r="56" spans="1:26" ht="7.5" customHeight="1">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c r="A57" s="216" t="s">
        <v>138</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c r="A59" s="14"/>
      <c r="B59" s="160" t="s">
        <v>104</v>
      </c>
      <c r="C59" s="161"/>
      <c r="D59" s="161"/>
      <c r="E59" s="162"/>
      <c r="F59" s="30" t="s">
        <v>146</v>
      </c>
      <c r="G59" s="104" t="s">
        <v>145</v>
      </c>
      <c r="H59" s="99" t="s">
        <v>105</v>
      </c>
      <c r="I59" s="100"/>
      <c r="J59" s="101"/>
      <c r="K59" s="75" t="s">
        <v>109</v>
      </c>
      <c r="L59" s="75" t="s">
        <v>139</v>
      </c>
      <c r="M59" s="75" t="s">
        <v>140</v>
      </c>
      <c r="N59" s="160" t="s">
        <v>104</v>
      </c>
      <c r="O59" s="161"/>
      <c r="P59" s="161"/>
      <c r="Q59" s="161"/>
      <c r="R59" s="162"/>
      <c r="S59" s="30" t="s">
        <v>146</v>
      </c>
      <c r="T59" s="104" t="s">
        <v>145</v>
      </c>
      <c r="U59" s="99" t="s">
        <v>105</v>
      </c>
      <c r="V59" s="100"/>
      <c r="W59" s="101"/>
      <c r="X59" s="75" t="s">
        <v>109</v>
      </c>
      <c r="Y59" s="75" t="s">
        <v>139</v>
      </c>
      <c r="Z59" s="75" t="s">
        <v>140</v>
      </c>
    </row>
    <row r="60" spans="1:26" ht="18" customHeight="1">
      <c r="A60" s="29"/>
      <c r="B60" s="167" t="s">
        <v>167</v>
      </c>
      <c r="C60" s="168"/>
      <c r="D60" s="168"/>
      <c r="E60" s="169"/>
      <c r="F60" s="105">
        <v>1</v>
      </c>
      <c r="G60" s="105" t="s">
        <v>165</v>
      </c>
      <c r="H60" s="201" t="s">
        <v>164</v>
      </c>
      <c r="I60" s="202"/>
      <c r="J60" s="203"/>
      <c r="K60" s="105"/>
      <c r="L60" s="105" t="s">
        <v>165</v>
      </c>
      <c r="M60" s="105" t="s">
        <v>165</v>
      </c>
      <c r="N60" s="167"/>
      <c r="O60" s="168"/>
      <c r="P60" s="168"/>
      <c r="Q60" s="168"/>
      <c r="R60" s="169"/>
      <c r="S60" s="105"/>
      <c r="T60" s="105"/>
      <c r="U60" s="201"/>
      <c r="V60" s="202"/>
      <c r="W60" s="203"/>
      <c r="X60" s="112"/>
      <c r="Y60" s="105"/>
      <c r="Z60" s="105"/>
    </row>
    <row r="61" spans="1:26" ht="18" customHeight="1">
      <c r="A61" s="29"/>
      <c r="B61" s="176" t="s">
        <v>168</v>
      </c>
      <c r="C61" s="177"/>
      <c r="D61" s="177"/>
      <c r="E61" s="178"/>
      <c r="F61" s="106">
        <v>1</v>
      </c>
      <c r="G61" s="106" t="s">
        <v>165</v>
      </c>
      <c r="H61" s="204" t="s">
        <v>164</v>
      </c>
      <c r="I61" s="205"/>
      <c r="J61" s="206"/>
      <c r="K61" s="106" t="s">
        <v>165</v>
      </c>
      <c r="L61" s="106"/>
      <c r="M61" s="106"/>
      <c r="N61" s="176"/>
      <c r="O61" s="177"/>
      <c r="P61" s="177"/>
      <c r="Q61" s="177"/>
      <c r="R61" s="178"/>
      <c r="S61" s="106"/>
      <c r="T61" s="106"/>
      <c r="U61" s="204"/>
      <c r="V61" s="205"/>
      <c r="W61" s="206"/>
      <c r="X61" s="110"/>
      <c r="Y61" s="106"/>
      <c r="Z61" s="106"/>
    </row>
    <row r="62" spans="1:26" ht="18" customHeight="1">
      <c r="A62" s="29"/>
      <c r="B62" s="176"/>
      <c r="C62" s="177"/>
      <c r="D62" s="177"/>
      <c r="E62" s="178"/>
      <c r="F62" s="106"/>
      <c r="G62" s="106"/>
      <c r="H62" s="204"/>
      <c r="I62" s="205"/>
      <c r="J62" s="206"/>
      <c r="K62" s="110"/>
      <c r="L62" s="106"/>
      <c r="M62" s="106"/>
      <c r="N62" s="176"/>
      <c r="O62" s="177"/>
      <c r="P62" s="177"/>
      <c r="Q62" s="177"/>
      <c r="R62" s="178"/>
      <c r="S62" s="106"/>
      <c r="T62" s="106"/>
      <c r="U62" s="204"/>
      <c r="V62" s="205"/>
      <c r="W62" s="206"/>
      <c r="X62" s="110"/>
      <c r="Y62" s="106"/>
      <c r="Z62" s="106"/>
    </row>
    <row r="63" spans="1:26" ht="18" customHeight="1">
      <c r="A63" s="29"/>
      <c r="B63" s="176"/>
      <c r="C63" s="177"/>
      <c r="D63" s="177"/>
      <c r="E63" s="178"/>
      <c r="F63" s="106"/>
      <c r="G63" s="106"/>
      <c r="H63" s="204"/>
      <c r="I63" s="205"/>
      <c r="J63" s="206"/>
      <c r="K63" s="110"/>
      <c r="L63" s="106"/>
      <c r="M63" s="106"/>
      <c r="N63" s="176"/>
      <c r="O63" s="177"/>
      <c r="P63" s="177"/>
      <c r="Q63" s="177"/>
      <c r="R63" s="178"/>
      <c r="S63" s="106"/>
      <c r="T63" s="106"/>
      <c r="U63" s="204"/>
      <c r="V63" s="205"/>
      <c r="W63" s="206"/>
      <c r="X63" s="110"/>
      <c r="Y63" s="106"/>
      <c r="Z63" s="106"/>
    </row>
    <row r="64" spans="1:26" ht="18" customHeight="1">
      <c r="A64" s="29"/>
      <c r="B64" s="176"/>
      <c r="C64" s="177"/>
      <c r="D64" s="177"/>
      <c r="E64" s="178"/>
      <c r="F64" s="106"/>
      <c r="G64" s="106"/>
      <c r="H64" s="204"/>
      <c r="I64" s="205"/>
      <c r="J64" s="206"/>
      <c r="K64" s="110"/>
      <c r="L64" s="106"/>
      <c r="M64" s="106"/>
      <c r="N64" s="176"/>
      <c r="O64" s="177"/>
      <c r="P64" s="177"/>
      <c r="Q64" s="177"/>
      <c r="R64" s="178"/>
      <c r="S64" s="106"/>
      <c r="T64" s="106"/>
      <c r="U64" s="204"/>
      <c r="V64" s="205"/>
      <c r="W64" s="206"/>
      <c r="X64" s="110"/>
      <c r="Y64" s="106"/>
      <c r="Z64" s="106"/>
    </row>
    <row r="65" spans="1:26" ht="18" customHeight="1">
      <c r="A65" s="29"/>
      <c r="B65" s="176"/>
      <c r="C65" s="177"/>
      <c r="D65" s="177"/>
      <c r="E65" s="178"/>
      <c r="F65" s="106"/>
      <c r="G65" s="106"/>
      <c r="H65" s="204"/>
      <c r="I65" s="205"/>
      <c r="J65" s="206"/>
      <c r="K65" s="110"/>
      <c r="L65" s="106"/>
      <c r="M65" s="106"/>
      <c r="N65" s="176"/>
      <c r="O65" s="177"/>
      <c r="P65" s="177"/>
      <c r="Q65" s="177"/>
      <c r="R65" s="178"/>
      <c r="S65" s="106"/>
      <c r="T65" s="106"/>
      <c r="U65" s="204"/>
      <c r="V65" s="205"/>
      <c r="W65" s="206"/>
      <c r="X65" s="110"/>
      <c r="Y65" s="106"/>
      <c r="Z65" s="106"/>
    </row>
    <row r="66" spans="1:26" ht="18" customHeight="1">
      <c r="A66" s="29"/>
      <c r="B66" s="242"/>
      <c r="C66" s="243"/>
      <c r="D66" s="243"/>
      <c r="E66" s="244"/>
      <c r="F66" s="107"/>
      <c r="G66" s="107"/>
      <c r="H66" s="213"/>
      <c r="I66" s="214"/>
      <c r="J66" s="215"/>
      <c r="K66" s="111"/>
      <c r="L66" s="113"/>
      <c r="M66" s="113"/>
      <c r="N66" s="242"/>
      <c r="O66" s="243"/>
      <c r="P66" s="243"/>
      <c r="Q66" s="243"/>
      <c r="R66" s="244"/>
      <c r="S66" s="107"/>
      <c r="T66" s="107"/>
      <c r="U66" s="213"/>
      <c r="V66" s="214"/>
      <c r="W66" s="215"/>
      <c r="X66" s="111"/>
      <c r="Y66" s="113"/>
      <c r="Z66" s="113"/>
    </row>
    <row r="67" spans="1:26" ht="7.5" customHeight="1">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60" t="s">
        <v>104</v>
      </c>
      <c r="C69" s="161"/>
      <c r="D69" s="161"/>
      <c r="E69" s="161"/>
      <c r="F69" s="162"/>
      <c r="G69" s="160" t="s">
        <v>151</v>
      </c>
      <c r="H69" s="161"/>
      <c r="I69" s="161"/>
      <c r="J69" s="161"/>
      <c r="K69" s="161"/>
      <c r="L69" s="161"/>
      <c r="M69" s="162"/>
      <c r="N69" s="248" t="s">
        <v>104</v>
      </c>
      <c r="O69" s="249"/>
      <c r="P69" s="249"/>
      <c r="Q69" s="249"/>
      <c r="R69" s="249"/>
      <c r="S69" s="250"/>
      <c r="T69" s="160" t="s">
        <v>151</v>
      </c>
      <c r="U69" s="161"/>
      <c r="V69" s="161"/>
      <c r="W69" s="161"/>
      <c r="X69" s="161"/>
      <c r="Y69" s="161"/>
      <c r="Z69" s="162"/>
    </row>
    <row r="70" spans="1:26" ht="18" customHeight="1">
      <c r="A70" s="29"/>
      <c r="B70" s="167" t="s">
        <v>160</v>
      </c>
      <c r="C70" s="168"/>
      <c r="D70" s="168"/>
      <c r="E70" s="168"/>
      <c r="F70" s="169"/>
      <c r="G70" s="170" t="s">
        <v>177</v>
      </c>
      <c r="H70" s="171"/>
      <c r="I70" s="171"/>
      <c r="J70" s="171"/>
      <c r="K70" s="171"/>
      <c r="L70" s="171"/>
      <c r="M70" s="172"/>
      <c r="N70" s="167"/>
      <c r="O70" s="168"/>
      <c r="P70" s="168"/>
      <c r="Q70" s="168"/>
      <c r="R70" s="168"/>
      <c r="S70" s="169"/>
      <c r="T70" s="170"/>
      <c r="U70" s="171"/>
      <c r="V70" s="171"/>
      <c r="W70" s="171"/>
      <c r="X70" s="171"/>
      <c r="Y70" s="171"/>
      <c r="Z70" s="172"/>
    </row>
    <row r="71" spans="1:26" ht="18" customHeight="1">
      <c r="A71" s="29"/>
      <c r="B71" s="176" t="s">
        <v>159</v>
      </c>
      <c r="C71" s="177"/>
      <c r="D71" s="177"/>
      <c r="E71" s="177"/>
      <c r="F71" s="178"/>
      <c r="G71" s="179" t="s">
        <v>176</v>
      </c>
      <c r="H71" s="180"/>
      <c r="I71" s="180"/>
      <c r="J71" s="180"/>
      <c r="K71" s="180"/>
      <c r="L71" s="180"/>
      <c r="M71" s="181"/>
      <c r="N71" s="176"/>
      <c r="O71" s="177"/>
      <c r="P71" s="177"/>
      <c r="Q71" s="177"/>
      <c r="R71" s="177"/>
      <c r="S71" s="178"/>
      <c r="T71" s="179"/>
      <c r="U71" s="180"/>
      <c r="V71" s="180"/>
      <c r="W71" s="180"/>
      <c r="X71" s="180"/>
      <c r="Y71" s="180"/>
      <c r="Z71" s="181"/>
    </row>
    <row r="72" spans="1:26" ht="18" customHeight="1">
      <c r="A72" s="29"/>
      <c r="B72" s="176" t="s">
        <v>158</v>
      </c>
      <c r="C72" s="177"/>
      <c r="D72" s="177"/>
      <c r="E72" s="177"/>
      <c r="F72" s="178"/>
      <c r="G72" s="179" t="s">
        <v>178</v>
      </c>
      <c r="H72" s="180"/>
      <c r="I72" s="180"/>
      <c r="J72" s="180"/>
      <c r="K72" s="180"/>
      <c r="L72" s="180"/>
      <c r="M72" s="181"/>
      <c r="N72" s="176"/>
      <c r="O72" s="177"/>
      <c r="P72" s="177"/>
      <c r="Q72" s="177"/>
      <c r="R72" s="177"/>
      <c r="S72" s="178"/>
      <c r="T72" s="179"/>
      <c r="U72" s="180"/>
      <c r="V72" s="180"/>
      <c r="W72" s="180"/>
      <c r="X72" s="180"/>
      <c r="Y72" s="180"/>
      <c r="Z72" s="181"/>
    </row>
    <row r="73" spans="1:26" ht="18" customHeight="1">
      <c r="A73" s="29"/>
      <c r="B73" s="176"/>
      <c r="C73" s="177"/>
      <c r="D73" s="177"/>
      <c r="E73" s="177"/>
      <c r="F73" s="178"/>
      <c r="G73" s="179"/>
      <c r="H73" s="180"/>
      <c r="I73" s="180"/>
      <c r="J73" s="180"/>
      <c r="K73" s="180"/>
      <c r="L73" s="180"/>
      <c r="M73" s="181"/>
      <c r="N73" s="176"/>
      <c r="O73" s="177"/>
      <c r="P73" s="177"/>
      <c r="Q73" s="177"/>
      <c r="R73" s="177"/>
      <c r="S73" s="178"/>
      <c r="T73" s="179"/>
      <c r="U73" s="180"/>
      <c r="V73" s="180"/>
      <c r="W73" s="180"/>
      <c r="X73" s="180"/>
      <c r="Y73" s="180"/>
      <c r="Z73" s="181"/>
    </row>
    <row r="74" spans="1:26" ht="18" customHeight="1">
      <c r="A74" s="29"/>
      <c r="B74" s="176"/>
      <c r="C74" s="177"/>
      <c r="D74" s="177"/>
      <c r="E74" s="177"/>
      <c r="F74" s="178"/>
      <c r="G74" s="179"/>
      <c r="H74" s="180"/>
      <c r="I74" s="180"/>
      <c r="J74" s="180"/>
      <c r="K74" s="180"/>
      <c r="L74" s="180"/>
      <c r="M74" s="181"/>
      <c r="N74" s="176"/>
      <c r="O74" s="177"/>
      <c r="P74" s="177"/>
      <c r="Q74" s="177"/>
      <c r="R74" s="177"/>
      <c r="S74" s="178"/>
      <c r="T74" s="179"/>
      <c r="U74" s="180"/>
      <c r="V74" s="180"/>
      <c r="W74" s="180"/>
      <c r="X74" s="180"/>
      <c r="Y74" s="180"/>
      <c r="Z74" s="181"/>
    </row>
    <row r="75" spans="1:26" ht="18" customHeight="1">
      <c r="A75" s="29"/>
      <c r="B75" s="176"/>
      <c r="C75" s="177"/>
      <c r="D75" s="177"/>
      <c r="E75" s="177"/>
      <c r="F75" s="178"/>
      <c r="G75" s="179"/>
      <c r="H75" s="180"/>
      <c r="I75" s="180"/>
      <c r="J75" s="180"/>
      <c r="K75" s="180"/>
      <c r="L75" s="180"/>
      <c r="M75" s="181"/>
      <c r="N75" s="176"/>
      <c r="O75" s="177"/>
      <c r="P75" s="177"/>
      <c r="Q75" s="177"/>
      <c r="R75" s="177"/>
      <c r="S75" s="178"/>
      <c r="T75" s="179"/>
      <c r="U75" s="180"/>
      <c r="V75" s="180"/>
      <c r="W75" s="180"/>
      <c r="X75" s="180"/>
      <c r="Y75" s="180"/>
      <c r="Z75" s="181"/>
    </row>
    <row r="76" spans="1:26" ht="18" customHeight="1">
      <c r="A76" s="29"/>
      <c r="B76" s="242"/>
      <c r="C76" s="243"/>
      <c r="D76" s="243"/>
      <c r="E76" s="243"/>
      <c r="F76" s="244"/>
      <c r="G76" s="245"/>
      <c r="H76" s="246"/>
      <c r="I76" s="246"/>
      <c r="J76" s="246"/>
      <c r="K76" s="246"/>
      <c r="L76" s="246"/>
      <c r="M76" s="247"/>
      <c r="N76" s="242"/>
      <c r="O76" s="243"/>
      <c r="P76" s="243"/>
      <c r="Q76" s="243"/>
      <c r="R76" s="243"/>
      <c r="S76" s="244"/>
      <c r="T76" s="245"/>
      <c r="U76" s="246"/>
      <c r="V76" s="246"/>
      <c r="W76" s="246"/>
      <c r="X76" s="246"/>
      <c r="Y76" s="246"/>
      <c r="Z76" s="247"/>
    </row>
    <row r="77" spans="1:26" ht="18" customHeight="1">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c r="A78" s="13" t="s">
        <v>147</v>
      </c>
    </row>
    <row r="79" spans="1:26" ht="18.75" customHeight="1">
      <c r="B79" s="78" t="s">
        <v>106</v>
      </c>
      <c r="C79" s="79"/>
      <c r="D79" s="199" t="s">
        <v>107</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c r="B80" s="184" t="s">
        <v>113</v>
      </c>
      <c r="C80" s="83" t="s">
        <v>108</v>
      </c>
      <c r="D80" s="193" t="s">
        <v>153</v>
      </c>
      <c r="E80" s="194"/>
      <c r="F80" s="194"/>
      <c r="G80" s="194"/>
      <c r="H80" s="194"/>
      <c r="I80" s="194"/>
      <c r="J80" s="194"/>
      <c r="K80" s="194"/>
      <c r="L80" s="194"/>
      <c r="M80" s="194"/>
      <c r="N80" s="194"/>
      <c r="O80" s="194"/>
      <c r="P80" s="194"/>
      <c r="Q80" s="194"/>
      <c r="R80" s="194"/>
      <c r="S80" s="194"/>
      <c r="T80" s="194"/>
      <c r="U80" s="194"/>
      <c r="V80" s="194"/>
      <c r="W80" s="194"/>
      <c r="X80" s="194"/>
      <c r="Y80" s="194"/>
      <c r="Z80" s="195"/>
    </row>
    <row r="81" spans="1:26" ht="78" customHeight="1">
      <c r="B81" s="185"/>
      <c r="C81" s="102" t="s">
        <v>142</v>
      </c>
      <c r="D81" s="230" t="s">
        <v>175</v>
      </c>
      <c r="E81" s="231"/>
      <c r="F81" s="231"/>
      <c r="G81" s="231"/>
      <c r="H81" s="231"/>
      <c r="I81" s="231"/>
      <c r="J81" s="231"/>
      <c r="K81" s="231"/>
      <c r="L81" s="231"/>
      <c r="M81" s="231"/>
      <c r="N81" s="231"/>
      <c r="O81" s="231"/>
      <c r="P81" s="231"/>
      <c r="Q81" s="231"/>
      <c r="R81" s="231"/>
      <c r="S81" s="231"/>
      <c r="T81" s="231"/>
      <c r="U81" s="231"/>
      <c r="V81" s="231"/>
      <c r="W81" s="231"/>
      <c r="X81" s="231"/>
      <c r="Y81" s="231"/>
      <c r="Z81" s="232"/>
    </row>
    <row r="82" spans="1:26" ht="78" customHeight="1">
      <c r="B82" s="182" t="s">
        <v>114</v>
      </c>
      <c r="C82" s="80" t="s">
        <v>132</v>
      </c>
      <c r="D82" s="233" t="s">
        <v>170</v>
      </c>
      <c r="E82" s="234"/>
      <c r="F82" s="234"/>
      <c r="G82" s="234"/>
      <c r="H82" s="234"/>
      <c r="I82" s="234"/>
      <c r="J82" s="234"/>
      <c r="K82" s="234"/>
      <c r="L82" s="234"/>
      <c r="M82" s="234"/>
      <c r="N82" s="234"/>
      <c r="O82" s="234"/>
      <c r="P82" s="234"/>
      <c r="Q82" s="234"/>
      <c r="R82" s="234"/>
      <c r="S82" s="234"/>
      <c r="T82" s="234"/>
      <c r="U82" s="234"/>
      <c r="V82" s="234"/>
      <c r="W82" s="234"/>
      <c r="X82" s="234"/>
      <c r="Y82" s="234"/>
      <c r="Z82" s="235"/>
    </row>
    <row r="83" spans="1:26" ht="78" customHeight="1">
      <c r="B83" s="183"/>
      <c r="C83" s="103" t="s">
        <v>133</v>
      </c>
      <c r="D83" s="239" t="s">
        <v>154</v>
      </c>
      <c r="E83" s="240"/>
      <c r="F83" s="240"/>
      <c r="G83" s="240"/>
      <c r="H83" s="240"/>
      <c r="I83" s="240"/>
      <c r="J83" s="240"/>
      <c r="K83" s="240"/>
      <c r="L83" s="240"/>
      <c r="M83" s="240"/>
      <c r="N83" s="240"/>
      <c r="O83" s="240"/>
      <c r="P83" s="240"/>
      <c r="Q83" s="240"/>
      <c r="R83" s="240"/>
      <c r="S83" s="240"/>
      <c r="T83" s="240"/>
      <c r="U83" s="240"/>
      <c r="V83" s="240"/>
      <c r="W83" s="240"/>
      <c r="X83" s="240"/>
      <c r="Y83" s="240"/>
      <c r="Z83" s="241"/>
    </row>
    <row r="84" spans="1:26" ht="66" customHeight="1">
      <c r="B84" s="182" t="s">
        <v>115</v>
      </c>
      <c r="C84" s="80" t="s">
        <v>135</v>
      </c>
      <c r="D84" s="233" t="s">
        <v>155</v>
      </c>
      <c r="E84" s="234"/>
      <c r="F84" s="234"/>
      <c r="G84" s="234"/>
      <c r="H84" s="234"/>
      <c r="I84" s="234"/>
      <c r="J84" s="234"/>
      <c r="K84" s="234"/>
      <c r="L84" s="234"/>
      <c r="M84" s="234"/>
      <c r="N84" s="234"/>
      <c r="O84" s="234"/>
      <c r="P84" s="234"/>
      <c r="Q84" s="234"/>
      <c r="R84" s="234"/>
      <c r="S84" s="234"/>
      <c r="T84" s="234"/>
      <c r="U84" s="234"/>
      <c r="V84" s="234"/>
      <c r="W84" s="234"/>
      <c r="X84" s="234"/>
      <c r="Y84" s="234"/>
      <c r="Z84" s="235"/>
    </row>
    <row r="85" spans="1:26" ht="66" customHeight="1">
      <c r="B85" s="183"/>
      <c r="C85" s="82" t="s">
        <v>136</v>
      </c>
      <c r="D85" s="236" t="s">
        <v>156</v>
      </c>
      <c r="E85" s="237"/>
      <c r="F85" s="237"/>
      <c r="G85" s="237"/>
      <c r="H85" s="237"/>
      <c r="I85" s="237"/>
      <c r="J85" s="237"/>
      <c r="K85" s="237"/>
      <c r="L85" s="237"/>
      <c r="M85" s="237"/>
      <c r="N85" s="237"/>
      <c r="O85" s="237"/>
      <c r="P85" s="237"/>
      <c r="Q85" s="237"/>
      <c r="R85" s="237"/>
      <c r="S85" s="237"/>
      <c r="T85" s="237"/>
      <c r="U85" s="237"/>
      <c r="V85" s="237"/>
      <c r="W85" s="237"/>
      <c r="X85" s="237"/>
      <c r="Y85" s="237"/>
      <c r="Z85" s="238"/>
    </row>
    <row r="86" spans="1:26" ht="66" customHeight="1">
      <c r="B86" s="184" t="s">
        <v>143</v>
      </c>
      <c r="C86" s="83" t="s">
        <v>110</v>
      </c>
      <c r="D86" s="193" t="s">
        <v>174</v>
      </c>
      <c r="E86" s="194"/>
      <c r="F86" s="194"/>
      <c r="G86" s="194"/>
      <c r="H86" s="194"/>
      <c r="I86" s="194"/>
      <c r="J86" s="194"/>
      <c r="K86" s="194"/>
      <c r="L86" s="194"/>
      <c r="M86" s="194"/>
      <c r="N86" s="194"/>
      <c r="O86" s="194"/>
      <c r="P86" s="194"/>
      <c r="Q86" s="194"/>
      <c r="R86" s="194"/>
      <c r="S86" s="194"/>
      <c r="T86" s="194"/>
      <c r="U86" s="194"/>
      <c r="V86" s="194"/>
      <c r="W86" s="194"/>
      <c r="X86" s="194"/>
      <c r="Y86" s="194"/>
      <c r="Z86" s="195"/>
    </row>
    <row r="87" spans="1:26" ht="66" customHeight="1">
      <c r="B87" s="192"/>
      <c r="C87" s="81" t="s">
        <v>112</v>
      </c>
      <c r="D87" s="196" t="s">
        <v>171</v>
      </c>
      <c r="E87" s="197"/>
      <c r="F87" s="197"/>
      <c r="G87" s="197"/>
      <c r="H87" s="197"/>
      <c r="I87" s="197"/>
      <c r="J87" s="197"/>
      <c r="K87" s="197"/>
      <c r="L87" s="197"/>
      <c r="M87" s="197"/>
      <c r="N87" s="197"/>
      <c r="O87" s="197"/>
      <c r="P87" s="197"/>
      <c r="Q87" s="197"/>
      <c r="R87" s="197"/>
      <c r="S87" s="197"/>
      <c r="T87" s="197"/>
      <c r="U87" s="197"/>
      <c r="V87" s="197"/>
      <c r="W87" s="197"/>
      <c r="X87" s="197"/>
      <c r="Y87" s="197"/>
      <c r="Z87" s="198"/>
    </row>
    <row r="88" spans="1:26" ht="66" customHeight="1">
      <c r="B88" s="184" t="s">
        <v>144</v>
      </c>
      <c r="C88" s="80" t="s">
        <v>109</v>
      </c>
      <c r="D88" s="186" t="s">
        <v>157</v>
      </c>
      <c r="E88" s="187"/>
      <c r="F88" s="187"/>
      <c r="G88" s="187"/>
      <c r="H88" s="187"/>
      <c r="I88" s="187"/>
      <c r="J88" s="187"/>
      <c r="K88" s="187"/>
      <c r="L88" s="187"/>
      <c r="M88" s="187"/>
      <c r="N88" s="187"/>
      <c r="O88" s="187"/>
      <c r="P88" s="187"/>
      <c r="Q88" s="187"/>
      <c r="R88" s="187"/>
      <c r="S88" s="187"/>
      <c r="T88" s="187"/>
      <c r="U88" s="187"/>
      <c r="V88" s="187"/>
      <c r="W88" s="187"/>
      <c r="X88" s="187"/>
      <c r="Y88" s="187"/>
      <c r="Z88" s="188"/>
    </row>
    <row r="89" spans="1:26" ht="66" customHeight="1">
      <c r="B89" s="185"/>
      <c r="C89" s="81" t="s">
        <v>139</v>
      </c>
      <c r="D89" s="173" t="s">
        <v>172</v>
      </c>
      <c r="E89" s="174"/>
      <c r="F89" s="174"/>
      <c r="G89" s="174"/>
      <c r="H89" s="174"/>
      <c r="I89" s="174"/>
      <c r="J89" s="174"/>
      <c r="K89" s="174"/>
      <c r="L89" s="174"/>
      <c r="M89" s="174"/>
      <c r="N89" s="174"/>
      <c r="O89" s="174"/>
      <c r="P89" s="174"/>
      <c r="Q89" s="174"/>
      <c r="R89" s="174"/>
      <c r="S89" s="174"/>
      <c r="T89" s="174"/>
      <c r="U89" s="174"/>
      <c r="V89" s="174"/>
      <c r="W89" s="174"/>
      <c r="X89" s="174"/>
      <c r="Y89" s="174"/>
      <c r="Z89" s="175"/>
    </row>
    <row r="90" spans="1:26" ht="66" customHeight="1">
      <c r="B90" s="183"/>
      <c r="C90" s="82" t="s">
        <v>140</v>
      </c>
      <c r="D90" s="189" t="s">
        <v>173</v>
      </c>
      <c r="E90" s="190"/>
      <c r="F90" s="190"/>
      <c r="G90" s="190"/>
      <c r="H90" s="190"/>
      <c r="I90" s="190"/>
      <c r="J90" s="190"/>
      <c r="K90" s="190"/>
      <c r="L90" s="190"/>
      <c r="M90" s="190"/>
      <c r="N90" s="190"/>
      <c r="O90" s="190"/>
      <c r="P90" s="190"/>
      <c r="Q90" s="190"/>
      <c r="R90" s="190"/>
      <c r="S90" s="190"/>
      <c r="T90" s="190"/>
      <c r="U90" s="190"/>
      <c r="V90" s="190"/>
      <c r="W90" s="190"/>
      <c r="X90" s="190"/>
      <c r="Y90" s="190"/>
      <c r="Z90" s="191"/>
    </row>
    <row r="91" spans="1:26" ht="6" customHeight="1"/>
    <row r="92" spans="1:26" ht="18.75" customHeight="1">
      <c r="A92" s="13" t="s">
        <v>148</v>
      </c>
    </row>
    <row r="93" spans="1:26" ht="18.75" customHeight="1">
      <c r="B93" s="251" t="s">
        <v>179</v>
      </c>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3"/>
    </row>
    <row r="94" spans="1:26" ht="18.75" customHeight="1">
      <c r="B94" s="254"/>
      <c r="C94" s="255"/>
      <c r="D94" s="255"/>
      <c r="E94" s="255"/>
      <c r="F94" s="255"/>
      <c r="G94" s="255"/>
      <c r="H94" s="255"/>
      <c r="I94" s="255"/>
      <c r="J94" s="255"/>
      <c r="K94" s="255"/>
      <c r="L94" s="255"/>
      <c r="M94" s="255"/>
      <c r="N94" s="255"/>
      <c r="O94" s="255"/>
      <c r="P94" s="255"/>
      <c r="Q94" s="255"/>
      <c r="R94" s="255"/>
      <c r="S94" s="255"/>
      <c r="T94" s="255"/>
      <c r="U94" s="255"/>
      <c r="V94" s="255"/>
      <c r="W94" s="255"/>
      <c r="X94" s="255"/>
      <c r="Y94" s="255"/>
      <c r="Z94" s="256"/>
    </row>
    <row r="95" spans="1:26" ht="18.75" customHeight="1">
      <c r="B95" s="257"/>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9"/>
    </row>
    <row r="96" spans="1:26" ht="6" customHeight="1"/>
    <row r="97" spans="1:26" ht="15" customHeight="1">
      <c r="A97" s="13" t="s">
        <v>149</v>
      </c>
    </row>
    <row r="98" spans="1:26" ht="15" customHeight="1">
      <c r="B98" s="260" t="s">
        <v>219</v>
      </c>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2"/>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K60:K61">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64" fitToHeight="2" orientation="portrait" r:id="rId1"/>
  <rowBreaks count="1" manualBreakCount="1">
    <brk id="7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topLeftCell="A7" zoomScaleNormal="100" zoomScaleSheetLayoutView="100" workbookViewId="0">
      <selection activeCell="Q14" sqref="Q14"/>
    </sheetView>
  </sheetViews>
  <sheetFormatPr defaultColWidth="9" defaultRowHeight="18.75" customHeight="1"/>
  <cols>
    <col min="1" max="1" width="2.75" style="1" customWidth="1"/>
    <col min="2" max="2" width="30" style="1" customWidth="1"/>
    <col min="3" max="17" width="6" style="1" customWidth="1"/>
    <col min="18" max="18" width="6.625" style="1" customWidth="1"/>
    <col min="19" max="16384" width="9" style="1"/>
  </cols>
  <sheetData>
    <row r="1" spans="1:20" ht="18" customHeight="1">
      <c r="F1" s="264" t="s">
        <v>65</v>
      </c>
      <c r="G1" s="264"/>
      <c r="H1" s="264"/>
      <c r="I1" s="264"/>
      <c r="J1" s="264"/>
      <c r="K1" s="264"/>
      <c r="L1" s="264"/>
      <c r="M1" s="264"/>
      <c r="N1" s="264"/>
      <c r="O1" s="264"/>
      <c r="P1" s="264"/>
      <c r="Q1" s="264"/>
      <c r="R1" s="264"/>
    </row>
    <row r="2" spans="1:20" ht="18" customHeight="1">
      <c r="A2" s="265" t="s">
        <v>93</v>
      </c>
      <c r="B2" s="265"/>
      <c r="C2" s="265"/>
      <c r="D2" s="265"/>
      <c r="E2" s="265"/>
      <c r="F2" s="265"/>
      <c r="G2" s="265"/>
      <c r="H2" s="265"/>
      <c r="I2" s="265"/>
      <c r="J2" s="265"/>
      <c r="K2" s="265"/>
      <c r="L2" s="265"/>
      <c r="M2" s="265"/>
      <c r="N2" s="265"/>
      <c r="O2" s="265"/>
      <c r="P2" s="265"/>
      <c r="Q2" s="265"/>
      <c r="R2" s="265"/>
      <c r="S2" s="4"/>
    </row>
    <row r="3" spans="1:20" ht="7.5" customHeight="1">
      <c r="A3" s="38"/>
      <c r="B3" s="38"/>
      <c r="C3" s="38"/>
      <c r="D3" s="38"/>
      <c r="E3" s="38"/>
      <c r="F3" s="38"/>
      <c r="G3" s="38"/>
      <c r="H3" s="38"/>
      <c r="I3" s="38"/>
      <c r="J3" s="38"/>
      <c r="K3" s="38"/>
      <c r="L3" s="38"/>
      <c r="M3" s="38"/>
      <c r="N3" s="38"/>
      <c r="O3" s="38"/>
      <c r="P3" s="38"/>
      <c r="Q3" s="38"/>
      <c r="R3" s="38"/>
    </row>
    <row r="4" spans="1:20" ht="18" customHeight="1">
      <c r="A4" s="4" t="s">
        <v>152</v>
      </c>
      <c r="B4" s="4"/>
      <c r="C4" s="266" t="str">
        <f>'様式１　大学等概要'!E12</f>
        <v>令和２</v>
      </c>
      <c r="D4" s="267"/>
      <c r="E4" s="38" t="s">
        <v>117</v>
      </c>
      <c r="F4" s="38"/>
      <c r="G4" s="38"/>
      <c r="H4" s="38"/>
      <c r="I4" s="38"/>
      <c r="J4" s="84"/>
      <c r="K4" s="38"/>
      <c r="L4" s="38"/>
      <c r="M4" s="108"/>
      <c r="N4" s="108"/>
      <c r="O4" s="108"/>
      <c r="P4" s="108"/>
      <c r="Q4" s="108"/>
      <c r="R4" s="108"/>
    </row>
    <row r="5" spans="1:20" ht="6" customHeight="1">
      <c r="A5" s="38"/>
      <c r="B5" s="38"/>
      <c r="C5" s="38"/>
      <c r="D5" s="38"/>
      <c r="E5" s="38"/>
      <c r="F5" s="38"/>
      <c r="G5" s="38"/>
      <c r="H5" s="38"/>
      <c r="I5" s="38"/>
      <c r="J5" s="38"/>
      <c r="K5" s="38"/>
      <c r="L5" s="38"/>
      <c r="M5" s="38"/>
      <c r="N5" s="38"/>
      <c r="O5" s="38"/>
      <c r="P5" s="38"/>
      <c r="Q5" s="38"/>
      <c r="R5" s="38"/>
    </row>
    <row r="6" spans="1:20" ht="18" customHeight="1">
      <c r="A6" s="4" t="s">
        <v>150</v>
      </c>
      <c r="B6" s="38"/>
      <c r="C6" s="38"/>
      <c r="D6" s="38"/>
      <c r="E6" s="38"/>
      <c r="F6" s="38"/>
      <c r="G6" s="38"/>
      <c r="H6" s="38"/>
      <c r="I6" s="38"/>
      <c r="J6" s="38"/>
      <c r="K6" s="38"/>
      <c r="L6" s="38"/>
      <c r="M6" s="38"/>
      <c r="N6" s="38"/>
      <c r="O6" s="38"/>
      <c r="P6" s="38"/>
      <c r="Q6" s="38"/>
      <c r="R6" s="38"/>
    </row>
    <row r="7" spans="1:20" ht="6" customHeight="1">
      <c r="A7" s="4"/>
      <c r="B7" s="38"/>
      <c r="C7" s="38"/>
      <c r="D7" s="38"/>
      <c r="E7" s="38"/>
      <c r="F7" s="38"/>
      <c r="G7" s="38"/>
      <c r="H7" s="38"/>
      <c r="I7" s="38"/>
      <c r="J7" s="38"/>
      <c r="K7" s="38"/>
      <c r="L7" s="38"/>
      <c r="M7" s="38"/>
      <c r="N7" s="38"/>
      <c r="O7" s="38"/>
      <c r="P7" s="38"/>
      <c r="Q7" s="38"/>
      <c r="R7" s="38"/>
    </row>
    <row r="8" spans="1:20" ht="18" customHeight="1">
      <c r="B8" s="268" t="s">
        <v>83</v>
      </c>
      <c r="C8" s="270" t="s">
        <v>88</v>
      </c>
      <c r="D8" s="272" t="s">
        <v>70</v>
      </c>
      <c r="E8" s="274" t="s">
        <v>94</v>
      </c>
      <c r="F8" s="274"/>
      <c r="G8" s="274" t="s">
        <v>95</v>
      </c>
      <c r="H8" s="274"/>
      <c r="I8" s="274" t="s">
        <v>96</v>
      </c>
      <c r="J8" s="274"/>
      <c r="K8" s="275" t="s">
        <v>97</v>
      </c>
      <c r="L8" s="276"/>
      <c r="M8" s="275" t="s">
        <v>98</v>
      </c>
      <c r="N8" s="276"/>
      <c r="O8" s="275" t="s">
        <v>99</v>
      </c>
      <c r="P8" s="276"/>
      <c r="Q8" s="277" t="s">
        <v>64</v>
      </c>
      <c r="R8" s="279" t="s">
        <v>58</v>
      </c>
      <c r="T8" s="34"/>
    </row>
    <row r="9" spans="1:20" ht="18" customHeight="1">
      <c r="A9" s="4"/>
      <c r="B9" s="269"/>
      <c r="C9" s="271"/>
      <c r="D9" s="273"/>
      <c r="E9" s="43" t="s">
        <v>46</v>
      </c>
      <c r="F9" s="44" t="s">
        <v>45</v>
      </c>
      <c r="G9" s="45" t="s">
        <v>46</v>
      </c>
      <c r="H9" s="46" t="s">
        <v>45</v>
      </c>
      <c r="I9" s="43" t="s">
        <v>46</v>
      </c>
      <c r="J9" s="44" t="s">
        <v>45</v>
      </c>
      <c r="K9" s="45" t="s">
        <v>46</v>
      </c>
      <c r="L9" s="46" t="s">
        <v>45</v>
      </c>
      <c r="M9" s="43" t="s">
        <v>46</v>
      </c>
      <c r="N9" s="44" t="s">
        <v>45</v>
      </c>
      <c r="O9" s="45" t="s">
        <v>46</v>
      </c>
      <c r="P9" s="46" t="s">
        <v>45</v>
      </c>
      <c r="Q9" s="278"/>
      <c r="R9" s="280"/>
      <c r="T9" s="34"/>
    </row>
    <row r="10" spans="1:20" ht="18" customHeight="1">
      <c r="A10" s="47"/>
      <c r="B10" s="85" t="s">
        <v>196</v>
      </c>
      <c r="C10" s="47">
        <v>40</v>
      </c>
      <c r="D10" s="48">
        <v>200</v>
      </c>
      <c r="E10" s="115">
        <v>18</v>
      </c>
      <c r="F10" s="116">
        <v>16</v>
      </c>
      <c r="G10" s="117">
        <v>13</v>
      </c>
      <c r="H10" s="118">
        <v>13</v>
      </c>
      <c r="I10" s="49"/>
      <c r="J10" s="50"/>
      <c r="K10" s="51"/>
      <c r="L10" s="52"/>
      <c r="M10" s="49"/>
      <c r="N10" s="50"/>
      <c r="O10" s="51"/>
      <c r="P10" s="52"/>
      <c r="Q10" s="53">
        <f>E10+G10+I10+K10+M10+O10</f>
        <v>31</v>
      </c>
      <c r="R10" s="54">
        <f>Q10/D10</f>
        <v>0.155</v>
      </c>
    </row>
    <row r="11" spans="1:20" ht="18" customHeight="1">
      <c r="A11" s="47"/>
      <c r="B11" s="86" t="s">
        <v>197</v>
      </c>
      <c r="C11" s="63">
        <v>40</v>
      </c>
      <c r="D11" s="56">
        <v>200</v>
      </c>
      <c r="E11" s="119">
        <v>15</v>
      </c>
      <c r="F11" s="120">
        <v>15</v>
      </c>
      <c r="G11" s="121">
        <v>12</v>
      </c>
      <c r="H11" s="122">
        <v>8</v>
      </c>
      <c r="I11" s="57"/>
      <c r="J11" s="58"/>
      <c r="K11" s="59"/>
      <c r="L11" s="60"/>
      <c r="M11" s="57"/>
      <c r="N11" s="58"/>
      <c r="O11" s="59"/>
      <c r="P11" s="60"/>
      <c r="Q11" s="61">
        <f t="shared" ref="Q11:Q29" si="0">E11+G11+I11+K11+M11+O11</f>
        <v>27</v>
      </c>
      <c r="R11" s="62">
        <f t="shared" ref="R11:R29" si="1">Q11/D11</f>
        <v>0.13500000000000001</v>
      </c>
    </row>
    <row r="12" spans="1:20" ht="18" customHeight="1">
      <c r="A12" s="47"/>
      <c r="B12" s="86" t="s">
        <v>199</v>
      </c>
      <c r="C12" s="63">
        <v>40</v>
      </c>
      <c r="D12" s="56">
        <v>200</v>
      </c>
      <c r="E12" s="119">
        <v>31</v>
      </c>
      <c r="F12" s="120">
        <v>30</v>
      </c>
      <c r="G12" s="121">
        <v>26</v>
      </c>
      <c r="H12" s="122">
        <v>24</v>
      </c>
      <c r="I12" s="57"/>
      <c r="J12" s="58"/>
      <c r="K12" s="59"/>
      <c r="L12" s="60"/>
      <c r="M12" s="57"/>
      <c r="N12" s="58"/>
      <c r="O12" s="59"/>
      <c r="P12" s="60"/>
      <c r="Q12" s="61">
        <f t="shared" si="0"/>
        <v>57</v>
      </c>
      <c r="R12" s="62">
        <f t="shared" si="1"/>
        <v>0.28499999999999998</v>
      </c>
    </row>
    <row r="13" spans="1:20" ht="18" customHeight="1">
      <c r="A13" s="47"/>
      <c r="B13" s="86" t="s">
        <v>198</v>
      </c>
      <c r="C13" s="63">
        <v>40</v>
      </c>
      <c r="D13" s="56">
        <v>200</v>
      </c>
      <c r="E13" s="119">
        <v>31</v>
      </c>
      <c r="F13" s="120">
        <v>30</v>
      </c>
      <c r="G13" s="121">
        <v>30</v>
      </c>
      <c r="H13" s="122">
        <v>29</v>
      </c>
      <c r="I13" s="57"/>
      <c r="J13" s="58"/>
      <c r="K13" s="59"/>
      <c r="L13" s="60"/>
      <c r="M13" s="57"/>
      <c r="N13" s="58"/>
      <c r="O13" s="59"/>
      <c r="P13" s="60"/>
      <c r="Q13" s="61">
        <f>E13+G13+I13+K13+M13+O13</f>
        <v>61</v>
      </c>
      <c r="R13" s="62">
        <f t="shared" si="1"/>
        <v>0.30499999999999999</v>
      </c>
    </row>
    <row r="14" spans="1:20" ht="18" customHeight="1">
      <c r="A14" s="47"/>
      <c r="B14" s="86" t="s">
        <v>200</v>
      </c>
      <c r="C14" s="63">
        <v>40</v>
      </c>
      <c r="D14" s="56">
        <v>200</v>
      </c>
      <c r="E14" s="119">
        <v>15</v>
      </c>
      <c r="F14" s="120">
        <v>13</v>
      </c>
      <c r="G14" s="121">
        <v>9</v>
      </c>
      <c r="H14" s="122">
        <v>7</v>
      </c>
      <c r="I14" s="57"/>
      <c r="J14" s="58"/>
      <c r="K14" s="59"/>
      <c r="L14" s="60"/>
      <c r="M14" s="57"/>
      <c r="N14" s="58"/>
      <c r="O14" s="59"/>
      <c r="P14" s="60"/>
      <c r="Q14" s="61">
        <f t="shared" si="0"/>
        <v>24</v>
      </c>
      <c r="R14" s="62">
        <f>Q14/D14</f>
        <v>0.12</v>
      </c>
    </row>
    <row r="15" spans="1:20" ht="18" customHeight="1">
      <c r="A15" s="47"/>
      <c r="B15" s="86"/>
      <c r="C15" s="63"/>
      <c r="D15" s="56"/>
      <c r="E15" s="57"/>
      <c r="F15" s="58"/>
      <c r="G15" s="59"/>
      <c r="H15" s="60"/>
      <c r="I15" s="57"/>
      <c r="J15" s="58"/>
      <c r="K15" s="59"/>
      <c r="L15" s="60"/>
      <c r="M15" s="57"/>
      <c r="N15" s="58"/>
      <c r="O15" s="59"/>
      <c r="P15" s="60"/>
      <c r="Q15" s="61">
        <f t="shared" si="0"/>
        <v>0</v>
      </c>
      <c r="R15" s="62" t="e">
        <f t="shared" si="1"/>
        <v>#DIV/0!</v>
      </c>
    </row>
    <row r="16" spans="1:20" ht="18" customHeight="1">
      <c r="A16" s="47"/>
      <c r="B16" s="86"/>
      <c r="C16" s="63"/>
      <c r="D16" s="56"/>
      <c r="E16" s="57"/>
      <c r="F16" s="58"/>
      <c r="G16" s="59"/>
      <c r="H16" s="60"/>
      <c r="I16" s="57"/>
      <c r="J16" s="58"/>
      <c r="K16" s="59"/>
      <c r="L16" s="60"/>
      <c r="M16" s="57"/>
      <c r="N16" s="58"/>
      <c r="O16" s="59"/>
      <c r="P16" s="60"/>
      <c r="Q16" s="61">
        <f t="shared" si="0"/>
        <v>0</v>
      </c>
      <c r="R16" s="62" t="e">
        <f t="shared" si="1"/>
        <v>#DIV/0!</v>
      </c>
    </row>
    <row r="17" spans="1:18" ht="18" customHeight="1">
      <c r="A17" s="47"/>
      <c r="B17" s="86"/>
      <c r="C17" s="63"/>
      <c r="D17" s="56"/>
      <c r="E17" s="57"/>
      <c r="F17" s="58"/>
      <c r="G17" s="59"/>
      <c r="H17" s="60"/>
      <c r="I17" s="57"/>
      <c r="J17" s="58"/>
      <c r="K17" s="59"/>
      <c r="L17" s="60"/>
      <c r="M17" s="57"/>
      <c r="N17" s="58"/>
      <c r="O17" s="59"/>
      <c r="P17" s="60"/>
      <c r="Q17" s="61">
        <f t="shared" si="0"/>
        <v>0</v>
      </c>
      <c r="R17" s="62" t="e">
        <f t="shared" si="1"/>
        <v>#DIV/0!</v>
      </c>
    </row>
    <row r="18" spans="1:18" ht="18" customHeight="1">
      <c r="A18" s="47"/>
      <c r="B18" s="86"/>
      <c r="C18" s="63"/>
      <c r="D18" s="56"/>
      <c r="E18" s="57"/>
      <c r="F18" s="58"/>
      <c r="G18" s="59"/>
      <c r="H18" s="60"/>
      <c r="I18" s="57"/>
      <c r="J18" s="58"/>
      <c r="K18" s="59"/>
      <c r="L18" s="60"/>
      <c r="M18" s="57"/>
      <c r="N18" s="58"/>
      <c r="O18" s="59"/>
      <c r="P18" s="60"/>
      <c r="Q18" s="61">
        <f>E18+G18+I18+K18+M18+O18</f>
        <v>0</v>
      </c>
      <c r="R18" s="62" t="e">
        <f t="shared" si="1"/>
        <v>#DIV/0!</v>
      </c>
    </row>
    <row r="19" spans="1:18" ht="18" customHeight="1">
      <c r="A19" s="47"/>
      <c r="B19" s="86"/>
      <c r="C19" s="63"/>
      <c r="D19" s="56"/>
      <c r="E19" s="57"/>
      <c r="F19" s="58"/>
      <c r="G19" s="59"/>
      <c r="H19" s="60"/>
      <c r="I19" s="57"/>
      <c r="J19" s="58"/>
      <c r="K19" s="59"/>
      <c r="L19" s="60"/>
      <c r="M19" s="57"/>
      <c r="N19" s="58"/>
      <c r="O19" s="59"/>
      <c r="P19" s="60"/>
      <c r="Q19" s="61">
        <f t="shared" si="0"/>
        <v>0</v>
      </c>
      <c r="R19" s="62" t="e">
        <f t="shared" si="1"/>
        <v>#DIV/0!</v>
      </c>
    </row>
    <row r="20" spans="1:18" ht="18" customHeight="1">
      <c r="A20" s="47"/>
      <c r="B20" s="86"/>
      <c r="C20" s="63"/>
      <c r="D20" s="56"/>
      <c r="E20" s="57"/>
      <c r="F20" s="58"/>
      <c r="G20" s="59"/>
      <c r="H20" s="60"/>
      <c r="I20" s="57"/>
      <c r="J20" s="58"/>
      <c r="K20" s="59"/>
      <c r="L20" s="60"/>
      <c r="M20" s="57"/>
      <c r="N20" s="58"/>
      <c r="O20" s="59"/>
      <c r="P20" s="60"/>
      <c r="Q20" s="61">
        <f t="shared" si="0"/>
        <v>0</v>
      </c>
      <c r="R20" s="62" t="e">
        <f t="shared" si="1"/>
        <v>#DIV/0!</v>
      </c>
    </row>
    <row r="21" spans="1:18" ht="18" customHeight="1">
      <c r="A21" s="47"/>
      <c r="B21" s="86"/>
      <c r="C21" s="63"/>
      <c r="D21" s="56"/>
      <c r="E21" s="57"/>
      <c r="F21" s="58"/>
      <c r="G21" s="59"/>
      <c r="H21" s="60"/>
      <c r="I21" s="57"/>
      <c r="J21" s="58"/>
      <c r="K21" s="59"/>
      <c r="L21" s="60"/>
      <c r="M21" s="57"/>
      <c r="N21" s="58"/>
      <c r="O21" s="59"/>
      <c r="P21" s="60"/>
      <c r="Q21" s="61">
        <f t="shared" si="0"/>
        <v>0</v>
      </c>
      <c r="R21" s="62" t="e">
        <f t="shared" si="1"/>
        <v>#DIV/0!</v>
      </c>
    </row>
    <row r="22" spans="1:18" ht="18" customHeight="1">
      <c r="A22" s="47"/>
      <c r="B22" s="86"/>
      <c r="C22" s="63"/>
      <c r="D22" s="56"/>
      <c r="E22" s="57"/>
      <c r="F22" s="58"/>
      <c r="G22" s="59"/>
      <c r="H22" s="60"/>
      <c r="I22" s="57"/>
      <c r="J22" s="58"/>
      <c r="K22" s="59"/>
      <c r="L22" s="60"/>
      <c r="M22" s="57"/>
      <c r="N22" s="58"/>
      <c r="O22" s="59"/>
      <c r="P22" s="60"/>
      <c r="Q22" s="61">
        <f t="shared" si="0"/>
        <v>0</v>
      </c>
      <c r="R22" s="62" t="e">
        <f t="shared" si="1"/>
        <v>#DIV/0!</v>
      </c>
    </row>
    <row r="23" spans="1:18" ht="18" customHeight="1">
      <c r="A23" s="47"/>
      <c r="B23" s="86"/>
      <c r="C23" s="63"/>
      <c r="D23" s="56"/>
      <c r="E23" s="57"/>
      <c r="F23" s="58"/>
      <c r="G23" s="59"/>
      <c r="H23" s="60"/>
      <c r="I23" s="57"/>
      <c r="J23" s="58"/>
      <c r="K23" s="59"/>
      <c r="L23" s="60"/>
      <c r="M23" s="57"/>
      <c r="N23" s="58"/>
      <c r="O23" s="59"/>
      <c r="P23" s="60"/>
      <c r="Q23" s="61">
        <f t="shared" si="0"/>
        <v>0</v>
      </c>
      <c r="R23" s="62" t="e">
        <f t="shared" si="1"/>
        <v>#DIV/0!</v>
      </c>
    </row>
    <row r="24" spans="1:18" ht="18" customHeight="1">
      <c r="A24" s="47"/>
      <c r="B24" s="86"/>
      <c r="C24" s="63"/>
      <c r="D24" s="56"/>
      <c r="E24" s="57"/>
      <c r="F24" s="58"/>
      <c r="G24" s="59"/>
      <c r="H24" s="60"/>
      <c r="I24" s="57"/>
      <c r="J24" s="58"/>
      <c r="K24" s="59"/>
      <c r="L24" s="60"/>
      <c r="M24" s="57"/>
      <c r="N24" s="58"/>
      <c r="O24" s="59"/>
      <c r="P24" s="60"/>
      <c r="Q24" s="61">
        <f t="shared" si="0"/>
        <v>0</v>
      </c>
      <c r="R24" s="62" t="e">
        <f t="shared" si="1"/>
        <v>#DIV/0!</v>
      </c>
    </row>
    <row r="25" spans="1:18" ht="18" customHeight="1">
      <c r="A25" s="47"/>
      <c r="B25" s="86"/>
      <c r="C25" s="63"/>
      <c r="D25" s="56"/>
      <c r="E25" s="57"/>
      <c r="F25" s="58"/>
      <c r="G25" s="59"/>
      <c r="H25" s="60"/>
      <c r="I25" s="57"/>
      <c r="J25" s="58"/>
      <c r="K25" s="59"/>
      <c r="L25" s="60"/>
      <c r="M25" s="57"/>
      <c r="N25" s="58"/>
      <c r="O25" s="59"/>
      <c r="P25" s="60"/>
      <c r="Q25" s="61">
        <f t="shared" si="0"/>
        <v>0</v>
      </c>
      <c r="R25" s="62" t="e">
        <f t="shared" si="1"/>
        <v>#DIV/0!</v>
      </c>
    </row>
    <row r="26" spans="1:18" ht="18" customHeight="1">
      <c r="A26" s="47"/>
      <c r="B26" s="86"/>
      <c r="C26" s="63"/>
      <c r="D26" s="56"/>
      <c r="E26" s="57"/>
      <c r="F26" s="58"/>
      <c r="G26" s="59"/>
      <c r="H26" s="60"/>
      <c r="I26" s="57"/>
      <c r="J26" s="58"/>
      <c r="K26" s="59"/>
      <c r="L26" s="60"/>
      <c r="M26" s="57"/>
      <c r="N26" s="58"/>
      <c r="O26" s="59"/>
      <c r="P26" s="60"/>
      <c r="Q26" s="61">
        <f t="shared" si="0"/>
        <v>0</v>
      </c>
      <c r="R26" s="62" t="e">
        <f t="shared" si="1"/>
        <v>#DIV/0!</v>
      </c>
    </row>
    <row r="27" spans="1:18" ht="18" customHeight="1">
      <c r="A27" s="47"/>
      <c r="B27" s="86"/>
      <c r="C27" s="55"/>
      <c r="D27" s="56"/>
      <c r="E27" s="57"/>
      <c r="F27" s="58"/>
      <c r="G27" s="59"/>
      <c r="H27" s="60"/>
      <c r="I27" s="57"/>
      <c r="J27" s="58"/>
      <c r="K27" s="59"/>
      <c r="L27" s="60"/>
      <c r="M27" s="57"/>
      <c r="N27" s="58"/>
      <c r="O27" s="59"/>
      <c r="P27" s="60"/>
      <c r="Q27" s="61">
        <f t="shared" si="0"/>
        <v>0</v>
      </c>
      <c r="R27" s="62" t="e">
        <f t="shared" si="1"/>
        <v>#DIV/0!</v>
      </c>
    </row>
    <row r="28" spans="1:18" ht="18" customHeight="1">
      <c r="A28" s="47"/>
      <c r="B28" s="86"/>
      <c r="C28" s="55"/>
      <c r="D28" s="56"/>
      <c r="E28" s="57"/>
      <c r="F28" s="58"/>
      <c r="G28" s="59"/>
      <c r="H28" s="60"/>
      <c r="I28" s="57"/>
      <c r="J28" s="58"/>
      <c r="K28" s="59"/>
      <c r="L28" s="60"/>
      <c r="M28" s="57"/>
      <c r="N28" s="58"/>
      <c r="O28" s="59"/>
      <c r="P28" s="60"/>
      <c r="Q28" s="61">
        <f t="shared" si="0"/>
        <v>0</v>
      </c>
      <c r="R28" s="62" t="e">
        <f t="shared" si="1"/>
        <v>#DIV/0!</v>
      </c>
    </row>
    <row r="29" spans="1:18" ht="18" customHeight="1" thickBot="1">
      <c r="A29" s="47"/>
      <c r="B29" s="87"/>
      <c r="C29" s="88"/>
      <c r="D29" s="48"/>
      <c r="E29" s="49"/>
      <c r="F29" s="50"/>
      <c r="G29" s="51"/>
      <c r="H29" s="52"/>
      <c r="I29" s="49"/>
      <c r="J29" s="50"/>
      <c r="K29" s="51"/>
      <c r="L29" s="52"/>
      <c r="M29" s="49"/>
      <c r="N29" s="50"/>
      <c r="O29" s="51"/>
      <c r="P29" s="52"/>
      <c r="Q29" s="64">
        <f t="shared" si="0"/>
        <v>0</v>
      </c>
      <c r="R29" s="54" t="e">
        <f t="shared" si="1"/>
        <v>#DIV/0!</v>
      </c>
    </row>
    <row r="30" spans="1:18" ht="18" customHeight="1" thickTop="1">
      <c r="B30" s="89" t="s">
        <v>59</v>
      </c>
      <c r="C30" s="90">
        <f t="shared" ref="C30:Q30" si="2">SUM(C10:C29)</f>
        <v>200</v>
      </c>
      <c r="D30" s="65">
        <f t="shared" si="2"/>
        <v>1000</v>
      </c>
      <c r="E30" s="66">
        <f t="shared" si="2"/>
        <v>110</v>
      </c>
      <c r="F30" s="67">
        <f t="shared" si="2"/>
        <v>104</v>
      </c>
      <c r="G30" s="68">
        <f t="shared" si="2"/>
        <v>90</v>
      </c>
      <c r="H30" s="69">
        <f t="shared" si="2"/>
        <v>81</v>
      </c>
      <c r="I30" s="66">
        <f t="shared" si="2"/>
        <v>0</v>
      </c>
      <c r="J30" s="67">
        <f t="shared" si="2"/>
        <v>0</v>
      </c>
      <c r="K30" s="68">
        <f t="shared" si="2"/>
        <v>0</v>
      </c>
      <c r="L30" s="69">
        <f t="shared" si="2"/>
        <v>0</v>
      </c>
      <c r="M30" s="66">
        <f t="shared" si="2"/>
        <v>0</v>
      </c>
      <c r="N30" s="67">
        <f t="shared" si="2"/>
        <v>0</v>
      </c>
      <c r="O30" s="68">
        <f t="shared" si="2"/>
        <v>0</v>
      </c>
      <c r="P30" s="69">
        <f t="shared" si="2"/>
        <v>0</v>
      </c>
      <c r="Q30" s="70">
        <f t="shared" si="2"/>
        <v>200</v>
      </c>
      <c r="R30" s="71">
        <f>Q30/D30</f>
        <v>0.2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61" zoomScale="96" zoomScaleNormal="100" zoomScaleSheetLayoutView="96" workbookViewId="0">
      <selection activeCell="C88" sqref="C88"/>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118</v>
      </c>
      <c r="J1" s="41" t="s">
        <v>119</v>
      </c>
    </row>
    <row r="2" spans="1:11" ht="18.75" customHeight="1">
      <c r="A2" s="265" t="s">
        <v>66</v>
      </c>
      <c r="B2" s="265"/>
      <c r="C2" s="265"/>
      <c r="D2" s="265"/>
      <c r="E2" s="265"/>
      <c r="F2" s="265"/>
      <c r="G2" s="265"/>
      <c r="H2" s="265"/>
      <c r="I2" s="265"/>
      <c r="J2" s="265"/>
    </row>
    <row r="3" spans="1:11" ht="7.5" customHeight="1">
      <c r="B3" s="38"/>
      <c r="C3" s="38"/>
      <c r="D3" s="38"/>
      <c r="E3" s="38"/>
      <c r="F3" s="38"/>
      <c r="G3" s="38"/>
      <c r="H3" s="38"/>
      <c r="I3" s="38"/>
      <c r="J3" s="38"/>
    </row>
    <row r="4" spans="1:11" ht="18.75" customHeight="1">
      <c r="A4" s="1" t="s">
        <v>6</v>
      </c>
      <c r="B4" s="4" t="s">
        <v>76</v>
      </c>
      <c r="C4" s="4"/>
      <c r="D4" s="4"/>
      <c r="E4" s="4"/>
      <c r="F4" s="4"/>
      <c r="G4" s="4"/>
      <c r="H4" s="4"/>
      <c r="I4" s="38"/>
      <c r="J4" s="38"/>
    </row>
    <row r="5" spans="1:11" ht="18.75" customHeight="1">
      <c r="A5" s="1"/>
      <c r="B5" s="143" t="s">
        <v>201</v>
      </c>
      <c r="C5" s="144"/>
      <c r="D5" s="144"/>
      <c r="E5" s="144"/>
      <c r="F5" s="144"/>
      <c r="G5" s="144"/>
      <c r="H5" s="144"/>
      <c r="I5" s="144"/>
      <c r="J5" s="290"/>
      <c r="K5" s="31" t="str">
        <f>IF(B5="","入力してください","")</f>
        <v/>
      </c>
    </row>
    <row r="6" spans="1:11" ht="7.5" customHeight="1">
      <c r="B6" s="38"/>
      <c r="C6" s="38"/>
      <c r="D6" s="38"/>
      <c r="E6" s="38"/>
      <c r="F6" s="38"/>
      <c r="G6" s="38"/>
      <c r="H6" s="38"/>
      <c r="I6" s="38"/>
      <c r="J6" s="38"/>
    </row>
    <row r="7" spans="1:11" s="4" customFormat="1" ht="18.75" customHeight="1">
      <c r="A7" s="1" t="s">
        <v>10</v>
      </c>
      <c r="B7" s="1" t="s">
        <v>41</v>
      </c>
      <c r="C7" s="1"/>
      <c r="D7" s="1"/>
      <c r="E7" s="1"/>
      <c r="F7" s="1"/>
      <c r="G7" s="1"/>
      <c r="H7" s="1"/>
      <c r="I7" s="1"/>
      <c r="J7" s="1"/>
      <c r="K7" s="35"/>
    </row>
    <row r="8" spans="1:11" s="4" customFormat="1" ht="18.75" customHeight="1">
      <c r="A8" s="91"/>
      <c r="B8" s="291" t="s">
        <v>203</v>
      </c>
      <c r="C8" s="292"/>
      <c r="D8" s="292"/>
      <c r="E8" s="292"/>
      <c r="F8" s="292"/>
      <c r="G8" s="292"/>
      <c r="H8" s="292"/>
      <c r="I8" s="293"/>
      <c r="J8" s="294"/>
      <c r="K8" s="31" t="str">
        <f>IF(B8="","入力してください","")</f>
        <v/>
      </c>
    </row>
    <row r="9" spans="1:11" s="4" customFormat="1" ht="18.75" customHeight="1">
      <c r="A9" s="91"/>
      <c r="B9" s="284"/>
      <c r="C9" s="285"/>
      <c r="D9" s="285"/>
      <c r="E9" s="285"/>
      <c r="F9" s="285"/>
      <c r="G9" s="285"/>
      <c r="H9" s="285"/>
      <c r="I9" s="285"/>
      <c r="J9" s="286"/>
      <c r="K9" s="31"/>
    </row>
    <row r="10" spans="1:11" s="4" customFormat="1" ht="18.75" customHeight="1">
      <c r="A10" s="91"/>
      <c r="B10" s="284"/>
      <c r="C10" s="285"/>
      <c r="D10" s="285"/>
      <c r="E10" s="285"/>
      <c r="F10" s="285"/>
      <c r="G10" s="285"/>
      <c r="H10" s="285"/>
      <c r="I10" s="285"/>
      <c r="J10" s="286"/>
      <c r="K10" s="31"/>
    </row>
    <row r="11" spans="1:11" s="4" customFormat="1" ht="18.75" customHeight="1">
      <c r="A11" s="91"/>
      <c r="B11" s="284"/>
      <c r="C11" s="285"/>
      <c r="D11" s="285"/>
      <c r="E11" s="285"/>
      <c r="F11" s="285"/>
      <c r="G11" s="285"/>
      <c r="H11" s="285"/>
      <c r="I11" s="285"/>
      <c r="J11" s="286"/>
      <c r="K11" s="31"/>
    </row>
    <row r="12" spans="1:11" s="4" customFormat="1" ht="18.75" customHeight="1">
      <c r="A12" s="91"/>
      <c r="B12" s="287"/>
      <c r="C12" s="288"/>
      <c r="D12" s="288"/>
      <c r="E12" s="288"/>
      <c r="F12" s="288"/>
      <c r="G12" s="288"/>
      <c r="H12" s="288"/>
      <c r="I12" s="288"/>
      <c r="J12" s="289"/>
      <c r="K12" s="31"/>
    </row>
    <row r="13" spans="1:11" s="4" customFormat="1" ht="7.5" customHeight="1">
      <c r="A13" s="91"/>
      <c r="B13" s="91"/>
      <c r="C13" s="91"/>
      <c r="D13" s="91"/>
      <c r="E13" s="91"/>
      <c r="F13" s="91"/>
      <c r="G13" s="91"/>
      <c r="H13" s="91"/>
      <c r="I13" s="91"/>
      <c r="J13" s="91"/>
      <c r="K13" s="31"/>
    </row>
    <row r="14" spans="1:11" s="4" customFormat="1" ht="18.75" customHeight="1">
      <c r="A14" s="92" t="s">
        <v>11</v>
      </c>
      <c r="B14" s="92" t="s">
        <v>16</v>
      </c>
      <c r="C14" s="92"/>
      <c r="D14" s="92"/>
      <c r="E14" s="92"/>
      <c r="F14" s="92"/>
      <c r="G14" s="92"/>
      <c r="H14" s="92"/>
      <c r="I14" s="92"/>
      <c r="J14" s="92"/>
      <c r="K14" s="31"/>
    </row>
    <row r="15" spans="1:11" s="4" customFormat="1" ht="18.75" customHeight="1">
      <c r="A15" s="91"/>
      <c r="B15" s="291" t="s">
        <v>202</v>
      </c>
      <c r="C15" s="295"/>
      <c r="D15" s="295"/>
      <c r="E15" s="295"/>
      <c r="F15" s="295"/>
      <c r="G15" s="295"/>
      <c r="H15" s="295"/>
      <c r="I15" s="296"/>
      <c r="J15" s="297"/>
      <c r="K15" s="31" t="str">
        <f>IF(B15="","入力してください","")</f>
        <v/>
      </c>
    </row>
    <row r="16" spans="1:11" s="4" customFormat="1" ht="18.75" customHeight="1">
      <c r="A16" s="91"/>
      <c r="B16" s="298"/>
      <c r="C16" s="299"/>
      <c r="D16" s="299"/>
      <c r="E16" s="299"/>
      <c r="F16" s="299"/>
      <c r="G16" s="299"/>
      <c r="H16" s="299"/>
      <c r="I16" s="299"/>
      <c r="J16" s="300"/>
      <c r="K16" s="31"/>
    </row>
    <row r="17" spans="1:11" s="4" customFormat="1" ht="18.75" customHeight="1">
      <c r="A17" s="91"/>
      <c r="B17" s="298"/>
      <c r="C17" s="299"/>
      <c r="D17" s="299"/>
      <c r="E17" s="299"/>
      <c r="F17" s="299"/>
      <c r="G17" s="299"/>
      <c r="H17" s="299"/>
      <c r="I17" s="299"/>
      <c r="J17" s="300"/>
      <c r="K17" s="31"/>
    </row>
    <row r="18" spans="1:11" s="4" customFormat="1" ht="18.75" customHeight="1">
      <c r="A18" s="91"/>
      <c r="B18" s="298"/>
      <c r="C18" s="299"/>
      <c r="D18" s="299"/>
      <c r="E18" s="299"/>
      <c r="F18" s="299"/>
      <c r="G18" s="299"/>
      <c r="H18" s="299"/>
      <c r="I18" s="299"/>
      <c r="J18" s="300"/>
      <c r="K18" s="31"/>
    </row>
    <row r="19" spans="1:11" s="4" customFormat="1" ht="18.75" customHeight="1">
      <c r="A19" s="91"/>
      <c r="B19" s="298"/>
      <c r="C19" s="299"/>
      <c r="D19" s="299"/>
      <c r="E19" s="299"/>
      <c r="F19" s="299"/>
      <c r="G19" s="299"/>
      <c r="H19" s="299"/>
      <c r="I19" s="299"/>
      <c r="J19" s="300"/>
      <c r="K19" s="31"/>
    </row>
    <row r="20" spans="1:11" s="4" customFormat="1" ht="18.75" customHeight="1">
      <c r="A20" s="91"/>
      <c r="B20" s="298"/>
      <c r="C20" s="299"/>
      <c r="D20" s="299"/>
      <c r="E20" s="299"/>
      <c r="F20" s="299"/>
      <c r="G20" s="299"/>
      <c r="H20" s="299"/>
      <c r="I20" s="299"/>
      <c r="J20" s="300"/>
      <c r="K20" s="31"/>
    </row>
    <row r="21" spans="1:11" s="4" customFormat="1" ht="18.75" customHeight="1">
      <c r="A21" s="91"/>
      <c r="B21" s="298"/>
      <c r="C21" s="299"/>
      <c r="D21" s="299"/>
      <c r="E21" s="299"/>
      <c r="F21" s="299"/>
      <c r="G21" s="299"/>
      <c r="H21" s="299"/>
      <c r="I21" s="299"/>
      <c r="J21" s="300"/>
      <c r="K21" s="31"/>
    </row>
    <row r="22" spans="1:11" s="4" customFormat="1" ht="18.75" customHeight="1">
      <c r="A22" s="91"/>
      <c r="B22" s="298"/>
      <c r="C22" s="299"/>
      <c r="D22" s="299"/>
      <c r="E22" s="299"/>
      <c r="F22" s="299"/>
      <c r="G22" s="299"/>
      <c r="H22" s="299"/>
      <c r="I22" s="299"/>
      <c r="J22" s="300"/>
      <c r="K22" s="31"/>
    </row>
    <row r="23" spans="1:11" s="4" customFormat="1" ht="18.75" customHeight="1">
      <c r="A23" s="91"/>
      <c r="B23" s="298"/>
      <c r="C23" s="299"/>
      <c r="D23" s="299"/>
      <c r="E23" s="299"/>
      <c r="F23" s="299"/>
      <c r="G23" s="299"/>
      <c r="H23" s="299"/>
      <c r="I23" s="299"/>
      <c r="J23" s="300"/>
      <c r="K23" s="31"/>
    </row>
    <row r="24" spans="1:11" s="4" customFormat="1" ht="18.75" customHeight="1">
      <c r="A24" s="91"/>
      <c r="B24" s="298"/>
      <c r="C24" s="299"/>
      <c r="D24" s="299"/>
      <c r="E24" s="299"/>
      <c r="F24" s="299"/>
      <c r="G24" s="299"/>
      <c r="H24" s="299"/>
      <c r="I24" s="299"/>
      <c r="J24" s="300"/>
      <c r="K24" s="31"/>
    </row>
    <row r="25" spans="1:11" s="4" customFormat="1" ht="18.75" customHeight="1">
      <c r="A25" s="91"/>
      <c r="B25" s="301"/>
      <c r="C25" s="302"/>
      <c r="D25" s="302"/>
      <c r="E25" s="302"/>
      <c r="F25" s="302"/>
      <c r="G25" s="302"/>
      <c r="H25" s="302"/>
      <c r="I25" s="302"/>
      <c r="J25" s="303"/>
      <c r="K25" s="31"/>
    </row>
    <row r="26" spans="1:11" ht="7.5" customHeight="1">
      <c r="A26" s="39"/>
      <c r="B26" s="39"/>
      <c r="C26" s="39"/>
      <c r="D26" s="39"/>
      <c r="E26" s="39"/>
      <c r="F26" s="39"/>
      <c r="G26" s="39"/>
      <c r="H26" s="39"/>
      <c r="I26" s="39"/>
      <c r="J26" s="39"/>
    </row>
    <row r="27" spans="1:11" s="4" customFormat="1" ht="18.75" customHeight="1">
      <c r="A27" s="1" t="s">
        <v>14</v>
      </c>
      <c r="B27" s="1" t="s">
        <v>27</v>
      </c>
      <c r="C27" s="1"/>
      <c r="D27" s="1"/>
      <c r="E27" s="1"/>
      <c r="F27" s="1"/>
      <c r="G27" s="1"/>
      <c r="H27" s="1"/>
      <c r="I27" s="1"/>
      <c r="J27" s="1"/>
      <c r="K27" s="31"/>
    </row>
    <row r="28" spans="1:11" s="29" customFormat="1" ht="18.75" customHeight="1">
      <c r="B28" s="123" t="s">
        <v>120</v>
      </c>
      <c r="C28" s="124">
        <f>'様式３　履修者等数の実績'!R30</f>
        <v>0.2</v>
      </c>
      <c r="D28" s="125"/>
      <c r="E28" s="125" t="s">
        <v>121</v>
      </c>
      <c r="F28" s="124">
        <v>0.3</v>
      </c>
      <c r="G28" s="125"/>
      <c r="H28" s="125" t="s">
        <v>122</v>
      </c>
      <c r="I28" s="126">
        <v>0.5</v>
      </c>
      <c r="J28" s="93"/>
      <c r="K28" s="31"/>
    </row>
    <row r="29" spans="1:11" s="29" customFormat="1" ht="18.75" customHeight="1">
      <c r="B29" s="127" t="s">
        <v>123</v>
      </c>
      <c r="C29" s="128">
        <v>0.7</v>
      </c>
      <c r="D29" s="129"/>
      <c r="E29" s="129" t="s">
        <v>124</v>
      </c>
      <c r="F29" s="128">
        <v>1</v>
      </c>
      <c r="G29" s="129"/>
      <c r="H29" s="129" t="s">
        <v>125</v>
      </c>
      <c r="I29" s="130">
        <f>'様式３　履修者等数の実績'!D30</f>
        <v>1000</v>
      </c>
      <c r="J29" s="94"/>
      <c r="K29" s="35"/>
    </row>
    <row r="30" spans="1:11" s="4" customFormat="1" ht="18.75" customHeight="1">
      <c r="A30" s="1"/>
      <c r="B30" s="179" t="s">
        <v>126</v>
      </c>
      <c r="C30" s="180"/>
      <c r="D30" s="180"/>
      <c r="E30" s="180"/>
      <c r="F30" s="180"/>
      <c r="G30" s="180"/>
      <c r="H30" s="180"/>
      <c r="I30" s="180"/>
      <c r="J30" s="181"/>
      <c r="K30" s="35"/>
    </row>
    <row r="31" spans="1:11" s="4" customFormat="1" ht="18.75" customHeight="1">
      <c r="A31" s="1"/>
      <c r="B31" s="281" t="s">
        <v>217</v>
      </c>
      <c r="C31" s="282"/>
      <c r="D31" s="282"/>
      <c r="E31" s="282"/>
      <c r="F31" s="282"/>
      <c r="G31" s="282"/>
      <c r="H31" s="282"/>
      <c r="I31" s="282"/>
      <c r="J31" s="283"/>
      <c r="K31" s="35" t="str">
        <f>IF(B31="","入力してください","")</f>
        <v/>
      </c>
    </row>
    <row r="32" spans="1:11" s="4" customFormat="1" ht="18.75" customHeight="1">
      <c r="A32" s="1"/>
      <c r="B32" s="284"/>
      <c r="C32" s="285"/>
      <c r="D32" s="285"/>
      <c r="E32" s="285"/>
      <c r="F32" s="285"/>
      <c r="G32" s="285"/>
      <c r="H32" s="285"/>
      <c r="I32" s="285"/>
      <c r="J32" s="286"/>
      <c r="K32" s="35"/>
    </row>
    <row r="33" spans="1:11" s="4" customFormat="1" ht="18.75" customHeight="1">
      <c r="A33" s="1"/>
      <c r="B33" s="284"/>
      <c r="C33" s="285"/>
      <c r="D33" s="285"/>
      <c r="E33" s="285"/>
      <c r="F33" s="285"/>
      <c r="G33" s="285"/>
      <c r="H33" s="285"/>
      <c r="I33" s="285"/>
      <c r="J33" s="286"/>
      <c r="K33" s="35"/>
    </row>
    <row r="34" spans="1:11" s="4" customFormat="1" ht="18.75" customHeight="1">
      <c r="A34" s="1"/>
      <c r="B34" s="284"/>
      <c r="C34" s="285"/>
      <c r="D34" s="285"/>
      <c r="E34" s="285"/>
      <c r="F34" s="285"/>
      <c r="G34" s="285"/>
      <c r="H34" s="285"/>
      <c r="I34" s="285"/>
      <c r="J34" s="286"/>
      <c r="K34" s="35"/>
    </row>
    <row r="35" spans="1:11" s="4" customFormat="1" ht="18.75" customHeight="1">
      <c r="A35" s="1"/>
      <c r="B35" s="284"/>
      <c r="C35" s="285"/>
      <c r="D35" s="285"/>
      <c r="E35" s="285"/>
      <c r="F35" s="285"/>
      <c r="G35" s="285"/>
      <c r="H35" s="285"/>
      <c r="I35" s="285"/>
      <c r="J35" s="286"/>
      <c r="K35" s="35"/>
    </row>
    <row r="36" spans="1:11" s="4" customFormat="1" ht="18.75" customHeight="1">
      <c r="A36" s="1"/>
      <c r="B36" s="284"/>
      <c r="C36" s="285"/>
      <c r="D36" s="285"/>
      <c r="E36" s="285"/>
      <c r="F36" s="285"/>
      <c r="G36" s="285"/>
      <c r="H36" s="285"/>
      <c r="I36" s="285"/>
      <c r="J36" s="286"/>
      <c r="K36" s="35"/>
    </row>
    <row r="37" spans="1:11" s="4" customFormat="1" ht="18.75" customHeight="1">
      <c r="A37" s="1"/>
      <c r="B37" s="284"/>
      <c r="C37" s="285"/>
      <c r="D37" s="285"/>
      <c r="E37" s="285"/>
      <c r="F37" s="285"/>
      <c r="G37" s="285"/>
      <c r="H37" s="285"/>
      <c r="I37" s="285"/>
      <c r="J37" s="286"/>
      <c r="K37" s="35"/>
    </row>
    <row r="38" spans="1:11" s="4" customFormat="1" ht="18.75" customHeight="1">
      <c r="A38" s="1"/>
      <c r="B38" s="284"/>
      <c r="C38" s="285"/>
      <c r="D38" s="285"/>
      <c r="E38" s="285"/>
      <c r="F38" s="285"/>
      <c r="G38" s="285"/>
      <c r="H38" s="285"/>
      <c r="I38" s="285"/>
      <c r="J38" s="286"/>
      <c r="K38" s="35"/>
    </row>
    <row r="39" spans="1:11" s="4" customFormat="1" ht="18.75" customHeight="1">
      <c r="A39" s="1"/>
      <c r="B39" s="284"/>
      <c r="C39" s="285"/>
      <c r="D39" s="285"/>
      <c r="E39" s="285"/>
      <c r="F39" s="285"/>
      <c r="G39" s="285"/>
      <c r="H39" s="285"/>
      <c r="I39" s="285"/>
      <c r="J39" s="286"/>
      <c r="K39" s="35"/>
    </row>
    <row r="40" spans="1:11" s="4" customFormat="1" ht="18.75" customHeight="1">
      <c r="A40" s="1"/>
      <c r="B40" s="284"/>
      <c r="C40" s="285"/>
      <c r="D40" s="285"/>
      <c r="E40" s="285"/>
      <c r="F40" s="285"/>
      <c r="G40" s="285"/>
      <c r="H40" s="285"/>
      <c r="I40" s="285"/>
      <c r="J40" s="286"/>
      <c r="K40" s="35"/>
    </row>
    <row r="41" spans="1:11" s="4" customFormat="1" ht="18.75" customHeight="1">
      <c r="A41" s="1"/>
      <c r="B41" s="284"/>
      <c r="C41" s="285"/>
      <c r="D41" s="285"/>
      <c r="E41" s="285"/>
      <c r="F41" s="285"/>
      <c r="G41" s="285"/>
      <c r="H41" s="285"/>
      <c r="I41" s="285"/>
      <c r="J41" s="286"/>
      <c r="K41" s="35"/>
    </row>
    <row r="42" spans="1:11" s="4" customFormat="1" ht="18.75" customHeight="1">
      <c r="A42" s="1"/>
      <c r="B42" s="284"/>
      <c r="C42" s="285"/>
      <c r="D42" s="285"/>
      <c r="E42" s="285"/>
      <c r="F42" s="285"/>
      <c r="G42" s="285"/>
      <c r="H42" s="285"/>
      <c r="I42" s="285"/>
      <c r="J42" s="286"/>
      <c r="K42" s="35"/>
    </row>
    <row r="43" spans="1:11" ht="18.75" customHeight="1">
      <c r="A43" s="39"/>
      <c r="B43" s="284"/>
      <c r="C43" s="285"/>
      <c r="D43" s="285"/>
      <c r="E43" s="285"/>
      <c r="F43" s="285"/>
      <c r="G43" s="285"/>
      <c r="H43" s="285"/>
      <c r="I43" s="285"/>
      <c r="J43" s="286"/>
      <c r="K43" s="35"/>
    </row>
    <row r="44" spans="1:11" ht="18.75" customHeight="1">
      <c r="A44" s="39"/>
      <c r="B44" s="287"/>
      <c r="C44" s="288"/>
      <c r="D44" s="288"/>
      <c r="E44" s="288"/>
      <c r="F44" s="288"/>
      <c r="G44" s="288"/>
      <c r="H44" s="288"/>
      <c r="I44" s="288"/>
      <c r="J44" s="289"/>
    </row>
    <row r="45" spans="1:11" s="4" customFormat="1" ht="18.75" customHeight="1">
      <c r="A45" s="95" t="s">
        <v>12</v>
      </c>
      <c r="B45" s="1" t="s">
        <v>67</v>
      </c>
      <c r="C45" s="1"/>
      <c r="D45" s="1"/>
      <c r="E45" s="1"/>
      <c r="F45" s="1"/>
      <c r="G45" s="1"/>
      <c r="H45" s="1"/>
      <c r="I45" s="95"/>
      <c r="J45" s="95"/>
      <c r="K45" s="31"/>
    </row>
    <row r="46" spans="1:11" ht="18.75" customHeight="1">
      <c r="A46" s="39"/>
      <c r="B46" s="291" t="s">
        <v>205</v>
      </c>
      <c r="C46" s="304"/>
      <c r="D46" s="304"/>
      <c r="E46" s="304"/>
      <c r="F46" s="304"/>
      <c r="G46" s="304"/>
      <c r="H46" s="304"/>
      <c r="I46" s="295"/>
      <c r="J46" s="305"/>
      <c r="K46" s="31" t="str">
        <f>IF(B46="","入力してください","")</f>
        <v/>
      </c>
    </row>
    <row r="47" spans="1:11" ht="18.75" customHeight="1">
      <c r="A47" s="39"/>
      <c r="B47" s="306"/>
      <c r="C47" s="307"/>
      <c r="D47" s="307"/>
      <c r="E47" s="307"/>
      <c r="F47" s="307"/>
      <c r="G47" s="307"/>
      <c r="H47" s="307"/>
      <c r="I47" s="307"/>
      <c r="J47" s="308"/>
    </row>
    <row r="48" spans="1:11" ht="18.75" customHeight="1">
      <c r="A48" s="39"/>
      <c r="B48" s="306"/>
      <c r="C48" s="307"/>
      <c r="D48" s="307"/>
      <c r="E48" s="307"/>
      <c r="F48" s="307"/>
      <c r="G48" s="307"/>
      <c r="H48" s="307"/>
      <c r="I48" s="307"/>
      <c r="J48" s="308"/>
    </row>
    <row r="49" spans="1:10" ht="18.75" customHeight="1">
      <c r="A49" s="39"/>
      <c r="B49" s="306"/>
      <c r="C49" s="307"/>
      <c r="D49" s="307"/>
      <c r="E49" s="307"/>
      <c r="F49" s="307"/>
      <c r="G49" s="307"/>
      <c r="H49" s="307"/>
      <c r="I49" s="307"/>
      <c r="J49" s="308"/>
    </row>
    <row r="50" spans="1:10" ht="18.75" customHeight="1">
      <c r="A50" s="39"/>
      <c r="B50" s="306"/>
      <c r="C50" s="307"/>
      <c r="D50" s="307"/>
      <c r="E50" s="307"/>
      <c r="F50" s="307"/>
      <c r="G50" s="307"/>
      <c r="H50" s="307"/>
      <c r="I50" s="307"/>
      <c r="J50" s="308"/>
    </row>
    <row r="51" spans="1:10" ht="18.75" customHeight="1">
      <c r="A51" s="39"/>
      <c r="B51" s="306"/>
      <c r="C51" s="307"/>
      <c r="D51" s="307"/>
      <c r="E51" s="307"/>
      <c r="F51" s="307"/>
      <c r="G51" s="307"/>
      <c r="H51" s="307"/>
      <c r="I51" s="307"/>
      <c r="J51" s="308"/>
    </row>
    <row r="52" spans="1:10" ht="18.75" customHeight="1">
      <c r="A52" s="39"/>
      <c r="B52" s="306"/>
      <c r="C52" s="307"/>
      <c r="D52" s="307"/>
      <c r="E52" s="307"/>
      <c r="F52" s="307"/>
      <c r="G52" s="307"/>
      <c r="H52" s="307"/>
      <c r="I52" s="307"/>
      <c r="J52" s="308"/>
    </row>
    <row r="53" spans="1:10" ht="18.75" customHeight="1">
      <c r="A53" s="39"/>
      <c r="B53" s="306"/>
      <c r="C53" s="307"/>
      <c r="D53" s="307"/>
      <c r="E53" s="307"/>
      <c r="F53" s="307"/>
      <c r="G53" s="307"/>
      <c r="H53" s="307"/>
      <c r="I53" s="307"/>
      <c r="J53" s="308"/>
    </row>
    <row r="54" spans="1:10" ht="18.75" customHeight="1">
      <c r="A54" s="39"/>
      <c r="B54" s="306"/>
      <c r="C54" s="307"/>
      <c r="D54" s="307"/>
      <c r="E54" s="307"/>
      <c r="F54" s="307"/>
      <c r="G54" s="307"/>
      <c r="H54" s="307"/>
      <c r="I54" s="307"/>
      <c r="J54" s="308"/>
    </row>
    <row r="55" spans="1:10" ht="18.75" customHeight="1">
      <c r="A55" s="39"/>
      <c r="B55" s="306"/>
      <c r="C55" s="307"/>
      <c r="D55" s="307"/>
      <c r="E55" s="307"/>
      <c r="F55" s="307"/>
      <c r="G55" s="307"/>
      <c r="H55" s="307"/>
      <c r="I55" s="307"/>
      <c r="J55" s="308"/>
    </row>
    <row r="56" spans="1:10" ht="18.75" customHeight="1">
      <c r="A56" s="39"/>
      <c r="B56" s="306"/>
      <c r="C56" s="307"/>
      <c r="D56" s="307"/>
      <c r="E56" s="307"/>
      <c r="F56" s="307"/>
      <c r="G56" s="307"/>
      <c r="H56" s="307"/>
      <c r="I56" s="307"/>
      <c r="J56" s="308"/>
    </row>
    <row r="57" spans="1:10" ht="18.75" customHeight="1">
      <c r="A57" s="39"/>
      <c r="B57" s="306"/>
      <c r="C57" s="307"/>
      <c r="D57" s="307"/>
      <c r="E57" s="307"/>
      <c r="F57" s="307"/>
      <c r="G57" s="307"/>
      <c r="H57" s="307"/>
      <c r="I57" s="307"/>
      <c r="J57" s="308"/>
    </row>
    <row r="58" spans="1:10" ht="18.75" customHeight="1">
      <c r="A58" s="39"/>
      <c r="B58" s="306"/>
      <c r="C58" s="307"/>
      <c r="D58" s="307"/>
      <c r="E58" s="307"/>
      <c r="F58" s="307"/>
      <c r="G58" s="307"/>
      <c r="H58" s="307"/>
      <c r="I58" s="307"/>
      <c r="J58" s="308"/>
    </row>
    <row r="59" spans="1:10" ht="18.75" customHeight="1">
      <c r="A59" s="39"/>
      <c r="B59" s="306"/>
      <c r="C59" s="307"/>
      <c r="D59" s="307"/>
      <c r="E59" s="307"/>
      <c r="F59" s="307"/>
      <c r="G59" s="307"/>
      <c r="H59" s="307"/>
      <c r="I59" s="307"/>
      <c r="J59" s="308"/>
    </row>
    <row r="60" spans="1:10" ht="18.75" customHeight="1">
      <c r="A60" s="39"/>
      <c r="B60" s="306"/>
      <c r="C60" s="307"/>
      <c r="D60" s="307"/>
      <c r="E60" s="307"/>
      <c r="F60" s="307"/>
      <c r="G60" s="307"/>
      <c r="H60" s="307"/>
      <c r="I60" s="307"/>
      <c r="J60" s="308"/>
    </row>
    <row r="61" spans="1:10" ht="18.75" customHeight="1">
      <c r="A61" s="39"/>
      <c r="B61" s="306"/>
      <c r="C61" s="307"/>
      <c r="D61" s="307"/>
      <c r="E61" s="307"/>
      <c r="F61" s="307"/>
      <c r="G61" s="307"/>
      <c r="H61" s="307"/>
      <c r="I61" s="307"/>
      <c r="J61" s="308"/>
    </row>
    <row r="62" spans="1:10" ht="18.75" customHeight="1">
      <c r="A62" s="39"/>
      <c r="B62" s="306"/>
      <c r="C62" s="307"/>
      <c r="D62" s="307"/>
      <c r="E62" s="307"/>
      <c r="F62" s="307"/>
      <c r="G62" s="307"/>
      <c r="H62" s="307"/>
      <c r="I62" s="307"/>
      <c r="J62" s="308"/>
    </row>
    <row r="63" spans="1:10" ht="18.75" customHeight="1">
      <c r="A63" s="39"/>
      <c r="B63" s="306"/>
      <c r="C63" s="307"/>
      <c r="D63" s="307"/>
      <c r="E63" s="307"/>
      <c r="F63" s="307"/>
      <c r="G63" s="307"/>
      <c r="H63" s="307"/>
      <c r="I63" s="307"/>
      <c r="J63" s="308"/>
    </row>
    <row r="64" spans="1:10" ht="18.75" customHeight="1">
      <c r="A64" s="39"/>
      <c r="B64" s="306"/>
      <c r="C64" s="307"/>
      <c r="D64" s="307"/>
      <c r="E64" s="307"/>
      <c r="F64" s="307"/>
      <c r="G64" s="307"/>
      <c r="H64" s="307"/>
      <c r="I64" s="307"/>
      <c r="J64" s="308"/>
    </row>
    <row r="65" spans="1:11" ht="18.75" customHeight="1">
      <c r="A65" s="39"/>
      <c r="B65" s="306"/>
      <c r="C65" s="307"/>
      <c r="D65" s="307"/>
      <c r="E65" s="307"/>
      <c r="F65" s="307"/>
      <c r="G65" s="307"/>
      <c r="H65" s="307"/>
      <c r="I65" s="307"/>
      <c r="J65" s="308"/>
    </row>
    <row r="66" spans="1:11" ht="18.75" customHeight="1">
      <c r="A66" s="39"/>
      <c r="B66" s="309"/>
      <c r="C66" s="310"/>
      <c r="D66" s="310"/>
      <c r="E66" s="310"/>
      <c r="F66" s="310"/>
      <c r="G66" s="310"/>
      <c r="H66" s="310"/>
      <c r="I66" s="310"/>
      <c r="J66" s="311"/>
    </row>
    <row r="67" spans="1:11" ht="7.5" customHeight="1">
      <c r="A67" s="39"/>
      <c r="B67" s="39"/>
      <c r="C67" s="39"/>
      <c r="D67" s="39"/>
      <c r="E67" s="39"/>
      <c r="F67" s="39"/>
      <c r="G67" s="39"/>
      <c r="H67" s="39"/>
      <c r="I67" s="39"/>
      <c r="J67" s="39"/>
    </row>
    <row r="68" spans="1:11" s="4" customFormat="1" ht="18.75" customHeight="1">
      <c r="A68" s="1" t="s">
        <v>15</v>
      </c>
      <c r="B68" s="1" t="s">
        <v>75</v>
      </c>
      <c r="C68" s="1"/>
      <c r="D68" s="1"/>
      <c r="E68" s="1"/>
      <c r="F68" s="1"/>
      <c r="G68" s="1"/>
      <c r="H68" s="1"/>
      <c r="I68" s="1"/>
      <c r="J68" s="1"/>
      <c r="K68" s="31"/>
    </row>
    <row r="69" spans="1:11" s="4" customFormat="1" ht="18.75" customHeight="1">
      <c r="A69" s="1"/>
      <c r="B69" s="291" t="s">
        <v>204</v>
      </c>
      <c r="C69" s="292"/>
      <c r="D69" s="292"/>
      <c r="E69" s="292"/>
      <c r="F69" s="292"/>
      <c r="G69" s="292"/>
      <c r="H69" s="292"/>
      <c r="I69" s="293"/>
      <c r="J69" s="294"/>
      <c r="K69" s="35" t="str">
        <f>IF(B69="","入力してください","")</f>
        <v/>
      </c>
    </row>
    <row r="70" spans="1:11" s="4" customFormat="1" ht="18.75" customHeight="1">
      <c r="A70" s="1"/>
      <c r="B70" s="284"/>
      <c r="C70" s="285"/>
      <c r="D70" s="285"/>
      <c r="E70" s="285"/>
      <c r="F70" s="285"/>
      <c r="G70" s="285"/>
      <c r="H70" s="285"/>
      <c r="I70" s="285"/>
      <c r="J70" s="286"/>
      <c r="K70" s="35"/>
    </row>
    <row r="71" spans="1:11" s="4" customFormat="1" ht="18.75" customHeight="1">
      <c r="A71" s="1"/>
      <c r="B71" s="284"/>
      <c r="C71" s="285"/>
      <c r="D71" s="285"/>
      <c r="E71" s="285"/>
      <c r="F71" s="285"/>
      <c r="G71" s="285"/>
      <c r="H71" s="285"/>
      <c r="I71" s="285"/>
      <c r="J71" s="286"/>
      <c r="K71" s="35"/>
    </row>
    <row r="72" spans="1:11" s="4" customFormat="1" ht="18.75" customHeight="1">
      <c r="A72" s="1"/>
      <c r="B72" s="284"/>
      <c r="C72" s="285"/>
      <c r="D72" s="285"/>
      <c r="E72" s="285"/>
      <c r="F72" s="285"/>
      <c r="G72" s="285"/>
      <c r="H72" s="285"/>
      <c r="I72" s="285"/>
      <c r="J72" s="286"/>
      <c r="K72" s="35"/>
    </row>
    <row r="73" spans="1:11" s="4" customFormat="1" ht="18.75" customHeight="1">
      <c r="A73" s="1"/>
      <c r="B73" s="284"/>
      <c r="C73" s="285"/>
      <c r="D73" s="285"/>
      <c r="E73" s="285"/>
      <c r="F73" s="285"/>
      <c r="G73" s="285"/>
      <c r="H73" s="285"/>
      <c r="I73" s="285"/>
      <c r="J73" s="286"/>
      <c r="K73" s="35"/>
    </row>
    <row r="74" spans="1:11" s="4" customFormat="1" ht="18.75" customHeight="1">
      <c r="A74" s="1"/>
      <c r="B74" s="284"/>
      <c r="C74" s="285"/>
      <c r="D74" s="285"/>
      <c r="E74" s="285"/>
      <c r="F74" s="285"/>
      <c r="G74" s="285"/>
      <c r="H74" s="285"/>
      <c r="I74" s="285"/>
      <c r="J74" s="286"/>
      <c r="K74" s="35"/>
    </row>
    <row r="75" spans="1:11" s="4" customFormat="1" ht="18.75" customHeight="1">
      <c r="A75" s="1"/>
      <c r="B75" s="284"/>
      <c r="C75" s="285"/>
      <c r="D75" s="285"/>
      <c r="E75" s="285"/>
      <c r="F75" s="285"/>
      <c r="G75" s="285"/>
      <c r="H75" s="285"/>
      <c r="I75" s="285"/>
      <c r="J75" s="286"/>
      <c r="K75" s="35"/>
    </row>
    <row r="76" spans="1:11" s="4" customFormat="1" ht="18.75" customHeight="1">
      <c r="A76" s="1"/>
      <c r="B76" s="284"/>
      <c r="C76" s="285"/>
      <c r="D76" s="285"/>
      <c r="E76" s="285"/>
      <c r="F76" s="285"/>
      <c r="G76" s="285"/>
      <c r="H76" s="285"/>
      <c r="I76" s="285"/>
      <c r="J76" s="286"/>
      <c r="K76" s="35"/>
    </row>
    <row r="77" spans="1:11" s="4" customFormat="1" ht="18.75" customHeight="1">
      <c r="A77" s="1"/>
      <c r="B77" s="284"/>
      <c r="C77" s="285"/>
      <c r="D77" s="285"/>
      <c r="E77" s="285"/>
      <c r="F77" s="285"/>
      <c r="G77" s="285"/>
      <c r="H77" s="285"/>
      <c r="I77" s="285"/>
      <c r="J77" s="286"/>
      <c r="K77" s="35"/>
    </row>
    <row r="78" spans="1:11" s="4" customFormat="1" ht="18.75" customHeight="1">
      <c r="A78" s="1"/>
      <c r="B78" s="284"/>
      <c r="C78" s="285"/>
      <c r="D78" s="285"/>
      <c r="E78" s="285"/>
      <c r="F78" s="285"/>
      <c r="G78" s="285"/>
      <c r="H78" s="285"/>
      <c r="I78" s="285"/>
      <c r="J78" s="286"/>
      <c r="K78" s="35"/>
    </row>
    <row r="79" spans="1:11" s="4" customFormat="1" ht="18.75" customHeight="1">
      <c r="A79" s="1"/>
      <c r="B79" s="284"/>
      <c r="C79" s="285"/>
      <c r="D79" s="285"/>
      <c r="E79" s="285"/>
      <c r="F79" s="285"/>
      <c r="G79" s="285"/>
      <c r="H79" s="285"/>
      <c r="I79" s="285"/>
      <c r="J79" s="286"/>
      <c r="K79" s="35"/>
    </row>
    <row r="80" spans="1:11" s="4" customFormat="1" ht="18.75" customHeight="1">
      <c r="A80" s="1"/>
      <c r="B80" s="284"/>
      <c r="C80" s="285"/>
      <c r="D80" s="285"/>
      <c r="E80" s="285"/>
      <c r="F80" s="285"/>
      <c r="G80" s="285"/>
      <c r="H80" s="285"/>
      <c r="I80" s="285"/>
      <c r="J80" s="286"/>
      <c r="K80" s="35"/>
    </row>
    <row r="81" spans="1:11" s="4" customFormat="1" ht="18.75" customHeight="1">
      <c r="A81" s="1"/>
      <c r="B81" s="284"/>
      <c r="C81" s="285"/>
      <c r="D81" s="285"/>
      <c r="E81" s="285"/>
      <c r="F81" s="285"/>
      <c r="G81" s="285"/>
      <c r="H81" s="285"/>
      <c r="I81" s="285"/>
      <c r="J81" s="286"/>
      <c r="K81" s="35"/>
    </row>
    <row r="82" spans="1:11" s="4" customFormat="1" ht="18.75" customHeight="1">
      <c r="A82" s="1"/>
      <c r="B82" s="284"/>
      <c r="C82" s="285"/>
      <c r="D82" s="285"/>
      <c r="E82" s="285"/>
      <c r="F82" s="285"/>
      <c r="G82" s="285"/>
      <c r="H82" s="285"/>
      <c r="I82" s="285"/>
      <c r="J82" s="286"/>
      <c r="K82" s="35"/>
    </row>
    <row r="83" spans="1:11" s="4" customFormat="1" ht="18.75" customHeight="1">
      <c r="A83" s="1"/>
      <c r="B83" s="284"/>
      <c r="C83" s="285"/>
      <c r="D83" s="285"/>
      <c r="E83" s="285"/>
      <c r="F83" s="285"/>
      <c r="G83" s="285"/>
      <c r="H83" s="285"/>
      <c r="I83" s="285"/>
      <c r="J83" s="286"/>
      <c r="K83" s="35"/>
    </row>
    <row r="84" spans="1:11" s="4" customFormat="1" ht="18.75" customHeight="1">
      <c r="A84" s="1"/>
      <c r="B84" s="284"/>
      <c r="C84" s="285"/>
      <c r="D84" s="285"/>
      <c r="E84" s="285"/>
      <c r="F84" s="285"/>
      <c r="G84" s="285"/>
      <c r="H84" s="285"/>
      <c r="I84" s="285"/>
      <c r="J84" s="286"/>
      <c r="K84" s="35"/>
    </row>
    <row r="85" spans="1:11" ht="18.75" customHeight="1">
      <c r="A85" s="39"/>
      <c r="B85" s="284"/>
      <c r="C85" s="285"/>
      <c r="D85" s="285"/>
      <c r="E85" s="285"/>
      <c r="F85" s="285"/>
      <c r="G85" s="285"/>
      <c r="H85" s="285"/>
      <c r="I85" s="285"/>
      <c r="J85" s="286"/>
      <c r="K85" s="35"/>
    </row>
    <row r="86" spans="1:11" ht="18.75" customHeight="1">
      <c r="A86" s="39"/>
      <c r="B86" s="287"/>
      <c r="C86" s="288"/>
      <c r="D86" s="288"/>
      <c r="E86" s="288"/>
      <c r="F86" s="288"/>
      <c r="G86" s="288"/>
      <c r="H86" s="288"/>
      <c r="I86" s="288"/>
      <c r="J86" s="289"/>
      <c r="K86" s="35"/>
    </row>
    <row r="87" spans="1:11" ht="7.5" customHeight="1">
      <c r="A87" s="39"/>
      <c r="B87" s="39"/>
      <c r="C87" s="39"/>
      <c r="D87" s="39"/>
      <c r="E87" s="39"/>
      <c r="F87" s="39"/>
      <c r="G87" s="39"/>
      <c r="H87" s="39"/>
      <c r="I87" s="39"/>
      <c r="J87" s="39"/>
    </row>
    <row r="88" spans="1:11" s="4" customFormat="1" ht="18.75" customHeight="1">
      <c r="A88" s="1" t="s">
        <v>13</v>
      </c>
      <c r="B88" s="1" t="s">
        <v>29</v>
      </c>
      <c r="C88" s="1"/>
      <c r="D88" s="1"/>
      <c r="E88" s="1"/>
      <c r="F88" s="1"/>
      <c r="G88" s="1"/>
      <c r="H88" s="1"/>
      <c r="I88" s="1"/>
      <c r="J88" s="1"/>
      <c r="K88" s="31"/>
    </row>
    <row r="89" spans="1:11" s="4" customFormat="1" ht="18.75" customHeight="1">
      <c r="A89" s="1"/>
      <c r="B89" s="291" t="s">
        <v>206</v>
      </c>
      <c r="C89" s="304"/>
      <c r="D89" s="304"/>
      <c r="E89" s="304"/>
      <c r="F89" s="304"/>
      <c r="G89" s="304"/>
      <c r="H89" s="304"/>
      <c r="I89" s="312"/>
      <c r="J89" s="313"/>
      <c r="K89" s="31"/>
    </row>
    <row r="90" spans="1:11" s="4" customFormat="1" ht="18.75" customHeight="1">
      <c r="A90" s="1"/>
      <c r="B90" s="314"/>
      <c r="C90" s="315"/>
      <c r="D90" s="315"/>
      <c r="E90" s="315"/>
      <c r="F90" s="315"/>
      <c r="G90" s="315"/>
      <c r="H90" s="315"/>
      <c r="I90" s="315"/>
      <c r="J90" s="316"/>
      <c r="K90" s="35"/>
    </row>
    <row r="91" spans="1:11" s="4" customFormat="1" ht="18.75" customHeight="1">
      <c r="A91" s="1"/>
      <c r="B91" s="314"/>
      <c r="C91" s="315"/>
      <c r="D91" s="315"/>
      <c r="E91" s="315"/>
      <c r="F91" s="315"/>
      <c r="G91" s="315"/>
      <c r="H91" s="315"/>
      <c r="I91" s="315"/>
      <c r="J91" s="316"/>
      <c r="K91" s="35" t="str">
        <f>IF(B89="","入力してください","")</f>
        <v/>
      </c>
    </row>
    <row r="92" spans="1:11" s="4" customFormat="1" ht="18.75" customHeight="1">
      <c r="A92" s="1"/>
      <c r="B92" s="314"/>
      <c r="C92" s="315"/>
      <c r="D92" s="315"/>
      <c r="E92" s="315"/>
      <c r="F92" s="315"/>
      <c r="G92" s="315"/>
      <c r="H92" s="315"/>
      <c r="I92" s="315"/>
      <c r="J92" s="316"/>
      <c r="K92" s="35"/>
    </row>
    <row r="93" spans="1:11" s="4" customFormat="1" ht="18.75" customHeight="1">
      <c r="A93" s="1"/>
      <c r="B93" s="314"/>
      <c r="C93" s="315"/>
      <c r="D93" s="315"/>
      <c r="E93" s="315"/>
      <c r="F93" s="315"/>
      <c r="G93" s="315"/>
      <c r="H93" s="315"/>
      <c r="I93" s="315"/>
      <c r="J93" s="316"/>
      <c r="K93" s="35"/>
    </row>
    <row r="94" spans="1:11" s="4" customFormat="1" ht="18.75" customHeight="1">
      <c r="A94" s="1"/>
      <c r="B94" s="314"/>
      <c r="C94" s="315"/>
      <c r="D94" s="315"/>
      <c r="E94" s="315"/>
      <c r="F94" s="315"/>
      <c r="G94" s="315"/>
      <c r="H94" s="315"/>
      <c r="I94" s="315"/>
      <c r="J94" s="316"/>
      <c r="K94" s="35"/>
    </row>
    <row r="95" spans="1:11" s="4" customFormat="1" ht="18.75" customHeight="1">
      <c r="A95" s="1"/>
      <c r="B95" s="314"/>
      <c r="C95" s="315"/>
      <c r="D95" s="315"/>
      <c r="E95" s="315"/>
      <c r="F95" s="315"/>
      <c r="G95" s="315"/>
      <c r="H95" s="315"/>
      <c r="I95" s="315"/>
      <c r="J95" s="316"/>
      <c r="K95" s="35"/>
    </row>
    <row r="96" spans="1:11" s="4" customFormat="1" ht="18.75" customHeight="1">
      <c r="A96" s="1"/>
      <c r="B96" s="314"/>
      <c r="C96" s="315"/>
      <c r="D96" s="315"/>
      <c r="E96" s="315"/>
      <c r="F96" s="315"/>
      <c r="G96" s="315"/>
      <c r="H96" s="315"/>
      <c r="I96" s="315"/>
      <c r="J96" s="316"/>
      <c r="K96" s="35"/>
    </row>
    <row r="97" spans="1:11" s="4" customFormat="1" ht="18.75" customHeight="1">
      <c r="A97" s="1"/>
      <c r="B97" s="314"/>
      <c r="C97" s="315"/>
      <c r="D97" s="315"/>
      <c r="E97" s="315"/>
      <c r="F97" s="315"/>
      <c r="G97" s="315"/>
      <c r="H97" s="315"/>
      <c r="I97" s="315"/>
      <c r="J97" s="316"/>
      <c r="K97" s="35"/>
    </row>
    <row r="98" spans="1:11" s="4" customFormat="1" ht="18.75" customHeight="1">
      <c r="A98" s="1"/>
      <c r="B98" s="314"/>
      <c r="C98" s="315"/>
      <c r="D98" s="315"/>
      <c r="E98" s="315"/>
      <c r="F98" s="315"/>
      <c r="G98" s="315"/>
      <c r="H98" s="315"/>
      <c r="I98" s="315"/>
      <c r="J98" s="316"/>
      <c r="K98" s="35"/>
    </row>
    <row r="99" spans="1:11" s="4" customFormat="1" ht="18.75" customHeight="1">
      <c r="A99" s="1"/>
      <c r="B99" s="314"/>
      <c r="C99" s="315"/>
      <c r="D99" s="315"/>
      <c r="E99" s="315"/>
      <c r="F99" s="315"/>
      <c r="G99" s="315"/>
      <c r="H99" s="315"/>
      <c r="I99" s="315"/>
      <c r="J99" s="316"/>
      <c r="K99" s="35"/>
    </row>
    <row r="100" spans="1:11" s="4" customFormat="1" ht="18.75" customHeight="1">
      <c r="A100" s="1"/>
      <c r="B100" s="314"/>
      <c r="C100" s="315"/>
      <c r="D100" s="315"/>
      <c r="E100" s="315"/>
      <c r="F100" s="315"/>
      <c r="G100" s="315"/>
      <c r="H100" s="315"/>
      <c r="I100" s="315"/>
      <c r="J100" s="316"/>
      <c r="K100" s="35"/>
    </row>
    <row r="101" spans="1:11" s="4" customFormat="1" ht="18.75" customHeight="1">
      <c r="A101" s="1"/>
      <c r="B101" s="314"/>
      <c r="C101" s="315"/>
      <c r="D101" s="315"/>
      <c r="E101" s="315"/>
      <c r="F101" s="315"/>
      <c r="G101" s="315"/>
      <c r="H101" s="315"/>
      <c r="I101" s="315"/>
      <c r="J101" s="316"/>
      <c r="K101" s="35"/>
    </row>
    <row r="102" spans="1:11" s="4" customFormat="1" ht="18.75" customHeight="1">
      <c r="A102" s="1"/>
      <c r="B102" s="314"/>
      <c r="C102" s="315"/>
      <c r="D102" s="315"/>
      <c r="E102" s="315"/>
      <c r="F102" s="315"/>
      <c r="G102" s="315"/>
      <c r="H102" s="315"/>
      <c r="I102" s="315"/>
      <c r="J102" s="316"/>
      <c r="K102" s="35"/>
    </row>
    <row r="103" spans="1:11" s="4" customFormat="1" ht="18.75" customHeight="1">
      <c r="A103" s="1"/>
      <c r="B103" s="314"/>
      <c r="C103" s="315"/>
      <c r="D103" s="315"/>
      <c r="E103" s="315"/>
      <c r="F103" s="315"/>
      <c r="G103" s="315"/>
      <c r="H103" s="315"/>
      <c r="I103" s="315"/>
      <c r="J103" s="316"/>
      <c r="K103" s="35"/>
    </row>
    <row r="104" spans="1:11" s="4" customFormat="1" ht="18.75" customHeight="1">
      <c r="A104" s="1"/>
      <c r="B104" s="314"/>
      <c r="C104" s="315"/>
      <c r="D104" s="315"/>
      <c r="E104" s="315"/>
      <c r="F104" s="315"/>
      <c r="G104" s="315"/>
      <c r="H104" s="315"/>
      <c r="I104" s="315"/>
      <c r="J104" s="316"/>
      <c r="K104" s="35"/>
    </row>
    <row r="105" spans="1:11" s="4" customFormat="1" ht="18.75" customHeight="1">
      <c r="A105" s="1"/>
      <c r="B105" s="314"/>
      <c r="C105" s="315"/>
      <c r="D105" s="315"/>
      <c r="E105" s="315"/>
      <c r="F105" s="315"/>
      <c r="G105" s="315"/>
      <c r="H105" s="315"/>
      <c r="I105" s="315"/>
      <c r="J105" s="316"/>
      <c r="K105" s="35"/>
    </row>
    <row r="106" spans="1:11" s="4" customFormat="1" ht="18.75" customHeight="1">
      <c r="A106" s="1"/>
      <c r="B106" s="314"/>
      <c r="C106" s="315"/>
      <c r="D106" s="315"/>
      <c r="E106" s="315"/>
      <c r="F106" s="315"/>
      <c r="G106" s="315"/>
      <c r="H106" s="315"/>
      <c r="I106" s="315"/>
      <c r="J106" s="316"/>
      <c r="K106" s="35"/>
    </row>
    <row r="107" spans="1:11" ht="18.75" customHeight="1">
      <c r="A107" s="39"/>
      <c r="B107" s="314"/>
      <c r="C107" s="315"/>
      <c r="D107" s="315"/>
      <c r="E107" s="315"/>
      <c r="F107" s="315"/>
      <c r="G107" s="315"/>
      <c r="H107" s="315"/>
      <c r="I107" s="315"/>
      <c r="J107" s="316"/>
      <c r="K107" s="35"/>
    </row>
    <row r="108" spans="1:11" ht="18.75" customHeight="1">
      <c r="A108" s="39"/>
      <c r="B108" s="317"/>
      <c r="C108" s="318"/>
      <c r="D108" s="318"/>
      <c r="E108" s="318"/>
      <c r="F108" s="318"/>
      <c r="G108" s="318"/>
      <c r="H108" s="318"/>
      <c r="I108" s="318"/>
      <c r="J108" s="319"/>
      <c r="K108" s="35"/>
    </row>
    <row r="109" spans="1:11" ht="7.5" customHeight="1">
      <c r="A109" s="39"/>
      <c r="B109" s="39"/>
      <c r="C109" s="39"/>
      <c r="D109" s="39"/>
      <c r="E109" s="39"/>
      <c r="F109" s="39"/>
      <c r="G109" s="39"/>
      <c r="H109" s="39"/>
      <c r="I109" s="39"/>
      <c r="J109" s="39"/>
    </row>
    <row r="110" spans="1:11" s="4" customFormat="1" ht="18.75" customHeight="1">
      <c r="A110" s="1" t="s">
        <v>55</v>
      </c>
      <c r="B110" s="320" t="s">
        <v>86</v>
      </c>
      <c r="C110" s="320"/>
      <c r="D110" s="320"/>
      <c r="E110" s="320"/>
      <c r="F110" s="320"/>
      <c r="G110" s="320"/>
      <c r="H110" s="320"/>
      <c r="I110" s="320"/>
      <c r="J110" s="320"/>
      <c r="K110" s="31"/>
    </row>
    <row r="111" spans="1:11" ht="18.75" customHeight="1">
      <c r="A111" s="39"/>
      <c r="B111" s="291" t="s">
        <v>207</v>
      </c>
      <c r="C111" s="304"/>
      <c r="D111" s="304"/>
      <c r="E111" s="304"/>
      <c r="F111" s="304"/>
      <c r="G111" s="304"/>
      <c r="H111" s="304"/>
      <c r="I111" s="312"/>
      <c r="J111" s="313"/>
    </row>
    <row r="112" spans="1:11" ht="18.75" customHeight="1">
      <c r="A112" s="39"/>
      <c r="B112" s="314"/>
      <c r="C112" s="315"/>
      <c r="D112" s="315"/>
      <c r="E112" s="315"/>
      <c r="F112" s="315"/>
      <c r="G112" s="315"/>
      <c r="H112" s="315"/>
      <c r="I112" s="315"/>
      <c r="J112" s="316"/>
      <c r="K112" s="35"/>
    </row>
    <row r="113" spans="1:11" ht="18.75" customHeight="1">
      <c r="A113" s="39"/>
      <c r="B113" s="314"/>
      <c r="C113" s="315"/>
      <c r="D113" s="315"/>
      <c r="E113" s="315"/>
      <c r="F113" s="315"/>
      <c r="G113" s="315"/>
      <c r="H113" s="315"/>
      <c r="I113" s="315"/>
      <c r="J113" s="316"/>
      <c r="K113" s="31" t="str">
        <f>IF(B111="","入力してください","")</f>
        <v/>
      </c>
    </row>
    <row r="114" spans="1:11" ht="18.75" customHeight="1">
      <c r="A114" s="39"/>
      <c r="B114" s="314"/>
      <c r="C114" s="315"/>
      <c r="D114" s="315"/>
      <c r="E114" s="315"/>
      <c r="F114" s="315"/>
      <c r="G114" s="315"/>
      <c r="H114" s="315"/>
      <c r="I114" s="315"/>
      <c r="J114" s="316"/>
    </row>
    <row r="115" spans="1:11" ht="18.75" customHeight="1">
      <c r="A115" s="39"/>
      <c r="B115" s="314"/>
      <c r="C115" s="315"/>
      <c r="D115" s="315"/>
      <c r="E115" s="315"/>
      <c r="F115" s="315"/>
      <c r="G115" s="315"/>
      <c r="H115" s="315"/>
      <c r="I115" s="315"/>
      <c r="J115" s="316"/>
    </row>
    <row r="116" spans="1:11" ht="18.75" customHeight="1">
      <c r="A116" s="39"/>
      <c r="B116" s="314"/>
      <c r="C116" s="315"/>
      <c r="D116" s="315"/>
      <c r="E116" s="315"/>
      <c r="F116" s="315"/>
      <c r="G116" s="315"/>
      <c r="H116" s="315"/>
      <c r="I116" s="315"/>
      <c r="J116" s="316"/>
    </row>
    <row r="117" spans="1:11" ht="18.75" customHeight="1">
      <c r="A117" s="39"/>
      <c r="B117" s="314"/>
      <c r="C117" s="315"/>
      <c r="D117" s="315"/>
      <c r="E117" s="315"/>
      <c r="F117" s="315"/>
      <c r="G117" s="315"/>
      <c r="H117" s="315"/>
      <c r="I117" s="315"/>
      <c r="J117" s="316"/>
    </row>
    <row r="118" spans="1:11" ht="18.75" customHeight="1">
      <c r="A118" s="39"/>
      <c r="B118" s="314"/>
      <c r="C118" s="315"/>
      <c r="D118" s="315"/>
      <c r="E118" s="315"/>
      <c r="F118" s="315"/>
      <c r="G118" s="315"/>
      <c r="H118" s="315"/>
      <c r="I118" s="315"/>
      <c r="J118" s="316"/>
    </row>
    <row r="119" spans="1:11" ht="18.75" customHeight="1">
      <c r="A119" s="39"/>
      <c r="B119" s="314"/>
      <c r="C119" s="315"/>
      <c r="D119" s="315"/>
      <c r="E119" s="315"/>
      <c r="F119" s="315"/>
      <c r="G119" s="315"/>
      <c r="H119" s="315"/>
      <c r="I119" s="315"/>
      <c r="J119" s="316"/>
    </row>
    <row r="120" spans="1:11" ht="18.75" customHeight="1">
      <c r="A120" s="39"/>
      <c r="B120" s="314"/>
      <c r="C120" s="315"/>
      <c r="D120" s="315"/>
      <c r="E120" s="315"/>
      <c r="F120" s="315"/>
      <c r="G120" s="315"/>
      <c r="H120" s="315"/>
      <c r="I120" s="315"/>
      <c r="J120" s="316"/>
    </row>
    <row r="121" spans="1:11" ht="18.75" customHeight="1">
      <c r="A121" s="39"/>
      <c r="B121" s="314"/>
      <c r="C121" s="315"/>
      <c r="D121" s="315"/>
      <c r="E121" s="315"/>
      <c r="F121" s="315"/>
      <c r="G121" s="315"/>
      <c r="H121" s="315"/>
      <c r="I121" s="315"/>
      <c r="J121" s="316"/>
    </row>
    <row r="122" spans="1:11" ht="18.75" customHeight="1">
      <c r="A122" s="39"/>
      <c r="B122" s="314"/>
      <c r="C122" s="315"/>
      <c r="D122" s="315"/>
      <c r="E122" s="315"/>
      <c r="F122" s="315"/>
      <c r="G122" s="315"/>
      <c r="H122" s="315"/>
      <c r="I122" s="315"/>
      <c r="J122" s="316"/>
    </row>
    <row r="123" spans="1:11" ht="18.75" customHeight="1">
      <c r="A123" s="39"/>
      <c r="B123" s="314"/>
      <c r="C123" s="315"/>
      <c r="D123" s="315"/>
      <c r="E123" s="315"/>
      <c r="F123" s="315"/>
      <c r="G123" s="315"/>
      <c r="H123" s="315"/>
      <c r="I123" s="315"/>
      <c r="J123" s="316"/>
    </row>
    <row r="124" spans="1:11" ht="18.75" customHeight="1">
      <c r="A124" s="39"/>
      <c r="B124" s="314"/>
      <c r="C124" s="315"/>
      <c r="D124" s="315"/>
      <c r="E124" s="315"/>
      <c r="F124" s="315"/>
      <c r="G124" s="315"/>
      <c r="H124" s="315"/>
      <c r="I124" s="315"/>
      <c r="J124" s="316"/>
    </row>
    <row r="125" spans="1:11" ht="18.75" customHeight="1">
      <c r="A125" s="39"/>
      <c r="B125" s="314"/>
      <c r="C125" s="315"/>
      <c r="D125" s="315"/>
      <c r="E125" s="315"/>
      <c r="F125" s="315"/>
      <c r="G125" s="315"/>
      <c r="H125" s="315"/>
      <c r="I125" s="315"/>
      <c r="J125" s="316"/>
    </row>
    <row r="126" spans="1:11" ht="18.75" customHeight="1">
      <c r="A126" s="39"/>
      <c r="B126" s="314"/>
      <c r="C126" s="315"/>
      <c r="D126" s="315"/>
      <c r="E126" s="315"/>
      <c r="F126" s="315"/>
      <c r="G126" s="315"/>
      <c r="H126" s="315"/>
      <c r="I126" s="315"/>
      <c r="J126" s="316"/>
    </row>
    <row r="127" spans="1:11" ht="18.75" customHeight="1">
      <c r="A127" s="39"/>
      <c r="B127" s="314"/>
      <c r="C127" s="315"/>
      <c r="D127" s="315"/>
      <c r="E127" s="315"/>
      <c r="F127" s="315"/>
      <c r="G127" s="315"/>
      <c r="H127" s="315"/>
      <c r="I127" s="315"/>
      <c r="J127" s="316"/>
    </row>
    <row r="128" spans="1:11" ht="18.75" customHeight="1">
      <c r="A128" s="39"/>
      <c r="B128" s="314"/>
      <c r="C128" s="315"/>
      <c r="D128" s="315"/>
      <c r="E128" s="315"/>
      <c r="F128" s="315"/>
      <c r="G128" s="315"/>
      <c r="H128" s="315"/>
      <c r="I128" s="315"/>
      <c r="J128" s="316"/>
    </row>
    <row r="129" spans="1:10" ht="18.75" customHeight="1">
      <c r="A129" s="39"/>
      <c r="B129" s="317"/>
      <c r="C129" s="318"/>
      <c r="D129" s="318"/>
      <c r="E129" s="318"/>
      <c r="F129" s="318"/>
      <c r="G129" s="318"/>
      <c r="H129" s="318"/>
      <c r="I129" s="318"/>
      <c r="J129" s="319"/>
    </row>
    <row r="130" spans="1:10" ht="7.5" customHeight="1">
      <c r="A130" s="39"/>
      <c r="B130" s="96"/>
      <c r="C130" s="96"/>
      <c r="D130" s="96"/>
      <c r="E130" s="96"/>
      <c r="F130" s="96"/>
      <c r="G130" s="96"/>
      <c r="H130" s="96"/>
      <c r="I130" s="96"/>
      <c r="J130" s="96"/>
    </row>
    <row r="131" spans="1:10" ht="18.75" customHeight="1">
      <c r="A131" s="39"/>
      <c r="B131" s="39"/>
      <c r="C131" s="39"/>
      <c r="D131" s="39"/>
      <c r="E131" s="39"/>
      <c r="F131" s="39"/>
      <c r="G131" s="39"/>
      <c r="H131" s="39"/>
      <c r="I131" s="39"/>
      <c r="J131" s="39"/>
    </row>
    <row r="132" spans="1:10" ht="18.75" customHeight="1">
      <c r="A132" s="39"/>
      <c r="B132" s="39"/>
      <c r="C132" s="39"/>
      <c r="D132" s="39"/>
      <c r="E132" s="39"/>
      <c r="F132" s="39"/>
      <c r="G132" s="39"/>
      <c r="H132" s="39"/>
      <c r="I132" s="39"/>
      <c r="J132" s="39"/>
    </row>
    <row r="133" spans="1:10" ht="18.75" customHeight="1">
      <c r="A133" s="39"/>
      <c r="B133" s="39"/>
      <c r="C133" s="39"/>
      <c r="D133" s="39"/>
      <c r="E133" s="39"/>
      <c r="F133" s="39"/>
      <c r="G133" s="39"/>
      <c r="H133" s="39"/>
      <c r="I133" s="39"/>
      <c r="J133" s="39"/>
    </row>
    <row r="134" spans="1:10" ht="18.75" customHeight="1">
      <c r="A134" s="39"/>
      <c r="B134" s="39"/>
      <c r="C134" s="39"/>
      <c r="D134" s="39"/>
      <c r="E134" s="39"/>
      <c r="F134" s="39"/>
      <c r="G134" s="39"/>
      <c r="H134" s="39"/>
      <c r="I134" s="39"/>
      <c r="J134" s="39"/>
    </row>
    <row r="135" spans="1:10" ht="18.75" customHeight="1">
      <c r="A135" s="39"/>
      <c r="B135" s="39"/>
      <c r="C135" s="39"/>
      <c r="D135" s="39"/>
      <c r="E135" s="39"/>
      <c r="F135" s="39"/>
      <c r="G135" s="39"/>
      <c r="H135" s="39"/>
      <c r="I135" s="39"/>
      <c r="J135" s="39"/>
    </row>
    <row r="136" spans="1:10" ht="18.75" customHeight="1">
      <c r="A136" s="39"/>
      <c r="B136" s="39"/>
      <c r="C136" s="39"/>
      <c r="D136" s="39"/>
      <c r="E136" s="39"/>
      <c r="F136" s="39"/>
      <c r="G136" s="39"/>
      <c r="H136" s="39"/>
      <c r="I136" s="39"/>
      <c r="J136" s="39"/>
    </row>
    <row r="137" spans="1:10" ht="18.75" customHeight="1">
      <c r="A137" s="39"/>
      <c r="B137" s="39"/>
      <c r="C137" s="39"/>
      <c r="D137" s="39"/>
      <c r="E137" s="39"/>
      <c r="F137" s="39"/>
      <c r="G137" s="39"/>
      <c r="H137" s="39"/>
      <c r="I137" s="39"/>
      <c r="J137" s="39"/>
    </row>
    <row r="138" spans="1:10" ht="18.75" customHeight="1">
      <c r="A138" s="39"/>
      <c r="B138" s="39"/>
      <c r="C138" s="39"/>
      <c r="D138" s="39"/>
      <c r="E138" s="39"/>
      <c r="F138" s="39"/>
      <c r="G138" s="39"/>
      <c r="H138" s="39"/>
      <c r="I138" s="39"/>
      <c r="J138" s="39"/>
    </row>
    <row r="139" spans="1:10" ht="18.75" customHeight="1">
      <c r="A139" s="39"/>
      <c r="B139" s="39"/>
      <c r="C139" s="39"/>
      <c r="D139" s="39"/>
      <c r="E139" s="39"/>
      <c r="F139" s="39"/>
      <c r="G139" s="39"/>
      <c r="H139" s="39"/>
      <c r="I139" s="39"/>
      <c r="J139" s="39"/>
    </row>
    <row r="140" spans="1:10" ht="18.75" customHeight="1">
      <c r="A140" s="39"/>
      <c r="B140" s="39"/>
      <c r="C140" s="39"/>
      <c r="D140" s="39"/>
      <c r="E140" s="39"/>
      <c r="F140" s="39"/>
      <c r="G140" s="39"/>
      <c r="H140" s="39"/>
      <c r="I140" s="39"/>
      <c r="J140" s="39"/>
    </row>
    <row r="141" spans="1:10" ht="18.75" customHeight="1">
      <c r="A141" s="39"/>
      <c r="B141" s="39"/>
      <c r="C141" s="39"/>
      <c r="D141" s="39"/>
      <c r="E141" s="39"/>
      <c r="F141" s="39"/>
      <c r="G141" s="39"/>
      <c r="H141" s="39"/>
      <c r="I141" s="39"/>
      <c r="J141" s="39"/>
    </row>
    <row r="142" spans="1:10" ht="18.75" customHeight="1">
      <c r="A142" s="39"/>
      <c r="B142" s="39"/>
      <c r="C142" s="39"/>
      <c r="D142" s="39"/>
      <c r="E142" s="39"/>
      <c r="F142" s="39"/>
      <c r="G142" s="39"/>
      <c r="H142" s="39"/>
      <c r="I142" s="39"/>
      <c r="J142" s="39"/>
    </row>
    <row r="143" spans="1:10" ht="14.25">
      <c r="A143" s="39"/>
      <c r="B143" s="39"/>
      <c r="C143" s="39"/>
      <c r="D143" s="39"/>
      <c r="E143" s="39"/>
      <c r="F143" s="39"/>
      <c r="G143" s="39"/>
      <c r="H143" s="39"/>
      <c r="I143" s="39"/>
      <c r="J143" s="39"/>
    </row>
    <row r="144" spans="1:10" ht="7.5" customHeight="1">
      <c r="A144" s="97"/>
      <c r="B144" s="97"/>
      <c r="C144" s="97"/>
      <c r="D144" s="97"/>
      <c r="E144" s="97"/>
      <c r="F144" s="97"/>
      <c r="G144" s="97"/>
      <c r="H144" s="97"/>
      <c r="I144" s="97"/>
      <c r="J144" s="9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fitToHeight="3"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A2" sqref="A2:J2"/>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375" style="1" customWidth="1"/>
    <col min="10" max="10" width="5.375" style="1" customWidth="1"/>
    <col min="11" max="11" width="4" style="31" customWidth="1"/>
    <col min="12" max="16384" width="11.375" style="1"/>
  </cols>
  <sheetData>
    <row r="1" spans="1:11" ht="18.75" customHeight="1">
      <c r="A1" s="1" t="s">
        <v>127</v>
      </c>
      <c r="J1" s="41" t="s">
        <v>77</v>
      </c>
    </row>
    <row r="2" spans="1:11" ht="18.75" customHeight="1">
      <c r="A2" s="265" t="s">
        <v>44</v>
      </c>
      <c r="B2" s="265"/>
      <c r="C2" s="265"/>
      <c r="D2" s="265"/>
      <c r="E2" s="265"/>
      <c r="F2" s="265"/>
      <c r="G2" s="265"/>
      <c r="H2" s="265"/>
      <c r="I2" s="265"/>
      <c r="J2" s="265"/>
    </row>
    <row r="3" spans="1:11" ht="7.5" customHeight="1">
      <c r="A3" s="42"/>
      <c r="B3" s="42"/>
      <c r="C3" s="42"/>
      <c r="D3" s="42"/>
      <c r="E3" s="42"/>
      <c r="F3" s="42"/>
      <c r="G3" s="42"/>
      <c r="H3" s="42"/>
      <c r="I3" s="42"/>
      <c r="J3" s="42"/>
    </row>
    <row r="4" spans="1:11" ht="18.75" customHeight="1">
      <c r="A4" s="1" t="s">
        <v>6</v>
      </c>
      <c r="B4" s="4" t="s">
        <v>43</v>
      </c>
      <c r="C4" s="39"/>
      <c r="D4" s="39"/>
      <c r="E4" s="40"/>
      <c r="F4" s="40"/>
      <c r="G4" s="40"/>
      <c r="H4" s="40"/>
      <c r="I4" s="40"/>
      <c r="J4" s="40"/>
    </row>
    <row r="5" spans="1:11" ht="18.75" customHeight="1">
      <c r="B5" s="326" t="s">
        <v>40</v>
      </c>
      <c r="C5" s="327"/>
      <c r="D5" s="328"/>
      <c r="E5" s="329" t="s">
        <v>42</v>
      </c>
      <c r="F5" s="329"/>
      <c r="G5" s="329"/>
      <c r="H5" s="329"/>
      <c r="I5" s="329"/>
      <c r="J5" s="330"/>
    </row>
    <row r="6" spans="1:11" ht="18.75" customHeight="1">
      <c r="B6" s="3" t="s">
        <v>30</v>
      </c>
      <c r="C6" s="39"/>
      <c r="D6" s="7"/>
      <c r="I6" s="40"/>
      <c r="J6" s="5"/>
    </row>
    <row r="7" spans="1:11" ht="207" customHeight="1">
      <c r="B7" s="6"/>
      <c r="C7" s="331" t="s">
        <v>31</v>
      </c>
      <c r="D7" s="332"/>
      <c r="E7" s="323" t="s">
        <v>208</v>
      </c>
      <c r="F7" s="324"/>
      <c r="G7" s="324"/>
      <c r="H7" s="324"/>
      <c r="I7" s="324"/>
      <c r="J7" s="325"/>
      <c r="K7" s="31" t="str">
        <f>IF(E7="","入力してください","")</f>
        <v/>
      </c>
    </row>
    <row r="8" spans="1:11" ht="207" customHeight="1">
      <c r="B8" s="6"/>
      <c r="C8" s="321" t="s">
        <v>32</v>
      </c>
      <c r="D8" s="322"/>
      <c r="E8" s="323" t="s">
        <v>209</v>
      </c>
      <c r="F8" s="324"/>
      <c r="G8" s="324"/>
      <c r="H8" s="324"/>
      <c r="I8" s="324"/>
      <c r="J8" s="325"/>
      <c r="K8" s="31" t="str">
        <f>IF(E8="","入力してください","")</f>
        <v/>
      </c>
    </row>
    <row r="9" spans="1:11" ht="172.5" customHeight="1">
      <c r="B9" s="6"/>
      <c r="C9" s="331" t="s">
        <v>33</v>
      </c>
      <c r="D9" s="332"/>
      <c r="E9" s="323" t="s">
        <v>210</v>
      </c>
      <c r="F9" s="324"/>
      <c r="G9" s="324"/>
      <c r="H9" s="324"/>
      <c r="I9" s="324"/>
      <c r="J9" s="325"/>
      <c r="K9" s="31" t="str">
        <f>IF(E9="","入力してください","")</f>
        <v/>
      </c>
    </row>
    <row r="10" spans="1:11" ht="172.5" customHeight="1">
      <c r="B10" s="6"/>
      <c r="C10" s="331" t="s">
        <v>34</v>
      </c>
      <c r="D10" s="332"/>
      <c r="E10" s="323" t="s">
        <v>211</v>
      </c>
      <c r="F10" s="324"/>
      <c r="G10" s="324"/>
      <c r="H10" s="324"/>
      <c r="I10" s="324"/>
      <c r="J10" s="325"/>
      <c r="K10" s="31" t="str">
        <f t="shared" ref="K10:K14" si="0">IF(E10="","入力してください","")</f>
        <v/>
      </c>
    </row>
    <row r="11" spans="1:11" ht="172.5" customHeight="1">
      <c r="B11" s="6"/>
      <c r="C11" s="331" t="s">
        <v>35</v>
      </c>
      <c r="D11" s="332"/>
      <c r="E11" s="323" t="s">
        <v>212</v>
      </c>
      <c r="F11" s="324"/>
      <c r="G11" s="324"/>
      <c r="H11" s="324"/>
      <c r="I11" s="324"/>
      <c r="J11" s="325"/>
      <c r="K11" s="31" t="str">
        <f t="shared" si="0"/>
        <v/>
      </c>
    </row>
    <row r="12" spans="1:11" ht="18.75" customHeight="1">
      <c r="B12" s="9" t="s">
        <v>36</v>
      </c>
      <c r="C12" s="28"/>
      <c r="D12" s="8"/>
      <c r="E12" s="32"/>
      <c r="F12" s="32"/>
      <c r="G12" s="32"/>
      <c r="H12" s="32"/>
      <c r="I12" s="32"/>
      <c r="J12" s="33"/>
    </row>
    <row r="13" spans="1:11" ht="244.35" customHeight="1">
      <c r="B13" s="6"/>
      <c r="C13" s="331" t="s">
        <v>37</v>
      </c>
      <c r="D13" s="332"/>
      <c r="E13" s="324" t="s">
        <v>213</v>
      </c>
      <c r="F13" s="324"/>
      <c r="G13" s="324"/>
      <c r="H13" s="324"/>
      <c r="I13" s="324"/>
      <c r="J13" s="325"/>
      <c r="K13" s="31" t="str">
        <f t="shared" si="0"/>
        <v/>
      </c>
    </row>
    <row r="14" spans="1:11" ht="255" customHeight="1">
      <c r="B14" s="6"/>
      <c r="C14" s="331" t="s">
        <v>38</v>
      </c>
      <c r="D14" s="332"/>
      <c r="E14" s="324" t="s">
        <v>214</v>
      </c>
      <c r="F14" s="324"/>
      <c r="G14" s="324"/>
      <c r="H14" s="324"/>
      <c r="I14" s="324"/>
      <c r="J14" s="325"/>
      <c r="K14" s="31" t="str">
        <f t="shared" si="0"/>
        <v/>
      </c>
    </row>
    <row r="15" spans="1:11" ht="243" customHeight="1">
      <c r="B15" s="341" t="s">
        <v>39</v>
      </c>
      <c r="C15" s="342"/>
      <c r="D15" s="332"/>
      <c r="E15" s="324" t="s">
        <v>215</v>
      </c>
      <c r="F15" s="324"/>
      <c r="G15" s="324"/>
      <c r="H15" s="324"/>
      <c r="I15" s="324"/>
      <c r="J15" s="325"/>
      <c r="K15" s="31" t="str">
        <f>IF(E15="","入力してください","")</f>
        <v/>
      </c>
    </row>
    <row r="16" spans="1:11" ht="243" customHeight="1">
      <c r="A16" s="31"/>
      <c r="B16" s="333" t="s">
        <v>68</v>
      </c>
      <c r="C16" s="334"/>
      <c r="D16" s="335"/>
      <c r="E16" s="336" t="s">
        <v>216</v>
      </c>
      <c r="F16" s="336"/>
      <c r="G16" s="336"/>
      <c r="H16" s="336"/>
      <c r="I16" s="336"/>
      <c r="J16" s="337"/>
      <c r="K16" s="31" t="str">
        <f>IF(E16="","入力してください","")</f>
        <v/>
      </c>
    </row>
    <row r="17" spans="1:11" ht="7.5" customHeight="1">
      <c r="B17" s="39"/>
      <c r="C17" s="39"/>
      <c r="D17" s="39"/>
      <c r="E17" s="40"/>
      <c r="F17" s="40"/>
      <c r="G17" s="40"/>
      <c r="H17" s="40"/>
      <c r="I17" s="40"/>
      <c r="J17" s="40"/>
    </row>
    <row r="18" spans="1:11" ht="18.75" customHeight="1">
      <c r="A18" s="1" t="s">
        <v>128</v>
      </c>
      <c r="B18" s="4"/>
      <c r="C18" s="39"/>
      <c r="D18" s="39"/>
      <c r="E18" s="40"/>
      <c r="F18" s="92"/>
      <c r="G18" s="338" t="s">
        <v>219</v>
      </c>
      <c r="H18" s="339"/>
      <c r="I18" s="339"/>
      <c r="J18" s="340"/>
      <c r="K18" s="31" t="str">
        <f>IF(G18="","入力してください","")</f>
        <v/>
      </c>
    </row>
    <row r="19" spans="1:11" ht="22.5" customHeight="1">
      <c r="B19" s="39"/>
      <c r="C19" s="39"/>
      <c r="D19" s="39"/>
      <c r="E19" s="40"/>
      <c r="F19" s="40"/>
      <c r="G19" s="40"/>
      <c r="H19" s="40"/>
      <c r="I19" s="40"/>
      <c r="J19" s="40"/>
    </row>
    <row r="20" spans="1:11" ht="22.5" customHeight="1">
      <c r="B20" s="39"/>
      <c r="C20" s="39"/>
      <c r="D20" s="39"/>
      <c r="E20" s="40"/>
      <c r="F20" s="40"/>
      <c r="G20" s="40"/>
      <c r="H20" s="40"/>
      <c r="I20" s="40"/>
      <c r="J20" s="40"/>
    </row>
    <row r="21" spans="1:11" ht="22.5" customHeight="1">
      <c r="B21" s="39"/>
      <c r="C21" s="39"/>
      <c r="D21" s="39"/>
      <c r="E21" s="40"/>
      <c r="F21" s="40"/>
      <c r="G21" s="40"/>
      <c r="H21" s="40"/>
      <c r="I21" s="40"/>
      <c r="J21" s="40"/>
    </row>
    <row r="22" spans="1:11" ht="22.5" customHeight="1">
      <c r="B22" s="39"/>
      <c r="C22" s="39"/>
      <c r="D22" s="39"/>
      <c r="E22" s="40"/>
      <c r="F22" s="40"/>
      <c r="G22" s="40"/>
      <c r="H22" s="40"/>
      <c r="I22" s="40"/>
      <c r="J22" s="40"/>
    </row>
    <row r="23" spans="1:11" ht="22.5" customHeight="1">
      <c r="B23" s="39"/>
      <c r="C23" s="39"/>
      <c r="D23" s="39"/>
      <c r="E23" s="40"/>
      <c r="F23" s="40"/>
      <c r="G23" s="40"/>
      <c r="H23" s="40"/>
      <c r="I23" s="40"/>
      <c r="J23" s="40"/>
    </row>
    <row r="24" spans="1:11" ht="22.5" customHeight="1">
      <c r="B24" s="98"/>
      <c r="C24" s="98"/>
      <c r="D24" s="98"/>
      <c r="E24" s="98"/>
      <c r="F24" s="98"/>
      <c r="G24" s="98"/>
      <c r="H24" s="98"/>
      <c r="I24" s="98"/>
      <c r="J24" s="98"/>
    </row>
    <row r="25" spans="1:11" ht="22.5" customHeight="1">
      <c r="B25" s="98"/>
      <c r="C25" s="98"/>
      <c r="D25" s="98"/>
      <c r="E25" s="98"/>
      <c r="F25" s="98"/>
      <c r="G25" s="98"/>
      <c r="H25" s="98"/>
      <c r="I25" s="98"/>
      <c r="J25" s="98"/>
    </row>
    <row r="26" spans="1:11" ht="22.5" customHeight="1">
      <c r="B26" s="98"/>
      <c r="C26" s="98"/>
      <c r="D26" s="98"/>
      <c r="E26" s="98"/>
      <c r="F26" s="98"/>
      <c r="G26" s="98"/>
      <c r="H26" s="98"/>
      <c r="I26" s="98"/>
      <c r="J26" s="98"/>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65" fitToHeight="2" orientation="portrait" r:id="rId1"/>
  <rowBreaks count="1" manualBreakCount="1">
    <brk id="1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B1" sqref="B1"/>
    </sheetView>
  </sheetViews>
  <sheetFormatPr defaultColWidth="11.375" defaultRowHeight="18.75" customHeight="1"/>
  <cols>
    <col min="1" max="1" width="3.375" style="1" customWidth="1"/>
    <col min="2" max="2" width="15.375" style="1" customWidth="1"/>
    <col min="3" max="3" width="37.75" style="1" customWidth="1"/>
    <col min="4" max="4" width="1" style="1" customWidth="1"/>
    <col min="5" max="5" width="21" style="1" customWidth="1"/>
    <col min="6" max="6" width="7.75" style="1" customWidth="1"/>
    <col min="7" max="7" width="2.25" style="1" customWidth="1"/>
    <col min="8" max="8" width="2" style="1" customWidth="1"/>
    <col min="9" max="16384" width="11.375" style="1"/>
  </cols>
  <sheetData>
    <row r="1" spans="1:6" ht="18.75" customHeight="1">
      <c r="E1" s="264" t="s">
        <v>7</v>
      </c>
      <c r="F1" s="264"/>
    </row>
    <row r="2" spans="1:6" ht="18.75" customHeight="1">
      <c r="A2" s="343" t="s">
        <v>129</v>
      </c>
      <c r="B2" s="343"/>
      <c r="C2" s="343"/>
      <c r="D2" s="343"/>
      <c r="E2" s="343"/>
      <c r="F2" s="343"/>
    </row>
    <row r="3" spans="1:6" ht="7.5" customHeight="1">
      <c r="A3" s="38"/>
      <c r="B3" s="38"/>
      <c r="C3" s="38"/>
      <c r="D3" s="38"/>
      <c r="E3" s="38"/>
      <c r="F3" s="38"/>
    </row>
    <row r="4" spans="1:6" ht="18.75" customHeight="1">
      <c r="A4" s="38" t="s">
        <v>6</v>
      </c>
      <c r="B4" s="4" t="s">
        <v>28</v>
      </c>
      <c r="C4" s="38"/>
      <c r="D4" s="38"/>
      <c r="E4" s="38"/>
      <c r="F4" s="38"/>
    </row>
    <row r="5" spans="1:6" ht="18.75" customHeight="1">
      <c r="A5" s="38"/>
      <c r="B5" s="344"/>
      <c r="C5" s="296"/>
      <c r="D5" s="296"/>
      <c r="E5" s="296"/>
      <c r="F5" s="297"/>
    </row>
    <row r="6" spans="1:6" ht="18.75" customHeight="1">
      <c r="A6" s="38"/>
      <c r="B6" s="298"/>
      <c r="C6" s="299"/>
      <c r="D6" s="299"/>
      <c r="E6" s="299"/>
      <c r="F6" s="300"/>
    </row>
    <row r="7" spans="1:6" ht="18.75" customHeight="1">
      <c r="A7" s="38"/>
      <c r="B7" s="298"/>
      <c r="C7" s="299"/>
      <c r="D7" s="299"/>
      <c r="E7" s="299"/>
      <c r="F7" s="300"/>
    </row>
    <row r="8" spans="1:6" ht="18.75" customHeight="1">
      <c r="A8" s="38"/>
      <c r="B8" s="298"/>
      <c r="C8" s="299"/>
      <c r="D8" s="299"/>
      <c r="E8" s="299"/>
      <c r="F8" s="300"/>
    </row>
    <row r="9" spans="1:6" ht="18.75" customHeight="1">
      <c r="A9" s="38"/>
      <c r="B9" s="298"/>
      <c r="C9" s="299"/>
      <c r="D9" s="299"/>
      <c r="E9" s="299"/>
      <c r="F9" s="300"/>
    </row>
    <row r="10" spans="1:6" ht="18.75" customHeight="1">
      <c r="A10" s="38"/>
      <c r="B10" s="298"/>
      <c r="C10" s="299"/>
      <c r="D10" s="299"/>
      <c r="E10" s="299"/>
      <c r="F10" s="300"/>
    </row>
    <row r="11" spans="1:6" ht="18.75" customHeight="1">
      <c r="A11" s="38"/>
      <c r="B11" s="298"/>
      <c r="C11" s="299"/>
      <c r="D11" s="299"/>
      <c r="E11" s="299"/>
      <c r="F11" s="300"/>
    </row>
    <row r="12" spans="1:6" ht="18.75" customHeight="1">
      <c r="A12" s="38"/>
      <c r="B12" s="298"/>
      <c r="C12" s="299"/>
      <c r="D12" s="299"/>
      <c r="E12" s="299"/>
      <c r="F12" s="300"/>
    </row>
    <row r="13" spans="1:6" ht="18.75" customHeight="1">
      <c r="A13" s="38"/>
      <c r="B13" s="298"/>
      <c r="C13" s="299"/>
      <c r="D13" s="299"/>
      <c r="E13" s="299"/>
      <c r="F13" s="300"/>
    </row>
    <row r="14" spans="1:6" ht="18.75" customHeight="1">
      <c r="A14" s="38"/>
      <c r="B14" s="298"/>
      <c r="C14" s="299"/>
      <c r="D14" s="299"/>
      <c r="E14" s="299"/>
      <c r="F14" s="300"/>
    </row>
    <row r="15" spans="1:6" ht="18.75" customHeight="1">
      <c r="A15" s="38"/>
      <c r="B15" s="298"/>
      <c r="C15" s="299"/>
      <c r="D15" s="299"/>
      <c r="E15" s="299"/>
      <c r="F15" s="300"/>
    </row>
    <row r="16" spans="1:6" ht="18.75" customHeight="1">
      <c r="A16" s="38"/>
      <c r="B16" s="298"/>
      <c r="C16" s="299"/>
      <c r="D16" s="299"/>
      <c r="E16" s="299"/>
      <c r="F16" s="300"/>
    </row>
    <row r="17" spans="1:6" ht="18.75" customHeight="1">
      <c r="A17" s="38"/>
      <c r="B17" s="298"/>
      <c r="C17" s="299"/>
      <c r="D17" s="299"/>
      <c r="E17" s="299"/>
      <c r="F17" s="300"/>
    </row>
    <row r="18" spans="1:6" ht="18.75" customHeight="1">
      <c r="A18" s="38"/>
      <c r="B18" s="298"/>
      <c r="C18" s="299"/>
      <c r="D18" s="299"/>
      <c r="E18" s="299"/>
      <c r="F18" s="300"/>
    </row>
    <row r="19" spans="1:6" ht="18.75" customHeight="1">
      <c r="A19" s="38"/>
      <c r="B19" s="298"/>
      <c r="C19" s="299"/>
      <c r="D19" s="299"/>
      <c r="E19" s="299"/>
      <c r="F19" s="300"/>
    </row>
    <row r="20" spans="1:6" ht="18.75" customHeight="1">
      <c r="A20" s="38"/>
      <c r="B20" s="298"/>
      <c r="C20" s="299"/>
      <c r="D20" s="299"/>
      <c r="E20" s="299"/>
      <c r="F20" s="300"/>
    </row>
    <row r="21" spans="1:6" ht="18.75" customHeight="1">
      <c r="A21" s="38"/>
      <c r="B21" s="298"/>
      <c r="C21" s="299"/>
      <c r="D21" s="299"/>
      <c r="E21" s="299"/>
      <c r="F21" s="300"/>
    </row>
    <row r="22" spans="1:6" ht="18.75" customHeight="1">
      <c r="A22" s="38"/>
      <c r="B22" s="298"/>
      <c r="C22" s="299"/>
      <c r="D22" s="299"/>
      <c r="E22" s="299"/>
      <c r="F22" s="300"/>
    </row>
    <row r="23" spans="1:6" ht="18.75" customHeight="1">
      <c r="A23" s="38"/>
      <c r="B23" s="298"/>
      <c r="C23" s="299"/>
      <c r="D23" s="299"/>
      <c r="E23" s="299"/>
      <c r="F23" s="300"/>
    </row>
    <row r="24" spans="1:6" ht="18.75" customHeight="1">
      <c r="A24" s="38"/>
      <c r="B24" s="298"/>
      <c r="C24" s="299"/>
      <c r="D24" s="299"/>
      <c r="E24" s="299"/>
      <c r="F24" s="300"/>
    </row>
    <row r="25" spans="1:6" ht="18.75" customHeight="1">
      <c r="A25" s="38"/>
      <c r="B25" s="298"/>
      <c r="C25" s="299"/>
      <c r="D25" s="299"/>
      <c r="E25" s="299"/>
      <c r="F25" s="300"/>
    </row>
    <row r="26" spans="1:6" ht="18.75" customHeight="1">
      <c r="A26" s="38"/>
      <c r="B26" s="298"/>
      <c r="C26" s="299"/>
      <c r="D26" s="299"/>
      <c r="E26" s="299"/>
      <c r="F26" s="300"/>
    </row>
    <row r="27" spans="1:6" ht="18.75" customHeight="1">
      <c r="A27" s="38"/>
      <c r="B27" s="298"/>
      <c r="C27" s="299"/>
      <c r="D27" s="299"/>
      <c r="E27" s="299"/>
      <c r="F27" s="300"/>
    </row>
    <row r="28" spans="1:6" ht="18.75" customHeight="1">
      <c r="A28" s="38"/>
      <c r="B28" s="298"/>
      <c r="C28" s="299"/>
      <c r="D28" s="299"/>
      <c r="E28" s="299"/>
      <c r="F28" s="300"/>
    </row>
    <row r="29" spans="1:6" ht="18.75" customHeight="1">
      <c r="A29" s="38"/>
      <c r="B29" s="298"/>
      <c r="C29" s="299"/>
      <c r="D29" s="299"/>
      <c r="E29" s="299"/>
      <c r="F29" s="300"/>
    </row>
    <row r="30" spans="1:6" ht="18.75" customHeight="1">
      <c r="A30" s="38"/>
      <c r="B30" s="298"/>
      <c r="C30" s="299"/>
      <c r="D30" s="299"/>
      <c r="E30" s="299"/>
      <c r="F30" s="300"/>
    </row>
    <row r="31" spans="1:6" ht="18.75" customHeight="1">
      <c r="A31" s="38"/>
      <c r="B31" s="298"/>
      <c r="C31" s="299"/>
      <c r="D31" s="299"/>
      <c r="E31" s="299"/>
      <c r="F31" s="300"/>
    </row>
    <row r="32" spans="1:6" ht="18.75" customHeight="1">
      <c r="A32" s="38"/>
      <c r="B32" s="298"/>
      <c r="C32" s="299"/>
      <c r="D32" s="299"/>
      <c r="E32" s="299"/>
      <c r="F32" s="300"/>
    </row>
    <row r="33" spans="1:6" ht="18.75" customHeight="1">
      <c r="A33" s="38"/>
      <c r="B33" s="298"/>
      <c r="C33" s="299"/>
      <c r="D33" s="299"/>
      <c r="E33" s="299"/>
      <c r="F33" s="300"/>
    </row>
    <row r="34" spans="1:6" ht="18.75" customHeight="1">
      <c r="A34" s="38"/>
      <c r="B34" s="298"/>
      <c r="C34" s="299"/>
      <c r="D34" s="299"/>
      <c r="E34" s="299"/>
      <c r="F34" s="300"/>
    </row>
    <row r="35" spans="1:6" ht="18.75" customHeight="1">
      <c r="A35" s="38"/>
      <c r="B35" s="298"/>
      <c r="C35" s="299"/>
      <c r="D35" s="299"/>
      <c r="E35" s="299"/>
      <c r="F35" s="300"/>
    </row>
    <row r="36" spans="1:6" ht="18.75" customHeight="1">
      <c r="A36" s="38"/>
      <c r="B36" s="298"/>
      <c r="C36" s="299"/>
      <c r="D36" s="299"/>
      <c r="E36" s="299"/>
      <c r="F36" s="300"/>
    </row>
    <row r="37" spans="1:6" ht="18.75" customHeight="1">
      <c r="A37" s="38"/>
      <c r="B37" s="298"/>
      <c r="C37" s="299"/>
      <c r="D37" s="299"/>
      <c r="E37" s="299"/>
      <c r="F37" s="300"/>
    </row>
    <row r="38" spans="1:6" ht="18.75" customHeight="1">
      <c r="A38" s="38"/>
      <c r="B38" s="298"/>
      <c r="C38" s="299"/>
      <c r="D38" s="299"/>
      <c r="E38" s="299"/>
      <c r="F38" s="300"/>
    </row>
    <row r="39" spans="1:6" ht="18.75" customHeight="1">
      <c r="A39" s="38"/>
      <c r="B39" s="298"/>
      <c r="C39" s="299"/>
      <c r="D39" s="299"/>
      <c r="E39" s="299"/>
      <c r="F39" s="300"/>
    </row>
    <row r="40" spans="1:6" ht="18.75" customHeight="1">
      <c r="A40" s="38"/>
      <c r="B40" s="298"/>
      <c r="C40" s="299"/>
      <c r="D40" s="299"/>
      <c r="E40" s="299"/>
      <c r="F40" s="300"/>
    </row>
    <row r="41" spans="1:6" ht="18.75" customHeight="1">
      <c r="A41" s="38"/>
      <c r="B41" s="298"/>
      <c r="C41" s="299"/>
      <c r="D41" s="299"/>
      <c r="E41" s="299"/>
      <c r="F41" s="300"/>
    </row>
    <row r="42" spans="1:6" ht="18.75" customHeight="1">
      <c r="A42" s="38"/>
      <c r="B42" s="301"/>
      <c r="C42" s="302"/>
      <c r="D42" s="302"/>
      <c r="E42" s="302"/>
      <c r="F42" s="303"/>
    </row>
    <row r="43" spans="1:6" ht="18.75" customHeight="1">
      <c r="A43" s="38" t="s">
        <v>10</v>
      </c>
      <c r="B43" s="4" t="s">
        <v>73</v>
      </c>
      <c r="C43" s="38"/>
      <c r="D43" s="38"/>
      <c r="E43" s="38"/>
      <c r="F43" s="38"/>
    </row>
    <row r="44" spans="1:6" ht="18.75" customHeight="1">
      <c r="A44" s="38"/>
      <c r="B44" s="344"/>
      <c r="C44" s="296"/>
      <c r="D44" s="296"/>
      <c r="E44" s="296"/>
      <c r="F44" s="297"/>
    </row>
    <row r="45" spans="1:6" ht="18.75" customHeight="1">
      <c r="A45" s="38"/>
      <c r="B45" s="298"/>
      <c r="C45" s="299"/>
      <c r="D45" s="299"/>
      <c r="E45" s="299"/>
      <c r="F45" s="300"/>
    </row>
    <row r="46" spans="1:6" ht="18.75" customHeight="1">
      <c r="A46" s="38"/>
      <c r="B46" s="298"/>
      <c r="C46" s="299"/>
      <c r="D46" s="299"/>
      <c r="E46" s="299"/>
      <c r="F46" s="300"/>
    </row>
    <row r="47" spans="1:6" ht="18.75" customHeight="1">
      <c r="A47" s="38"/>
      <c r="B47" s="298"/>
      <c r="C47" s="299"/>
      <c r="D47" s="299"/>
      <c r="E47" s="299"/>
      <c r="F47" s="300"/>
    </row>
    <row r="48" spans="1:6" ht="18.75" customHeight="1">
      <c r="A48" s="38"/>
      <c r="B48" s="298"/>
      <c r="C48" s="299"/>
      <c r="D48" s="299"/>
      <c r="E48" s="299"/>
      <c r="F48" s="300"/>
    </row>
    <row r="49" spans="1:6" ht="18.75" customHeight="1">
      <c r="A49" s="38"/>
      <c r="B49" s="298"/>
      <c r="C49" s="299"/>
      <c r="D49" s="299"/>
      <c r="E49" s="299"/>
      <c r="F49" s="300"/>
    </row>
    <row r="50" spans="1:6" ht="18.75" customHeight="1">
      <c r="A50" s="38"/>
      <c r="B50" s="298"/>
      <c r="C50" s="299"/>
      <c r="D50" s="299"/>
      <c r="E50" s="299"/>
      <c r="F50" s="300"/>
    </row>
    <row r="51" spans="1:6" ht="18.75" customHeight="1">
      <c r="A51" s="38"/>
      <c r="B51" s="298"/>
      <c r="C51" s="299"/>
      <c r="D51" s="299"/>
      <c r="E51" s="299"/>
      <c r="F51" s="300"/>
    </row>
    <row r="52" spans="1:6" ht="18.75" customHeight="1">
      <c r="A52" s="38"/>
      <c r="B52" s="298"/>
      <c r="C52" s="299"/>
      <c r="D52" s="299"/>
      <c r="E52" s="299"/>
      <c r="F52" s="300"/>
    </row>
    <row r="53" spans="1:6" ht="18.75" customHeight="1">
      <c r="A53" s="38"/>
      <c r="B53" s="298"/>
      <c r="C53" s="299"/>
      <c r="D53" s="299"/>
      <c r="E53" s="299"/>
      <c r="F53" s="300"/>
    </row>
    <row r="54" spans="1:6" ht="18.75" customHeight="1">
      <c r="A54" s="38"/>
      <c r="B54" s="298"/>
      <c r="C54" s="299"/>
      <c r="D54" s="299"/>
      <c r="E54" s="299"/>
      <c r="F54" s="300"/>
    </row>
    <row r="55" spans="1:6" ht="18.75" customHeight="1">
      <c r="A55" s="38"/>
      <c r="B55" s="298"/>
      <c r="C55" s="299"/>
      <c r="D55" s="299"/>
      <c r="E55" s="299"/>
      <c r="F55" s="300"/>
    </row>
    <row r="56" spans="1:6" ht="18.75" customHeight="1">
      <c r="A56" s="38"/>
      <c r="B56" s="298"/>
      <c r="C56" s="299"/>
      <c r="D56" s="299"/>
      <c r="E56" s="299"/>
      <c r="F56" s="300"/>
    </row>
    <row r="57" spans="1:6" ht="18.75" customHeight="1">
      <c r="A57" s="38"/>
      <c r="B57" s="298"/>
      <c r="C57" s="299"/>
      <c r="D57" s="299"/>
      <c r="E57" s="299"/>
      <c r="F57" s="300"/>
    </row>
    <row r="58" spans="1:6" ht="18.75" customHeight="1">
      <c r="A58" s="38"/>
      <c r="B58" s="298"/>
      <c r="C58" s="299"/>
      <c r="D58" s="299"/>
      <c r="E58" s="299"/>
      <c r="F58" s="300"/>
    </row>
    <row r="59" spans="1:6" ht="18.75" customHeight="1">
      <c r="A59" s="38"/>
      <c r="B59" s="298"/>
      <c r="C59" s="299"/>
      <c r="D59" s="299"/>
      <c r="E59" s="299"/>
      <c r="F59" s="300"/>
    </row>
    <row r="60" spans="1:6" ht="18.75" customHeight="1">
      <c r="A60" s="38"/>
      <c r="B60" s="298"/>
      <c r="C60" s="299"/>
      <c r="D60" s="299"/>
      <c r="E60" s="299"/>
      <c r="F60" s="300"/>
    </row>
    <row r="61" spans="1:6" ht="18.75" customHeight="1">
      <c r="A61" s="38"/>
      <c r="B61" s="298"/>
      <c r="C61" s="299"/>
      <c r="D61" s="299"/>
      <c r="E61" s="299"/>
      <c r="F61" s="300"/>
    </row>
    <row r="62" spans="1:6" ht="18.75" customHeight="1">
      <c r="A62" s="38"/>
      <c r="B62" s="298"/>
      <c r="C62" s="299"/>
      <c r="D62" s="299"/>
      <c r="E62" s="299"/>
      <c r="F62" s="300"/>
    </row>
    <row r="63" spans="1:6" ht="18.75" customHeight="1">
      <c r="A63" s="38"/>
      <c r="B63" s="298"/>
      <c r="C63" s="299"/>
      <c r="D63" s="299"/>
      <c r="E63" s="299"/>
      <c r="F63" s="300"/>
    </row>
    <row r="64" spans="1:6" ht="18.75" customHeight="1">
      <c r="A64" s="38"/>
      <c r="B64" s="298"/>
      <c r="C64" s="299"/>
      <c r="D64" s="299"/>
      <c r="E64" s="299"/>
      <c r="F64" s="300"/>
    </row>
    <row r="65" spans="1:6" ht="18.75" customHeight="1">
      <c r="A65" s="38"/>
      <c r="B65" s="298"/>
      <c r="C65" s="299"/>
      <c r="D65" s="299"/>
      <c r="E65" s="299"/>
      <c r="F65" s="300"/>
    </row>
    <row r="66" spans="1:6" ht="18.75" customHeight="1">
      <c r="A66" s="38"/>
      <c r="B66" s="298"/>
      <c r="C66" s="299"/>
      <c r="D66" s="299"/>
      <c r="E66" s="299"/>
      <c r="F66" s="300"/>
    </row>
    <row r="67" spans="1:6" ht="18.75" customHeight="1">
      <c r="A67" s="38"/>
      <c r="B67" s="298"/>
      <c r="C67" s="299"/>
      <c r="D67" s="299"/>
      <c r="E67" s="299"/>
      <c r="F67" s="300"/>
    </row>
    <row r="68" spans="1:6" ht="18.75" customHeight="1">
      <c r="A68" s="38"/>
      <c r="B68" s="298"/>
      <c r="C68" s="299"/>
      <c r="D68" s="299"/>
      <c r="E68" s="299"/>
      <c r="F68" s="300"/>
    </row>
    <row r="69" spans="1:6" ht="18.75" customHeight="1">
      <c r="A69" s="38"/>
      <c r="B69" s="298"/>
      <c r="C69" s="299"/>
      <c r="D69" s="299"/>
      <c r="E69" s="299"/>
      <c r="F69" s="300"/>
    </row>
    <row r="70" spans="1:6" ht="18.75" customHeight="1">
      <c r="A70" s="38"/>
      <c r="B70" s="298"/>
      <c r="C70" s="299"/>
      <c r="D70" s="299"/>
      <c r="E70" s="299"/>
      <c r="F70" s="300"/>
    </row>
    <row r="71" spans="1:6" ht="18.75" customHeight="1">
      <c r="A71" s="38"/>
      <c r="B71" s="298"/>
      <c r="C71" s="299"/>
      <c r="D71" s="299"/>
      <c r="E71" s="299"/>
      <c r="F71" s="300"/>
    </row>
    <row r="72" spans="1:6" ht="18.75" customHeight="1">
      <c r="A72" s="38"/>
      <c r="B72" s="298"/>
      <c r="C72" s="299"/>
      <c r="D72" s="299"/>
      <c r="E72" s="299"/>
      <c r="F72" s="300"/>
    </row>
    <row r="73" spans="1:6" ht="18.75" customHeight="1">
      <c r="A73" s="38"/>
      <c r="B73" s="298"/>
      <c r="C73" s="299"/>
      <c r="D73" s="299"/>
      <c r="E73" s="299"/>
      <c r="F73" s="300"/>
    </row>
    <row r="74" spans="1:6" ht="18.75" customHeight="1">
      <c r="A74" s="38"/>
      <c r="B74" s="298"/>
      <c r="C74" s="299"/>
      <c r="D74" s="299"/>
      <c r="E74" s="299"/>
      <c r="F74" s="300"/>
    </row>
    <row r="75" spans="1:6" ht="18.75" customHeight="1">
      <c r="A75" s="38"/>
      <c r="B75" s="298"/>
      <c r="C75" s="299"/>
      <c r="D75" s="299"/>
      <c r="E75" s="299"/>
      <c r="F75" s="300"/>
    </row>
    <row r="76" spans="1:6" ht="18.75" customHeight="1">
      <c r="A76" s="38"/>
      <c r="B76" s="298"/>
      <c r="C76" s="299"/>
      <c r="D76" s="299"/>
      <c r="E76" s="299"/>
      <c r="F76" s="300"/>
    </row>
    <row r="77" spans="1:6" ht="18.75" customHeight="1">
      <c r="A77" s="38"/>
      <c r="B77" s="298"/>
      <c r="C77" s="299"/>
      <c r="D77" s="299"/>
      <c r="E77" s="299"/>
      <c r="F77" s="300"/>
    </row>
    <row r="78" spans="1:6" ht="18.75" customHeight="1">
      <c r="A78" s="38"/>
      <c r="B78" s="298"/>
      <c r="C78" s="299"/>
      <c r="D78" s="299"/>
      <c r="E78" s="299"/>
      <c r="F78" s="300"/>
    </row>
    <row r="79" spans="1:6" ht="18.75" customHeight="1">
      <c r="A79" s="38"/>
      <c r="B79" s="298"/>
      <c r="C79" s="299"/>
      <c r="D79" s="299"/>
      <c r="E79" s="299"/>
      <c r="F79" s="300"/>
    </row>
    <row r="80" spans="1:6" ht="18.75" customHeight="1">
      <c r="A80" s="38"/>
      <c r="B80" s="298"/>
      <c r="C80" s="299"/>
      <c r="D80" s="299"/>
      <c r="E80" s="299"/>
      <c r="F80" s="300"/>
    </row>
    <row r="81" spans="1:6" ht="18.75" customHeight="1">
      <c r="A81" s="38"/>
      <c r="B81" s="298"/>
      <c r="C81" s="299"/>
      <c r="D81" s="299"/>
      <c r="E81" s="299"/>
      <c r="F81" s="300"/>
    </row>
    <row r="82" spans="1:6" ht="18.75" customHeight="1">
      <c r="A82" s="38"/>
      <c r="B82" s="298"/>
      <c r="C82" s="299"/>
      <c r="D82" s="299"/>
      <c r="E82" s="299"/>
      <c r="F82" s="300"/>
    </row>
    <row r="83" spans="1:6" ht="18.75" customHeight="1">
      <c r="A83" s="38"/>
      <c r="B83" s="301"/>
      <c r="C83" s="302"/>
      <c r="D83" s="302"/>
      <c r="E83" s="302"/>
      <c r="F83" s="303"/>
    </row>
    <row r="84" spans="1:6" ht="18.75" customHeight="1">
      <c r="A84" s="4" t="s">
        <v>11</v>
      </c>
      <c r="B84" s="4" t="s">
        <v>74</v>
      </c>
      <c r="C84" s="4"/>
      <c r="D84" s="4"/>
      <c r="E84" s="4"/>
      <c r="F84" s="4"/>
    </row>
    <row r="85" spans="1:6" ht="18.75" customHeight="1">
      <c r="A85" s="38"/>
      <c r="B85" s="344"/>
      <c r="C85" s="296"/>
      <c r="D85" s="296"/>
      <c r="E85" s="296"/>
      <c r="F85" s="297"/>
    </row>
    <row r="86" spans="1:6" ht="18.75" customHeight="1">
      <c r="A86" s="38"/>
      <c r="B86" s="298"/>
      <c r="C86" s="299"/>
      <c r="D86" s="299"/>
      <c r="E86" s="299"/>
      <c r="F86" s="300"/>
    </row>
    <row r="87" spans="1:6" ht="18.75" customHeight="1">
      <c r="A87" s="38"/>
      <c r="B87" s="298"/>
      <c r="C87" s="299"/>
      <c r="D87" s="299"/>
      <c r="E87" s="299"/>
      <c r="F87" s="300"/>
    </row>
    <row r="88" spans="1:6" ht="18.75" customHeight="1">
      <c r="A88" s="38"/>
      <c r="B88" s="298"/>
      <c r="C88" s="299"/>
      <c r="D88" s="299"/>
      <c r="E88" s="299"/>
      <c r="F88" s="300"/>
    </row>
    <row r="89" spans="1:6" ht="18.75" customHeight="1">
      <c r="A89" s="38"/>
      <c r="B89" s="298"/>
      <c r="C89" s="299"/>
      <c r="D89" s="299"/>
      <c r="E89" s="299"/>
      <c r="F89" s="300"/>
    </row>
    <row r="90" spans="1:6" ht="18.75" customHeight="1">
      <c r="A90" s="38"/>
      <c r="B90" s="298"/>
      <c r="C90" s="299"/>
      <c r="D90" s="299"/>
      <c r="E90" s="299"/>
      <c r="F90" s="300"/>
    </row>
    <row r="91" spans="1:6" ht="18.75" customHeight="1">
      <c r="A91" s="38"/>
      <c r="B91" s="298"/>
      <c r="C91" s="299"/>
      <c r="D91" s="299"/>
      <c r="E91" s="299"/>
      <c r="F91" s="300"/>
    </row>
    <row r="92" spans="1:6" ht="18.75" customHeight="1">
      <c r="A92" s="38"/>
      <c r="B92" s="298"/>
      <c r="C92" s="299"/>
      <c r="D92" s="299"/>
      <c r="E92" s="299"/>
      <c r="F92" s="300"/>
    </row>
    <row r="93" spans="1:6" ht="18.75" customHeight="1">
      <c r="A93" s="38"/>
      <c r="B93" s="298"/>
      <c r="C93" s="299"/>
      <c r="D93" s="299"/>
      <c r="E93" s="299"/>
      <c r="F93" s="300"/>
    </row>
    <row r="94" spans="1:6" ht="18.75" customHeight="1">
      <c r="A94" s="38"/>
      <c r="B94" s="298"/>
      <c r="C94" s="299"/>
      <c r="D94" s="299"/>
      <c r="E94" s="299"/>
      <c r="F94" s="300"/>
    </row>
    <row r="95" spans="1:6" ht="18.75" customHeight="1">
      <c r="A95" s="38"/>
      <c r="B95" s="298"/>
      <c r="C95" s="299"/>
      <c r="D95" s="299"/>
      <c r="E95" s="299"/>
      <c r="F95" s="300"/>
    </row>
    <row r="96" spans="1:6" ht="18.75" customHeight="1">
      <c r="A96" s="38"/>
      <c r="B96" s="298"/>
      <c r="C96" s="299"/>
      <c r="D96" s="299"/>
      <c r="E96" s="299"/>
      <c r="F96" s="300"/>
    </row>
    <row r="97" spans="1:6" ht="18.75" customHeight="1">
      <c r="A97" s="38"/>
      <c r="B97" s="298"/>
      <c r="C97" s="299"/>
      <c r="D97" s="299"/>
      <c r="E97" s="299"/>
      <c r="F97" s="300"/>
    </row>
    <row r="98" spans="1:6" ht="18.75" customHeight="1">
      <c r="A98" s="38"/>
      <c r="B98" s="298"/>
      <c r="C98" s="299"/>
      <c r="D98" s="299"/>
      <c r="E98" s="299"/>
      <c r="F98" s="300"/>
    </row>
    <row r="99" spans="1:6" ht="18.75" customHeight="1">
      <c r="A99" s="38"/>
      <c r="B99" s="298"/>
      <c r="C99" s="299"/>
      <c r="D99" s="299"/>
      <c r="E99" s="299"/>
      <c r="F99" s="300"/>
    </row>
    <row r="100" spans="1:6" ht="18.75" customHeight="1">
      <c r="A100" s="38"/>
      <c r="B100" s="298"/>
      <c r="C100" s="299"/>
      <c r="D100" s="299"/>
      <c r="E100" s="299"/>
      <c r="F100" s="300"/>
    </row>
    <row r="101" spans="1:6" ht="18.75" customHeight="1">
      <c r="A101" s="38"/>
      <c r="B101" s="298"/>
      <c r="C101" s="299"/>
      <c r="D101" s="299"/>
      <c r="E101" s="299"/>
      <c r="F101" s="300"/>
    </row>
    <row r="102" spans="1:6" ht="18.75" customHeight="1">
      <c r="A102" s="38"/>
      <c r="B102" s="298"/>
      <c r="C102" s="299"/>
      <c r="D102" s="299"/>
      <c r="E102" s="299"/>
      <c r="F102" s="300"/>
    </row>
    <row r="103" spans="1:6" ht="18.75" customHeight="1">
      <c r="A103" s="38"/>
      <c r="B103" s="298"/>
      <c r="C103" s="299"/>
      <c r="D103" s="299"/>
      <c r="E103" s="299"/>
      <c r="F103" s="300"/>
    </row>
    <row r="104" spans="1:6" ht="18.75" customHeight="1">
      <c r="A104" s="38"/>
      <c r="B104" s="298"/>
      <c r="C104" s="299"/>
      <c r="D104" s="299"/>
      <c r="E104" s="299"/>
      <c r="F104" s="300"/>
    </row>
    <row r="105" spans="1:6" ht="18.75" customHeight="1">
      <c r="A105" s="38"/>
      <c r="B105" s="298"/>
      <c r="C105" s="299"/>
      <c r="D105" s="299"/>
      <c r="E105" s="299"/>
      <c r="F105" s="300"/>
    </row>
    <row r="106" spans="1:6" ht="18.75" customHeight="1">
      <c r="A106" s="38"/>
      <c r="B106" s="298"/>
      <c r="C106" s="299"/>
      <c r="D106" s="299"/>
      <c r="E106" s="299"/>
      <c r="F106" s="300"/>
    </row>
    <row r="107" spans="1:6" ht="18.75" customHeight="1">
      <c r="A107" s="38"/>
      <c r="B107" s="298"/>
      <c r="C107" s="299"/>
      <c r="D107" s="299"/>
      <c r="E107" s="299"/>
      <c r="F107" s="300"/>
    </row>
    <row r="108" spans="1:6" ht="18.75" customHeight="1">
      <c r="A108" s="38"/>
      <c r="B108" s="298"/>
      <c r="C108" s="299"/>
      <c r="D108" s="299"/>
      <c r="E108" s="299"/>
      <c r="F108" s="300"/>
    </row>
    <row r="109" spans="1:6" ht="18.75" customHeight="1">
      <c r="A109" s="38"/>
      <c r="B109" s="298"/>
      <c r="C109" s="299"/>
      <c r="D109" s="299"/>
      <c r="E109" s="299"/>
      <c r="F109" s="300"/>
    </row>
    <row r="110" spans="1:6" ht="18.75" customHeight="1">
      <c r="A110" s="38"/>
      <c r="B110" s="298"/>
      <c r="C110" s="299"/>
      <c r="D110" s="299"/>
      <c r="E110" s="299"/>
      <c r="F110" s="300"/>
    </row>
    <row r="111" spans="1:6" ht="18.75" customHeight="1">
      <c r="A111" s="38"/>
      <c r="B111" s="298"/>
      <c r="C111" s="299"/>
      <c r="D111" s="299"/>
      <c r="E111" s="299"/>
      <c r="F111" s="300"/>
    </row>
    <row r="112" spans="1:6" ht="18.75" customHeight="1">
      <c r="A112" s="38"/>
      <c r="B112" s="298"/>
      <c r="C112" s="299"/>
      <c r="D112" s="299"/>
      <c r="E112" s="299"/>
      <c r="F112" s="300"/>
    </row>
    <row r="113" spans="1:6" ht="18.75" customHeight="1">
      <c r="A113" s="38"/>
      <c r="B113" s="298"/>
      <c r="C113" s="299"/>
      <c r="D113" s="299"/>
      <c r="E113" s="299"/>
      <c r="F113" s="300"/>
    </row>
    <row r="114" spans="1:6" ht="18.75" customHeight="1">
      <c r="A114" s="38"/>
      <c r="B114" s="298"/>
      <c r="C114" s="299"/>
      <c r="D114" s="299"/>
      <c r="E114" s="299"/>
      <c r="F114" s="300"/>
    </row>
    <row r="115" spans="1:6" ht="18.75" customHeight="1">
      <c r="A115" s="38"/>
      <c r="B115" s="298"/>
      <c r="C115" s="299"/>
      <c r="D115" s="299"/>
      <c r="E115" s="299"/>
      <c r="F115" s="300"/>
    </row>
    <row r="116" spans="1:6" ht="18.75" customHeight="1">
      <c r="A116" s="38"/>
      <c r="B116" s="298"/>
      <c r="C116" s="299"/>
      <c r="D116" s="299"/>
      <c r="E116" s="299"/>
      <c r="F116" s="300"/>
    </row>
    <row r="117" spans="1:6" ht="18.75" customHeight="1">
      <c r="A117" s="38"/>
      <c r="B117" s="298"/>
      <c r="C117" s="299"/>
      <c r="D117" s="299"/>
      <c r="E117" s="299"/>
      <c r="F117" s="300"/>
    </row>
    <row r="118" spans="1:6" ht="18.75" customHeight="1">
      <c r="A118" s="38"/>
      <c r="B118" s="298"/>
      <c r="C118" s="299"/>
      <c r="D118" s="299"/>
      <c r="E118" s="299"/>
      <c r="F118" s="300"/>
    </row>
    <row r="119" spans="1:6" ht="18.75" customHeight="1">
      <c r="A119" s="38"/>
      <c r="B119" s="298"/>
      <c r="C119" s="299"/>
      <c r="D119" s="299"/>
      <c r="E119" s="299"/>
      <c r="F119" s="300"/>
    </row>
    <row r="120" spans="1:6" ht="18.75" customHeight="1">
      <c r="A120" s="38"/>
      <c r="B120" s="298"/>
      <c r="C120" s="299"/>
      <c r="D120" s="299"/>
      <c r="E120" s="299"/>
      <c r="F120" s="300"/>
    </row>
    <row r="121" spans="1:6" ht="18.75" customHeight="1">
      <c r="A121" s="38"/>
      <c r="B121" s="298"/>
      <c r="C121" s="299"/>
      <c r="D121" s="299"/>
      <c r="E121" s="299"/>
      <c r="F121" s="300"/>
    </row>
    <row r="122" spans="1:6" ht="18.75" customHeight="1">
      <c r="A122" s="38"/>
      <c r="B122" s="298"/>
      <c r="C122" s="299"/>
      <c r="D122" s="299"/>
      <c r="E122" s="299"/>
      <c r="F122" s="300"/>
    </row>
    <row r="123" spans="1:6" ht="18.75" customHeight="1">
      <c r="A123" s="38"/>
      <c r="B123" s="298"/>
      <c r="C123" s="299"/>
      <c r="D123" s="299"/>
      <c r="E123" s="299"/>
      <c r="F123" s="300"/>
    </row>
    <row r="124" spans="1:6" ht="18.75" customHeight="1">
      <c r="A124" s="38"/>
      <c r="B124" s="301"/>
      <c r="C124" s="302"/>
      <c r="D124" s="302"/>
      <c r="E124" s="302"/>
      <c r="F124" s="303"/>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2022-05-16T08:54:55Z</cp:lastPrinted>
  <dcterms:created xsi:type="dcterms:W3CDTF">2011-06-14T05:32:50Z</dcterms:created>
  <dcterms:modified xsi:type="dcterms:W3CDTF">2022-06-14T08:49:02Z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