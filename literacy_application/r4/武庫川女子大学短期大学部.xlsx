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Kymsv1\kym_home\14共通教育\0_会議運営(4月ー3月)\0_1_データサイエンス・AI委員会\令和４年度データサイエンス認定制度申請書類\01(武庫川女子大学短期大学部)_リテラシー （再提出）\"/>
    </mc:Choice>
  </mc:AlternateContent>
  <bookViews>
    <workbookView xWindow="0" yWindow="0" windowWidth="28800" windowHeight="12210" tabRatio="885"/>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<sst xmlns="http://schemas.openxmlformats.org/spreadsheetml/2006/main" count="331" uniqueCount="220">
  <si>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</si>
  <si>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</si>
  <si>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</si>
  <si>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</si>
  <si>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</si>
  <si>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</si>
  <si>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</si>
  <si>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</si>
  <si>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</si>
  <si>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</si>
  <si>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</si>
  <si>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</si>
  <si>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</si>
  <si>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</si>
  <si>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</si>
  <si>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</si>
  <si>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</si>
  <si>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</si>
  <si>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</si>
  <si>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</si>
  <si>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</si>
  <si>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</si>
  <si>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</si>
  <si>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</si>
  <si>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</si>
  <si>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</si>
  <si>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</si>
  <si>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</si>
  <si>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</si>
  <si>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</si>
  <si>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</si>
  <si>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</si>
  <si>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</si>
  <si>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</si>
  <si>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</si>
  <si>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</si>
  <si>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</si>
  <si>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</si>
  <si>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</si>
  <si>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</si>
  <si>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</si>
  <si>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</si>
  <si>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</si>
  <si>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</si>
  <si>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</si>
  <si>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</si>
  <si>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</si>
  <si>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</si>
  <si>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</si>
  <si>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</si>
  <si>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</si>
  <si>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</si>
  <si>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</si>
  <si>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</si>
  <si>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</si>
  <si>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</si>
  <si>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</si>
  <si>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</si>
  <si>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</si>
  <si>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</si>
  <si>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</si>
  <si>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</si>
  <si>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</si>
  <si>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</si>
  <si>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</si>
  <si>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</si>
  <si>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</si>
  <si>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</si>
  <si>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</si>
  <si>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</si>
  <si>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</si>
  <si>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</si>
  <si>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</si>
  <si>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</si>
  <si>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</si>
  <si>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</si>
  <si>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</si>
  <si>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</si>
  <si>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</si>
  <si>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</si>
  <si>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</si>
  <si>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</si>
  <si>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</si>
  <si>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</si>
  <si>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</si>
  <si>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</si>
  <si>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</si>
  <si>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</si>
  <si>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</si>
  <si>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</si>
  <si>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</si>
  <si>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</si>
  <si>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</si>
  <si>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</si>
  <si>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</si>
  <si>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</si>
  <si>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</si>
  <si>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</si>
  <si>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</si>
  <si>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</si>
  <si>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</si>
  <si>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</si>
  <si>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</si>
  <si>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</si>
  <si>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</si>
  <si>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</si>
  <si>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</si>
  <si>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</si>
  <si>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</si>
  <si>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</si>
  <si>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</si>
  <si>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</si>
  <si>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</si>
  <si>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</si>
  <si>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</si>
  <si>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</si>
  <si>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</si>
  <si>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</si>
  <si>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</si>
  <si>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</si>
  <si>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</si>
  <si>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</si>
  <si>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</si>
  <si>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</si>
  <si>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</si>
  <si>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</si>
  <si>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</si>
  <si>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</si>
  <si>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</si>
  <si>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</si>
  <si>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</si>
  <si>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</si>
  <si>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</si>
  <si>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</si>
  <si>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</si>
  <si>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</si>
  <si>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</si>
  <si>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</si>
  <si>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</si>
  <si>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</si>
  <si>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</si>
  <si>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</si>
  <si>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</si>
  <si>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</si>
  <si>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</si>
  <si>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</si>
  <si>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</si>
  <si>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</si>
  <si>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</si>
  <si>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</si>
  <si>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</si>
  <si>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</si>
  <si>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</si>
  <si>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</si>
  <si>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学校法人　武庫川学院</t>
    <rPh sb="0" eb="4">
      <t>ガッコウホウジン</t>
    </rPh>
    <rPh sb="5" eb="8">
      <t>ムコガワ</t>
    </rPh>
    <rPh sb="8" eb="10">
      <t>ガクイン</t>
    </rPh>
    <phoneticPr fontId="1"/>
  </si>
  <si>
    <t>令和３</t>
    <rPh sb="0" eb="2">
      <t>レイワ</t>
    </rPh>
    <phoneticPr fontId="1"/>
  </si>
  <si>
    <t>無</t>
  </si>
  <si>
    <t>委員長</t>
    <rPh sb="0" eb="3">
      <t>イインチョウ</t>
    </rPh>
    <phoneticPr fontId="1"/>
  </si>
  <si>
    <t>共通教育部　データサイエンス学習支援ルーム</t>
    <rPh sb="0" eb="5">
      <t>キョウツウキョウイクブ</t>
    </rPh>
    <rPh sb="14" eb="16">
      <t>ガクシュウ</t>
    </rPh>
    <rPh sb="16" eb="18">
      <t>シエン</t>
    </rPh>
    <phoneticPr fontId="1"/>
  </si>
  <si>
    <t>dsinfo@mukogawa-u.ac.jp</t>
    <phoneticPr fontId="1"/>
  </si>
  <si>
    <t>0798-45-9721</t>
    <phoneticPr fontId="1"/>
  </si>
  <si>
    <t>データリテラシー・AIの基礎</t>
    <phoneticPr fontId="1"/>
  </si>
  <si>
    <t>○</t>
  </si>
  <si>
    <t>全学開講</t>
  </si>
  <si>
    <t>○</t>
    <phoneticPr fontId="1"/>
  </si>
  <si>
    <t>認定教育プログラムと認定教育プログラム+（プラス）</t>
  </si>
  <si>
    <t>学部・学科によって、修了要件は相違しない</t>
  </si>
  <si>
    <t>・ビッグデータ、IoT 、 AI 、ロボット「データリテラシー・AIの基礎」（1回目）
・データ量の増加、計算機の処理性能の向上、AI の非連続的進化「データリテラシー・AIの基礎」（1回目）
・第4 次産業革命、 Society 5.0 、 データ駆動型社会「データリテラシー・AIの基礎」（2回目）
・複数技術を組み合わせたAIサービス「データリテラシー・AIの基礎」（1回目）
・人間の知的活動とAIの関係性「データリテラシー・AIの基礎」（1回目）</t>
    <rPh sb="35" eb="37">
      <t>キソ</t>
    </rPh>
    <rPh sb="40" eb="42">
      <t>カイメ</t>
    </rPh>
    <rPh sb="69" eb="70">
      <t>ヒ</t>
    </rPh>
    <rPh sb="148" eb="150">
      <t>フクスウ</t>
    </rPh>
    <rPh sb="150" eb="152">
      <t>ギジュツ</t>
    </rPh>
    <rPh sb="153" eb="154">
      <t>ク</t>
    </rPh>
    <rPh sb="155" eb="156">
      <t>ア</t>
    </rPh>
    <phoneticPr fontId="1"/>
  </si>
  <si>
    <t>・AI等を活用した新しいビジネスモデル(シェアリングエコノミー、商品のレコメンデーションなど)「データリテラシー・AIの基礎」（7回目）
・AI最新技術の活用例（深層生成モデル、敵対的生成ネットワーク、強化学習、転移学習など）「データリテラシー・AIの基礎」（4回目）</t>
    <phoneticPr fontId="1"/>
  </si>
  <si>
    <t>・調査データ、実験データ、人の行動ログデータ、機械の稼働ログデータなど「データリテラシー・AIの基礎」（3回目）
・1次データ、2次データ、データのメタ化「データリテラシー・AIの基礎」（3回目）
・構造化データ、非構造化データ（文章、画像/動画、音声/音楽など）「データリテラシー・AIの基礎」（3回目）
・データのオープン化（オープンデータ）「データリテラシー・AIの基礎」（3回目）</t>
    <phoneticPr fontId="1"/>
  </si>
  <si>
    <t>・データ・AI活用領域の広がり(生産、消費、文化活動など)「データリテラシー・AIの基礎」（7回目）
・研究開発、調達、製造、物流、販売、マーケティング、サービスなど「データリテラシー・AIの基礎」（7回目）
・仮説検証、知識発見、原因究明、計画策定、判断支援、活動代替、新規生成など「データリテラシー・AIの基礎」（6回目）</t>
    <phoneticPr fontId="1"/>
  </si>
  <si>
    <t>・データサイエンスのサイクル（課題抽出と定式化、データの取得・管理・加工、探索的データ解析、データ解析と推論、結果の共有・伝達、課題解決に向けた提案）「データリテラシー・AIの基礎」（6回目）
・流通、製造、金融、サービス、インフラ、公共、ヘルスケア等におけるデータ・AI利活用事例紹介「データリテラシー・AIの基礎」（7回目）</t>
    <phoneticPr fontId="1"/>
  </si>
  <si>
    <t>AI・データサイエンスの必要性を説明できる。社会で活用されているデータ・AI活用の事例を示すことができる。データを処理する際の考え方を説明できる。データ・AIを扱う上での留意事項を説明できる。</t>
    <phoneticPr fontId="1"/>
  </si>
  <si>
    <t>日本語文化学科</t>
    <rPh sb="0" eb="3">
      <t>ニホンゴ</t>
    </rPh>
    <rPh sb="3" eb="5">
      <t>ブンカ</t>
    </rPh>
    <rPh sb="5" eb="7">
      <t>ガッカ</t>
    </rPh>
    <phoneticPr fontId="1"/>
  </si>
  <si>
    <t>英語キャリア・コミュニケーション学科</t>
    <rPh sb="0" eb="2">
      <t>エイゴ</t>
    </rPh>
    <rPh sb="16" eb="18">
      <t>ガッカ</t>
    </rPh>
    <phoneticPr fontId="1"/>
  </si>
  <si>
    <t>幼児教育学科</t>
    <rPh sb="0" eb="2">
      <t>ヨウジ</t>
    </rPh>
    <rPh sb="2" eb="4">
      <t>キョウイク</t>
    </rPh>
    <rPh sb="4" eb="6">
      <t>ガッカ</t>
    </rPh>
    <phoneticPr fontId="1"/>
  </si>
  <si>
    <t>心理・人間関係学科</t>
    <rPh sb="0" eb="2">
      <t>シンリ</t>
    </rPh>
    <rPh sb="3" eb="5">
      <t>ニンゲン</t>
    </rPh>
    <rPh sb="5" eb="7">
      <t>カンケイ</t>
    </rPh>
    <rPh sb="7" eb="9">
      <t>ガッカ</t>
    </rPh>
    <phoneticPr fontId="1"/>
  </si>
  <si>
    <t>健康・スポーツ学科</t>
    <rPh sb="0" eb="2">
      <t>ケンコウ</t>
    </rPh>
    <rPh sb="7" eb="9">
      <t>ガッカ</t>
    </rPh>
    <phoneticPr fontId="1"/>
  </si>
  <si>
    <t>食生活学科</t>
    <rPh sb="0" eb="3">
      <t>ショクセイカツ</t>
    </rPh>
    <rPh sb="3" eb="5">
      <t>ガッカ</t>
    </rPh>
    <phoneticPr fontId="1"/>
  </si>
  <si>
    <t>生活造形学科</t>
    <rPh sb="0" eb="2">
      <t>セイカツ</t>
    </rPh>
    <rPh sb="2" eb="4">
      <t>ゾウケイ</t>
    </rPh>
    <rPh sb="4" eb="6">
      <t>ガッカ</t>
    </rPh>
    <phoneticPr fontId="1"/>
  </si>
  <si>
    <t>武庫川女子大学短期大学部</t>
    <rPh sb="0" eb="7">
      <t>ムコガワジョシダイガク</t>
    </rPh>
    <rPh sb="7" eb="10">
      <t>タンキダイ</t>
    </rPh>
    <rPh sb="10" eb="12">
      <t>ガクブ</t>
    </rPh>
    <phoneticPr fontId="1"/>
  </si>
  <si>
    <t>兵庫県西宮市池開町6-46</t>
    <rPh sb="0" eb="3">
      <t>ヒョウゴケン</t>
    </rPh>
    <rPh sb="3" eb="6">
      <t>ニシノミヤシ</t>
    </rPh>
    <rPh sb="6" eb="9">
      <t>イケビラキチョウ</t>
    </rPh>
    <phoneticPr fontId="1"/>
  </si>
  <si>
    <t>データサイエンス・AI　リテラシー教育プログラム</t>
    <rPh sb="17" eb="19">
      <t>キョウイク</t>
    </rPh>
    <phoneticPr fontId="1"/>
  </si>
  <si>
    <t>　データサイエンス・AI教育運営委員会は、データサイエンス学習の実施計画立案や意思決定等に資する既存の学習コンテンツ及び各学科において今後収集される学生個々の学習進捗状況を組織的に収集・分析し、学生の修学やデータサイエンス教育の質的向上を図ることを主たる目的とする。授業実施計画や分析結果による方策は、共通教育委員会あるいは関連部局等へ報告、または提案を行う。</t>
    <phoneticPr fontId="1"/>
  </si>
  <si>
    <t xml:space="preserve">データサイエンス・AI教育運営委員長（共通教育部　講師）長谷川裕紀
副学長　山﨑彰
共通教育部　教授　　　茅野宏明
　　　　　　　　 准教授　 古野貢
教育学部　　 教授　　　崎山ゆかり
音楽学部　　 准教授　 大森地塩
教務部共通教育担当  藤田圭子、櫻井尚美
データサイエンス学習支援ルーム　濱谷英次、大谷光一
</t>
    <phoneticPr fontId="1"/>
  </si>
  <si>
    <t>　「データリテラシー・AIの基礎」は全15回オンデマンド型授業として開講し、LMS上ではいつでも教材を視聴・閲覧することができるようになっている。また、データサイエンス学習支援ルームの専任スタッフが、学生からの質問や受講上のトラブルに対して即時的に対応する体制をとっている。また、授業内容の理解が十分ではない学生に対しては補習を実施し、理解を促すことで可能な限り単位未修得者を出さないようにしている。</t>
    <phoneticPr fontId="1"/>
  </si>
  <si>
    <t>　「データリテラシー・AIの基礎」を円滑に実施するために「データサイエンス学習支援ルーム」を設置し、2名体制で授業内容に関する質問、LMSの使い方、Excelの演習に関する質問等に対応している。また、確認テストやExcelの演習に関しては正解と解説などをフィードバックすることで復習を促している。また、受講生はLMSで管理し、LMSのメッセージ機能で送られた質問は学習支援ルームの担当者が担当教員と連携し、返答する体制を構築している。</t>
    <phoneticPr fontId="1"/>
  </si>
  <si>
    <t>　データサイエンス・AI教育運営委員会が、LMS（Google Classroom）およびオンラインアンケート（Google Forms）を活用して本教育プログラムの履修・修得状況を確認している。「データリテラシー・AIの基礎」では、全15回の講義で確認テストを課し、さらに「データリテラシー（第8回～第13回）」ではExcelを用いたデータ解析を課している。そのため、LMSに蓄積されたデータから個々の学生の課題提出状況や理解度を週単位で把握することができる。理解度が十分ではない学生に対しては共通教育委員・クラス担任を通して学生と連絡をとり、必要に応じて補習を実施することで、履修を支援している。</t>
    <phoneticPr fontId="1"/>
  </si>
  <si>
    <t>　「データリテラシー・AIの基礎」では、全15回の講義終了後に全受講生に対してオンラインアンケート調査を行い、各回の授業内容の理解度、教材や課題の適切性、Excelに関する知識とスキル、データサイエンスやAIへの関心度等に関する学生の評価を収集している。また、データサイエンス学習支援ルームでは、確認テストの全設問に対する回答の分布を調べ、学科別の正答率の比較を行った。これらの分析結果は、データサイエンス・AI教育運営委員会へフィードバックし、本プログラムの評価・改善に活用している。</t>
    <phoneticPr fontId="1"/>
  </si>
  <si>
    <t>　「データリテラシー・ＡＩの基礎」は全学必修科目であるため、本学に入学すると全員が受講しなければならない。したがって、後輩学生等への推奨度については確認していないが、本科目のホームページには、受講生の声を掲載し、科目の特徴や身に付いた知識・スキルをわかりやすく紹介している。また、2023年度入学生の向けのキャンパスガイドでは、2ページにわたって本プログラムの内容を紹介し、科目の目的や内容とともに、受講生の感想を紹介している。</t>
    <phoneticPr fontId="1"/>
  </si>
  <si>
    <t>　本学の非常勤講師（企業所属）を対象として、本プログラムの内容について「企業の現状」、「グローバル化」、「女性活躍推進」など多様な視点から意見を伺い、その結果を「データサイエンス・AI教育運営委員会」において共有し、講義内容の改善に活用している。本学は女子総合大学であることから、今後学生の就職先として想定される様々な分野の企業に対してアンケート調査を実施することで、幅広い分野からの意見を参考に改善を図っていく予定である。</t>
    <phoneticPr fontId="1"/>
  </si>
  <si>
    <t>　本プログラムは、全てオンデマンド型授業であるため、いつでも、どこでも、何回でも繰り返して教材を視聴できる特徴がある。個々に理解が難しい点は異なるが、学生個人がそれぞれの状況に合わせて学習することで、理解度の向上を図ることができる。また、本学は人文・社会科学・自然科学・芸術系の学部・学科からなる総合大学のため、授業内で取り上げる事例についても、なるべく広範囲の分野を扱い、専門分野との関連性を考えられるようにしている。
　データサイエンス学習支援ルームでは、オンラインで行った全受講学生へのアンケート結果をもとにして、学生の「分かりやすさ」の観点から講義の内容・実施方法の見直しを検討している。</t>
    <rPh sb="1" eb="2">
      <t>ホン</t>
    </rPh>
    <rPh sb="9" eb="10">
      <t>スベ</t>
    </rPh>
    <rPh sb="17" eb="20">
      <t>ガタジュギョウ</t>
    </rPh>
    <rPh sb="36" eb="38">
      <t>ナンカイ</t>
    </rPh>
    <rPh sb="40" eb="41">
      <t>ク</t>
    </rPh>
    <rPh sb="42" eb="43">
      <t>カエ</t>
    </rPh>
    <rPh sb="45" eb="47">
      <t>キョウザイ</t>
    </rPh>
    <rPh sb="48" eb="50">
      <t>シチョウ</t>
    </rPh>
    <rPh sb="53" eb="55">
      <t>トクチョウ</t>
    </rPh>
    <rPh sb="59" eb="61">
      <t>ココ</t>
    </rPh>
    <rPh sb="62" eb="64">
      <t>リカイ</t>
    </rPh>
    <rPh sb="65" eb="66">
      <t>ムズカ</t>
    </rPh>
    <rPh sb="68" eb="69">
      <t>テン</t>
    </rPh>
    <rPh sb="70" eb="71">
      <t>コト</t>
    </rPh>
    <rPh sb="75" eb="77">
      <t>ガクセイ</t>
    </rPh>
    <rPh sb="77" eb="79">
      <t>コジン</t>
    </rPh>
    <rPh sb="85" eb="87">
      <t>ジョウキョウ</t>
    </rPh>
    <rPh sb="88" eb="89">
      <t>ア</t>
    </rPh>
    <rPh sb="92" eb="94">
      <t>ガクシュウ</t>
    </rPh>
    <rPh sb="100" eb="102">
      <t>リカイ</t>
    </rPh>
    <rPh sb="102" eb="103">
      <t>ド</t>
    </rPh>
    <rPh sb="104" eb="106">
      <t>コウジョウ</t>
    </rPh>
    <rPh sb="107" eb="108">
      <t>ハカ</t>
    </rPh>
    <rPh sb="220" eb="222">
      <t>ガクシュウ</t>
    </rPh>
    <rPh sb="222" eb="224">
      <t>シエン</t>
    </rPh>
    <rPh sb="236" eb="237">
      <t>オコナ</t>
    </rPh>
    <rPh sb="239" eb="240">
      <t>ゼン</t>
    </rPh>
    <rPh sb="240" eb="244">
      <t>ジュコウガクセイ</t>
    </rPh>
    <rPh sb="251" eb="253">
      <t>ケッカ</t>
    </rPh>
    <phoneticPr fontId="1"/>
  </si>
  <si>
    <t>　本プログラムは、「リテラシーレベル」の教育プログラムとして全学必修のプログラムとなっている。AI・データサイエンスに関して興味・関心を持ち、AI時代に身に付けておくべき知識・技能（新たな読み書きそろばん）を習得し、日常や仕事の場で使いこなせるようになることを目的としている。第8回から第13回の「データリテラシー」では、知識を獲得するだけではなく、毎回Excelを用いた演習課題に取り組み、例題データの分析に取り組んでいる。
・分かりやすさについて
　「データリテラシー・AIの基礎」は、オンデマンド型授業であるため、学生はいつでも、どこでも、何回でも教材を視聴することが可能であり、学生は理解度に応じて反復学習することができる。
・学習意欲が高まる内容について
　幅広い背景を持つ学生に対して、学生の興味・関心が強いスマートフォンやSNSなどを講義内容として取り上げることで、学習意欲の向上を図っている。また、「データリテラシー（第8回～第13回）」では、毎回Excelを用いた課題演習を行っている。6回の演習で実践的なデータ分析の基礎を身につけることで、知識とスキルの両方が必要なことを実感させ、学習意欲を高めている。
・学生の習熟度や専門性に応じた授業選択について
　本プログラムは、様々な分野に通底するリテラシー教育に重点を置き、授業科目「データリテラシー・AIの基礎」は全学必修としている。講義資料としては、映像教材が中心となるが、内容に関して補足資料を適宜用意し、参考となるホームページやデータ等を紹介することで学生が主体的に学習を進められるようにしている。</t>
    <phoneticPr fontId="1"/>
  </si>
  <si>
    <t>　本プログラムでは、以下の独自の学習支援を実施している。
・LMSによる一括管理と学習支援
　受講生の履修管理、課題提出、授業アンケートなどをLMS（Google Classroom）上で一括して管理し、データサイエンス学習支援ルームが受講生の理解度・習熟度を的確に把握することによりそれぞれの受講生に応じた適切な指導が可能となっている。
・補完的な教育の実施について
　「データリテラシー・AIの基礎」はオンデマンド型授業であり、各回の教材はいつでも、何回でも視聴することができ、学生は理解度・習熟度に応じて反復学習することが可能となっている。また、確認テスト、Excelの演習課題の評価より、授業内容の理解が十分ではない学生に対しては補習を実施している。
・学修成果の可視化等の導入について
　データサイエンス学習支援ルームが、LMS上で管理しているデータから、課題の提出状況や得点率について評価・分析を行い、「データサイエンス・AI教育運営委員会」にて共有している。</t>
    <phoneticPr fontId="1"/>
  </si>
  <si>
    <t>　本プログラムでは、以下のような地域連携、産業界との連携に取り組む予定である。
・地域連携
　本学が所在する西宮市のオープンデータを利用したデータ分析を取り入れることで、地域の実データから課題を発見するなど、より実践的な演習を行う予定である。
・産業界との連携
　すでに本学の非常勤講師（企業所属）を対象として、本プログラムに関する意見集約を行っているが、さらに今後学生の就職先として想定される様々な分野の企業に対してアンケート調査を実施することで、幅広い分野からの意見を参考に改善を図っていく予定である。
　また、本学と連携協定を締結している「西宮商工会議所」と連携し、本プログラムを評価する体制を構築し、企業から講義内容に関するフィードバックを受けることで、授業改善につなげていく計画である。</t>
    <phoneticPr fontId="1"/>
  </si>
  <si>
    <t>・情報セキュリティ：機密性、完全性、可用性「データリテラシー・AIの基礎」（15回目）
・匿名加工情報、暗号化、パスワード、悪意ある情報搾取「データリテラシー・AIの基礎」（15回目）
・情報漏洩等によるセキュリティ事故の事例紹介「データリテラシー・AIの基礎」（15回目）</t>
    <phoneticPr fontId="1"/>
  </si>
  <si>
    <t>・データの種類（量的変数、質的変数）「データリテラシー・AIの基礎」（8回目）
・データの分布(ヒストグラム)と代表値（平均値、中央値、最頻値）「データリテラシー・AIの基礎」（9回目）
・代表値の性質の違い（実社会では平均値＝最頻値でないことが多い）「データリテラシー・AIの基礎」（10回目）
・データのばらつき（分散、標準偏差、偏差値）「データリテラシー・AIの基礎」（10回目）
・観測データに含まれる誤差の扱い「データリテラシー・AIの基礎」（13回目）
・層別の必要なデータ「データリテラシー・AIの基礎」（12回目）
・相関と因果（相関係数、擬似相関、交絡）「データリテラシー・AIの基礎」（12回目）
・母集団と標本抽出（国勢調査、アンケート調査、全数調査、単純無作為抽出、層別抽出、多段抽出）「データリテラシー・AIの基礎」（13回目）
・クロス集計表、分割表、相関係数行列、散布図行列「データリテラシー・AIの基礎」（11回目）
・統計情報の正しい理解（誇張表現に惑わされない）「データリテラシー・AIの基礎」（8回目）</t>
    <phoneticPr fontId="1"/>
  </si>
  <si>
    <t>・データ表現（棒グラフ、折線グラフ、散布図、ヒートマップ）「データリテラシー・AIの基礎」（9回目）
・データの図表表現（チャート化）「データリテラシー・AIの基礎」（8回目）
・データの比較（ランダム化比較試験)「データリテラシー・AIの基礎」（12回目）
・不適切なグラフ表現（チャートジャンク、不必要な視覚的要素）「データリテラシー・AIの基礎」（8回目）</t>
    <rPh sb="101" eb="102">
      <t>カ</t>
    </rPh>
    <rPh sb="102" eb="106">
      <t>ヒカクシケン</t>
    </rPh>
    <phoneticPr fontId="1"/>
  </si>
  <si>
    <t>古野　貢</t>
    <rPh sb="0" eb="4">
      <t>フルノ</t>
    </rPh>
    <phoneticPr fontId="1"/>
  </si>
  <si>
    <t>　「データリテラシー・AIの基礎」では、全15回の講義終了後に全受講生に対してオンラインアンケート調査を行い、各回の授業内容の理解度、教材や課題の適切性、Excelに関する知識とスキル、データサイエンスやAIへの関心度等に関する学生の評価を収集している。その結果、授業内容は適切であると評価され、課題の難易度・分量も適切であるとの回答が大半であった。また、授業形態（オンデマンド型授業）についてもメリットがあると感じている学生が大半であった（約95%）。自由記述の感想では、今後のデータサイエンスやAIに関するさらなる学習に意欲的なコメントも多くみられた。</t>
    <phoneticPr fontId="1"/>
  </si>
  <si>
    <t>・非構造化データ処理：言語処理、画像/動画処理、音声/音楽処理など「データリテラシー・AIの基礎」（5回目）
・特化型AIと汎用AI、今のAIで出来ることと出来ないこと、AIとビッグデータ「データリテラシー・AIの基礎」（4回目）</t>
    <phoneticPr fontId="1"/>
  </si>
  <si>
    <t>https://kyotsu.mukogawa-u.ac.jp/ai-guide/ai-program.html</t>
    <phoneticPr fontId="1"/>
  </si>
  <si>
    <t>https://kyotsu.mukogawa-u.ac.jp/images/selfcheck2.pdf</t>
    <phoneticPr fontId="1"/>
  </si>
  <si>
    <t>　令和３年度より、本プログラムの授業科目「データリテラシー・AIの基礎」は全学必修科目として開講しており、同年度以降の入学者はすべて本プログラムを履修することとなる。したがって、学科を問わず全学生が受講し、令和４年度には100％になる見込みである。</t>
    <phoneticPr fontId="1"/>
  </si>
  <si>
    <t>　本学短期大学部は7学科を有し、文系・理系など幅広い背景を持つ学生がいるため、時事や現代社会のトレンドを取り上げるとともに、学生の興味・関心が強いスマートフォンやSNSなどを講義内容として取り上げている。また、座学だけではなく、Excelの演習を取り入れることによって、データ分析がどのように役に立つのかを実感し、学ぶことの意義を理解するようにしている。
　講義内容に関する感想を毎回収集することで、学生が講義内容のどのような点に関心を持ったのか、理解が難しかった内容はどこなのかを評価し、「データサイエンス・AI教育運営委員会」で共有することで次年度に向けた改善を図っている。</t>
    <rPh sb="1" eb="3">
      <t>ホンガク</t>
    </rPh>
    <rPh sb="3" eb="5">
      <t>タンキ</t>
    </rPh>
    <rPh sb="5" eb="7">
      <t>ダイガク</t>
    </rPh>
    <rPh sb="7" eb="8">
      <t>ブ</t>
    </rPh>
    <rPh sb="10" eb="12">
      <t>ガッカ</t>
    </rPh>
    <rPh sb="13" eb="14">
      <t>ユウ</t>
    </rPh>
    <rPh sb="16" eb="18">
      <t>ブンケイ</t>
    </rPh>
    <rPh sb="19" eb="21">
      <t>リケイ</t>
    </rPh>
    <rPh sb="23" eb="25">
      <t>ハバヒロ</t>
    </rPh>
    <rPh sb="26" eb="28">
      <t>ハイケイ</t>
    </rPh>
    <rPh sb="29" eb="30">
      <t>モ</t>
    </rPh>
    <rPh sb="31" eb="33">
      <t>ガクセイ</t>
    </rPh>
    <rPh sb="39" eb="41">
      <t>ジジ</t>
    </rPh>
    <rPh sb="42" eb="44">
      <t>ゲンダイ</t>
    </rPh>
    <rPh sb="44" eb="46">
      <t>シャカイ</t>
    </rPh>
    <rPh sb="52" eb="53">
      <t>ト</t>
    </rPh>
    <rPh sb="54" eb="55">
      <t>ア</t>
    </rPh>
    <rPh sb="87" eb="91">
      <t>コウギナイヨウ</t>
    </rPh>
    <rPh sb="94" eb="95">
      <t>ト</t>
    </rPh>
    <rPh sb="96" eb="97">
      <t>ア</t>
    </rPh>
    <rPh sb="105" eb="107">
      <t>ザガク</t>
    </rPh>
    <rPh sb="121" eb="123">
      <t>エンシュウ</t>
    </rPh>
    <rPh sb="124" eb="125">
      <t>ト</t>
    </rPh>
    <rPh sb="126" eb="127">
      <t>イ</t>
    </rPh>
    <rPh sb="139" eb="141">
      <t>ブンセキ</t>
    </rPh>
    <rPh sb="147" eb="148">
      <t>ヤク</t>
    </rPh>
    <rPh sb="149" eb="150">
      <t>タ</t>
    </rPh>
    <rPh sb="154" eb="156">
      <t>ジッカン</t>
    </rPh>
    <rPh sb="158" eb="159">
      <t>マナ</t>
    </rPh>
    <rPh sb="163" eb="165">
      <t>イギ</t>
    </rPh>
    <rPh sb="166" eb="168">
      <t>リカイ</t>
    </rPh>
    <rPh sb="180" eb="182">
      <t>コウギ</t>
    </rPh>
    <rPh sb="182" eb="184">
      <t>ナイヨウ</t>
    </rPh>
    <rPh sb="185" eb="186">
      <t>カン</t>
    </rPh>
    <rPh sb="188" eb="190">
      <t>カンソウ</t>
    </rPh>
    <rPh sb="191" eb="193">
      <t>マイカイ</t>
    </rPh>
    <rPh sb="193" eb="195">
      <t>シュウシュウ</t>
    </rPh>
    <rPh sb="201" eb="203">
      <t>ガクセイ</t>
    </rPh>
    <rPh sb="204" eb="206">
      <t>コウギ</t>
    </rPh>
    <rPh sb="206" eb="208">
      <t>ナイヨウ</t>
    </rPh>
    <rPh sb="214" eb="215">
      <t>テン</t>
    </rPh>
    <rPh sb="216" eb="218">
      <t>カンシン</t>
    </rPh>
    <rPh sb="219" eb="220">
      <t>モ</t>
    </rPh>
    <rPh sb="225" eb="227">
      <t>リカイ</t>
    </rPh>
    <rPh sb="228" eb="229">
      <t>ムズカ</t>
    </rPh>
    <rPh sb="233" eb="235">
      <t>ナイヨウ</t>
    </rPh>
    <rPh sb="242" eb="244">
      <t>ヒョウカ</t>
    </rPh>
    <phoneticPr fontId="1"/>
  </si>
  <si>
    <t>データサイエンス・AI教育運営委員会規程</t>
    <rPh sb="11" eb="13">
      <t>キョウイク</t>
    </rPh>
    <rPh sb="13" eb="15">
      <t>ウンエイ</t>
    </rPh>
    <rPh sb="15" eb="18">
      <t>イインカイ</t>
    </rPh>
    <rPh sb="18" eb="20">
      <t>キテイ</t>
    </rPh>
    <phoneticPr fontId="1"/>
  </si>
  <si>
    <t>　全学必修の共通教育科目「データリテラシー・AIの基礎」（2単位）を修得すること。</t>
    <phoneticPr fontId="1"/>
  </si>
  <si>
    <t>　本学では令和3年度から全学必修の共通教育科目「データリテラシー・AIの基礎」（2単位）を開講している。本科目は、学科を問わず、全学必修科目として開講しているため、すべての学生が受講できる。</t>
    <phoneticPr fontId="1"/>
  </si>
  <si>
    <t>　本学では令和３年度から全学必修の共通教育科目「データリテラシー・AIの基礎」（2単位）を開講している。本科目は、学科を問わず、全学必修科目として開講しているため、すべての学生が受講できる。開講学期のオリエンテーションでは、クラス担任から履修指導を行うとともに、共通教育部のホームページではプログラム専用ページへのリンクを掲載して、学生が情報を受け取りやすい環境を整備している。</t>
    <phoneticPr fontId="1"/>
  </si>
  <si>
    <t>　令和３年度より、本プログラムの授業科目「データリテラシー・AIの基礎」は全学必修科目として開講しており、同年度以降の入学者はすべて本プログラムを履修することとなる。したがって、学科を問わず収容定員が満たされれば全学生が受講し、実質的な履修率は令和４年度には100％になる見込みである。履修にあたっては、開講学期のオリエンテーションで履修指導を行うとともに、共通教育部のホームページに受講ガイドを設け、学生に周知している。また、データサイエンス学習支援ルームと各学科の共通教育委員およびクラス担任が連携し、日常的な学習を支援している。単位未修得者については、再履修科目を開講し、単位取得率100％をめざす。</t>
    <rPh sb="89" eb="91">
      <t>ガッカ</t>
    </rPh>
    <phoneticPr fontId="1"/>
  </si>
  <si>
    <t>　令和３年度より、本プログラムの授業科目「データリテラシー・AIの基礎」は全学必修科目として開講していることからプログラム修了者はまだ輩出できていないが、令和５年度以降は学科単位で定期的に行っている地元企業への意見聴取の際に本プログラムの履修したことが職務において役立っているかを確認する機会を設けることとする。
　また、卒業生の進路については令和３年度以前と令和４年度卒業生の進路を比較し、変化があったかどうかの効果測定を行うようにする。</t>
    <rPh sb="185" eb="188">
      <t>ソツギョウセイ</t>
    </rPh>
    <phoneticPr fontId="1"/>
  </si>
  <si>
    <t>武庫川女子大学・武庫川女子大学短期大学部データサイエンス・AI教育運営委員会</t>
    <rPh sb="0" eb="3">
      <t>ムコガワ</t>
    </rPh>
    <rPh sb="3" eb="5">
      <t>ジョシ</t>
    </rPh>
    <rPh sb="5" eb="7">
      <t>ダイガク</t>
    </rPh>
    <rPh sb="8" eb="11">
      <t>ムコガワ</t>
    </rPh>
    <rPh sb="11" eb="13">
      <t>ジョシ</t>
    </rPh>
    <rPh sb="13" eb="15">
      <t>ダイガク</t>
    </rPh>
    <rPh sb="15" eb="18">
      <t>タンキダイ</t>
    </rPh>
    <rPh sb="18" eb="20">
      <t>ガクブ</t>
    </rPh>
    <rPh sb="31" eb="33">
      <t>キョウイク</t>
    </rPh>
    <rPh sb="33" eb="35">
      <t>ウンエイ</t>
    </rPh>
    <rPh sb="35" eb="37">
      <t>イイン</t>
    </rPh>
    <rPh sb="37" eb="38">
      <t>カイ</t>
    </rPh>
    <phoneticPr fontId="1"/>
  </si>
  <si>
    <t>・ELSI（Ethical, Legal and Social Issues）「データリテラシー・AIの基礎」（14回目）
・個人情報保護、EU一般データ保護規則(GDPR)、忘れられる権利、オプトアウト「データリテラシー・AIの基礎」（14回目）
・データ倫理：データのねつ造、改ざん、盗用、プライバシー保護「データリテラシー・AIの基礎」（14回目）
・AI社会原則（公平性、説明責任、透明性、人間中心の判断）「データリテラシー・AIの基礎」（14回目）
・データバイアス、アルゴリズムバイアス「データリテラシー・AIの基礎」（14回目）
・データ・AI活用における負の事例紹介「データリテラシー・AIの基礎」（15回目）</t>
    <phoneticPr fontId="1"/>
  </si>
  <si>
    <t>・データの集計（和、平均）「データリテラシー・AIの基礎」（8,9,10回目）
・データの並び替え「データリテラシー・AIの基礎」（9回目）
・データ解析ツール（スプレッドシート）「データリテラシー・AIの基礎」（8～13回目）
・表形式のデータ（csv）「データリテラシー・AIの基礎」（3回目）</t>
    <phoneticPr fontId="1"/>
  </si>
  <si>
    <t>茅野　宏明</t>
    <phoneticPr fontId="1"/>
  </si>
  <si>
    <t>長谷川　裕紀</t>
    <rPh sb="0" eb="3">
      <t>ハセガワ</t>
    </rPh>
    <rPh sb="4" eb="6">
      <t>ヒロキ</t>
    </rPh>
    <phoneticPr fontId="1"/>
  </si>
  <si>
    <t>大谷　光一</t>
    <rPh sb="0" eb="2">
      <t>オオタニ</t>
    </rPh>
    <rPh sb="3" eb="5">
      <t>コウイチ</t>
    </rPh>
    <phoneticPr fontId="1"/>
  </si>
  <si>
    <t>武庫川女子大学短期大学部共通教育科 自己評価委員会</t>
    <rPh sb="0" eb="3">
      <t>ムコガワ</t>
    </rPh>
    <rPh sb="3" eb="5">
      <t>ジョシ</t>
    </rPh>
    <rPh sb="5" eb="7">
      <t>ダイガク</t>
    </rPh>
    <rPh sb="7" eb="10">
      <t>タンキダイ</t>
    </rPh>
    <rPh sb="10" eb="12">
      <t>ガクブ</t>
    </rPh>
    <rPh sb="12" eb="14">
      <t>キョウツウ</t>
    </rPh>
    <rPh sb="14" eb="16">
      <t>キョウイク</t>
    </rPh>
    <rPh sb="16" eb="17">
      <t>カ</t>
    </rPh>
    <rPh sb="18" eb="20">
      <t>ジコ</t>
    </rPh>
    <rPh sb="20" eb="22">
      <t>ヒョウカ</t>
    </rPh>
    <rPh sb="22" eb="24">
      <t>イイン</t>
    </rPh>
    <rPh sb="24" eb="25">
      <t>カイ</t>
    </rPh>
    <phoneticPr fontId="1"/>
  </si>
  <si>
    <t>共通教育部長</t>
    <rPh sb="0" eb="2">
      <t>キョウツウ</t>
    </rPh>
    <rPh sb="2" eb="4">
      <t>キョウイク</t>
    </rPh>
    <rPh sb="4" eb="5">
      <t>ブ</t>
    </rPh>
    <rPh sb="5" eb="6">
      <t>チョウ</t>
    </rPh>
    <phoneticPr fontId="1"/>
  </si>
  <si>
    <t>短期大学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</si>
</sst>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color rgb="FFFF000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8">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8" fillId="0" borderId="9" xfId="0"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3" fillId="0" borderId="20" xfId="0" applyFont="1" applyFill="1" applyBorder="1" applyAlignment="1">
      <alignment vertical="center" shrinkToFit="1"/>
    </xf>
    <xf numFmtId="0" fontId="3" fillId="0" borderId="19" xfId="0" applyFont="1" applyFill="1" applyBorder="1" applyAlignment="1">
      <alignment vertical="center" shrinkToFit="1"/>
    </xf>
    <xf numFmtId="176" fontId="3" fillId="0" borderId="19"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176" fontId="3" fillId="0" borderId="34" xfId="0" applyNumberFormat="1" applyFont="1" applyFill="1" applyBorder="1" applyAlignment="1">
      <alignment vertical="center" shrinkToFit="1"/>
    </xf>
    <xf numFmtId="0" fontId="3" fillId="0" borderId="23" xfId="0" applyFont="1" applyFill="1" applyBorder="1" applyAlignment="1">
      <alignment horizontal="left" vertical="center" shrinkToFit="1"/>
    </xf>
    <xf numFmtId="176" fontId="3" fillId="0" borderId="18" xfId="0" applyNumberFormat="1" applyFont="1" applyFill="1" applyBorder="1" applyAlignment="1">
      <alignment vertical="center" shrinkToFit="1"/>
    </xf>
    <xf numFmtId="176" fontId="8" fillId="0" borderId="3" xfId="0" applyNumberFormat="1" applyFont="1" applyFill="1" applyBorder="1" applyAlignment="1">
      <alignment vertical="center" shrinkToFit="1"/>
    </xf>
    <xf numFmtId="0" fontId="3" fillId="0" borderId="0" xfId="0" applyFont="1" applyFill="1" applyAlignment="1">
      <alignment vertical="center" shrinkToFit="1"/>
    </xf>
    <xf numFmtId="0" fontId="3" fillId="0" borderId="5" xfId="0" applyFont="1" applyFill="1" applyBorder="1" applyAlignment="1">
      <alignment vertical="center" shrinkToFit="1"/>
    </xf>
    <xf numFmtId="176" fontId="3" fillId="0" borderId="5" xfId="0" applyNumberFormat="1" applyFont="1" applyFill="1" applyBorder="1" applyAlignment="1">
      <alignment vertical="center" shrinkToFit="1"/>
    </xf>
    <xf numFmtId="176" fontId="3" fillId="0" borderId="31" xfId="0" applyNumberFormat="1" applyFont="1" applyFill="1" applyBorder="1" applyAlignment="1">
      <alignment vertical="center" shrinkToFit="1"/>
    </xf>
    <xf numFmtId="9" fontId="8" fillId="0" borderId="8" xfId="0" applyNumberFormat="1" applyFont="1" applyFill="1" applyBorder="1" applyAlignment="1">
      <alignment horizontal="center" vertical="center" wrapText="1" shrinkToFit="1"/>
    </xf>
    <xf numFmtId="9" fontId="8" fillId="0" borderId="8" xfId="0" applyNumberFormat="1" applyFont="1" applyFill="1" applyBorder="1" applyAlignment="1">
      <alignment horizontal="center" vertical="center" shrinkToFit="1"/>
    </xf>
    <xf numFmtId="9" fontId="8" fillId="0" borderId="45" xfId="0" applyNumberFormat="1" applyFont="1" applyFill="1" applyBorder="1" applyAlignment="1">
      <alignment horizontal="center" vertical="center" shrinkToFit="1"/>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Fill="1" applyBorder="1" applyAlignment="1">
      <alignment horizontal="center" vertical="center" shrinkToFit="1"/>
    </xf>
    <xf numFmtId="0" fontId="14" fillId="0" borderId="0" xfId="0" applyFont="1" applyAlignment="1">
      <alignment horizontal="center" vertical="center"/>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176" fontId="8" fillId="0" borderId="2" xfId="0" applyNumberFormat="1" applyFont="1" applyFill="1" applyBorder="1" applyAlignment="1">
      <alignment horizontal="center" vertical="center"/>
    </xf>
    <xf numFmtId="176" fontId="8" fillId="0" borderId="3" xfId="0" applyNumberFormat="1" applyFont="1" applyFill="1" applyBorder="1" applyAlignment="1">
      <alignment horizontal="center" vertical="center"/>
    </xf>
    <xf numFmtId="176" fontId="8" fillId="0" borderId="4" xfId="0" applyNumberFormat="1" applyFont="1" applyFill="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9" xfId="0" applyFont="1" applyBorder="1" applyAlignment="1">
      <alignment vertical="center" wrapText="1"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8" fillId="0" borderId="37"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1" fillId="0" borderId="32" xfId="0" applyFont="1" applyBorder="1" applyAlignment="1">
      <alignment vertical="center" wrapText="1"/>
    </xf>
    <xf numFmtId="0" fontId="8" fillId="0" borderId="37" xfId="0" applyFont="1" applyFill="1" applyBorder="1" applyAlignment="1">
      <alignment horizontal="left" vertical="center" wrapText="1" shrinkToFit="1"/>
    </xf>
    <xf numFmtId="0" fontId="8" fillId="0" borderId="39" xfId="0" applyFont="1" applyFill="1" applyBorder="1" applyAlignment="1">
      <alignment horizontal="left" vertical="center" shrinkToFit="1"/>
    </xf>
    <xf numFmtId="0" fontId="8" fillId="0" borderId="38" xfId="0" applyFont="1" applyFill="1" applyBorder="1" applyAlignment="1">
      <alignment horizontal="left" vertical="center" shrinkToFit="1"/>
    </xf>
    <xf numFmtId="0" fontId="8" fillId="0" borderId="40" xfId="0" applyFont="1" applyBorder="1" applyAlignment="1">
      <alignment horizontal="left" vertical="center" wrapText="1"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18" fillId="0" borderId="0" xfId="0" applyFont="1" applyAlignment="1">
      <alignment horizontal="center" vertical="center"/>
    </xf>
    <xf numFmtId="0" fontId="3" fillId="0" borderId="7" xfId="0" applyFont="1" applyBorder="1" applyAlignment="1">
      <alignment horizontal="left" vertical="top" wrapText="1"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0" xfId="0" applyFont="1" applyBorder="1" applyAlignment="1">
      <alignment horizontal="left" vertical="top" wrapText="1" shrinkToFit="1"/>
    </xf>
    <xf numFmtId="0" fontId="3" fillId="0" borderId="10" xfId="0" applyFont="1" applyBorder="1" applyAlignment="1">
      <alignment horizontal="left" vertical="top" wrapText="1" shrinkToFit="1"/>
    </xf>
    <xf numFmtId="0" fontId="3" fillId="0" borderId="0" xfId="0" applyFont="1" applyAlignment="1">
      <alignment horizontal="left" vertical="top" wrapText="1" shrinkToFit="1"/>
    </xf>
    <xf numFmtId="0" fontId="3" fillId="0" borderId="11" xfId="0" applyFont="1" applyBorder="1" applyAlignment="1">
      <alignment horizontal="left" vertical="top" wrapText="1" shrinkToFit="1"/>
    </xf>
    <xf numFmtId="0" fontId="3" fillId="0" borderId="6" xfId="0" applyFont="1" applyBorder="1" applyAlignment="1">
      <alignment horizontal="left" vertical="top" wrapText="1" shrinkToFit="1"/>
    </xf>
    <xf numFmtId="0" fontId="3" fillId="0" borderId="12" xfId="0" applyFont="1" applyBorder="1" applyAlignment="1">
      <alignment horizontal="left" vertical="top" wrapText="1" shrinkToFit="1"/>
    </xf>
    <xf numFmtId="0" fontId="9" fillId="0" borderId="40"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37"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11"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7" fillId="0" borderId="2" xfId="2" applyBorder="1" applyAlignment="1">
      <alignment vertical="center" wrapText="1"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3" fillId="0" borderId="16" xfId="0" applyFont="1" applyBorder="1" applyAlignment="1">
      <alignment vertical="top" wrapText="1" shrinkToFit="1"/>
    </xf>
    <xf numFmtId="0" fontId="3" fillId="0" borderId="22" xfId="0" applyFont="1" applyBorder="1" applyAlignment="1">
      <alignment vertical="top" wrapText="1" shrinkToFit="1"/>
    </xf>
    <xf numFmtId="0" fontId="3" fillId="0" borderId="21"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9"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7" fillId="0" borderId="2" xfId="2" applyBorder="1" applyAlignment="1">
      <alignment horizontal="center" vertical="center" shrinkToFit="1"/>
    </xf>
    <xf numFmtId="0" fontId="23" fillId="0" borderId="3" xfId="2" applyFont="1" applyBorder="1" applyAlignment="1">
      <alignment horizontal="center" vertical="center" shrinkToFit="1"/>
    </xf>
    <xf numFmtId="0" fontId="23"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3" fillId="0" borderId="0" xfId="0" applyFont="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kyotsu.mukogawa-u.ac.jp/ai-guide/ai-program.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kyotsu.mukogawa-u.ac.jp/images/selfcheck2.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election activeCell="S16" sqref="S16"/>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52" t="s">
        <v>26</v>
      </c>
      <c r="N1" s="152"/>
    </row>
    <row r="2" spans="1:15" ht="24" customHeight="1" x14ac:dyDescent="0.15">
      <c r="A2" s="156" t="s">
        <v>87</v>
      </c>
      <c r="B2" s="156"/>
      <c r="C2" s="156"/>
      <c r="D2" s="156"/>
      <c r="E2" s="156"/>
      <c r="F2" s="156"/>
      <c r="G2" s="156"/>
      <c r="H2" s="156"/>
      <c r="I2" s="156"/>
      <c r="J2" s="156"/>
      <c r="K2" s="156"/>
      <c r="L2" s="156"/>
      <c r="M2" s="156"/>
      <c r="N2" s="156"/>
    </row>
    <row r="3" spans="1:15" ht="24" customHeight="1" x14ac:dyDescent="0.15"/>
    <row r="4" spans="1:15" ht="24" customHeight="1" x14ac:dyDescent="0.15">
      <c r="A4" s="14" t="s">
        <v>6</v>
      </c>
      <c r="B4" s="15" t="s">
        <v>17</v>
      </c>
      <c r="C4" s="142" t="s">
        <v>180</v>
      </c>
      <c r="D4" s="143"/>
      <c r="E4" s="143"/>
      <c r="F4" s="143"/>
      <c r="G4" s="143"/>
      <c r="H4" s="143"/>
      <c r="I4" s="143"/>
      <c r="J4" s="143"/>
      <c r="K4" s="143"/>
      <c r="L4" s="143"/>
      <c r="M4" s="143"/>
      <c r="N4" s="144"/>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50</v>
      </c>
      <c r="B6" s="15" t="s">
        <v>51</v>
      </c>
      <c r="C6" s="15"/>
      <c r="D6" s="142" t="s">
        <v>154</v>
      </c>
      <c r="E6" s="143"/>
      <c r="F6" s="143"/>
      <c r="G6" s="143"/>
      <c r="H6" s="144"/>
      <c r="I6" s="17" t="s">
        <v>90</v>
      </c>
      <c r="J6" s="37" t="s">
        <v>91</v>
      </c>
      <c r="K6" s="142" t="s">
        <v>219</v>
      </c>
      <c r="L6" s="143"/>
      <c r="M6" s="143"/>
      <c r="N6" s="144"/>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14</v>
      </c>
      <c r="B8" s="15" t="s">
        <v>47</v>
      </c>
      <c r="C8" s="142" t="s">
        <v>181</v>
      </c>
      <c r="D8" s="143"/>
      <c r="E8" s="143"/>
      <c r="F8" s="143"/>
      <c r="G8" s="143"/>
      <c r="H8" s="143"/>
      <c r="I8" s="143"/>
      <c r="J8" s="143"/>
      <c r="K8" s="143"/>
      <c r="L8" s="143"/>
      <c r="M8" s="143"/>
      <c r="N8" s="144"/>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12</v>
      </c>
      <c r="B10" s="15" t="s">
        <v>89</v>
      </c>
      <c r="C10" s="15"/>
      <c r="D10" s="15"/>
      <c r="E10" s="157" t="s">
        <v>182</v>
      </c>
      <c r="F10" s="158"/>
      <c r="G10" s="158"/>
      <c r="H10" s="158"/>
      <c r="I10" s="158"/>
      <c r="J10" s="158"/>
      <c r="K10" s="158"/>
      <c r="L10" s="158"/>
      <c r="M10" s="158"/>
      <c r="N10" s="159"/>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60</v>
      </c>
      <c r="B12" s="16" t="s">
        <v>61</v>
      </c>
      <c r="C12" s="16"/>
      <c r="D12" s="16"/>
      <c r="E12" s="160" t="s">
        <v>155</v>
      </c>
      <c r="F12" s="161"/>
      <c r="G12" s="17" t="s">
        <v>100</v>
      </c>
      <c r="H12" s="14" t="s">
        <v>101</v>
      </c>
      <c r="N12" s="115" t="s">
        <v>156</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55</v>
      </c>
      <c r="B14" s="14" t="s">
        <v>0</v>
      </c>
      <c r="C14" s="153" t="s">
        <v>5</v>
      </c>
      <c r="D14" s="154"/>
      <c r="E14" s="145">
        <v>56</v>
      </c>
      <c r="F14" s="146"/>
      <c r="G14" s="18" t="s">
        <v>8</v>
      </c>
      <c r="I14" s="153" t="s">
        <v>9</v>
      </c>
      <c r="J14" s="154"/>
      <c r="K14" s="145">
        <v>193</v>
      </c>
      <c r="L14" s="155"/>
      <c r="M14" s="146"/>
      <c r="N14" s="19" t="s">
        <v>8</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62</v>
      </c>
      <c r="B16" s="14" t="s">
        <v>72</v>
      </c>
      <c r="F16" s="20"/>
      <c r="G16" s="20"/>
      <c r="H16" s="20"/>
      <c r="I16" s="20"/>
      <c r="J16" s="20"/>
      <c r="K16" s="162">
        <v>2</v>
      </c>
      <c r="L16" s="163"/>
      <c r="M16" s="164"/>
      <c r="N16" s="19" t="s">
        <v>53</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25</v>
      </c>
      <c r="B18" s="14" t="s">
        <v>81</v>
      </c>
      <c r="E18" s="145">
        <v>700</v>
      </c>
      <c r="F18" s="146"/>
      <c r="G18" s="21" t="s">
        <v>22</v>
      </c>
      <c r="H18" s="20"/>
      <c r="K18" s="168"/>
      <c r="L18" s="168"/>
      <c r="M18" s="168"/>
      <c r="N18" s="168"/>
      <c r="O18" s="31" t="str">
        <f>IF(E18="","入力してください","")</f>
        <v/>
      </c>
    </row>
    <row r="19" spans="1:15" ht="7.5" customHeight="1" x14ac:dyDescent="0.15">
      <c r="E19" s="10"/>
      <c r="F19" s="20"/>
      <c r="G19" s="20"/>
      <c r="L19" s="36"/>
      <c r="M19" s="36"/>
      <c r="N19" s="22"/>
    </row>
    <row r="20" spans="1:15" ht="24" customHeight="1" x14ac:dyDescent="0.15">
      <c r="A20" s="14" t="s">
        <v>80</v>
      </c>
      <c r="B20" s="14" t="s">
        <v>82</v>
      </c>
      <c r="E20" s="10"/>
      <c r="F20" s="20"/>
      <c r="G20" s="20"/>
      <c r="H20" s="14" t="s">
        <v>54</v>
      </c>
      <c r="J20" s="165">
        <v>995</v>
      </c>
      <c r="K20" s="166"/>
      <c r="L20" s="167"/>
      <c r="M20" s="36" t="s">
        <v>53</v>
      </c>
      <c r="N20" s="22"/>
      <c r="O20" s="31" t="str">
        <f>IF(J20="","入力してください","")</f>
        <v/>
      </c>
    </row>
    <row r="21" spans="1:15" ht="7.5" customHeight="1" x14ac:dyDescent="0.15">
      <c r="E21" s="10"/>
      <c r="F21" s="20"/>
      <c r="G21" s="20"/>
      <c r="L21" s="36"/>
      <c r="M21" s="36"/>
      <c r="N21" s="22"/>
    </row>
    <row r="22" spans="1:15" ht="24" customHeight="1" x14ac:dyDescent="0.15">
      <c r="B22" s="29" t="s">
        <v>18</v>
      </c>
      <c r="C22" s="145">
        <v>372</v>
      </c>
      <c r="D22" s="146"/>
      <c r="E22" s="10" t="s">
        <v>23</v>
      </c>
      <c r="F22" s="20"/>
      <c r="G22" s="141" t="s">
        <v>19</v>
      </c>
      <c r="H22" s="141"/>
      <c r="I22" s="145">
        <v>623</v>
      </c>
      <c r="J22" s="146"/>
      <c r="K22" s="17" t="s">
        <v>23</v>
      </c>
      <c r="M22" s="36"/>
      <c r="N22" s="22"/>
    </row>
    <row r="23" spans="1:15" ht="7.5" customHeight="1" x14ac:dyDescent="0.15">
      <c r="B23" s="29"/>
      <c r="C23" s="127"/>
      <c r="D23" s="127"/>
      <c r="E23" s="10"/>
      <c r="F23" s="20"/>
      <c r="G23" s="36"/>
      <c r="H23" s="36"/>
      <c r="I23" s="11"/>
      <c r="J23" s="11"/>
      <c r="K23" s="17"/>
      <c r="M23" s="36"/>
      <c r="N23" s="22"/>
    </row>
    <row r="24" spans="1:15" ht="24" customHeight="1" x14ac:dyDescent="0.15">
      <c r="B24" s="29" t="s">
        <v>20</v>
      </c>
      <c r="C24" s="145"/>
      <c r="D24" s="146"/>
      <c r="E24" s="10" t="s">
        <v>23</v>
      </c>
      <c r="F24" s="20"/>
      <c r="G24" s="141" t="s">
        <v>21</v>
      </c>
      <c r="H24" s="141"/>
      <c r="I24" s="145"/>
      <c r="J24" s="146"/>
      <c r="K24" s="17" t="s">
        <v>23</v>
      </c>
      <c r="M24" s="36"/>
      <c r="N24" s="22"/>
    </row>
    <row r="25" spans="1:15" ht="7.5" customHeight="1" x14ac:dyDescent="0.15">
      <c r="B25" s="29"/>
      <c r="C25" s="11"/>
      <c r="D25" s="127"/>
      <c r="E25" s="10"/>
      <c r="F25" s="20"/>
      <c r="G25" s="36"/>
      <c r="H25" s="36"/>
      <c r="I25" s="11"/>
      <c r="J25" s="11"/>
      <c r="K25" s="17"/>
      <c r="M25" s="36"/>
      <c r="N25" s="22"/>
    </row>
    <row r="26" spans="1:15" ht="24" customHeight="1" x14ac:dyDescent="0.15">
      <c r="B26" s="29" t="s">
        <v>48</v>
      </c>
      <c r="C26" s="145"/>
      <c r="D26" s="146"/>
      <c r="E26" s="10" t="s">
        <v>8</v>
      </c>
      <c r="F26" s="20"/>
      <c r="G26" s="141" t="s">
        <v>49</v>
      </c>
      <c r="H26" s="141"/>
      <c r="I26" s="145"/>
      <c r="J26" s="146"/>
      <c r="K26" s="17" t="s">
        <v>8</v>
      </c>
      <c r="M26" s="36"/>
      <c r="N26" s="22"/>
    </row>
    <row r="27" spans="1:15" ht="7.5" customHeight="1" x14ac:dyDescent="0.15">
      <c r="F27" s="20"/>
      <c r="G27" s="20"/>
      <c r="M27" s="23"/>
      <c r="N27" s="23"/>
    </row>
    <row r="28" spans="1:15" ht="24" customHeight="1" x14ac:dyDescent="0.15">
      <c r="A28" s="14" t="s">
        <v>52</v>
      </c>
      <c r="B28" s="15" t="s">
        <v>79</v>
      </c>
      <c r="C28" s="15"/>
      <c r="D28" s="15"/>
      <c r="E28" s="15"/>
      <c r="F28" s="17"/>
      <c r="G28" s="37"/>
      <c r="H28" s="37"/>
      <c r="I28" s="37"/>
      <c r="J28" s="24"/>
      <c r="K28" s="24"/>
      <c r="L28" s="24"/>
      <c r="M28" s="24"/>
      <c r="N28" s="24"/>
    </row>
    <row r="29" spans="1:15" s="14" customFormat="1" ht="24" customHeight="1" x14ac:dyDescent="0.15">
      <c r="B29" s="149" t="s">
        <v>78</v>
      </c>
      <c r="C29" s="149"/>
      <c r="D29" s="142" t="s">
        <v>214</v>
      </c>
      <c r="E29" s="143"/>
      <c r="F29" s="143"/>
      <c r="G29" s="150" t="s">
        <v>24</v>
      </c>
      <c r="H29" s="149"/>
      <c r="I29" s="151"/>
      <c r="J29" s="142" t="s">
        <v>218</v>
      </c>
      <c r="K29" s="143"/>
      <c r="L29" s="143"/>
      <c r="M29" s="143"/>
      <c r="N29" s="144"/>
      <c r="O29" s="31" t="str">
        <f>IF(OR(D29="",J29=""),"入力してください","")</f>
        <v/>
      </c>
    </row>
    <row r="30" spans="1:15" ht="7.5" customHeight="1" x14ac:dyDescent="0.15">
      <c r="F30" s="20"/>
      <c r="G30" s="20"/>
      <c r="M30" s="23"/>
      <c r="N30" s="23"/>
    </row>
    <row r="31" spans="1:15" ht="24" customHeight="1" x14ac:dyDescent="0.15">
      <c r="A31" s="14" t="s">
        <v>56</v>
      </c>
      <c r="B31" s="15" t="s">
        <v>84</v>
      </c>
      <c r="C31" s="15"/>
      <c r="D31" s="15"/>
      <c r="E31" s="15"/>
      <c r="F31" s="17"/>
      <c r="G31" s="24"/>
      <c r="H31" s="24"/>
      <c r="I31" s="24"/>
      <c r="J31" s="24"/>
      <c r="K31" s="24"/>
      <c r="L31" s="24"/>
      <c r="M31" s="24"/>
      <c r="N31" s="24"/>
    </row>
    <row r="32" spans="1:15" ht="24" customHeight="1" x14ac:dyDescent="0.15">
      <c r="B32" s="142" t="s">
        <v>211</v>
      </c>
      <c r="C32" s="143"/>
      <c r="D32" s="143"/>
      <c r="E32" s="143"/>
      <c r="F32" s="143"/>
      <c r="G32" s="143"/>
      <c r="H32" s="143"/>
      <c r="I32" s="143"/>
      <c r="J32" s="143"/>
      <c r="K32" s="143"/>
      <c r="L32" s="143"/>
      <c r="M32" s="143"/>
      <c r="N32" s="144"/>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49" t="s">
        <v>78</v>
      </c>
      <c r="C34" s="149"/>
      <c r="D34" s="142" t="s">
        <v>215</v>
      </c>
      <c r="E34" s="143"/>
      <c r="F34" s="143"/>
      <c r="G34" s="150" t="s">
        <v>57</v>
      </c>
      <c r="H34" s="149"/>
      <c r="I34" s="151"/>
      <c r="J34" s="142" t="s">
        <v>157</v>
      </c>
      <c r="K34" s="143"/>
      <c r="L34" s="143"/>
      <c r="M34" s="143"/>
      <c r="N34" s="144"/>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63</v>
      </c>
      <c r="B36" s="14" t="s">
        <v>85</v>
      </c>
      <c r="M36" s="23"/>
      <c r="N36" s="23"/>
    </row>
    <row r="37" spans="1:15" ht="24" customHeight="1" x14ac:dyDescent="0.15">
      <c r="B37" s="142" t="s">
        <v>217</v>
      </c>
      <c r="C37" s="143"/>
      <c r="D37" s="143"/>
      <c r="E37" s="143"/>
      <c r="F37" s="143"/>
      <c r="G37" s="143"/>
      <c r="H37" s="143"/>
      <c r="I37" s="143"/>
      <c r="J37" s="143"/>
      <c r="K37" s="143"/>
      <c r="L37" s="143"/>
      <c r="M37" s="143"/>
      <c r="N37" s="144"/>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49" t="s">
        <v>78</v>
      </c>
      <c r="C39" s="149"/>
      <c r="D39" s="142" t="s">
        <v>198</v>
      </c>
      <c r="E39" s="143"/>
      <c r="F39" s="143"/>
      <c r="G39" s="150" t="s">
        <v>57</v>
      </c>
      <c r="H39" s="149"/>
      <c r="I39" s="151"/>
      <c r="J39" s="142" t="s">
        <v>157</v>
      </c>
      <c r="K39" s="143"/>
      <c r="L39" s="143"/>
      <c r="M39" s="143"/>
      <c r="N39" s="144"/>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92</v>
      </c>
      <c r="B41" s="73" t="s">
        <v>71</v>
      </c>
      <c r="E41" s="74"/>
      <c r="F41" s="142" t="s">
        <v>165</v>
      </c>
      <c r="G41" s="143"/>
      <c r="H41" s="143"/>
      <c r="I41" s="143"/>
      <c r="J41" s="143"/>
      <c r="K41" s="143"/>
      <c r="L41" s="143"/>
      <c r="M41" s="143"/>
      <c r="N41" s="144"/>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102</v>
      </c>
    </row>
    <row r="44" spans="1:15" ht="24" customHeight="1" x14ac:dyDescent="0.15">
      <c r="B44" s="30" t="s">
        <v>1</v>
      </c>
      <c r="C44" s="147" t="s">
        <v>158</v>
      </c>
      <c r="D44" s="148"/>
      <c r="E44" s="148"/>
      <c r="F44" s="148"/>
      <c r="G44" s="148"/>
      <c r="H44" s="148"/>
      <c r="I44" s="26" t="s">
        <v>2</v>
      </c>
      <c r="J44" s="27"/>
      <c r="K44" s="142" t="s">
        <v>216</v>
      </c>
      <c r="L44" s="143"/>
      <c r="M44" s="143"/>
      <c r="N44" s="144"/>
      <c r="O44" s="31" t="str">
        <f>IF(OR(C44="",K44=""),"入力してください","")</f>
        <v/>
      </c>
    </row>
    <row r="45" spans="1:15" ht="24" customHeight="1" x14ac:dyDescent="0.15">
      <c r="B45" s="25" t="s">
        <v>4</v>
      </c>
      <c r="C45" s="135" t="s">
        <v>159</v>
      </c>
      <c r="D45" s="136"/>
      <c r="E45" s="136"/>
      <c r="F45" s="136"/>
      <c r="G45" s="136"/>
      <c r="H45" s="137"/>
      <c r="I45" s="26" t="s">
        <v>3</v>
      </c>
      <c r="J45" s="27"/>
      <c r="K45" s="138" t="s">
        <v>160</v>
      </c>
      <c r="L45" s="139"/>
      <c r="M45" s="139"/>
      <c r="N45" s="140"/>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N103" sqref="N103"/>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61" t="s">
        <v>117</v>
      </c>
      <c r="X1" s="261"/>
      <c r="Y1" s="261"/>
      <c r="Z1" s="261"/>
    </row>
    <row r="2" spans="1:26" ht="18" customHeight="1" x14ac:dyDescent="0.15">
      <c r="A2" s="222" t="s">
        <v>69</v>
      </c>
      <c r="B2" s="222"/>
      <c r="C2" s="222"/>
      <c r="D2" s="222"/>
      <c r="E2" s="222"/>
      <c r="F2" s="222"/>
      <c r="G2" s="222"/>
      <c r="H2" s="222"/>
      <c r="I2" s="222"/>
      <c r="J2" s="222"/>
      <c r="K2" s="222"/>
      <c r="L2" s="222"/>
      <c r="M2" s="222"/>
      <c r="N2" s="222"/>
      <c r="O2" s="222"/>
      <c r="P2" s="222"/>
      <c r="Q2" s="222"/>
      <c r="R2" s="222"/>
      <c r="S2" s="222"/>
      <c r="T2" s="222"/>
      <c r="U2" s="222"/>
      <c r="V2" s="222"/>
      <c r="W2" s="222"/>
      <c r="X2" s="222"/>
      <c r="Y2" s="222"/>
      <c r="Z2" s="222"/>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103</v>
      </c>
      <c r="B4" s="29"/>
      <c r="C4" s="29"/>
      <c r="D4" s="29"/>
      <c r="E4" s="29"/>
      <c r="F4" s="29"/>
      <c r="G4" s="29"/>
      <c r="H4" s="15" t="s">
        <v>116</v>
      </c>
      <c r="I4" s="29"/>
      <c r="J4" s="29"/>
      <c r="K4" s="29"/>
      <c r="L4" s="29"/>
      <c r="M4" s="29"/>
      <c r="N4" s="29"/>
      <c r="O4" s="175" t="s">
        <v>166</v>
      </c>
      <c r="P4" s="176"/>
      <c r="Q4" s="176"/>
      <c r="R4" s="176"/>
      <c r="S4" s="176"/>
      <c r="T4" s="176"/>
      <c r="U4" s="176"/>
      <c r="V4" s="176"/>
      <c r="W4" s="176"/>
      <c r="X4" s="176"/>
      <c r="Y4" s="176"/>
      <c r="Z4" s="177"/>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23" t="s">
        <v>206</v>
      </c>
      <c r="C6" s="224"/>
      <c r="D6" s="224"/>
      <c r="E6" s="224"/>
      <c r="F6" s="224"/>
      <c r="G6" s="224"/>
      <c r="H6" s="224"/>
      <c r="I6" s="224"/>
      <c r="J6" s="224"/>
      <c r="K6" s="224"/>
      <c r="L6" s="224"/>
      <c r="M6" s="224"/>
      <c r="N6" s="224"/>
      <c r="O6" s="224"/>
      <c r="P6" s="224"/>
      <c r="Q6" s="224"/>
      <c r="R6" s="224"/>
      <c r="S6" s="224"/>
      <c r="T6" s="224"/>
      <c r="U6" s="224"/>
      <c r="V6" s="224"/>
      <c r="W6" s="224"/>
      <c r="X6" s="224"/>
      <c r="Y6" s="224"/>
      <c r="Z6" s="225"/>
    </row>
    <row r="7" spans="1:26" ht="18" customHeight="1" x14ac:dyDescent="0.15">
      <c r="B7" s="226"/>
      <c r="C7" s="227"/>
      <c r="D7" s="227"/>
      <c r="E7" s="227"/>
      <c r="F7" s="227"/>
      <c r="G7" s="227"/>
      <c r="H7" s="227"/>
      <c r="I7" s="227"/>
      <c r="J7" s="227"/>
      <c r="K7" s="227"/>
      <c r="L7" s="227"/>
      <c r="M7" s="227"/>
      <c r="N7" s="227"/>
      <c r="O7" s="227"/>
      <c r="P7" s="227"/>
      <c r="Q7" s="227"/>
      <c r="R7" s="227"/>
      <c r="S7" s="227"/>
      <c r="T7" s="227"/>
      <c r="U7" s="227"/>
      <c r="V7" s="227"/>
      <c r="W7" s="227"/>
      <c r="X7" s="227"/>
      <c r="Y7" s="227"/>
      <c r="Z7" s="228"/>
    </row>
    <row r="8" spans="1:26" ht="18" customHeight="1" x14ac:dyDescent="0.15">
      <c r="B8" s="226"/>
      <c r="C8" s="227"/>
      <c r="D8" s="227"/>
      <c r="E8" s="227"/>
      <c r="F8" s="227"/>
      <c r="G8" s="227"/>
      <c r="H8" s="227"/>
      <c r="I8" s="227"/>
      <c r="J8" s="227"/>
      <c r="K8" s="227"/>
      <c r="L8" s="227"/>
      <c r="M8" s="227"/>
      <c r="N8" s="227"/>
      <c r="O8" s="227"/>
      <c r="P8" s="227"/>
      <c r="Q8" s="227"/>
      <c r="R8" s="227"/>
      <c r="S8" s="227"/>
      <c r="T8" s="227"/>
      <c r="U8" s="227"/>
      <c r="V8" s="227"/>
      <c r="W8" s="227"/>
      <c r="X8" s="227"/>
      <c r="Y8" s="227"/>
      <c r="Z8" s="228"/>
    </row>
    <row r="9" spans="1:26" ht="18" customHeight="1" x14ac:dyDescent="0.15">
      <c r="B9" s="226"/>
      <c r="C9" s="227"/>
      <c r="D9" s="227"/>
      <c r="E9" s="227"/>
      <c r="F9" s="227"/>
      <c r="G9" s="227"/>
      <c r="H9" s="227"/>
      <c r="I9" s="227"/>
      <c r="J9" s="227"/>
      <c r="K9" s="227"/>
      <c r="L9" s="227"/>
      <c r="M9" s="227"/>
      <c r="N9" s="227"/>
      <c r="O9" s="227"/>
      <c r="P9" s="227"/>
      <c r="Q9" s="227"/>
      <c r="R9" s="227"/>
      <c r="S9" s="227"/>
      <c r="T9" s="227"/>
      <c r="U9" s="227"/>
      <c r="V9" s="227"/>
      <c r="W9" s="227"/>
      <c r="X9" s="227"/>
      <c r="Y9" s="227"/>
      <c r="Z9" s="228"/>
    </row>
    <row r="10" spans="1:26" ht="18" customHeight="1" x14ac:dyDescent="0.15">
      <c r="B10" s="226"/>
      <c r="C10" s="229"/>
      <c r="D10" s="229"/>
      <c r="E10" s="229"/>
      <c r="F10" s="229"/>
      <c r="G10" s="229"/>
      <c r="H10" s="229"/>
      <c r="I10" s="229"/>
      <c r="J10" s="229"/>
      <c r="K10" s="229"/>
      <c r="L10" s="229"/>
      <c r="M10" s="229"/>
      <c r="N10" s="229"/>
      <c r="O10" s="229"/>
      <c r="P10" s="229"/>
      <c r="Q10" s="229"/>
      <c r="R10" s="229"/>
      <c r="S10" s="229"/>
      <c r="T10" s="229"/>
      <c r="U10" s="229"/>
      <c r="V10" s="229"/>
      <c r="W10" s="229"/>
      <c r="X10" s="229"/>
      <c r="Y10" s="229"/>
      <c r="Z10" s="228"/>
    </row>
    <row r="11" spans="1:26" ht="18" customHeight="1" x14ac:dyDescent="0.15">
      <c r="B11" s="230"/>
      <c r="C11" s="231"/>
      <c r="D11" s="231"/>
      <c r="E11" s="231"/>
      <c r="F11" s="231"/>
      <c r="G11" s="231"/>
      <c r="H11" s="231"/>
      <c r="I11" s="231"/>
      <c r="J11" s="231"/>
      <c r="K11" s="231"/>
      <c r="L11" s="231"/>
      <c r="M11" s="231"/>
      <c r="N11" s="231"/>
      <c r="O11" s="231"/>
      <c r="P11" s="231"/>
      <c r="Q11" s="231"/>
      <c r="R11" s="231"/>
      <c r="S11" s="231"/>
      <c r="T11" s="231"/>
      <c r="U11" s="231"/>
      <c r="V11" s="231"/>
      <c r="W11" s="231"/>
      <c r="X11" s="231"/>
      <c r="Y11" s="231"/>
      <c r="Z11" s="232"/>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20" t="s">
        <v>131</v>
      </c>
      <c r="B13" s="220"/>
      <c r="C13" s="220"/>
      <c r="D13" s="220"/>
      <c r="E13" s="220"/>
      <c r="F13" s="220"/>
      <c r="G13" s="220"/>
      <c r="H13" s="220"/>
      <c r="I13" s="220"/>
      <c r="J13" s="220"/>
      <c r="K13" s="220"/>
      <c r="L13" s="220"/>
      <c r="M13" s="220"/>
      <c r="N13" s="220"/>
      <c r="O13" s="220"/>
      <c r="P13" s="220"/>
      <c r="Q13" s="220"/>
      <c r="R13" s="220"/>
      <c r="S13" s="220"/>
      <c r="T13" s="220"/>
      <c r="U13" s="220"/>
      <c r="V13" s="220"/>
      <c r="W13" s="220"/>
      <c r="X13" s="220"/>
      <c r="Y13" s="220"/>
      <c r="Z13" s="220"/>
    </row>
    <row r="14" spans="1:26" ht="18" customHeight="1" x14ac:dyDescent="0.15">
      <c r="A14" s="220"/>
      <c r="B14" s="220"/>
      <c r="C14" s="220"/>
      <c r="D14" s="220"/>
      <c r="E14" s="220"/>
      <c r="F14" s="220"/>
      <c r="G14" s="220"/>
      <c r="H14" s="220"/>
      <c r="I14" s="220"/>
      <c r="J14" s="220"/>
      <c r="K14" s="220"/>
      <c r="L14" s="220"/>
      <c r="M14" s="220"/>
      <c r="N14" s="220"/>
      <c r="O14" s="220"/>
      <c r="P14" s="220"/>
      <c r="Q14" s="220"/>
      <c r="R14" s="220"/>
      <c r="S14" s="220"/>
      <c r="T14" s="220"/>
      <c r="U14" s="220"/>
      <c r="V14" s="220"/>
      <c r="W14" s="220"/>
      <c r="X14" s="220"/>
      <c r="Y14" s="220"/>
      <c r="Z14" s="220"/>
    </row>
    <row r="15" spans="1:26" ht="18" customHeight="1" x14ac:dyDescent="0.15">
      <c r="A15" s="14"/>
      <c r="B15" s="175" t="s">
        <v>104</v>
      </c>
      <c r="C15" s="176"/>
      <c r="D15" s="176"/>
      <c r="E15" s="176"/>
      <c r="F15" s="177"/>
      <c r="G15" s="30" t="s">
        <v>147</v>
      </c>
      <c r="H15" s="110" t="s">
        <v>146</v>
      </c>
      <c r="I15" s="176" t="s">
        <v>105</v>
      </c>
      <c r="J15" s="176"/>
      <c r="K15" s="176"/>
      <c r="L15" s="75" t="s">
        <v>108</v>
      </c>
      <c r="M15" s="75" t="s">
        <v>111</v>
      </c>
      <c r="N15" s="175" t="s">
        <v>104</v>
      </c>
      <c r="O15" s="176"/>
      <c r="P15" s="176"/>
      <c r="Q15" s="176"/>
      <c r="R15" s="176"/>
      <c r="S15" s="177"/>
      <c r="T15" s="30" t="s">
        <v>147</v>
      </c>
      <c r="U15" s="110" t="s">
        <v>146</v>
      </c>
      <c r="V15" s="176" t="s">
        <v>105</v>
      </c>
      <c r="W15" s="176"/>
      <c r="X15" s="176"/>
      <c r="Y15" s="75" t="s">
        <v>108</v>
      </c>
      <c r="Z15" s="75" t="s">
        <v>111</v>
      </c>
    </row>
    <row r="16" spans="1:26" ht="18" customHeight="1" x14ac:dyDescent="0.15">
      <c r="A16" s="14"/>
      <c r="B16" s="211" t="s">
        <v>161</v>
      </c>
      <c r="C16" s="212"/>
      <c r="D16" s="212"/>
      <c r="E16" s="212"/>
      <c r="F16" s="213"/>
      <c r="G16" s="111">
        <v>2</v>
      </c>
      <c r="H16" s="111" t="s">
        <v>162</v>
      </c>
      <c r="I16" s="205" t="s">
        <v>163</v>
      </c>
      <c r="J16" s="206"/>
      <c r="K16" s="207"/>
      <c r="L16" s="111" t="s">
        <v>162</v>
      </c>
      <c r="M16" s="111" t="s">
        <v>162</v>
      </c>
      <c r="N16" s="169"/>
      <c r="O16" s="170"/>
      <c r="P16" s="170"/>
      <c r="Q16" s="170"/>
      <c r="R16" s="170"/>
      <c r="S16" s="171"/>
      <c r="T16" s="111"/>
      <c r="U16" s="111"/>
      <c r="V16" s="205"/>
      <c r="W16" s="206"/>
      <c r="X16" s="207"/>
      <c r="Y16" s="111"/>
      <c r="Z16" s="111"/>
    </row>
    <row r="17" spans="1:26" ht="18" customHeight="1" x14ac:dyDescent="0.15">
      <c r="A17" s="14"/>
      <c r="B17" s="214"/>
      <c r="C17" s="215"/>
      <c r="D17" s="215"/>
      <c r="E17" s="215"/>
      <c r="F17" s="216"/>
      <c r="G17" s="112"/>
      <c r="H17" s="112"/>
      <c r="I17" s="208"/>
      <c r="J17" s="209"/>
      <c r="K17" s="210"/>
      <c r="L17" s="112"/>
      <c r="M17" s="112"/>
      <c r="N17" s="181"/>
      <c r="O17" s="179"/>
      <c r="P17" s="179"/>
      <c r="Q17" s="179"/>
      <c r="R17" s="179"/>
      <c r="S17" s="180"/>
      <c r="T17" s="112"/>
      <c r="U17" s="112"/>
      <c r="V17" s="208"/>
      <c r="W17" s="209"/>
      <c r="X17" s="210"/>
      <c r="Y17" s="112"/>
      <c r="Z17" s="112"/>
    </row>
    <row r="18" spans="1:26" ht="18" customHeight="1" x14ac:dyDescent="0.15">
      <c r="A18" s="14"/>
      <c r="B18" s="214"/>
      <c r="C18" s="215"/>
      <c r="D18" s="215"/>
      <c r="E18" s="215"/>
      <c r="F18" s="216"/>
      <c r="G18" s="112"/>
      <c r="H18" s="112"/>
      <c r="I18" s="208"/>
      <c r="J18" s="209"/>
      <c r="K18" s="210"/>
      <c r="L18" s="112"/>
      <c r="M18" s="112"/>
      <c r="N18" s="181"/>
      <c r="O18" s="179"/>
      <c r="P18" s="179"/>
      <c r="Q18" s="179"/>
      <c r="R18" s="179"/>
      <c r="S18" s="180"/>
      <c r="T18" s="112"/>
      <c r="U18" s="112"/>
      <c r="V18" s="208"/>
      <c r="W18" s="209"/>
      <c r="X18" s="210"/>
      <c r="Y18" s="112"/>
      <c r="Z18" s="112"/>
    </row>
    <row r="19" spans="1:26" ht="18" customHeight="1" x14ac:dyDescent="0.15">
      <c r="A19" s="14"/>
      <c r="B19" s="214"/>
      <c r="C19" s="215"/>
      <c r="D19" s="215"/>
      <c r="E19" s="215"/>
      <c r="F19" s="216"/>
      <c r="G19" s="112"/>
      <c r="H19" s="112"/>
      <c r="I19" s="208"/>
      <c r="J19" s="209"/>
      <c r="K19" s="210"/>
      <c r="L19" s="112"/>
      <c r="M19" s="112"/>
      <c r="N19" s="181"/>
      <c r="O19" s="179"/>
      <c r="P19" s="179"/>
      <c r="Q19" s="179"/>
      <c r="R19" s="179"/>
      <c r="S19" s="180"/>
      <c r="T19" s="112"/>
      <c r="U19" s="112"/>
      <c r="V19" s="208"/>
      <c r="W19" s="209"/>
      <c r="X19" s="210"/>
      <c r="Y19" s="112"/>
      <c r="Z19" s="112"/>
    </row>
    <row r="20" spans="1:26" ht="18" customHeight="1" x14ac:dyDescent="0.15">
      <c r="A20" s="14"/>
      <c r="B20" s="214"/>
      <c r="C20" s="215"/>
      <c r="D20" s="215"/>
      <c r="E20" s="215"/>
      <c r="F20" s="216"/>
      <c r="G20" s="112"/>
      <c r="H20" s="112"/>
      <c r="I20" s="208"/>
      <c r="J20" s="209"/>
      <c r="K20" s="210"/>
      <c r="L20" s="112"/>
      <c r="M20" s="112"/>
      <c r="N20" s="181"/>
      <c r="O20" s="179"/>
      <c r="P20" s="179"/>
      <c r="Q20" s="179"/>
      <c r="R20" s="179"/>
      <c r="S20" s="180"/>
      <c r="T20" s="112"/>
      <c r="U20" s="112"/>
      <c r="V20" s="208"/>
      <c r="W20" s="209"/>
      <c r="X20" s="210"/>
      <c r="Y20" s="112"/>
      <c r="Z20" s="112"/>
    </row>
    <row r="21" spans="1:26" ht="18" customHeight="1" x14ac:dyDescent="0.15">
      <c r="A21" s="29"/>
      <c r="B21" s="214"/>
      <c r="C21" s="215"/>
      <c r="D21" s="215"/>
      <c r="E21" s="215"/>
      <c r="F21" s="216"/>
      <c r="G21" s="112"/>
      <c r="H21" s="112"/>
      <c r="I21" s="208"/>
      <c r="J21" s="209"/>
      <c r="K21" s="210"/>
      <c r="L21" s="112"/>
      <c r="M21" s="112"/>
      <c r="N21" s="181"/>
      <c r="O21" s="179"/>
      <c r="P21" s="179"/>
      <c r="Q21" s="179"/>
      <c r="R21" s="179"/>
      <c r="S21" s="180"/>
      <c r="T21" s="112"/>
      <c r="U21" s="112"/>
      <c r="V21" s="208"/>
      <c r="W21" s="209"/>
      <c r="X21" s="210"/>
      <c r="Y21" s="112"/>
      <c r="Z21" s="112"/>
    </row>
    <row r="22" spans="1:26" ht="18" customHeight="1" x14ac:dyDescent="0.15">
      <c r="A22" s="29"/>
      <c r="B22" s="221"/>
      <c r="C22" s="198"/>
      <c r="D22" s="198"/>
      <c r="E22" s="198"/>
      <c r="F22" s="199"/>
      <c r="G22" s="113"/>
      <c r="H22" s="113"/>
      <c r="I22" s="217"/>
      <c r="J22" s="218"/>
      <c r="K22" s="219"/>
      <c r="L22" s="119"/>
      <c r="M22" s="119"/>
      <c r="N22" s="242"/>
      <c r="O22" s="243"/>
      <c r="P22" s="243"/>
      <c r="Q22" s="243"/>
      <c r="R22" s="243"/>
      <c r="S22" s="244"/>
      <c r="T22" s="113"/>
      <c r="U22" s="113"/>
      <c r="V22" s="217"/>
      <c r="W22" s="218"/>
      <c r="X22" s="219"/>
      <c r="Y22" s="119"/>
      <c r="Z22" s="119"/>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20" t="s">
        <v>132</v>
      </c>
      <c r="B24" s="220"/>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row>
    <row r="25" spans="1:26" ht="18" customHeight="1" x14ac:dyDescent="0.15">
      <c r="A25" s="220"/>
      <c r="B25" s="220"/>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row>
    <row r="26" spans="1:26" ht="18" customHeight="1" x14ac:dyDescent="0.15">
      <c r="A26" s="14"/>
      <c r="B26" s="175" t="s">
        <v>104</v>
      </c>
      <c r="C26" s="176"/>
      <c r="D26" s="176"/>
      <c r="E26" s="176"/>
      <c r="F26" s="177"/>
      <c r="G26" s="30" t="s">
        <v>147</v>
      </c>
      <c r="H26" s="110" t="s">
        <v>146</v>
      </c>
      <c r="I26" s="176" t="s">
        <v>105</v>
      </c>
      <c r="J26" s="176"/>
      <c r="K26" s="176"/>
      <c r="L26" s="75" t="s">
        <v>133</v>
      </c>
      <c r="M26" s="75" t="s">
        <v>134</v>
      </c>
      <c r="N26" s="175" t="s">
        <v>104</v>
      </c>
      <c r="O26" s="176"/>
      <c r="P26" s="176"/>
      <c r="Q26" s="176"/>
      <c r="R26" s="176"/>
      <c r="S26" s="177"/>
      <c r="T26" s="30" t="s">
        <v>147</v>
      </c>
      <c r="U26" s="110" t="s">
        <v>146</v>
      </c>
      <c r="V26" s="176" t="s">
        <v>105</v>
      </c>
      <c r="W26" s="176"/>
      <c r="X26" s="176"/>
      <c r="Y26" s="75" t="s">
        <v>133</v>
      </c>
      <c r="Z26" s="75" t="s">
        <v>134</v>
      </c>
    </row>
    <row r="27" spans="1:26" ht="18" customHeight="1" x14ac:dyDescent="0.15">
      <c r="A27" s="14"/>
      <c r="B27" s="211" t="s">
        <v>161</v>
      </c>
      <c r="C27" s="212"/>
      <c r="D27" s="212"/>
      <c r="E27" s="212"/>
      <c r="F27" s="213"/>
      <c r="G27" s="111">
        <v>2</v>
      </c>
      <c r="H27" s="111" t="s">
        <v>162</v>
      </c>
      <c r="I27" s="205" t="s">
        <v>163</v>
      </c>
      <c r="J27" s="206"/>
      <c r="K27" s="207"/>
      <c r="L27" s="111" t="s">
        <v>162</v>
      </c>
      <c r="M27" s="111" t="s">
        <v>162</v>
      </c>
      <c r="N27" s="169"/>
      <c r="O27" s="170"/>
      <c r="P27" s="170"/>
      <c r="Q27" s="170"/>
      <c r="R27" s="170"/>
      <c r="S27" s="171"/>
      <c r="T27" s="111"/>
      <c r="U27" s="111"/>
      <c r="V27" s="205"/>
      <c r="W27" s="206"/>
      <c r="X27" s="207"/>
      <c r="Y27" s="111"/>
      <c r="Z27" s="111"/>
    </row>
    <row r="28" spans="1:26" ht="18" customHeight="1" x14ac:dyDescent="0.15">
      <c r="A28" s="14"/>
      <c r="B28" s="214"/>
      <c r="C28" s="215"/>
      <c r="D28" s="215"/>
      <c r="E28" s="215"/>
      <c r="F28" s="216"/>
      <c r="G28" s="112"/>
      <c r="H28" s="112"/>
      <c r="I28" s="208"/>
      <c r="J28" s="209"/>
      <c r="K28" s="210"/>
      <c r="L28" s="112"/>
      <c r="M28" s="112"/>
      <c r="N28" s="181"/>
      <c r="O28" s="179"/>
      <c r="P28" s="179"/>
      <c r="Q28" s="179"/>
      <c r="R28" s="179"/>
      <c r="S28" s="180"/>
      <c r="T28" s="112"/>
      <c r="U28" s="112"/>
      <c r="V28" s="208"/>
      <c r="W28" s="209"/>
      <c r="X28" s="210"/>
      <c r="Y28" s="112"/>
      <c r="Z28" s="112"/>
    </row>
    <row r="29" spans="1:26" ht="18" customHeight="1" x14ac:dyDescent="0.15">
      <c r="A29" s="14"/>
      <c r="B29" s="214"/>
      <c r="C29" s="215"/>
      <c r="D29" s="215"/>
      <c r="E29" s="215"/>
      <c r="F29" s="216"/>
      <c r="G29" s="112"/>
      <c r="H29" s="112"/>
      <c r="I29" s="208"/>
      <c r="J29" s="209"/>
      <c r="K29" s="210"/>
      <c r="L29" s="112"/>
      <c r="M29" s="112"/>
      <c r="N29" s="181"/>
      <c r="O29" s="179"/>
      <c r="P29" s="179"/>
      <c r="Q29" s="179"/>
      <c r="R29" s="179"/>
      <c r="S29" s="180"/>
      <c r="T29" s="112"/>
      <c r="U29" s="112"/>
      <c r="V29" s="208"/>
      <c r="W29" s="209"/>
      <c r="X29" s="210"/>
      <c r="Y29" s="112"/>
      <c r="Z29" s="112"/>
    </row>
    <row r="30" spans="1:26" ht="18" customHeight="1" x14ac:dyDescent="0.15">
      <c r="A30" s="14"/>
      <c r="B30" s="214"/>
      <c r="C30" s="215"/>
      <c r="D30" s="215"/>
      <c r="E30" s="215"/>
      <c r="F30" s="216"/>
      <c r="G30" s="112"/>
      <c r="H30" s="112"/>
      <c r="I30" s="208"/>
      <c r="J30" s="209"/>
      <c r="K30" s="210"/>
      <c r="L30" s="112"/>
      <c r="M30" s="112"/>
      <c r="N30" s="181"/>
      <c r="O30" s="179"/>
      <c r="P30" s="179"/>
      <c r="Q30" s="179"/>
      <c r="R30" s="179"/>
      <c r="S30" s="180"/>
      <c r="T30" s="112"/>
      <c r="U30" s="112"/>
      <c r="V30" s="208"/>
      <c r="W30" s="209"/>
      <c r="X30" s="210"/>
      <c r="Y30" s="112"/>
      <c r="Z30" s="112"/>
    </row>
    <row r="31" spans="1:26" ht="18" customHeight="1" x14ac:dyDescent="0.15">
      <c r="A31" s="14"/>
      <c r="B31" s="214"/>
      <c r="C31" s="215"/>
      <c r="D31" s="215"/>
      <c r="E31" s="215"/>
      <c r="F31" s="216"/>
      <c r="G31" s="112"/>
      <c r="H31" s="112"/>
      <c r="I31" s="208"/>
      <c r="J31" s="209"/>
      <c r="K31" s="210"/>
      <c r="L31" s="112"/>
      <c r="M31" s="112"/>
      <c r="N31" s="181"/>
      <c r="O31" s="179"/>
      <c r="P31" s="179"/>
      <c r="Q31" s="179"/>
      <c r="R31" s="179"/>
      <c r="S31" s="180"/>
      <c r="T31" s="112"/>
      <c r="U31" s="112"/>
      <c r="V31" s="208"/>
      <c r="W31" s="209"/>
      <c r="X31" s="210"/>
      <c r="Y31" s="112"/>
      <c r="Z31" s="112"/>
    </row>
    <row r="32" spans="1:26" ht="18" customHeight="1" x14ac:dyDescent="0.15">
      <c r="A32" s="14"/>
      <c r="B32" s="214"/>
      <c r="C32" s="215"/>
      <c r="D32" s="215"/>
      <c r="E32" s="215"/>
      <c r="F32" s="216"/>
      <c r="G32" s="112"/>
      <c r="H32" s="112"/>
      <c r="I32" s="208"/>
      <c r="J32" s="209"/>
      <c r="K32" s="210"/>
      <c r="L32" s="112"/>
      <c r="M32" s="112"/>
      <c r="N32" s="181"/>
      <c r="O32" s="179"/>
      <c r="P32" s="179"/>
      <c r="Q32" s="179"/>
      <c r="R32" s="179"/>
      <c r="S32" s="180"/>
      <c r="T32" s="112"/>
      <c r="U32" s="112"/>
      <c r="V32" s="208"/>
      <c r="W32" s="209"/>
      <c r="X32" s="210"/>
      <c r="Y32" s="112"/>
      <c r="Z32" s="112"/>
    </row>
    <row r="33" spans="1:26" ht="18" customHeight="1" x14ac:dyDescent="0.15">
      <c r="A33" s="14"/>
      <c r="B33" s="221"/>
      <c r="C33" s="198"/>
      <c r="D33" s="198"/>
      <c r="E33" s="198"/>
      <c r="F33" s="199"/>
      <c r="G33" s="113"/>
      <c r="H33" s="113"/>
      <c r="I33" s="217"/>
      <c r="J33" s="218"/>
      <c r="K33" s="219"/>
      <c r="L33" s="119"/>
      <c r="M33" s="119"/>
      <c r="N33" s="242"/>
      <c r="O33" s="243"/>
      <c r="P33" s="243"/>
      <c r="Q33" s="243"/>
      <c r="R33" s="243"/>
      <c r="S33" s="244"/>
      <c r="T33" s="113"/>
      <c r="U33" s="113"/>
      <c r="V33" s="217"/>
      <c r="W33" s="218"/>
      <c r="X33" s="219"/>
      <c r="Y33" s="119"/>
      <c r="Z33" s="119"/>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20" t="s">
        <v>135</v>
      </c>
      <c r="B35" s="220"/>
      <c r="C35" s="220"/>
      <c r="D35" s="220"/>
      <c r="E35" s="220"/>
      <c r="F35" s="220"/>
      <c r="G35" s="220"/>
      <c r="H35" s="220"/>
      <c r="I35" s="220"/>
      <c r="J35" s="220"/>
      <c r="K35" s="220"/>
      <c r="L35" s="220"/>
      <c r="M35" s="220"/>
      <c r="N35" s="220"/>
      <c r="O35" s="220"/>
      <c r="P35" s="220"/>
      <c r="Q35" s="220"/>
      <c r="R35" s="220"/>
      <c r="S35" s="220"/>
      <c r="T35" s="220"/>
      <c r="U35" s="220"/>
      <c r="V35" s="220"/>
      <c r="W35" s="220"/>
      <c r="X35" s="220"/>
      <c r="Y35" s="220"/>
      <c r="Z35" s="220"/>
    </row>
    <row r="36" spans="1:26" ht="18" customHeight="1" x14ac:dyDescent="0.15">
      <c r="A36" s="220"/>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row>
    <row r="37" spans="1:26" ht="18" customHeight="1" x14ac:dyDescent="0.15">
      <c r="A37" s="14"/>
      <c r="B37" s="175" t="s">
        <v>104</v>
      </c>
      <c r="C37" s="176"/>
      <c r="D37" s="176"/>
      <c r="E37" s="176"/>
      <c r="F37" s="177"/>
      <c r="G37" s="30" t="s">
        <v>147</v>
      </c>
      <c r="H37" s="110" t="s">
        <v>146</v>
      </c>
      <c r="I37" s="175" t="s">
        <v>105</v>
      </c>
      <c r="J37" s="176"/>
      <c r="K37" s="177"/>
      <c r="L37" s="75" t="s">
        <v>136</v>
      </c>
      <c r="M37" s="75" t="s">
        <v>137</v>
      </c>
      <c r="N37" s="175" t="s">
        <v>104</v>
      </c>
      <c r="O37" s="176"/>
      <c r="P37" s="176"/>
      <c r="Q37" s="176"/>
      <c r="R37" s="176"/>
      <c r="S37" s="177"/>
      <c r="T37" s="30" t="s">
        <v>147</v>
      </c>
      <c r="U37" s="110" t="s">
        <v>146</v>
      </c>
      <c r="V37" s="175" t="s">
        <v>105</v>
      </c>
      <c r="W37" s="176"/>
      <c r="X37" s="177"/>
      <c r="Y37" s="75" t="s">
        <v>136</v>
      </c>
      <c r="Z37" s="75" t="s">
        <v>137</v>
      </c>
    </row>
    <row r="38" spans="1:26" ht="18" customHeight="1" x14ac:dyDescent="0.15">
      <c r="A38" s="29"/>
      <c r="B38" s="211" t="s">
        <v>161</v>
      </c>
      <c r="C38" s="212"/>
      <c r="D38" s="212"/>
      <c r="E38" s="212"/>
      <c r="F38" s="213"/>
      <c r="G38" s="111">
        <v>2</v>
      </c>
      <c r="H38" s="111" t="s">
        <v>162</v>
      </c>
      <c r="I38" s="205" t="s">
        <v>163</v>
      </c>
      <c r="J38" s="206"/>
      <c r="K38" s="207"/>
      <c r="L38" s="111" t="s">
        <v>162</v>
      </c>
      <c r="M38" s="111" t="s">
        <v>162</v>
      </c>
      <c r="N38" s="169"/>
      <c r="O38" s="170"/>
      <c r="P38" s="170"/>
      <c r="Q38" s="170"/>
      <c r="R38" s="170"/>
      <c r="S38" s="171"/>
      <c r="T38" s="111"/>
      <c r="U38" s="111"/>
      <c r="V38" s="205"/>
      <c r="W38" s="206"/>
      <c r="X38" s="207"/>
      <c r="Y38" s="111"/>
      <c r="Z38" s="111"/>
    </row>
    <row r="39" spans="1:26" ht="18" customHeight="1" x14ac:dyDescent="0.15">
      <c r="A39" s="29"/>
      <c r="B39" s="214"/>
      <c r="C39" s="215"/>
      <c r="D39" s="215"/>
      <c r="E39" s="215"/>
      <c r="F39" s="216"/>
      <c r="G39" s="112"/>
      <c r="H39" s="112"/>
      <c r="I39" s="208"/>
      <c r="J39" s="209"/>
      <c r="K39" s="210"/>
      <c r="L39" s="112"/>
      <c r="M39" s="112"/>
      <c r="N39" s="181"/>
      <c r="O39" s="179"/>
      <c r="P39" s="179"/>
      <c r="Q39" s="179"/>
      <c r="R39" s="179"/>
      <c r="S39" s="180"/>
      <c r="T39" s="112"/>
      <c r="U39" s="112"/>
      <c r="V39" s="208"/>
      <c r="W39" s="209"/>
      <c r="X39" s="210"/>
      <c r="Y39" s="112"/>
      <c r="Z39" s="112"/>
    </row>
    <row r="40" spans="1:26" ht="18" customHeight="1" x14ac:dyDescent="0.15">
      <c r="A40" s="29"/>
      <c r="B40" s="214"/>
      <c r="C40" s="215"/>
      <c r="D40" s="215"/>
      <c r="E40" s="215"/>
      <c r="F40" s="216"/>
      <c r="G40" s="112"/>
      <c r="H40" s="112"/>
      <c r="I40" s="208"/>
      <c r="J40" s="209"/>
      <c r="K40" s="210"/>
      <c r="L40" s="112"/>
      <c r="M40" s="112"/>
      <c r="N40" s="181"/>
      <c r="O40" s="179"/>
      <c r="P40" s="179"/>
      <c r="Q40" s="179"/>
      <c r="R40" s="179"/>
      <c r="S40" s="180"/>
      <c r="T40" s="112"/>
      <c r="U40" s="112"/>
      <c r="V40" s="208"/>
      <c r="W40" s="209"/>
      <c r="X40" s="210"/>
      <c r="Y40" s="112"/>
      <c r="Z40" s="112"/>
    </row>
    <row r="41" spans="1:26" ht="18" customHeight="1" x14ac:dyDescent="0.15">
      <c r="A41" s="29"/>
      <c r="B41" s="214"/>
      <c r="C41" s="215"/>
      <c r="D41" s="215"/>
      <c r="E41" s="215"/>
      <c r="F41" s="216"/>
      <c r="G41" s="112"/>
      <c r="H41" s="112"/>
      <c r="I41" s="208"/>
      <c r="J41" s="209"/>
      <c r="K41" s="210"/>
      <c r="L41" s="112"/>
      <c r="M41" s="112"/>
      <c r="N41" s="181"/>
      <c r="O41" s="179"/>
      <c r="P41" s="179"/>
      <c r="Q41" s="179"/>
      <c r="R41" s="179"/>
      <c r="S41" s="180"/>
      <c r="T41" s="112"/>
      <c r="U41" s="112"/>
      <c r="V41" s="208"/>
      <c r="W41" s="209"/>
      <c r="X41" s="210"/>
      <c r="Y41" s="112"/>
      <c r="Z41" s="112"/>
    </row>
    <row r="42" spans="1:26" ht="18" customHeight="1" x14ac:dyDescent="0.15">
      <c r="A42" s="29"/>
      <c r="B42" s="214"/>
      <c r="C42" s="215"/>
      <c r="D42" s="215"/>
      <c r="E42" s="215"/>
      <c r="F42" s="216"/>
      <c r="G42" s="112"/>
      <c r="H42" s="112"/>
      <c r="I42" s="208"/>
      <c r="J42" s="209"/>
      <c r="K42" s="210"/>
      <c r="L42" s="112"/>
      <c r="M42" s="112"/>
      <c r="N42" s="181"/>
      <c r="O42" s="179"/>
      <c r="P42" s="179"/>
      <c r="Q42" s="179"/>
      <c r="R42" s="179"/>
      <c r="S42" s="180"/>
      <c r="T42" s="112"/>
      <c r="U42" s="112"/>
      <c r="V42" s="208"/>
      <c r="W42" s="209"/>
      <c r="X42" s="210"/>
      <c r="Y42" s="112"/>
      <c r="Z42" s="112"/>
    </row>
    <row r="43" spans="1:26" ht="18" customHeight="1" x14ac:dyDescent="0.15">
      <c r="A43" s="29"/>
      <c r="B43" s="214"/>
      <c r="C43" s="215"/>
      <c r="D43" s="215"/>
      <c r="E43" s="215"/>
      <c r="F43" s="216"/>
      <c r="G43" s="112"/>
      <c r="H43" s="112"/>
      <c r="I43" s="208"/>
      <c r="J43" s="209"/>
      <c r="K43" s="210"/>
      <c r="L43" s="112"/>
      <c r="M43" s="112"/>
      <c r="N43" s="181"/>
      <c r="O43" s="179"/>
      <c r="P43" s="179"/>
      <c r="Q43" s="179"/>
      <c r="R43" s="179"/>
      <c r="S43" s="180"/>
      <c r="T43" s="112"/>
      <c r="U43" s="112"/>
      <c r="V43" s="208"/>
      <c r="W43" s="209"/>
      <c r="X43" s="210"/>
      <c r="Y43" s="112"/>
      <c r="Z43" s="112"/>
    </row>
    <row r="44" spans="1:26" ht="18" customHeight="1" x14ac:dyDescent="0.15">
      <c r="A44" s="29"/>
      <c r="B44" s="221"/>
      <c r="C44" s="198"/>
      <c r="D44" s="198"/>
      <c r="E44" s="198"/>
      <c r="F44" s="199"/>
      <c r="G44" s="113"/>
      <c r="H44" s="113"/>
      <c r="I44" s="217"/>
      <c r="J44" s="218"/>
      <c r="K44" s="219"/>
      <c r="L44" s="119"/>
      <c r="M44" s="119"/>
      <c r="N44" s="242"/>
      <c r="O44" s="243"/>
      <c r="P44" s="243"/>
      <c r="Q44" s="243"/>
      <c r="R44" s="243"/>
      <c r="S44" s="244"/>
      <c r="T44" s="113"/>
      <c r="U44" s="113"/>
      <c r="V44" s="217"/>
      <c r="W44" s="218"/>
      <c r="X44" s="219"/>
      <c r="Y44" s="119"/>
      <c r="Z44" s="119"/>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20" t="s">
        <v>138</v>
      </c>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spans="1:26" ht="18" customHeight="1" x14ac:dyDescent="0.15">
      <c r="A47" s="220"/>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spans="1:26" ht="18" customHeight="1" x14ac:dyDescent="0.15">
      <c r="A48" s="14"/>
      <c r="B48" s="175" t="s">
        <v>104</v>
      </c>
      <c r="C48" s="176"/>
      <c r="D48" s="176"/>
      <c r="E48" s="176"/>
      <c r="F48" s="177"/>
      <c r="G48" s="30" t="s">
        <v>147</v>
      </c>
      <c r="H48" s="110" t="s">
        <v>146</v>
      </c>
      <c r="I48" s="175" t="s">
        <v>105</v>
      </c>
      <c r="J48" s="176"/>
      <c r="K48" s="177"/>
      <c r="L48" s="75" t="s">
        <v>110</v>
      </c>
      <c r="M48" s="75" t="s">
        <v>112</v>
      </c>
      <c r="N48" s="175" t="s">
        <v>104</v>
      </c>
      <c r="O48" s="176"/>
      <c r="P48" s="176"/>
      <c r="Q48" s="176"/>
      <c r="R48" s="176"/>
      <c r="S48" s="177"/>
      <c r="T48" s="30" t="s">
        <v>147</v>
      </c>
      <c r="U48" s="110" t="s">
        <v>146</v>
      </c>
      <c r="V48" s="175" t="s">
        <v>105</v>
      </c>
      <c r="W48" s="176"/>
      <c r="X48" s="177"/>
      <c r="Y48" s="75" t="s">
        <v>110</v>
      </c>
      <c r="Z48" s="75" t="s">
        <v>112</v>
      </c>
    </row>
    <row r="49" spans="1:26" ht="18" customHeight="1" x14ac:dyDescent="0.15">
      <c r="A49" s="29"/>
      <c r="B49" s="211" t="s">
        <v>161</v>
      </c>
      <c r="C49" s="212"/>
      <c r="D49" s="212"/>
      <c r="E49" s="212"/>
      <c r="F49" s="213"/>
      <c r="G49" s="111">
        <v>2</v>
      </c>
      <c r="H49" s="111" t="s">
        <v>162</v>
      </c>
      <c r="I49" s="205" t="s">
        <v>163</v>
      </c>
      <c r="J49" s="206"/>
      <c r="K49" s="207"/>
      <c r="L49" s="111" t="s">
        <v>162</v>
      </c>
      <c r="M49" s="111" t="s">
        <v>162</v>
      </c>
      <c r="N49" s="169"/>
      <c r="O49" s="170"/>
      <c r="P49" s="170"/>
      <c r="Q49" s="170"/>
      <c r="R49" s="170"/>
      <c r="S49" s="171"/>
      <c r="T49" s="111"/>
      <c r="U49" s="111"/>
      <c r="V49" s="205"/>
      <c r="W49" s="206"/>
      <c r="X49" s="207"/>
      <c r="Y49" s="111"/>
      <c r="Z49" s="111"/>
    </row>
    <row r="50" spans="1:26" ht="18" customHeight="1" x14ac:dyDescent="0.15">
      <c r="A50" s="29"/>
      <c r="B50" s="214"/>
      <c r="C50" s="215"/>
      <c r="D50" s="215"/>
      <c r="E50" s="215"/>
      <c r="F50" s="216"/>
      <c r="G50" s="112"/>
      <c r="H50" s="112"/>
      <c r="I50" s="208"/>
      <c r="J50" s="209"/>
      <c r="K50" s="210"/>
      <c r="L50" s="112"/>
      <c r="M50" s="112"/>
      <c r="N50" s="181"/>
      <c r="O50" s="179"/>
      <c r="P50" s="179"/>
      <c r="Q50" s="179"/>
      <c r="R50" s="179"/>
      <c r="S50" s="180"/>
      <c r="T50" s="112"/>
      <c r="U50" s="112"/>
      <c r="V50" s="208"/>
      <c r="W50" s="209"/>
      <c r="X50" s="210"/>
      <c r="Y50" s="112"/>
      <c r="Z50" s="112"/>
    </row>
    <row r="51" spans="1:26" ht="18" customHeight="1" x14ac:dyDescent="0.15">
      <c r="A51" s="29"/>
      <c r="B51" s="214"/>
      <c r="C51" s="215"/>
      <c r="D51" s="215"/>
      <c r="E51" s="215"/>
      <c r="F51" s="216"/>
      <c r="G51" s="112"/>
      <c r="H51" s="112"/>
      <c r="I51" s="208"/>
      <c r="J51" s="209"/>
      <c r="K51" s="210"/>
      <c r="L51" s="112"/>
      <c r="M51" s="112"/>
      <c r="N51" s="181"/>
      <c r="O51" s="179"/>
      <c r="P51" s="179"/>
      <c r="Q51" s="179"/>
      <c r="R51" s="179"/>
      <c r="S51" s="180"/>
      <c r="T51" s="112"/>
      <c r="U51" s="112"/>
      <c r="V51" s="208"/>
      <c r="W51" s="209"/>
      <c r="X51" s="210"/>
      <c r="Y51" s="112"/>
      <c r="Z51" s="112"/>
    </row>
    <row r="52" spans="1:26" ht="18" customHeight="1" x14ac:dyDescent="0.15">
      <c r="A52" s="29"/>
      <c r="B52" s="214"/>
      <c r="C52" s="215"/>
      <c r="D52" s="215"/>
      <c r="E52" s="215"/>
      <c r="F52" s="216"/>
      <c r="G52" s="112"/>
      <c r="H52" s="112"/>
      <c r="I52" s="208"/>
      <c r="J52" s="209"/>
      <c r="K52" s="210"/>
      <c r="L52" s="112"/>
      <c r="M52" s="112"/>
      <c r="N52" s="181"/>
      <c r="O52" s="179"/>
      <c r="P52" s="179"/>
      <c r="Q52" s="179"/>
      <c r="R52" s="179"/>
      <c r="S52" s="180"/>
      <c r="T52" s="112"/>
      <c r="U52" s="112"/>
      <c r="V52" s="208"/>
      <c r="W52" s="209"/>
      <c r="X52" s="210"/>
      <c r="Y52" s="112"/>
      <c r="Z52" s="112"/>
    </row>
    <row r="53" spans="1:26" ht="18" customHeight="1" x14ac:dyDescent="0.15">
      <c r="A53" s="29"/>
      <c r="B53" s="214"/>
      <c r="C53" s="215"/>
      <c r="D53" s="215"/>
      <c r="E53" s="215"/>
      <c r="F53" s="216"/>
      <c r="G53" s="112"/>
      <c r="H53" s="112"/>
      <c r="I53" s="208"/>
      <c r="J53" s="209"/>
      <c r="K53" s="210"/>
      <c r="L53" s="112"/>
      <c r="M53" s="112"/>
      <c r="N53" s="181"/>
      <c r="O53" s="179"/>
      <c r="P53" s="179"/>
      <c r="Q53" s="179"/>
      <c r="R53" s="179"/>
      <c r="S53" s="180"/>
      <c r="T53" s="112"/>
      <c r="U53" s="112"/>
      <c r="V53" s="208"/>
      <c r="W53" s="209"/>
      <c r="X53" s="210"/>
      <c r="Y53" s="112"/>
      <c r="Z53" s="112"/>
    </row>
    <row r="54" spans="1:26" ht="18" customHeight="1" x14ac:dyDescent="0.15">
      <c r="A54" s="29"/>
      <c r="B54" s="214"/>
      <c r="C54" s="215"/>
      <c r="D54" s="215"/>
      <c r="E54" s="215"/>
      <c r="F54" s="216"/>
      <c r="G54" s="112"/>
      <c r="H54" s="112"/>
      <c r="I54" s="208"/>
      <c r="J54" s="209"/>
      <c r="K54" s="210"/>
      <c r="L54" s="112"/>
      <c r="M54" s="112"/>
      <c r="N54" s="181"/>
      <c r="O54" s="179"/>
      <c r="P54" s="179"/>
      <c r="Q54" s="179"/>
      <c r="R54" s="179"/>
      <c r="S54" s="180"/>
      <c r="T54" s="112"/>
      <c r="U54" s="112"/>
      <c r="V54" s="208"/>
      <c r="W54" s="209"/>
      <c r="X54" s="210"/>
      <c r="Y54" s="112"/>
      <c r="Z54" s="112"/>
    </row>
    <row r="55" spans="1:26" ht="18" customHeight="1" x14ac:dyDescent="0.15">
      <c r="A55" s="29"/>
      <c r="B55" s="221"/>
      <c r="C55" s="198"/>
      <c r="D55" s="198"/>
      <c r="E55" s="198"/>
      <c r="F55" s="199"/>
      <c r="G55" s="113"/>
      <c r="H55" s="113"/>
      <c r="I55" s="217"/>
      <c r="J55" s="218"/>
      <c r="K55" s="219"/>
      <c r="L55" s="119"/>
      <c r="M55" s="119"/>
      <c r="N55" s="242"/>
      <c r="O55" s="243"/>
      <c r="P55" s="243"/>
      <c r="Q55" s="243"/>
      <c r="R55" s="243"/>
      <c r="S55" s="244"/>
      <c r="T55" s="113"/>
      <c r="U55" s="113"/>
      <c r="V55" s="217"/>
      <c r="W55" s="218"/>
      <c r="X55" s="219"/>
      <c r="Y55" s="119"/>
      <c r="Z55" s="119"/>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20" t="s">
        <v>139</v>
      </c>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row>
    <row r="58" spans="1:26" ht="18" customHeight="1" x14ac:dyDescent="0.15">
      <c r="A58" s="220"/>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row>
    <row r="59" spans="1:26" ht="18" customHeight="1" x14ac:dyDescent="0.15">
      <c r="A59" s="14"/>
      <c r="B59" s="175" t="s">
        <v>104</v>
      </c>
      <c r="C59" s="176"/>
      <c r="D59" s="176"/>
      <c r="E59" s="177"/>
      <c r="F59" s="30" t="s">
        <v>147</v>
      </c>
      <c r="G59" s="110" t="s">
        <v>146</v>
      </c>
      <c r="H59" s="105" t="s">
        <v>105</v>
      </c>
      <c r="I59" s="106"/>
      <c r="J59" s="107"/>
      <c r="K59" s="75" t="s">
        <v>109</v>
      </c>
      <c r="L59" s="75" t="s">
        <v>140</v>
      </c>
      <c r="M59" s="75" t="s">
        <v>141</v>
      </c>
      <c r="N59" s="175" t="s">
        <v>104</v>
      </c>
      <c r="O59" s="176"/>
      <c r="P59" s="176"/>
      <c r="Q59" s="176"/>
      <c r="R59" s="177"/>
      <c r="S59" s="30" t="s">
        <v>147</v>
      </c>
      <c r="T59" s="110" t="s">
        <v>146</v>
      </c>
      <c r="U59" s="105" t="s">
        <v>105</v>
      </c>
      <c r="V59" s="106"/>
      <c r="W59" s="107"/>
      <c r="X59" s="75" t="s">
        <v>109</v>
      </c>
      <c r="Y59" s="75" t="s">
        <v>140</v>
      </c>
      <c r="Z59" s="75" t="s">
        <v>141</v>
      </c>
    </row>
    <row r="60" spans="1:26" ht="18" customHeight="1" x14ac:dyDescent="0.15">
      <c r="A60" s="29"/>
      <c r="B60" s="169" t="s">
        <v>161</v>
      </c>
      <c r="C60" s="170"/>
      <c r="D60" s="170"/>
      <c r="E60" s="171"/>
      <c r="F60" s="111">
        <v>2</v>
      </c>
      <c r="G60" s="111" t="s">
        <v>162</v>
      </c>
      <c r="H60" s="205" t="s">
        <v>163</v>
      </c>
      <c r="I60" s="206"/>
      <c r="J60" s="207"/>
      <c r="K60" s="118" t="s">
        <v>164</v>
      </c>
      <c r="L60" s="111" t="s">
        <v>164</v>
      </c>
      <c r="M60" s="111" t="s">
        <v>162</v>
      </c>
      <c r="N60" s="169"/>
      <c r="O60" s="170"/>
      <c r="P60" s="170"/>
      <c r="Q60" s="170"/>
      <c r="R60" s="171"/>
      <c r="S60" s="111"/>
      <c r="T60" s="111"/>
      <c r="U60" s="205"/>
      <c r="V60" s="206"/>
      <c r="W60" s="207"/>
      <c r="X60" s="118"/>
      <c r="Y60" s="111"/>
      <c r="Z60" s="111"/>
    </row>
    <row r="61" spans="1:26" ht="18" customHeight="1" x14ac:dyDescent="0.15">
      <c r="A61" s="29"/>
      <c r="B61" s="181"/>
      <c r="C61" s="179"/>
      <c r="D61" s="179"/>
      <c r="E61" s="180"/>
      <c r="F61" s="112"/>
      <c r="G61" s="112"/>
      <c r="H61" s="208"/>
      <c r="I61" s="209"/>
      <c r="J61" s="210"/>
      <c r="K61" s="116"/>
      <c r="L61" s="112"/>
      <c r="M61" s="112"/>
      <c r="N61" s="181"/>
      <c r="O61" s="179"/>
      <c r="P61" s="179"/>
      <c r="Q61" s="179"/>
      <c r="R61" s="180"/>
      <c r="S61" s="112"/>
      <c r="T61" s="112"/>
      <c r="U61" s="208"/>
      <c r="V61" s="209"/>
      <c r="W61" s="210"/>
      <c r="X61" s="116"/>
      <c r="Y61" s="112"/>
      <c r="Z61" s="112"/>
    </row>
    <row r="62" spans="1:26" ht="18" customHeight="1" x14ac:dyDescent="0.15">
      <c r="A62" s="29"/>
      <c r="B62" s="181"/>
      <c r="C62" s="179"/>
      <c r="D62" s="179"/>
      <c r="E62" s="180"/>
      <c r="F62" s="112"/>
      <c r="G62" s="112"/>
      <c r="H62" s="208"/>
      <c r="I62" s="209"/>
      <c r="J62" s="210"/>
      <c r="K62" s="116"/>
      <c r="L62" s="112"/>
      <c r="M62" s="112"/>
      <c r="N62" s="181"/>
      <c r="O62" s="179"/>
      <c r="P62" s="179"/>
      <c r="Q62" s="179"/>
      <c r="R62" s="180"/>
      <c r="S62" s="112"/>
      <c r="T62" s="112"/>
      <c r="U62" s="208"/>
      <c r="V62" s="209"/>
      <c r="W62" s="210"/>
      <c r="X62" s="116"/>
      <c r="Y62" s="112"/>
      <c r="Z62" s="112"/>
    </row>
    <row r="63" spans="1:26" ht="18" customHeight="1" x14ac:dyDescent="0.15">
      <c r="A63" s="29"/>
      <c r="B63" s="181"/>
      <c r="C63" s="179"/>
      <c r="D63" s="179"/>
      <c r="E63" s="180"/>
      <c r="F63" s="112"/>
      <c r="G63" s="112"/>
      <c r="H63" s="208"/>
      <c r="I63" s="209"/>
      <c r="J63" s="210"/>
      <c r="K63" s="116"/>
      <c r="L63" s="112"/>
      <c r="M63" s="112"/>
      <c r="N63" s="181"/>
      <c r="O63" s="179"/>
      <c r="P63" s="179"/>
      <c r="Q63" s="179"/>
      <c r="R63" s="180"/>
      <c r="S63" s="112"/>
      <c r="T63" s="112"/>
      <c r="U63" s="208"/>
      <c r="V63" s="209"/>
      <c r="W63" s="210"/>
      <c r="X63" s="116"/>
      <c r="Y63" s="112"/>
      <c r="Z63" s="112"/>
    </row>
    <row r="64" spans="1:26" ht="18" customHeight="1" x14ac:dyDescent="0.15">
      <c r="A64" s="29"/>
      <c r="B64" s="181"/>
      <c r="C64" s="179"/>
      <c r="D64" s="179"/>
      <c r="E64" s="180"/>
      <c r="F64" s="112"/>
      <c r="G64" s="112"/>
      <c r="H64" s="208"/>
      <c r="I64" s="209"/>
      <c r="J64" s="210"/>
      <c r="K64" s="116"/>
      <c r="L64" s="112"/>
      <c r="M64" s="112"/>
      <c r="N64" s="181"/>
      <c r="O64" s="179"/>
      <c r="P64" s="179"/>
      <c r="Q64" s="179"/>
      <c r="R64" s="180"/>
      <c r="S64" s="112"/>
      <c r="T64" s="112"/>
      <c r="U64" s="208"/>
      <c r="V64" s="209"/>
      <c r="W64" s="210"/>
      <c r="X64" s="116"/>
      <c r="Y64" s="112"/>
      <c r="Z64" s="112"/>
    </row>
    <row r="65" spans="1:26" ht="18" customHeight="1" x14ac:dyDescent="0.15">
      <c r="A65" s="29"/>
      <c r="B65" s="181"/>
      <c r="C65" s="179"/>
      <c r="D65" s="179"/>
      <c r="E65" s="180"/>
      <c r="F65" s="112"/>
      <c r="G65" s="112"/>
      <c r="H65" s="208"/>
      <c r="I65" s="209"/>
      <c r="J65" s="210"/>
      <c r="K65" s="116"/>
      <c r="L65" s="112"/>
      <c r="M65" s="112"/>
      <c r="N65" s="181"/>
      <c r="O65" s="179"/>
      <c r="P65" s="179"/>
      <c r="Q65" s="179"/>
      <c r="R65" s="180"/>
      <c r="S65" s="112"/>
      <c r="T65" s="112"/>
      <c r="U65" s="208"/>
      <c r="V65" s="209"/>
      <c r="W65" s="210"/>
      <c r="X65" s="116"/>
      <c r="Y65" s="112"/>
      <c r="Z65" s="112"/>
    </row>
    <row r="66" spans="1:26" ht="18" customHeight="1" x14ac:dyDescent="0.15">
      <c r="A66" s="29"/>
      <c r="B66" s="242"/>
      <c r="C66" s="243"/>
      <c r="D66" s="243"/>
      <c r="E66" s="244"/>
      <c r="F66" s="113"/>
      <c r="G66" s="113"/>
      <c r="H66" s="217"/>
      <c r="I66" s="218"/>
      <c r="J66" s="219"/>
      <c r="K66" s="117"/>
      <c r="L66" s="119"/>
      <c r="M66" s="119"/>
      <c r="N66" s="242"/>
      <c r="O66" s="243"/>
      <c r="P66" s="243"/>
      <c r="Q66" s="243"/>
      <c r="R66" s="244"/>
      <c r="S66" s="113"/>
      <c r="T66" s="113"/>
      <c r="U66" s="217"/>
      <c r="V66" s="218"/>
      <c r="W66" s="219"/>
      <c r="X66" s="117"/>
      <c r="Y66" s="119"/>
      <c r="Z66" s="119"/>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142</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75" t="s">
        <v>104</v>
      </c>
      <c r="C69" s="176"/>
      <c r="D69" s="176"/>
      <c r="E69" s="176"/>
      <c r="F69" s="177"/>
      <c r="G69" s="175" t="s">
        <v>152</v>
      </c>
      <c r="H69" s="176"/>
      <c r="I69" s="176"/>
      <c r="J69" s="176"/>
      <c r="K69" s="176"/>
      <c r="L69" s="176"/>
      <c r="M69" s="177"/>
      <c r="N69" s="248" t="s">
        <v>104</v>
      </c>
      <c r="O69" s="249"/>
      <c r="P69" s="249"/>
      <c r="Q69" s="249"/>
      <c r="R69" s="249"/>
      <c r="S69" s="250"/>
      <c r="T69" s="175" t="s">
        <v>152</v>
      </c>
      <c r="U69" s="176"/>
      <c r="V69" s="176"/>
      <c r="W69" s="176"/>
      <c r="X69" s="176"/>
      <c r="Y69" s="176"/>
      <c r="Z69" s="177"/>
    </row>
    <row r="70" spans="1:26" ht="18" customHeight="1" x14ac:dyDescent="0.15">
      <c r="A70" s="29"/>
      <c r="B70" s="169"/>
      <c r="C70" s="170"/>
      <c r="D70" s="170"/>
      <c r="E70" s="170"/>
      <c r="F70" s="171"/>
      <c r="G70" s="172"/>
      <c r="H70" s="173"/>
      <c r="I70" s="173"/>
      <c r="J70" s="173"/>
      <c r="K70" s="173"/>
      <c r="L70" s="173"/>
      <c r="M70" s="174"/>
      <c r="N70" s="169"/>
      <c r="O70" s="170"/>
      <c r="P70" s="170"/>
      <c r="Q70" s="170"/>
      <c r="R70" s="170"/>
      <c r="S70" s="171"/>
      <c r="T70" s="172"/>
      <c r="U70" s="173"/>
      <c r="V70" s="173"/>
      <c r="W70" s="173"/>
      <c r="X70" s="173"/>
      <c r="Y70" s="173"/>
      <c r="Z70" s="174"/>
    </row>
    <row r="71" spans="1:26" ht="18" customHeight="1" x14ac:dyDescent="0.15">
      <c r="A71" s="29"/>
      <c r="B71" s="181"/>
      <c r="C71" s="179"/>
      <c r="D71" s="179"/>
      <c r="E71" s="179"/>
      <c r="F71" s="180"/>
      <c r="G71" s="182"/>
      <c r="H71" s="183"/>
      <c r="I71" s="183"/>
      <c r="J71" s="183"/>
      <c r="K71" s="183"/>
      <c r="L71" s="183"/>
      <c r="M71" s="184"/>
      <c r="N71" s="181"/>
      <c r="O71" s="179"/>
      <c r="P71" s="179"/>
      <c r="Q71" s="179"/>
      <c r="R71" s="179"/>
      <c r="S71" s="180"/>
      <c r="T71" s="182"/>
      <c r="U71" s="183"/>
      <c r="V71" s="183"/>
      <c r="W71" s="183"/>
      <c r="X71" s="183"/>
      <c r="Y71" s="183"/>
      <c r="Z71" s="184"/>
    </row>
    <row r="72" spans="1:26" ht="18" customHeight="1" x14ac:dyDescent="0.15">
      <c r="A72" s="29"/>
      <c r="B72" s="181"/>
      <c r="C72" s="179"/>
      <c r="D72" s="179"/>
      <c r="E72" s="179"/>
      <c r="F72" s="180"/>
      <c r="G72" s="182"/>
      <c r="H72" s="183"/>
      <c r="I72" s="183"/>
      <c r="J72" s="183"/>
      <c r="K72" s="183"/>
      <c r="L72" s="183"/>
      <c r="M72" s="184"/>
      <c r="N72" s="181"/>
      <c r="O72" s="179"/>
      <c r="P72" s="179"/>
      <c r="Q72" s="179"/>
      <c r="R72" s="179"/>
      <c r="S72" s="180"/>
      <c r="T72" s="182"/>
      <c r="U72" s="183"/>
      <c r="V72" s="183"/>
      <c r="W72" s="183"/>
      <c r="X72" s="183"/>
      <c r="Y72" s="183"/>
      <c r="Z72" s="184"/>
    </row>
    <row r="73" spans="1:26" ht="18" customHeight="1" x14ac:dyDescent="0.15">
      <c r="A73" s="29"/>
      <c r="B73" s="181"/>
      <c r="C73" s="179"/>
      <c r="D73" s="179"/>
      <c r="E73" s="179"/>
      <c r="F73" s="180"/>
      <c r="G73" s="182"/>
      <c r="H73" s="183"/>
      <c r="I73" s="183"/>
      <c r="J73" s="183"/>
      <c r="K73" s="183"/>
      <c r="L73" s="183"/>
      <c r="M73" s="184"/>
      <c r="N73" s="181"/>
      <c r="O73" s="179"/>
      <c r="P73" s="179"/>
      <c r="Q73" s="179"/>
      <c r="R73" s="179"/>
      <c r="S73" s="180"/>
      <c r="T73" s="182"/>
      <c r="U73" s="183"/>
      <c r="V73" s="183"/>
      <c r="W73" s="183"/>
      <c r="X73" s="183"/>
      <c r="Y73" s="183"/>
      <c r="Z73" s="184"/>
    </row>
    <row r="74" spans="1:26" ht="18" customHeight="1" x14ac:dyDescent="0.15">
      <c r="A74" s="29"/>
      <c r="B74" s="181"/>
      <c r="C74" s="179"/>
      <c r="D74" s="179"/>
      <c r="E74" s="179"/>
      <c r="F74" s="180"/>
      <c r="G74" s="182"/>
      <c r="H74" s="183"/>
      <c r="I74" s="183"/>
      <c r="J74" s="183"/>
      <c r="K74" s="183"/>
      <c r="L74" s="183"/>
      <c r="M74" s="184"/>
      <c r="N74" s="181"/>
      <c r="O74" s="179"/>
      <c r="P74" s="179"/>
      <c r="Q74" s="179"/>
      <c r="R74" s="179"/>
      <c r="S74" s="180"/>
      <c r="T74" s="182"/>
      <c r="U74" s="183"/>
      <c r="V74" s="183"/>
      <c r="W74" s="183"/>
      <c r="X74" s="183"/>
      <c r="Y74" s="183"/>
      <c r="Z74" s="184"/>
    </row>
    <row r="75" spans="1:26" ht="18" customHeight="1" x14ac:dyDescent="0.15">
      <c r="A75" s="29"/>
      <c r="B75" s="181"/>
      <c r="C75" s="179"/>
      <c r="D75" s="179"/>
      <c r="E75" s="179"/>
      <c r="F75" s="180"/>
      <c r="G75" s="182"/>
      <c r="H75" s="183"/>
      <c r="I75" s="183"/>
      <c r="J75" s="183"/>
      <c r="K75" s="183"/>
      <c r="L75" s="183"/>
      <c r="M75" s="184"/>
      <c r="N75" s="181"/>
      <c r="O75" s="179"/>
      <c r="P75" s="179"/>
      <c r="Q75" s="179"/>
      <c r="R75" s="179"/>
      <c r="S75" s="180"/>
      <c r="T75" s="182"/>
      <c r="U75" s="183"/>
      <c r="V75" s="183"/>
      <c r="W75" s="183"/>
      <c r="X75" s="183"/>
      <c r="Y75" s="183"/>
      <c r="Z75" s="184"/>
    </row>
    <row r="76" spans="1:26" ht="18" customHeight="1" x14ac:dyDescent="0.15">
      <c r="A76" s="29"/>
      <c r="B76" s="242"/>
      <c r="C76" s="243"/>
      <c r="D76" s="243"/>
      <c r="E76" s="243"/>
      <c r="F76" s="244"/>
      <c r="G76" s="245"/>
      <c r="H76" s="246"/>
      <c r="I76" s="246"/>
      <c r="J76" s="246"/>
      <c r="K76" s="246"/>
      <c r="L76" s="246"/>
      <c r="M76" s="247"/>
      <c r="N76" s="242"/>
      <c r="O76" s="243"/>
      <c r="P76" s="243"/>
      <c r="Q76" s="243"/>
      <c r="R76" s="243"/>
      <c r="S76" s="244"/>
      <c r="T76" s="245"/>
      <c r="U76" s="246"/>
      <c r="V76" s="246"/>
      <c r="W76" s="246"/>
      <c r="X76" s="246"/>
      <c r="Y76" s="246"/>
      <c r="Z76" s="247"/>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148</v>
      </c>
    </row>
    <row r="79" spans="1:26" ht="18.75" customHeight="1" x14ac:dyDescent="0.15">
      <c r="B79" s="78" t="s">
        <v>106</v>
      </c>
      <c r="C79" s="79"/>
      <c r="D79" s="200" t="s">
        <v>107</v>
      </c>
      <c r="E79" s="200"/>
      <c r="F79" s="200"/>
      <c r="G79" s="200"/>
      <c r="H79" s="200"/>
      <c r="I79" s="200"/>
      <c r="J79" s="200"/>
      <c r="K79" s="200"/>
      <c r="L79" s="200"/>
      <c r="M79" s="200"/>
      <c r="N79" s="200"/>
      <c r="O79" s="200"/>
      <c r="P79" s="200"/>
      <c r="Q79" s="200"/>
      <c r="R79" s="200"/>
      <c r="S79" s="200"/>
      <c r="T79" s="200"/>
      <c r="U79" s="200"/>
      <c r="V79" s="200"/>
      <c r="W79" s="200"/>
      <c r="X79" s="200"/>
      <c r="Y79" s="200"/>
      <c r="Z79" s="201"/>
    </row>
    <row r="80" spans="1:26" ht="87.75" customHeight="1" x14ac:dyDescent="0.15">
      <c r="B80" s="187" t="s">
        <v>113</v>
      </c>
      <c r="C80" s="85" t="s">
        <v>108</v>
      </c>
      <c r="D80" s="202" t="s">
        <v>167</v>
      </c>
      <c r="E80" s="203"/>
      <c r="F80" s="203"/>
      <c r="G80" s="203"/>
      <c r="H80" s="203"/>
      <c r="I80" s="203"/>
      <c r="J80" s="203"/>
      <c r="K80" s="203"/>
      <c r="L80" s="203"/>
      <c r="M80" s="203"/>
      <c r="N80" s="203"/>
      <c r="O80" s="203"/>
      <c r="P80" s="203"/>
      <c r="Q80" s="203"/>
      <c r="R80" s="203"/>
      <c r="S80" s="203"/>
      <c r="T80" s="203"/>
      <c r="U80" s="203"/>
      <c r="V80" s="203"/>
      <c r="W80" s="203"/>
      <c r="X80" s="203"/>
      <c r="Y80" s="203"/>
      <c r="Z80" s="204"/>
    </row>
    <row r="81" spans="1:26" ht="63" customHeight="1" x14ac:dyDescent="0.15">
      <c r="B81" s="188"/>
      <c r="C81" s="108" t="s">
        <v>143</v>
      </c>
      <c r="D81" s="233" t="s">
        <v>168</v>
      </c>
      <c r="E81" s="234"/>
      <c r="F81" s="234"/>
      <c r="G81" s="234"/>
      <c r="H81" s="234"/>
      <c r="I81" s="234"/>
      <c r="J81" s="234"/>
      <c r="K81" s="234"/>
      <c r="L81" s="234"/>
      <c r="M81" s="234"/>
      <c r="N81" s="234"/>
      <c r="O81" s="234"/>
      <c r="P81" s="234"/>
      <c r="Q81" s="234"/>
      <c r="R81" s="234"/>
      <c r="S81" s="234"/>
      <c r="T81" s="234"/>
      <c r="U81" s="234"/>
      <c r="V81" s="234"/>
      <c r="W81" s="234"/>
      <c r="X81" s="234"/>
      <c r="Y81" s="234"/>
      <c r="Z81" s="235"/>
    </row>
    <row r="82" spans="1:26" ht="93" customHeight="1" x14ac:dyDescent="0.15">
      <c r="B82" s="185" t="s">
        <v>114</v>
      </c>
      <c r="C82" s="80" t="s">
        <v>133</v>
      </c>
      <c r="D82" s="236" t="s">
        <v>169</v>
      </c>
      <c r="E82" s="237"/>
      <c r="F82" s="237"/>
      <c r="G82" s="237"/>
      <c r="H82" s="237"/>
      <c r="I82" s="237"/>
      <c r="J82" s="237"/>
      <c r="K82" s="237"/>
      <c r="L82" s="237"/>
      <c r="M82" s="237"/>
      <c r="N82" s="237"/>
      <c r="O82" s="237"/>
      <c r="P82" s="237"/>
      <c r="Q82" s="237"/>
      <c r="R82" s="237"/>
      <c r="S82" s="237"/>
      <c r="T82" s="237"/>
      <c r="U82" s="237"/>
      <c r="V82" s="237"/>
      <c r="W82" s="237"/>
      <c r="X82" s="237"/>
      <c r="Y82" s="237"/>
      <c r="Z82" s="238"/>
    </row>
    <row r="83" spans="1:26" ht="63" customHeight="1" x14ac:dyDescent="0.15">
      <c r="B83" s="186"/>
      <c r="C83" s="109" t="s">
        <v>134</v>
      </c>
      <c r="D83" s="233" t="s">
        <v>170</v>
      </c>
      <c r="E83" s="234"/>
      <c r="F83" s="234"/>
      <c r="G83" s="234"/>
      <c r="H83" s="234"/>
      <c r="I83" s="234"/>
      <c r="J83" s="234"/>
      <c r="K83" s="234"/>
      <c r="L83" s="234"/>
      <c r="M83" s="234"/>
      <c r="N83" s="234"/>
      <c r="O83" s="234"/>
      <c r="P83" s="234"/>
      <c r="Q83" s="234"/>
      <c r="R83" s="234"/>
      <c r="S83" s="234"/>
      <c r="T83" s="234"/>
      <c r="U83" s="234"/>
      <c r="V83" s="234"/>
      <c r="W83" s="234"/>
      <c r="X83" s="234"/>
      <c r="Y83" s="234"/>
      <c r="Z83" s="235"/>
    </row>
    <row r="84" spans="1:26" ht="115.5" customHeight="1" x14ac:dyDescent="0.15">
      <c r="B84" s="185" t="s">
        <v>115</v>
      </c>
      <c r="C84" s="80" t="s">
        <v>136</v>
      </c>
      <c r="D84" s="236" t="s">
        <v>200</v>
      </c>
      <c r="E84" s="237"/>
      <c r="F84" s="237"/>
      <c r="G84" s="237"/>
      <c r="H84" s="237"/>
      <c r="I84" s="237"/>
      <c r="J84" s="237"/>
      <c r="K84" s="237"/>
      <c r="L84" s="237"/>
      <c r="M84" s="237"/>
      <c r="N84" s="237"/>
      <c r="O84" s="237"/>
      <c r="P84" s="237"/>
      <c r="Q84" s="237"/>
      <c r="R84" s="237"/>
      <c r="S84" s="237"/>
      <c r="T84" s="237"/>
      <c r="U84" s="237"/>
      <c r="V84" s="237"/>
      <c r="W84" s="237"/>
      <c r="X84" s="237"/>
      <c r="Y84" s="237"/>
      <c r="Z84" s="238"/>
    </row>
    <row r="85" spans="1:26" ht="93" customHeight="1" x14ac:dyDescent="0.15">
      <c r="B85" s="186"/>
      <c r="C85" s="82" t="s">
        <v>137</v>
      </c>
      <c r="D85" s="239" t="s">
        <v>171</v>
      </c>
      <c r="E85" s="240"/>
      <c r="F85" s="240"/>
      <c r="G85" s="240"/>
      <c r="H85" s="240"/>
      <c r="I85" s="240"/>
      <c r="J85" s="240"/>
      <c r="K85" s="240"/>
      <c r="L85" s="240"/>
      <c r="M85" s="240"/>
      <c r="N85" s="240"/>
      <c r="O85" s="240"/>
      <c r="P85" s="240"/>
      <c r="Q85" s="240"/>
      <c r="R85" s="240"/>
      <c r="S85" s="240"/>
      <c r="T85" s="240"/>
      <c r="U85" s="240"/>
      <c r="V85" s="240"/>
      <c r="W85" s="240"/>
      <c r="X85" s="240"/>
      <c r="Y85" s="240"/>
      <c r="Z85" s="241"/>
    </row>
    <row r="86" spans="1:26" ht="138.75" customHeight="1" x14ac:dyDescent="0.15">
      <c r="B86" s="187" t="s">
        <v>144</v>
      </c>
      <c r="C86" s="85" t="s">
        <v>110</v>
      </c>
      <c r="D86" s="194" t="s">
        <v>212</v>
      </c>
      <c r="E86" s="195"/>
      <c r="F86" s="195"/>
      <c r="G86" s="195"/>
      <c r="H86" s="195"/>
      <c r="I86" s="195"/>
      <c r="J86" s="195"/>
      <c r="K86" s="195"/>
      <c r="L86" s="195"/>
      <c r="M86" s="195"/>
      <c r="N86" s="195"/>
      <c r="O86" s="195"/>
      <c r="P86" s="195"/>
      <c r="Q86" s="195"/>
      <c r="R86" s="195"/>
      <c r="S86" s="195"/>
      <c r="T86" s="195"/>
      <c r="U86" s="195"/>
      <c r="V86" s="195"/>
      <c r="W86" s="195"/>
      <c r="X86" s="195"/>
      <c r="Y86" s="195"/>
      <c r="Z86" s="196"/>
    </row>
    <row r="87" spans="1:26" ht="63" customHeight="1" x14ac:dyDescent="0.15">
      <c r="B87" s="193"/>
      <c r="C87" s="81" t="s">
        <v>112</v>
      </c>
      <c r="D87" s="197" t="s">
        <v>195</v>
      </c>
      <c r="E87" s="198"/>
      <c r="F87" s="198"/>
      <c r="G87" s="198"/>
      <c r="H87" s="198"/>
      <c r="I87" s="198"/>
      <c r="J87" s="198"/>
      <c r="K87" s="198"/>
      <c r="L87" s="198"/>
      <c r="M87" s="198"/>
      <c r="N87" s="198"/>
      <c r="O87" s="198"/>
      <c r="P87" s="198"/>
      <c r="Q87" s="198"/>
      <c r="R87" s="198"/>
      <c r="S87" s="198"/>
      <c r="T87" s="198"/>
      <c r="U87" s="198"/>
      <c r="V87" s="198"/>
      <c r="W87" s="198"/>
      <c r="X87" s="198"/>
      <c r="Y87" s="198"/>
      <c r="Z87" s="199"/>
    </row>
    <row r="88" spans="1:26" ht="192.75" customHeight="1" x14ac:dyDescent="0.15">
      <c r="B88" s="187" t="s">
        <v>145</v>
      </c>
      <c r="C88" s="80" t="s">
        <v>109</v>
      </c>
      <c r="D88" s="189" t="s">
        <v>196</v>
      </c>
      <c r="E88" s="170"/>
      <c r="F88" s="170"/>
      <c r="G88" s="170"/>
      <c r="H88" s="170"/>
      <c r="I88" s="170"/>
      <c r="J88" s="170"/>
      <c r="K88" s="170"/>
      <c r="L88" s="170"/>
      <c r="M88" s="170"/>
      <c r="N88" s="170"/>
      <c r="O88" s="170"/>
      <c r="P88" s="170"/>
      <c r="Q88" s="170"/>
      <c r="R88" s="170"/>
      <c r="S88" s="170"/>
      <c r="T88" s="170"/>
      <c r="U88" s="170"/>
      <c r="V88" s="170"/>
      <c r="W88" s="170"/>
      <c r="X88" s="170"/>
      <c r="Y88" s="170"/>
      <c r="Z88" s="171"/>
    </row>
    <row r="89" spans="1:26" ht="99" customHeight="1" x14ac:dyDescent="0.15">
      <c r="B89" s="188"/>
      <c r="C89" s="81" t="s">
        <v>140</v>
      </c>
      <c r="D89" s="178" t="s">
        <v>197</v>
      </c>
      <c r="E89" s="179"/>
      <c r="F89" s="179"/>
      <c r="G89" s="179"/>
      <c r="H89" s="179"/>
      <c r="I89" s="179"/>
      <c r="J89" s="179"/>
      <c r="K89" s="179"/>
      <c r="L89" s="179"/>
      <c r="M89" s="179"/>
      <c r="N89" s="179"/>
      <c r="O89" s="179"/>
      <c r="P89" s="179"/>
      <c r="Q89" s="179"/>
      <c r="R89" s="179"/>
      <c r="S89" s="179"/>
      <c r="T89" s="179"/>
      <c r="U89" s="179"/>
      <c r="V89" s="179"/>
      <c r="W89" s="179"/>
      <c r="X89" s="179"/>
      <c r="Y89" s="179"/>
      <c r="Z89" s="180"/>
    </row>
    <row r="90" spans="1:26" ht="63" customHeight="1" x14ac:dyDescent="0.15">
      <c r="B90" s="186"/>
      <c r="C90" s="82" t="s">
        <v>141</v>
      </c>
      <c r="D90" s="190" t="s">
        <v>213</v>
      </c>
      <c r="E90" s="191"/>
      <c r="F90" s="191"/>
      <c r="G90" s="191"/>
      <c r="H90" s="191"/>
      <c r="I90" s="191"/>
      <c r="J90" s="191"/>
      <c r="K90" s="191"/>
      <c r="L90" s="191"/>
      <c r="M90" s="191"/>
      <c r="N90" s="191"/>
      <c r="O90" s="191"/>
      <c r="P90" s="191"/>
      <c r="Q90" s="191"/>
      <c r="R90" s="191"/>
      <c r="S90" s="191"/>
      <c r="T90" s="191"/>
      <c r="U90" s="191"/>
      <c r="V90" s="191"/>
      <c r="W90" s="191"/>
      <c r="X90" s="191"/>
      <c r="Y90" s="191"/>
      <c r="Z90" s="192"/>
    </row>
    <row r="91" spans="1:26" ht="6" customHeight="1" x14ac:dyDescent="0.15"/>
    <row r="92" spans="1:26" ht="18.75" customHeight="1" x14ac:dyDescent="0.15">
      <c r="A92" s="13" t="s">
        <v>149</v>
      </c>
    </row>
    <row r="93" spans="1:26" ht="18.75" customHeight="1" x14ac:dyDescent="0.15">
      <c r="B93" s="251" t="s">
        <v>172</v>
      </c>
      <c r="C93" s="252"/>
      <c r="D93" s="252"/>
      <c r="E93" s="252"/>
      <c r="F93" s="252"/>
      <c r="G93" s="252"/>
      <c r="H93" s="252"/>
      <c r="I93" s="252"/>
      <c r="J93" s="252"/>
      <c r="K93" s="252"/>
      <c r="L93" s="252"/>
      <c r="M93" s="252"/>
      <c r="N93" s="252"/>
      <c r="O93" s="252"/>
      <c r="P93" s="252"/>
      <c r="Q93" s="252"/>
      <c r="R93" s="252"/>
      <c r="S93" s="252"/>
      <c r="T93" s="252"/>
      <c r="U93" s="252"/>
      <c r="V93" s="252"/>
      <c r="W93" s="252"/>
      <c r="X93" s="252"/>
      <c r="Y93" s="252"/>
      <c r="Z93" s="253"/>
    </row>
    <row r="94" spans="1:26" ht="18.75" customHeight="1" x14ac:dyDescent="0.15">
      <c r="B94" s="254"/>
      <c r="C94" s="255"/>
      <c r="D94" s="255"/>
      <c r="E94" s="255"/>
      <c r="F94" s="255"/>
      <c r="G94" s="255"/>
      <c r="H94" s="255"/>
      <c r="I94" s="255"/>
      <c r="J94" s="255"/>
      <c r="K94" s="255"/>
      <c r="L94" s="255"/>
      <c r="M94" s="255"/>
      <c r="N94" s="255"/>
      <c r="O94" s="255"/>
      <c r="P94" s="255"/>
      <c r="Q94" s="255"/>
      <c r="R94" s="255"/>
      <c r="S94" s="255"/>
      <c r="T94" s="255"/>
      <c r="U94" s="255"/>
      <c r="V94" s="255"/>
      <c r="W94" s="255"/>
      <c r="X94" s="255"/>
      <c r="Y94" s="255"/>
      <c r="Z94" s="256"/>
    </row>
    <row r="95" spans="1:26" ht="18.75" customHeight="1" x14ac:dyDescent="0.15">
      <c r="B95" s="257"/>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2"/>
    </row>
    <row r="96" spans="1:26" ht="6" customHeight="1" x14ac:dyDescent="0.15"/>
    <row r="97" spans="1:26" ht="15" customHeight="1" x14ac:dyDescent="0.15">
      <c r="A97" s="13" t="s">
        <v>150</v>
      </c>
    </row>
    <row r="98" spans="1:26" ht="49.5" customHeight="1" x14ac:dyDescent="0.15">
      <c r="B98" s="258" t="s">
        <v>201</v>
      </c>
      <c r="C98" s="259"/>
      <c r="D98" s="259"/>
      <c r="E98" s="259"/>
      <c r="F98" s="259"/>
      <c r="G98" s="259"/>
      <c r="H98" s="259"/>
      <c r="I98" s="259"/>
      <c r="J98" s="259"/>
      <c r="K98" s="259"/>
      <c r="L98" s="259"/>
      <c r="M98" s="259"/>
      <c r="N98" s="259"/>
      <c r="O98" s="259"/>
      <c r="P98" s="259"/>
      <c r="Q98" s="259"/>
      <c r="R98" s="259"/>
      <c r="S98" s="259"/>
      <c r="T98" s="259"/>
      <c r="U98" s="259"/>
      <c r="V98" s="259"/>
      <c r="W98" s="259"/>
      <c r="X98" s="259"/>
      <c r="Y98" s="259"/>
      <c r="Z98" s="260"/>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showZeros="0" view="pageBreakPreview" zoomScaleNormal="100" zoomScaleSheetLayoutView="100" workbookViewId="0"/>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62" t="s">
        <v>65</v>
      </c>
      <c r="G1" s="262"/>
      <c r="H1" s="262"/>
      <c r="I1" s="262"/>
      <c r="J1" s="262"/>
      <c r="K1" s="262"/>
      <c r="L1" s="262"/>
      <c r="M1" s="262"/>
      <c r="N1" s="262"/>
      <c r="O1" s="262"/>
      <c r="P1" s="262"/>
      <c r="Q1" s="262"/>
      <c r="R1" s="262"/>
    </row>
    <row r="2" spans="1:20" ht="18" customHeight="1" x14ac:dyDescent="0.15">
      <c r="A2" s="263" t="s">
        <v>93</v>
      </c>
      <c r="B2" s="263"/>
      <c r="C2" s="263"/>
      <c r="D2" s="263"/>
      <c r="E2" s="263"/>
      <c r="F2" s="263"/>
      <c r="G2" s="263"/>
      <c r="H2" s="263"/>
      <c r="I2" s="263"/>
      <c r="J2" s="263"/>
      <c r="K2" s="263"/>
      <c r="L2" s="263"/>
      <c r="M2" s="263"/>
      <c r="N2" s="263"/>
      <c r="O2" s="263"/>
      <c r="P2" s="263"/>
      <c r="Q2" s="263"/>
      <c r="R2" s="263"/>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153</v>
      </c>
      <c r="B4" s="4"/>
      <c r="C4" s="264" t="str">
        <f>'様式１　大学等概要'!E12</f>
        <v>令和３</v>
      </c>
      <c r="D4" s="265"/>
      <c r="E4" s="38" t="s">
        <v>118</v>
      </c>
      <c r="F4" s="38"/>
      <c r="G4" s="38"/>
      <c r="H4" s="38"/>
      <c r="I4" s="38"/>
      <c r="J4" s="86"/>
      <c r="K4" s="38"/>
      <c r="L4" s="38"/>
      <c r="M4" s="114"/>
      <c r="N4" s="114"/>
      <c r="O4" s="114"/>
      <c r="P4" s="114"/>
      <c r="Q4" s="114"/>
      <c r="R4" s="114"/>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151</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66" t="s">
        <v>83</v>
      </c>
      <c r="C8" s="268" t="s">
        <v>88</v>
      </c>
      <c r="D8" s="270" t="s">
        <v>70</v>
      </c>
      <c r="E8" s="272" t="s">
        <v>94</v>
      </c>
      <c r="F8" s="272"/>
      <c r="G8" s="272" t="s">
        <v>95</v>
      </c>
      <c r="H8" s="272"/>
      <c r="I8" s="272" t="s">
        <v>96</v>
      </c>
      <c r="J8" s="272"/>
      <c r="K8" s="273" t="s">
        <v>97</v>
      </c>
      <c r="L8" s="274"/>
      <c r="M8" s="273" t="s">
        <v>98</v>
      </c>
      <c r="N8" s="274"/>
      <c r="O8" s="273" t="s">
        <v>99</v>
      </c>
      <c r="P8" s="274"/>
      <c r="Q8" s="275" t="s">
        <v>64</v>
      </c>
      <c r="R8" s="277" t="s">
        <v>58</v>
      </c>
      <c r="T8" s="34"/>
    </row>
    <row r="9" spans="1:20" ht="18" customHeight="1" x14ac:dyDescent="0.15">
      <c r="A9" s="4"/>
      <c r="B9" s="267"/>
      <c r="C9" s="269"/>
      <c r="D9" s="271"/>
      <c r="E9" s="43" t="s">
        <v>46</v>
      </c>
      <c r="F9" s="44" t="s">
        <v>45</v>
      </c>
      <c r="G9" s="45" t="s">
        <v>46</v>
      </c>
      <c r="H9" s="46" t="s">
        <v>45</v>
      </c>
      <c r="I9" s="43" t="s">
        <v>46</v>
      </c>
      <c r="J9" s="44" t="s">
        <v>45</v>
      </c>
      <c r="K9" s="45" t="s">
        <v>46</v>
      </c>
      <c r="L9" s="46" t="s">
        <v>45</v>
      </c>
      <c r="M9" s="43" t="s">
        <v>46</v>
      </c>
      <c r="N9" s="44" t="s">
        <v>45</v>
      </c>
      <c r="O9" s="45" t="s">
        <v>46</v>
      </c>
      <c r="P9" s="46" t="s">
        <v>45</v>
      </c>
      <c r="Q9" s="276"/>
      <c r="R9" s="278"/>
      <c r="T9" s="34"/>
    </row>
    <row r="10" spans="1:20" ht="18" customHeight="1" x14ac:dyDescent="0.15">
      <c r="A10" s="47"/>
      <c r="B10" s="87" t="s">
        <v>173</v>
      </c>
      <c r="C10" s="128">
        <v>100</v>
      </c>
      <c r="D10" s="129">
        <v>200</v>
      </c>
      <c r="E10" s="130">
        <v>57</v>
      </c>
      <c r="F10" s="131">
        <v>55</v>
      </c>
      <c r="G10" s="51"/>
      <c r="H10" s="52"/>
      <c r="I10" s="49"/>
      <c r="J10" s="50"/>
      <c r="K10" s="51"/>
      <c r="L10" s="52"/>
      <c r="M10" s="49"/>
      <c r="N10" s="50"/>
      <c r="O10" s="51"/>
      <c r="P10" s="52"/>
      <c r="Q10" s="53">
        <f>E10+G10+I10+K10+M10+O10</f>
        <v>57</v>
      </c>
      <c r="R10" s="54">
        <f>Q10/D10</f>
        <v>0.28499999999999998</v>
      </c>
    </row>
    <row r="11" spans="1:20" ht="18" customHeight="1" x14ac:dyDescent="0.15">
      <c r="A11" s="47"/>
      <c r="B11" s="88" t="s">
        <v>174</v>
      </c>
      <c r="C11" s="120">
        <v>100</v>
      </c>
      <c r="D11" s="121">
        <v>200</v>
      </c>
      <c r="E11" s="122">
        <v>38</v>
      </c>
      <c r="F11" s="123">
        <v>24</v>
      </c>
      <c r="G11" s="59"/>
      <c r="H11" s="60"/>
      <c r="I11" s="57"/>
      <c r="J11" s="58"/>
      <c r="K11" s="59"/>
      <c r="L11" s="60"/>
      <c r="M11" s="57"/>
      <c r="N11" s="58"/>
      <c r="O11" s="59"/>
      <c r="P11" s="60"/>
      <c r="Q11" s="61">
        <f t="shared" ref="Q11:Q29" si="0">E11+G11+I11+K11+M11+O11</f>
        <v>38</v>
      </c>
      <c r="R11" s="62">
        <f t="shared" ref="R11:R29" si="1">Q11/D11</f>
        <v>0.19</v>
      </c>
    </row>
    <row r="12" spans="1:20" ht="18" customHeight="1" x14ac:dyDescent="0.15">
      <c r="A12" s="47"/>
      <c r="B12" s="88" t="s">
        <v>175</v>
      </c>
      <c r="C12" s="120">
        <v>150</v>
      </c>
      <c r="D12" s="121">
        <v>300</v>
      </c>
      <c r="E12" s="122">
        <v>58</v>
      </c>
      <c r="F12" s="123">
        <v>57</v>
      </c>
      <c r="G12" s="59"/>
      <c r="H12" s="60"/>
      <c r="I12" s="57"/>
      <c r="J12" s="58"/>
      <c r="K12" s="59"/>
      <c r="L12" s="60"/>
      <c r="M12" s="57"/>
      <c r="N12" s="58"/>
      <c r="O12" s="59"/>
      <c r="P12" s="60"/>
      <c r="Q12" s="61">
        <f t="shared" si="0"/>
        <v>58</v>
      </c>
      <c r="R12" s="62">
        <f t="shared" si="1"/>
        <v>0.19333333333333333</v>
      </c>
    </row>
    <row r="13" spans="1:20" ht="18" customHeight="1" x14ac:dyDescent="0.15">
      <c r="A13" s="47"/>
      <c r="B13" s="88" t="s">
        <v>176</v>
      </c>
      <c r="C13" s="120">
        <v>100</v>
      </c>
      <c r="D13" s="121">
        <v>200</v>
      </c>
      <c r="E13" s="122">
        <v>55</v>
      </c>
      <c r="F13" s="123">
        <v>51</v>
      </c>
      <c r="G13" s="59"/>
      <c r="H13" s="60"/>
      <c r="I13" s="57"/>
      <c r="J13" s="58"/>
      <c r="K13" s="59"/>
      <c r="L13" s="60"/>
      <c r="M13" s="57"/>
      <c r="N13" s="58"/>
      <c r="O13" s="59"/>
      <c r="P13" s="60"/>
      <c r="Q13" s="61">
        <f t="shared" si="0"/>
        <v>55</v>
      </c>
      <c r="R13" s="62">
        <f t="shared" si="1"/>
        <v>0.27500000000000002</v>
      </c>
    </row>
    <row r="14" spans="1:20" ht="18" customHeight="1" x14ac:dyDescent="0.15">
      <c r="A14" s="47"/>
      <c r="B14" s="88" t="s">
        <v>177</v>
      </c>
      <c r="C14" s="120">
        <v>80</v>
      </c>
      <c r="D14" s="121">
        <v>160</v>
      </c>
      <c r="E14" s="122">
        <v>39</v>
      </c>
      <c r="F14" s="123">
        <v>34</v>
      </c>
      <c r="G14" s="59"/>
      <c r="H14" s="60"/>
      <c r="I14" s="57"/>
      <c r="J14" s="58"/>
      <c r="K14" s="59"/>
      <c r="L14" s="60"/>
      <c r="M14" s="57"/>
      <c r="N14" s="58"/>
      <c r="O14" s="59"/>
      <c r="P14" s="60"/>
      <c r="Q14" s="61">
        <f t="shared" si="0"/>
        <v>39</v>
      </c>
      <c r="R14" s="62">
        <f t="shared" si="1"/>
        <v>0.24374999999999999</v>
      </c>
    </row>
    <row r="15" spans="1:20" ht="18" customHeight="1" x14ac:dyDescent="0.15">
      <c r="A15" s="47"/>
      <c r="B15" s="88" t="s">
        <v>178</v>
      </c>
      <c r="C15" s="120">
        <v>80</v>
      </c>
      <c r="D15" s="121">
        <v>160</v>
      </c>
      <c r="E15" s="122">
        <v>47</v>
      </c>
      <c r="F15" s="123">
        <v>39</v>
      </c>
      <c r="G15" s="59"/>
      <c r="H15" s="60"/>
      <c r="I15" s="57"/>
      <c r="J15" s="58"/>
      <c r="K15" s="59"/>
      <c r="L15" s="60"/>
      <c r="M15" s="57"/>
      <c r="N15" s="58"/>
      <c r="O15" s="59"/>
      <c r="P15" s="60"/>
      <c r="Q15" s="61">
        <f t="shared" si="0"/>
        <v>47</v>
      </c>
      <c r="R15" s="62">
        <f t="shared" si="1"/>
        <v>0.29375000000000001</v>
      </c>
    </row>
    <row r="16" spans="1:20" ht="18" customHeight="1" x14ac:dyDescent="0.15">
      <c r="A16" s="47"/>
      <c r="B16" s="88" t="s">
        <v>179</v>
      </c>
      <c r="C16" s="120">
        <v>90</v>
      </c>
      <c r="D16" s="121">
        <v>180</v>
      </c>
      <c r="E16" s="122">
        <v>67</v>
      </c>
      <c r="F16" s="123">
        <v>58</v>
      </c>
      <c r="G16" s="59"/>
      <c r="H16" s="60"/>
      <c r="I16" s="57"/>
      <c r="J16" s="58"/>
      <c r="K16" s="59"/>
      <c r="L16" s="60"/>
      <c r="M16" s="57"/>
      <c r="N16" s="58"/>
      <c r="O16" s="59"/>
      <c r="P16" s="60"/>
      <c r="Q16" s="61">
        <f t="shared" si="0"/>
        <v>67</v>
      </c>
      <c r="R16" s="62">
        <f t="shared" si="1"/>
        <v>0.37222222222222223</v>
      </c>
    </row>
    <row r="17" spans="1:18" ht="18" customHeight="1" x14ac:dyDescent="0.15">
      <c r="A17" s="47"/>
      <c r="B17" s="125"/>
      <c r="C17" s="120"/>
      <c r="D17" s="121"/>
      <c r="E17" s="122"/>
      <c r="F17" s="123"/>
      <c r="G17" s="124"/>
      <c r="H17" s="126"/>
      <c r="I17" s="57"/>
      <c r="J17" s="58"/>
      <c r="K17" s="59"/>
      <c r="L17" s="60"/>
      <c r="M17" s="57"/>
      <c r="N17" s="58"/>
      <c r="O17" s="59"/>
      <c r="P17" s="60"/>
      <c r="Q17" s="61">
        <f t="shared" si="0"/>
        <v>0</v>
      </c>
      <c r="R17" s="62" t="e">
        <f t="shared" si="1"/>
        <v>#DIV/0!</v>
      </c>
    </row>
    <row r="18" spans="1:18" ht="18" customHeight="1" x14ac:dyDescent="0.15">
      <c r="A18" s="47"/>
      <c r="B18" s="125"/>
      <c r="C18" s="120"/>
      <c r="D18" s="121"/>
      <c r="E18" s="122"/>
      <c r="F18" s="123"/>
      <c r="G18" s="124"/>
      <c r="H18" s="126"/>
      <c r="I18" s="57"/>
      <c r="J18" s="58"/>
      <c r="K18" s="59"/>
      <c r="L18" s="60"/>
      <c r="M18" s="57"/>
      <c r="N18" s="58"/>
      <c r="O18" s="59"/>
      <c r="P18" s="60"/>
      <c r="Q18" s="61">
        <f>E18+G18+I18+K18+M18+O18</f>
        <v>0</v>
      </c>
      <c r="R18" s="62" t="e">
        <f t="shared" si="1"/>
        <v>#DIV/0!</v>
      </c>
    </row>
    <row r="19" spans="1:18" ht="18" customHeight="1" x14ac:dyDescent="0.15">
      <c r="A19" s="47"/>
      <c r="B19" s="88"/>
      <c r="C19" s="120"/>
      <c r="D19" s="121"/>
      <c r="E19" s="122"/>
      <c r="F19" s="123"/>
      <c r="G19" s="124"/>
      <c r="H19" s="60"/>
      <c r="I19" s="57"/>
      <c r="J19" s="58"/>
      <c r="K19" s="59"/>
      <c r="L19" s="60"/>
      <c r="M19" s="57"/>
      <c r="N19" s="58"/>
      <c r="O19" s="59"/>
      <c r="P19" s="60"/>
      <c r="Q19" s="61">
        <f t="shared" si="0"/>
        <v>0</v>
      </c>
      <c r="R19" s="62" t="e">
        <f t="shared" si="1"/>
        <v>#DIV/0!</v>
      </c>
    </row>
    <row r="20" spans="1:18" ht="18" customHeight="1" x14ac:dyDescent="0.15">
      <c r="A20" s="47"/>
      <c r="B20" s="88"/>
      <c r="C20" s="120"/>
      <c r="D20" s="121"/>
      <c r="E20" s="122"/>
      <c r="F20" s="123"/>
      <c r="G20" s="124"/>
      <c r="H20" s="60"/>
      <c r="I20" s="57"/>
      <c r="J20" s="58"/>
      <c r="K20" s="59"/>
      <c r="L20" s="60"/>
      <c r="M20" s="57"/>
      <c r="N20" s="58"/>
      <c r="O20" s="59"/>
      <c r="P20" s="60"/>
      <c r="Q20" s="61">
        <f t="shared" si="0"/>
        <v>0</v>
      </c>
      <c r="R20" s="62" t="e">
        <f t="shared" si="1"/>
        <v>#DIV/0!</v>
      </c>
    </row>
    <row r="21" spans="1:18" ht="18" customHeight="1" x14ac:dyDescent="0.15">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1" t="s">
        <v>59</v>
      </c>
      <c r="C30" s="92">
        <f t="shared" ref="C30:Q30" si="2">SUM(C10:C29)</f>
        <v>700</v>
      </c>
      <c r="D30" s="65">
        <f t="shared" si="2"/>
        <v>1400</v>
      </c>
      <c r="E30" s="66">
        <f t="shared" si="2"/>
        <v>361</v>
      </c>
      <c r="F30" s="67">
        <f t="shared" si="2"/>
        <v>318</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361</v>
      </c>
      <c r="R30" s="71">
        <f>Q30/D30</f>
        <v>0.25785714285714284</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B46" sqref="B46:J66"/>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119</v>
      </c>
      <c r="J1" s="41" t="s">
        <v>120</v>
      </c>
    </row>
    <row r="2" spans="1:11" ht="18.75" customHeight="1" x14ac:dyDescent="0.15">
      <c r="A2" s="263" t="s">
        <v>66</v>
      </c>
      <c r="B2" s="263"/>
      <c r="C2" s="263"/>
      <c r="D2" s="263"/>
      <c r="E2" s="263"/>
      <c r="F2" s="263"/>
      <c r="G2" s="263"/>
      <c r="H2" s="263"/>
      <c r="I2" s="263"/>
      <c r="J2" s="263"/>
    </row>
    <row r="3" spans="1:11" ht="7.5" customHeight="1" x14ac:dyDescent="0.15">
      <c r="B3" s="38"/>
      <c r="C3" s="38"/>
      <c r="D3" s="38"/>
      <c r="E3" s="38"/>
      <c r="F3" s="38"/>
      <c r="G3" s="38"/>
      <c r="H3" s="38"/>
      <c r="I3" s="38"/>
      <c r="J3" s="38"/>
    </row>
    <row r="4" spans="1:11" ht="18.75" customHeight="1" x14ac:dyDescent="0.15">
      <c r="A4" s="1" t="s">
        <v>6</v>
      </c>
      <c r="B4" s="4" t="s">
        <v>76</v>
      </c>
      <c r="C4" s="4"/>
      <c r="D4" s="4"/>
      <c r="E4" s="4"/>
      <c r="F4" s="4"/>
      <c r="G4" s="4"/>
      <c r="H4" s="4"/>
      <c r="I4" s="38"/>
      <c r="J4" s="38"/>
    </row>
    <row r="5" spans="1:11" ht="18.75" customHeight="1" x14ac:dyDescent="0.15">
      <c r="A5" s="1"/>
      <c r="B5" s="288" t="s">
        <v>205</v>
      </c>
      <c r="C5" s="289"/>
      <c r="D5" s="289"/>
      <c r="E5" s="289"/>
      <c r="F5" s="289"/>
      <c r="G5" s="289"/>
      <c r="H5" s="289"/>
      <c r="I5" s="289"/>
      <c r="J5" s="290"/>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10</v>
      </c>
      <c r="B7" s="1" t="s">
        <v>41</v>
      </c>
      <c r="C7" s="1"/>
      <c r="D7" s="1"/>
      <c r="E7" s="1"/>
      <c r="F7" s="1"/>
      <c r="G7" s="1"/>
      <c r="H7" s="1"/>
      <c r="I7" s="1"/>
      <c r="J7" s="1"/>
      <c r="K7" s="35"/>
    </row>
    <row r="8" spans="1:11" s="4" customFormat="1" ht="18.75" customHeight="1" x14ac:dyDescent="0.15">
      <c r="A8" s="93"/>
      <c r="B8" s="291" t="s">
        <v>183</v>
      </c>
      <c r="C8" s="292"/>
      <c r="D8" s="292"/>
      <c r="E8" s="292"/>
      <c r="F8" s="292"/>
      <c r="G8" s="292"/>
      <c r="H8" s="292"/>
      <c r="I8" s="293"/>
      <c r="J8" s="294"/>
      <c r="K8" s="31" t="str">
        <f>IF(B8="","入力してください","")</f>
        <v/>
      </c>
    </row>
    <row r="9" spans="1:11" s="4" customFormat="1" ht="18.75" customHeight="1" x14ac:dyDescent="0.15">
      <c r="A9" s="93"/>
      <c r="B9" s="295"/>
      <c r="C9" s="296"/>
      <c r="D9" s="296"/>
      <c r="E9" s="296"/>
      <c r="F9" s="296"/>
      <c r="G9" s="296"/>
      <c r="H9" s="296"/>
      <c r="I9" s="296"/>
      <c r="J9" s="297"/>
      <c r="K9" s="31"/>
    </row>
    <row r="10" spans="1:11" s="4" customFormat="1" ht="18.75" customHeight="1" x14ac:dyDescent="0.15">
      <c r="A10" s="93"/>
      <c r="B10" s="295"/>
      <c r="C10" s="296"/>
      <c r="D10" s="296"/>
      <c r="E10" s="296"/>
      <c r="F10" s="296"/>
      <c r="G10" s="296"/>
      <c r="H10" s="296"/>
      <c r="I10" s="296"/>
      <c r="J10" s="297"/>
      <c r="K10" s="31"/>
    </row>
    <row r="11" spans="1:11" s="4" customFormat="1" ht="18.75" customHeight="1" x14ac:dyDescent="0.15">
      <c r="A11" s="93"/>
      <c r="B11" s="295"/>
      <c r="C11" s="296"/>
      <c r="D11" s="296"/>
      <c r="E11" s="296"/>
      <c r="F11" s="296"/>
      <c r="G11" s="296"/>
      <c r="H11" s="296"/>
      <c r="I11" s="296"/>
      <c r="J11" s="297"/>
      <c r="K11" s="31"/>
    </row>
    <row r="12" spans="1:11" s="4" customFormat="1" ht="18.75" customHeight="1" x14ac:dyDescent="0.15">
      <c r="A12" s="93"/>
      <c r="B12" s="298"/>
      <c r="C12" s="299"/>
      <c r="D12" s="299"/>
      <c r="E12" s="299"/>
      <c r="F12" s="299"/>
      <c r="G12" s="299"/>
      <c r="H12" s="299"/>
      <c r="I12" s="299"/>
      <c r="J12" s="300"/>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11</v>
      </c>
      <c r="B14" s="94" t="s">
        <v>16</v>
      </c>
      <c r="C14" s="94"/>
      <c r="D14" s="94"/>
      <c r="E14" s="94"/>
      <c r="F14" s="94"/>
      <c r="G14" s="94"/>
      <c r="H14" s="94"/>
      <c r="I14" s="94"/>
      <c r="J14" s="94"/>
      <c r="K14" s="31"/>
    </row>
    <row r="15" spans="1:11" s="4" customFormat="1" ht="18.75" customHeight="1" x14ac:dyDescent="0.15">
      <c r="A15" s="93"/>
      <c r="B15" s="291" t="s">
        <v>184</v>
      </c>
      <c r="C15" s="292"/>
      <c r="D15" s="292"/>
      <c r="E15" s="292"/>
      <c r="F15" s="292"/>
      <c r="G15" s="292"/>
      <c r="H15" s="292"/>
      <c r="I15" s="293"/>
      <c r="J15" s="294"/>
      <c r="K15" s="31" t="str">
        <f>IF(B15="","入力してください","")</f>
        <v/>
      </c>
    </row>
    <row r="16" spans="1:11" s="4" customFormat="1" ht="18.75" customHeight="1" x14ac:dyDescent="0.15">
      <c r="A16" s="93"/>
      <c r="B16" s="295"/>
      <c r="C16" s="296"/>
      <c r="D16" s="296"/>
      <c r="E16" s="296"/>
      <c r="F16" s="296"/>
      <c r="G16" s="296"/>
      <c r="H16" s="296"/>
      <c r="I16" s="296"/>
      <c r="J16" s="297"/>
      <c r="K16" s="31"/>
    </row>
    <row r="17" spans="1:11" s="4" customFormat="1" ht="18.75" customHeight="1" x14ac:dyDescent="0.15">
      <c r="A17" s="93"/>
      <c r="B17" s="295"/>
      <c r="C17" s="296"/>
      <c r="D17" s="296"/>
      <c r="E17" s="296"/>
      <c r="F17" s="296"/>
      <c r="G17" s="296"/>
      <c r="H17" s="296"/>
      <c r="I17" s="296"/>
      <c r="J17" s="297"/>
      <c r="K17" s="31"/>
    </row>
    <row r="18" spans="1:11" s="4" customFormat="1" ht="18.75" customHeight="1" x14ac:dyDescent="0.15">
      <c r="A18" s="93"/>
      <c r="B18" s="295"/>
      <c r="C18" s="296"/>
      <c r="D18" s="296"/>
      <c r="E18" s="296"/>
      <c r="F18" s="296"/>
      <c r="G18" s="296"/>
      <c r="H18" s="296"/>
      <c r="I18" s="296"/>
      <c r="J18" s="297"/>
      <c r="K18" s="31"/>
    </row>
    <row r="19" spans="1:11" s="4" customFormat="1" ht="18.75" customHeight="1" x14ac:dyDescent="0.15">
      <c r="A19" s="93"/>
      <c r="B19" s="295"/>
      <c r="C19" s="296"/>
      <c r="D19" s="296"/>
      <c r="E19" s="296"/>
      <c r="F19" s="296"/>
      <c r="G19" s="296"/>
      <c r="H19" s="296"/>
      <c r="I19" s="296"/>
      <c r="J19" s="297"/>
      <c r="K19" s="31"/>
    </row>
    <row r="20" spans="1:11" s="4" customFormat="1" ht="18.75" customHeight="1" x14ac:dyDescent="0.15">
      <c r="A20" s="93"/>
      <c r="B20" s="295"/>
      <c r="C20" s="296"/>
      <c r="D20" s="296"/>
      <c r="E20" s="296"/>
      <c r="F20" s="296"/>
      <c r="G20" s="296"/>
      <c r="H20" s="296"/>
      <c r="I20" s="296"/>
      <c r="J20" s="297"/>
      <c r="K20" s="31"/>
    </row>
    <row r="21" spans="1:11" s="4" customFormat="1" ht="18.75" customHeight="1" x14ac:dyDescent="0.15">
      <c r="A21" s="93"/>
      <c r="B21" s="295"/>
      <c r="C21" s="296"/>
      <c r="D21" s="296"/>
      <c r="E21" s="296"/>
      <c r="F21" s="296"/>
      <c r="G21" s="296"/>
      <c r="H21" s="296"/>
      <c r="I21" s="296"/>
      <c r="J21" s="297"/>
      <c r="K21" s="31"/>
    </row>
    <row r="22" spans="1:11" s="4" customFormat="1" ht="18.75" customHeight="1" x14ac:dyDescent="0.15">
      <c r="A22" s="93"/>
      <c r="B22" s="295"/>
      <c r="C22" s="296"/>
      <c r="D22" s="296"/>
      <c r="E22" s="296"/>
      <c r="F22" s="296"/>
      <c r="G22" s="296"/>
      <c r="H22" s="296"/>
      <c r="I22" s="296"/>
      <c r="J22" s="297"/>
      <c r="K22" s="31"/>
    </row>
    <row r="23" spans="1:11" s="4" customFormat="1" ht="18.75" customHeight="1" x14ac:dyDescent="0.15">
      <c r="A23" s="93"/>
      <c r="B23" s="295"/>
      <c r="C23" s="296"/>
      <c r="D23" s="296"/>
      <c r="E23" s="296"/>
      <c r="F23" s="296"/>
      <c r="G23" s="296"/>
      <c r="H23" s="296"/>
      <c r="I23" s="296"/>
      <c r="J23" s="297"/>
      <c r="K23" s="31"/>
    </row>
    <row r="24" spans="1:11" s="4" customFormat="1" ht="18.75" customHeight="1" x14ac:dyDescent="0.15">
      <c r="A24" s="93"/>
      <c r="B24" s="295"/>
      <c r="C24" s="296"/>
      <c r="D24" s="296"/>
      <c r="E24" s="296"/>
      <c r="F24" s="296"/>
      <c r="G24" s="296"/>
      <c r="H24" s="296"/>
      <c r="I24" s="296"/>
      <c r="J24" s="297"/>
      <c r="K24" s="31"/>
    </row>
    <row r="25" spans="1:11" s="4" customFormat="1" ht="18.75" customHeight="1" x14ac:dyDescent="0.15">
      <c r="A25" s="93"/>
      <c r="B25" s="298"/>
      <c r="C25" s="299"/>
      <c r="D25" s="299"/>
      <c r="E25" s="299"/>
      <c r="F25" s="299"/>
      <c r="G25" s="299"/>
      <c r="H25" s="299"/>
      <c r="I25" s="299"/>
      <c r="J25" s="300"/>
      <c r="K25" s="31"/>
    </row>
    <row r="26" spans="1:11" ht="7.5" customHeight="1" x14ac:dyDescent="0.15">
      <c r="A26" s="39"/>
      <c r="B26" s="39"/>
      <c r="C26" s="39"/>
      <c r="D26" s="39"/>
      <c r="E26" s="39"/>
      <c r="F26" s="39"/>
      <c r="G26" s="39"/>
      <c r="H26" s="39"/>
      <c r="I26" s="39"/>
      <c r="J26" s="39"/>
    </row>
    <row r="27" spans="1:11" s="4" customFormat="1" ht="18.75" customHeight="1" x14ac:dyDescent="0.15">
      <c r="A27" s="1" t="s">
        <v>14</v>
      </c>
      <c r="B27" s="1" t="s">
        <v>27</v>
      </c>
      <c r="C27" s="1"/>
      <c r="D27" s="1"/>
      <c r="E27" s="1"/>
      <c r="F27" s="1"/>
      <c r="G27" s="1"/>
      <c r="H27" s="1"/>
      <c r="I27" s="1"/>
      <c r="J27" s="1"/>
      <c r="K27" s="31"/>
    </row>
    <row r="28" spans="1:11" s="29" customFormat="1" ht="18.75" customHeight="1" x14ac:dyDescent="0.15">
      <c r="B28" s="95" t="s">
        <v>121</v>
      </c>
      <c r="C28" s="96">
        <f>'様式３　履修者等数の実績'!R30</f>
        <v>0.25785714285714284</v>
      </c>
      <c r="D28" s="97"/>
      <c r="E28" s="97" t="s">
        <v>122</v>
      </c>
      <c r="F28" s="132">
        <v>0.52</v>
      </c>
      <c r="G28" s="97"/>
      <c r="H28" s="97" t="s">
        <v>123</v>
      </c>
      <c r="I28" s="133">
        <v>0.6</v>
      </c>
      <c r="J28" s="98"/>
      <c r="K28" s="31"/>
    </row>
    <row r="29" spans="1:11" s="29" customFormat="1" ht="18.75" customHeight="1" x14ac:dyDescent="0.15">
      <c r="B29" s="83" t="s">
        <v>124</v>
      </c>
      <c r="C29" s="134">
        <v>0.7</v>
      </c>
      <c r="D29" s="84"/>
      <c r="E29" s="84" t="s">
        <v>125</v>
      </c>
      <c r="F29" s="134">
        <v>0.8</v>
      </c>
      <c r="G29" s="84"/>
      <c r="H29" s="84" t="s">
        <v>126</v>
      </c>
      <c r="I29" s="99">
        <f>'様式３　履修者等数の実績'!D30</f>
        <v>1400</v>
      </c>
      <c r="J29" s="100"/>
      <c r="K29" s="35"/>
    </row>
    <row r="30" spans="1:11" s="4" customFormat="1" ht="18.75" customHeight="1" x14ac:dyDescent="0.15">
      <c r="A30" s="1"/>
      <c r="B30" s="182" t="s">
        <v>127</v>
      </c>
      <c r="C30" s="183"/>
      <c r="D30" s="183"/>
      <c r="E30" s="183"/>
      <c r="F30" s="183"/>
      <c r="G30" s="183"/>
      <c r="H30" s="183"/>
      <c r="I30" s="183"/>
      <c r="J30" s="184"/>
      <c r="K30" s="35"/>
    </row>
    <row r="31" spans="1:11" s="4" customFormat="1" ht="18.75" customHeight="1" x14ac:dyDescent="0.15">
      <c r="A31" s="1"/>
      <c r="B31" s="279" t="s">
        <v>209</v>
      </c>
      <c r="C31" s="280"/>
      <c r="D31" s="280"/>
      <c r="E31" s="280"/>
      <c r="F31" s="280"/>
      <c r="G31" s="280"/>
      <c r="H31" s="280"/>
      <c r="I31" s="280"/>
      <c r="J31" s="281"/>
      <c r="K31" s="35" t="str">
        <f>IF(B31="","入力してください","")</f>
        <v/>
      </c>
    </row>
    <row r="32" spans="1:11" s="4" customFormat="1" ht="18.75" customHeight="1" x14ac:dyDescent="0.15">
      <c r="A32" s="1"/>
      <c r="B32" s="282"/>
      <c r="C32" s="283"/>
      <c r="D32" s="283"/>
      <c r="E32" s="283"/>
      <c r="F32" s="283"/>
      <c r="G32" s="283"/>
      <c r="H32" s="283"/>
      <c r="I32" s="283"/>
      <c r="J32" s="284"/>
      <c r="K32" s="35"/>
    </row>
    <row r="33" spans="1:11" s="4" customFormat="1" ht="18.75" customHeight="1" x14ac:dyDescent="0.15">
      <c r="A33" s="1"/>
      <c r="B33" s="282"/>
      <c r="C33" s="283"/>
      <c r="D33" s="283"/>
      <c r="E33" s="283"/>
      <c r="F33" s="283"/>
      <c r="G33" s="283"/>
      <c r="H33" s="283"/>
      <c r="I33" s="283"/>
      <c r="J33" s="284"/>
      <c r="K33" s="35"/>
    </row>
    <row r="34" spans="1:11" s="4" customFormat="1" ht="18.75" customHeight="1" x14ac:dyDescent="0.15">
      <c r="A34" s="1"/>
      <c r="B34" s="282"/>
      <c r="C34" s="283"/>
      <c r="D34" s="283"/>
      <c r="E34" s="283"/>
      <c r="F34" s="283"/>
      <c r="G34" s="283"/>
      <c r="H34" s="283"/>
      <c r="I34" s="283"/>
      <c r="J34" s="284"/>
      <c r="K34" s="35"/>
    </row>
    <row r="35" spans="1:11" s="4" customFormat="1" ht="18.75" customHeight="1" x14ac:dyDescent="0.15">
      <c r="A35" s="1"/>
      <c r="B35" s="282"/>
      <c r="C35" s="283"/>
      <c r="D35" s="283"/>
      <c r="E35" s="283"/>
      <c r="F35" s="283"/>
      <c r="G35" s="283"/>
      <c r="H35" s="283"/>
      <c r="I35" s="283"/>
      <c r="J35" s="284"/>
      <c r="K35" s="35"/>
    </row>
    <row r="36" spans="1:11" s="4" customFormat="1" ht="18.75" customHeight="1" x14ac:dyDescent="0.15">
      <c r="A36" s="1"/>
      <c r="B36" s="282"/>
      <c r="C36" s="283"/>
      <c r="D36" s="283"/>
      <c r="E36" s="283"/>
      <c r="F36" s="283"/>
      <c r="G36" s="283"/>
      <c r="H36" s="283"/>
      <c r="I36" s="283"/>
      <c r="J36" s="284"/>
      <c r="K36" s="35"/>
    </row>
    <row r="37" spans="1:11" s="4" customFormat="1" ht="18.75" customHeight="1" x14ac:dyDescent="0.15">
      <c r="A37" s="1"/>
      <c r="B37" s="282"/>
      <c r="C37" s="283"/>
      <c r="D37" s="283"/>
      <c r="E37" s="283"/>
      <c r="F37" s="283"/>
      <c r="G37" s="283"/>
      <c r="H37" s="283"/>
      <c r="I37" s="283"/>
      <c r="J37" s="284"/>
      <c r="K37" s="35"/>
    </row>
    <row r="38" spans="1:11" s="4" customFormat="1" ht="18.75" customHeight="1" x14ac:dyDescent="0.15">
      <c r="A38" s="1"/>
      <c r="B38" s="282"/>
      <c r="C38" s="283"/>
      <c r="D38" s="283"/>
      <c r="E38" s="283"/>
      <c r="F38" s="283"/>
      <c r="G38" s="283"/>
      <c r="H38" s="283"/>
      <c r="I38" s="283"/>
      <c r="J38" s="284"/>
      <c r="K38" s="35"/>
    </row>
    <row r="39" spans="1:11" s="4" customFormat="1" ht="18.75" customHeight="1" x14ac:dyDescent="0.15">
      <c r="A39" s="1"/>
      <c r="B39" s="282"/>
      <c r="C39" s="283"/>
      <c r="D39" s="283"/>
      <c r="E39" s="283"/>
      <c r="F39" s="283"/>
      <c r="G39" s="283"/>
      <c r="H39" s="283"/>
      <c r="I39" s="283"/>
      <c r="J39" s="284"/>
      <c r="K39" s="35"/>
    </row>
    <row r="40" spans="1:11" s="4" customFormat="1" ht="18.75" customHeight="1" x14ac:dyDescent="0.15">
      <c r="A40" s="1"/>
      <c r="B40" s="282"/>
      <c r="C40" s="283"/>
      <c r="D40" s="283"/>
      <c r="E40" s="283"/>
      <c r="F40" s="283"/>
      <c r="G40" s="283"/>
      <c r="H40" s="283"/>
      <c r="I40" s="283"/>
      <c r="J40" s="284"/>
      <c r="K40" s="35"/>
    </row>
    <row r="41" spans="1:11" s="4" customFormat="1" ht="18.75" customHeight="1" x14ac:dyDescent="0.15">
      <c r="A41" s="1"/>
      <c r="B41" s="282"/>
      <c r="C41" s="283"/>
      <c r="D41" s="283"/>
      <c r="E41" s="283"/>
      <c r="F41" s="283"/>
      <c r="G41" s="283"/>
      <c r="H41" s="283"/>
      <c r="I41" s="283"/>
      <c r="J41" s="284"/>
      <c r="K41" s="35"/>
    </row>
    <row r="42" spans="1:11" s="4" customFormat="1" ht="18.75" customHeight="1" x14ac:dyDescent="0.15">
      <c r="A42" s="1"/>
      <c r="B42" s="282"/>
      <c r="C42" s="283"/>
      <c r="D42" s="283"/>
      <c r="E42" s="283"/>
      <c r="F42" s="283"/>
      <c r="G42" s="283"/>
      <c r="H42" s="283"/>
      <c r="I42" s="283"/>
      <c r="J42" s="284"/>
      <c r="K42" s="35"/>
    </row>
    <row r="43" spans="1:11" ht="18.75" customHeight="1" x14ac:dyDescent="0.15">
      <c r="A43" s="39"/>
      <c r="B43" s="282"/>
      <c r="C43" s="283"/>
      <c r="D43" s="283"/>
      <c r="E43" s="283"/>
      <c r="F43" s="283"/>
      <c r="G43" s="283"/>
      <c r="H43" s="283"/>
      <c r="I43" s="283"/>
      <c r="J43" s="284"/>
      <c r="K43" s="35"/>
    </row>
    <row r="44" spans="1:11" ht="18.75" customHeight="1" x14ac:dyDescent="0.15">
      <c r="A44" s="39"/>
      <c r="B44" s="285"/>
      <c r="C44" s="286"/>
      <c r="D44" s="286"/>
      <c r="E44" s="286"/>
      <c r="F44" s="286"/>
      <c r="G44" s="286"/>
      <c r="H44" s="286"/>
      <c r="I44" s="286"/>
      <c r="J44" s="287"/>
    </row>
    <row r="45" spans="1:11" s="4" customFormat="1" ht="18.75" customHeight="1" x14ac:dyDescent="0.15">
      <c r="A45" s="101" t="s">
        <v>12</v>
      </c>
      <c r="B45" s="1" t="s">
        <v>67</v>
      </c>
      <c r="C45" s="1"/>
      <c r="D45" s="1"/>
      <c r="E45" s="1"/>
      <c r="F45" s="1"/>
      <c r="G45" s="1"/>
      <c r="H45" s="1"/>
      <c r="I45" s="101"/>
      <c r="J45" s="101"/>
      <c r="K45" s="31"/>
    </row>
    <row r="46" spans="1:11" ht="18.75" customHeight="1" x14ac:dyDescent="0.15">
      <c r="A46" s="39"/>
      <c r="B46" s="291" t="s">
        <v>207</v>
      </c>
      <c r="C46" s="292"/>
      <c r="D46" s="292"/>
      <c r="E46" s="292"/>
      <c r="F46" s="292"/>
      <c r="G46" s="292"/>
      <c r="H46" s="292"/>
      <c r="I46" s="292"/>
      <c r="J46" s="301"/>
      <c r="K46" s="31" t="str">
        <f>IF(B46="","入力してください","")</f>
        <v/>
      </c>
    </row>
    <row r="47" spans="1:11" ht="18.75" customHeight="1" x14ac:dyDescent="0.15">
      <c r="A47" s="39"/>
      <c r="B47" s="282"/>
      <c r="C47" s="283"/>
      <c r="D47" s="283"/>
      <c r="E47" s="283"/>
      <c r="F47" s="283"/>
      <c r="G47" s="283"/>
      <c r="H47" s="283"/>
      <c r="I47" s="283"/>
      <c r="J47" s="284"/>
    </row>
    <row r="48" spans="1:11" ht="18.75" customHeight="1" x14ac:dyDescent="0.15">
      <c r="A48" s="39"/>
      <c r="B48" s="282"/>
      <c r="C48" s="283"/>
      <c r="D48" s="283"/>
      <c r="E48" s="283"/>
      <c r="F48" s="283"/>
      <c r="G48" s="283"/>
      <c r="H48" s="283"/>
      <c r="I48" s="283"/>
      <c r="J48" s="284"/>
    </row>
    <row r="49" spans="1:10" ht="18.75" customHeight="1" x14ac:dyDescent="0.15">
      <c r="A49" s="39"/>
      <c r="B49" s="282"/>
      <c r="C49" s="283"/>
      <c r="D49" s="283"/>
      <c r="E49" s="283"/>
      <c r="F49" s="283"/>
      <c r="G49" s="283"/>
      <c r="H49" s="283"/>
      <c r="I49" s="283"/>
      <c r="J49" s="284"/>
    </row>
    <row r="50" spans="1:10" ht="18.75" customHeight="1" x14ac:dyDescent="0.15">
      <c r="A50" s="39"/>
      <c r="B50" s="282"/>
      <c r="C50" s="283"/>
      <c r="D50" s="283"/>
      <c r="E50" s="283"/>
      <c r="F50" s="283"/>
      <c r="G50" s="283"/>
      <c r="H50" s="283"/>
      <c r="I50" s="283"/>
      <c r="J50" s="284"/>
    </row>
    <row r="51" spans="1:10" ht="18.75" customHeight="1" x14ac:dyDescent="0.15">
      <c r="A51" s="39"/>
      <c r="B51" s="282"/>
      <c r="C51" s="283"/>
      <c r="D51" s="283"/>
      <c r="E51" s="283"/>
      <c r="F51" s="283"/>
      <c r="G51" s="283"/>
      <c r="H51" s="283"/>
      <c r="I51" s="283"/>
      <c r="J51" s="284"/>
    </row>
    <row r="52" spans="1:10" ht="18.75" customHeight="1" x14ac:dyDescent="0.15">
      <c r="A52" s="39"/>
      <c r="B52" s="282"/>
      <c r="C52" s="283"/>
      <c r="D52" s="283"/>
      <c r="E52" s="283"/>
      <c r="F52" s="283"/>
      <c r="G52" s="283"/>
      <c r="H52" s="283"/>
      <c r="I52" s="283"/>
      <c r="J52" s="284"/>
    </row>
    <row r="53" spans="1:10" ht="18.75" customHeight="1" x14ac:dyDescent="0.15">
      <c r="A53" s="39"/>
      <c r="B53" s="282"/>
      <c r="C53" s="283"/>
      <c r="D53" s="283"/>
      <c r="E53" s="283"/>
      <c r="F53" s="283"/>
      <c r="G53" s="283"/>
      <c r="H53" s="283"/>
      <c r="I53" s="283"/>
      <c r="J53" s="284"/>
    </row>
    <row r="54" spans="1:10" ht="18.75" customHeight="1" x14ac:dyDescent="0.15">
      <c r="A54" s="39"/>
      <c r="B54" s="282"/>
      <c r="C54" s="283"/>
      <c r="D54" s="283"/>
      <c r="E54" s="283"/>
      <c r="F54" s="283"/>
      <c r="G54" s="283"/>
      <c r="H54" s="283"/>
      <c r="I54" s="283"/>
      <c r="J54" s="284"/>
    </row>
    <row r="55" spans="1:10" ht="18.75" customHeight="1" x14ac:dyDescent="0.15">
      <c r="A55" s="39"/>
      <c r="B55" s="282"/>
      <c r="C55" s="283"/>
      <c r="D55" s="283"/>
      <c r="E55" s="283"/>
      <c r="F55" s="283"/>
      <c r="G55" s="283"/>
      <c r="H55" s="283"/>
      <c r="I55" s="283"/>
      <c r="J55" s="284"/>
    </row>
    <row r="56" spans="1:10" ht="18.75" customHeight="1" x14ac:dyDescent="0.15">
      <c r="A56" s="39"/>
      <c r="B56" s="282"/>
      <c r="C56" s="283"/>
      <c r="D56" s="283"/>
      <c r="E56" s="283"/>
      <c r="F56" s="283"/>
      <c r="G56" s="283"/>
      <c r="H56" s="283"/>
      <c r="I56" s="283"/>
      <c r="J56" s="284"/>
    </row>
    <row r="57" spans="1:10" ht="18.75" customHeight="1" x14ac:dyDescent="0.15">
      <c r="A57" s="39"/>
      <c r="B57" s="282"/>
      <c r="C57" s="283"/>
      <c r="D57" s="283"/>
      <c r="E57" s="283"/>
      <c r="F57" s="283"/>
      <c r="G57" s="283"/>
      <c r="H57" s="283"/>
      <c r="I57" s="283"/>
      <c r="J57" s="284"/>
    </row>
    <row r="58" spans="1:10" ht="18.75" customHeight="1" x14ac:dyDescent="0.15">
      <c r="A58" s="39"/>
      <c r="B58" s="282"/>
      <c r="C58" s="283"/>
      <c r="D58" s="283"/>
      <c r="E58" s="283"/>
      <c r="F58" s="283"/>
      <c r="G58" s="283"/>
      <c r="H58" s="283"/>
      <c r="I58" s="283"/>
      <c r="J58" s="284"/>
    </row>
    <row r="59" spans="1:10" ht="18.75" customHeight="1" x14ac:dyDescent="0.15">
      <c r="A59" s="39"/>
      <c r="B59" s="282"/>
      <c r="C59" s="283"/>
      <c r="D59" s="283"/>
      <c r="E59" s="283"/>
      <c r="F59" s="283"/>
      <c r="G59" s="283"/>
      <c r="H59" s="283"/>
      <c r="I59" s="283"/>
      <c r="J59" s="284"/>
    </row>
    <row r="60" spans="1:10" ht="18.75" customHeight="1" x14ac:dyDescent="0.15">
      <c r="A60" s="39"/>
      <c r="B60" s="282"/>
      <c r="C60" s="283"/>
      <c r="D60" s="283"/>
      <c r="E60" s="283"/>
      <c r="F60" s="283"/>
      <c r="G60" s="283"/>
      <c r="H60" s="283"/>
      <c r="I60" s="283"/>
      <c r="J60" s="284"/>
    </row>
    <row r="61" spans="1:10" ht="18.75" customHeight="1" x14ac:dyDescent="0.15">
      <c r="A61" s="39"/>
      <c r="B61" s="282"/>
      <c r="C61" s="283"/>
      <c r="D61" s="283"/>
      <c r="E61" s="283"/>
      <c r="F61" s="283"/>
      <c r="G61" s="283"/>
      <c r="H61" s="283"/>
      <c r="I61" s="283"/>
      <c r="J61" s="284"/>
    </row>
    <row r="62" spans="1:10" ht="18.75" customHeight="1" x14ac:dyDescent="0.15">
      <c r="A62" s="39"/>
      <c r="B62" s="282"/>
      <c r="C62" s="283"/>
      <c r="D62" s="283"/>
      <c r="E62" s="283"/>
      <c r="F62" s="283"/>
      <c r="G62" s="283"/>
      <c r="H62" s="283"/>
      <c r="I62" s="283"/>
      <c r="J62" s="284"/>
    </row>
    <row r="63" spans="1:10" ht="18.75" customHeight="1" x14ac:dyDescent="0.15">
      <c r="A63" s="39"/>
      <c r="B63" s="282"/>
      <c r="C63" s="283"/>
      <c r="D63" s="283"/>
      <c r="E63" s="283"/>
      <c r="F63" s="283"/>
      <c r="G63" s="283"/>
      <c r="H63" s="283"/>
      <c r="I63" s="283"/>
      <c r="J63" s="284"/>
    </row>
    <row r="64" spans="1:10" ht="18.75" customHeight="1" x14ac:dyDescent="0.15">
      <c r="A64" s="39"/>
      <c r="B64" s="282"/>
      <c r="C64" s="283"/>
      <c r="D64" s="283"/>
      <c r="E64" s="283"/>
      <c r="F64" s="283"/>
      <c r="G64" s="283"/>
      <c r="H64" s="283"/>
      <c r="I64" s="283"/>
      <c r="J64" s="284"/>
    </row>
    <row r="65" spans="1:11" ht="18.75" customHeight="1" x14ac:dyDescent="0.15">
      <c r="A65" s="39"/>
      <c r="B65" s="282"/>
      <c r="C65" s="283"/>
      <c r="D65" s="283"/>
      <c r="E65" s="283"/>
      <c r="F65" s="283"/>
      <c r="G65" s="283"/>
      <c r="H65" s="283"/>
      <c r="I65" s="283"/>
      <c r="J65" s="284"/>
    </row>
    <row r="66" spans="1:11" ht="18.75" customHeight="1" x14ac:dyDescent="0.15">
      <c r="A66" s="39"/>
      <c r="B66" s="285"/>
      <c r="C66" s="286"/>
      <c r="D66" s="286"/>
      <c r="E66" s="286"/>
      <c r="F66" s="286"/>
      <c r="G66" s="286"/>
      <c r="H66" s="286"/>
      <c r="I66" s="286"/>
      <c r="J66" s="287"/>
    </row>
    <row r="67" spans="1:11" ht="7.5" customHeight="1" x14ac:dyDescent="0.15">
      <c r="A67" s="39"/>
      <c r="B67" s="39"/>
      <c r="C67" s="39"/>
      <c r="D67" s="39"/>
      <c r="E67" s="39"/>
      <c r="F67" s="39"/>
      <c r="G67" s="39"/>
      <c r="H67" s="39"/>
      <c r="I67" s="39"/>
      <c r="J67" s="39"/>
    </row>
    <row r="68" spans="1:11" s="4" customFormat="1" ht="18.75" customHeight="1" x14ac:dyDescent="0.15">
      <c r="A68" s="1" t="s">
        <v>15</v>
      </c>
      <c r="B68" s="1" t="s">
        <v>75</v>
      </c>
      <c r="C68" s="1"/>
      <c r="D68" s="1"/>
      <c r="E68" s="1"/>
      <c r="F68" s="1"/>
      <c r="G68" s="1"/>
      <c r="H68" s="1"/>
      <c r="I68" s="1"/>
      <c r="J68" s="1"/>
      <c r="K68" s="31"/>
    </row>
    <row r="69" spans="1:11" s="4" customFormat="1" ht="18.75" customHeight="1" x14ac:dyDescent="0.15">
      <c r="A69" s="1"/>
      <c r="B69" s="291" t="s">
        <v>208</v>
      </c>
      <c r="C69" s="292"/>
      <c r="D69" s="292"/>
      <c r="E69" s="292"/>
      <c r="F69" s="292"/>
      <c r="G69" s="292"/>
      <c r="H69" s="292"/>
      <c r="I69" s="293"/>
      <c r="J69" s="294"/>
      <c r="K69" s="35" t="str">
        <f>IF(B69="","入力してください","")</f>
        <v/>
      </c>
    </row>
    <row r="70" spans="1:11" s="4" customFormat="1" ht="18.75" customHeight="1" x14ac:dyDescent="0.15">
      <c r="A70" s="1"/>
      <c r="B70" s="295"/>
      <c r="C70" s="296"/>
      <c r="D70" s="296"/>
      <c r="E70" s="296"/>
      <c r="F70" s="296"/>
      <c r="G70" s="296"/>
      <c r="H70" s="296"/>
      <c r="I70" s="296"/>
      <c r="J70" s="297"/>
      <c r="K70" s="35"/>
    </row>
    <row r="71" spans="1:11" s="4" customFormat="1" ht="18.75" customHeight="1" x14ac:dyDescent="0.15">
      <c r="A71" s="1"/>
      <c r="B71" s="295"/>
      <c r="C71" s="296"/>
      <c r="D71" s="296"/>
      <c r="E71" s="296"/>
      <c r="F71" s="296"/>
      <c r="G71" s="296"/>
      <c r="H71" s="296"/>
      <c r="I71" s="296"/>
      <c r="J71" s="297"/>
      <c r="K71" s="35"/>
    </row>
    <row r="72" spans="1:11" s="4" customFormat="1" ht="18.75" customHeight="1" x14ac:dyDescent="0.15">
      <c r="A72" s="1"/>
      <c r="B72" s="295"/>
      <c r="C72" s="296"/>
      <c r="D72" s="296"/>
      <c r="E72" s="296"/>
      <c r="F72" s="296"/>
      <c r="G72" s="296"/>
      <c r="H72" s="296"/>
      <c r="I72" s="296"/>
      <c r="J72" s="297"/>
      <c r="K72" s="35"/>
    </row>
    <row r="73" spans="1:11" s="4" customFormat="1" ht="18.75" customHeight="1" x14ac:dyDescent="0.15">
      <c r="A73" s="1"/>
      <c r="B73" s="295"/>
      <c r="C73" s="296"/>
      <c r="D73" s="296"/>
      <c r="E73" s="296"/>
      <c r="F73" s="296"/>
      <c r="G73" s="296"/>
      <c r="H73" s="296"/>
      <c r="I73" s="296"/>
      <c r="J73" s="297"/>
      <c r="K73" s="35"/>
    </row>
    <row r="74" spans="1:11" s="4" customFormat="1" ht="18.75" customHeight="1" x14ac:dyDescent="0.15">
      <c r="A74" s="1"/>
      <c r="B74" s="295"/>
      <c r="C74" s="296"/>
      <c r="D74" s="296"/>
      <c r="E74" s="296"/>
      <c r="F74" s="296"/>
      <c r="G74" s="296"/>
      <c r="H74" s="296"/>
      <c r="I74" s="296"/>
      <c r="J74" s="297"/>
      <c r="K74" s="35"/>
    </row>
    <row r="75" spans="1:11" s="4" customFormat="1" ht="18.75" customHeight="1" x14ac:dyDescent="0.15">
      <c r="A75" s="1"/>
      <c r="B75" s="295"/>
      <c r="C75" s="296"/>
      <c r="D75" s="296"/>
      <c r="E75" s="296"/>
      <c r="F75" s="296"/>
      <c r="G75" s="296"/>
      <c r="H75" s="296"/>
      <c r="I75" s="296"/>
      <c r="J75" s="297"/>
      <c r="K75" s="35"/>
    </row>
    <row r="76" spans="1:11" s="4" customFormat="1" ht="18.75" customHeight="1" x14ac:dyDescent="0.15">
      <c r="A76" s="1"/>
      <c r="B76" s="295"/>
      <c r="C76" s="296"/>
      <c r="D76" s="296"/>
      <c r="E76" s="296"/>
      <c r="F76" s="296"/>
      <c r="G76" s="296"/>
      <c r="H76" s="296"/>
      <c r="I76" s="296"/>
      <c r="J76" s="297"/>
      <c r="K76" s="35"/>
    </row>
    <row r="77" spans="1:11" s="4" customFormat="1" ht="18.75" customHeight="1" x14ac:dyDescent="0.15">
      <c r="A77" s="1"/>
      <c r="B77" s="295"/>
      <c r="C77" s="296"/>
      <c r="D77" s="296"/>
      <c r="E77" s="296"/>
      <c r="F77" s="296"/>
      <c r="G77" s="296"/>
      <c r="H77" s="296"/>
      <c r="I77" s="296"/>
      <c r="J77" s="297"/>
      <c r="K77" s="35"/>
    </row>
    <row r="78" spans="1:11" s="4" customFormat="1" ht="18.75" customHeight="1" x14ac:dyDescent="0.15">
      <c r="A78" s="1"/>
      <c r="B78" s="295"/>
      <c r="C78" s="296"/>
      <c r="D78" s="296"/>
      <c r="E78" s="296"/>
      <c r="F78" s="296"/>
      <c r="G78" s="296"/>
      <c r="H78" s="296"/>
      <c r="I78" s="296"/>
      <c r="J78" s="297"/>
      <c r="K78" s="35"/>
    </row>
    <row r="79" spans="1:11" s="4" customFormat="1" ht="18.75" customHeight="1" x14ac:dyDescent="0.15">
      <c r="A79" s="1"/>
      <c r="B79" s="295"/>
      <c r="C79" s="296"/>
      <c r="D79" s="296"/>
      <c r="E79" s="296"/>
      <c r="F79" s="296"/>
      <c r="G79" s="296"/>
      <c r="H79" s="296"/>
      <c r="I79" s="296"/>
      <c r="J79" s="297"/>
      <c r="K79" s="35"/>
    </row>
    <row r="80" spans="1:11" s="4" customFormat="1" ht="18.75" customHeight="1" x14ac:dyDescent="0.15">
      <c r="A80" s="1"/>
      <c r="B80" s="295"/>
      <c r="C80" s="296"/>
      <c r="D80" s="296"/>
      <c r="E80" s="296"/>
      <c r="F80" s="296"/>
      <c r="G80" s="296"/>
      <c r="H80" s="296"/>
      <c r="I80" s="296"/>
      <c r="J80" s="297"/>
      <c r="K80" s="35"/>
    </row>
    <row r="81" spans="1:11" s="4" customFormat="1" ht="18.75" customHeight="1" x14ac:dyDescent="0.15">
      <c r="A81" s="1"/>
      <c r="B81" s="295"/>
      <c r="C81" s="296"/>
      <c r="D81" s="296"/>
      <c r="E81" s="296"/>
      <c r="F81" s="296"/>
      <c r="G81" s="296"/>
      <c r="H81" s="296"/>
      <c r="I81" s="296"/>
      <c r="J81" s="297"/>
      <c r="K81" s="35"/>
    </row>
    <row r="82" spans="1:11" s="4" customFormat="1" ht="18.75" customHeight="1" x14ac:dyDescent="0.15">
      <c r="A82" s="1"/>
      <c r="B82" s="295"/>
      <c r="C82" s="296"/>
      <c r="D82" s="296"/>
      <c r="E82" s="296"/>
      <c r="F82" s="296"/>
      <c r="G82" s="296"/>
      <c r="H82" s="296"/>
      <c r="I82" s="296"/>
      <c r="J82" s="297"/>
      <c r="K82" s="35"/>
    </row>
    <row r="83" spans="1:11" s="4" customFormat="1" ht="18.75" customHeight="1" x14ac:dyDescent="0.15">
      <c r="A83" s="1"/>
      <c r="B83" s="295"/>
      <c r="C83" s="296"/>
      <c r="D83" s="296"/>
      <c r="E83" s="296"/>
      <c r="F83" s="296"/>
      <c r="G83" s="296"/>
      <c r="H83" s="296"/>
      <c r="I83" s="296"/>
      <c r="J83" s="297"/>
      <c r="K83" s="35"/>
    </row>
    <row r="84" spans="1:11" s="4" customFormat="1" ht="18.75" customHeight="1" x14ac:dyDescent="0.15">
      <c r="A84" s="1"/>
      <c r="B84" s="295"/>
      <c r="C84" s="296"/>
      <c r="D84" s="296"/>
      <c r="E84" s="296"/>
      <c r="F84" s="296"/>
      <c r="G84" s="296"/>
      <c r="H84" s="296"/>
      <c r="I84" s="296"/>
      <c r="J84" s="297"/>
      <c r="K84" s="35"/>
    </row>
    <row r="85" spans="1:11" ht="18.75" customHeight="1" x14ac:dyDescent="0.15">
      <c r="A85" s="39"/>
      <c r="B85" s="295"/>
      <c r="C85" s="296"/>
      <c r="D85" s="296"/>
      <c r="E85" s="296"/>
      <c r="F85" s="296"/>
      <c r="G85" s="296"/>
      <c r="H85" s="296"/>
      <c r="I85" s="296"/>
      <c r="J85" s="297"/>
      <c r="K85" s="35"/>
    </row>
    <row r="86" spans="1:11" ht="18.75" customHeight="1" x14ac:dyDescent="0.15">
      <c r="A86" s="39"/>
      <c r="B86" s="298"/>
      <c r="C86" s="299"/>
      <c r="D86" s="299"/>
      <c r="E86" s="299"/>
      <c r="F86" s="299"/>
      <c r="G86" s="299"/>
      <c r="H86" s="299"/>
      <c r="I86" s="299"/>
      <c r="J86" s="300"/>
      <c r="K86" s="35"/>
    </row>
    <row r="87" spans="1:11" ht="7.5" customHeight="1" x14ac:dyDescent="0.15">
      <c r="A87" s="39"/>
      <c r="B87" s="39"/>
      <c r="C87" s="39"/>
      <c r="D87" s="39"/>
      <c r="E87" s="39"/>
      <c r="F87" s="39"/>
      <c r="G87" s="39"/>
      <c r="H87" s="39"/>
      <c r="I87" s="39"/>
      <c r="J87" s="39"/>
    </row>
    <row r="88" spans="1:11" s="4" customFormat="1" ht="18.75" customHeight="1" x14ac:dyDescent="0.15">
      <c r="A88" s="1" t="s">
        <v>13</v>
      </c>
      <c r="B88" s="1" t="s">
        <v>29</v>
      </c>
      <c r="C88" s="1"/>
      <c r="D88" s="1"/>
      <c r="E88" s="1"/>
      <c r="F88" s="1"/>
      <c r="G88" s="1"/>
      <c r="H88" s="1"/>
      <c r="I88" s="1"/>
      <c r="J88" s="1"/>
      <c r="K88" s="31"/>
    </row>
    <row r="89" spans="1:11" s="4" customFormat="1" ht="18.75" customHeight="1" x14ac:dyDescent="0.15">
      <c r="A89" s="1"/>
      <c r="B89" s="291" t="s">
        <v>185</v>
      </c>
      <c r="C89" s="292"/>
      <c r="D89" s="292"/>
      <c r="E89" s="292"/>
      <c r="F89" s="292"/>
      <c r="G89" s="292"/>
      <c r="H89" s="292"/>
      <c r="I89" s="293"/>
      <c r="J89" s="294"/>
      <c r="K89" s="31"/>
    </row>
    <row r="90" spans="1:11" s="4" customFormat="1" ht="18.75" customHeight="1" x14ac:dyDescent="0.15">
      <c r="A90" s="1"/>
      <c r="B90" s="295"/>
      <c r="C90" s="296"/>
      <c r="D90" s="296"/>
      <c r="E90" s="296"/>
      <c r="F90" s="296"/>
      <c r="G90" s="296"/>
      <c r="H90" s="296"/>
      <c r="I90" s="296"/>
      <c r="J90" s="297"/>
      <c r="K90" s="35"/>
    </row>
    <row r="91" spans="1:11" s="4" customFormat="1" ht="18.75" customHeight="1" x14ac:dyDescent="0.15">
      <c r="A91" s="1"/>
      <c r="B91" s="295"/>
      <c r="C91" s="296"/>
      <c r="D91" s="296"/>
      <c r="E91" s="296"/>
      <c r="F91" s="296"/>
      <c r="G91" s="296"/>
      <c r="H91" s="296"/>
      <c r="I91" s="296"/>
      <c r="J91" s="297"/>
      <c r="K91" s="35" t="str">
        <f>IF(B89="","入力してください","")</f>
        <v/>
      </c>
    </row>
    <row r="92" spans="1:11" s="4" customFormat="1" ht="18.75" customHeight="1" x14ac:dyDescent="0.15">
      <c r="A92" s="1"/>
      <c r="B92" s="295"/>
      <c r="C92" s="296"/>
      <c r="D92" s="296"/>
      <c r="E92" s="296"/>
      <c r="F92" s="296"/>
      <c r="G92" s="296"/>
      <c r="H92" s="296"/>
      <c r="I92" s="296"/>
      <c r="J92" s="297"/>
      <c r="K92" s="35"/>
    </row>
    <row r="93" spans="1:11" s="4" customFormat="1" ht="18.75" customHeight="1" x14ac:dyDescent="0.15">
      <c r="A93" s="1"/>
      <c r="B93" s="295"/>
      <c r="C93" s="296"/>
      <c r="D93" s="296"/>
      <c r="E93" s="296"/>
      <c r="F93" s="296"/>
      <c r="G93" s="296"/>
      <c r="H93" s="296"/>
      <c r="I93" s="296"/>
      <c r="J93" s="297"/>
      <c r="K93" s="35"/>
    </row>
    <row r="94" spans="1:11" s="4" customFormat="1" ht="18.75" customHeight="1" x14ac:dyDescent="0.15">
      <c r="A94" s="1"/>
      <c r="B94" s="295"/>
      <c r="C94" s="296"/>
      <c r="D94" s="296"/>
      <c r="E94" s="296"/>
      <c r="F94" s="296"/>
      <c r="G94" s="296"/>
      <c r="H94" s="296"/>
      <c r="I94" s="296"/>
      <c r="J94" s="297"/>
      <c r="K94" s="35"/>
    </row>
    <row r="95" spans="1:11" s="4" customFormat="1" ht="18.75" customHeight="1" x14ac:dyDescent="0.15">
      <c r="A95" s="1"/>
      <c r="B95" s="295"/>
      <c r="C95" s="296"/>
      <c r="D95" s="296"/>
      <c r="E95" s="296"/>
      <c r="F95" s="296"/>
      <c r="G95" s="296"/>
      <c r="H95" s="296"/>
      <c r="I95" s="296"/>
      <c r="J95" s="297"/>
      <c r="K95" s="35"/>
    </row>
    <row r="96" spans="1:11" s="4" customFormat="1" ht="18.75" customHeight="1" x14ac:dyDescent="0.15">
      <c r="A96" s="1"/>
      <c r="B96" s="295"/>
      <c r="C96" s="296"/>
      <c r="D96" s="296"/>
      <c r="E96" s="296"/>
      <c r="F96" s="296"/>
      <c r="G96" s="296"/>
      <c r="H96" s="296"/>
      <c r="I96" s="296"/>
      <c r="J96" s="297"/>
      <c r="K96" s="35"/>
    </row>
    <row r="97" spans="1:11" s="4" customFormat="1" ht="18.75" customHeight="1" x14ac:dyDescent="0.15">
      <c r="A97" s="1"/>
      <c r="B97" s="295"/>
      <c r="C97" s="296"/>
      <c r="D97" s="296"/>
      <c r="E97" s="296"/>
      <c r="F97" s="296"/>
      <c r="G97" s="296"/>
      <c r="H97" s="296"/>
      <c r="I97" s="296"/>
      <c r="J97" s="297"/>
      <c r="K97" s="35"/>
    </row>
    <row r="98" spans="1:11" s="4" customFormat="1" ht="18.75" customHeight="1" x14ac:dyDescent="0.15">
      <c r="A98" s="1"/>
      <c r="B98" s="295"/>
      <c r="C98" s="296"/>
      <c r="D98" s="296"/>
      <c r="E98" s="296"/>
      <c r="F98" s="296"/>
      <c r="G98" s="296"/>
      <c r="H98" s="296"/>
      <c r="I98" s="296"/>
      <c r="J98" s="297"/>
      <c r="K98" s="35"/>
    </row>
    <row r="99" spans="1:11" s="4" customFormat="1" ht="18.75" customHeight="1" x14ac:dyDescent="0.15">
      <c r="A99" s="1"/>
      <c r="B99" s="295"/>
      <c r="C99" s="296"/>
      <c r="D99" s="296"/>
      <c r="E99" s="296"/>
      <c r="F99" s="296"/>
      <c r="G99" s="296"/>
      <c r="H99" s="296"/>
      <c r="I99" s="296"/>
      <c r="J99" s="297"/>
      <c r="K99" s="35"/>
    </row>
    <row r="100" spans="1:11" s="4" customFormat="1" ht="18.75" customHeight="1" x14ac:dyDescent="0.15">
      <c r="A100" s="1"/>
      <c r="B100" s="295"/>
      <c r="C100" s="296"/>
      <c r="D100" s="296"/>
      <c r="E100" s="296"/>
      <c r="F100" s="296"/>
      <c r="G100" s="296"/>
      <c r="H100" s="296"/>
      <c r="I100" s="296"/>
      <c r="J100" s="297"/>
      <c r="K100" s="35"/>
    </row>
    <row r="101" spans="1:11" s="4" customFormat="1" ht="18.75" customHeight="1" x14ac:dyDescent="0.15">
      <c r="A101" s="1"/>
      <c r="B101" s="295"/>
      <c r="C101" s="296"/>
      <c r="D101" s="296"/>
      <c r="E101" s="296"/>
      <c r="F101" s="296"/>
      <c r="G101" s="296"/>
      <c r="H101" s="296"/>
      <c r="I101" s="296"/>
      <c r="J101" s="297"/>
      <c r="K101" s="35"/>
    </row>
    <row r="102" spans="1:11" s="4" customFormat="1" ht="18.75" customHeight="1" x14ac:dyDescent="0.15">
      <c r="A102" s="1"/>
      <c r="B102" s="295"/>
      <c r="C102" s="296"/>
      <c r="D102" s="296"/>
      <c r="E102" s="296"/>
      <c r="F102" s="296"/>
      <c r="G102" s="296"/>
      <c r="H102" s="296"/>
      <c r="I102" s="296"/>
      <c r="J102" s="297"/>
      <c r="K102" s="35"/>
    </row>
    <row r="103" spans="1:11" s="4" customFormat="1" ht="18.75" customHeight="1" x14ac:dyDescent="0.15">
      <c r="A103" s="1"/>
      <c r="B103" s="295"/>
      <c r="C103" s="296"/>
      <c r="D103" s="296"/>
      <c r="E103" s="296"/>
      <c r="F103" s="296"/>
      <c r="G103" s="296"/>
      <c r="H103" s="296"/>
      <c r="I103" s="296"/>
      <c r="J103" s="297"/>
      <c r="K103" s="35"/>
    </row>
    <row r="104" spans="1:11" s="4" customFormat="1" ht="18.75" customHeight="1" x14ac:dyDescent="0.15">
      <c r="A104" s="1"/>
      <c r="B104" s="295"/>
      <c r="C104" s="296"/>
      <c r="D104" s="296"/>
      <c r="E104" s="296"/>
      <c r="F104" s="296"/>
      <c r="G104" s="296"/>
      <c r="H104" s="296"/>
      <c r="I104" s="296"/>
      <c r="J104" s="297"/>
      <c r="K104" s="35"/>
    </row>
    <row r="105" spans="1:11" s="4" customFormat="1" ht="18.75" customHeight="1" x14ac:dyDescent="0.15">
      <c r="A105" s="1"/>
      <c r="B105" s="295"/>
      <c r="C105" s="296"/>
      <c r="D105" s="296"/>
      <c r="E105" s="296"/>
      <c r="F105" s="296"/>
      <c r="G105" s="296"/>
      <c r="H105" s="296"/>
      <c r="I105" s="296"/>
      <c r="J105" s="297"/>
      <c r="K105" s="35"/>
    </row>
    <row r="106" spans="1:11" s="4" customFormat="1" ht="18.75" customHeight="1" x14ac:dyDescent="0.15">
      <c r="A106" s="1"/>
      <c r="B106" s="295"/>
      <c r="C106" s="296"/>
      <c r="D106" s="296"/>
      <c r="E106" s="296"/>
      <c r="F106" s="296"/>
      <c r="G106" s="296"/>
      <c r="H106" s="296"/>
      <c r="I106" s="296"/>
      <c r="J106" s="297"/>
      <c r="K106" s="35"/>
    </row>
    <row r="107" spans="1:11" ht="18.75" customHeight="1" x14ac:dyDescent="0.15">
      <c r="A107" s="39"/>
      <c r="B107" s="295"/>
      <c r="C107" s="296"/>
      <c r="D107" s="296"/>
      <c r="E107" s="296"/>
      <c r="F107" s="296"/>
      <c r="G107" s="296"/>
      <c r="H107" s="296"/>
      <c r="I107" s="296"/>
      <c r="J107" s="297"/>
      <c r="K107" s="35"/>
    </row>
    <row r="108" spans="1:11" ht="18.75" customHeight="1" x14ac:dyDescent="0.15">
      <c r="A108" s="39"/>
      <c r="B108" s="298"/>
      <c r="C108" s="299"/>
      <c r="D108" s="299"/>
      <c r="E108" s="299"/>
      <c r="F108" s="299"/>
      <c r="G108" s="299"/>
      <c r="H108" s="299"/>
      <c r="I108" s="299"/>
      <c r="J108" s="300"/>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55</v>
      </c>
      <c r="B110" s="302" t="s">
        <v>86</v>
      </c>
      <c r="C110" s="302"/>
      <c r="D110" s="302"/>
      <c r="E110" s="302"/>
      <c r="F110" s="302"/>
      <c r="G110" s="302"/>
      <c r="H110" s="302"/>
      <c r="I110" s="302"/>
      <c r="J110" s="302"/>
      <c r="K110" s="31"/>
    </row>
    <row r="111" spans="1:11" ht="18.75" customHeight="1" x14ac:dyDescent="0.15">
      <c r="A111" s="39"/>
      <c r="B111" s="291" t="s">
        <v>186</v>
      </c>
      <c r="C111" s="292"/>
      <c r="D111" s="292"/>
      <c r="E111" s="292"/>
      <c r="F111" s="292"/>
      <c r="G111" s="292"/>
      <c r="H111" s="292"/>
      <c r="I111" s="293"/>
      <c r="J111" s="294"/>
    </row>
    <row r="112" spans="1:11" ht="18.75" customHeight="1" x14ac:dyDescent="0.15">
      <c r="A112" s="39"/>
      <c r="B112" s="295"/>
      <c r="C112" s="296"/>
      <c r="D112" s="296"/>
      <c r="E112" s="296"/>
      <c r="F112" s="296"/>
      <c r="G112" s="296"/>
      <c r="H112" s="296"/>
      <c r="I112" s="296"/>
      <c r="J112" s="297"/>
      <c r="K112" s="35"/>
    </row>
    <row r="113" spans="1:11" ht="18.75" customHeight="1" x14ac:dyDescent="0.15">
      <c r="A113" s="39"/>
      <c r="B113" s="295"/>
      <c r="C113" s="296"/>
      <c r="D113" s="296"/>
      <c r="E113" s="296"/>
      <c r="F113" s="296"/>
      <c r="G113" s="296"/>
      <c r="H113" s="296"/>
      <c r="I113" s="296"/>
      <c r="J113" s="297"/>
      <c r="K113" s="31" t="str">
        <f>IF(B111="","入力してください","")</f>
        <v/>
      </c>
    </row>
    <row r="114" spans="1:11" ht="18.75" customHeight="1" x14ac:dyDescent="0.15">
      <c r="A114" s="39"/>
      <c r="B114" s="295"/>
      <c r="C114" s="296"/>
      <c r="D114" s="296"/>
      <c r="E114" s="296"/>
      <c r="F114" s="296"/>
      <c r="G114" s="296"/>
      <c r="H114" s="296"/>
      <c r="I114" s="296"/>
      <c r="J114" s="297"/>
    </row>
    <row r="115" spans="1:11" ht="18.75" customHeight="1" x14ac:dyDescent="0.15">
      <c r="A115" s="39"/>
      <c r="B115" s="295"/>
      <c r="C115" s="296"/>
      <c r="D115" s="296"/>
      <c r="E115" s="296"/>
      <c r="F115" s="296"/>
      <c r="G115" s="296"/>
      <c r="H115" s="296"/>
      <c r="I115" s="296"/>
      <c r="J115" s="297"/>
    </row>
    <row r="116" spans="1:11" ht="18.75" customHeight="1" x14ac:dyDescent="0.15">
      <c r="A116" s="39"/>
      <c r="B116" s="295"/>
      <c r="C116" s="296"/>
      <c r="D116" s="296"/>
      <c r="E116" s="296"/>
      <c r="F116" s="296"/>
      <c r="G116" s="296"/>
      <c r="H116" s="296"/>
      <c r="I116" s="296"/>
      <c r="J116" s="297"/>
    </row>
    <row r="117" spans="1:11" ht="18.75" customHeight="1" x14ac:dyDescent="0.15">
      <c r="A117" s="39"/>
      <c r="B117" s="295"/>
      <c r="C117" s="296"/>
      <c r="D117" s="296"/>
      <c r="E117" s="296"/>
      <c r="F117" s="296"/>
      <c r="G117" s="296"/>
      <c r="H117" s="296"/>
      <c r="I117" s="296"/>
      <c r="J117" s="297"/>
    </row>
    <row r="118" spans="1:11" ht="18.75" customHeight="1" x14ac:dyDescent="0.15">
      <c r="A118" s="39"/>
      <c r="B118" s="295"/>
      <c r="C118" s="296"/>
      <c r="D118" s="296"/>
      <c r="E118" s="296"/>
      <c r="F118" s="296"/>
      <c r="G118" s="296"/>
      <c r="H118" s="296"/>
      <c r="I118" s="296"/>
      <c r="J118" s="297"/>
    </row>
    <row r="119" spans="1:11" ht="18.75" customHeight="1" x14ac:dyDescent="0.15">
      <c r="A119" s="39"/>
      <c r="B119" s="295"/>
      <c r="C119" s="296"/>
      <c r="D119" s="296"/>
      <c r="E119" s="296"/>
      <c r="F119" s="296"/>
      <c r="G119" s="296"/>
      <c r="H119" s="296"/>
      <c r="I119" s="296"/>
      <c r="J119" s="297"/>
    </row>
    <row r="120" spans="1:11" ht="18.75" customHeight="1" x14ac:dyDescent="0.15">
      <c r="A120" s="39"/>
      <c r="B120" s="295"/>
      <c r="C120" s="296"/>
      <c r="D120" s="296"/>
      <c r="E120" s="296"/>
      <c r="F120" s="296"/>
      <c r="G120" s="296"/>
      <c r="H120" s="296"/>
      <c r="I120" s="296"/>
      <c r="J120" s="297"/>
    </row>
    <row r="121" spans="1:11" ht="18.75" customHeight="1" x14ac:dyDescent="0.15">
      <c r="A121" s="39"/>
      <c r="B121" s="295"/>
      <c r="C121" s="296"/>
      <c r="D121" s="296"/>
      <c r="E121" s="296"/>
      <c r="F121" s="296"/>
      <c r="G121" s="296"/>
      <c r="H121" s="296"/>
      <c r="I121" s="296"/>
      <c r="J121" s="297"/>
    </row>
    <row r="122" spans="1:11" ht="18.75" customHeight="1" x14ac:dyDescent="0.15">
      <c r="A122" s="39"/>
      <c r="B122" s="295"/>
      <c r="C122" s="296"/>
      <c r="D122" s="296"/>
      <c r="E122" s="296"/>
      <c r="F122" s="296"/>
      <c r="G122" s="296"/>
      <c r="H122" s="296"/>
      <c r="I122" s="296"/>
      <c r="J122" s="297"/>
    </row>
    <row r="123" spans="1:11" ht="18.75" customHeight="1" x14ac:dyDescent="0.15">
      <c r="A123" s="39"/>
      <c r="B123" s="295"/>
      <c r="C123" s="296"/>
      <c r="D123" s="296"/>
      <c r="E123" s="296"/>
      <c r="F123" s="296"/>
      <c r="G123" s="296"/>
      <c r="H123" s="296"/>
      <c r="I123" s="296"/>
      <c r="J123" s="297"/>
    </row>
    <row r="124" spans="1:11" ht="18.75" customHeight="1" x14ac:dyDescent="0.15">
      <c r="A124" s="39"/>
      <c r="B124" s="295"/>
      <c r="C124" s="296"/>
      <c r="D124" s="296"/>
      <c r="E124" s="296"/>
      <c r="F124" s="296"/>
      <c r="G124" s="296"/>
      <c r="H124" s="296"/>
      <c r="I124" s="296"/>
      <c r="J124" s="297"/>
    </row>
    <row r="125" spans="1:11" ht="18.75" customHeight="1" x14ac:dyDescent="0.15">
      <c r="A125" s="39"/>
      <c r="B125" s="295"/>
      <c r="C125" s="296"/>
      <c r="D125" s="296"/>
      <c r="E125" s="296"/>
      <c r="F125" s="296"/>
      <c r="G125" s="296"/>
      <c r="H125" s="296"/>
      <c r="I125" s="296"/>
      <c r="J125" s="297"/>
    </row>
    <row r="126" spans="1:11" ht="18.75" customHeight="1" x14ac:dyDescent="0.15">
      <c r="A126" s="39"/>
      <c r="B126" s="295"/>
      <c r="C126" s="296"/>
      <c r="D126" s="296"/>
      <c r="E126" s="296"/>
      <c r="F126" s="296"/>
      <c r="G126" s="296"/>
      <c r="H126" s="296"/>
      <c r="I126" s="296"/>
      <c r="J126" s="297"/>
    </row>
    <row r="127" spans="1:11" ht="18.75" customHeight="1" x14ac:dyDescent="0.15">
      <c r="A127" s="39"/>
      <c r="B127" s="295"/>
      <c r="C127" s="296"/>
      <c r="D127" s="296"/>
      <c r="E127" s="296"/>
      <c r="F127" s="296"/>
      <c r="G127" s="296"/>
      <c r="H127" s="296"/>
      <c r="I127" s="296"/>
      <c r="J127" s="297"/>
    </row>
    <row r="128" spans="1:11" ht="18.75" customHeight="1" x14ac:dyDescent="0.15">
      <c r="A128" s="39"/>
      <c r="B128" s="295"/>
      <c r="C128" s="296"/>
      <c r="D128" s="296"/>
      <c r="E128" s="296"/>
      <c r="F128" s="296"/>
      <c r="G128" s="296"/>
      <c r="H128" s="296"/>
      <c r="I128" s="296"/>
      <c r="J128" s="297"/>
    </row>
    <row r="129" spans="1:10" ht="18.75" customHeight="1" x14ac:dyDescent="0.15">
      <c r="A129" s="39"/>
      <c r="B129" s="298"/>
      <c r="C129" s="299"/>
      <c r="D129" s="299"/>
      <c r="E129" s="299"/>
      <c r="F129" s="299"/>
      <c r="G129" s="299"/>
      <c r="H129" s="299"/>
      <c r="I129" s="299"/>
      <c r="J129" s="300"/>
    </row>
    <row r="130" spans="1:10" ht="7.5" customHeight="1" x14ac:dyDescent="0.15">
      <c r="A130" s="39"/>
      <c r="B130" s="102"/>
      <c r="C130" s="102"/>
      <c r="D130" s="102"/>
      <c r="E130" s="102"/>
      <c r="F130" s="102"/>
      <c r="G130" s="102"/>
      <c r="H130" s="102"/>
      <c r="I130" s="102"/>
      <c r="J130" s="102"/>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3"/>
      <c r="B144" s="103"/>
      <c r="C144" s="103"/>
      <c r="D144" s="103"/>
      <c r="E144" s="103"/>
      <c r="F144" s="103"/>
      <c r="G144" s="103"/>
      <c r="H144" s="103"/>
      <c r="I144" s="103"/>
      <c r="J144" s="103"/>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election activeCell="E14" sqref="E14:J14"/>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128</v>
      </c>
      <c r="J1" s="41" t="s">
        <v>77</v>
      </c>
    </row>
    <row r="2" spans="1:11" ht="18.75" customHeight="1" x14ac:dyDescent="0.15">
      <c r="A2" s="263" t="s">
        <v>44</v>
      </c>
      <c r="B2" s="263"/>
      <c r="C2" s="263"/>
      <c r="D2" s="263"/>
      <c r="E2" s="263"/>
      <c r="F2" s="263"/>
      <c r="G2" s="263"/>
      <c r="H2" s="263"/>
      <c r="I2" s="263"/>
      <c r="J2" s="263"/>
    </row>
    <row r="3" spans="1:11" ht="7.5" customHeight="1" x14ac:dyDescent="0.15">
      <c r="A3" s="42"/>
      <c r="B3" s="42"/>
      <c r="C3" s="42"/>
      <c r="D3" s="42"/>
      <c r="E3" s="42"/>
      <c r="F3" s="42"/>
      <c r="G3" s="42"/>
      <c r="H3" s="42"/>
      <c r="I3" s="42"/>
      <c r="J3" s="42"/>
    </row>
    <row r="4" spans="1:11" ht="18.75" customHeight="1" x14ac:dyDescent="0.15">
      <c r="A4" s="1" t="s">
        <v>6</v>
      </c>
      <c r="B4" s="4" t="s">
        <v>43</v>
      </c>
      <c r="C4" s="39"/>
      <c r="D4" s="39"/>
      <c r="E4" s="40"/>
      <c r="F4" s="40"/>
      <c r="G4" s="40"/>
      <c r="H4" s="40"/>
      <c r="I4" s="40"/>
      <c r="J4" s="40"/>
    </row>
    <row r="5" spans="1:11" ht="18.75" customHeight="1" x14ac:dyDescent="0.15">
      <c r="B5" s="308" t="s">
        <v>40</v>
      </c>
      <c r="C5" s="309"/>
      <c r="D5" s="310"/>
      <c r="E5" s="311" t="s">
        <v>42</v>
      </c>
      <c r="F5" s="311"/>
      <c r="G5" s="311"/>
      <c r="H5" s="311"/>
      <c r="I5" s="311"/>
      <c r="J5" s="312"/>
    </row>
    <row r="6" spans="1:11" ht="18.75" customHeight="1" x14ac:dyDescent="0.15">
      <c r="B6" s="3" t="s">
        <v>30</v>
      </c>
      <c r="C6" s="39"/>
      <c r="D6" s="7"/>
      <c r="I6" s="40"/>
      <c r="J6" s="5"/>
    </row>
    <row r="7" spans="1:11" ht="207" customHeight="1" x14ac:dyDescent="0.15">
      <c r="B7" s="6"/>
      <c r="C7" s="313" t="s">
        <v>31</v>
      </c>
      <c r="D7" s="314"/>
      <c r="E7" s="305" t="s">
        <v>187</v>
      </c>
      <c r="F7" s="306"/>
      <c r="G7" s="306"/>
      <c r="H7" s="306"/>
      <c r="I7" s="306"/>
      <c r="J7" s="307"/>
      <c r="K7" s="31" t="str">
        <f>IF(E7="","入力してください","")</f>
        <v/>
      </c>
    </row>
    <row r="8" spans="1:11" ht="207" customHeight="1" x14ac:dyDescent="0.15">
      <c r="B8" s="6"/>
      <c r="C8" s="303" t="s">
        <v>32</v>
      </c>
      <c r="D8" s="304"/>
      <c r="E8" s="305" t="s">
        <v>188</v>
      </c>
      <c r="F8" s="306"/>
      <c r="G8" s="306"/>
      <c r="H8" s="306"/>
      <c r="I8" s="306"/>
      <c r="J8" s="307"/>
      <c r="K8" s="31" t="str">
        <f>IF(E8="","入力してください","")</f>
        <v/>
      </c>
    </row>
    <row r="9" spans="1:11" ht="172.5" customHeight="1" x14ac:dyDescent="0.15">
      <c r="B9" s="6"/>
      <c r="C9" s="313" t="s">
        <v>33</v>
      </c>
      <c r="D9" s="314"/>
      <c r="E9" s="305" t="s">
        <v>199</v>
      </c>
      <c r="F9" s="306"/>
      <c r="G9" s="306"/>
      <c r="H9" s="306"/>
      <c r="I9" s="306"/>
      <c r="J9" s="307"/>
      <c r="K9" s="31" t="str">
        <f>IF(E9="","入力してください","")</f>
        <v/>
      </c>
    </row>
    <row r="10" spans="1:11" ht="172.5" customHeight="1" x14ac:dyDescent="0.15">
      <c r="B10" s="6"/>
      <c r="C10" s="313" t="s">
        <v>34</v>
      </c>
      <c r="D10" s="314"/>
      <c r="E10" s="305" t="s">
        <v>189</v>
      </c>
      <c r="F10" s="306"/>
      <c r="G10" s="306"/>
      <c r="H10" s="306"/>
      <c r="I10" s="306"/>
      <c r="J10" s="307"/>
      <c r="K10" s="31" t="str">
        <f t="shared" ref="K10:K14" si="0">IF(E10="","入力してください","")</f>
        <v/>
      </c>
    </row>
    <row r="11" spans="1:11" ht="172.5" customHeight="1" x14ac:dyDescent="0.15">
      <c r="B11" s="6"/>
      <c r="C11" s="313" t="s">
        <v>35</v>
      </c>
      <c r="D11" s="314"/>
      <c r="E11" s="305" t="s">
        <v>203</v>
      </c>
      <c r="F11" s="306"/>
      <c r="G11" s="306"/>
      <c r="H11" s="306"/>
      <c r="I11" s="306"/>
      <c r="J11" s="307"/>
      <c r="K11" s="31" t="str">
        <f t="shared" si="0"/>
        <v/>
      </c>
    </row>
    <row r="12" spans="1:11" ht="18.75" customHeight="1" x14ac:dyDescent="0.15">
      <c r="B12" s="9" t="s">
        <v>36</v>
      </c>
      <c r="C12" s="28"/>
      <c r="D12" s="8"/>
      <c r="E12" s="32"/>
      <c r="F12" s="32"/>
      <c r="G12" s="32"/>
      <c r="H12" s="32"/>
      <c r="I12" s="32"/>
      <c r="J12" s="33"/>
    </row>
    <row r="13" spans="1:11" ht="244.15" customHeight="1" x14ac:dyDescent="0.15">
      <c r="B13" s="6"/>
      <c r="C13" s="313" t="s">
        <v>37</v>
      </c>
      <c r="D13" s="314"/>
      <c r="E13" s="306" t="s">
        <v>210</v>
      </c>
      <c r="F13" s="306"/>
      <c r="G13" s="306"/>
      <c r="H13" s="306"/>
      <c r="I13" s="306"/>
      <c r="J13" s="307"/>
      <c r="K13" s="31" t="str">
        <f t="shared" si="0"/>
        <v/>
      </c>
    </row>
    <row r="14" spans="1:11" ht="255" customHeight="1" x14ac:dyDescent="0.15">
      <c r="B14" s="6"/>
      <c r="C14" s="313" t="s">
        <v>38</v>
      </c>
      <c r="D14" s="314"/>
      <c r="E14" s="306" t="s">
        <v>190</v>
      </c>
      <c r="F14" s="306"/>
      <c r="G14" s="306"/>
      <c r="H14" s="306"/>
      <c r="I14" s="306"/>
      <c r="J14" s="307"/>
      <c r="K14" s="31" t="str">
        <f t="shared" si="0"/>
        <v/>
      </c>
    </row>
    <row r="15" spans="1:11" ht="243" customHeight="1" x14ac:dyDescent="0.15">
      <c r="B15" s="323" t="s">
        <v>39</v>
      </c>
      <c r="C15" s="324"/>
      <c r="D15" s="314"/>
      <c r="E15" s="306" t="s">
        <v>204</v>
      </c>
      <c r="F15" s="325"/>
      <c r="G15" s="325"/>
      <c r="H15" s="325"/>
      <c r="I15" s="325"/>
      <c r="J15" s="326"/>
      <c r="K15" s="31" t="str">
        <f>IF(E15="","入力してください","")</f>
        <v/>
      </c>
    </row>
    <row r="16" spans="1:11" ht="243" customHeight="1" x14ac:dyDescent="0.15">
      <c r="A16" s="31"/>
      <c r="B16" s="315" t="s">
        <v>68</v>
      </c>
      <c r="C16" s="316"/>
      <c r="D16" s="317"/>
      <c r="E16" s="318" t="s">
        <v>191</v>
      </c>
      <c r="F16" s="318"/>
      <c r="G16" s="318"/>
      <c r="H16" s="318"/>
      <c r="I16" s="318"/>
      <c r="J16" s="319"/>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129</v>
      </c>
      <c r="B18" s="4"/>
      <c r="C18" s="39"/>
      <c r="D18" s="39"/>
      <c r="E18" s="40"/>
      <c r="F18" s="94"/>
      <c r="G18" s="320" t="s">
        <v>202</v>
      </c>
      <c r="H18" s="321"/>
      <c r="I18" s="321"/>
      <c r="J18" s="322"/>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4"/>
      <c r="C24" s="104"/>
      <c r="D24" s="104"/>
      <c r="E24" s="104"/>
      <c r="F24" s="104"/>
      <c r="G24" s="104"/>
      <c r="H24" s="104"/>
      <c r="I24" s="104"/>
      <c r="J24" s="104"/>
    </row>
    <row r="25" spans="1:11" ht="22.5" customHeight="1" x14ac:dyDescent="0.15">
      <c r="B25" s="104"/>
      <c r="C25" s="104"/>
      <c r="D25" s="104"/>
      <c r="E25" s="104"/>
      <c r="F25" s="104"/>
      <c r="G25" s="104"/>
      <c r="H25" s="104"/>
      <c r="I25" s="104"/>
      <c r="J25" s="104"/>
    </row>
    <row r="26" spans="1:11" ht="22.5" customHeight="1" x14ac:dyDescent="0.15">
      <c r="B26" s="104"/>
      <c r="C26" s="104"/>
      <c r="D26" s="104"/>
      <c r="E26" s="104"/>
      <c r="F26" s="104"/>
      <c r="G26" s="104"/>
      <c r="H26" s="104"/>
      <c r="I26" s="104"/>
      <c r="J26" s="104"/>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showZeros="0" view="pageBreakPreview" zoomScaleNormal="100" zoomScaleSheetLayoutView="100" workbookViewId="0"/>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62" t="s">
        <v>7</v>
      </c>
      <c r="F1" s="262"/>
    </row>
    <row r="2" spans="1:6" ht="18.75" customHeight="1" x14ac:dyDescent="0.15">
      <c r="A2" s="327" t="s">
        <v>130</v>
      </c>
      <c r="B2" s="327"/>
      <c r="C2" s="327"/>
      <c r="D2" s="327"/>
      <c r="E2" s="327"/>
      <c r="F2" s="327"/>
    </row>
    <row r="3" spans="1:6" ht="7.5" customHeight="1" x14ac:dyDescent="0.15">
      <c r="A3" s="38"/>
      <c r="B3" s="38"/>
      <c r="C3" s="38"/>
      <c r="D3" s="38"/>
      <c r="E3" s="38"/>
      <c r="F3" s="38"/>
    </row>
    <row r="4" spans="1:6" ht="18.75" customHeight="1" x14ac:dyDescent="0.15">
      <c r="A4" s="38" t="s">
        <v>6</v>
      </c>
      <c r="B4" s="4" t="s">
        <v>28</v>
      </c>
      <c r="C4" s="38"/>
      <c r="D4" s="38"/>
      <c r="E4" s="38"/>
      <c r="F4" s="38"/>
    </row>
    <row r="5" spans="1:6" ht="18.75" customHeight="1" x14ac:dyDescent="0.15">
      <c r="A5" s="38"/>
      <c r="B5" s="291" t="s">
        <v>192</v>
      </c>
      <c r="C5" s="293"/>
      <c r="D5" s="293"/>
      <c r="E5" s="293"/>
      <c r="F5" s="294"/>
    </row>
    <row r="6" spans="1:6" ht="18.75" customHeight="1" x14ac:dyDescent="0.15">
      <c r="A6" s="38"/>
      <c r="B6" s="295"/>
      <c r="C6" s="296"/>
      <c r="D6" s="296"/>
      <c r="E6" s="296"/>
      <c r="F6" s="297"/>
    </row>
    <row r="7" spans="1:6" ht="18.75" customHeight="1" x14ac:dyDescent="0.15">
      <c r="A7" s="38"/>
      <c r="B7" s="295"/>
      <c r="C7" s="296"/>
      <c r="D7" s="296"/>
      <c r="E7" s="296"/>
      <c r="F7" s="297"/>
    </row>
    <row r="8" spans="1:6" ht="18.75" customHeight="1" x14ac:dyDescent="0.15">
      <c r="A8" s="38"/>
      <c r="B8" s="295"/>
      <c r="C8" s="296"/>
      <c r="D8" s="296"/>
      <c r="E8" s="296"/>
      <c r="F8" s="297"/>
    </row>
    <row r="9" spans="1:6" ht="18.75" customHeight="1" x14ac:dyDescent="0.15">
      <c r="A9" s="38"/>
      <c r="B9" s="295"/>
      <c r="C9" s="296"/>
      <c r="D9" s="296"/>
      <c r="E9" s="296"/>
      <c r="F9" s="297"/>
    </row>
    <row r="10" spans="1:6" ht="18.75" customHeight="1" x14ac:dyDescent="0.15">
      <c r="A10" s="38"/>
      <c r="B10" s="295"/>
      <c r="C10" s="296"/>
      <c r="D10" s="296"/>
      <c r="E10" s="296"/>
      <c r="F10" s="297"/>
    </row>
    <row r="11" spans="1:6" ht="18.75" customHeight="1" x14ac:dyDescent="0.15">
      <c r="A11" s="38"/>
      <c r="B11" s="295"/>
      <c r="C11" s="296"/>
      <c r="D11" s="296"/>
      <c r="E11" s="296"/>
      <c r="F11" s="297"/>
    </row>
    <row r="12" spans="1:6" ht="18.75" customHeight="1" x14ac:dyDescent="0.15">
      <c r="A12" s="38"/>
      <c r="B12" s="295"/>
      <c r="C12" s="296"/>
      <c r="D12" s="296"/>
      <c r="E12" s="296"/>
      <c r="F12" s="297"/>
    </row>
    <row r="13" spans="1:6" ht="18.75" customHeight="1" x14ac:dyDescent="0.15">
      <c r="A13" s="38"/>
      <c r="B13" s="295"/>
      <c r="C13" s="296"/>
      <c r="D13" s="296"/>
      <c r="E13" s="296"/>
      <c r="F13" s="297"/>
    </row>
    <row r="14" spans="1:6" ht="18.75" customHeight="1" x14ac:dyDescent="0.15">
      <c r="A14" s="38"/>
      <c r="B14" s="295"/>
      <c r="C14" s="296"/>
      <c r="D14" s="296"/>
      <c r="E14" s="296"/>
      <c r="F14" s="297"/>
    </row>
    <row r="15" spans="1:6" ht="18.75" customHeight="1" x14ac:dyDescent="0.15">
      <c r="A15" s="38"/>
      <c r="B15" s="295"/>
      <c r="C15" s="296"/>
      <c r="D15" s="296"/>
      <c r="E15" s="296"/>
      <c r="F15" s="297"/>
    </row>
    <row r="16" spans="1:6" ht="18.75" customHeight="1" x14ac:dyDescent="0.15">
      <c r="A16" s="38"/>
      <c r="B16" s="295"/>
      <c r="C16" s="296"/>
      <c r="D16" s="296"/>
      <c r="E16" s="296"/>
      <c r="F16" s="297"/>
    </row>
    <row r="17" spans="1:6" ht="18.75" customHeight="1" x14ac:dyDescent="0.15">
      <c r="A17" s="38"/>
      <c r="B17" s="295"/>
      <c r="C17" s="296"/>
      <c r="D17" s="296"/>
      <c r="E17" s="296"/>
      <c r="F17" s="297"/>
    </row>
    <row r="18" spans="1:6" ht="18.75" customHeight="1" x14ac:dyDescent="0.15">
      <c r="A18" s="38"/>
      <c r="B18" s="295"/>
      <c r="C18" s="296"/>
      <c r="D18" s="296"/>
      <c r="E18" s="296"/>
      <c r="F18" s="297"/>
    </row>
    <row r="19" spans="1:6" ht="18.75" customHeight="1" x14ac:dyDescent="0.15">
      <c r="A19" s="38"/>
      <c r="B19" s="295"/>
      <c r="C19" s="296"/>
      <c r="D19" s="296"/>
      <c r="E19" s="296"/>
      <c r="F19" s="297"/>
    </row>
    <row r="20" spans="1:6" ht="18.75" customHeight="1" x14ac:dyDescent="0.15">
      <c r="A20" s="38"/>
      <c r="B20" s="295"/>
      <c r="C20" s="296"/>
      <c r="D20" s="296"/>
      <c r="E20" s="296"/>
      <c r="F20" s="297"/>
    </row>
    <row r="21" spans="1:6" ht="18.75" customHeight="1" x14ac:dyDescent="0.15">
      <c r="A21" s="38"/>
      <c r="B21" s="295"/>
      <c r="C21" s="296"/>
      <c r="D21" s="296"/>
      <c r="E21" s="296"/>
      <c r="F21" s="297"/>
    </row>
    <row r="22" spans="1:6" ht="18.75" customHeight="1" x14ac:dyDescent="0.15">
      <c r="A22" s="38"/>
      <c r="B22" s="295"/>
      <c r="C22" s="296"/>
      <c r="D22" s="296"/>
      <c r="E22" s="296"/>
      <c r="F22" s="297"/>
    </row>
    <row r="23" spans="1:6" ht="18.75" customHeight="1" x14ac:dyDescent="0.15">
      <c r="A23" s="38"/>
      <c r="B23" s="295"/>
      <c r="C23" s="296"/>
      <c r="D23" s="296"/>
      <c r="E23" s="296"/>
      <c r="F23" s="297"/>
    </row>
    <row r="24" spans="1:6" ht="18.75" customHeight="1" x14ac:dyDescent="0.15">
      <c r="A24" s="38"/>
      <c r="B24" s="295"/>
      <c r="C24" s="296"/>
      <c r="D24" s="296"/>
      <c r="E24" s="296"/>
      <c r="F24" s="297"/>
    </row>
    <row r="25" spans="1:6" ht="18.75" customHeight="1" x14ac:dyDescent="0.15">
      <c r="A25" s="38"/>
      <c r="B25" s="295"/>
      <c r="C25" s="296"/>
      <c r="D25" s="296"/>
      <c r="E25" s="296"/>
      <c r="F25" s="297"/>
    </row>
    <row r="26" spans="1:6" ht="18.75" customHeight="1" x14ac:dyDescent="0.15">
      <c r="A26" s="38"/>
      <c r="B26" s="295"/>
      <c r="C26" s="296"/>
      <c r="D26" s="296"/>
      <c r="E26" s="296"/>
      <c r="F26" s="297"/>
    </row>
    <row r="27" spans="1:6" ht="18.75" customHeight="1" x14ac:dyDescent="0.15">
      <c r="A27" s="38"/>
      <c r="B27" s="295"/>
      <c r="C27" s="296"/>
      <c r="D27" s="296"/>
      <c r="E27" s="296"/>
      <c r="F27" s="297"/>
    </row>
    <row r="28" spans="1:6" ht="18.75" customHeight="1" x14ac:dyDescent="0.15">
      <c r="A28" s="38"/>
      <c r="B28" s="295"/>
      <c r="C28" s="296"/>
      <c r="D28" s="296"/>
      <c r="E28" s="296"/>
      <c r="F28" s="297"/>
    </row>
    <row r="29" spans="1:6" ht="18.75" customHeight="1" x14ac:dyDescent="0.15">
      <c r="A29" s="38"/>
      <c r="B29" s="295"/>
      <c r="C29" s="296"/>
      <c r="D29" s="296"/>
      <c r="E29" s="296"/>
      <c r="F29" s="297"/>
    </row>
    <row r="30" spans="1:6" ht="18.75" customHeight="1" x14ac:dyDescent="0.15">
      <c r="A30" s="38"/>
      <c r="B30" s="295"/>
      <c r="C30" s="296"/>
      <c r="D30" s="296"/>
      <c r="E30" s="296"/>
      <c r="F30" s="297"/>
    </row>
    <row r="31" spans="1:6" ht="18.75" customHeight="1" x14ac:dyDescent="0.15">
      <c r="A31" s="38"/>
      <c r="B31" s="295"/>
      <c r="C31" s="296"/>
      <c r="D31" s="296"/>
      <c r="E31" s="296"/>
      <c r="F31" s="297"/>
    </row>
    <row r="32" spans="1:6" ht="18.75" customHeight="1" x14ac:dyDescent="0.15">
      <c r="A32" s="38"/>
      <c r="B32" s="295"/>
      <c r="C32" s="296"/>
      <c r="D32" s="296"/>
      <c r="E32" s="296"/>
      <c r="F32" s="297"/>
    </row>
    <row r="33" spans="1:6" ht="18.75" customHeight="1" x14ac:dyDescent="0.15">
      <c r="A33" s="38"/>
      <c r="B33" s="295"/>
      <c r="C33" s="296"/>
      <c r="D33" s="296"/>
      <c r="E33" s="296"/>
      <c r="F33" s="297"/>
    </row>
    <row r="34" spans="1:6" ht="18.75" customHeight="1" x14ac:dyDescent="0.15">
      <c r="A34" s="38"/>
      <c r="B34" s="295"/>
      <c r="C34" s="296"/>
      <c r="D34" s="296"/>
      <c r="E34" s="296"/>
      <c r="F34" s="297"/>
    </row>
    <row r="35" spans="1:6" ht="18.75" customHeight="1" x14ac:dyDescent="0.15">
      <c r="A35" s="38"/>
      <c r="B35" s="295"/>
      <c r="C35" s="296"/>
      <c r="D35" s="296"/>
      <c r="E35" s="296"/>
      <c r="F35" s="297"/>
    </row>
    <row r="36" spans="1:6" ht="18.75" customHeight="1" x14ac:dyDescent="0.15">
      <c r="A36" s="38"/>
      <c r="B36" s="295"/>
      <c r="C36" s="296"/>
      <c r="D36" s="296"/>
      <c r="E36" s="296"/>
      <c r="F36" s="297"/>
    </row>
    <row r="37" spans="1:6" ht="18.75" customHeight="1" x14ac:dyDescent="0.15">
      <c r="A37" s="38"/>
      <c r="B37" s="295"/>
      <c r="C37" s="296"/>
      <c r="D37" s="296"/>
      <c r="E37" s="296"/>
      <c r="F37" s="297"/>
    </row>
    <row r="38" spans="1:6" ht="18.75" customHeight="1" x14ac:dyDescent="0.15">
      <c r="A38" s="38"/>
      <c r="B38" s="295"/>
      <c r="C38" s="296"/>
      <c r="D38" s="296"/>
      <c r="E38" s="296"/>
      <c r="F38" s="297"/>
    </row>
    <row r="39" spans="1:6" ht="18.75" customHeight="1" x14ac:dyDescent="0.15">
      <c r="A39" s="38"/>
      <c r="B39" s="295"/>
      <c r="C39" s="296"/>
      <c r="D39" s="296"/>
      <c r="E39" s="296"/>
      <c r="F39" s="297"/>
    </row>
    <row r="40" spans="1:6" ht="18.75" customHeight="1" x14ac:dyDescent="0.15">
      <c r="A40" s="38"/>
      <c r="B40" s="295"/>
      <c r="C40" s="296"/>
      <c r="D40" s="296"/>
      <c r="E40" s="296"/>
      <c r="F40" s="297"/>
    </row>
    <row r="41" spans="1:6" ht="18.75" customHeight="1" x14ac:dyDescent="0.15">
      <c r="A41" s="38"/>
      <c r="B41" s="295"/>
      <c r="C41" s="296"/>
      <c r="D41" s="296"/>
      <c r="E41" s="296"/>
      <c r="F41" s="297"/>
    </row>
    <row r="42" spans="1:6" ht="18.75" customHeight="1" x14ac:dyDescent="0.15">
      <c r="A42" s="38"/>
      <c r="B42" s="298"/>
      <c r="C42" s="299"/>
      <c r="D42" s="299"/>
      <c r="E42" s="299"/>
      <c r="F42" s="300"/>
    </row>
    <row r="43" spans="1:6" ht="18.75" customHeight="1" x14ac:dyDescent="0.15">
      <c r="A43" s="38" t="s">
        <v>10</v>
      </c>
      <c r="B43" s="4" t="s">
        <v>73</v>
      </c>
      <c r="C43" s="38"/>
      <c r="D43" s="38"/>
      <c r="E43" s="38"/>
      <c r="F43" s="38"/>
    </row>
    <row r="44" spans="1:6" ht="18.75" customHeight="1" x14ac:dyDescent="0.15">
      <c r="A44" s="38"/>
      <c r="B44" s="291" t="s">
        <v>193</v>
      </c>
      <c r="C44" s="293"/>
      <c r="D44" s="293"/>
      <c r="E44" s="293"/>
      <c r="F44" s="294"/>
    </row>
    <row r="45" spans="1:6" ht="18.75" customHeight="1" x14ac:dyDescent="0.15">
      <c r="A45" s="38"/>
      <c r="B45" s="295"/>
      <c r="C45" s="296"/>
      <c r="D45" s="296"/>
      <c r="E45" s="296"/>
      <c r="F45" s="297"/>
    </row>
    <row r="46" spans="1:6" ht="18.75" customHeight="1" x14ac:dyDescent="0.15">
      <c r="A46" s="38"/>
      <c r="B46" s="295"/>
      <c r="C46" s="296"/>
      <c r="D46" s="296"/>
      <c r="E46" s="296"/>
      <c r="F46" s="297"/>
    </row>
    <row r="47" spans="1:6" ht="18.75" customHeight="1" x14ac:dyDescent="0.15">
      <c r="A47" s="38"/>
      <c r="B47" s="295"/>
      <c r="C47" s="296"/>
      <c r="D47" s="296"/>
      <c r="E47" s="296"/>
      <c r="F47" s="297"/>
    </row>
    <row r="48" spans="1:6" ht="18.75" customHeight="1" x14ac:dyDescent="0.15">
      <c r="A48" s="38"/>
      <c r="B48" s="295"/>
      <c r="C48" s="296"/>
      <c r="D48" s="296"/>
      <c r="E48" s="296"/>
      <c r="F48" s="297"/>
    </row>
    <row r="49" spans="1:6" ht="18.75" customHeight="1" x14ac:dyDescent="0.15">
      <c r="A49" s="38"/>
      <c r="B49" s="295"/>
      <c r="C49" s="296"/>
      <c r="D49" s="296"/>
      <c r="E49" s="296"/>
      <c r="F49" s="297"/>
    </row>
    <row r="50" spans="1:6" ht="18.75" customHeight="1" x14ac:dyDescent="0.15">
      <c r="A50" s="38"/>
      <c r="B50" s="295"/>
      <c r="C50" s="296"/>
      <c r="D50" s="296"/>
      <c r="E50" s="296"/>
      <c r="F50" s="297"/>
    </row>
    <row r="51" spans="1:6" ht="18.75" customHeight="1" x14ac:dyDescent="0.15">
      <c r="A51" s="38"/>
      <c r="B51" s="295"/>
      <c r="C51" s="296"/>
      <c r="D51" s="296"/>
      <c r="E51" s="296"/>
      <c r="F51" s="297"/>
    </row>
    <row r="52" spans="1:6" ht="18.75" customHeight="1" x14ac:dyDescent="0.15">
      <c r="A52" s="38"/>
      <c r="B52" s="295"/>
      <c r="C52" s="296"/>
      <c r="D52" s="296"/>
      <c r="E52" s="296"/>
      <c r="F52" s="297"/>
    </row>
    <row r="53" spans="1:6" ht="18.75" customHeight="1" x14ac:dyDescent="0.15">
      <c r="A53" s="38"/>
      <c r="B53" s="295"/>
      <c r="C53" s="296"/>
      <c r="D53" s="296"/>
      <c r="E53" s="296"/>
      <c r="F53" s="297"/>
    </row>
    <row r="54" spans="1:6" ht="18.75" customHeight="1" x14ac:dyDescent="0.15">
      <c r="A54" s="38"/>
      <c r="B54" s="295"/>
      <c r="C54" s="296"/>
      <c r="D54" s="296"/>
      <c r="E54" s="296"/>
      <c r="F54" s="297"/>
    </row>
    <row r="55" spans="1:6" ht="18.75" customHeight="1" x14ac:dyDescent="0.15">
      <c r="A55" s="38"/>
      <c r="B55" s="295"/>
      <c r="C55" s="296"/>
      <c r="D55" s="296"/>
      <c r="E55" s="296"/>
      <c r="F55" s="297"/>
    </row>
    <row r="56" spans="1:6" ht="18.75" customHeight="1" x14ac:dyDescent="0.15">
      <c r="A56" s="38"/>
      <c r="B56" s="295"/>
      <c r="C56" s="296"/>
      <c r="D56" s="296"/>
      <c r="E56" s="296"/>
      <c r="F56" s="297"/>
    </row>
    <row r="57" spans="1:6" ht="18.75" customHeight="1" x14ac:dyDescent="0.15">
      <c r="A57" s="38"/>
      <c r="B57" s="295"/>
      <c r="C57" s="296"/>
      <c r="D57" s="296"/>
      <c r="E57" s="296"/>
      <c r="F57" s="297"/>
    </row>
    <row r="58" spans="1:6" ht="18.75" customHeight="1" x14ac:dyDescent="0.15">
      <c r="A58" s="38"/>
      <c r="B58" s="295"/>
      <c r="C58" s="296"/>
      <c r="D58" s="296"/>
      <c r="E58" s="296"/>
      <c r="F58" s="297"/>
    </row>
    <row r="59" spans="1:6" ht="18.75" customHeight="1" x14ac:dyDescent="0.15">
      <c r="A59" s="38"/>
      <c r="B59" s="295"/>
      <c r="C59" s="296"/>
      <c r="D59" s="296"/>
      <c r="E59" s="296"/>
      <c r="F59" s="297"/>
    </row>
    <row r="60" spans="1:6" ht="18.75" customHeight="1" x14ac:dyDescent="0.15">
      <c r="A60" s="38"/>
      <c r="B60" s="295"/>
      <c r="C60" s="296"/>
      <c r="D60" s="296"/>
      <c r="E60" s="296"/>
      <c r="F60" s="297"/>
    </row>
    <row r="61" spans="1:6" ht="18.75" customHeight="1" x14ac:dyDescent="0.15">
      <c r="A61" s="38"/>
      <c r="B61" s="295"/>
      <c r="C61" s="296"/>
      <c r="D61" s="296"/>
      <c r="E61" s="296"/>
      <c r="F61" s="297"/>
    </row>
    <row r="62" spans="1:6" ht="18.75" customHeight="1" x14ac:dyDescent="0.15">
      <c r="A62" s="38"/>
      <c r="B62" s="295"/>
      <c r="C62" s="296"/>
      <c r="D62" s="296"/>
      <c r="E62" s="296"/>
      <c r="F62" s="297"/>
    </row>
    <row r="63" spans="1:6" ht="18.75" customHeight="1" x14ac:dyDescent="0.15">
      <c r="A63" s="38"/>
      <c r="B63" s="295"/>
      <c r="C63" s="296"/>
      <c r="D63" s="296"/>
      <c r="E63" s="296"/>
      <c r="F63" s="297"/>
    </row>
    <row r="64" spans="1:6" ht="18.75" customHeight="1" x14ac:dyDescent="0.15">
      <c r="A64" s="38"/>
      <c r="B64" s="295"/>
      <c r="C64" s="296"/>
      <c r="D64" s="296"/>
      <c r="E64" s="296"/>
      <c r="F64" s="297"/>
    </row>
    <row r="65" spans="1:6" ht="18.75" customHeight="1" x14ac:dyDescent="0.15">
      <c r="A65" s="38"/>
      <c r="B65" s="295"/>
      <c r="C65" s="296"/>
      <c r="D65" s="296"/>
      <c r="E65" s="296"/>
      <c r="F65" s="297"/>
    </row>
    <row r="66" spans="1:6" ht="18.75" customHeight="1" x14ac:dyDescent="0.15">
      <c r="A66" s="38"/>
      <c r="B66" s="295"/>
      <c r="C66" s="296"/>
      <c r="D66" s="296"/>
      <c r="E66" s="296"/>
      <c r="F66" s="297"/>
    </row>
    <row r="67" spans="1:6" ht="18.75" customHeight="1" x14ac:dyDescent="0.15">
      <c r="A67" s="38"/>
      <c r="B67" s="295"/>
      <c r="C67" s="296"/>
      <c r="D67" s="296"/>
      <c r="E67" s="296"/>
      <c r="F67" s="297"/>
    </row>
    <row r="68" spans="1:6" ht="18.75" customHeight="1" x14ac:dyDescent="0.15">
      <c r="A68" s="38"/>
      <c r="B68" s="295"/>
      <c r="C68" s="296"/>
      <c r="D68" s="296"/>
      <c r="E68" s="296"/>
      <c r="F68" s="297"/>
    </row>
    <row r="69" spans="1:6" ht="18.75" customHeight="1" x14ac:dyDescent="0.15">
      <c r="A69" s="38"/>
      <c r="B69" s="295"/>
      <c r="C69" s="296"/>
      <c r="D69" s="296"/>
      <c r="E69" s="296"/>
      <c r="F69" s="297"/>
    </row>
    <row r="70" spans="1:6" ht="18.75" customHeight="1" x14ac:dyDescent="0.15">
      <c r="A70" s="38"/>
      <c r="B70" s="295"/>
      <c r="C70" s="296"/>
      <c r="D70" s="296"/>
      <c r="E70" s="296"/>
      <c r="F70" s="297"/>
    </row>
    <row r="71" spans="1:6" ht="18.75" customHeight="1" x14ac:dyDescent="0.15">
      <c r="A71" s="38"/>
      <c r="B71" s="295"/>
      <c r="C71" s="296"/>
      <c r="D71" s="296"/>
      <c r="E71" s="296"/>
      <c r="F71" s="297"/>
    </row>
    <row r="72" spans="1:6" ht="18.75" customHeight="1" x14ac:dyDescent="0.15">
      <c r="A72" s="38"/>
      <c r="B72" s="295"/>
      <c r="C72" s="296"/>
      <c r="D72" s="296"/>
      <c r="E72" s="296"/>
      <c r="F72" s="297"/>
    </row>
    <row r="73" spans="1:6" ht="18.75" customHeight="1" x14ac:dyDescent="0.15">
      <c r="A73" s="38"/>
      <c r="B73" s="295"/>
      <c r="C73" s="296"/>
      <c r="D73" s="296"/>
      <c r="E73" s="296"/>
      <c r="F73" s="297"/>
    </row>
    <row r="74" spans="1:6" ht="18.75" customHeight="1" x14ac:dyDescent="0.15">
      <c r="A74" s="38"/>
      <c r="B74" s="295"/>
      <c r="C74" s="296"/>
      <c r="D74" s="296"/>
      <c r="E74" s="296"/>
      <c r="F74" s="297"/>
    </row>
    <row r="75" spans="1:6" ht="18.75" customHeight="1" x14ac:dyDescent="0.15">
      <c r="A75" s="38"/>
      <c r="B75" s="295"/>
      <c r="C75" s="296"/>
      <c r="D75" s="296"/>
      <c r="E75" s="296"/>
      <c r="F75" s="297"/>
    </row>
    <row r="76" spans="1:6" ht="18.75" customHeight="1" x14ac:dyDescent="0.15">
      <c r="A76" s="38"/>
      <c r="B76" s="295"/>
      <c r="C76" s="296"/>
      <c r="D76" s="296"/>
      <c r="E76" s="296"/>
      <c r="F76" s="297"/>
    </row>
    <row r="77" spans="1:6" ht="18.75" customHeight="1" x14ac:dyDescent="0.15">
      <c r="A77" s="38"/>
      <c r="B77" s="295"/>
      <c r="C77" s="296"/>
      <c r="D77" s="296"/>
      <c r="E77" s="296"/>
      <c r="F77" s="297"/>
    </row>
    <row r="78" spans="1:6" ht="18.75" customHeight="1" x14ac:dyDescent="0.15">
      <c r="A78" s="38"/>
      <c r="B78" s="295"/>
      <c r="C78" s="296"/>
      <c r="D78" s="296"/>
      <c r="E78" s="296"/>
      <c r="F78" s="297"/>
    </row>
    <row r="79" spans="1:6" ht="18.75" customHeight="1" x14ac:dyDescent="0.15">
      <c r="A79" s="38"/>
      <c r="B79" s="295"/>
      <c r="C79" s="296"/>
      <c r="D79" s="296"/>
      <c r="E79" s="296"/>
      <c r="F79" s="297"/>
    </row>
    <row r="80" spans="1:6" ht="18.75" customHeight="1" x14ac:dyDescent="0.15">
      <c r="A80" s="38"/>
      <c r="B80" s="295"/>
      <c r="C80" s="296"/>
      <c r="D80" s="296"/>
      <c r="E80" s="296"/>
      <c r="F80" s="297"/>
    </row>
    <row r="81" spans="1:6" ht="18.75" customHeight="1" x14ac:dyDescent="0.15">
      <c r="A81" s="38"/>
      <c r="B81" s="295"/>
      <c r="C81" s="296"/>
      <c r="D81" s="296"/>
      <c r="E81" s="296"/>
      <c r="F81" s="297"/>
    </row>
    <row r="82" spans="1:6" ht="18.75" customHeight="1" x14ac:dyDescent="0.15">
      <c r="A82" s="38"/>
      <c r="B82" s="295"/>
      <c r="C82" s="296"/>
      <c r="D82" s="296"/>
      <c r="E82" s="296"/>
      <c r="F82" s="297"/>
    </row>
    <row r="83" spans="1:6" ht="18.75" customHeight="1" x14ac:dyDescent="0.15">
      <c r="A83" s="38"/>
      <c r="B83" s="298"/>
      <c r="C83" s="299"/>
      <c r="D83" s="299"/>
      <c r="E83" s="299"/>
      <c r="F83" s="300"/>
    </row>
    <row r="84" spans="1:6" ht="18.75" customHeight="1" x14ac:dyDescent="0.15">
      <c r="A84" s="4" t="s">
        <v>11</v>
      </c>
      <c r="B84" s="4" t="s">
        <v>74</v>
      </c>
      <c r="C84" s="4"/>
      <c r="D84" s="4"/>
      <c r="E84" s="4"/>
      <c r="F84" s="4"/>
    </row>
    <row r="85" spans="1:6" ht="18.75" customHeight="1" x14ac:dyDescent="0.15">
      <c r="A85" s="38"/>
      <c r="B85" s="291" t="s">
        <v>194</v>
      </c>
      <c r="C85" s="293"/>
      <c r="D85" s="293"/>
      <c r="E85" s="293"/>
      <c r="F85" s="294"/>
    </row>
    <row r="86" spans="1:6" ht="18.75" customHeight="1" x14ac:dyDescent="0.15">
      <c r="A86" s="38"/>
      <c r="B86" s="295"/>
      <c r="C86" s="296"/>
      <c r="D86" s="296"/>
      <c r="E86" s="296"/>
      <c r="F86" s="297"/>
    </row>
    <row r="87" spans="1:6" ht="18.75" customHeight="1" x14ac:dyDescent="0.15">
      <c r="A87" s="38"/>
      <c r="B87" s="295"/>
      <c r="C87" s="296"/>
      <c r="D87" s="296"/>
      <c r="E87" s="296"/>
      <c r="F87" s="297"/>
    </row>
    <row r="88" spans="1:6" ht="18.75" customHeight="1" x14ac:dyDescent="0.15">
      <c r="A88" s="38"/>
      <c r="B88" s="295"/>
      <c r="C88" s="296"/>
      <c r="D88" s="296"/>
      <c r="E88" s="296"/>
      <c r="F88" s="297"/>
    </row>
    <row r="89" spans="1:6" ht="18.75" customHeight="1" x14ac:dyDescent="0.15">
      <c r="A89" s="38"/>
      <c r="B89" s="295"/>
      <c r="C89" s="296"/>
      <c r="D89" s="296"/>
      <c r="E89" s="296"/>
      <c r="F89" s="297"/>
    </row>
    <row r="90" spans="1:6" ht="18.75" customHeight="1" x14ac:dyDescent="0.15">
      <c r="A90" s="38"/>
      <c r="B90" s="295"/>
      <c r="C90" s="296"/>
      <c r="D90" s="296"/>
      <c r="E90" s="296"/>
      <c r="F90" s="297"/>
    </row>
    <row r="91" spans="1:6" ht="18.75" customHeight="1" x14ac:dyDescent="0.15">
      <c r="A91" s="38"/>
      <c r="B91" s="295"/>
      <c r="C91" s="296"/>
      <c r="D91" s="296"/>
      <c r="E91" s="296"/>
      <c r="F91" s="297"/>
    </row>
    <row r="92" spans="1:6" ht="18.75" customHeight="1" x14ac:dyDescent="0.15">
      <c r="A92" s="38"/>
      <c r="B92" s="295"/>
      <c r="C92" s="296"/>
      <c r="D92" s="296"/>
      <c r="E92" s="296"/>
      <c r="F92" s="297"/>
    </row>
    <row r="93" spans="1:6" ht="18.75" customHeight="1" x14ac:dyDescent="0.15">
      <c r="A93" s="38"/>
      <c r="B93" s="295"/>
      <c r="C93" s="296"/>
      <c r="D93" s="296"/>
      <c r="E93" s="296"/>
      <c r="F93" s="297"/>
    </row>
    <row r="94" spans="1:6" ht="18.75" customHeight="1" x14ac:dyDescent="0.15">
      <c r="A94" s="38"/>
      <c r="B94" s="295"/>
      <c r="C94" s="296"/>
      <c r="D94" s="296"/>
      <c r="E94" s="296"/>
      <c r="F94" s="297"/>
    </row>
    <row r="95" spans="1:6" ht="18.75" customHeight="1" x14ac:dyDescent="0.15">
      <c r="A95" s="38"/>
      <c r="B95" s="295"/>
      <c r="C95" s="296"/>
      <c r="D95" s="296"/>
      <c r="E95" s="296"/>
      <c r="F95" s="297"/>
    </row>
    <row r="96" spans="1:6" ht="18.75" customHeight="1" x14ac:dyDescent="0.15">
      <c r="A96" s="38"/>
      <c r="B96" s="295"/>
      <c r="C96" s="296"/>
      <c r="D96" s="296"/>
      <c r="E96" s="296"/>
      <c r="F96" s="297"/>
    </row>
    <row r="97" spans="1:6" ht="18.75" customHeight="1" x14ac:dyDescent="0.15">
      <c r="A97" s="38"/>
      <c r="B97" s="295"/>
      <c r="C97" s="296"/>
      <c r="D97" s="296"/>
      <c r="E97" s="296"/>
      <c r="F97" s="297"/>
    </row>
    <row r="98" spans="1:6" ht="18.75" customHeight="1" x14ac:dyDescent="0.15">
      <c r="A98" s="38"/>
      <c r="B98" s="295"/>
      <c r="C98" s="296"/>
      <c r="D98" s="296"/>
      <c r="E98" s="296"/>
      <c r="F98" s="297"/>
    </row>
    <row r="99" spans="1:6" ht="18.75" customHeight="1" x14ac:dyDescent="0.15">
      <c r="A99" s="38"/>
      <c r="B99" s="295"/>
      <c r="C99" s="296"/>
      <c r="D99" s="296"/>
      <c r="E99" s="296"/>
      <c r="F99" s="297"/>
    </row>
    <row r="100" spans="1:6" ht="18.75" customHeight="1" x14ac:dyDescent="0.15">
      <c r="A100" s="38"/>
      <c r="B100" s="295"/>
      <c r="C100" s="296"/>
      <c r="D100" s="296"/>
      <c r="E100" s="296"/>
      <c r="F100" s="297"/>
    </row>
    <row r="101" spans="1:6" ht="18.75" customHeight="1" x14ac:dyDescent="0.15">
      <c r="A101" s="38"/>
      <c r="B101" s="295"/>
      <c r="C101" s="296"/>
      <c r="D101" s="296"/>
      <c r="E101" s="296"/>
      <c r="F101" s="297"/>
    </row>
    <row r="102" spans="1:6" ht="18.75" customHeight="1" x14ac:dyDescent="0.15">
      <c r="A102" s="38"/>
      <c r="B102" s="295"/>
      <c r="C102" s="296"/>
      <c r="D102" s="296"/>
      <c r="E102" s="296"/>
      <c r="F102" s="297"/>
    </row>
    <row r="103" spans="1:6" ht="18.75" customHeight="1" x14ac:dyDescent="0.15">
      <c r="A103" s="38"/>
      <c r="B103" s="295"/>
      <c r="C103" s="296"/>
      <c r="D103" s="296"/>
      <c r="E103" s="296"/>
      <c r="F103" s="297"/>
    </row>
    <row r="104" spans="1:6" ht="18.75" customHeight="1" x14ac:dyDescent="0.15">
      <c r="A104" s="38"/>
      <c r="B104" s="295"/>
      <c r="C104" s="296"/>
      <c r="D104" s="296"/>
      <c r="E104" s="296"/>
      <c r="F104" s="297"/>
    </row>
    <row r="105" spans="1:6" ht="18.75" customHeight="1" x14ac:dyDescent="0.15">
      <c r="A105" s="38"/>
      <c r="B105" s="295"/>
      <c r="C105" s="296"/>
      <c r="D105" s="296"/>
      <c r="E105" s="296"/>
      <c r="F105" s="297"/>
    </row>
    <row r="106" spans="1:6" ht="18.75" customHeight="1" x14ac:dyDescent="0.15">
      <c r="A106" s="38"/>
      <c r="B106" s="295"/>
      <c r="C106" s="296"/>
      <c r="D106" s="296"/>
      <c r="E106" s="296"/>
      <c r="F106" s="297"/>
    </row>
    <row r="107" spans="1:6" ht="18.75" customHeight="1" x14ac:dyDescent="0.15">
      <c r="A107" s="38"/>
      <c r="B107" s="295"/>
      <c r="C107" s="296"/>
      <c r="D107" s="296"/>
      <c r="E107" s="296"/>
      <c r="F107" s="297"/>
    </row>
    <row r="108" spans="1:6" ht="18.75" customHeight="1" x14ac:dyDescent="0.15">
      <c r="A108" s="38"/>
      <c r="B108" s="295"/>
      <c r="C108" s="296"/>
      <c r="D108" s="296"/>
      <c r="E108" s="296"/>
      <c r="F108" s="297"/>
    </row>
    <row r="109" spans="1:6" ht="18.75" customHeight="1" x14ac:dyDescent="0.15">
      <c r="A109" s="38"/>
      <c r="B109" s="295"/>
      <c r="C109" s="296"/>
      <c r="D109" s="296"/>
      <c r="E109" s="296"/>
      <c r="F109" s="297"/>
    </row>
    <row r="110" spans="1:6" ht="18.75" customHeight="1" x14ac:dyDescent="0.15">
      <c r="A110" s="38"/>
      <c r="B110" s="295"/>
      <c r="C110" s="296"/>
      <c r="D110" s="296"/>
      <c r="E110" s="296"/>
      <c r="F110" s="297"/>
    </row>
    <row r="111" spans="1:6" ht="18.75" customHeight="1" x14ac:dyDescent="0.15">
      <c r="A111" s="38"/>
      <c r="B111" s="295"/>
      <c r="C111" s="296"/>
      <c r="D111" s="296"/>
      <c r="E111" s="296"/>
      <c r="F111" s="297"/>
    </row>
    <row r="112" spans="1:6" ht="18.75" customHeight="1" x14ac:dyDescent="0.15">
      <c r="A112" s="38"/>
      <c r="B112" s="295"/>
      <c r="C112" s="296"/>
      <c r="D112" s="296"/>
      <c r="E112" s="296"/>
      <c r="F112" s="297"/>
    </row>
    <row r="113" spans="1:6" ht="18.75" customHeight="1" x14ac:dyDescent="0.15">
      <c r="A113" s="38"/>
      <c r="B113" s="295"/>
      <c r="C113" s="296"/>
      <c r="D113" s="296"/>
      <c r="E113" s="296"/>
      <c r="F113" s="297"/>
    </row>
    <row r="114" spans="1:6" ht="18.75" customHeight="1" x14ac:dyDescent="0.15">
      <c r="A114" s="38"/>
      <c r="B114" s="295"/>
      <c r="C114" s="296"/>
      <c r="D114" s="296"/>
      <c r="E114" s="296"/>
      <c r="F114" s="297"/>
    </row>
    <row r="115" spans="1:6" ht="18.75" customHeight="1" x14ac:dyDescent="0.15">
      <c r="A115" s="38"/>
      <c r="B115" s="295"/>
      <c r="C115" s="296"/>
      <c r="D115" s="296"/>
      <c r="E115" s="296"/>
      <c r="F115" s="297"/>
    </row>
    <row r="116" spans="1:6" ht="18.75" customHeight="1" x14ac:dyDescent="0.15">
      <c r="A116" s="38"/>
      <c r="B116" s="295"/>
      <c r="C116" s="296"/>
      <c r="D116" s="296"/>
      <c r="E116" s="296"/>
      <c r="F116" s="297"/>
    </row>
    <row r="117" spans="1:6" ht="18.75" customHeight="1" x14ac:dyDescent="0.15">
      <c r="A117" s="38"/>
      <c r="B117" s="295"/>
      <c r="C117" s="296"/>
      <c r="D117" s="296"/>
      <c r="E117" s="296"/>
      <c r="F117" s="297"/>
    </row>
    <row r="118" spans="1:6" ht="18.75" customHeight="1" x14ac:dyDescent="0.15">
      <c r="A118" s="38"/>
      <c r="B118" s="295"/>
      <c r="C118" s="296"/>
      <c r="D118" s="296"/>
      <c r="E118" s="296"/>
      <c r="F118" s="297"/>
    </row>
    <row r="119" spans="1:6" ht="18.75" customHeight="1" x14ac:dyDescent="0.15">
      <c r="A119" s="38"/>
      <c r="B119" s="295"/>
      <c r="C119" s="296"/>
      <c r="D119" s="296"/>
      <c r="E119" s="296"/>
      <c r="F119" s="297"/>
    </row>
    <row r="120" spans="1:6" ht="18.75" customHeight="1" x14ac:dyDescent="0.15">
      <c r="A120" s="38"/>
      <c r="B120" s="295"/>
      <c r="C120" s="296"/>
      <c r="D120" s="296"/>
      <c r="E120" s="296"/>
      <c r="F120" s="297"/>
    </row>
    <row r="121" spans="1:6" ht="18.75" customHeight="1" x14ac:dyDescent="0.15">
      <c r="A121" s="38"/>
      <c r="B121" s="295"/>
      <c r="C121" s="296"/>
      <c r="D121" s="296"/>
      <c r="E121" s="296"/>
      <c r="F121" s="297"/>
    </row>
    <row r="122" spans="1:6" ht="18.75" customHeight="1" x14ac:dyDescent="0.15">
      <c r="A122" s="38"/>
      <c r="B122" s="295"/>
      <c r="C122" s="296"/>
      <c r="D122" s="296"/>
      <c r="E122" s="296"/>
      <c r="F122" s="297"/>
    </row>
    <row r="123" spans="1:6" ht="18.75" customHeight="1" x14ac:dyDescent="0.15">
      <c r="A123" s="38"/>
      <c r="B123" s="295"/>
      <c r="C123" s="296"/>
      <c r="D123" s="296"/>
      <c r="E123" s="296"/>
      <c r="F123" s="297"/>
    </row>
    <row r="124" spans="1:6" ht="18.75" customHeight="1" x14ac:dyDescent="0.15">
      <c r="A124" s="38"/>
      <c r="B124" s="298"/>
      <c r="C124" s="299"/>
      <c r="D124" s="299"/>
      <c r="E124" s="299"/>
      <c r="F124" s="300"/>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教務部 稲積　包則</cp:lastModifiedBy>
  <cp:lastPrinted>2022-05-20T03:32:17Z</cp:lastPrinted>
  <dcterms:created xsi:type="dcterms:W3CDTF">2011-06-14T05:32:50Z</dcterms:created>
  <dcterms:modified xsi:type="dcterms:W3CDTF">2022-05-30T23:45:18Z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