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C:\Users\D62C5D\Desktop\情報処理関係\数理データサイエンス申請\文科省提出用\"/>
    </mc:Choice>
  </mc:AlternateContent>
  <xr:revisionPtr revIDLastSave="0" documentId="8_{7E67FBD4-B909-4E3C-BA14-2A009A728C38}" xr6:coauthVersionLast="47" xr6:coauthVersionMax="47" xr10:uidLastSave="{00000000-0000-0000-0000-000000000000}"/>
  <bookViews>
    <workbookView xWindow="-108" yWindow="-108" windowWidth="23256" windowHeight="12576" tabRatio="885" activeTab="4"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不要_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5">'不要_様式６　特色ある取組'!$A$1:$F$124</definedName>
    <definedName name="_xlnm.Print_Area" localSheetId="0">'様式１　大学等概要'!$A$1:$N$45</definedName>
    <definedName name="_xlnm.Print_Area" localSheetId="1">'様式２　プログラムを構成する授業科目'!$A$1:$Z$104</definedName>
    <definedName name="_xlnm.Print_Area" localSheetId="2">'様式３　履修者等数の実績'!$A$1:$R$30</definedName>
    <definedName name="_xlnm.Print_Area" localSheetId="3">'様式４　教育の質・履修者数を向上させるための体制・計画'!$A$1:$J$74</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 i="40" l="1"/>
  <c r="Q14" i="40" l="1"/>
  <c r="Q13" i="40"/>
  <c r="Q12" i="40"/>
  <c r="Q11" i="40"/>
  <c r="Q30" i="40"/>
  <c r="R30" i="40" s="1"/>
  <c r="K18" i="42" l="1"/>
  <c r="K16" i="42"/>
  <c r="K15" i="42"/>
  <c r="K9" i="42"/>
  <c r="K8" i="42"/>
  <c r="K7" i="42"/>
  <c r="K68" i="41"/>
  <c r="K60" i="41"/>
  <c r="K50" i="41"/>
  <c r="K41"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R13" i="40"/>
  <c r="R12" i="40"/>
  <c r="R11" i="40"/>
  <c r="R10" i="40"/>
  <c r="C28" i="41" l="1"/>
</calcChain>
</file>

<file path=xl/sharedStrings.xml><?xml version="1.0" encoding="utf-8"?>
<sst xmlns="http://schemas.openxmlformats.org/spreadsheetml/2006/main" count="330" uniqueCount="216">
  <si>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</si>
  <si>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</si>
  <si>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</si>
  <si>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</si>
  <si>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</si>
  <si>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</si>
  <si>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</si>
  <si>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</si>
  <si>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</si>
  <si>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</si>
  <si>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</si>
  <si>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</si>
  <si>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</si>
  <si>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</si>
  <si>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</si>
  <si>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</si>
  <si>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</si>
  <si>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</si>
  <si>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</si>
  <si>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</si>
  <si>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</si>
  <si>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</si>
  <si>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</si>
  <si>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</si>
  <si>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</si>
  <si>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</si>
  <si>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</si>
  <si>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</si>
  <si>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</si>
  <si>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</si>
  <si>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</si>
  <si>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</si>
  <si>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</si>
  <si>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</si>
  <si>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</si>
  <si>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</si>
  <si>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</si>
  <si>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</si>
  <si>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</si>
  <si>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</si>
  <si>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</si>
  <si>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</si>
  <si>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</si>
  <si>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</si>
  <si>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</si>
  <si>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</si>
  <si>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</si>
  <si>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</si>
  <si>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</si>
  <si>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</si>
  <si>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</si>
  <si>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</si>
  <si>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</si>
  <si>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</si>
  <si>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</si>
  <si>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</si>
  <si>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</si>
  <si>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</si>
  <si>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</si>
  <si>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</si>
  <si>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</si>
  <si>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</si>
  <si>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</si>
  <si>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</si>
  <si>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</si>
  <si>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</si>
  <si>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</si>
  <si>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</si>
  <si>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</si>
  <si>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</si>
  <si>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</si>
  <si>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</si>
  <si>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</si>
  <si>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</si>
  <si>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</si>
  <si>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</si>
  <si>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</si>
  <si>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</si>
  <si>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</si>
  <si>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</si>
  <si>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</si>
  <si>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</si>
  <si>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</si>
  <si>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</si>
  <si>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</si>
  <si>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</si>
  <si>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</si>
  <si>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</si>
  <si>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</si>
  <si>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</si>
  <si>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</si>
  <si>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</si>
  <si>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</si>
  <si>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</si>
  <si>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</si>
  <si>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</si>
  <si>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</si>
  <si>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</si>
  <si>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</si>
  <si>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</si>
  <si>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</si>
  <si>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</si>
  <si>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</si>
  <si>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</si>
  <si>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</si>
  <si>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</si>
  <si>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</si>
  <si>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</si>
  <si>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</si>
  <si>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</si>
  <si>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</si>
  <si>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</si>
  <si>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</si>
  <si>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</si>
  <si>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</si>
  <si>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</si>
  <si>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</si>
  <si>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</si>
  <si>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</si>
  <si>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</si>
  <si>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</si>
  <si>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</si>
  <si>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</si>
  <si>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</si>
  <si>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</si>
  <si>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</si>
  <si>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</si>
  <si>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</si>
  <si>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</si>
  <si>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</si>
  <si>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</si>
  <si>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</si>
  <si>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</si>
  <si>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</si>
  <si>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</si>
  <si>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</si>
  <si>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</si>
  <si>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</si>
  <si>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</si>
  <si>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</si>
  <si>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</si>
  <si>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</si>
  <si>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</si>
  <si>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</si>
  <si>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</si>
  <si>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</si>
  <si>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</si>
  <si>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</si>
  <si>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</si>
  <si>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</si>
  <si>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</si>
  <si>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</si>
  <si>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</si>
  <si>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千葉工業大学</t>
    <rPh sb="0" eb="6">
      <t>チバコウギョウダイガク</t>
    </rPh>
    <phoneticPr fontId="1"/>
  </si>
  <si>
    <t>学校法人　千葉工業大学</t>
    <rPh sb="0" eb="2">
      <t>ガッコウ</t>
    </rPh>
    <rPh sb="2" eb="4">
      <t>ホウジン</t>
    </rPh>
    <rPh sb="5" eb="11">
      <t>チバコウギョウダイガク</t>
    </rPh>
    <phoneticPr fontId="1"/>
  </si>
  <si>
    <t>私立大学</t>
  </si>
  <si>
    <t>千葉県習志野市津田沼2-17-1</t>
    <rPh sb="0" eb="3">
      <t>チバケン</t>
    </rPh>
    <rPh sb="3" eb="7">
      <t>ナラシノシ</t>
    </rPh>
    <rPh sb="7" eb="10">
      <t>ツダヌマ</t>
    </rPh>
    <phoneticPr fontId="1"/>
  </si>
  <si>
    <t>初年次教育と情報処理による基礎教育プログラム</t>
    <rPh sb="0" eb="3">
      <t>ショネンジ</t>
    </rPh>
    <rPh sb="3" eb="5">
      <t>キョウイク</t>
    </rPh>
    <rPh sb="6" eb="8">
      <t>ジョウホウ</t>
    </rPh>
    <rPh sb="8" eb="10">
      <t>ショリ</t>
    </rPh>
    <rPh sb="13" eb="15">
      <t>キソ</t>
    </rPh>
    <rPh sb="15" eb="17">
      <t>キョウイク</t>
    </rPh>
    <phoneticPr fontId="1"/>
  </si>
  <si>
    <t>無</t>
  </si>
  <si>
    <t>平成28</t>
    <rPh sb="0" eb="2">
      <t>ヘイセイ</t>
    </rPh>
    <phoneticPr fontId="1"/>
  </si>
  <si>
    <t>佐波　孝彦</t>
    <rPh sb="0" eb="2">
      <t>サバ</t>
    </rPh>
    <rPh sb="3" eb="5">
      <t>タカヒコ</t>
    </rPh>
    <phoneticPr fontId="1"/>
  </si>
  <si>
    <t>教務委員会</t>
    <rPh sb="0" eb="5">
      <t>キョウムイインカイ</t>
    </rPh>
    <phoneticPr fontId="1"/>
  </si>
  <si>
    <t>松井　孝典</t>
    <rPh sb="0" eb="2">
      <t>マツイ</t>
    </rPh>
    <rPh sb="3" eb="5">
      <t>タカノリ</t>
    </rPh>
    <phoneticPr fontId="1"/>
  </si>
  <si>
    <t>学長</t>
    <rPh sb="0" eb="2">
      <t>ガクチョウ</t>
    </rPh>
    <phoneticPr fontId="1"/>
  </si>
  <si>
    <t>委員長</t>
    <rPh sb="0" eb="3">
      <t>イインチョウ</t>
    </rPh>
    <phoneticPr fontId="1"/>
  </si>
  <si>
    <t>自己点検・評価委員会</t>
    <rPh sb="0" eb="4">
      <t>ジコテンケン</t>
    </rPh>
    <rPh sb="5" eb="7">
      <t>ヒョウカ</t>
    </rPh>
    <rPh sb="7" eb="10">
      <t>イインカイ</t>
    </rPh>
    <phoneticPr fontId="1"/>
  </si>
  <si>
    <t>松崎　元</t>
    <rPh sb="0" eb="2">
      <t>マツザキ</t>
    </rPh>
    <rPh sb="3" eb="4">
      <t>ゲン</t>
    </rPh>
    <phoneticPr fontId="1"/>
  </si>
  <si>
    <t>認定教育プログラム</t>
  </si>
  <si>
    <t>教学センター</t>
    <rPh sb="0" eb="2">
      <t>キョウガク</t>
    </rPh>
    <phoneticPr fontId="1"/>
  </si>
  <si>
    <t>仲村　啓介</t>
    <rPh sb="0" eb="2">
      <t>ナカムラ</t>
    </rPh>
    <rPh sb="3" eb="5">
      <t>ケイスケ</t>
    </rPh>
    <phoneticPr fontId="1"/>
  </si>
  <si>
    <t>t-kyoumu@it-chiba.ac.jp</t>
    <phoneticPr fontId="1"/>
  </si>
  <si>
    <t>047-478-0234</t>
    <phoneticPr fontId="1"/>
  </si>
  <si>
    <t>学部・学科によって、修了要件は相違しない</t>
  </si>
  <si>
    <t>　全学部共通で開講される必修科目「初年次教育（1単位）」及び「情報処理（2単位）」を修得すること。</t>
    <rPh sb="1" eb="4">
      <t>ゼンガクブ</t>
    </rPh>
    <rPh sb="4" eb="6">
      <t>キョウツウ</t>
    </rPh>
    <rPh sb="7" eb="9">
      <t>カイコウ</t>
    </rPh>
    <rPh sb="12" eb="14">
      <t>ヒッシュウ</t>
    </rPh>
    <rPh sb="14" eb="16">
      <t>カモク</t>
    </rPh>
    <rPh sb="17" eb="22">
      <t>ショネンジキョウイク</t>
    </rPh>
    <rPh sb="24" eb="26">
      <t>タンイ</t>
    </rPh>
    <rPh sb="28" eb="29">
      <t>オヨ</t>
    </rPh>
    <rPh sb="31" eb="35">
      <t>ジョウホウショリ</t>
    </rPh>
    <rPh sb="37" eb="39">
      <t>タンイ</t>
    </rPh>
    <rPh sb="42" eb="44">
      <t>シュウトク</t>
    </rPh>
    <phoneticPr fontId="1"/>
  </si>
  <si>
    <t>初年次教育</t>
    <rPh sb="0" eb="3">
      <t>ショネンジ</t>
    </rPh>
    <rPh sb="3" eb="5">
      <t>キョウイク</t>
    </rPh>
    <phoneticPr fontId="1"/>
  </si>
  <si>
    <t>○</t>
  </si>
  <si>
    <t>情報処理</t>
    <rPh sb="0" eb="4">
      <t>ジョウホウショリ</t>
    </rPh>
    <phoneticPr fontId="1"/>
  </si>
  <si>
    <t>副学長（教務委員長兼務）</t>
    <rPh sb="0" eb="3">
      <t>フクガクチョウ</t>
    </rPh>
    <rPh sb="4" eb="6">
      <t>キョウム</t>
    </rPh>
    <rPh sb="6" eb="9">
      <t>イインチョウ</t>
    </rPh>
    <rPh sb="9" eb="11">
      <t>ケンム</t>
    </rPh>
    <phoneticPr fontId="1"/>
  </si>
  <si>
    <t xml:space="preserve"> 数理・データサイエンスの基礎知識やスキルを学修することで、それらを活用して、世の中のあらゆる分野における将来的な予測、新たな傾向や現象の知見を得るための素地を身に付けることが出来る。</t>
    <rPh sb="1" eb="3">
      <t>スウリ</t>
    </rPh>
    <rPh sb="13" eb="15">
      <t>キソ</t>
    </rPh>
    <rPh sb="15" eb="17">
      <t>チシキ</t>
    </rPh>
    <rPh sb="22" eb="24">
      <t>ガクシュウ</t>
    </rPh>
    <rPh sb="34" eb="36">
      <t>カツヨウ</t>
    </rPh>
    <rPh sb="39" eb="40">
      <t>ヨ</t>
    </rPh>
    <rPh sb="41" eb="42">
      <t>ナカ</t>
    </rPh>
    <rPh sb="47" eb="49">
      <t>ブンヤ</t>
    </rPh>
    <rPh sb="53" eb="55">
      <t>ショウライ</t>
    </rPh>
    <rPh sb="55" eb="56">
      <t>テキ</t>
    </rPh>
    <rPh sb="57" eb="59">
      <t>ヨソク</t>
    </rPh>
    <rPh sb="60" eb="61">
      <t>アラ</t>
    </rPh>
    <rPh sb="63" eb="65">
      <t>ケイコウ</t>
    </rPh>
    <rPh sb="66" eb="68">
      <t>ゲンショウ</t>
    </rPh>
    <rPh sb="69" eb="71">
      <t>チケン</t>
    </rPh>
    <rPh sb="72" eb="73">
      <t>エ</t>
    </rPh>
    <rPh sb="77" eb="79">
      <t>ソジ</t>
    </rPh>
    <rPh sb="80" eb="81">
      <t>ミ</t>
    </rPh>
    <rPh sb="82" eb="83">
      <t>ツ</t>
    </rPh>
    <rPh sb="88" eb="90">
      <t>デキ</t>
    </rPh>
    <phoneticPr fontId="1"/>
  </si>
  <si>
    <t>千葉工業大学教務委員会規程、学校法人千葉工業大学自己点検評価に関する規程</t>
    <rPh sb="0" eb="6">
      <t>チバコウギョウダイガク</t>
    </rPh>
    <rPh sb="6" eb="8">
      <t>キョウム</t>
    </rPh>
    <rPh sb="8" eb="11">
      <t>イインカイ</t>
    </rPh>
    <rPh sb="11" eb="13">
      <t>キテイ</t>
    </rPh>
    <rPh sb="14" eb="16">
      <t>ガッコウ</t>
    </rPh>
    <rPh sb="16" eb="18">
      <t>ホウジン</t>
    </rPh>
    <rPh sb="18" eb="24">
      <t>チバコウギョウダイガク</t>
    </rPh>
    <rPh sb="24" eb="28">
      <t>ジコテンケン</t>
    </rPh>
    <rPh sb="28" eb="30">
      <t>ヒョウカ</t>
    </rPh>
    <rPh sb="31" eb="32">
      <t>カン</t>
    </rPh>
    <rPh sb="34" eb="36">
      <t>キテイ</t>
    </rPh>
    <phoneticPr fontId="1"/>
  </si>
  <si>
    <t xml:space="preserve">（1）教務委員会委員長：佐波　孝彦（情報科学部教授、副学長［教学担当］）
⇒副委員長：筑紫　格（工学部教授、全学共通科目担当）、鴻巣　努（社会システム科学部教授）
⇒委員：新井　浩志（工学部教授）、田村　洋介（工学部教授）、小田　昭紀（工学部教授）、菅原　真司（工学部教授）、柴田　裕史（工学部教授）、藤井　賢志（創造工学部教授）、松崎　元（創造工学部教授）、青木　岳史（先進工学部教授）、宮田　高道（先進工学部教授）、秋葉　知昭（社会システム科学部教授）、三村　尚央（工学部教授、全学共通科目担当）、加藤　琢真（工学部准教授）、亀田　豊（創造工学部准教授）、根本　直樹（先進工学部准教授）、山崎　治（情報科学部准教授）、喜多村　正仁（社会システム科学部准教授）、軍司　圭一（工学部准教授、全学共通科目担当）、古賀　毅（創造工学部准教授、全学共通科目担当）、小川　靖夫（大学事務局長）、小出　範雄（教学センター部長）、土手内　徹（教学センター次長）、仲村　啓介（教学センター津田沼教務担当グループ長）　
（2）自己点検評価委員会委員長：松崎　元（創造工学部教授）
⇒委員：小澤　俊平（工学部教授）、安藤　昌也（先進工学部教授）、鴻巣　努（社会システム科学部教授）、橋口　秀子（工学部教授、教育センター長）、山崎　治（情報科学部准教授）、福江　聡（法人事務局次長、総務部長）、千代田　和夫（教学センター部長）、下山　直人（大学改革推進室長）、畑　憲作（総務部次長）、竹内　秀一（教学センター新習志野学生担当グループ長）、仲村　啓介（教学センター津田沼教務担当グループ長）、小堤　幹太（就職・進路支援部就職担当グループ長）、秋葉　知宏（教学センター研究支援担当グループ長補佐）
</t>
    <rPh sb="3" eb="8">
      <t>キョウムイインカイ</t>
    </rPh>
    <rPh sb="8" eb="11">
      <t>イインチョウ</t>
    </rPh>
    <rPh sb="12" eb="14">
      <t>サバ</t>
    </rPh>
    <rPh sb="15" eb="17">
      <t>タカヒコ</t>
    </rPh>
    <rPh sb="18" eb="20">
      <t>ジョウホウ</t>
    </rPh>
    <rPh sb="20" eb="23">
      <t>カガクブ</t>
    </rPh>
    <rPh sb="23" eb="25">
      <t>キョウジュ</t>
    </rPh>
    <rPh sb="26" eb="29">
      <t>フクガクチョウ</t>
    </rPh>
    <rPh sb="30" eb="32">
      <t>キョウガク</t>
    </rPh>
    <rPh sb="32" eb="34">
      <t>タントウ</t>
    </rPh>
    <rPh sb="38" eb="42">
      <t>フクイインチョウ</t>
    </rPh>
    <rPh sb="43" eb="45">
      <t>ツクシ</t>
    </rPh>
    <rPh sb="46" eb="47">
      <t>イタル</t>
    </rPh>
    <rPh sb="48" eb="51">
      <t>コウガクブ</t>
    </rPh>
    <rPh sb="51" eb="53">
      <t>キョウジュ</t>
    </rPh>
    <rPh sb="54" eb="56">
      <t>ゼンガク</t>
    </rPh>
    <rPh sb="56" eb="58">
      <t>キョウツウ</t>
    </rPh>
    <rPh sb="58" eb="60">
      <t>カモク</t>
    </rPh>
    <rPh sb="60" eb="62">
      <t>タントウ</t>
    </rPh>
    <rPh sb="64" eb="66">
      <t>コウノス</t>
    </rPh>
    <rPh sb="67" eb="68">
      <t>ツトム</t>
    </rPh>
    <rPh sb="69" eb="71">
      <t>シャカイ</t>
    </rPh>
    <rPh sb="75" eb="78">
      <t>カガクブ</t>
    </rPh>
    <rPh sb="78" eb="80">
      <t>キョウジュ</t>
    </rPh>
    <rPh sb="83" eb="85">
      <t>イイン</t>
    </rPh>
    <rPh sb="86" eb="88">
      <t>アライ</t>
    </rPh>
    <rPh sb="89" eb="90">
      <t>ヒロシ</t>
    </rPh>
    <rPh sb="90" eb="91">
      <t>シ</t>
    </rPh>
    <rPh sb="92" eb="95">
      <t>コウガクブ</t>
    </rPh>
    <rPh sb="95" eb="97">
      <t>キョウジュ</t>
    </rPh>
    <rPh sb="99" eb="101">
      <t>タムラ</t>
    </rPh>
    <rPh sb="102" eb="104">
      <t>ヨウスケ</t>
    </rPh>
    <rPh sb="105" eb="108">
      <t>コウガクブ</t>
    </rPh>
    <rPh sb="108" eb="110">
      <t>キョウジュ</t>
    </rPh>
    <rPh sb="112" eb="114">
      <t>オダ</t>
    </rPh>
    <rPh sb="166" eb="168">
      <t>マツザキ</t>
    </rPh>
    <rPh sb="169" eb="170">
      <t>ゲン</t>
    </rPh>
    <rPh sb="171" eb="173">
      <t>ソウゾウ</t>
    </rPh>
    <rPh sb="173" eb="176">
      <t>コウガクブ</t>
    </rPh>
    <rPh sb="176" eb="178">
      <t>キョウジュ</t>
    </rPh>
    <rPh sb="180" eb="182">
      <t>アオキ</t>
    </rPh>
    <rPh sb="183" eb="184">
      <t>ガク</t>
    </rPh>
    <rPh sb="184" eb="185">
      <t>シ</t>
    </rPh>
    <rPh sb="186" eb="188">
      <t>センシン</t>
    </rPh>
    <rPh sb="188" eb="191">
      <t>コウガクブ</t>
    </rPh>
    <rPh sb="191" eb="193">
      <t>キョウジュ</t>
    </rPh>
    <rPh sb="195" eb="197">
      <t>ミヤタ</t>
    </rPh>
    <rPh sb="198" eb="200">
      <t>タカミチ</t>
    </rPh>
    <rPh sb="201" eb="203">
      <t>センシン</t>
    </rPh>
    <rPh sb="203" eb="206">
      <t>コウガクブ</t>
    </rPh>
    <rPh sb="206" eb="208">
      <t>キョウジュ</t>
    </rPh>
    <rPh sb="210" eb="212">
      <t>アキバ</t>
    </rPh>
    <rPh sb="229" eb="231">
      <t>ミムラ</t>
    </rPh>
    <rPh sb="232" eb="233">
      <t>ナオ</t>
    </rPh>
    <rPh sb="251" eb="253">
      <t>カトウ</t>
    </rPh>
    <rPh sb="265" eb="267">
      <t>カメダ</t>
    </rPh>
    <rPh sb="268" eb="269">
      <t>ユタカ</t>
    </rPh>
    <rPh sb="270" eb="272">
      <t>ソウゾウ</t>
    </rPh>
    <rPh sb="272" eb="275">
      <t>コウガクブ</t>
    </rPh>
    <rPh sb="275" eb="278">
      <t>ジュンキョウジュ</t>
    </rPh>
    <rPh sb="280" eb="282">
      <t>ネモト</t>
    </rPh>
    <rPh sb="283" eb="285">
      <t>ナオキ</t>
    </rPh>
    <rPh sb="286" eb="288">
      <t>センシン</t>
    </rPh>
    <rPh sb="288" eb="291">
      <t>コウガクブ</t>
    </rPh>
    <rPh sb="291" eb="294">
      <t>ジュンキョウジュ</t>
    </rPh>
    <rPh sb="296" eb="298">
      <t>ヤマザキ</t>
    </rPh>
    <rPh sb="299" eb="300">
      <t>オサム</t>
    </rPh>
    <rPh sb="301" eb="303">
      <t>ジョウホウ</t>
    </rPh>
    <rPh sb="303" eb="306">
      <t>カガクブ</t>
    </rPh>
    <rPh sb="306" eb="309">
      <t>ジュンキョウジュ</t>
    </rPh>
    <rPh sb="311" eb="314">
      <t>キタムラ</t>
    </rPh>
    <rPh sb="315" eb="316">
      <t>マサ</t>
    </rPh>
    <rPh sb="316" eb="317">
      <t>ジン</t>
    </rPh>
    <rPh sb="318" eb="320">
      <t>シャカイ</t>
    </rPh>
    <rPh sb="324" eb="327">
      <t>カガクブ</t>
    </rPh>
    <rPh sb="327" eb="330">
      <t>ジュンキョウジュ</t>
    </rPh>
    <rPh sb="332" eb="334">
      <t>グンジ</t>
    </rPh>
    <rPh sb="335" eb="337">
      <t>ケイイチ</t>
    </rPh>
    <rPh sb="338" eb="341">
      <t>コウガクブ</t>
    </rPh>
    <rPh sb="341" eb="344">
      <t>ジュンキョウジュ</t>
    </rPh>
    <rPh sb="345" eb="347">
      <t>ゼンガク</t>
    </rPh>
    <rPh sb="347" eb="349">
      <t>キョウツウ</t>
    </rPh>
    <rPh sb="349" eb="351">
      <t>カモク</t>
    </rPh>
    <rPh sb="351" eb="353">
      <t>タントウ</t>
    </rPh>
    <rPh sb="355" eb="357">
      <t>コガ</t>
    </rPh>
    <rPh sb="358" eb="359">
      <t>ツヨシ</t>
    </rPh>
    <rPh sb="360" eb="362">
      <t>ソウゾウ</t>
    </rPh>
    <rPh sb="362" eb="365">
      <t>コウガクブ</t>
    </rPh>
    <rPh sb="365" eb="368">
      <t>ジュンキョウジュ</t>
    </rPh>
    <rPh sb="369" eb="371">
      <t>ゼンガク</t>
    </rPh>
    <rPh sb="371" eb="373">
      <t>キョウツウ</t>
    </rPh>
    <rPh sb="373" eb="375">
      <t>カモク</t>
    </rPh>
    <rPh sb="375" eb="377">
      <t>タントウ</t>
    </rPh>
    <rPh sb="379" eb="381">
      <t>オガワ</t>
    </rPh>
    <rPh sb="456" eb="460">
      <t>ジコテンケン</t>
    </rPh>
    <rPh sb="460" eb="462">
      <t>ヒョウカ</t>
    </rPh>
    <rPh sb="469" eb="471">
      <t>マツザキ</t>
    </rPh>
    <rPh sb="472" eb="473">
      <t>ゲン</t>
    </rPh>
    <rPh sb="474" eb="476">
      <t>ソウゾウ</t>
    </rPh>
    <rPh sb="476" eb="479">
      <t>コウガクブ</t>
    </rPh>
    <rPh sb="479" eb="481">
      <t>キョウジュ</t>
    </rPh>
    <rPh sb="484" eb="486">
      <t>イイン</t>
    </rPh>
    <rPh sb="487" eb="489">
      <t>オザワ</t>
    </rPh>
    <rPh sb="490" eb="492">
      <t>シュンペイ</t>
    </rPh>
    <rPh sb="493" eb="496">
      <t>コウガクブ</t>
    </rPh>
    <rPh sb="496" eb="498">
      <t>キョウジュ</t>
    </rPh>
    <rPh sb="500" eb="502">
      <t>アンドウ</t>
    </rPh>
    <rPh sb="503" eb="505">
      <t>マサヤ</t>
    </rPh>
    <rPh sb="506" eb="508">
      <t>センシン</t>
    </rPh>
    <rPh sb="508" eb="511">
      <t>コウガクブ</t>
    </rPh>
    <rPh sb="511" eb="513">
      <t>キョウジュ</t>
    </rPh>
    <rPh sb="515" eb="517">
      <t>コウノス</t>
    </rPh>
    <rPh sb="518" eb="519">
      <t>ツトム</t>
    </rPh>
    <rPh sb="520" eb="522">
      <t>シャカイ</t>
    </rPh>
    <rPh sb="526" eb="529">
      <t>カガクブ</t>
    </rPh>
    <rPh sb="529" eb="531">
      <t>キョウジュ</t>
    </rPh>
    <rPh sb="533" eb="535">
      <t>ハシグチ</t>
    </rPh>
    <rPh sb="536" eb="538">
      <t>ヒデコ</t>
    </rPh>
    <rPh sb="539" eb="542">
      <t>コウガクブ</t>
    </rPh>
    <rPh sb="542" eb="544">
      <t>キョウジュ</t>
    </rPh>
    <rPh sb="545" eb="547">
      <t>キョウイク</t>
    </rPh>
    <rPh sb="551" eb="552">
      <t>チョウ</t>
    </rPh>
    <rPh sb="554" eb="556">
      <t>ヤマザキ</t>
    </rPh>
    <rPh sb="557" eb="558">
      <t>オサム</t>
    </rPh>
    <rPh sb="559" eb="561">
      <t>ジョウホウ</t>
    </rPh>
    <rPh sb="561" eb="564">
      <t>カガクブ</t>
    </rPh>
    <rPh sb="564" eb="567">
      <t>ジュンキョウジュ</t>
    </rPh>
    <rPh sb="569" eb="571">
      <t>フクエ</t>
    </rPh>
    <rPh sb="572" eb="573">
      <t>サトシ</t>
    </rPh>
    <rPh sb="574" eb="576">
      <t>ホウジン</t>
    </rPh>
    <rPh sb="576" eb="579">
      <t>ジムキョク</t>
    </rPh>
    <rPh sb="579" eb="581">
      <t>ジチョウ</t>
    </rPh>
    <rPh sb="582" eb="584">
      <t>ソウム</t>
    </rPh>
    <rPh sb="584" eb="586">
      <t>ブチョウ</t>
    </rPh>
    <rPh sb="588" eb="591">
      <t>チヨダ</t>
    </rPh>
    <rPh sb="592" eb="594">
      <t>カズオ</t>
    </rPh>
    <rPh sb="595" eb="597">
      <t>キョウガク</t>
    </rPh>
    <rPh sb="601" eb="603">
      <t>ブチョウ</t>
    </rPh>
    <rPh sb="605" eb="607">
      <t>シモヤマ</t>
    </rPh>
    <rPh sb="608" eb="610">
      <t>ナオト</t>
    </rPh>
    <rPh sb="611" eb="613">
      <t>ダイガク</t>
    </rPh>
    <rPh sb="613" eb="615">
      <t>カイカク</t>
    </rPh>
    <rPh sb="615" eb="617">
      <t>スイシン</t>
    </rPh>
    <rPh sb="617" eb="619">
      <t>シツチョウ</t>
    </rPh>
    <rPh sb="621" eb="622">
      <t>ハタ</t>
    </rPh>
    <rPh sb="623" eb="625">
      <t>ケンサク</t>
    </rPh>
    <rPh sb="626" eb="629">
      <t>ソウムブ</t>
    </rPh>
    <rPh sb="629" eb="631">
      <t>ジチョウ</t>
    </rPh>
    <rPh sb="633" eb="635">
      <t>タケウチ</t>
    </rPh>
    <rPh sb="636" eb="638">
      <t>シュウイチ</t>
    </rPh>
    <rPh sb="639" eb="641">
      <t>キョウガク</t>
    </rPh>
    <rPh sb="645" eb="649">
      <t>シンナラシノ</t>
    </rPh>
    <rPh sb="649" eb="651">
      <t>ガクセイ</t>
    </rPh>
    <rPh sb="651" eb="653">
      <t>タントウ</t>
    </rPh>
    <rPh sb="657" eb="658">
      <t>チョウ</t>
    </rPh>
    <rPh sb="660" eb="662">
      <t>ナカムラ</t>
    </rPh>
    <rPh sb="663" eb="665">
      <t>ケイスケ</t>
    </rPh>
    <rPh sb="666" eb="668">
      <t>キョウガク</t>
    </rPh>
    <rPh sb="672" eb="675">
      <t>ツダヌマ</t>
    </rPh>
    <rPh sb="675" eb="677">
      <t>キョウム</t>
    </rPh>
    <rPh sb="677" eb="679">
      <t>タントウ</t>
    </rPh>
    <rPh sb="683" eb="684">
      <t>チョウ</t>
    </rPh>
    <rPh sb="686" eb="688">
      <t>オツツミ</t>
    </rPh>
    <rPh sb="689" eb="691">
      <t>カンタ</t>
    </rPh>
    <rPh sb="692" eb="694">
      <t>シュウショク</t>
    </rPh>
    <rPh sb="695" eb="697">
      <t>シンロ</t>
    </rPh>
    <rPh sb="697" eb="700">
      <t>シエンブ</t>
    </rPh>
    <rPh sb="700" eb="702">
      <t>シュウショク</t>
    </rPh>
    <rPh sb="702" eb="704">
      <t>タントウ</t>
    </rPh>
    <rPh sb="708" eb="709">
      <t>チョウ</t>
    </rPh>
    <rPh sb="711" eb="713">
      <t>アキバ</t>
    </rPh>
    <rPh sb="714" eb="716">
      <t>トモヒロ</t>
    </rPh>
    <rPh sb="717" eb="719">
      <t>キョウガク</t>
    </rPh>
    <rPh sb="723" eb="725">
      <t>ケンキュウ</t>
    </rPh>
    <rPh sb="725" eb="727">
      <t>シエン</t>
    </rPh>
    <rPh sb="727" eb="729">
      <t>タントウ</t>
    </rPh>
    <rPh sb="733" eb="734">
      <t>チョウ</t>
    </rPh>
    <rPh sb="734" eb="736">
      <t>ホサ</t>
    </rPh>
    <phoneticPr fontId="1"/>
  </si>
  <si>
    <t>工学部（工学）</t>
    <rPh sb="0" eb="3">
      <t>コウガクブ</t>
    </rPh>
    <rPh sb="4" eb="6">
      <t>コウガク</t>
    </rPh>
    <phoneticPr fontId="1"/>
  </si>
  <si>
    <t>創造工学部（工学）</t>
    <rPh sb="0" eb="2">
      <t>ソウゾウ</t>
    </rPh>
    <rPh sb="2" eb="5">
      <t>コウガクブ</t>
    </rPh>
    <rPh sb="6" eb="8">
      <t>コウガク</t>
    </rPh>
    <phoneticPr fontId="1"/>
  </si>
  <si>
    <t>先進工学部（工学）</t>
    <rPh sb="0" eb="2">
      <t>センシン</t>
    </rPh>
    <rPh sb="2" eb="5">
      <t>コウガクブ</t>
    </rPh>
    <rPh sb="6" eb="8">
      <t>コウガク</t>
    </rPh>
    <phoneticPr fontId="1"/>
  </si>
  <si>
    <t>情報科学部（工学）</t>
    <rPh sb="0" eb="2">
      <t>ジョウホウ</t>
    </rPh>
    <rPh sb="2" eb="5">
      <t>カガクブ</t>
    </rPh>
    <rPh sb="6" eb="8">
      <t>コウガク</t>
    </rPh>
    <phoneticPr fontId="1"/>
  </si>
  <si>
    <t>社会システム科学部（工学）</t>
    <rPh sb="0" eb="2">
      <t>シャカイ</t>
    </rPh>
    <rPh sb="6" eb="9">
      <t>カガクブ</t>
    </rPh>
    <rPh sb="10" eb="12">
      <t>コウガク</t>
    </rPh>
    <phoneticPr fontId="1"/>
  </si>
  <si>
    <t>　本学では、教務委員会での定期な状況把握と改善に向けた検討を行っており、既に令和4年度からは、既存の「情報処理」に「Ai入門」の授業を組込むことを決定している。また、本学には、多様な分野で最先端研究を行う付属の研究センターを有しており、特に数理・データサイエンス・Ai基礎教育においては、「人工知能・ソフトウェア技術研究センター」と連携して進めている。</t>
    <rPh sb="1" eb="3">
      <t>ホンガク</t>
    </rPh>
    <rPh sb="6" eb="8">
      <t>キョウム</t>
    </rPh>
    <rPh sb="8" eb="11">
      <t>イインカイ</t>
    </rPh>
    <rPh sb="13" eb="15">
      <t>テイキ</t>
    </rPh>
    <rPh sb="16" eb="18">
      <t>ジョウキョウ</t>
    </rPh>
    <rPh sb="18" eb="20">
      <t>ハアク</t>
    </rPh>
    <rPh sb="21" eb="23">
      <t>カイゼン</t>
    </rPh>
    <rPh sb="24" eb="25">
      <t>ム</t>
    </rPh>
    <rPh sb="27" eb="29">
      <t>ケントウ</t>
    </rPh>
    <rPh sb="30" eb="31">
      <t>オコナ</t>
    </rPh>
    <rPh sb="36" eb="37">
      <t>スデ</t>
    </rPh>
    <rPh sb="38" eb="40">
      <t>レイワ</t>
    </rPh>
    <rPh sb="41" eb="43">
      <t>ネンド</t>
    </rPh>
    <rPh sb="47" eb="49">
      <t>キゾン</t>
    </rPh>
    <rPh sb="51" eb="55">
      <t>ジョウホウショリ</t>
    </rPh>
    <rPh sb="60" eb="62">
      <t>ニュウモン</t>
    </rPh>
    <rPh sb="64" eb="66">
      <t>ジュギョウ</t>
    </rPh>
    <rPh sb="67" eb="69">
      <t>クミコ</t>
    </rPh>
    <rPh sb="73" eb="75">
      <t>ケッテイ</t>
    </rPh>
    <rPh sb="83" eb="85">
      <t>ホンガク</t>
    </rPh>
    <rPh sb="88" eb="90">
      <t>タヨウ</t>
    </rPh>
    <rPh sb="91" eb="93">
      <t>ブンヤ</t>
    </rPh>
    <rPh sb="94" eb="97">
      <t>サイセンタン</t>
    </rPh>
    <rPh sb="97" eb="99">
      <t>ケンキュウ</t>
    </rPh>
    <rPh sb="100" eb="101">
      <t>オコナ</t>
    </rPh>
    <rPh sb="102" eb="104">
      <t>フゾク</t>
    </rPh>
    <rPh sb="105" eb="107">
      <t>ケンキュウ</t>
    </rPh>
    <rPh sb="112" eb="113">
      <t>ユウ</t>
    </rPh>
    <rPh sb="118" eb="119">
      <t>トク</t>
    </rPh>
    <rPh sb="120" eb="122">
      <t>スウリ</t>
    </rPh>
    <rPh sb="134" eb="138">
      <t>キソキョウイク</t>
    </rPh>
    <rPh sb="145" eb="149">
      <t>ジンコウチノウ</t>
    </rPh>
    <rPh sb="156" eb="158">
      <t>ギジュツ</t>
    </rPh>
    <rPh sb="158" eb="160">
      <t>ケンキュウ</t>
    </rPh>
    <rPh sb="166" eb="168">
      <t>レンケイ</t>
    </rPh>
    <rPh sb="170" eb="171">
      <t>スス</t>
    </rPh>
    <phoneticPr fontId="1"/>
  </si>
  <si>
    <t>　本学では、入学初期段階における教育プログラムの重要性に鑑みて、「初年次教育」「情報処理」の両科目を全学部共通の必修科目として教養教育課程に編成している。また、新入生には、授業開始前から初年次教育の一部として、修学ガイダンス（教養科目ガイダンスも含む）及び年間履修計画（グループワーク）を実施しており、確実な履修と単位修得に向けた指導を行っている。今後は、1年次必修科目である「情報処理」にAi入門授業を組込むことが決定しており、教育内容の重要性を一層伝えるとともに、徹底した修学指導を継続する。</t>
    <rPh sb="1" eb="3">
      <t>ホンガク</t>
    </rPh>
    <rPh sb="6" eb="8">
      <t>ニュウガク</t>
    </rPh>
    <rPh sb="8" eb="10">
      <t>ショキ</t>
    </rPh>
    <rPh sb="10" eb="12">
      <t>ダンカイ</t>
    </rPh>
    <rPh sb="16" eb="18">
      <t>キョウイク</t>
    </rPh>
    <rPh sb="24" eb="27">
      <t>ジュウヨウセイ</t>
    </rPh>
    <rPh sb="28" eb="29">
      <t>カンガ</t>
    </rPh>
    <rPh sb="33" eb="36">
      <t>ショネンジ</t>
    </rPh>
    <rPh sb="36" eb="38">
      <t>キョウイク</t>
    </rPh>
    <rPh sb="40" eb="44">
      <t>ジョウホウショリ</t>
    </rPh>
    <rPh sb="46" eb="49">
      <t>リョウカモク</t>
    </rPh>
    <rPh sb="50" eb="53">
      <t>ゼンガクブ</t>
    </rPh>
    <rPh sb="53" eb="55">
      <t>キョウツウ</t>
    </rPh>
    <rPh sb="56" eb="58">
      <t>ヒッシュウ</t>
    </rPh>
    <rPh sb="58" eb="60">
      <t>カモク</t>
    </rPh>
    <rPh sb="63" eb="65">
      <t>キョウヨウ</t>
    </rPh>
    <rPh sb="65" eb="67">
      <t>キョウイク</t>
    </rPh>
    <rPh sb="67" eb="69">
      <t>カテイ</t>
    </rPh>
    <rPh sb="70" eb="72">
      <t>ヘンセイ</t>
    </rPh>
    <rPh sb="80" eb="83">
      <t>シンニュウセイ</t>
    </rPh>
    <rPh sb="86" eb="91">
      <t>ジュギョウカイシマエ</t>
    </rPh>
    <rPh sb="93" eb="96">
      <t>ショネンジ</t>
    </rPh>
    <rPh sb="96" eb="98">
      <t>キョウイク</t>
    </rPh>
    <rPh sb="99" eb="101">
      <t>イチブ</t>
    </rPh>
    <rPh sb="105" eb="107">
      <t>シュウガク</t>
    </rPh>
    <rPh sb="113" eb="115">
      <t>キョウヨウ</t>
    </rPh>
    <rPh sb="115" eb="117">
      <t>カモク</t>
    </rPh>
    <rPh sb="123" eb="124">
      <t>フク</t>
    </rPh>
    <rPh sb="126" eb="127">
      <t>オヨ</t>
    </rPh>
    <rPh sb="128" eb="130">
      <t>ネンカン</t>
    </rPh>
    <rPh sb="130" eb="132">
      <t>リシュウ</t>
    </rPh>
    <rPh sb="132" eb="134">
      <t>ケイカク</t>
    </rPh>
    <rPh sb="144" eb="146">
      <t>ジッシ</t>
    </rPh>
    <rPh sb="151" eb="153">
      <t>カクジツ</t>
    </rPh>
    <rPh sb="154" eb="156">
      <t>リシュウ</t>
    </rPh>
    <rPh sb="157" eb="159">
      <t>タンイ</t>
    </rPh>
    <rPh sb="159" eb="161">
      <t>シュウトク</t>
    </rPh>
    <rPh sb="162" eb="163">
      <t>ム</t>
    </rPh>
    <rPh sb="165" eb="167">
      <t>シドウ</t>
    </rPh>
    <rPh sb="168" eb="169">
      <t>オコナ</t>
    </rPh>
    <rPh sb="174" eb="176">
      <t>コンゴ</t>
    </rPh>
    <rPh sb="179" eb="181">
      <t>ネンジ</t>
    </rPh>
    <rPh sb="181" eb="183">
      <t>ヒッシュウ</t>
    </rPh>
    <rPh sb="183" eb="185">
      <t>カモク</t>
    </rPh>
    <rPh sb="189" eb="191">
      <t>ジョウホウ</t>
    </rPh>
    <rPh sb="191" eb="193">
      <t>ショリ</t>
    </rPh>
    <rPh sb="197" eb="199">
      <t>ニュウモン</t>
    </rPh>
    <rPh sb="199" eb="201">
      <t>ジュギョウ</t>
    </rPh>
    <rPh sb="202" eb="204">
      <t>クミコ</t>
    </rPh>
    <rPh sb="208" eb="210">
      <t>ケッテイ</t>
    </rPh>
    <rPh sb="215" eb="217">
      <t>キョウイク</t>
    </rPh>
    <rPh sb="217" eb="219">
      <t>ナイヨウ</t>
    </rPh>
    <rPh sb="220" eb="223">
      <t>ジュウヨウセイ</t>
    </rPh>
    <rPh sb="224" eb="226">
      <t>イッソウ</t>
    </rPh>
    <rPh sb="226" eb="227">
      <t>ツタ</t>
    </rPh>
    <rPh sb="234" eb="236">
      <t>テッテイ</t>
    </rPh>
    <rPh sb="238" eb="240">
      <t>シュウガク</t>
    </rPh>
    <rPh sb="240" eb="242">
      <t>シドウ</t>
    </rPh>
    <rPh sb="243" eb="245">
      <t>ケイゾク</t>
    </rPh>
    <phoneticPr fontId="1"/>
  </si>
  <si>
    <t>　本学では、全ての入学生に対して、大学で学ぶために必要な態度・姿勢、知識・基礎スキルを身に付けさせるために、「初年次教育」「情報処理」を必修科目としている。また、全学部共通の必修科目である観点から、学生の履修に支障が生じないよう、時間割配当上でも他の科目と重複しないように設計している。そのため、入学段階では全ての学生がこれらの科目を履修する仕組みとなっており、プログラム開設時から履修率は100％を達成している。</t>
    <rPh sb="1" eb="3">
      <t>ホンガク</t>
    </rPh>
    <rPh sb="6" eb="7">
      <t>スベ</t>
    </rPh>
    <rPh sb="9" eb="12">
      <t>ニュウガクセイ</t>
    </rPh>
    <rPh sb="13" eb="14">
      <t>タイ</t>
    </rPh>
    <rPh sb="17" eb="19">
      <t>ダイガク</t>
    </rPh>
    <rPh sb="20" eb="21">
      <t>マナ</t>
    </rPh>
    <rPh sb="25" eb="27">
      <t>ヒツヨウ</t>
    </rPh>
    <rPh sb="28" eb="30">
      <t>タイド</t>
    </rPh>
    <rPh sb="31" eb="33">
      <t>シセイ</t>
    </rPh>
    <rPh sb="34" eb="36">
      <t>チシキ</t>
    </rPh>
    <rPh sb="37" eb="39">
      <t>キソ</t>
    </rPh>
    <rPh sb="43" eb="44">
      <t>ミ</t>
    </rPh>
    <rPh sb="45" eb="46">
      <t>ツ</t>
    </rPh>
    <rPh sb="55" eb="58">
      <t>ショネンジ</t>
    </rPh>
    <rPh sb="58" eb="60">
      <t>キョウイク</t>
    </rPh>
    <rPh sb="62" eb="64">
      <t>ジョウホウ</t>
    </rPh>
    <rPh sb="64" eb="66">
      <t>ショリ</t>
    </rPh>
    <rPh sb="68" eb="70">
      <t>ヒッシュウ</t>
    </rPh>
    <rPh sb="70" eb="72">
      <t>カモク</t>
    </rPh>
    <rPh sb="81" eb="84">
      <t>ゼンガクブ</t>
    </rPh>
    <rPh sb="84" eb="86">
      <t>キョウツウ</t>
    </rPh>
    <rPh sb="87" eb="89">
      <t>ヒッシュウ</t>
    </rPh>
    <rPh sb="89" eb="91">
      <t>カモク</t>
    </rPh>
    <rPh sb="94" eb="96">
      <t>カンテン</t>
    </rPh>
    <rPh sb="99" eb="101">
      <t>ガクセイ</t>
    </rPh>
    <rPh sb="102" eb="104">
      <t>リシュウ</t>
    </rPh>
    <rPh sb="105" eb="107">
      <t>シショウ</t>
    </rPh>
    <rPh sb="108" eb="109">
      <t>ショウ</t>
    </rPh>
    <rPh sb="115" eb="118">
      <t>ジカンワリ</t>
    </rPh>
    <rPh sb="118" eb="120">
      <t>ハイトウ</t>
    </rPh>
    <rPh sb="120" eb="121">
      <t>ジョウ</t>
    </rPh>
    <rPh sb="123" eb="124">
      <t>タ</t>
    </rPh>
    <rPh sb="125" eb="127">
      <t>カモク</t>
    </rPh>
    <rPh sb="128" eb="130">
      <t>ジュウフク</t>
    </rPh>
    <rPh sb="136" eb="138">
      <t>セッケイ</t>
    </rPh>
    <rPh sb="148" eb="152">
      <t>ニュウガクダンカイ</t>
    </rPh>
    <rPh sb="154" eb="155">
      <t>スベ</t>
    </rPh>
    <rPh sb="157" eb="159">
      <t>ガクセイ</t>
    </rPh>
    <rPh sb="164" eb="166">
      <t>カモク</t>
    </rPh>
    <rPh sb="167" eb="169">
      <t>リシュウ</t>
    </rPh>
    <rPh sb="171" eb="173">
      <t>シク</t>
    </rPh>
    <rPh sb="186" eb="189">
      <t>カイセツジ</t>
    </rPh>
    <rPh sb="191" eb="194">
      <t>リシュウリツ</t>
    </rPh>
    <rPh sb="200" eb="202">
      <t>タッセイ</t>
    </rPh>
    <phoneticPr fontId="1"/>
  </si>
  <si>
    <t>　本学では、入学初期段階における履修指導の一環として、授業開始前に初年次教育「修学ガイダンス」及び「履修計画」を開講しており、特に1年次前期の段階で必修科目となっている「初年次教育」「情報処理」については、これらの内容を学修する必要性を解説すると共に、必ず履修登録を行うよう徹底した指導を行っている。そのため、プログラム開設時から履修率は100％を達成している。</t>
    <rPh sb="1" eb="3">
      <t>ホンガク</t>
    </rPh>
    <rPh sb="6" eb="8">
      <t>ニュウガク</t>
    </rPh>
    <rPh sb="8" eb="10">
      <t>ショキ</t>
    </rPh>
    <rPh sb="10" eb="12">
      <t>ダンカイ</t>
    </rPh>
    <rPh sb="16" eb="18">
      <t>リシュウ</t>
    </rPh>
    <rPh sb="18" eb="20">
      <t>シドウ</t>
    </rPh>
    <rPh sb="21" eb="23">
      <t>イッカン</t>
    </rPh>
    <rPh sb="27" eb="29">
      <t>ジュギョウ</t>
    </rPh>
    <rPh sb="29" eb="31">
      <t>カイシ</t>
    </rPh>
    <rPh sb="31" eb="32">
      <t>マエ</t>
    </rPh>
    <rPh sb="33" eb="36">
      <t>ショネンジ</t>
    </rPh>
    <rPh sb="36" eb="38">
      <t>キョウイク</t>
    </rPh>
    <rPh sb="39" eb="41">
      <t>シュウガク</t>
    </rPh>
    <rPh sb="47" eb="48">
      <t>オヨ</t>
    </rPh>
    <rPh sb="50" eb="52">
      <t>リシュウ</t>
    </rPh>
    <rPh sb="52" eb="54">
      <t>ケイカク</t>
    </rPh>
    <rPh sb="56" eb="58">
      <t>カイコウ</t>
    </rPh>
    <rPh sb="63" eb="64">
      <t>トク</t>
    </rPh>
    <rPh sb="66" eb="68">
      <t>ネンジ</t>
    </rPh>
    <rPh sb="68" eb="70">
      <t>ゼンキ</t>
    </rPh>
    <rPh sb="71" eb="73">
      <t>ダンカイ</t>
    </rPh>
    <rPh sb="74" eb="76">
      <t>ヒッシュウ</t>
    </rPh>
    <rPh sb="76" eb="78">
      <t>カモク</t>
    </rPh>
    <rPh sb="85" eb="88">
      <t>ショネンジ</t>
    </rPh>
    <rPh sb="88" eb="90">
      <t>キョウイク</t>
    </rPh>
    <rPh sb="92" eb="96">
      <t>ジョウホウショリ</t>
    </rPh>
    <rPh sb="107" eb="109">
      <t>ナイヨウ</t>
    </rPh>
    <rPh sb="110" eb="112">
      <t>ガクシュウ</t>
    </rPh>
    <rPh sb="114" eb="117">
      <t>ヒツヨウセイ</t>
    </rPh>
    <rPh sb="118" eb="120">
      <t>カイセツ</t>
    </rPh>
    <rPh sb="123" eb="124">
      <t>トモ</t>
    </rPh>
    <rPh sb="126" eb="127">
      <t>カナラ</t>
    </rPh>
    <rPh sb="128" eb="130">
      <t>リシュウ</t>
    </rPh>
    <rPh sb="130" eb="132">
      <t>トウロク</t>
    </rPh>
    <rPh sb="133" eb="134">
      <t>オコナ</t>
    </rPh>
    <rPh sb="137" eb="139">
      <t>テッテイ</t>
    </rPh>
    <rPh sb="141" eb="143">
      <t>シドウ</t>
    </rPh>
    <rPh sb="144" eb="145">
      <t>オコナ</t>
    </rPh>
    <rPh sb="160" eb="163">
      <t>カイセツジ</t>
    </rPh>
    <rPh sb="165" eb="168">
      <t>リシュウリツ</t>
    </rPh>
    <rPh sb="174" eb="176">
      <t>タッセイ</t>
    </rPh>
    <phoneticPr fontId="1"/>
  </si>
  <si>
    <t>　本学では、入学初期段階における「初年次教育」「情報処理」の重要性に鑑みて、「初年次教育」では、クラス担任の他に事務職員を配置して協働でサポートすると共に、ラポール形成に努めている。また、「情報処理」では、全学生に貸与しているiPadの他に、コンピュータを利用したデータ収集、データ加工・解析などの演習を組込んでいるため、TAを配置してきめ細かいサポートを行っている。</t>
    <rPh sb="1" eb="3">
      <t>ホンガク</t>
    </rPh>
    <phoneticPr fontId="1"/>
  </si>
  <si>
    <t>　授業内容に対しては、担当教員がオフィスアワーを設定しているので、自由に利用することができる。更に、教員以外にも「情報処理」では、TAを配置しているおり、授業時間内に限らず、授業終了後の質問などに対応している。また、数理の基礎に関する理解が不十分な学生に対しては、「学生サポートセンター」を開設しており、同サポートセンターの講師による個別指導を受けることが可能となっている。</t>
    <rPh sb="3" eb="5">
      <t>ナイヨウ</t>
    </rPh>
    <rPh sb="6" eb="7">
      <t>タイ</t>
    </rPh>
    <rPh sb="11" eb="15">
      <t>タントウキョウイン</t>
    </rPh>
    <rPh sb="24" eb="26">
      <t>セッテイ</t>
    </rPh>
    <rPh sb="33" eb="35">
      <t>ジユウ</t>
    </rPh>
    <rPh sb="36" eb="38">
      <t>リヨウ</t>
    </rPh>
    <rPh sb="47" eb="48">
      <t>サラ</t>
    </rPh>
    <rPh sb="50" eb="52">
      <t>キョウイン</t>
    </rPh>
    <rPh sb="52" eb="54">
      <t>イガイ</t>
    </rPh>
    <rPh sb="57" eb="61">
      <t>ジョウホウショリ</t>
    </rPh>
    <rPh sb="68" eb="70">
      <t>ハイチ</t>
    </rPh>
    <rPh sb="77" eb="79">
      <t>ジュギョウ</t>
    </rPh>
    <rPh sb="79" eb="81">
      <t>ジカン</t>
    </rPh>
    <rPh sb="81" eb="82">
      <t>ナイ</t>
    </rPh>
    <rPh sb="83" eb="84">
      <t>カギ</t>
    </rPh>
    <rPh sb="87" eb="89">
      <t>ジュギョウ</t>
    </rPh>
    <rPh sb="89" eb="92">
      <t>シュウリョウゴ</t>
    </rPh>
    <rPh sb="93" eb="95">
      <t>シツモン</t>
    </rPh>
    <rPh sb="98" eb="100">
      <t>タイオウ</t>
    </rPh>
    <rPh sb="108" eb="110">
      <t>スウリ</t>
    </rPh>
    <rPh sb="111" eb="113">
      <t>キソ</t>
    </rPh>
    <rPh sb="114" eb="115">
      <t>カン</t>
    </rPh>
    <rPh sb="117" eb="119">
      <t>リカイ</t>
    </rPh>
    <rPh sb="120" eb="123">
      <t>フジュウブン</t>
    </rPh>
    <rPh sb="124" eb="126">
      <t>ガクセイ</t>
    </rPh>
    <rPh sb="127" eb="128">
      <t>タイ</t>
    </rPh>
    <rPh sb="133" eb="135">
      <t>ガクセイ</t>
    </rPh>
    <rPh sb="145" eb="147">
      <t>カイセツ</t>
    </rPh>
    <rPh sb="152" eb="153">
      <t>ドウ</t>
    </rPh>
    <rPh sb="162" eb="164">
      <t>コウシ</t>
    </rPh>
    <rPh sb="167" eb="169">
      <t>コベツ</t>
    </rPh>
    <rPh sb="169" eb="171">
      <t>シドウ</t>
    </rPh>
    <rPh sb="172" eb="173">
      <t>ウ</t>
    </rPh>
    <rPh sb="178" eb="180">
      <t>カノウ</t>
    </rPh>
    <phoneticPr fontId="1"/>
  </si>
  <si>
    <t>　千葉工業大学教務委員会は、同委員会規程第1条に「大学全体の教育の充実及び向上に資することを目的とする」と規定しており、初年次教育を所管するとともに、教育課程、授業運営の改善等に関する一環として、「情報処理」も定期的に検討課題としている。（2022年度からは、Ai入門授業を情報処理に組込むことを決定している。）
　また、学校法人千葉工業大学自己点検評価に関する規程第3条に「自己点検評価に関する具体的な事項の審議及び評価を実施する機関として、自己点検評価委員会を置く。」と規定しており、教務委員会の検討課題や改善結果は、自己点検評価委員会に共有され、適正な検討課題の設定及び改善効果が得られているかを毎年度点検している。
　数理・データサイエンスの教育プログラムも定期的に教務委員会で改善に向けた検証と改善項目の実行を行っており、その都度、自己点検評価委員会で内容の適正を点検している。</t>
    <rPh sb="1" eb="7">
      <t>チバコウギョウダイガク</t>
    </rPh>
    <rPh sb="7" eb="12">
      <t>キョウムイインカイ</t>
    </rPh>
    <rPh sb="14" eb="18">
      <t>ドウイインカイ</t>
    </rPh>
    <rPh sb="18" eb="20">
      <t>キテイ</t>
    </rPh>
    <rPh sb="20" eb="21">
      <t>ダイ</t>
    </rPh>
    <rPh sb="22" eb="23">
      <t>ジョウ</t>
    </rPh>
    <rPh sb="25" eb="27">
      <t>ダイガク</t>
    </rPh>
    <rPh sb="27" eb="29">
      <t>ゼンタイ</t>
    </rPh>
    <rPh sb="30" eb="32">
      <t>キョウイク</t>
    </rPh>
    <rPh sb="33" eb="35">
      <t>ジュウジツ</t>
    </rPh>
    <rPh sb="35" eb="36">
      <t>オヨ</t>
    </rPh>
    <rPh sb="37" eb="39">
      <t>コウジョウ</t>
    </rPh>
    <rPh sb="40" eb="41">
      <t>シ</t>
    </rPh>
    <rPh sb="46" eb="48">
      <t>モクテキ</t>
    </rPh>
    <rPh sb="53" eb="55">
      <t>キテイ</t>
    </rPh>
    <rPh sb="60" eb="63">
      <t>ショネンジ</t>
    </rPh>
    <rPh sb="63" eb="65">
      <t>キョウイク</t>
    </rPh>
    <rPh sb="66" eb="68">
      <t>ショカン</t>
    </rPh>
    <rPh sb="75" eb="77">
      <t>キョウイク</t>
    </rPh>
    <rPh sb="77" eb="79">
      <t>カテイ</t>
    </rPh>
    <rPh sb="80" eb="82">
      <t>ジュギョウ</t>
    </rPh>
    <rPh sb="82" eb="84">
      <t>ウンエイ</t>
    </rPh>
    <rPh sb="85" eb="87">
      <t>カイゼン</t>
    </rPh>
    <rPh sb="87" eb="88">
      <t>トウ</t>
    </rPh>
    <rPh sb="89" eb="90">
      <t>カン</t>
    </rPh>
    <rPh sb="92" eb="94">
      <t>イッカン</t>
    </rPh>
    <rPh sb="99" eb="103">
      <t>ジョウホウショリ</t>
    </rPh>
    <rPh sb="105" eb="107">
      <t>テイキ</t>
    </rPh>
    <rPh sb="107" eb="108">
      <t>テキ</t>
    </rPh>
    <rPh sb="109" eb="111">
      <t>ケントウ</t>
    </rPh>
    <rPh sb="111" eb="113">
      <t>カダイ</t>
    </rPh>
    <rPh sb="124" eb="126">
      <t>ネンド</t>
    </rPh>
    <rPh sb="132" eb="134">
      <t>ニュウモン</t>
    </rPh>
    <rPh sb="134" eb="136">
      <t>ジュギョウ</t>
    </rPh>
    <rPh sb="137" eb="141">
      <t>ジョウホウショリ</t>
    </rPh>
    <rPh sb="142" eb="144">
      <t>クミコ</t>
    </rPh>
    <rPh sb="148" eb="150">
      <t>ケッテイ</t>
    </rPh>
    <rPh sb="161" eb="163">
      <t>ガッコウ</t>
    </rPh>
    <rPh sb="163" eb="165">
      <t>ホウジン</t>
    </rPh>
    <rPh sb="165" eb="171">
      <t>チバコウギョウダイガク</t>
    </rPh>
    <rPh sb="171" eb="175">
      <t>ジコテンケン</t>
    </rPh>
    <rPh sb="175" eb="177">
      <t>ヒョウカ</t>
    </rPh>
    <rPh sb="178" eb="179">
      <t>カン</t>
    </rPh>
    <rPh sb="181" eb="183">
      <t>キテイ</t>
    </rPh>
    <rPh sb="183" eb="184">
      <t>ダイ</t>
    </rPh>
    <rPh sb="185" eb="186">
      <t>ジョウ</t>
    </rPh>
    <rPh sb="188" eb="192">
      <t>ジコテンケン</t>
    </rPh>
    <rPh sb="192" eb="194">
      <t>ヒョウカ</t>
    </rPh>
    <rPh sb="195" eb="196">
      <t>カン</t>
    </rPh>
    <rPh sb="198" eb="201">
      <t>グタイテキ</t>
    </rPh>
    <rPh sb="202" eb="204">
      <t>ジコウ</t>
    </rPh>
    <rPh sb="205" eb="207">
      <t>シンギ</t>
    </rPh>
    <rPh sb="207" eb="208">
      <t>オヨ</t>
    </rPh>
    <rPh sb="209" eb="211">
      <t>ヒョウカ</t>
    </rPh>
    <rPh sb="212" eb="214">
      <t>ジッシ</t>
    </rPh>
    <rPh sb="216" eb="218">
      <t>キカン</t>
    </rPh>
    <rPh sb="222" eb="226">
      <t>ジコテンケン</t>
    </rPh>
    <rPh sb="226" eb="228">
      <t>ヒョウカ</t>
    </rPh>
    <rPh sb="228" eb="231">
      <t>イインカイ</t>
    </rPh>
    <rPh sb="232" eb="233">
      <t>オ</t>
    </rPh>
    <rPh sb="237" eb="239">
      <t>キテイ</t>
    </rPh>
    <rPh sb="244" eb="249">
      <t>キョウムイインカイ</t>
    </rPh>
    <rPh sb="250" eb="252">
      <t>ケントウ</t>
    </rPh>
    <rPh sb="252" eb="254">
      <t>カダイ</t>
    </rPh>
    <rPh sb="255" eb="257">
      <t>カイゼン</t>
    </rPh>
    <rPh sb="257" eb="259">
      <t>ケッカ</t>
    </rPh>
    <rPh sb="261" eb="265">
      <t>ジコテンケン</t>
    </rPh>
    <rPh sb="265" eb="267">
      <t>ヒョウカ</t>
    </rPh>
    <rPh sb="267" eb="270">
      <t>イインカイ</t>
    </rPh>
    <rPh sb="271" eb="273">
      <t>キョウユウ</t>
    </rPh>
    <rPh sb="276" eb="278">
      <t>テキセイ</t>
    </rPh>
    <rPh sb="279" eb="281">
      <t>ケントウ</t>
    </rPh>
    <rPh sb="281" eb="283">
      <t>カダイ</t>
    </rPh>
    <rPh sb="284" eb="286">
      <t>セッテイ</t>
    </rPh>
    <rPh sb="286" eb="287">
      <t>オヨ</t>
    </rPh>
    <rPh sb="288" eb="290">
      <t>カイゼン</t>
    </rPh>
    <rPh sb="290" eb="292">
      <t>コウカ</t>
    </rPh>
    <rPh sb="293" eb="294">
      <t>エ</t>
    </rPh>
    <rPh sb="301" eb="304">
      <t>マイネンド</t>
    </rPh>
    <rPh sb="304" eb="306">
      <t>テンケン</t>
    </rPh>
    <rPh sb="313" eb="315">
      <t>スウリ</t>
    </rPh>
    <rPh sb="325" eb="327">
      <t>キョウイク</t>
    </rPh>
    <rPh sb="333" eb="336">
      <t>テイキテキ</t>
    </rPh>
    <rPh sb="337" eb="342">
      <t>キョウムイインカイ</t>
    </rPh>
    <rPh sb="343" eb="345">
      <t>カイゼン</t>
    </rPh>
    <rPh sb="346" eb="347">
      <t>ム</t>
    </rPh>
    <rPh sb="349" eb="351">
      <t>ケンショウ</t>
    </rPh>
    <rPh sb="352" eb="354">
      <t>カイゼン</t>
    </rPh>
    <rPh sb="354" eb="356">
      <t>コウモク</t>
    </rPh>
    <rPh sb="357" eb="359">
      <t>ジッコウ</t>
    </rPh>
    <rPh sb="360" eb="361">
      <t>オコナ</t>
    </rPh>
    <rPh sb="368" eb="370">
      <t>ツド</t>
    </rPh>
    <rPh sb="371" eb="375">
      <t>ジコテンケン</t>
    </rPh>
    <rPh sb="375" eb="377">
      <t>ヒョウカ</t>
    </rPh>
    <rPh sb="377" eb="380">
      <t>イインカイ</t>
    </rPh>
    <rPh sb="381" eb="383">
      <t>ナイヨウ</t>
    </rPh>
    <rPh sb="384" eb="386">
      <t>テキセイ</t>
    </rPh>
    <rPh sb="387" eb="389">
      <t>テンケン</t>
    </rPh>
    <phoneticPr fontId="1"/>
  </si>
  <si>
    <t>　本学では、FD委員会が学期毎に集計した授業アンケートの結果を学生にフィードバックする際には、全ての授業科目名と担当者名を明記しており、全ての学生が参照できる環境になっている。そのため、次年度に履修登録を考慮している科目の授業アンケート結果を参照することで、先輩から後輩に授業評価が継承されている。また、2019年度の授業アンケートからは、設問項目として「この授業を次年度履修する学生に勧めたいと思いますか」を設定しており、過去3年間の平均では「初年次教育」が5点満点中4.2点、「情報処理」が5点満点中3.8点となっているので、多くの学生の理解を得ている。</t>
    <rPh sb="1" eb="3">
      <t>ホンガク</t>
    </rPh>
    <rPh sb="8" eb="11">
      <t>イインカイ</t>
    </rPh>
    <rPh sb="12" eb="15">
      <t>ガッキゴト</t>
    </rPh>
    <rPh sb="16" eb="18">
      <t>シュウケイ</t>
    </rPh>
    <rPh sb="20" eb="22">
      <t>ジュギョウ</t>
    </rPh>
    <rPh sb="28" eb="30">
      <t>ケッカ</t>
    </rPh>
    <rPh sb="31" eb="33">
      <t>ガクセイ</t>
    </rPh>
    <rPh sb="43" eb="44">
      <t>サイ</t>
    </rPh>
    <rPh sb="47" eb="48">
      <t>スベ</t>
    </rPh>
    <rPh sb="50" eb="55">
      <t>ジュギョウカモクメイ</t>
    </rPh>
    <rPh sb="56" eb="60">
      <t>タントウシャメイ</t>
    </rPh>
    <rPh sb="61" eb="63">
      <t>メイキ</t>
    </rPh>
    <rPh sb="68" eb="69">
      <t>スベ</t>
    </rPh>
    <rPh sb="71" eb="73">
      <t>ガクセイ</t>
    </rPh>
    <rPh sb="74" eb="76">
      <t>サンショウ</t>
    </rPh>
    <rPh sb="79" eb="81">
      <t>カンキョウ</t>
    </rPh>
    <rPh sb="93" eb="96">
      <t>ジネンド</t>
    </rPh>
    <rPh sb="97" eb="99">
      <t>リシュウ</t>
    </rPh>
    <rPh sb="99" eb="101">
      <t>トウロク</t>
    </rPh>
    <rPh sb="102" eb="104">
      <t>コウリョ</t>
    </rPh>
    <rPh sb="108" eb="110">
      <t>カモク</t>
    </rPh>
    <rPh sb="111" eb="113">
      <t>ジュギョウ</t>
    </rPh>
    <rPh sb="118" eb="120">
      <t>ケッカ</t>
    </rPh>
    <rPh sb="121" eb="123">
      <t>サンショウ</t>
    </rPh>
    <rPh sb="129" eb="131">
      <t>センパイ</t>
    </rPh>
    <rPh sb="133" eb="135">
      <t>コウハイ</t>
    </rPh>
    <rPh sb="136" eb="138">
      <t>ジュギョウ</t>
    </rPh>
    <rPh sb="138" eb="140">
      <t>ヒョウカ</t>
    </rPh>
    <rPh sb="141" eb="143">
      <t>ケイショウ</t>
    </rPh>
    <rPh sb="156" eb="158">
      <t>ネンド</t>
    </rPh>
    <rPh sb="159" eb="161">
      <t>ジュギョウ</t>
    </rPh>
    <rPh sb="170" eb="172">
      <t>セツモン</t>
    </rPh>
    <rPh sb="172" eb="174">
      <t>コウモク</t>
    </rPh>
    <rPh sb="180" eb="182">
      <t>ジュギョウ</t>
    </rPh>
    <rPh sb="183" eb="186">
      <t>ジネンド</t>
    </rPh>
    <rPh sb="186" eb="188">
      <t>リシュウ</t>
    </rPh>
    <rPh sb="190" eb="192">
      <t>ガクセイ</t>
    </rPh>
    <rPh sb="193" eb="194">
      <t>スス</t>
    </rPh>
    <rPh sb="198" eb="199">
      <t>オモ</t>
    </rPh>
    <rPh sb="205" eb="207">
      <t>セッテイ</t>
    </rPh>
    <rPh sb="212" eb="214">
      <t>カコ</t>
    </rPh>
    <rPh sb="215" eb="217">
      <t>ネンカン</t>
    </rPh>
    <rPh sb="218" eb="220">
      <t>ヘイキン</t>
    </rPh>
    <rPh sb="223" eb="226">
      <t>ショネンジ</t>
    </rPh>
    <rPh sb="226" eb="228">
      <t>キョウイク</t>
    </rPh>
    <rPh sb="231" eb="234">
      <t>テンマンテン</t>
    </rPh>
    <rPh sb="234" eb="235">
      <t>チュウ</t>
    </rPh>
    <rPh sb="238" eb="239">
      <t>テン</t>
    </rPh>
    <rPh sb="241" eb="245">
      <t>ジョウホウショリ</t>
    </rPh>
    <rPh sb="248" eb="249">
      <t>テン</t>
    </rPh>
    <rPh sb="249" eb="252">
      <t>マンテンチュウ</t>
    </rPh>
    <rPh sb="255" eb="256">
      <t>テン</t>
    </rPh>
    <rPh sb="265" eb="266">
      <t>オオ</t>
    </rPh>
    <rPh sb="268" eb="270">
      <t>ガクセイ</t>
    </rPh>
    <rPh sb="271" eb="273">
      <t>リカイ</t>
    </rPh>
    <rPh sb="274" eb="275">
      <t>エ</t>
    </rPh>
    <phoneticPr fontId="1"/>
  </si>
  <si>
    <t>　本学では、学部の教育課程、授業運営を所管する教務委員会、自己点検評価を所管する自己点検評価委員会の役割を明確化しており、自己点検評価委員会は、年度毎に各委員会の検討事項、検討内容を点検評価する仕組みを整備している。
　教務委員会では、「初年次教育」及び「情報処理」を全学部共通の必修科目としているため、未修得の状況を把握し、早期段階で修得させるための対応を行っている。（1年次前期開講のため、夏期休暇期間中に再受講の機会を設定する又は後期に再受講の機会を設定することで対応している。）
　大学の各科目合格率は85％を目標に設定されており、教務委員会から個々の科目合格率が学部長、自己点検評価委員会に共有されている。自己点検評価委員会では、各科目合格率の達成状況、再受講の機会提供の状況を点検評価している。（点検評価結果は、教務委員会にフィードバックされる。）</t>
    <rPh sb="1" eb="3">
      <t>ホンガク</t>
    </rPh>
    <rPh sb="6" eb="8">
      <t>ガクブ</t>
    </rPh>
    <rPh sb="9" eb="11">
      <t>キョウイク</t>
    </rPh>
    <rPh sb="11" eb="13">
      <t>カテイ</t>
    </rPh>
    <rPh sb="14" eb="16">
      <t>ジュギョウ</t>
    </rPh>
    <rPh sb="16" eb="18">
      <t>ウンエイ</t>
    </rPh>
    <rPh sb="19" eb="21">
      <t>ショカン</t>
    </rPh>
    <rPh sb="23" eb="28">
      <t>キョウムイインカイ</t>
    </rPh>
    <rPh sb="29" eb="33">
      <t>ジコテンケン</t>
    </rPh>
    <rPh sb="33" eb="35">
      <t>ヒョウカ</t>
    </rPh>
    <rPh sb="36" eb="38">
      <t>ショカン</t>
    </rPh>
    <rPh sb="40" eb="44">
      <t>ジコテンケン</t>
    </rPh>
    <rPh sb="44" eb="46">
      <t>ヒョウカ</t>
    </rPh>
    <rPh sb="46" eb="49">
      <t>イインカイ</t>
    </rPh>
    <rPh sb="50" eb="52">
      <t>ヤクワリ</t>
    </rPh>
    <rPh sb="53" eb="56">
      <t>メイカクカ</t>
    </rPh>
    <rPh sb="61" eb="65">
      <t>ジコテンケン</t>
    </rPh>
    <rPh sb="65" eb="67">
      <t>ヒョウカ</t>
    </rPh>
    <rPh sb="67" eb="70">
      <t>イインカイ</t>
    </rPh>
    <rPh sb="72" eb="74">
      <t>ネンド</t>
    </rPh>
    <rPh sb="74" eb="75">
      <t>ゴト</t>
    </rPh>
    <rPh sb="76" eb="80">
      <t>カクイインカイ</t>
    </rPh>
    <rPh sb="81" eb="83">
      <t>ケントウ</t>
    </rPh>
    <rPh sb="83" eb="85">
      <t>ジコウ</t>
    </rPh>
    <rPh sb="86" eb="88">
      <t>ケントウ</t>
    </rPh>
    <rPh sb="88" eb="90">
      <t>ナイヨウ</t>
    </rPh>
    <rPh sb="91" eb="93">
      <t>テンケン</t>
    </rPh>
    <rPh sb="93" eb="95">
      <t>ヒョウカ</t>
    </rPh>
    <rPh sb="97" eb="99">
      <t>シク</t>
    </rPh>
    <rPh sb="101" eb="103">
      <t>セイビ</t>
    </rPh>
    <rPh sb="110" eb="115">
      <t>キョウムイインカイ</t>
    </rPh>
    <rPh sb="119" eb="122">
      <t>ショネンジ</t>
    </rPh>
    <rPh sb="122" eb="124">
      <t>キョウイク</t>
    </rPh>
    <rPh sb="125" eb="126">
      <t>オヨ</t>
    </rPh>
    <rPh sb="128" eb="132">
      <t>ジョウホウショリ</t>
    </rPh>
    <rPh sb="134" eb="137">
      <t>ゼンガクブ</t>
    </rPh>
    <rPh sb="137" eb="139">
      <t>キョウツウ</t>
    </rPh>
    <rPh sb="140" eb="142">
      <t>ヒッシュウ</t>
    </rPh>
    <rPh sb="142" eb="144">
      <t>カモク</t>
    </rPh>
    <rPh sb="152" eb="155">
      <t>ミシュウトク</t>
    </rPh>
    <rPh sb="156" eb="158">
      <t>ジョウキョウ</t>
    </rPh>
    <rPh sb="159" eb="161">
      <t>ハアク</t>
    </rPh>
    <rPh sb="163" eb="165">
      <t>ソウキ</t>
    </rPh>
    <rPh sb="165" eb="167">
      <t>ダンカイ</t>
    </rPh>
    <rPh sb="168" eb="170">
      <t>シュウトク</t>
    </rPh>
    <rPh sb="176" eb="178">
      <t>タイオウ</t>
    </rPh>
    <rPh sb="179" eb="180">
      <t>オコナ</t>
    </rPh>
    <rPh sb="187" eb="189">
      <t>ネンジ</t>
    </rPh>
    <rPh sb="189" eb="191">
      <t>ゼンキ</t>
    </rPh>
    <rPh sb="191" eb="193">
      <t>カイコウ</t>
    </rPh>
    <rPh sb="197" eb="199">
      <t>カキ</t>
    </rPh>
    <rPh sb="199" eb="201">
      <t>キュウカ</t>
    </rPh>
    <rPh sb="201" eb="203">
      <t>キカン</t>
    </rPh>
    <rPh sb="203" eb="204">
      <t>チュウ</t>
    </rPh>
    <rPh sb="206" eb="208">
      <t>ジュコウ</t>
    </rPh>
    <rPh sb="209" eb="211">
      <t>キカイ</t>
    </rPh>
    <rPh sb="212" eb="214">
      <t>セッテイ</t>
    </rPh>
    <rPh sb="216" eb="217">
      <t>マタ</t>
    </rPh>
    <rPh sb="218" eb="220">
      <t>コウキ</t>
    </rPh>
    <rPh sb="221" eb="224">
      <t>サイジュコウ</t>
    </rPh>
    <rPh sb="225" eb="227">
      <t>キカイ</t>
    </rPh>
    <rPh sb="228" eb="230">
      <t>セッテイ</t>
    </rPh>
    <rPh sb="235" eb="237">
      <t>タイオウ</t>
    </rPh>
    <rPh sb="245" eb="247">
      <t>ダイガク</t>
    </rPh>
    <rPh sb="248" eb="251">
      <t>カクカモク</t>
    </rPh>
    <rPh sb="251" eb="254">
      <t>ゴウカクリツ</t>
    </rPh>
    <rPh sb="259" eb="261">
      <t>モクヒョウ</t>
    </rPh>
    <rPh sb="262" eb="264">
      <t>セッテイ</t>
    </rPh>
    <rPh sb="270" eb="275">
      <t>キョウムイインカイ</t>
    </rPh>
    <rPh sb="277" eb="279">
      <t>ココ</t>
    </rPh>
    <rPh sb="280" eb="282">
      <t>カモク</t>
    </rPh>
    <rPh sb="282" eb="285">
      <t>ゴウカクリツ</t>
    </rPh>
    <rPh sb="286" eb="288">
      <t>ガクブ</t>
    </rPh>
    <rPh sb="288" eb="289">
      <t>チョウ</t>
    </rPh>
    <rPh sb="290" eb="294">
      <t>ジコテンケン</t>
    </rPh>
    <rPh sb="294" eb="296">
      <t>ヒョウカ</t>
    </rPh>
    <rPh sb="296" eb="299">
      <t>イインカイ</t>
    </rPh>
    <rPh sb="300" eb="302">
      <t>キョウユウ</t>
    </rPh>
    <rPh sb="308" eb="312">
      <t>ジコテンケン</t>
    </rPh>
    <rPh sb="312" eb="314">
      <t>ヒョウカ</t>
    </rPh>
    <rPh sb="314" eb="317">
      <t>イインカイ</t>
    </rPh>
    <rPh sb="320" eb="323">
      <t>カクカモク</t>
    </rPh>
    <rPh sb="323" eb="326">
      <t>ゴウカクリツ</t>
    </rPh>
    <rPh sb="327" eb="329">
      <t>タッセイ</t>
    </rPh>
    <rPh sb="329" eb="331">
      <t>ジョウキョウ</t>
    </rPh>
    <rPh sb="332" eb="335">
      <t>サイジュコウ</t>
    </rPh>
    <rPh sb="336" eb="338">
      <t>キカイ</t>
    </rPh>
    <rPh sb="338" eb="340">
      <t>テイキョウ</t>
    </rPh>
    <rPh sb="341" eb="343">
      <t>ジョウキョウ</t>
    </rPh>
    <rPh sb="344" eb="346">
      <t>テンケン</t>
    </rPh>
    <rPh sb="346" eb="348">
      <t>ヒョウカ</t>
    </rPh>
    <rPh sb="354" eb="356">
      <t>テンケン</t>
    </rPh>
    <rPh sb="356" eb="358">
      <t>ヒョウカ</t>
    </rPh>
    <rPh sb="358" eb="360">
      <t>ケッカ</t>
    </rPh>
    <rPh sb="362" eb="367">
      <t>キョウムイインカイ</t>
    </rPh>
    <phoneticPr fontId="1"/>
  </si>
  <si>
    <t>　初年次教育、情報処理を起点とする入学初期段階の教育プログラムは、毎年度、教務委員会が主体となり、科目担当者との意見交換を取りまとめて、改善項目を決定している。また、改善項目は、教務委員会から各科目担当者にフィードバックして、確実な改善の実行に努めている。
　全体的な学生の学修成果は、初年次教育（1年次前期）、キャリアデザイン3（3年次前期）、卒業時に各学部のディプロマ・ポリシーから生成したルーブリックによる自己評価として可視化されており、学生の学修ポートフォリオに記録することで、学生も成長の振返りに活用している。また、これらの自己評価結果は、教務委員会で毎年度分析した後、自己点検評価委員会に共有されている。
　学生の自己評価結果は、本学のアセスメントポリシーの観点別チェック項目になっており、自己点検評価委員会が点検評価している。（点検評価結果は、教務委員会にフィードバックされる。）</t>
    <rPh sb="1" eb="4">
      <t>ショネンジ</t>
    </rPh>
    <rPh sb="4" eb="6">
      <t>キョウイク</t>
    </rPh>
    <rPh sb="7" eb="11">
      <t>ジョウホウショリ</t>
    </rPh>
    <rPh sb="12" eb="14">
      <t>キテン</t>
    </rPh>
    <rPh sb="17" eb="19">
      <t>ニュウガク</t>
    </rPh>
    <rPh sb="19" eb="23">
      <t>ショキダンカイ</t>
    </rPh>
    <rPh sb="24" eb="26">
      <t>キョウイク</t>
    </rPh>
    <rPh sb="33" eb="36">
      <t>マイネンド</t>
    </rPh>
    <rPh sb="37" eb="42">
      <t>キョウムイインカイ</t>
    </rPh>
    <rPh sb="43" eb="45">
      <t>シュタイ</t>
    </rPh>
    <rPh sb="49" eb="54">
      <t>カモクタントウシャ</t>
    </rPh>
    <rPh sb="56" eb="60">
      <t>イケンコウカン</t>
    </rPh>
    <rPh sb="61" eb="62">
      <t>ト</t>
    </rPh>
    <rPh sb="68" eb="70">
      <t>カイゼン</t>
    </rPh>
    <rPh sb="70" eb="72">
      <t>コウモク</t>
    </rPh>
    <rPh sb="73" eb="75">
      <t>ケッテイ</t>
    </rPh>
    <rPh sb="83" eb="85">
      <t>カイゼン</t>
    </rPh>
    <rPh sb="85" eb="87">
      <t>コウモク</t>
    </rPh>
    <rPh sb="89" eb="93">
      <t>キョウムイイン</t>
    </rPh>
    <rPh sb="93" eb="94">
      <t>カイ</t>
    </rPh>
    <rPh sb="96" eb="97">
      <t>カク</t>
    </rPh>
    <rPh sb="97" eb="99">
      <t>カモク</t>
    </rPh>
    <rPh sb="99" eb="102">
      <t>タントウシャ</t>
    </rPh>
    <rPh sb="113" eb="115">
      <t>カクジツ</t>
    </rPh>
    <rPh sb="116" eb="118">
      <t>カイゼン</t>
    </rPh>
    <rPh sb="119" eb="121">
      <t>ジッコウ</t>
    </rPh>
    <rPh sb="122" eb="123">
      <t>ツト</t>
    </rPh>
    <rPh sb="130" eb="133">
      <t>ゼンタイテキ</t>
    </rPh>
    <rPh sb="134" eb="136">
      <t>ガクセイ</t>
    </rPh>
    <rPh sb="137" eb="139">
      <t>ガクシュウ</t>
    </rPh>
    <rPh sb="139" eb="141">
      <t>セイカ</t>
    </rPh>
    <rPh sb="143" eb="146">
      <t>ショネンジ</t>
    </rPh>
    <rPh sb="146" eb="148">
      <t>キョウイク</t>
    </rPh>
    <rPh sb="150" eb="152">
      <t>ネンジ</t>
    </rPh>
    <rPh sb="152" eb="154">
      <t>ゼンキ</t>
    </rPh>
    <rPh sb="167" eb="169">
      <t>ネンジ</t>
    </rPh>
    <rPh sb="169" eb="171">
      <t>ゼンキ</t>
    </rPh>
    <rPh sb="173" eb="176">
      <t>ソツギョウジ</t>
    </rPh>
    <rPh sb="177" eb="180">
      <t>カクガクブ</t>
    </rPh>
    <rPh sb="193" eb="195">
      <t>セイセイ</t>
    </rPh>
    <rPh sb="206" eb="210">
      <t>ジコヒョウカ</t>
    </rPh>
    <rPh sb="213" eb="216">
      <t>カシカ</t>
    </rPh>
    <rPh sb="222" eb="224">
      <t>ガクセイ</t>
    </rPh>
    <rPh sb="225" eb="227">
      <t>ガクシュウ</t>
    </rPh>
    <rPh sb="235" eb="237">
      <t>キロク</t>
    </rPh>
    <rPh sb="243" eb="245">
      <t>ガクセイ</t>
    </rPh>
    <rPh sb="246" eb="248">
      <t>セイチョウ</t>
    </rPh>
    <rPh sb="249" eb="251">
      <t>フリカエ</t>
    </rPh>
    <rPh sb="253" eb="255">
      <t>カツヨウ</t>
    </rPh>
    <rPh sb="267" eb="271">
      <t>ジコヒョウカ</t>
    </rPh>
    <rPh sb="271" eb="273">
      <t>ケッカ</t>
    </rPh>
    <rPh sb="275" eb="280">
      <t>キョウムイインカイ</t>
    </rPh>
    <rPh sb="281" eb="284">
      <t>マイネンド</t>
    </rPh>
    <rPh sb="284" eb="286">
      <t>ブンセキ</t>
    </rPh>
    <rPh sb="288" eb="289">
      <t>ノチ</t>
    </rPh>
    <rPh sb="290" eb="294">
      <t>ジコテンケン</t>
    </rPh>
    <rPh sb="294" eb="296">
      <t>ヒョウカ</t>
    </rPh>
    <rPh sb="296" eb="299">
      <t>イインカイ</t>
    </rPh>
    <rPh sb="300" eb="302">
      <t>キョウユウ</t>
    </rPh>
    <rPh sb="310" eb="312">
      <t>ガクセイ</t>
    </rPh>
    <rPh sb="321" eb="323">
      <t>ホンガク</t>
    </rPh>
    <rPh sb="335" eb="337">
      <t>カンテン</t>
    </rPh>
    <rPh sb="337" eb="338">
      <t>ベツ</t>
    </rPh>
    <rPh sb="342" eb="344">
      <t>コウモク</t>
    </rPh>
    <rPh sb="351" eb="355">
      <t>ジコテンケン</t>
    </rPh>
    <rPh sb="355" eb="357">
      <t>ヒョウカ</t>
    </rPh>
    <rPh sb="357" eb="360">
      <t>イインカイ</t>
    </rPh>
    <rPh sb="361" eb="363">
      <t>テンケン</t>
    </rPh>
    <rPh sb="363" eb="365">
      <t>ヒョウカ</t>
    </rPh>
    <rPh sb="371" eb="373">
      <t>テンケン</t>
    </rPh>
    <rPh sb="373" eb="375">
      <t>ヒョウカ</t>
    </rPh>
    <rPh sb="375" eb="377">
      <t>ケッカ</t>
    </rPh>
    <rPh sb="379" eb="384">
      <t>キョウムイインカイ</t>
    </rPh>
    <phoneticPr fontId="1"/>
  </si>
  <si>
    <t>　本学では、学期毎に開講されている全ての授業科目について、授業アンケートを実施しており、以下の項目を調査している。
（1）教員のレクチャースキル
・学生の理解度に合わせた授業進行、教員の話し方、資料・板書の見易さ、質問に対するフィードバック、授業に対する熱意
（2）授業デザイン
・学修力や探究力への影響度、将来設計への影響度、事前事後学修の取組み、シラバスの教育目標の達成度、成長した能力、理解を深めるための工夫
（3）総合評価
・次年度履修者へのお勧め度、総合的な授業評価
　これらの授業アンケートデータの実施と検証は、FD委員会の所管となっているが、特に問題のある科目が発生している場合には、適宜、教務委員会と連携している。FD委員会の活動内容も、自己点検評価委員会に共有されており、授業アンケートの状況、授業改善の状況を点検評価している。（点検評価結果は、FD委員会にフィードバックされる。）
　更に、授業アンケートの集計結果については、全ての授業科目名と担当者名を明記して、FD委員会から学生にフィードバックしている。</t>
    <rPh sb="1" eb="3">
      <t>ホンガク</t>
    </rPh>
    <rPh sb="6" eb="8">
      <t>ガッキ</t>
    </rPh>
    <rPh sb="8" eb="9">
      <t>ゴト</t>
    </rPh>
    <rPh sb="10" eb="12">
      <t>カイコウ</t>
    </rPh>
    <rPh sb="17" eb="18">
      <t>スベ</t>
    </rPh>
    <rPh sb="20" eb="24">
      <t>ジュギョウカモク</t>
    </rPh>
    <rPh sb="29" eb="31">
      <t>ジュギョウ</t>
    </rPh>
    <rPh sb="37" eb="39">
      <t>ジッシ</t>
    </rPh>
    <rPh sb="44" eb="46">
      <t>イカ</t>
    </rPh>
    <rPh sb="47" eb="49">
      <t>コウモク</t>
    </rPh>
    <rPh sb="50" eb="52">
      <t>チョウサ</t>
    </rPh>
    <rPh sb="61" eb="63">
      <t>キョウイン</t>
    </rPh>
    <rPh sb="74" eb="76">
      <t>ガクセイ</t>
    </rPh>
    <rPh sb="77" eb="80">
      <t>リカイド</t>
    </rPh>
    <rPh sb="81" eb="82">
      <t>ア</t>
    </rPh>
    <rPh sb="85" eb="87">
      <t>ジュギョウ</t>
    </rPh>
    <rPh sb="87" eb="89">
      <t>シンコウ</t>
    </rPh>
    <rPh sb="90" eb="92">
      <t>キョウイン</t>
    </rPh>
    <rPh sb="93" eb="94">
      <t>ハナ</t>
    </rPh>
    <rPh sb="95" eb="96">
      <t>カタ</t>
    </rPh>
    <rPh sb="97" eb="99">
      <t>シリョウ</t>
    </rPh>
    <rPh sb="100" eb="102">
      <t>バンショ</t>
    </rPh>
    <rPh sb="103" eb="105">
      <t>ミヤス</t>
    </rPh>
    <rPh sb="107" eb="109">
      <t>シツモン</t>
    </rPh>
    <rPh sb="110" eb="111">
      <t>タイ</t>
    </rPh>
    <rPh sb="121" eb="123">
      <t>ジュギョウ</t>
    </rPh>
    <rPh sb="124" eb="125">
      <t>タイ</t>
    </rPh>
    <rPh sb="127" eb="129">
      <t>ネツイ</t>
    </rPh>
    <rPh sb="133" eb="135">
      <t>ジュギョウ</t>
    </rPh>
    <rPh sb="141" eb="143">
      <t>ガクシュウ</t>
    </rPh>
    <rPh sb="143" eb="144">
      <t>リョク</t>
    </rPh>
    <rPh sb="145" eb="148">
      <t>タンキュウリョク</t>
    </rPh>
    <rPh sb="150" eb="153">
      <t>エイキョウド</t>
    </rPh>
    <rPh sb="154" eb="156">
      <t>ショウライ</t>
    </rPh>
    <rPh sb="156" eb="158">
      <t>セッケイ</t>
    </rPh>
    <rPh sb="160" eb="163">
      <t>エイキョウド</t>
    </rPh>
    <rPh sb="164" eb="166">
      <t>ジゼン</t>
    </rPh>
    <rPh sb="166" eb="168">
      <t>ジゴ</t>
    </rPh>
    <rPh sb="168" eb="170">
      <t>ガクシュウ</t>
    </rPh>
    <rPh sb="171" eb="173">
      <t>トリク</t>
    </rPh>
    <rPh sb="180" eb="182">
      <t>キョウイク</t>
    </rPh>
    <rPh sb="182" eb="184">
      <t>モクヒョウ</t>
    </rPh>
    <rPh sb="185" eb="188">
      <t>タッセイド</t>
    </rPh>
    <rPh sb="189" eb="191">
      <t>セイチョウ</t>
    </rPh>
    <rPh sb="193" eb="195">
      <t>ノウリョク</t>
    </rPh>
    <rPh sb="196" eb="198">
      <t>リカイ</t>
    </rPh>
    <rPh sb="199" eb="200">
      <t>フカ</t>
    </rPh>
    <rPh sb="205" eb="207">
      <t>クフウ</t>
    </rPh>
    <rPh sb="211" eb="213">
      <t>ソウゴウ</t>
    </rPh>
    <rPh sb="213" eb="215">
      <t>ヒョウカ</t>
    </rPh>
    <rPh sb="217" eb="220">
      <t>ジネンド</t>
    </rPh>
    <rPh sb="246" eb="248">
      <t>ジュギョウ</t>
    </rPh>
    <rPh sb="257" eb="259">
      <t>ジッシ</t>
    </rPh>
    <rPh sb="260" eb="262">
      <t>ケンショウ</t>
    </rPh>
    <rPh sb="266" eb="269">
      <t>イインカイ</t>
    </rPh>
    <rPh sb="270" eb="272">
      <t>ショカン</t>
    </rPh>
    <rPh sb="280" eb="281">
      <t>トク</t>
    </rPh>
    <rPh sb="282" eb="284">
      <t>モンダイ</t>
    </rPh>
    <rPh sb="287" eb="289">
      <t>カモク</t>
    </rPh>
    <rPh sb="290" eb="292">
      <t>ハッセイ</t>
    </rPh>
    <rPh sb="296" eb="298">
      <t>バアイ</t>
    </rPh>
    <rPh sb="301" eb="303">
      <t>テキギ</t>
    </rPh>
    <rPh sb="304" eb="309">
      <t>キョウムイインカイ</t>
    </rPh>
    <rPh sb="310" eb="312">
      <t>レンケイ</t>
    </rPh>
    <rPh sb="319" eb="322">
      <t>イインカイ</t>
    </rPh>
    <rPh sb="323" eb="325">
      <t>カツドウ</t>
    </rPh>
    <rPh sb="325" eb="327">
      <t>ナイヨウ</t>
    </rPh>
    <rPh sb="329" eb="333">
      <t>ジコテンケン</t>
    </rPh>
    <rPh sb="333" eb="338">
      <t>ヒョウカイインカイ</t>
    </rPh>
    <rPh sb="339" eb="341">
      <t>キョウユウ</t>
    </rPh>
    <rPh sb="347" eb="349">
      <t>ジュギョウ</t>
    </rPh>
    <rPh sb="355" eb="357">
      <t>ジョウキョウ</t>
    </rPh>
    <rPh sb="358" eb="360">
      <t>ジュギョウ</t>
    </rPh>
    <rPh sb="360" eb="362">
      <t>カイゼン</t>
    </rPh>
    <rPh sb="363" eb="365">
      <t>ジョウキョウ</t>
    </rPh>
    <rPh sb="366" eb="368">
      <t>テンケン</t>
    </rPh>
    <rPh sb="368" eb="370">
      <t>ヒョウカ</t>
    </rPh>
    <rPh sb="376" eb="378">
      <t>テンケン</t>
    </rPh>
    <rPh sb="378" eb="380">
      <t>ヒョウカ</t>
    </rPh>
    <rPh sb="380" eb="382">
      <t>ケッカ</t>
    </rPh>
    <rPh sb="386" eb="389">
      <t>イインカイ</t>
    </rPh>
    <rPh sb="404" eb="405">
      <t>サラ</t>
    </rPh>
    <rPh sb="407" eb="409">
      <t>ジュギョウ</t>
    </rPh>
    <rPh sb="415" eb="417">
      <t>シュウケイ</t>
    </rPh>
    <rPh sb="417" eb="419">
      <t>ケッカ</t>
    </rPh>
    <rPh sb="425" eb="426">
      <t>スベ</t>
    </rPh>
    <rPh sb="428" eb="433">
      <t>ジュギョウカモクメイ</t>
    </rPh>
    <rPh sb="434" eb="437">
      <t>タントウシャ</t>
    </rPh>
    <rPh sb="437" eb="438">
      <t>メイ</t>
    </rPh>
    <rPh sb="439" eb="441">
      <t>メイキ</t>
    </rPh>
    <rPh sb="446" eb="449">
      <t>イインカイ</t>
    </rPh>
    <rPh sb="451" eb="453">
      <t>ガクセイ</t>
    </rPh>
    <phoneticPr fontId="1"/>
  </si>
  <si>
    <t>　本学では、入学初期段階における教育プログラムの重要性に鑑みて、「初年次教育」「情報処理」の両科目を全学部共通の必修科目として教養教育課程に編成している。また、新入生には、授業開始前から初年次教育の一部として、修学ガイダンス（教養科目ガイダンスも含む）及び年間履修計画（グループワーク）を実施しており、確実な履修と単位修得に向けた指導を行っている。そのため、開設当初から履修率は100％を維持している。今後は、全ての学生に一層の数理・データサイエンス・Ai基礎教育を推進するため、1年次必修科目である「情報処理」にAi入門授業を組込むことを教務委員会で決定しており、教育内容の重要性を加味した修学指導を継続する。
　また、教務委員会における改善内容は、自己点検評価委員会に共有され、継続的な改善内容の点検評価を行っている。（点検評価結果は、教務委員会にフィードバックされる。）</t>
    <rPh sb="179" eb="181">
      <t>カイセツ</t>
    </rPh>
    <rPh sb="181" eb="183">
      <t>トウショ</t>
    </rPh>
    <rPh sb="185" eb="188">
      <t>リシュウリツ</t>
    </rPh>
    <rPh sb="194" eb="196">
      <t>イジ</t>
    </rPh>
    <rPh sb="205" eb="206">
      <t>スベ</t>
    </rPh>
    <rPh sb="208" eb="210">
      <t>ガクセイ</t>
    </rPh>
    <rPh sb="211" eb="213">
      <t>イッソウ</t>
    </rPh>
    <rPh sb="214" eb="216">
      <t>スウリ</t>
    </rPh>
    <rPh sb="228" eb="232">
      <t>キソキョウイク</t>
    </rPh>
    <rPh sb="233" eb="235">
      <t>スイシン</t>
    </rPh>
    <rPh sb="270" eb="275">
      <t>キョウムイインカイ</t>
    </rPh>
    <rPh sb="292" eb="294">
      <t>カミ</t>
    </rPh>
    <rPh sb="311" eb="316">
      <t>キョウムイインカイ</t>
    </rPh>
    <rPh sb="320" eb="322">
      <t>カイゼン</t>
    </rPh>
    <rPh sb="322" eb="324">
      <t>ナイヨウ</t>
    </rPh>
    <rPh sb="326" eb="330">
      <t>ジコテンケン</t>
    </rPh>
    <rPh sb="330" eb="332">
      <t>ヒョウカ</t>
    </rPh>
    <rPh sb="332" eb="335">
      <t>イインカイ</t>
    </rPh>
    <rPh sb="336" eb="338">
      <t>キョウユウ</t>
    </rPh>
    <rPh sb="341" eb="343">
      <t>ケイゾク</t>
    </rPh>
    <rPh sb="343" eb="344">
      <t>テキ</t>
    </rPh>
    <rPh sb="345" eb="347">
      <t>カイゼン</t>
    </rPh>
    <rPh sb="347" eb="349">
      <t>ナイヨウ</t>
    </rPh>
    <rPh sb="350" eb="352">
      <t>テンケン</t>
    </rPh>
    <rPh sb="352" eb="354">
      <t>ヒョウカ</t>
    </rPh>
    <rPh sb="355" eb="356">
      <t>オコナ</t>
    </rPh>
    <rPh sb="362" eb="364">
      <t>テンケン</t>
    </rPh>
    <rPh sb="364" eb="366">
      <t>ヒョウカ</t>
    </rPh>
    <rPh sb="366" eb="368">
      <t>ケッカ</t>
    </rPh>
    <rPh sb="370" eb="375">
      <t>キョウムイインカイ</t>
    </rPh>
    <phoneticPr fontId="1"/>
  </si>
  <si>
    <t>　本学では、教育に関する一層の質的向上を図る取組みとして、本学が主催する産学懇談会参加企業に対するアンケート調査を行っている。このアンケートでは、本学卒業生が実際に採用されている企業から、卒業生の「社会人基礎力」「技術者としての能力」を調査しており、「社会人基礎力」では、「主体性」「実行力」「課題発見力」に高い評価を受けている。また、「技術者としての能力」では、「基礎知識」「課題解決力」「成長への意識」に高い評価を受けている。
　本学における「初年次教育」「情報処理」を起点とした入学初期段階の教育プログラムは、大学生として学ぶために必要な態度・姿勢、基礎知識・スキルを身に付けさせ、それらを応用することの必要性を認識させることが目的となっているので、企業からもこれらの取組みを含めた全体の学位プログラムに高い評価を受けていると認識している。
　また、この結果は、就職委員会から教務委員会、自己点検評価委員会に共有され、企業からのアンケート結果を点検評価している。（点検評価結果は、就職委員会にフィードバックされる。）</t>
    <rPh sb="1" eb="3">
      <t>ホンガク</t>
    </rPh>
    <rPh sb="6" eb="8">
      <t>キョウイク</t>
    </rPh>
    <rPh sb="9" eb="10">
      <t>カン</t>
    </rPh>
    <rPh sb="12" eb="14">
      <t>イッソウ</t>
    </rPh>
    <rPh sb="15" eb="17">
      <t>シツテキ</t>
    </rPh>
    <rPh sb="17" eb="19">
      <t>コウジョウ</t>
    </rPh>
    <rPh sb="20" eb="21">
      <t>ハカ</t>
    </rPh>
    <rPh sb="22" eb="24">
      <t>トリク</t>
    </rPh>
    <rPh sb="29" eb="31">
      <t>ホンガク</t>
    </rPh>
    <rPh sb="32" eb="34">
      <t>シュサイ</t>
    </rPh>
    <rPh sb="36" eb="38">
      <t>サンガク</t>
    </rPh>
    <rPh sb="38" eb="41">
      <t>コンダンカイ</t>
    </rPh>
    <rPh sb="41" eb="43">
      <t>サンカ</t>
    </rPh>
    <rPh sb="43" eb="45">
      <t>キギョウ</t>
    </rPh>
    <rPh sb="46" eb="47">
      <t>タイ</t>
    </rPh>
    <rPh sb="54" eb="56">
      <t>チョウサ</t>
    </rPh>
    <rPh sb="57" eb="58">
      <t>オコナ</t>
    </rPh>
    <rPh sb="73" eb="75">
      <t>ホンガク</t>
    </rPh>
    <rPh sb="75" eb="78">
      <t>ソツギョウセイ</t>
    </rPh>
    <rPh sb="79" eb="81">
      <t>ジッサイ</t>
    </rPh>
    <rPh sb="82" eb="84">
      <t>サイヨウ</t>
    </rPh>
    <rPh sb="89" eb="91">
      <t>キギョウ</t>
    </rPh>
    <rPh sb="94" eb="97">
      <t>ソツギョウセイ</t>
    </rPh>
    <rPh sb="99" eb="102">
      <t>シャカイジン</t>
    </rPh>
    <rPh sb="102" eb="105">
      <t>キソリョク</t>
    </rPh>
    <rPh sb="107" eb="110">
      <t>ギジュツシャ</t>
    </rPh>
    <rPh sb="114" eb="116">
      <t>ノウリョク</t>
    </rPh>
    <rPh sb="118" eb="120">
      <t>チョウサ</t>
    </rPh>
    <rPh sb="126" eb="129">
      <t>シャカイジン</t>
    </rPh>
    <rPh sb="129" eb="132">
      <t>キソリョク</t>
    </rPh>
    <rPh sb="137" eb="140">
      <t>シュタイセイ</t>
    </rPh>
    <rPh sb="142" eb="145">
      <t>ジッコウリョク</t>
    </rPh>
    <rPh sb="147" eb="149">
      <t>カダイ</t>
    </rPh>
    <rPh sb="149" eb="152">
      <t>ハッケンリョク</t>
    </rPh>
    <rPh sb="154" eb="155">
      <t>タカ</t>
    </rPh>
    <rPh sb="156" eb="158">
      <t>ヒョウカ</t>
    </rPh>
    <rPh sb="159" eb="160">
      <t>ウ</t>
    </rPh>
    <rPh sb="169" eb="172">
      <t>ギジュツシャ</t>
    </rPh>
    <rPh sb="176" eb="178">
      <t>ノウリョク</t>
    </rPh>
    <rPh sb="183" eb="187">
      <t>キソチシキ</t>
    </rPh>
    <rPh sb="189" eb="191">
      <t>カダイ</t>
    </rPh>
    <rPh sb="191" eb="194">
      <t>カイケツリョク</t>
    </rPh>
    <rPh sb="196" eb="198">
      <t>セイチョウ</t>
    </rPh>
    <rPh sb="200" eb="202">
      <t>イシキ</t>
    </rPh>
    <rPh sb="204" eb="205">
      <t>タカ</t>
    </rPh>
    <rPh sb="206" eb="208">
      <t>ヒョウカ</t>
    </rPh>
    <rPh sb="209" eb="210">
      <t>ウ</t>
    </rPh>
    <rPh sb="217" eb="219">
      <t>ホンガク</t>
    </rPh>
    <rPh sb="224" eb="227">
      <t>ショネンジ</t>
    </rPh>
    <rPh sb="227" eb="229">
      <t>キョウイク</t>
    </rPh>
    <rPh sb="231" eb="235">
      <t>ジョウホウショリ</t>
    </rPh>
    <rPh sb="237" eb="239">
      <t>キテン</t>
    </rPh>
    <rPh sb="242" eb="244">
      <t>ニュウガク</t>
    </rPh>
    <rPh sb="244" eb="246">
      <t>ショキ</t>
    </rPh>
    <rPh sb="246" eb="248">
      <t>ダンカイ</t>
    </rPh>
    <rPh sb="249" eb="251">
      <t>キョウイク</t>
    </rPh>
    <rPh sb="258" eb="261">
      <t>ダイガクセイ</t>
    </rPh>
    <rPh sb="264" eb="265">
      <t>マナ</t>
    </rPh>
    <rPh sb="269" eb="271">
      <t>ヒツヨウ</t>
    </rPh>
    <rPh sb="272" eb="274">
      <t>タイド</t>
    </rPh>
    <rPh sb="275" eb="277">
      <t>シセイ</t>
    </rPh>
    <rPh sb="278" eb="282">
      <t>キソチシキ</t>
    </rPh>
    <rPh sb="287" eb="288">
      <t>ミ</t>
    </rPh>
    <rPh sb="289" eb="290">
      <t>ツ</t>
    </rPh>
    <rPh sb="298" eb="300">
      <t>オウヨウ</t>
    </rPh>
    <rPh sb="305" eb="308">
      <t>ヒツヨウセイ</t>
    </rPh>
    <rPh sb="309" eb="311">
      <t>ニンシキ</t>
    </rPh>
    <rPh sb="317" eb="319">
      <t>モクテキ</t>
    </rPh>
    <rPh sb="328" eb="330">
      <t>キギョウ</t>
    </rPh>
    <rPh sb="337" eb="339">
      <t>トリク</t>
    </rPh>
    <rPh sb="341" eb="342">
      <t>フク</t>
    </rPh>
    <rPh sb="344" eb="346">
      <t>ゼンタイ</t>
    </rPh>
    <rPh sb="347" eb="349">
      <t>ガクイ</t>
    </rPh>
    <rPh sb="355" eb="356">
      <t>タカ</t>
    </rPh>
    <rPh sb="357" eb="359">
      <t>ヒョウカ</t>
    </rPh>
    <rPh sb="360" eb="361">
      <t>ウ</t>
    </rPh>
    <rPh sb="366" eb="368">
      <t>ニンシキ</t>
    </rPh>
    <rPh sb="380" eb="382">
      <t>ケッカ</t>
    </rPh>
    <rPh sb="384" eb="386">
      <t>シュウショク</t>
    </rPh>
    <rPh sb="386" eb="389">
      <t>イインカイ</t>
    </rPh>
    <rPh sb="391" eb="396">
      <t>キョウムイインカイ</t>
    </rPh>
    <rPh sb="397" eb="401">
      <t>ジコテンケン</t>
    </rPh>
    <rPh sb="401" eb="403">
      <t>ヒョウカ</t>
    </rPh>
    <rPh sb="403" eb="406">
      <t>イインカイ</t>
    </rPh>
    <rPh sb="407" eb="409">
      <t>キョウユウ</t>
    </rPh>
    <rPh sb="412" eb="414">
      <t>キギョウ</t>
    </rPh>
    <rPh sb="422" eb="424">
      <t>ケッカ</t>
    </rPh>
    <rPh sb="425" eb="427">
      <t>テンケン</t>
    </rPh>
    <rPh sb="427" eb="429">
      <t>ヒョウカ</t>
    </rPh>
    <rPh sb="435" eb="437">
      <t>テンケン</t>
    </rPh>
    <rPh sb="437" eb="439">
      <t>ヒョウカ</t>
    </rPh>
    <rPh sb="439" eb="441">
      <t>ケッカ</t>
    </rPh>
    <rPh sb="443" eb="445">
      <t>シュウショク</t>
    </rPh>
    <rPh sb="445" eb="448">
      <t>イインカイ</t>
    </rPh>
    <phoneticPr fontId="1"/>
  </si>
  <si>
    <t>　本学では、学部教育の教育課程、授業運営、教育制度について、産業界の意見を聴取すると共に、教育の改善に反映することを目的に、千葉工業大学産学連携協議会（幹事会）と連携した取組みを行っている。
　幹事会は産学連携協議会119社（令和3年度）から選出される17社で構成されており、毎年度の幹事会の中で、教務委員会委員長が本学の「ディプロマ・ポリシー」「カリキュラム・ポリシー」の考え方、教育課程編成の方針、教育制度及び改善状況を説明して、意見交換を行う会を開催することとしている。その後、幹事会には、各ポリシーの内容の適正度、教養・専門教育の適正度、各種教育制度及び改善による教育効果への期待度、学生に身に付けさせるべき各能力の必要度をアンケート形式で調査を行っており、教務委員会で回答結果の確認と改善項目の整理を行っている。
　これまでの幹事会からの意見交換及びアンケート調査結果では、「初年次教育」「情報処理」を起点とする入学初期段階の教育プログラムについて、「教育として必要な要素で、取組みを評価する」との結果を得ているので、現状では適正なプログラムとして機能している。
　この結果は、学部長会において教務委員長から報告を行うと共に、自己点検評価委員会に共有され、産業界からの意見を点検評価している。（点検評価結果は、教務委員会にフィードバックされる。）</t>
    <rPh sb="1" eb="3">
      <t>ホンガク</t>
    </rPh>
    <rPh sb="6" eb="10">
      <t>ガクブキョウイク</t>
    </rPh>
    <rPh sb="11" eb="13">
      <t>キョウイク</t>
    </rPh>
    <rPh sb="13" eb="15">
      <t>カテイ</t>
    </rPh>
    <rPh sb="16" eb="18">
      <t>ジュギョウ</t>
    </rPh>
    <rPh sb="18" eb="20">
      <t>ウンエイ</t>
    </rPh>
    <rPh sb="21" eb="23">
      <t>キョウイク</t>
    </rPh>
    <rPh sb="23" eb="25">
      <t>セイド</t>
    </rPh>
    <rPh sb="30" eb="33">
      <t>サンギョウカイ</t>
    </rPh>
    <rPh sb="34" eb="36">
      <t>イケン</t>
    </rPh>
    <rPh sb="37" eb="39">
      <t>チョウシュ</t>
    </rPh>
    <rPh sb="42" eb="43">
      <t>トモ</t>
    </rPh>
    <rPh sb="45" eb="47">
      <t>キョウイク</t>
    </rPh>
    <rPh sb="48" eb="50">
      <t>カイゼン</t>
    </rPh>
    <rPh sb="51" eb="53">
      <t>ハンエイ</t>
    </rPh>
    <rPh sb="58" eb="60">
      <t>モクテキ</t>
    </rPh>
    <rPh sb="62" eb="68">
      <t>チバコウギョウダイガク</t>
    </rPh>
    <rPh sb="68" eb="70">
      <t>サンガク</t>
    </rPh>
    <rPh sb="70" eb="75">
      <t>レンケイキョウギカイ</t>
    </rPh>
    <rPh sb="76" eb="78">
      <t>カンジ</t>
    </rPh>
    <rPh sb="78" eb="79">
      <t>カイ</t>
    </rPh>
    <rPh sb="81" eb="83">
      <t>レンケイ</t>
    </rPh>
    <rPh sb="85" eb="87">
      <t>トリク</t>
    </rPh>
    <rPh sb="89" eb="90">
      <t>オコナ</t>
    </rPh>
    <rPh sb="97" eb="100">
      <t>カンジカイ</t>
    </rPh>
    <rPh sb="101" eb="103">
      <t>サンガク</t>
    </rPh>
    <rPh sb="103" eb="108">
      <t>レンケイキョウギカイ</t>
    </rPh>
    <rPh sb="111" eb="112">
      <t>シャ</t>
    </rPh>
    <rPh sb="113" eb="115">
      <t>レイワ</t>
    </rPh>
    <rPh sb="116" eb="118">
      <t>ネンド</t>
    </rPh>
    <rPh sb="121" eb="123">
      <t>センシュツ</t>
    </rPh>
    <rPh sb="128" eb="129">
      <t>シャ</t>
    </rPh>
    <rPh sb="130" eb="132">
      <t>コウセイ</t>
    </rPh>
    <rPh sb="138" eb="141">
      <t>マイネンド</t>
    </rPh>
    <rPh sb="142" eb="145">
      <t>カンジカイ</t>
    </rPh>
    <rPh sb="146" eb="147">
      <t>ナカ</t>
    </rPh>
    <rPh sb="149" eb="154">
      <t>キョウムイインカイ</t>
    </rPh>
    <rPh sb="154" eb="157">
      <t>イインチョウ</t>
    </rPh>
    <rPh sb="158" eb="160">
      <t>ホンガク</t>
    </rPh>
    <rPh sb="187" eb="188">
      <t>カンガ</t>
    </rPh>
    <rPh sb="189" eb="190">
      <t>カタ</t>
    </rPh>
    <rPh sb="191" eb="193">
      <t>キョウイク</t>
    </rPh>
    <rPh sb="193" eb="195">
      <t>カテイ</t>
    </rPh>
    <rPh sb="195" eb="197">
      <t>ヘンセイ</t>
    </rPh>
    <rPh sb="198" eb="200">
      <t>ホウシン</t>
    </rPh>
    <rPh sb="201" eb="203">
      <t>キョウイク</t>
    </rPh>
    <rPh sb="203" eb="205">
      <t>セイド</t>
    </rPh>
    <rPh sb="205" eb="206">
      <t>オヨ</t>
    </rPh>
    <rPh sb="207" eb="209">
      <t>カイゼン</t>
    </rPh>
    <rPh sb="209" eb="211">
      <t>ジョウキョウ</t>
    </rPh>
    <rPh sb="212" eb="214">
      <t>セツメイ</t>
    </rPh>
    <rPh sb="217" eb="221">
      <t>イケンコウカン</t>
    </rPh>
    <rPh sb="222" eb="223">
      <t>オコナ</t>
    </rPh>
    <rPh sb="224" eb="225">
      <t>カイ</t>
    </rPh>
    <rPh sb="226" eb="228">
      <t>カイサイ</t>
    </rPh>
    <rPh sb="240" eb="241">
      <t>ゴ</t>
    </rPh>
    <rPh sb="242" eb="245">
      <t>カンジカイ</t>
    </rPh>
    <rPh sb="248" eb="249">
      <t>カク</t>
    </rPh>
    <rPh sb="254" eb="256">
      <t>ナイヨウ</t>
    </rPh>
    <rPh sb="257" eb="259">
      <t>テキセイ</t>
    </rPh>
    <rPh sb="259" eb="260">
      <t>ド</t>
    </rPh>
    <rPh sb="261" eb="263">
      <t>キョウヨウ</t>
    </rPh>
    <rPh sb="264" eb="266">
      <t>センモン</t>
    </rPh>
    <rPh sb="266" eb="268">
      <t>キョウイク</t>
    </rPh>
    <rPh sb="269" eb="272">
      <t>テキセイド</t>
    </rPh>
    <rPh sb="273" eb="275">
      <t>カクシュ</t>
    </rPh>
    <rPh sb="275" eb="279">
      <t>キョウイクセイド</t>
    </rPh>
    <rPh sb="279" eb="280">
      <t>オヨ</t>
    </rPh>
    <rPh sb="281" eb="283">
      <t>カイゼン</t>
    </rPh>
    <rPh sb="286" eb="288">
      <t>キョウイク</t>
    </rPh>
    <rPh sb="288" eb="290">
      <t>コウカ</t>
    </rPh>
    <rPh sb="292" eb="295">
      <t>キタイド</t>
    </rPh>
    <rPh sb="296" eb="298">
      <t>ガクセイ</t>
    </rPh>
    <rPh sb="299" eb="300">
      <t>ミ</t>
    </rPh>
    <rPh sb="301" eb="302">
      <t>ツ</t>
    </rPh>
    <rPh sb="308" eb="311">
      <t>カクノウリョク</t>
    </rPh>
    <rPh sb="312" eb="315">
      <t>ヒツヨウド</t>
    </rPh>
    <rPh sb="321" eb="323">
      <t>ケイシキ</t>
    </rPh>
    <rPh sb="324" eb="326">
      <t>チョウサ</t>
    </rPh>
    <rPh sb="327" eb="328">
      <t>オコナ</t>
    </rPh>
    <rPh sb="333" eb="338">
      <t>キョウムイインカイ</t>
    </rPh>
    <rPh sb="339" eb="341">
      <t>カイトウ</t>
    </rPh>
    <rPh sb="341" eb="343">
      <t>ケッカ</t>
    </rPh>
    <rPh sb="344" eb="346">
      <t>カクニン</t>
    </rPh>
    <rPh sb="347" eb="349">
      <t>カイゼン</t>
    </rPh>
    <rPh sb="349" eb="351">
      <t>コウモク</t>
    </rPh>
    <rPh sb="352" eb="354">
      <t>セイリ</t>
    </rPh>
    <rPh sb="355" eb="356">
      <t>オコナ</t>
    </rPh>
    <rPh sb="368" eb="371">
      <t>カンジカイ</t>
    </rPh>
    <rPh sb="374" eb="376">
      <t>イケン</t>
    </rPh>
    <rPh sb="376" eb="378">
      <t>コウカン</t>
    </rPh>
    <rPh sb="378" eb="379">
      <t>オヨ</t>
    </rPh>
    <rPh sb="385" eb="387">
      <t>チョウサ</t>
    </rPh>
    <rPh sb="387" eb="389">
      <t>ケッカ</t>
    </rPh>
    <rPh sb="393" eb="396">
      <t>ショネンジ</t>
    </rPh>
    <rPh sb="396" eb="398">
      <t>キョウイク</t>
    </rPh>
    <rPh sb="400" eb="404">
      <t>ジョウホウショリ</t>
    </rPh>
    <rPh sb="406" eb="408">
      <t>キテン</t>
    </rPh>
    <rPh sb="411" eb="413">
      <t>ニュウガク</t>
    </rPh>
    <rPh sb="413" eb="417">
      <t>ショキダンカイ</t>
    </rPh>
    <rPh sb="418" eb="420">
      <t>キョウイク</t>
    </rPh>
    <rPh sb="431" eb="433">
      <t>キョウイク</t>
    </rPh>
    <rPh sb="436" eb="438">
      <t>ヒツヨウ</t>
    </rPh>
    <rPh sb="439" eb="441">
      <t>ヨウソ</t>
    </rPh>
    <rPh sb="443" eb="445">
      <t>トリク</t>
    </rPh>
    <rPh sb="447" eb="449">
      <t>ヒョウカ</t>
    </rPh>
    <rPh sb="454" eb="456">
      <t>ケッカ</t>
    </rPh>
    <rPh sb="457" eb="458">
      <t>エ</t>
    </rPh>
    <rPh sb="464" eb="466">
      <t>ゲンジョウ</t>
    </rPh>
    <rPh sb="468" eb="470">
      <t>テキセイ</t>
    </rPh>
    <rPh sb="479" eb="481">
      <t>キノウ</t>
    </rPh>
    <rPh sb="544" eb="546">
      <t>ヒョウカ</t>
    </rPh>
    <rPh sb="552" eb="554">
      <t>テンケン</t>
    </rPh>
    <rPh sb="554" eb="556">
      <t>ヒョウカ</t>
    </rPh>
    <rPh sb="556" eb="558">
      <t>ケッカ</t>
    </rPh>
    <rPh sb="560" eb="565">
      <t>キョウムイインカイ</t>
    </rPh>
    <phoneticPr fontId="1"/>
  </si>
  <si>
    <t>　本学では、入学初期段階の教育として、「初年次教育」の前段では、特に大学で学ぶために必要な態度・姿勢を身に付けさせるよう構成している。本学の建学の精神である「世界文化に技術で貢献する」を実現するために必要な主体性、創造力、チームワーク、倫理観をディプロマ・ポリシーから生成したルーブリックで解説しており、初年次教育の最後には、同ルーブリックによる自己評価を行うことで、学生に早期段階から意識付けをしている。
　また、教養教育の解説では、将来、技術者として社会で活躍するためには、数理・データサイエンス・Ai（Aiは令和4年度導入）の基礎的な知識・スキルをもとに、それらを応用することが多様な分野で必要であることを解説し、教育プログラムの重要性を認識させている。</t>
    <rPh sb="1" eb="3">
      <t>ホンガク</t>
    </rPh>
    <rPh sb="6" eb="10">
      <t>ニュウガクショキ</t>
    </rPh>
    <rPh sb="10" eb="12">
      <t>ダンカイ</t>
    </rPh>
    <rPh sb="13" eb="15">
      <t>キョウイク</t>
    </rPh>
    <rPh sb="20" eb="23">
      <t>ショネンジ</t>
    </rPh>
    <rPh sb="23" eb="25">
      <t>キョウイク</t>
    </rPh>
    <rPh sb="27" eb="29">
      <t>ゼンダン</t>
    </rPh>
    <rPh sb="32" eb="33">
      <t>トク</t>
    </rPh>
    <rPh sb="34" eb="36">
      <t>ダイガク</t>
    </rPh>
    <rPh sb="37" eb="38">
      <t>マナ</t>
    </rPh>
    <rPh sb="42" eb="44">
      <t>ヒツヨウ</t>
    </rPh>
    <rPh sb="45" eb="47">
      <t>タイド</t>
    </rPh>
    <rPh sb="48" eb="50">
      <t>シセイ</t>
    </rPh>
    <rPh sb="51" eb="52">
      <t>ミ</t>
    </rPh>
    <rPh sb="53" eb="54">
      <t>ツ</t>
    </rPh>
    <rPh sb="60" eb="62">
      <t>コウセイ</t>
    </rPh>
    <rPh sb="67" eb="69">
      <t>ホンガク</t>
    </rPh>
    <rPh sb="70" eb="72">
      <t>ケンガク</t>
    </rPh>
    <rPh sb="73" eb="75">
      <t>セイシン</t>
    </rPh>
    <rPh sb="79" eb="83">
      <t>セカイブンカ</t>
    </rPh>
    <rPh sb="84" eb="86">
      <t>ギジュツ</t>
    </rPh>
    <rPh sb="87" eb="89">
      <t>コウケン</t>
    </rPh>
    <rPh sb="93" eb="95">
      <t>ジツゲン</t>
    </rPh>
    <rPh sb="100" eb="102">
      <t>ヒツヨウ</t>
    </rPh>
    <rPh sb="103" eb="106">
      <t>シュタイセイ</t>
    </rPh>
    <rPh sb="107" eb="110">
      <t>ソウゾウリョク</t>
    </rPh>
    <rPh sb="118" eb="121">
      <t>リンリカン</t>
    </rPh>
    <rPh sb="134" eb="136">
      <t>セイセイ</t>
    </rPh>
    <rPh sb="145" eb="147">
      <t>カイセツ</t>
    </rPh>
    <rPh sb="152" eb="155">
      <t>ショネンジ</t>
    </rPh>
    <rPh sb="155" eb="157">
      <t>キョウイク</t>
    </rPh>
    <rPh sb="158" eb="160">
      <t>サイゴ</t>
    </rPh>
    <rPh sb="163" eb="164">
      <t>ドウ</t>
    </rPh>
    <rPh sb="173" eb="177">
      <t>ジコヒョウカ</t>
    </rPh>
    <rPh sb="178" eb="179">
      <t>オコナ</t>
    </rPh>
    <rPh sb="184" eb="186">
      <t>ガクセイ</t>
    </rPh>
    <rPh sb="187" eb="189">
      <t>ソウキ</t>
    </rPh>
    <rPh sb="189" eb="191">
      <t>ダンカイ</t>
    </rPh>
    <rPh sb="193" eb="196">
      <t>イシキヅ</t>
    </rPh>
    <rPh sb="208" eb="210">
      <t>キョウヨウ</t>
    </rPh>
    <rPh sb="210" eb="212">
      <t>キョウイク</t>
    </rPh>
    <rPh sb="213" eb="215">
      <t>カイセツ</t>
    </rPh>
    <rPh sb="218" eb="220">
      <t>ショウライ</t>
    </rPh>
    <rPh sb="221" eb="224">
      <t>ギジュツシャ</t>
    </rPh>
    <rPh sb="227" eb="229">
      <t>シャカイ</t>
    </rPh>
    <rPh sb="230" eb="232">
      <t>カツヤク</t>
    </rPh>
    <rPh sb="239" eb="241">
      <t>スウリ</t>
    </rPh>
    <rPh sb="257" eb="259">
      <t>レイワ</t>
    </rPh>
    <rPh sb="260" eb="262">
      <t>ネンド</t>
    </rPh>
    <rPh sb="262" eb="264">
      <t>ドウニュウ</t>
    </rPh>
    <rPh sb="266" eb="269">
      <t>キソテキ</t>
    </rPh>
    <rPh sb="270" eb="272">
      <t>チシキ</t>
    </rPh>
    <rPh sb="285" eb="287">
      <t>オウヨウ</t>
    </rPh>
    <rPh sb="292" eb="294">
      <t>タヨウ</t>
    </rPh>
    <rPh sb="295" eb="297">
      <t>ブンヤ</t>
    </rPh>
    <rPh sb="298" eb="300">
      <t>ヒツヨウ</t>
    </rPh>
    <rPh sb="306" eb="308">
      <t>カイセツ</t>
    </rPh>
    <rPh sb="310" eb="312">
      <t>キョウイク</t>
    </rPh>
    <rPh sb="318" eb="321">
      <t>ジュウヨウセイ</t>
    </rPh>
    <rPh sb="322" eb="324">
      <t>ニンシキ</t>
    </rPh>
    <phoneticPr fontId="1"/>
  </si>
  <si>
    <t>全学開講</t>
  </si>
  <si>
    <t>情報処理</t>
    <rPh sb="0" eb="4">
      <t>ジョウホウショリ</t>
    </rPh>
    <phoneticPr fontId="1"/>
  </si>
  <si>
    <t>初年次教育「修学ガイダンス」では、教養教育の科目概要や教育プログラムの解説を組込んでおり、全学部共通で必修科目となる「初年次教育」「情報処理」の教育プログラムの必要性を説明している。（その他では「キャリアデザイン1・2」「日本語表現法」が必修となっている。）［初年次教育第2回目］
・Society5.0に関連して身に付けておくべき代表的な知識（情報リテラシー、情報セキュリティ）
・社会全般に求められる汎用的能力には、数理・データサイエンスの基礎的な知識や技術が含まれる実情
・高度情報化が進む社会では、膨大なデータが蓄積され、それらを活用する能力が求められる実情（活用データの事例など）</t>
    <rPh sb="0" eb="3">
      <t>ショネンジ</t>
    </rPh>
    <rPh sb="3" eb="5">
      <t>キョウイク</t>
    </rPh>
    <rPh sb="6" eb="8">
      <t>シュウガク</t>
    </rPh>
    <rPh sb="17" eb="19">
      <t>キョウヨウ</t>
    </rPh>
    <rPh sb="19" eb="21">
      <t>キョウイク</t>
    </rPh>
    <rPh sb="22" eb="24">
      <t>カモク</t>
    </rPh>
    <rPh sb="24" eb="26">
      <t>ガイヨウ</t>
    </rPh>
    <rPh sb="27" eb="29">
      <t>キョウイク</t>
    </rPh>
    <rPh sb="35" eb="37">
      <t>カイセツ</t>
    </rPh>
    <rPh sb="38" eb="40">
      <t>クミコ</t>
    </rPh>
    <rPh sb="45" eb="47">
      <t>ゼンガク</t>
    </rPh>
    <rPh sb="47" eb="48">
      <t>ブ</t>
    </rPh>
    <rPh sb="48" eb="50">
      <t>キョウツウ</t>
    </rPh>
    <rPh sb="51" eb="53">
      <t>ヒッシュウ</t>
    </rPh>
    <rPh sb="53" eb="55">
      <t>カモク</t>
    </rPh>
    <rPh sb="59" eb="62">
      <t>ショネンジ</t>
    </rPh>
    <rPh sb="62" eb="64">
      <t>キョウイク</t>
    </rPh>
    <rPh sb="66" eb="70">
      <t>ジョウホウショリ</t>
    </rPh>
    <rPh sb="72" eb="74">
      <t>キョウイク</t>
    </rPh>
    <rPh sb="80" eb="83">
      <t>ヒツヨウセイ</t>
    </rPh>
    <rPh sb="84" eb="86">
      <t>セツメイ</t>
    </rPh>
    <rPh sb="94" eb="95">
      <t>タ</t>
    </rPh>
    <rPh sb="111" eb="117">
      <t>ニホンゴヒョウゲンホウ</t>
    </rPh>
    <rPh sb="119" eb="121">
      <t>ヒッシュウ</t>
    </rPh>
    <rPh sb="130" eb="133">
      <t>ショネンジ</t>
    </rPh>
    <rPh sb="133" eb="135">
      <t>キョウイク</t>
    </rPh>
    <rPh sb="135" eb="136">
      <t>ダイ</t>
    </rPh>
    <rPh sb="137" eb="139">
      <t>カイメ</t>
    </rPh>
    <rPh sb="153" eb="155">
      <t>カンレン</t>
    </rPh>
    <rPh sb="157" eb="158">
      <t>ミ</t>
    </rPh>
    <rPh sb="159" eb="160">
      <t>ツ</t>
    </rPh>
    <rPh sb="166" eb="169">
      <t>ダイヒョウテキ</t>
    </rPh>
    <rPh sb="170" eb="172">
      <t>チシキ</t>
    </rPh>
    <rPh sb="173" eb="175">
      <t>ジョウホウ</t>
    </rPh>
    <rPh sb="181" eb="183">
      <t>ジョウホウ</t>
    </rPh>
    <rPh sb="192" eb="194">
      <t>シャカイ</t>
    </rPh>
    <rPh sb="194" eb="196">
      <t>ゼンパン</t>
    </rPh>
    <rPh sb="197" eb="198">
      <t>モト</t>
    </rPh>
    <rPh sb="202" eb="205">
      <t>ハンヨウテキ</t>
    </rPh>
    <rPh sb="205" eb="207">
      <t>ノウリョク</t>
    </rPh>
    <rPh sb="210" eb="212">
      <t>スウリ</t>
    </rPh>
    <rPh sb="222" eb="225">
      <t>キソテキ</t>
    </rPh>
    <rPh sb="226" eb="228">
      <t>チシキ</t>
    </rPh>
    <rPh sb="229" eb="231">
      <t>ギジュツ</t>
    </rPh>
    <rPh sb="232" eb="233">
      <t>フク</t>
    </rPh>
    <rPh sb="236" eb="238">
      <t>ジツジョウ</t>
    </rPh>
    <rPh sb="240" eb="245">
      <t>コウドジョウホウカ</t>
    </rPh>
    <rPh sb="246" eb="247">
      <t>スス</t>
    </rPh>
    <rPh sb="248" eb="250">
      <t>シャカイ</t>
    </rPh>
    <rPh sb="253" eb="255">
      <t>ボウダイ</t>
    </rPh>
    <rPh sb="260" eb="262">
      <t>チクセキ</t>
    </rPh>
    <rPh sb="269" eb="271">
      <t>カツヨウ</t>
    </rPh>
    <rPh sb="273" eb="275">
      <t>ノウリョク</t>
    </rPh>
    <rPh sb="276" eb="277">
      <t>モト</t>
    </rPh>
    <rPh sb="281" eb="283">
      <t>ジツジョウ</t>
    </rPh>
    <rPh sb="284" eb="286">
      <t>カツヨウ</t>
    </rPh>
    <rPh sb="290" eb="292">
      <t>ジレイ</t>
    </rPh>
    <phoneticPr fontId="1"/>
  </si>
  <si>
    <t>初年次教育「修学上の基本スキル」では、全学生に貸与しているiPadの利活用解説をしており、その中で、本学が学生の窓口相談用に導入しているチャットボット（Ai Watson）の仕組みを説明している。［初年次教育第4回目］</t>
    <rPh sb="0" eb="5">
      <t>ショネンジキョウイク</t>
    </rPh>
    <rPh sb="6" eb="9">
      <t>シュウガクジョウ</t>
    </rPh>
    <rPh sb="10" eb="12">
      <t>キホン</t>
    </rPh>
    <rPh sb="19" eb="20">
      <t>ゼン</t>
    </rPh>
    <rPh sb="20" eb="22">
      <t>ガクセイ</t>
    </rPh>
    <rPh sb="23" eb="25">
      <t>タイヨ</t>
    </rPh>
    <rPh sb="34" eb="37">
      <t>リカツヨウ</t>
    </rPh>
    <rPh sb="37" eb="39">
      <t>カイセツ</t>
    </rPh>
    <rPh sb="47" eb="48">
      <t>ナカ</t>
    </rPh>
    <rPh sb="50" eb="52">
      <t>ホンガク</t>
    </rPh>
    <rPh sb="53" eb="55">
      <t>ガクセイ</t>
    </rPh>
    <rPh sb="56" eb="58">
      <t>マドグチ</t>
    </rPh>
    <rPh sb="58" eb="60">
      <t>ソウダン</t>
    </rPh>
    <rPh sb="60" eb="61">
      <t>ヨウ</t>
    </rPh>
    <rPh sb="62" eb="64">
      <t>ドウニュウ</t>
    </rPh>
    <rPh sb="87" eb="89">
      <t>シク</t>
    </rPh>
    <rPh sb="91" eb="93">
      <t>セツメイ</t>
    </rPh>
    <rPh sb="99" eb="102">
      <t>ショネンジ</t>
    </rPh>
    <rPh sb="102" eb="104">
      <t>キョウイク</t>
    </rPh>
    <rPh sb="104" eb="105">
      <t>ダイ</t>
    </rPh>
    <rPh sb="106" eb="108">
      <t>カイメ</t>
    </rPh>
    <phoneticPr fontId="1"/>
  </si>
  <si>
    <t>情報処理「ネットワークの基礎知識」の中で、以下の内容を取り扱っている。［情報処理第3回目］
・ネットワークを利用した情報検索で得られる有益なビックデータの紹介（各自で検索する実習を含む）
・Web上で公的機関が公開している代表的なデータ分析結果の紹介、実習（各自で検索する実習を含む）</t>
    <rPh sb="36" eb="40">
      <t>ジョウホウショリ</t>
    </rPh>
    <rPh sb="40" eb="41">
      <t>ダイ</t>
    </rPh>
    <rPh sb="42" eb="44">
      <t>カイメ</t>
    </rPh>
    <rPh sb="77" eb="79">
      <t>ショウカイ</t>
    </rPh>
    <rPh sb="80" eb="82">
      <t>カクジ</t>
    </rPh>
    <rPh sb="83" eb="85">
      <t>ケンサク</t>
    </rPh>
    <rPh sb="87" eb="89">
      <t>ジッシュウ</t>
    </rPh>
    <rPh sb="90" eb="91">
      <t>フク</t>
    </rPh>
    <rPh sb="98" eb="99">
      <t>ジョウ</t>
    </rPh>
    <rPh sb="100" eb="102">
      <t>コウテキ</t>
    </rPh>
    <rPh sb="102" eb="104">
      <t>キカン</t>
    </rPh>
    <rPh sb="105" eb="107">
      <t>コウカイ</t>
    </rPh>
    <rPh sb="111" eb="114">
      <t>ダイヒョウテキ</t>
    </rPh>
    <rPh sb="120" eb="122">
      <t>ケッカ</t>
    </rPh>
    <rPh sb="123" eb="125">
      <t>ショウカイ</t>
    </rPh>
    <rPh sb="126" eb="128">
      <t>ジッシュウ</t>
    </rPh>
    <rPh sb="129" eb="131">
      <t>カクジ</t>
    </rPh>
    <rPh sb="132" eb="134">
      <t>ケンサク</t>
    </rPh>
    <rPh sb="136" eb="138">
      <t>ジッシュウ</t>
    </rPh>
    <rPh sb="139" eb="140">
      <t>フク</t>
    </rPh>
    <phoneticPr fontId="1"/>
  </si>
  <si>
    <t>情報処理「表計算ソフトウェアの基礎操作　正しいグラフの書き方」の中で、以下の内容を取り扱っている。［情報処理第7回目］
・Webなどから収集されるデータが社会の広範囲で活用されている状況解説
・データ分析、活用に必要なモデル化の一つとしてグラフが用いられる状況解説
・例題となるデータの提示とグラフ化の実習</t>
    <rPh sb="5" eb="8">
      <t>ヒョウケイサン</t>
    </rPh>
    <rPh sb="15" eb="17">
      <t>キソ</t>
    </rPh>
    <rPh sb="17" eb="19">
      <t>ソウサ</t>
    </rPh>
    <rPh sb="20" eb="21">
      <t>タダ</t>
    </rPh>
    <rPh sb="27" eb="28">
      <t>カ</t>
    </rPh>
    <rPh sb="29" eb="30">
      <t>カタ</t>
    </rPh>
    <rPh sb="32" eb="33">
      <t>ナカ</t>
    </rPh>
    <rPh sb="35" eb="37">
      <t>イカ</t>
    </rPh>
    <rPh sb="38" eb="40">
      <t>ナイヨウ</t>
    </rPh>
    <rPh sb="41" eb="42">
      <t>ト</t>
    </rPh>
    <rPh sb="43" eb="44">
      <t>アツカ</t>
    </rPh>
    <rPh sb="50" eb="54">
      <t>ジョウホウショリ</t>
    </rPh>
    <rPh sb="54" eb="55">
      <t>ダイ</t>
    </rPh>
    <rPh sb="56" eb="58">
      <t>カイメ</t>
    </rPh>
    <rPh sb="68" eb="70">
      <t>シュウシュウ</t>
    </rPh>
    <rPh sb="77" eb="79">
      <t>シャカイ</t>
    </rPh>
    <rPh sb="80" eb="83">
      <t>コウハンイ</t>
    </rPh>
    <rPh sb="84" eb="86">
      <t>カツヨウ</t>
    </rPh>
    <rPh sb="91" eb="93">
      <t>ジョウキョウ</t>
    </rPh>
    <rPh sb="93" eb="95">
      <t>カイセツ</t>
    </rPh>
    <rPh sb="100" eb="102">
      <t>ブンセキ</t>
    </rPh>
    <rPh sb="103" eb="105">
      <t>カツヨウ</t>
    </rPh>
    <rPh sb="106" eb="108">
      <t>ヒツヨウ</t>
    </rPh>
    <rPh sb="112" eb="113">
      <t>カ</t>
    </rPh>
    <rPh sb="114" eb="115">
      <t>ヒト</t>
    </rPh>
    <rPh sb="123" eb="124">
      <t>モチ</t>
    </rPh>
    <rPh sb="128" eb="130">
      <t>ジョウキョウ</t>
    </rPh>
    <rPh sb="130" eb="132">
      <t>カイセツ</t>
    </rPh>
    <rPh sb="134" eb="136">
      <t>レイダイ</t>
    </rPh>
    <rPh sb="143" eb="145">
      <t>テイジ</t>
    </rPh>
    <rPh sb="149" eb="150">
      <t>カ</t>
    </rPh>
    <rPh sb="151" eb="153">
      <t>ジッシュウ</t>
    </rPh>
    <phoneticPr fontId="1"/>
  </si>
  <si>
    <t>情報処理「表計算ソフトウェアの各種機能の使い方」の中で、以下の内容を取り扱っている。［情報処理第8回目］
・Webなどから収集されるデータとデータの特性に応じたグラフ化の定義解説
・収集したデータをグラフ化と、知見から予測を立てる手法の解説（特定地域の年齢別人口比率とサービスの展開など）
・グループワーク（Web上に公開されているデータをグループで選定し、どのような知見が得られるかを話し合う）</t>
    <rPh sb="0" eb="4">
      <t>ジョウホウショリ</t>
    </rPh>
    <rPh sb="5" eb="8">
      <t>ヒョウケイサン</t>
    </rPh>
    <rPh sb="15" eb="17">
      <t>カクシュ</t>
    </rPh>
    <rPh sb="17" eb="19">
      <t>キノウ</t>
    </rPh>
    <rPh sb="20" eb="21">
      <t>ツカ</t>
    </rPh>
    <rPh sb="22" eb="23">
      <t>カタ</t>
    </rPh>
    <rPh sb="25" eb="26">
      <t>ナカ</t>
    </rPh>
    <rPh sb="28" eb="30">
      <t>イカ</t>
    </rPh>
    <rPh sb="31" eb="33">
      <t>ナイヨウ</t>
    </rPh>
    <rPh sb="34" eb="35">
      <t>ト</t>
    </rPh>
    <rPh sb="36" eb="37">
      <t>アツカ</t>
    </rPh>
    <rPh sb="43" eb="47">
      <t>ジョウホウショリ</t>
    </rPh>
    <rPh sb="47" eb="48">
      <t>ダイ</t>
    </rPh>
    <rPh sb="49" eb="51">
      <t>カイメ</t>
    </rPh>
    <rPh sb="61" eb="63">
      <t>シュウシュウ</t>
    </rPh>
    <rPh sb="74" eb="76">
      <t>トクセイ</t>
    </rPh>
    <rPh sb="77" eb="78">
      <t>オウ</t>
    </rPh>
    <rPh sb="83" eb="84">
      <t>カ</t>
    </rPh>
    <rPh sb="85" eb="87">
      <t>テイギ</t>
    </rPh>
    <rPh sb="87" eb="89">
      <t>カイセツ</t>
    </rPh>
    <rPh sb="91" eb="93">
      <t>シュウシュウ</t>
    </rPh>
    <rPh sb="102" eb="103">
      <t>カ</t>
    </rPh>
    <rPh sb="105" eb="107">
      <t>チケン</t>
    </rPh>
    <rPh sb="109" eb="111">
      <t>ヨソク</t>
    </rPh>
    <rPh sb="112" eb="113">
      <t>タ</t>
    </rPh>
    <rPh sb="115" eb="117">
      <t>シュホウ</t>
    </rPh>
    <rPh sb="118" eb="120">
      <t>カイセツ</t>
    </rPh>
    <rPh sb="121" eb="123">
      <t>トクテイ</t>
    </rPh>
    <rPh sb="123" eb="125">
      <t>チイキ</t>
    </rPh>
    <rPh sb="126" eb="129">
      <t>ネンレイベツ</t>
    </rPh>
    <rPh sb="129" eb="131">
      <t>ジンコウ</t>
    </rPh>
    <rPh sb="131" eb="133">
      <t>ヒリツ</t>
    </rPh>
    <rPh sb="139" eb="141">
      <t>テンカイ</t>
    </rPh>
    <rPh sb="157" eb="158">
      <t>ジョウ</t>
    </rPh>
    <rPh sb="159" eb="161">
      <t>コウカイ</t>
    </rPh>
    <rPh sb="175" eb="177">
      <t>センテイ</t>
    </rPh>
    <rPh sb="184" eb="186">
      <t>チケン</t>
    </rPh>
    <rPh sb="187" eb="188">
      <t>エ</t>
    </rPh>
    <rPh sb="193" eb="194">
      <t>ハナ</t>
    </rPh>
    <rPh sb="195" eb="196">
      <t>ア</t>
    </rPh>
    <phoneticPr fontId="1"/>
  </si>
  <si>
    <t>情報処理「表計算ソフトウェアの各種機能の使い方」の中で、以下の内容を取り扱っている。［情報処理第8回目］
・小規模データと大規模データの分析手法の解説
・小規模データと大規模データの分析の実例紹介（小規模データ：工場における生産管理データ、大規規模データ：都道府県別年齢別人口比率とサービスの展開など）
・グループワーク（小規模データの事例、大規模データの事例をグループで発表し、共有する）</t>
    <rPh sb="0" eb="4">
      <t>ジョウホウショリ</t>
    </rPh>
    <rPh sb="5" eb="8">
      <t>ヒョウケイサン</t>
    </rPh>
    <rPh sb="15" eb="17">
      <t>カクシュ</t>
    </rPh>
    <rPh sb="17" eb="19">
      <t>キノウ</t>
    </rPh>
    <rPh sb="20" eb="21">
      <t>ツカ</t>
    </rPh>
    <rPh sb="22" eb="23">
      <t>カタ</t>
    </rPh>
    <rPh sb="25" eb="26">
      <t>ナカ</t>
    </rPh>
    <rPh sb="28" eb="30">
      <t>イカ</t>
    </rPh>
    <rPh sb="31" eb="33">
      <t>ナイヨウ</t>
    </rPh>
    <rPh sb="34" eb="35">
      <t>ト</t>
    </rPh>
    <rPh sb="36" eb="37">
      <t>アツカ</t>
    </rPh>
    <rPh sb="43" eb="47">
      <t>ジョウホウショリ</t>
    </rPh>
    <rPh sb="47" eb="48">
      <t>ダイ</t>
    </rPh>
    <rPh sb="49" eb="51">
      <t>カイメ</t>
    </rPh>
    <rPh sb="54" eb="57">
      <t>ショウキボ</t>
    </rPh>
    <rPh sb="61" eb="64">
      <t>ダイキボ</t>
    </rPh>
    <rPh sb="68" eb="70">
      <t>ブンセキ</t>
    </rPh>
    <rPh sb="70" eb="72">
      <t>シュホウ</t>
    </rPh>
    <rPh sb="73" eb="75">
      <t>カイセツ</t>
    </rPh>
    <rPh sb="77" eb="80">
      <t>ショウキボ</t>
    </rPh>
    <rPh sb="84" eb="87">
      <t>ダイキボ</t>
    </rPh>
    <rPh sb="91" eb="93">
      <t>ブンセキ</t>
    </rPh>
    <rPh sb="94" eb="96">
      <t>ジツレイ</t>
    </rPh>
    <rPh sb="96" eb="98">
      <t>ショウカイ</t>
    </rPh>
    <rPh sb="99" eb="102">
      <t>ショウキボ</t>
    </rPh>
    <rPh sb="106" eb="108">
      <t>コウジョウ</t>
    </rPh>
    <rPh sb="112" eb="114">
      <t>セイサン</t>
    </rPh>
    <rPh sb="114" eb="116">
      <t>カンリ</t>
    </rPh>
    <rPh sb="136" eb="138">
      <t>ジンコウ</t>
    </rPh>
    <rPh sb="138" eb="140">
      <t>ヒリツ</t>
    </rPh>
    <rPh sb="146" eb="148">
      <t>テンカイ</t>
    </rPh>
    <rPh sb="161" eb="164">
      <t>ショウキボ</t>
    </rPh>
    <rPh sb="168" eb="170">
      <t>ジレイ</t>
    </rPh>
    <rPh sb="171" eb="174">
      <t>ダイキボ</t>
    </rPh>
    <rPh sb="178" eb="180">
      <t>ジレイ</t>
    </rPh>
    <rPh sb="186" eb="188">
      <t>ハッピョウ</t>
    </rPh>
    <rPh sb="190" eb="192">
      <t>キョウユウ</t>
    </rPh>
    <phoneticPr fontId="1"/>
  </si>
  <si>
    <t>初年次教育「情報スキル」の中で、情報倫理の基本的な内容と特に情報を扱う者としてのリスク、留意するべき点の解説をしている。［初年次教育第6回目］</t>
    <rPh sb="0" eb="3">
      <t>ショネンジ</t>
    </rPh>
    <rPh sb="3" eb="5">
      <t>キョウイク</t>
    </rPh>
    <rPh sb="6" eb="8">
      <t>ジョウホウ</t>
    </rPh>
    <rPh sb="13" eb="14">
      <t>ナカ</t>
    </rPh>
    <rPh sb="16" eb="20">
      <t>ジョウホウリンリ</t>
    </rPh>
    <rPh sb="21" eb="24">
      <t>キホンテキ</t>
    </rPh>
    <rPh sb="25" eb="27">
      <t>ナイヨウ</t>
    </rPh>
    <rPh sb="28" eb="29">
      <t>トク</t>
    </rPh>
    <rPh sb="30" eb="32">
      <t>ジョウホウ</t>
    </rPh>
    <rPh sb="33" eb="34">
      <t>アツカ</t>
    </rPh>
    <rPh sb="35" eb="36">
      <t>モノ</t>
    </rPh>
    <rPh sb="44" eb="46">
      <t>リュウイ</t>
    </rPh>
    <rPh sb="50" eb="51">
      <t>テン</t>
    </rPh>
    <rPh sb="52" eb="54">
      <t>カイセツ</t>
    </rPh>
    <rPh sb="61" eb="64">
      <t>ショネンジ</t>
    </rPh>
    <rPh sb="64" eb="66">
      <t>キョウイク</t>
    </rPh>
    <rPh sb="66" eb="67">
      <t>ダイ</t>
    </rPh>
    <rPh sb="68" eb="70">
      <t>カイメ</t>
    </rPh>
    <phoneticPr fontId="1"/>
  </si>
  <si>
    <t>初年次教育「情報スキル」の中で、個人のデータの管理方法、特に留意するべき点の解説をしている。［初年次教育第6回目］
情報処理「情報セキュリティ、情報倫理」の中で、標的型サイバー攻撃の手口（メール攻撃）と対策法を解説している。［情報処理第4回］</t>
    <rPh sb="0" eb="3">
      <t>ショネンジ</t>
    </rPh>
    <rPh sb="3" eb="5">
      <t>キョウイク</t>
    </rPh>
    <rPh sb="6" eb="8">
      <t>ジョウホウ</t>
    </rPh>
    <rPh sb="13" eb="14">
      <t>ナカ</t>
    </rPh>
    <rPh sb="16" eb="18">
      <t>コジン</t>
    </rPh>
    <rPh sb="23" eb="25">
      <t>カンリ</t>
    </rPh>
    <rPh sb="25" eb="27">
      <t>ホウホウ</t>
    </rPh>
    <rPh sb="28" eb="29">
      <t>トク</t>
    </rPh>
    <rPh sb="30" eb="32">
      <t>リュウイ</t>
    </rPh>
    <rPh sb="36" eb="37">
      <t>テン</t>
    </rPh>
    <rPh sb="38" eb="40">
      <t>カイセツ</t>
    </rPh>
    <rPh sb="47" eb="50">
      <t>ショネンジ</t>
    </rPh>
    <rPh sb="50" eb="52">
      <t>キョウイク</t>
    </rPh>
    <rPh sb="52" eb="53">
      <t>ダイ</t>
    </rPh>
    <rPh sb="54" eb="56">
      <t>カイメ</t>
    </rPh>
    <rPh sb="58" eb="62">
      <t>ジョウホウショリ</t>
    </rPh>
    <rPh sb="63" eb="65">
      <t>ジョウホウ</t>
    </rPh>
    <rPh sb="72" eb="74">
      <t>ジョウホウ</t>
    </rPh>
    <rPh sb="74" eb="76">
      <t>リンリ</t>
    </rPh>
    <rPh sb="78" eb="79">
      <t>ナカ</t>
    </rPh>
    <rPh sb="81" eb="84">
      <t>ヒョウテキガタ</t>
    </rPh>
    <rPh sb="88" eb="90">
      <t>コウゲキ</t>
    </rPh>
    <rPh sb="91" eb="93">
      <t>テグチ</t>
    </rPh>
    <rPh sb="97" eb="99">
      <t>コウゲキ</t>
    </rPh>
    <rPh sb="101" eb="103">
      <t>タイサク</t>
    </rPh>
    <rPh sb="103" eb="104">
      <t>ホウ</t>
    </rPh>
    <rPh sb="105" eb="107">
      <t>カイセツ</t>
    </rPh>
    <rPh sb="113" eb="117">
      <t>ジョウホウショリ</t>
    </rPh>
    <rPh sb="117" eb="118">
      <t>ダイ</t>
    </rPh>
    <rPh sb="119" eb="120">
      <t>カイ</t>
    </rPh>
    <phoneticPr fontId="1"/>
  </si>
  <si>
    <t>情報処理「表計算ソフトウェアを用いたデータ解析」の中で、以下の内容を取り扱っている。［情報処理第9回目］
・国勢調査に基づく、総務省の人口統計を読み、男女別年齢別の統計グラフ化
・グラフの視点を変更する演習（棒グラフから円グラフ）、年齢別人口からリタイア層の割合を抽出
・モデル化したデータを検証し、知見となり得る事象をグループで共有する。</t>
    <rPh sb="0" eb="4">
      <t>ジョウホウショリ</t>
    </rPh>
    <rPh sb="5" eb="8">
      <t>ヒョウケイサン</t>
    </rPh>
    <rPh sb="15" eb="16">
      <t>モチ</t>
    </rPh>
    <rPh sb="21" eb="23">
      <t>カイセキ</t>
    </rPh>
    <rPh sb="25" eb="26">
      <t>ナカ</t>
    </rPh>
    <rPh sb="28" eb="30">
      <t>イカ</t>
    </rPh>
    <rPh sb="31" eb="33">
      <t>ナイヨウ</t>
    </rPh>
    <rPh sb="34" eb="35">
      <t>ト</t>
    </rPh>
    <rPh sb="36" eb="37">
      <t>アツカ</t>
    </rPh>
    <rPh sb="43" eb="47">
      <t>ジョウホウショリ</t>
    </rPh>
    <rPh sb="47" eb="48">
      <t>ダイ</t>
    </rPh>
    <rPh sb="49" eb="51">
      <t>カイメ</t>
    </rPh>
    <rPh sb="54" eb="56">
      <t>コクセイ</t>
    </rPh>
    <rPh sb="56" eb="58">
      <t>チョウサ</t>
    </rPh>
    <rPh sb="59" eb="60">
      <t>モト</t>
    </rPh>
    <rPh sb="63" eb="66">
      <t>ソウムショウ</t>
    </rPh>
    <rPh sb="67" eb="69">
      <t>ジンコウ</t>
    </rPh>
    <rPh sb="69" eb="71">
      <t>トウケイ</t>
    </rPh>
    <rPh sb="72" eb="73">
      <t>ヨ</t>
    </rPh>
    <rPh sb="75" eb="78">
      <t>ダンジョベツ</t>
    </rPh>
    <rPh sb="78" eb="81">
      <t>ネンレイベツ</t>
    </rPh>
    <rPh sb="82" eb="84">
      <t>トウケイ</t>
    </rPh>
    <rPh sb="87" eb="88">
      <t>カ</t>
    </rPh>
    <rPh sb="94" eb="96">
      <t>シテン</t>
    </rPh>
    <rPh sb="97" eb="99">
      <t>ヘンコウ</t>
    </rPh>
    <rPh sb="101" eb="103">
      <t>エンシュウ</t>
    </rPh>
    <rPh sb="104" eb="105">
      <t>ボウ</t>
    </rPh>
    <rPh sb="110" eb="111">
      <t>エン</t>
    </rPh>
    <rPh sb="116" eb="119">
      <t>ネンレイベツ</t>
    </rPh>
    <rPh sb="119" eb="121">
      <t>ジンコウ</t>
    </rPh>
    <rPh sb="127" eb="128">
      <t>ソウ</t>
    </rPh>
    <rPh sb="129" eb="131">
      <t>ワリアイ</t>
    </rPh>
    <rPh sb="132" eb="134">
      <t>チュウシュツ</t>
    </rPh>
    <rPh sb="139" eb="140">
      <t>カ</t>
    </rPh>
    <rPh sb="146" eb="148">
      <t>ケンショウ</t>
    </rPh>
    <rPh sb="150" eb="152">
      <t>チケン</t>
    </rPh>
    <rPh sb="155" eb="156">
      <t>ウ</t>
    </rPh>
    <rPh sb="157" eb="159">
      <t>ジショウ</t>
    </rPh>
    <rPh sb="165" eb="167">
      <t>キョウユウ</t>
    </rPh>
    <phoneticPr fontId="1"/>
  </si>
  <si>
    <t>情報処理「表計算ソフトウェアを用いたデータ解析」の中で、以下の内容を取り扱っている。［情報処理第9回目］
・国勢調査に基づく、総務省の都道府県別人口データを読み、総計人口に集計作業
・都道府県別のリタイア層の統計から、全国のリタイア層の平均人口を集計・計算
・グループワーク（データの集計・計算結果を検証し、知見になり得る事象をグループで共有する）</t>
    <rPh sb="0" eb="4">
      <t>ジョウホウショリ</t>
    </rPh>
    <rPh sb="5" eb="8">
      <t>ヒョウケイサン</t>
    </rPh>
    <rPh sb="15" eb="16">
      <t>モチ</t>
    </rPh>
    <rPh sb="21" eb="23">
      <t>カイセキ</t>
    </rPh>
    <rPh sb="25" eb="26">
      <t>ナカ</t>
    </rPh>
    <rPh sb="28" eb="30">
      <t>イカ</t>
    </rPh>
    <rPh sb="31" eb="33">
      <t>ナイヨウ</t>
    </rPh>
    <rPh sb="34" eb="35">
      <t>ト</t>
    </rPh>
    <rPh sb="36" eb="37">
      <t>アツカ</t>
    </rPh>
    <rPh sb="43" eb="47">
      <t>ジョウホウショリ</t>
    </rPh>
    <rPh sb="47" eb="48">
      <t>ダイ</t>
    </rPh>
    <rPh sb="49" eb="51">
      <t>カイメ</t>
    </rPh>
    <rPh sb="54" eb="56">
      <t>コクセイ</t>
    </rPh>
    <rPh sb="56" eb="58">
      <t>チョウサ</t>
    </rPh>
    <rPh sb="59" eb="60">
      <t>モト</t>
    </rPh>
    <rPh sb="63" eb="66">
      <t>ソウムショウ</t>
    </rPh>
    <rPh sb="67" eb="71">
      <t>トドウフケン</t>
    </rPh>
    <rPh sb="71" eb="72">
      <t>ベツ</t>
    </rPh>
    <rPh sb="72" eb="74">
      <t>ジンコウ</t>
    </rPh>
    <rPh sb="78" eb="79">
      <t>ヨ</t>
    </rPh>
    <rPh sb="81" eb="83">
      <t>ソウケイ</t>
    </rPh>
    <rPh sb="83" eb="85">
      <t>ジンコウ</t>
    </rPh>
    <rPh sb="86" eb="88">
      <t>シュウケイ</t>
    </rPh>
    <rPh sb="88" eb="90">
      <t>サギョウ</t>
    </rPh>
    <rPh sb="92" eb="97">
      <t>トドウフケンベツ</t>
    </rPh>
    <rPh sb="102" eb="103">
      <t>ソウ</t>
    </rPh>
    <rPh sb="104" eb="106">
      <t>トウケイ</t>
    </rPh>
    <rPh sb="109" eb="111">
      <t>ゼンコク</t>
    </rPh>
    <rPh sb="116" eb="117">
      <t>ソウ</t>
    </rPh>
    <rPh sb="118" eb="120">
      <t>ヘイキン</t>
    </rPh>
    <rPh sb="120" eb="122">
      <t>ジンコウ</t>
    </rPh>
    <rPh sb="123" eb="125">
      <t>シュウケイ</t>
    </rPh>
    <rPh sb="126" eb="128">
      <t>ケイサン</t>
    </rPh>
    <rPh sb="142" eb="144">
      <t>シュウケイ</t>
    </rPh>
    <rPh sb="145" eb="147">
      <t>ケイサン</t>
    </rPh>
    <rPh sb="147" eb="149">
      <t>ケッカ</t>
    </rPh>
    <rPh sb="150" eb="152">
      <t>ケンショウ</t>
    </rPh>
    <rPh sb="154" eb="156">
      <t>チケン</t>
    </rPh>
    <rPh sb="159" eb="160">
      <t>ウ</t>
    </rPh>
    <rPh sb="161" eb="163">
      <t>ジショウ</t>
    </rPh>
    <rPh sb="169" eb="171">
      <t>キョウユウ</t>
    </rPh>
    <phoneticPr fontId="1"/>
  </si>
  <si>
    <t>情報処理「プレゼンテーションソフトウェアの使い方（資料作成における注意事項）」の中で、人口統計を用いたモデル化の演習を通し、得られた知見と将来の人口比率の予測をパワーポイントで発表している。（グループワーク、グループ発表）［情報処理第11回目］</t>
    <rPh sb="0" eb="4">
      <t>ジョウホウショリ</t>
    </rPh>
    <rPh sb="21" eb="22">
      <t>ツカ</t>
    </rPh>
    <rPh sb="23" eb="24">
      <t>カタ</t>
    </rPh>
    <rPh sb="25" eb="27">
      <t>シリョウ</t>
    </rPh>
    <rPh sb="27" eb="29">
      <t>サクセイ</t>
    </rPh>
    <rPh sb="33" eb="35">
      <t>チュウイ</t>
    </rPh>
    <rPh sb="35" eb="37">
      <t>ジコウ</t>
    </rPh>
    <rPh sb="40" eb="41">
      <t>ナカ</t>
    </rPh>
    <rPh sb="43" eb="45">
      <t>ジンコウ</t>
    </rPh>
    <rPh sb="45" eb="47">
      <t>トウケイ</t>
    </rPh>
    <rPh sb="48" eb="49">
      <t>モチ</t>
    </rPh>
    <rPh sb="54" eb="55">
      <t>カ</t>
    </rPh>
    <rPh sb="56" eb="58">
      <t>エンシュウ</t>
    </rPh>
    <rPh sb="59" eb="60">
      <t>トオ</t>
    </rPh>
    <rPh sb="62" eb="63">
      <t>エ</t>
    </rPh>
    <rPh sb="66" eb="68">
      <t>チケン</t>
    </rPh>
    <rPh sb="69" eb="71">
      <t>ショウライ</t>
    </rPh>
    <rPh sb="72" eb="74">
      <t>ジンコウ</t>
    </rPh>
    <rPh sb="74" eb="76">
      <t>ヒリツ</t>
    </rPh>
    <rPh sb="77" eb="79">
      <t>ヨソク</t>
    </rPh>
    <rPh sb="88" eb="90">
      <t>ハッピョウ</t>
    </rPh>
    <rPh sb="108" eb="110">
      <t>ハッピョウ</t>
    </rPh>
    <rPh sb="112" eb="116">
      <t>ジョウホウショリ</t>
    </rPh>
    <rPh sb="116" eb="117">
      <t>ダイ</t>
    </rPh>
    <rPh sb="119" eb="121">
      <t>カイメ</t>
    </rPh>
    <phoneticPr fontId="1"/>
  </si>
  <si>
    <t>講義内容</t>
    <rPh sb="0" eb="4">
      <t>コウギナイヨウ</t>
    </rPh>
    <phoneticPr fontId="1"/>
  </si>
  <si>
    <t>https://www.it-chiba.ac.jp/faculty/ai/</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</si>
</sst>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10"/>
      <color rgb="FFFF0000"/>
      <name val="ＭＳ Ｐゴシック"/>
      <family val="3"/>
      <charset val="128"/>
      <scheme val="minor"/>
    </font>
    <font>
      <sz val="11"/>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5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21" fillId="0" borderId="39" xfId="0" applyFont="1" applyBorder="1" applyAlignment="1">
      <alignment horizontal="left" vertical="center" wrapText="1" shrinkToFit="1"/>
    </xf>
    <xf numFmtId="0" fontId="22" fillId="0" borderId="39" xfId="0" applyFont="1" applyBorder="1" applyAlignment="1">
      <alignment horizontal="left" vertical="center" shrinkToFit="1"/>
    </xf>
    <xf numFmtId="0" fontId="22" fillId="0" borderId="38" xfId="0" applyFont="1" applyBorder="1" applyAlignment="1">
      <alignment horizontal="left" vertical="center" shrinkToFit="1"/>
    </xf>
    <xf numFmtId="0" fontId="24" fillId="0" borderId="6" xfId="0" applyFont="1" applyBorder="1" applyAlignment="1">
      <alignment horizontal="left" vertical="center" wrapText="1" shrinkToFit="1"/>
    </xf>
    <xf numFmtId="0" fontId="24" fillId="0" borderId="6" xfId="0" applyFont="1" applyBorder="1" applyAlignment="1">
      <alignment horizontal="left" vertical="center" shrinkToFit="1"/>
    </xf>
    <xf numFmtId="0" fontId="24"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24" fillId="0" borderId="39" xfId="0" applyFont="1" applyBorder="1" applyAlignment="1">
      <alignment horizontal="left" vertical="center" wrapText="1" shrinkToFit="1"/>
    </xf>
    <xf numFmtId="0" fontId="24" fillId="0" borderId="39" xfId="0" applyFont="1" applyBorder="1" applyAlignment="1">
      <alignment horizontal="left" vertical="center" shrinkToFit="1"/>
    </xf>
    <xf numFmtId="0" fontId="24" fillId="0" borderId="38" xfId="0" applyFont="1" applyBorder="1" applyAlignment="1">
      <alignment horizontal="left" vertical="center" shrinkToFit="1"/>
    </xf>
    <xf numFmtId="0" fontId="8" fillId="0" borderId="0" xfId="0" applyFont="1" applyAlignment="1">
      <alignment vertical="center" wrapText="1"/>
    </xf>
    <xf numFmtId="0" fontId="19" fillId="0" borderId="0" xfId="0" applyFont="1" applyAlignment="1">
      <alignment horizontal="center" vertical="center"/>
    </xf>
    <xf numFmtId="0" fontId="11"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2" fillId="0" borderId="39" xfId="0" applyFont="1" applyBorder="1" applyAlignment="1">
      <alignment vertical="center" wrapText="1" shrinkToFit="1"/>
    </xf>
    <xf numFmtId="0" fontId="22" fillId="0" borderId="39" xfId="0" applyFont="1" applyBorder="1" applyAlignment="1">
      <alignment vertical="center" shrinkToFit="1"/>
    </xf>
    <xf numFmtId="0" fontId="22" fillId="0" borderId="38" xfId="0" applyFont="1" applyBorder="1" applyAlignment="1">
      <alignment vertical="center" shrinkToFit="1"/>
    </xf>
    <xf numFmtId="0" fontId="21" fillId="0" borderId="6" xfId="0" applyFont="1" applyBorder="1" applyAlignment="1">
      <alignment vertical="center" wrapText="1" shrinkToFit="1"/>
    </xf>
    <xf numFmtId="0" fontId="22" fillId="0" borderId="6" xfId="0" applyFont="1" applyBorder="1" applyAlignment="1">
      <alignment vertical="center" shrinkToFit="1"/>
    </xf>
    <xf numFmtId="0" fontId="22" fillId="0" borderId="12" xfId="0" applyFont="1" applyBorder="1" applyAlignment="1">
      <alignment vertical="center"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4" fillId="0" borderId="8" xfId="0" applyFont="1" applyBorder="1" applyAlignment="1">
      <alignment horizontal="left" vertical="center" wrapText="1" shrinkToFit="1"/>
    </xf>
    <xf numFmtId="0" fontId="24" fillId="0" borderId="9" xfId="0" applyFont="1" applyBorder="1" applyAlignment="1">
      <alignment horizontal="left" vertical="center" wrapText="1"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11" fillId="0" borderId="16" xfId="0" applyFont="1" applyBorder="1" applyAlignment="1">
      <alignment vertical="top" wrapText="1" shrinkToFit="1"/>
    </xf>
    <xf numFmtId="0" fontId="11" fillId="0" borderId="22" xfId="0" applyFont="1" applyBorder="1" applyAlignment="1">
      <alignment vertical="top" wrapText="1" shrinkToFit="1"/>
    </xf>
    <xf numFmtId="0" fontId="11" fillId="0" borderId="21" xfId="0" applyFont="1" applyBorder="1" applyAlignment="1">
      <alignment vertical="top" wrapText="1"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25" fillId="0" borderId="7" xfId="0" applyFont="1" applyBorder="1" applyAlignment="1">
      <alignment vertical="top" wrapText="1" shrinkToFit="1"/>
    </xf>
    <xf numFmtId="0" fontId="25" fillId="0" borderId="8" xfId="0" applyFont="1" applyBorder="1" applyAlignment="1">
      <alignment vertical="top" wrapText="1" shrinkToFit="1"/>
    </xf>
    <xf numFmtId="0" fontId="25" fillId="0" borderId="8" xfId="0" applyFont="1" applyBorder="1" applyAlignment="1">
      <alignment vertical="top" shrinkToFit="1"/>
    </xf>
    <xf numFmtId="0" fontId="25" fillId="0" borderId="9" xfId="0" applyFont="1" applyBorder="1" applyAlignment="1">
      <alignment vertical="top" shrinkToFit="1"/>
    </xf>
    <xf numFmtId="0" fontId="25" fillId="0" borderId="5" xfId="0" applyFont="1" applyBorder="1" applyAlignment="1">
      <alignment vertical="top" shrinkToFit="1"/>
    </xf>
    <xf numFmtId="0" fontId="25" fillId="0" borderId="0" xfId="0" applyFont="1" applyAlignment="1">
      <alignment vertical="top" shrinkToFit="1"/>
    </xf>
    <xf numFmtId="0" fontId="25" fillId="0" borderId="10" xfId="0" applyFont="1" applyBorder="1" applyAlignment="1">
      <alignment vertical="top" shrinkToFit="1"/>
    </xf>
    <xf numFmtId="0" fontId="25" fillId="0" borderId="11" xfId="0" applyFont="1" applyBorder="1" applyAlignment="1">
      <alignment vertical="top" shrinkToFit="1"/>
    </xf>
    <xf numFmtId="0" fontId="25" fillId="0" borderId="6" xfId="0" applyFont="1" applyBorder="1" applyAlignment="1">
      <alignment vertical="top" shrinkToFit="1"/>
    </xf>
    <xf numFmtId="0" fontId="25" fillId="0" borderId="12" xfId="0" applyFont="1" applyBorder="1" applyAlignment="1">
      <alignment vertical="top"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left" vertical="center" shrinkToFit="1"/>
    </xf>
    <xf numFmtId="0" fontId="12" fillId="0" borderId="3" xfId="2" applyFont="1" applyBorder="1" applyAlignment="1">
      <alignment horizontal="left" vertical="center" shrinkToFit="1"/>
    </xf>
    <xf numFmtId="0" fontId="12" fillId="0" borderId="4" xfId="2" applyFont="1" applyBorder="1" applyAlignment="1">
      <alignment horizontal="left"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6" fillId="0" borderId="20" xfId="0" applyFont="1" applyBorder="1" applyAlignment="1">
      <alignment vertical="top" wrapText="1" shrinkToFit="1"/>
    </xf>
    <xf numFmtId="0" fontId="26"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5" fillId="0" borderId="19" xfId="0" applyFont="1" applyBorder="1" applyAlignment="1">
      <alignment vertical="top" wrapText="1" shrinkToFit="1"/>
    </xf>
    <xf numFmtId="0" fontId="25" fillId="0" borderId="20" xfId="0" applyFont="1" applyBorder="1" applyAlignment="1">
      <alignment vertical="top" wrapText="1" shrinkToFit="1"/>
    </xf>
    <xf numFmtId="0" fontId="25" fillId="0" borderId="18" xfId="0" applyFont="1" applyBorder="1" applyAlignment="1">
      <alignment vertical="top" wrapText="1" shrinkToFit="1"/>
    </xf>
    <xf numFmtId="0" fontId="11"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kyoumu@it-chiba.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t-chiba.ac.jp/faculty/ai/"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t-chiba.ac.jp/faculty/ai/"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K17" sqref="K17"/>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38" t="s">
        <v>26</v>
      </c>
      <c r="N1" s="138"/>
    </row>
    <row r="2" spans="1:15" ht="24" customHeight="1" x14ac:dyDescent="0.2">
      <c r="A2" s="142" t="s">
        <v>87</v>
      </c>
      <c r="B2" s="142"/>
      <c r="C2" s="142"/>
      <c r="D2" s="142"/>
      <c r="E2" s="142"/>
      <c r="F2" s="142"/>
      <c r="G2" s="142"/>
      <c r="H2" s="142"/>
      <c r="I2" s="142"/>
      <c r="J2" s="142"/>
      <c r="K2" s="142"/>
      <c r="L2" s="142"/>
      <c r="M2" s="142"/>
      <c r="N2" s="142"/>
    </row>
    <row r="3" spans="1:15" ht="24" customHeight="1" x14ac:dyDescent="0.2"/>
    <row r="4" spans="1:15" ht="24" customHeight="1" x14ac:dyDescent="0.2">
      <c r="A4" s="14" t="s">
        <v>6</v>
      </c>
      <c r="B4" s="15" t="s">
        <v>17</v>
      </c>
      <c r="C4" s="130" t="s">
        <v>153</v>
      </c>
      <c r="D4" s="131"/>
      <c r="E4" s="131"/>
      <c r="F4" s="131"/>
      <c r="G4" s="131"/>
      <c r="H4" s="131"/>
      <c r="I4" s="131"/>
      <c r="J4" s="131"/>
      <c r="K4" s="131"/>
      <c r="L4" s="131"/>
      <c r="M4" s="131"/>
      <c r="N4" s="137"/>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50</v>
      </c>
      <c r="B6" s="15" t="s">
        <v>51</v>
      </c>
      <c r="C6" s="15"/>
      <c r="D6" s="130" t="s">
        <v>154</v>
      </c>
      <c r="E6" s="131"/>
      <c r="F6" s="131"/>
      <c r="G6" s="131"/>
      <c r="H6" s="137"/>
      <c r="I6" s="17" t="s">
        <v>90</v>
      </c>
      <c r="J6" s="37" t="s">
        <v>91</v>
      </c>
      <c r="K6" s="130" t="s">
        <v>155</v>
      </c>
      <c r="L6" s="131"/>
      <c r="M6" s="131"/>
      <c r="N6" s="137"/>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14</v>
      </c>
      <c r="B8" s="15" t="s">
        <v>47</v>
      </c>
      <c r="C8" s="130" t="s">
        <v>156</v>
      </c>
      <c r="D8" s="131"/>
      <c r="E8" s="131"/>
      <c r="F8" s="131"/>
      <c r="G8" s="131"/>
      <c r="H8" s="131"/>
      <c r="I8" s="131"/>
      <c r="J8" s="131"/>
      <c r="K8" s="131"/>
      <c r="L8" s="131"/>
      <c r="M8" s="131"/>
      <c r="N8" s="137"/>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12</v>
      </c>
      <c r="B10" s="15" t="s">
        <v>89</v>
      </c>
      <c r="C10" s="15"/>
      <c r="D10" s="15"/>
      <c r="E10" s="130" t="s">
        <v>157</v>
      </c>
      <c r="F10" s="131"/>
      <c r="G10" s="131"/>
      <c r="H10" s="131"/>
      <c r="I10" s="131"/>
      <c r="J10" s="131"/>
      <c r="K10" s="131"/>
      <c r="L10" s="131"/>
      <c r="M10" s="131"/>
      <c r="N10" s="137"/>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60</v>
      </c>
      <c r="B12" s="16" t="s">
        <v>61</v>
      </c>
      <c r="C12" s="16"/>
      <c r="D12" s="16"/>
      <c r="E12" s="143" t="s">
        <v>159</v>
      </c>
      <c r="F12" s="144"/>
      <c r="G12" s="17" t="s">
        <v>100</v>
      </c>
      <c r="H12" s="14" t="s">
        <v>101</v>
      </c>
      <c r="N12" s="117" t="s">
        <v>158</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55</v>
      </c>
      <c r="B14" s="14" t="s">
        <v>0</v>
      </c>
      <c r="C14" s="139" t="s">
        <v>5</v>
      </c>
      <c r="D14" s="140"/>
      <c r="E14" s="134">
        <v>270</v>
      </c>
      <c r="F14" s="135"/>
      <c r="G14" s="18" t="s">
        <v>8</v>
      </c>
      <c r="I14" s="139" t="s">
        <v>9</v>
      </c>
      <c r="J14" s="140"/>
      <c r="K14" s="134">
        <v>246</v>
      </c>
      <c r="L14" s="141"/>
      <c r="M14" s="135"/>
      <c r="N14" s="19" t="s">
        <v>8</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62</v>
      </c>
      <c r="B16" s="14" t="s">
        <v>72</v>
      </c>
      <c r="F16" s="20"/>
      <c r="G16" s="20"/>
      <c r="H16" s="20"/>
      <c r="I16" s="20"/>
      <c r="J16" s="20"/>
      <c r="K16" s="122">
        <v>11</v>
      </c>
      <c r="L16" s="123"/>
      <c r="M16" s="124"/>
      <c r="N16" s="19" t="s">
        <v>53</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25</v>
      </c>
      <c r="B18" s="14" t="s">
        <v>81</v>
      </c>
      <c r="E18" s="134">
        <v>1990</v>
      </c>
      <c r="F18" s="135"/>
      <c r="G18" s="21" t="s">
        <v>22</v>
      </c>
      <c r="H18" s="20"/>
      <c r="K18" s="136"/>
      <c r="L18" s="136"/>
      <c r="M18" s="136"/>
      <c r="N18" s="136"/>
      <c r="O18" s="31" t="str">
        <f>IF(E18="","入力してください","")</f>
        <v/>
      </c>
    </row>
    <row r="19" spans="1:15" ht="7.5" customHeight="1" x14ac:dyDescent="0.2">
      <c r="E19" s="10"/>
      <c r="F19" s="20"/>
      <c r="G19" s="20"/>
      <c r="L19" s="36"/>
      <c r="M19" s="36"/>
      <c r="N19" s="22"/>
    </row>
    <row r="20" spans="1:15" ht="24" customHeight="1" x14ac:dyDescent="0.2">
      <c r="A20" s="14" t="s">
        <v>80</v>
      </c>
      <c r="B20" s="14" t="s">
        <v>82</v>
      </c>
      <c r="E20" s="10"/>
      <c r="F20" s="20"/>
      <c r="G20" s="20"/>
      <c r="H20" s="14" t="s">
        <v>54</v>
      </c>
      <c r="J20" s="125">
        <v>9310</v>
      </c>
      <c r="K20" s="126"/>
      <c r="L20" s="127"/>
      <c r="M20" s="36" t="s">
        <v>53</v>
      </c>
      <c r="N20" s="22"/>
      <c r="O20" s="31" t="str">
        <f>IF(J20="","入力してください","")</f>
        <v/>
      </c>
    </row>
    <row r="21" spans="1:15" ht="7.5" customHeight="1" x14ac:dyDescent="0.2">
      <c r="E21" s="10"/>
      <c r="F21" s="20"/>
      <c r="G21" s="20"/>
      <c r="L21" s="36"/>
      <c r="M21" s="36"/>
      <c r="N21" s="22"/>
    </row>
    <row r="22" spans="1:15" ht="24" customHeight="1" x14ac:dyDescent="0.2">
      <c r="B22" s="29" t="s">
        <v>18</v>
      </c>
      <c r="C22" s="134">
        <v>2421</v>
      </c>
      <c r="D22" s="135"/>
      <c r="E22" s="10" t="s">
        <v>23</v>
      </c>
      <c r="F22" s="20"/>
      <c r="G22" s="128" t="s">
        <v>19</v>
      </c>
      <c r="H22" s="128"/>
      <c r="I22" s="134">
        <v>2300</v>
      </c>
      <c r="J22" s="135"/>
      <c r="K22" s="17" t="s">
        <v>23</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20</v>
      </c>
      <c r="C24" s="134">
        <v>2276</v>
      </c>
      <c r="D24" s="135"/>
      <c r="E24" s="10" t="s">
        <v>23</v>
      </c>
      <c r="F24" s="20"/>
      <c r="G24" s="128" t="s">
        <v>21</v>
      </c>
      <c r="H24" s="128"/>
      <c r="I24" s="134">
        <v>2313</v>
      </c>
      <c r="J24" s="135"/>
      <c r="K24" s="17" t="s">
        <v>23</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48</v>
      </c>
      <c r="C26" s="134"/>
      <c r="D26" s="135"/>
      <c r="E26" s="10" t="s">
        <v>8</v>
      </c>
      <c r="F26" s="20"/>
      <c r="G26" s="128" t="s">
        <v>49</v>
      </c>
      <c r="H26" s="128"/>
      <c r="I26" s="134"/>
      <c r="J26" s="135"/>
      <c r="K26" s="17" t="s">
        <v>8</v>
      </c>
      <c r="M26" s="36"/>
      <c r="N26" s="22"/>
    </row>
    <row r="27" spans="1:15" ht="7.5" customHeight="1" x14ac:dyDescent="0.2">
      <c r="F27" s="20"/>
      <c r="G27" s="20"/>
      <c r="M27" s="23"/>
      <c r="N27" s="23"/>
    </row>
    <row r="28" spans="1:15" ht="24" customHeight="1" x14ac:dyDescent="0.2">
      <c r="A28" s="14" t="s">
        <v>52</v>
      </c>
      <c r="B28" s="15" t="s">
        <v>79</v>
      </c>
      <c r="C28" s="15"/>
      <c r="D28" s="15"/>
      <c r="E28" s="15"/>
      <c r="F28" s="17"/>
      <c r="G28" s="37"/>
      <c r="H28" s="37"/>
      <c r="I28" s="37"/>
      <c r="J28" s="24"/>
      <c r="K28" s="24"/>
      <c r="L28" s="24"/>
      <c r="M28" s="24"/>
      <c r="N28" s="24"/>
    </row>
    <row r="29" spans="1:15" s="14" customFormat="1" ht="24" customHeight="1" x14ac:dyDescent="0.2">
      <c r="B29" s="129" t="s">
        <v>78</v>
      </c>
      <c r="C29" s="129"/>
      <c r="D29" s="130" t="s">
        <v>162</v>
      </c>
      <c r="E29" s="131"/>
      <c r="F29" s="131"/>
      <c r="G29" s="132" t="s">
        <v>24</v>
      </c>
      <c r="H29" s="129"/>
      <c r="I29" s="133"/>
      <c r="J29" s="130" t="s">
        <v>163</v>
      </c>
      <c r="K29" s="131"/>
      <c r="L29" s="131"/>
      <c r="M29" s="131"/>
      <c r="N29" s="137"/>
      <c r="O29" s="31" t="str">
        <f>IF(OR(D29="",J29=""),"入力してください","")</f>
        <v/>
      </c>
    </row>
    <row r="30" spans="1:15" ht="7.5" customHeight="1" x14ac:dyDescent="0.2">
      <c r="F30" s="20"/>
      <c r="G30" s="20"/>
      <c r="M30" s="23"/>
      <c r="N30" s="23"/>
    </row>
    <row r="31" spans="1:15" ht="24" customHeight="1" x14ac:dyDescent="0.2">
      <c r="A31" s="14" t="s">
        <v>56</v>
      </c>
      <c r="B31" s="15" t="s">
        <v>84</v>
      </c>
      <c r="C31" s="15"/>
      <c r="D31" s="15"/>
      <c r="E31" s="15"/>
      <c r="F31" s="17"/>
      <c r="G31" s="24"/>
      <c r="H31" s="24"/>
      <c r="I31" s="24"/>
      <c r="J31" s="24"/>
      <c r="K31" s="24"/>
      <c r="L31" s="24"/>
      <c r="M31" s="24"/>
      <c r="N31" s="24"/>
    </row>
    <row r="32" spans="1:15" ht="24" customHeight="1" x14ac:dyDescent="0.2">
      <c r="B32" s="130" t="s">
        <v>161</v>
      </c>
      <c r="C32" s="131"/>
      <c r="D32" s="131"/>
      <c r="E32" s="131"/>
      <c r="F32" s="131"/>
      <c r="G32" s="131"/>
      <c r="H32" s="131"/>
      <c r="I32" s="131"/>
      <c r="J32" s="131"/>
      <c r="K32" s="131"/>
      <c r="L32" s="131"/>
      <c r="M32" s="131"/>
      <c r="N32" s="137"/>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29" t="s">
        <v>78</v>
      </c>
      <c r="C34" s="129"/>
      <c r="D34" s="130" t="s">
        <v>160</v>
      </c>
      <c r="E34" s="131"/>
      <c r="F34" s="131"/>
      <c r="G34" s="132" t="s">
        <v>57</v>
      </c>
      <c r="H34" s="129"/>
      <c r="I34" s="133"/>
      <c r="J34" s="130" t="s">
        <v>177</v>
      </c>
      <c r="K34" s="131"/>
      <c r="L34" s="131"/>
      <c r="M34" s="131"/>
      <c r="N34" s="137"/>
      <c r="O34" s="31" t="str">
        <f>IF(OR(D34="",J34=""),"入力してください","")</f>
        <v/>
      </c>
    </row>
    <row r="35" spans="1:15" ht="7.5" customHeight="1" x14ac:dyDescent="0.2">
      <c r="F35" s="37"/>
      <c r="G35" s="37"/>
      <c r="H35" s="37"/>
      <c r="I35" s="37"/>
      <c r="J35" s="37"/>
      <c r="K35" s="37"/>
      <c r="L35" s="37"/>
      <c r="M35" s="37"/>
      <c r="N35" s="37"/>
    </row>
    <row r="36" spans="1:15" ht="24" customHeight="1" x14ac:dyDescent="0.2">
      <c r="A36" s="14" t="s">
        <v>63</v>
      </c>
      <c r="B36" s="14" t="s">
        <v>85</v>
      </c>
      <c r="M36" s="23"/>
      <c r="N36" s="23"/>
    </row>
    <row r="37" spans="1:15" ht="24" customHeight="1" x14ac:dyDescent="0.2">
      <c r="B37" s="130" t="s">
        <v>165</v>
      </c>
      <c r="C37" s="131"/>
      <c r="D37" s="131"/>
      <c r="E37" s="131"/>
      <c r="F37" s="131"/>
      <c r="G37" s="131"/>
      <c r="H37" s="131"/>
      <c r="I37" s="131"/>
      <c r="J37" s="131"/>
      <c r="K37" s="131"/>
      <c r="L37" s="131"/>
      <c r="M37" s="131"/>
      <c r="N37" s="137"/>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29" t="s">
        <v>78</v>
      </c>
      <c r="C39" s="129"/>
      <c r="D39" s="130" t="s">
        <v>166</v>
      </c>
      <c r="E39" s="131"/>
      <c r="F39" s="131"/>
      <c r="G39" s="132" t="s">
        <v>57</v>
      </c>
      <c r="H39" s="129"/>
      <c r="I39" s="133"/>
      <c r="J39" s="130" t="s">
        <v>164</v>
      </c>
      <c r="K39" s="131"/>
      <c r="L39" s="131"/>
      <c r="M39" s="131"/>
      <c r="N39" s="137"/>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92</v>
      </c>
      <c r="B41" s="73" t="s">
        <v>71</v>
      </c>
      <c r="E41" s="74"/>
      <c r="F41" s="130" t="s">
        <v>167</v>
      </c>
      <c r="G41" s="131"/>
      <c r="H41" s="131"/>
      <c r="I41" s="131"/>
      <c r="J41" s="131"/>
      <c r="K41" s="131"/>
      <c r="L41" s="131"/>
      <c r="M41" s="131"/>
      <c r="N41" s="137"/>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102</v>
      </c>
    </row>
    <row r="44" spans="1:15" ht="24" customHeight="1" x14ac:dyDescent="0.2">
      <c r="B44" s="30" t="s">
        <v>1</v>
      </c>
      <c r="C44" s="151" t="s">
        <v>168</v>
      </c>
      <c r="D44" s="152"/>
      <c r="E44" s="152"/>
      <c r="F44" s="152"/>
      <c r="G44" s="152"/>
      <c r="H44" s="152"/>
      <c r="I44" s="26" t="s">
        <v>2</v>
      </c>
      <c r="J44" s="27"/>
      <c r="K44" s="130" t="s">
        <v>169</v>
      </c>
      <c r="L44" s="131"/>
      <c r="M44" s="131"/>
      <c r="N44" s="137"/>
      <c r="O44" s="31" t="str">
        <f>IF(OR(C44="",K44=""),"入力してください","")</f>
        <v/>
      </c>
    </row>
    <row r="45" spans="1:15" ht="24" customHeight="1" x14ac:dyDescent="0.2">
      <c r="B45" s="25" t="s">
        <v>4</v>
      </c>
      <c r="C45" s="145" t="s">
        <v>170</v>
      </c>
      <c r="D45" s="146"/>
      <c r="E45" s="146"/>
      <c r="F45" s="146"/>
      <c r="G45" s="146"/>
      <c r="H45" s="147"/>
      <c r="I45" s="26" t="s">
        <v>3</v>
      </c>
      <c r="J45" s="27"/>
      <c r="K45" s="148" t="s">
        <v>171</v>
      </c>
      <c r="L45" s="149"/>
      <c r="M45" s="149"/>
      <c r="N45" s="15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3D640B91-BA0B-4BEC-8BAA-9278B6CAE897}"/>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opLeftCell="A89" zoomScaleNormal="100" zoomScaleSheetLayoutView="100" workbookViewId="0">
      <selection activeCell="B98" sqref="B98:Z98"/>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174" t="s">
        <v>116</v>
      </c>
      <c r="X1" s="174"/>
      <c r="Y1" s="174"/>
      <c r="Z1" s="174"/>
    </row>
    <row r="2" spans="1:26" ht="18" customHeight="1" x14ac:dyDescent="0.2">
      <c r="A2" s="217" t="s">
        <v>69</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103</v>
      </c>
      <c r="B4" s="29"/>
      <c r="C4" s="29"/>
      <c r="D4" s="29"/>
      <c r="E4" s="29"/>
      <c r="F4" s="29"/>
      <c r="G4" s="29"/>
      <c r="H4" s="15" t="s">
        <v>115</v>
      </c>
      <c r="I4" s="29"/>
      <c r="J4" s="29"/>
      <c r="K4" s="29"/>
      <c r="L4" s="29"/>
      <c r="M4" s="29"/>
      <c r="N4" s="29"/>
      <c r="O4" s="122" t="s">
        <v>172</v>
      </c>
      <c r="P4" s="123"/>
      <c r="Q4" s="123"/>
      <c r="R4" s="123"/>
      <c r="S4" s="123"/>
      <c r="T4" s="123"/>
      <c r="U4" s="123"/>
      <c r="V4" s="123"/>
      <c r="W4" s="123"/>
      <c r="X4" s="123"/>
      <c r="Y4" s="123"/>
      <c r="Z4" s="124"/>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8" t="s">
        <v>173</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2">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2">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2">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2">
      <c r="B10" s="221"/>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3"/>
    </row>
    <row r="11" spans="1:26" ht="18" customHeight="1" x14ac:dyDescent="0.2">
      <c r="B11" s="225"/>
      <c r="C11" s="226"/>
      <c r="D11" s="226"/>
      <c r="E11" s="226"/>
      <c r="F11" s="226"/>
      <c r="G11" s="226"/>
      <c r="H11" s="226"/>
      <c r="I11" s="226"/>
      <c r="J11" s="226"/>
      <c r="K11" s="226"/>
      <c r="L11" s="226"/>
      <c r="M11" s="226"/>
      <c r="N11" s="226"/>
      <c r="O11" s="226"/>
      <c r="P11" s="226"/>
      <c r="Q11" s="226"/>
      <c r="R11" s="226"/>
      <c r="S11" s="226"/>
      <c r="T11" s="226"/>
      <c r="U11" s="226"/>
      <c r="V11" s="226"/>
      <c r="W11" s="226"/>
      <c r="X11" s="226"/>
      <c r="Y11" s="226"/>
      <c r="Z11" s="227"/>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16" t="s">
        <v>130</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2">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2">
      <c r="A15" s="14"/>
      <c r="B15" s="122" t="s">
        <v>104</v>
      </c>
      <c r="C15" s="123"/>
      <c r="D15" s="123"/>
      <c r="E15" s="123"/>
      <c r="F15" s="124"/>
      <c r="G15" s="30" t="s">
        <v>146</v>
      </c>
      <c r="H15" s="112" t="s">
        <v>145</v>
      </c>
      <c r="I15" s="123" t="s">
        <v>105</v>
      </c>
      <c r="J15" s="123"/>
      <c r="K15" s="123"/>
      <c r="L15" s="75" t="s">
        <v>107</v>
      </c>
      <c r="M15" s="75" t="s">
        <v>110</v>
      </c>
      <c r="N15" s="122" t="s">
        <v>104</v>
      </c>
      <c r="O15" s="123"/>
      <c r="P15" s="123"/>
      <c r="Q15" s="123"/>
      <c r="R15" s="123"/>
      <c r="S15" s="124"/>
      <c r="T15" s="30" t="s">
        <v>146</v>
      </c>
      <c r="U15" s="112" t="s">
        <v>145</v>
      </c>
      <c r="V15" s="123" t="s">
        <v>105</v>
      </c>
      <c r="W15" s="123"/>
      <c r="X15" s="123"/>
      <c r="Y15" s="75" t="s">
        <v>107</v>
      </c>
      <c r="Z15" s="75" t="s">
        <v>110</v>
      </c>
    </row>
    <row r="16" spans="1:26" ht="18" customHeight="1" x14ac:dyDescent="0.2">
      <c r="A16" s="14"/>
      <c r="B16" s="175" t="s">
        <v>174</v>
      </c>
      <c r="C16" s="176"/>
      <c r="D16" s="176"/>
      <c r="E16" s="176"/>
      <c r="F16" s="177"/>
      <c r="G16" s="113">
        <v>1</v>
      </c>
      <c r="H16" s="113" t="s">
        <v>175</v>
      </c>
      <c r="I16" s="181" t="s">
        <v>201</v>
      </c>
      <c r="J16" s="182"/>
      <c r="K16" s="183"/>
      <c r="L16" s="113" t="s">
        <v>175</v>
      </c>
      <c r="M16" s="113" t="s">
        <v>175</v>
      </c>
      <c r="N16" s="153"/>
      <c r="O16" s="154"/>
      <c r="P16" s="154"/>
      <c r="Q16" s="154"/>
      <c r="R16" s="154"/>
      <c r="S16" s="155"/>
      <c r="T16" s="113"/>
      <c r="U16" s="113"/>
      <c r="V16" s="181"/>
      <c r="W16" s="182"/>
      <c r="X16" s="183"/>
      <c r="Y16" s="113"/>
      <c r="Z16" s="113"/>
    </row>
    <row r="17" spans="1:26" ht="18" customHeight="1" x14ac:dyDescent="0.2">
      <c r="A17" s="14"/>
      <c r="B17" s="168"/>
      <c r="C17" s="169"/>
      <c r="D17" s="169"/>
      <c r="E17" s="169"/>
      <c r="F17" s="170"/>
      <c r="G17" s="114"/>
      <c r="H17" s="114"/>
      <c r="I17" s="162"/>
      <c r="J17" s="163"/>
      <c r="K17" s="164"/>
      <c r="L17" s="114"/>
      <c r="M17" s="114"/>
      <c r="N17" s="156"/>
      <c r="O17" s="157"/>
      <c r="P17" s="157"/>
      <c r="Q17" s="157"/>
      <c r="R17" s="157"/>
      <c r="S17" s="158"/>
      <c r="T17" s="114"/>
      <c r="U17" s="114"/>
      <c r="V17" s="162"/>
      <c r="W17" s="163"/>
      <c r="X17" s="164"/>
      <c r="Y17" s="114"/>
      <c r="Z17" s="114"/>
    </row>
    <row r="18" spans="1:26" ht="18" customHeight="1" x14ac:dyDescent="0.2">
      <c r="A18" s="14"/>
      <c r="B18" s="168"/>
      <c r="C18" s="169"/>
      <c r="D18" s="169"/>
      <c r="E18" s="169"/>
      <c r="F18" s="170"/>
      <c r="G18" s="114"/>
      <c r="H18" s="114"/>
      <c r="I18" s="162"/>
      <c r="J18" s="163"/>
      <c r="K18" s="164"/>
      <c r="L18" s="114"/>
      <c r="M18" s="114"/>
      <c r="N18" s="156"/>
      <c r="O18" s="157"/>
      <c r="P18" s="157"/>
      <c r="Q18" s="157"/>
      <c r="R18" s="157"/>
      <c r="S18" s="158"/>
      <c r="T18" s="114"/>
      <c r="U18" s="114"/>
      <c r="V18" s="162"/>
      <c r="W18" s="163"/>
      <c r="X18" s="164"/>
      <c r="Y18" s="114"/>
      <c r="Z18" s="114"/>
    </row>
    <row r="19" spans="1:26" ht="18" customHeight="1" x14ac:dyDescent="0.2">
      <c r="A19" s="14"/>
      <c r="B19" s="168"/>
      <c r="C19" s="169"/>
      <c r="D19" s="169"/>
      <c r="E19" s="169"/>
      <c r="F19" s="170"/>
      <c r="G19" s="114"/>
      <c r="H19" s="114"/>
      <c r="I19" s="162"/>
      <c r="J19" s="163"/>
      <c r="K19" s="164"/>
      <c r="L19" s="114"/>
      <c r="M19" s="114"/>
      <c r="N19" s="156"/>
      <c r="O19" s="157"/>
      <c r="P19" s="157"/>
      <c r="Q19" s="157"/>
      <c r="R19" s="157"/>
      <c r="S19" s="158"/>
      <c r="T19" s="114"/>
      <c r="U19" s="114"/>
      <c r="V19" s="162"/>
      <c r="W19" s="163"/>
      <c r="X19" s="164"/>
      <c r="Y19" s="114"/>
      <c r="Z19" s="114"/>
    </row>
    <row r="20" spans="1:26" ht="18" customHeight="1" x14ac:dyDescent="0.2">
      <c r="A20" s="14"/>
      <c r="B20" s="168"/>
      <c r="C20" s="169"/>
      <c r="D20" s="169"/>
      <c r="E20" s="169"/>
      <c r="F20" s="170"/>
      <c r="G20" s="114"/>
      <c r="H20" s="114"/>
      <c r="I20" s="162"/>
      <c r="J20" s="163"/>
      <c r="K20" s="164"/>
      <c r="L20" s="114"/>
      <c r="M20" s="114"/>
      <c r="N20" s="156"/>
      <c r="O20" s="157"/>
      <c r="P20" s="157"/>
      <c r="Q20" s="157"/>
      <c r="R20" s="157"/>
      <c r="S20" s="158"/>
      <c r="T20" s="114"/>
      <c r="U20" s="114"/>
      <c r="V20" s="162"/>
      <c r="W20" s="163"/>
      <c r="X20" s="164"/>
      <c r="Y20" s="114"/>
      <c r="Z20" s="114"/>
    </row>
    <row r="21" spans="1:26" ht="18" customHeight="1" x14ac:dyDescent="0.2">
      <c r="A21" s="29"/>
      <c r="B21" s="168"/>
      <c r="C21" s="169"/>
      <c r="D21" s="169"/>
      <c r="E21" s="169"/>
      <c r="F21" s="170"/>
      <c r="G21" s="114"/>
      <c r="H21" s="114"/>
      <c r="I21" s="162"/>
      <c r="J21" s="163"/>
      <c r="K21" s="164"/>
      <c r="L21" s="114"/>
      <c r="M21" s="114"/>
      <c r="N21" s="156"/>
      <c r="O21" s="157"/>
      <c r="P21" s="157"/>
      <c r="Q21" s="157"/>
      <c r="R21" s="157"/>
      <c r="S21" s="158"/>
      <c r="T21" s="114"/>
      <c r="U21" s="114"/>
      <c r="V21" s="162"/>
      <c r="W21" s="163"/>
      <c r="X21" s="164"/>
      <c r="Y21" s="114"/>
      <c r="Z21" s="114"/>
    </row>
    <row r="22" spans="1:26" ht="18" customHeight="1" x14ac:dyDescent="0.2">
      <c r="A22" s="29"/>
      <c r="B22" s="171"/>
      <c r="C22" s="172"/>
      <c r="D22" s="172"/>
      <c r="E22" s="172"/>
      <c r="F22" s="173"/>
      <c r="G22" s="115"/>
      <c r="H22" s="115"/>
      <c r="I22" s="165"/>
      <c r="J22" s="166"/>
      <c r="K22" s="167"/>
      <c r="L22" s="121"/>
      <c r="M22" s="121"/>
      <c r="N22" s="159"/>
      <c r="O22" s="160"/>
      <c r="P22" s="160"/>
      <c r="Q22" s="160"/>
      <c r="R22" s="160"/>
      <c r="S22" s="161"/>
      <c r="T22" s="115"/>
      <c r="U22" s="115"/>
      <c r="V22" s="165"/>
      <c r="W22" s="166"/>
      <c r="X22" s="167"/>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16" t="s">
        <v>131</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2">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2">
      <c r="A26" s="14"/>
      <c r="B26" s="122" t="s">
        <v>104</v>
      </c>
      <c r="C26" s="123"/>
      <c r="D26" s="123"/>
      <c r="E26" s="123"/>
      <c r="F26" s="124"/>
      <c r="G26" s="30" t="s">
        <v>146</v>
      </c>
      <c r="H26" s="112" t="s">
        <v>145</v>
      </c>
      <c r="I26" s="123" t="s">
        <v>105</v>
      </c>
      <c r="J26" s="123"/>
      <c r="K26" s="123"/>
      <c r="L26" s="75" t="s">
        <v>132</v>
      </c>
      <c r="M26" s="75" t="s">
        <v>133</v>
      </c>
      <c r="N26" s="122" t="s">
        <v>104</v>
      </c>
      <c r="O26" s="123"/>
      <c r="P26" s="123"/>
      <c r="Q26" s="123"/>
      <c r="R26" s="123"/>
      <c r="S26" s="124"/>
      <c r="T26" s="30" t="s">
        <v>146</v>
      </c>
      <c r="U26" s="112" t="s">
        <v>145</v>
      </c>
      <c r="V26" s="123" t="s">
        <v>105</v>
      </c>
      <c r="W26" s="123"/>
      <c r="X26" s="123"/>
      <c r="Y26" s="75" t="s">
        <v>132</v>
      </c>
      <c r="Z26" s="75" t="s">
        <v>133</v>
      </c>
    </row>
    <row r="27" spans="1:26" ht="18" customHeight="1" x14ac:dyDescent="0.2">
      <c r="A27" s="14"/>
      <c r="B27" s="175" t="s">
        <v>176</v>
      </c>
      <c r="C27" s="176"/>
      <c r="D27" s="176"/>
      <c r="E27" s="176"/>
      <c r="F27" s="177"/>
      <c r="G27" s="113">
        <v>2</v>
      </c>
      <c r="H27" s="113" t="s">
        <v>175</v>
      </c>
      <c r="I27" s="181" t="s">
        <v>201</v>
      </c>
      <c r="J27" s="182"/>
      <c r="K27" s="183"/>
      <c r="L27" s="113" t="s">
        <v>175</v>
      </c>
      <c r="M27" s="113" t="s">
        <v>175</v>
      </c>
      <c r="N27" s="153"/>
      <c r="O27" s="154"/>
      <c r="P27" s="154"/>
      <c r="Q27" s="154"/>
      <c r="R27" s="154"/>
      <c r="S27" s="155"/>
      <c r="T27" s="113"/>
      <c r="U27" s="113"/>
      <c r="V27" s="181"/>
      <c r="W27" s="182"/>
      <c r="X27" s="183"/>
      <c r="Y27" s="113"/>
      <c r="Z27" s="113"/>
    </row>
    <row r="28" spans="1:26" ht="18" customHeight="1" x14ac:dyDescent="0.2">
      <c r="A28" s="14"/>
      <c r="B28" s="168"/>
      <c r="C28" s="169"/>
      <c r="D28" s="169"/>
      <c r="E28" s="169"/>
      <c r="F28" s="170"/>
      <c r="G28" s="114"/>
      <c r="H28" s="114"/>
      <c r="I28" s="162"/>
      <c r="J28" s="163"/>
      <c r="K28" s="164"/>
      <c r="L28" s="114"/>
      <c r="M28" s="114"/>
      <c r="N28" s="156"/>
      <c r="O28" s="157"/>
      <c r="P28" s="157"/>
      <c r="Q28" s="157"/>
      <c r="R28" s="157"/>
      <c r="S28" s="158"/>
      <c r="T28" s="114"/>
      <c r="U28" s="114"/>
      <c r="V28" s="162"/>
      <c r="W28" s="163"/>
      <c r="X28" s="164"/>
      <c r="Y28" s="114"/>
      <c r="Z28" s="114"/>
    </row>
    <row r="29" spans="1:26" ht="18" customHeight="1" x14ac:dyDescent="0.2">
      <c r="A29" s="14"/>
      <c r="B29" s="168"/>
      <c r="C29" s="169"/>
      <c r="D29" s="169"/>
      <c r="E29" s="169"/>
      <c r="F29" s="170"/>
      <c r="G29" s="114"/>
      <c r="H29" s="114"/>
      <c r="I29" s="162"/>
      <c r="J29" s="163"/>
      <c r="K29" s="164"/>
      <c r="L29" s="114"/>
      <c r="M29" s="114"/>
      <c r="N29" s="156"/>
      <c r="O29" s="157"/>
      <c r="P29" s="157"/>
      <c r="Q29" s="157"/>
      <c r="R29" s="157"/>
      <c r="S29" s="158"/>
      <c r="T29" s="114"/>
      <c r="U29" s="114"/>
      <c r="V29" s="162"/>
      <c r="W29" s="163"/>
      <c r="X29" s="164"/>
      <c r="Y29" s="114"/>
      <c r="Z29" s="114"/>
    </row>
    <row r="30" spans="1:26" ht="18" customHeight="1" x14ac:dyDescent="0.2">
      <c r="A30" s="14"/>
      <c r="B30" s="168"/>
      <c r="C30" s="169"/>
      <c r="D30" s="169"/>
      <c r="E30" s="169"/>
      <c r="F30" s="170"/>
      <c r="G30" s="114"/>
      <c r="H30" s="114"/>
      <c r="I30" s="162"/>
      <c r="J30" s="163"/>
      <c r="K30" s="164"/>
      <c r="L30" s="114"/>
      <c r="M30" s="114"/>
      <c r="N30" s="156"/>
      <c r="O30" s="157"/>
      <c r="P30" s="157"/>
      <c r="Q30" s="157"/>
      <c r="R30" s="157"/>
      <c r="S30" s="158"/>
      <c r="T30" s="114"/>
      <c r="U30" s="114"/>
      <c r="V30" s="162"/>
      <c r="W30" s="163"/>
      <c r="X30" s="164"/>
      <c r="Y30" s="114"/>
      <c r="Z30" s="114"/>
    </row>
    <row r="31" spans="1:26" ht="18" customHeight="1" x14ac:dyDescent="0.2">
      <c r="A31" s="14"/>
      <c r="B31" s="168"/>
      <c r="C31" s="169"/>
      <c r="D31" s="169"/>
      <c r="E31" s="169"/>
      <c r="F31" s="170"/>
      <c r="G31" s="114"/>
      <c r="H31" s="114"/>
      <c r="I31" s="162"/>
      <c r="J31" s="163"/>
      <c r="K31" s="164"/>
      <c r="L31" s="114"/>
      <c r="M31" s="114"/>
      <c r="N31" s="156"/>
      <c r="O31" s="157"/>
      <c r="P31" s="157"/>
      <c r="Q31" s="157"/>
      <c r="R31" s="157"/>
      <c r="S31" s="158"/>
      <c r="T31" s="114"/>
      <c r="U31" s="114"/>
      <c r="V31" s="162"/>
      <c r="W31" s="163"/>
      <c r="X31" s="164"/>
      <c r="Y31" s="114"/>
      <c r="Z31" s="114"/>
    </row>
    <row r="32" spans="1:26" ht="18" customHeight="1" x14ac:dyDescent="0.2">
      <c r="A32" s="14"/>
      <c r="B32" s="168"/>
      <c r="C32" s="169"/>
      <c r="D32" s="169"/>
      <c r="E32" s="169"/>
      <c r="F32" s="170"/>
      <c r="G32" s="114"/>
      <c r="H32" s="114"/>
      <c r="I32" s="162"/>
      <c r="J32" s="163"/>
      <c r="K32" s="164"/>
      <c r="L32" s="114"/>
      <c r="M32" s="114"/>
      <c r="N32" s="156"/>
      <c r="O32" s="157"/>
      <c r="P32" s="157"/>
      <c r="Q32" s="157"/>
      <c r="R32" s="157"/>
      <c r="S32" s="158"/>
      <c r="T32" s="114"/>
      <c r="U32" s="114"/>
      <c r="V32" s="162"/>
      <c r="W32" s="163"/>
      <c r="X32" s="164"/>
      <c r="Y32" s="114"/>
      <c r="Z32" s="114"/>
    </row>
    <row r="33" spans="1:26" ht="18" customHeight="1" x14ac:dyDescent="0.2">
      <c r="A33" s="14"/>
      <c r="B33" s="171"/>
      <c r="C33" s="172"/>
      <c r="D33" s="172"/>
      <c r="E33" s="172"/>
      <c r="F33" s="173"/>
      <c r="G33" s="115"/>
      <c r="H33" s="115"/>
      <c r="I33" s="165"/>
      <c r="J33" s="166"/>
      <c r="K33" s="167"/>
      <c r="L33" s="121"/>
      <c r="M33" s="121"/>
      <c r="N33" s="159"/>
      <c r="O33" s="160"/>
      <c r="P33" s="160"/>
      <c r="Q33" s="160"/>
      <c r="R33" s="160"/>
      <c r="S33" s="161"/>
      <c r="T33" s="115"/>
      <c r="U33" s="115"/>
      <c r="V33" s="165"/>
      <c r="W33" s="166"/>
      <c r="X33" s="167"/>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16" t="s">
        <v>134</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2">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2">
      <c r="A37" s="14"/>
      <c r="B37" s="122" t="s">
        <v>104</v>
      </c>
      <c r="C37" s="123"/>
      <c r="D37" s="123"/>
      <c r="E37" s="123"/>
      <c r="F37" s="124"/>
      <c r="G37" s="30" t="s">
        <v>146</v>
      </c>
      <c r="H37" s="112" t="s">
        <v>145</v>
      </c>
      <c r="I37" s="122" t="s">
        <v>105</v>
      </c>
      <c r="J37" s="123"/>
      <c r="K37" s="124"/>
      <c r="L37" s="75" t="s">
        <v>135</v>
      </c>
      <c r="M37" s="75" t="s">
        <v>136</v>
      </c>
      <c r="N37" s="122" t="s">
        <v>104</v>
      </c>
      <c r="O37" s="123"/>
      <c r="P37" s="123"/>
      <c r="Q37" s="123"/>
      <c r="R37" s="123"/>
      <c r="S37" s="124"/>
      <c r="T37" s="30" t="s">
        <v>146</v>
      </c>
      <c r="U37" s="112" t="s">
        <v>145</v>
      </c>
      <c r="V37" s="122" t="s">
        <v>105</v>
      </c>
      <c r="W37" s="123"/>
      <c r="X37" s="124"/>
      <c r="Y37" s="75" t="s">
        <v>135</v>
      </c>
      <c r="Z37" s="75" t="s">
        <v>136</v>
      </c>
    </row>
    <row r="38" spans="1:26" ht="18" customHeight="1" x14ac:dyDescent="0.2">
      <c r="A38" s="29"/>
      <c r="B38" s="175" t="s">
        <v>176</v>
      </c>
      <c r="C38" s="176"/>
      <c r="D38" s="176"/>
      <c r="E38" s="176"/>
      <c r="F38" s="177"/>
      <c r="G38" s="113">
        <v>2</v>
      </c>
      <c r="H38" s="113" t="s">
        <v>175</v>
      </c>
      <c r="I38" s="181" t="s">
        <v>201</v>
      </c>
      <c r="J38" s="182"/>
      <c r="K38" s="183"/>
      <c r="L38" s="113" t="s">
        <v>175</v>
      </c>
      <c r="M38" s="113" t="s">
        <v>175</v>
      </c>
      <c r="N38" s="153"/>
      <c r="O38" s="154"/>
      <c r="P38" s="154"/>
      <c r="Q38" s="154"/>
      <c r="R38" s="154"/>
      <c r="S38" s="155"/>
      <c r="T38" s="113"/>
      <c r="U38" s="113"/>
      <c r="V38" s="181"/>
      <c r="W38" s="182"/>
      <c r="X38" s="183"/>
      <c r="Y38" s="113"/>
      <c r="Z38" s="113"/>
    </row>
    <row r="39" spans="1:26" ht="18" customHeight="1" x14ac:dyDescent="0.2">
      <c r="A39" s="29"/>
      <c r="B39" s="168"/>
      <c r="C39" s="169"/>
      <c r="D39" s="169"/>
      <c r="E39" s="169"/>
      <c r="F39" s="170"/>
      <c r="G39" s="114"/>
      <c r="H39" s="114"/>
      <c r="I39" s="162"/>
      <c r="J39" s="163"/>
      <c r="K39" s="164"/>
      <c r="L39" s="114"/>
      <c r="M39" s="114"/>
      <c r="N39" s="156"/>
      <c r="O39" s="157"/>
      <c r="P39" s="157"/>
      <c r="Q39" s="157"/>
      <c r="R39" s="157"/>
      <c r="S39" s="158"/>
      <c r="T39" s="114"/>
      <c r="U39" s="114"/>
      <c r="V39" s="162"/>
      <c r="W39" s="163"/>
      <c r="X39" s="164"/>
      <c r="Y39" s="114"/>
      <c r="Z39" s="114"/>
    </row>
    <row r="40" spans="1:26" ht="18" customHeight="1" x14ac:dyDescent="0.2">
      <c r="A40" s="29"/>
      <c r="B40" s="168"/>
      <c r="C40" s="169"/>
      <c r="D40" s="169"/>
      <c r="E40" s="169"/>
      <c r="F40" s="170"/>
      <c r="G40" s="114"/>
      <c r="H40" s="114"/>
      <c r="I40" s="162"/>
      <c r="J40" s="163"/>
      <c r="K40" s="164"/>
      <c r="L40" s="114"/>
      <c r="M40" s="114"/>
      <c r="N40" s="156"/>
      <c r="O40" s="157"/>
      <c r="P40" s="157"/>
      <c r="Q40" s="157"/>
      <c r="R40" s="157"/>
      <c r="S40" s="158"/>
      <c r="T40" s="114"/>
      <c r="U40" s="114"/>
      <c r="V40" s="162"/>
      <c r="W40" s="163"/>
      <c r="X40" s="164"/>
      <c r="Y40" s="114"/>
      <c r="Z40" s="114"/>
    </row>
    <row r="41" spans="1:26" ht="18" customHeight="1" x14ac:dyDescent="0.2">
      <c r="A41" s="29"/>
      <c r="B41" s="168"/>
      <c r="C41" s="169"/>
      <c r="D41" s="169"/>
      <c r="E41" s="169"/>
      <c r="F41" s="170"/>
      <c r="G41" s="114"/>
      <c r="H41" s="114"/>
      <c r="I41" s="162"/>
      <c r="J41" s="163"/>
      <c r="K41" s="164"/>
      <c r="L41" s="114"/>
      <c r="M41" s="114"/>
      <c r="N41" s="156"/>
      <c r="O41" s="157"/>
      <c r="P41" s="157"/>
      <c r="Q41" s="157"/>
      <c r="R41" s="157"/>
      <c r="S41" s="158"/>
      <c r="T41" s="114"/>
      <c r="U41" s="114"/>
      <c r="V41" s="162"/>
      <c r="W41" s="163"/>
      <c r="X41" s="164"/>
      <c r="Y41" s="114"/>
      <c r="Z41" s="114"/>
    </row>
    <row r="42" spans="1:26" ht="18" customHeight="1" x14ac:dyDescent="0.2">
      <c r="A42" s="29"/>
      <c r="B42" s="168"/>
      <c r="C42" s="169"/>
      <c r="D42" s="169"/>
      <c r="E42" s="169"/>
      <c r="F42" s="170"/>
      <c r="G42" s="114"/>
      <c r="H42" s="114"/>
      <c r="I42" s="162"/>
      <c r="J42" s="163"/>
      <c r="K42" s="164"/>
      <c r="L42" s="114"/>
      <c r="M42" s="114"/>
      <c r="N42" s="156"/>
      <c r="O42" s="157"/>
      <c r="P42" s="157"/>
      <c r="Q42" s="157"/>
      <c r="R42" s="157"/>
      <c r="S42" s="158"/>
      <c r="T42" s="114"/>
      <c r="U42" s="114"/>
      <c r="V42" s="162"/>
      <c r="W42" s="163"/>
      <c r="X42" s="164"/>
      <c r="Y42" s="114"/>
      <c r="Z42" s="114"/>
    </row>
    <row r="43" spans="1:26" ht="18" customHeight="1" x14ac:dyDescent="0.2">
      <c r="A43" s="29"/>
      <c r="B43" s="168"/>
      <c r="C43" s="169"/>
      <c r="D43" s="169"/>
      <c r="E43" s="169"/>
      <c r="F43" s="170"/>
      <c r="G43" s="114"/>
      <c r="H43" s="114"/>
      <c r="I43" s="162"/>
      <c r="J43" s="163"/>
      <c r="K43" s="164"/>
      <c r="L43" s="114"/>
      <c r="M43" s="114"/>
      <c r="N43" s="156"/>
      <c r="O43" s="157"/>
      <c r="P43" s="157"/>
      <c r="Q43" s="157"/>
      <c r="R43" s="157"/>
      <c r="S43" s="158"/>
      <c r="T43" s="114"/>
      <c r="U43" s="114"/>
      <c r="V43" s="162"/>
      <c r="W43" s="163"/>
      <c r="X43" s="164"/>
      <c r="Y43" s="114"/>
      <c r="Z43" s="114"/>
    </row>
    <row r="44" spans="1:26" ht="18" customHeight="1" x14ac:dyDescent="0.2">
      <c r="A44" s="29"/>
      <c r="B44" s="171"/>
      <c r="C44" s="172"/>
      <c r="D44" s="172"/>
      <c r="E44" s="172"/>
      <c r="F44" s="173"/>
      <c r="G44" s="115"/>
      <c r="H44" s="115"/>
      <c r="I44" s="165"/>
      <c r="J44" s="166"/>
      <c r="K44" s="167"/>
      <c r="L44" s="121"/>
      <c r="M44" s="121"/>
      <c r="N44" s="159"/>
      <c r="O44" s="160"/>
      <c r="P44" s="160"/>
      <c r="Q44" s="160"/>
      <c r="R44" s="160"/>
      <c r="S44" s="161"/>
      <c r="T44" s="115"/>
      <c r="U44" s="115"/>
      <c r="V44" s="165"/>
      <c r="W44" s="166"/>
      <c r="X44" s="167"/>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16" t="s">
        <v>137</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2">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2">
      <c r="A48" s="14"/>
      <c r="B48" s="122" t="s">
        <v>104</v>
      </c>
      <c r="C48" s="123"/>
      <c r="D48" s="123"/>
      <c r="E48" s="123"/>
      <c r="F48" s="124"/>
      <c r="G48" s="30" t="s">
        <v>146</v>
      </c>
      <c r="H48" s="112" t="s">
        <v>145</v>
      </c>
      <c r="I48" s="122" t="s">
        <v>105</v>
      </c>
      <c r="J48" s="123"/>
      <c r="K48" s="124"/>
      <c r="L48" s="75" t="s">
        <v>109</v>
      </c>
      <c r="M48" s="75" t="s">
        <v>111</v>
      </c>
      <c r="N48" s="122" t="s">
        <v>104</v>
      </c>
      <c r="O48" s="123"/>
      <c r="P48" s="123"/>
      <c r="Q48" s="123"/>
      <c r="R48" s="123"/>
      <c r="S48" s="124"/>
      <c r="T48" s="30" t="s">
        <v>146</v>
      </c>
      <c r="U48" s="112" t="s">
        <v>145</v>
      </c>
      <c r="V48" s="122" t="s">
        <v>105</v>
      </c>
      <c r="W48" s="123"/>
      <c r="X48" s="124"/>
      <c r="Y48" s="75" t="s">
        <v>109</v>
      </c>
      <c r="Z48" s="75" t="s">
        <v>111</v>
      </c>
    </row>
    <row r="49" spans="1:26" ht="18" customHeight="1" x14ac:dyDescent="0.2">
      <c r="A49" s="29"/>
      <c r="B49" s="175" t="s">
        <v>174</v>
      </c>
      <c r="C49" s="176"/>
      <c r="D49" s="176"/>
      <c r="E49" s="176"/>
      <c r="F49" s="177"/>
      <c r="G49" s="113">
        <v>1</v>
      </c>
      <c r="H49" s="113" t="s">
        <v>175</v>
      </c>
      <c r="I49" s="181" t="s">
        <v>201</v>
      </c>
      <c r="J49" s="182"/>
      <c r="K49" s="183"/>
      <c r="L49" s="113" t="s">
        <v>175</v>
      </c>
      <c r="M49" s="113" t="s">
        <v>175</v>
      </c>
      <c r="N49" s="153"/>
      <c r="O49" s="154"/>
      <c r="P49" s="154"/>
      <c r="Q49" s="154"/>
      <c r="R49" s="154"/>
      <c r="S49" s="155"/>
      <c r="T49" s="113"/>
      <c r="U49" s="113"/>
      <c r="V49" s="181"/>
      <c r="W49" s="182"/>
      <c r="X49" s="183"/>
      <c r="Y49" s="113"/>
      <c r="Z49" s="113"/>
    </row>
    <row r="50" spans="1:26" ht="18" customHeight="1" x14ac:dyDescent="0.2">
      <c r="A50" s="29"/>
      <c r="B50" s="168" t="s">
        <v>202</v>
      </c>
      <c r="C50" s="169"/>
      <c r="D50" s="169"/>
      <c r="E50" s="169"/>
      <c r="F50" s="170"/>
      <c r="G50" s="114">
        <v>2</v>
      </c>
      <c r="H50" s="114" t="s">
        <v>175</v>
      </c>
      <c r="I50" s="162" t="s">
        <v>201</v>
      </c>
      <c r="J50" s="163"/>
      <c r="K50" s="164"/>
      <c r="L50" s="114"/>
      <c r="M50" s="114" t="s">
        <v>175</v>
      </c>
      <c r="N50" s="156"/>
      <c r="O50" s="157"/>
      <c r="P50" s="157"/>
      <c r="Q50" s="157"/>
      <c r="R50" s="157"/>
      <c r="S50" s="158"/>
      <c r="T50" s="114"/>
      <c r="U50" s="114"/>
      <c r="V50" s="162"/>
      <c r="W50" s="163"/>
      <c r="X50" s="164"/>
      <c r="Y50" s="114"/>
      <c r="Z50" s="114"/>
    </row>
    <row r="51" spans="1:26" ht="18" customHeight="1" x14ac:dyDescent="0.2">
      <c r="A51" s="29"/>
      <c r="B51" s="168"/>
      <c r="C51" s="169"/>
      <c r="D51" s="169"/>
      <c r="E51" s="169"/>
      <c r="F51" s="170"/>
      <c r="G51" s="114"/>
      <c r="H51" s="114"/>
      <c r="I51" s="162"/>
      <c r="J51" s="163"/>
      <c r="K51" s="164"/>
      <c r="L51" s="114"/>
      <c r="M51" s="114"/>
      <c r="N51" s="156"/>
      <c r="O51" s="157"/>
      <c r="P51" s="157"/>
      <c r="Q51" s="157"/>
      <c r="R51" s="157"/>
      <c r="S51" s="158"/>
      <c r="T51" s="114"/>
      <c r="U51" s="114"/>
      <c r="V51" s="162"/>
      <c r="W51" s="163"/>
      <c r="X51" s="164"/>
      <c r="Y51" s="114"/>
      <c r="Z51" s="114"/>
    </row>
    <row r="52" spans="1:26" ht="18" customHeight="1" x14ac:dyDescent="0.2">
      <c r="A52" s="29"/>
      <c r="B52" s="168"/>
      <c r="C52" s="169"/>
      <c r="D52" s="169"/>
      <c r="E52" s="169"/>
      <c r="F52" s="170"/>
      <c r="G52" s="114"/>
      <c r="H52" s="114"/>
      <c r="I52" s="162"/>
      <c r="J52" s="163"/>
      <c r="K52" s="164"/>
      <c r="L52" s="114"/>
      <c r="M52" s="114"/>
      <c r="N52" s="156"/>
      <c r="O52" s="157"/>
      <c r="P52" s="157"/>
      <c r="Q52" s="157"/>
      <c r="R52" s="157"/>
      <c r="S52" s="158"/>
      <c r="T52" s="114"/>
      <c r="U52" s="114"/>
      <c r="V52" s="162"/>
      <c r="W52" s="163"/>
      <c r="X52" s="164"/>
      <c r="Y52" s="114"/>
      <c r="Z52" s="114"/>
    </row>
    <row r="53" spans="1:26" ht="18" customHeight="1" x14ac:dyDescent="0.2">
      <c r="A53" s="29"/>
      <c r="B53" s="168"/>
      <c r="C53" s="169"/>
      <c r="D53" s="169"/>
      <c r="E53" s="169"/>
      <c r="F53" s="170"/>
      <c r="G53" s="114"/>
      <c r="H53" s="114"/>
      <c r="I53" s="162"/>
      <c r="J53" s="163"/>
      <c r="K53" s="164"/>
      <c r="L53" s="114"/>
      <c r="M53" s="114"/>
      <c r="N53" s="156"/>
      <c r="O53" s="157"/>
      <c r="P53" s="157"/>
      <c r="Q53" s="157"/>
      <c r="R53" s="157"/>
      <c r="S53" s="158"/>
      <c r="T53" s="114"/>
      <c r="U53" s="114"/>
      <c r="V53" s="162"/>
      <c r="W53" s="163"/>
      <c r="X53" s="164"/>
      <c r="Y53" s="114"/>
      <c r="Z53" s="114"/>
    </row>
    <row r="54" spans="1:26" ht="18" customHeight="1" x14ac:dyDescent="0.2">
      <c r="A54" s="29"/>
      <c r="B54" s="168"/>
      <c r="C54" s="169"/>
      <c r="D54" s="169"/>
      <c r="E54" s="169"/>
      <c r="F54" s="170"/>
      <c r="G54" s="114"/>
      <c r="H54" s="114"/>
      <c r="I54" s="162"/>
      <c r="J54" s="163"/>
      <c r="K54" s="164"/>
      <c r="L54" s="114"/>
      <c r="M54" s="114"/>
      <c r="N54" s="156"/>
      <c r="O54" s="157"/>
      <c r="P54" s="157"/>
      <c r="Q54" s="157"/>
      <c r="R54" s="157"/>
      <c r="S54" s="158"/>
      <c r="T54" s="114"/>
      <c r="U54" s="114"/>
      <c r="V54" s="162"/>
      <c r="W54" s="163"/>
      <c r="X54" s="164"/>
      <c r="Y54" s="114"/>
      <c r="Z54" s="114"/>
    </row>
    <row r="55" spans="1:26" ht="18" customHeight="1" x14ac:dyDescent="0.2">
      <c r="A55" s="29"/>
      <c r="B55" s="171"/>
      <c r="C55" s="172"/>
      <c r="D55" s="172"/>
      <c r="E55" s="172"/>
      <c r="F55" s="173"/>
      <c r="G55" s="115"/>
      <c r="H55" s="115"/>
      <c r="I55" s="165"/>
      <c r="J55" s="166"/>
      <c r="K55" s="167"/>
      <c r="L55" s="121"/>
      <c r="M55" s="121"/>
      <c r="N55" s="159"/>
      <c r="O55" s="160"/>
      <c r="P55" s="160"/>
      <c r="Q55" s="160"/>
      <c r="R55" s="160"/>
      <c r="S55" s="161"/>
      <c r="T55" s="115"/>
      <c r="U55" s="115"/>
      <c r="V55" s="165"/>
      <c r="W55" s="166"/>
      <c r="X55" s="167"/>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16" t="s">
        <v>138</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2">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2">
      <c r="A59" s="14"/>
      <c r="B59" s="122" t="s">
        <v>104</v>
      </c>
      <c r="C59" s="123"/>
      <c r="D59" s="123"/>
      <c r="E59" s="124"/>
      <c r="F59" s="30" t="s">
        <v>146</v>
      </c>
      <c r="G59" s="112" t="s">
        <v>145</v>
      </c>
      <c r="H59" s="107" t="s">
        <v>105</v>
      </c>
      <c r="I59" s="108"/>
      <c r="J59" s="109"/>
      <c r="K59" s="75" t="s">
        <v>108</v>
      </c>
      <c r="L59" s="75" t="s">
        <v>139</v>
      </c>
      <c r="M59" s="75" t="s">
        <v>140</v>
      </c>
      <c r="N59" s="122" t="s">
        <v>104</v>
      </c>
      <c r="O59" s="123"/>
      <c r="P59" s="123"/>
      <c r="Q59" s="123"/>
      <c r="R59" s="124"/>
      <c r="S59" s="30" t="s">
        <v>146</v>
      </c>
      <c r="T59" s="112" t="s">
        <v>145</v>
      </c>
      <c r="U59" s="107" t="s">
        <v>105</v>
      </c>
      <c r="V59" s="108"/>
      <c r="W59" s="109"/>
      <c r="X59" s="75" t="s">
        <v>108</v>
      </c>
      <c r="Y59" s="75" t="s">
        <v>139</v>
      </c>
      <c r="Z59" s="75" t="s">
        <v>140</v>
      </c>
    </row>
    <row r="60" spans="1:26" ht="18" customHeight="1" x14ac:dyDescent="0.2">
      <c r="A60" s="29"/>
      <c r="B60" s="153" t="s">
        <v>176</v>
      </c>
      <c r="C60" s="154"/>
      <c r="D60" s="154"/>
      <c r="E60" s="155"/>
      <c r="F60" s="113">
        <v>2</v>
      </c>
      <c r="G60" s="113" t="s">
        <v>175</v>
      </c>
      <c r="H60" s="181" t="s">
        <v>201</v>
      </c>
      <c r="I60" s="182"/>
      <c r="J60" s="183"/>
      <c r="K60" s="113" t="s">
        <v>175</v>
      </c>
      <c r="L60" s="113" t="s">
        <v>175</v>
      </c>
      <c r="M60" s="113" t="s">
        <v>175</v>
      </c>
      <c r="N60" s="153"/>
      <c r="O60" s="154"/>
      <c r="P60" s="154"/>
      <c r="Q60" s="154"/>
      <c r="R60" s="155"/>
      <c r="S60" s="113"/>
      <c r="T60" s="113"/>
      <c r="U60" s="181"/>
      <c r="V60" s="182"/>
      <c r="W60" s="183"/>
      <c r="X60" s="120"/>
      <c r="Y60" s="113"/>
      <c r="Z60" s="113"/>
    </row>
    <row r="61" spans="1:26" ht="18" customHeight="1" x14ac:dyDescent="0.2">
      <c r="A61" s="29"/>
      <c r="B61" s="156"/>
      <c r="C61" s="157"/>
      <c r="D61" s="157"/>
      <c r="E61" s="158"/>
      <c r="F61" s="114"/>
      <c r="G61" s="114"/>
      <c r="H61" s="162"/>
      <c r="I61" s="163"/>
      <c r="J61" s="164"/>
      <c r="K61" s="118"/>
      <c r="L61" s="114"/>
      <c r="M61" s="114"/>
      <c r="N61" s="156"/>
      <c r="O61" s="157"/>
      <c r="P61" s="157"/>
      <c r="Q61" s="157"/>
      <c r="R61" s="158"/>
      <c r="S61" s="114"/>
      <c r="T61" s="114"/>
      <c r="U61" s="162"/>
      <c r="V61" s="163"/>
      <c r="W61" s="164"/>
      <c r="X61" s="118"/>
      <c r="Y61" s="114"/>
      <c r="Z61" s="114"/>
    </row>
    <row r="62" spans="1:26" ht="18" customHeight="1" x14ac:dyDescent="0.2">
      <c r="A62" s="29"/>
      <c r="B62" s="156"/>
      <c r="C62" s="157"/>
      <c r="D62" s="157"/>
      <c r="E62" s="158"/>
      <c r="F62" s="114"/>
      <c r="G62" s="114"/>
      <c r="H62" s="162"/>
      <c r="I62" s="163"/>
      <c r="J62" s="164"/>
      <c r="K62" s="118"/>
      <c r="L62" s="114"/>
      <c r="M62" s="114"/>
      <c r="N62" s="156"/>
      <c r="O62" s="157"/>
      <c r="P62" s="157"/>
      <c r="Q62" s="157"/>
      <c r="R62" s="158"/>
      <c r="S62" s="114"/>
      <c r="T62" s="114"/>
      <c r="U62" s="162"/>
      <c r="V62" s="163"/>
      <c r="W62" s="164"/>
      <c r="X62" s="118"/>
      <c r="Y62" s="114"/>
      <c r="Z62" s="114"/>
    </row>
    <row r="63" spans="1:26" ht="18" customHeight="1" x14ac:dyDescent="0.2">
      <c r="A63" s="29"/>
      <c r="B63" s="156"/>
      <c r="C63" s="157"/>
      <c r="D63" s="157"/>
      <c r="E63" s="158"/>
      <c r="F63" s="114"/>
      <c r="G63" s="114"/>
      <c r="H63" s="162"/>
      <c r="I63" s="163"/>
      <c r="J63" s="164"/>
      <c r="K63" s="118"/>
      <c r="L63" s="114"/>
      <c r="M63" s="114"/>
      <c r="N63" s="156"/>
      <c r="O63" s="157"/>
      <c r="P63" s="157"/>
      <c r="Q63" s="157"/>
      <c r="R63" s="158"/>
      <c r="S63" s="114"/>
      <c r="T63" s="114"/>
      <c r="U63" s="162"/>
      <c r="V63" s="163"/>
      <c r="W63" s="164"/>
      <c r="X63" s="118"/>
      <c r="Y63" s="114"/>
      <c r="Z63" s="114"/>
    </row>
    <row r="64" spans="1:26" ht="18" customHeight="1" x14ac:dyDescent="0.2">
      <c r="A64" s="29"/>
      <c r="B64" s="156"/>
      <c r="C64" s="157"/>
      <c r="D64" s="157"/>
      <c r="E64" s="158"/>
      <c r="F64" s="114"/>
      <c r="G64" s="114"/>
      <c r="H64" s="162"/>
      <c r="I64" s="163"/>
      <c r="J64" s="164"/>
      <c r="K64" s="118"/>
      <c r="L64" s="114"/>
      <c r="M64" s="114"/>
      <c r="N64" s="156"/>
      <c r="O64" s="157"/>
      <c r="P64" s="157"/>
      <c r="Q64" s="157"/>
      <c r="R64" s="158"/>
      <c r="S64" s="114"/>
      <c r="T64" s="114"/>
      <c r="U64" s="162"/>
      <c r="V64" s="163"/>
      <c r="W64" s="164"/>
      <c r="X64" s="118"/>
      <c r="Y64" s="114"/>
      <c r="Z64" s="114"/>
    </row>
    <row r="65" spans="1:26" ht="18" customHeight="1" x14ac:dyDescent="0.2">
      <c r="A65" s="29"/>
      <c r="B65" s="156"/>
      <c r="C65" s="157"/>
      <c r="D65" s="157"/>
      <c r="E65" s="158"/>
      <c r="F65" s="114"/>
      <c r="G65" s="114"/>
      <c r="H65" s="162"/>
      <c r="I65" s="163"/>
      <c r="J65" s="164"/>
      <c r="K65" s="118"/>
      <c r="L65" s="114"/>
      <c r="M65" s="114"/>
      <c r="N65" s="156"/>
      <c r="O65" s="157"/>
      <c r="P65" s="157"/>
      <c r="Q65" s="157"/>
      <c r="R65" s="158"/>
      <c r="S65" s="114"/>
      <c r="T65" s="114"/>
      <c r="U65" s="162"/>
      <c r="V65" s="163"/>
      <c r="W65" s="164"/>
      <c r="X65" s="118"/>
      <c r="Y65" s="114"/>
      <c r="Z65" s="114"/>
    </row>
    <row r="66" spans="1:26" ht="18" customHeight="1" x14ac:dyDescent="0.2">
      <c r="A66" s="29"/>
      <c r="B66" s="159"/>
      <c r="C66" s="160"/>
      <c r="D66" s="160"/>
      <c r="E66" s="161"/>
      <c r="F66" s="115"/>
      <c r="G66" s="115"/>
      <c r="H66" s="165"/>
      <c r="I66" s="166"/>
      <c r="J66" s="167"/>
      <c r="K66" s="119"/>
      <c r="L66" s="121"/>
      <c r="M66" s="121"/>
      <c r="N66" s="159"/>
      <c r="O66" s="160"/>
      <c r="P66" s="160"/>
      <c r="Q66" s="160"/>
      <c r="R66" s="161"/>
      <c r="S66" s="115"/>
      <c r="T66" s="115"/>
      <c r="U66" s="165"/>
      <c r="V66" s="166"/>
      <c r="W66" s="167"/>
      <c r="X66" s="119"/>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22" t="s">
        <v>104</v>
      </c>
      <c r="C69" s="123"/>
      <c r="D69" s="123"/>
      <c r="E69" s="123"/>
      <c r="F69" s="124"/>
      <c r="G69" s="122" t="s">
        <v>151</v>
      </c>
      <c r="H69" s="123"/>
      <c r="I69" s="123"/>
      <c r="J69" s="123"/>
      <c r="K69" s="123"/>
      <c r="L69" s="123"/>
      <c r="M69" s="124"/>
      <c r="N69" s="178" t="s">
        <v>104</v>
      </c>
      <c r="O69" s="179"/>
      <c r="P69" s="179"/>
      <c r="Q69" s="179"/>
      <c r="R69" s="179"/>
      <c r="S69" s="180"/>
      <c r="T69" s="122" t="s">
        <v>151</v>
      </c>
      <c r="U69" s="123"/>
      <c r="V69" s="123"/>
      <c r="W69" s="123"/>
      <c r="X69" s="123"/>
      <c r="Y69" s="123"/>
      <c r="Z69" s="124"/>
    </row>
    <row r="70" spans="1:26" ht="18" customHeight="1" x14ac:dyDescent="0.2">
      <c r="A70" s="29"/>
      <c r="B70" s="153"/>
      <c r="C70" s="154"/>
      <c r="D70" s="154"/>
      <c r="E70" s="154"/>
      <c r="F70" s="155"/>
      <c r="G70" s="228"/>
      <c r="H70" s="229"/>
      <c r="I70" s="229"/>
      <c r="J70" s="229"/>
      <c r="K70" s="229"/>
      <c r="L70" s="229"/>
      <c r="M70" s="230"/>
      <c r="N70" s="153"/>
      <c r="O70" s="154"/>
      <c r="P70" s="154"/>
      <c r="Q70" s="154"/>
      <c r="R70" s="154"/>
      <c r="S70" s="155"/>
      <c r="T70" s="228"/>
      <c r="U70" s="229"/>
      <c r="V70" s="229"/>
      <c r="W70" s="229"/>
      <c r="X70" s="229"/>
      <c r="Y70" s="229"/>
      <c r="Z70" s="230"/>
    </row>
    <row r="71" spans="1:26" ht="18" customHeight="1" x14ac:dyDescent="0.2">
      <c r="A71" s="29"/>
      <c r="B71" s="156"/>
      <c r="C71" s="157"/>
      <c r="D71" s="157"/>
      <c r="E71" s="157"/>
      <c r="F71" s="158"/>
      <c r="G71" s="199"/>
      <c r="H71" s="200"/>
      <c r="I71" s="200"/>
      <c r="J71" s="200"/>
      <c r="K71" s="200"/>
      <c r="L71" s="200"/>
      <c r="M71" s="201"/>
      <c r="N71" s="156"/>
      <c r="O71" s="157"/>
      <c r="P71" s="157"/>
      <c r="Q71" s="157"/>
      <c r="R71" s="157"/>
      <c r="S71" s="158"/>
      <c r="T71" s="199"/>
      <c r="U71" s="200"/>
      <c r="V71" s="200"/>
      <c r="W71" s="200"/>
      <c r="X71" s="200"/>
      <c r="Y71" s="200"/>
      <c r="Z71" s="201"/>
    </row>
    <row r="72" spans="1:26" ht="18" customHeight="1" x14ac:dyDescent="0.2">
      <c r="A72" s="29"/>
      <c r="B72" s="156"/>
      <c r="C72" s="157"/>
      <c r="D72" s="157"/>
      <c r="E72" s="157"/>
      <c r="F72" s="158"/>
      <c r="G72" s="199"/>
      <c r="H72" s="200"/>
      <c r="I72" s="200"/>
      <c r="J72" s="200"/>
      <c r="K72" s="200"/>
      <c r="L72" s="200"/>
      <c r="M72" s="201"/>
      <c r="N72" s="156"/>
      <c r="O72" s="157"/>
      <c r="P72" s="157"/>
      <c r="Q72" s="157"/>
      <c r="R72" s="157"/>
      <c r="S72" s="158"/>
      <c r="T72" s="199"/>
      <c r="U72" s="200"/>
      <c r="V72" s="200"/>
      <c r="W72" s="200"/>
      <c r="X72" s="200"/>
      <c r="Y72" s="200"/>
      <c r="Z72" s="201"/>
    </row>
    <row r="73" spans="1:26" ht="18" customHeight="1" x14ac:dyDescent="0.2">
      <c r="A73" s="29"/>
      <c r="B73" s="156"/>
      <c r="C73" s="157"/>
      <c r="D73" s="157"/>
      <c r="E73" s="157"/>
      <c r="F73" s="158"/>
      <c r="G73" s="199"/>
      <c r="H73" s="200"/>
      <c r="I73" s="200"/>
      <c r="J73" s="200"/>
      <c r="K73" s="200"/>
      <c r="L73" s="200"/>
      <c r="M73" s="201"/>
      <c r="N73" s="156"/>
      <c r="O73" s="157"/>
      <c r="P73" s="157"/>
      <c r="Q73" s="157"/>
      <c r="R73" s="157"/>
      <c r="S73" s="158"/>
      <c r="T73" s="199"/>
      <c r="U73" s="200"/>
      <c r="V73" s="200"/>
      <c r="W73" s="200"/>
      <c r="X73" s="200"/>
      <c r="Y73" s="200"/>
      <c r="Z73" s="201"/>
    </row>
    <row r="74" spans="1:26" ht="18" customHeight="1" x14ac:dyDescent="0.2">
      <c r="A74" s="29"/>
      <c r="B74" s="156"/>
      <c r="C74" s="157"/>
      <c r="D74" s="157"/>
      <c r="E74" s="157"/>
      <c r="F74" s="158"/>
      <c r="G74" s="199"/>
      <c r="H74" s="200"/>
      <c r="I74" s="200"/>
      <c r="J74" s="200"/>
      <c r="K74" s="200"/>
      <c r="L74" s="200"/>
      <c r="M74" s="201"/>
      <c r="N74" s="156"/>
      <c r="O74" s="157"/>
      <c r="P74" s="157"/>
      <c r="Q74" s="157"/>
      <c r="R74" s="157"/>
      <c r="S74" s="158"/>
      <c r="T74" s="199"/>
      <c r="U74" s="200"/>
      <c r="V74" s="200"/>
      <c r="W74" s="200"/>
      <c r="X74" s="200"/>
      <c r="Y74" s="200"/>
      <c r="Z74" s="201"/>
    </row>
    <row r="75" spans="1:26" ht="18" customHeight="1" x14ac:dyDescent="0.2">
      <c r="A75" s="29"/>
      <c r="B75" s="156"/>
      <c r="C75" s="157"/>
      <c r="D75" s="157"/>
      <c r="E75" s="157"/>
      <c r="F75" s="158"/>
      <c r="G75" s="199"/>
      <c r="H75" s="200"/>
      <c r="I75" s="200"/>
      <c r="J75" s="200"/>
      <c r="K75" s="200"/>
      <c r="L75" s="200"/>
      <c r="M75" s="201"/>
      <c r="N75" s="156"/>
      <c r="O75" s="157"/>
      <c r="P75" s="157"/>
      <c r="Q75" s="157"/>
      <c r="R75" s="157"/>
      <c r="S75" s="158"/>
      <c r="T75" s="199"/>
      <c r="U75" s="200"/>
      <c r="V75" s="200"/>
      <c r="W75" s="200"/>
      <c r="X75" s="200"/>
      <c r="Y75" s="200"/>
      <c r="Z75" s="201"/>
    </row>
    <row r="76" spans="1:26" ht="18" customHeight="1" x14ac:dyDescent="0.2">
      <c r="A76" s="29"/>
      <c r="B76" s="159"/>
      <c r="C76" s="160"/>
      <c r="D76" s="160"/>
      <c r="E76" s="160"/>
      <c r="F76" s="161"/>
      <c r="G76" s="196"/>
      <c r="H76" s="197"/>
      <c r="I76" s="197"/>
      <c r="J76" s="197"/>
      <c r="K76" s="197"/>
      <c r="L76" s="197"/>
      <c r="M76" s="198"/>
      <c r="N76" s="159"/>
      <c r="O76" s="160"/>
      <c r="P76" s="160"/>
      <c r="Q76" s="160"/>
      <c r="R76" s="160"/>
      <c r="S76" s="161"/>
      <c r="T76" s="196"/>
      <c r="U76" s="197"/>
      <c r="V76" s="197"/>
      <c r="W76" s="197"/>
      <c r="X76" s="197"/>
      <c r="Y76" s="197"/>
      <c r="Z76" s="198"/>
    </row>
    <row r="77" spans="1:26" ht="18" customHeight="1" x14ac:dyDescent="0.2">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2">
      <c r="A78" s="13" t="s">
        <v>147</v>
      </c>
    </row>
    <row r="79" spans="1:26" ht="18.75" customHeight="1" x14ac:dyDescent="0.2">
      <c r="B79" s="78" t="s">
        <v>106</v>
      </c>
      <c r="C79" s="79"/>
      <c r="D79" s="251" t="s">
        <v>214</v>
      </c>
      <c r="E79" s="251"/>
      <c r="F79" s="251"/>
      <c r="G79" s="251"/>
      <c r="H79" s="251"/>
      <c r="I79" s="251"/>
      <c r="J79" s="251"/>
      <c r="K79" s="251"/>
      <c r="L79" s="251"/>
      <c r="M79" s="251"/>
      <c r="N79" s="251"/>
      <c r="O79" s="251"/>
      <c r="P79" s="251"/>
      <c r="Q79" s="251"/>
      <c r="R79" s="251"/>
      <c r="S79" s="251"/>
      <c r="T79" s="251"/>
      <c r="U79" s="251"/>
      <c r="V79" s="251"/>
      <c r="W79" s="251"/>
      <c r="X79" s="251"/>
      <c r="Y79" s="251"/>
      <c r="Z79" s="252"/>
    </row>
    <row r="80" spans="1:26" ht="97.8" customHeight="1" x14ac:dyDescent="0.2">
      <c r="B80" s="236" t="s">
        <v>112</v>
      </c>
      <c r="C80" s="85" t="s">
        <v>107</v>
      </c>
      <c r="D80" s="253" t="s">
        <v>203</v>
      </c>
      <c r="E80" s="253"/>
      <c r="F80" s="253"/>
      <c r="G80" s="253"/>
      <c r="H80" s="253"/>
      <c r="I80" s="253"/>
      <c r="J80" s="253"/>
      <c r="K80" s="253"/>
      <c r="L80" s="253"/>
      <c r="M80" s="253"/>
      <c r="N80" s="253"/>
      <c r="O80" s="253"/>
      <c r="P80" s="253"/>
      <c r="Q80" s="253"/>
      <c r="R80" s="253"/>
      <c r="S80" s="253"/>
      <c r="T80" s="253"/>
      <c r="U80" s="253"/>
      <c r="V80" s="253"/>
      <c r="W80" s="253"/>
      <c r="X80" s="253"/>
      <c r="Y80" s="253"/>
      <c r="Z80" s="254"/>
    </row>
    <row r="81" spans="1:26" ht="78" customHeight="1" x14ac:dyDescent="0.2">
      <c r="B81" s="237"/>
      <c r="C81" s="110" t="s">
        <v>142</v>
      </c>
      <c r="D81" s="202" t="s">
        <v>204</v>
      </c>
      <c r="E81" s="202"/>
      <c r="F81" s="202"/>
      <c r="G81" s="202"/>
      <c r="H81" s="202"/>
      <c r="I81" s="202"/>
      <c r="J81" s="202"/>
      <c r="K81" s="202"/>
      <c r="L81" s="202"/>
      <c r="M81" s="202"/>
      <c r="N81" s="202"/>
      <c r="O81" s="202"/>
      <c r="P81" s="202"/>
      <c r="Q81" s="202"/>
      <c r="R81" s="202"/>
      <c r="S81" s="202"/>
      <c r="T81" s="202"/>
      <c r="U81" s="202"/>
      <c r="V81" s="202"/>
      <c r="W81" s="202"/>
      <c r="X81" s="202"/>
      <c r="Y81" s="202"/>
      <c r="Z81" s="203"/>
    </row>
    <row r="82" spans="1:26" ht="78" customHeight="1" x14ac:dyDescent="0.2">
      <c r="B82" s="234" t="s">
        <v>113</v>
      </c>
      <c r="C82" s="80" t="s">
        <v>132</v>
      </c>
      <c r="D82" s="204" t="s">
        <v>205</v>
      </c>
      <c r="E82" s="205"/>
      <c r="F82" s="205"/>
      <c r="G82" s="205"/>
      <c r="H82" s="205"/>
      <c r="I82" s="205"/>
      <c r="J82" s="205"/>
      <c r="K82" s="205"/>
      <c r="L82" s="205"/>
      <c r="M82" s="205"/>
      <c r="N82" s="205"/>
      <c r="O82" s="205"/>
      <c r="P82" s="205"/>
      <c r="Q82" s="205"/>
      <c r="R82" s="205"/>
      <c r="S82" s="205"/>
      <c r="T82" s="205"/>
      <c r="U82" s="205"/>
      <c r="V82" s="205"/>
      <c r="W82" s="205"/>
      <c r="X82" s="205"/>
      <c r="Y82" s="205"/>
      <c r="Z82" s="206"/>
    </row>
    <row r="83" spans="1:26" ht="78" customHeight="1" x14ac:dyDescent="0.2">
      <c r="B83" s="235"/>
      <c r="C83" s="111" t="s">
        <v>133</v>
      </c>
      <c r="D83" s="210" t="s">
        <v>206</v>
      </c>
      <c r="E83" s="211"/>
      <c r="F83" s="211"/>
      <c r="G83" s="211"/>
      <c r="H83" s="211"/>
      <c r="I83" s="211"/>
      <c r="J83" s="211"/>
      <c r="K83" s="211"/>
      <c r="L83" s="211"/>
      <c r="M83" s="211"/>
      <c r="N83" s="211"/>
      <c r="O83" s="211"/>
      <c r="P83" s="211"/>
      <c r="Q83" s="211"/>
      <c r="R83" s="211"/>
      <c r="S83" s="211"/>
      <c r="T83" s="211"/>
      <c r="U83" s="211"/>
      <c r="V83" s="211"/>
      <c r="W83" s="211"/>
      <c r="X83" s="211"/>
      <c r="Y83" s="211"/>
      <c r="Z83" s="212"/>
    </row>
    <row r="84" spans="1:26" ht="72" customHeight="1" x14ac:dyDescent="0.2">
      <c r="B84" s="234" t="s">
        <v>114</v>
      </c>
      <c r="C84" s="80" t="s">
        <v>135</v>
      </c>
      <c r="D84" s="213" t="s">
        <v>207</v>
      </c>
      <c r="E84" s="214"/>
      <c r="F84" s="214"/>
      <c r="G84" s="214"/>
      <c r="H84" s="214"/>
      <c r="I84" s="214"/>
      <c r="J84" s="214"/>
      <c r="K84" s="214"/>
      <c r="L84" s="214"/>
      <c r="M84" s="214"/>
      <c r="N84" s="214"/>
      <c r="O84" s="214"/>
      <c r="P84" s="214"/>
      <c r="Q84" s="214"/>
      <c r="R84" s="214"/>
      <c r="S84" s="214"/>
      <c r="T84" s="214"/>
      <c r="U84" s="214"/>
      <c r="V84" s="214"/>
      <c r="W84" s="214"/>
      <c r="X84" s="214"/>
      <c r="Y84" s="214"/>
      <c r="Z84" s="215"/>
    </row>
    <row r="85" spans="1:26" ht="66" customHeight="1" x14ac:dyDescent="0.2">
      <c r="B85" s="235"/>
      <c r="C85" s="82" t="s">
        <v>136</v>
      </c>
      <c r="D85" s="207" t="s">
        <v>208</v>
      </c>
      <c r="E85" s="208"/>
      <c r="F85" s="208"/>
      <c r="G85" s="208"/>
      <c r="H85" s="208"/>
      <c r="I85" s="208"/>
      <c r="J85" s="208"/>
      <c r="K85" s="208"/>
      <c r="L85" s="208"/>
      <c r="M85" s="208"/>
      <c r="N85" s="208"/>
      <c r="O85" s="208"/>
      <c r="P85" s="208"/>
      <c r="Q85" s="208"/>
      <c r="R85" s="208"/>
      <c r="S85" s="208"/>
      <c r="T85" s="208"/>
      <c r="U85" s="208"/>
      <c r="V85" s="208"/>
      <c r="W85" s="208"/>
      <c r="X85" s="208"/>
      <c r="Y85" s="208"/>
      <c r="Z85" s="209"/>
    </row>
    <row r="86" spans="1:26" ht="66" customHeight="1" x14ac:dyDescent="0.2">
      <c r="B86" s="236" t="s">
        <v>143</v>
      </c>
      <c r="C86" s="85" t="s">
        <v>109</v>
      </c>
      <c r="D86" s="245" t="s">
        <v>209</v>
      </c>
      <c r="E86" s="246"/>
      <c r="F86" s="246"/>
      <c r="G86" s="246"/>
      <c r="H86" s="246"/>
      <c r="I86" s="246"/>
      <c r="J86" s="246"/>
      <c r="K86" s="246"/>
      <c r="L86" s="246"/>
      <c r="M86" s="246"/>
      <c r="N86" s="246"/>
      <c r="O86" s="246"/>
      <c r="P86" s="246"/>
      <c r="Q86" s="246"/>
      <c r="R86" s="246"/>
      <c r="S86" s="246"/>
      <c r="T86" s="246"/>
      <c r="U86" s="246"/>
      <c r="V86" s="246"/>
      <c r="W86" s="246"/>
      <c r="X86" s="246"/>
      <c r="Y86" s="246"/>
      <c r="Z86" s="247"/>
    </row>
    <row r="87" spans="1:26" ht="66" customHeight="1" x14ac:dyDescent="0.2">
      <c r="B87" s="244"/>
      <c r="C87" s="81" t="s">
        <v>111</v>
      </c>
      <c r="D87" s="248" t="s">
        <v>210</v>
      </c>
      <c r="E87" s="249"/>
      <c r="F87" s="249"/>
      <c r="G87" s="249"/>
      <c r="H87" s="249"/>
      <c r="I87" s="249"/>
      <c r="J87" s="249"/>
      <c r="K87" s="249"/>
      <c r="L87" s="249"/>
      <c r="M87" s="249"/>
      <c r="N87" s="249"/>
      <c r="O87" s="249"/>
      <c r="P87" s="249"/>
      <c r="Q87" s="249"/>
      <c r="R87" s="249"/>
      <c r="S87" s="249"/>
      <c r="T87" s="249"/>
      <c r="U87" s="249"/>
      <c r="V87" s="249"/>
      <c r="W87" s="249"/>
      <c r="X87" s="249"/>
      <c r="Y87" s="249"/>
      <c r="Z87" s="250"/>
    </row>
    <row r="88" spans="1:26" ht="66" customHeight="1" x14ac:dyDescent="0.2">
      <c r="B88" s="236" t="s">
        <v>144</v>
      </c>
      <c r="C88" s="80" t="s">
        <v>108</v>
      </c>
      <c r="D88" s="238" t="s">
        <v>211</v>
      </c>
      <c r="E88" s="239"/>
      <c r="F88" s="239"/>
      <c r="G88" s="239"/>
      <c r="H88" s="239"/>
      <c r="I88" s="239"/>
      <c r="J88" s="239"/>
      <c r="K88" s="239"/>
      <c r="L88" s="239"/>
      <c r="M88" s="239"/>
      <c r="N88" s="239"/>
      <c r="O88" s="239"/>
      <c r="P88" s="239"/>
      <c r="Q88" s="239"/>
      <c r="R88" s="239"/>
      <c r="S88" s="239"/>
      <c r="T88" s="239"/>
      <c r="U88" s="239"/>
      <c r="V88" s="239"/>
      <c r="W88" s="239"/>
      <c r="X88" s="239"/>
      <c r="Y88" s="239"/>
      <c r="Z88" s="240"/>
    </row>
    <row r="89" spans="1:26" ht="66" customHeight="1" x14ac:dyDescent="0.2">
      <c r="B89" s="237"/>
      <c r="C89" s="81" t="s">
        <v>139</v>
      </c>
      <c r="D89" s="231" t="s">
        <v>213</v>
      </c>
      <c r="E89" s="232"/>
      <c r="F89" s="232"/>
      <c r="G89" s="232"/>
      <c r="H89" s="232"/>
      <c r="I89" s="232"/>
      <c r="J89" s="232"/>
      <c r="K89" s="232"/>
      <c r="L89" s="232"/>
      <c r="M89" s="232"/>
      <c r="N89" s="232"/>
      <c r="O89" s="232"/>
      <c r="P89" s="232"/>
      <c r="Q89" s="232"/>
      <c r="R89" s="232"/>
      <c r="S89" s="232"/>
      <c r="T89" s="232"/>
      <c r="U89" s="232"/>
      <c r="V89" s="232"/>
      <c r="W89" s="232"/>
      <c r="X89" s="232"/>
      <c r="Y89" s="232"/>
      <c r="Z89" s="233"/>
    </row>
    <row r="90" spans="1:26" ht="66" customHeight="1" x14ac:dyDescent="0.2">
      <c r="B90" s="235"/>
      <c r="C90" s="82" t="s">
        <v>140</v>
      </c>
      <c r="D90" s="241" t="s">
        <v>212</v>
      </c>
      <c r="E90" s="242"/>
      <c r="F90" s="242"/>
      <c r="G90" s="242"/>
      <c r="H90" s="242"/>
      <c r="I90" s="242"/>
      <c r="J90" s="242"/>
      <c r="K90" s="242"/>
      <c r="L90" s="242"/>
      <c r="M90" s="242"/>
      <c r="N90" s="242"/>
      <c r="O90" s="242"/>
      <c r="P90" s="242"/>
      <c r="Q90" s="242"/>
      <c r="R90" s="242"/>
      <c r="S90" s="242"/>
      <c r="T90" s="242"/>
      <c r="U90" s="242"/>
      <c r="V90" s="242"/>
      <c r="W90" s="242"/>
      <c r="X90" s="242"/>
      <c r="Y90" s="242"/>
      <c r="Z90" s="243"/>
    </row>
    <row r="91" spans="1:26" ht="6" customHeight="1" x14ac:dyDescent="0.2"/>
    <row r="92" spans="1:26" ht="18.75" customHeight="1" x14ac:dyDescent="0.2">
      <c r="A92" s="13" t="s">
        <v>148</v>
      </c>
    </row>
    <row r="93" spans="1:26" ht="18.75" customHeight="1" x14ac:dyDescent="0.2">
      <c r="B93" s="184" t="s">
        <v>178</v>
      </c>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6"/>
    </row>
    <row r="94" spans="1:26" ht="18.75" customHeight="1" x14ac:dyDescent="0.2">
      <c r="B94" s="187"/>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9"/>
    </row>
    <row r="95" spans="1:26" ht="18.75" customHeight="1" x14ac:dyDescent="0.2">
      <c r="B95" s="190"/>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2"/>
    <row r="97" spans="1:26" ht="15" customHeight="1" x14ac:dyDescent="0.2">
      <c r="A97" s="13" t="s">
        <v>149</v>
      </c>
    </row>
    <row r="98" spans="1:26" ht="15" customHeight="1" x14ac:dyDescent="0.2">
      <c r="B98" s="193" t="s">
        <v>215</v>
      </c>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5"/>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K60"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330A0B76-4E70-4BB7-970E-F99814FCEDCC}"/>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6"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R14" sqref="R14"/>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55" t="s">
        <v>65</v>
      </c>
      <c r="G1" s="255"/>
      <c r="H1" s="255"/>
      <c r="I1" s="255"/>
      <c r="J1" s="255"/>
      <c r="K1" s="255"/>
      <c r="L1" s="255"/>
      <c r="M1" s="255"/>
      <c r="N1" s="255"/>
      <c r="O1" s="255"/>
      <c r="P1" s="255"/>
      <c r="Q1" s="255"/>
      <c r="R1" s="255"/>
    </row>
    <row r="2" spans="1:20" ht="18" customHeight="1" x14ac:dyDescent="0.2">
      <c r="A2" s="256" t="s">
        <v>93</v>
      </c>
      <c r="B2" s="256"/>
      <c r="C2" s="256"/>
      <c r="D2" s="256"/>
      <c r="E2" s="256"/>
      <c r="F2" s="256"/>
      <c r="G2" s="256"/>
      <c r="H2" s="256"/>
      <c r="I2" s="256"/>
      <c r="J2" s="256"/>
      <c r="K2" s="256"/>
      <c r="L2" s="256"/>
      <c r="M2" s="256"/>
      <c r="N2" s="256"/>
      <c r="O2" s="256"/>
      <c r="P2" s="256"/>
      <c r="Q2" s="256"/>
      <c r="R2" s="256"/>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152</v>
      </c>
      <c r="B4" s="4"/>
      <c r="C4" s="257" t="str">
        <f>'様式１　大学等概要'!E12</f>
        <v>平成28</v>
      </c>
      <c r="D4" s="258"/>
      <c r="E4" s="38" t="s">
        <v>117</v>
      </c>
      <c r="F4" s="38"/>
      <c r="G4" s="38"/>
      <c r="H4" s="38"/>
      <c r="I4" s="38"/>
      <c r="J4" s="86"/>
      <c r="K4" s="38"/>
      <c r="L4" s="38"/>
      <c r="M4" s="116"/>
      <c r="N4" s="116"/>
      <c r="O4" s="116"/>
      <c r="P4" s="116"/>
      <c r="Q4" s="116"/>
      <c r="R4" s="116"/>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150</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59" t="s">
        <v>83</v>
      </c>
      <c r="C8" s="261" t="s">
        <v>88</v>
      </c>
      <c r="D8" s="263" t="s">
        <v>70</v>
      </c>
      <c r="E8" s="265" t="s">
        <v>94</v>
      </c>
      <c r="F8" s="265"/>
      <c r="G8" s="265" t="s">
        <v>95</v>
      </c>
      <c r="H8" s="265"/>
      <c r="I8" s="265" t="s">
        <v>96</v>
      </c>
      <c r="J8" s="265"/>
      <c r="K8" s="266" t="s">
        <v>97</v>
      </c>
      <c r="L8" s="267"/>
      <c r="M8" s="266" t="s">
        <v>98</v>
      </c>
      <c r="N8" s="267"/>
      <c r="O8" s="266" t="s">
        <v>99</v>
      </c>
      <c r="P8" s="267"/>
      <c r="Q8" s="268" t="s">
        <v>64</v>
      </c>
      <c r="R8" s="270" t="s">
        <v>58</v>
      </c>
      <c r="T8" s="34"/>
    </row>
    <row r="9" spans="1:20" ht="18" customHeight="1" x14ac:dyDescent="0.2">
      <c r="A9" s="4"/>
      <c r="B9" s="260"/>
      <c r="C9" s="262"/>
      <c r="D9" s="264"/>
      <c r="E9" s="43" t="s">
        <v>46</v>
      </c>
      <c r="F9" s="44" t="s">
        <v>45</v>
      </c>
      <c r="G9" s="45" t="s">
        <v>46</v>
      </c>
      <c r="H9" s="46" t="s">
        <v>45</v>
      </c>
      <c r="I9" s="43" t="s">
        <v>46</v>
      </c>
      <c r="J9" s="44" t="s">
        <v>45</v>
      </c>
      <c r="K9" s="45" t="s">
        <v>46</v>
      </c>
      <c r="L9" s="46" t="s">
        <v>45</v>
      </c>
      <c r="M9" s="43" t="s">
        <v>46</v>
      </c>
      <c r="N9" s="44" t="s">
        <v>45</v>
      </c>
      <c r="O9" s="45" t="s">
        <v>46</v>
      </c>
      <c r="P9" s="46" t="s">
        <v>45</v>
      </c>
      <c r="Q9" s="269"/>
      <c r="R9" s="271"/>
      <c r="T9" s="34"/>
    </row>
    <row r="10" spans="1:20" ht="18" customHeight="1" x14ac:dyDescent="0.2">
      <c r="A10" s="47"/>
      <c r="B10" s="87" t="s">
        <v>181</v>
      </c>
      <c r="C10" s="47">
        <v>720</v>
      </c>
      <c r="D10" s="48">
        <v>2880</v>
      </c>
      <c r="E10" s="49">
        <v>850</v>
      </c>
      <c r="F10" s="50">
        <v>784</v>
      </c>
      <c r="G10" s="51">
        <v>824</v>
      </c>
      <c r="H10" s="52">
        <v>753</v>
      </c>
      <c r="I10" s="49">
        <v>802</v>
      </c>
      <c r="J10" s="50">
        <v>762</v>
      </c>
      <c r="K10" s="51">
        <v>857</v>
      </c>
      <c r="L10" s="52">
        <v>797</v>
      </c>
      <c r="M10" s="49">
        <v>53</v>
      </c>
      <c r="N10" s="50">
        <v>36</v>
      </c>
      <c r="O10" s="51">
        <v>16</v>
      </c>
      <c r="P10" s="52">
        <v>13</v>
      </c>
      <c r="Q10" s="53">
        <f>E10+G10+I10+K10+M10+O10</f>
        <v>3402</v>
      </c>
      <c r="R10" s="54">
        <f>Q10/D10</f>
        <v>1.1812499999999999</v>
      </c>
    </row>
    <row r="11" spans="1:20" ht="18" customHeight="1" x14ac:dyDescent="0.2">
      <c r="A11" s="47"/>
      <c r="B11" s="88" t="s">
        <v>182</v>
      </c>
      <c r="C11" s="63">
        <v>370</v>
      </c>
      <c r="D11" s="56">
        <v>1480</v>
      </c>
      <c r="E11" s="57">
        <v>415</v>
      </c>
      <c r="F11" s="58">
        <v>401</v>
      </c>
      <c r="G11" s="59">
        <v>419</v>
      </c>
      <c r="H11" s="60">
        <v>390</v>
      </c>
      <c r="I11" s="57">
        <v>413</v>
      </c>
      <c r="J11" s="58">
        <v>395</v>
      </c>
      <c r="K11" s="59">
        <v>410</v>
      </c>
      <c r="L11" s="60">
        <v>380</v>
      </c>
      <c r="M11" s="57">
        <v>28</v>
      </c>
      <c r="N11" s="58">
        <v>22</v>
      </c>
      <c r="O11" s="59">
        <v>7</v>
      </c>
      <c r="P11" s="60">
        <v>4</v>
      </c>
      <c r="Q11" s="61">
        <f>E11+G11+I11+K11+M11+O11</f>
        <v>1692</v>
      </c>
      <c r="R11" s="62">
        <f>Q11/D11</f>
        <v>1.1432432432432433</v>
      </c>
    </row>
    <row r="12" spans="1:20" ht="18" customHeight="1" x14ac:dyDescent="0.2">
      <c r="A12" s="47"/>
      <c r="B12" s="88" t="s">
        <v>183</v>
      </c>
      <c r="C12" s="63">
        <v>340</v>
      </c>
      <c r="D12" s="56">
        <v>1360</v>
      </c>
      <c r="E12" s="57">
        <v>396</v>
      </c>
      <c r="F12" s="58">
        <v>358</v>
      </c>
      <c r="G12" s="59">
        <v>376</v>
      </c>
      <c r="H12" s="60">
        <v>348</v>
      </c>
      <c r="I12" s="57">
        <v>382</v>
      </c>
      <c r="J12" s="58">
        <v>368</v>
      </c>
      <c r="K12" s="59">
        <v>386</v>
      </c>
      <c r="L12" s="60">
        <v>364</v>
      </c>
      <c r="M12" s="57">
        <v>35</v>
      </c>
      <c r="N12" s="58">
        <v>31</v>
      </c>
      <c r="O12" s="59">
        <v>17</v>
      </c>
      <c r="P12" s="60">
        <v>16</v>
      </c>
      <c r="Q12" s="61">
        <f>E12+G12+I12+K12+M12+O12</f>
        <v>1592</v>
      </c>
      <c r="R12" s="62">
        <f>Q12/D12</f>
        <v>1.1705882352941177</v>
      </c>
    </row>
    <row r="13" spans="1:20" ht="18" customHeight="1" x14ac:dyDescent="0.2">
      <c r="A13" s="47"/>
      <c r="B13" s="88" t="s">
        <v>184</v>
      </c>
      <c r="C13" s="63">
        <v>280</v>
      </c>
      <c r="D13" s="56">
        <v>1120</v>
      </c>
      <c r="E13" s="57">
        <v>329</v>
      </c>
      <c r="F13" s="58">
        <v>315</v>
      </c>
      <c r="G13" s="59">
        <v>316</v>
      </c>
      <c r="H13" s="60">
        <v>303</v>
      </c>
      <c r="I13" s="57">
        <v>317</v>
      </c>
      <c r="J13" s="58">
        <v>308</v>
      </c>
      <c r="K13" s="59">
        <v>315</v>
      </c>
      <c r="L13" s="60">
        <v>302</v>
      </c>
      <c r="M13" s="57">
        <v>38</v>
      </c>
      <c r="N13" s="58">
        <v>31</v>
      </c>
      <c r="O13" s="59">
        <v>13</v>
      </c>
      <c r="P13" s="60">
        <v>11</v>
      </c>
      <c r="Q13" s="61">
        <f>E13+G13+I13+K13+M13+O13</f>
        <v>1328</v>
      </c>
      <c r="R13" s="62">
        <f t="shared" ref="R13:R29" si="0">Q13/D13</f>
        <v>1.1857142857142857</v>
      </c>
    </row>
    <row r="14" spans="1:20" ht="18" customHeight="1" x14ac:dyDescent="0.2">
      <c r="A14" s="47"/>
      <c r="B14" s="88" t="s">
        <v>185</v>
      </c>
      <c r="C14" s="63">
        <v>280</v>
      </c>
      <c r="D14" s="56">
        <v>1120</v>
      </c>
      <c r="E14" s="57">
        <v>312</v>
      </c>
      <c r="F14" s="58">
        <v>286</v>
      </c>
      <c r="G14" s="59">
        <v>320</v>
      </c>
      <c r="H14" s="60">
        <v>302</v>
      </c>
      <c r="I14" s="57">
        <v>313</v>
      </c>
      <c r="J14" s="58">
        <v>299</v>
      </c>
      <c r="K14" s="59">
        <v>316</v>
      </c>
      <c r="L14" s="60">
        <v>312</v>
      </c>
      <c r="M14" s="57">
        <v>19</v>
      </c>
      <c r="N14" s="58">
        <v>17</v>
      </c>
      <c r="O14" s="59">
        <v>5</v>
      </c>
      <c r="P14" s="60">
        <v>4</v>
      </c>
      <c r="Q14" s="61">
        <f>E14+G14+I14+K14+M14+O14</f>
        <v>1285</v>
      </c>
      <c r="R14" s="62">
        <f t="shared" si="0"/>
        <v>1.1473214285714286</v>
      </c>
    </row>
    <row r="15" spans="1:20" ht="18" customHeight="1" x14ac:dyDescent="0.2">
      <c r="A15" s="47"/>
      <c r="B15" s="88"/>
      <c r="C15" s="63"/>
      <c r="D15" s="56"/>
      <c r="E15" s="57"/>
      <c r="F15" s="58"/>
      <c r="G15" s="59"/>
      <c r="H15" s="60"/>
      <c r="I15" s="57"/>
      <c r="J15" s="58"/>
      <c r="K15" s="59"/>
      <c r="L15" s="60"/>
      <c r="M15" s="57"/>
      <c r="N15" s="58"/>
      <c r="O15" s="59"/>
      <c r="P15" s="60"/>
      <c r="Q15" s="61">
        <f t="shared" ref="Q15:Q29" si="1">E15+G15+I15+K15+M15+O15</f>
        <v>0</v>
      </c>
      <c r="R15" s="62" t="e">
        <f t="shared" si="0"/>
        <v>#DIV/0!</v>
      </c>
    </row>
    <row r="16" spans="1:20" ht="18" customHeight="1" x14ac:dyDescent="0.2">
      <c r="A16" s="47"/>
      <c r="B16" s="88"/>
      <c r="C16" s="63"/>
      <c r="D16" s="56"/>
      <c r="E16" s="57"/>
      <c r="F16" s="58"/>
      <c r="G16" s="59"/>
      <c r="H16" s="60"/>
      <c r="I16" s="57"/>
      <c r="J16" s="58"/>
      <c r="K16" s="59"/>
      <c r="L16" s="60"/>
      <c r="M16" s="57"/>
      <c r="N16" s="58"/>
      <c r="O16" s="59"/>
      <c r="P16" s="60"/>
      <c r="Q16" s="61">
        <f t="shared" si="1"/>
        <v>0</v>
      </c>
      <c r="R16" s="62" t="e">
        <f t="shared" si="0"/>
        <v>#DIV/0!</v>
      </c>
    </row>
    <row r="17" spans="1:18" ht="18" customHeight="1" x14ac:dyDescent="0.2">
      <c r="A17" s="47"/>
      <c r="B17" s="88"/>
      <c r="C17" s="63"/>
      <c r="D17" s="56"/>
      <c r="E17" s="57"/>
      <c r="F17" s="58"/>
      <c r="G17" s="59"/>
      <c r="H17" s="60"/>
      <c r="I17" s="57"/>
      <c r="J17" s="58"/>
      <c r="K17" s="59"/>
      <c r="L17" s="60"/>
      <c r="M17" s="57"/>
      <c r="N17" s="58"/>
      <c r="O17" s="59"/>
      <c r="P17" s="60"/>
      <c r="Q17" s="61">
        <f t="shared" si="1"/>
        <v>0</v>
      </c>
      <c r="R17" s="62" t="e">
        <f t="shared" si="0"/>
        <v>#DIV/0!</v>
      </c>
    </row>
    <row r="18" spans="1:18" ht="18" customHeight="1" x14ac:dyDescent="0.2">
      <c r="A18" s="47"/>
      <c r="B18" s="88"/>
      <c r="C18" s="63"/>
      <c r="D18" s="56"/>
      <c r="E18" s="57"/>
      <c r="F18" s="58"/>
      <c r="G18" s="59"/>
      <c r="H18" s="60"/>
      <c r="I18" s="57"/>
      <c r="J18" s="58"/>
      <c r="K18" s="59"/>
      <c r="L18" s="60"/>
      <c r="M18" s="57"/>
      <c r="N18" s="58"/>
      <c r="O18" s="59"/>
      <c r="P18" s="60"/>
      <c r="Q18" s="61">
        <f>E18+G18+I18+K18+M18+O18</f>
        <v>0</v>
      </c>
      <c r="R18" s="62" t="e">
        <f t="shared" si="0"/>
        <v>#DIV/0!</v>
      </c>
    </row>
    <row r="19" spans="1:18" ht="18" customHeight="1" x14ac:dyDescent="0.2">
      <c r="A19" s="47"/>
      <c r="B19" s="88"/>
      <c r="C19" s="63"/>
      <c r="D19" s="56"/>
      <c r="E19" s="57"/>
      <c r="F19" s="58"/>
      <c r="G19" s="59"/>
      <c r="H19" s="60"/>
      <c r="I19" s="57"/>
      <c r="J19" s="58"/>
      <c r="K19" s="59"/>
      <c r="L19" s="60"/>
      <c r="M19" s="57"/>
      <c r="N19" s="58"/>
      <c r="O19" s="59"/>
      <c r="P19" s="60"/>
      <c r="Q19" s="61">
        <f t="shared" si="1"/>
        <v>0</v>
      </c>
      <c r="R19" s="62" t="e">
        <f t="shared" si="0"/>
        <v>#DIV/0!</v>
      </c>
    </row>
    <row r="20" spans="1:18" ht="18" customHeight="1" x14ac:dyDescent="0.2">
      <c r="A20" s="47"/>
      <c r="B20" s="88"/>
      <c r="C20" s="63"/>
      <c r="D20" s="56"/>
      <c r="E20" s="57"/>
      <c r="F20" s="58"/>
      <c r="G20" s="59"/>
      <c r="H20" s="60"/>
      <c r="I20" s="57"/>
      <c r="J20" s="58"/>
      <c r="K20" s="59"/>
      <c r="L20" s="60"/>
      <c r="M20" s="57"/>
      <c r="N20" s="58"/>
      <c r="O20" s="59"/>
      <c r="P20" s="60"/>
      <c r="Q20" s="61">
        <f t="shared" si="1"/>
        <v>0</v>
      </c>
      <c r="R20" s="62" t="e">
        <f t="shared" si="0"/>
        <v>#DIV/0!</v>
      </c>
    </row>
    <row r="21" spans="1:18" ht="18" customHeight="1" x14ac:dyDescent="0.2">
      <c r="A21" s="47"/>
      <c r="B21" s="88"/>
      <c r="C21" s="63"/>
      <c r="D21" s="56"/>
      <c r="E21" s="57"/>
      <c r="F21" s="58"/>
      <c r="G21" s="59"/>
      <c r="H21" s="60"/>
      <c r="I21" s="57"/>
      <c r="J21" s="58"/>
      <c r="K21" s="59"/>
      <c r="L21" s="60"/>
      <c r="M21" s="57"/>
      <c r="N21" s="58"/>
      <c r="O21" s="59"/>
      <c r="P21" s="60"/>
      <c r="Q21" s="61">
        <f t="shared" si="1"/>
        <v>0</v>
      </c>
      <c r="R21" s="62" t="e">
        <f t="shared" si="0"/>
        <v>#DIV/0!</v>
      </c>
    </row>
    <row r="22" spans="1:18" ht="18" customHeight="1" x14ac:dyDescent="0.2">
      <c r="A22" s="47"/>
      <c r="B22" s="88"/>
      <c r="C22" s="63"/>
      <c r="D22" s="56"/>
      <c r="E22" s="57"/>
      <c r="F22" s="58"/>
      <c r="G22" s="59"/>
      <c r="H22" s="60"/>
      <c r="I22" s="57"/>
      <c r="J22" s="58"/>
      <c r="K22" s="59"/>
      <c r="L22" s="60"/>
      <c r="M22" s="57"/>
      <c r="N22" s="58"/>
      <c r="O22" s="59"/>
      <c r="P22" s="60"/>
      <c r="Q22" s="61">
        <f t="shared" si="1"/>
        <v>0</v>
      </c>
      <c r="R22" s="62" t="e">
        <f t="shared" si="0"/>
        <v>#DIV/0!</v>
      </c>
    </row>
    <row r="23" spans="1:18" ht="18" customHeight="1" x14ac:dyDescent="0.2">
      <c r="A23" s="47"/>
      <c r="B23" s="88"/>
      <c r="C23" s="63"/>
      <c r="D23" s="56"/>
      <c r="E23" s="57"/>
      <c r="F23" s="58"/>
      <c r="G23" s="59"/>
      <c r="H23" s="60"/>
      <c r="I23" s="57"/>
      <c r="J23" s="58"/>
      <c r="K23" s="59"/>
      <c r="L23" s="60"/>
      <c r="M23" s="57"/>
      <c r="N23" s="58"/>
      <c r="O23" s="59"/>
      <c r="P23" s="60"/>
      <c r="Q23" s="61">
        <f t="shared" si="1"/>
        <v>0</v>
      </c>
      <c r="R23" s="62" t="e">
        <f t="shared" si="0"/>
        <v>#DIV/0!</v>
      </c>
    </row>
    <row r="24" spans="1:18" ht="18" customHeight="1" x14ac:dyDescent="0.2">
      <c r="A24" s="47"/>
      <c r="B24" s="88"/>
      <c r="C24" s="63"/>
      <c r="D24" s="56"/>
      <c r="E24" s="57"/>
      <c r="F24" s="58"/>
      <c r="G24" s="59"/>
      <c r="H24" s="60"/>
      <c r="I24" s="57"/>
      <c r="J24" s="58"/>
      <c r="K24" s="59"/>
      <c r="L24" s="60"/>
      <c r="M24" s="57"/>
      <c r="N24" s="58"/>
      <c r="O24" s="59"/>
      <c r="P24" s="60"/>
      <c r="Q24" s="61">
        <f t="shared" si="1"/>
        <v>0</v>
      </c>
      <c r="R24" s="62" t="e">
        <f t="shared" si="0"/>
        <v>#DIV/0!</v>
      </c>
    </row>
    <row r="25" spans="1:18" ht="18" customHeight="1" x14ac:dyDescent="0.2">
      <c r="A25" s="47"/>
      <c r="B25" s="88"/>
      <c r="C25" s="63"/>
      <c r="D25" s="56"/>
      <c r="E25" s="57"/>
      <c r="F25" s="58"/>
      <c r="G25" s="59"/>
      <c r="H25" s="60"/>
      <c r="I25" s="57"/>
      <c r="J25" s="58"/>
      <c r="K25" s="59"/>
      <c r="L25" s="60"/>
      <c r="M25" s="57"/>
      <c r="N25" s="58"/>
      <c r="O25" s="59"/>
      <c r="P25" s="60"/>
      <c r="Q25" s="61">
        <f t="shared" si="1"/>
        <v>0</v>
      </c>
      <c r="R25" s="62" t="e">
        <f t="shared" si="0"/>
        <v>#DIV/0!</v>
      </c>
    </row>
    <row r="26" spans="1:18" ht="18" customHeight="1" x14ac:dyDescent="0.2">
      <c r="A26" s="47"/>
      <c r="B26" s="88"/>
      <c r="C26" s="63"/>
      <c r="D26" s="56"/>
      <c r="E26" s="57"/>
      <c r="F26" s="58"/>
      <c r="G26" s="59"/>
      <c r="H26" s="60"/>
      <c r="I26" s="57"/>
      <c r="J26" s="58"/>
      <c r="K26" s="59"/>
      <c r="L26" s="60"/>
      <c r="M26" s="57"/>
      <c r="N26" s="58"/>
      <c r="O26" s="59"/>
      <c r="P26" s="60"/>
      <c r="Q26" s="61">
        <f t="shared" si="1"/>
        <v>0</v>
      </c>
      <c r="R26" s="62" t="e">
        <f t="shared" si="0"/>
        <v>#DIV/0!</v>
      </c>
    </row>
    <row r="27" spans="1:18" ht="18" customHeight="1" x14ac:dyDescent="0.2">
      <c r="A27" s="47"/>
      <c r="B27" s="88"/>
      <c r="C27" s="55"/>
      <c r="D27" s="56"/>
      <c r="E27" s="57"/>
      <c r="F27" s="58"/>
      <c r="G27" s="59"/>
      <c r="H27" s="60"/>
      <c r="I27" s="57"/>
      <c r="J27" s="58"/>
      <c r="K27" s="59"/>
      <c r="L27" s="60"/>
      <c r="M27" s="57"/>
      <c r="N27" s="58"/>
      <c r="O27" s="59"/>
      <c r="P27" s="60"/>
      <c r="Q27" s="61">
        <f t="shared" si="1"/>
        <v>0</v>
      </c>
      <c r="R27" s="62" t="e">
        <f t="shared" si="0"/>
        <v>#DIV/0!</v>
      </c>
    </row>
    <row r="28" spans="1:18" ht="18" customHeight="1" x14ac:dyDescent="0.2">
      <c r="A28" s="47"/>
      <c r="B28" s="88"/>
      <c r="C28" s="55"/>
      <c r="D28" s="56"/>
      <c r="E28" s="57"/>
      <c r="F28" s="58"/>
      <c r="G28" s="59"/>
      <c r="H28" s="60"/>
      <c r="I28" s="57"/>
      <c r="J28" s="58"/>
      <c r="K28" s="59"/>
      <c r="L28" s="60"/>
      <c r="M28" s="57"/>
      <c r="N28" s="58"/>
      <c r="O28" s="59"/>
      <c r="P28" s="60"/>
      <c r="Q28" s="61">
        <f t="shared" si="1"/>
        <v>0</v>
      </c>
      <c r="R28" s="62" t="e">
        <f t="shared" si="0"/>
        <v>#DIV/0!</v>
      </c>
    </row>
    <row r="29" spans="1:18" ht="18" customHeight="1" thickBot="1" x14ac:dyDescent="0.25">
      <c r="A29" s="47"/>
      <c r="B29" s="89"/>
      <c r="C29" s="90"/>
      <c r="D29" s="48"/>
      <c r="E29" s="49"/>
      <c r="F29" s="50"/>
      <c r="G29" s="51"/>
      <c r="H29" s="52"/>
      <c r="I29" s="49"/>
      <c r="J29" s="50"/>
      <c r="K29" s="51"/>
      <c r="L29" s="52"/>
      <c r="M29" s="49"/>
      <c r="N29" s="50"/>
      <c r="O29" s="51"/>
      <c r="P29" s="52"/>
      <c r="Q29" s="64">
        <f t="shared" si="1"/>
        <v>0</v>
      </c>
      <c r="R29" s="54" t="e">
        <f t="shared" si="0"/>
        <v>#DIV/0!</v>
      </c>
    </row>
    <row r="30" spans="1:18" ht="18" customHeight="1" thickTop="1" x14ac:dyDescent="0.2">
      <c r="B30" s="91" t="s">
        <v>59</v>
      </c>
      <c r="C30" s="92">
        <f t="shared" ref="C30:P30" si="2">SUM(C10:C29)</f>
        <v>1990</v>
      </c>
      <c r="D30" s="65">
        <f t="shared" si="2"/>
        <v>7960</v>
      </c>
      <c r="E30" s="66">
        <f t="shared" si="2"/>
        <v>2302</v>
      </c>
      <c r="F30" s="67">
        <f t="shared" si="2"/>
        <v>2144</v>
      </c>
      <c r="G30" s="68">
        <f t="shared" si="2"/>
        <v>2255</v>
      </c>
      <c r="H30" s="69">
        <f t="shared" si="2"/>
        <v>2096</v>
      </c>
      <c r="I30" s="66">
        <f t="shared" si="2"/>
        <v>2227</v>
      </c>
      <c r="J30" s="67">
        <f t="shared" si="2"/>
        <v>2132</v>
      </c>
      <c r="K30" s="68">
        <f t="shared" si="2"/>
        <v>2284</v>
      </c>
      <c r="L30" s="69">
        <f t="shared" si="2"/>
        <v>2155</v>
      </c>
      <c r="M30" s="66">
        <f t="shared" si="2"/>
        <v>173</v>
      </c>
      <c r="N30" s="67">
        <f t="shared" si="2"/>
        <v>137</v>
      </c>
      <c r="O30" s="68">
        <f t="shared" si="2"/>
        <v>58</v>
      </c>
      <c r="P30" s="69">
        <f t="shared" si="2"/>
        <v>48</v>
      </c>
      <c r="Q30" s="70">
        <f>SUM(Q10:Q29)</f>
        <v>9299</v>
      </c>
      <c r="R30" s="71">
        <f>Q30/D30</f>
        <v>1.1682160804020101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88"/>
  <sheetViews>
    <sheetView showZeros="0" view="pageBreakPreview" zoomScaleNormal="100" zoomScaleSheetLayoutView="100" workbookViewId="0">
      <selection activeCell="B31" sqref="B31:J39"/>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118</v>
      </c>
      <c r="J1" s="41" t="s">
        <v>119</v>
      </c>
    </row>
    <row r="2" spans="1:11" ht="18.75" customHeight="1" x14ac:dyDescent="0.2">
      <c r="A2" s="256" t="s">
        <v>66</v>
      </c>
      <c r="B2" s="256"/>
      <c r="C2" s="256"/>
      <c r="D2" s="256"/>
      <c r="E2" s="256"/>
      <c r="F2" s="256"/>
      <c r="G2" s="256"/>
      <c r="H2" s="256"/>
      <c r="I2" s="256"/>
      <c r="J2" s="256"/>
    </row>
    <row r="3" spans="1:11" ht="7.5" customHeight="1" x14ac:dyDescent="0.2">
      <c r="B3" s="38"/>
      <c r="C3" s="38"/>
      <c r="D3" s="38"/>
      <c r="E3" s="38"/>
      <c r="F3" s="38"/>
      <c r="G3" s="38"/>
      <c r="H3" s="38"/>
      <c r="I3" s="38"/>
      <c r="J3" s="38"/>
    </row>
    <row r="4" spans="1:11" ht="18.75" customHeight="1" x14ac:dyDescent="0.2">
      <c r="A4" s="1" t="s">
        <v>6</v>
      </c>
      <c r="B4" s="4" t="s">
        <v>76</v>
      </c>
      <c r="C4" s="4"/>
      <c r="D4" s="4"/>
      <c r="E4" s="4"/>
      <c r="F4" s="4"/>
      <c r="G4" s="4"/>
      <c r="H4" s="4"/>
      <c r="I4" s="38"/>
      <c r="J4" s="38"/>
    </row>
    <row r="5" spans="1:11" ht="18.75" customHeight="1" x14ac:dyDescent="0.2">
      <c r="A5" s="1"/>
      <c r="B5" s="294" t="s">
        <v>179</v>
      </c>
      <c r="C5" s="295"/>
      <c r="D5" s="295"/>
      <c r="E5" s="295"/>
      <c r="F5" s="295"/>
      <c r="G5" s="295"/>
      <c r="H5" s="295"/>
      <c r="I5" s="295"/>
      <c r="J5" s="296"/>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10</v>
      </c>
      <c r="B7" s="1" t="s">
        <v>41</v>
      </c>
      <c r="C7" s="1"/>
      <c r="D7" s="1"/>
      <c r="E7" s="1"/>
      <c r="F7" s="1"/>
      <c r="G7" s="1"/>
      <c r="H7" s="1"/>
      <c r="I7" s="1"/>
      <c r="J7" s="1"/>
      <c r="K7" s="35"/>
    </row>
    <row r="8" spans="1:11" s="4" customFormat="1" ht="30.6" customHeight="1" x14ac:dyDescent="0.2">
      <c r="A8" s="93"/>
      <c r="B8" s="297" t="s">
        <v>192</v>
      </c>
      <c r="C8" s="298"/>
      <c r="D8" s="298"/>
      <c r="E8" s="298"/>
      <c r="F8" s="298"/>
      <c r="G8" s="298"/>
      <c r="H8" s="298"/>
      <c r="I8" s="299"/>
      <c r="J8" s="300"/>
      <c r="K8" s="31" t="str">
        <f>IF(B8="","入力してください","")</f>
        <v/>
      </c>
    </row>
    <row r="9" spans="1:11" s="4" customFormat="1" ht="30.6" customHeight="1" x14ac:dyDescent="0.2">
      <c r="A9" s="93"/>
      <c r="B9" s="301"/>
      <c r="C9" s="302"/>
      <c r="D9" s="302"/>
      <c r="E9" s="302"/>
      <c r="F9" s="302"/>
      <c r="G9" s="302"/>
      <c r="H9" s="302"/>
      <c r="I9" s="302"/>
      <c r="J9" s="303"/>
      <c r="K9" s="31"/>
    </row>
    <row r="10" spans="1:11" s="4" customFormat="1" ht="30.6" customHeight="1" x14ac:dyDescent="0.2">
      <c r="A10" s="93"/>
      <c r="B10" s="301"/>
      <c r="C10" s="302"/>
      <c r="D10" s="302"/>
      <c r="E10" s="302"/>
      <c r="F10" s="302"/>
      <c r="G10" s="302"/>
      <c r="H10" s="302"/>
      <c r="I10" s="302"/>
      <c r="J10" s="303"/>
      <c r="K10" s="31"/>
    </row>
    <row r="11" spans="1:11" s="4" customFormat="1" ht="30.6" customHeight="1" x14ac:dyDescent="0.2">
      <c r="A11" s="93"/>
      <c r="B11" s="301"/>
      <c r="C11" s="302"/>
      <c r="D11" s="302"/>
      <c r="E11" s="302"/>
      <c r="F11" s="302"/>
      <c r="G11" s="302"/>
      <c r="H11" s="302"/>
      <c r="I11" s="302"/>
      <c r="J11" s="303"/>
      <c r="K11" s="31"/>
    </row>
    <row r="12" spans="1:11" s="4" customFormat="1" ht="30.6" customHeight="1" x14ac:dyDescent="0.2">
      <c r="A12" s="93"/>
      <c r="B12" s="304"/>
      <c r="C12" s="305"/>
      <c r="D12" s="305"/>
      <c r="E12" s="305"/>
      <c r="F12" s="305"/>
      <c r="G12" s="305"/>
      <c r="H12" s="305"/>
      <c r="I12" s="305"/>
      <c r="J12" s="306"/>
      <c r="K12" s="31"/>
    </row>
    <row r="13" spans="1:11" s="4" customFormat="1" ht="7.5" customHeight="1" x14ac:dyDescent="0.2">
      <c r="A13" s="93"/>
      <c r="B13" s="93"/>
      <c r="C13" s="93"/>
      <c r="D13" s="93"/>
      <c r="E13" s="93"/>
      <c r="F13" s="93"/>
      <c r="G13" s="93"/>
      <c r="H13" s="93"/>
      <c r="I13" s="93"/>
      <c r="J13" s="93"/>
      <c r="K13" s="31"/>
    </row>
    <row r="14" spans="1:11" s="4" customFormat="1" ht="18.75" customHeight="1" x14ac:dyDescent="0.2">
      <c r="A14" s="94" t="s">
        <v>11</v>
      </c>
      <c r="B14" s="94" t="s">
        <v>16</v>
      </c>
      <c r="C14" s="94"/>
      <c r="D14" s="94"/>
      <c r="E14" s="94"/>
      <c r="F14" s="94"/>
      <c r="G14" s="94"/>
      <c r="H14" s="94"/>
      <c r="I14" s="94"/>
      <c r="J14" s="94"/>
      <c r="K14" s="31"/>
    </row>
    <row r="15" spans="1:11" s="4" customFormat="1" ht="18.75" customHeight="1" x14ac:dyDescent="0.2">
      <c r="A15" s="93"/>
      <c r="B15" s="307" t="s">
        <v>180</v>
      </c>
      <c r="C15" s="308"/>
      <c r="D15" s="308"/>
      <c r="E15" s="308"/>
      <c r="F15" s="308"/>
      <c r="G15" s="308"/>
      <c r="H15" s="308"/>
      <c r="I15" s="309"/>
      <c r="J15" s="310"/>
      <c r="K15" s="31" t="str">
        <f>IF(B15="","入力してください","")</f>
        <v/>
      </c>
    </row>
    <row r="16" spans="1:11" s="4" customFormat="1" ht="18.75" customHeight="1" x14ac:dyDescent="0.2">
      <c r="A16" s="93"/>
      <c r="B16" s="311"/>
      <c r="C16" s="312"/>
      <c r="D16" s="312"/>
      <c r="E16" s="312"/>
      <c r="F16" s="312"/>
      <c r="G16" s="312"/>
      <c r="H16" s="312"/>
      <c r="I16" s="312"/>
      <c r="J16" s="313"/>
      <c r="K16" s="31"/>
    </row>
    <row r="17" spans="1:11" s="4" customFormat="1" ht="18.75" customHeight="1" x14ac:dyDescent="0.2">
      <c r="A17" s="93"/>
      <c r="B17" s="311"/>
      <c r="C17" s="312"/>
      <c r="D17" s="312"/>
      <c r="E17" s="312"/>
      <c r="F17" s="312"/>
      <c r="G17" s="312"/>
      <c r="H17" s="312"/>
      <c r="I17" s="312"/>
      <c r="J17" s="313"/>
      <c r="K17" s="31"/>
    </row>
    <row r="18" spans="1:11" s="4" customFormat="1" ht="18.75" customHeight="1" x14ac:dyDescent="0.2">
      <c r="A18" s="93"/>
      <c r="B18" s="311"/>
      <c r="C18" s="312"/>
      <c r="D18" s="312"/>
      <c r="E18" s="312"/>
      <c r="F18" s="312"/>
      <c r="G18" s="312"/>
      <c r="H18" s="312"/>
      <c r="I18" s="312"/>
      <c r="J18" s="313"/>
      <c r="K18" s="31"/>
    </row>
    <row r="19" spans="1:11" s="4" customFormat="1" ht="18.75" customHeight="1" x14ac:dyDescent="0.2">
      <c r="A19" s="93"/>
      <c r="B19" s="311"/>
      <c r="C19" s="312"/>
      <c r="D19" s="312"/>
      <c r="E19" s="312"/>
      <c r="F19" s="312"/>
      <c r="G19" s="312"/>
      <c r="H19" s="312"/>
      <c r="I19" s="312"/>
      <c r="J19" s="313"/>
      <c r="K19" s="31"/>
    </row>
    <row r="20" spans="1:11" s="4" customFormat="1" ht="18.75" customHeight="1" x14ac:dyDescent="0.2">
      <c r="A20" s="93"/>
      <c r="B20" s="311"/>
      <c r="C20" s="312"/>
      <c r="D20" s="312"/>
      <c r="E20" s="312"/>
      <c r="F20" s="312"/>
      <c r="G20" s="312"/>
      <c r="H20" s="312"/>
      <c r="I20" s="312"/>
      <c r="J20" s="313"/>
      <c r="K20" s="31"/>
    </row>
    <row r="21" spans="1:11" s="4" customFormat="1" ht="18.75" customHeight="1" x14ac:dyDescent="0.2">
      <c r="A21" s="93"/>
      <c r="B21" s="311"/>
      <c r="C21" s="312"/>
      <c r="D21" s="312"/>
      <c r="E21" s="312"/>
      <c r="F21" s="312"/>
      <c r="G21" s="312"/>
      <c r="H21" s="312"/>
      <c r="I21" s="312"/>
      <c r="J21" s="313"/>
      <c r="K21" s="31"/>
    </row>
    <row r="22" spans="1:11" s="4" customFormat="1" ht="18.75" customHeight="1" x14ac:dyDescent="0.2">
      <c r="A22" s="93"/>
      <c r="B22" s="311"/>
      <c r="C22" s="312"/>
      <c r="D22" s="312"/>
      <c r="E22" s="312"/>
      <c r="F22" s="312"/>
      <c r="G22" s="312"/>
      <c r="H22" s="312"/>
      <c r="I22" s="312"/>
      <c r="J22" s="313"/>
      <c r="K22" s="31"/>
    </row>
    <row r="23" spans="1:11" s="4" customFormat="1" ht="18.75" customHeight="1" x14ac:dyDescent="0.2">
      <c r="A23" s="93"/>
      <c r="B23" s="311"/>
      <c r="C23" s="312"/>
      <c r="D23" s="312"/>
      <c r="E23" s="312"/>
      <c r="F23" s="312"/>
      <c r="G23" s="312"/>
      <c r="H23" s="312"/>
      <c r="I23" s="312"/>
      <c r="J23" s="313"/>
      <c r="K23" s="31"/>
    </row>
    <row r="24" spans="1:11" s="4" customFormat="1" ht="18.75" customHeight="1" x14ac:dyDescent="0.2">
      <c r="A24" s="93"/>
      <c r="B24" s="311"/>
      <c r="C24" s="312"/>
      <c r="D24" s="312"/>
      <c r="E24" s="312"/>
      <c r="F24" s="312"/>
      <c r="G24" s="312"/>
      <c r="H24" s="312"/>
      <c r="I24" s="312"/>
      <c r="J24" s="313"/>
      <c r="K24" s="31"/>
    </row>
    <row r="25" spans="1:11" s="4" customFormat="1" ht="18.75" customHeight="1" x14ac:dyDescent="0.2">
      <c r="A25" s="93"/>
      <c r="B25" s="314"/>
      <c r="C25" s="315"/>
      <c r="D25" s="315"/>
      <c r="E25" s="315"/>
      <c r="F25" s="315"/>
      <c r="G25" s="315"/>
      <c r="H25" s="315"/>
      <c r="I25" s="315"/>
      <c r="J25" s="316"/>
      <c r="K25" s="31"/>
    </row>
    <row r="26" spans="1:11" ht="7.5" customHeight="1" x14ac:dyDescent="0.2">
      <c r="A26" s="39"/>
      <c r="B26" s="39"/>
      <c r="C26" s="39"/>
      <c r="D26" s="39"/>
      <c r="E26" s="39"/>
      <c r="F26" s="39"/>
      <c r="G26" s="39"/>
      <c r="H26" s="39"/>
      <c r="I26" s="39"/>
      <c r="J26" s="39"/>
    </row>
    <row r="27" spans="1:11" s="4" customFormat="1" ht="18.75" customHeight="1" x14ac:dyDescent="0.2">
      <c r="A27" s="1" t="s">
        <v>14</v>
      </c>
      <c r="B27" s="1" t="s">
        <v>27</v>
      </c>
      <c r="C27" s="1"/>
      <c r="D27" s="1"/>
      <c r="E27" s="1"/>
      <c r="F27" s="1"/>
      <c r="G27" s="1"/>
      <c r="H27" s="1"/>
      <c r="I27" s="1"/>
      <c r="J27" s="1"/>
      <c r="K27" s="31"/>
    </row>
    <row r="28" spans="1:11" s="29" customFormat="1" ht="18.75" customHeight="1" x14ac:dyDescent="0.2">
      <c r="B28" s="95" t="s">
        <v>120</v>
      </c>
      <c r="C28" s="96">
        <f>'様式３　履修者等数の実績'!R30</f>
        <v>1.1682160804020101</v>
      </c>
      <c r="D28" s="97"/>
      <c r="E28" s="97" t="s">
        <v>121</v>
      </c>
      <c r="F28" s="96">
        <v>1</v>
      </c>
      <c r="G28" s="97"/>
      <c r="H28" s="97" t="s">
        <v>122</v>
      </c>
      <c r="I28" s="98">
        <v>1</v>
      </c>
      <c r="J28" s="99"/>
      <c r="K28" s="31"/>
    </row>
    <row r="29" spans="1:11" s="29" customFormat="1" ht="18.75" customHeight="1" x14ac:dyDescent="0.2">
      <c r="B29" s="83" t="s">
        <v>123</v>
      </c>
      <c r="C29" s="100">
        <v>1</v>
      </c>
      <c r="D29" s="84"/>
      <c r="E29" s="84" t="s">
        <v>124</v>
      </c>
      <c r="F29" s="100">
        <v>1</v>
      </c>
      <c r="G29" s="84"/>
      <c r="H29" s="84" t="s">
        <v>125</v>
      </c>
      <c r="I29" s="101">
        <f>'様式３　履修者等数の実績'!D30</f>
        <v>7960</v>
      </c>
      <c r="J29" s="102"/>
      <c r="K29" s="35"/>
    </row>
    <row r="30" spans="1:11" s="4" customFormat="1" ht="18.75" customHeight="1" x14ac:dyDescent="0.2">
      <c r="A30" s="1"/>
      <c r="B30" s="199" t="s">
        <v>126</v>
      </c>
      <c r="C30" s="200"/>
      <c r="D30" s="200"/>
      <c r="E30" s="200"/>
      <c r="F30" s="200"/>
      <c r="G30" s="200"/>
      <c r="H30" s="200"/>
      <c r="I30" s="200"/>
      <c r="J30" s="201"/>
      <c r="K30" s="35"/>
    </row>
    <row r="31" spans="1:11" s="4" customFormat="1" ht="18.75" customHeight="1" x14ac:dyDescent="0.2">
      <c r="A31" s="1"/>
      <c r="B31" s="291" t="s">
        <v>187</v>
      </c>
      <c r="C31" s="292"/>
      <c r="D31" s="292"/>
      <c r="E31" s="292"/>
      <c r="F31" s="292"/>
      <c r="G31" s="292"/>
      <c r="H31" s="292"/>
      <c r="I31" s="292"/>
      <c r="J31" s="293"/>
      <c r="K31" s="35" t="str">
        <f>IF(B31="","入力してください","")</f>
        <v/>
      </c>
    </row>
    <row r="32" spans="1:11" s="4" customFormat="1" ht="18.75" customHeight="1" x14ac:dyDescent="0.2">
      <c r="A32" s="1"/>
      <c r="B32" s="276"/>
      <c r="C32" s="277"/>
      <c r="D32" s="277"/>
      <c r="E32" s="277"/>
      <c r="F32" s="277"/>
      <c r="G32" s="277"/>
      <c r="H32" s="277"/>
      <c r="I32" s="277"/>
      <c r="J32" s="278"/>
      <c r="K32" s="35"/>
    </row>
    <row r="33" spans="1:11" s="4" customFormat="1" ht="18.75" customHeight="1" x14ac:dyDescent="0.2">
      <c r="A33" s="1"/>
      <c r="B33" s="276"/>
      <c r="C33" s="277"/>
      <c r="D33" s="277"/>
      <c r="E33" s="277"/>
      <c r="F33" s="277"/>
      <c r="G33" s="277"/>
      <c r="H33" s="277"/>
      <c r="I33" s="277"/>
      <c r="J33" s="278"/>
      <c r="K33" s="35"/>
    </row>
    <row r="34" spans="1:11" s="4" customFormat="1" ht="18.75" customHeight="1" x14ac:dyDescent="0.2">
      <c r="A34" s="1"/>
      <c r="B34" s="276"/>
      <c r="C34" s="277"/>
      <c r="D34" s="277"/>
      <c r="E34" s="277"/>
      <c r="F34" s="277"/>
      <c r="G34" s="277"/>
      <c r="H34" s="277"/>
      <c r="I34" s="277"/>
      <c r="J34" s="278"/>
      <c r="K34" s="35"/>
    </row>
    <row r="35" spans="1:11" s="4" customFormat="1" ht="18.75" customHeight="1" x14ac:dyDescent="0.2">
      <c r="A35" s="1"/>
      <c r="B35" s="276"/>
      <c r="C35" s="277"/>
      <c r="D35" s="277"/>
      <c r="E35" s="277"/>
      <c r="F35" s="277"/>
      <c r="G35" s="277"/>
      <c r="H35" s="277"/>
      <c r="I35" s="277"/>
      <c r="J35" s="278"/>
      <c r="K35" s="35"/>
    </row>
    <row r="36" spans="1:11" s="4" customFormat="1" ht="18.75" customHeight="1" x14ac:dyDescent="0.2">
      <c r="A36" s="1"/>
      <c r="B36" s="276"/>
      <c r="C36" s="277"/>
      <c r="D36" s="277"/>
      <c r="E36" s="277"/>
      <c r="F36" s="277"/>
      <c r="G36" s="277"/>
      <c r="H36" s="277"/>
      <c r="I36" s="277"/>
      <c r="J36" s="278"/>
      <c r="K36" s="35"/>
    </row>
    <row r="37" spans="1:11" s="4" customFormat="1" ht="18.75" customHeight="1" x14ac:dyDescent="0.2">
      <c r="A37" s="1"/>
      <c r="B37" s="276"/>
      <c r="C37" s="277"/>
      <c r="D37" s="277"/>
      <c r="E37" s="277"/>
      <c r="F37" s="277"/>
      <c r="G37" s="277"/>
      <c r="H37" s="277"/>
      <c r="I37" s="277"/>
      <c r="J37" s="278"/>
      <c r="K37" s="35"/>
    </row>
    <row r="38" spans="1:11" ht="18.75" customHeight="1" x14ac:dyDescent="0.2">
      <c r="A38" s="39"/>
      <c r="B38" s="276"/>
      <c r="C38" s="277"/>
      <c r="D38" s="277"/>
      <c r="E38" s="277"/>
      <c r="F38" s="277"/>
      <c r="G38" s="277"/>
      <c r="H38" s="277"/>
      <c r="I38" s="277"/>
      <c r="J38" s="278"/>
      <c r="K38" s="35"/>
    </row>
    <row r="39" spans="1:11" ht="18.75" customHeight="1" x14ac:dyDescent="0.2">
      <c r="A39" s="39"/>
      <c r="B39" s="279"/>
      <c r="C39" s="280"/>
      <c r="D39" s="280"/>
      <c r="E39" s="280"/>
      <c r="F39" s="280"/>
      <c r="G39" s="280"/>
      <c r="H39" s="280"/>
      <c r="I39" s="280"/>
      <c r="J39" s="281"/>
    </row>
    <row r="40" spans="1:11" s="4" customFormat="1" ht="18.75" customHeight="1" x14ac:dyDescent="0.2">
      <c r="A40" s="103" t="s">
        <v>12</v>
      </c>
      <c r="B40" s="1" t="s">
        <v>67</v>
      </c>
      <c r="C40" s="1"/>
      <c r="D40" s="1"/>
      <c r="E40" s="1"/>
      <c r="F40" s="1"/>
      <c r="G40" s="1"/>
      <c r="H40" s="1"/>
      <c r="I40" s="103"/>
      <c r="J40" s="103"/>
      <c r="K40" s="31"/>
    </row>
    <row r="41" spans="1:11" ht="18.75" customHeight="1" x14ac:dyDescent="0.2">
      <c r="A41" s="39"/>
      <c r="B41" s="272" t="s">
        <v>188</v>
      </c>
      <c r="C41" s="273"/>
      <c r="D41" s="273"/>
      <c r="E41" s="273"/>
      <c r="F41" s="273"/>
      <c r="G41" s="273"/>
      <c r="H41" s="273"/>
      <c r="I41" s="274"/>
      <c r="J41" s="275"/>
      <c r="K41" s="31" t="str">
        <f>IF(B41="","入力してください","")</f>
        <v/>
      </c>
    </row>
    <row r="42" spans="1:11" ht="18.75" customHeight="1" x14ac:dyDescent="0.2">
      <c r="A42" s="39"/>
      <c r="B42" s="276"/>
      <c r="C42" s="277"/>
      <c r="D42" s="277"/>
      <c r="E42" s="277"/>
      <c r="F42" s="277"/>
      <c r="G42" s="277"/>
      <c r="H42" s="277"/>
      <c r="I42" s="277"/>
      <c r="J42" s="278"/>
    </row>
    <row r="43" spans="1:11" ht="18.75" customHeight="1" x14ac:dyDescent="0.2">
      <c r="A43" s="39"/>
      <c r="B43" s="276"/>
      <c r="C43" s="277"/>
      <c r="D43" s="277"/>
      <c r="E43" s="277"/>
      <c r="F43" s="277"/>
      <c r="G43" s="277"/>
      <c r="H43" s="277"/>
      <c r="I43" s="277"/>
      <c r="J43" s="278"/>
    </row>
    <row r="44" spans="1:11" ht="18.75" customHeight="1" x14ac:dyDescent="0.2">
      <c r="A44" s="39"/>
      <c r="B44" s="276"/>
      <c r="C44" s="277"/>
      <c r="D44" s="277"/>
      <c r="E44" s="277"/>
      <c r="F44" s="277"/>
      <c r="G44" s="277"/>
      <c r="H44" s="277"/>
      <c r="I44" s="277"/>
      <c r="J44" s="278"/>
    </row>
    <row r="45" spans="1:11" ht="18.75" customHeight="1" x14ac:dyDescent="0.2">
      <c r="A45" s="39"/>
      <c r="B45" s="276"/>
      <c r="C45" s="277"/>
      <c r="D45" s="277"/>
      <c r="E45" s="277"/>
      <c r="F45" s="277"/>
      <c r="G45" s="277"/>
      <c r="H45" s="277"/>
      <c r="I45" s="277"/>
      <c r="J45" s="278"/>
    </row>
    <row r="46" spans="1:11" ht="18.75" customHeight="1" x14ac:dyDescent="0.2">
      <c r="A46" s="39"/>
      <c r="B46" s="276"/>
      <c r="C46" s="277"/>
      <c r="D46" s="277"/>
      <c r="E46" s="277"/>
      <c r="F46" s="277"/>
      <c r="G46" s="277"/>
      <c r="H46" s="277"/>
      <c r="I46" s="277"/>
      <c r="J46" s="278"/>
    </row>
    <row r="47" spans="1:11" ht="18.75" customHeight="1" x14ac:dyDescent="0.2">
      <c r="A47" s="39"/>
      <c r="B47" s="279"/>
      <c r="C47" s="280"/>
      <c r="D47" s="280"/>
      <c r="E47" s="280"/>
      <c r="F47" s="280"/>
      <c r="G47" s="280"/>
      <c r="H47" s="280"/>
      <c r="I47" s="280"/>
      <c r="J47" s="281"/>
    </row>
    <row r="48" spans="1:11" ht="7.5" customHeight="1" x14ac:dyDescent="0.2">
      <c r="A48" s="39"/>
      <c r="B48" s="39"/>
      <c r="C48" s="39"/>
      <c r="D48" s="39"/>
      <c r="E48" s="39"/>
      <c r="F48" s="39"/>
      <c r="G48" s="39"/>
      <c r="H48" s="39"/>
      <c r="I48" s="39"/>
      <c r="J48" s="39"/>
    </row>
    <row r="49" spans="1:11" s="4" customFormat="1" ht="18.75" customHeight="1" x14ac:dyDescent="0.2">
      <c r="A49" s="1" t="s">
        <v>15</v>
      </c>
      <c r="B49" s="1" t="s">
        <v>75</v>
      </c>
      <c r="C49" s="1"/>
      <c r="D49" s="1"/>
      <c r="E49" s="1"/>
      <c r="F49" s="1"/>
      <c r="G49" s="1"/>
      <c r="H49" s="1"/>
      <c r="I49" s="1"/>
      <c r="J49" s="1"/>
      <c r="K49" s="31"/>
    </row>
    <row r="50" spans="1:11" s="4" customFormat="1" ht="18.75" customHeight="1" x14ac:dyDescent="0.2">
      <c r="A50" s="1"/>
      <c r="B50" s="272" t="s">
        <v>189</v>
      </c>
      <c r="C50" s="273"/>
      <c r="D50" s="273"/>
      <c r="E50" s="273"/>
      <c r="F50" s="273"/>
      <c r="G50" s="273"/>
      <c r="H50" s="273"/>
      <c r="I50" s="282"/>
      <c r="J50" s="283"/>
      <c r="K50" s="35" t="str">
        <f>IF(B50="","入力してください","")</f>
        <v/>
      </c>
    </row>
    <row r="51" spans="1:11" s="4" customFormat="1" ht="18.75" customHeight="1" x14ac:dyDescent="0.2">
      <c r="A51" s="1"/>
      <c r="B51" s="284"/>
      <c r="C51" s="285"/>
      <c r="D51" s="285"/>
      <c r="E51" s="285"/>
      <c r="F51" s="285"/>
      <c r="G51" s="285"/>
      <c r="H51" s="285"/>
      <c r="I51" s="285"/>
      <c r="J51" s="286"/>
      <c r="K51" s="35"/>
    </row>
    <row r="52" spans="1:11" s="4" customFormat="1" ht="18.75" customHeight="1" x14ac:dyDescent="0.2">
      <c r="A52" s="1"/>
      <c r="B52" s="284"/>
      <c r="C52" s="285"/>
      <c r="D52" s="285"/>
      <c r="E52" s="285"/>
      <c r="F52" s="285"/>
      <c r="G52" s="285"/>
      <c r="H52" s="285"/>
      <c r="I52" s="285"/>
      <c r="J52" s="286"/>
      <c r="K52" s="35"/>
    </row>
    <row r="53" spans="1:11" s="4" customFormat="1" ht="18.75" customHeight="1" x14ac:dyDescent="0.2">
      <c r="A53" s="1"/>
      <c r="B53" s="284"/>
      <c r="C53" s="285"/>
      <c r="D53" s="285"/>
      <c r="E53" s="285"/>
      <c r="F53" s="285"/>
      <c r="G53" s="285"/>
      <c r="H53" s="285"/>
      <c r="I53" s="285"/>
      <c r="J53" s="286"/>
      <c r="K53" s="35"/>
    </row>
    <row r="54" spans="1:11" s="4" customFormat="1" ht="18.75" customHeight="1" x14ac:dyDescent="0.2">
      <c r="A54" s="1"/>
      <c r="B54" s="284"/>
      <c r="C54" s="285"/>
      <c r="D54" s="285"/>
      <c r="E54" s="285"/>
      <c r="F54" s="285"/>
      <c r="G54" s="285"/>
      <c r="H54" s="285"/>
      <c r="I54" s="285"/>
      <c r="J54" s="286"/>
      <c r="K54" s="35"/>
    </row>
    <row r="55" spans="1:11" ht="18.75" customHeight="1" x14ac:dyDescent="0.2">
      <c r="A55" s="39"/>
      <c r="B55" s="287"/>
      <c r="C55" s="288"/>
      <c r="D55" s="288"/>
      <c r="E55" s="288"/>
      <c r="F55" s="288"/>
      <c r="G55" s="288"/>
      <c r="H55" s="288"/>
      <c r="I55" s="288"/>
      <c r="J55" s="289"/>
      <c r="K55" s="35"/>
    </row>
    <row r="56" spans="1:11" ht="7.5" customHeight="1" x14ac:dyDescent="0.2">
      <c r="A56" s="39"/>
      <c r="B56" s="39"/>
      <c r="C56" s="39"/>
      <c r="D56" s="39"/>
      <c r="E56" s="39"/>
      <c r="F56" s="39"/>
      <c r="G56" s="39"/>
      <c r="H56" s="39"/>
      <c r="I56" s="39"/>
      <c r="J56" s="39"/>
    </row>
    <row r="57" spans="1:11" s="4" customFormat="1" ht="18.75" customHeight="1" x14ac:dyDescent="0.2">
      <c r="A57" s="1" t="s">
        <v>13</v>
      </c>
      <c r="B57" s="1" t="s">
        <v>29</v>
      </c>
      <c r="C57" s="1"/>
      <c r="D57" s="1"/>
      <c r="E57" s="1"/>
      <c r="F57" s="1"/>
      <c r="G57" s="1"/>
      <c r="H57" s="1"/>
      <c r="I57" s="1"/>
      <c r="J57" s="1"/>
      <c r="K57" s="31"/>
    </row>
    <row r="58" spans="1:11" s="4" customFormat="1" ht="18.75" customHeight="1" x14ac:dyDescent="0.2">
      <c r="A58" s="1"/>
      <c r="B58" s="272" t="s">
        <v>190</v>
      </c>
      <c r="C58" s="273"/>
      <c r="D58" s="273"/>
      <c r="E58" s="273"/>
      <c r="F58" s="273"/>
      <c r="G58" s="273"/>
      <c r="H58" s="273"/>
      <c r="I58" s="282"/>
      <c r="J58" s="283"/>
      <c r="K58" s="31"/>
    </row>
    <row r="59" spans="1:11" s="4" customFormat="1" ht="18.75" customHeight="1" x14ac:dyDescent="0.2">
      <c r="A59" s="1"/>
      <c r="B59" s="284"/>
      <c r="C59" s="285"/>
      <c r="D59" s="285"/>
      <c r="E59" s="285"/>
      <c r="F59" s="285"/>
      <c r="G59" s="285"/>
      <c r="H59" s="285"/>
      <c r="I59" s="285"/>
      <c r="J59" s="286"/>
      <c r="K59" s="35"/>
    </row>
    <row r="60" spans="1:11" s="4" customFormat="1" ht="18.75" customHeight="1" x14ac:dyDescent="0.2">
      <c r="A60" s="1"/>
      <c r="B60" s="284"/>
      <c r="C60" s="285"/>
      <c r="D60" s="285"/>
      <c r="E60" s="285"/>
      <c r="F60" s="285"/>
      <c r="G60" s="285"/>
      <c r="H60" s="285"/>
      <c r="I60" s="285"/>
      <c r="J60" s="286"/>
      <c r="K60" s="35" t="str">
        <f>IF(B58="","入力してください","")</f>
        <v/>
      </c>
    </row>
    <row r="61" spans="1:11" s="4" customFormat="1" ht="18.75" customHeight="1" x14ac:dyDescent="0.2">
      <c r="A61" s="1"/>
      <c r="B61" s="284"/>
      <c r="C61" s="285"/>
      <c r="D61" s="285"/>
      <c r="E61" s="285"/>
      <c r="F61" s="285"/>
      <c r="G61" s="285"/>
      <c r="H61" s="285"/>
      <c r="I61" s="285"/>
      <c r="J61" s="286"/>
      <c r="K61" s="35"/>
    </row>
    <row r="62" spans="1:11" s="4" customFormat="1" ht="18.75" customHeight="1" x14ac:dyDescent="0.2">
      <c r="A62" s="1"/>
      <c r="B62" s="284"/>
      <c r="C62" s="285"/>
      <c r="D62" s="285"/>
      <c r="E62" s="285"/>
      <c r="F62" s="285"/>
      <c r="G62" s="285"/>
      <c r="H62" s="285"/>
      <c r="I62" s="285"/>
      <c r="J62" s="286"/>
      <c r="K62" s="35"/>
    </row>
    <row r="63" spans="1:11" ht="18.75" customHeight="1" x14ac:dyDescent="0.2">
      <c r="A63" s="39"/>
      <c r="B63" s="287"/>
      <c r="C63" s="288"/>
      <c r="D63" s="288"/>
      <c r="E63" s="288"/>
      <c r="F63" s="288"/>
      <c r="G63" s="288"/>
      <c r="H63" s="288"/>
      <c r="I63" s="288"/>
      <c r="J63" s="289"/>
      <c r="K63" s="35"/>
    </row>
    <row r="64" spans="1:11" ht="7.5" customHeight="1" x14ac:dyDescent="0.2">
      <c r="A64" s="39"/>
      <c r="B64" s="39"/>
      <c r="C64" s="39"/>
      <c r="D64" s="39"/>
      <c r="E64" s="39"/>
      <c r="F64" s="39"/>
      <c r="G64" s="39"/>
      <c r="H64" s="39"/>
      <c r="I64" s="39"/>
      <c r="J64" s="39"/>
    </row>
    <row r="65" spans="1:11" s="4" customFormat="1" ht="18.75" customHeight="1" x14ac:dyDescent="0.2">
      <c r="A65" s="1" t="s">
        <v>55</v>
      </c>
      <c r="B65" s="290" t="s">
        <v>86</v>
      </c>
      <c r="C65" s="290"/>
      <c r="D65" s="290"/>
      <c r="E65" s="290"/>
      <c r="F65" s="290"/>
      <c r="G65" s="290"/>
      <c r="H65" s="290"/>
      <c r="I65" s="290"/>
      <c r="J65" s="290"/>
      <c r="K65" s="31"/>
    </row>
    <row r="66" spans="1:11" ht="18.75" customHeight="1" x14ac:dyDescent="0.2">
      <c r="A66" s="39"/>
      <c r="B66" s="272" t="s">
        <v>191</v>
      </c>
      <c r="C66" s="273"/>
      <c r="D66" s="273"/>
      <c r="E66" s="273"/>
      <c r="F66" s="273"/>
      <c r="G66" s="273"/>
      <c r="H66" s="273"/>
      <c r="I66" s="282"/>
      <c r="J66" s="283"/>
    </row>
    <row r="67" spans="1:11" ht="18.75" customHeight="1" x14ac:dyDescent="0.2">
      <c r="A67" s="39"/>
      <c r="B67" s="284"/>
      <c r="C67" s="285"/>
      <c r="D67" s="285"/>
      <c r="E67" s="285"/>
      <c r="F67" s="285"/>
      <c r="G67" s="285"/>
      <c r="H67" s="285"/>
      <c r="I67" s="285"/>
      <c r="J67" s="286"/>
      <c r="K67" s="35"/>
    </row>
    <row r="68" spans="1:11" ht="18.75" customHeight="1" x14ac:dyDescent="0.2">
      <c r="A68" s="39"/>
      <c r="B68" s="284"/>
      <c r="C68" s="285"/>
      <c r="D68" s="285"/>
      <c r="E68" s="285"/>
      <c r="F68" s="285"/>
      <c r="G68" s="285"/>
      <c r="H68" s="285"/>
      <c r="I68" s="285"/>
      <c r="J68" s="286"/>
      <c r="K68" s="31" t="str">
        <f>IF(B66="","入力してください","")</f>
        <v/>
      </c>
    </row>
    <row r="69" spans="1:11" ht="18.75" customHeight="1" x14ac:dyDescent="0.2">
      <c r="A69" s="39"/>
      <c r="B69" s="284"/>
      <c r="C69" s="285"/>
      <c r="D69" s="285"/>
      <c r="E69" s="285"/>
      <c r="F69" s="285"/>
      <c r="G69" s="285"/>
      <c r="H69" s="285"/>
      <c r="I69" s="285"/>
      <c r="J69" s="286"/>
    </row>
    <row r="70" spans="1:11" ht="18.75" customHeight="1" x14ac:dyDescent="0.2">
      <c r="A70" s="39"/>
      <c r="B70" s="284"/>
      <c r="C70" s="285"/>
      <c r="D70" s="285"/>
      <c r="E70" s="285"/>
      <c r="F70" s="285"/>
      <c r="G70" s="285"/>
      <c r="H70" s="285"/>
      <c r="I70" s="285"/>
      <c r="J70" s="286"/>
    </row>
    <row r="71" spans="1:11" ht="18.75" customHeight="1" x14ac:dyDescent="0.2">
      <c r="A71" s="39"/>
      <c r="B71" s="284"/>
      <c r="C71" s="285"/>
      <c r="D71" s="285"/>
      <c r="E71" s="285"/>
      <c r="F71" s="285"/>
      <c r="G71" s="285"/>
      <c r="H71" s="285"/>
      <c r="I71" s="285"/>
      <c r="J71" s="286"/>
    </row>
    <row r="72" spans="1:11" ht="18.75" customHeight="1" x14ac:dyDescent="0.2">
      <c r="A72" s="39"/>
      <c r="B72" s="284"/>
      <c r="C72" s="285"/>
      <c r="D72" s="285"/>
      <c r="E72" s="285"/>
      <c r="F72" s="285"/>
      <c r="G72" s="285"/>
      <c r="H72" s="285"/>
      <c r="I72" s="285"/>
      <c r="J72" s="286"/>
    </row>
    <row r="73" spans="1:11" ht="18.75" customHeight="1" x14ac:dyDescent="0.2">
      <c r="A73" s="39"/>
      <c r="B73" s="287"/>
      <c r="C73" s="288"/>
      <c r="D73" s="288"/>
      <c r="E73" s="288"/>
      <c r="F73" s="288"/>
      <c r="G73" s="288"/>
      <c r="H73" s="288"/>
      <c r="I73" s="288"/>
      <c r="J73" s="289"/>
    </row>
    <row r="74" spans="1:11" ht="7.5" customHeight="1" x14ac:dyDescent="0.2">
      <c r="A74" s="39"/>
      <c r="B74" s="104"/>
      <c r="C74" s="104"/>
      <c r="D74" s="104"/>
      <c r="E74" s="104"/>
      <c r="F74" s="104"/>
      <c r="G74" s="104"/>
      <c r="H74" s="104"/>
      <c r="I74" s="104"/>
      <c r="J74" s="104"/>
    </row>
    <row r="75" spans="1:11" ht="18.75" customHeight="1" x14ac:dyDescent="0.2">
      <c r="A75" s="39"/>
      <c r="B75" s="39"/>
      <c r="C75" s="39"/>
      <c r="D75" s="39"/>
      <c r="E75" s="39"/>
      <c r="F75" s="39"/>
      <c r="G75" s="39"/>
      <c r="H75" s="39"/>
      <c r="I75" s="39"/>
      <c r="J75" s="39"/>
    </row>
    <row r="76" spans="1:11" ht="18.75" customHeight="1" x14ac:dyDescent="0.2">
      <c r="A76" s="39"/>
      <c r="B76" s="39"/>
      <c r="C76" s="39"/>
      <c r="D76" s="39"/>
      <c r="E76" s="39"/>
      <c r="F76" s="39"/>
      <c r="G76" s="39"/>
      <c r="H76" s="39"/>
      <c r="I76" s="39"/>
      <c r="J76" s="39"/>
    </row>
    <row r="77" spans="1:11" ht="18.75" customHeight="1" x14ac:dyDescent="0.2">
      <c r="A77" s="39"/>
      <c r="B77" s="39"/>
      <c r="C77" s="39"/>
      <c r="D77" s="39"/>
      <c r="E77" s="39"/>
      <c r="F77" s="39"/>
      <c r="G77" s="39"/>
      <c r="H77" s="39"/>
      <c r="I77" s="39"/>
      <c r="J77" s="39"/>
    </row>
    <row r="78" spans="1:11" ht="18.75" customHeight="1" x14ac:dyDescent="0.2">
      <c r="A78" s="39"/>
      <c r="B78" s="39"/>
      <c r="C78" s="39"/>
      <c r="D78" s="39"/>
      <c r="E78" s="39"/>
      <c r="F78" s="39"/>
      <c r="G78" s="39"/>
      <c r="H78" s="39"/>
      <c r="I78" s="39"/>
      <c r="J78" s="39"/>
    </row>
    <row r="79" spans="1:11" ht="18.75" customHeight="1" x14ac:dyDescent="0.2">
      <c r="A79" s="39"/>
      <c r="B79" s="39"/>
      <c r="C79" s="39"/>
      <c r="D79" s="39"/>
      <c r="E79" s="39"/>
      <c r="F79" s="39"/>
      <c r="G79" s="39"/>
      <c r="H79" s="39"/>
      <c r="I79" s="39"/>
      <c r="J79" s="39"/>
    </row>
    <row r="80" spans="1:11" ht="18.75" customHeight="1" x14ac:dyDescent="0.2">
      <c r="A80" s="39"/>
      <c r="B80" s="39"/>
      <c r="C80" s="39"/>
      <c r="D80" s="39"/>
      <c r="E80" s="39"/>
      <c r="F80" s="39"/>
      <c r="G80" s="39"/>
      <c r="H80" s="39"/>
      <c r="I80" s="39"/>
      <c r="J80" s="39"/>
    </row>
    <row r="81" spans="1:10" ht="18.75" customHeight="1" x14ac:dyDescent="0.2">
      <c r="A81" s="39"/>
      <c r="B81" s="39"/>
      <c r="C81" s="39"/>
      <c r="D81" s="39"/>
      <c r="E81" s="39"/>
      <c r="F81" s="39"/>
      <c r="G81" s="39"/>
      <c r="H81" s="39"/>
      <c r="I81" s="39"/>
      <c r="J81" s="39"/>
    </row>
    <row r="82" spans="1:10" ht="18.75" customHeight="1" x14ac:dyDescent="0.2">
      <c r="A82" s="39"/>
      <c r="B82" s="39"/>
      <c r="C82" s="39"/>
      <c r="D82" s="39"/>
      <c r="E82" s="39"/>
      <c r="F82" s="39"/>
      <c r="G82" s="39"/>
      <c r="H82" s="39"/>
      <c r="I82" s="39"/>
      <c r="J82" s="39"/>
    </row>
    <row r="83" spans="1:10" ht="18.75" customHeight="1" x14ac:dyDescent="0.2">
      <c r="A83" s="39"/>
      <c r="B83" s="39"/>
      <c r="C83" s="39"/>
      <c r="D83" s="39"/>
      <c r="E83" s="39"/>
      <c r="F83" s="39"/>
      <c r="G83" s="39"/>
      <c r="H83" s="39"/>
      <c r="I83" s="39"/>
      <c r="J83" s="39"/>
    </row>
    <row r="84" spans="1:10" ht="18.75" customHeight="1" x14ac:dyDescent="0.2">
      <c r="A84" s="39"/>
      <c r="B84" s="39"/>
      <c r="C84" s="39"/>
      <c r="D84" s="39"/>
      <c r="E84" s="39"/>
      <c r="F84" s="39"/>
      <c r="G84" s="39"/>
      <c r="H84" s="39"/>
      <c r="I84" s="39"/>
      <c r="J84" s="39"/>
    </row>
    <row r="85" spans="1:10" ht="18.75" customHeight="1" x14ac:dyDescent="0.2">
      <c r="A85" s="39"/>
      <c r="B85" s="39"/>
      <c r="C85" s="39"/>
      <c r="D85" s="39"/>
      <c r="E85" s="39"/>
      <c r="F85" s="39"/>
      <c r="G85" s="39"/>
      <c r="H85" s="39"/>
      <c r="I85" s="39"/>
      <c r="J85" s="39"/>
    </row>
    <row r="86" spans="1:10" ht="18.75" customHeight="1" x14ac:dyDescent="0.2">
      <c r="A86" s="39"/>
      <c r="B86" s="39"/>
      <c r="C86" s="39"/>
      <c r="D86" s="39"/>
      <c r="E86" s="39"/>
      <c r="F86" s="39"/>
      <c r="G86" s="39"/>
      <c r="H86" s="39"/>
      <c r="I86" s="39"/>
      <c r="J86" s="39"/>
    </row>
    <row r="87" spans="1:10" ht="14.4" x14ac:dyDescent="0.2">
      <c r="A87" s="39"/>
      <c r="B87" s="39"/>
      <c r="C87" s="39"/>
      <c r="D87" s="39"/>
      <c r="E87" s="39"/>
      <c r="F87" s="39"/>
      <c r="G87" s="39"/>
      <c r="H87" s="39"/>
      <c r="I87" s="39"/>
      <c r="J87" s="39"/>
    </row>
    <row r="88" spans="1:10" ht="7.5" customHeight="1" x14ac:dyDescent="0.2">
      <c r="A88" s="105"/>
      <c r="B88" s="105"/>
      <c r="C88" s="105"/>
      <c r="D88" s="105"/>
      <c r="E88" s="105"/>
      <c r="F88" s="105"/>
      <c r="G88" s="105"/>
      <c r="H88" s="105"/>
      <c r="I88" s="105"/>
      <c r="J88" s="105"/>
    </row>
  </sheetData>
  <mergeCells count="11">
    <mergeCell ref="B31:J39"/>
    <mergeCell ref="A2:J2"/>
    <mergeCell ref="B5:J5"/>
    <mergeCell ref="B8:J12"/>
    <mergeCell ref="B15:J25"/>
    <mergeCell ref="B30:J30"/>
    <mergeCell ref="B41:J47"/>
    <mergeCell ref="B50:J55"/>
    <mergeCell ref="B58:J63"/>
    <mergeCell ref="B65:J65"/>
    <mergeCell ref="B66:J73"/>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39" max="9" man="1"/>
    <brk id="56"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5" zoomScaleNormal="100" zoomScaleSheetLayoutView="100" workbookViewId="0">
      <selection activeCell="M16" sqref="M16"/>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127</v>
      </c>
      <c r="J1" s="41" t="s">
        <v>77</v>
      </c>
    </row>
    <row r="2" spans="1:11" ht="18.75" customHeight="1" x14ac:dyDescent="0.2">
      <c r="A2" s="256" t="s">
        <v>44</v>
      </c>
      <c r="B2" s="256"/>
      <c r="C2" s="256"/>
      <c r="D2" s="256"/>
      <c r="E2" s="256"/>
      <c r="F2" s="256"/>
      <c r="G2" s="256"/>
      <c r="H2" s="256"/>
      <c r="I2" s="256"/>
      <c r="J2" s="256"/>
    </row>
    <row r="3" spans="1:11" ht="7.5" customHeight="1" x14ac:dyDescent="0.2">
      <c r="A3" s="42"/>
      <c r="B3" s="42"/>
      <c r="C3" s="42"/>
      <c r="D3" s="42"/>
      <c r="E3" s="42"/>
      <c r="F3" s="42"/>
      <c r="G3" s="42"/>
      <c r="H3" s="42"/>
      <c r="I3" s="42"/>
      <c r="J3" s="42"/>
    </row>
    <row r="4" spans="1:11" ht="18.75" customHeight="1" x14ac:dyDescent="0.2">
      <c r="A4" s="1" t="s">
        <v>6</v>
      </c>
      <c r="B4" s="4" t="s">
        <v>43</v>
      </c>
      <c r="C4" s="39"/>
      <c r="D4" s="39"/>
      <c r="E4" s="40"/>
      <c r="F4" s="40"/>
      <c r="G4" s="40"/>
      <c r="H4" s="40"/>
      <c r="I4" s="40"/>
      <c r="J4" s="40"/>
    </row>
    <row r="5" spans="1:11" ht="18.75" customHeight="1" x14ac:dyDescent="0.2">
      <c r="B5" s="337" t="s">
        <v>40</v>
      </c>
      <c r="C5" s="338"/>
      <c r="D5" s="339"/>
      <c r="E5" s="340" t="s">
        <v>42</v>
      </c>
      <c r="F5" s="340"/>
      <c r="G5" s="340"/>
      <c r="H5" s="340"/>
      <c r="I5" s="340"/>
      <c r="J5" s="341"/>
    </row>
    <row r="6" spans="1:11" ht="18.75" customHeight="1" x14ac:dyDescent="0.2">
      <c r="B6" s="3" t="s">
        <v>30</v>
      </c>
      <c r="C6" s="39"/>
      <c r="D6" s="7"/>
      <c r="I6" s="40"/>
      <c r="J6" s="5"/>
    </row>
    <row r="7" spans="1:11" ht="175.8" customHeight="1" x14ac:dyDescent="0.2">
      <c r="B7" s="6"/>
      <c r="C7" s="323" t="s">
        <v>31</v>
      </c>
      <c r="D7" s="324"/>
      <c r="E7" s="334" t="s">
        <v>194</v>
      </c>
      <c r="F7" s="325"/>
      <c r="G7" s="325"/>
      <c r="H7" s="325"/>
      <c r="I7" s="325"/>
      <c r="J7" s="326"/>
      <c r="K7" s="31" t="str">
        <f>IF(E7="","入力してください","")</f>
        <v/>
      </c>
    </row>
    <row r="8" spans="1:11" ht="169.8" customHeight="1" x14ac:dyDescent="0.2">
      <c r="B8" s="6"/>
      <c r="C8" s="335" t="s">
        <v>32</v>
      </c>
      <c r="D8" s="336"/>
      <c r="E8" s="334" t="s">
        <v>195</v>
      </c>
      <c r="F8" s="325"/>
      <c r="G8" s="325"/>
      <c r="H8" s="325"/>
      <c r="I8" s="325"/>
      <c r="J8" s="326"/>
      <c r="K8" s="31" t="str">
        <f>IF(E8="","入力してください","")</f>
        <v/>
      </c>
    </row>
    <row r="9" spans="1:11" ht="172.5" customHeight="1" x14ac:dyDescent="0.2">
      <c r="B9" s="6"/>
      <c r="C9" s="323" t="s">
        <v>33</v>
      </c>
      <c r="D9" s="324"/>
      <c r="E9" s="331" t="s">
        <v>196</v>
      </c>
      <c r="F9" s="332"/>
      <c r="G9" s="332"/>
      <c r="H9" s="332"/>
      <c r="I9" s="332"/>
      <c r="J9" s="333"/>
      <c r="K9" s="31" t="str">
        <f>IF(E9="","入力してください","")</f>
        <v/>
      </c>
    </row>
    <row r="10" spans="1:11" ht="172.5" customHeight="1" x14ac:dyDescent="0.2">
      <c r="B10" s="6"/>
      <c r="C10" s="323" t="s">
        <v>34</v>
      </c>
      <c r="D10" s="324"/>
      <c r="E10" s="334" t="s">
        <v>193</v>
      </c>
      <c r="F10" s="325"/>
      <c r="G10" s="325"/>
      <c r="H10" s="325"/>
      <c r="I10" s="325"/>
      <c r="J10" s="326"/>
      <c r="K10" s="31" t="str">
        <f>IF(E10="","入力してください","")</f>
        <v/>
      </c>
    </row>
    <row r="11" spans="1:11" ht="172.5" customHeight="1" x14ac:dyDescent="0.2">
      <c r="B11" s="6"/>
      <c r="C11" s="323" t="s">
        <v>35</v>
      </c>
      <c r="D11" s="324"/>
      <c r="E11" s="334" t="s">
        <v>197</v>
      </c>
      <c r="F11" s="325"/>
      <c r="G11" s="325"/>
      <c r="H11" s="325"/>
      <c r="I11" s="325"/>
      <c r="J11" s="326"/>
      <c r="K11" s="31" t="str">
        <f>IF(E11="","入力してください","")</f>
        <v/>
      </c>
    </row>
    <row r="12" spans="1:11" ht="18.75" customHeight="1" x14ac:dyDescent="0.2">
      <c r="B12" s="9" t="s">
        <v>36</v>
      </c>
      <c r="C12" s="28"/>
      <c r="D12" s="8"/>
      <c r="E12" s="32"/>
      <c r="F12" s="32"/>
      <c r="G12" s="32"/>
      <c r="H12" s="32"/>
      <c r="I12" s="32"/>
      <c r="J12" s="33"/>
    </row>
    <row r="13" spans="1:11" ht="190.8" customHeight="1" x14ac:dyDescent="0.2">
      <c r="B13" s="6"/>
      <c r="C13" s="323" t="s">
        <v>37</v>
      </c>
      <c r="D13" s="324"/>
      <c r="E13" s="325" t="s">
        <v>198</v>
      </c>
      <c r="F13" s="325"/>
      <c r="G13" s="325"/>
      <c r="H13" s="325"/>
      <c r="I13" s="325"/>
      <c r="J13" s="326"/>
      <c r="K13" s="31" t="str">
        <f>IF(E13="","入力してください","")</f>
        <v/>
      </c>
    </row>
    <row r="14" spans="1:11" ht="183" customHeight="1" x14ac:dyDescent="0.2">
      <c r="B14" s="6"/>
      <c r="C14" s="323" t="s">
        <v>38</v>
      </c>
      <c r="D14" s="324"/>
      <c r="E14" s="327" t="s">
        <v>199</v>
      </c>
      <c r="F14" s="327"/>
      <c r="G14" s="327"/>
      <c r="H14" s="327"/>
      <c r="I14" s="327"/>
      <c r="J14" s="328"/>
      <c r="K14" s="31" t="str">
        <f>IF(E14="","入力してください","")</f>
        <v/>
      </c>
    </row>
    <row r="15" spans="1:11" ht="183.6" customHeight="1" x14ac:dyDescent="0.2">
      <c r="B15" s="329" t="s">
        <v>39</v>
      </c>
      <c r="C15" s="330"/>
      <c r="D15" s="324"/>
      <c r="E15" s="325" t="s">
        <v>200</v>
      </c>
      <c r="F15" s="325"/>
      <c r="G15" s="325"/>
      <c r="H15" s="325"/>
      <c r="I15" s="325"/>
      <c r="J15" s="326"/>
      <c r="K15" s="31" t="str">
        <f>IF(E15="","入力してください","")</f>
        <v/>
      </c>
    </row>
    <row r="16" spans="1:11" ht="171" customHeight="1" x14ac:dyDescent="0.2">
      <c r="A16" s="31"/>
      <c r="B16" s="317" t="s">
        <v>68</v>
      </c>
      <c r="C16" s="318"/>
      <c r="D16" s="319"/>
      <c r="E16" s="280" t="s">
        <v>186</v>
      </c>
      <c r="F16" s="280"/>
      <c r="G16" s="280"/>
      <c r="H16" s="280"/>
      <c r="I16" s="280"/>
      <c r="J16" s="281"/>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128</v>
      </c>
      <c r="B18" s="4"/>
      <c r="C18" s="39"/>
      <c r="D18" s="39"/>
      <c r="E18" s="40"/>
      <c r="F18" s="94"/>
      <c r="G18" s="320" t="s">
        <v>215</v>
      </c>
      <c r="H18" s="321"/>
      <c r="I18" s="321"/>
      <c r="J18" s="322"/>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6"/>
      <c r="C24" s="106"/>
      <c r="D24" s="106"/>
      <c r="E24" s="106"/>
      <c r="F24" s="106"/>
      <c r="G24" s="106"/>
      <c r="H24" s="106"/>
      <c r="I24" s="106"/>
      <c r="J24" s="106"/>
    </row>
    <row r="25" spans="1:11" ht="22.5" customHeight="1" x14ac:dyDescent="0.2">
      <c r="B25" s="106"/>
      <c r="C25" s="106"/>
      <c r="D25" s="106"/>
      <c r="E25" s="106"/>
      <c r="F25" s="106"/>
      <c r="G25" s="106"/>
      <c r="H25" s="106"/>
      <c r="I25" s="106"/>
      <c r="J25" s="106"/>
    </row>
    <row r="26" spans="1:11" ht="22.5" customHeight="1" x14ac:dyDescent="0.2">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65DD6D13-BAC7-4FDB-8A94-16C0554D9E5A}"/>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sheetPr>
    <tabColor rgb="FFFF0000"/>
  </sheetPr>
  <dimension ref="A1:F124"/>
  <sheetViews>
    <sheetView showZeros="0" view="pageBreakPreview" zoomScaleNormal="100" zoomScaleSheetLayoutView="100" workbookViewId="0">
      <selection activeCell="K12" sqref="K12"/>
    </sheetView>
  </sheetViews>
  <sheetFormatPr defaultColWidth="11.33203125" defaultRowHeight="18.75" customHeight="1" x14ac:dyDescent="0.2"/>
  <cols>
    <col min="1" max="1" width="3.33203125" style="1" customWidth="1"/>
    <col min="2" max="2" width="15.44140625" style="1" customWidth="1"/>
    <col min="3" max="3" width="37.77734375" style="1" customWidth="1"/>
    <col min="4" max="4" width="1.109375" style="1" customWidth="1"/>
    <col min="5" max="5" width="21.109375" style="1" customWidth="1"/>
    <col min="6" max="6" width="7.77734375" style="1" customWidth="1"/>
    <col min="7" max="7" width="2.21875" style="1" customWidth="1"/>
    <col min="8" max="8" width="2.109375" style="1" customWidth="1"/>
    <col min="9" max="16384" width="11.33203125" style="1"/>
  </cols>
  <sheetData>
    <row r="1" spans="1:6" ht="18.75" customHeight="1" x14ac:dyDescent="0.2">
      <c r="E1" s="255" t="s">
        <v>7</v>
      </c>
      <c r="F1" s="255"/>
    </row>
    <row r="2" spans="1:6" ht="18.75" customHeight="1" x14ac:dyDescent="0.2">
      <c r="A2" s="342" t="s">
        <v>129</v>
      </c>
      <c r="B2" s="342"/>
      <c r="C2" s="342"/>
      <c r="D2" s="342"/>
      <c r="E2" s="342"/>
      <c r="F2" s="342"/>
    </row>
    <row r="3" spans="1:6" ht="7.5" customHeight="1" x14ac:dyDescent="0.2">
      <c r="A3" s="38"/>
      <c r="B3" s="38"/>
      <c r="C3" s="38"/>
      <c r="D3" s="38"/>
      <c r="E3" s="38"/>
      <c r="F3" s="38"/>
    </row>
    <row r="4" spans="1:6" ht="18.75" customHeight="1" x14ac:dyDescent="0.2">
      <c r="A4" s="38" t="s">
        <v>6</v>
      </c>
      <c r="B4" s="4" t="s">
        <v>28</v>
      </c>
      <c r="C4" s="38"/>
      <c r="D4" s="38"/>
      <c r="E4" s="38"/>
      <c r="F4" s="38"/>
    </row>
    <row r="5" spans="1:6" ht="18.75" customHeight="1" x14ac:dyDescent="0.2">
      <c r="A5" s="38"/>
      <c r="B5" s="343"/>
      <c r="C5" s="344"/>
      <c r="D5" s="344"/>
      <c r="E5" s="344"/>
      <c r="F5" s="345"/>
    </row>
    <row r="6" spans="1:6" ht="18.75" customHeight="1" x14ac:dyDescent="0.2">
      <c r="A6" s="38"/>
      <c r="B6" s="346"/>
      <c r="C6" s="347"/>
      <c r="D6" s="347"/>
      <c r="E6" s="347"/>
      <c r="F6" s="348"/>
    </row>
    <row r="7" spans="1:6" ht="18.75" customHeight="1" x14ac:dyDescent="0.2">
      <c r="A7" s="38"/>
      <c r="B7" s="346"/>
      <c r="C7" s="347"/>
      <c r="D7" s="347"/>
      <c r="E7" s="347"/>
      <c r="F7" s="348"/>
    </row>
    <row r="8" spans="1:6" ht="18.75" customHeight="1" x14ac:dyDescent="0.2">
      <c r="A8" s="38"/>
      <c r="B8" s="346"/>
      <c r="C8" s="347"/>
      <c r="D8" s="347"/>
      <c r="E8" s="347"/>
      <c r="F8" s="348"/>
    </row>
    <row r="9" spans="1:6" ht="18.75" customHeight="1" x14ac:dyDescent="0.2">
      <c r="A9" s="38"/>
      <c r="B9" s="346"/>
      <c r="C9" s="347"/>
      <c r="D9" s="347"/>
      <c r="E9" s="347"/>
      <c r="F9" s="348"/>
    </row>
    <row r="10" spans="1:6" ht="18.75" customHeight="1" x14ac:dyDescent="0.2">
      <c r="A10" s="38"/>
      <c r="B10" s="346"/>
      <c r="C10" s="347"/>
      <c r="D10" s="347"/>
      <c r="E10" s="347"/>
      <c r="F10" s="348"/>
    </row>
    <row r="11" spans="1:6" ht="18.75" customHeight="1" x14ac:dyDescent="0.2">
      <c r="A11" s="38"/>
      <c r="B11" s="346"/>
      <c r="C11" s="347"/>
      <c r="D11" s="347"/>
      <c r="E11" s="347"/>
      <c r="F11" s="348"/>
    </row>
    <row r="12" spans="1:6" ht="18.75" customHeight="1" x14ac:dyDescent="0.2">
      <c r="A12" s="38"/>
      <c r="B12" s="346"/>
      <c r="C12" s="347"/>
      <c r="D12" s="347"/>
      <c r="E12" s="347"/>
      <c r="F12" s="348"/>
    </row>
    <row r="13" spans="1:6" ht="18.75" customHeight="1" x14ac:dyDescent="0.2">
      <c r="A13" s="38"/>
      <c r="B13" s="346"/>
      <c r="C13" s="347"/>
      <c r="D13" s="347"/>
      <c r="E13" s="347"/>
      <c r="F13" s="348"/>
    </row>
    <row r="14" spans="1:6" ht="18.75" customHeight="1" x14ac:dyDescent="0.2">
      <c r="A14" s="38"/>
      <c r="B14" s="346"/>
      <c r="C14" s="347"/>
      <c r="D14" s="347"/>
      <c r="E14" s="347"/>
      <c r="F14" s="348"/>
    </row>
    <row r="15" spans="1:6" ht="18.75" customHeight="1" x14ac:dyDescent="0.2">
      <c r="A15" s="38"/>
      <c r="B15" s="346"/>
      <c r="C15" s="347"/>
      <c r="D15" s="347"/>
      <c r="E15" s="347"/>
      <c r="F15" s="348"/>
    </row>
    <row r="16" spans="1:6" ht="18.75" customHeight="1" x14ac:dyDescent="0.2">
      <c r="A16" s="38"/>
      <c r="B16" s="346"/>
      <c r="C16" s="347"/>
      <c r="D16" s="347"/>
      <c r="E16" s="347"/>
      <c r="F16" s="348"/>
    </row>
    <row r="17" spans="1:6" ht="18.75" customHeight="1" x14ac:dyDescent="0.2">
      <c r="A17" s="38"/>
      <c r="B17" s="346"/>
      <c r="C17" s="347"/>
      <c r="D17" s="347"/>
      <c r="E17" s="347"/>
      <c r="F17" s="348"/>
    </row>
    <row r="18" spans="1:6" ht="18.75" customHeight="1" x14ac:dyDescent="0.2">
      <c r="A18" s="38"/>
      <c r="B18" s="346"/>
      <c r="C18" s="347"/>
      <c r="D18" s="347"/>
      <c r="E18" s="347"/>
      <c r="F18" s="348"/>
    </row>
    <row r="19" spans="1:6" ht="18.75" customHeight="1" x14ac:dyDescent="0.2">
      <c r="A19" s="38"/>
      <c r="B19" s="346"/>
      <c r="C19" s="347"/>
      <c r="D19" s="347"/>
      <c r="E19" s="347"/>
      <c r="F19" s="348"/>
    </row>
    <row r="20" spans="1:6" ht="18.75" customHeight="1" x14ac:dyDescent="0.2">
      <c r="A20" s="38"/>
      <c r="B20" s="346"/>
      <c r="C20" s="347"/>
      <c r="D20" s="347"/>
      <c r="E20" s="347"/>
      <c r="F20" s="348"/>
    </row>
    <row r="21" spans="1:6" ht="18.75" customHeight="1" x14ac:dyDescent="0.2">
      <c r="A21" s="38"/>
      <c r="B21" s="346"/>
      <c r="C21" s="347"/>
      <c r="D21" s="347"/>
      <c r="E21" s="347"/>
      <c r="F21" s="348"/>
    </row>
    <row r="22" spans="1:6" ht="18.75" customHeight="1" x14ac:dyDescent="0.2">
      <c r="A22" s="38"/>
      <c r="B22" s="346"/>
      <c r="C22" s="347"/>
      <c r="D22" s="347"/>
      <c r="E22" s="347"/>
      <c r="F22" s="348"/>
    </row>
    <row r="23" spans="1:6" ht="18.75" customHeight="1" x14ac:dyDescent="0.2">
      <c r="A23" s="38"/>
      <c r="B23" s="346"/>
      <c r="C23" s="347"/>
      <c r="D23" s="347"/>
      <c r="E23" s="347"/>
      <c r="F23" s="348"/>
    </row>
    <row r="24" spans="1:6" ht="18.75" customHeight="1" x14ac:dyDescent="0.2">
      <c r="A24" s="38"/>
      <c r="B24" s="346"/>
      <c r="C24" s="347"/>
      <c r="D24" s="347"/>
      <c r="E24" s="347"/>
      <c r="F24" s="348"/>
    </row>
    <row r="25" spans="1:6" ht="18.75" customHeight="1" x14ac:dyDescent="0.2">
      <c r="A25" s="38"/>
      <c r="B25" s="346"/>
      <c r="C25" s="347"/>
      <c r="D25" s="347"/>
      <c r="E25" s="347"/>
      <c r="F25" s="348"/>
    </row>
    <row r="26" spans="1:6" ht="18.75" customHeight="1" x14ac:dyDescent="0.2">
      <c r="A26" s="38"/>
      <c r="B26" s="346"/>
      <c r="C26" s="347"/>
      <c r="D26" s="347"/>
      <c r="E26" s="347"/>
      <c r="F26" s="348"/>
    </row>
    <row r="27" spans="1:6" ht="18.75" customHeight="1" x14ac:dyDescent="0.2">
      <c r="A27" s="38"/>
      <c r="B27" s="346"/>
      <c r="C27" s="347"/>
      <c r="D27" s="347"/>
      <c r="E27" s="347"/>
      <c r="F27" s="348"/>
    </row>
    <row r="28" spans="1:6" ht="18.75" customHeight="1" x14ac:dyDescent="0.2">
      <c r="A28" s="38"/>
      <c r="B28" s="346"/>
      <c r="C28" s="347"/>
      <c r="D28" s="347"/>
      <c r="E28" s="347"/>
      <c r="F28" s="348"/>
    </row>
    <row r="29" spans="1:6" ht="18.75" customHeight="1" x14ac:dyDescent="0.2">
      <c r="A29" s="38"/>
      <c r="B29" s="346"/>
      <c r="C29" s="347"/>
      <c r="D29" s="347"/>
      <c r="E29" s="347"/>
      <c r="F29" s="348"/>
    </row>
    <row r="30" spans="1:6" ht="18.75" customHeight="1" x14ac:dyDescent="0.2">
      <c r="A30" s="38"/>
      <c r="B30" s="346"/>
      <c r="C30" s="347"/>
      <c r="D30" s="347"/>
      <c r="E30" s="347"/>
      <c r="F30" s="348"/>
    </row>
    <row r="31" spans="1:6" ht="18.75" customHeight="1" x14ac:dyDescent="0.2">
      <c r="A31" s="38"/>
      <c r="B31" s="346"/>
      <c r="C31" s="347"/>
      <c r="D31" s="347"/>
      <c r="E31" s="347"/>
      <c r="F31" s="348"/>
    </row>
    <row r="32" spans="1:6" ht="18.75" customHeight="1" x14ac:dyDescent="0.2">
      <c r="A32" s="38"/>
      <c r="B32" s="346"/>
      <c r="C32" s="347"/>
      <c r="D32" s="347"/>
      <c r="E32" s="347"/>
      <c r="F32" s="348"/>
    </row>
    <row r="33" spans="1:6" ht="18.75" customHeight="1" x14ac:dyDescent="0.2">
      <c r="A33" s="38"/>
      <c r="B33" s="346"/>
      <c r="C33" s="347"/>
      <c r="D33" s="347"/>
      <c r="E33" s="347"/>
      <c r="F33" s="348"/>
    </row>
    <row r="34" spans="1:6" ht="18.75" customHeight="1" x14ac:dyDescent="0.2">
      <c r="A34" s="38"/>
      <c r="B34" s="346"/>
      <c r="C34" s="347"/>
      <c r="D34" s="347"/>
      <c r="E34" s="347"/>
      <c r="F34" s="348"/>
    </row>
    <row r="35" spans="1:6" ht="18.75" customHeight="1" x14ac:dyDescent="0.2">
      <c r="A35" s="38"/>
      <c r="B35" s="346"/>
      <c r="C35" s="347"/>
      <c r="D35" s="347"/>
      <c r="E35" s="347"/>
      <c r="F35" s="348"/>
    </row>
    <row r="36" spans="1:6" ht="18.75" customHeight="1" x14ac:dyDescent="0.2">
      <c r="A36" s="38"/>
      <c r="B36" s="346"/>
      <c r="C36" s="347"/>
      <c r="D36" s="347"/>
      <c r="E36" s="347"/>
      <c r="F36" s="348"/>
    </row>
    <row r="37" spans="1:6" ht="18.75" customHeight="1" x14ac:dyDescent="0.2">
      <c r="A37" s="38"/>
      <c r="B37" s="346"/>
      <c r="C37" s="347"/>
      <c r="D37" s="347"/>
      <c r="E37" s="347"/>
      <c r="F37" s="348"/>
    </row>
    <row r="38" spans="1:6" ht="18.75" customHeight="1" x14ac:dyDescent="0.2">
      <c r="A38" s="38"/>
      <c r="B38" s="346"/>
      <c r="C38" s="347"/>
      <c r="D38" s="347"/>
      <c r="E38" s="347"/>
      <c r="F38" s="348"/>
    </row>
    <row r="39" spans="1:6" ht="18.75" customHeight="1" x14ac:dyDescent="0.2">
      <c r="A39" s="38"/>
      <c r="B39" s="346"/>
      <c r="C39" s="347"/>
      <c r="D39" s="347"/>
      <c r="E39" s="347"/>
      <c r="F39" s="348"/>
    </row>
    <row r="40" spans="1:6" ht="18.75" customHeight="1" x14ac:dyDescent="0.2">
      <c r="A40" s="38"/>
      <c r="B40" s="346"/>
      <c r="C40" s="347"/>
      <c r="D40" s="347"/>
      <c r="E40" s="347"/>
      <c r="F40" s="348"/>
    </row>
    <row r="41" spans="1:6" ht="18.75" customHeight="1" x14ac:dyDescent="0.2">
      <c r="A41" s="38"/>
      <c r="B41" s="346"/>
      <c r="C41" s="347"/>
      <c r="D41" s="347"/>
      <c r="E41" s="347"/>
      <c r="F41" s="348"/>
    </row>
    <row r="42" spans="1:6" ht="18.75" customHeight="1" x14ac:dyDescent="0.2">
      <c r="A42" s="38"/>
      <c r="B42" s="349"/>
      <c r="C42" s="350"/>
      <c r="D42" s="350"/>
      <c r="E42" s="350"/>
      <c r="F42" s="351"/>
    </row>
    <row r="43" spans="1:6" ht="18.75" customHeight="1" x14ac:dyDescent="0.2">
      <c r="A43" s="38" t="s">
        <v>10</v>
      </c>
      <c r="B43" s="4" t="s">
        <v>73</v>
      </c>
      <c r="C43" s="38"/>
      <c r="D43" s="38"/>
      <c r="E43" s="38"/>
      <c r="F43" s="38"/>
    </row>
    <row r="44" spans="1:6" ht="18.75" customHeight="1" x14ac:dyDescent="0.2">
      <c r="A44" s="38"/>
      <c r="B44" s="343"/>
      <c r="C44" s="344"/>
      <c r="D44" s="344"/>
      <c r="E44" s="344"/>
      <c r="F44" s="345"/>
    </row>
    <row r="45" spans="1:6" ht="18.75" customHeight="1" x14ac:dyDescent="0.2">
      <c r="A45" s="38"/>
      <c r="B45" s="346"/>
      <c r="C45" s="347"/>
      <c r="D45" s="347"/>
      <c r="E45" s="347"/>
      <c r="F45" s="348"/>
    </row>
    <row r="46" spans="1:6" ht="18.75" customHeight="1" x14ac:dyDescent="0.2">
      <c r="A46" s="38"/>
      <c r="B46" s="346"/>
      <c r="C46" s="347"/>
      <c r="D46" s="347"/>
      <c r="E46" s="347"/>
      <c r="F46" s="348"/>
    </row>
    <row r="47" spans="1:6" ht="18.75" customHeight="1" x14ac:dyDescent="0.2">
      <c r="A47" s="38"/>
      <c r="B47" s="346"/>
      <c r="C47" s="347"/>
      <c r="D47" s="347"/>
      <c r="E47" s="347"/>
      <c r="F47" s="348"/>
    </row>
    <row r="48" spans="1:6" ht="18.75" customHeight="1" x14ac:dyDescent="0.2">
      <c r="A48" s="38"/>
      <c r="B48" s="346"/>
      <c r="C48" s="347"/>
      <c r="D48" s="347"/>
      <c r="E48" s="347"/>
      <c r="F48" s="348"/>
    </row>
    <row r="49" spans="1:6" ht="18.75" customHeight="1" x14ac:dyDescent="0.2">
      <c r="A49" s="38"/>
      <c r="B49" s="346"/>
      <c r="C49" s="347"/>
      <c r="D49" s="347"/>
      <c r="E49" s="347"/>
      <c r="F49" s="348"/>
    </row>
    <row r="50" spans="1:6" ht="18.75" customHeight="1" x14ac:dyDescent="0.2">
      <c r="A50" s="38"/>
      <c r="B50" s="346"/>
      <c r="C50" s="347"/>
      <c r="D50" s="347"/>
      <c r="E50" s="347"/>
      <c r="F50" s="348"/>
    </row>
    <row r="51" spans="1:6" ht="18.75" customHeight="1" x14ac:dyDescent="0.2">
      <c r="A51" s="38"/>
      <c r="B51" s="346"/>
      <c r="C51" s="347"/>
      <c r="D51" s="347"/>
      <c r="E51" s="347"/>
      <c r="F51" s="348"/>
    </row>
    <row r="52" spans="1:6" ht="18.75" customHeight="1" x14ac:dyDescent="0.2">
      <c r="A52" s="38"/>
      <c r="B52" s="346"/>
      <c r="C52" s="347"/>
      <c r="D52" s="347"/>
      <c r="E52" s="347"/>
      <c r="F52" s="348"/>
    </row>
    <row r="53" spans="1:6" ht="18.75" customHeight="1" x14ac:dyDescent="0.2">
      <c r="A53" s="38"/>
      <c r="B53" s="346"/>
      <c r="C53" s="347"/>
      <c r="D53" s="347"/>
      <c r="E53" s="347"/>
      <c r="F53" s="348"/>
    </row>
    <row r="54" spans="1:6" ht="18.75" customHeight="1" x14ac:dyDescent="0.2">
      <c r="A54" s="38"/>
      <c r="B54" s="346"/>
      <c r="C54" s="347"/>
      <c r="D54" s="347"/>
      <c r="E54" s="347"/>
      <c r="F54" s="348"/>
    </row>
    <row r="55" spans="1:6" ht="18.75" customHeight="1" x14ac:dyDescent="0.2">
      <c r="A55" s="38"/>
      <c r="B55" s="346"/>
      <c r="C55" s="347"/>
      <c r="D55" s="347"/>
      <c r="E55" s="347"/>
      <c r="F55" s="348"/>
    </row>
    <row r="56" spans="1:6" ht="18.75" customHeight="1" x14ac:dyDescent="0.2">
      <c r="A56" s="38"/>
      <c r="B56" s="346"/>
      <c r="C56" s="347"/>
      <c r="D56" s="347"/>
      <c r="E56" s="347"/>
      <c r="F56" s="348"/>
    </row>
    <row r="57" spans="1:6" ht="18.75" customHeight="1" x14ac:dyDescent="0.2">
      <c r="A57" s="38"/>
      <c r="B57" s="346"/>
      <c r="C57" s="347"/>
      <c r="D57" s="347"/>
      <c r="E57" s="347"/>
      <c r="F57" s="348"/>
    </row>
    <row r="58" spans="1:6" ht="18.75" customHeight="1" x14ac:dyDescent="0.2">
      <c r="A58" s="38"/>
      <c r="B58" s="346"/>
      <c r="C58" s="347"/>
      <c r="D58" s="347"/>
      <c r="E58" s="347"/>
      <c r="F58" s="348"/>
    </row>
    <row r="59" spans="1:6" ht="18.75" customHeight="1" x14ac:dyDescent="0.2">
      <c r="A59" s="38"/>
      <c r="B59" s="346"/>
      <c r="C59" s="347"/>
      <c r="D59" s="347"/>
      <c r="E59" s="347"/>
      <c r="F59" s="348"/>
    </row>
    <row r="60" spans="1:6" ht="18.75" customHeight="1" x14ac:dyDescent="0.2">
      <c r="A60" s="38"/>
      <c r="B60" s="346"/>
      <c r="C60" s="347"/>
      <c r="D60" s="347"/>
      <c r="E60" s="347"/>
      <c r="F60" s="348"/>
    </row>
    <row r="61" spans="1:6" ht="18.75" customHeight="1" x14ac:dyDescent="0.2">
      <c r="A61" s="38"/>
      <c r="B61" s="346"/>
      <c r="C61" s="347"/>
      <c r="D61" s="347"/>
      <c r="E61" s="347"/>
      <c r="F61" s="348"/>
    </row>
    <row r="62" spans="1:6" ht="18.75" customHeight="1" x14ac:dyDescent="0.2">
      <c r="A62" s="38"/>
      <c r="B62" s="346"/>
      <c r="C62" s="347"/>
      <c r="D62" s="347"/>
      <c r="E62" s="347"/>
      <c r="F62" s="348"/>
    </row>
    <row r="63" spans="1:6" ht="18.75" customHeight="1" x14ac:dyDescent="0.2">
      <c r="A63" s="38"/>
      <c r="B63" s="346"/>
      <c r="C63" s="347"/>
      <c r="D63" s="347"/>
      <c r="E63" s="347"/>
      <c r="F63" s="348"/>
    </row>
    <row r="64" spans="1:6" ht="18.75" customHeight="1" x14ac:dyDescent="0.2">
      <c r="A64" s="38"/>
      <c r="B64" s="346"/>
      <c r="C64" s="347"/>
      <c r="D64" s="347"/>
      <c r="E64" s="347"/>
      <c r="F64" s="348"/>
    </row>
    <row r="65" spans="1:6" ht="18.75" customHeight="1" x14ac:dyDescent="0.2">
      <c r="A65" s="38"/>
      <c r="B65" s="346"/>
      <c r="C65" s="347"/>
      <c r="D65" s="347"/>
      <c r="E65" s="347"/>
      <c r="F65" s="348"/>
    </row>
    <row r="66" spans="1:6" ht="18.75" customHeight="1" x14ac:dyDescent="0.2">
      <c r="A66" s="38"/>
      <c r="B66" s="346"/>
      <c r="C66" s="347"/>
      <c r="D66" s="347"/>
      <c r="E66" s="347"/>
      <c r="F66" s="348"/>
    </row>
    <row r="67" spans="1:6" ht="18.75" customHeight="1" x14ac:dyDescent="0.2">
      <c r="A67" s="38"/>
      <c r="B67" s="346"/>
      <c r="C67" s="347"/>
      <c r="D67" s="347"/>
      <c r="E67" s="347"/>
      <c r="F67" s="348"/>
    </row>
    <row r="68" spans="1:6" ht="18.75" customHeight="1" x14ac:dyDescent="0.2">
      <c r="A68" s="38"/>
      <c r="B68" s="346"/>
      <c r="C68" s="347"/>
      <c r="D68" s="347"/>
      <c r="E68" s="347"/>
      <c r="F68" s="348"/>
    </row>
    <row r="69" spans="1:6" ht="18.75" customHeight="1" x14ac:dyDescent="0.2">
      <c r="A69" s="38"/>
      <c r="B69" s="346"/>
      <c r="C69" s="347"/>
      <c r="D69" s="347"/>
      <c r="E69" s="347"/>
      <c r="F69" s="348"/>
    </row>
    <row r="70" spans="1:6" ht="18.75" customHeight="1" x14ac:dyDescent="0.2">
      <c r="A70" s="38"/>
      <c r="B70" s="346"/>
      <c r="C70" s="347"/>
      <c r="D70" s="347"/>
      <c r="E70" s="347"/>
      <c r="F70" s="348"/>
    </row>
    <row r="71" spans="1:6" ht="18.75" customHeight="1" x14ac:dyDescent="0.2">
      <c r="A71" s="38"/>
      <c r="B71" s="346"/>
      <c r="C71" s="347"/>
      <c r="D71" s="347"/>
      <c r="E71" s="347"/>
      <c r="F71" s="348"/>
    </row>
    <row r="72" spans="1:6" ht="18.75" customHeight="1" x14ac:dyDescent="0.2">
      <c r="A72" s="38"/>
      <c r="B72" s="346"/>
      <c r="C72" s="347"/>
      <c r="D72" s="347"/>
      <c r="E72" s="347"/>
      <c r="F72" s="348"/>
    </row>
    <row r="73" spans="1:6" ht="18.75" customHeight="1" x14ac:dyDescent="0.2">
      <c r="A73" s="38"/>
      <c r="B73" s="346"/>
      <c r="C73" s="347"/>
      <c r="D73" s="347"/>
      <c r="E73" s="347"/>
      <c r="F73" s="348"/>
    </row>
    <row r="74" spans="1:6" ht="18.75" customHeight="1" x14ac:dyDescent="0.2">
      <c r="A74" s="38"/>
      <c r="B74" s="346"/>
      <c r="C74" s="347"/>
      <c r="D74" s="347"/>
      <c r="E74" s="347"/>
      <c r="F74" s="348"/>
    </row>
    <row r="75" spans="1:6" ht="18.75" customHeight="1" x14ac:dyDescent="0.2">
      <c r="A75" s="38"/>
      <c r="B75" s="346"/>
      <c r="C75" s="347"/>
      <c r="D75" s="347"/>
      <c r="E75" s="347"/>
      <c r="F75" s="348"/>
    </row>
    <row r="76" spans="1:6" ht="18.75" customHeight="1" x14ac:dyDescent="0.2">
      <c r="A76" s="38"/>
      <c r="B76" s="346"/>
      <c r="C76" s="347"/>
      <c r="D76" s="347"/>
      <c r="E76" s="347"/>
      <c r="F76" s="348"/>
    </row>
    <row r="77" spans="1:6" ht="18.75" customHeight="1" x14ac:dyDescent="0.2">
      <c r="A77" s="38"/>
      <c r="B77" s="346"/>
      <c r="C77" s="347"/>
      <c r="D77" s="347"/>
      <c r="E77" s="347"/>
      <c r="F77" s="348"/>
    </row>
    <row r="78" spans="1:6" ht="18.75" customHeight="1" x14ac:dyDescent="0.2">
      <c r="A78" s="38"/>
      <c r="B78" s="346"/>
      <c r="C78" s="347"/>
      <c r="D78" s="347"/>
      <c r="E78" s="347"/>
      <c r="F78" s="348"/>
    </row>
    <row r="79" spans="1:6" ht="18.75" customHeight="1" x14ac:dyDescent="0.2">
      <c r="A79" s="38"/>
      <c r="B79" s="346"/>
      <c r="C79" s="347"/>
      <c r="D79" s="347"/>
      <c r="E79" s="347"/>
      <c r="F79" s="348"/>
    </row>
    <row r="80" spans="1:6" ht="18.75" customHeight="1" x14ac:dyDescent="0.2">
      <c r="A80" s="38"/>
      <c r="B80" s="346"/>
      <c r="C80" s="347"/>
      <c r="D80" s="347"/>
      <c r="E80" s="347"/>
      <c r="F80" s="348"/>
    </row>
    <row r="81" spans="1:6" ht="18.75" customHeight="1" x14ac:dyDescent="0.2">
      <c r="A81" s="38"/>
      <c r="B81" s="346"/>
      <c r="C81" s="347"/>
      <c r="D81" s="347"/>
      <c r="E81" s="347"/>
      <c r="F81" s="348"/>
    </row>
    <row r="82" spans="1:6" ht="18.75" customHeight="1" x14ac:dyDescent="0.2">
      <c r="A82" s="38"/>
      <c r="B82" s="346"/>
      <c r="C82" s="347"/>
      <c r="D82" s="347"/>
      <c r="E82" s="347"/>
      <c r="F82" s="348"/>
    </row>
    <row r="83" spans="1:6" ht="18.75" customHeight="1" x14ac:dyDescent="0.2">
      <c r="A83" s="38"/>
      <c r="B83" s="349"/>
      <c r="C83" s="350"/>
      <c r="D83" s="350"/>
      <c r="E83" s="350"/>
      <c r="F83" s="351"/>
    </row>
    <row r="84" spans="1:6" ht="18.75" customHeight="1" x14ac:dyDescent="0.2">
      <c r="A84" s="4" t="s">
        <v>11</v>
      </c>
      <c r="B84" s="4" t="s">
        <v>74</v>
      </c>
      <c r="C84" s="4"/>
      <c r="D84" s="4"/>
      <c r="E84" s="4"/>
      <c r="F84" s="4"/>
    </row>
    <row r="85" spans="1:6" ht="18.75" customHeight="1" x14ac:dyDescent="0.2">
      <c r="A85" s="38"/>
      <c r="B85" s="343"/>
      <c r="C85" s="344"/>
      <c r="D85" s="344"/>
      <c r="E85" s="344"/>
      <c r="F85" s="345"/>
    </row>
    <row r="86" spans="1:6" ht="18.75" customHeight="1" x14ac:dyDescent="0.2">
      <c r="A86" s="38"/>
      <c r="B86" s="346"/>
      <c r="C86" s="347"/>
      <c r="D86" s="347"/>
      <c r="E86" s="347"/>
      <c r="F86" s="348"/>
    </row>
    <row r="87" spans="1:6" ht="18.75" customHeight="1" x14ac:dyDescent="0.2">
      <c r="A87" s="38"/>
      <c r="B87" s="346"/>
      <c r="C87" s="347"/>
      <c r="D87" s="347"/>
      <c r="E87" s="347"/>
      <c r="F87" s="348"/>
    </row>
    <row r="88" spans="1:6" ht="18.75" customHeight="1" x14ac:dyDescent="0.2">
      <c r="A88" s="38"/>
      <c r="B88" s="346"/>
      <c r="C88" s="347"/>
      <c r="D88" s="347"/>
      <c r="E88" s="347"/>
      <c r="F88" s="348"/>
    </row>
    <row r="89" spans="1:6" ht="18.75" customHeight="1" x14ac:dyDescent="0.2">
      <c r="A89" s="38"/>
      <c r="B89" s="346"/>
      <c r="C89" s="347"/>
      <c r="D89" s="347"/>
      <c r="E89" s="347"/>
      <c r="F89" s="348"/>
    </row>
    <row r="90" spans="1:6" ht="18.75" customHeight="1" x14ac:dyDescent="0.2">
      <c r="A90" s="38"/>
      <c r="B90" s="346"/>
      <c r="C90" s="347"/>
      <c r="D90" s="347"/>
      <c r="E90" s="347"/>
      <c r="F90" s="348"/>
    </row>
    <row r="91" spans="1:6" ht="18.75" customHeight="1" x14ac:dyDescent="0.2">
      <c r="A91" s="38"/>
      <c r="B91" s="346"/>
      <c r="C91" s="347"/>
      <c r="D91" s="347"/>
      <c r="E91" s="347"/>
      <c r="F91" s="348"/>
    </row>
    <row r="92" spans="1:6" ht="18.75" customHeight="1" x14ac:dyDescent="0.2">
      <c r="A92" s="38"/>
      <c r="B92" s="346"/>
      <c r="C92" s="347"/>
      <c r="D92" s="347"/>
      <c r="E92" s="347"/>
      <c r="F92" s="348"/>
    </row>
    <row r="93" spans="1:6" ht="18.75" customHeight="1" x14ac:dyDescent="0.2">
      <c r="A93" s="38"/>
      <c r="B93" s="346"/>
      <c r="C93" s="347"/>
      <c r="D93" s="347"/>
      <c r="E93" s="347"/>
      <c r="F93" s="348"/>
    </row>
    <row r="94" spans="1:6" ht="18.75" customHeight="1" x14ac:dyDescent="0.2">
      <c r="A94" s="38"/>
      <c r="B94" s="346"/>
      <c r="C94" s="347"/>
      <c r="D94" s="347"/>
      <c r="E94" s="347"/>
      <c r="F94" s="348"/>
    </row>
    <row r="95" spans="1:6" ht="18.75" customHeight="1" x14ac:dyDescent="0.2">
      <c r="A95" s="38"/>
      <c r="B95" s="346"/>
      <c r="C95" s="347"/>
      <c r="D95" s="347"/>
      <c r="E95" s="347"/>
      <c r="F95" s="348"/>
    </row>
    <row r="96" spans="1:6" ht="18.75" customHeight="1" x14ac:dyDescent="0.2">
      <c r="A96" s="38"/>
      <c r="B96" s="346"/>
      <c r="C96" s="347"/>
      <c r="D96" s="347"/>
      <c r="E96" s="347"/>
      <c r="F96" s="348"/>
    </row>
    <row r="97" spans="1:6" ht="18.75" customHeight="1" x14ac:dyDescent="0.2">
      <c r="A97" s="38"/>
      <c r="B97" s="346"/>
      <c r="C97" s="347"/>
      <c r="D97" s="347"/>
      <c r="E97" s="347"/>
      <c r="F97" s="348"/>
    </row>
    <row r="98" spans="1:6" ht="18.75" customHeight="1" x14ac:dyDescent="0.2">
      <c r="A98" s="38"/>
      <c r="B98" s="346"/>
      <c r="C98" s="347"/>
      <c r="D98" s="347"/>
      <c r="E98" s="347"/>
      <c r="F98" s="348"/>
    </row>
    <row r="99" spans="1:6" ht="18.75" customHeight="1" x14ac:dyDescent="0.2">
      <c r="A99" s="38"/>
      <c r="B99" s="346"/>
      <c r="C99" s="347"/>
      <c r="D99" s="347"/>
      <c r="E99" s="347"/>
      <c r="F99" s="348"/>
    </row>
    <row r="100" spans="1:6" ht="18.75" customHeight="1" x14ac:dyDescent="0.2">
      <c r="A100" s="38"/>
      <c r="B100" s="346"/>
      <c r="C100" s="347"/>
      <c r="D100" s="347"/>
      <c r="E100" s="347"/>
      <c r="F100" s="348"/>
    </row>
    <row r="101" spans="1:6" ht="18.75" customHeight="1" x14ac:dyDescent="0.2">
      <c r="A101" s="38"/>
      <c r="B101" s="346"/>
      <c r="C101" s="347"/>
      <c r="D101" s="347"/>
      <c r="E101" s="347"/>
      <c r="F101" s="348"/>
    </row>
    <row r="102" spans="1:6" ht="18.75" customHeight="1" x14ac:dyDescent="0.2">
      <c r="A102" s="38"/>
      <c r="B102" s="346"/>
      <c r="C102" s="347"/>
      <c r="D102" s="347"/>
      <c r="E102" s="347"/>
      <c r="F102" s="348"/>
    </row>
    <row r="103" spans="1:6" ht="18.75" customHeight="1" x14ac:dyDescent="0.2">
      <c r="A103" s="38"/>
      <c r="B103" s="346"/>
      <c r="C103" s="347"/>
      <c r="D103" s="347"/>
      <c r="E103" s="347"/>
      <c r="F103" s="348"/>
    </row>
    <row r="104" spans="1:6" ht="18.75" customHeight="1" x14ac:dyDescent="0.2">
      <c r="A104" s="38"/>
      <c r="B104" s="346"/>
      <c r="C104" s="347"/>
      <c r="D104" s="347"/>
      <c r="E104" s="347"/>
      <c r="F104" s="348"/>
    </row>
    <row r="105" spans="1:6" ht="18.75" customHeight="1" x14ac:dyDescent="0.2">
      <c r="A105" s="38"/>
      <c r="B105" s="346"/>
      <c r="C105" s="347"/>
      <c r="D105" s="347"/>
      <c r="E105" s="347"/>
      <c r="F105" s="348"/>
    </row>
    <row r="106" spans="1:6" ht="18.75" customHeight="1" x14ac:dyDescent="0.2">
      <c r="A106" s="38"/>
      <c r="B106" s="346"/>
      <c r="C106" s="347"/>
      <c r="D106" s="347"/>
      <c r="E106" s="347"/>
      <c r="F106" s="348"/>
    </row>
    <row r="107" spans="1:6" ht="18.75" customHeight="1" x14ac:dyDescent="0.2">
      <c r="A107" s="38"/>
      <c r="B107" s="346"/>
      <c r="C107" s="347"/>
      <c r="D107" s="347"/>
      <c r="E107" s="347"/>
      <c r="F107" s="348"/>
    </row>
    <row r="108" spans="1:6" ht="18.75" customHeight="1" x14ac:dyDescent="0.2">
      <c r="A108" s="38"/>
      <c r="B108" s="346"/>
      <c r="C108" s="347"/>
      <c r="D108" s="347"/>
      <c r="E108" s="347"/>
      <c r="F108" s="348"/>
    </row>
    <row r="109" spans="1:6" ht="18.75" customHeight="1" x14ac:dyDescent="0.2">
      <c r="A109" s="38"/>
      <c r="B109" s="346"/>
      <c r="C109" s="347"/>
      <c r="D109" s="347"/>
      <c r="E109" s="347"/>
      <c r="F109" s="348"/>
    </row>
    <row r="110" spans="1:6" ht="18.75" customHeight="1" x14ac:dyDescent="0.2">
      <c r="A110" s="38"/>
      <c r="B110" s="346"/>
      <c r="C110" s="347"/>
      <c r="D110" s="347"/>
      <c r="E110" s="347"/>
      <c r="F110" s="348"/>
    </row>
    <row r="111" spans="1:6" ht="18.75" customHeight="1" x14ac:dyDescent="0.2">
      <c r="A111" s="38"/>
      <c r="B111" s="346"/>
      <c r="C111" s="347"/>
      <c r="D111" s="347"/>
      <c r="E111" s="347"/>
      <c r="F111" s="348"/>
    </row>
    <row r="112" spans="1:6" ht="18.75" customHeight="1" x14ac:dyDescent="0.2">
      <c r="A112" s="38"/>
      <c r="B112" s="346"/>
      <c r="C112" s="347"/>
      <c r="D112" s="347"/>
      <c r="E112" s="347"/>
      <c r="F112" s="348"/>
    </row>
    <row r="113" spans="1:6" ht="18.75" customHeight="1" x14ac:dyDescent="0.2">
      <c r="A113" s="38"/>
      <c r="B113" s="346"/>
      <c r="C113" s="347"/>
      <c r="D113" s="347"/>
      <c r="E113" s="347"/>
      <c r="F113" s="348"/>
    </row>
    <row r="114" spans="1:6" ht="18.75" customHeight="1" x14ac:dyDescent="0.2">
      <c r="A114" s="38"/>
      <c r="B114" s="346"/>
      <c r="C114" s="347"/>
      <c r="D114" s="347"/>
      <c r="E114" s="347"/>
      <c r="F114" s="348"/>
    </row>
    <row r="115" spans="1:6" ht="18.75" customHeight="1" x14ac:dyDescent="0.2">
      <c r="A115" s="38"/>
      <c r="B115" s="346"/>
      <c r="C115" s="347"/>
      <c r="D115" s="347"/>
      <c r="E115" s="347"/>
      <c r="F115" s="348"/>
    </row>
    <row r="116" spans="1:6" ht="18.75" customHeight="1" x14ac:dyDescent="0.2">
      <c r="A116" s="38"/>
      <c r="B116" s="346"/>
      <c r="C116" s="347"/>
      <c r="D116" s="347"/>
      <c r="E116" s="347"/>
      <c r="F116" s="348"/>
    </row>
    <row r="117" spans="1:6" ht="18.75" customHeight="1" x14ac:dyDescent="0.2">
      <c r="A117" s="38"/>
      <c r="B117" s="346"/>
      <c r="C117" s="347"/>
      <c r="D117" s="347"/>
      <c r="E117" s="347"/>
      <c r="F117" s="348"/>
    </row>
    <row r="118" spans="1:6" ht="18.75" customHeight="1" x14ac:dyDescent="0.2">
      <c r="A118" s="38"/>
      <c r="B118" s="346"/>
      <c r="C118" s="347"/>
      <c r="D118" s="347"/>
      <c r="E118" s="347"/>
      <c r="F118" s="348"/>
    </row>
    <row r="119" spans="1:6" ht="18.75" customHeight="1" x14ac:dyDescent="0.2">
      <c r="A119" s="38"/>
      <c r="B119" s="346"/>
      <c r="C119" s="347"/>
      <c r="D119" s="347"/>
      <c r="E119" s="347"/>
      <c r="F119" s="348"/>
    </row>
    <row r="120" spans="1:6" ht="18.75" customHeight="1" x14ac:dyDescent="0.2">
      <c r="A120" s="38"/>
      <c r="B120" s="346"/>
      <c r="C120" s="347"/>
      <c r="D120" s="347"/>
      <c r="E120" s="347"/>
      <c r="F120" s="348"/>
    </row>
    <row r="121" spans="1:6" ht="18.75" customHeight="1" x14ac:dyDescent="0.2">
      <c r="A121" s="38"/>
      <c r="B121" s="346"/>
      <c r="C121" s="347"/>
      <c r="D121" s="347"/>
      <c r="E121" s="347"/>
      <c r="F121" s="348"/>
    </row>
    <row r="122" spans="1:6" ht="18.75" customHeight="1" x14ac:dyDescent="0.2">
      <c r="A122" s="38"/>
      <c r="B122" s="346"/>
      <c r="C122" s="347"/>
      <c r="D122" s="347"/>
      <c r="E122" s="347"/>
      <c r="F122" s="348"/>
    </row>
    <row r="123" spans="1:6" ht="18.75" customHeight="1" x14ac:dyDescent="0.2">
      <c r="A123" s="38"/>
      <c r="B123" s="346"/>
      <c r="C123" s="347"/>
      <c r="D123" s="347"/>
      <c r="E123" s="347"/>
      <c r="F123" s="348"/>
    </row>
    <row r="124" spans="1:6" ht="18.75" customHeight="1" x14ac:dyDescent="0.2">
      <c r="A124" s="38"/>
      <c r="B124" s="349"/>
      <c r="C124" s="350"/>
      <c r="D124" s="350"/>
      <c r="E124" s="350"/>
      <c r="F124" s="351"/>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不要_様式６　特色ある取組</vt:lpstr>
      <vt:lpstr>'不要_様式６　特色ある取組'!Print_Area</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2022-04-27T02:44:08Z</cp:lastPrinted>
  <dcterms:created xsi:type="dcterms:W3CDTF">2011-06-14T05:32:50Z</dcterms:created>
  <dcterms:modified xsi:type="dcterms:W3CDTF">2022-07-11T02:04:50Z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