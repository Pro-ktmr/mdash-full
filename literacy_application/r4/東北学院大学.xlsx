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defaultThemeVersion="124226"/>
  <mc:AlternateContent xmlns:mc="http://schemas.openxmlformats.org/markup-compatibility/2006">
    <mc:Choice Requires="x15">
      <x15ac:absPath xmlns:x15ac="http://schemas.microsoft.com/office/spreadsheetml/2010/11/ac" url="Z:\001_学長室事務課\M-MDASH\MDASH_申請2022\20220527_再申請資料MDASH\"/>
    </mc:Choice>
  </mc:AlternateContent>
  <xr:revisionPtr revIDLastSave="0" documentId="13_ncr:1_{DF1F85A3-AD13-4786-B7AB-1C3754530410}" xr6:coauthVersionLast="47" xr6:coauthVersionMax="47" xr10:uidLastSave="{00000000-0000-0000-0000-000000000000}"/>
  <bookViews>
    <workbookView xWindow="16680" yWindow="-21720" windowWidth="38640" windowHeight="21240"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Sheet1"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教育の質・履修者数を向上させるための体制・計画'!$A$1:$J$127</definedName>
    <definedName name="_xlnm.Print_Area" localSheetId="4">'様式５　自己点検・評価'!$A$1:$K$18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10" i="41"/>
  <c r="K88" i="41"/>
  <c r="K66" i="41"/>
  <c r="K47" i="41"/>
  <c r="K31" i="41"/>
  <c r="K15" i="41"/>
  <c r="K8" i="41"/>
  <c r="K5" i="41"/>
  <c r="O12" i="8"/>
  <c r="O10" i="8"/>
  <c r="K16" i="42" l="1"/>
  <c r="K15" i="42"/>
  <c r="K14" i="42"/>
  <c r="K13" i="42"/>
  <c r="K11" i="42"/>
  <c r="K10" i="42"/>
  <c r="K9" i="42"/>
  <c r="K8" i="42"/>
  <c r="K7"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 r="O4" i="8"/>
  <c r="O45" i="8"/>
  <c r="O44" i="8"/>
  <c r="O41" i="8"/>
  <c r="O37" i="8"/>
  <c r="O39" i="8"/>
  <c r="O34" i="8"/>
  <c r="O29" i="8"/>
  <c r="O32" i="8"/>
  <c r="O20" i="8"/>
  <c r="O18" i="8"/>
  <c r="O16" i="8"/>
  <c r="O14" i="8"/>
  <c r="O8" i="8"/>
  <c r="O6" i="8"/>
</calcChain>
</file>

<file path=xl/sharedStrings.xml><?xml version="1.0" encoding="utf-8"?>
<sst xmlns="http://schemas.openxmlformats.org/spreadsheetml/2006/main" count="316" uniqueCount="210">
  <si>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</si>
  <si>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</si>
  <si>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</si>
  <si>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</si>
  <si>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</si>
  <si>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</si>
  <si>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</si>
  <si>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</si>
  <si>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</si>
  <si>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</si>
  <si>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</si>
  <si>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</si>
  <si>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</si>
  <si>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</si>
  <si>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</si>
  <si>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</si>
  <si>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</si>
  <si>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</si>
  <si>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</si>
  <si>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</si>
  <si>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</si>
  <si>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</si>
  <si>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</si>
  <si>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</si>
  <si>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</si>
  <si>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</si>
  <si>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</si>
  <si>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</si>
  <si>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</si>
  <si>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</si>
  <si>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</si>
  <si>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</si>
  <si>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</si>
  <si>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</si>
  <si>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</si>
  <si>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</si>
  <si>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</si>
  <si>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</si>
  <si>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</si>
  <si>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</si>
  <si>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</si>
  <si>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</si>
  <si>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</si>
  <si>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</si>
  <si>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</si>
  <si>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</si>
  <si>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</si>
  <si>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</si>
  <si>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</si>
  <si>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</si>
  <si>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</si>
  <si>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</si>
  <si>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</si>
  <si>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</si>
  <si>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</si>
  <si>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</si>
  <si>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</si>
  <si>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</si>
  <si>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</si>
  <si>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</si>
  <si>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</si>
  <si>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</si>
  <si>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</si>
  <si>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</si>
  <si>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</si>
  <si>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</si>
  <si>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</si>
  <si>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</si>
  <si>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</si>
  <si>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</si>
  <si>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</si>
  <si>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</si>
  <si>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</si>
  <si>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</si>
  <si>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</si>
  <si>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</si>
  <si>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</si>
  <si>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</si>
  <si>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</si>
  <si>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</si>
  <si>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</si>
  <si>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</si>
  <si>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</si>
  <si>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</si>
  <si>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</si>
  <si>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</si>
  <si>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</si>
  <si>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</si>
  <si>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</si>
  <si>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</si>
  <si>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</si>
  <si>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</si>
  <si>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</si>
  <si>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</si>
  <si>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</si>
  <si>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</si>
  <si>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</si>
  <si>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</si>
  <si>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</si>
  <si>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</si>
  <si>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</si>
  <si>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</si>
  <si>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</si>
  <si>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</si>
  <si>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</si>
  <si>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</si>
  <si>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</si>
  <si>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</si>
  <si>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</si>
  <si>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選択</t>
    <rPh sb="0" eb="2">
      <t>センタク</t>
    </rPh>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</si>
  <si>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</si>
  <si>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</si>
  <si>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</si>
  <si>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</si>
  <si>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</si>
  <si>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</si>
  <si>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</si>
  <si>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</si>
  <si>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</si>
  <si>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</si>
  <si>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</si>
  <si>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</si>
  <si>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</si>
  <si>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</si>
  <si>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</si>
  <si>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</si>
  <si>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</si>
  <si>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</si>
  <si>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</si>
  <si>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</si>
  <si>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</si>
  <si>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</si>
  <si>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</si>
  <si>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</si>
  <si>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</si>
  <si>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</si>
  <si>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</si>
  <si>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</si>
  <si>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</si>
  <si>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</si>
  <si>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</si>
  <si>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</si>
  <si>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</si>
  <si>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</si>
  <si>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</si>
  <si>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</si>
  <si>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</si>
  <si>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認定教育プログラム</t>
    <rPh sb="0" eb="4">
      <t>ニンテイキョウイク</t>
    </rPh>
    <phoneticPr fontId="1"/>
  </si>
  <si>
    <t>全学開講</t>
  </si>
  <si>
    <t>○</t>
  </si>
  <si>
    <t>①プログラム開設年度</t>
    <rPh sb="6" eb="8">
      <t>カイセツ</t>
    </rPh>
    <rPh sb="8" eb="10">
      <t>ネンド</t>
    </rPh>
    <phoneticPr fontId="1"/>
  </si>
  <si>
    <t>東北学院大学</t>
    <rPh sb="0" eb="6">
      <t>トウホクガクインダイガク</t>
    </rPh>
    <phoneticPr fontId="1"/>
  </si>
  <si>
    <t>学校法人　東北学院</t>
    <rPh sb="0" eb="2">
      <t>ガッコウ</t>
    </rPh>
    <rPh sb="2" eb="4">
      <t>ホウジン</t>
    </rPh>
    <rPh sb="5" eb="7">
      <t>トウホク</t>
    </rPh>
    <rPh sb="7" eb="9">
      <t>ガクイン</t>
    </rPh>
    <phoneticPr fontId="1"/>
  </si>
  <si>
    <t>無</t>
  </si>
  <si>
    <t>情報化社会の基礎</t>
    <rPh sb="0" eb="5">
      <t>ジョウホウカシャカイ</t>
    </rPh>
    <rPh sb="6" eb="8">
      <t>キソ</t>
    </rPh>
    <phoneticPr fontId="1"/>
  </si>
  <si>
    <t>統計的思考の基礎</t>
    <rPh sb="0" eb="3">
      <t>トウケイテキ</t>
    </rPh>
    <rPh sb="3" eb="5">
      <t>シコウ</t>
    </rPh>
    <rPh sb="6" eb="8">
      <t>キソ</t>
    </rPh>
    <phoneticPr fontId="1"/>
  </si>
  <si>
    <t>私立大学</t>
    <rPh sb="0" eb="4">
      <t>シリツダイガク</t>
    </rPh>
    <phoneticPr fontId="1"/>
  </si>
  <si>
    <t>千葉　昭彦</t>
    <rPh sb="0" eb="2">
      <t>チバ</t>
    </rPh>
    <rPh sb="3" eb="5">
      <t>アキヒコ</t>
    </rPh>
    <phoneticPr fontId="1"/>
  </si>
  <si>
    <t>大西　晴樹</t>
    <rPh sb="0" eb="2">
      <t>オオニシ</t>
    </rPh>
    <rPh sb="3" eb="5">
      <t>ハルキ</t>
    </rPh>
    <phoneticPr fontId="1"/>
  </si>
  <si>
    <t>学長</t>
    <rPh sb="0" eb="2">
      <t>ガクチョウ</t>
    </rPh>
    <phoneticPr fontId="1"/>
  </si>
  <si>
    <t>副学長（学務担当）</t>
    <rPh sb="0" eb="3">
      <t>フクガクチョウ</t>
    </rPh>
    <rPh sb="4" eb="6">
      <t>ガクム</t>
    </rPh>
    <rPh sb="6" eb="8">
      <t>タントウ</t>
    </rPh>
    <phoneticPr fontId="1"/>
  </si>
  <si>
    <t>学部・学科によって、修了要件は相違しない</t>
    <phoneticPr fontId="1"/>
  </si>
  <si>
    <t>文学部</t>
    <rPh sb="0" eb="3">
      <t>ブンガクブ</t>
    </rPh>
    <phoneticPr fontId="1"/>
  </si>
  <si>
    <t>経済学部</t>
    <rPh sb="0" eb="4">
      <t>ケイザイガクブ</t>
    </rPh>
    <phoneticPr fontId="1"/>
  </si>
  <si>
    <t>経営学部</t>
    <rPh sb="0" eb="4">
      <t>ケイエイガクブ</t>
    </rPh>
    <phoneticPr fontId="1"/>
  </si>
  <si>
    <t>法学部</t>
    <rPh sb="0" eb="3">
      <t>ホウガクブ</t>
    </rPh>
    <phoneticPr fontId="1"/>
  </si>
  <si>
    <t>工学部</t>
    <rPh sb="0" eb="3">
      <t>コウガクブ</t>
    </rPh>
    <phoneticPr fontId="1"/>
  </si>
  <si>
    <t>教養学部</t>
    <rPh sb="0" eb="4">
      <t>キョウヨウガクブ</t>
    </rPh>
    <phoneticPr fontId="1"/>
  </si>
  <si>
    <t>社会におけるデータ・ＡＩ利活用に関する知識やデータを適切に読み解く能力</t>
    <phoneticPr fontId="1"/>
  </si>
  <si>
    <t xml:space="preserve">モデルカリキュラム「１－１社会で起きている変化」に対応
「情報化社会の基礎」	
・（第1回）情報化社会に至る歴史と情報の価値			
・（第14回）IoT技術に基づくスマート社会を生きる			
・（第15回）今後のAI社会の展望				</t>
    <rPh sb="29" eb="34">
      <t>ジョウホウカシャカイ</t>
    </rPh>
    <rPh sb="35" eb="37">
      <t>キソ</t>
    </rPh>
    <phoneticPr fontId="1"/>
  </si>
  <si>
    <r>
      <rPr>
        <sz val="11"/>
        <rFont val="ＭＳ Ｐゴシック"/>
        <family val="3"/>
        <charset val="128"/>
        <scheme val="minor"/>
      </rPr>
      <t xml:space="preserve">モデルカリキュラム「１－６データ・AI利活用の最新動向」に対応
「情報化社会の基礎」
・（第12回）情報システム開発およびビッグデータ			
・（第14回）IoT技術に基づくスマート社会を生きる			
・（第15回）今後のAI社会の展望	</t>
    </r>
    <r>
      <rPr>
        <sz val="12"/>
        <rFont val="ＭＳ Ｐゴシック"/>
        <family val="3"/>
        <charset val="128"/>
        <scheme val="minor"/>
      </rPr>
      <t xml:space="preserve">		</t>
    </r>
    <phoneticPr fontId="1"/>
  </si>
  <si>
    <t xml:space="preserve">モデルカリキュラム「1-2社会で活用されているデータ」に対応
「情報化社会の基礎」			
・（第2回）情報の蓄積と共有法及び情報の信頼性			
・（第4回）情報の活用と発信			
・（第12回）情報システム開発およびビッグデータ	</t>
    <phoneticPr fontId="1"/>
  </si>
  <si>
    <t xml:space="preserve">モデルカリキュラム「1-3データ・AIの活用領域」に対応
「情報化社会の基礎」			
・（第15回）今後のAI社会の展望			</t>
    <phoneticPr fontId="1"/>
  </si>
  <si>
    <t xml:space="preserve">モデルカリキュラム「1-4データ・AI利活用のための技術」に対応
「情報化社会の基礎」			
・（第2回）情報の蓄積と共有法及び情報の信頼性			
・（第４回）情報の活用と発信			
・（第5回）２値化情報の構造			
・（第12回）情報システム開発およびビッグデータ			
・（第14回）IoT技術に基づくスマート社会を生きる			
・（第15回）今後のAI社会の展望			</t>
    <phoneticPr fontId="1"/>
  </si>
  <si>
    <t>モデルカリキュラム「1－5データ・AI利活用の現場」に対応
「情報化社会の基礎」			
・（第12回）情報システム開発およびビッグデータ			
・（第14回）IoT技術に基づくスマート社会を生きる			
・（第15回）今後のAI社会の展望</t>
    <phoneticPr fontId="1"/>
  </si>
  <si>
    <t xml:space="preserve">モデルカリキュラム「３－２データを守る上での留意事項」に対応	
「情報化社会の基礎」		
・（第3回）情報と法（個人情報、著作権など）および倫理			
・（第9回）情報化社会とセキュリティ			</t>
    <phoneticPr fontId="1"/>
  </si>
  <si>
    <t xml:space="preserve">モデルカリキュラム「３－１データ・AI利活用における留意事項」に対応
「情報化社会の基礎」			
・（第2回）情報の蓄積と共有法及び情報の信頼性			
・（第15回）今後のAI社会の展望			</t>
    <rPh sb="36" eb="41">
      <t>ジョウホウカシャカイ</t>
    </rPh>
    <rPh sb="42" eb="44">
      <t>キソ</t>
    </rPh>
    <phoneticPr fontId="1"/>
  </si>
  <si>
    <t>東北学院大学全学教育機構規程　</t>
    <rPh sb="0" eb="6">
      <t>トウホクガクインダイガク</t>
    </rPh>
    <rPh sb="6" eb="8">
      <t>ゼンガク</t>
    </rPh>
    <rPh sb="8" eb="10">
      <t>キョウイク</t>
    </rPh>
    <rPh sb="10" eb="12">
      <t>キコウ</t>
    </rPh>
    <rPh sb="12" eb="14">
      <t>キテイ</t>
    </rPh>
    <phoneticPr fontId="1"/>
  </si>
  <si>
    <t xml:space="preserve">モデルカリキュラム「２－１データを読む」に対応
「統計的思考の基礎」			
・（第1回）なぜ統計のことを勉強しなければいけないの？			
・（第2回）知ってるつもりの世界と統計でみる世界			
・（第3回）「びっくりグラフ」にご用心			
・（第4回）わかっているようで意外にわかってない 「平均」と「パーセント」			
・（第5回）平均値だけで大丈夫？代表値とちらばりのこと
・（第6回）「関係がある」ってどういうこと？（データ分析における「関係」を学ぶ）			
・（第7回）本当の原因を探してみよう（3つの変数の関係パターンについて）			
・（第8回）その統計は信頼できますか？データの6W4H			
・（第9回）定義が変わると数値も変わる			
・（第10回）誰に聞くかで結果は変わる（統計における調査対象者の選び方の注意）			
・（第11回）その結果は偶然？それとも……？（統計における「誤差」とは何か）	
・（第12回）聞き方しだいで答えは変わる（調査における質問の仕方）				</t>
    <phoneticPr fontId="1"/>
  </si>
  <si>
    <t xml:space="preserve">モデルカリキュラム「２－２データを説明する」に対応
「統計的思考の基礎」			
・（第13回）統計の勘違いに気をつけよう（1）「数値の意味」編			
・（第14回）統計の勘違いに気をつけよう（2）「統計の解釈」編			
・（第15回）「証拠に基づいた議論」を練習しよう			</t>
    <phoneticPr fontId="1"/>
  </si>
  <si>
    <t xml:space="preserve">モデルカリキュラム「２－３データを扱う」に対応
「統計的思考の基礎」			
（第5回）平均値だけで大丈夫？代表値とちらばりのこと
（第11回）その結果は偶然？それとも……？（統計における「誤差」とは何か）	
（第15回）「証拠に基づいた議論」を練習しよう		</t>
    <rPh sb="25" eb="28">
      <t>トウケイテキ</t>
    </rPh>
    <rPh sb="28" eb="30">
      <t>シコウ</t>
    </rPh>
    <rPh sb="31" eb="33">
      <t>キソ</t>
    </rPh>
    <phoneticPr fontId="1"/>
  </si>
  <si>
    <t>東北学院大学全学教育機構／東北学院大学教養教育センター</t>
    <rPh sb="0" eb="6">
      <t>トウホクガクインダイガク</t>
    </rPh>
    <rPh sb="6" eb="10">
      <t>ゼンガクキョウイク</t>
    </rPh>
    <rPh sb="10" eb="12">
      <t>キコウ</t>
    </rPh>
    <rPh sb="13" eb="19">
      <t>トウホクガクインダイガク</t>
    </rPh>
    <rPh sb="19" eb="23">
      <t>キョウヨウキョウイク</t>
    </rPh>
    <phoneticPr fontId="1"/>
  </si>
  <si>
    <t>東北学院大学全学教育機構は、本学の教育の理念及び目的に従い、キリスト教による人格教育の実現のため、教養教育及び専門教育を有機的に接続させ、かつ、教養教育及び各学部の専門教育における教育内容及び教育方法を学修成果の質保証の見地から全学的に検証することにより、東北学院大学全体における教育の質的向上に資することを目的とする。また、全学教育機構が定める教育課程編成の基本方針及び全学共通科目の編成方針の下で、全学的に実施される教育科目について、教育課程の編成及び実施を担うとともに、その教育内容及び教育方法の研究開発を通じて、本学における教育の改善及び質的向上に資することを目的とする。なお、教養教育センターには、ICT・STEM教育センターとして、情報通信技術の活用及び数理を中心とした科学技術の発展に資する教育科目の開発及び実施を担当する情報・数理教育部門を設置する。</t>
    <phoneticPr fontId="1"/>
  </si>
  <si>
    <t>様式２</t>
    <phoneticPr fontId="1"/>
  </si>
  <si>
    <t>宮城県仙台市青葉区土樋１－３－１</t>
    <rPh sb="0" eb="2">
      <t>ミヤギ</t>
    </rPh>
    <rPh sb="2" eb="3">
      <t>ケン</t>
    </rPh>
    <rPh sb="3" eb="5">
      <t>センダイ</t>
    </rPh>
    <rPh sb="5" eb="6">
      <t>シ</t>
    </rPh>
    <rPh sb="6" eb="8">
      <t>アオバ</t>
    </rPh>
    <rPh sb="8" eb="9">
      <t>ク</t>
    </rPh>
    <rPh sb="9" eb="10">
      <t>ツチ</t>
    </rPh>
    <rPh sb="10" eb="11">
      <t>トイ</t>
    </rPh>
    <phoneticPr fontId="1"/>
  </si>
  <si>
    <t>学務部教務課</t>
    <rPh sb="0" eb="3">
      <t>ガクムブ</t>
    </rPh>
    <rPh sb="3" eb="6">
      <t>キョウムカ</t>
    </rPh>
    <phoneticPr fontId="1"/>
  </si>
  <si>
    <t>櫻井　卓</t>
    <rPh sb="0" eb="2">
      <t>サクライ</t>
    </rPh>
    <rPh sb="3" eb="4">
      <t>タク</t>
    </rPh>
    <phoneticPr fontId="1"/>
  </si>
  <si>
    <t>022-264-6454</t>
    <phoneticPr fontId="1"/>
  </si>
  <si>
    <t xml:space="preserve"> </t>
    <phoneticPr fontId="1"/>
  </si>
  <si>
    <t>本教育プログラムの実施体制は全学教育機構及び教養教育センターのもとに置かれる。それぞれの構成メンバーは以下のとおりである。
【全学教育機構】
(1) 副学長（学務担当）　千葉昭彦教授
(2) 副学長（点検・評価担当）　中沢正利教授
(3) 教養教育センター長　千葉昭彦教授
(4) 学部長
　　・文学部長　紺野祐教授　　　　　・経済学部長　佐藤康仁教授
　　・経営学部長　根市一志教授　　・法学部長　冨田真教授
　　・工学部長　岩谷幸雄教授　　 　・教養学部長　塚本信也教授
(5) 学務部長　加藤健二教授
(6) 学科長
　　・文学部英文学科長　福士航教授　　・文学部総合人文学科長　川島堅二教授
　　・文学部歴史学科長　河西晃祐教授　 ・教育学科長　長島康雄教授
　　・経済学部経済学科長　篠崎剛教授　 ・経済学部共生社会経済学科長　佐藤純教授
　　・経営学部経営学科長　矢口義教教授
　　・法学部法律学科長　遠藤隆幸教授
　　・工学部機械知能工学科長　魚橋慶子教授　・工学部電気電子工学科長　金義鎮教授
　　・工学部環境建設工学科長　韓連熙教授　　 ・工学部情報基盤工学科長　吉川英機教授
　　・教養学部人間科学科長　宍戸隆之教授　　 ・教養学部言語文化学科長　佐伯啓教授
　　・教養学部情報科学科長　菅原研教授　　　　・教養学部地域構想学科長　高野岳彦教授
(7) 高等教育開発室長（令和５年度着任予定）
(8) 教職課程センター所長　大迫章史教授
【教養教育センター】
(1) 教養教育センター長　千葉昭彦教授
(2) 部門長（３部門／共通教育部門長、外国語教育部門長、
    情報科学科・数理教育部門、アクティブ・ラーニング部門）
(3) 高等教育開発室長（令和５年度着任予定）
(4) 教養教育センター専任教員
(5) 学長からの兼務発令に基づく各学部所属の専任教員</t>
    <phoneticPr fontId="1"/>
  </si>
  <si>
    <t>各年度の各学年における履修者数の目標を以下のとおりとする（（　）内は履修率。）
・令和４年度　約1,000名　　・令和５年度　約1,062名　　・令和６年度  約1,594名
・令和７年度　約2,124名　　・令和８年度　約2,656名（100%）
上記目標を実現する上で以下の取り組みを計画・実施している。
・令和３年度まで：全学で教育内容を共通化した教養教育科目群「TGベーシック」を設置し、その中で本プログラムを構成する２科目について、MDASHに準拠する内容で実施
・令和３年度：全学組織である教養教育センターを設置し、本プログラムを含む「TGベーシック」に係る学習サポートの体制を構築するほか、本学Webサイトへの本プログラムに係る情報を掲出
・令和４年度：授業担当教員及び教務課窓口で本プログラムについての事務的な質問を受け付け、円滑な履修手続きを可能とする体制を整備したほか、学習支援システム（manaba）を活用した周知及びカリキュラムの内容に関する質問の随時受け付け・迅速に回答する体制を整備
・令和５年度以降：過年度の体制を維持するとともに、新入生オリエンテーションにおける講話において、過年度における学修成果等を基にした同科目の履修を促進</t>
    <phoneticPr fontId="1"/>
  </si>
  <si>
    <t>本プログラムは、全学共通の教養教育科目群「TGベーシック」内の２科目（選択科目）で構成されている。「TGベーシック」は、本学で学ぶ学生にとって学部・学科によらず必要かつ重要な教養教育科目群として設定したものであり、教育内容を共通化しているため、どの学部・学科の枠で受講しても同じ学修成果を得ることが可能となっている。当該2科目のように受講生が多い科目は曜日校時を分散させて複数教室で開講している。また、当該2科目は抽選科目等の受講人数制限等を行わない科目として位置付けている。以上のことから、これまでの運用において、すでに学部・学科に関係なく、希望する学生全員が受講することができる体制が整っている。なお、この体制は令和5年に予定されているカリキュラム改訂以降も維持することが決定されている。</t>
    <phoneticPr fontId="1"/>
  </si>
  <si>
    <t>当該2科目それぞれのサポート体制は次のとおりである。「情報化社会の基礎」においてはスライド等の教材をWeb上でダウンロードできるようにし、講義日時によらず開講期間中いつでも講義資料が確認できるようにしている。また、学習支援システムmanabaの個別コレクション機能や掲示板機能等を活用し、講義時間外でも授業担当教員と随時かつ柔軟にコミュニケーションが取れるサポート体制を構築している。「統計的思考の基礎」においては、統計学の初学者にとっても理解しやすいように十分に配慮された教科書が本学教員により執筆されており、この教科書を軸とした講義が行われている。これにより履修者自身による振り返りを可能にすることに加え、学習支援システムmanabaの機能等を活用し、講義時間外でも授業担当教員と随時かつ柔軟にコミュニケーションが取れるサポート体制を構築している。</t>
    <phoneticPr fontId="1"/>
  </si>
  <si>
    <t>対面で講義を行う際は、授業時間内あるいは授業時間の前後、さらには担当教員が開講時に設定・周知している「オフィスアワー」などが主たる学習指導・質問受付のための場とする。また、本学では多くの講義において、学習支援システムmanabaが活用されている。当該2科目でもmanabaが積極的に用いられている。manabaの「掲示板」機能を用いた受講生全員による議論、「コレクション」機能を用いた個別の質疑応答などを適切に用いることで、学生個々人のニーズに合う質問受付や学習指導をすでに行っている。この体制は今後も維持することから、対面による学習指導や質問受付が困難な時間やコロナ禍などオンライン授業が余儀なくされる状況においても、必要な対応がとれるような体制をとることができる。</t>
    <phoneticPr fontId="1"/>
  </si>
  <si>
    <t>本教育プログラム該当科目の履修者数、成績等のデータは、学部教務課において、とりまとめを行い、本教育プログラムの実施・運営・評価等を行う全学教育機構、教養教育センタおよび東北学院大学数理・データサイエンス・AI教育研究センター準備委員会等と連絡会議において精査する。特に履修・修得状況を学部・学科間での比較並びに学習システム（manaba）から抽出できる受講状況及び課題提出状況を分析し、多くの学生が履修できる時間割編成等の改善に向けた方策を検討するとともに、授業設計及び課題設計等を分析する。</t>
    <phoneticPr fontId="1"/>
  </si>
  <si>
    <t>本プログラムを構成する２科目の「達成目標」（以下参照）の各要素の理解を図るため、本学が半期ごとに実施している授業評価アンケートもしくは本プログラム独自のアンケートを用いて、授業内容の学生の理解度を把握し、その結果について全学教育機構、教養教育センターおよびデータサイエンス研究所（仮称/2023年４月設置予定\2022年度は準備委員会として活動）が連携した点検・評価を行う。　</t>
    <rPh sb="159" eb="161">
      <t>ネンド</t>
    </rPh>
    <rPh sb="162" eb="164">
      <t>ジュンビ</t>
    </rPh>
    <rPh sb="164" eb="167">
      <t>イインカイ</t>
    </rPh>
    <rPh sb="170" eb="172">
      <t>カツドウ</t>
    </rPh>
    <phoneticPr fontId="1"/>
  </si>
  <si>
    <t>前期、後期授業の終了時期に、受講者全員に対して実施されている授業評価アンケートもしくは本プログラム独自のアンケートを分析し、履修者が講義内容に対し深く理解できているか、興味を持ち継続的に学日続ける意欲を養えているか等について客観的評価を継続的に行う。</t>
    <phoneticPr fontId="1"/>
  </si>
  <si>
    <t>本学では、半期が修了するごとに授業評価アンケートを行っており、この結果から必要となる部分については学生に公開している。当該教育プログラムの該当科目の履修を今後検討する学生は、これらの結果を参考にすることも可能である。　</t>
    <rPh sb="0" eb="2">
      <t>ホンガク</t>
    </rPh>
    <rPh sb="5" eb="7">
      <t>ハンキ</t>
    </rPh>
    <rPh sb="8" eb="10">
      <t>シュウリョウ</t>
    </rPh>
    <rPh sb="15" eb="19">
      <t>ジュギョウヒョウカ</t>
    </rPh>
    <rPh sb="25" eb="26">
      <t>オコナ</t>
    </rPh>
    <rPh sb="33" eb="35">
      <t>ケッカ</t>
    </rPh>
    <rPh sb="37" eb="39">
      <t>ヒツヨウ</t>
    </rPh>
    <rPh sb="42" eb="44">
      <t>ブブン</t>
    </rPh>
    <rPh sb="49" eb="51">
      <t>ガクセイ</t>
    </rPh>
    <rPh sb="52" eb="54">
      <t>コウカイ</t>
    </rPh>
    <rPh sb="59" eb="61">
      <t>トウガイ</t>
    </rPh>
    <rPh sb="61" eb="63">
      <t>キョウイク</t>
    </rPh>
    <rPh sb="69" eb="73">
      <t>ガイトウカモク</t>
    </rPh>
    <rPh sb="74" eb="76">
      <t>リシュウ</t>
    </rPh>
    <rPh sb="77" eb="79">
      <t>コンゴ</t>
    </rPh>
    <rPh sb="79" eb="81">
      <t>ケントウ</t>
    </rPh>
    <rPh sb="83" eb="85">
      <t>ガクセイ</t>
    </rPh>
    <rPh sb="91" eb="93">
      <t>ケッカ</t>
    </rPh>
    <rPh sb="94" eb="96">
      <t>サンコウ</t>
    </rPh>
    <rPh sb="102" eb="104">
      <t>カノウ</t>
    </rPh>
    <phoneticPr fontId="1"/>
  </si>
  <si>
    <t>　本プログラムの開設時期の関係から、2022年度現在においては、本プログラムを修了して卒業した学生は存在しない。一方、本学を卒業後に一定期間を経過した卒業生を対象とした従前から実施しているアンケートに、進路、現状、企業等からの評価等を新たに追加することで、本教育プログラム修了者の追跡が可能となった調査を実施する計画である。また、この追跡調査の結果は、学全体の教育の方向性を決定する教学改革推進委員会で定期的に報告し、本教育プログラムの目標や目的との整合性等を確認しつつ授業実施へのフィードバックを行う。</t>
    <rPh sb="13" eb="15">
      <t xml:space="preserve">カンケイ </t>
    </rPh>
    <rPh sb="50" eb="52">
      <t xml:space="preserve">ソンザイ </t>
    </rPh>
    <rPh sb="70" eb="72">
      <t xml:space="preserve">ホンガク </t>
    </rPh>
    <rPh sb="83" eb="88">
      <t xml:space="preserve">ホンガクソツギョウセイ </t>
    </rPh>
    <rPh sb="117" eb="118">
      <t xml:space="preserve">アラタニ </t>
    </rPh>
    <rPh sb="128" eb="131">
      <t xml:space="preserve">ホンキョウイクプログラム </t>
    </rPh>
    <rPh sb="136" eb="139">
      <t xml:space="preserve">シュウリョウシャノ </t>
    </rPh>
    <rPh sb="143" eb="145">
      <t xml:space="preserve">カノウトスル </t>
    </rPh>
    <rPh sb="149" eb="151">
      <t xml:space="preserve">チョウサ </t>
    </rPh>
    <rPh sb="152" eb="154">
      <t xml:space="preserve">ジッシ </t>
    </rPh>
    <rPh sb="156" eb="158">
      <t xml:space="preserve">ケイカク </t>
    </rPh>
    <rPh sb="210" eb="212">
      <t xml:space="preserve">キョウイク </t>
    </rPh>
    <rPh sb="237" eb="239">
      <t xml:space="preserve">ジッシ </t>
    </rPh>
    <phoneticPr fontId="1"/>
  </si>
  <si>
    <t>　東北学院大学では、地域に立脚する大学を標榜し、2020年度に学内に地域連携センターを設置し、地域行政や地域企業との協働・連携による地域の課題解決を進めている。この関係を活かし、2023年度までに地域行政や地域企業、他大学所属の教員（有識者）で構成される評価委員会を立ち上げる予定である。この評価委員会の中で、本教育プログラムに対する外部点検と評価を実施する。また本学は、2023年度にデータサイエンス研究所（仮称）の設置を計画しており、評価委員会から得られた意見や指摘は、同研究所にフィードバックされ、その次年度の授業改善に繋げる。</t>
    <rPh sb="114" eb="116">
      <t xml:space="preserve">キョウイン </t>
    </rPh>
    <rPh sb="117" eb="120">
      <t xml:space="preserve">ユウシキシャ </t>
    </rPh>
    <phoneticPr fontId="1"/>
  </si>
  <si>
    <r>
      <t>　東北学院大学では、地域行政や地域企業との協働・連携による地域の課題解決を進めている関係から、宮城県内の大学等、自治体、経済団体等が参画する地域連携プラットフォームを立ち上げており、同プラットフォームに加盟している自治体、経済団体・業界団体（情報サービス産業関係）に対するヒアリングやアンケートを実施し、本教育プログラムにおける「学ぶ楽しさ」や「学ぶことの意義」をどの様に受講生に意識づけるかといった意見を聴取することを計画している。特に、本教育プログラムでは、協働・連携によって行政や地域企業、仙台管区気象台などから提供から提供されるデータを活用し、「学ぶ楽しさ」や「学ぶことの意義」</t>
    </r>
    <r>
      <rPr>
        <sz val="12"/>
        <color theme="1"/>
        <rFont val="ＭＳ Ｐゴシック"/>
        <family val="3"/>
        <charset val="128"/>
      </rPr>
      <t>を意</t>
    </r>
    <r>
      <rPr>
        <sz val="12"/>
        <rFont val="ＭＳ Ｐゴシック"/>
        <family val="3"/>
        <charset val="128"/>
        <scheme val="minor"/>
      </rPr>
      <t>識づける。</t>
    </r>
    <rPh sb="42" eb="44">
      <t xml:space="preserve">カンケイカラ </t>
    </rPh>
    <rPh sb="83" eb="84">
      <t xml:space="preserve">タチアゲテ </t>
    </rPh>
    <rPh sb="148" eb="150">
      <t xml:space="preserve">ジッシシテ </t>
    </rPh>
    <rPh sb="152" eb="155">
      <t xml:space="preserve">ホンキョウイクプログラム </t>
    </rPh>
    <rPh sb="179" eb="180">
      <t xml:space="preserve">トクニ </t>
    </rPh>
    <rPh sb="186" eb="189">
      <t xml:space="preserve">ジュコウセイニ </t>
    </rPh>
    <rPh sb="190" eb="192">
      <t xml:space="preserve">イシキヅケルカナ </t>
    </rPh>
    <rPh sb="225" eb="227">
      <t>カツヨウ</t>
    </rPh>
    <phoneticPr fontId="1"/>
  </si>
  <si>
    <t>　本教育プログラムを運用するにあたっては、教養教育センターが主監となって、データサイエンス研究所等と協力しながら、 本教育プログラム受講者の履修状況の確認、及び学生アンケート を実施する。アンケートなどから得られたデータは、政策支援IR課が解析を実施し、その結果を本学全体の教育の方向性を決定する教学改革推進委員会で定期的に報告する。同委員会は、解析結果を踏まえ教養教育センターに対し、授業の内容や水準の修正に資する指示を行う。また、教養教育センターでは、多様なメディアを活用した新たな教材開発等の検討も推進する計画である。</t>
    <rPh sb="173" eb="177">
      <t xml:space="preserve">カイセキケッカヲフマエ </t>
    </rPh>
    <phoneticPr fontId="1"/>
  </si>
  <si>
    <t>本学では、今回の教育プログラムで展開する科目「情報化社会の基礎」と「統計的思考の基礎」は、令和３年度において、既にTGベーシック「知的基礎」科目として設置されており、社会生活の中で必要とされる知性を磨くため卒業要件においても履修するような制度設計としていた。本プログラムの履修に向けた周知は、学生・教職員を対象とした学内ポータルサイトであるMyTGの「お知らせ」欄、全国の大学で広く使われており本学でも導入済みのクラウド型教育支援システム「manaba」における「お知らせ」欄、ならびに本学の公式Webサイトなどを通して、多面的かつ積極的に行っていく。また、④で記載したとおり、本教育プログラムに関する質問・相談等は、教務課ならびに授業担当教員が対応することにより、受講促進を図る。さらには、新入生オリエンテーションによる学部長講話や、各学科で年度末に実施している在校生オリエンテーションなどで、紙面や口頭での説明を行うなど、学内様々な媒体を通した履修促進を行う。上記⑤で述べた、本学独自の教養教育科目群「TGベーシック」に関しても、従前より本学ホームページにおいても周知している。</t>
    <phoneticPr fontId="1"/>
  </si>
  <si>
    <t>https://www.tohoku-gakuin.ac.jp/about/torikumi/ds.html</t>
    <phoneticPr fontId="1"/>
  </si>
  <si>
    <t>　kyom@mail.tohoku-gakuin.ac.jp</t>
    <phoneticPr fontId="1"/>
  </si>
  <si>
    <t>「TGベーシック」は2019年度までに全学開講が整備された教養教育プログラムである（別添「その他補足資料」参照のこと）。「情報化社会の基礎（2単位）」および「統計的思考の基礎（2単位）」の情報系2科目はTGベーシック内にあり、卒業要件にもなっている「選択必修科目」である。さらに学生の数理・データサイエンス・AI分野の学修を促進するため、2022年度からは特にこの二科目をとりあげ、「東北学院大学数理・データサイエンス・AI教育プログラム」としての呼称を追加したため、本申請における教育プログラムとして併記してある。
　「東北学院大学数理・データサイエンス・AI教育プログラム」は、改めて様式2の以下に示す5つのカテゴリに分かれるモデルカリキュラムに照らし講義内容が本申請の趣旨に合致していることを確認してあり、当該2科目の単位修得を必要十分条件としている。</t>
    <rPh sb="298" eb="300">
      <t>イカ</t>
    </rPh>
    <phoneticPr fontId="1"/>
  </si>
  <si>
    <t>TGベーシック「東北学院大学数理・データサイエンス・AI教育プログラム」</t>
    <rPh sb="12" eb="14">
      <t>ダイガク</t>
    </rPh>
    <rPh sb="14" eb="16">
      <t>スウリ</t>
    </rPh>
    <phoneticPr fontId="1"/>
  </si>
  <si>
    <t>本プログラムを構成する2科目「情報化社会の基礎」「統計的思考の基礎」については、卒業要件としては「選択必修」となっており、2019年度より履修者数の推移を把握し、一定数の学生が履修してきた実績を確認している。2022年度にはこの2科目の履修者数のさらなる向上を図るため、新たに「東北学院大学数理・データサイエンス・AI教育プログラム」なる名称を付加・併記し、学生に履修を促している。また、本プログラムを構成する科目の必修化を含む教養教育科目群の改定に向けた検討を進めており、2023年度入学生からの適用を予定している。</t>
    <rPh sb="179" eb="181">
      <t>ガクセイ</t>
    </rPh>
    <phoneticPr fontId="1"/>
  </si>
  <si>
    <t>令和元</t>
    <rPh sb="0" eb="3">
      <t>レイワガン</t>
    </rPh>
    <phoneticPr fontId="1"/>
  </si>
  <si>
    <t>令和元</t>
    <rPh sb="0" eb="2">
      <t>レイワ</t>
    </rPh>
    <rPh sb="2" eb="3">
      <t>ガン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</si>
</sst>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
      <sz val="7"/>
      <name val="ＭＳ Ｐゴシック"/>
      <family val="3"/>
      <charset val="128"/>
      <scheme val="minor"/>
    </font>
    <font>
      <sz val="12"/>
      <color rgb="FFFF0000"/>
      <name val="ＭＳ Ｐゴシック"/>
      <family val="3"/>
      <charset val="128"/>
      <scheme val="minor"/>
    </font>
    <font>
      <sz val="12"/>
      <color theme="1"/>
      <name val="ＭＳ Ｐゴシック"/>
      <family val="3"/>
      <charset val="128"/>
    </font>
    <font>
      <sz val="12"/>
      <name val="ＭＳ Ｐゴシック"/>
      <family val="2"/>
      <scheme val="minor"/>
    </font>
    <font>
      <u/>
      <sz val="11"/>
      <name val="ＭＳ Ｐゴシック"/>
      <family val="2"/>
      <charset val="128"/>
      <scheme val="minor"/>
    </font>
    <font>
      <u/>
      <sz val="1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hair">
        <color indexed="64"/>
      </right>
      <top style="thin">
        <color auto="1"/>
      </top>
      <bottom style="hair">
        <color auto="1"/>
      </bottom>
      <diagonal/>
    </border>
    <border>
      <left/>
      <right style="hair">
        <color indexed="64"/>
      </right>
      <top style="thin">
        <color auto="1"/>
      </top>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328">
    <xf numFmtId="0" fontId="0" fillId="0" borderId="0" xfId="0">
      <alignment vertical="center"/>
    </xf>
    <xf numFmtId="176" fontId="4" fillId="0" borderId="0" xfId="0" applyNumberFormat="1" applyFont="1" applyBorder="1">
      <alignment vertical="center"/>
    </xf>
    <xf numFmtId="176" fontId="4" fillId="0" borderId="3" xfId="0" applyNumberFormat="1" applyFont="1" applyBorder="1" applyAlignment="1">
      <alignment vertical="center" shrinkToFit="1"/>
    </xf>
    <xf numFmtId="0" fontId="4" fillId="0" borderId="0" xfId="0" applyFont="1" applyBorder="1" applyAlignment="1">
      <alignment horizontal="center" vertical="center" shrinkToFit="1"/>
    </xf>
    <xf numFmtId="0" fontId="4" fillId="0" borderId="0" xfId="0" applyFont="1">
      <alignment vertical="center"/>
    </xf>
    <xf numFmtId="0" fontId="4" fillId="0" borderId="0" xfId="0" applyFont="1" applyAlignment="1">
      <alignment horizontal="left" vertical="center"/>
    </xf>
    <xf numFmtId="0" fontId="4" fillId="0" borderId="0" xfId="0" applyFont="1" applyBorder="1" applyAlignment="1">
      <alignment vertical="center"/>
    </xf>
    <xf numFmtId="176" fontId="4" fillId="0" borderId="0" xfId="0" applyNumberFormat="1" applyFont="1" applyBorder="1" applyAlignment="1">
      <alignment vertical="center" wrapText="1"/>
    </xf>
    <xf numFmtId="0" fontId="4" fillId="0" borderId="0" xfId="0" applyFont="1" applyBorder="1">
      <alignment vertical="center"/>
    </xf>
    <xf numFmtId="176" fontId="4" fillId="0" borderId="5" xfId="0" applyNumberFormat="1" applyFont="1" applyBorder="1" applyAlignment="1">
      <alignment vertical="center"/>
    </xf>
    <xf numFmtId="176" fontId="4" fillId="0" borderId="0" xfId="0" applyNumberFormat="1" applyFont="1" applyAlignment="1">
      <alignment vertical="center" wrapText="1"/>
    </xf>
    <xf numFmtId="176" fontId="4" fillId="0" borderId="0" xfId="0" applyNumberFormat="1" applyFont="1" applyAlignment="1">
      <alignment horizontal="left" vertical="center" wrapText="1"/>
    </xf>
    <xf numFmtId="0" fontId="4" fillId="0" borderId="1" xfId="0" applyFont="1" applyBorder="1">
      <alignment vertical="center"/>
    </xf>
    <xf numFmtId="0" fontId="4" fillId="0" borderId="2" xfId="0" applyFont="1" applyBorder="1">
      <alignment vertical="center"/>
    </xf>
    <xf numFmtId="0" fontId="4" fillId="0" borderId="4" xfId="0" applyFont="1" applyBorder="1">
      <alignment vertical="center"/>
    </xf>
    <xf numFmtId="0" fontId="4" fillId="0" borderId="0" xfId="0" applyFont="1" applyAlignment="1">
      <alignment horizontal="center" vertical="center"/>
    </xf>
    <xf numFmtId="0" fontId="4" fillId="0" borderId="1" xfId="0" applyFont="1" applyBorder="1" applyAlignment="1">
      <alignment vertical="center" shrinkToFit="1"/>
    </xf>
    <xf numFmtId="0" fontId="4" fillId="0" borderId="0" xfId="0" applyFont="1" applyFill="1">
      <alignment vertical="center"/>
    </xf>
    <xf numFmtId="0" fontId="4" fillId="0" borderId="10" xfId="0" applyFont="1" applyBorder="1" applyAlignment="1">
      <alignment vertical="center" shrinkToFit="1"/>
    </xf>
    <xf numFmtId="49" fontId="7" fillId="0" borderId="1" xfId="0" applyNumberFormat="1" applyFont="1" applyBorder="1" applyAlignment="1">
      <alignment horizontal="center" vertical="center"/>
    </xf>
    <xf numFmtId="0" fontId="4" fillId="0" borderId="14" xfId="0" applyFont="1" applyBorder="1" applyAlignment="1">
      <alignment vertical="center" shrinkToFit="1"/>
    </xf>
    <xf numFmtId="0" fontId="4" fillId="0" borderId="23" xfId="0" applyFont="1" applyBorder="1" applyAlignment="1">
      <alignment vertical="center" shrinkToFit="1"/>
    </xf>
    <xf numFmtId="0" fontId="4" fillId="0" borderId="43" xfId="0" applyFont="1" applyBorder="1" applyAlignment="1">
      <alignment vertical="center" shrinkToFit="1"/>
    </xf>
    <xf numFmtId="0" fontId="4" fillId="0" borderId="0" xfId="0" applyFont="1" applyAlignment="1">
      <alignment vertical="center" shrinkToFit="1"/>
    </xf>
    <xf numFmtId="49" fontId="7" fillId="0" borderId="47" xfId="0" applyNumberFormat="1" applyFont="1" applyBorder="1" applyAlignment="1">
      <alignment horizontal="center" vertical="center"/>
    </xf>
    <xf numFmtId="49" fontId="7" fillId="0" borderId="33" xfId="0" applyNumberFormat="1" applyFont="1" applyBorder="1" applyAlignment="1">
      <alignment horizontal="center" vertical="center"/>
    </xf>
    <xf numFmtId="49" fontId="7" fillId="0" borderId="50" xfId="0" applyNumberFormat="1" applyFont="1" applyBorder="1" applyAlignment="1">
      <alignment horizontal="center" vertical="center"/>
    </xf>
    <xf numFmtId="49" fontId="7" fillId="0" borderId="51" xfId="0" applyNumberFormat="1"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38" xfId="0" applyFont="1" applyBorder="1" applyAlignment="1">
      <alignment vertical="center"/>
    </xf>
    <xf numFmtId="0" fontId="4" fillId="0" borderId="18" xfId="0" applyFont="1" applyBorder="1" applyAlignment="1">
      <alignment vertical="center"/>
    </xf>
    <xf numFmtId="0" fontId="4" fillId="0" borderId="42" xfId="0" applyFont="1" applyBorder="1" applyAlignment="1">
      <alignment vertical="center"/>
    </xf>
    <xf numFmtId="49" fontId="7" fillId="0" borderId="52" xfId="0" applyNumberFormat="1" applyFont="1" applyBorder="1" applyAlignment="1">
      <alignment horizontal="center" vertical="center"/>
    </xf>
    <xf numFmtId="49" fontId="7" fillId="0" borderId="29" xfId="0" applyNumberFormat="1" applyFont="1" applyBorder="1" applyAlignment="1">
      <alignment horizontal="center" vertical="center"/>
    </xf>
    <xf numFmtId="0" fontId="9" fillId="0" borderId="4"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13" xfId="0" applyFont="1" applyBorder="1" applyAlignment="1">
      <alignment horizontal="center" vertical="center" shrinkToFit="1"/>
    </xf>
    <xf numFmtId="0" fontId="4" fillId="0" borderId="0" xfId="0" applyFont="1" applyBorder="1" applyAlignment="1">
      <alignment vertical="center" shrinkToFit="1"/>
    </xf>
    <xf numFmtId="0" fontId="4" fillId="0" borderId="19" xfId="0" applyFont="1" applyBorder="1" applyAlignment="1">
      <alignment vertical="center"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8" fillId="0" borderId="0" xfId="0" applyFont="1">
      <alignment vertical="center"/>
    </xf>
    <xf numFmtId="0" fontId="11" fillId="0" borderId="11" xfId="0" applyFont="1" applyBorder="1" applyAlignment="1">
      <alignment horizontal="center" vertical="center"/>
    </xf>
    <xf numFmtId="0" fontId="11" fillId="0" borderId="29" xfId="0" applyFont="1" applyBorder="1" applyAlignment="1">
      <alignment horizontal="center" vertical="center" wrapText="1"/>
    </xf>
    <xf numFmtId="0" fontId="11" fillId="0" borderId="30" xfId="0" applyFont="1" applyBorder="1" applyAlignment="1">
      <alignment horizontal="center" vertical="center"/>
    </xf>
    <xf numFmtId="0" fontId="11" fillId="0" borderId="12" xfId="0" applyFont="1" applyBorder="1" applyAlignment="1">
      <alignment horizontal="center" vertical="center" wrapTex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0" fontId="4" fillId="0" borderId="23" xfId="0" applyFont="1" applyBorder="1" applyAlignment="1">
      <alignment horizontal="lef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4" xfId="0" applyFont="1" applyBorder="1" applyAlignment="1">
      <alignment horizontal="left" vertical="center" shrinkToFit="1"/>
    </xf>
    <xf numFmtId="176" fontId="4" fillId="0" borderId="24" xfId="0" applyNumberFormat="1" applyFont="1" applyBorder="1" applyAlignment="1">
      <alignment vertical="center" shrinkToFit="1"/>
    </xf>
    <xf numFmtId="0" fontId="4" fillId="0" borderId="28" xfId="0" applyFont="1" applyBorder="1" applyAlignment="1">
      <alignment horizontal="center"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0" fontId="4" fillId="0" borderId="0" xfId="0" applyFont="1">
      <alignment vertical="center"/>
    </xf>
    <xf numFmtId="0" fontId="4" fillId="0" borderId="0" xfId="0" applyFont="1" applyAlignment="1">
      <alignment vertical="center"/>
    </xf>
    <xf numFmtId="0" fontId="4" fillId="0" borderId="5" xfId="0" applyFont="1" applyBorder="1">
      <alignment vertical="center"/>
    </xf>
    <xf numFmtId="0" fontId="4" fillId="0" borderId="0" xfId="0" applyFont="1" applyAlignment="1">
      <alignment horizontal="center" vertical="center"/>
    </xf>
    <xf numFmtId="0" fontId="4" fillId="0" borderId="0" xfId="0" applyFont="1" applyAlignment="1">
      <alignment vertical="top" wrapText="1"/>
    </xf>
    <xf numFmtId="0" fontId="4" fillId="0" borderId="7" xfId="0" applyFont="1" applyBorder="1" applyAlignment="1">
      <alignment horizontal="center" vertical="center" wrapText="1" shrinkToFit="1"/>
    </xf>
    <xf numFmtId="0" fontId="4" fillId="0" borderId="8" xfId="0" applyFont="1" applyBorder="1" applyAlignment="1">
      <alignment horizontal="center" vertical="center" wrapText="1" shrinkToFit="1"/>
    </xf>
    <xf numFmtId="0" fontId="4" fillId="0" borderId="9" xfId="0" applyFont="1" applyBorder="1" applyAlignment="1">
      <alignment horizontal="center" vertical="center" shrinkToFit="1"/>
    </xf>
    <xf numFmtId="0" fontId="4" fillId="0" borderId="44" xfId="0" applyFont="1" applyBorder="1" applyAlignment="1">
      <alignment horizontal="center" vertical="center" shrinkToFit="1"/>
    </xf>
    <xf numFmtId="0" fontId="4" fillId="0" borderId="45" xfId="0" applyFont="1" applyBorder="1" applyAlignment="1">
      <alignment horizontal="center" vertical="center" shrinkToFit="1"/>
    </xf>
    <xf numFmtId="0" fontId="4" fillId="0" borderId="46" xfId="0" applyFont="1" applyBorder="1" applyAlignment="1">
      <alignment horizontal="center" vertical="center" shrinkToFit="1"/>
    </xf>
    <xf numFmtId="0" fontId="6" fillId="0" borderId="0" xfId="0" applyFont="1" applyAlignment="1">
      <alignment horizontal="center" vertical="center"/>
    </xf>
    <xf numFmtId="0" fontId="4" fillId="0" borderId="0" xfId="0" applyFont="1" applyAlignment="1">
      <alignment horizontal="right" vertical="center"/>
    </xf>
    <xf numFmtId="0" fontId="7" fillId="0" borderId="0" xfId="0" applyFont="1">
      <alignment vertical="center"/>
    </xf>
    <xf numFmtId="9" fontId="4" fillId="0" borderId="8" xfId="0" applyNumberFormat="1" applyFont="1" applyBorder="1" applyAlignment="1">
      <alignment horizontal="center" vertical="center" wrapText="1" shrinkToFit="1"/>
    </xf>
    <xf numFmtId="9" fontId="4" fillId="0" borderId="8" xfId="0" applyNumberFormat="1" applyFont="1" applyBorder="1" applyAlignment="1">
      <alignment horizontal="center" vertical="center" shrinkToFit="1"/>
    </xf>
    <xf numFmtId="9" fontId="4" fillId="0" borderId="45" xfId="0" applyNumberFormat="1" applyFont="1" applyBorder="1" applyAlignment="1">
      <alignment horizontal="center" vertical="center" shrinkToFit="1"/>
    </xf>
    <xf numFmtId="176" fontId="4" fillId="0" borderId="45" xfId="0" applyNumberFormat="1" applyFont="1" applyBorder="1" applyAlignment="1">
      <alignment horizontal="center" vertical="center" shrinkToFit="1"/>
    </xf>
    <xf numFmtId="0" fontId="7" fillId="0" borderId="0" xfId="0" applyFont="1" applyAlignment="1">
      <alignment vertical="top" wrapText="1"/>
    </xf>
    <xf numFmtId="0" fontId="7" fillId="0" borderId="10" xfId="0" applyFont="1" applyBorder="1" applyAlignment="1">
      <alignment vertical="top" wrapText="1"/>
    </xf>
    <xf numFmtId="0" fontId="7" fillId="0" borderId="5" xfId="0" applyFont="1" applyBorder="1" applyAlignment="1">
      <alignment vertical="top" wrapText="1"/>
    </xf>
    <xf numFmtId="0" fontId="4" fillId="0" borderId="16" xfId="0" applyFont="1" applyBorder="1">
      <alignment vertical="center"/>
    </xf>
    <xf numFmtId="0" fontId="7" fillId="0" borderId="20" xfId="0" applyFont="1" applyBorder="1" applyAlignment="1">
      <alignment vertical="top" wrapText="1"/>
    </xf>
    <xf numFmtId="0" fontId="7" fillId="0" borderId="18" xfId="0" applyFont="1" applyBorder="1" applyAlignment="1">
      <alignment vertical="top" wrapText="1"/>
    </xf>
    <xf numFmtId="0" fontId="7" fillId="0" borderId="20" xfId="0" applyFont="1" applyBorder="1" applyAlignment="1">
      <alignment vertical="top" shrinkToFit="1"/>
    </xf>
    <xf numFmtId="0" fontId="7" fillId="0" borderId="18" xfId="0" applyFont="1" applyBorder="1" applyAlignment="1">
      <alignment vertical="top" shrinkToFit="1"/>
    </xf>
    <xf numFmtId="0" fontId="4" fillId="0" borderId="0" xfId="0" applyFont="1" applyAlignment="1">
      <alignment vertical="center" wrapText="1"/>
    </xf>
    <xf numFmtId="0" fontId="7" fillId="0" borderId="0" xfId="0" applyFont="1" applyAlignment="1">
      <alignment vertical="top" shrinkToFit="1"/>
    </xf>
    <xf numFmtId="0" fontId="7" fillId="0" borderId="0" xfId="0" applyFont="1" applyAlignment="1">
      <alignment vertical="center" wrapText="1"/>
    </xf>
    <xf numFmtId="0" fontId="4" fillId="0" borderId="0" xfId="0" applyFont="1" applyBorder="1" applyAlignment="1">
      <alignment vertical="center" shrinkToFit="1"/>
    </xf>
    <xf numFmtId="0" fontId="4" fillId="0" borderId="14" xfId="0" applyFont="1" applyBorder="1" applyAlignment="1">
      <alignment horizontal="left" vertical="center" shrinkToFit="1"/>
    </xf>
    <xf numFmtId="0" fontId="4" fillId="0" borderId="0" xfId="0" applyFont="1" applyBorder="1" applyAlignment="1">
      <alignment vertical="top" wrapText="1" shrinkToFit="1"/>
    </xf>
    <xf numFmtId="0" fontId="4" fillId="0" borderId="0" xfId="0" applyFont="1" applyBorder="1" applyAlignment="1">
      <alignment horizontal="center" vertical="center"/>
    </xf>
    <xf numFmtId="0" fontId="4" fillId="0" borderId="0" xfId="0" applyFont="1" applyBorder="1" applyAlignment="1">
      <alignment vertical="center" shrinkToFit="1"/>
    </xf>
    <xf numFmtId="0" fontId="4" fillId="0" borderId="20" xfId="0" applyFont="1" applyBorder="1" applyAlignment="1">
      <alignment vertical="center" shrinkToFit="1"/>
    </xf>
    <xf numFmtId="0" fontId="4" fillId="0" borderId="6" xfId="0" applyFont="1" applyBorder="1" applyAlignment="1">
      <alignment vertical="center" shrinkToFit="1"/>
    </xf>
    <xf numFmtId="0" fontId="4" fillId="0" borderId="10" xfId="0" applyFont="1" applyBorder="1" applyAlignment="1">
      <alignment vertical="center" shrinkToFit="1"/>
    </xf>
    <xf numFmtId="0" fontId="4" fillId="0" borderId="0" xfId="0" applyFont="1" applyAlignment="1">
      <alignment horizontal="center" vertical="center"/>
    </xf>
    <xf numFmtId="176" fontId="4" fillId="2" borderId="5" xfId="0" applyNumberFormat="1" applyFont="1" applyFill="1" applyBorder="1" applyAlignment="1">
      <alignment vertical="center" shrinkToFit="1"/>
    </xf>
    <xf numFmtId="176" fontId="4" fillId="2" borderId="47" xfId="0" applyNumberFormat="1" applyFont="1" applyFill="1" applyBorder="1" applyAlignment="1">
      <alignment vertical="center" shrinkToFit="1"/>
    </xf>
    <xf numFmtId="176" fontId="4" fillId="2" borderId="53" xfId="0" applyNumberFormat="1" applyFont="1" applyFill="1" applyBorder="1" applyAlignment="1">
      <alignment vertical="center" shrinkToFit="1"/>
    </xf>
    <xf numFmtId="176" fontId="4" fillId="2" borderId="54" xfId="0" applyNumberFormat="1" applyFont="1" applyFill="1" applyBorder="1" applyAlignment="1">
      <alignment vertical="center" shrinkToFit="1"/>
    </xf>
    <xf numFmtId="176" fontId="4" fillId="2" borderId="19" xfId="0" applyNumberFormat="1" applyFont="1" applyFill="1" applyBorder="1" applyAlignment="1">
      <alignment vertical="center" shrinkToFit="1"/>
    </xf>
    <xf numFmtId="176" fontId="4" fillId="2" borderId="33" xfId="0" applyNumberFormat="1" applyFont="1" applyFill="1" applyBorder="1" applyAlignment="1">
      <alignment vertical="center" shrinkToFit="1"/>
    </xf>
    <xf numFmtId="176" fontId="4" fillId="2" borderId="34" xfId="0" applyNumberFormat="1" applyFont="1" applyFill="1" applyBorder="1" applyAlignment="1">
      <alignment vertical="center" shrinkToFit="1"/>
    </xf>
    <xf numFmtId="176" fontId="4" fillId="2" borderId="18" xfId="0" applyNumberFormat="1" applyFont="1" applyFill="1" applyBorder="1" applyAlignment="1">
      <alignment vertical="center" shrinkToFit="1"/>
    </xf>
    <xf numFmtId="0" fontId="4" fillId="2" borderId="2" xfId="0" applyFont="1" applyFill="1" applyBorder="1">
      <alignment vertical="center"/>
    </xf>
    <xf numFmtId="0" fontId="4" fillId="2" borderId="4" xfId="0" applyFont="1" applyFill="1" applyBorder="1">
      <alignment vertical="center"/>
    </xf>
    <xf numFmtId="176" fontId="4" fillId="0" borderId="2" xfId="0" applyNumberFormat="1" applyFont="1" applyFill="1" applyBorder="1" applyAlignment="1">
      <alignment horizontal="center" vertical="center" shrinkToFit="1"/>
    </xf>
    <xf numFmtId="176" fontId="4" fillId="0" borderId="3" xfId="0" applyNumberFormat="1" applyFont="1" applyFill="1" applyBorder="1" applyAlignment="1">
      <alignment horizontal="center" vertical="center" shrinkToFit="1"/>
    </xf>
    <xf numFmtId="176" fontId="4" fillId="0" borderId="4" xfId="0" applyNumberFormat="1" applyFont="1" applyFill="1" applyBorder="1" applyAlignment="1">
      <alignment horizontal="center" vertical="center" shrinkToFit="1"/>
    </xf>
    <xf numFmtId="38" fontId="4" fillId="0" borderId="2" xfId="1" applyFont="1" applyBorder="1" applyAlignment="1">
      <alignment horizontal="center" vertical="center"/>
    </xf>
    <xf numFmtId="38" fontId="4" fillId="0" borderId="3" xfId="1" applyFont="1" applyBorder="1" applyAlignment="1">
      <alignment horizontal="center" vertical="center"/>
    </xf>
    <xf numFmtId="38" fontId="4" fillId="0" borderId="4" xfId="1" applyFont="1" applyBorder="1" applyAlignment="1">
      <alignment horizontal="center" vertical="center"/>
    </xf>
    <xf numFmtId="0" fontId="4" fillId="0" borderId="0" xfId="0" applyFont="1" applyBorder="1" applyAlignment="1">
      <alignment horizontal="center" vertical="center"/>
    </xf>
    <xf numFmtId="0" fontId="4" fillId="0" borderId="0" xfId="0" applyFont="1" applyBorder="1" applyAlignment="1">
      <alignment horizontal="right"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5" xfId="0" applyFont="1" applyBorder="1" applyAlignment="1">
      <alignment horizontal="right" vertical="center" shrinkToFit="1"/>
    </xf>
    <xf numFmtId="0" fontId="4" fillId="0" borderId="10" xfId="0" applyFont="1" applyBorder="1" applyAlignment="1">
      <alignment horizontal="right" vertical="center" shrinkToFit="1"/>
    </xf>
    <xf numFmtId="176" fontId="4" fillId="0" borderId="2"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4" fillId="0" borderId="0" xfId="0" applyFont="1" applyBorder="1" applyAlignment="1">
      <alignment vertical="center" shrinkToFit="1"/>
    </xf>
    <xf numFmtId="0" fontId="4" fillId="0" borderId="4" xfId="0" applyFont="1" applyBorder="1" applyAlignment="1">
      <alignment horizontal="center" vertical="center" shrinkToFit="1"/>
    </xf>
    <xf numFmtId="0" fontId="4" fillId="0" borderId="0" xfId="0" applyFont="1" applyAlignment="1">
      <alignment horizontal="right" vertical="center"/>
    </xf>
    <xf numFmtId="0" fontId="4" fillId="0" borderId="0" xfId="0" applyFont="1" applyBorder="1" applyAlignment="1">
      <alignment horizontal="right" vertical="center"/>
    </xf>
    <xf numFmtId="0" fontId="4" fillId="0" borderId="10" xfId="0" applyFont="1" applyBorder="1" applyAlignment="1">
      <alignment horizontal="right" vertical="center"/>
    </xf>
    <xf numFmtId="176" fontId="4" fillId="0" borderId="3" xfId="0" applyNumberFormat="1" applyFont="1" applyBorder="1" applyAlignment="1">
      <alignment horizontal="center" vertical="center" shrinkToFit="1"/>
    </xf>
    <xf numFmtId="0" fontId="5" fillId="0" borderId="0" xfId="0" applyFont="1" applyAlignment="1">
      <alignment horizontal="center" vertical="center"/>
    </xf>
    <xf numFmtId="49" fontId="15" fillId="0" borderId="2" xfId="2" applyNumberFormat="1" applyFont="1" applyFill="1" applyBorder="1" applyAlignment="1">
      <alignment vertical="center" wrapText="1" shrinkToFit="1"/>
    </xf>
    <xf numFmtId="49" fontId="4" fillId="0" borderId="3" xfId="0" applyNumberFormat="1" applyFont="1" applyFill="1" applyBorder="1" applyAlignment="1">
      <alignment vertical="center" shrinkToFit="1"/>
    </xf>
    <xf numFmtId="49" fontId="4" fillId="0" borderId="4" xfId="0" applyNumberFormat="1" applyFont="1" applyFill="1" applyBorder="1" applyAlignment="1">
      <alignment vertical="center" shrinkToFit="1"/>
    </xf>
    <xf numFmtId="49" fontId="4" fillId="2" borderId="2" xfId="1" applyNumberFormat="1" applyFont="1" applyFill="1" applyBorder="1" applyAlignment="1">
      <alignment horizontal="center" vertical="center" shrinkToFit="1"/>
    </xf>
    <xf numFmtId="49" fontId="4" fillId="2" borderId="3" xfId="1" applyNumberFormat="1" applyFont="1" applyFill="1" applyBorder="1" applyAlignment="1">
      <alignment horizontal="center" vertical="center" shrinkToFit="1"/>
    </xf>
    <xf numFmtId="49" fontId="4" fillId="2" borderId="4" xfId="1" applyNumberFormat="1" applyFont="1" applyFill="1" applyBorder="1" applyAlignment="1">
      <alignment horizontal="center" vertical="center" shrinkToFit="1"/>
    </xf>
    <xf numFmtId="0" fontId="4" fillId="2" borderId="2" xfId="0" applyFont="1" applyFill="1" applyBorder="1" applyAlignment="1">
      <alignment horizontal="center" vertical="center" shrinkToFit="1"/>
    </xf>
    <xf numFmtId="0" fontId="4" fillId="2" borderId="3" xfId="0" applyFont="1" applyFill="1" applyBorder="1" applyAlignment="1">
      <alignment horizontal="center" vertical="center" shrinkToFit="1"/>
    </xf>
    <xf numFmtId="0" fontId="4" fillId="2" borderId="4" xfId="0" applyFont="1" applyFill="1" applyBorder="1" applyAlignment="1">
      <alignment horizontal="center" vertical="center" shrinkToFit="1"/>
    </xf>
    <xf numFmtId="0" fontId="4" fillId="2" borderId="2" xfId="0" applyFont="1" applyFill="1" applyBorder="1" applyAlignment="1">
      <alignment vertical="center" shrinkToFit="1"/>
    </xf>
    <xf numFmtId="0" fontId="4" fillId="2" borderId="3" xfId="0" applyFont="1" applyFill="1" applyBorder="1" applyAlignment="1">
      <alignment vertical="center" shrinkToFit="1"/>
    </xf>
    <xf numFmtId="0" fontId="4" fillId="0" borderId="37" xfId="0" applyFont="1" applyBorder="1" applyAlignment="1">
      <alignment vertical="center" shrinkToFit="1"/>
    </xf>
    <xf numFmtId="0" fontId="4" fillId="0" borderId="39" xfId="0" applyFont="1" applyBorder="1" applyAlignment="1">
      <alignment vertical="center" shrinkToFit="1"/>
    </xf>
    <xf numFmtId="0" fontId="4" fillId="0" borderId="38" xfId="0" applyFont="1" applyBorder="1" applyAlignment="1">
      <alignment vertical="center" shrinkToFit="1"/>
    </xf>
    <xf numFmtId="0" fontId="4" fillId="0" borderId="19" xfId="0" applyFont="1" applyBorder="1" applyAlignment="1">
      <alignment vertical="center"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4" fillId="0" borderId="40" xfId="0" applyFont="1" applyBorder="1" applyAlignment="1">
      <alignment vertical="center" shrinkToFit="1"/>
    </xf>
    <xf numFmtId="0" fontId="4" fillId="0" borderId="41" xfId="0" applyFont="1" applyBorder="1" applyAlignment="1">
      <alignment vertical="center" shrinkToFit="1"/>
    </xf>
    <xf numFmtId="0" fontId="4" fillId="0" borderId="42" xfId="0" applyFont="1" applyBorder="1" applyAlignment="1">
      <alignment vertical="center" shrinkToFit="1"/>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18" xfId="0" applyFont="1" applyBorder="1" applyAlignment="1">
      <alignment horizontal="center" vertical="center"/>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9" xfId="0" applyFont="1" applyBorder="1" applyAlignment="1">
      <alignment horizontal="left" vertical="center" shrinkToFit="1"/>
    </xf>
    <xf numFmtId="0" fontId="4" fillId="0" borderId="20"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40" xfId="0" applyFont="1" applyBorder="1" applyAlignment="1">
      <alignment horizontal="left" vertical="center" shrinkToFit="1"/>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4" fillId="0" borderId="0" xfId="0" applyFont="1" applyAlignment="1">
      <alignment horizontal="center" vertical="center"/>
    </xf>
    <xf numFmtId="0" fontId="4" fillId="0" borderId="37" xfId="0" applyFont="1" applyBorder="1" applyAlignment="1">
      <alignment horizontal="left" vertical="center" shrinkToFit="1"/>
    </xf>
    <xf numFmtId="0" fontId="4" fillId="0" borderId="39" xfId="0" applyFont="1" applyBorder="1" applyAlignment="1">
      <alignment horizontal="left" vertical="center" shrinkToFit="1"/>
    </xf>
    <xf numFmtId="0" fontId="4" fillId="0" borderId="38" xfId="0" applyFont="1" applyBorder="1" applyAlignment="1">
      <alignment horizontal="left"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37" xfId="0" applyFont="1" applyBorder="1" applyAlignment="1">
      <alignment horizontal="center" vertical="center"/>
    </xf>
    <xf numFmtId="0" fontId="4" fillId="0" borderId="39" xfId="0" applyFont="1" applyBorder="1" applyAlignment="1">
      <alignment horizontal="center" vertical="center"/>
    </xf>
    <xf numFmtId="0" fontId="4" fillId="0" borderId="38" xfId="0" applyFont="1" applyBorder="1" applyAlignment="1">
      <alignment horizontal="center" vertical="center"/>
    </xf>
    <xf numFmtId="0" fontId="4" fillId="0" borderId="7" xfId="0" applyFont="1" applyBorder="1" applyAlignment="1">
      <alignment vertical="center" shrinkToFit="1"/>
    </xf>
    <xf numFmtId="0" fontId="4" fillId="0" borderId="8" xfId="0" applyFont="1" applyBorder="1" applyAlignment="1">
      <alignment vertical="center" shrinkToFit="1"/>
    </xf>
    <xf numFmtId="0" fontId="4" fillId="0" borderId="9" xfId="0" applyFont="1" applyBorder="1" applyAlignment="1">
      <alignment vertical="center" shrinkToFit="1"/>
    </xf>
    <xf numFmtId="0" fontId="4" fillId="0" borderId="5" xfId="0" applyFont="1" applyBorder="1" applyAlignment="1">
      <alignment vertical="center" shrinkToFit="1"/>
    </xf>
    <xf numFmtId="0" fontId="4" fillId="0" borderId="10" xfId="0" applyFont="1" applyBorder="1" applyAlignment="1">
      <alignment vertical="center" shrinkToFit="1"/>
    </xf>
    <xf numFmtId="0" fontId="4" fillId="0" borderId="11" xfId="0" applyFont="1" applyBorder="1" applyAlignment="1">
      <alignment vertical="center" shrinkToFit="1"/>
    </xf>
    <xf numFmtId="0" fontId="4" fillId="0" borderId="6" xfId="0" applyFont="1" applyBorder="1" applyAlignment="1">
      <alignment vertical="center" shrinkToFit="1"/>
    </xf>
    <xf numFmtId="0" fontId="4" fillId="0" borderId="12" xfId="0" applyFont="1" applyBorder="1" applyAlignment="1">
      <alignment vertical="center" shrinkToFit="1"/>
    </xf>
    <xf numFmtId="0" fontId="15" fillId="0" borderId="2" xfId="2" applyFont="1" applyFill="1" applyBorder="1" applyAlignment="1">
      <alignment vertical="center" shrinkToFit="1"/>
    </xf>
    <xf numFmtId="0" fontId="4" fillId="0" borderId="3" xfId="0" applyFont="1" applyFill="1" applyBorder="1" applyAlignment="1">
      <alignment vertical="center" shrinkToFit="1"/>
    </xf>
    <xf numFmtId="0" fontId="4" fillId="0" borderId="4" xfId="0" applyFont="1" applyFill="1" applyBorder="1" applyAlignment="1">
      <alignment vertical="center" shrinkToFit="1"/>
    </xf>
    <xf numFmtId="0" fontId="4" fillId="0" borderId="40" xfId="0" applyFont="1" applyBorder="1" applyAlignment="1">
      <alignment horizontal="center" vertical="center" shrinkToFit="1"/>
    </xf>
    <xf numFmtId="0" fontId="4" fillId="0" borderId="41" xfId="0" applyFont="1" applyBorder="1" applyAlignment="1">
      <alignment horizontal="center" vertical="center" shrinkToFit="1"/>
    </xf>
    <xf numFmtId="0" fontId="4" fillId="0" borderId="42" xfId="0" applyFont="1" applyBorder="1" applyAlignment="1">
      <alignment horizontal="center" vertical="center" shrinkToFit="1"/>
    </xf>
    <xf numFmtId="0" fontId="4" fillId="0" borderId="19"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22" xfId="0" applyFont="1" applyBorder="1" applyAlignment="1">
      <alignment horizontal="left" vertical="center" wrapText="1" shrinkToFit="1"/>
    </xf>
    <xf numFmtId="0" fontId="4" fillId="0" borderId="22" xfId="0" applyFont="1" applyBorder="1" applyAlignment="1">
      <alignment horizontal="left" vertical="center" shrinkToFit="1"/>
    </xf>
    <xf numFmtId="0" fontId="4" fillId="0" borderId="21" xfId="0" applyFont="1" applyBorder="1" applyAlignment="1">
      <alignment horizontal="left" vertical="center" shrinkToFit="1"/>
    </xf>
    <xf numFmtId="0" fontId="8" fillId="0" borderId="39"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4" fillId="0" borderId="6" xfId="0" applyFont="1" applyBorder="1" applyAlignment="1">
      <alignment horizontal="left" vertical="center" shrinkToFit="1"/>
    </xf>
    <xf numFmtId="0" fontId="4" fillId="0" borderId="12" xfId="0" applyFont="1" applyBorder="1" applyAlignment="1">
      <alignment horizontal="left" vertical="center" shrinkToFit="1"/>
    </xf>
    <xf numFmtId="0" fontId="8" fillId="0" borderId="41" xfId="0" applyFont="1" applyBorder="1" applyAlignment="1">
      <alignment horizontal="left" vertical="center" wrapText="1" shrinkToFit="1"/>
    </xf>
    <xf numFmtId="0" fontId="4" fillId="0" borderId="0" xfId="0" applyFont="1" applyAlignment="1">
      <alignment vertical="center" wrapText="1"/>
    </xf>
    <xf numFmtId="0" fontId="6" fillId="0" borderId="0" xfId="0" applyFont="1" applyAlignment="1">
      <alignment horizontal="center" vertical="center"/>
    </xf>
    <xf numFmtId="0" fontId="4" fillId="0" borderId="37" xfId="0" applyFont="1" applyBorder="1" applyAlignment="1">
      <alignment horizontal="center" vertical="center" shrinkToFit="1"/>
    </xf>
    <xf numFmtId="0" fontId="4" fillId="0" borderId="39" xfId="0" applyFont="1" applyBorder="1" applyAlignment="1">
      <alignment horizontal="center" vertical="center" shrinkToFit="1"/>
    </xf>
    <xf numFmtId="0" fontId="4" fillId="0" borderId="38" xfId="0" applyFont="1" applyBorder="1" applyAlignment="1">
      <alignment horizontal="center" vertical="center" shrinkToFit="1"/>
    </xf>
    <xf numFmtId="0" fontId="8" fillId="0" borderId="19" xfId="0" applyFont="1" applyBorder="1" applyAlignment="1">
      <alignment vertical="center" wrapText="1" shrinkToFit="1"/>
    </xf>
    <xf numFmtId="0" fontId="8" fillId="0" borderId="48" xfId="0" applyFont="1" applyBorder="1" applyAlignment="1">
      <alignment vertical="center" wrapText="1"/>
    </xf>
    <xf numFmtId="0" fontId="8" fillId="0" borderId="49" xfId="0" applyFont="1" applyBorder="1" applyAlignment="1">
      <alignment vertical="center" wrapText="1"/>
    </xf>
    <xf numFmtId="0" fontId="8" fillId="0" borderId="32" xfId="0" applyFont="1" applyBorder="1" applyAlignment="1">
      <alignment vertical="center" wrapText="1"/>
    </xf>
    <xf numFmtId="0" fontId="8" fillId="0" borderId="39" xfId="0" applyFont="1" applyBorder="1" applyAlignment="1">
      <alignment vertical="center" wrapText="1" shrinkToFit="1"/>
    </xf>
    <xf numFmtId="0" fontId="8" fillId="0" borderId="6" xfId="0" applyFont="1" applyBorder="1" applyAlignment="1">
      <alignment vertical="center" wrapText="1" shrinkToFit="1"/>
    </xf>
    <xf numFmtId="0" fontId="8" fillId="0" borderId="8" xfId="0" applyFont="1" applyBorder="1" applyAlignment="1">
      <alignment horizontal="left" vertical="center" wrapText="1" shrinkToFit="1"/>
    </xf>
    <xf numFmtId="0" fontId="4" fillId="0" borderId="8" xfId="0" applyFont="1" applyBorder="1" applyAlignment="1">
      <alignment horizontal="left" vertical="center" shrinkToFit="1"/>
    </xf>
    <xf numFmtId="0" fontId="4" fillId="0" borderId="9" xfId="0" applyFont="1" applyBorder="1" applyAlignment="1">
      <alignment horizontal="left" vertical="center" shrinkToFit="1"/>
    </xf>
    <xf numFmtId="0" fontId="8" fillId="0" borderId="20"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4" fillId="2" borderId="2" xfId="0" applyNumberFormat="1" applyFont="1" applyFill="1" applyBorder="1" applyAlignment="1">
      <alignment horizontal="center" vertical="center" shrinkToFit="1"/>
    </xf>
    <xf numFmtId="0" fontId="4" fillId="2" borderId="4" xfId="0" applyNumberFormat="1" applyFont="1" applyFill="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0" fillId="0" borderId="8" xfId="0" applyFont="1" applyBorder="1" applyAlignment="1">
      <alignment horizontal="center" vertical="center" wrapText="1"/>
    </xf>
    <xf numFmtId="0" fontId="10" fillId="0" borderId="6" xfId="0" applyFont="1" applyBorder="1" applyAlignment="1">
      <alignment horizontal="center" vertical="center"/>
    </xf>
    <xf numFmtId="0" fontId="10" fillId="0" borderId="7" xfId="0" applyFont="1" applyBorder="1" applyAlignment="1">
      <alignment horizontal="center" vertical="center" wrapText="1"/>
    </xf>
    <xf numFmtId="0" fontId="10" fillId="0" borderId="11" xfId="0" applyFont="1" applyBorder="1" applyAlignment="1">
      <alignment horizontal="center" vertical="center"/>
    </xf>
    <xf numFmtId="0" fontId="4" fillId="0" borderId="14" xfId="0" applyFont="1" applyBorder="1" applyAlignment="1">
      <alignment horizontal="center" vertical="center"/>
    </xf>
    <xf numFmtId="0" fontId="11" fillId="0" borderId="15" xfId="0" applyFont="1" applyBorder="1" applyAlignment="1">
      <alignment horizontal="center" vertical="center" wrapText="1"/>
    </xf>
    <xf numFmtId="0" fontId="11" fillId="0" borderId="13"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4" fillId="0" borderId="7" xfId="0" applyFont="1" applyBorder="1" applyAlignment="1">
      <alignment vertical="top" wrapText="1" shrinkToFit="1"/>
    </xf>
    <xf numFmtId="0" fontId="12" fillId="0" borderId="8" xfId="0" applyFont="1" applyBorder="1" applyAlignment="1">
      <alignment vertical="top" wrapText="1" shrinkToFit="1"/>
    </xf>
    <xf numFmtId="0" fontId="12" fillId="0" borderId="9" xfId="0" applyFont="1" applyBorder="1" applyAlignment="1">
      <alignment vertical="top" wrapText="1" shrinkToFit="1"/>
    </xf>
    <xf numFmtId="0" fontId="12" fillId="0" borderId="5" xfId="0" applyFont="1" applyBorder="1" applyAlignment="1">
      <alignment vertical="top" wrapText="1" shrinkToFit="1"/>
    </xf>
    <xf numFmtId="0" fontId="12" fillId="0" borderId="0" xfId="0" applyFont="1" applyAlignment="1">
      <alignment vertical="top" wrapText="1" shrinkToFit="1"/>
    </xf>
    <xf numFmtId="0" fontId="12" fillId="0" borderId="10" xfId="0" applyFont="1" applyBorder="1" applyAlignment="1">
      <alignment vertical="top" wrapText="1" shrinkToFit="1"/>
    </xf>
    <xf numFmtId="0" fontId="12" fillId="0" borderId="11" xfId="0" applyFont="1" applyBorder="1" applyAlignment="1">
      <alignment vertical="top" wrapText="1" shrinkToFit="1"/>
    </xf>
    <xf numFmtId="0" fontId="12" fillId="0" borderId="6" xfId="0" applyFont="1" applyBorder="1" applyAlignment="1">
      <alignment vertical="top" wrapText="1" shrinkToFit="1"/>
    </xf>
    <xf numFmtId="0" fontId="12" fillId="0" borderId="12" xfId="0" applyFont="1" applyBorder="1" applyAlignment="1">
      <alignment vertical="top" wrapText="1" shrinkToFit="1"/>
    </xf>
    <xf numFmtId="0" fontId="14" fillId="0" borderId="8" xfId="0" applyFont="1" applyBorder="1" applyAlignment="1">
      <alignment vertical="top" wrapText="1" shrinkToFit="1"/>
    </xf>
    <xf numFmtId="0" fontId="14" fillId="0" borderId="8" xfId="0" applyFont="1" applyBorder="1" applyAlignment="1">
      <alignment vertical="top" shrinkToFit="1"/>
    </xf>
    <xf numFmtId="0" fontId="14" fillId="0" borderId="9" xfId="0" applyFont="1" applyBorder="1" applyAlignment="1">
      <alignment vertical="top" shrinkToFit="1"/>
    </xf>
    <xf numFmtId="0" fontId="14" fillId="0" borderId="5" xfId="0" applyFont="1" applyBorder="1" applyAlignment="1">
      <alignment vertical="top" shrinkToFit="1"/>
    </xf>
    <xf numFmtId="0" fontId="14" fillId="0" borderId="0" xfId="0" applyFont="1" applyAlignment="1">
      <alignment vertical="top" shrinkToFit="1"/>
    </xf>
    <xf numFmtId="0" fontId="14" fillId="0" borderId="10" xfId="0" applyFont="1" applyBorder="1" applyAlignment="1">
      <alignment vertical="top" shrinkToFit="1"/>
    </xf>
    <xf numFmtId="0" fontId="14" fillId="0" borderId="11" xfId="0" applyFont="1" applyBorder="1" applyAlignment="1">
      <alignment vertical="top" shrinkToFit="1"/>
    </xf>
    <xf numFmtId="0" fontId="14" fillId="0" borderId="6" xfId="0" applyFont="1" applyBorder="1" applyAlignment="1">
      <alignment vertical="top" shrinkToFit="1"/>
    </xf>
    <xf numFmtId="0" fontId="14" fillId="0" borderId="12" xfId="0" applyFont="1" applyBorder="1" applyAlignment="1">
      <alignment vertical="top" shrinkToFit="1"/>
    </xf>
    <xf numFmtId="0" fontId="12" fillId="0" borderId="8" xfId="0" applyFont="1" applyBorder="1" applyAlignment="1">
      <alignment vertical="top" shrinkToFit="1"/>
    </xf>
    <xf numFmtId="0" fontId="12" fillId="0" borderId="9" xfId="0" applyFont="1" applyBorder="1" applyAlignment="1">
      <alignment vertical="top" shrinkToFit="1"/>
    </xf>
    <xf numFmtId="0" fontId="12" fillId="0" borderId="5" xfId="0" applyFont="1" applyBorder="1" applyAlignment="1">
      <alignment vertical="top" shrinkToFit="1"/>
    </xf>
    <xf numFmtId="0" fontId="12" fillId="0" borderId="0" xfId="0" applyFont="1" applyAlignment="1">
      <alignment vertical="top" shrinkToFit="1"/>
    </xf>
    <xf numFmtId="0" fontId="12" fillId="0" borderId="10" xfId="0" applyFont="1" applyBorder="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4" fillId="0" borderId="6" xfId="0" applyFont="1" applyBorder="1">
      <alignment vertical="center"/>
    </xf>
    <xf numFmtId="0" fontId="4" fillId="0" borderId="8"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16" xfId="0" applyFont="1" applyBorder="1" applyAlignment="1">
      <alignment vertical="top" wrapText="1" shrinkToFit="1"/>
    </xf>
    <xf numFmtId="0" fontId="4" fillId="0" borderId="22" xfId="0" applyFont="1" applyBorder="1" applyAlignment="1">
      <alignment vertical="top" wrapText="1" shrinkToFit="1"/>
    </xf>
    <xf numFmtId="0" fontId="4" fillId="0" borderId="21"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15" fillId="0" borderId="2" xfId="2" applyFont="1" applyFill="1" applyBorder="1" applyAlignment="1">
      <alignment horizontal="left" vertical="center" shrinkToFit="1"/>
    </xf>
    <xf numFmtId="0" fontId="16" fillId="0" borderId="3" xfId="2" applyFont="1" applyFill="1" applyBorder="1" applyAlignment="1">
      <alignment horizontal="left" vertical="center" shrinkToFit="1"/>
    </xf>
    <xf numFmtId="0" fontId="16" fillId="0" borderId="4" xfId="2" applyFont="1" applyFill="1" applyBorder="1" applyAlignment="1">
      <alignment horizontal="left" vertical="center" shrinkToFit="1"/>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20" xfId="0" applyFont="1" applyBorder="1" applyAlignment="1">
      <alignment vertical="top" wrapText="1" shrinkToFit="1"/>
    </xf>
    <xf numFmtId="0" fontId="4" fillId="0" borderId="18" xfId="0" applyFont="1" applyBorder="1" applyAlignment="1">
      <alignment vertical="top" wrapText="1" shrinkToFit="1"/>
    </xf>
    <xf numFmtId="0" fontId="4" fillId="0" borderId="19" xfId="0" applyFont="1" applyBorder="1" applyAlignment="1">
      <alignment vertical="center" wrapText="1"/>
    </xf>
    <xf numFmtId="0" fontId="4" fillId="0" borderId="20" xfId="0" applyFont="1" applyBorder="1" applyAlignment="1">
      <alignment vertical="center" wrapText="1"/>
    </xf>
    <xf numFmtId="0" fontId="4" fillId="0" borderId="19" xfId="0" applyFont="1" applyBorder="1" applyAlignment="1">
      <alignment vertical="top" wrapText="1" shrinkToFit="1"/>
    </xf>
    <xf numFmtId="0" fontId="12" fillId="0" borderId="20" xfId="0" applyFont="1" applyBorder="1" applyAlignment="1">
      <alignment vertical="top" wrapText="1" shrinkToFit="1"/>
    </xf>
    <xf numFmtId="0" fontId="12" fillId="0" borderId="18" xfId="0" applyFont="1" applyBorder="1" applyAlignment="1">
      <alignment vertical="top" wrapText="1" shrinkToFit="1"/>
    </xf>
    <xf numFmtId="0" fontId="4" fillId="0" borderId="17" xfId="0" applyFont="1" applyBorder="1">
      <alignment vertical="center"/>
    </xf>
    <xf numFmtId="0" fontId="8" fillId="0" borderId="18" xfId="0" applyFont="1" applyBorder="1">
      <alignment vertical="center"/>
    </xf>
    <xf numFmtId="0" fontId="4" fillId="0" borderId="19" xfId="0" applyFont="1" applyFill="1" applyBorder="1" applyAlignment="1">
      <alignment vertical="top" wrapText="1" shrinkToFit="1"/>
    </xf>
    <xf numFmtId="0" fontId="4" fillId="0" borderId="20" xfId="0" applyFont="1" applyFill="1" applyBorder="1" applyAlignment="1">
      <alignment vertical="top" wrapText="1" shrinkToFit="1"/>
    </xf>
    <xf numFmtId="0" fontId="4" fillId="0" borderId="18" xfId="0" applyFont="1" applyFill="1" applyBorder="1" applyAlignment="1">
      <alignment vertical="top" wrapText="1" shrinkToFit="1"/>
    </xf>
    <xf numFmtId="38" fontId="4" fillId="2" borderId="14" xfId="1" applyFont="1" applyFill="1" applyBorder="1" applyAlignment="1">
      <alignment vertical="center" shrinkToFit="1"/>
    </xf>
    <xf numFmtId="38" fontId="4" fillId="2" borderId="23" xfId="1" applyFont="1" applyFill="1" applyBorder="1" applyAlignment="1">
      <alignment vertical="center" shrinkToFit="1"/>
    </xf>
    <xf numFmtId="38" fontId="4" fillId="0" borderId="25" xfId="1" applyFont="1" applyBorder="1" applyAlignment="1">
      <alignment vertical="center" shrinkToFit="1"/>
    </xf>
    <xf numFmtId="38" fontId="4" fillId="0" borderId="26" xfId="1" applyFont="1" applyBorder="1" applyAlignment="1">
      <alignment vertical="center" shrinkToFit="1"/>
    </xf>
    <xf numFmtId="0" fontId="8" fillId="0" borderId="7" xfId="0" applyFont="1" applyFill="1" applyBorder="1" applyAlignment="1">
      <alignment horizontal="left" vertical="top" wrapText="1" shrinkToFit="1"/>
    </xf>
    <xf numFmtId="0" fontId="4" fillId="0" borderId="8" xfId="0" applyFont="1" applyFill="1" applyBorder="1" applyAlignment="1">
      <alignment horizontal="left" vertical="top" wrapText="1" shrinkToFit="1"/>
    </xf>
    <xf numFmtId="0" fontId="4" fillId="0" borderId="9" xfId="0" applyFont="1" applyFill="1" applyBorder="1" applyAlignment="1">
      <alignment horizontal="left" vertical="top" wrapText="1" shrinkToFit="1"/>
    </xf>
    <xf numFmtId="0" fontId="4" fillId="0" borderId="5" xfId="0" applyFont="1" applyFill="1" applyBorder="1" applyAlignment="1">
      <alignment horizontal="left" vertical="top" wrapText="1" shrinkToFit="1"/>
    </xf>
    <xf numFmtId="0" fontId="4" fillId="0" borderId="0" xfId="0" applyFont="1" applyFill="1" applyBorder="1" applyAlignment="1">
      <alignment horizontal="left" vertical="top" wrapText="1" shrinkToFit="1"/>
    </xf>
    <xf numFmtId="0" fontId="4" fillId="0" borderId="10" xfId="0" applyFont="1" applyFill="1" applyBorder="1" applyAlignment="1">
      <alignment horizontal="left" vertical="top" wrapText="1" shrinkToFit="1"/>
    </xf>
    <xf numFmtId="0" fontId="4" fillId="0" borderId="0" xfId="0" applyFont="1" applyFill="1" applyAlignment="1">
      <alignment horizontal="left" vertical="top" wrapText="1" shrinkToFit="1"/>
    </xf>
    <xf numFmtId="0" fontId="4" fillId="0" borderId="11" xfId="0" applyFont="1" applyFill="1" applyBorder="1" applyAlignment="1">
      <alignment horizontal="left" vertical="top" wrapText="1" shrinkToFit="1"/>
    </xf>
    <xf numFmtId="0" fontId="4" fillId="0" borderId="6" xfId="0" applyFont="1" applyFill="1" applyBorder="1" applyAlignment="1">
      <alignment horizontal="left" vertical="top" wrapText="1" shrinkToFit="1"/>
    </xf>
    <xf numFmtId="0" fontId="4" fillId="0" borderId="12" xfId="0" applyFont="1" applyFill="1" applyBorder="1" applyAlignment="1">
      <alignment horizontal="left" vertical="top" wrapText="1" shrinkToFit="1"/>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2"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akus@mail.tohoku-gakuin.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heetViews>
  <sheetFormatPr defaultColWidth="9" defaultRowHeight="18.75" customHeight="1" x14ac:dyDescent="0.15"/>
  <cols>
    <col min="1" max="1" width="3.375" style="72" customWidth="1"/>
    <col min="2" max="2" width="11.125" style="72" customWidth="1"/>
    <col min="3" max="8" width="6.625" style="72" customWidth="1"/>
    <col min="9" max="9" width="3.375" style="72" customWidth="1"/>
    <col min="10" max="10" width="10" style="72" customWidth="1"/>
    <col min="11" max="11" width="3.375" style="72" customWidth="1"/>
    <col min="12" max="12" width="7.75" style="72" customWidth="1"/>
    <col min="13" max="13" width="3.375" style="72" customWidth="1"/>
    <col min="14" max="14" width="4.5" style="72" customWidth="1"/>
    <col min="15" max="16384" width="9" style="72"/>
  </cols>
  <sheetData>
    <row r="1" spans="1:15" ht="24" customHeight="1" x14ac:dyDescent="0.15">
      <c r="M1" s="136" t="s">
        <v>25</v>
      </c>
      <c r="N1" s="136"/>
    </row>
    <row r="2" spans="1:15" ht="24" customHeight="1" x14ac:dyDescent="0.15">
      <c r="A2" s="140" t="s">
        <v>83</v>
      </c>
      <c r="B2" s="140"/>
      <c r="C2" s="140"/>
      <c r="D2" s="140"/>
      <c r="E2" s="140"/>
      <c r="F2" s="140"/>
      <c r="G2" s="140"/>
      <c r="H2" s="140"/>
      <c r="I2" s="140"/>
      <c r="J2" s="140"/>
      <c r="K2" s="140"/>
      <c r="L2" s="140"/>
      <c r="M2" s="140"/>
      <c r="N2" s="140"/>
    </row>
    <row r="3" spans="1:15" ht="24" customHeight="1" x14ac:dyDescent="0.15"/>
    <row r="4" spans="1:15" ht="24" customHeight="1" x14ac:dyDescent="0.15">
      <c r="A4" s="72" t="s">
        <v>6</v>
      </c>
      <c r="B4" s="73" t="s">
        <v>16</v>
      </c>
      <c r="C4" s="128" t="s">
        <v>151</v>
      </c>
      <c r="D4" s="129"/>
      <c r="E4" s="129"/>
      <c r="F4" s="129"/>
      <c r="G4" s="129"/>
      <c r="H4" s="129"/>
      <c r="I4" s="129"/>
      <c r="J4" s="129"/>
      <c r="K4" s="129"/>
      <c r="L4" s="129"/>
      <c r="M4" s="129"/>
      <c r="N4" s="135"/>
      <c r="O4" s="72" t="str">
        <f>IF(C4="","入力してください","")</f>
        <v/>
      </c>
    </row>
    <row r="5" spans="1:15" ht="7.5" customHeight="1" x14ac:dyDescent="0.15">
      <c r="B5" s="73"/>
      <c r="C5" s="73"/>
      <c r="D5" s="73"/>
      <c r="E5" s="5"/>
      <c r="F5" s="105"/>
      <c r="G5" s="105"/>
      <c r="H5" s="105"/>
      <c r="I5" s="105"/>
      <c r="J5" s="105"/>
      <c r="K5" s="105"/>
      <c r="L5" s="105"/>
      <c r="M5" s="105"/>
      <c r="N5" s="105"/>
    </row>
    <row r="6" spans="1:15" ht="24" customHeight="1" x14ac:dyDescent="0.15">
      <c r="A6" s="72" t="s">
        <v>48</v>
      </c>
      <c r="B6" s="73" t="s">
        <v>49</v>
      </c>
      <c r="C6" s="73"/>
      <c r="D6" s="128" t="s">
        <v>152</v>
      </c>
      <c r="E6" s="129"/>
      <c r="F6" s="129"/>
      <c r="G6" s="129"/>
      <c r="H6" s="135"/>
      <c r="I6" s="6" t="s">
        <v>86</v>
      </c>
      <c r="J6" s="105" t="s">
        <v>87</v>
      </c>
      <c r="K6" s="128" t="s">
        <v>156</v>
      </c>
      <c r="L6" s="129"/>
      <c r="M6" s="129"/>
      <c r="N6" s="135"/>
      <c r="O6" s="72" t="str">
        <f>IF(D6="","入力してください","")</f>
        <v/>
      </c>
    </row>
    <row r="7" spans="1:15" ht="7.5" customHeight="1" x14ac:dyDescent="0.15">
      <c r="B7" s="73"/>
      <c r="C7" s="73"/>
      <c r="D7" s="73"/>
      <c r="E7" s="5"/>
      <c r="F7" s="105"/>
      <c r="G7" s="105"/>
      <c r="H7" s="105"/>
      <c r="I7" s="105"/>
      <c r="J7" s="105"/>
      <c r="K7" s="105"/>
      <c r="L7" s="105"/>
      <c r="M7" s="105"/>
      <c r="N7" s="105"/>
    </row>
    <row r="8" spans="1:15" ht="24" customHeight="1" x14ac:dyDescent="0.15">
      <c r="A8" s="72" t="s">
        <v>13</v>
      </c>
      <c r="B8" s="73" t="s">
        <v>45</v>
      </c>
      <c r="C8" s="128" t="s">
        <v>184</v>
      </c>
      <c r="D8" s="129"/>
      <c r="E8" s="129"/>
      <c r="F8" s="129"/>
      <c r="G8" s="129"/>
      <c r="H8" s="129"/>
      <c r="I8" s="129"/>
      <c r="J8" s="129"/>
      <c r="K8" s="129"/>
      <c r="L8" s="129"/>
      <c r="M8" s="129"/>
      <c r="N8" s="135"/>
      <c r="O8" s="72" t="str">
        <f>IF(C8="","入力してください","")</f>
        <v/>
      </c>
    </row>
    <row r="9" spans="1:15" ht="7.5" customHeight="1" x14ac:dyDescent="0.15">
      <c r="B9" s="73"/>
      <c r="C9" s="73"/>
      <c r="D9" s="73"/>
      <c r="E9" s="5"/>
      <c r="F9" s="105"/>
      <c r="G9" s="105"/>
      <c r="H9" s="105"/>
      <c r="I9" s="105"/>
      <c r="J9" s="105"/>
      <c r="K9" s="105"/>
      <c r="L9" s="105"/>
      <c r="M9" s="105"/>
      <c r="N9" s="105"/>
    </row>
    <row r="10" spans="1:15" ht="24" customHeight="1" x14ac:dyDescent="0.15">
      <c r="A10" s="72" t="s">
        <v>11</v>
      </c>
      <c r="B10" s="73" t="s">
        <v>85</v>
      </c>
      <c r="C10" s="73"/>
      <c r="D10" s="73"/>
      <c r="E10" s="323" t="s">
        <v>206</v>
      </c>
      <c r="F10" s="324"/>
      <c r="G10" s="324"/>
      <c r="H10" s="324"/>
      <c r="I10" s="324"/>
      <c r="J10" s="324"/>
      <c r="K10" s="324"/>
      <c r="L10" s="324"/>
      <c r="M10" s="324"/>
      <c r="N10" s="325"/>
      <c r="O10" s="72" t="str">
        <f>IF(E10="","入力してください","")</f>
        <v/>
      </c>
    </row>
    <row r="11" spans="1:15" ht="7.5" customHeight="1" x14ac:dyDescent="0.15">
      <c r="B11" s="5"/>
      <c r="C11" s="5"/>
      <c r="D11" s="5"/>
      <c r="E11" s="5"/>
      <c r="F11" s="105"/>
      <c r="G11" s="105"/>
      <c r="H11" s="105"/>
      <c r="I11" s="105"/>
      <c r="J11" s="105"/>
      <c r="K11" s="105"/>
      <c r="L11" s="105"/>
      <c r="M11" s="105"/>
      <c r="N11" s="105"/>
    </row>
    <row r="12" spans="1:15" ht="24" customHeight="1" x14ac:dyDescent="0.15">
      <c r="A12" s="72" t="s">
        <v>58</v>
      </c>
      <c r="B12" s="5" t="s">
        <v>59</v>
      </c>
      <c r="C12" s="5"/>
      <c r="D12" s="5"/>
      <c r="E12" s="326" t="s">
        <v>209</v>
      </c>
      <c r="F12" s="327"/>
      <c r="G12" s="6" t="s">
        <v>96</v>
      </c>
      <c r="H12" s="72" t="s">
        <v>97</v>
      </c>
      <c r="N12" s="16" t="s">
        <v>153</v>
      </c>
      <c r="O12" s="72" t="str">
        <f>IF(E12="","入力してください","")</f>
        <v/>
      </c>
    </row>
    <row r="13" spans="1:15" ht="7.5" customHeight="1" x14ac:dyDescent="0.15">
      <c r="B13" s="5"/>
      <c r="C13" s="5"/>
      <c r="D13" s="5"/>
      <c r="E13" s="5"/>
      <c r="F13" s="105"/>
      <c r="G13" s="105"/>
      <c r="H13" s="105"/>
      <c r="I13" s="105"/>
      <c r="J13" s="105"/>
      <c r="K13" s="105"/>
      <c r="L13" s="105"/>
      <c r="M13" s="105"/>
      <c r="N13" s="105"/>
    </row>
    <row r="14" spans="1:15" ht="24" customHeight="1" x14ac:dyDescent="0.15">
      <c r="A14" s="72" t="s">
        <v>53</v>
      </c>
      <c r="B14" s="72" t="s">
        <v>0</v>
      </c>
      <c r="C14" s="137" t="s">
        <v>5</v>
      </c>
      <c r="D14" s="138"/>
      <c r="E14" s="132">
        <v>295</v>
      </c>
      <c r="F14" s="133"/>
      <c r="G14" s="74" t="s">
        <v>7</v>
      </c>
      <c r="I14" s="137" t="s">
        <v>8</v>
      </c>
      <c r="J14" s="138"/>
      <c r="K14" s="132">
        <v>380</v>
      </c>
      <c r="L14" s="139"/>
      <c r="M14" s="133"/>
      <c r="N14" s="7" t="s">
        <v>7</v>
      </c>
      <c r="O14" s="72" t="str">
        <f>IF(OR(E14="",K14=""),"入力してください","")</f>
        <v/>
      </c>
    </row>
    <row r="15" spans="1:15" ht="7.5" customHeight="1" x14ac:dyDescent="0.15">
      <c r="F15" s="8"/>
      <c r="G15" s="8"/>
      <c r="H15" s="8"/>
      <c r="I15" s="8"/>
      <c r="J15" s="8"/>
      <c r="K15" s="8"/>
      <c r="L15" s="8"/>
      <c r="M15" s="7"/>
      <c r="N15" s="7"/>
    </row>
    <row r="16" spans="1:15" ht="24" customHeight="1" x14ac:dyDescent="0.15">
      <c r="A16" s="72" t="s">
        <v>60</v>
      </c>
      <c r="B16" s="72" t="s">
        <v>70</v>
      </c>
      <c r="F16" s="8"/>
      <c r="G16" s="8"/>
      <c r="H16" s="8"/>
      <c r="I16" s="8"/>
      <c r="J16" s="8"/>
      <c r="K16" s="120">
        <v>17</v>
      </c>
      <c r="L16" s="121"/>
      <c r="M16" s="122"/>
      <c r="N16" s="7" t="s">
        <v>51</v>
      </c>
      <c r="O16" s="72" t="str">
        <f>IF(K16="","入力してください","")</f>
        <v/>
      </c>
    </row>
    <row r="17" spans="1:15" ht="7.5" customHeight="1" x14ac:dyDescent="0.15">
      <c r="F17" s="8"/>
      <c r="G17" s="8"/>
      <c r="H17" s="8"/>
      <c r="I17" s="8"/>
      <c r="J17" s="8"/>
      <c r="K17" s="8"/>
      <c r="L17" s="8"/>
      <c r="M17" s="7"/>
      <c r="N17" s="7"/>
    </row>
    <row r="18" spans="1:15" ht="24" customHeight="1" x14ac:dyDescent="0.15">
      <c r="A18" s="72" t="s">
        <v>24</v>
      </c>
      <c r="B18" s="72" t="s">
        <v>77</v>
      </c>
      <c r="E18" s="132">
        <v>2765</v>
      </c>
      <c r="F18" s="133"/>
      <c r="G18" s="9" t="s">
        <v>21</v>
      </c>
      <c r="H18" s="8"/>
      <c r="K18" s="134"/>
      <c r="L18" s="134"/>
      <c r="M18" s="134"/>
      <c r="N18" s="134"/>
      <c r="O18" s="72" t="str">
        <f>IF(E18="","入力してください","")</f>
        <v/>
      </c>
    </row>
    <row r="19" spans="1:15" ht="7.5" customHeight="1" x14ac:dyDescent="0.15">
      <c r="E19" s="1"/>
      <c r="F19" s="8"/>
      <c r="G19" s="8"/>
      <c r="L19" s="104"/>
      <c r="M19" s="104"/>
      <c r="N19" s="10"/>
    </row>
    <row r="20" spans="1:15" ht="24" customHeight="1" x14ac:dyDescent="0.15">
      <c r="A20" s="72" t="s">
        <v>76</v>
      </c>
      <c r="B20" s="72" t="s">
        <v>78</v>
      </c>
      <c r="E20" s="1"/>
      <c r="F20" s="8"/>
      <c r="G20" s="8"/>
      <c r="H20" s="72" t="s">
        <v>52</v>
      </c>
      <c r="J20" s="123">
        <v>11077</v>
      </c>
      <c r="K20" s="124"/>
      <c r="L20" s="125"/>
      <c r="M20" s="104" t="s">
        <v>51</v>
      </c>
      <c r="N20" s="10"/>
      <c r="O20" s="72" t="str">
        <f>IF(J20="","入力してください","")</f>
        <v/>
      </c>
    </row>
    <row r="21" spans="1:15" ht="7.5" customHeight="1" x14ac:dyDescent="0.15">
      <c r="E21" s="1"/>
      <c r="F21" s="8"/>
      <c r="G21" s="8"/>
      <c r="L21" s="104"/>
      <c r="M21" s="104"/>
      <c r="N21" s="10"/>
    </row>
    <row r="22" spans="1:15" ht="24" customHeight="1" x14ac:dyDescent="0.15">
      <c r="B22" s="109" t="s">
        <v>17</v>
      </c>
      <c r="C22" s="132">
        <v>2732</v>
      </c>
      <c r="D22" s="133"/>
      <c r="E22" s="1" t="s">
        <v>22</v>
      </c>
      <c r="F22" s="8"/>
      <c r="G22" s="126" t="s">
        <v>18</v>
      </c>
      <c r="H22" s="126"/>
      <c r="I22" s="132">
        <v>2758</v>
      </c>
      <c r="J22" s="133"/>
      <c r="K22" s="6" t="s">
        <v>22</v>
      </c>
      <c r="M22" s="104"/>
      <c r="N22" s="10"/>
    </row>
    <row r="23" spans="1:15" ht="7.5" customHeight="1" x14ac:dyDescent="0.15">
      <c r="B23" s="109"/>
      <c r="C23" s="2"/>
      <c r="D23" s="2"/>
      <c r="E23" s="1"/>
      <c r="F23" s="8"/>
      <c r="G23" s="104"/>
      <c r="H23" s="104"/>
      <c r="I23" s="2"/>
      <c r="J23" s="2"/>
      <c r="K23" s="6"/>
      <c r="M23" s="104"/>
      <c r="N23" s="10"/>
    </row>
    <row r="24" spans="1:15" ht="24" customHeight="1" x14ac:dyDescent="0.15">
      <c r="B24" s="109" t="s">
        <v>19</v>
      </c>
      <c r="C24" s="132">
        <v>2751</v>
      </c>
      <c r="D24" s="133"/>
      <c r="E24" s="1" t="s">
        <v>22</v>
      </c>
      <c r="F24" s="8"/>
      <c r="G24" s="126" t="s">
        <v>20</v>
      </c>
      <c r="H24" s="126"/>
      <c r="I24" s="132">
        <v>2836</v>
      </c>
      <c r="J24" s="133"/>
      <c r="K24" s="6" t="s">
        <v>22</v>
      </c>
      <c r="M24" s="104"/>
      <c r="N24" s="10"/>
    </row>
    <row r="25" spans="1:15" ht="7.5" customHeight="1" x14ac:dyDescent="0.15">
      <c r="B25" s="109"/>
      <c r="C25" s="2"/>
      <c r="D25" s="2"/>
      <c r="E25" s="1"/>
      <c r="F25" s="8"/>
      <c r="G25" s="104"/>
      <c r="H25" s="104"/>
      <c r="I25" s="2"/>
      <c r="J25" s="2"/>
      <c r="K25" s="6"/>
      <c r="M25" s="104"/>
      <c r="N25" s="10"/>
    </row>
    <row r="26" spans="1:15" ht="24" customHeight="1" x14ac:dyDescent="0.15">
      <c r="B26" s="109" t="s">
        <v>46</v>
      </c>
      <c r="C26" s="132"/>
      <c r="D26" s="133"/>
      <c r="E26" s="1" t="s">
        <v>7</v>
      </c>
      <c r="F26" s="8"/>
      <c r="G26" s="126" t="s">
        <v>47</v>
      </c>
      <c r="H26" s="126"/>
      <c r="I26" s="132"/>
      <c r="J26" s="133"/>
      <c r="K26" s="6" t="s">
        <v>7</v>
      </c>
      <c r="M26" s="104"/>
      <c r="N26" s="10"/>
    </row>
    <row r="27" spans="1:15" ht="7.5" customHeight="1" x14ac:dyDescent="0.15">
      <c r="F27" s="8"/>
      <c r="G27" s="8"/>
      <c r="M27" s="11"/>
      <c r="N27" s="11"/>
    </row>
    <row r="28" spans="1:15" ht="24" customHeight="1" x14ac:dyDescent="0.15">
      <c r="A28" s="72" t="s">
        <v>50</v>
      </c>
      <c r="B28" s="73" t="s">
        <v>75</v>
      </c>
      <c r="C28" s="73"/>
      <c r="D28" s="73"/>
      <c r="E28" s="73"/>
      <c r="F28" s="6"/>
      <c r="G28" s="105"/>
      <c r="H28" s="105"/>
      <c r="I28" s="105"/>
      <c r="J28" s="107"/>
      <c r="K28" s="107"/>
      <c r="L28" s="107"/>
      <c r="M28" s="107"/>
      <c r="N28" s="107"/>
    </row>
    <row r="29" spans="1:15" ht="24" customHeight="1" x14ac:dyDescent="0.15">
      <c r="B29" s="127" t="s">
        <v>74</v>
      </c>
      <c r="C29" s="127"/>
      <c r="D29" s="128" t="s">
        <v>158</v>
      </c>
      <c r="E29" s="129"/>
      <c r="F29" s="129"/>
      <c r="G29" s="130" t="s">
        <v>23</v>
      </c>
      <c r="H29" s="127"/>
      <c r="I29" s="131"/>
      <c r="J29" s="128" t="s">
        <v>159</v>
      </c>
      <c r="K29" s="129"/>
      <c r="L29" s="129"/>
      <c r="M29" s="129"/>
      <c r="N29" s="135"/>
      <c r="O29" s="72" t="str">
        <f>IF(OR(D29="",J29=""),"入力してください","")</f>
        <v/>
      </c>
    </row>
    <row r="30" spans="1:15" ht="7.5" customHeight="1" x14ac:dyDescent="0.15">
      <c r="F30" s="8"/>
      <c r="G30" s="8"/>
      <c r="M30" s="11"/>
      <c r="N30" s="11"/>
    </row>
    <row r="31" spans="1:15" ht="24" customHeight="1" x14ac:dyDescent="0.15">
      <c r="A31" s="72" t="s">
        <v>54</v>
      </c>
      <c r="B31" s="73" t="s">
        <v>80</v>
      </c>
      <c r="C31" s="73"/>
      <c r="D31" s="73"/>
      <c r="E31" s="73"/>
      <c r="F31" s="6"/>
      <c r="G31" s="107"/>
      <c r="H31" s="107"/>
      <c r="I31" s="107"/>
      <c r="J31" s="107"/>
      <c r="K31" s="107"/>
      <c r="L31" s="107"/>
      <c r="M31" s="107"/>
      <c r="N31" s="107"/>
    </row>
    <row r="32" spans="1:15" ht="24" customHeight="1" x14ac:dyDescent="0.15">
      <c r="B32" s="128" t="s">
        <v>181</v>
      </c>
      <c r="C32" s="129"/>
      <c r="D32" s="129"/>
      <c r="E32" s="129"/>
      <c r="F32" s="129"/>
      <c r="G32" s="129"/>
      <c r="H32" s="129"/>
      <c r="I32" s="129"/>
      <c r="J32" s="129"/>
      <c r="K32" s="129"/>
      <c r="L32" s="129"/>
      <c r="M32" s="129"/>
      <c r="N32" s="135"/>
      <c r="O32" s="72" t="str">
        <f>IF(B32="","入力してください","")</f>
        <v/>
      </c>
    </row>
    <row r="33" spans="1:15" ht="7.5" customHeight="1" x14ac:dyDescent="0.15">
      <c r="B33" s="3"/>
      <c r="C33" s="3"/>
      <c r="D33" s="3"/>
      <c r="E33" s="3"/>
      <c r="F33" s="3"/>
      <c r="G33" s="3"/>
      <c r="H33" s="3"/>
      <c r="I33" s="3"/>
      <c r="J33" s="3"/>
      <c r="K33" s="3"/>
      <c r="L33" s="3"/>
      <c r="M33" s="3"/>
      <c r="N33" s="3"/>
    </row>
    <row r="34" spans="1:15" ht="24" customHeight="1" x14ac:dyDescent="0.15">
      <c r="B34" s="127" t="s">
        <v>74</v>
      </c>
      <c r="C34" s="127"/>
      <c r="D34" s="128" t="s">
        <v>157</v>
      </c>
      <c r="E34" s="129"/>
      <c r="F34" s="129"/>
      <c r="G34" s="130" t="s">
        <v>55</v>
      </c>
      <c r="H34" s="127"/>
      <c r="I34" s="131"/>
      <c r="J34" s="128" t="s">
        <v>160</v>
      </c>
      <c r="K34" s="129"/>
      <c r="L34" s="129"/>
      <c r="M34" s="129"/>
      <c r="N34" s="135"/>
      <c r="O34" s="72" t="str">
        <f>IF(OR(D34="",J34=""),"入力してください","")</f>
        <v/>
      </c>
    </row>
    <row r="35" spans="1:15" ht="7.5" customHeight="1" x14ac:dyDescent="0.15">
      <c r="F35" s="105"/>
      <c r="G35" s="105"/>
      <c r="H35" s="105"/>
      <c r="I35" s="105"/>
      <c r="J35" s="105"/>
      <c r="K35" s="105"/>
      <c r="L35" s="105"/>
      <c r="M35" s="105"/>
      <c r="N35" s="105"/>
    </row>
    <row r="36" spans="1:15" ht="24" customHeight="1" x14ac:dyDescent="0.15">
      <c r="A36" s="72" t="s">
        <v>61</v>
      </c>
      <c r="B36" s="72" t="s">
        <v>81</v>
      </c>
      <c r="M36" s="11"/>
      <c r="N36" s="11"/>
    </row>
    <row r="37" spans="1:15" ht="24" customHeight="1" x14ac:dyDescent="0.15">
      <c r="B37" s="128" t="s">
        <v>181</v>
      </c>
      <c r="C37" s="129"/>
      <c r="D37" s="129"/>
      <c r="E37" s="129"/>
      <c r="F37" s="129"/>
      <c r="G37" s="129"/>
      <c r="H37" s="129"/>
      <c r="I37" s="129"/>
      <c r="J37" s="129"/>
      <c r="K37" s="129"/>
      <c r="L37" s="129"/>
      <c r="M37" s="129"/>
      <c r="N37" s="135"/>
      <c r="O37" s="72" t="str">
        <f>IF(B37="","入力してください","")</f>
        <v/>
      </c>
    </row>
    <row r="38" spans="1:15" ht="7.5" customHeight="1" x14ac:dyDescent="0.15">
      <c r="F38" s="105"/>
      <c r="G38" s="105"/>
      <c r="H38" s="105"/>
      <c r="I38" s="105"/>
      <c r="J38" s="105"/>
      <c r="K38" s="105"/>
      <c r="L38" s="105"/>
      <c r="M38" s="105"/>
      <c r="N38" s="105"/>
    </row>
    <row r="39" spans="1:15" ht="24" customHeight="1" x14ac:dyDescent="0.15">
      <c r="B39" s="127" t="s">
        <v>74</v>
      </c>
      <c r="C39" s="127"/>
      <c r="D39" s="128" t="s">
        <v>157</v>
      </c>
      <c r="E39" s="129"/>
      <c r="F39" s="129"/>
      <c r="G39" s="130" t="s">
        <v>55</v>
      </c>
      <c r="H39" s="127"/>
      <c r="I39" s="131"/>
      <c r="J39" s="128" t="s">
        <v>160</v>
      </c>
      <c r="K39" s="129"/>
      <c r="L39" s="129"/>
      <c r="M39" s="129"/>
      <c r="N39" s="135"/>
      <c r="O39" s="72" t="str">
        <f>IF(OR(D39="",J39=""),"入力してください","")</f>
        <v/>
      </c>
    </row>
    <row r="40" spans="1:15" ht="7.5" customHeight="1" x14ac:dyDescent="0.15">
      <c r="F40" s="105"/>
      <c r="G40" s="105"/>
      <c r="H40" s="105"/>
      <c r="I40" s="105"/>
      <c r="J40" s="105"/>
      <c r="K40" s="105"/>
      <c r="L40" s="105"/>
      <c r="M40" s="105"/>
      <c r="N40" s="105"/>
    </row>
    <row r="41" spans="1:15" ht="24" customHeight="1" x14ac:dyDescent="0.15">
      <c r="A41" s="72" t="s">
        <v>88</v>
      </c>
      <c r="B41" s="17" t="s">
        <v>69</v>
      </c>
      <c r="E41" s="108"/>
      <c r="F41" s="128" t="s">
        <v>147</v>
      </c>
      <c r="G41" s="129"/>
      <c r="H41" s="129"/>
      <c r="I41" s="129"/>
      <c r="J41" s="129"/>
      <c r="K41" s="129"/>
      <c r="L41" s="129"/>
      <c r="M41" s="129"/>
      <c r="N41" s="135"/>
      <c r="O41" s="72" t="str">
        <f>IF(F41="","入力してください","")</f>
        <v/>
      </c>
    </row>
    <row r="42" spans="1:15" ht="7.5" customHeight="1" x14ac:dyDescent="0.15">
      <c r="F42" s="105"/>
      <c r="G42" s="105"/>
      <c r="H42" s="105"/>
      <c r="I42" s="105"/>
      <c r="J42" s="105"/>
      <c r="K42" s="105"/>
      <c r="L42" s="105"/>
      <c r="M42" s="105"/>
      <c r="N42" s="105"/>
    </row>
    <row r="43" spans="1:15" ht="24" customHeight="1" x14ac:dyDescent="0.15">
      <c r="A43" s="72" t="s">
        <v>98</v>
      </c>
    </row>
    <row r="44" spans="1:15" ht="24" customHeight="1" x14ac:dyDescent="0.15">
      <c r="B44" s="16" t="s">
        <v>1</v>
      </c>
      <c r="C44" s="150" t="s">
        <v>185</v>
      </c>
      <c r="D44" s="151"/>
      <c r="E44" s="151"/>
      <c r="F44" s="151"/>
      <c r="G44" s="151"/>
      <c r="H44" s="151"/>
      <c r="I44" s="118" t="s">
        <v>2</v>
      </c>
      <c r="J44" s="119"/>
      <c r="K44" s="147" t="s">
        <v>186</v>
      </c>
      <c r="L44" s="148"/>
      <c r="M44" s="148"/>
      <c r="N44" s="149"/>
      <c r="O44" s="72" t="str">
        <f>IF(OR(C44="",K44=""),"入力してください","")</f>
        <v/>
      </c>
    </row>
    <row r="45" spans="1:15" ht="24" customHeight="1" x14ac:dyDescent="0.15">
      <c r="B45" s="12" t="s">
        <v>4</v>
      </c>
      <c r="C45" s="141" t="s">
        <v>204</v>
      </c>
      <c r="D45" s="142"/>
      <c r="E45" s="142"/>
      <c r="F45" s="142"/>
      <c r="G45" s="142"/>
      <c r="H45" s="143"/>
      <c r="I45" s="118" t="s">
        <v>3</v>
      </c>
      <c r="J45" s="119"/>
      <c r="K45" s="144" t="s">
        <v>187</v>
      </c>
      <c r="L45" s="145"/>
      <c r="M45" s="145"/>
      <c r="N45" s="146"/>
      <c r="O45" s="72"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display="takus@mail.tohoku-gakuin.ac.jp"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8"/>
  <sheetViews>
    <sheetView showZeros="0" view="pageBreakPreview" zoomScale="130" zoomScaleNormal="100" zoomScaleSheetLayoutView="130" workbookViewId="0">
      <selection activeCell="B6" sqref="B6:Z11"/>
    </sheetView>
  </sheetViews>
  <sheetFormatPr defaultColWidth="9" defaultRowHeight="18.75" customHeight="1" x14ac:dyDescent="0.15"/>
  <cols>
    <col min="1" max="1" width="2.5" style="72" customWidth="1"/>
    <col min="2" max="2" width="27.75" style="72" customWidth="1"/>
    <col min="3" max="13" width="3.375" style="72" customWidth="1"/>
    <col min="14" max="14" width="8.875" style="72" customWidth="1"/>
    <col min="15" max="15" width="18.875" style="72" customWidth="1"/>
    <col min="16" max="19" width="3.375" style="72" customWidth="1"/>
    <col min="20" max="20" width="3.5" style="72" customWidth="1"/>
    <col min="21" max="26" width="3.375" style="72" customWidth="1"/>
    <col min="27" max="16384" width="9" style="72"/>
  </cols>
  <sheetData>
    <row r="1" spans="1:26" ht="15" customHeight="1" x14ac:dyDescent="0.15">
      <c r="W1" s="176" t="s">
        <v>183</v>
      </c>
      <c r="X1" s="176"/>
      <c r="Y1" s="176"/>
      <c r="Z1" s="176"/>
    </row>
    <row r="2" spans="1:26" ht="18" customHeight="1" x14ac:dyDescent="0.15">
      <c r="A2" s="212" t="s">
        <v>67</v>
      </c>
      <c r="B2" s="212"/>
      <c r="C2" s="212"/>
      <c r="D2" s="212"/>
      <c r="E2" s="212"/>
      <c r="F2" s="212"/>
      <c r="G2" s="212"/>
      <c r="H2" s="212"/>
      <c r="I2" s="212"/>
      <c r="J2" s="212"/>
      <c r="K2" s="212"/>
      <c r="L2" s="212"/>
      <c r="M2" s="212"/>
      <c r="N2" s="212"/>
      <c r="O2" s="212"/>
      <c r="P2" s="212"/>
      <c r="Q2" s="212"/>
      <c r="R2" s="212"/>
      <c r="S2" s="212"/>
      <c r="T2" s="212"/>
      <c r="U2" s="212"/>
      <c r="V2" s="212"/>
      <c r="W2" s="212"/>
      <c r="X2" s="212"/>
      <c r="Y2" s="212"/>
      <c r="Z2" s="212"/>
    </row>
    <row r="3" spans="1:26" ht="15" customHeight="1" x14ac:dyDescent="0.15">
      <c r="B3" s="75"/>
      <c r="C3" s="75"/>
      <c r="D3" s="75"/>
      <c r="E3" s="75"/>
      <c r="F3" s="75"/>
      <c r="G3" s="75"/>
      <c r="H3" s="75"/>
      <c r="I3" s="75"/>
      <c r="J3" s="75"/>
      <c r="K3" s="75"/>
      <c r="L3" s="75"/>
      <c r="M3" s="75"/>
      <c r="N3" s="75"/>
      <c r="O3" s="75"/>
      <c r="P3" s="75"/>
      <c r="Q3" s="75"/>
      <c r="R3" s="75"/>
      <c r="S3" s="75"/>
      <c r="T3" s="75"/>
      <c r="U3" s="75"/>
      <c r="V3" s="75"/>
      <c r="W3" s="75"/>
      <c r="X3" s="75"/>
      <c r="Y3" s="75"/>
      <c r="Z3" s="75"/>
    </row>
    <row r="4" spans="1:26" ht="18" customHeight="1" x14ac:dyDescent="0.15">
      <c r="A4" s="72" t="s">
        <v>99</v>
      </c>
      <c r="B4" s="75"/>
      <c r="C4" s="75"/>
      <c r="D4" s="75"/>
      <c r="E4" s="75"/>
      <c r="F4" s="75"/>
      <c r="G4" s="75"/>
      <c r="H4" s="73" t="s">
        <v>113</v>
      </c>
      <c r="I4" s="75"/>
      <c r="J4" s="75"/>
      <c r="K4" s="75"/>
      <c r="L4" s="75"/>
      <c r="M4" s="75"/>
      <c r="N4" s="75"/>
      <c r="O4" s="167" t="s">
        <v>161</v>
      </c>
      <c r="P4" s="168"/>
      <c r="Q4" s="168"/>
      <c r="R4" s="168"/>
      <c r="S4" s="168"/>
      <c r="T4" s="168"/>
      <c r="U4" s="168"/>
      <c r="V4" s="168"/>
      <c r="W4" s="168"/>
      <c r="X4" s="168"/>
      <c r="Y4" s="168"/>
      <c r="Z4" s="169"/>
    </row>
    <row r="5" spans="1:26" ht="6" customHeight="1" x14ac:dyDescent="0.15">
      <c r="B5" s="75"/>
      <c r="C5" s="75"/>
      <c r="D5" s="75"/>
      <c r="E5" s="75"/>
      <c r="F5" s="75"/>
      <c r="G5" s="75"/>
      <c r="H5" s="75"/>
      <c r="I5" s="75"/>
      <c r="J5" s="75"/>
      <c r="K5" s="75"/>
      <c r="L5" s="75"/>
      <c r="M5" s="75"/>
      <c r="N5" s="75"/>
      <c r="O5" s="5"/>
      <c r="P5" s="75"/>
      <c r="Q5" s="75"/>
      <c r="R5" s="75"/>
      <c r="S5" s="75"/>
      <c r="T5" s="75"/>
      <c r="U5" s="75"/>
      <c r="V5" s="75"/>
      <c r="W5" s="75"/>
      <c r="X5" s="75"/>
      <c r="Y5" s="75"/>
      <c r="Z5" s="75"/>
    </row>
    <row r="6" spans="1:26" ht="18" customHeight="1" x14ac:dyDescent="0.15">
      <c r="B6" s="313" t="s">
        <v>205</v>
      </c>
      <c r="C6" s="314"/>
      <c r="D6" s="314"/>
      <c r="E6" s="314"/>
      <c r="F6" s="314"/>
      <c r="G6" s="314"/>
      <c r="H6" s="314"/>
      <c r="I6" s="314"/>
      <c r="J6" s="314"/>
      <c r="K6" s="314"/>
      <c r="L6" s="314"/>
      <c r="M6" s="314"/>
      <c r="N6" s="314"/>
      <c r="O6" s="314"/>
      <c r="P6" s="314"/>
      <c r="Q6" s="314"/>
      <c r="R6" s="314"/>
      <c r="S6" s="314"/>
      <c r="T6" s="314"/>
      <c r="U6" s="314"/>
      <c r="V6" s="314"/>
      <c r="W6" s="314"/>
      <c r="X6" s="314"/>
      <c r="Y6" s="314"/>
      <c r="Z6" s="315"/>
    </row>
    <row r="7" spans="1:26" ht="18" customHeight="1" x14ac:dyDescent="0.15">
      <c r="B7" s="316"/>
      <c r="C7" s="317"/>
      <c r="D7" s="317"/>
      <c r="E7" s="317"/>
      <c r="F7" s="317"/>
      <c r="G7" s="317"/>
      <c r="H7" s="317"/>
      <c r="I7" s="317"/>
      <c r="J7" s="317"/>
      <c r="K7" s="317"/>
      <c r="L7" s="317"/>
      <c r="M7" s="317"/>
      <c r="N7" s="317"/>
      <c r="O7" s="317"/>
      <c r="P7" s="317"/>
      <c r="Q7" s="317"/>
      <c r="R7" s="317"/>
      <c r="S7" s="317"/>
      <c r="T7" s="317"/>
      <c r="U7" s="317"/>
      <c r="V7" s="317"/>
      <c r="W7" s="317"/>
      <c r="X7" s="317"/>
      <c r="Y7" s="317"/>
      <c r="Z7" s="318"/>
    </row>
    <row r="8" spans="1:26" ht="18" customHeight="1" x14ac:dyDescent="0.15">
      <c r="B8" s="316"/>
      <c r="C8" s="317"/>
      <c r="D8" s="317"/>
      <c r="E8" s="317"/>
      <c r="F8" s="317"/>
      <c r="G8" s="317"/>
      <c r="H8" s="317"/>
      <c r="I8" s="317"/>
      <c r="J8" s="317"/>
      <c r="K8" s="317"/>
      <c r="L8" s="317"/>
      <c r="M8" s="317"/>
      <c r="N8" s="317"/>
      <c r="O8" s="317"/>
      <c r="P8" s="317"/>
      <c r="Q8" s="317"/>
      <c r="R8" s="317"/>
      <c r="S8" s="317"/>
      <c r="T8" s="317"/>
      <c r="U8" s="317"/>
      <c r="V8" s="317"/>
      <c r="W8" s="317"/>
      <c r="X8" s="317"/>
      <c r="Y8" s="317"/>
      <c r="Z8" s="318"/>
    </row>
    <row r="9" spans="1:26" ht="18" customHeight="1" x14ac:dyDescent="0.15">
      <c r="B9" s="316"/>
      <c r="C9" s="317"/>
      <c r="D9" s="317"/>
      <c r="E9" s="317"/>
      <c r="F9" s="317"/>
      <c r="G9" s="317"/>
      <c r="H9" s="317"/>
      <c r="I9" s="317"/>
      <c r="J9" s="317"/>
      <c r="K9" s="317"/>
      <c r="L9" s="317"/>
      <c r="M9" s="317"/>
      <c r="N9" s="317"/>
      <c r="O9" s="317"/>
      <c r="P9" s="317"/>
      <c r="Q9" s="317"/>
      <c r="R9" s="317"/>
      <c r="S9" s="317"/>
      <c r="T9" s="317"/>
      <c r="U9" s="317"/>
      <c r="V9" s="317"/>
      <c r="W9" s="317"/>
      <c r="X9" s="317"/>
      <c r="Y9" s="317"/>
      <c r="Z9" s="318"/>
    </row>
    <row r="10" spans="1:26" ht="18" customHeight="1" x14ac:dyDescent="0.15">
      <c r="B10" s="316"/>
      <c r="C10" s="319"/>
      <c r="D10" s="319"/>
      <c r="E10" s="319"/>
      <c r="F10" s="319"/>
      <c r="G10" s="319"/>
      <c r="H10" s="319"/>
      <c r="I10" s="319"/>
      <c r="J10" s="319"/>
      <c r="K10" s="319"/>
      <c r="L10" s="319"/>
      <c r="M10" s="319"/>
      <c r="N10" s="319"/>
      <c r="O10" s="319"/>
      <c r="P10" s="319"/>
      <c r="Q10" s="319"/>
      <c r="R10" s="319"/>
      <c r="S10" s="319"/>
      <c r="T10" s="319"/>
      <c r="U10" s="319"/>
      <c r="V10" s="319"/>
      <c r="W10" s="319"/>
      <c r="X10" s="319"/>
      <c r="Y10" s="319"/>
      <c r="Z10" s="318"/>
    </row>
    <row r="11" spans="1:26" ht="18" customHeight="1" x14ac:dyDescent="0.15">
      <c r="B11" s="320"/>
      <c r="C11" s="321"/>
      <c r="D11" s="321"/>
      <c r="E11" s="321"/>
      <c r="F11" s="321"/>
      <c r="G11" s="321"/>
      <c r="H11" s="321"/>
      <c r="I11" s="321"/>
      <c r="J11" s="321"/>
      <c r="K11" s="321"/>
      <c r="L11" s="321"/>
      <c r="M11" s="321"/>
      <c r="N11" s="321"/>
      <c r="O11" s="321"/>
      <c r="P11" s="321"/>
      <c r="Q11" s="321"/>
      <c r="R11" s="321"/>
      <c r="S11" s="321"/>
      <c r="T11" s="321"/>
      <c r="U11" s="321"/>
      <c r="V11" s="321"/>
      <c r="W11" s="321"/>
      <c r="X11" s="321"/>
      <c r="Y11" s="321"/>
      <c r="Z11" s="322"/>
    </row>
    <row r="12" spans="1:26" ht="7.5" customHeight="1" x14ac:dyDescent="0.15">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spans="1:26" ht="18" customHeight="1" x14ac:dyDescent="0.15">
      <c r="A13" s="211" t="s">
        <v>126</v>
      </c>
      <c r="B13" s="211"/>
      <c r="C13" s="211"/>
      <c r="D13" s="211"/>
      <c r="E13" s="211"/>
      <c r="F13" s="211"/>
      <c r="G13" s="211"/>
      <c r="H13" s="211"/>
      <c r="I13" s="211"/>
      <c r="J13" s="211"/>
      <c r="K13" s="211"/>
      <c r="L13" s="211"/>
      <c r="M13" s="211"/>
      <c r="N13" s="211"/>
      <c r="O13" s="211"/>
      <c r="P13" s="211"/>
      <c r="Q13" s="211"/>
      <c r="R13" s="211"/>
      <c r="S13" s="211"/>
      <c r="T13" s="211"/>
      <c r="U13" s="211"/>
      <c r="V13" s="211"/>
      <c r="W13" s="211"/>
      <c r="X13" s="211"/>
      <c r="Y13" s="211"/>
      <c r="Z13" s="211"/>
    </row>
    <row r="14" spans="1:26" ht="18" customHeight="1" x14ac:dyDescent="0.15">
      <c r="A14" s="211"/>
      <c r="B14" s="211"/>
      <c r="C14" s="211"/>
      <c r="D14" s="211"/>
      <c r="E14" s="211"/>
      <c r="F14" s="211"/>
      <c r="G14" s="211"/>
      <c r="H14" s="211"/>
      <c r="I14" s="211"/>
      <c r="J14" s="211"/>
      <c r="K14" s="211"/>
      <c r="L14" s="211"/>
      <c r="M14" s="211"/>
      <c r="N14" s="211"/>
      <c r="O14" s="211"/>
      <c r="P14" s="211"/>
      <c r="Q14" s="211"/>
      <c r="R14" s="211"/>
      <c r="S14" s="211"/>
      <c r="T14" s="211"/>
      <c r="U14" s="211"/>
      <c r="V14" s="211"/>
      <c r="W14" s="211"/>
      <c r="X14" s="211"/>
      <c r="Y14" s="211"/>
      <c r="Z14" s="211"/>
    </row>
    <row r="15" spans="1:26" ht="18" customHeight="1" x14ac:dyDescent="0.15">
      <c r="B15" s="167" t="s">
        <v>100</v>
      </c>
      <c r="C15" s="168"/>
      <c r="D15" s="168"/>
      <c r="E15" s="168"/>
      <c r="F15" s="169"/>
      <c r="G15" s="16" t="s">
        <v>142</v>
      </c>
      <c r="H15" s="36" t="s">
        <v>141</v>
      </c>
      <c r="I15" s="168" t="s">
        <v>101</v>
      </c>
      <c r="J15" s="168"/>
      <c r="K15" s="168"/>
      <c r="L15" s="19" t="s">
        <v>104</v>
      </c>
      <c r="M15" s="19" t="s">
        <v>107</v>
      </c>
      <c r="N15" s="167" t="s">
        <v>100</v>
      </c>
      <c r="O15" s="168"/>
      <c r="P15" s="168"/>
      <c r="Q15" s="168"/>
      <c r="R15" s="168"/>
      <c r="S15" s="169"/>
      <c r="T15" s="16" t="s">
        <v>142</v>
      </c>
      <c r="U15" s="36" t="s">
        <v>141</v>
      </c>
      <c r="V15" s="168" t="s">
        <v>101</v>
      </c>
      <c r="W15" s="168"/>
      <c r="X15" s="168"/>
      <c r="Y15" s="19" t="s">
        <v>104</v>
      </c>
      <c r="Z15" s="19" t="s">
        <v>107</v>
      </c>
    </row>
    <row r="16" spans="1:26" ht="18" customHeight="1" x14ac:dyDescent="0.15">
      <c r="B16" s="177" t="s">
        <v>154</v>
      </c>
      <c r="C16" s="178"/>
      <c r="D16" s="178"/>
      <c r="E16" s="178"/>
      <c r="F16" s="179"/>
      <c r="G16" s="37">
        <v>2</v>
      </c>
      <c r="H16" s="37"/>
      <c r="I16" s="183" t="s">
        <v>148</v>
      </c>
      <c r="J16" s="184"/>
      <c r="K16" s="185"/>
      <c r="L16" s="20" t="s">
        <v>149</v>
      </c>
      <c r="M16" s="20" t="s">
        <v>149</v>
      </c>
      <c r="N16" s="152"/>
      <c r="O16" s="153"/>
      <c r="P16" s="153"/>
      <c r="Q16" s="153"/>
      <c r="R16" s="153"/>
      <c r="S16" s="154"/>
      <c r="T16" s="37"/>
      <c r="U16" s="37"/>
      <c r="V16" s="183"/>
      <c r="W16" s="184"/>
      <c r="X16" s="185"/>
      <c r="Y16" s="20"/>
      <c r="Z16" s="20"/>
    </row>
    <row r="17" spans="1:26" ht="18" customHeight="1" x14ac:dyDescent="0.15">
      <c r="B17" s="170"/>
      <c r="C17" s="171"/>
      <c r="D17" s="171"/>
      <c r="E17" s="171"/>
      <c r="F17" s="172"/>
      <c r="G17" s="38"/>
      <c r="H17" s="38"/>
      <c r="I17" s="161"/>
      <c r="J17" s="162"/>
      <c r="K17" s="163"/>
      <c r="L17" s="21"/>
      <c r="M17" s="21"/>
      <c r="N17" s="155"/>
      <c r="O17" s="156"/>
      <c r="P17" s="156"/>
      <c r="Q17" s="156"/>
      <c r="R17" s="156"/>
      <c r="S17" s="157"/>
      <c r="T17" s="38"/>
      <c r="U17" s="38"/>
      <c r="V17" s="161"/>
      <c r="W17" s="162"/>
      <c r="X17" s="163"/>
      <c r="Y17" s="21"/>
      <c r="Z17" s="21"/>
    </row>
    <row r="18" spans="1:26" ht="18" customHeight="1" x14ac:dyDescent="0.15">
      <c r="B18" s="170"/>
      <c r="C18" s="171"/>
      <c r="D18" s="171"/>
      <c r="E18" s="171"/>
      <c r="F18" s="172"/>
      <c r="G18" s="38"/>
      <c r="H18" s="38"/>
      <c r="I18" s="161"/>
      <c r="J18" s="162"/>
      <c r="K18" s="163"/>
      <c r="L18" s="21"/>
      <c r="M18" s="21"/>
      <c r="N18" s="155"/>
      <c r="O18" s="156"/>
      <c r="P18" s="156"/>
      <c r="Q18" s="156"/>
      <c r="R18" s="156"/>
      <c r="S18" s="157"/>
      <c r="T18" s="38"/>
      <c r="U18" s="38"/>
      <c r="V18" s="161"/>
      <c r="W18" s="162"/>
      <c r="X18" s="163"/>
      <c r="Y18" s="21"/>
      <c r="Z18" s="21"/>
    </row>
    <row r="19" spans="1:26" ht="18" customHeight="1" x14ac:dyDescent="0.15">
      <c r="B19" s="170"/>
      <c r="C19" s="171"/>
      <c r="D19" s="171"/>
      <c r="E19" s="171"/>
      <c r="F19" s="172"/>
      <c r="G19" s="38"/>
      <c r="H19" s="38"/>
      <c r="I19" s="161"/>
      <c r="J19" s="162"/>
      <c r="K19" s="163"/>
      <c r="L19" s="21"/>
      <c r="M19" s="21"/>
      <c r="N19" s="155"/>
      <c r="O19" s="156"/>
      <c r="P19" s="156"/>
      <c r="Q19" s="156"/>
      <c r="R19" s="156"/>
      <c r="S19" s="157"/>
      <c r="T19" s="38"/>
      <c r="U19" s="38"/>
      <c r="V19" s="161"/>
      <c r="W19" s="162"/>
      <c r="X19" s="163"/>
      <c r="Y19" s="21"/>
      <c r="Z19" s="21"/>
    </row>
    <row r="20" spans="1:26" ht="18" customHeight="1" x14ac:dyDescent="0.15">
      <c r="B20" s="170"/>
      <c r="C20" s="171"/>
      <c r="D20" s="171"/>
      <c r="E20" s="171"/>
      <c r="F20" s="172"/>
      <c r="G20" s="38"/>
      <c r="H20" s="38"/>
      <c r="I20" s="161"/>
      <c r="J20" s="162"/>
      <c r="K20" s="163"/>
      <c r="L20" s="21"/>
      <c r="M20" s="21"/>
      <c r="N20" s="155"/>
      <c r="O20" s="156"/>
      <c r="P20" s="156"/>
      <c r="Q20" s="156"/>
      <c r="R20" s="156"/>
      <c r="S20" s="157"/>
      <c r="T20" s="38"/>
      <c r="U20" s="38"/>
      <c r="V20" s="161"/>
      <c r="W20" s="162"/>
      <c r="X20" s="163"/>
      <c r="Y20" s="21"/>
      <c r="Z20" s="21"/>
    </row>
    <row r="21" spans="1:26" ht="18" customHeight="1" x14ac:dyDescent="0.15">
      <c r="A21" s="75"/>
      <c r="B21" s="170"/>
      <c r="C21" s="171"/>
      <c r="D21" s="171"/>
      <c r="E21" s="171"/>
      <c r="F21" s="172"/>
      <c r="G21" s="38"/>
      <c r="H21" s="38"/>
      <c r="I21" s="161"/>
      <c r="J21" s="162"/>
      <c r="K21" s="163"/>
      <c r="L21" s="21"/>
      <c r="M21" s="21"/>
      <c r="N21" s="155"/>
      <c r="O21" s="156"/>
      <c r="P21" s="156"/>
      <c r="Q21" s="156"/>
      <c r="R21" s="156"/>
      <c r="S21" s="157"/>
      <c r="T21" s="38"/>
      <c r="U21" s="38"/>
      <c r="V21" s="161"/>
      <c r="W21" s="162"/>
      <c r="X21" s="163"/>
      <c r="Y21" s="21"/>
      <c r="Z21" s="21"/>
    </row>
    <row r="22" spans="1:26" ht="18" customHeight="1" x14ac:dyDescent="0.15">
      <c r="A22" s="75"/>
      <c r="B22" s="173"/>
      <c r="C22" s="174"/>
      <c r="D22" s="174"/>
      <c r="E22" s="174"/>
      <c r="F22" s="175"/>
      <c r="G22" s="39"/>
      <c r="H22" s="39"/>
      <c r="I22" s="164"/>
      <c r="J22" s="165"/>
      <c r="K22" s="166"/>
      <c r="L22" s="22"/>
      <c r="M22" s="22"/>
      <c r="N22" s="158"/>
      <c r="O22" s="159"/>
      <c r="P22" s="159"/>
      <c r="Q22" s="159"/>
      <c r="R22" s="159"/>
      <c r="S22" s="160"/>
      <c r="T22" s="39"/>
      <c r="U22" s="39"/>
      <c r="V22" s="164"/>
      <c r="W22" s="165"/>
      <c r="X22" s="166"/>
      <c r="Y22" s="22"/>
      <c r="Z22" s="22"/>
    </row>
    <row r="23" spans="1:26" ht="7.5" customHeight="1" x14ac:dyDescent="0.15">
      <c r="A23" s="75"/>
      <c r="B23" s="23"/>
      <c r="C23" s="23"/>
      <c r="D23" s="75"/>
      <c r="E23" s="75"/>
      <c r="F23" s="75"/>
      <c r="G23" s="75"/>
      <c r="H23" s="75"/>
      <c r="I23" s="75"/>
      <c r="J23" s="75"/>
      <c r="K23" s="75"/>
      <c r="L23" s="23"/>
      <c r="M23" s="23"/>
      <c r="N23" s="23"/>
      <c r="O23" s="23"/>
      <c r="P23" s="23"/>
      <c r="Q23" s="23"/>
      <c r="R23" s="23"/>
      <c r="S23" s="23"/>
      <c r="T23" s="23"/>
      <c r="U23" s="23"/>
      <c r="V23" s="23"/>
      <c r="W23" s="23"/>
      <c r="X23" s="23"/>
      <c r="Y23" s="23"/>
      <c r="Z23" s="75"/>
    </row>
    <row r="24" spans="1:26" ht="18" customHeight="1" x14ac:dyDescent="0.15">
      <c r="A24" s="211" t="s">
        <v>127</v>
      </c>
      <c r="B24" s="211"/>
      <c r="C24" s="211"/>
      <c r="D24" s="211"/>
      <c r="E24" s="211"/>
      <c r="F24" s="211"/>
      <c r="G24" s="211"/>
      <c r="H24" s="211"/>
      <c r="I24" s="211"/>
      <c r="J24" s="211"/>
      <c r="K24" s="211"/>
      <c r="L24" s="211"/>
      <c r="M24" s="211"/>
      <c r="N24" s="211"/>
      <c r="O24" s="211"/>
      <c r="P24" s="211"/>
      <c r="Q24" s="211"/>
      <c r="R24" s="211"/>
      <c r="S24" s="211"/>
      <c r="T24" s="211"/>
      <c r="U24" s="211"/>
      <c r="V24" s="211"/>
      <c r="W24" s="211"/>
      <c r="X24" s="211"/>
      <c r="Y24" s="211"/>
      <c r="Z24" s="211"/>
    </row>
    <row r="25" spans="1:26" ht="18" customHeight="1" x14ac:dyDescent="0.15">
      <c r="A25" s="211"/>
      <c r="B25" s="211"/>
      <c r="C25" s="211"/>
      <c r="D25" s="211"/>
      <c r="E25" s="211"/>
      <c r="F25" s="211"/>
      <c r="G25" s="211"/>
      <c r="H25" s="211"/>
      <c r="I25" s="211"/>
      <c r="J25" s="211"/>
      <c r="K25" s="211"/>
      <c r="L25" s="211"/>
      <c r="M25" s="211"/>
      <c r="N25" s="211"/>
      <c r="O25" s="211"/>
      <c r="P25" s="211"/>
      <c r="Q25" s="211"/>
      <c r="R25" s="211"/>
      <c r="S25" s="211"/>
      <c r="T25" s="211"/>
      <c r="U25" s="211"/>
      <c r="V25" s="211"/>
      <c r="W25" s="211"/>
      <c r="X25" s="211"/>
      <c r="Y25" s="211"/>
      <c r="Z25" s="211"/>
    </row>
    <row r="26" spans="1:26" ht="18" customHeight="1" x14ac:dyDescent="0.15">
      <c r="B26" s="167" t="s">
        <v>100</v>
      </c>
      <c r="C26" s="168"/>
      <c r="D26" s="168"/>
      <c r="E26" s="168"/>
      <c r="F26" s="169"/>
      <c r="G26" s="16" t="s">
        <v>142</v>
      </c>
      <c r="H26" s="36" t="s">
        <v>141</v>
      </c>
      <c r="I26" s="168" t="s">
        <v>101</v>
      </c>
      <c r="J26" s="168"/>
      <c r="K26" s="168"/>
      <c r="L26" s="19" t="s">
        <v>128</v>
      </c>
      <c r="M26" s="19" t="s">
        <v>129</v>
      </c>
      <c r="N26" s="167" t="s">
        <v>100</v>
      </c>
      <c r="O26" s="168"/>
      <c r="P26" s="168"/>
      <c r="Q26" s="168"/>
      <c r="R26" s="168"/>
      <c r="S26" s="169"/>
      <c r="T26" s="16" t="s">
        <v>142</v>
      </c>
      <c r="U26" s="36" t="s">
        <v>141</v>
      </c>
      <c r="V26" s="168" t="s">
        <v>101</v>
      </c>
      <c r="W26" s="168"/>
      <c r="X26" s="168"/>
      <c r="Y26" s="19" t="s">
        <v>128</v>
      </c>
      <c r="Z26" s="19" t="s">
        <v>129</v>
      </c>
    </row>
    <row r="27" spans="1:26" ht="18" customHeight="1" x14ac:dyDescent="0.15">
      <c r="B27" s="177" t="s">
        <v>154</v>
      </c>
      <c r="C27" s="178"/>
      <c r="D27" s="178"/>
      <c r="E27" s="178"/>
      <c r="F27" s="179"/>
      <c r="G27" s="37">
        <v>2</v>
      </c>
      <c r="H27" s="37"/>
      <c r="I27" s="183" t="s">
        <v>148</v>
      </c>
      <c r="J27" s="184"/>
      <c r="K27" s="185"/>
      <c r="L27" s="20" t="s">
        <v>149</v>
      </c>
      <c r="M27" s="20" t="s">
        <v>149</v>
      </c>
      <c r="N27" s="152"/>
      <c r="O27" s="153"/>
      <c r="P27" s="153"/>
      <c r="Q27" s="153"/>
      <c r="R27" s="153"/>
      <c r="S27" s="154"/>
      <c r="T27" s="37"/>
      <c r="U27" s="37"/>
      <c r="V27" s="183"/>
      <c r="W27" s="184"/>
      <c r="X27" s="185"/>
      <c r="Y27" s="20"/>
      <c r="Z27" s="20"/>
    </row>
    <row r="28" spans="1:26" ht="18" customHeight="1" x14ac:dyDescent="0.15">
      <c r="B28" s="170"/>
      <c r="C28" s="171"/>
      <c r="D28" s="171"/>
      <c r="E28" s="171"/>
      <c r="F28" s="172"/>
      <c r="G28" s="38"/>
      <c r="H28" s="38"/>
      <c r="I28" s="161"/>
      <c r="J28" s="162"/>
      <c r="K28" s="163"/>
      <c r="L28" s="21"/>
      <c r="M28" s="21"/>
      <c r="N28" s="155"/>
      <c r="O28" s="156"/>
      <c r="P28" s="156"/>
      <c r="Q28" s="156"/>
      <c r="R28" s="156"/>
      <c r="S28" s="157"/>
      <c r="T28" s="38"/>
      <c r="U28" s="38"/>
      <c r="V28" s="161"/>
      <c r="W28" s="162"/>
      <c r="X28" s="163"/>
      <c r="Y28" s="21"/>
      <c r="Z28" s="21"/>
    </row>
    <row r="29" spans="1:26" ht="18" customHeight="1" x14ac:dyDescent="0.15">
      <c r="B29" s="170"/>
      <c r="C29" s="171"/>
      <c r="D29" s="171"/>
      <c r="E29" s="171"/>
      <c r="F29" s="172"/>
      <c r="G29" s="38"/>
      <c r="H29" s="38"/>
      <c r="I29" s="161"/>
      <c r="J29" s="162"/>
      <c r="K29" s="163"/>
      <c r="L29" s="21"/>
      <c r="M29" s="21"/>
      <c r="N29" s="155"/>
      <c r="O29" s="156"/>
      <c r="P29" s="156"/>
      <c r="Q29" s="156"/>
      <c r="R29" s="156"/>
      <c r="S29" s="157"/>
      <c r="T29" s="38"/>
      <c r="U29" s="38"/>
      <c r="V29" s="161"/>
      <c r="W29" s="162"/>
      <c r="X29" s="163"/>
      <c r="Y29" s="21"/>
      <c r="Z29" s="21"/>
    </row>
    <row r="30" spans="1:26" ht="18" customHeight="1" x14ac:dyDescent="0.15">
      <c r="B30" s="170"/>
      <c r="C30" s="171"/>
      <c r="D30" s="171"/>
      <c r="E30" s="171"/>
      <c r="F30" s="172"/>
      <c r="G30" s="38"/>
      <c r="H30" s="38"/>
      <c r="I30" s="161"/>
      <c r="J30" s="162"/>
      <c r="K30" s="163"/>
      <c r="L30" s="21"/>
      <c r="M30" s="21"/>
      <c r="N30" s="155"/>
      <c r="O30" s="156"/>
      <c r="P30" s="156"/>
      <c r="Q30" s="156"/>
      <c r="R30" s="156"/>
      <c r="S30" s="157"/>
      <c r="T30" s="38"/>
      <c r="U30" s="38"/>
      <c r="V30" s="161"/>
      <c r="W30" s="162"/>
      <c r="X30" s="163"/>
      <c r="Y30" s="21"/>
      <c r="Z30" s="21"/>
    </row>
    <row r="31" spans="1:26" ht="18" customHeight="1" x14ac:dyDescent="0.15">
      <c r="B31" s="170"/>
      <c r="C31" s="171"/>
      <c r="D31" s="171"/>
      <c r="E31" s="171"/>
      <c r="F31" s="172"/>
      <c r="G31" s="38"/>
      <c r="H31" s="38"/>
      <c r="I31" s="161"/>
      <c r="J31" s="162"/>
      <c r="K31" s="163"/>
      <c r="L31" s="21"/>
      <c r="M31" s="21"/>
      <c r="N31" s="155"/>
      <c r="O31" s="156"/>
      <c r="P31" s="156"/>
      <c r="Q31" s="156"/>
      <c r="R31" s="156"/>
      <c r="S31" s="157"/>
      <c r="T31" s="38"/>
      <c r="U31" s="38"/>
      <c r="V31" s="161"/>
      <c r="W31" s="162"/>
      <c r="X31" s="163"/>
      <c r="Y31" s="21"/>
      <c r="Z31" s="21"/>
    </row>
    <row r="32" spans="1:26" ht="18" customHeight="1" x14ac:dyDescent="0.15">
      <c r="B32" s="170"/>
      <c r="C32" s="171"/>
      <c r="D32" s="171"/>
      <c r="E32" s="171"/>
      <c r="F32" s="172"/>
      <c r="G32" s="38"/>
      <c r="H32" s="38"/>
      <c r="I32" s="161"/>
      <c r="J32" s="162"/>
      <c r="K32" s="163"/>
      <c r="L32" s="21"/>
      <c r="M32" s="21"/>
      <c r="N32" s="155"/>
      <c r="O32" s="156"/>
      <c r="P32" s="156"/>
      <c r="Q32" s="156"/>
      <c r="R32" s="156"/>
      <c r="S32" s="157"/>
      <c r="T32" s="38"/>
      <c r="U32" s="38"/>
      <c r="V32" s="161"/>
      <c r="W32" s="162"/>
      <c r="X32" s="163"/>
      <c r="Y32" s="21"/>
      <c r="Z32" s="21"/>
    </row>
    <row r="33" spans="1:26" ht="18" customHeight="1" x14ac:dyDescent="0.15">
      <c r="B33" s="173"/>
      <c r="C33" s="174"/>
      <c r="D33" s="174"/>
      <c r="E33" s="174"/>
      <c r="F33" s="175"/>
      <c r="G33" s="39"/>
      <c r="H33" s="39"/>
      <c r="I33" s="164"/>
      <c r="J33" s="165"/>
      <c r="K33" s="166"/>
      <c r="L33" s="22"/>
      <c r="M33" s="22"/>
      <c r="N33" s="158"/>
      <c r="O33" s="159"/>
      <c r="P33" s="159"/>
      <c r="Q33" s="159"/>
      <c r="R33" s="159"/>
      <c r="S33" s="160"/>
      <c r="T33" s="39"/>
      <c r="U33" s="39"/>
      <c r="V33" s="164"/>
      <c r="W33" s="165"/>
      <c r="X33" s="166"/>
      <c r="Y33" s="22"/>
      <c r="Z33" s="22"/>
    </row>
    <row r="34" spans="1:26" ht="7.5" customHeight="1" x14ac:dyDescent="0.15">
      <c r="A34" s="75"/>
      <c r="B34" s="23"/>
      <c r="C34" s="23"/>
      <c r="D34" s="75"/>
      <c r="E34" s="75"/>
      <c r="F34" s="75"/>
      <c r="G34" s="75"/>
      <c r="H34" s="75"/>
      <c r="I34" s="75"/>
      <c r="J34" s="75"/>
      <c r="K34" s="75"/>
      <c r="L34" s="23"/>
      <c r="M34" s="23"/>
      <c r="N34" s="23"/>
      <c r="O34" s="23"/>
      <c r="P34" s="23"/>
      <c r="Q34" s="23"/>
      <c r="R34" s="23"/>
      <c r="S34" s="23"/>
      <c r="T34" s="23"/>
      <c r="U34" s="23"/>
      <c r="V34" s="23"/>
      <c r="W34" s="23"/>
      <c r="X34" s="23"/>
      <c r="Y34" s="23"/>
      <c r="Z34" s="75"/>
    </row>
    <row r="35" spans="1:26" ht="18" customHeight="1" x14ac:dyDescent="0.15">
      <c r="A35" s="211" t="s">
        <v>130</v>
      </c>
      <c r="B35" s="211"/>
      <c r="C35" s="211"/>
      <c r="D35" s="211"/>
      <c r="E35" s="211"/>
      <c r="F35" s="211"/>
      <c r="G35" s="211"/>
      <c r="H35" s="211"/>
      <c r="I35" s="211"/>
      <c r="J35" s="211"/>
      <c r="K35" s="211"/>
      <c r="L35" s="211"/>
      <c r="M35" s="211"/>
      <c r="N35" s="211"/>
      <c r="O35" s="211"/>
      <c r="P35" s="211"/>
      <c r="Q35" s="211"/>
      <c r="R35" s="211"/>
      <c r="S35" s="211"/>
      <c r="T35" s="211"/>
      <c r="U35" s="211"/>
      <c r="V35" s="211"/>
      <c r="W35" s="211"/>
      <c r="X35" s="211"/>
      <c r="Y35" s="211"/>
      <c r="Z35" s="211"/>
    </row>
    <row r="36" spans="1:26" ht="18" customHeight="1" x14ac:dyDescent="0.15">
      <c r="A36" s="211"/>
      <c r="B36" s="211"/>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row>
    <row r="37" spans="1:26" ht="18" customHeight="1" x14ac:dyDescent="0.15">
      <c r="B37" s="167" t="s">
        <v>100</v>
      </c>
      <c r="C37" s="168"/>
      <c r="D37" s="168"/>
      <c r="E37" s="168"/>
      <c r="F37" s="169"/>
      <c r="G37" s="16" t="s">
        <v>142</v>
      </c>
      <c r="H37" s="36" t="s">
        <v>141</v>
      </c>
      <c r="I37" s="167" t="s">
        <v>101</v>
      </c>
      <c r="J37" s="168"/>
      <c r="K37" s="169"/>
      <c r="L37" s="19" t="s">
        <v>131</v>
      </c>
      <c r="M37" s="19" t="s">
        <v>132</v>
      </c>
      <c r="N37" s="167" t="s">
        <v>100</v>
      </c>
      <c r="O37" s="168"/>
      <c r="P37" s="168"/>
      <c r="Q37" s="168"/>
      <c r="R37" s="168"/>
      <c r="S37" s="169"/>
      <c r="T37" s="16" t="s">
        <v>142</v>
      </c>
      <c r="U37" s="36" t="s">
        <v>141</v>
      </c>
      <c r="V37" s="167" t="s">
        <v>101</v>
      </c>
      <c r="W37" s="168"/>
      <c r="X37" s="169"/>
      <c r="Y37" s="19" t="s">
        <v>131</v>
      </c>
      <c r="Z37" s="19" t="s">
        <v>132</v>
      </c>
    </row>
    <row r="38" spans="1:26" ht="18" customHeight="1" x14ac:dyDescent="0.15">
      <c r="A38" s="75"/>
      <c r="B38" s="177" t="s">
        <v>154</v>
      </c>
      <c r="C38" s="178"/>
      <c r="D38" s="178"/>
      <c r="E38" s="178"/>
      <c r="F38" s="179"/>
      <c r="G38" s="37">
        <v>2</v>
      </c>
      <c r="H38" s="37"/>
      <c r="I38" s="183" t="s">
        <v>148</v>
      </c>
      <c r="J38" s="184"/>
      <c r="K38" s="185"/>
      <c r="L38" s="20" t="s">
        <v>149</v>
      </c>
      <c r="M38" s="20" t="s">
        <v>149</v>
      </c>
      <c r="N38" s="152"/>
      <c r="O38" s="153"/>
      <c r="P38" s="153"/>
      <c r="Q38" s="153"/>
      <c r="R38" s="153"/>
      <c r="S38" s="154"/>
      <c r="T38" s="37"/>
      <c r="U38" s="37"/>
      <c r="V38" s="183"/>
      <c r="W38" s="184"/>
      <c r="X38" s="185"/>
      <c r="Y38" s="20"/>
      <c r="Z38" s="20"/>
    </row>
    <row r="39" spans="1:26" ht="18" customHeight="1" x14ac:dyDescent="0.15">
      <c r="A39" s="75"/>
      <c r="B39" s="170"/>
      <c r="C39" s="171"/>
      <c r="D39" s="171"/>
      <c r="E39" s="171"/>
      <c r="F39" s="172"/>
      <c r="G39" s="38"/>
      <c r="H39" s="38"/>
      <c r="I39" s="161"/>
      <c r="J39" s="162"/>
      <c r="K39" s="163"/>
      <c r="L39" s="21"/>
      <c r="M39" s="21"/>
      <c r="N39" s="155"/>
      <c r="O39" s="156"/>
      <c r="P39" s="156"/>
      <c r="Q39" s="156"/>
      <c r="R39" s="156"/>
      <c r="S39" s="157"/>
      <c r="T39" s="38"/>
      <c r="U39" s="38"/>
      <c r="V39" s="161"/>
      <c r="W39" s="162"/>
      <c r="X39" s="163"/>
      <c r="Y39" s="21"/>
      <c r="Z39" s="21"/>
    </row>
    <row r="40" spans="1:26" ht="18" customHeight="1" x14ac:dyDescent="0.15">
      <c r="A40" s="75"/>
      <c r="B40" s="170"/>
      <c r="C40" s="171"/>
      <c r="D40" s="171"/>
      <c r="E40" s="171"/>
      <c r="F40" s="172"/>
      <c r="G40" s="38"/>
      <c r="H40" s="38"/>
      <c r="I40" s="161"/>
      <c r="J40" s="162"/>
      <c r="K40" s="163"/>
      <c r="L40" s="21"/>
      <c r="M40" s="21"/>
      <c r="N40" s="155"/>
      <c r="O40" s="156"/>
      <c r="P40" s="156"/>
      <c r="Q40" s="156"/>
      <c r="R40" s="156"/>
      <c r="S40" s="157"/>
      <c r="T40" s="38"/>
      <c r="U40" s="38"/>
      <c r="V40" s="161"/>
      <c r="W40" s="162"/>
      <c r="X40" s="163"/>
      <c r="Y40" s="21"/>
      <c r="Z40" s="21"/>
    </row>
    <row r="41" spans="1:26" ht="18" customHeight="1" x14ac:dyDescent="0.15">
      <c r="A41" s="75"/>
      <c r="B41" s="170"/>
      <c r="C41" s="171"/>
      <c r="D41" s="171"/>
      <c r="E41" s="171"/>
      <c r="F41" s="172"/>
      <c r="G41" s="38"/>
      <c r="H41" s="38"/>
      <c r="I41" s="161"/>
      <c r="J41" s="162"/>
      <c r="K41" s="163"/>
      <c r="L41" s="21"/>
      <c r="M41" s="21"/>
      <c r="N41" s="155"/>
      <c r="O41" s="156"/>
      <c r="P41" s="156"/>
      <c r="Q41" s="156"/>
      <c r="R41" s="156"/>
      <c r="S41" s="157"/>
      <c r="T41" s="38"/>
      <c r="U41" s="38"/>
      <c r="V41" s="161"/>
      <c r="W41" s="162"/>
      <c r="X41" s="163"/>
      <c r="Y41" s="21"/>
      <c r="Z41" s="21"/>
    </row>
    <row r="42" spans="1:26" ht="18" customHeight="1" x14ac:dyDescent="0.15">
      <c r="A42" s="75"/>
      <c r="B42" s="170"/>
      <c r="C42" s="171"/>
      <c r="D42" s="171"/>
      <c r="E42" s="171"/>
      <c r="F42" s="172"/>
      <c r="G42" s="38"/>
      <c r="H42" s="38"/>
      <c r="I42" s="161"/>
      <c r="J42" s="162"/>
      <c r="K42" s="163"/>
      <c r="L42" s="21"/>
      <c r="M42" s="21"/>
      <c r="N42" s="155"/>
      <c r="O42" s="156"/>
      <c r="P42" s="156"/>
      <c r="Q42" s="156"/>
      <c r="R42" s="156"/>
      <c r="S42" s="157"/>
      <c r="T42" s="38"/>
      <c r="U42" s="38"/>
      <c r="V42" s="161"/>
      <c r="W42" s="162"/>
      <c r="X42" s="163"/>
      <c r="Y42" s="21"/>
      <c r="Z42" s="21"/>
    </row>
    <row r="43" spans="1:26" ht="18" customHeight="1" x14ac:dyDescent="0.15">
      <c r="A43" s="75"/>
      <c r="B43" s="170"/>
      <c r="C43" s="171"/>
      <c r="D43" s="171"/>
      <c r="E43" s="171"/>
      <c r="F43" s="172"/>
      <c r="G43" s="38"/>
      <c r="H43" s="38"/>
      <c r="I43" s="161"/>
      <c r="J43" s="162"/>
      <c r="K43" s="163"/>
      <c r="L43" s="21"/>
      <c r="M43" s="21"/>
      <c r="N43" s="155"/>
      <c r="O43" s="156"/>
      <c r="P43" s="156"/>
      <c r="Q43" s="156"/>
      <c r="R43" s="156"/>
      <c r="S43" s="157"/>
      <c r="T43" s="38"/>
      <c r="U43" s="38"/>
      <c r="V43" s="161"/>
      <c r="W43" s="162"/>
      <c r="X43" s="163"/>
      <c r="Y43" s="21"/>
      <c r="Z43" s="21"/>
    </row>
    <row r="44" spans="1:26" ht="18" customHeight="1" x14ac:dyDescent="0.15">
      <c r="A44" s="75"/>
      <c r="B44" s="173"/>
      <c r="C44" s="174"/>
      <c r="D44" s="174"/>
      <c r="E44" s="174"/>
      <c r="F44" s="175"/>
      <c r="G44" s="39"/>
      <c r="H44" s="39"/>
      <c r="I44" s="164"/>
      <c r="J44" s="165"/>
      <c r="K44" s="166"/>
      <c r="L44" s="22"/>
      <c r="M44" s="22"/>
      <c r="N44" s="158"/>
      <c r="O44" s="159"/>
      <c r="P44" s="159"/>
      <c r="Q44" s="159"/>
      <c r="R44" s="159"/>
      <c r="S44" s="160"/>
      <c r="T44" s="39"/>
      <c r="U44" s="39"/>
      <c r="V44" s="164"/>
      <c r="W44" s="165"/>
      <c r="X44" s="166"/>
      <c r="Y44" s="22"/>
      <c r="Z44" s="22"/>
    </row>
    <row r="45" spans="1:26" ht="7.5" customHeight="1" x14ac:dyDescent="0.15">
      <c r="B45" s="76"/>
      <c r="C45" s="76"/>
      <c r="D45" s="76"/>
      <c r="E45" s="76"/>
      <c r="F45" s="76"/>
      <c r="G45" s="76"/>
      <c r="H45" s="76"/>
      <c r="I45" s="76"/>
      <c r="J45" s="76"/>
      <c r="K45" s="76"/>
      <c r="L45" s="76"/>
      <c r="M45" s="76"/>
      <c r="N45" s="76"/>
      <c r="O45" s="76"/>
      <c r="P45" s="76"/>
      <c r="Q45" s="76"/>
      <c r="R45" s="76"/>
      <c r="S45" s="76"/>
      <c r="T45" s="76"/>
      <c r="U45" s="76"/>
      <c r="V45" s="76"/>
      <c r="W45" s="76"/>
      <c r="X45" s="76"/>
      <c r="Y45" s="76"/>
    </row>
    <row r="46" spans="1:26" ht="18" customHeight="1" x14ac:dyDescent="0.15">
      <c r="A46" s="211" t="s">
        <v>133</v>
      </c>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row>
    <row r="47" spans="1:26" ht="18" customHeight="1" x14ac:dyDescent="0.15">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row>
    <row r="48" spans="1:26" ht="18" customHeight="1" x14ac:dyDescent="0.15">
      <c r="B48" s="167" t="s">
        <v>100</v>
      </c>
      <c r="C48" s="168"/>
      <c r="D48" s="168"/>
      <c r="E48" s="168"/>
      <c r="F48" s="169"/>
      <c r="G48" s="16" t="s">
        <v>142</v>
      </c>
      <c r="H48" s="36" t="s">
        <v>141</v>
      </c>
      <c r="I48" s="167" t="s">
        <v>101</v>
      </c>
      <c r="J48" s="168"/>
      <c r="K48" s="169"/>
      <c r="L48" s="19" t="s">
        <v>106</v>
      </c>
      <c r="M48" s="19" t="s">
        <v>108</v>
      </c>
      <c r="N48" s="167" t="s">
        <v>100</v>
      </c>
      <c r="O48" s="168"/>
      <c r="P48" s="168"/>
      <c r="Q48" s="168"/>
      <c r="R48" s="168"/>
      <c r="S48" s="169"/>
      <c r="T48" s="16" t="s">
        <v>142</v>
      </c>
      <c r="U48" s="36" t="s">
        <v>141</v>
      </c>
      <c r="V48" s="167" t="s">
        <v>101</v>
      </c>
      <c r="W48" s="168"/>
      <c r="X48" s="169"/>
      <c r="Y48" s="19" t="s">
        <v>106</v>
      </c>
      <c r="Z48" s="19" t="s">
        <v>108</v>
      </c>
    </row>
    <row r="49" spans="1:26" ht="18" customHeight="1" x14ac:dyDescent="0.15">
      <c r="A49" s="75"/>
      <c r="B49" s="177" t="s">
        <v>154</v>
      </c>
      <c r="C49" s="178"/>
      <c r="D49" s="178"/>
      <c r="E49" s="178"/>
      <c r="F49" s="179"/>
      <c r="G49" s="37">
        <v>2</v>
      </c>
      <c r="H49" s="37"/>
      <c r="I49" s="183" t="s">
        <v>148</v>
      </c>
      <c r="J49" s="184"/>
      <c r="K49" s="185"/>
      <c r="L49" s="20" t="s">
        <v>149</v>
      </c>
      <c r="M49" s="20" t="s">
        <v>149</v>
      </c>
      <c r="N49" s="152"/>
      <c r="O49" s="153"/>
      <c r="P49" s="153"/>
      <c r="Q49" s="153"/>
      <c r="R49" s="153"/>
      <c r="S49" s="154"/>
      <c r="T49" s="37"/>
      <c r="U49" s="37"/>
      <c r="V49" s="183"/>
      <c r="W49" s="184"/>
      <c r="X49" s="185"/>
      <c r="Y49" s="20"/>
      <c r="Z49" s="20"/>
    </row>
    <row r="50" spans="1:26" ht="18" customHeight="1" x14ac:dyDescent="0.15">
      <c r="A50" s="75"/>
      <c r="B50" s="170"/>
      <c r="C50" s="171"/>
      <c r="D50" s="171"/>
      <c r="E50" s="171"/>
      <c r="F50" s="172"/>
      <c r="G50" s="38"/>
      <c r="H50" s="38"/>
      <c r="I50" s="161"/>
      <c r="J50" s="162"/>
      <c r="K50" s="163"/>
      <c r="L50" s="21"/>
      <c r="M50" s="21"/>
      <c r="N50" s="155"/>
      <c r="O50" s="156"/>
      <c r="P50" s="156"/>
      <c r="Q50" s="156"/>
      <c r="R50" s="156"/>
      <c r="S50" s="157"/>
      <c r="T50" s="38"/>
      <c r="U50" s="38"/>
      <c r="V50" s="161"/>
      <c r="W50" s="162"/>
      <c r="X50" s="163"/>
      <c r="Y50" s="21"/>
      <c r="Z50" s="21"/>
    </row>
    <row r="51" spans="1:26" ht="18" customHeight="1" x14ac:dyDescent="0.15">
      <c r="A51" s="75"/>
      <c r="B51" s="170"/>
      <c r="C51" s="171"/>
      <c r="D51" s="171"/>
      <c r="E51" s="171"/>
      <c r="F51" s="172"/>
      <c r="G51" s="38"/>
      <c r="H51" s="38"/>
      <c r="I51" s="161"/>
      <c r="J51" s="162"/>
      <c r="K51" s="163"/>
      <c r="L51" s="21"/>
      <c r="M51" s="21"/>
      <c r="N51" s="155"/>
      <c r="O51" s="156"/>
      <c r="P51" s="156"/>
      <c r="Q51" s="156"/>
      <c r="R51" s="156"/>
      <c r="S51" s="157"/>
      <c r="T51" s="38"/>
      <c r="U51" s="38"/>
      <c r="V51" s="161"/>
      <c r="W51" s="162"/>
      <c r="X51" s="163"/>
      <c r="Y51" s="21"/>
      <c r="Z51" s="21"/>
    </row>
    <row r="52" spans="1:26" ht="18" customHeight="1" x14ac:dyDescent="0.15">
      <c r="A52" s="75"/>
      <c r="B52" s="170"/>
      <c r="C52" s="171"/>
      <c r="D52" s="171"/>
      <c r="E52" s="171"/>
      <c r="F52" s="172"/>
      <c r="G52" s="38"/>
      <c r="H52" s="38"/>
      <c r="I52" s="161"/>
      <c r="J52" s="162"/>
      <c r="K52" s="163"/>
      <c r="L52" s="21"/>
      <c r="M52" s="21"/>
      <c r="N52" s="155"/>
      <c r="O52" s="156"/>
      <c r="P52" s="156"/>
      <c r="Q52" s="156"/>
      <c r="R52" s="156"/>
      <c r="S52" s="157"/>
      <c r="T52" s="38"/>
      <c r="U52" s="38"/>
      <c r="V52" s="161"/>
      <c r="W52" s="162"/>
      <c r="X52" s="163"/>
      <c r="Y52" s="21"/>
      <c r="Z52" s="21"/>
    </row>
    <row r="53" spans="1:26" ht="18" customHeight="1" x14ac:dyDescent="0.15">
      <c r="A53" s="75"/>
      <c r="B53" s="170"/>
      <c r="C53" s="171"/>
      <c r="D53" s="171"/>
      <c r="E53" s="171"/>
      <c r="F53" s="172"/>
      <c r="G53" s="38"/>
      <c r="H53" s="38"/>
      <c r="I53" s="161"/>
      <c r="J53" s="162"/>
      <c r="K53" s="163"/>
      <c r="L53" s="21"/>
      <c r="M53" s="21"/>
      <c r="N53" s="155"/>
      <c r="O53" s="156"/>
      <c r="P53" s="156"/>
      <c r="Q53" s="156"/>
      <c r="R53" s="156"/>
      <c r="S53" s="157"/>
      <c r="T53" s="38"/>
      <c r="U53" s="38"/>
      <c r="V53" s="161"/>
      <c r="W53" s="162"/>
      <c r="X53" s="163"/>
      <c r="Y53" s="21"/>
      <c r="Z53" s="21"/>
    </row>
    <row r="54" spans="1:26" ht="18" customHeight="1" x14ac:dyDescent="0.15">
      <c r="A54" s="75"/>
      <c r="B54" s="170"/>
      <c r="C54" s="171"/>
      <c r="D54" s="171"/>
      <c r="E54" s="171"/>
      <c r="F54" s="172"/>
      <c r="G54" s="38"/>
      <c r="H54" s="38"/>
      <c r="I54" s="161"/>
      <c r="J54" s="162"/>
      <c r="K54" s="163"/>
      <c r="L54" s="21"/>
      <c r="M54" s="21"/>
      <c r="N54" s="155"/>
      <c r="O54" s="156"/>
      <c r="P54" s="156"/>
      <c r="Q54" s="156"/>
      <c r="R54" s="156"/>
      <c r="S54" s="157"/>
      <c r="T54" s="38"/>
      <c r="U54" s="38"/>
      <c r="V54" s="161"/>
      <c r="W54" s="162"/>
      <c r="X54" s="163"/>
      <c r="Y54" s="21"/>
      <c r="Z54" s="21"/>
    </row>
    <row r="55" spans="1:26" ht="18" customHeight="1" x14ac:dyDescent="0.15">
      <c r="A55" s="75"/>
      <c r="B55" s="173"/>
      <c r="C55" s="174"/>
      <c r="D55" s="174"/>
      <c r="E55" s="174"/>
      <c r="F55" s="175"/>
      <c r="G55" s="39"/>
      <c r="H55" s="39"/>
      <c r="I55" s="164"/>
      <c r="J55" s="165"/>
      <c r="K55" s="166"/>
      <c r="L55" s="22"/>
      <c r="M55" s="22"/>
      <c r="N55" s="158"/>
      <c r="O55" s="159"/>
      <c r="P55" s="159"/>
      <c r="Q55" s="159"/>
      <c r="R55" s="159"/>
      <c r="S55" s="160"/>
      <c r="T55" s="39"/>
      <c r="U55" s="39"/>
      <c r="V55" s="164"/>
      <c r="W55" s="165"/>
      <c r="X55" s="166"/>
      <c r="Y55" s="22"/>
      <c r="Z55" s="22"/>
    </row>
    <row r="56" spans="1:26" ht="7.5" customHeight="1" x14ac:dyDescent="0.15">
      <c r="B56" s="76"/>
      <c r="C56" s="76"/>
      <c r="D56" s="76"/>
      <c r="E56" s="76"/>
      <c r="F56" s="76"/>
      <c r="G56" s="76"/>
      <c r="H56" s="76"/>
      <c r="I56" s="76"/>
      <c r="J56" s="76"/>
      <c r="K56" s="76"/>
      <c r="L56" s="76"/>
      <c r="M56" s="76"/>
      <c r="N56" s="76"/>
      <c r="O56" s="76"/>
      <c r="P56" s="76"/>
      <c r="Q56" s="76"/>
      <c r="R56" s="76"/>
      <c r="S56" s="76"/>
      <c r="T56" s="76"/>
      <c r="U56" s="76"/>
      <c r="V56" s="76"/>
      <c r="W56" s="76"/>
      <c r="X56" s="76"/>
      <c r="Y56" s="76"/>
    </row>
    <row r="57" spans="1:26" ht="18" customHeight="1" x14ac:dyDescent="0.15">
      <c r="A57" s="211" t="s">
        <v>134</v>
      </c>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row>
    <row r="58" spans="1:26" ht="18" customHeight="1" x14ac:dyDescent="0.15">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row>
    <row r="59" spans="1:26" ht="18" customHeight="1" x14ac:dyDescent="0.15">
      <c r="B59" s="167" t="s">
        <v>100</v>
      </c>
      <c r="C59" s="168"/>
      <c r="D59" s="168"/>
      <c r="E59" s="169"/>
      <c r="F59" s="16" t="s">
        <v>142</v>
      </c>
      <c r="G59" s="36" t="s">
        <v>141</v>
      </c>
      <c r="H59" s="28" t="s">
        <v>101</v>
      </c>
      <c r="I59" s="29"/>
      <c r="J59" s="30"/>
      <c r="K59" s="19" t="s">
        <v>105</v>
      </c>
      <c r="L59" s="19" t="s">
        <v>135</v>
      </c>
      <c r="M59" s="19" t="s">
        <v>136</v>
      </c>
      <c r="N59" s="167" t="s">
        <v>100</v>
      </c>
      <c r="O59" s="168"/>
      <c r="P59" s="168"/>
      <c r="Q59" s="168"/>
      <c r="R59" s="169"/>
      <c r="S59" s="16" t="s">
        <v>142</v>
      </c>
      <c r="T59" s="36" t="s">
        <v>141</v>
      </c>
      <c r="U59" s="28" t="s">
        <v>101</v>
      </c>
      <c r="V59" s="29"/>
      <c r="W59" s="30"/>
      <c r="X59" s="19" t="s">
        <v>105</v>
      </c>
      <c r="Y59" s="19" t="s">
        <v>135</v>
      </c>
      <c r="Z59" s="19" t="s">
        <v>136</v>
      </c>
    </row>
    <row r="60" spans="1:26" ht="18" customHeight="1" x14ac:dyDescent="0.15">
      <c r="A60" s="75"/>
      <c r="B60" s="152" t="s">
        <v>155</v>
      </c>
      <c r="C60" s="153"/>
      <c r="D60" s="153"/>
      <c r="E60" s="154"/>
      <c r="F60" s="37">
        <v>2</v>
      </c>
      <c r="G60" s="37"/>
      <c r="H60" s="183" t="s">
        <v>148</v>
      </c>
      <c r="I60" s="184"/>
      <c r="J60" s="185"/>
      <c r="K60" s="31" t="s">
        <v>149</v>
      </c>
      <c r="L60" s="20" t="s">
        <v>149</v>
      </c>
      <c r="M60" s="20" t="s">
        <v>149</v>
      </c>
      <c r="N60" s="152"/>
      <c r="O60" s="153"/>
      <c r="P60" s="153"/>
      <c r="Q60" s="153"/>
      <c r="R60" s="154"/>
      <c r="S60" s="37"/>
      <c r="T60" s="37"/>
      <c r="U60" s="183"/>
      <c r="V60" s="184"/>
      <c r="W60" s="185"/>
      <c r="X60" s="31"/>
      <c r="Y60" s="20"/>
      <c r="Z60" s="20"/>
    </row>
    <row r="61" spans="1:26" ht="18" customHeight="1" x14ac:dyDescent="0.15">
      <c r="A61" s="75"/>
      <c r="B61" s="155"/>
      <c r="C61" s="156"/>
      <c r="D61" s="156"/>
      <c r="E61" s="157"/>
      <c r="F61" s="38"/>
      <c r="G61" s="38"/>
      <c r="H61" s="161"/>
      <c r="I61" s="162"/>
      <c r="J61" s="163"/>
      <c r="K61" s="32"/>
      <c r="L61" s="21"/>
      <c r="M61" s="21"/>
      <c r="N61" s="155"/>
      <c r="O61" s="156"/>
      <c r="P61" s="156"/>
      <c r="Q61" s="156"/>
      <c r="R61" s="157"/>
      <c r="S61" s="38"/>
      <c r="T61" s="38"/>
      <c r="U61" s="161"/>
      <c r="V61" s="162"/>
      <c r="W61" s="163"/>
      <c r="X61" s="32"/>
      <c r="Y61" s="21"/>
      <c r="Z61" s="21"/>
    </row>
    <row r="62" spans="1:26" ht="18" customHeight="1" x14ac:dyDescent="0.15">
      <c r="A62" s="75"/>
      <c r="B62" s="155"/>
      <c r="C62" s="156"/>
      <c r="D62" s="156"/>
      <c r="E62" s="157"/>
      <c r="F62" s="38"/>
      <c r="G62" s="38"/>
      <c r="H62" s="161"/>
      <c r="I62" s="162"/>
      <c r="J62" s="163"/>
      <c r="K62" s="32"/>
      <c r="L62" s="21"/>
      <c r="M62" s="21"/>
      <c r="N62" s="155"/>
      <c r="O62" s="156"/>
      <c r="P62" s="156"/>
      <c r="Q62" s="156"/>
      <c r="R62" s="157"/>
      <c r="S62" s="38"/>
      <c r="T62" s="38"/>
      <c r="U62" s="161"/>
      <c r="V62" s="162"/>
      <c r="W62" s="163"/>
      <c r="X62" s="32"/>
      <c r="Y62" s="21"/>
      <c r="Z62" s="21"/>
    </row>
    <row r="63" spans="1:26" ht="18" customHeight="1" x14ac:dyDescent="0.15">
      <c r="A63" s="75"/>
      <c r="B63" s="155"/>
      <c r="C63" s="156"/>
      <c r="D63" s="156"/>
      <c r="E63" s="157"/>
      <c r="F63" s="38"/>
      <c r="G63" s="38"/>
      <c r="H63" s="161"/>
      <c r="I63" s="162"/>
      <c r="J63" s="163"/>
      <c r="K63" s="32"/>
      <c r="L63" s="21"/>
      <c r="M63" s="21"/>
      <c r="N63" s="155"/>
      <c r="O63" s="156"/>
      <c r="P63" s="156"/>
      <c r="Q63" s="156"/>
      <c r="R63" s="157"/>
      <c r="S63" s="38"/>
      <c r="T63" s="38"/>
      <c r="U63" s="161"/>
      <c r="V63" s="162"/>
      <c r="W63" s="163"/>
      <c r="X63" s="32"/>
      <c r="Y63" s="21"/>
      <c r="Z63" s="21"/>
    </row>
    <row r="64" spans="1:26" ht="18" customHeight="1" x14ac:dyDescent="0.15">
      <c r="A64" s="75"/>
      <c r="B64" s="155"/>
      <c r="C64" s="156"/>
      <c r="D64" s="156"/>
      <c r="E64" s="157"/>
      <c r="F64" s="38"/>
      <c r="G64" s="38"/>
      <c r="H64" s="161"/>
      <c r="I64" s="162"/>
      <c r="J64" s="163"/>
      <c r="K64" s="32"/>
      <c r="L64" s="21"/>
      <c r="M64" s="21"/>
      <c r="N64" s="155"/>
      <c r="O64" s="156"/>
      <c r="P64" s="156"/>
      <c r="Q64" s="156"/>
      <c r="R64" s="157"/>
      <c r="S64" s="38"/>
      <c r="T64" s="38"/>
      <c r="U64" s="161"/>
      <c r="V64" s="162"/>
      <c r="W64" s="163"/>
      <c r="X64" s="32"/>
      <c r="Y64" s="21"/>
      <c r="Z64" s="21"/>
    </row>
    <row r="65" spans="1:26" ht="18" customHeight="1" x14ac:dyDescent="0.15">
      <c r="A65" s="75"/>
      <c r="B65" s="155"/>
      <c r="C65" s="156"/>
      <c r="D65" s="156"/>
      <c r="E65" s="157"/>
      <c r="F65" s="38"/>
      <c r="G65" s="38"/>
      <c r="H65" s="161"/>
      <c r="I65" s="162"/>
      <c r="J65" s="163"/>
      <c r="K65" s="32"/>
      <c r="L65" s="21"/>
      <c r="M65" s="21"/>
      <c r="N65" s="155"/>
      <c r="O65" s="156"/>
      <c r="P65" s="156"/>
      <c r="Q65" s="156"/>
      <c r="R65" s="157"/>
      <c r="S65" s="38"/>
      <c r="T65" s="38"/>
      <c r="U65" s="161"/>
      <c r="V65" s="162"/>
      <c r="W65" s="163"/>
      <c r="X65" s="32"/>
      <c r="Y65" s="21"/>
      <c r="Z65" s="21"/>
    </row>
    <row r="66" spans="1:26" ht="18" customHeight="1" x14ac:dyDescent="0.15">
      <c r="A66" s="75"/>
      <c r="B66" s="158"/>
      <c r="C66" s="159"/>
      <c r="D66" s="159"/>
      <c r="E66" s="160"/>
      <c r="F66" s="39"/>
      <c r="G66" s="39"/>
      <c r="H66" s="164"/>
      <c r="I66" s="165"/>
      <c r="J66" s="166"/>
      <c r="K66" s="33"/>
      <c r="L66" s="22"/>
      <c r="M66" s="22"/>
      <c r="N66" s="158"/>
      <c r="O66" s="159"/>
      <c r="P66" s="159"/>
      <c r="Q66" s="159"/>
      <c r="R66" s="160"/>
      <c r="S66" s="39"/>
      <c r="T66" s="39"/>
      <c r="U66" s="164"/>
      <c r="V66" s="165"/>
      <c r="W66" s="166"/>
      <c r="X66" s="33"/>
      <c r="Y66" s="22"/>
      <c r="Z66" s="22"/>
    </row>
    <row r="67" spans="1:26" ht="7.5" customHeight="1" x14ac:dyDescent="0.15">
      <c r="B67" s="76"/>
      <c r="C67" s="76"/>
      <c r="D67" s="76"/>
      <c r="E67" s="76"/>
      <c r="F67" s="76"/>
      <c r="G67" s="76"/>
      <c r="H67" s="76"/>
      <c r="I67" s="76"/>
      <c r="J67" s="76"/>
      <c r="K67" s="76"/>
      <c r="L67" s="76"/>
      <c r="M67" s="76"/>
      <c r="N67" s="76"/>
      <c r="O67" s="76"/>
      <c r="P67" s="76"/>
      <c r="Q67" s="76"/>
      <c r="R67" s="76"/>
      <c r="S67" s="76"/>
      <c r="T67" s="76"/>
      <c r="U67" s="76"/>
      <c r="V67" s="76"/>
      <c r="W67" s="76"/>
      <c r="X67" s="76"/>
      <c r="Y67" s="76"/>
    </row>
    <row r="68" spans="1:26" ht="18" customHeight="1" x14ac:dyDescent="0.15">
      <c r="A68" s="72" t="s">
        <v>137</v>
      </c>
      <c r="L68" s="75"/>
      <c r="M68" s="75"/>
      <c r="N68" s="75"/>
      <c r="O68" s="75"/>
      <c r="P68" s="75"/>
      <c r="Q68" s="75"/>
      <c r="R68" s="75"/>
      <c r="S68" s="75"/>
      <c r="T68" s="75"/>
      <c r="U68" s="75"/>
      <c r="V68" s="75"/>
      <c r="W68" s="75"/>
      <c r="X68" s="75"/>
      <c r="Y68" s="75"/>
      <c r="Z68" s="75"/>
    </row>
    <row r="69" spans="1:26" ht="18" customHeight="1" x14ac:dyDescent="0.15">
      <c r="B69" s="167" t="s">
        <v>100</v>
      </c>
      <c r="C69" s="168"/>
      <c r="D69" s="168"/>
      <c r="E69" s="168"/>
      <c r="F69" s="169"/>
      <c r="G69" s="167" t="s">
        <v>109</v>
      </c>
      <c r="H69" s="168"/>
      <c r="I69" s="168"/>
      <c r="J69" s="168"/>
      <c r="K69" s="168"/>
      <c r="L69" s="168"/>
      <c r="M69" s="169"/>
      <c r="N69" s="180" t="s">
        <v>100</v>
      </c>
      <c r="O69" s="181"/>
      <c r="P69" s="181"/>
      <c r="Q69" s="181"/>
      <c r="R69" s="181"/>
      <c r="S69" s="182"/>
      <c r="T69" s="167" t="s">
        <v>109</v>
      </c>
      <c r="U69" s="168"/>
      <c r="V69" s="168"/>
      <c r="W69" s="168"/>
      <c r="X69" s="168"/>
      <c r="Y69" s="168"/>
      <c r="Z69" s="169"/>
    </row>
    <row r="70" spans="1:26" ht="18" customHeight="1" x14ac:dyDescent="0.15">
      <c r="A70" s="75"/>
      <c r="B70" s="152"/>
      <c r="C70" s="153"/>
      <c r="D70" s="153"/>
      <c r="E70" s="153"/>
      <c r="F70" s="154"/>
      <c r="G70" s="213"/>
      <c r="H70" s="214"/>
      <c r="I70" s="214"/>
      <c r="J70" s="214"/>
      <c r="K70" s="214"/>
      <c r="L70" s="214"/>
      <c r="M70" s="215"/>
      <c r="N70" s="152"/>
      <c r="O70" s="153"/>
      <c r="P70" s="153"/>
      <c r="Q70" s="153"/>
      <c r="R70" s="153"/>
      <c r="S70" s="154"/>
      <c r="T70" s="213"/>
      <c r="U70" s="214"/>
      <c r="V70" s="214"/>
      <c r="W70" s="214"/>
      <c r="X70" s="214"/>
      <c r="Y70" s="214"/>
      <c r="Z70" s="215"/>
    </row>
    <row r="71" spans="1:26" ht="18" customHeight="1" x14ac:dyDescent="0.15">
      <c r="A71" s="75"/>
      <c r="B71" s="155"/>
      <c r="C71" s="156"/>
      <c r="D71" s="156"/>
      <c r="E71" s="156"/>
      <c r="F71" s="157"/>
      <c r="G71" s="200"/>
      <c r="H71" s="201"/>
      <c r="I71" s="201"/>
      <c r="J71" s="201"/>
      <c r="K71" s="201"/>
      <c r="L71" s="201"/>
      <c r="M71" s="202"/>
      <c r="N71" s="155"/>
      <c r="O71" s="156"/>
      <c r="P71" s="156"/>
      <c r="Q71" s="156"/>
      <c r="R71" s="156"/>
      <c r="S71" s="157"/>
      <c r="T71" s="200"/>
      <c r="U71" s="201"/>
      <c r="V71" s="201"/>
      <c r="W71" s="201"/>
      <c r="X71" s="201"/>
      <c r="Y71" s="201"/>
      <c r="Z71" s="202"/>
    </row>
    <row r="72" spans="1:26" ht="18" customHeight="1" x14ac:dyDescent="0.15">
      <c r="A72" s="75"/>
      <c r="B72" s="155"/>
      <c r="C72" s="156"/>
      <c r="D72" s="156"/>
      <c r="E72" s="156"/>
      <c r="F72" s="157"/>
      <c r="G72" s="200"/>
      <c r="H72" s="201"/>
      <c r="I72" s="201"/>
      <c r="J72" s="201"/>
      <c r="K72" s="201"/>
      <c r="L72" s="201"/>
      <c r="M72" s="202"/>
      <c r="N72" s="155"/>
      <c r="O72" s="156"/>
      <c r="P72" s="156"/>
      <c r="Q72" s="156"/>
      <c r="R72" s="156"/>
      <c r="S72" s="157"/>
      <c r="T72" s="200"/>
      <c r="U72" s="201"/>
      <c r="V72" s="201"/>
      <c r="W72" s="201"/>
      <c r="X72" s="201"/>
      <c r="Y72" s="201"/>
      <c r="Z72" s="202"/>
    </row>
    <row r="73" spans="1:26" ht="18" customHeight="1" x14ac:dyDescent="0.15">
      <c r="A73" s="75"/>
      <c r="B73" s="155"/>
      <c r="C73" s="156"/>
      <c r="D73" s="156"/>
      <c r="E73" s="156"/>
      <c r="F73" s="157"/>
      <c r="G73" s="200"/>
      <c r="H73" s="201"/>
      <c r="I73" s="201"/>
      <c r="J73" s="201"/>
      <c r="K73" s="201"/>
      <c r="L73" s="201"/>
      <c r="M73" s="202"/>
      <c r="N73" s="155"/>
      <c r="O73" s="156"/>
      <c r="P73" s="156"/>
      <c r="Q73" s="156"/>
      <c r="R73" s="156"/>
      <c r="S73" s="157"/>
      <c r="T73" s="200"/>
      <c r="U73" s="201"/>
      <c r="V73" s="201"/>
      <c r="W73" s="201"/>
      <c r="X73" s="201"/>
      <c r="Y73" s="201"/>
      <c r="Z73" s="202"/>
    </row>
    <row r="74" spans="1:26" ht="18" customHeight="1" x14ac:dyDescent="0.15">
      <c r="A74" s="75"/>
      <c r="B74" s="155"/>
      <c r="C74" s="156"/>
      <c r="D74" s="156"/>
      <c r="E74" s="156"/>
      <c r="F74" s="157"/>
      <c r="G74" s="200"/>
      <c r="H74" s="201"/>
      <c r="I74" s="201"/>
      <c r="J74" s="201"/>
      <c r="K74" s="201"/>
      <c r="L74" s="201"/>
      <c r="M74" s="202"/>
      <c r="N74" s="155"/>
      <c r="O74" s="156"/>
      <c r="P74" s="156"/>
      <c r="Q74" s="156"/>
      <c r="R74" s="156"/>
      <c r="S74" s="157"/>
      <c r="T74" s="200"/>
      <c r="U74" s="201"/>
      <c r="V74" s="201"/>
      <c r="W74" s="201"/>
      <c r="X74" s="201"/>
      <c r="Y74" s="201"/>
      <c r="Z74" s="202"/>
    </row>
    <row r="75" spans="1:26" ht="18" customHeight="1" x14ac:dyDescent="0.15">
      <c r="A75" s="75"/>
      <c r="B75" s="155"/>
      <c r="C75" s="156"/>
      <c r="D75" s="156"/>
      <c r="E75" s="156"/>
      <c r="F75" s="157"/>
      <c r="G75" s="200"/>
      <c r="H75" s="201"/>
      <c r="I75" s="201"/>
      <c r="J75" s="201"/>
      <c r="K75" s="201"/>
      <c r="L75" s="201"/>
      <c r="M75" s="202"/>
      <c r="N75" s="155"/>
      <c r="O75" s="156"/>
      <c r="P75" s="156"/>
      <c r="Q75" s="156"/>
      <c r="R75" s="156"/>
      <c r="S75" s="157"/>
      <c r="T75" s="200"/>
      <c r="U75" s="201"/>
      <c r="V75" s="201"/>
      <c r="W75" s="201"/>
      <c r="X75" s="201"/>
      <c r="Y75" s="201"/>
      <c r="Z75" s="202"/>
    </row>
    <row r="76" spans="1:26" ht="18" customHeight="1" x14ac:dyDescent="0.15">
      <c r="A76" s="75"/>
      <c r="B76" s="158"/>
      <c r="C76" s="159"/>
      <c r="D76" s="159"/>
      <c r="E76" s="159"/>
      <c r="F76" s="160"/>
      <c r="G76" s="197"/>
      <c r="H76" s="198"/>
      <c r="I76" s="198"/>
      <c r="J76" s="198"/>
      <c r="K76" s="198"/>
      <c r="L76" s="198"/>
      <c r="M76" s="199"/>
      <c r="N76" s="158"/>
      <c r="O76" s="159"/>
      <c r="P76" s="159"/>
      <c r="Q76" s="159"/>
      <c r="R76" s="159"/>
      <c r="S76" s="160"/>
      <c r="T76" s="197"/>
      <c r="U76" s="198"/>
      <c r="V76" s="198"/>
      <c r="W76" s="198"/>
      <c r="X76" s="198"/>
      <c r="Y76" s="198"/>
      <c r="Z76" s="199"/>
    </row>
    <row r="77" spans="1:26" ht="18" customHeight="1" x14ac:dyDescent="0.15">
      <c r="A77" s="75"/>
      <c r="B77" s="101"/>
      <c r="C77" s="101"/>
      <c r="D77" s="101"/>
      <c r="E77" s="101"/>
      <c r="F77" s="101"/>
      <c r="G77" s="3"/>
      <c r="H77" s="3"/>
      <c r="I77" s="3"/>
      <c r="J77" s="3"/>
      <c r="K77" s="3"/>
      <c r="L77" s="3"/>
      <c r="M77" s="3"/>
      <c r="N77" s="101"/>
      <c r="O77" s="101"/>
      <c r="P77" s="101"/>
      <c r="Q77" s="101"/>
      <c r="R77" s="101"/>
      <c r="S77" s="101"/>
      <c r="T77" s="3"/>
      <c r="U77" s="3"/>
      <c r="V77" s="3"/>
      <c r="W77" s="3"/>
      <c r="X77" s="3"/>
      <c r="Y77" s="3"/>
      <c r="Z77" s="3"/>
    </row>
    <row r="78" spans="1:26" ht="18.75" customHeight="1" x14ac:dyDescent="0.15">
      <c r="A78" s="72" t="s">
        <v>143</v>
      </c>
    </row>
    <row r="79" spans="1:26" ht="18.75" customHeight="1" x14ac:dyDescent="0.15">
      <c r="B79" s="13" t="s">
        <v>102</v>
      </c>
      <c r="C79" s="14"/>
      <c r="D79" s="168" t="s">
        <v>103</v>
      </c>
      <c r="E79" s="168"/>
      <c r="F79" s="168"/>
      <c r="G79" s="168"/>
      <c r="H79" s="168"/>
      <c r="I79" s="168"/>
      <c r="J79" s="168"/>
      <c r="K79" s="168"/>
      <c r="L79" s="168"/>
      <c r="M79" s="168"/>
      <c r="N79" s="168"/>
      <c r="O79" s="168"/>
      <c r="P79" s="168"/>
      <c r="Q79" s="168"/>
      <c r="R79" s="168"/>
      <c r="S79" s="168"/>
      <c r="T79" s="168"/>
      <c r="U79" s="168"/>
      <c r="V79" s="168"/>
      <c r="W79" s="168"/>
      <c r="X79" s="168"/>
      <c r="Y79" s="168"/>
      <c r="Z79" s="169"/>
    </row>
    <row r="80" spans="1:26" ht="78" customHeight="1" x14ac:dyDescent="0.15">
      <c r="B80" s="217" t="s">
        <v>110</v>
      </c>
      <c r="C80" s="27" t="s">
        <v>104</v>
      </c>
      <c r="D80" s="222" t="s">
        <v>169</v>
      </c>
      <c r="E80" s="226"/>
      <c r="F80" s="226"/>
      <c r="G80" s="226"/>
      <c r="H80" s="226"/>
      <c r="I80" s="226"/>
      <c r="J80" s="226"/>
      <c r="K80" s="226"/>
      <c r="L80" s="226"/>
      <c r="M80" s="226"/>
      <c r="N80" s="226"/>
      <c r="O80" s="226"/>
      <c r="P80" s="226"/>
      <c r="Q80" s="226"/>
      <c r="R80" s="226"/>
      <c r="S80" s="226"/>
      <c r="T80" s="226"/>
      <c r="U80" s="226"/>
      <c r="V80" s="226"/>
      <c r="W80" s="226"/>
      <c r="X80" s="226"/>
      <c r="Y80" s="226"/>
      <c r="Z80" s="227"/>
    </row>
    <row r="81" spans="1:26" ht="88.5" customHeight="1" x14ac:dyDescent="0.15">
      <c r="B81" s="219"/>
      <c r="C81" s="34" t="s">
        <v>138</v>
      </c>
      <c r="D81" s="203" t="s">
        <v>170</v>
      </c>
      <c r="E81" s="204"/>
      <c r="F81" s="204"/>
      <c r="G81" s="204"/>
      <c r="H81" s="204"/>
      <c r="I81" s="204"/>
      <c r="J81" s="204"/>
      <c r="K81" s="204"/>
      <c r="L81" s="204"/>
      <c r="M81" s="204"/>
      <c r="N81" s="204"/>
      <c r="O81" s="204"/>
      <c r="P81" s="204"/>
      <c r="Q81" s="204"/>
      <c r="R81" s="204"/>
      <c r="S81" s="204"/>
      <c r="T81" s="204"/>
      <c r="U81" s="204"/>
      <c r="V81" s="204"/>
      <c r="W81" s="204"/>
      <c r="X81" s="204"/>
      <c r="Y81" s="204"/>
      <c r="Z81" s="205"/>
    </row>
    <row r="82" spans="1:26" ht="78" customHeight="1" x14ac:dyDescent="0.15">
      <c r="B82" s="217" t="s">
        <v>111</v>
      </c>
      <c r="C82" s="24" t="s">
        <v>128</v>
      </c>
      <c r="D82" s="206" t="s">
        <v>171</v>
      </c>
      <c r="E82" s="178"/>
      <c r="F82" s="178"/>
      <c r="G82" s="178"/>
      <c r="H82" s="178"/>
      <c r="I82" s="178"/>
      <c r="J82" s="178"/>
      <c r="K82" s="178"/>
      <c r="L82" s="178"/>
      <c r="M82" s="178"/>
      <c r="N82" s="178"/>
      <c r="O82" s="178"/>
      <c r="P82" s="178"/>
      <c r="Q82" s="178"/>
      <c r="R82" s="178"/>
      <c r="S82" s="178"/>
      <c r="T82" s="178"/>
      <c r="U82" s="178"/>
      <c r="V82" s="178"/>
      <c r="W82" s="178"/>
      <c r="X82" s="178"/>
      <c r="Y82" s="178"/>
      <c r="Z82" s="179"/>
    </row>
    <row r="83" spans="1:26" ht="78" customHeight="1" x14ac:dyDescent="0.15">
      <c r="B83" s="218"/>
      <c r="C83" s="35" t="s">
        <v>129</v>
      </c>
      <c r="D83" s="210" t="s">
        <v>172</v>
      </c>
      <c r="E83" s="174"/>
      <c r="F83" s="174"/>
      <c r="G83" s="174"/>
      <c r="H83" s="174"/>
      <c r="I83" s="174"/>
      <c r="J83" s="174"/>
      <c r="K83" s="174"/>
      <c r="L83" s="174"/>
      <c r="M83" s="174"/>
      <c r="N83" s="174"/>
      <c r="O83" s="174"/>
      <c r="P83" s="174"/>
      <c r="Q83" s="174"/>
      <c r="R83" s="174"/>
      <c r="S83" s="174"/>
      <c r="T83" s="174"/>
      <c r="U83" s="174"/>
      <c r="V83" s="174"/>
      <c r="W83" s="174"/>
      <c r="X83" s="174"/>
      <c r="Y83" s="174"/>
      <c r="Z83" s="175"/>
    </row>
    <row r="84" spans="1:26" ht="123.75" customHeight="1" x14ac:dyDescent="0.15">
      <c r="B84" s="217" t="s">
        <v>112</v>
      </c>
      <c r="C84" s="24" t="s">
        <v>131</v>
      </c>
      <c r="D84" s="206" t="s">
        <v>173</v>
      </c>
      <c r="E84" s="178"/>
      <c r="F84" s="178"/>
      <c r="G84" s="178"/>
      <c r="H84" s="178"/>
      <c r="I84" s="178"/>
      <c r="J84" s="178"/>
      <c r="K84" s="178"/>
      <c r="L84" s="178"/>
      <c r="M84" s="178"/>
      <c r="N84" s="178"/>
      <c r="O84" s="178"/>
      <c r="P84" s="178"/>
      <c r="Q84" s="178"/>
      <c r="R84" s="178"/>
      <c r="S84" s="178"/>
      <c r="T84" s="178"/>
      <c r="U84" s="178"/>
      <c r="V84" s="178"/>
      <c r="W84" s="178"/>
      <c r="X84" s="178"/>
      <c r="Y84" s="178"/>
      <c r="Z84" s="179"/>
    </row>
    <row r="85" spans="1:26" ht="96" customHeight="1" x14ac:dyDescent="0.15">
      <c r="B85" s="218"/>
      <c r="C85" s="26" t="s">
        <v>132</v>
      </c>
      <c r="D85" s="207" t="s">
        <v>174</v>
      </c>
      <c r="E85" s="208"/>
      <c r="F85" s="208"/>
      <c r="G85" s="208"/>
      <c r="H85" s="208"/>
      <c r="I85" s="208"/>
      <c r="J85" s="208"/>
      <c r="K85" s="208"/>
      <c r="L85" s="208"/>
      <c r="M85" s="208"/>
      <c r="N85" s="208"/>
      <c r="O85" s="208"/>
      <c r="P85" s="208"/>
      <c r="Q85" s="208"/>
      <c r="R85" s="208"/>
      <c r="S85" s="208"/>
      <c r="T85" s="208"/>
      <c r="U85" s="208"/>
      <c r="V85" s="208"/>
      <c r="W85" s="208"/>
      <c r="X85" s="208"/>
      <c r="Y85" s="208"/>
      <c r="Z85" s="209"/>
    </row>
    <row r="86" spans="1:26" ht="66" customHeight="1" x14ac:dyDescent="0.15">
      <c r="B86" s="217" t="s">
        <v>139</v>
      </c>
      <c r="C86" s="27" t="s">
        <v>106</v>
      </c>
      <c r="D86" s="222" t="s">
        <v>176</v>
      </c>
      <c r="E86" s="223"/>
      <c r="F86" s="223"/>
      <c r="G86" s="223"/>
      <c r="H86" s="223"/>
      <c r="I86" s="223"/>
      <c r="J86" s="223"/>
      <c r="K86" s="223"/>
      <c r="L86" s="223"/>
      <c r="M86" s="223"/>
      <c r="N86" s="223"/>
      <c r="O86" s="223"/>
      <c r="P86" s="223"/>
      <c r="Q86" s="223"/>
      <c r="R86" s="223"/>
      <c r="S86" s="223"/>
      <c r="T86" s="223"/>
      <c r="U86" s="223"/>
      <c r="V86" s="223"/>
      <c r="W86" s="223"/>
      <c r="X86" s="223"/>
      <c r="Y86" s="223"/>
      <c r="Z86" s="224"/>
    </row>
    <row r="87" spans="1:26" ht="66" customHeight="1" x14ac:dyDescent="0.15">
      <c r="B87" s="219"/>
      <c r="C87" s="25" t="s">
        <v>108</v>
      </c>
      <c r="D87" s="225" t="s">
        <v>175</v>
      </c>
      <c r="E87" s="171"/>
      <c r="F87" s="171"/>
      <c r="G87" s="171"/>
      <c r="H87" s="171"/>
      <c r="I87" s="171"/>
      <c r="J87" s="171"/>
      <c r="K87" s="171"/>
      <c r="L87" s="171"/>
      <c r="M87" s="171"/>
      <c r="N87" s="171"/>
      <c r="O87" s="171"/>
      <c r="P87" s="171"/>
      <c r="Q87" s="171"/>
      <c r="R87" s="171"/>
      <c r="S87" s="171"/>
      <c r="T87" s="171"/>
      <c r="U87" s="171"/>
      <c r="V87" s="171"/>
      <c r="W87" s="171"/>
      <c r="X87" s="171"/>
      <c r="Y87" s="171"/>
      <c r="Z87" s="172"/>
    </row>
    <row r="88" spans="1:26" ht="219.75" customHeight="1" x14ac:dyDescent="0.15">
      <c r="B88" s="217" t="s">
        <v>140</v>
      </c>
      <c r="C88" s="24" t="s">
        <v>105</v>
      </c>
      <c r="D88" s="220" t="s">
        <v>178</v>
      </c>
      <c r="E88" s="153"/>
      <c r="F88" s="153"/>
      <c r="G88" s="153"/>
      <c r="H88" s="153"/>
      <c r="I88" s="153"/>
      <c r="J88" s="153"/>
      <c r="K88" s="153"/>
      <c r="L88" s="153"/>
      <c r="M88" s="153"/>
      <c r="N88" s="153"/>
      <c r="O88" s="153"/>
      <c r="P88" s="153"/>
      <c r="Q88" s="153"/>
      <c r="R88" s="153"/>
      <c r="S88" s="153"/>
      <c r="T88" s="153"/>
      <c r="U88" s="153"/>
      <c r="V88" s="153"/>
      <c r="W88" s="153"/>
      <c r="X88" s="153"/>
      <c r="Y88" s="153"/>
      <c r="Z88" s="154"/>
    </row>
    <row r="89" spans="1:26" ht="110.25" customHeight="1" x14ac:dyDescent="0.15">
      <c r="B89" s="219"/>
      <c r="C89" s="25" t="s">
        <v>135</v>
      </c>
      <c r="D89" s="216" t="s">
        <v>179</v>
      </c>
      <c r="E89" s="156"/>
      <c r="F89" s="156"/>
      <c r="G89" s="156"/>
      <c r="H89" s="156"/>
      <c r="I89" s="156"/>
      <c r="J89" s="156"/>
      <c r="K89" s="156"/>
      <c r="L89" s="156"/>
      <c r="M89" s="156"/>
      <c r="N89" s="156"/>
      <c r="O89" s="156"/>
      <c r="P89" s="156"/>
      <c r="Q89" s="156"/>
      <c r="R89" s="156"/>
      <c r="S89" s="156"/>
      <c r="T89" s="156"/>
      <c r="U89" s="156"/>
      <c r="V89" s="156"/>
      <c r="W89" s="156"/>
      <c r="X89" s="156"/>
      <c r="Y89" s="156"/>
      <c r="Z89" s="157"/>
    </row>
    <row r="90" spans="1:26" ht="110.25" customHeight="1" x14ac:dyDescent="0.15">
      <c r="B90" s="218"/>
      <c r="C90" s="26" t="s">
        <v>136</v>
      </c>
      <c r="D90" s="221" t="s">
        <v>180</v>
      </c>
      <c r="E90" s="192"/>
      <c r="F90" s="192"/>
      <c r="G90" s="192"/>
      <c r="H90" s="192"/>
      <c r="I90" s="192"/>
      <c r="J90" s="192"/>
      <c r="K90" s="192"/>
      <c r="L90" s="192"/>
      <c r="M90" s="192"/>
      <c r="N90" s="192"/>
      <c r="O90" s="192"/>
      <c r="P90" s="192"/>
      <c r="Q90" s="192"/>
      <c r="R90" s="192"/>
      <c r="S90" s="192"/>
      <c r="T90" s="192"/>
      <c r="U90" s="192"/>
      <c r="V90" s="192"/>
      <c r="W90" s="192"/>
      <c r="X90" s="192"/>
      <c r="Y90" s="192"/>
      <c r="Z90" s="193"/>
    </row>
    <row r="91" spans="1:26" ht="6" customHeight="1" x14ac:dyDescent="0.15"/>
    <row r="92" spans="1:26" ht="18.75" customHeight="1" x14ac:dyDescent="0.15">
      <c r="A92" s="72" t="s">
        <v>144</v>
      </c>
    </row>
    <row r="93" spans="1:26" ht="18.75" customHeight="1" x14ac:dyDescent="0.15">
      <c r="B93" s="186" t="s">
        <v>168</v>
      </c>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8"/>
    </row>
    <row r="94" spans="1:26" ht="18.75" customHeight="1" x14ac:dyDescent="0.15">
      <c r="B94" s="189"/>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90"/>
    </row>
    <row r="95" spans="1:26" ht="18.75" customHeight="1" x14ac:dyDescent="0.15">
      <c r="B95" s="191"/>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3"/>
    </row>
    <row r="96" spans="1:26" ht="6" customHeight="1" x14ac:dyDescent="0.15"/>
    <row r="97" spans="1:26" ht="15" customHeight="1" x14ac:dyDescent="0.15">
      <c r="A97" s="72" t="s">
        <v>145</v>
      </c>
    </row>
    <row r="98" spans="1:26" ht="15" customHeight="1" x14ac:dyDescent="0.15">
      <c r="B98" s="194" t="s">
        <v>203</v>
      </c>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6"/>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H49:H55 Y38:Z44 L49:M55 Y49:Z55 Y60:Z66 L38:M44 H16:H22 U16:U22 K60:K62 U27:U33 H27:H33 U38:U44 K64 U49:U55 G60:G66 T60:T66 L60:M66 H38:H44" xr:uid="{00000000-0002-0000-0100-000000000000}">
      <formula1>"○"</formula1>
    </dataValidation>
    <dataValidation type="list" allowBlank="1" showInputMessage="1" showErrorMessage="1" sqref="Z23 Z34 D34:K34 D23:K23 V16:V22 I27:I33 V27:V33 I16:I22 V38:V44 H60:H66 V49:V55 I38:I44 U60:U66 I49:I55"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25" right="0.25" top="0.75" bottom="0.75" header="0.3" footer="0.3"/>
  <pageSetup paperSize="9" scale="76" fitToHeight="0" orientation="portrait" r:id="rId1"/>
  <rowBreaks count="2" manualBreakCount="2">
    <brk id="56" max="25" man="1"/>
    <brk id="85"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30"/>
  <sheetViews>
    <sheetView view="pageBreakPreview" zoomScaleNormal="100" zoomScaleSheetLayoutView="100" workbookViewId="0">
      <selection activeCell="B1" sqref="B1"/>
    </sheetView>
  </sheetViews>
  <sheetFormatPr defaultColWidth="9" defaultRowHeight="18.75" customHeight="1" x14ac:dyDescent="0.15"/>
  <cols>
    <col min="1" max="1" width="2.75" style="4" customWidth="1"/>
    <col min="2" max="2" width="30" style="4" customWidth="1"/>
    <col min="3" max="17" width="6.125" style="4" customWidth="1"/>
    <col min="18" max="18" width="6.625" style="4" customWidth="1"/>
    <col min="19" max="16384" width="9" style="4"/>
  </cols>
  <sheetData>
    <row r="1" spans="1:20" ht="18" customHeight="1" x14ac:dyDescent="0.15">
      <c r="F1" s="136" t="s">
        <v>63</v>
      </c>
      <c r="G1" s="136"/>
      <c r="H1" s="136"/>
      <c r="I1" s="136"/>
      <c r="J1" s="136"/>
      <c r="K1" s="136"/>
      <c r="L1" s="136"/>
      <c r="M1" s="136"/>
      <c r="N1" s="136"/>
      <c r="O1" s="136"/>
      <c r="P1" s="136"/>
      <c r="Q1" s="136"/>
      <c r="R1" s="136"/>
    </row>
    <row r="2" spans="1:20" ht="18" customHeight="1" x14ac:dyDescent="0.15">
      <c r="A2" s="212" t="s">
        <v>89</v>
      </c>
      <c r="B2" s="212"/>
      <c r="C2" s="212"/>
      <c r="D2" s="212"/>
      <c r="E2" s="212"/>
      <c r="F2" s="212"/>
      <c r="G2" s="212"/>
      <c r="H2" s="212"/>
      <c r="I2" s="212"/>
      <c r="J2" s="212"/>
      <c r="K2" s="212"/>
      <c r="L2" s="212"/>
      <c r="M2" s="212"/>
      <c r="N2" s="212"/>
      <c r="O2" s="212"/>
      <c r="P2" s="212"/>
      <c r="Q2" s="212"/>
      <c r="R2" s="212"/>
    </row>
    <row r="3" spans="1:20" ht="7.5" customHeight="1" x14ac:dyDescent="0.15">
      <c r="A3" s="15"/>
      <c r="B3" s="15"/>
      <c r="C3" s="15"/>
      <c r="D3" s="15"/>
      <c r="E3" s="15"/>
      <c r="F3" s="15"/>
      <c r="G3" s="15"/>
      <c r="H3" s="15"/>
      <c r="I3" s="15"/>
      <c r="J3" s="15"/>
      <c r="K3" s="15"/>
      <c r="L3" s="15"/>
      <c r="M3" s="15"/>
      <c r="N3" s="15"/>
      <c r="O3" s="15"/>
      <c r="P3" s="15"/>
      <c r="Q3" s="15"/>
      <c r="R3" s="15"/>
    </row>
    <row r="4" spans="1:20" ht="18" customHeight="1" x14ac:dyDescent="0.15">
      <c r="A4" s="4" t="s">
        <v>150</v>
      </c>
      <c r="C4" s="228" t="s">
        <v>208</v>
      </c>
      <c r="D4" s="229"/>
      <c r="E4" s="109" t="s">
        <v>114</v>
      </c>
      <c r="F4" s="109"/>
      <c r="G4" s="109"/>
      <c r="H4" s="109"/>
      <c r="I4" s="109"/>
      <c r="J4" s="5"/>
      <c r="K4" s="15"/>
      <c r="L4" s="15"/>
      <c r="M4" s="40"/>
      <c r="N4" s="40"/>
      <c r="O4" s="40"/>
      <c r="P4" s="40"/>
      <c r="Q4" s="40"/>
      <c r="R4" s="40"/>
    </row>
    <row r="5" spans="1:20" ht="6" customHeight="1" x14ac:dyDescent="0.15">
      <c r="A5" s="15"/>
      <c r="B5" s="15"/>
      <c r="C5" s="109"/>
      <c r="D5" s="109"/>
      <c r="E5" s="109"/>
      <c r="F5" s="109"/>
      <c r="G5" s="109"/>
      <c r="H5" s="109"/>
      <c r="I5" s="109"/>
      <c r="J5" s="109"/>
      <c r="K5" s="15"/>
      <c r="L5" s="15"/>
      <c r="M5" s="15"/>
      <c r="N5" s="15"/>
      <c r="O5" s="15"/>
      <c r="P5" s="15"/>
      <c r="Q5" s="15"/>
      <c r="R5" s="15"/>
    </row>
    <row r="6" spans="1:20" ht="18" customHeight="1" x14ac:dyDescent="0.15">
      <c r="A6" s="4" t="s">
        <v>146</v>
      </c>
      <c r="B6" s="15"/>
      <c r="C6" s="109"/>
      <c r="D6" s="109"/>
      <c r="E6" s="109"/>
      <c r="F6" s="109"/>
      <c r="G6" s="109"/>
      <c r="H6" s="109"/>
      <c r="I6" s="109"/>
      <c r="J6" s="109"/>
      <c r="K6" s="15"/>
      <c r="L6" s="15"/>
      <c r="M6" s="15"/>
      <c r="N6" s="15"/>
      <c r="O6" s="15"/>
      <c r="P6" s="15"/>
      <c r="Q6" s="15"/>
      <c r="R6" s="15"/>
    </row>
    <row r="7" spans="1:20" ht="6" customHeight="1" x14ac:dyDescent="0.15">
      <c r="B7" s="15"/>
      <c r="C7" s="109"/>
      <c r="D7" s="109"/>
      <c r="E7" s="109"/>
      <c r="F7" s="109"/>
      <c r="G7" s="109"/>
      <c r="H7" s="109"/>
      <c r="I7" s="109"/>
      <c r="J7" s="109"/>
      <c r="K7" s="15"/>
      <c r="L7" s="15"/>
      <c r="M7" s="15"/>
      <c r="N7" s="15"/>
      <c r="O7" s="15"/>
      <c r="P7" s="15"/>
      <c r="Q7" s="15"/>
      <c r="R7" s="15"/>
    </row>
    <row r="8" spans="1:20" ht="18" customHeight="1" x14ac:dyDescent="0.15">
      <c r="B8" s="230" t="s">
        <v>79</v>
      </c>
      <c r="C8" s="232" t="s">
        <v>84</v>
      </c>
      <c r="D8" s="234" t="s">
        <v>68</v>
      </c>
      <c r="E8" s="236" t="s">
        <v>90</v>
      </c>
      <c r="F8" s="236"/>
      <c r="G8" s="236" t="s">
        <v>91</v>
      </c>
      <c r="H8" s="236"/>
      <c r="I8" s="236" t="s">
        <v>92</v>
      </c>
      <c r="J8" s="236"/>
      <c r="K8" s="183" t="s">
        <v>93</v>
      </c>
      <c r="L8" s="185"/>
      <c r="M8" s="183" t="s">
        <v>94</v>
      </c>
      <c r="N8" s="185"/>
      <c r="O8" s="183" t="s">
        <v>95</v>
      </c>
      <c r="P8" s="185"/>
      <c r="Q8" s="237" t="s">
        <v>62</v>
      </c>
      <c r="R8" s="239" t="s">
        <v>56</v>
      </c>
      <c r="T8" s="44"/>
    </row>
    <row r="9" spans="1:20" ht="18" customHeight="1" x14ac:dyDescent="0.15">
      <c r="B9" s="231"/>
      <c r="C9" s="233"/>
      <c r="D9" s="235"/>
      <c r="E9" s="45" t="s">
        <v>44</v>
      </c>
      <c r="F9" s="46" t="s">
        <v>43</v>
      </c>
      <c r="G9" s="47" t="s">
        <v>44</v>
      </c>
      <c r="H9" s="48" t="s">
        <v>43</v>
      </c>
      <c r="I9" s="45" t="s">
        <v>44</v>
      </c>
      <c r="J9" s="46" t="s">
        <v>43</v>
      </c>
      <c r="K9" s="47" t="s">
        <v>44</v>
      </c>
      <c r="L9" s="48" t="s">
        <v>43</v>
      </c>
      <c r="M9" s="45" t="s">
        <v>44</v>
      </c>
      <c r="N9" s="46" t="s">
        <v>43</v>
      </c>
      <c r="O9" s="47" t="s">
        <v>44</v>
      </c>
      <c r="P9" s="48" t="s">
        <v>43</v>
      </c>
      <c r="Q9" s="238"/>
      <c r="R9" s="240"/>
      <c r="T9" s="44"/>
    </row>
    <row r="10" spans="1:20" ht="18" customHeight="1" x14ac:dyDescent="0.15">
      <c r="A10" s="23"/>
      <c r="B10" s="102" t="s">
        <v>162</v>
      </c>
      <c r="C10" s="105">
        <v>475</v>
      </c>
      <c r="D10" s="309">
        <v>1858</v>
      </c>
      <c r="E10" s="110">
        <v>26</v>
      </c>
      <c r="F10" s="111">
        <v>22</v>
      </c>
      <c r="G10" s="112">
        <v>43</v>
      </c>
      <c r="H10" s="113">
        <v>37</v>
      </c>
      <c r="I10" s="110">
        <v>25</v>
      </c>
      <c r="J10" s="111">
        <v>22</v>
      </c>
      <c r="K10" s="52">
        <v>0</v>
      </c>
      <c r="L10" s="53">
        <v>0</v>
      </c>
      <c r="M10" s="50">
        <v>0</v>
      </c>
      <c r="N10" s="51">
        <v>0</v>
      </c>
      <c r="O10" s="52">
        <v>0</v>
      </c>
      <c r="P10" s="53">
        <v>0</v>
      </c>
      <c r="Q10" s="54">
        <f>E10+G10+I10+K10+M10+O10</f>
        <v>94</v>
      </c>
      <c r="R10" s="55">
        <f>Q10/D10</f>
        <v>5.0592034445640477E-2</v>
      </c>
    </row>
    <row r="11" spans="1:20" ht="18" customHeight="1" x14ac:dyDescent="0.15">
      <c r="A11" s="23"/>
      <c r="B11" s="56" t="s">
        <v>163</v>
      </c>
      <c r="C11" s="106">
        <v>649</v>
      </c>
      <c r="D11" s="310">
        <v>2562</v>
      </c>
      <c r="E11" s="114">
        <v>234</v>
      </c>
      <c r="F11" s="115">
        <v>214</v>
      </c>
      <c r="G11" s="116">
        <v>194</v>
      </c>
      <c r="H11" s="117">
        <v>175</v>
      </c>
      <c r="I11" s="114">
        <v>196</v>
      </c>
      <c r="J11" s="115">
        <v>163</v>
      </c>
      <c r="K11" s="59">
        <v>0</v>
      </c>
      <c r="L11" s="60">
        <v>0</v>
      </c>
      <c r="M11" s="57">
        <v>0</v>
      </c>
      <c r="N11" s="58">
        <v>0</v>
      </c>
      <c r="O11" s="59">
        <v>0</v>
      </c>
      <c r="P11" s="60">
        <v>0</v>
      </c>
      <c r="Q11" s="61">
        <f t="shared" ref="Q11:Q29" si="0">E11+G11+I11+K11+M11+O11</f>
        <v>624</v>
      </c>
      <c r="R11" s="62">
        <f t="shared" ref="R11:R29" si="1">Q11/D11</f>
        <v>0.24355971896955503</v>
      </c>
    </row>
    <row r="12" spans="1:20" ht="18" customHeight="1" x14ac:dyDescent="0.15">
      <c r="A12" s="23"/>
      <c r="B12" s="56" t="s">
        <v>164</v>
      </c>
      <c r="C12" s="106">
        <v>355</v>
      </c>
      <c r="D12" s="310">
        <v>1398</v>
      </c>
      <c r="E12" s="114">
        <v>264</v>
      </c>
      <c r="F12" s="115">
        <v>244</v>
      </c>
      <c r="G12" s="116">
        <v>239</v>
      </c>
      <c r="H12" s="117">
        <v>223</v>
      </c>
      <c r="I12" s="114">
        <v>206</v>
      </c>
      <c r="J12" s="115">
        <v>162</v>
      </c>
      <c r="K12" s="59">
        <v>0</v>
      </c>
      <c r="L12" s="60">
        <v>0</v>
      </c>
      <c r="M12" s="57">
        <v>0</v>
      </c>
      <c r="N12" s="58">
        <v>0</v>
      </c>
      <c r="O12" s="59">
        <v>0</v>
      </c>
      <c r="P12" s="60">
        <v>0</v>
      </c>
      <c r="Q12" s="61">
        <f t="shared" si="0"/>
        <v>709</v>
      </c>
      <c r="R12" s="62">
        <f t="shared" si="1"/>
        <v>0.50715307582260372</v>
      </c>
    </row>
    <row r="13" spans="1:20" ht="18" customHeight="1" x14ac:dyDescent="0.15">
      <c r="A13" s="23"/>
      <c r="B13" s="56" t="s">
        <v>165</v>
      </c>
      <c r="C13" s="106">
        <v>368</v>
      </c>
      <c r="D13" s="310">
        <v>1456</v>
      </c>
      <c r="E13" s="114">
        <v>55</v>
      </c>
      <c r="F13" s="115">
        <v>54</v>
      </c>
      <c r="G13" s="116">
        <v>30</v>
      </c>
      <c r="H13" s="117">
        <v>21</v>
      </c>
      <c r="I13" s="114">
        <v>23</v>
      </c>
      <c r="J13" s="115">
        <v>19</v>
      </c>
      <c r="K13" s="59">
        <v>0</v>
      </c>
      <c r="L13" s="60">
        <v>0</v>
      </c>
      <c r="M13" s="57">
        <v>0</v>
      </c>
      <c r="N13" s="58">
        <v>0</v>
      </c>
      <c r="O13" s="59">
        <v>0</v>
      </c>
      <c r="P13" s="60">
        <v>0</v>
      </c>
      <c r="Q13" s="61">
        <f t="shared" si="0"/>
        <v>108</v>
      </c>
      <c r="R13" s="62">
        <f t="shared" si="1"/>
        <v>7.4175824175824176E-2</v>
      </c>
    </row>
    <row r="14" spans="1:20" ht="18" customHeight="1" x14ac:dyDescent="0.15">
      <c r="A14" s="23"/>
      <c r="B14" s="56" t="s">
        <v>166</v>
      </c>
      <c r="C14" s="106">
        <v>462</v>
      </c>
      <c r="D14" s="310">
        <v>1804</v>
      </c>
      <c r="E14" s="114">
        <v>186</v>
      </c>
      <c r="F14" s="115">
        <v>178</v>
      </c>
      <c r="G14" s="116">
        <v>218</v>
      </c>
      <c r="H14" s="117">
        <v>208</v>
      </c>
      <c r="I14" s="114">
        <v>165</v>
      </c>
      <c r="J14" s="115">
        <v>153</v>
      </c>
      <c r="K14" s="59">
        <v>0</v>
      </c>
      <c r="L14" s="60">
        <v>0</v>
      </c>
      <c r="M14" s="57">
        <v>0</v>
      </c>
      <c r="N14" s="58">
        <v>0</v>
      </c>
      <c r="O14" s="59">
        <v>0</v>
      </c>
      <c r="P14" s="60">
        <v>0</v>
      </c>
      <c r="Q14" s="61">
        <f t="shared" si="0"/>
        <v>569</v>
      </c>
      <c r="R14" s="62">
        <f t="shared" si="1"/>
        <v>0.31541019955654104</v>
      </c>
    </row>
    <row r="15" spans="1:20" ht="18" customHeight="1" x14ac:dyDescent="0.15">
      <c r="A15" s="23"/>
      <c r="B15" s="56" t="s">
        <v>167</v>
      </c>
      <c r="C15" s="106">
        <v>456</v>
      </c>
      <c r="D15" s="310">
        <v>1800</v>
      </c>
      <c r="E15" s="114">
        <v>158</v>
      </c>
      <c r="F15" s="115">
        <v>148</v>
      </c>
      <c r="G15" s="116">
        <v>145</v>
      </c>
      <c r="H15" s="117">
        <v>134</v>
      </c>
      <c r="I15" s="114">
        <v>129</v>
      </c>
      <c r="J15" s="115">
        <v>109</v>
      </c>
      <c r="K15" s="59">
        <v>0</v>
      </c>
      <c r="L15" s="60">
        <v>0</v>
      </c>
      <c r="M15" s="57">
        <v>0</v>
      </c>
      <c r="N15" s="58">
        <v>0</v>
      </c>
      <c r="O15" s="59">
        <v>0</v>
      </c>
      <c r="P15" s="60">
        <v>0</v>
      </c>
      <c r="Q15" s="61">
        <f t="shared" si="0"/>
        <v>432</v>
      </c>
      <c r="R15" s="62">
        <f t="shared" si="1"/>
        <v>0.24</v>
      </c>
    </row>
    <row r="16" spans="1:20" ht="18" customHeight="1" x14ac:dyDescent="0.15">
      <c r="A16" s="23"/>
      <c r="B16" s="56"/>
      <c r="C16" s="42"/>
      <c r="D16" s="41"/>
      <c r="E16" s="57"/>
      <c r="F16" s="58"/>
      <c r="G16" s="59"/>
      <c r="H16" s="60"/>
      <c r="I16" s="57"/>
      <c r="J16" s="58"/>
      <c r="K16" s="59"/>
      <c r="L16" s="60"/>
      <c r="M16" s="57"/>
      <c r="N16" s="58"/>
      <c r="O16" s="59"/>
      <c r="P16" s="60"/>
      <c r="Q16" s="61">
        <f t="shared" si="0"/>
        <v>0</v>
      </c>
      <c r="R16" s="62" t="e">
        <f t="shared" si="1"/>
        <v>#DIV/0!</v>
      </c>
    </row>
    <row r="17" spans="1:18" ht="18" customHeight="1" x14ac:dyDescent="0.15">
      <c r="A17" s="23"/>
      <c r="B17" s="56"/>
      <c r="C17" s="42"/>
      <c r="D17" s="41"/>
      <c r="E17" s="57"/>
      <c r="F17" s="58"/>
      <c r="G17" s="59"/>
      <c r="H17" s="60"/>
      <c r="I17" s="57"/>
      <c r="J17" s="58"/>
      <c r="K17" s="59"/>
      <c r="L17" s="60"/>
      <c r="M17" s="57"/>
      <c r="N17" s="58"/>
      <c r="O17" s="59"/>
      <c r="P17" s="60"/>
      <c r="Q17" s="61">
        <f t="shared" si="0"/>
        <v>0</v>
      </c>
      <c r="R17" s="62" t="e">
        <f t="shared" si="1"/>
        <v>#DIV/0!</v>
      </c>
    </row>
    <row r="18" spans="1:18" ht="18" customHeight="1" x14ac:dyDescent="0.15">
      <c r="A18" s="23"/>
      <c r="B18" s="56"/>
      <c r="C18" s="42"/>
      <c r="D18" s="41"/>
      <c r="E18" s="57"/>
      <c r="F18" s="58"/>
      <c r="G18" s="59"/>
      <c r="H18" s="60"/>
      <c r="I18" s="57"/>
      <c r="J18" s="58"/>
      <c r="K18" s="59"/>
      <c r="L18" s="60"/>
      <c r="M18" s="57"/>
      <c r="N18" s="58"/>
      <c r="O18" s="59"/>
      <c r="P18" s="60"/>
      <c r="Q18" s="61">
        <f>E18+G18+I18+K18+M18+O18</f>
        <v>0</v>
      </c>
      <c r="R18" s="62" t="e">
        <f t="shared" si="1"/>
        <v>#DIV/0!</v>
      </c>
    </row>
    <row r="19" spans="1:18" ht="18" customHeight="1" x14ac:dyDescent="0.15">
      <c r="A19" s="23"/>
      <c r="B19" s="56"/>
      <c r="C19" s="42"/>
      <c r="D19" s="41"/>
      <c r="E19" s="57"/>
      <c r="F19" s="58"/>
      <c r="G19" s="59"/>
      <c r="H19" s="60"/>
      <c r="I19" s="57"/>
      <c r="J19" s="58"/>
      <c r="K19" s="59"/>
      <c r="L19" s="60"/>
      <c r="M19" s="57"/>
      <c r="N19" s="58"/>
      <c r="O19" s="59"/>
      <c r="P19" s="60"/>
      <c r="Q19" s="61">
        <f t="shared" si="0"/>
        <v>0</v>
      </c>
      <c r="R19" s="62" t="e">
        <f t="shared" si="1"/>
        <v>#DIV/0!</v>
      </c>
    </row>
    <row r="20" spans="1:18" ht="18" customHeight="1" x14ac:dyDescent="0.15">
      <c r="A20" s="23"/>
      <c r="B20" s="56"/>
      <c r="C20" s="42"/>
      <c r="D20" s="41"/>
      <c r="E20" s="57"/>
      <c r="F20" s="58"/>
      <c r="G20" s="59"/>
      <c r="H20" s="60"/>
      <c r="I20" s="57"/>
      <c r="J20" s="58"/>
      <c r="K20" s="59"/>
      <c r="L20" s="60"/>
      <c r="M20" s="57"/>
      <c r="N20" s="58"/>
      <c r="O20" s="59"/>
      <c r="P20" s="60"/>
      <c r="Q20" s="61">
        <f t="shared" si="0"/>
        <v>0</v>
      </c>
      <c r="R20" s="62" t="e">
        <f t="shared" si="1"/>
        <v>#DIV/0!</v>
      </c>
    </row>
    <row r="21" spans="1:18" ht="18" customHeight="1" x14ac:dyDescent="0.15">
      <c r="A21" s="23"/>
      <c r="B21" s="56"/>
      <c r="C21" s="42"/>
      <c r="D21" s="41"/>
      <c r="E21" s="57"/>
      <c r="F21" s="58"/>
      <c r="G21" s="59"/>
      <c r="H21" s="60"/>
      <c r="I21" s="57"/>
      <c r="J21" s="58"/>
      <c r="K21" s="59"/>
      <c r="L21" s="60"/>
      <c r="M21" s="57"/>
      <c r="N21" s="58"/>
      <c r="O21" s="59"/>
      <c r="P21" s="60"/>
      <c r="Q21" s="61">
        <f t="shared" si="0"/>
        <v>0</v>
      </c>
      <c r="R21" s="62" t="e">
        <f t="shared" si="1"/>
        <v>#DIV/0!</v>
      </c>
    </row>
    <row r="22" spans="1:18" ht="18" customHeight="1" x14ac:dyDescent="0.15">
      <c r="A22" s="23"/>
      <c r="B22" s="56"/>
      <c r="C22" s="42"/>
      <c r="D22" s="41"/>
      <c r="E22" s="57"/>
      <c r="F22" s="58"/>
      <c r="G22" s="59"/>
      <c r="H22" s="60"/>
      <c r="I22" s="57"/>
      <c r="J22" s="58"/>
      <c r="K22" s="59"/>
      <c r="L22" s="60"/>
      <c r="M22" s="57"/>
      <c r="N22" s="58"/>
      <c r="O22" s="59"/>
      <c r="P22" s="60"/>
      <c r="Q22" s="61">
        <f t="shared" si="0"/>
        <v>0</v>
      </c>
      <c r="R22" s="62" t="e">
        <f t="shared" si="1"/>
        <v>#DIV/0!</v>
      </c>
    </row>
    <row r="23" spans="1:18" ht="18" customHeight="1" x14ac:dyDescent="0.15">
      <c r="A23" s="23"/>
      <c r="B23" s="56"/>
      <c r="C23" s="42"/>
      <c r="D23" s="41"/>
      <c r="E23" s="57"/>
      <c r="F23" s="58"/>
      <c r="G23" s="59"/>
      <c r="H23" s="60"/>
      <c r="I23" s="57"/>
      <c r="J23" s="58"/>
      <c r="K23" s="59"/>
      <c r="L23" s="60"/>
      <c r="M23" s="57"/>
      <c r="N23" s="58"/>
      <c r="O23" s="59"/>
      <c r="P23" s="60"/>
      <c r="Q23" s="61">
        <f t="shared" si="0"/>
        <v>0</v>
      </c>
      <c r="R23" s="62" t="e">
        <f t="shared" si="1"/>
        <v>#DIV/0!</v>
      </c>
    </row>
    <row r="24" spans="1:18" ht="18" customHeight="1" x14ac:dyDescent="0.15">
      <c r="A24" s="23"/>
      <c r="B24" s="56"/>
      <c r="C24" s="42"/>
      <c r="D24" s="41"/>
      <c r="E24" s="57"/>
      <c r="F24" s="58"/>
      <c r="G24" s="59"/>
      <c r="H24" s="60"/>
      <c r="I24" s="57"/>
      <c r="J24" s="58"/>
      <c r="K24" s="59"/>
      <c r="L24" s="60"/>
      <c r="M24" s="57"/>
      <c r="N24" s="58"/>
      <c r="O24" s="59"/>
      <c r="P24" s="60"/>
      <c r="Q24" s="61">
        <f t="shared" si="0"/>
        <v>0</v>
      </c>
      <c r="R24" s="62" t="e">
        <f t="shared" si="1"/>
        <v>#DIV/0!</v>
      </c>
    </row>
    <row r="25" spans="1:18" ht="18" customHeight="1" x14ac:dyDescent="0.15">
      <c r="A25" s="23"/>
      <c r="B25" s="56"/>
      <c r="C25" s="42"/>
      <c r="D25" s="41"/>
      <c r="E25" s="57"/>
      <c r="F25" s="58"/>
      <c r="G25" s="59"/>
      <c r="H25" s="60"/>
      <c r="I25" s="57"/>
      <c r="J25" s="58"/>
      <c r="K25" s="59"/>
      <c r="L25" s="60"/>
      <c r="M25" s="57"/>
      <c r="N25" s="58"/>
      <c r="O25" s="59"/>
      <c r="P25" s="60"/>
      <c r="Q25" s="61">
        <f t="shared" si="0"/>
        <v>0</v>
      </c>
      <c r="R25" s="62" t="e">
        <f t="shared" si="1"/>
        <v>#DIV/0!</v>
      </c>
    </row>
    <row r="26" spans="1:18" ht="18" customHeight="1" x14ac:dyDescent="0.15">
      <c r="A26" s="23"/>
      <c r="B26" s="56"/>
      <c r="C26" s="42"/>
      <c r="D26" s="41"/>
      <c r="E26" s="57"/>
      <c r="F26" s="58"/>
      <c r="G26" s="59"/>
      <c r="H26" s="60"/>
      <c r="I26" s="57"/>
      <c r="J26" s="58"/>
      <c r="K26" s="59"/>
      <c r="L26" s="60"/>
      <c r="M26" s="57"/>
      <c r="N26" s="58"/>
      <c r="O26" s="59"/>
      <c r="P26" s="60"/>
      <c r="Q26" s="61">
        <f t="shared" si="0"/>
        <v>0</v>
      </c>
      <c r="R26" s="62" t="e">
        <f t="shared" si="1"/>
        <v>#DIV/0!</v>
      </c>
    </row>
    <row r="27" spans="1:18" ht="18" customHeight="1" x14ac:dyDescent="0.15">
      <c r="A27" s="23"/>
      <c r="B27" s="56"/>
      <c r="C27" s="43"/>
      <c r="D27" s="41"/>
      <c r="E27" s="57"/>
      <c r="F27" s="58"/>
      <c r="G27" s="59"/>
      <c r="H27" s="60"/>
      <c r="I27" s="57"/>
      <c r="J27" s="58"/>
      <c r="K27" s="59"/>
      <c r="L27" s="60"/>
      <c r="M27" s="57"/>
      <c r="N27" s="58"/>
      <c r="O27" s="59"/>
      <c r="P27" s="60"/>
      <c r="Q27" s="61">
        <f t="shared" si="0"/>
        <v>0</v>
      </c>
      <c r="R27" s="62" t="e">
        <f t="shared" si="1"/>
        <v>#DIV/0!</v>
      </c>
    </row>
    <row r="28" spans="1:18" ht="18" customHeight="1" x14ac:dyDescent="0.15">
      <c r="A28" s="23"/>
      <c r="B28" s="56"/>
      <c r="C28" s="43"/>
      <c r="D28" s="41"/>
      <c r="E28" s="57"/>
      <c r="F28" s="58"/>
      <c r="G28" s="59"/>
      <c r="H28" s="60"/>
      <c r="I28" s="57"/>
      <c r="J28" s="58"/>
      <c r="K28" s="59"/>
      <c r="L28" s="60"/>
      <c r="M28" s="57"/>
      <c r="N28" s="58"/>
      <c r="O28" s="59"/>
      <c r="P28" s="60"/>
      <c r="Q28" s="61">
        <f t="shared" si="0"/>
        <v>0</v>
      </c>
      <c r="R28" s="62" t="e">
        <f t="shared" si="1"/>
        <v>#DIV/0!</v>
      </c>
    </row>
    <row r="29" spans="1:18" ht="18" customHeight="1" thickBot="1" x14ac:dyDescent="0.2">
      <c r="A29" s="23"/>
      <c r="B29" s="63"/>
      <c r="C29" s="18"/>
      <c r="D29" s="49"/>
      <c r="E29" s="50"/>
      <c r="F29" s="51"/>
      <c r="G29" s="52"/>
      <c r="H29" s="53"/>
      <c r="I29" s="50"/>
      <c r="J29" s="51"/>
      <c r="K29" s="52"/>
      <c r="L29" s="53"/>
      <c r="M29" s="50"/>
      <c r="N29" s="51"/>
      <c r="O29" s="52"/>
      <c r="P29" s="53"/>
      <c r="Q29" s="64">
        <f t="shared" si="0"/>
        <v>0</v>
      </c>
      <c r="R29" s="55" t="e">
        <f t="shared" si="1"/>
        <v>#DIV/0!</v>
      </c>
    </row>
    <row r="30" spans="1:18" ht="18" customHeight="1" thickTop="1" x14ac:dyDescent="0.15">
      <c r="B30" s="65" t="s">
        <v>57</v>
      </c>
      <c r="C30" s="312">
        <f t="shared" ref="C30:Q30" si="2">SUM(C10:C29)</f>
        <v>2765</v>
      </c>
      <c r="D30" s="311">
        <f t="shared" si="2"/>
        <v>10878</v>
      </c>
      <c r="E30" s="66">
        <f t="shared" si="2"/>
        <v>923</v>
      </c>
      <c r="F30" s="67">
        <f t="shared" si="2"/>
        <v>860</v>
      </c>
      <c r="G30" s="68">
        <f t="shared" si="2"/>
        <v>869</v>
      </c>
      <c r="H30" s="69">
        <f t="shared" si="2"/>
        <v>798</v>
      </c>
      <c r="I30" s="66">
        <f t="shared" si="2"/>
        <v>744</v>
      </c>
      <c r="J30" s="67">
        <f t="shared" si="2"/>
        <v>628</v>
      </c>
      <c r="K30" s="68">
        <f t="shared" si="2"/>
        <v>0</v>
      </c>
      <c r="L30" s="69">
        <f t="shared" si="2"/>
        <v>0</v>
      </c>
      <c r="M30" s="66">
        <f t="shared" si="2"/>
        <v>0</v>
      </c>
      <c r="N30" s="67">
        <f t="shared" si="2"/>
        <v>0</v>
      </c>
      <c r="O30" s="68">
        <f t="shared" si="2"/>
        <v>0</v>
      </c>
      <c r="P30" s="69">
        <f t="shared" si="2"/>
        <v>0</v>
      </c>
      <c r="Q30" s="70">
        <f t="shared" si="2"/>
        <v>2536</v>
      </c>
      <c r="R30" s="71">
        <f>Q30/D30</f>
        <v>0.23313109027394741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25" right="0.25" top="0.75" bottom="0.75" header="0.3" footer="0.3"/>
  <pageSetup paperSize="9" scale="75"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1"/>
  <sheetViews>
    <sheetView showZeros="0" view="pageBreakPreview" zoomScale="130" zoomScaleNormal="100" zoomScaleSheetLayoutView="130" workbookViewId="0">
      <selection activeCell="B1" sqref="B1"/>
    </sheetView>
  </sheetViews>
  <sheetFormatPr defaultColWidth="11.375" defaultRowHeight="18.75" customHeight="1" x14ac:dyDescent="0.15"/>
  <cols>
    <col min="1" max="1" width="2.75" style="85" customWidth="1"/>
    <col min="2" max="2" width="16.625" style="72" customWidth="1"/>
    <col min="3" max="3" width="8.875" style="72" customWidth="1"/>
    <col min="4" max="4" width="2.25" style="72" customWidth="1"/>
    <col min="5" max="5" width="16.625" style="72" customWidth="1"/>
    <col min="6" max="6" width="8.875" style="72" customWidth="1"/>
    <col min="7" max="7" width="2.25" style="72" customWidth="1"/>
    <col min="8" max="8" width="16.625" style="72" customWidth="1"/>
    <col min="9" max="9" width="8.875" style="72" customWidth="1"/>
    <col min="10" max="10" width="2.25" style="72" customWidth="1"/>
    <col min="11" max="16384" width="11.375" style="72"/>
  </cols>
  <sheetData>
    <row r="1" spans="1:11" ht="18.75" customHeight="1" x14ac:dyDescent="0.15">
      <c r="A1" s="85" t="s">
        <v>115</v>
      </c>
      <c r="J1" s="84" t="s">
        <v>116</v>
      </c>
    </row>
    <row r="2" spans="1:11" ht="18.75" customHeight="1" x14ac:dyDescent="0.15">
      <c r="A2" s="212" t="s">
        <v>64</v>
      </c>
      <c r="B2" s="212"/>
      <c r="C2" s="212"/>
      <c r="D2" s="212"/>
      <c r="E2" s="212"/>
      <c r="F2" s="212"/>
      <c r="G2" s="212"/>
      <c r="H2" s="212"/>
      <c r="I2" s="212"/>
      <c r="J2" s="212"/>
    </row>
    <row r="3" spans="1:11" ht="7.5" customHeight="1" x14ac:dyDescent="0.15">
      <c r="B3" s="75"/>
      <c r="C3" s="75"/>
      <c r="D3" s="75"/>
      <c r="E3" s="75"/>
      <c r="F3" s="75"/>
      <c r="G3" s="75"/>
      <c r="H3" s="75"/>
      <c r="I3" s="75"/>
      <c r="J3" s="75"/>
    </row>
    <row r="4" spans="1:11" ht="18.75" customHeight="1" x14ac:dyDescent="0.15">
      <c r="A4" s="72" t="s">
        <v>6</v>
      </c>
      <c r="B4" s="72" t="s">
        <v>72</v>
      </c>
      <c r="I4" s="75"/>
      <c r="J4" s="75"/>
    </row>
    <row r="5" spans="1:11" ht="18.75" customHeight="1" x14ac:dyDescent="0.15">
      <c r="A5" s="72"/>
      <c r="B5" s="286" t="s">
        <v>177</v>
      </c>
      <c r="C5" s="287"/>
      <c r="D5" s="287"/>
      <c r="E5" s="287"/>
      <c r="F5" s="287"/>
      <c r="G5" s="287"/>
      <c r="H5" s="287"/>
      <c r="I5" s="287"/>
      <c r="J5" s="288"/>
      <c r="K5" s="72" t="str">
        <f>IF(B5="","入力してください","")</f>
        <v/>
      </c>
    </row>
    <row r="6" spans="1:11" ht="7.5" customHeight="1" x14ac:dyDescent="0.15">
      <c r="B6" s="75"/>
      <c r="C6" s="75"/>
      <c r="D6" s="75"/>
      <c r="E6" s="75"/>
      <c r="F6" s="75"/>
      <c r="G6" s="75"/>
      <c r="H6" s="75"/>
      <c r="I6" s="75"/>
      <c r="J6" s="75"/>
    </row>
    <row r="7" spans="1:11" ht="18.75" customHeight="1" x14ac:dyDescent="0.15">
      <c r="A7" s="72" t="s">
        <v>9</v>
      </c>
      <c r="B7" s="72" t="s">
        <v>39</v>
      </c>
      <c r="K7" s="73"/>
    </row>
    <row r="8" spans="1:11" ht="18.75" customHeight="1" x14ac:dyDescent="0.15">
      <c r="A8" s="76"/>
      <c r="B8" s="241" t="s">
        <v>182</v>
      </c>
      <c r="C8" s="268"/>
      <c r="D8" s="268"/>
      <c r="E8" s="268"/>
      <c r="F8" s="268"/>
      <c r="G8" s="268"/>
      <c r="H8" s="268"/>
      <c r="I8" s="269"/>
      <c r="J8" s="270"/>
      <c r="K8" s="72" t="str">
        <f>IF(B8="","入力してください","")</f>
        <v/>
      </c>
    </row>
    <row r="9" spans="1:11" ht="18.75" customHeight="1" x14ac:dyDescent="0.15">
      <c r="A9" s="76"/>
      <c r="B9" s="271"/>
      <c r="C9" s="272"/>
      <c r="D9" s="272"/>
      <c r="E9" s="272"/>
      <c r="F9" s="272"/>
      <c r="G9" s="272"/>
      <c r="H9" s="272"/>
      <c r="I9" s="272"/>
      <c r="J9" s="273"/>
    </row>
    <row r="10" spans="1:11" ht="18.75" customHeight="1" x14ac:dyDescent="0.15">
      <c r="A10" s="76"/>
      <c r="B10" s="271"/>
      <c r="C10" s="272"/>
      <c r="D10" s="272"/>
      <c r="E10" s="272"/>
      <c r="F10" s="272"/>
      <c r="G10" s="272"/>
      <c r="H10" s="272"/>
      <c r="I10" s="272"/>
      <c r="J10" s="273"/>
    </row>
    <row r="11" spans="1:11" ht="18.75" customHeight="1" x14ac:dyDescent="0.15">
      <c r="A11" s="76"/>
      <c r="B11" s="271"/>
      <c r="C11" s="272"/>
      <c r="D11" s="272"/>
      <c r="E11" s="272"/>
      <c r="F11" s="272"/>
      <c r="G11" s="272"/>
      <c r="H11" s="272"/>
      <c r="I11" s="272"/>
      <c r="J11" s="273"/>
    </row>
    <row r="12" spans="1:11" ht="94.5" customHeight="1" x14ac:dyDescent="0.15">
      <c r="A12" s="76"/>
      <c r="B12" s="274"/>
      <c r="C12" s="275"/>
      <c r="D12" s="275"/>
      <c r="E12" s="275"/>
      <c r="F12" s="275"/>
      <c r="G12" s="275"/>
      <c r="H12" s="275"/>
      <c r="I12" s="275"/>
      <c r="J12" s="276"/>
    </row>
    <row r="13" spans="1:11" ht="7.5" customHeight="1" x14ac:dyDescent="0.15">
      <c r="A13" s="76"/>
      <c r="B13" s="76"/>
      <c r="C13" s="76"/>
      <c r="D13" s="76"/>
      <c r="E13" s="76"/>
      <c r="F13" s="76"/>
      <c r="G13" s="76"/>
      <c r="H13" s="76"/>
      <c r="I13" s="76"/>
      <c r="J13" s="76"/>
    </row>
    <row r="14" spans="1:11" ht="18.75" customHeight="1" x14ac:dyDescent="0.15">
      <c r="A14" s="98" t="s">
        <v>10</v>
      </c>
      <c r="B14" s="98" t="s">
        <v>15</v>
      </c>
      <c r="C14" s="98"/>
      <c r="D14" s="98"/>
      <c r="E14" s="98"/>
      <c r="F14" s="98"/>
      <c r="G14" s="98"/>
      <c r="H14" s="98"/>
      <c r="I14" s="98"/>
      <c r="J14" s="98"/>
    </row>
    <row r="15" spans="1:11" ht="18.75" customHeight="1" x14ac:dyDescent="0.15">
      <c r="A15" s="76"/>
      <c r="B15" s="241" t="s">
        <v>189</v>
      </c>
      <c r="C15" s="268"/>
      <c r="D15" s="268"/>
      <c r="E15" s="268"/>
      <c r="F15" s="268"/>
      <c r="G15" s="268"/>
      <c r="H15" s="268"/>
      <c r="I15" s="269"/>
      <c r="J15" s="270"/>
      <c r="K15" s="72" t="str">
        <f>IF(B15="","入力してください","")</f>
        <v/>
      </c>
    </row>
    <row r="16" spans="1:11" ht="18.75" customHeight="1" x14ac:dyDescent="0.15">
      <c r="A16" s="76"/>
      <c r="B16" s="271"/>
      <c r="C16" s="272"/>
      <c r="D16" s="272"/>
      <c r="E16" s="272"/>
      <c r="F16" s="272"/>
      <c r="G16" s="272"/>
      <c r="H16" s="272"/>
      <c r="I16" s="272"/>
      <c r="J16" s="273"/>
    </row>
    <row r="17" spans="1:11" ht="18.75" customHeight="1" x14ac:dyDescent="0.15">
      <c r="A17" s="76"/>
      <c r="B17" s="271"/>
      <c r="C17" s="272"/>
      <c r="D17" s="272"/>
      <c r="E17" s="272"/>
      <c r="F17" s="272"/>
      <c r="G17" s="272"/>
      <c r="H17" s="272"/>
      <c r="I17" s="272"/>
      <c r="J17" s="273"/>
    </row>
    <row r="18" spans="1:11" ht="18.75" customHeight="1" x14ac:dyDescent="0.15">
      <c r="A18" s="76"/>
      <c r="B18" s="271"/>
      <c r="C18" s="272"/>
      <c r="D18" s="272"/>
      <c r="E18" s="272"/>
      <c r="F18" s="272"/>
      <c r="G18" s="272"/>
      <c r="H18" s="272"/>
      <c r="I18" s="272"/>
      <c r="J18" s="273"/>
    </row>
    <row r="19" spans="1:11" ht="18.75" customHeight="1" x14ac:dyDescent="0.15">
      <c r="A19" s="76"/>
      <c r="B19" s="271"/>
      <c r="C19" s="272"/>
      <c r="D19" s="272"/>
      <c r="E19" s="272"/>
      <c r="F19" s="272"/>
      <c r="G19" s="272"/>
      <c r="H19" s="272"/>
      <c r="I19" s="272"/>
      <c r="J19" s="273"/>
    </row>
    <row r="20" spans="1:11" ht="18.75" customHeight="1" x14ac:dyDescent="0.15">
      <c r="A20" s="76"/>
      <c r="B20" s="271"/>
      <c r="C20" s="272"/>
      <c r="D20" s="272"/>
      <c r="E20" s="272"/>
      <c r="F20" s="272"/>
      <c r="G20" s="272"/>
      <c r="H20" s="272"/>
      <c r="I20" s="272"/>
      <c r="J20" s="273"/>
    </row>
    <row r="21" spans="1:11" ht="18.75" customHeight="1" x14ac:dyDescent="0.15">
      <c r="A21" s="76"/>
      <c r="B21" s="271"/>
      <c r="C21" s="272"/>
      <c r="D21" s="272"/>
      <c r="E21" s="272"/>
      <c r="F21" s="272"/>
      <c r="G21" s="272"/>
      <c r="H21" s="272"/>
      <c r="I21" s="272"/>
      <c r="J21" s="273"/>
    </row>
    <row r="22" spans="1:11" ht="18.75" customHeight="1" x14ac:dyDescent="0.15">
      <c r="A22" s="76"/>
      <c r="B22" s="271"/>
      <c r="C22" s="272"/>
      <c r="D22" s="272"/>
      <c r="E22" s="272"/>
      <c r="F22" s="272"/>
      <c r="G22" s="272"/>
      <c r="H22" s="272"/>
      <c r="I22" s="272"/>
      <c r="J22" s="273"/>
    </row>
    <row r="23" spans="1:11" ht="18.75" customHeight="1" x14ac:dyDescent="0.15">
      <c r="A23" s="76"/>
      <c r="B23" s="271"/>
      <c r="C23" s="272"/>
      <c r="D23" s="272"/>
      <c r="E23" s="272"/>
      <c r="F23" s="272"/>
      <c r="G23" s="272"/>
      <c r="H23" s="272"/>
      <c r="I23" s="272"/>
      <c r="J23" s="273"/>
    </row>
    <row r="24" spans="1:11" ht="18.75" customHeight="1" x14ac:dyDescent="0.15">
      <c r="A24" s="76"/>
      <c r="B24" s="271"/>
      <c r="C24" s="272"/>
      <c r="D24" s="272"/>
      <c r="E24" s="272"/>
      <c r="F24" s="272"/>
      <c r="G24" s="272"/>
      <c r="H24" s="272"/>
      <c r="I24" s="272"/>
      <c r="J24" s="273"/>
    </row>
    <row r="25" spans="1:11" ht="382.5" customHeight="1" x14ac:dyDescent="0.15">
      <c r="A25" s="76"/>
      <c r="B25" s="274"/>
      <c r="C25" s="275"/>
      <c r="D25" s="275"/>
      <c r="E25" s="275"/>
      <c r="F25" s="275"/>
      <c r="G25" s="275"/>
      <c r="H25" s="275"/>
      <c r="I25" s="275"/>
      <c r="J25" s="276"/>
    </row>
    <row r="26" spans="1:11" ht="7.5" customHeight="1" x14ac:dyDescent="0.15">
      <c r="A26" s="90"/>
      <c r="B26" s="90" t="s">
        <v>188</v>
      </c>
      <c r="C26" s="90"/>
      <c r="D26" s="90"/>
      <c r="E26" s="90"/>
      <c r="F26" s="90"/>
      <c r="G26" s="90"/>
      <c r="H26" s="90"/>
      <c r="I26" s="90"/>
      <c r="J26" s="90"/>
    </row>
    <row r="27" spans="1:11" ht="18.75" customHeight="1" x14ac:dyDescent="0.15">
      <c r="A27" s="72" t="s">
        <v>13</v>
      </c>
      <c r="B27" s="72" t="s">
        <v>26</v>
      </c>
    </row>
    <row r="28" spans="1:11" s="75" customFormat="1" ht="18.75" customHeight="1" x14ac:dyDescent="0.15">
      <c r="B28" s="77" t="s">
        <v>117</v>
      </c>
      <c r="C28" s="86">
        <f>'様式３　履修者等数の実績'!R30</f>
        <v>0.23313109027394741</v>
      </c>
      <c r="D28" s="78"/>
      <c r="E28" s="78" t="s">
        <v>118</v>
      </c>
      <c r="F28" s="86">
        <v>0.38</v>
      </c>
      <c r="G28" s="78"/>
      <c r="H28" s="78" t="s">
        <v>119</v>
      </c>
      <c r="I28" s="87">
        <v>0.4</v>
      </c>
      <c r="J28" s="79"/>
      <c r="K28" s="72"/>
    </row>
    <row r="29" spans="1:11" s="75" customFormat="1" ht="18.75" customHeight="1" x14ac:dyDescent="0.15">
      <c r="B29" s="80" t="s">
        <v>120</v>
      </c>
      <c r="C29" s="88">
        <v>0.6</v>
      </c>
      <c r="D29" s="81"/>
      <c r="E29" s="81" t="s">
        <v>121</v>
      </c>
      <c r="F29" s="88">
        <v>0.8</v>
      </c>
      <c r="G29" s="81"/>
      <c r="H29" s="81" t="s">
        <v>122</v>
      </c>
      <c r="I29" s="89">
        <f>'様式３　履修者等数の実績'!D30</f>
        <v>10878</v>
      </c>
      <c r="J29" s="82"/>
      <c r="K29" s="73"/>
    </row>
    <row r="30" spans="1:11" ht="18.75" customHeight="1" x14ac:dyDescent="0.15">
      <c r="A30" s="72"/>
      <c r="B30" s="200" t="s">
        <v>123</v>
      </c>
      <c r="C30" s="201"/>
      <c r="D30" s="201"/>
      <c r="E30" s="201"/>
      <c r="F30" s="201"/>
      <c r="G30" s="201"/>
      <c r="H30" s="201"/>
      <c r="I30" s="201"/>
      <c r="J30" s="202"/>
      <c r="K30" s="73"/>
    </row>
    <row r="31" spans="1:11" ht="18.75" customHeight="1" x14ac:dyDescent="0.15">
      <c r="A31" s="72"/>
      <c r="B31" s="277" t="s">
        <v>190</v>
      </c>
      <c r="C31" s="278"/>
      <c r="D31" s="278"/>
      <c r="E31" s="278"/>
      <c r="F31" s="278"/>
      <c r="G31" s="278"/>
      <c r="H31" s="278"/>
      <c r="I31" s="278"/>
      <c r="J31" s="279"/>
      <c r="K31" s="73" t="str">
        <f>IF(B31="","入力してください","")</f>
        <v/>
      </c>
    </row>
    <row r="32" spans="1:11" ht="18.75" customHeight="1" x14ac:dyDescent="0.15">
      <c r="A32" s="72"/>
      <c r="B32" s="280"/>
      <c r="C32" s="281"/>
      <c r="D32" s="281"/>
      <c r="E32" s="281"/>
      <c r="F32" s="281"/>
      <c r="G32" s="281"/>
      <c r="H32" s="281"/>
      <c r="I32" s="281"/>
      <c r="J32" s="282"/>
      <c r="K32" s="73"/>
    </row>
    <row r="33" spans="1:11" ht="18.75" customHeight="1" x14ac:dyDescent="0.15">
      <c r="A33" s="72"/>
      <c r="B33" s="280"/>
      <c r="C33" s="281"/>
      <c r="D33" s="281"/>
      <c r="E33" s="281"/>
      <c r="F33" s="281"/>
      <c r="G33" s="281"/>
      <c r="H33" s="281"/>
      <c r="I33" s="281"/>
      <c r="J33" s="282"/>
      <c r="K33" s="73"/>
    </row>
    <row r="34" spans="1:11" ht="18.75" customHeight="1" x14ac:dyDescent="0.15">
      <c r="A34" s="72"/>
      <c r="B34" s="280"/>
      <c r="C34" s="281"/>
      <c r="D34" s="281"/>
      <c r="E34" s="281"/>
      <c r="F34" s="281"/>
      <c r="G34" s="281"/>
      <c r="H34" s="281"/>
      <c r="I34" s="281"/>
      <c r="J34" s="282"/>
      <c r="K34" s="73"/>
    </row>
    <row r="35" spans="1:11" ht="18.75" customHeight="1" x14ac:dyDescent="0.15">
      <c r="A35" s="72"/>
      <c r="B35" s="280"/>
      <c r="C35" s="281"/>
      <c r="D35" s="281"/>
      <c r="E35" s="281"/>
      <c r="F35" s="281"/>
      <c r="G35" s="281"/>
      <c r="H35" s="281"/>
      <c r="I35" s="281"/>
      <c r="J35" s="282"/>
      <c r="K35" s="73"/>
    </row>
    <row r="36" spans="1:11" ht="18.75" customHeight="1" x14ac:dyDescent="0.15">
      <c r="A36" s="72"/>
      <c r="B36" s="280"/>
      <c r="C36" s="281"/>
      <c r="D36" s="281"/>
      <c r="E36" s="281"/>
      <c r="F36" s="281"/>
      <c r="G36" s="281"/>
      <c r="H36" s="281"/>
      <c r="I36" s="281"/>
      <c r="J36" s="282"/>
      <c r="K36" s="73"/>
    </row>
    <row r="37" spans="1:11" ht="18.75" customHeight="1" x14ac:dyDescent="0.15">
      <c r="A37" s="72"/>
      <c r="B37" s="280"/>
      <c r="C37" s="281"/>
      <c r="D37" s="281"/>
      <c r="E37" s="281"/>
      <c r="F37" s="281"/>
      <c r="G37" s="281"/>
      <c r="H37" s="281"/>
      <c r="I37" s="281"/>
      <c r="J37" s="282"/>
      <c r="K37" s="73"/>
    </row>
    <row r="38" spans="1:11" ht="18.75" customHeight="1" x14ac:dyDescent="0.15">
      <c r="A38" s="72"/>
      <c r="B38" s="280"/>
      <c r="C38" s="281"/>
      <c r="D38" s="281"/>
      <c r="E38" s="281"/>
      <c r="F38" s="281"/>
      <c r="G38" s="281"/>
      <c r="H38" s="281"/>
      <c r="I38" s="281"/>
      <c r="J38" s="282"/>
      <c r="K38" s="73"/>
    </row>
    <row r="39" spans="1:11" ht="18.75" customHeight="1" x14ac:dyDescent="0.15">
      <c r="A39" s="72"/>
      <c r="B39" s="280"/>
      <c r="C39" s="281"/>
      <c r="D39" s="281"/>
      <c r="E39" s="281"/>
      <c r="F39" s="281"/>
      <c r="G39" s="281"/>
      <c r="H39" s="281"/>
      <c r="I39" s="281"/>
      <c r="J39" s="282"/>
      <c r="K39" s="73"/>
    </row>
    <row r="40" spans="1:11" ht="18.75" customHeight="1" x14ac:dyDescent="0.15">
      <c r="A40" s="72"/>
      <c r="B40" s="280"/>
      <c r="C40" s="281"/>
      <c r="D40" s="281"/>
      <c r="E40" s="281"/>
      <c r="F40" s="281"/>
      <c r="G40" s="281"/>
      <c r="H40" s="281"/>
      <c r="I40" s="281"/>
      <c r="J40" s="282"/>
      <c r="K40" s="73"/>
    </row>
    <row r="41" spans="1:11" ht="18.75" customHeight="1" x14ac:dyDescent="0.15">
      <c r="A41" s="72"/>
      <c r="B41" s="280"/>
      <c r="C41" s="281"/>
      <c r="D41" s="281"/>
      <c r="E41" s="281"/>
      <c r="F41" s="281"/>
      <c r="G41" s="281"/>
      <c r="H41" s="281"/>
      <c r="I41" s="281"/>
      <c r="J41" s="282"/>
      <c r="K41" s="73"/>
    </row>
    <row r="42" spans="1:11" ht="18.75" customHeight="1" x14ac:dyDescent="0.15">
      <c r="A42" s="72"/>
      <c r="B42" s="280"/>
      <c r="C42" s="281"/>
      <c r="D42" s="281"/>
      <c r="E42" s="281"/>
      <c r="F42" s="281"/>
      <c r="G42" s="281"/>
      <c r="H42" s="281"/>
      <c r="I42" s="281"/>
      <c r="J42" s="282"/>
      <c r="K42" s="73"/>
    </row>
    <row r="43" spans="1:11" ht="18.75" customHeight="1" x14ac:dyDescent="0.15">
      <c r="A43" s="90"/>
      <c r="B43" s="280"/>
      <c r="C43" s="281"/>
      <c r="D43" s="281"/>
      <c r="E43" s="281"/>
      <c r="F43" s="281"/>
      <c r="G43" s="281"/>
      <c r="H43" s="281"/>
      <c r="I43" s="281"/>
      <c r="J43" s="282"/>
      <c r="K43" s="73"/>
    </row>
    <row r="44" spans="1:11" ht="95.25" customHeight="1" x14ac:dyDescent="0.15">
      <c r="A44" s="90"/>
      <c r="B44" s="283"/>
      <c r="C44" s="284"/>
      <c r="D44" s="284"/>
      <c r="E44" s="284"/>
      <c r="F44" s="284"/>
      <c r="G44" s="284"/>
      <c r="H44" s="284"/>
      <c r="I44" s="284"/>
      <c r="J44" s="285"/>
    </row>
    <row r="45" spans="1:11" ht="28.5" customHeight="1" x14ac:dyDescent="0.15">
      <c r="A45" s="90"/>
      <c r="B45" s="103"/>
      <c r="C45" s="103"/>
      <c r="D45" s="103"/>
      <c r="E45" s="103"/>
      <c r="F45" s="103"/>
      <c r="G45" s="103"/>
      <c r="H45" s="103"/>
      <c r="I45" s="103"/>
      <c r="J45" s="103"/>
    </row>
    <row r="46" spans="1:11" ht="18.75" customHeight="1" x14ac:dyDescent="0.15">
      <c r="A46" s="98" t="s">
        <v>11</v>
      </c>
      <c r="B46" s="72" t="s">
        <v>65</v>
      </c>
      <c r="I46" s="98"/>
      <c r="J46" s="98"/>
    </row>
    <row r="47" spans="1:11" ht="18.75" customHeight="1" x14ac:dyDescent="0.15">
      <c r="A47" s="90"/>
      <c r="B47" s="241" t="s">
        <v>191</v>
      </c>
      <c r="C47" s="242"/>
      <c r="D47" s="242"/>
      <c r="E47" s="242"/>
      <c r="F47" s="242"/>
      <c r="G47" s="242"/>
      <c r="H47" s="242"/>
      <c r="I47" s="242"/>
      <c r="J47" s="243"/>
      <c r="K47" s="72" t="str">
        <f>IF(B47="","入力してください","")</f>
        <v/>
      </c>
    </row>
    <row r="48" spans="1:11" ht="18.75" customHeight="1" x14ac:dyDescent="0.15">
      <c r="A48" s="90"/>
      <c r="B48" s="244"/>
      <c r="C48" s="245"/>
      <c r="D48" s="245"/>
      <c r="E48" s="245"/>
      <c r="F48" s="245"/>
      <c r="G48" s="245"/>
      <c r="H48" s="245"/>
      <c r="I48" s="245"/>
      <c r="J48" s="246"/>
    </row>
    <row r="49" spans="1:10" ht="18.75" customHeight="1" x14ac:dyDescent="0.15">
      <c r="A49" s="90"/>
      <c r="B49" s="244"/>
      <c r="C49" s="245"/>
      <c r="D49" s="245"/>
      <c r="E49" s="245"/>
      <c r="F49" s="245"/>
      <c r="G49" s="245"/>
      <c r="H49" s="245"/>
      <c r="I49" s="245"/>
      <c r="J49" s="246"/>
    </row>
    <row r="50" spans="1:10" ht="18.75" customHeight="1" x14ac:dyDescent="0.15">
      <c r="A50" s="90"/>
      <c r="B50" s="244"/>
      <c r="C50" s="245"/>
      <c r="D50" s="245"/>
      <c r="E50" s="245"/>
      <c r="F50" s="245"/>
      <c r="G50" s="245"/>
      <c r="H50" s="245"/>
      <c r="I50" s="245"/>
      <c r="J50" s="246"/>
    </row>
    <row r="51" spans="1:10" ht="18.75" customHeight="1" x14ac:dyDescent="0.15">
      <c r="A51" s="90"/>
      <c r="B51" s="244"/>
      <c r="C51" s="245"/>
      <c r="D51" s="245"/>
      <c r="E51" s="245"/>
      <c r="F51" s="245"/>
      <c r="G51" s="245"/>
      <c r="H51" s="245"/>
      <c r="I51" s="245"/>
      <c r="J51" s="246"/>
    </row>
    <row r="52" spans="1:10" ht="18.75" customHeight="1" x14ac:dyDescent="0.15">
      <c r="A52" s="90"/>
      <c r="B52" s="244"/>
      <c r="C52" s="245"/>
      <c r="D52" s="245"/>
      <c r="E52" s="245"/>
      <c r="F52" s="245"/>
      <c r="G52" s="245"/>
      <c r="H52" s="245"/>
      <c r="I52" s="245"/>
      <c r="J52" s="246"/>
    </row>
    <row r="53" spans="1:10" ht="18.75" customHeight="1" x14ac:dyDescent="0.15">
      <c r="A53" s="90"/>
      <c r="B53" s="244"/>
      <c r="C53" s="245"/>
      <c r="D53" s="245"/>
      <c r="E53" s="245"/>
      <c r="F53" s="245"/>
      <c r="G53" s="245"/>
      <c r="H53" s="245"/>
      <c r="I53" s="245"/>
      <c r="J53" s="246"/>
    </row>
    <row r="54" spans="1:10" ht="18.75" customHeight="1" x14ac:dyDescent="0.15">
      <c r="A54" s="90"/>
      <c r="B54" s="244"/>
      <c r="C54" s="245"/>
      <c r="D54" s="245"/>
      <c r="E54" s="245"/>
      <c r="F54" s="245"/>
      <c r="G54" s="245"/>
      <c r="H54" s="245"/>
      <c r="I54" s="245"/>
      <c r="J54" s="246"/>
    </row>
    <row r="55" spans="1:10" ht="18.75" customHeight="1" x14ac:dyDescent="0.15">
      <c r="A55" s="90"/>
      <c r="B55" s="244"/>
      <c r="C55" s="245"/>
      <c r="D55" s="245"/>
      <c r="E55" s="245"/>
      <c r="F55" s="245"/>
      <c r="G55" s="245"/>
      <c r="H55" s="245"/>
      <c r="I55" s="245"/>
      <c r="J55" s="246"/>
    </row>
    <row r="56" spans="1:10" ht="18.75" customHeight="1" x14ac:dyDescent="0.15">
      <c r="A56" s="90"/>
      <c r="B56" s="244"/>
      <c r="C56" s="245"/>
      <c r="D56" s="245"/>
      <c r="E56" s="245"/>
      <c r="F56" s="245"/>
      <c r="G56" s="245"/>
      <c r="H56" s="245"/>
      <c r="I56" s="245"/>
      <c r="J56" s="246"/>
    </row>
    <row r="57" spans="1:10" ht="18.75" customHeight="1" x14ac:dyDescent="0.15">
      <c r="A57" s="90"/>
      <c r="B57" s="244"/>
      <c r="C57" s="245"/>
      <c r="D57" s="245"/>
      <c r="E57" s="245"/>
      <c r="F57" s="245"/>
      <c r="G57" s="245"/>
      <c r="H57" s="245"/>
      <c r="I57" s="245"/>
      <c r="J57" s="246"/>
    </row>
    <row r="58" spans="1:10" ht="18.75" customHeight="1" x14ac:dyDescent="0.15">
      <c r="A58" s="90"/>
      <c r="B58" s="244"/>
      <c r="C58" s="245"/>
      <c r="D58" s="245"/>
      <c r="E58" s="245"/>
      <c r="F58" s="245"/>
      <c r="G58" s="245"/>
      <c r="H58" s="245"/>
      <c r="I58" s="245"/>
      <c r="J58" s="246"/>
    </row>
    <row r="59" spans="1:10" ht="18.75" customHeight="1" x14ac:dyDescent="0.15">
      <c r="A59" s="90"/>
      <c r="B59" s="244"/>
      <c r="C59" s="245"/>
      <c r="D59" s="245"/>
      <c r="E59" s="245"/>
      <c r="F59" s="245"/>
      <c r="G59" s="245"/>
      <c r="H59" s="245"/>
      <c r="I59" s="245"/>
      <c r="J59" s="246"/>
    </row>
    <row r="60" spans="1:10" ht="18.75" customHeight="1" x14ac:dyDescent="0.15">
      <c r="A60" s="90"/>
      <c r="B60" s="244"/>
      <c r="C60" s="245"/>
      <c r="D60" s="245"/>
      <c r="E60" s="245"/>
      <c r="F60" s="245"/>
      <c r="G60" s="245"/>
      <c r="H60" s="245"/>
      <c r="I60" s="245"/>
      <c r="J60" s="246"/>
    </row>
    <row r="61" spans="1:10" ht="18.75" customHeight="1" x14ac:dyDescent="0.15">
      <c r="A61" s="90"/>
      <c r="B61" s="244"/>
      <c r="C61" s="245"/>
      <c r="D61" s="245"/>
      <c r="E61" s="245"/>
      <c r="F61" s="245"/>
      <c r="G61" s="245"/>
      <c r="H61" s="245"/>
      <c r="I61" s="245"/>
      <c r="J61" s="246"/>
    </row>
    <row r="62" spans="1:10" ht="18.75" customHeight="1" x14ac:dyDescent="0.15">
      <c r="A62" s="90"/>
      <c r="B62" s="244"/>
      <c r="C62" s="245"/>
      <c r="D62" s="245"/>
      <c r="E62" s="245"/>
      <c r="F62" s="245"/>
      <c r="G62" s="245"/>
      <c r="H62" s="245"/>
      <c r="I62" s="245"/>
      <c r="J62" s="246"/>
    </row>
    <row r="63" spans="1:10" ht="18.75" customHeight="1" x14ac:dyDescent="0.15">
      <c r="A63" s="90"/>
      <c r="B63" s="247"/>
      <c r="C63" s="248"/>
      <c r="D63" s="248"/>
      <c r="E63" s="248"/>
      <c r="F63" s="248"/>
      <c r="G63" s="248"/>
      <c r="H63" s="248"/>
      <c r="I63" s="248"/>
      <c r="J63" s="249"/>
    </row>
    <row r="64" spans="1:10" ht="7.5" customHeight="1" x14ac:dyDescent="0.15">
      <c r="A64" s="90"/>
      <c r="B64" s="90"/>
      <c r="C64" s="90"/>
      <c r="D64" s="90"/>
      <c r="E64" s="90"/>
      <c r="F64" s="90"/>
      <c r="G64" s="90"/>
      <c r="H64" s="90"/>
      <c r="I64" s="90"/>
      <c r="J64" s="90"/>
    </row>
    <row r="65" spans="1:11" ht="18.75" customHeight="1" x14ac:dyDescent="0.15">
      <c r="A65" s="72" t="s">
        <v>14</v>
      </c>
      <c r="B65" s="72" t="s">
        <v>71</v>
      </c>
    </row>
    <row r="66" spans="1:11" ht="18.75" customHeight="1" x14ac:dyDescent="0.15">
      <c r="A66" s="72"/>
      <c r="B66" s="241" t="s">
        <v>202</v>
      </c>
      <c r="C66" s="250"/>
      <c r="D66" s="250"/>
      <c r="E66" s="250"/>
      <c r="F66" s="250"/>
      <c r="G66" s="250"/>
      <c r="H66" s="250"/>
      <c r="I66" s="251"/>
      <c r="J66" s="252"/>
      <c r="K66" s="73" t="str">
        <f>IF(B66="","入力してください","")</f>
        <v/>
      </c>
    </row>
    <row r="67" spans="1:11" ht="18.75" customHeight="1" x14ac:dyDescent="0.15">
      <c r="A67" s="72"/>
      <c r="B67" s="253"/>
      <c r="C67" s="254"/>
      <c r="D67" s="254"/>
      <c r="E67" s="254"/>
      <c r="F67" s="254"/>
      <c r="G67" s="254"/>
      <c r="H67" s="254"/>
      <c r="I67" s="254"/>
      <c r="J67" s="255"/>
      <c r="K67" s="73"/>
    </row>
    <row r="68" spans="1:11" ht="18.75" customHeight="1" x14ac:dyDescent="0.15">
      <c r="A68" s="72"/>
      <c r="B68" s="253"/>
      <c r="C68" s="254"/>
      <c r="D68" s="254"/>
      <c r="E68" s="254"/>
      <c r="F68" s="254"/>
      <c r="G68" s="254"/>
      <c r="H68" s="254"/>
      <c r="I68" s="254"/>
      <c r="J68" s="255"/>
      <c r="K68" s="73"/>
    </row>
    <row r="69" spans="1:11" ht="18.75" customHeight="1" x14ac:dyDescent="0.15">
      <c r="A69" s="72"/>
      <c r="B69" s="253"/>
      <c r="C69" s="254"/>
      <c r="D69" s="254"/>
      <c r="E69" s="254"/>
      <c r="F69" s="254"/>
      <c r="G69" s="254"/>
      <c r="H69" s="254"/>
      <c r="I69" s="254"/>
      <c r="J69" s="255"/>
      <c r="K69" s="73"/>
    </row>
    <row r="70" spans="1:11" ht="18.75" customHeight="1" x14ac:dyDescent="0.15">
      <c r="A70" s="72"/>
      <c r="B70" s="253"/>
      <c r="C70" s="254"/>
      <c r="D70" s="254"/>
      <c r="E70" s="254"/>
      <c r="F70" s="254"/>
      <c r="G70" s="254"/>
      <c r="H70" s="254"/>
      <c r="I70" s="254"/>
      <c r="J70" s="255"/>
      <c r="K70" s="73"/>
    </row>
    <row r="71" spans="1:11" ht="18.75" customHeight="1" x14ac:dyDescent="0.15">
      <c r="A71" s="72"/>
      <c r="B71" s="253"/>
      <c r="C71" s="254"/>
      <c r="D71" s="254"/>
      <c r="E71" s="254"/>
      <c r="F71" s="254"/>
      <c r="G71" s="254"/>
      <c r="H71" s="254"/>
      <c r="I71" s="254"/>
      <c r="J71" s="255"/>
      <c r="K71" s="73"/>
    </row>
    <row r="72" spans="1:11" ht="18.75" customHeight="1" x14ac:dyDescent="0.15">
      <c r="A72" s="72"/>
      <c r="B72" s="253"/>
      <c r="C72" s="254"/>
      <c r="D72" s="254"/>
      <c r="E72" s="254"/>
      <c r="F72" s="254"/>
      <c r="G72" s="254"/>
      <c r="H72" s="254"/>
      <c r="I72" s="254"/>
      <c r="J72" s="255"/>
      <c r="K72" s="73"/>
    </row>
    <row r="73" spans="1:11" ht="18.75" customHeight="1" x14ac:dyDescent="0.15">
      <c r="A73" s="72"/>
      <c r="B73" s="253"/>
      <c r="C73" s="254"/>
      <c r="D73" s="254"/>
      <c r="E73" s="254"/>
      <c r="F73" s="254"/>
      <c r="G73" s="254"/>
      <c r="H73" s="254"/>
      <c r="I73" s="254"/>
      <c r="J73" s="255"/>
      <c r="K73" s="73"/>
    </row>
    <row r="74" spans="1:11" ht="18.75" customHeight="1" x14ac:dyDescent="0.15">
      <c r="A74" s="72"/>
      <c r="B74" s="253"/>
      <c r="C74" s="254"/>
      <c r="D74" s="254"/>
      <c r="E74" s="254"/>
      <c r="F74" s="254"/>
      <c r="G74" s="254"/>
      <c r="H74" s="254"/>
      <c r="I74" s="254"/>
      <c r="J74" s="255"/>
      <c r="K74" s="73"/>
    </row>
    <row r="75" spans="1:11" ht="18.75" customHeight="1" x14ac:dyDescent="0.15">
      <c r="A75" s="72"/>
      <c r="B75" s="253"/>
      <c r="C75" s="254"/>
      <c r="D75" s="254"/>
      <c r="E75" s="254"/>
      <c r="F75" s="254"/>
      <c r="G75" s="254"/>
      <c r="H75" s="254"/>
      <c r="I75" s="254"/>
      <c r="J75" s="255"/>
      <c r="K75" s="73"/>
    </row>
    <row r="76" spans="1:11" ht="18.75" customHeight="1" x14ac:dyDescent="0.15">
      <c r="A76" s="72"/>
      <c r="B76" s="253"/>
      <c r="C76" s="254"/>
      <c r="D76" s="254"/>
      <c r="E76" s="254"/>
      <c r="F76" s="254"/>
      <c r="G76" s="254"/>
      <c r="H76" s="254"/>
      <c r="I76" s="254"/>
      <c r="J76" s="255"/>
      <c r="K76" s="73"/>
    </row>
    <row r="77" spans="1:11" ht="18.75" customHeight="1" x14ac:dyDescent="0.15">
      <c r="A77" s="72"/>
      <c r="B77" s="253"/>
      <c r="C77" s="254"/>
      <c r="D77" s="254"/>
      <c r="E77" s="254"/>
      <c r="F77" s="254"/>
      <c r="G77" s="254"/>
      <c r="H77" s="254"/>
      <c r="I77" s="254"/>
      <c r="J77" s="255"/>
      <c r="K77" s="73"/>
    </row>
    <row r="78" spans="1:11" ht="18.75" customHeight="1" x14ac:dyDescent="0.15">
      <c r="A78" s="72"/>
      <c r="B78" s="253"/>
      <c r="C78" s="254"/>
      <c r="D78" s="254"/>
      <c r="E78" s="254"/>
      <c r="F78" s="254"/>
      <c r="G78" s="254"/>
      <c r="H78" s="254"/>
      <c r="I78" s="254"/>
      <c r="J78" s="255"/>
      <c r="K78" s="73"/>
    </row>
    <row r="79" spans="1:11" ht="18.75" customHeight="1" x14ac:dyDescent="0.15">
      <c r="A79" s="72"/>
      <c r="B79" s="253"/>
      <c r="C79" s="254"/>
      <c r="D79" s="254"/>
      <c r="E79" s="254"/>
      <c r="F79" s="254"/>
      <c r="G79" s="254"/>
      <c r="H79" s="254"/>
      <c r="I79" s="254"/>
      <c r="J79" s="255"/>
      <c r="K79" s="73"/>
    </row>
    <row r="80" spans="1:11" ht="18.75" customHeight="1" x14ac:dyDescent="0.15">
      <c r="A80" s="72"/>
      <c r="B80" s="253"/>
      <c r="C80" s="254"/>
      <c r="D80" s="254"/>
      <c r="E80" s="254"/>
      <c r="F80" s="254"/>
      <c r="G80" s="254"/>
      <c r="H80" s="254"/>
      <c r="I80" s="254"/>
      <c r="J80" s="255"/>
      <c r="K80" s="73"/>
    </row>
    <row r="81" spans="1:11" ht="18.75" customHeight="1" x14ac:dyDescent="0.15">
      <c r="A81" s="72"/>
      <c r="B81" s="253"/>
      <c r="C81" s="254"/>
      <c r="D81" s="254"/>
      <c r="E81" s="254"/>
      <c r="F81" s="254"/>
      <c r="G81" s="254"/>
      <c r="H81" s="254"/>
      <c r="I81" s="254"/>
      <c r="J81" s="255"/>
      <c r="K81" s="73"/>
    </row>
    <row r="82" spans="1:11" ht="18.75" customHeight="1" x14ac:dyDescent="0.15">
      <c r="A82" s="90"/>
      <c r="B82" s="253"/>
      <c r="C82" s="254"/>
      <c r="D82" s="254"/>
      <c r="E82" s="254"/>
      <c r="F82" s="254"/>
      <c r="G82" s="254"/>
      <c r="H82" s="254"/>
      <c r="I82" s="254"/>
      <c r="J82" s="255"/>
      <c r="K82" s="73"/>
    </row>
    <row r="83" spans="1:11" ht="18.75" customHeight="1" x14ac:dyDescent="0.15">
      <c r="A83" s="90"/>
      <c r="B83" s="256"/>
      <c r="C83" s="257"/>
      <c r="D83" s="257"/>
      <c r="E83" s="257"/>
      <c r="F83" s="257"/>
      <c r="G83" s="257"/>
      <c r="H83" s="257"/>
      <c r="I83" s="257"/>
      <c r="J83" s="258"/>
      <c r="K83" s="73"/>
    </row>
    <row r="84" spans="1:11" ht="7.5" customHeight="1" x14ac:dyDescent="0.15">
      <c r="A84" s="90"/>
      <c r="B84" s="90"/>
      <c r="C84" s="90"/>
      <c r="D84" s="90"/>
      <c r="E84" s="90"/>
      <c r="F84" s="90"/>
      <c r="G84" s="90"/>
      <c r="H84" s="90"/>
      <c r="I84" s="90"/>
      <c r="J84" s="90"/>
    </row>
    <row r="85" spans="1:11" ht="18.75" customHeight="1" x14ac:dyDescent="0.15">
      <c r="A85" s="72" t="s">
        <v>12</v>
      </c>
      <c r="B85" s="72" t="s">
        <v>27</v>
      </c>
    </row>
    <row r="86" spans="1:11" ht="18.75" customHeight="1" x14ac:dyDescent="0.15">
      <c r="A86" s="72"/>
      <c r="B86" s="241" t="s">
        <v>192</v>
      </c>
      <c r="C86" s="242"/>
      <c r="D86" s="242"/>
      <c r="E86" s="242"/>
      <c r="F86" s="242"/>
      <c r="G86" s="242"/>
      <c r="H86" s="242"/>
      <c r="I86" s="259"/>
      <c r="J86" s="260"/>
    </row>
    <row r="87" spans="1:11" ht="18.75" customHeight="1" x14ac:dyDescent="0.15">
      <c r="A87" s="72"/>
      <c r="B87" s="261"/>
      <c r="C87" s="262"/>
      <c r="D87" s="262"/>
      <c r="E87" s="262"/>
      <c r="F87" s="262"/>
      <c r="G87" s="262"/>
      <c r="H87" s="262"/>
      <c r="I87" s="262"/>
      <c r="J87" s="263"/>
      <c r="K87" s="73"/>
    </row>
    <row r="88" spans="1:11" ht="18.75" customHeight="1" x14ac:dyDescent="0.15">
      <c r="A88" s="72"/>
      <c r="B88" s="261"/>
      <c r="C88" s="262"/>
      <c r="D88" s="262"/>
      <c r="E88" s="262"/>
      <c r="F88" s="262"/>
      <c r="G88" s="262"/>
      <c r="H88" s="262"/>
      <c r="I88" s="262"/>
      <c r="J88" s="263"/>
      <c r="K88" s="73" t="str">
        <f>IF(B86="","入力してください","")</f>
        <v/>
      </c>
    </row>
    <row r="89" spans="1:11" ht="18.75" customHeight="1" x14ac:dyDescent="0.15">
      <c r="A89" s="72"/>
      <c r="B89" s="261"/>
      <c r="C89" s="262"/>
      <c r="D89" s="262"/>
      <c r="E89" s="262"/>
      <c r="F89" s="262"/>
      <c r="G89" s="262"/>
      <c r="H89" s="262"/>
      <c r="I89" s="262"/>
      <c r="J89" s="263"/>
      <c r="K89" s="73"/>
    </row>
    <row r="90" spans="1:11" ht="18.75" customHeight="1" x14ac:dyDescent="0.15">
      <c r="A90" s="72"/>
      <c r="B90" s="261"/>
      <c r="C90" s="262"/>
      <c r="D90" s="262"/>
      <c r="E90" s="262"/>
      <c r="F90" s="262"/>
      <c r="G90" s="262"/>
      <c r="H90" s="262"/>
      <c r="I90" s="262"/>
      <c r="J90" s="263"/>
      <c r="K90" s="73"/>
    </row>
    <row r="91" spans="1:11" ht="18.75" customHeight="1" x14ac:dyDescent="0.15">
      <c r="A91" s="72"/>
      <c r="B91" s="261"/>
      <c r="C91" s="262"/>
      <c r="D91" s="262"/>
      <c r="E91" s="262"/>
      <c r="F91" s="262"/>
      <c r="G91" s="262"/>
      <c r="H91" s="262"/>
      <c r="I91" s="262"/>
      <c r="J91" s="263"/>
      <c r="K91" s="73"/>
    </row>
    <row r="92" spans="1:11" ht="18.75" customHeight="1" x14ac:dyDescent="0.15">
      <c r="A92" s="72"/>
      <c r="B92" s="261"/>
      <c r="C92" s="262"/>
      <c r="D92" s="262"/>
      <c r="E92" s="262"/>
      <c r="F92" s="262"/>
      <c r="G92" s="262"/>
      <c r="H92" s="262"/>
      <c r="I92" s="262"/>
      <c r="J92" s="263"/>
      <c r="K92" s="73"/>
    </row>
    <row r="93" spans="1:11" ht="18.75" customHeight="1" x14ac:dyDescent="0.15">
      <c r="A93" s="72"/>
      <c r="B93" s="261"/>
      <c r="C93" s="262"/>
      <c r="D93" s="262"/>
      <c r="E93" s="262"/>
      <c r="F93" s="262"/>
      <c r="G93" s="262"/>
      <c r="H93" s="262"/>
      <c r="I93" s="262"/>
      <c r="J93" s="263"/>
      <c r="K93" s="73"/>
    </row>
    <row r="94" spans="1:11" ht="18.75" customHeight="1" x14ac:dyDescent="0.15">
      <c r="A94" s="72"/>
      <c r="B94" s="261"/>
      <c r="C94" s="262"/>
      <c r="D94" s="262"/>
      <c r="E94" s="262"/>
      <c r="F94" s="262"/>
      <c r="G94" s="262"/>
      <c r="H94" s="262"/>
      <c r="I94" s="262"/>
      <c r="J94" s="263"/>
      <c r="K94" s="73"/>
    </row>
    <row r="95" spans="1:11" ht="18.75" customHeight="1" x14ac:dyDescent="0.15">
      <c r="A95" s="72"/>
      <c r="B95" s="261"/>
      <c r="C95" s="262"/>
      <c r="D95" s="262"/>
      <c r="E95" s="262"/>
      <c r="F95" s="262"/>
      <c r="G95" s="262"/>
      <c r="H95" s="262"/>
      <c r="I95" s="262"/>
      <c r="J95" s="263"/>
      <c r="K95" s="73"/>
    </row>
    <row r="96" spans="1:11" ht="18.75" customHeight="1" x14ac:dyDescent="0.15">
      <c r="A96" s="72"/>
      <c r="B96" s="261"/>
      <c r="C96" s="262"/>
      <c r="D96" s="262"/>
      <c r="E96" s="262"/>
      <c r="F96" s="262"/>
      <c r="G96" s="262"/>
      <c r="H96" s="262"/>
      <c r="I96" s="262"/>
      <c r="J96" s="263"/>
      <c r="K96" s="73"/>
    </row>
    <row r="97" spans="1:11" ht="18.75" customHeight="1" x14ac:dyDescent="0.15">
      <c r="A97" s="72"/>
      <c r="B97" s="261"/>
      <c r="C97" s="262"/>
      <c r="D97" s="262"/>
      <c r="E97" s="262"/>
      <c r="F97" s="262"/>
      <c r="G97" s="262"/>
      <c r="H97" s="262"/>
      <c r="I97" s="262"/>
      <c r="J97" s="263"/>
      <c r="K97" s="73"/>
    </row>
    <row r="98" spans="1:11" ht="18.75" customHeight="1" x14ac:dyDescent="0.15">
      <c r="A98" s="72"/>
      <c r="B98" s="261"/>
      <c r="C98" s="262"/>
      <c r="D98" s="262"/>
      <c r="E98" s="262"/>
      <c r="F98" s="262"/>
      <c r="G98" s="262"/>
      <c r="H98" s="262"/>
      <c r="I98" s="262"/>
      <c r="J98" s="263"/>
      <c r="K98" s="73"/>
    </row>
    <row r="99" spans="1:11" ht="18.75" customHeight="1" x14ac:dyDescent="0.15">
      <c r="A99" s="72"/>
      <c r="B99" s="261"/>
      <c r="C99" s="262"/>
      <c r="D99" s="262"/>
      <c r="E99" s="262"/>
      <c r="F99" s="262"/>
      <c r="G99" s="262"/>
      <c r="H99" s="262"/>
      <c r="I99" s="262"/>
      <c r="J99" s="263"/>
      <c r="K99" s="73"/>
    </row>
    <row r="100" spans="1:11" ht="18.75" customHeight="1" x14ac:dyDescent="0.15">
      <c r="A100" s="72"/>
      <c r="B100" s="261"/>
      <c r="C100" s="262"/>
      <c r="D100" s="262"/>
      <c r="E100" s="262"/>
      <c r="F100" s="262"/>
      <c r="G100" s="262"/>
      <c r="H100" s="262"/>
      <c r="I100" s="262"/>
      <c r="J100" s="263"/>
      <c r="K100" s="73"/>
    </row>
    <row r="101" spans="1:11" ht="18.75" customHeight="1" x14ac:dyDescent="0.15">
      <c r="A101" s="72"/>
      <c r="B101" s="261"/>
      <c r="C101" s="262"/>
      <c r="D101" s="262"/>
      <c r="E101" s="262"/>
      <c r="F101" s="262"/>
      <c r="G101" s="262"/>
      <c r="H101" s="262"/>
      <c r="I101" s="262"/>
      <c r="J101" s="263"/>
      <c r="K101" s="73"/>
    </row>
    <row r="102" spans="1:11" ht="18.75" customHeight="1" x14ac:dyDescent="0.15">
      <c r="A102" s="72"/>
      <c r="B102" s="261"/>
      <c r="C102" s="262"/>
      <c r="D102" s="262"/>
      <c r="E102" s="262"/>
      <c r="F102" s="262"/>
      <c r="G102" s="262"/>
      <c r="H102" s="262"/>
      <c r="I102" s="262"/>
      <c r="J102" s="263"/>
      <c r="K102" s="73"/>
    </row>
    <row r="103" spans="1:11" ht="18.75" customHeight="1" x14ac:dyDescent="0.15">
      <c r="A103" s="72"/>
      <c r="B103" s="261"/>
      <c r="C103" s="262"/>
      <c r="D103" s="262"/>
      <c r="E103" s="262"/>
      <c r="F103" s="262"/>
      <c r="G103" s="262"/>
      <c r="H103" s="262"/>
      <c r="I103" s="262"/>
      <c r="J103" s="263"/>
      <c r="K103" s="73"/>
    </row>
    <row r="104" spans="1:11" ht="18.75" customHeight="1" x14ac:dyDescent="0.15">
      <c r="A104" s="90"/>
      <c r="B104" s="261"/>
      <c r="C104" s="262"/>
      <c r="D104" s="262"/>
      <c r="E104" s="262"/>
      <c r="F104" s="262"/>
      <c r="G104" s="262"/>
      <c r="H104" s="262"/>
      <c r="I104" s="262"/>
      <c r="J104" s="263"/>
      <c r="K104" s="73"/>
    </row>
    <row r="105" spans="1:11" ht="18.75" customHeight="1" x14ac:dyDescent="0.15">
      <c r="A105" s="90"/>
      <c r="B105" s="264"/>
      <c r="C105" s="265"/>
      <c r="D105" s="265"/>
      <c r="E105" s="265"/>
      <c r="F105" s="265"/>
      <c r="G105" s="265"/>
      <c r="H105" s="265"/>
      <c r="I105" s="265"/>
      <c r="J105" s="266"/>
      <c r="K105" s="73"/>
    </row>
    <row r="106" spans="1:11" ht="7.5" customHeight="1" x14ac:dyDescent="0.15">
      <c r="A106" s="90"/>
      <c r="B106" s="90"/>
      <c r="C106" s="90"/>
      <c r="D106" s="90"/>
      <c r="E106" s="90"/>
      <c r="F106" s="90"/>
      <c r="G106" s="90"/>
      <c r="H106" s="90"/>
      <c r="I106" s="90"/>
      <c r="J106" s="90"/>
    </row>
    <row r="107" spans="1:11" ht="18.75" customHeight="1" x14ac:dyDescent="0.15">
      <c r="A107" s="72" t="s">
        <v>53</v>
      </c>
      <c r="B107" s="267" t="s">
        <v>82</v>
      </c>
      <c r="C107" s="267"/>
      <c r="D107" s="267"/>
      <c r="E107" s="267"/>
      <c r="F107" s="267"/>
      <c r="G107" s="267"/>
      <c r="H107" s="267"/>
      <c r="I107" s="267"/>
      <c r="J107" s="267"/>
    </row>
    <row r="108" spans="1:11" ht="18.75" customHeight="1" x14ac:dyDescent="0.15">
      <c r="A108" s="90"/>
      <c r="B108" s="241" t="s">
        <v>193</v>
      </c>
      <c r="C108" s="268"/>
      <c r="D108" s="268"/>
      <c r="E108" s="268"/>
      <c r="F108" s="268"/>
      <c r="G108" s="268"/>
      <c r="H108" s="268"/>
      <c r="I108" s="269"/>
      <c r="J108" s="270"/>
    </row>
    <row r="109" spans="1:11" ht="18.75" customHeight="1" x14ac:dyDescent="0.15">
      <c r="A109" s="90"/>
      <c r="B109" s="271"/>
      <c r="C109" s="272"/>
      <c r="D109" s="272"/>
      <c r="E109" s="272"/>
      <c r="F109" s="272"/>
      <c r="G109" s="272"/>
      <c r="H109" s="272"/>
      <c r="I109" s="272"/>
      <c r="J109" s="273"/>
      <c r="K109" s="73"/>
    </row>
    <row r="110" spans="1:11" ht="18.75" customHeight="1" x14ac:dyDescent="0.15">
      <c r="A110" s="90"/>
      <c r="B110" s="271"/>
      <c r="C110" s="272"/>
      <c r="D110" s="272"/>
      <c r="E110" s="272"/>
      <c r="F110" s="272"/>
      <c r="G110" s="272"/>
      <c r="H110" s="272"/>
      <c r="I110" s="272"/>
      <c r="J110" s="273"/>
      <c r="K110" s="72" t="str">
        <f>IF(B108="","入力してください","")</f>
        <v/>
      </c>
    </row>
    <row r="111" spans="1:11" ht="18.75" customHeight="1" x14ac:dyDescent="0.15">
      <c r="A111" s="90"/>
      <c r="B111" s="271"/>
      <c r="C111" s="272"/>
      <c r="D111" s="272"/>
      <c r="E111" s="272"/>
      <c r="F111" s="272"/>
      <c r="G111" s="272"/>
      <c r="H111" s="272"/>
      <c r="I111" s="272"/>
      <c r="J111" s="273"/>
    </row>
    <row r="112" spans="1:11" ht="18.75" customHeight="1" x14ac:dyDescent="0.15">
      <c r="A112" s="90"/>
      <c r="B112" s="271"/>
      <c r="C112" s="272"/>
      <c r="D112" s="272"/>
      <c r="E112" s="272"/>
      <c r="F112" s="272"/>
      <c r="G112" s="272"/>
      <c r="H112" s="272"/>
      <c r="I112" s="272"/>
      <c r="J112" s="273"/>
    </row>
    <row r="113" spans="1:10" ht="18.75" customHeight="1" x14ac:dyDescent="0.15">
      <c r="A113" s="90"/>
      <c r="B113" s="271"/>
      <c r="C113" s="272"/>
      <c r="D113" s="272"/>
      <c r="E113" s="272"/>
      <c r="F113" s="272"/>
      <c r="G113" s="272"/>
      <c r="H113" s="272"/>
      <c r="I113" s="272"/>
      <c r="J113" s="273"/>
    </row>
    <row r="114" spans="1:10" ht="18.75" customHeight="1" x14ac:dyDescent="0.15">
      <c r="A114" s="90"/>
      <c r="B114" s="271"/>
      <c r="C114" s="272"/>
      <c r="D114" s="272"/>
      <c r="E114" s="272"/>
      <c r="F114" s="272"/>
      <c r="G114" s="272"/>
      <c r="H114" s="272"/>
      <c r="I114" s="272"/>
      <c r="J114" s="273"/>
    </row>
    <row r="115" spans="1:10" ht="18.75" customHeight="1" x14ac:dyDescent="0.15">
      <c r="A115" s="90"/>
      <c r="B115" s="271"/>
      <c r="C115" s="272"/>
      <c r="D115" s="272"/>
      <c r="E115" s="272"/>
      <c r="F115" s="272"/>
      <c r="G115" s="272"/>
      <c r="H115" s="272"/>
      <c r="I115" s="272"/>
      <c r="J115" s="273"/>
    </row>
    <row r="116" spans="1:10" ht="18.75" customHeight="1" x14ac:dyDescent="0.15">
      <c r="A116" s="90"/>
      <c r="B116" s="271"/>
      <c r="C116" s="272"/>
      <c r="D116" s="272"/>
      <c r="E116" s="272"/>
      <c r="F116" s="272"/>
      <c r="G116" s="272"/>
      <c r="H116" s="272"/>
      <c r="I116" s="272"/>
      <c r="J116" s="273"/>
    </row>
    <row r="117" spans="1:10" ht="18.75" customHeight="1" x14ac:dyDescent="0.15">
      <c r="A117" s="90"/>
      <c r="B117" s="271"/>
      <c r="C117" s="272"/>
      <c r="D117" s="272"/>
      <c r="E117" s="272"/>
      <c r="F117" s="272"/>
      <c r="G117" s="272"/>
      <c r="H117" s="272"/>
      <c r="I117" s="272"/>
      <c r="J117" s="273"/>
    </row>
    <row r="118" spans="1:10" ht="18.75" customHeight="1" x14ac:dyDescent="0.15">
      <c r="A118" s="90"/>
      <c r="B118" s="271"/>
      <c r="C118" s="272"/>
      <c r="D118" s="272"/>
      <c r="E118" s="272"/>
      <c r="F118" s="272"/>
      <c r="G118" s="272"/>
      <c r="H118" s="272"/>
      <c r="I118" s="272"/>
      <c r="J118" s="273"/>
    </row>
    <row r="119" spans="1:10" ht="18.75" customHeight="1" x14ac:dyDescent="0.15">
      <c r="A119" s="90"/>
      <c r="B119" s="271"/>
      <c r="C119" s="272"/>
      <c r="D119" s="272"/>
      <c r="E119" s="272"/>
      <c r="F119" s="272"/>
      <c r="G119" s="272"/>
      <c r="H119" s="272"/>
      <c r="I119" s="272"/>
      <c r="J119" s="273"/>
    </row>
    <row r="120" spans="1:10" ht="18.75" customHeight="1" x14ac:dyDescent="0.15">
      <c r="A120" s="90"/>
      <c r="B120" s="271"/>
      <c r="C120" s="272"/>
      <c r="D120" s="272"/>
      <c r="E120" s="272"/>
      <c r="F120" s="272"/>
      <c r="G120" s="272"/>
      <c r="H120" s="272"/>
      <c r="I120" s="272"/>
      <c r="J120" s="273"/>
    </row>
    <row r="121" spans="1:10" ht="18.75" customHeight="1" x14ac:dyDescent="0.15">
      <c r="A121" s="90"/>
      <c r="B121" s="271"/>
      <c r="C121" s="272"/>
      <c r="D121" s="272"/>
      <c r="E121" s="272"/>
      <c r="F121" s="272"/>
      <c r="G121" s="272"/>
      <c r="H121" s="272"/>
      <c r="I121" s="272"/>
      <c r="J121" s="273"/>
    </row>
    <row r="122" spans="1:10" ht="18.75" customHeight="1" x14ac:dyDescent="0.15">
      <c r="A122" s="90"/>
      <c r="B122" s="271"/>
      <c r="C122" s="272"/>
      <c r="D122" s="272"/>
      <c r="E122" s="272"/>
      <c r="F122" s="272"/>
      <c r="G122" s="272"/>
      <c r="H122" s="272"/>
      <c r="I122" s="272"/>
      <c r="J122" s="273"/>
    </row>
    <row r="123" spans="1:10" ht="18.75" customHeight="1" x14ac:dyDescent="0.15">
      <c r="A123" s="90"/>
      <c r="B123" s="271"/>
      <c r="C123" s="272"/>
      <c r="D123" s="272"/>
      <c r="E123" s="272"/>
      <c r="F123" s="272"/>
      <c r="G123" s="272"/>
      <c r="H123" s="272"/>
      <c r="I123" s="272"/>
      <c r="J123" s="273"/>
    </row>
    <row r="124" spans="1:10" ht="18.75" customHeight="1" x14ac:dyDescent="0.15">
      <c r="A124" s="90"/>
      <c r="B124" s="271"/>
      <c r="C124" s="272"/>
      <c r="D124" s="272"/>
      <c r="E124" s="272"/>
      <c r="F124" s="272"/>
      <c r="G124" s="272"/>
      <c r="H124" s="272"/>
      <c r="I124" s="272"/>
      <c r="J124" s="273"/>
    </row>
    <row r="125" spans="1:10" ht="18.75" customHeight="1" x14ac:dyDescent="0.15">
      <c r="A125" s="90"/>
      <c r="B125" s="271"/>
      <c r="C125" s="272"/>
      <c r="D125" s="272"/>
      <c r="E125" s="272"/>
      <c r="F125" s="272"/>
      <c r="G125" s="272"/>
      <c r="H125" s="272"/>
      <c r="I125" s="272"/>
      <c r="J125" s="273"/>
    </row>
    <row r="126" spans="1:10" ht="18.75" customHeight="1" x14ac:dyDescent="0.15">
      <c r="A126" s="90"/>
      <c r="B126" s="274"/>
      <c r="C126" s="275"/>
      <c r="D126" s="275"/>
      <c r="E126" s="275"/>
      <c r="F126" s="275"/>
      <c r="G126" s="275"/>
      <c r="H126" s="275"/>
      <c r="I126" s="275"/>
      <c r="J126" s="276"/>
    </row>
    <row r="127" spans="1:10" ht="7.5" customHeight="1" x14ac:dyDescent="0.15">
      <c r="A127" s="90"/>
      <c r="B127" s="99"/>
      <c r="C127" s="99"/>
      <c r="D127" s="99"/>
      <c r="E127" s="99"/>
      <c r="F127" s="99"/>
      <c r="G127" s="99"/>
      <c r="H127" s="99"/>
      <c r="I127" s="99"/>
      <c r="J127" s="99"/>
    </row>
    <row r="128" spans="1:10" ht="18.75" customHeight="1" x14ac:dyDescent="0.15">
      <c r="A128" s="90"/>
      <c r="B128" s="90"/>
      <c r="C128" s="90"/>
      <c r="D128" s="90"/>
      <c r="E128" s="90"/>
      <c r="F128" s="90"/>
      <c r="G128" s="90"/>
      <c r="H128" s="90"/>
      <c r="I128" s="90"/>
      <c r="J128" s="90"/>
    </row>
    <row r="129" spans="1:10" ht="18.75" customHeight="1" x14ac:dyDescent="0.15">
      <c r="A129" s="90"/>
      <c r="B129" s="90"/>
      <c r="C129" s="90"/>
      <c r="D129" s="90"/>
      <c r="E129" s="90"/>
      <c r="F129" s="90"/>
      <c r="G129" s="90"/>
      <c r="H129" s="90"/>
      <c r="I129" s="90"/>
      <c r="J129" s="90"/>
    </row>
    <row r="130" spans="1:10" ht="18.75" customHeight="1" x14ac:dyDescent="0.15">
      <c r="A130" s="90"/>
      <c r="B130" s="90"/>
      <c r="C130" s="90"/>
      <c r="D130" s="90"/>
      <c r="E130" s="90"/>
      <c r="F130" s="90"/>
      <c r="G130" s="90"/>
      <c r="H130" s="90"/>
      <c r="I130" s="90"/>
      <c r="J130" s="90"/>
    </row>
    <row r="131" spans="1:10" ht="18.75" customHeight="1" x14ac:dyDescent="0.15">
      <c r="A131" s="90"/>
      <c r="B131" s="90"/>
      <c r="C131" s="90"/>
      <c r="D131" s="90"/>
      <c r="E131" s="90"/>
      <c r="F131" s="90"/>
      <c r="G131" s="90"/>
      <c r="H131" s="90"/>
      <c r="I131" s="90"/>
      <c r="J131" s="90"/>
    </row>
    <row r="132" spans="1:10" ht="18.75" customHeight="1" x14ac:dyDescent="0.15">
      <c r="A132" s="90"/>
      <c r="B132" s="90"/>
      <c r="C132" s="90"/>
      <c r="D132" s="90"/>
      <c r="E132" s="90"/>
      <c r="F132" s="90"/>
      <c r="G132" s="90"/>
      <c r="H132" s="90"/>
      <c r="I132" s="90"/>
      <c r="J132" s="90"/>
    </row>
    <row r="133" spans="1:10" ht="18.75" customHeight="1" x14ac:dyDescent="0.15">
      <c r="A133" s="90"/>
      <c r="B133" s="90"/>
      <c r="C133" s="90"/>
      <c r="D133" s="90"/>
      <c r="E133" s="90"/>
      <c r="F133" s="90"/>
      <c r="G133" s="90"/>
      <c r="H133" s="90"/>
      <c r="I133" s="90"/>
      <c r="J133" s="90"/>
    </row>
    <row r="134" spans="1:10" ht="18.75" customHeight="1" x14ac:dyDescent="0.15">
      <c r="A134" s="90"/>
      <c r="B134" s="90"/>
      <c r="C134" s="90"/>
      <c r="D134" s="90"/>
      <c r="E134" s="90"/>
      <c r="F134" s="90"/>
      <c r="G134" s="90"/>
      <c r="H134" s="90"/>
      <c r="I134" s="90"/>
      <c r="J134" s="90"/>
    </row>
    <row r="135" spans="1:10" ht="18.75" customHeight="1" x14ac:dyDescent="0.15">
      <c r="A135" s="90"/>
      <c r="B135" s="90"/>
      <c r="C135" s="90"/>
      <c r="D135" s="90"/>
      <c r="E135" s="90"/>
      <c r="F135" s="90"/>
      <c r="G135" s="90"/>
      <c r="H135" s="90"/>
      <c r="I135" s="90"/>
      <c r="J135" s="90"/>
    </row>
    <row r="136" spans="1:10" ht="18.75" customHeight="1" x14ac:dyDescent="0.15">
      <c r="A136" s="90"/>
      <c r="B136" s="90"/>
      <c r="C136" s="90"/>
      <c r="D136" s="90"/>
      <c r="E136" s="90"/>
      <c r="F136" s="90"/>
      <c r="G136" s="90"/>
      <c r="H136" s="90"/>
      <c r="I136" s="90"/>
      <c r="J136" s="90"/>
    </row>
    <row r="137" spans="1:10" ht="18.75" customHeight="1" x14ac:dyDescent="0.15">
      <c r="A137" s="90"/>
      <c r="B137" s="90"/>
      <c r="C137" s="90"/>
      <c r="D137" s="90"/>
      <c r="E137" s="90"/>
      <c r="F137" s="90"/>
      <c r="G137" s="90"/>
      <c r="H137" s="90"/>
      <c r="I137" s="90"/>
      <c r="J137" s="90"/>
    </row>
    <row r="138" spans="1:10" ht="18.75" customHeight="1" x14ac:dyDescent="0.15">
      <c r="A138" s="90"/>
      <c r="B138" s="90"/>
      <c r="C138" s="90"/>
      <c r="D138" s="90"/>
      <c r="E138" s="90"/>
      <c r="F138" s="90"/>
      <c r="G138" s="90"/>
      <c r="H138" s="90"/>
      <c r="I138" s="90"/>
      <c r="J138" s="90"/>
    </row>
    <row r="139" spans="1:10" ht="18.75" customHeight="1" x14ac:dyDescent="0.15">
      <c r="A139" s="90"/>
      <c r="B139" s="90"/>
      <c r="C139" s="90"/>
      <c r="D139" s="90"/>
      <c r="E139" s="90"/>
      <c r="F139" s="90"/>
      <c r="G139" s="90"/>
      <c r="H139" s="90"/>
      <c r="I139" s="90"/>
      <c r="J139" s="90"/>
    </row>
    <row r="140" spans="1:10" ht="14.25" x14ac:dyDescent="0.15">
      <c r="A140" s="90"/>
      <c r="B140" s="90"/>
      <c r="C140" s="90"/>
      <c r="D140" s="90"/>
      <c r="E140" s="90"/>
      <c r="F140" s="90"/>
      <c r="G140" s="90"/>
      <c r="H140" s="90"/>
      <c r="I140" s="90"/>
      <c r="J140" s="90"/>
    </row>
    <row r="141" spans="1:10" ht="7.5" customHeight="1" x14ac:dyDescent="0.15">
      <c r="A141" s="100"/>
      <c r="B141" s="100"/>
      <c r="C141" s="100"/>
      <c r="D141" s="100"/>
      <c r="E141" s="100"/>
      <c r="F141" s="100"/>
      <c r="G141" s="100"/>
      <c r="H141" s="100"/>
      <c r="I141" s="100"/>
      <c r="J141" s="100"/>
    </row>
  </sheetData>
  <mergeCells count="11">
    <mergeCell ref="B31:J44"/>
    <mergeCell ref="A2:J2"/>
    <mergeCell ref="B5:J5"/>
    <mergeCell ref="B8:J12"/>
    <mergeCell ref="B15:J25"/>
    <mergeCell ref="B30:J30"/>
    <mergeCell ref="B47:J63"/>
    <mergeCell ref="B66:J83"/>
    <mergeCell ref="B86:J105"/>
    <mergeCell ref="B107:J107"/>
    <mergeCell ref="B108:J126"/>
  </mergeCells>
  <phoneticPr fontId="1"/>
  <printOptions horizontalCentered="1"/>
  <pageMargins left="0.23622047244094491" right="0.23622047244094491" top="0.74803149606299213" bottom="0.74803149606299213" header="0.31496062992125984" footer="0.31496062992125984"/>
  <pageSetup paperSize="9" scale="90" orientation="portrait" r:id="rId1"/>
  <rowBreaks count="3" manualBreakCount="3">
    <brk id="25" max="9" man="1"/>
    <brk id="64" max="9" man="1"/>
    <brk id="84"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26"/>
  <sheetViews>
    <sheetView showZeros="0" view="pageBreakPreview" zoomScaleNormal="100" zoomScaleSheetLayoutView="100" workbookViewId="0">
      <selection activeCell="E11" sqref="E11:J11"/>
    </sheetView>
  </sheetViews>
  <sheetFormatPr defaultColWidth="11.375" defaultRowHeight="22.5" customHeight="1" x14ac:dyDescent="0.15"/>
  <cols>
    <col min="1" max="3" width="2.75" style="72" customWidth="1"/>
    <col min="4" max="4" width="22.25" style="72" customWidth="1"/>
    <col min="5" max="5" width="21.625" style="72" customWidth="1"/>
    <col min="6" max="7" width="7.75" style="72" customWidth="1"/>
    <col min="8" max="8" width="33.375" style="72" customWidth="1"/>
    <col min="9" max="9" width="24.5" style="72" customWidth="1"/>
    <col min="10" max="10" width="5.5" style="72" customWidth="1"/>
    <col min="11" max="11" width="4.125" style="72" customWidth="1"/>
    <col min="12" max="16384" width="11.375" style="72"/>
  </cols>
  <sheetData>
    <row r="1" spans="1:11" ht="18.75" customHeight="1" x14ac:dyDescent="0.15">
      <c r="A1" s="72" t="s">
        <v>124</v>
      </c>
      <c r="J1" s="84" t="s">
        <v>73</v>
      </c>
    </row>
    <row r="2" spans="1:11" ht="18.75" customHeight="1" x14ac:dyDescent="0.15">
      <c r="A2" s="212" t="s">
        <v>42</v>
      </c>
      <c r="B2" s="212"/>
      <c r="C2" s="212"/>
      <c r="D2" s="212"/>
      <c r="E2" s="212"/>
      <c r="F2" s="212"/>
      <c r="G2" s="212"/>
      <c r="H2" s="212"/>
      <c r="I2" s="212"/>
      <c r="J2" s="212"/>
    </row>
    <row r="3" spans="1:11" ht="7.5" customHeight="1" x14ac:dyDescent="0.15">
      <c r="A3" s="83"/>
      <c r="B3" s="83"/>
      <c r="C3" s="83"/>
      <c r="D3" s="83"/>
      <c r="E3" s="83"/>
      <c r="F3" s="83"/>
      <c r="G3" s="83"/>
      <c r="H3" s="83"/>
      <c r="I3" s="83"/>
      <c r="J3" s="83"/>
    </row>
    <row r="4" spans="1:11" ht="18.75" customHeight="1" x14ac:dyDescent="0.15">
      <c r="A4" s="72" t="s">
        <v>6</v>
      </c>
      <c r="B4" s="72" t="s">
        <v>41</v>
      </c>
      <c r="C4" s="90"/>
      <c r="D4" s="90"/>
      <c r="E4" s="90"/>
      <c r="F4" s="90"/>
      <c r="G4" s="90"/>
      <c r="H4" s="90"/>
      <c r="I4" s="90"/>
      <c r="J4" s="90"/>
    </row>
    <row r="5" spans="1:11" ht="18.75" customHeight="1" x14ac:dyDescent="0.15">
      <c r="B5" s="167" t="s">
        <v>38</v>
      </c>
      <c r="C5" s="168"/>
      <c r="D5" s="169"/>
      <c r="E5" s="168" t="s">
        <v>40</v>
      </c>
      <c r="F5" s="168"/>
      <c r="G5" s="168"/>
      <c r="H5" s="168"/>
      <c r="I5" s="168"/>
      <c r="J5" s="169"/>
    </row>
    <row r="6" spans="1:11" ht="18.75" customHeight="1" x14ac:dyDescent="0.15">
      <c r="B6" s="74" t="s">
        <v>28</v>
      </c>
      <c r="C6" s="90"/>
      <c r="D6" s="91"/>
      <c r="I6" s="90"/>
      <c r="J6" s="91"/>
    </row>
    <row r="7" spans="1:11" ht="107.25" customHeight="1" x14ac:dyDescent="0.15">
      <c r="B7" s="92"/>
      <c r="C7" s="295" t="s">
        <v>29</v>
      </c>
      <c r="D7" s="296"/>
      <c r="E7" s="301" t="s">
        <v>194</v>
      </c>
      <c r="F7" s="302"/>
      <c r="G7" s="302"/>
      <c r="H7" s="302"/>
      <c r="I7" s="302"/>
      <c r="J7" s="303"/>
      <c r="K7" s="72" t="str">
        <f>IF(E7="","入力してください","")</f>
        <v/>
      </c>
    </row>
    <row r="8" spans="1:11" ht="84.75" customHeight="1" x14ac:dyDescent="0.15">
      <c r="B8" s="92"/>
      <c r="C8" s="304" t="s">
        <v>30</v>
      </c>
      <c r="D8" s="305"/>
      <c r="E8" s="301" t="s">
        <v>195</v>
      </c>
      <c r="F8" s="297"/>
      <c r="G8" s="297"/>
      <c r="H8" s="297"/>
      <c r="I8" s="297"/>
      <c r="J8" s="298"/>
      <c r="K8" s="72" t="str">
        <f t="shared" ref="K8:K16" si="0">IF(E8="","入力してください","")</f>
        <v/>
      </c>
    </row>
    <row r="9" spans="1:11" ht="79.5" customHeight="1" x14ac:dyDescent="0.15">
      <c r="B9" s="92"/>
      <c r="C9" s="295" t="s">
        <v>31</v>
      </c>
      <c r="D9" s="296"/>
      <c r="E9" s="301" t="s">
        <v>196</v>
      </c>
      <c r="F9" s="302"/>
      <c r="G9" s="302"/>
      <c r="H9" s="302"/>
      <c r="I9" s="302"/>
      <c r="J9" s="303"/>
      <c r="K9" s="72" t="str">
        <f t="shared" si="0"/>
        <v/>
      </c>
    </row>
    <row r="10" spans="1:11" ht="90" customHeight="1" x14ac:dyDescent="0.15">
      <c r="B10" s="92"/>
      <c r="C10" s="295" t="s">
        <v>32</v>
      </c>
      <c r="D10" s="296"/>
      <c r="E10" s="301" t="s">
        <v>197</v>
      </c>
      <c r="F10" s="297"/>
      <c r="G10" s="297"/>
      <c r="H10" s="297"/>
      <c r="I10" s="297"/>
      <c r="J10" s="298"/>
      <c r="K10" s="72" t="str">
        <f t="shared" si="0"/>
        <v/>
      </c>
    </row>
    <row r="11" spans="1:11" ht="110.25" customHeight="1" x14ac:dyDescent="0.15">
      <c r="B11" s="92"/>
      <c r="C11" s="295" t="s">
        <v>33</v>
      </c>
      <c r="D11" s="296"/>
      <c r="E11" s="306" t="s">
        <v>207</v>
      </c>
      <c r="F11" s="307"/>
      <c r="G11" s="307"/>
      <c r="H11" s="307"/>
      <c r="I11" s="307"/>
      <c r="J11" s="308"/>
      <c r="K11" s="72" t="str">
        <f t="shared" si="0"/>
        <v/>
      </c>
    </row>
    <row r="12" spans="1:11" ht="18.75" customHeight="1" x14ac:dyDescent="0.15">
      <c r="B12" s="93" t="s">
        <v>34</v>
      </c>
      <c r="C12" s="94"/>
      <c r="D12" s="95"/>
      <c r="E12" s="96"/>
      <c r="F12" s="96"/>
      <c r="G12" s="96"/>
      <c r="H12" s="96"/>
      <c r="I12" s="96"/>
      <c r="J12" s="97"/>
    </row>
    <row r="13" spans="1:11" ht="117" customHeight="1" x14ac:dyDescent="0.15">
      <c r="B13" s="92"/>
      <c r="C13" s="295" t="s">
        <v>35</v>
      </c>
      <c r="D13" s="296"/>
      <c r="E13" s="297" t="s">
        <v>198</v>
      </c>
      <c r="F13" s="297"/>
      <c r="G13" s="297"/>
      <c r="H13" s="297"/>
      <c r="I13" s="297"/>
      <c r="J13" s="298"/>
      <c r="K13" s="72" t="str">
        <f t="shared" si="0"/>
        <v/>
      </c>
    </row>
    <row r="14" spans="1:11" ht="97.5" customHeight="1" x14ac:dyDescent="0.15">
      <c r="B14" s="92"/>
      <c r="C14" s="295" t="s">
        <v>36</v>
      </c>
      <c r="D14" s="296"/>
      <c r="E14" s="297" t="s">
        <v>199</v>
      </c>
      <c r="F14" s="297"/>
      <c r="G14" s="297"/>
      <c r="H14" s="297"/>
      <c r="I14" s="297"/>
      <c r="J14" s="298"/>
      <c r="K14" s="72" t="str">
        <f t="shared" si="0"/>
        <v/>
      </c>
    </row>
    <row r="15" spans="1:11" ht="152.25" customHeight="1" x14ac:dyDescent="0.15">
      <c r="B15" s="299" t="s">
        <v>37</v>
      </c>
      <c r="C15" s="300"/>
      <c r="D15" s="296"/>
      <c r="E15" s="297" t="s">
        <v>200</v>
      </c>
      <c r="F15" s="297"/>
      <c r="G15" s="297"/>
      <c r="H15" s="297"/>
      <c r="I15" s="297"/>
      <c r="J15" s="298"/>
      <c r="K15" s="72" t="str">
        <f t="shared" si="0"/>
        <v/>
      </c>
    </row>
    <row r="16" spans="1:11" ht="108" customHeight="1" x14ac:dyDescent="0.15">
      <c r="B16" s="289" t="s">
        <v>66</v>
      </c>
      <c r="C16" s="290"/>
      <c r="D16" s="291"/>
      <c r="E16" s="284" t="s">
        <v>201</v>
      </c>
      <c r="F16" s="284"/>
      <c r="G16" s="284"/>
      <c r="H16" s="284"/>
      <c r="I16" s="284"/>
      <c r="J16" s="285"/>
      <c r="K16" s="72" t="str">
        <f t="shared" si="0"/>
        <v/>
      </c>
    </row>
    <row r="17" spans="1:11" ht="7.5" customHeight="1" x14ac:dyDescent="0.15">
      <c r="B17" s="90"/>
      <c r="C17" s="90"/>
      <c r="D17" s="90"/>
      <c r="E17" s="90"/>
      <c r="F17" s="90"/>
      <c r="G17" s="90"/>
      <c r="H17" s="90"/>
      <c r="I17" s="90"/>
      <c r="J17" s="90"/>
    </row>
    <row r="18" spans="1:11" ht="18.75" customHeight="1" x14ac:dyDescent="0.15">
      <c r="A18" s="72" t="s">
        <v>125</v>
      </c>
      <c r="C18" s="90"/>
      <c r="D18" s="90"/>
      <c r="E18" s="90"/>
      <c r="F18" s="98"/>
      <c r="G18" s="292" t="s">
        <v>203</v>
      </c>
      <c r="H18" s="293"/>
      <c r="I18" s="293"/>
      <c r="J18" s="294"/>
      <c r="K18" s="72" t="str">
        <f>IF(G18="","公表は必須事項です","")</f>
        <v/>
      </c>
    </row>
    <row r="19" spans="1:11" ht="22.5" customHeight="1" x14ac:dyDescent="0.15">
      <c r="B19" s="90"/>
      <c r="C19" s="90"/>
      <c r="D19" s="90"/>
      <c r="E19" s="90"/>
      <c r="F19" s="90"/>
      <c r="G19" s="90"/>
      <c r="H19" s="90"/>
      <c r="I19" s="90"/>
      <c r="J19" s="90"/>
    </row>
    <row r="20" spans="1:11" ht="22.5" customHeight="1" x14ac:dyDescent="0.15">
      <c r="B20" s="90"/>
      <c r="C20" s="90"/>
      <c r="D20" s="90"/>
      <c r="E20" s="90"/>
      <c r="F20" s="90"/>
      <c r="G20" s="90"/>
      <c r="H20" s="90"/>
      <c r="I20" s="90"/>
      <c r="J20" s="90"/>
    </row>
    <row r="21" spans="1:11" ht="22.5" customHeight="1" x14ac:dyDescent="0.15">
      <c r="B21" s="90"/>
      <c r="C21" s="90"/>
      <c r="D21" s="90"/>
      <c r="E21" s="90"/>
      <c r="F21" s="90"/>
      <c r="G21" s="90"/>
      <c r="H21" s="90"/>
      <c r="I21" s="90"/>
      <c r="J21" s="90"/>
    </row>
    <row r="22" spans="1:11" ht="22.5" customHeight="1" x14ac:dyDescent="0.15">
      <c r="B22" s="90"/>
      <c r="C22" s="90"/>
      <c r="D22" s="90"/>
      <c r="E22" s="90"/>
      <c r="F22" s="90"/>
      <c r="G22" s="90"/>
      <c r="H22" s="90"/>
      <c r="I22" s="90"/>
      <c r="J22" s="90"/>
    </row>
    <row r="23" spans="1:11" ht="22.5" customHeight="1" x14ac:dyDescent="0.15">
      <c r="B23" s="90"/>
      <c r="C23" s="90"/>
      <c r="D23" s="90"/>
      <c r="E23" s="90"/>
      <c r="F23" s="90"/>
      <c r="G23" s="90"/>
      <c r="H23" s="90"/>
      <c r="I23" s="90"/>
      <c r="J23" s="90"/>
    </row>
    <row r="24" spans="1:11" ht="22.5" customHeight="1" x14ac:dyDescent="0.15">
      <c r="B24" s="76"/>
      <c r="C24" s="76"/>
      <c r="D24" s="76"/>
      <c r="E24" s="76"/>
      <c r="F24" s="76"/>
      <c r="G24" s="76"/>
      <c r="H24" s="76"/>
      <c r="I24" s="76"/>
      <c r="J24" s="76"/>
    </row>
    <row r="25" spans="1:11" ht="22.5" customHeight="1" x14ac:dyDescent="0.15">
      <c r="B25" s="76"/>
      <c r="C25" s="76"/>
      <c r="D25" s="76"/>
      <c r="E25" s="76"/>
      <c r="F25" s="76"/>
      <c r="G25" s="76"/>
      <c r="H25" s="76"/>
      <c r="I25" s="76"/>
      <c r="J25" s="76"/>
    </row>
    <row r="26" spans="1:11" ht="22.5" customHeight="1" x14ac:dyDescent="0.15">
      <c r="B26" s="76"/>
      <c r="C26" s="76"/>
      <c r="D26" s="76"/>
      <c r="E26" s="76"/>
      <c r="F26" s="76"/>
      <c r="G26" s="76"/>
      <c r="H26" s="76"/>
      <c r="I26" s="76"/>
      <c r="J26" s="7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scale="63"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
  <sheetViews>
    <sheetView workbookViewId="0">
      <selection sqref="A1:XFD1048576"/>
    </sheetView>
  </sheetViews>
  <sheetFormatPr defaultRowHeight="13.5" x14ac:dyDescent="0.15"/>
  <sheetData/>
  <phoneticPr fontId="1"/>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Sheet1</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東北学院大学政策支援IR課</cp:lastModifiedBy>
  <cp:lastPrinted>2022-04-23T02:32:28Z</cp:lastPrinted>
  <dcterms:created xsi:type="dcterms:W3CDTF">2011-06-14T05:32:50Z</dcterms:created>
  <dcterms:modified xsi:type="dcterms:W3CDTF">2022-05-27T02:36:23Z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