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8"/>
  <workbookPr defaultThemeVersion="124226"/>
  <mc:AlternateContent xmlns:mc="http://schemas.openxmlformats.org/markup-compatibility/2006">
    <mc:Choice Requires="x15">
      <x15ac:absPath xmlns:x15ac="http://schemas.microsoft.com/office/spreadsheetml/2010/11/ac" url="/Users/WUSHUYA/Documents/！仕事Doing/データサイエンス教育/"/>
    </mc:Choice>
  </mc:AlternateContent>
  <xr:revisionPtr revIDLastSave="0" documentId="13_ncr:1_{9F5E1658-5476-F84E-A54B-A880F07B4C18}" xr6:coauthVersionLast="47" xr6:coauthVersionMax="47" xr10:uidLastSave="{00000000-0000-0000-0000-000000000000}"/>
  <bookViews>
    <workbookView xWindow="0" yWindow="0" windowWidth="23900" windowHeight="21600" tabRatio="885" firstSheet="1" activeTab="3"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教育の質・履修者数を向上させるための体制・計画'!$A$1:$J$128</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2" i="41"/>
  <c r="K90"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<sst xmlns="http://schemas.openxmlformats.org/spreadsheetml/2006/main" count="333" uniqueCount="208">
  <si>
    <t>教員数</t>
    <rPh sb="0" eb="2">
      <t>キョウイン</t>
    </rPh>
    <rPh sb="2" eb="3">
      <t>スウ</t>
    </rPh>
    <phoneticPr fontId="2"/>
  </si>
  <si>
    <t>所属部署名</t>
    <rPh sb="0" eb="2">
      <t>ショゾク</t>
    </rPh>
    <rPh sb="2" eb="4">
      <t>ブショ</t>
    </rPh>
    <rPh sb="4" eb="5">
      <t>メイ</t>
    </rPh>
    <phoneticPr fontId="2"/>
  </si>
  <si>
    <t>担当者名</t>
    <rPh sb="0" eb="2">
      <t>タントウ</t>
    </rPh>
    <rPh sb="2" eb="3">
      <t>シャ</t>
    </rPh>
    <rPh sb="3" eb="4">
      <t>メイ</t>
    </rPh>
    <phoneticPr fontId="2"/>
  </si>
  <si>
    <t>電話番号</t>
  </si>
  <si>
    <t>E-mail</t>
  </si>
  <si>
    <t>（常勤）</t>
    <rPh sb="1" eb="3">
      <t>ジョウキン</t>
    </rPh>
    <phoneticPr fontId="2"/>
  </si>
  <si>
    <t>①</t>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</si>
  <si>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</si>
  <si>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</si>
  <si>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</si>
  <si>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</si>
  <si>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</si>
  <si>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</si>
  <si>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④</t>
    <phoneticPr fontId="2"/>
  </si>
  <si>
    <t>⑥</t>
    <phoneticPr fontId="2"/>
  </si>
  <si>
    <t>具体的な構成員</t>
    <rPh sb="0" eb="3">
      <t>グタイテキ</t>
    </rPh>
    <rPh sb="4" eb="7">
      <t>コウセイイン</t>
    </rPh>
    <phoneticPr fontId="2"/>
  </si>
  <si>
    <t>学校名</t>
    <rPh sb="0" eb="2">
      <t>ガッコウ</t>
    </rPh>
    <rPh sb="2" eb="3">
      <t>メイ</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</si>
  <si>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</si>
  <si>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</si>
  <si>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</si>
  <si>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</si>
  <si>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人</t>
  </si>
  <si>
    <t>人</t>
    <rPh sb="0" eb="1">
      <t>ニン</t>
    </rPh>
    <phoneticPr fontId="2"/>
  </si>
  <si>
    <t>（役職名）</t>
    <rPh sb="1" eb="4">
      <t>ヤクショクメイ</t>
    </rPh>
    <phoneticPr fontId="2"/>
  </si>
  <si>
    <t>⑩</t>
    <phoneticPr fontId="2"/>
  </si>
  <si>
    <t>様式１</t>
    <rPh sb="0" eb="2">
      <t>ヨウシキ</t>
    </rPh>
    <phoneticPr fontId="2"/>
  </si>
  <si>
    <t>履修者数・履修率の向上に向けた計画</t>
    <rPh sb="5" eb="7">
      <t>リシュウ</t>
    </rPh>
    <rPh sb="7" eb="8">
      <t>リツ</t>
    </rPh>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</si>
  <si>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</si>
  <si>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</si>
  <si>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</si>
  <si>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</si>
  <si>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</si>
  <si>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</si>
  <si>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</si>
  <si>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</si>
  <si>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</si>
  <si>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</si>
  <si>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</si>
  <si>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</si>
  <si>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</si>
  <si>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</si>
  <si>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</si>
  <si>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</si>
  <si>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</si>
  <si>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履修者数</t>
    <rPh sb="0" eb="2">
      <t>リシュウ</t>
    </rPh>
    <rPh sb="2" eb="3">
      <t>シャ</t>
    </rPh>
    <rPh sb="3" eb="4">
      <t>スウ</t>
    </rPh>
    <phoneticPr fontId="2"/>
  </si>
  <si>
    <t>所在地</t>
    <phoneticPr fontId="2"/>
  </si>
  <si>
    <t>５年次</t>
    <rPh sb="1" eb="2">
      <t>ネン</t>
    </rPh>
    <rPh sb="2" eb="3">
      <t>ツギ</t>
    </rPh>
    <phoneticPr fontId="2"/>
  </si>
  <si>
    <t>６年次</t>
    <rPh sb="1" eb="2">
      <t>ネン</t>
    </rPh>
    <rPh sb="2" eb="3">
      <t>ツギ</t>
    </rPh>
    <phoneticPr fontId="2"/>
  </si>
  <si>
    <t>②</t>
    <phoneticPr fontId="2"/>
  </si>
  <si>
    <t>大学等の設置者</t>
  </si>
  <si>
    <t>⑫</t>
    <phoneticPr fontId="2"/>
  </si>
  <si>
    <t>人</t>
    <rPh sb="0" eb="1">
      <t>ニン</t>
    </rPh>
    <phoneticPr fontId="2"/>
  </si>
  <si>
    <t>総数</t>
    <rPh sb="0" eb="2">
      <t>ソウスウ</t>
    </rPh>
    <phoneticPr fontId="2"/>
  </si>
  <si>
    <t>⑧</t>
    <phoneticPr fontId="2"/>
  </si>
  <si>
    <t>⑬</t>
    <phoneticPr fontId="2"/>
  </si>
  <si>
    <t>（役職名）</t>
    <rPh sb="1" eb="4">
      <t>ヤクショクメイ</t>
    </rPh>
    <phoneticPr fontId="2"/>
  </si>
  <si>
    <t>履修率</t>
    <rPh sb="0" eb="2">
      <t>リシュウ</t>
    </rPh>
    <rPh sb="2" eb="3">
      <t>リツ</t>
    </rPh>
    <phoneticPr fontId="2"/>
  </si>
  <si>
    <t>合　計</t>
    <phoneticPr fontId="2"/>
  </si>
  <si>
    <t>⑥</t>
    <phoneticPr fontId="2"/>
  </si>
  <si>
    <t>プログラムの開設年度</t>
    <rPh sb="6" eb="8">
      <t>カイセツ</t>
    </rPh>
    <rPh sb="8" eb="10">
      <t>ネンド</t>
    </rPh>
    <phoneticPr fontId="2"/>
  </si>
  <si>
    <t>⑨</t>
    <phoneticPr fontId="2"/>
  </si>
  <si>
    <t>⑭</t>
    <phoneticPr fontId="2"/>
  </si>
  <si>
    <t>履修者数
合計</t>
    <rPh sb="0" eb="2">
      <t>リシュウ</t>
    </rPh>
    <rPh sb="2" eb="3">
      <t>シャ</t>
    </rPh>
    <rPh sb="3" eb="4">
      <t>スウ</t>
    </rPh>
    <rPh sb="5" eb="7">
      <t>ゴウケイ</t>
    </rPh>
    <phoneticPr fontId="2"/>
  </si>
  <si>
    <t>様式３</t>
    <rPh sb="0" eb="2">
      <t>ヨウシキ</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</si>
  <si>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</si>
  <si>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</si>
  <si>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</si>
  <si>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プログラムを構成する授業科目について</t>
    <phoneticPr fontId="2"/>
  </si>
  <si>
    <t>収容
定員</t>
    <rPh sb="0" eb="2">
      <t>シュウヨウ</t>
    </rPh>
    <rPh sb="3" eb="5">
      <t>テイイン</t>
    </rPh>
    <phoneticPr fontId="2"/>
  </si>
  <si>
    <t>申請する認定プログラム</t>
    <rPh sb="0" eb="2">
      <t>シンセイ</t>
    </rPh>
    <rPh sb="4" eb="6">
      <t>ニンテイ</t>
    </rPh>
    <phoneticPr fontId="2"/>
  </si>
  <si>
    <t>プログラムの授業を教えている教員数</t>
    <rPh sb="6" eb="8">
      <t>ジュギョウ</t>
    </rPh>
    <rPh sb="9" eb="10">
      <t>オシ</t>
    </rPh>
    <rPh sb="14" eb="16">
      <t>キョウイン</t>
    </rPh>
    <rPh sb="16" eb="17">
      <t>スウ</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</si>
  <si>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</si>
  <si>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</si>
  <si>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様式５</t>
    <rPh sb="0" eb="2">
      <t>ヨウシキ</t>
    </rPh>
    <phoneticPr fontId="2"/>
  </si>
  <si>
    <t>（責任者名）</t>
    <rPh sb="1" eb="4">
      <t>セキニンシャ</t>
    </rPh>
    <rPh sb="4" eb="5">
      <t>メイ</t>
    </rPh>
    <phoneticPr fontId="2"/>
  </si>
  <si>
    <t>プログラムの運営責任者</t>
    <phoneticPr fontId="2"/>
  </si>
  <si>
    <t>⑪</t>
    <phoneticPr fontId="2"/>
  </si>
  <si>
    <t>全学部・学科の入学定員</t>
    <rPh sb="0" eb="1">
      <t>ゼン</t>
    </rPh>
    <rPh sb="4" eb="6">
      <t>ガッカ</t>
    </rPh>
    <rPh sb="7" eb="9">
      <t>ニュウガク</t>
    </rPh>
    <rPh sb="9" eb="11">
      <t>テイイン</t>
    </rPh>
    <phoneticPr fontId="2"/>
  </si>
  <si>
    <t>全学部・学科の学生数（学年別）</t>
    <rPh sb="0" eb="1">
      <t>ゼン</t>
    </rPh>
    <rPh sb="4" eb="6">
      <t>ガッカ</t>
    </rPh>
    <rPh sb="7" eb="10">
      <t>ガクセイスウ</t>
    </rPh>
    <rPh sb="11" eb="13">
      <t>ガクネン</t>
    </rPh>
    <rPh sb="13" eb="14">
      <t>ベツ</t>
    </rPh>
    <phoneticPr fontId="2"/>
  </si>
  <si>
    <t>学部・学科名称</t>
    <rPh sb="0" eb="2">
      <t>ガクブ</t>
    </rPh>
    <rPh sb="3" eb="5">
      <t>ガッカ</t>
    </rPh>
    <rPh sb="5" eb="7">
      <t>メイショウ</t>
    </rPh>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</si>
  <si>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</si>
  <si>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</si>
  <si>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授業時間内外で学習指導、質問を受け付ける具体的な仕組み</t>
    <rPh sb="20" eb="23">
      <t>グタイテキ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</si>
  <si>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</si>
  <si>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入学
定員</t>
    <rPh sb="0" eb="2">
      <t>ニュウガク</t>
    </rPh>
    <rPh sb="3" eb="5">
      <t>テイイン</t>
    </rPh>
    <phoneticPr fontId="2"/>
  </si>
  <si>
    <t>申請するプログラム名称</t>
    <rPh sb="0" eb="2">
      <t>シンセイ</t>
    </rPh>
    <rPh sb="9" eb="11">
      <t>メイショウ</t>
    </rPh>
    <phoneticPr fontId="2"/>
  </si>
  <si>
    <t>③</t>
  </si>
  <si>
    <t>設置形態</t>
    <phoneticPr fontId="2"/>
  </si>
  <si>
    <t>⑮</t>
    <phoneticPr fontId="2"/>
  </si>
  <si>
    <t>プログラムの履修者数等の実績について</t>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</si>
  <si>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</si>
  <si>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</si>
  <si>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</si>
  <si>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</si>
  <si>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</si>
  <si>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</si>
  <si>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年度</t>
    <rPh sb="0" eb="2">
      <t>ネンド</t>
    </rPh>
    <phoneticPr fontId="2"/>
  </si>
  <si>
    <t>⑦応用基礎レベルの申請の有無</t>
    <phoneticPr fontId="2"/>
  </si>
  <si>
    <t>連絡先</t>
  </si>
  <si>
    <t>①具体的な修了要件</t>
    <phoneticPr fontId="2"/>
  </si>
  <si>
    <t>授業科目</t>
    <rPh sb="0" eb="2">
      <t>ジュギョウ</t>
    </rPh>
    <rPh sb="2" eb="4">
      <t>カモク</t>
    </rPh>
    <phoneticPr fontId="2"/>
  </si>
  <si>
    <t>開講状況</t>
    <phoneticPr fontId="2"/>
  </si>
  <si>
    <t>授業に含まれている内容・要素</t>
    <phoneticPr fontId="2"/>
  </si>
  <si>
    <t>講義内容</t>
    <rPh sb="0" eb="2">
      <t>コウギ</t>
    </rPh>
    <rPh sb="2" eb="4">
      <t>ナイヨウ</t>
    </rPh>
    <phoneticPr fontId="2"/>
  </si>
  <si>
    <t>1-1</t>
    <phoneticPr fontId="2"/>
  </si>
  <si>
    <t>2-1</t>
    <phoneticPr fontId="2"/>
  </si>
  <si>
    <t>3-1</t>
    <phoneticPr fontId="2"/>
  </si>
  <si>
    <t>1-6</t>
  </si>
  <si>
    <t>3-2</t>
    <phoneticPr fontId="2"/>
  </si>
  <si>
    <t>（１）現在進行中の社会変化（第４次産業革命、Society 5.0、データ駆動型社会等）に深く寄与しているものであり、それが自らの生活と密接に結びついている</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</si>
  <si>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</si>
  <si>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</si>
  <si>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②教育プログラムの修了要件</t>
    <phoneticPr fontId="2"/>
  </si>
  <si>
    <t>年度</t>
    <rPh sb="0" eb="2">
      <t>ネンド</t>
    </rPh>
    <phoneticPr fontId="2"/>
  </si>
  <si>
    <t>　　　　　　　　　　　　　　　　　　　　　　　　　　　　　　　　　　　　　　　　　　　　　　　　　　　　　　　　　　　　　　　　　　　　　　　　　　　　　　　　　　　　　　　　　　　　　　　　　　　　　　　　　　　　　　　　　　　　　　　　　　　　　　　　　　　　　　　　　　　　　　　　　　　　　　　　　　　　　　　　　　　　　　　　　　　　　　　　　　　　　　　　　　　　　　　　　　　　　　　　　　　　　　　　　　　　　　　　　　　　　　　　　　　　　　　　　　　　　　　　　　　　　　　　　　　　　　　　　　　　　　　　　　　　　　　　　　　　　　　　　　　　　　　　　　　　　　　　　　　　　　　　　　　　　　　　　　　　　　　　　　　　　　　　　　　　　　　　　　　　　　　　　　　　　　　　　　　　　　　　　　　　　　　　　　　　　　　　　　　　　　　　　　　　　　　　　　　　　　　　　　　　　　　　　　　　　　　　　　　　　　　　　　　　　　　　　　　　　　　　　　　　　　　　　　　　　　　　　　　　　　　　　　　　　　　　　　　　　　　　　　　　　　　　　　　　　　　　　　　　　　　　　　　　　　　　　　　　　　　　　　　　　　　　　　　　　　　　　　　　　　　　　　　　　　　　　　　　　　　　　　　　　　　　　　　　　　　　　　　　　　　　　　　　　　　　　　　　　　　　　　　　　　　　　　　　　　　　　　　　　　　　　　　　　　　　　　　　　　　　　　　　　　　　　　　　　　　　　　　　　　　　　　　　　　　　　　　　　　　　　　　　　　　　　　　　　　　　　　　　　　　　　　　　　　　　　　　　　　　　　　　　　　　　　　　　　　</t>
    <phoneticPr fontId="2"/>
  </si>
  <si>
    <t>様式４</t>
    <rPh sb="0" eb="2">
      <t>ヨウシキ</t>
    </rPh>
    <phoneticPr fontId="2"/>
  </si>
  <si>
    <t>令和３年度実績</t>
    <rPh sb="0" eb="2">
      <t>レイワ</t>
    </rPh>
    <rPh sb="3" eb="5">
      <t>ネンド</t>
    </rPh>
    <rPh sb="5" eb="7">
      <t>ジッセキ</t>
    </rPh>
    <phoneticPr fontId="2"/>
  </si>
  <si>
    <t>令和４年度予定</t>
    <rPh sb="0" eb="2">
      <t>レイワ</t>
    </rPh>
    <rPh sb="3" eb="5">
      <t>ネンド</t>
    </rPh>
    <rPh sb="5" eb="7">
      <t>ヨテイ</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</si>
  <si>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</si>
  <si>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</si>
  <si>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</si>
  <si>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</si>
  <si>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</si>
  <si>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　　　　　　　　　　　　　　　　　　　　　　　　　　　　　　　　　　　　　　　　　　　　　　　　　　　　　　　　　　　　　　　　　　　　　　　　　</t>
    <phoneticPr fontId="2"/>
  </si>
  <si>
    <t>②自己点検・評価体制における意見等を公表しているアドレス</t>
    <phoneticPr fontId="2"/>
  </si>
  <si>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2"/>
  </si>
  <si>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2"/>
  </si>
  <si>
    <t>1-2</t>
    <phoneticPr fontId="2"/>
  </si>
  <si>
    <t>1-3</t>
    <phoneticPr fontId="2"/>
  </si>
  <si>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2"/>
  </si>
  <si>
    <t>1-4</t>
    <phoneticPr fontId="2"/>
  </si>
  <si>
    <t>1-5</t>
    <phoneticPr fontId="2"/>
  </si>
  <si>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2"/>
  </si>
  <si>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</si>
  <si>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2-2</t>
    <phoneticPr fontId="2"/>
  </si>
  <si>
    <t>2-3</t>
    <phoneticPr fontId="2"/>
  </si>
  <si>
    <t>⑧選択「４．オプション」の内容を含む授業科目</t>
    <rPh sb="13" eb="15">
      <t>ナイヨウ</t>
    </rPh>
    <rPh sb="16" eb="17">
      <t>フク</t>
    </rPh>
    <rPh sb="18" eb="20">
      <t>ジュギョウ</t>
    </rPh>
    <rPh sb="20" eb="22">
      <t>カモク</t>
    </rPh>
    <phoneticPr fontId="2"/>
  </si>
  <si>
    <t>1-6</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</si>
  <si>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</si>
  <si>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</si>
  <si>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必修</t>
    <rPh sb="0" eb="2">
      <t>ヒッシュウ</t>
    </rPh>
    <phoneticPr fontId="2"/>
  </si>
  <si>
    <t>単位数</t>
    <rPh sb="0" eb="3">
      <t>タンイスウ</t>
    </rPh>
    <phoneticPr fontId="2"/>
  </si>
  <si>
    <t>⑨プログラムを構成する授業の内容</t>
    <phoneticPr fontId="2"/>
  </si>
  <si>
    <t>⑩プログラムの学修成果（学生等が身に付けられる能力等）</t>
    <phoneticPr fontId="2"/>
  </si>
  <si>
    <t>⑪プログラムの授業内容等を公表しているアドレス</t>
    <phoneticPr fontId="2"/>
  </si>
  <si>
    <t>②履修者・修了者の実績</t>
    <rPh sb="1" eb="3">
      <t>リシュウ</t>
    </rPh>
    <rPh sb="3" eb="4">
      <t>シャ</t>
    </rPh>
    <rPh sb="5" eb="8">
      <t>シュウリョウシャ</t>
    </rPh>
    <rPh sb="9" eb="11">
      <t>ジッセキ</t>
    </rPh>
    <phoneticPr fontId="2"/>
  </si>
  <si>
    <t>選択項目</t>
    <rPh sb="0" eb="2">
      <t>センタク</t>
    </rPh>
    <rPh sb="2" eb="4">
      <t>コウモク</t>
    </rPh>
    <phoneticPr fontId="2"/>
  </si>
  <si>
    <t>①プログラム開設年度</t>
    <rPh sb="6" eb="8">
      <t>カイセツ</t>
    </rPh>
    <rPh sb="8" eb="10">
      <t>ネンド</t>
    </rPh>
    <phoneticPr fontId="2"/>
  </si>
  <si>
    <t>福島大学</t>
    <phoneticPr fontId="2"/>
  </si>
  <si>
    <t>国立大学法人福島大学</t>
    <phoneticPr fontId="2"/>
  </si>
  <si>
    <t>国立大学</t>
  </si>
  <si>
    <t>福島県福島市金谷川1番地</t>
    <phoneticPr fontId="2"/>
  </si>
  <si>
    <t>「解のない問い」に挑むデータサイエンス教育プログラム</t>
    <phoneticPr fontId="2"/>
  </si>
  <si>
    <t>令和３</t>
    <phoneticPr fontId="2"/>
  </si>
  <si>
    <t>無</t>
  </si>
  <si>
    <t>呉 書雅</t>
    <phoneticPr fontId="2"/>
  </si>
  <si>
    <t>基盤教育委員会</t>
    <phoneticPr fontId="2"/>
  </si>
  <si>
    <t>小野原　雅夫</t>
    <phoneticPr fontId="2"/>
  </si>
  <si>
    <t>基盤教育主管</t>
    <phoneticPr fontId="2"/>
  </si>
  <si>
    <t>認定教育プログラム</t>
  </si>
  <si>
    <t>教務課</t>
    <phoneticPr fontId="2"/>
  </si>
  <si>
    <t>長根 恵工美</t>
    <phoneticPr fontId="2"/>
  </si>
  <si>
    <t>k-kikaku@adb.fukushima-u.ac.jp</t>
    <phoneticPr fontId="2"/>
  </si>
  <si>
    <t>024-548-5203</t>
    <phoneticPr fontId="2"/>
  </si>
  <si>
    <t>学部・学科によって、修了要件は相違しない</t>
  </si>
  <si>
    <t>データサイエンス入門</t>
    <phoneticPr fontId="2"/>
  </si>
  <si>
    <t>○</t>
  </si>
  <si>
    <t>全学開講</t>
  </si>
  <si>
    <t>データ分析入門</t>
    <phoneticPr fontId="2"/>
  </si>
  <si>
    <t>○</t>
    <phoneticPr fontId="2"/>
  </si>
  <si>
    <t>本プログラムの中核である「データサイエンス入門」(必修)は、データサイエンス・AIについて企業・自治体の活用事例や演習（福島市提供のローデータの分析、政策提言）を通してわかりやすく学ぶことに主眼をおいている。さらに「データ分析入門」(選択)では、データサイエンス・AIの基礎に関する考え方を演習を通して丁寧に学ぶことができる。こうしたプログラムの構成によって、文理の境界や数学に関する得意不得意を乗り越えて、多様な学生がデータサイエンス・AIに関する概論、最新の事例、表計算ソフト等を用いたデータ分析・データ活用のノウハウについて学ぶことができると期待される。</t>
    <phoneticPr fontId="2"/>
  </si>
  <si>
    <t>食農学類（農学）</t>
    <rPh sb="5" eb="7">
      <t xml:space="preserve">ノウガク </t>
    </rPh>
    <phoneticPr fontId="2"/>
  </si>
  <si>
    <t>「解のない問い」に挑むデータサイエンス教育プログラムのカリキュラムとして修得される科目のうち２単位以上履修すること。ただし、「データサイエンス入門」は必修とする。
■「解のない問い」に挑むデータサイエンス教育プログラムのカリキュラム
基礎科目群：１．データ分析入門（選択）、２．データサイエンス入門（必修）
※「データサイエンス実践演習」は、令和４年度より「データサイエンス入門」から名称変更される。</t>
    <phoneticPr fontId="2"/>
  </si>
  <si>
    <t>全学生が受講できるようオンデマンド教材を開発する。また、令和４年度までは選択科目であった「社会とデータの基礎」を、令和５年度から１年次全学生対象の必修科目とする。</t>
    <phoneticPr fontId="2"/>
  </si>
  <si>
    <t>関連する科目のシラバスでは、当該科目を履修するように学生に周知している。
また、全学開講の選択科目であった当該科目は、令和５年度から１年次全学対象の必修科目へと拡大し、入学後のガイダンスおよび学務情報システムLive Campusで学生に周知する。</t>
    <phoneticPr fontId="2"/>
  </si>
  <si>
    <t>従来、対面を原則としたデータサイエンス教育について、できる限り多くの学生が履修・修得できるよう、共同開発した教育コンテンツを、本学のLMS（Live Campus）と連携し、多くの学生がいつでも動画の視聴、講義の閲覧が可能となる環境を構築する。</t>
    <phoneticPr fontId="2"/>
  </si>
  <si>
    <t>教育科目ごとに独自でオフィスアワーを設けること、LMS（Live Campus）やチームコラボレーションツール（Microsoft Teams、Google Glassroomなど）を活用した授業方法と連携することによって、サポート体制の充実に向けて取り込んでいる。</t>
    <phoneticPr fontId="2"/>
  </si>
  <si>
    <t>福島大学では、高等教育企画室が教育プログラムの履修・修得状況を分析し、改善に向けた取り込みを行っている。令和４年度以降、基盤教育委員会データサイエンス教育部会が、高等教育企画室と連携して、プログラムの設計・運営等に関する分析を行い、履修・修得状況を確認する。</t>
    <phoneticPr fontId="2"/>
  </si>
  <si>
    <t>学習成果は、小テスト（確認テスト）や期末課題の回答、受講生全員を対象とした授業改善アンケートの分析を通じて確認する。令和3年度のアンケート調査では、科目の受講によって、回答者の70%の学生がマインドセ ットの向上を感じていること、60%の学生が受講前と比較してデータサイエンススキルが向上したと感じていることがわかっている。
また、「データサイエンス入門」では、特に優れた学習成果をあげた学生が福島市（福島市長木幡浩氏・福島市役所）への政策提言を行っている。なお、発表会の様子は福島民報に報道されている。</t>
    <phoneticPr fontId="2"/>
  </si>
  <si>
    <t>令和４年度に基盤教育委員会データサイエンス教育部会を立ち上げた。同部会の活動を軸に、各学類におけるデータサイエンス教育科目の体系化に取り込みながら、全学向けのデータ分析・活用能力を持つ人材の育成に向けたデータサイエンス教育プログラムの構築を行っている。</t>
    <phoneticPr fontId="2"/>
  </si>
  <si>
    <t>申請段階では、教育プログラム修了者が卒業していないため（現２〜３年生）、現時点では修了者の進路などの評価ができないが、今後就職先などへの調査を通じて、活躍状況、企業等の評価を行うこととしている。</t>
    <phoneticPr fontId="2"/>
  </si>
  <si>
    <t>各回の講義でのフィードバックおよび授業アンケートを参考に、内容・水準を維持・向上しつつ、学生にわかりやすい授業内容の開発・改善を行っている。</t>
    <phoneticPr fontId="2"/>
  </si>
  <si>
    <t>授業アンケート自由記述欄から、データサイエンス科目を通じて、データ分析やデータサイエンスの知識などが高い関心を示していることを確認している。また、専用ウェブページにおいて、受講の感想等の意見を掲載し、受講の推奨に活用する。
【受講生の感想（抜粋）】
・データ分析、とても楽しかったです。
・この講義を受講してデータを扱う基本的な技術を学ぶ事が出来た。理解度としては完璧ではなかったので春休みを通して既習した内容を復習し、3セメ以降この講義の発展があったら受講してみたいと思った。
・この授業のおかげで統計学に興味が湧きました。
・とても自分の身になる授業だった。</t>
    <phoneticPr fontId="2"/>
  </si>
  <si>
    <t>令和３年度は、受講生全員を対象とした授業アンケートを実施しており、高等教育企画室で分析した。
令和３年度のアンケート調査では、回答者の約８割の学生が「科目の内容を理解できた」、約７割の学生が「シラバスに掲げられた望ましい水準を達成できた」と回答したことがわかった。また、アンケート調査の自由記述や講義でのフィードバックについて、以下の意見も多く寄せられた。
【受講生の感想（抜粋）】
・ほぼゼロからの出発だったので、わからないこともたくさんありましたが、先生のおかげで【データ分析】なんとかやってくることができました。</t>
    <phoneticPr fontId="2"/>
  </si>
  <si>
    <t>学生のアンケートの自由記述欄には、「学ぶ楽しさ」「学ぶことの意義」を理解している受講生の声が多く寄せられている。今後は、社会におけるデータサイエンスの身近な事例や各学類からの幅広い分野での応用などを紹介することで、さらに「学ぶ楽しさ」「学ぶことの意義」を理解できる学習プログラムとしていく。
【受講生の感想（抜粋）】
・データ分析、とても楽しかったです。
・講義は統計学を利用した内容やデータを用いた分析など多くのことを理解することができました。グループに分かれて分析することで仲間と協力しながら学習を進めることもできたので、私自身成長できたと思います。講義で学習したことをこれからも活かしていきたいです。</t>
    <phoneticPr fontId="2"/>
  </si>
  <si>
    <t>本学のデータサイエンス教育は、自治体・産業界と連携した教育プログラムである（講義に自治体や産業界の方々がゲストスピーカーとして授業に登壇すること、自治体（福島市）に対する政策提言に対して自治体・産業界の方々が審査・評価を行うこと）。令和４年度の段階で、定期的に自治体・産業界との意見交換や発表会を行い、自治体・産業界からの意見を教育プログラムに反映する体制を構築済みであり、プログラムに対する高い評価を得ている。</t>
    <phoneticPr fontId="2"/>
  </si>
  <si>
    <t>インターネットやSNS、スマートフォン、スマートスピーカー、自動運転といった学生にとって身近なトピックを挙げて、現在進行中の社会変化にデータサイエンスやAIが果たしている役割を理解する。（現在進行中の社会変化「データサイエンス入門」（１回目））</t>
    <phoneticPr fontId="2"/>
  </si>
  <si>
    <t>様々なデータサイエンスやAIの活用事例を提示する。講師として元 アクセンチュア株式会社デジタルコンサルティング本部　シニア・マネジャーを招聘し、講師の専門性・実務経験を活かしてアクセンチュア株式会社の事例（AIを活用した店舗在庫発注自動化データ利活用プロジェクト救急搬送時間分析等）のケーススタディを行い、データ・AIを活用したビジネスの最新動向を学ぶ。（データサイエンスやAIの活用事例「データサイエンス入門」（１・５・７回目））</t>
    <rPh sb="212" eb="214">
      <t xml:space="preserve">カイメ </t>
    </rPh>
    <phoneticPr fontId="2"/>
  </si>
  <si>
    <t>データには多様な種類が存在しており、活用の可能性は極めて膨大であることを理解する。また、調査データ・実験データ・オープンデータなどを利用するための技術が活用されていることに解説したうえで、交通オープンデータによる潜在的交通事故多発地点の検出の事例等をケーススタディとして分析し、データの活用がもたらす効果を具体的に理解する。（社会で活用されているデータ「データ分析入門」（１回目））（社会で活用されているデータ「データサイエンス入門」（１・５・７回目））</t>
    <rPh sb="163" eb="165">
      <t xml:space="preserve">シャカイデ </t>
    </rPh>
    <rPh sb="166" eb="168">
      <t xml:space="preserve">カツヨウ </t>
    </rPh>
    <rPh sb="180" eb="182">
      <t xml:space="preserve">ブンセキ </t>
    </rPh>
    <phoneticPr fontId="2"/>
  </si>
  <si>
    <t>様々な産業において、データ・AIの活用が進展していることを理解する。具体的には、データ利活用による行政機関・産業の戦略・業務高度化や、データ利活用の定着化・組織変革、市民中心型データ利用モデル構築などを事例として取り上げる。（データ活用領域「データサイエンス入門」（１・５・７回目））</t>
    <phoneticPr fontId="2"/>
  </si>
  <si>
    <t>データ解析の具体的な内容およびデータの可視化などを中心に解説する。具体的に、データ解析について、予測、グルーピング、パターン発見、最適化等、それぞれに説明する。データの可視化について、学生は実際のデータを用いて、図表の作成やマッピングなどについて練習する。（データ解析・データの可視化「データ分析入門」（７−１４回目））（データ解析・データの可視化「データサイエンス入門」４回目・８−１０回目）</t>
    <rPh sb="132" eb="134">
      <t xml:space="preserve">カイセキ </t>
    </rPh>
    <rPh sb="139" eb="142">
      <t xml:space="preserve">カシカ </t>
    </rPh>
    <rPh sb="194" eb="196">
      <t xml:space="preserve">カイメ </t>
    </rPh>
    <phoneticPr fontId="2"/>
  </si>
  <si>
    <t>アクセンチュアの事例を用いて、データ・AI活用の現場を事業の受益者の観点からだけではなく事業の提供者の観点から分析する。具体的には、医療分野における予防医療に関するビックデータ活用をケーススタディで取り上げる。また、ほかにも、観光、教育、通信、行政などの分野でデータ利活用事例も提示する。（データ利活用事例「データサイエンス入門」（１・５・７回目））</t>
    <phoneticPr fontId="2"/>
  </si>
  <si>
    <t>データ・AIを扱う際には、倫理や法律、社会的影響といった多角的な観点からの配慮・留意が必要であることを、様々な事例を通して学ぶ。特にデータの悪用・誤用についてはケーススタディを行って、深く学ぶ。（データ倫理「データ分析入門」６回目）（データ倫理「データサイエンス入門」１２回目）</t>
    <rPh sb="101" eb="103">
      <t xml:space="preserve">リンリ </t>
    </rPh>
    <rPh sb="113" eb="115">
      <t xml:space="preserve">カイメ </t>
    </rPh>
    <phoneticPr fontId="2"/>
  </si>
  <si>
    <t>データを保護するための基本的な考え方となるセキュリティやプライバシーについて学ぶ。具体的には、大学が自治体からデータを提供されたケースを取り上げて、データ利用の誓約書の作成などの際にセキュリティやプライバシーをどのように保護しているかを検討する。（情報セキュリティ「データ分析入門」６回目）（情報セキュリティ「データサイエンス入門」１２回目）</t>
    <phoneticPr fontId="2"/>
  </si>
  <si>
    <t>データを読み解くための基本的な概念（データの種類、分布、代表値、因果関係、相関関係等）を学ぶ。実データ・実課題としては、学内での社会調査の実施、自治体(福島市)から提供されるアンケート調査のデータ（ローデータ）の分析を行う。（データを読む「データ分析入門」（７−１５回目））（データを読む「データサイエンス入門」８−１５回目）</t>
    <rPh sb="117" eb="118">
      <t xml:space="preserve">ヨム </t>
    </rPh>
    <phoneticPr fontId="2"/>
  </si>
  <si>
    <t>分析結果をわかりやすく要約するための図・グラフ・表等の基本的な考え方やその活用ノウハウ(例：選挙投票率のマッピング)を学んだうえで、学内での社会調査・自治体データの分析結果をプレゼンテーションする練習を行う。また、プレゼンテーションに際しては、地域の自治体（福島市）に対する政策提言にもチャレンジする。（データを説明する「データ分析入門」（７−１５回目））（データを説明する「データサイエンス入門」８−１５回目）</t>
    <rPh sb="156" eb="158">
      <t xml:space="preserve">セツメイスル </t>
    </rPh>
    <phoneticPr fontId="2"/>
  </si>
  <si>
    <t>一般的で初歩的な表計算ソフト・統計解析ソフトを用いてデータを取り扱う方法を学ぶ。取り扱うソフトウェアはExcel、SPSS、Rとする。（データを扱う「データ分析入門」（７−１５回目））（データを扱う「データサイエンス入門」８−１５回目）</t>
    <rPh sb="72" eb="73">
      <t xml:space="preserve">アツカウ </t>
    </rPh>
    <phoneticPr fontId="2"/>
  </si>
  <si>
    <t>様式２</t>
    <phoneticPr fontId="2"/>
  </si>
  <si>
    <t>人間発達文化学類（人文科学）</t>
    <rPh sb="9" eb="11">
      <t xml:space="preserve">ジンブン </t>
    </rPh>
    <rPh sb="11" eb="13">
      <t>カガク</t>
    </rPh>
    <phoneticPr fontId="2"/>
  </si>
  <si>
    <t>行政政策学類（社会科学）</t>
    <phoneticPr fontId="2"/>
  </si>
  <si>
    <t>経済経営学類（社会科学）</t>
    <phoneticPr fontId="2"/>
  </si>
  <si>
    <t>共生システム理工学類（その他）</t>
    <rPh sb="13" eb="14">
      <t>タ</t>
    </rPh>
    <phoneticPr fontId="2"/>
  </si>
  <si>
    <t>教育推進機構　特任准教授</t>
    <rPh sb="0" eb="2">
      <t>キョウイク</t>
    </rPh>
    <rPh sb="2" eb="4">
      <t>スイシン</t>
    </rPh>
    <rPh sb="4" eb="6">
      <t>キコウ</t>
    </rPh>
    <rPh sb="7" eb="9">
      <t>トクニン</t>
    </rPh>
    <rPh sb="9" eb="12">
      <t>ジュンキョウジュ</t>
    </rPh>
    <phoneticPr fontId="2"/>
  </si>
  <si>
    <r>
      <t>基盤教育委員会</t>
    </r>
    <r>
      <rPr>
        <sz val="12"/>
        <rFont val="ＭＳ Ｐゴシック"/>
        <family val="3"/>
        <charset val="128"/>
        <scheme val="minor"/>
      </rPr>
      <t>規程</t>
    </r>
    <phoneticPr fontId="2"/>
  </si>
  <si>
    <r>
      <rPr>
        <sz val="9"/>
        <rFont val="ＭＳ Ｐゴシック"/>
        <family val="3"/>
        <charset val="128"/>
      </rPr>
      <t>(審議事項)　第２条　委員会は、次の各号に掲げる事項を審議する。
一　基盤教育の基本方針、運営体制及び組織に関すること。
二　基盤教育の教育課程、授業科目、単位数及び履修方法に関すること。
三　基盤教育の教育内容の改善・充実に関すること。
四　その他基盤教育の運営に関する事項
※備考：令和３年度から以下の事項について審議を行った。</t>
    </r>
    <r>
      <rPr>
        <sz val="9"/>
        <rFont val="ＭＳ Ｐゴシック"/>
        <family val="3"/>
        <charset val="128"/>
        <scheme val="minor"/>
      </rPr>
      <t>①数理・データサイエンス・ＡＩ教育プログラムの開講計画及び運営、②数理・データサイエンス・ＡＩ教育プログラムの改善及び充実。</t>
    </r>
    <rPh sb="138" eb="141">
      <t xml:space="preserve">ビコウ </t>
    </rPh>
    <rPh sb="142" eb="143">
      <t>_x0000__x0003_</t>
    </rPh>
    <rPh sb="148" eb="150">
      <t>_x0004__x0001__x0007__x0002__x000B__x0002__x000F__x0002__x0017__x0002__x0000_</t>
    </rPh>
    <phoneticPr fontId="2"/>
  </si>
  <si>
    <t>基盤教育主管・基盤教育委員会委員長　小野原　雅夫
教育推進機構　特任准教授　呉　書雅</t>
    <rPh sb="25" eb="27">
      <t>キョウイク</t>
    </rPh>
    <rPh sb="27" eb="29">
      <t>スイシン</t>
    </rPh>
    <rPh sb="29" eb="31">
      <t>キコウ</t>
    </rPh>
    <rPh sb="32" eb="34">
      <t>トクニン</t>
    </rPh>
    <rPh sb="34" eb="37">
      <t>ジュンキョウジュ</t>
    </rPh>
    <phoneticPr fontId="2"/>
  </si>
  <si>
    <t>https://www.heps.fukushima-u.ac.jp/news/edu/619/</t>
    <phoneticPr fontId="2"/>
  </si>
  <si>
    <t>本プログラムは、「社会とデータの基礎」（オンデマンド・全学開講必修科目）から、「データ分析入門」（対面講義と演習・全学開講選択科目）、「データサイエンス実践演習」（自治体と連携したプロジェクト型演習・全学開講選択科目）へという積み上げ式のプログラムとする。
必修科目の開講は令和5年度からとする。なお、授業は動画コンテンツによるオンデマンド方式とする。工程としては、令和４年度に「社会とデータの基礎」（全学開講の選択科目）を対面授業で開講する。令和５年度から１年次全学生対象の必修科目へと拡大する。これより授業はオンデマンド方式とし、十分理解できない箇所を繰り返し聞き直すことができるよう配慮する。
※各年度の履修者数の目標は以下の通りとする。
令和３年度実績　　 88名（   2％）　　
令和４年度予定    245名（  7％）
令和５年度予定  1,110名（ 30％）
令和６年度予定　1,850名（ 50％）　
令和７年度予定  2,775名（ 75％）
令和８年度予定　3,700名（100％）
※R4以降収容定員数は3,700となる。</t>
    <rPh sb="0" eb="476">
      <t xml:space="preserve">シュウヨウ テイインスウハ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</si>
</sst>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
      <sz val="9"/>
      <name val="ＭＳ Ｐゴシック"/>
      <family val="3"/>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15">
    <xf numFmtId="0" fontId="0" fillId="0" borderId="0" xfId="0">
      <alignment vertical="center"/>
    </xf>
    <xf numFmtId="0" fontId="3" fillId="0" borderId="0" xfId="0" applyFont="1">
      <alignment vertical="center"/>
    </xf>
    <xf numFmtId="0" fontId="5" fillId="0" borderId="0" xfId="0" applyFont="1">
      <alignment vertical="center"/>
    </xf>
    <xf numFmtId="0" fontId="3" fillId="0" borderId="5" xfId="0" applyFont="1" applyBorder="1">
      <alignment vertical="center"/>
    </xf>
    <xf numFmtId="0" fontId="4" fillId="0" borderId="0" xfId="0" applyFont="1">
      <alignment vertical="center"/>
    </xf>
    <xf numFmtId="0" fontId="6" fillId="0" borderId="10" xfId="0" applyFont="1" applyBorder="1" applyAlignment="1">
      <alignmen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8" xfId="0" applyFont="1" applyBorder="1" applyAlignment="1">
      <alignment vertical="top" wrapText="1"/>
    </xf>
    <xf numFmtId="0" fontId="3" fillId="0" borderId="16"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5" fillId="0" borderId="20" xfId="0" applyFont="1" applyBorder="1" applyAlignment="1">
      <alignment vertical="top" wrapText="1"/>
    </xf>
    <xf numFmtId="0" fontId="9" fillId="0" borderId="0" xfId="0" applyFont="1" applyAlignment="1">
      <alignment horizontal="center" vertical="center"/>
    </xf>
    <xf numFmtId="0" fontId="9" fillId="0" borderId="1" xfId="0" applyFont="1" applyBorder="1" applyAlignment="1">
      <alignment vertical="center" shrinkToFit="1"/>
    </xf>
    <xf numFmtId="0" fontId="11" fillId="0" borderId="0" xfId="0" applyFont="1">
      <alignment vertical="center"/>
    </xf>
    <xf numFmtId="0" fontId="12" fillId="0" borderId="0" xfId="0" applyFont="1">
      <alignment vertical="center"/>
    </xf>
    <xf numFmtId="0" fontId="11" fillId="0" borderId="0" xfId="0" applyFont="1" applyAlignment="1">
      <alignment vertical="center"/>
    </xf>
    <xf numFmtId="0" fontId="9" fillId="0" borderId="0" xfId="0" applyFont="1" applyBorder="1" applyAlignment="1">
      <alignment horizontal="center" vertical="center"/>
    </xf>
    <xf numFmtId="0" fontId="9" fillId="0" borderId="0" xfId="0" applyFont="1" applyBorder="1" applyAlignment="1">
      <alignment vertical="center" shrinkToFit="1"/>
    </xf>
    <xf numFmtId="0" fontId="4" fillId="0" borderId="0" xfId="0" applyFont="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3"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4" fillId="0" borderId="0" xfId="0" applyFont="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0" xfId="0" applyFont="1" applyBorder="1" applyAlignment="1">
      <alignment vertical="center" shrinkToFit="1"/>
    </xf>
    <xf numFmtId="176" fontId="4" fillId="0" borderId="24" xfId="0" applyNumberFormat="1"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9" fillId="0" borderId="0" xfId="0" applyFont="1" applyBorder="1" applyAlignment="1">
      <alignment vertical="center" shrinkToFit="1"/>
    </xf>
    <xf numFmtId="0" fontId="9" fillId="0" borderId="0" xfId="0" applyFont="1" applyFill="1">
      <alignment vertical="center"/>
    </xf>
    <xf numFmtId="0" fontId="9" fillId="0" borderId="10" xfId="0" applyFont="1" applyBorder="1" applyAlignment="1">
      <alignment vertical="center" shrinkToFit="1"/>
    </xf>
    <xf numFmtId="49" fontId="18" fillId="0" borderId="1" xfId="0" applyNumberFormat="1" applyFont="1" applyBorder="1" applyAlignment="1">
      <alignment horizontal="center" vertical="center"/>
    </xf>
    <xf numFmtId="0" fontId="9" fillId="0" borderId="0" xfId="0" applyFont="1" applyAlignment="1">
      <alignment vertical="center" shrinkToFit="1"/>
    </xf>
    <xf numFmtId="0" fontId="9" fillId="0" borderId="0" xfId="0" applyFont="1" applyAlignment="1">
      <alignment vertical="top" wrapText="1"/>
    </xf>
    <xf numFmtId="0" fontId="10" fillId="0" borderId="2" xfId="0" applyFont="1" applyBorder="1">
      <alignment vertical="center"/>
    </xf>
    <xf numFmtId="0" fontId="10"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9" fillId="0" borderId="44" xfId="0" applyFont="1" applyBorder="1" applyAlignment="1">
      <alignment horizontal="center" vertical="center" shrinkToFit="1"/>
    </xf>
    <xf numFmtId="0" fontId="9"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4" fillId="0" borderId="0" xfId="0" applyFont="1" applyAlignment="1">
      <alignment horizontal="left" vertical="center"/>
    </xf>
    <xf numFmtId="0" fontId="4" fillId="0" borderId="23"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10" xfId="0"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0" xfId="0" applyFont="1" applyAlignment="1">
      <alignment vertical="top" wrapText="1"/>
    </xf>
    <xf numFmtId="0" fontId="4" fillId="0" borderId="0" xfId="0" applyFont="1" applyAlignment="1">
      <alignment vertical="center" wrapText="1"/>
    </xf>
    <xf numFmtId="0" fontId="9" fillId="0" borderId="7" xfId="0" applyFont="1" applyBorder="1" applyAlignment="1">
      <alignment horizontal="center" vertical="center" wrapText="1" shrinkToFit="1"/>
    </xf>
    <xf numFmtId="9" fontId="9" fillId="0" borderId="8" xfId="0" applyNumberFormat="1" applyFont="1" applyBorder="1" applyAlignment="1">
      <alignment horizontal="center" vertical="center" wrapText="1" shrinkToFit="1"/>
    </xf>
    <xf numFmtId="0" fontId="9" fillId="0" borderId="8" xfId="0" applyFont="1" applyBorder="1" applyAlignment="1">
      <alignment horizontal="center" vertical="center" wrapText="1" shrinkToFit="1"/>
    </xf>
    <xf numFmtId="9" fontId="9" fillId="0" borderId="8" xfId="0" applyNumberFormat="1" applyFont="1" applyBorder="1" applyAlignment="1">
      <alignment horizontal="center" vertical="center" shrinkToFit="1"/>
    </xf>
    <xf numFmtId="0" fontId="9" fillId="0" borderId="9" xfId="0" applyFont="1" applyBorder="1" applyAlignment="1">
      <alignment horizontal="center" vertical="center" shrinkToFit="1"/>
    </xf>
    <xf numFmtId="9" fontId="9" fillId="0" borderId="45" xfId="0" applyNumberFormat="1" applyFont="1" applyBorder="1" applyAlignment="1">
      <alignment horizontal="center" vertical="center" shrinkToFit="1"/>
    </xf>
    <xf numFmtId="176" fontId="9" fillId="0" borderId="45" xfId="0" applyNumberFormat="1" applyFont="1" applyBorder="1" applyAlignment="1">
      <alignment horizontal="center" vertical="center" shrinkToFit="1"/>
    </xf>
    <xf numFmtId="0" fontId="9" fillId="0" borderId="46" xfId="0" applyFont="1" applyBorder="1" applyAlignment="1">
      <alignment horizontal="center" vertical="center" shrinkToFit="1"/>
    </xf>
    <xf numFmtId="0" fontId="3"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vertical="top" wrapText="1"/>
    </xf>
    <xf numFmtId="0" fontId="9" fillId="0" borderId="2" xfId="0" applyFont="1" applyBorder="1" applyAlignment="1">
      <alignment vertical="center"/>
    </xf>
    <xf numFmtId="0" fontId="9" fillId="0" borderId="3" xfId="0" applyFont="1" applyBorder="1" applyAlignment="1">
      <alignment vertical="center"/>
    </xf>
    <xf numFmtId="0" fontId="9"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13" xfId="0" applyFont="1" applyBorder="1" applyAlignment="1">
      <alignment horizontal="center" vertical="center" shrinkToFit="1"/>
    </xf>
    <xf numFmtId="0" fontId="4" fillId="0" borderId="0" xfId="0" applyFont="1" applyBorder="1" applyAlignment="1">
      <alignment vertical="center" shrinkToFit="1"/>
    </xf>
    <xf numFmtId="0" fontId="9" fillId="0" borderId="1" xfId="0" applyFont="1" applyBorder="1" applyAlignment="1">
      <alignment horizontal="center" vertical="center" shrinkToFit="1"/>
    </xf>
    <xf numFmtId="0" fontId="9" fillId="0" borderId="18" xfId="0" applyFont="1" applyBorder="1" applyAlignment="1">
      <alignment horizontal="center" vertical="center"/>
    </xf>
    <xf numFmtId="0" fontId="9" fillId="0" borderId="42" xfId="0" applyFont="1" applyBorder="1" applyAlignment="1">
      <alignment horizontal="center" vertical="center"/>
    </xf>
    <xf numFmtId="0" fontId="9" fillId="0" borderId="38" xfId="0" applyFont="1" applyBorder="1" applyAlignment="1">
      <alignment horizontal="center" vertical="center"/>
    </xf>
    <xf numFmtId="0" fontId="9" fillId="0" borderId="43" xfId="0" applyFont="1" applyBorder="1" applyAlignment="1">
      <alignment horizontal="center" vertical="center" shrinkToFit="1"/>
    </xf>
    <xf numFmtId="0" fontId="9" fillId="0" borderId="0" xfId="0" applyFont="1" applyAlignment="1">
      <alignment vertical="center" wrapText="1"/>
    </xf>
    <xf numFmtId="0" fontId="9" fillId="0" borderId="14" xfId="0" applyFont="1" applyBorder="1" applyAlignment="1">
      <alignment horizontal="left" vertical="center" shrinkToFit="1"/>
    </xf>
    <xf numFmtId="0" fontId="9" fillId="0" borderId="23" xfId="0" applyFont="1" applyBorder="1" applyAlignment="1">
      <alignment horizontal="left" vertical="center" shrinkToFit="1"/>
    </xf>
    <xf numFmtId="0" fontId="18" fillId="0" borderId="0" xfId="0" applyFont="1" applyAlignment="1">
      <alignment vertical="top" wrapText="1"/>
    </xf>
    <xf numFmtId="0" fontId="18" fillId="0" borderId="20" xfId="0" applyFont="1" applyBorder="1" applyAlignment="1">
      <alignment vertical="top" shrinkToFit="1"/>
    </xf>
    <xf numFmtId="0" fontId="18" fillId="0" borderId="18" xfId="0" applyFont="1" applyBorder="1" applyAlignment="1">
      <alignment vertical="top" shrinkToFit="1"/>
    </xf>
    <xf numFmtId="49" fontId="8" fillId="0" borderId="2" xfId="2" applyNumberFormat="1" applyBorder="1" applyAlignment="1">
      <alignment vertical="center" shrinkToFit="1"/>
    </xf>
    <xf numFmtId="49" fontId="8" fillId="0" borderId="3" xfId="2" applyNumberFormat="1" applyBorder="1" applyAlignment="1">
      <alignment vertical="center" shrinkToFit="1"/>
    </xf>
    <xf numFmtId="49" fontId="8" fillId="0" borderId="4" xfId="2" applyNumberForma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13" fillId="0" borderId="0" xfId="0" applyFont="1" applyAlignment="1">
      <alignment horizontal="center" vertical="center"/>
    </xf>
    <xf numFmtId="0" fontId="9" fillId="0" borderId="2" xfId="0" applyNumberFormat="1" applyFont="1" applyBorder="1" applyAlignment="1">
      <alignment horizontal="center" vertical="center"/>
    </xf>
    <xf numFmtId="0" fontId="9" fillId="0" borderId="4" xfId="0" applyNumberFormat="1"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176" fontId="9" fillId="0" borderId="2" xfId="0" applyNumberFormat="1" applyFont="1" applyBorder="1" applyAlignment="1">
      <alignment horizontal="center" vertical="center"/>
    </xf>
    <xf numFmtId="176" fontId="9" fillId="0" borderId="3" xfId="0" applyNumberFormat="1" applyFont="1" applyBorder="1" applyAlignment="1">
      <alignment horizontal="center" vertical="center"/>
    </xf>
    <xf numFmtId="176" fontId="9" fillId="0" borderId="4" xfId="0" applyNumberFormat="1" applyFont="1" applyBorder="1" applyAlignment="1">
      <alignment horizontal="center" vertical="center"/>
    </xf>
    <xf numFmtId="0" fontId="9" fillId="0" borderId="0" xfId="0" applyFont="1" applyBorder="1" applyAlignment="1">
      <alignment vertical="center" shrinkToFit="1"/>
    </xf>
    <xf numFmtId="0" fontId="9" fillId="0" borderId="37" xfId="0" applyFont="1" applyBorder="1" applyAlignment="1">
      <alignment vertical="center"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37"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38" xfId="0" applyFont="1" applyBorder="1" applyAlignment="1">
      <alignment horizontal="center" vertical="center" shrinkToFit="1"/>
    </xf>
    <xf numFmtId="0" fontId="10" fillId="0" borderId="19" xfId="0" applyFont="1" applyBorder="1" applyAlignment="1">
      <alignment vertical="center" wrapText="1" shrinkToFit="1"/>
    </xf>
    <xf numFmtId="0" fontId="10" fillId="0" borderId="20" xfId="0" applyFont="1" applyBorder="1" applyAlignment="1">
      <alignment vertical="center" wrapText="1" shrinkToFit="1"/>
    </xf>
    <xf numFmtId="0" fontId="10" fillId="0" borderId="18" xfId="0" applyFont="1" applyBorder="1" applyAlignment="1">
      <alignment vertical="center" wrapText="1"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10" fillId="0" borderId="39" xfId="0" applyFont="1" applyBorder="1" applyAlignment="1">
      <alignment vertical="center" wrapText="1" shrinkToFit="1"/>
    </xf>
    <xf numFmtId="0" fontId="10" fillId="0" borderId="38" xfId="0" applyFont="1" applyBorder="1" applyAlignment="1">
      <alignment vertical="center" wrapText="1" shrinkToFit="1"/>
    </xf>
    <xf numFmtId="0" fontId="10" fillId="0" borderId="6" xfId="0" applyFont="1" applyBorder="1" applyAlignment="1">
      <alignment vertical="center" wrapText="1" shrinkToFit="1"/>
    </xf>
    <xf numFmtId="0" fontId="10" fillId="0" borderId="12" xfId="0" applyFont="1" applyBorder="1" applyAlignment="1">
      <alignment vertical="center" wrapText="1" shrinkToFit="1"/>
    </xf>
    <xf numFmtId="0" fontId="20" fillId="0" borderId="32" xfId="0" applyFont="1" applyBorder="1" applyAlignment="1">
      <alignment vertical="center" wrapText="1"/>
    </xf>
    <xf numFmtId="0" fontId="10" fillId="0" borderId="8" xfId="0" applyFont="1" applyBorder="1" applyAlignment="1">
      <alignment horizontal="left" vertical="center" wrapText="1" shrinkToFit="1"/>
    </xf>
    <xf numFmtId="0" fontId="10" fillId="0" borderId="9" xfId="0" applyFont="1" applyBorder="1" applyAlignment="1">
      <alignment horizontal="left" vertical="center" wrapText="1" shrinkToFit="1"/>
    </xf>
    <xf numFmtId="0" fontId="10" fillId="0" borderId="20" xfId="0" applyFont="1" applyBorder="1" applyAlignment="1">
      <alignment horizontal="left" vertical="center" wrapText="1" shrinkToFit="1"/>
    </xf>
    <xf numFmtId="0" fontId="10" fillId="0" borderId="18" xfId="0" applyFont="1" applyBorder="1" applyAlignment="1">
      <alignment horizontal="left" vertical="center" wrapText="1" shrinkToFi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9" fillId="0" borderId="37" xfId="0" applyFont="1" applyBorder="1" applyAlignment="1">
      <alignment horizontal="center" vertical="center"/>
    </xf>
    <xf numFmtId="0" fontId="9" fillId="0" borderId="39" xfId="0" applyFont="1" applyBorder="1" applyAlignment="1">
      <alignment horizontal="center" vertical="center"/>
    </xf>
    <xf numFmtId="0" fontId="9" fillId="0" borderId="3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9" fillId="0" borderId="37"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42" xfId="0" applyFont="1" applyBorder="1" applyAlignment="1">
      <alignment horizontal="center" vertical="center"/>
    </xf>
    <xf numFmtId="0" fontId="9" fillId="0" borderId="0" xfId="0" applyFont="1" applyAlignment="1">
      <alignment vertical="center" wrapText="1"/>
    </xf>
    <xf numFmtId="0" fontId="9" fillId="0" borderId="40"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17" fillId="0" borderId="0" xfId="0" applyFont="1" applyAlignment="1">
      <alignment horizontal="center" vertical="center"/>
    </xf>
    <xf numFmtId="0" fontId="9" fillId="0" borderId="7" xfId="0" applyFont="1" applyBorder="1" applyAlignment="1">
      <alignment horizontal="left" vertical="top" wrapText="1" shrinkToFit="1"/>
    </xf>
    <xf numFmtId="0" fontId="9" fillId="0" borderId="8" xfId="0" applyFont="1" applyBorder="1" applyAlignment="1">
      <alignment horizontal="left" vertical="top" shrinkToFit="1"/>
    </xf>
    <xf numFmtId="0" fontId="9" fillId="0" borderId="9" xfId="0" applyFont="1" applyBorder="1" applyAlignment="1">
      <alignment horizontal="left" vertical="top" shrinkToFit="1"/>
    </xf>
    <xf numFmtId="0" fontId="9" fillId="0" borderId="5" xfId="0" applyFont="1" applyBorder="1" applyAlignment="1">
      <alignment horizontal="left" vertical="top" shrinkToFit="1"/>
    </xf>
    <xf numFmtId="0" fontId="9" fillId="0" borderId="0" xfId="0" applyFont="1" applyBorder="1" applyAlignment="1">
      <alignment horizontal="left" vertical="top" shrinkToFit="1"/>
    </xf>
    <xf numFmtId="0" fontId="9" fillId="0" borderId="10" xfId="0" applyFont="1" applyBorder="1" applyAlignment="1">
      <alignment horizontal="left" vertical="top" shrinkToFit="1"/>
    </xf>
    <xf numFmtId="0" fontId="9" fillId="0" borderId="0" xfId="0" applyFont="1" applyAlignment="1">
      <alignment horizontal="left" vertical="top" shrinkToFit="1"/>
    </xf>
    <xf numFmtId="0" fontId="9" fillId="0" borderId="11" xfId="0" applyFont="1" applyBorder="1" applyAlignment="1">
      <alignment horizontal="left" vertical="top" shrinkToFit="1"/>
    </xf>
    <xf numFmtId="0" fontId="9" fillId="0" borderId="6" xfId="0" applyFont="1" applyBorder="1" applyAlignment="1">
      <alignment horizontal="left" vertical="top" shrinkToFit="1"/>
    </xf>
    <xf numFmtId="0" fontId="9" fillId="0" borderId="12" xfId="0" applyFont="1" applyBorder="1" applyAlignment="1">
      <alignment horizontal="left" vertical="top" shrinkToFit="1"/>
    </xf>
    <xf numFmtId="0" fontId="10" fillId="0" borderId="22" xfId="0" applyFont="1" applyBorder="1" applyAlignment="1">
      <alignment horizontal="left" vertical="center" wrapText="1" shrinkToFit="1"/>
    </xf>
    <xf numFmtId="0" fontId="10" fillId="0" borderId="21" xfId="0" applyFont="1" applyBorder="1" applyAlignment="1">
      <alignment horizontal="left" vertical="center" wrapText="1" shrinkToFit="1"/>
    </xf>
    <xf numFmtId="0" fontId="10" fillId="0" borderId="39" xfId="0" applyFont="1" applyBorder="1" applyAlignment="1">
      <alignment horizontal="left" vertical="center" wrapText="1" shrinkToFit="1"/>
    </xf>
    <xf numFmtId="0" fontId="10" fillId="0" borderId="38" xfId="0" applyFont="1" applyBorder="1" applyAlignment="1">
      <alignment horizontal="left" vertical="center" wrapText="1" shrinkToFit="1"/>
    </xf>
    <xf numFmtId="0" fontId="10" fillId="0" borderId="6" xfId="0" applyFont="1" applyBorder="1" applyAlignment="1">
      <alignment horizontal="left" vertical="center" wrapText="1" shrinkToFit="1"/>
    </xf>
    <xf numFmtId="0" fontId="10" fillId="0" borderId="12" xfId="0" applyFont="1" applyBorder="1" applyAlignment="1">
      <alignment horizontal="left" vertical="center" wrapText="1" shrinkToFit="1"/>
    </xf>
    <xf numFmtId="0" fontId="10" fillId="0" borderId="41" xfId="0" applyFont="1" applyBorder="1" applyAlignment="1">
      <alignment horizontal="left" vertical="center" wrapText="1" shrinkToFit="1"/>
    </xf>
    <xf numFmtId="0" fontId="10" fillId="0" borderId="42" xfId="0" applyFont="1" applyBorder="1" applyAlignment="1">
      <alignment horizontal="left" vertical="center" wrapText="1" shrinkToFit="1"/>
    </xf>
    <xf numFmtId="0" fontId="9" fillId="0" borderId="40" xfId="0" applyFont="1" applyBorder="1" applyAlignment="1">
      <alignment vertical="center" shrinkToFit="1"/>
    </xf>
    <xf numFmtId="0" fontId="9" fillId="0" borderId="41" xfId="0" applyFont="1" applyBorder="1" applyAlignment="1">
      <alignment vertical="center" shrinkToFit="1"/>
    </xf>
    <xf numFmtId="0" fontId="9" fillId="0" borderId="42" xfId="0" applyFont="1" applyBorder="1" applyAlignment="1">
      <alignment vertical="center" shrinkToFit="1"/>
    </xf>
    <xf numFmtId="0" fontId="9" fillId="0" borderId="4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42" xfId="0" applyFont="1" applyBorder="1" applyAlignment="1">
      <alignment horizontal="center" vertical="center" shrinkToFi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19" fillId="0" borderId="7" xfId="0" applyFont="1" applyBorder="1" applyAlignment="1">
      <alignment vertical="center" wrapText="1" shrinkToFit="1"/>
    </xf>
    <xf numFmtId="0" fontId="19" fillId="0" borderId="8" xfId="0" applyFont="1" applyBorder="1" applyAlignment="1">
      <alignment vertical="center" wrapText="1" shrinkToFit="1"/>
    </xf>
    <xf numFmtId="0" fontId="19" fillId="0" borderId="9" xfId="0" applyFont="1" applyBorder="1" applyAlignment="1">
      <alignment vertical="center" wrapText="1" shrinkToFit="1"/>
    </xf>
    <xf numFmtId="0" fontId="19" fillId="0" borderId="5" xfId="0" applyFont="1" applyBorder="1" applyAlignment="1">
      <alignment vertical="center" wrapText="1" shrinkToFit="1"/>
    </xf>
    <xf numFmtId="0" fontId="19" fillId="0" borderId="0" xfId="0" applyFont="1" applyBorder="1" applyAlignment="1">
      <alignment vertical="center" wrapText="1" shrinkToFit="1"/>
    </xf>
    <xf numFmtId="0" fontId="19" fillId="0" borderId="10" xfId="0" applyFont="1" applyBorder="1" applyAlignment="1">
      <alignment vertical="center" wrapText="1" shrinkToFit="1"/>
    </xf>
    <xf numFmtId="0" fontId="19" fillId="0" borderId="11" xfId="0" applyFont="1" applyBorder="1" applyAlignment="1">
      <alignment vertical="center" wrapText="1" shrinkToFit="1"/>
    </xf>
    <xf numFmtId="0" fontId="19" fillId="0" borderId="6" xfId="0" applyFont="1" applyBorder="1" applyAlignment="1">
      <alignment vertical="center" wrapText="1" shrinkToFit="1"/>
    </xf>
    <xf numFmtId="0" fontId="19" fillId="0" borderId="12" xfId="0" applyFont="1" applyBorder="1" applyAlignment="1">
      <alignment vertical="center" wrapText="1" shrinkToFit="1"/>
    </xf>
    <xf numFmtId="0" fontId="8" fillId="0" borderId="2" xfId="2" applyBorder="1" applyAlignment="1">
      <alignment vertical="center" shrinkToFit="1"/>
    </xf>
    <xf numFmtId="0" fontId="8" fillId="0" borderId="3" xfId="2" applyBorder="1" applyAlignment="1">
      <alignment vertical="center" shrinkToFit="1"/>
    </xf>
    <xf numFmtId="0" fontId="8" fillId="0" borderId="4" xfId="2" applyBorder="1" applyAlignment="1">
      <alignment vertical="center" shrinkToFit="1"/>
    </xf>
    <xf numFmtId="0" fontId="10" fillId="0" borderId="0" xfId="0" applyFont="1" applyAlignment="1">
      <alignment horizontal="center" vertical="center"/>
    </xf>
    <xf numFmtId="0" fontId="3" fillId="0" borderId="0" xfId="0" applyFont="1" applyAlignment="1">
      <alignment horizontal="right" vertical="center"/>
    </xf>
    <xf numFmtId="0" fontId="14" fillId="0" borderId="0" xfId="0" applyFont="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4" fillId="0" borderId="14"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9" fillId="0" borderId="16" xfId="0" applyFont="1" applyBorder="1" applyAlignment="1">
      <alignment vertical="top" wrapText="1" shrinkToFit="1"/>
    </xf>
    <xf numFmtId="0" fontId="9" fillId="0" borderId="22" xfId="0" applyFont="1" applyBorder="1" applyAlignment="1">
      <alignment vertical="top" shrinkToFit="1"/>
    </xf>
    <xf numFmtId="0" fontId="9" fillId="0" borderId="21"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4" xfId="0" applyFont="1" applyBorder="1" applyAlignment="1">
      <alignment vertical="center" shrinkToFit="1"/>
    </xf>
    <xf numFmtId="0" fontId="22" fillId="0" borderId="7" xfId="0" applyFont="1" applyBorder="1" applyAlignment="1">
      <alignment vertical="top" wrapText="1" shrinkToFit="1"/>
    </xf>
    <xf numFmtId="0" fontId="18" fillId="0" borderId="8" xfId="0" applyFont="1" applyBorder="1" applyAlignment="1">
      <alignment vertical="top" wrapText="1" shrinkToFit="1"/>
    </xf>
    <xf numFmtId="0" fontId="18" fillId="0" borderId="8" xfId="0" applyFont="1" applyBorder="1" applyAlignment="1">
      <alignment vertical="top"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6" xfId="0" applyFont="1" applyBorder="1">
      <alignment vertical="center"/>
    </xf>
    <xf numFmtId="0" fontId="3" fillId="0" borderId="17" xfId="0" applyFont="1" applyBorder="1">
      <alignment vertical="center"/>
    </xf>
    <xf numFmtId="0" fontId="0" fillId="0" borderId="18" xfId="0" applyBorder="1">
      <alignment vertical="center"/>
    </xf>
    <xf numFmtId="0" fontId="9" fillId="0" borderId="19" xfId="0" applyFont="1" applyBorder="1" applyAlignment="1">
      <alignment vertical="top" wrapText="1" shrinkToFi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8" fillId="0" borderId="2" xfId="2" applyBorder="1" applyAlignment="1">
      <alignment horizontal="center" vertical="center" shrinkToFit="1"/>
    </xf>
    <xf numFmtId="0" fontId="8" fillId="0" borderId="3" xfId="2" applyBorder="1" applyAlignment="1">
      <alignment horizontal="center" vertical="center" shrinkToFit="1"/>
    </xf>
    <xf numFmtId="0" fontId="8" fillId="0" borderId="4" xfId="2" applyBorder="1" applyAlignment="1">
      <alignment horizontal="center" vertical="center" shrinkToFit="1"/>
    </xf>
    <xf numFmtId="0" fontId="1" fillId="0" borderId="17"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kikaku@adb.fukushima-u.ac.jp"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heps.fukushima-u.ac.jp/news/edu/619/" TargetMode="External"/><Relationship Id="rId1" Type="http://schemas.openxmlformats.org/officeDocument/2006/relationships/hyperlink" Target="https://www.heps.fukushima-u.ac.jp/?p=619&amp;preview=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heps.fukushima-u.ac.jp/news/edu/619/" TargetMode="External"/><Relationship Id="rId1" Type="http://schemas.openxmlformats.org/officeDocument/2006/relationships/hyperlink" Target="https://www.heps.fukushima-u.ac.jp/news/edu/6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10" zoomScaleNormal="100" zoomScaleSheetLayoutView="100" workbookViewId="0">
      <selection activeCell="J31" sqref="J31"/>
    </sheetView>
  </sheetViews>
  <sheetFormatPr baseColWidth="10" defaultColWidth="9" defaultRowHeight="18.75" customHeight="1"/>
  <cols>
    <col min="1" max="1" width="3.33203125" style="14" customWidth="1"/>
    <col min="2" max="2" width="11.1640625" style="14" customWidth="1"/>
    <col min="3" max="8" width="6.6640625" style="14" customWidth="1"/>
    <col min="9" max="9" width="3.33203125" style="14" customWidth="1"/>
    <col min="10" max="10" width="10" style="14" customWidth="1"/>
    <col min="11" max="11" width="3.33203125" style="14" customWidth="1"/>
    <col min="12" max="12" width="7.6640625" style="14" customWidth="1"/>
    <col min="13" max="13" width="3.33203125" style="14" customWidth="1"/>
    <col min="14" max="14" width="4.5" style="14" customWidth="1"/>
    <col min="15" max="15" width="9" style="31"/>
    <col min="16" max="16384" width="9" style="13"/>
  </cols>
  <sheetData>
    <row r="1" spans="1:15" ht="24" customHeight="1">
      <c r="M1" s="141" t="s">
        <v>25</v>
      </c>
      <c r="N1" s="141"/>
    </row>
    <row r="2" spans="1:15" ht="24" customHeight="1">
      <c r="A2" s="145" t="s">
        <v>83</v>
      </c>
      <c r="B2" s="145"/>
      <c r="C2" s="145"/>
      <c r="D2" s="145"/>
      <c r="E2" s="145"/>
      <c r="F2" s="145"/>
      <c r="G2" s="145"/>
      <c r="H2" s="145"/>
      <c r="I2" s="145"/>
      <c r="J2" s="145"/>
      <c r="K2" s="145"/>
      <c r="L2" s="145"/>
      <c r="M2" s="145"/>
      <c r="N2" s="145"/>
    </row>
    <row r="3" spans="1:15" ht="24" customHeight="1"/>
    <row r="4" spans="1:15" ht="24" customHeight="1">
      <c r="A4" s="14" t="s">
        <v>6</v>
      </c>
      <c r="B4" s="15" t="s">
        <v>16</v>
      </c>
      <c r="C4" s="131" t="s">
        <v>148</v>
      </c>
      <c r="D4" s="132"/>
      <c r="E4" s="132"/>
      <c r="F4" s="132"/>
      <c r="G4" s="132"/>
      <c r="H4" s="132"/>
      <c r="I4" s="132"/>
      <c r="J4" s="132"/>
      <c r="K4" s="132"/>
      <c r="L4" s="132"/>
      <c r="M4" s="132"/>
      <c r="N4" s="133"/>
      <c r="O4" s="31" t="str">
        <f>IF(C4="","入力してください","")</f>
        <v/>
      </c>
    </row>
    <row r="5" spans="1:15" ht="7.5" customHeight="1">
      <c r="B5" s="15"/>
      <c r="C5" s="15"/>
      <c r="D5" s="15"/>
      <c r="E5" s="16"/>
      <c r="F5" s="35"/>
      <c r="G5" s="35"/>
      <c r="H5" s="35"/>
      <c r="I5" s="35"/>
      <c r="J5" s="35"/>
      <c r="K5" s="35"/>
      <c r="L5" s="35"/>
      <c r="M5" s="35"/>
      <c r="N5" s="35"/>
    </row>
    <row r="6" spans="1:15" ht="24" customHeight="1">
      <c r="A6" s="14" t="s">
        <v>48</v>
      </c>
      <c r="B6" s="15" t="s">
        <v>49</v>
      </c>
      <c r="C6" s="15"/>
      <c r="D6" s="131" t="s">
        <v>149</v>
      </c>
      <c r="E6" s="132"/>
      <c r="F6" s="132"/>
      <c r="G6" s="132"/>
      <c r="H6" s="133"/>
      <c r="I6" s="17" t="s">
        <v>86</v>
      </c>
      <c r="J6" s="35" t="s">
        <v>87</v>
      </c>
      <c r="K6" s="131" t="s">
        <v>150</v>
      </c>
      <c r="L6" s="132"/>
      <c r="M6" s="132"/>
      <c r="N6" s="133"/>
      <c r="O6" s="31" t="str">
        <f>IF(D6="","入力してください","")</f>
        <v/>
      </c>
    </row>
    <row r="7" spans="1:15" ht="7.5" customHeight="1">
      <c r="B7" s="15"/>
      <c r="C7" s="15"/>
      <c r="D7" s="15"/>
      <c r="E7" s="16"/>
      <c r="F7" s="35"/>
      <c r="G7" s="35"/>
      <c r="H7" s="35"/>
      <c r="I7" s="35"/>
      <c r="J7" s="35"/>
      <c r="K7" s="35"/>
      <c r="L7" s="35"/>
      <c r="M7" s="35"/>
      <c r="N7" s="35"/>
    </row>
    <row r="8" spans="1:15" ht="24" customHeight="1">
      <c r="A8" s="14" t="s">
        <v>13</v>
      </c>
      <c r="B8" s="15" t="s">
        <v>45</v>
      </c>
      <c r="C8" s="131" t="s">
        <v>151</v>
      </c>
      <c r="D8" s="132"/>
      <c r="E8" s="132"/>
      <c r="F8" s="132"/>
      <c r="G8" s="132"/>
      <c r="H8" s="132"/>
      <c r="I8" s="132"/>
      <c r="J8" s="132"/>
      <c r="K8" s="132"/>
      <c r="L8" s="132"/>
      <c r="M8" s="132"/>
      <c r="N8" s="133"/>
      <c r="O8" s="31" t="str">
        <f>IF(C8="","入力してください","")</f>
        <v/>
      </c>
    </row>
    <row r="9" spans="1:15" ht="7.5" customHeight="1">
      <c r="B9" s="15"/>
      <c r="C9" s="15"/>
      <c r="D9" s="15"/>
      <c r="E9" s="16"/>
      <c r="F9" s="35"/>
      <c r="G9" s="35"/>
      <c r="H9" s="35"/>
      <c r="I9" s="35"/>
      <c r="J9" s="35"/>
      <c r="K9" s="35"/>
      <c r="L9" s="35"/>
      <c r="M9" s="35"/>
      <c r="N9" s="35"/>
    </row>
    <row r="10" spans="1:15" ht="24" customHeight="1">
      <c r="A10" s="14" t="s">
        <v>11</v>
      </c>
      <c r="B10" s="15" t="s">
        <v>85</v>
      </c>
      <c r="C10" s="15"/>
      <c r="D10" s="15"/>
      <c r="E10" s="131" t="s">
        <v>152</v>
      </c>
      <c r="F10" s="132"/>
      <c r="G10" s="132"/>
      <c r="H10" s="132"/>
      <c r="I10" s="132"/>
      <c r="J10" s="132"/>
      <c r="K10" s="132"/>
      <c r="L10" s="132"/>
      <c r="M10" s="132"/>
      <c r="N10" s="133"/>
      <c r="O10" s="31" t="str">
        <f>IF(E10="","入力してください","")</f>
        <v/>
      </c>
    </row>
    <row r="11" spans="1:15" ht="7.5" customHeight="1">
      <c r="B11" s="16"/>
      <c r="C11" s="16"/>
      <c r="D11" s="16"/>
      <c r="E11" s="16"/>
      <c r="F11" s="35"/>
      <c r="G11" s="35"/>
      <c r="H11" s="35"/>
      <c r="I11" s="35"/>
      <c r="J11" s="35"/>
      <c r="K11" s="35"/>
      <c r="L11" s="35"/>
      <c r="M11" s="35"/>
      <c r="N11" s="35"/>
    </row>
    <row r="12" spans="1:15" ht="24" customHeight="1">
      <c r="A12" s="14" t="s">
        <v>58</v>
      </c>
      <c r="B12" s="16" t="s">
        <v>59</v>
      </c>
      <c r="C12" s="16"/>
      <c r="D12" s="16"/>
      <c r="E12" s="146" t="s">
        <v>153</v>
      </c>
      <c r="F12" s="147"/>
      <c r="G12" s="17" t="s">
        <v>96</v>
      </c>
      <c r="H12" s="14" t="s">
        <v>97</v>
      </c>
      <c r="N12" s="113" t="s">
        <v>154</v>
      </c>
      <c r="O12" s="31" t="str">
        <f>IF(E12="","入力してください","")</f>
        <v/>
      </c>
    </row>
    <row r="13" spans="1:15" ht="7.5" customHeight="1">
      <c r="B13" s="16"/>
      <c r="C13" s="16"/>
      <c r="D13" s="16"/>
      <c r="E13" s="16"/>
      <c r="F13" s="35"/>
      <c r="G13" s="35"/>
      <c r="H13" s="35"/>
      <c r="I13" s="35"/>
      <c r="J13" s="35"/>
      <c r="K13" s="35"/>
      <c r="L13" s="35"/>
      <c r="M13" s="35"/>
      <c r="N13" s="35"/>
    </row>
    <row r="14" spans="1:15" ht="24" customHeight="1">
      <c r="A14" s="14" t="s">
        <v>53</v>
      </c>
      <c r="B14" s="14" t="s">
        <v>0</v>
      </c>
      <c r="C14" s="142" t="s">
        <v>5</v>
      </c>
      <c r="D14" s="143"/>
      <c r="E14" s="134">
        <v>241</v>
      </c>
      <c r="F14" s="135"/>
      <c r="G14" s="18" t="s">
        <v>7</v>
      </c>
      <c r="I14" s="142" t="s">
        <v>8</v>
      </c>
      <c r="J14" s="143"/>
      <c r="K14" s="134">
        <v>163</v>
      </c>
      <c r="L14" s="144"/>
      <c r="M14" s="135"/>
      <c r="N14" s="19" t="s">
        <v>7</v>
      </c>
      <c r="O14" s="31" t="str">
        <f>IF(OR(E14="",K14=""),"入力してください","")</f>
        <v/>
      </c>
    </row>
    <row r="15" spans="1:15" ht="7.5" customHeight="1">
      <c r="F15" s="20"/>
      <c r="G15" s="20"/>
      <c r="H15" s="20"/>
      <c r="I15" s="20"/>
      <c r="J15" s="20"/>
      <c r="K15" s="20"/>
      <c r="L15" s="20"/>
      <c r="M15" s="19"/>
      <c r="N15" s="19"/>
    </row>
    <row r="16" spans="1:15" ht="24" customHeight="1">
      <c r="A16" s="14" t="s">
        <v>60</v>
      </c>
      <c r="B16" s="14" t="s">
        <v>70</v>
      </c>
      <c r="F16" s="20"/>
      <c r="G16" s="20"/>
      <c r="H16" s="20"/>
      <c r="I16" s="20"/>
      <c r="J16" s="20"/>
      <c r="K16" s="148">
        <v>3</v>
      </c>
      <c r="L16" s="149"/>
      <c r="M16" s="150"/>
      <c r="N16" s="19" t="s">
        <v>51</v>
      </c>
      <c r="O16" s="31" t="str">
        <f>IF(K16="","入力してください","")</f>
        <v/>
      </c>
    </row>
    <row r="17" spans="1:15" ht="7.5" customHeight="1">
      <c r="F17" s="20"/>
      <c r="G17" s="20"/>
      <c r="H17" s="20"/>
      <c r="I17" s="20"/>
      <c r="J17" s="20"/>
      <c r="K17" s="20"/>
      <c r="L17" s="20"/>
      <c r="M17" s="19"/>
      <c r="N17" s="19"/>
    </row>
    <row r="18" spans="1:15" ht="24" customHeight="1">
      <c r="A18" s="14" t="s">
        <v>24</v>
      </c>
      <c r="B18" s="14" t="s">
        <v>77</v>
      </c>
      <c r="E18" s="134">
        <v>945</v>
      </c>
      <c r="F18" s="135"/>
      <c r="G18" s="21" t="s">
        <v>21</v>
      </c>
      <c r="H18" s="20"/>
      <c r="K18" s="154"/>
      <c r="L18" s="154"/>
      <c r="M18" s="154"/>
      <c r="N18" s="154"/>
      <c r="O18" s="31" t="str">
        <f>IF(E18="","入力してください","")</f>
        <v/>
      </c>
    </row>
    <row r="19" spans="1:15" ht="7.5" customHeight="1">
      <c r="E19" s="10"/>
      <c r="F19" s="20"/>
      <c r="G19" s="20"/>
      <c r="L19" s="34"/>
      <c r="M19" s="34"/>
      <c r="N19" s="22"/>
    </row>
    <row r="20" spans="1:15" ht="24" customHeight="1">
      <c r="A20" s="14" t="s">
        <v>76</v>
      </c>
      <c r="B20" s="14" t="s">
        <v>78</v>
      </c>
      <c r="E20" s="10"/>
      <c r="F20" s="20"/>
      <c r="G20" s="20"/>
      <c r="H20" s="14" t="s">
        <v>52</v>
      </c>
      <c r="J20" s="151">
        <v>4080</v>
      </c>
      <c r="K20" s="152"/>
      <c r="L20" s="153"/>
      <c r="M20" s="34" t="s">
        <v>51</v>
      </c>
      <c r="N20" s="22"/>
      <c r="O20" s="31" t="str">
        <f>IF(J20="","入力してください","")</f>
        <v/>
      </c>
    </row>
    <row r="21" spans="1:15" ht="7.5" customHeight="1">
      <c r="E21" s="10"/>
      <c r="F21" s="20"/>
      <c r="G21" s="20"/>
      <c r="L21" s="34"/>
      <c r="M21" s="34"/>
      <c r="N21" s="22"/>
    </row>
    <row r="22" spans="1:15" ht="24" customHeight="1">
      <c r="B22" s="29" t="s">
        <v>17</v>
      </c>
      <c r="C22" s="134">
        <v>991</v>
      </c>
      <c r="D22" s="135"/>
      <c r="E22" s="10" t="s">
        <v>22</v>
      </c>
      <c r="F22" s="20"/>
      <c r="G22" s="130" t="s">
        <v>18</v>
      </c>
      <c r="H22" s="130"/>
      <c r="I22" s="134">
        <v>973</v>
      </c>
      <c r="J22" s="135"/>
      <c r="K22" s="17" t="s">
        <v>22</v>
      </c>
      <c r="M22" s="34"/>
      <c r="N22" s="22"/>
    </row>
    <row r="23" spans="1:15" ht="7.5" customHeight="1">
      <c r="B23" s="29"/>
      <c r="C23" s="11"/>
      <c r="D23" s="11"/>
      <c r="E23" s="10"/>
      <c r="F23" s="20"/>
      <c r="G23" s="34"/>
      <c r="H23" s="34"/>
      <c r="I23" s="11"/>
      <c r="J23" s="11"/>
      <c r="K23" s="17"/>
      <c r="M23" s="34"/>
      <c r="N23" s="22"/>
    </row>
    <row r="24" spans="1:15" ht="24" customHeight="1">
      <c r="B24" s="29" t="s">
        <v>19</v>
      </c>
      <c r="C24" s="134">
        <v>1003</v>
      </c>
      <c r="D24" s="135"/>
      <c r="E24" s="10" t="s">
        <v>22</v>
      </c>
      <c r="F24" s="20"/>
      <c r="G24" s="130" t="s">
        <v>20</v>
      </c>
      <c r="H24" s="130"/>
      <c r="I24" s="134">
        <v>1113</v>
      </c>
      <c r="J24" s="135"/>
      <c r="K24" s="17" t="s">
        <v>22</v>
      </c>
      <c r="M24" s="34"/>
      <c r="N24" s="22"/>
    </row>
    <row r="25" spans="1:15" ht="7.5" customHeight="1">
      <c r="B25" s="29"/>
      <c r="C25" s="11"/>
      <c r="D25" s="11"/>
      <c r="E25" s="10"/>
      <c r="F25" s="20"/>
      <c r="G25" s="34"/>
      <c r="H25" s="34"/>
      <c r="I25" s="11"/>
      <c r="J25" s="11"/>
      <c r="K25" s="17"/>
      <c r="M25" s="34"/>
      <c r="N25" s="22"/>
    </row>
    <row r="26" spans="1:15" ht="24" customHeight="1">
      <c r="B26" s="29" t="s">
        <v>46</v>
      </c>
      <c r="C26" s="134">
        <v>0</v>
      </c>
      <c r="D26" s="135"/>
      <c r="E26" s="10" t="s">
        <v>7</v>
      </c>
      <c r="F26" s="20"/>
      <c r="G26" s="130" t="s">
        <v>47</v>
      </c>
      <c r="H26" s="130"/>
      <c r="I26" s="134">
        <v>0</v>
      </c>
      <c r="J26" s="135"/>
      <c r="K26" s="17" t="s">
        <v>7</v>
      </c>
      <c r="M26" s="34"/>
      <c r="N26" s="22"/>
    </row>
    <row r="27" spans="1:15" ht="7.5" customHeight="1">
      <c r="F27" s="20"/>
      <c r="G27" s="20"/>
      <c r="M27" s="23"/>
      <c r="N27" s="23"/>
    </row>
    <row r="28" spans="1:15" ht="24" customHeight="1">
      <c r="A28" s="14" t="s">
        <v>50</v>
      </c>
      <c r="B28" s="15" t="s">
        <v>75</v>
      </c>
      <c r="C28" s="15"/>
      <c r="D28" s="15"/>
      <c r="E28" s="15"/>
      <c r="F28" s="17"/>
      <c r="G28" s="35"/>
      <c r="H28" s="35"/>
      <c r="I28" s="35"/>
      <c r="J28" s="24"/>
      <c r="K28" s="24"/>
      <c r="L28" s="24"/>
      <c r="M28" s="24"/>
      <c r="N28" s="24"/>
    </row>
    <row r="29" spans="1:15" s="14" customFormat="1" ht="24" customHeight="1">
      <c r="B29" s="138" t="s">
        <v>74</v>
      </c>
      <c r="C29" s="138"/>
      <c r="D29" s="131" t="s">
        <v>155</v>
      </c>
      <c r="E29" s="132"/>
      <c r="F29" s="132"/>
      <c r="G29" s="139" t="s">
        <v>23</v>
      </c>
      <c r="H29" s="138"/>
      <c r="I29" s="140"/>
      <c r="J29" s="131" t="s">
        <v>202</v>
      </c>
      <c r="K29" s="132"/>
      <c r="L29" s="132"/>
      <c r="M29" s="132"/>
      <c r="N29" s="133"/>
      <c r="O29" s="31" t="str">
        <f>IF(OR(D29="",J29=""),"入力してください","")</f>
        <v/>
      </c>
    </row>
    <row r="30" spans="1:15" ht="7.5" customHeight="1">
      <c r="F30" s="20"/>
      <c r="G30" s="20"/>
      <c r="M30" s="23"/>
      <c r="N30" s="23"/>
    </row>
    <row r="31" spans="1:15" ht="24" customHeight="1">
      <c r="A31" s="14" t="s">
        <v>54</v>
      </c>
      <c r="B31" s="15" t="s">
        <v>80</v>
      </c>
      <c r="C31" s="15"/>
      <c r="D31" s="15"/>
      <c r="E31" s="15"/>
      <c r="F31" s="17"/>
      <c r="G31" s="24"/>
      <c r="H31" s="24"/>
      <c r="I31" s="24"/>
      <c r="J31" s="24"/>
      <c r="K31" s="24"/>
      <c r="L31" s="24"/>
      <c r="M31" s="24"/>
      <c r="N31" s="24"/>
    </row>
    <row r="32" spans="1:15" ht="24" customHeight="1">
      <c r="B32" s="131" t="s">
        <v>156</v>
      </c>
      <c r="C32" s="132"/>
      <c r="D32" s="132"/>
      <c r="E32" s="132"/>
      <c r="F32" s="132"/>
      <c r="G32" s="132"/>
      <c r="H32" s="132"/>
      <c r="I32" s="132"/>
      <c r="J32" s="132"/>
      <c r="K32" s="132"/>
      <c r="L32" s="132"/>
      <c r="M32" s="132"/>
      <c r="N32" s="133"/>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38" t="s">
        <v>74</v>
      </c>
      <c r="C34" s="138"/>
      <c r="D34" s="131" t="s">
        <v>157</v>
      </c>
      <c r="E34" s="132"/>
      <c r="F34" s="132"/>
      <c r="G34" s="139" t="s">
        <v>55</v>
      </c>
      <c r="H34" s="138"/>
      <c r="I34" s="140"/>
      <c r="J34" s="131" t="s">
        <v>158</v>
      </c>
      <c r="K34" s="132"/>
      <c r="L34" s="132"/>
      <c r="M34" s="132"/>
      <c r="N34" s="133"/>
      <c r="O34" s="31" t="str">
        <f>IF(OR(D34="",J34=""),"入力してください","")</f>
        <v/>
      </c>
    </row>
    <row r="35" spans="1:15" ht="7.5" customHeight="1">
      <c r="F35" s="35"/>
      <c r="G35" s="35"/>
      <c r="H35" s="35"/>
      <c r="I35" s="35"/>
      <c r="J35" s="35"/>
      <c r="K35" s="35"/>
      <c r="L35" s="35"/>
      <c r="M35" s="35"/>
      <c r="N35" s="35"/>
    </row>
    <row r="36" spans="1:15" ht="24" customHeight="1">
      <c r="A36" s="14" t="s">
        <v>61</v>
      </c>
      <c r="B36" s="14" t="s">
        <v>81</v>
      </c>
      <c r="M36" s="23"/>
      <c r="N36" s="23"/>
    </row>
    <row r="37" spans="1:15" ht="24" customHeight="1">
      <c r="B37" s="131" t="s">
        <v>156</v>
      </c>
      <c r="C37" s="132"/>
      <c r="D37" s="132"/>
      <c r="E37" s="132"/>
      <c r="F37" s="132"/>
      <c r="G37" s="132"/>
      <c r="H37" s="132"/>
      <c r="I37" s="132"/>
      <c r="J37" s="132"/>
      <c r="K37" s="132"/>
      <c r="L37" s="132"/>
      <c r="M37" s="132"/>
      <c r="N37" s="133"/>
      <c r="O37" s="31" t="str">
        <f>IF(B37="","入力してください","")</f>
        <v/>
      </c>
    </row>
    <row r="38" spans="1:15" ht="7.5" customHeight="1">
      <c r="F38" s="35"/>
      <c r="G38" s="35"/>
      <c r="H38" s="35"/>
      <c r="I38" s="35"/>
      <c r="J38" s="35"/>
      <c r="K38" s="35"/>
      <c r="L38" s="35"/>
      <c r="M38" s="35"/>
      <c r="N38" s="35"/>
    </row>
    <row r="39" spans="1:15" s="14" customFormat="1" ht="24" customHeight="1">
      <c r="B39" s="138" t="s">
        <v>74</v>
      </c>
      <c r="C39" s="138"/>
      <c r="D39" s="131" t="s">
        <v>157</v>
      </c>
      <c r="E39" s="132"/>
      <c r="F39" s="132"/>
      <c r="G39" s="139" t="s">
        <v>55</v>
      </c>
      <c r="H39" s="138"/>
      <c r="I39" s="140"/>
      <c r="J39" s="131" t="s">
        <v>158</v>
      </c>
      <c r="K39" s="132"/>
      <c r="L39" s="132"/>
      <c r="M39" s="132"/>
      <c r="N39" s="133"/>
      <c r="O39" s="31" t="str">
        <f>IF(OR(D39="",J39=""),"入力してください","")</f>
        <v/>
      </c>
    </row>
    <row r="40" spans="1:15" ht="7.5" customHeight="1">
      <c r="F40" s="35"/>
      <c r="G40" s="35"/>
      <c r="H40" s="35"/>
      <c r="I40" s="35"/>
      <c r="J40" s="35"/>
      <c r="K40" s="35"/>
      <c r="L40" s="35"/>
      <c r="M40" s="35"/>
      <c r="N40" s="35"/>
    </row>
    <row r="41" spans="1:15" ht="24" customHeight="1">
      <c r="A41" s="14" t="s">
        <v>88</v>
      </c>
      <c r="B41" s="71" t="s">
        <v>69</v>
      </c>
      <c r="E41" s="72"/>
      <c r="F41" s="131" t="s">
        <v>159</v>
      </c>
      <c r="G41" s="132"/>
      <c r="H41" s="132"/>
      <c r="I41" s="132"/>
      <c r="J41" s="132"/>
      <c r="K41" s="132"/>
      <c r="L41" s="132"/>
      <c r="M41" s="132"/>
      <c r="N41" s="133"/>
      <c r="O41" s="31" t="str">
        <f>IF(F41="","入力してください","")</f>
        <v/>
      </c>
    </row>
    <row r="42" spans="1:15" ht="7.5" customHeight="1">
      <c r="F42" s="35"/>
      <c r="G42" s="35"/>
      <c r="H42" s="35"/>
      <c r="I42" s="35"/>
      <c r="J42" s="35"/>
      <c r="K42" s="35"/>
      <c r="L42" s="35"/>
      <c r="M42" s="35"/>
      <c r="N42" s="35"/>
    </row>
    <row r="43" spans="1:15" ht="24" customHeight="1">
      <c r="A43" s="14" t="s">
        <v>98</v>
      </c>
    </row>
    <row r="44" spans="1:15" ht="24" customHeight="1">
      <c r="B44" s="30" t="s">
        <v>1</v>
      </c>
      <c r="C44" s="136" t="s">
        <v>160</v>
      </c>
      <c r="D44" s="137"/>
      <c r="E44" s="137"/>
      <c r="F44" s="137"/>
      <c r="G44" s="137"/>
      <c r="H44" s="137"/>
      <c r="I44" s="26" t="s">
        <v>2</v>
      </c>
      <c r="J44" s="27"/>
      <c r="K44" s="131" t="s">
        <v>161</v>
      </c>
      <c r="L44" s="132"/>
      <c r="M44" s="132"/>
      <c r="N44" s="133"/>
      <c r="O44" s="31" t="str">
        <f>IF(OR(C44="",K44=""),"入力してください","")</f>
        <v/>
      </c>
    </row>
    <row r="45" spans="1:15" ht="24" customHeight="1">
      <c r="B45" s="25" t="s">
        <v>4</v>
      </c>
      <c r="C45" s="124" t="s">
        <v>162</v>
      </c>
      <c r="D45" s="125"/>
      <c r="E45" s="125"/>
      <c r="F45" s="125"/>
      <c r="G45" s="125"/>
      <c r="H45" s="126"/>
      <c r="I45" s="26" t="s">
        <v>3</v>
      </c>
      <c r="J45" s="27"/>
      <c r="K45" s="127" t="s">
        <v>163</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2"/>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H45" r:id="rId1" display="k-kikaku@adb.fukushima-u.ac.jp"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94" zoomScaleNormal="100" zoomScaleSheetLayoutView="100" workbookViewId="0">
      <selection activeCell="B98" sqref="B98:Z98"/>
    </sheetView>
  </sheetViews>
  <sheetFormatPr baseColWidth="10" defaultColWidth="9" defaultRowHeight="18.75" customHeight="1"/>
  <cols>
    <col min="1" max="1" width="2.5" style="13" customWidth="1"/>
    <col min="2" max="2" width="27.6640625" style="13" customWidth="1"/>
    <col min="3" max="13" width="3.33203125" style="13" customWidth="1"/>
    <col min="14" max="14" width="8.83203125" style="13" customWidth="1"/>
    <col min="15" max="15" width="18.83203125" style="13" customWidth="1"/>
    <col min="16" max="19" width="3.33203125" style="13" customWidth="1"/>
    <col min="20" max="20" width="3.5" style="13" customWidth="1"/>
    <col min="21" max="26" width="3.33203125" style="13" customWidth="1"/>
    <col min="27" max="16384" width="9" style="13"/>
  </cols>
  <sheetData>
    <row r="1" spans="1:26" ht="15" customHeight="1">
      <c r="W1" s="244" t="s">
        <v>197</v>
      </c>
      <c r="X1" s="244"/>
      <c r="Y1" s="244"/>
      <c r="Z1" s="244"/>
    </row>
    <row r="2" spans="1:26" ht="18" customHeight="1">
      <c r="A2" s="204" t="s">
        <v>67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99</v>
      </c>
      <c r="B4" s="29"/>
      <c r="C4" s="29"/>
      <c r="D4" s="29"/>
      <c r="E4" s="29"/>
      <c r="F4" s="29"/>
      <c r="G4" s="29"/>
      <c r="H4" s="15" t="s">
        <v>112</v>
      </c>
      <c r="I4" s="29"/>
      <c r="J4" s="29"/>
      <c r="K4" s="29"/>
      <c r="L4" s="29"/>
      <c r="M4" s="29"/>
      <c r="N4" s="29"/>
      <c r="O4" s="148" t="s">
        <v>164</v>
      </c>
      <c r="P4" s="149"/>
      <c r="Q4" s="149"/>
      <c r="R4" s="149"/>
      <c r="S4" s="149"/>
      <c r="T4" s="149"/>
      <c r="U4" s="149"/>
      <c r="V4" s="149"/>
      <c r="W4" s="149"/>
      <c r="X4" s="149"/>
      <c r="Y4" s="149"/>
      <c r="Z4" s="150"/>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05" t="s">
        <v>172</v>
      </c>
      <c r="C6" s="206"/>
      <c r="D6" s="206"/>
      <c r="E6" s="206"/>
      <c r="F6" s="206"/>
      <c r="G6" s="206"/>
      <c r="H6" s="206"/>
      <c r="I6" s="206"/>
      <c r="J6" s="206"/>
      <c r="K6" s="206"/>
      <c r="L6" s="206"/>
      <c r="M6" s="206"/>
      <c r="N6" s="206"/>
      <c r="O6" s="206"/>
      <c r="P6" s="206"/>
      <c r="Q6" s="206"/>
      <c r="R6" s="206"/>
      <c r="S6" s="206"/>
      <c r="T6" s="206"/>
      <c r="U6" s="206"/>
      <c r="V6" s="206"/>
      <c r="W6" s="206"/>
      <c r="X6" s="206"/>
      <c r="Y6" s="206"/>
      <c r="Z6" s="207"/>
    </row>
    <row r="7" spans="1:26" ht="18" customHeight="1">
      <c r="B7" s="208"/>
      <c r="C7" s="209"/>
      <c r="D7" s="209"/>
      <c r="E7" s="209"/>
      <c r="F7" s="209"/>
      <c r="G7" s="209"/>
      <c r="H7" s="209"/>
      <c r="I7" s="209"/>
      <c r="J7" s="209"/>
      <c r="K7" s="209"/>
      <c r="L7" s="209"/>
      <c r="M7" s="209"/>
      <c r="N7" s="209"/>
      <c r="O7" s="209"/>
      <c r="P7" s="209"/>
      <c r="Q7" s="209"/>
      <c r="R7" s="209"/>
      <c r="S7" s="209"/>
      <c r="T7" s="209"/>
      <c r="U7" s="209"/>
      <c r="V7" s="209"/>
      <c r="W7" s="209"/>
      <c r="X7" s="209"/>
      <c r="Y7" s="209"/>
      <c r="Z7" s="210"/>
    </row>
    <row r="8" spans="1:26" ht="18" customHeight="1">
      <c r="B8" s="208"/>
      <c r="C8" s="209"/>
      <c r="D8" s="209"/>
      <c r="E8" s="209"/>
      <c r="F8" s="209"/>
      <c r="G8" s="209"/>
      <c r="H8" s="209"/>
      <c r="I8" s="209"/>
      <c r="J8" s="209"/>
      <c r="K8" s="209"/>
      <c r="L8" s="209"/>
      <c r="M8" s="209"/>
      <c r="N8" s="209"/>
      <c r="O8" s="209"/>
      <c r="P8" s="209"/>
      <c r="Q8" s="209"/>
      <c r="R8" s="209"/>
      <c r="S8" s="209"/>
      <c r="T8" s="209"/>
      <c r="U8" s="209"/>
      <c r="V8" s="209"/>
      <c r="W8" s="209"/>
      <c r="X8" s="209"/>
      <c r="Y8" s="209"/>
      <c r="Z8" s="210"/>
    </row>
    <row r="9" spans="1:26" ht="18" customHeight="1">
      <c r="B9" s="208"/>
      <c r="C9" s="209"/>
      <c r="D9" s="209"/>
      <c r="E9" s="209"/>
      <c r="F9" s="209"/>
      <c r="G9" s="209"/>
      <c r="H9" s="209"/>
      <c r="I9" s="209"/>
      <c r="J9" s="209"/>
      <c r="K9" s="209"/>
      <c r="L9" s="209"/>
      <c r="M9" s="209"/>
      <c r="N9" s="209"/>
      <c r="O9" s="209"/>
      <c r="P9" s="209"/>
      <c r="Q9" s="209"/>
      <c r="R9" s="209"/>
      <c r="S9" s="209"/>
      <c r="T9" s="209"/>
      <c r="U9" s="209"/>
      <c r="V9" s="209"/>
      <c r="W9" s="209"/>
      <c r="X9" s="209"/>
      <c r="Y9" s="209"/>
      <c r="Z9" s="210"/>
    </row>
    <row r="10" spans="1:26" ht="18" customHeight="1">
      <c r="B10" s="208"/>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0"/>
    </row>
    <row r="11" spans="1:26" ht="18" customHeight="1">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00" t="s">
        <v>125</v>
      </c>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ustomHeight="1">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ustomHeight="1">
      <c r="A15" s="14"/>
      <c r="B15" s="148" t="s">
        <v>100</v>
      </c>
      <c r="C15" s="149"/>
      <c r="D15" s="149"/>
      <c r="E15" s="149"/>
      <c r="F15" s="150"/>
      <c r="G15" s="30" t="s">
        <v>141</v>
      </c>
      <c r="H15" s="108" t="s">
        <v>140</v>
      </c>
      <c r="I15" s="149" t="s">
        <v>101</v>
      </c>
      <c r="J15" s="149"/>
      <c r="K15" s="149"/>
      <c r="L15" s="73" t="s">
        <v>104</v>
      </c>
      <c r="M15" s="73" t="s">
        <v>107</v>
      </c>
      <c r="N15" s="148" t="s">
        <v>100</v>
      </c>
      <c r="O15" s="149"/>
      <c r="P15" s="149"/>
      <c r="Q15" s="149"/>
      <c r="R15" s="149"/>
      <c r="S15" s="150"/>
      <c r="T15" s="30" t="s">
        <v>141</v>
      </c>
      <c r="U15" s="108" t="s">
        <v>140</v>
      </c>
      <c r="V15" s="149" t="s">
        <v>101</v>
      </c>
      <c r="W15" s="149"/>
      <c r="X15" s="149"/>
      <c r="Y15" s="73" t="s">
        <v>104</v>
      </c>
      <c r="Z15" s="73" t="s">
        <v>107</v>
      </c>
    </row>
    <row r="16" spans="1:26" ht="18" customHeight="1">
      <c r="A16" s="14"/>
      <c r="B16" s="191" t="s">
        <v>165</v>
      </c>
      <c r="C16" s="192"/>
      <c r="D16" s="192"/>
      <c r="E16" s="192"/>
      <c r="F16" s="193"/>
      <c r="G16" s="109">
        <v>2</v>
      </c>
      <c r="H16" s="109" t="s">
        <v>166</v>
      </c>
      <c r="I16" s="185" t="s">
        <v>167</v>
      </c>
      <c r="J16" s="186"/>
      <c r="K16" s="187"/>
      <c r="L16" s="109" t="s">
        <v>166</v>
      </c>
      <c r="M16" s="109" t="s">
        <v>166</v>
      </c>
      <c r="N16" s="155"/>
      <c r="O16" s="156"/>
      <c r="P16" s="156"/>
      <c r="Q16" s="156"/>
      <c r="R16" s="156"/>
      <c r="S16" s="157"/>
      <c r="T16" s="109"/>
      <c r="U16" s="109"/>
      <c r="V16" s="185"/>
      <c r="W16" s="186"/>
      <c r="X16" s="187"/>
      <c r="Y16" s="109"/>
      <c r="Z16" s="109"/>
    </row>
    <row r="17" spans="1:26" ht="18" customHeight="1">
      <c r="A17" s="14"/>
      <c r="B17" s="194"/>
      <c r="C17" s="195"/>
      <c r="D17" s="195"/>
      <c r="E17" s="195"/>
      <c r="F17" s="196"/>
      <c r="G17" s="110"/>
      <c r="H17" s="110"/>
      <c r="I17" s="188"/>
      <c r="J17" s="189"/>
      <c r="K17" s="190"/>
      <c r="L17" s="110"/>
      <c r="M17" s="110"/>
      <c r="N17" s="164"/>
      <c r="O17" s="165"/>
      <c r="P17" s="165"/>
      <c r="Q17" s="165"/>
      <c r="R17" s="165"/>
      <c r="S17" s="166"/>
      <c r="T17" s="110"/>
      <c r="U17" s="110"/>
      <c r="V17" s="188"/>
      <c r="W17" s="189"/>
      <c r="X17" s="190"/>
      <c r="Y17" s="110"/>
      <c r="Z17" s="110"/>
    </row>
    <row r="18" spans="1:26" ht="18" customHeight="1">
      <c r="A18" s="14"/>
      <c r="B18" s="194"/>
      <c r="C18" s="195"/>
      <c r="D18" s="195"/>
      <c r="E18" s="195"/>
      <c r="F18" s="196"/>
      <c r="G18" s="110"/>
      <c r="H18" s="110"/>
      <c r="I18" s="188"/>
      <c r="J18" s="189"/>
      <c r="K18" s="190"/>
      <c r="L18" s="110"/>
      <c r="M18" s="110"/>
      <c r="N18" s="164"/>
      <c r="O18" s="165"/>
      <c r="P18" s="165"/>
      <c r="Q18" s="165"/>
      <c r="R18" s="165"/>
      <c r="S18" s="166"/>
      <c r="T18" s="110"/>
      <c r="U18" s="110"/>
      <c r="V18" s="188"/>
      <c r="W18" s="189"/>
      <c r="X18" s="190"/>
      <c r="Y18" s="110"/>
      <c r="Z18" s="110"/>
    </row>
    <row r="19" spans="1:26" ht="18" customHeight="1">
      <c r="A19" s="14"/>
      <c r="B19" s="194"/>
      <c r="C19" s="195"/>
      <c r="D19" s="195"/>
      <c r="E19" s="195"/>
      <c r="F19" s="196"/>
      <c r="G19" s="110"/>
      <c r="H19" s="110"/>
      <c r="I19" s="188"/>
      <c r="J19" s="189"/>
      <c r="K19" s="190"/>
      <c r="L19" s="110"/>
      <c r="M19" s="110"/>
      <c r="N19" s="164"/>
      <c r="O19" s="165"/>
      <c r="P19" s="165"/>
      <c r="Q19" s="165"/>
      <c r="R19" s="165"/>
      <c r="S19" s="166"/>
      <c r="T19" s="110"/>
      <c r="U19" s="110"/>
      <c r="V19" s="188"/>
      <c r="W19" s="189"/>
      <c r="X19" s="190"/>
      <c r="Y19" s="110"/>
      <c r="Z19" s="110"/>
    </row>
    <row r="20" spans="1:26" ht="18" customHeight="1">
      <c r="A20" s="14"/>
      <c r="B20" s="194"/>
      <c r="C20" s="195"/>
      <c r="D20" s="195"/>
      <c r="E20" s="195"/>
      <c r="F20" s="196"/>
      <c r="G20" s="110"/>
      <c r="H20" s="110"/>
      <c r="I20" s="188"/>
      <c r="J20" s="189"/>
      <c r="K20" s="190"/>
      <c r="L20" s="110"/>
      <c r="M20" s="110"/>
      <c r="N20" s="164"/>
      <c r="O20" s="165"/>
      <c r="P20" s="165"/>
      <c r="Q20" s="165"/>
      <c r="R20" s="165"/>
      <c r="S20" s="166"/>
      <c r="T20" s="110"/>
      <c r="U20" s="110"/>
      <c r="V20" s="188"/>
      <c r="W20" s="189"/>
      <c r="X20" s="190"/>
      <c r="Y20" s="110"/>
      <c r="Z20" s="110"/>
    </row>
    <row r="21" spans="1:26" ht="18" customHeight="1">
      <c r="A21" s="29"/>
      <c r="B21" s="194"/>
      <c r="C21" s="195"/>
      <c r="D21" s="195"/>
      <c r="E21" s="195"/>
      <c r="F21" s="196"/>
      <c r="G21" s="110"/>
      <c r="H21" s="110"/>
      <c r="I21" s="188"/>
      <c r="J21" s="189"/>
      <c r="K21" s="190"/>
      <c r="L21" s="110"/>
      <c r="M21" s="110"/>
      <c r="N21" s="164"/>
      <c r="O21" s="165"/>
      <c r="P21" s="165"/>
      <c r="Q21" s="165"/>
      <c r="R21" s="165"/>
      <c r="S21" s="166"/>
      <c r="T21" s="110"/>
      <c r="U21" s="110"/>
      <c r="V21" s="188"/>
      <c r="W21" s="189"/>
      <c r="X21" s="190"/>
      <c r="Y21" s="110"/>
      <c r="Z21" s="110"/>
    </row>
    <row r="22" spans="1:26" ht="18" customHeight="1">
      <c r="A22" s="29"/>
      <c r="B22" s="201"/>
      <c r="C22" s="202"/>
      <c r="D22" s="202"/>
      <c r="E22" s="202"/>
      <c r="F22" s="203"/>
      <c r="G22" s="111"/>
      <c r="H22" s="111"/>
      <c r="I22" s="197"/>
      <c r="J22" s="198"/>
      <c r="K22" s="199"/>
      <c r="L22" s="117"/>
      <c r="M22" s="117"/>
      <c r="N22" s="223"/>
      <c r="O22" s="224"/>
      <c r="P22" s="224"/>
      <c r="Q22" s="224"/>
      <c r="R22" s="224"/>
      <c r="S22" s="225"/>
      <c r="T22" s="111"/>
      <c r="U22" s="111"/>
      <c r="V22" s="197"/>
      <c r="W22" s="198"/>
      <c r="X22" s="199"/>
      <c r="Y22" s="117"/>
      <c r="Z22" s="117"/>
    </row>
    <row r="23" spans="1:26" ht="7.5" customHeight="1">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c r="A24" s="200" t="s">
        <v>126</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c r="A26" s="14"/>
      <c r="B26" s="148" t="s">
        <v>100</v>
      </c>
      <c r="C26" s="149"/>
      <c r="D26" s="149"/>
      <c r="E26" s="149"/>
      <c r="F26" s="150"/>
      <c r="G26" s="30" t="s">
        <v>141</v>
      </c>
      <c r="H26" s="108" t="s">
        <v>140</v>
      </c>
      <c r="I26" s="149" t="s">
        <v>101</v>
      </c>
      <c r="J26" s="149"/>
      <c r="K26" s="149"/>
      <c r="L26" s="73" t="s">
        <v>127</v>
      </c>
      <c r="M26" s="73" t="s">
        <v>128</v>
      </c>
      <c r="N26" s="148" t="s">
        <v>100</v>
      </c>
      <c r="O26" s="149"/>
      <c r="P26" s="149"/>
      <c r="Q26" s="149"/>
      <c r="R26" s="149"/>
      <c r="S26" s="150"/>
      <c r="T26" s="30" t="s">
        <v>141</v>
      </c>
      <c r="U26" s="108" t="s">
        <v>140</v>
      </c>
      <c r="V26" s="149" t="s">
        <v>101</v>
      </c>
      <c r="W26" s="149"/>
      <c r="X26" s="149"/>
      <c r="Y26" s="73" t="s">
        <v>127</v>
      </c>
      <c r="Z26" s="73" t="s">
        <v>128</v>
      </c>
    </row>
    <row r="27" spans="1:26" ht="18" customHeight="1">
      <c r="A27" s="14"/>
      <c r="B27" s="191" t="s">
        <v>168</v>
      </c>
      <c r="C27" s="192"/>
      <c r="D27" s="192"/>
      <c r="E27" s="192"/>
      <c r="F27" s="193"/>
      <c r="G27" s="109">
        <v>2</v>
      </c>
      <c r="H27" s="109"/>
      <c r="I27" s="185" t="s">
        <v>167</v>
      </c>
      <c r="J27" s="186"/>
      <c r="K27" s="187"/>
      <c r="L27" s="109" t="s">
        <v>166</v>
      </c>
      <c r="M27" s="109"/>
      <c r="N27" s="155"/>
      <c r="O27" s="156"/>
      <c r="P27" s="156"/>
      <c r="Q27" s="156"/>
      <c r="R27" s="156"/>
      <c r="S27" s="157"/>
      <c r="T27" s="109"/>
      <c r="U27" s="109"/>
      <c r="V27" s="185"/>
      <c r="W27" s="186"/>
      <c r="X27" s="187"/>
      <c r="Y27" s="109"/>
      <c r="Z27" s="109"/>
    </row>
    <row r="28" spans="1:26" ht="18" customHeight="1">
      <c r="A28" s="14"/>
      <c r="B28" s="194" t="s">
        <v>165</v>
      </c>
      <c r="C28" s="195"/>
      <c r="D28" s="195"/>
      <c r="E28" s="195"/>
      <c r="F28" s="196"/>
      <c r="G28" s="110">
        <v>2</v>
      </c>
      <c r="H28" s="110" t="s">
        <v>166</v>
      </c>
      <c r="I28" s="188" t="s">
        <v>167</v>
      </c>
      <c r="J28" s="189"/>
      <c r="K28" s="190"/>
      <c r="L28" s="110" t="s">
        <v>166</v>
      </c>
      <c r="M28" s="110" t="s">
        <v>166</v>
      </c>
      <c r="N28" s="164"/>
      <c r="O28" s="165"/>
      <c r="P28" s="165"/>
      <c r="Q28" s="165"/>
      <c r="R28" s="165"/>
      <c r="S28" s="166"/>
      <c r="T28" s="110"/>
      <c r="U28" s="110"/>
      <c r="V28" s="188"/>
      <c r="W28" s="189"/>
      <c r="X28" s="190"/>
      <c r="Y28" s="110"/>
      <c r="Z28" s="110"/>
    </row>
    <row r="29" spans="1:26" ht="18" customHeight="1">
      <c r="A29" s="14"/>
      <c r="B29" s="194"/>
      <c r="C29" s="195"/>
      <c r="D29" s="195"/>
      <c r="E29" s="195"/>
      <c r="F29" s="196"/>
      <c r="G29" s="110"/>
      <c r="H29" s="110"/>
      <c r="I29" s="188"/>
      <c r="J29" s="189"/>
      <c r="K29" s="190"/>
      <c r="L29" s="110"/>
      <c r="M29" s="110"/>
      <c r="N29" s="164"/>
      <c r="O29" s="165"/>
      <c r="P29" s="165"/>
      <c r="Q29" s="165"/>
      <c r="R29" s="165"/>
      <c r="S29" s="166"/>
      <c r="T29" s="110"/>
      <c r="U29" s="110"/>
      <c r="V29" s="188"/>
      <c r="W29" s="189"/>
      <c r="X29" s="190"/>
      <c r="Y29" s="110"/>
      <c r="Z29" s="110"/>
    </row>
    <row r="30" spans="1:26" ht="18" customHeight="1">
      <c r="A30" s="14"/>
      <c r="B30" s="194"/>
      <c r="C30" s="195"/>
      <c r="D30" s="195"/>
      <c r="E30" s="195"/>
      <c r="F30" s="196"/>
      <c r="G30" s="110"/>
      <c r="H30" s="110"/>
      <c r="I30" s="188"/>
      <c r="J30" s="189"/>
      <c r="K30" s="190"/>
      <c r="L30" s="110"/>
      <c r="M30" s="110"/>
      <c r="N30" s="164"/>
      <c r="O30" s="165"/>
      <c r="P30" s="165"/>
      <c r="Q30" s="165"/>
      <c r="R30" s="165"/>
      <c r="S30" s="166"/>
      <c r="T30" s="110"/>
      <c r="U30" s="110"/>
      <c r="V30" s="188"/>
      <c r="W30" s="189"/>
      <c r="X30" s="190"/>
      <c r="Y30" s="110"/>
      <c r="Z30" s="110"/>
    </row>
    <row r="31" spans="1:26" ht="18" customHeight="1">
      <c r="A31" s="14"/>
      <c r="B31" s="194"/>
      <c r="C31" s="195"/>
      <c r="D31" s="195"/>
      <c r="E31" s="195"/>
      <c r="F31" s="196"/>
      <c r="G31" s="110"/>
      <c r="H31" s="110"/>
      <c r="I31" s="188"/>
      <c r="J31" s="189"/>
      <c r="K31" s="190"/>
      <c r="L31" s="110"/>
      <c r="M31" s="110"/>
      <c r="N31" s="164"/>
      <c r="O31" s="165"/>
      <c r="P31" s="165"/>
      <c r="Q31" s="165"/>
      <c r="R31" s="165"/>
      <c r="S31" s="166"/>
      <c r="T31" s="110"/>
      <c r="U31" s="110"/>
      <c r="V31" s="188"/>
      <c r="W31" s="189"/>
      <c r="X31" s="190"/>
      <c r="Y31" s="110"/>
      <c r="Z31" s="110"/>
    </row>
    <row r="32" spans="1:26" ht="18" customHeight="1">
      <c r="A32" s="14"/>
      <c r="B32" s="194"/>
      <c r="C32" s="195"/>
      <c r="D32" s="195"/>
      <c r="E32" s="195"/>
      <c r="F32" s="196"/>
      <c r="G32" s="110"/>
      <c r="H32" s="110"/>
      <c r="I32" s="188"/>
      <c r="J32" s="189"/>
      <c r="K32" s="190"/>
      <c r="L32" s="110"/>
      <c r="M32" s="110"/>
      <c r="N32" s="164"/>
      <c r="O32" s="165"/>
      <c r="P32" s="165"/>
      <c r="Q32" s="165"/>
      <c r="R32" s="165"/>
      <c r="S32" s="166"/>
      <c r="T32" s="110"/>
      <c r="U32" s="110"/>
      <c r="V32" s="188"/>
      <c r="W32" s="189"/>
      <c r="X32" s="190"/>
      <c r="Y32" s="110"/>
      <c r="Z32" s="110"/>
    </row>
    <row r="33" spans="1:26" ht="18" customHeight="1">
      <c r="A33" s="14"/>
      <c r="B33" s="201"/>
      <c r="C33" s="202"/>
      <c r="D33" s="202"/>
      <c r="E33" s="202"/>
      <c r="F33" s="203"/>
      <c r="G33" s="111"/>
      <c r="H33" s="111"/>
      <c r="I33" s="197"/>
      <c r="J33" s="198"/>
      <c r="K33" s="199"/>
      <c r="L33" s="117"/>
      <c r="M33" s="117"/>
      <c r="N33" s="223"/>
      <c r="O33" s="224"/>
      <c r="P33" s="224"/>
      <c r="Q33" s="224"/>
      <c r="R33" s="224"/>
      <c r="S33" s="225"/>
      <c r="T33" s="111"/>
      <c r="U33" s="111"/>
      <c r="V33" s="197"/>
      <c r="W33" s="198"/>
      <c r="X33" s="199"/>
      <c r="Y33" s="117"/>
      <c r="Z33" s="117"/>
    </row>
    <row r="34" spans="1:26" ht="7.5" customHeight="1">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c r="A35" s="200" t="s">
        <v>129</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8" customHeight="1">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8" customHeight="1">
      <c r="A37" s="14"/>
      <c r="B37" s="148" t="s">
        <v>100</v>
      </c>
      <c r="C37" s="149"/>
      <c r="D37" s="149"/>
      <c r="E37" s="149"/>
      <c r="F37" s="150"/>
      <c r="G37" s="30" t="s">
        <v>141</v>
      </c>
      <c r="H37" s="108" t="s">
        <v>140</v>
      </c>
      <c r="I37" s="148" t="s">
        <v>101</v>
      </c>
      <c r="J37" s="149"/>
      <c r="K37" s="150"/>
      <c r="L37" s="73" t="s">
        <v>130</v>
      </c>
      <c r="M37" s="73" t="s">
        <v>131</v>
      </c>
      <c r="N37" s="148" t="s">
        <v>100</v>
      </c>
      <c r="O37" s="149"/>
      <c r="P37" s="149"/>
      <c r="Q37" s="149"/>
      <c r="R37" s="149"/>
      <c r="S37" s="150"/>
      <c r="T37" s="30" t="s">
        <v>141</v>
      </c>
      <c r="U37" s="108" t="s">
        <v>140</v>
      </c>
      <c r="V37" s="148" t="s">
        <v>101</v>
      </c>
      <c r="W37" s="149"/>
      <c r="X37" s="150"/>
      <c r="Y37" s="73" t="s">
        <v>130</v>
      </c>
      <c r="Z37" s="73" t="s">
        <v>131</v>
      </c>
    </row>
    <row r="38" spans="1:26" ht="18" customHeight="1">
      <c r="A38" s="29"/>
      <c r="B38" s="191" t="s">
        <v>168</v>
      </c>
      <c r="C38" s="192"/>
      <c r="D38" s="192"/>
      <c r="E38" s="192"/>
      <c r="F38" s="193"/>
      <c r="G38" s="109">
        <v>2</v>
      </c>
      <c r="H38" s="109"/>
      <c r="I38" s="185" t="s">
        <v>167</v>
      </c>
      <c r="J38" s="186"/>
      <c r="K38" s="187"/>
      <c r="L38" s="109" t="s">
        <v>166</v>
      </c>
      <c r="M38" s="109"/>
      <c r="N38" s="155"/>
      <c r="O38" s="156"/>
      <c r="P38" s="156"/>
      <c r="Q38" s="156"/>
      <c r="R38" s="156"/>
      <c r="S38" s="157"/>
      <c r="T38" s="109"/>
      <c r="U38" s="109"/>
      <c r="V38" s="185"/>
      <c r="W38" s="186"/>
      <c r="X38" s="187"/>
      <c r="Y38" s="109"/>
      <c r="Z38" s="109"/>
    </row>
    <row r="39" spans="1:26" ht="18" customHeight="1">
      <c r="A39" s="29"/>
      <c r="B39" s="194" t="s">
        <v>165</v>
      </c>
      <c r="C39" s="195"/>
      <c r="D39" s="195"/>
      <c r="E39" s="195"/>
      <c r="F39" s="196"/>
      <c r="G39" s="110">
        <v>2</v>
      </c>
      <c r="H39" s="110" t="s">
        <v>166</v>
      </c>
      <c r="I39" s="188" t="s">
        <v>167</v>
      </c>
      <c r="J39" s="189"/>
      <c r="K39" s="190"/>
      <c r="L39" s="110" t="s">
        <v>166</v>
      </c>
      <c r="M39" s="110" t="s">
        <v>166</v>
      </c>
      <c r="N39" s="164"/>
      <c r="O39" s="165"/>
      <c r="P39" s="165"/>
      <c r="Q39" s="165"/>
      <c r="R39" s="165"/>
      <c r="S39" s="166"/>
      <c r="T39" s="110"/>
      <c r="U39" s="110"/>
      <c r="V39" s="188"/>
      <c r="W39" s="189"/>
      <c r="X39" s="190"/>
      <c r="Y39" s="110"/>
      <c r="Z39" s="110"/>
    </row>
    <row r="40" spans="1:26" ht="18" customHeight="1">
      <c r="A40" s="29"/>
      <c r="B40" s="194"/>
      <c r="C40" s="195"/>
      <c r="D40" s="195"/>
      <c r="E40" s="195"/>
      <c r="F40" s="196"/>
      <c r="G40" s="110"/>
      <c r="H40" s="110"/>
      <c r="I40" s="188"/>
      <c r="J40" s="189"/>
      <c r="K40" s="190"/>
      <c r="L40" s="110"/>
      <c r="M40" s="110"/>
      <c r="N40" s="164"/>
      <c r="O40" s="165"/>
      <c r="P40" s="165"/>
      <c r="Q40" s="165"/>
      <c r="R40" s="165"/>
      <c r="S40" s="166"/>
      <c r="T40" s="110"/>
      <c r="U40" s="110"/>
      <c r="V40" s="188"/>
      <c r="W40" s="189"/>
      <c r="X40" s="190"/>
      <c r="Y40" s="110"/>
      <c r="Z40" s="110"/>
    </row>
    <row r="41" spans="1:26" ht="18" customHeight="1">
      <c r="A41" s="29"/>
      <c r="B41" s="194"/>
      <c r="C41" s="195"/>
      <c r="D41" s="195"/>
      <c r="E41" s="195"/>
      <c r="F41" s="196"/>
      <c r="G41" s="110"/>
      <c r="H41" s="110"/>
      <c r="I41" s="188"/>
      <c r="J41" s="189"/>
      <c r="K41" s="190"/>
      <c r="L41" s="110"/>
      <c r="M41" s="110"/>
      <c r="N41" s="164"/>
      <c r="O41" s="165"/>
      <c r="P41" s="165"/>
      <c r="Q41" s="165"/>
      <c r="R41" s="165"/>
      <c r="S41" s="166"/>
      <c r="T41" s="110"/>
      <c r="U41" s="110"/>
      <c r="V41" s="188"/>
      <c r="W41" s="189"/>
      <c r="X41" s="190"/>
      <c r="Y41" s="110"/>
      <c r="Z41" s="110"/>
    </row>
    <row r="42" spans="1:26" ht="18" customHeight="1">
      <c r="A42" s="29"/>
      <c r="B42" s="194"/>
      <c r="C42" s="195"/>
      <c r="D42" s="195"/>
      <c r="E42" s="195"/>
      <c r="F42" s="196"/>
      <c r="G42" s="110"/>
      <c r="H42" s="110"/>
      <c r="I42" s="188"/>
      <c r="J42" s="189"/>
      <c r="K42" s="190"/>
      <c r="L42" s="110"/>
      <c r="M42" s="110"/>
      <c r="N42" s="164"/>
      <c r="O42" s="165"/>
      <c r="P42" s="165"/>
      <c r="Q42" s="165"/>
      <c r="R42" s="165"/>
      <c r="S42" s="166"/>
      <c r="T42" s="110"/>
      <c r="U42" s="110"/>
      <c r="V42" s="188"/>
      <c r="W42" s="189"/>
      <c r="X42" s="190"/>
      <c r="Y42" s="110"/>
      <c r="Z42" s="110"/>
    </row>
    <row r="43" spans="1:26" ht="18" customHeight="1">
      <c r="A43" s="29"/>
      <c r="B43" s="194"/>
      <c r="C43" s="195"/>
      <c r="D43" s="195"/>
      <c r="E43" s="195"/>
      <c r="F43" s="196"/>
      <c r="G43" s="110"/>
      <c r="H43" s="110"/>
      <c r="I43" s="188"/>
      <c r="J43" s="189"/>
      <c r="K43" s="190"/>
      <c r="L43" s="110"/>
      <c r="M43" s="110"/>
      <c r="N43" s="164"/>
      <c r="O43" s="165"/>
      <c r="P43" s="165"/>
      <c r="Q43" s="165"/>
      <c r="R43" s="165"/>
      <c r="S43" s="166"/>
      <c r="T43" s="110"/>
      <c r="U43" s="110"/>
      <c r="V43" s="188"/>
      <c r="W43" s="189"/>
      <c r="X43" s="190"/>
      <c r="Y43" s="110"/>
      <c r="Z43" s="110"/>
    </row>
    <row r="44" spans="1:26" ht="18" customHeight="1">
      <c r="A44" s="29"/>
      <c r="B44" s="201"/>
      <c r="C44" s="202"/>
      <c r="D44" s="202"/>
      <c r="E44" s="202"/>
      <c r="F44" s="203"/>
      <c r="G44" s="111"/>
      <c r="H44" s="111"/>
      <c r="I44" s="197"/>
      <c r="J44" s="198"/>
      <c r="K44" s="199"/>
      <c r="L44" s="117"/>
      <c r="M44" s="117"/>
      <c r="N44" s="223"/>
      <c r="O44" s="224"/>
      <c r="P44" s="224"/>
      <c r="Q44" s="224"/>
      <c r="R44" s="224"/>
      <c r="S44" s="225"/>
      <c r="T44" s="111"/>
      <c r="U44" s="111"/>
      <c r="V44" s="197"/>
      <c r="W44" s="198"/>
      <c r="X44" s="199"/>
      <c r="Y44" s="117"/>
      <c r="Z44" s="117"/>
    </row>
    <row r="45" spans="1:26" ht="7.5" customHeight="1">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c r="A46" s="200" t="s">
        <v>132</v>
      </c>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8" customHeight="1">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8" customHeight="1">
      <c r="A48" s="14"/>
      <c r="B48" s="148" t="s">
        <v>100</v>
      </c>
      <c r="C48" s="149"/>
      <c r="D48" s="149"/>
      <c r="E48" s="149"/>
      <c r="F48" s="150"/>
      <c r="G48" s="30" t="s">
        <v>141</v>
      </c>
      <c r="H48" s="108" t="s">
        <v>140</v>
      </c>
      <c r="I48" s="148" t="s">
        <v>101</v>
      </c>
      <c r="J48" s="149"/>
      <c r="K48" s="150"/>
      <c r="L48" s="73" t="s">
        <v>106</v>
      </c>
      <c r="M48" s="73" t="s">
        <v>108</v>
      </c>
      <c r="N48" s="148" t="s">
        <v>100</v>
      </c>
      <c r="O48" s="149"/>
      <c r="P48" s="149"/>
      <c r="Q48" s="149"/>
      <c r="R48" s="149"/>
      <c r="S48" s="150"/>
      <c r="T48" s="30" t="s">
        <v>141</v>
      </c>
      <c r="U48" s="108" t="s">
        <v>140</v>
      </c>
      <c r="V48" s="148" t="s">
        <v>101</v>
      </c>
      <c r="W48" s="149"/>
      <c r="X48" s="150"/>
      <c r="Y48" s="73" t="s">
        <v>106</v>
      </c>
      <c r="Z48" s="73" t="s">
        <v>108</v>
      </c>
    </row>
    <row r="49" spans="1:26" ht="18" customHeight="1">
      <c r="A49" s="29"/>
      <c r="B49" s="191" t="s">
        <v>168</v>
      </c>
      <c r="C49" s="192"/>
      <c r="D49" s="192"/>
      <c r="E49" s="192"/>
      <c r="F49" s="193"/>
      <c r="G49" s="109">
        <v>2</v>
      </c>
      <c r="H49" s="109"/>
      <c r="I49" s="185" t="s">
        <v>167</v>
      </c>
      <c r="J49" s="186"/>
      <c r="K49" s="187"/>
      <c r="L49" s="109" t="s">
        <v>166</v>
      </c>
      <c r="M49" s="109" t="s">
        <v>166</v>
      </c>
      <c r="N49" s="155"/>
      <c r="O49" s="156"/>
      <c r="P49" s="156"/>
      <c r="Q49" s="156"/>
      <c r="R49" s="156"/>
      <c r="S49" s="157"/>
      <c r="T49" s="109"/>
      <c r="U49" s="109"/>
      <c r="V49" s="185"/>
      <c r="W49" s="186"/>
      <c r="X49" s="187"/>
      <c r="Y49" s="109"/>
      <c r="Z49" s="109"/>
    </row>
    <row r="50" spans="1:26" ht="18" customHeight="1">
      <c r="A50" s="29"/>
      <c r="B50" s="194" t="s">
        <v>165</v>
      </c>
      <c r="C50" s="195"/>
      <c r="D50" s="195"/>
      <c r="E50" s="195"/>
      <c r="F50" s="196"/>
      <c r="G50" s="110">
        <v>2</v>
      </c>
      <c r="H50" s="110" t="s">
        <v>166</v>
      </c>
      <c r="I50" s="188" t="s">
        <v>167</v>
      </c>
      <c r="J50" s="189"/>
      <c r="K50" s="190"/>
      <c r="L50" s="110" t="s">
        <v>166</v>
      </c>
      <c r="M50" s="110" t="s">
        <v>166</v>
      </c>
      <c r="N50" s="164"/>
      <c r="O50" s="165"/>
      <c r="P50" s="165"/>
      <c r="Q50" s="165"/>
      <c r="R50" s="165"/>
      <c r="S50" s="166"/>
      <c r="T50" s="110"/>
      <c r="U50" s="110"/>
      <c r="V50" s="188"/>
      <c r="W50" s="189"/>
      <c r="X50" s="190"/>
      <c r="Y50" s="110"/>
      <c r="Z50" s="110"/>
    </row>
    <row r="51" spans="1:26" ht="18" customHeight="1">
      <c r="A51" s="29"/>
      <c r="B51" s="194"/>
      <c r="C51" s="195"/>
      <c r="D51" s="195"/>
      <c r="E51" s="195"/>
      <c r="F51" s="196"/>
      <c r="G51" s="110"/>
      <c r="H51" s="110"/>
      <c r="I51" s="188"/>
      <c r="J51" s="189"/>
      <c r="K51" s="190"/>
      <c r="L51" s="110"/>
      <c r="M51" s="110"/>
      <c r="N51" s="164"/>
      <c r="O51" s="165"/>
      <c r="P51" s="165"/>
      <c r="Q51" s="165"/>
      <c r="R51" s="165"/>
      <c r="S51" s="166"/>
      <c r="T51" s="110"/>
      <c r="U51" s="110"/>
      <c r="V51" s="188"/>
      <c r="W51" s="189"/>
      <c r="X51" s="190"/>
      <c r="Y51" s="110"/>
      <c r="Z51" s="110"/>
    </row>
    <row r="52" spans="1:26" ht="18" customHeight="1">
      <c r="A52" s="29"/>
      <c r="B52" s="194"/>
      <c r="C52" s="195"/>
      <c r="D52" s="195"/>
      <c r="E52" s="195"/>
      <c r="F52" s="196"/>
      <c r="G52" s="110"/>
      <c r="H52" s="110"/>
      <c r="I52" s="188"/>
      <c r="J52" s="189"/>
      <c r="K52" s="190"/>
      <c r="L52" s="110"/>
      <c r="M52" s="110"/>
      <c r="N52" s="164"/>
      <c r="O52" s="165"/>
      <c r="P52" s="165"/>
      <c r="Q52" s="165"/>
      <c r="R52" s="165"/>
      <c r="S52" s="166"/>
      <c r="T52" s="110"/>
      <c r="U52" s="110"/>
      <c r="V52" s="188"/>
      <c r="W52" s="189"/>
      <c r="X52" s="190"/>
      <c r="Y52" s="110"/>
      <c r="Z52" s="110"/>
    </row>
    <row r="53" spans="1:26" ht="18" customHeight="1">
      <c r="A53" s="29"/>
      <c r="B53" s="194"/>
      <c r="C53" s="195"/>
      <c r="D53" s="195"/>
      <c r="E53" s="195"/>
      <c r="F53" s="196"/>
      <c r="G53" s="110"/>
      <c r="H53" s="110"/>
      <c r="I53" s="188"/>
      <c r="J53" s="189"/>
      <c r="K53" s="190"/>
      <c r="L53" s="110"/>
      <c r="M53" s="110"/>
      <c r="N53" s="164"/>
      <c r="O53" s="165"/>
      <c r="P53" s="165"/>
      <c r="Q53" s="165"/>
      <c r="R53" s="165"/>
      <c r="S53" s="166"/>
      <c r="T53" s="110"/>
      <c r="U53" s="110"/>
      <c r="V53" s="188"/>
      <c r="W53" s="189"/>
      <c r="X53" s="190"/>
      <c r="Y53" s="110"/>
      <c r="Z53" s="110"/>
    </row>
    <row r="54" spans="1:26" ht="18" customHeight="1">
      <c r="A54" s="29"/>
      <c r="B54" s="194"/>
      <c r="C54" s="195"/>
      <c r="D54" s="195"/>
      <c r="E54" s="195"/>
      <c r="F54" s="196"/>
      <c r="G54" s="110"/>
      <c r="H54" s="110"/>
      <c r="I54" s="188"/>
      <c r="J54" s="189"/>
      <c r="K54" s="190"/>
      <c r="L54" s="110"/>
      <c r="M54" s="110"/>
      <c r="N54" s="164"/>
      <c r="O54" s="165"/>
      <c r="P54" s="165"/>
      <c r="Q54" s="165"/>
      <c r="R54" s="165"/>
      <c r="S54" s="166"/>
      <c r="T54" s="110"/>
      <c r="U54" s="110"/>
      <c r="V54" s="188"/>
      <c r="W54" s="189"/>
      <c r="X54" s="190"/>
      <c r="Y54" s="110"/>
      <c r="Z54" s="110"/>
    </row>
    <row r="55" spans="1:26" ht="18" customHeight="1">
      <c r="A55" s="29"/>
      <c r="B55" s="201"/>
      <c r="C55" s="202"/>
      <c r="D55" s="202"/>
      <c r="E55" s="202"/>
      <c r="F55" s="203"/>
      <c r="G55" s="111"/>
      <c r="H55" s="111"/>
      <c r="I55" s="197"/>
      <c r="J55" s="198"/>
      <c r="K55" s="199"/>
      <c r="L55" s="117"/>
      <c r="M55" s="117"/>
      <c r="N55" s="223"/>
      <c r="O55" s="224"/>
      <c r="P55" s="224"/>
      <c r="Q55" s="224"/>
      <c r="R55" s="224"/>
      <c r="S55" s="225"/>
      <c r="T55" s="111"/>
      <c r="U55" s="111"/>
      <c r="V55" s="197"/>
      <c r="W55" s="198"/>
      <c r="X55" s="199"/>
      <c r="Y55" s="117"/>
      <c r="Z55" s="117"/>
    </row>
    <row r="56" spans="1:26" ht="7.5" customHeight="1">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c r="A57" s="200" t="s">
        <v>133</v>
      </c>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8" customHeight="1">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8" customHeight="1">
      <c r="A59" s="14"/>
      <c r="B59" s="148" t="s">
        <v>100</v>
      </c>
      <c r="C59" s="149"/>
      <c r="D59" s="149"/>
      <c r="E59" s="150"/>
      <c r="F59" s="30" t="s">
        <v>141</v>
      </c>
      <c r="G59" s="108" t="s">
        <v>140</v>
      </c>
      <c r="H59" s="103" t="s">
        <v>101</v>
      </c>
      <c r="I59" s="104"/>
      <c r="J59" s="105"/>
      <c r="K59" s="73" t="s">
        <v>105</v>
      </c>
      <c r="L59" s="73" t="s">
        <v>134</v>
      </c>
      <c r="M59" s="73" t="s">
        <v>135</v>
      </c>
      <c r="N59" s="148" t="s">
        <v>100</v>
      </c>
      <c r="O59" s="149"/>
      <c r="P59" s="149"/>
      <c r="Q59" s="149"/>
      <c r="R59" s="150"/>
      <c r="S59" s="30" t="s">
        <v>141</v>
      </c>
      <c r="T59" s="108" t="s">
        <v>140</v>
      </c>
      <c r="U59" s="103" t="s">
        <v>101</v>
      </c>
      <c r="V59" s="104"/>
      <c r="W59" s="105"/>
      <c r="X59" s="73" t="s">
        <v>105</v>
      </c>
      <c r="Y59" s="73" t="s">
        <v>134</v>
      </c>
      <c r="Z59" s="73" t="s">
        <v>135</v>
      </c>
    </row>
    <row r="60" spans="1:26" ht="18" customHeight="1">
      <c r="A60" s="29"/>
      <c r="B60" s="155" t="s">
        <v>168</v>
      </c>
      <c r="C60" s="156"/>
      <c r="D60" s="156"/>
      <c r="E60" s="157"/>
      <c r="F60" s="109">
        <v>2</v>
      </c>
      <c r="G60" s="109"/>
      <c r="H60" s="185" t="s">
        <v>167</v>
      </c>
      <c r="I60" s="186"/>
      <c r="J60" s="187"/>
      <c r="K60" s="116" t="s">
        <v>169</v>
      </c>
      <c r="L60" s="109" t="s">
        <v>169</v>
      </c>
      <c r="M60" s="109" t="s">
        <v>166</v>
      </c>
      <c r="N60" s="155"/>
      <c r="O60" s="156"/>
      <c r="P60" s="156"/>
      <c r="Q60" s="156"/>
      <c r="R60" s="157"/>
      <c r="S60" s="109"/>
      <c r="T60" s="109"/>
      <c r="U60" s="185"/>
      <c r="V60" s="186"/>
      <c r="W60" s="187"/>
      <c r="X60" s="116"/>
      <c r="Y60" s="109"/>
      <c r="Z60" s="109"/>
    </row>
    <row r="61" spans="1:26" ht="18" customHeight="1">
      <c r="A61" s="29"/>
      <c r="B61" s="164" t="s">
        <v>165</v>
      </c>
      <c r="C61" s="165"/>
      <c r="D61" s="165"/>
      <c r="E61" s="166"/>
      <c r="F61" s="110">
        <v>2</v>
      </c>
      <c r="G61" s="110" t="s">
        <v>166</v>
      </c>
      <c r="H61" s="188" t="s">
        <v>167</v>
      </c>
      <c r="I61" s="189"/>
      <c r="J61" s="190"/>
      <c r="K61" s="114" t="s">
        <v>169</v>
      </c>
      <c r="L61" s="110" t="s">
        <v>166</v>
      </c>
      <c r="M61" s="110" t="s">
        <v>166</v>
      </c>
      <c r="N61" s="164"/>
      <c r="O61" s="165"/>
      <c r="P61" s="165"/>
      <c r="Q61" s="165"/>
      <c r="R61" s="166"/>
      <c r="S61" s="110"/>
      <c r="T61" s="110"/>
      <c r="U61" s="188"/>
      <c r="V61" s="189"/>
      <c r="W61" s="190"/>
      <c r="X61" s="114"/>
      <c r="Y61" s="110"/>
      <c r="Z61" s="110"/>
    </row>
    <row r="62" spans="1:26" ht="18" customHeight="1">
      <c r="A62" s="29"/>
      <c r="B62" s="164"/>
      <c r="C62" s="165"/>
      <c r="D62" s="165"/>
      <c r="E62" s="166"/>
      <c r="F62" s="110"/>
      <c r="G62" s="110"/>
      <c r="H62" s="188"/>
      <c r="I62" s="189"/>
      <c r="J62" s="190"/>
      <c r="K62" s="114"/>
      <c r="L62" s="110"/>
      <c r="M62" s="110"/>
      <c r="N62" s="164"/>
      <c r="O62" s="165"/>
      <c r="P62" s="165"/>
      <c r="Q62" s="165"/>
      <c r="R62" s="166"/>
      <c r="S62" s="110"/>
      <c r="T62" s="110"/>
      <c r="U62" s="188"/>
      <c r="V62" s="189"/>
      <c r="W62" s="190"/>
      <c r="X62" s="114"/>
      <c r="Y62" s="110"/>
      <c r="Z62" s="110"/>
    </row>
    <row r="63" spans="1:26" ht="18" customHeight="1">
      <c r="A63" s="29"/>
      <c r="B63" s="164"/>
      <c r="C63" s="165"/>
      <c r="D63" s="165"/>
      <c r="E63" s="166"/>
      <c r="F63" s="110"/>
      <c r="G63" s="110"/>
      <c r="H63" s="188"/>
      <c r="I63" s="189"/>
      <c r="J63" s="190"/>
      <c r="K63" s="114"/>
      <c r="L63" s="110"/>
      <c r="M63" s="110"/>
      <c r="N63" s="164"/>
      <c r="O63" s="165"/>
      <c r="P63" s="165"/>
      <c r="Q63" s="165"/>
      <c r="R63" s="166"/>
      <c r="S63" s="110"/>
      <c r="T63" s="110"/>
      <c r="U63" s="188"/>
      <c r="V63" s="189"/>
      <c r="W63" s="190"/>
      <c r="X63" s="114"/>
      <c r="Y63" s="110"/>
      <c r="Z63" s="110"/>
    </row>
    <row r="64" spans="1:26" ht="18" customHeight="1">
      <c r="A64" s="29"/>
      <c r="B64" s="164"/>
      <c r="C64" s="165"/>
      <c r="D64" s="165"/>
      <c r="E64" s="166"/>
      <c r="F64" s="110"/>
      <c r="G64" s="110"/>
      <c r="H64" s="188"/>
      <c r="I64" s="189"/>
      <c r="J64" s="190"/>
      <c r="K64" s="114"/>
      <c r="L64" s="110"/>
      <c r="M64" s="110"/>
      <c r="N64" s="164"/>
      <c r="O64" s="165"/>
      <c r="P64" s="165"/>
      <c r="Q64" s="165"/>
      <c r="R64" s="166"/>
      <c r="S64" s="110"/>
      <c r="T64" s="110"/>
      <c r="U64" s="188"/>
      <c r="V64" s="189"/>
      <c r="W64" s="190"/>
      <c r="X64" s="114"/>
      <c r="Y64" s="110"/>
      <c r="Z64" s="110"/>
    </row>
    <row r="65" spans="1:26" ht="18" customHeight="1">
      <c r="A65" s="29"/>
      <c r="B65" s="164"/>
      <c r="C65" s="165"/>
      <c r="D65" s="165"/>
      <c r="E65" s="166"/>
      <c r="F65" s="110"/>
      <c r="G65" s="110"/>
      <c r="H65" s="188"/>
      <c r="I65" s="189"/>
      <c r="J65" s="190"/>
      <c r="K65" s="114"/>
      <c r="L65" s="110"/>
      <c r="M65" s="110"/>
      <c r="N65" s="164"/>
      <c r="O65" s="165"/>
      <c r="P65" s="165"/>
      <c r="Q65" s="165"/>
      <c r="R65" s="166"/>
      <c r="S65" s="110"/>
      <c r="T65" s="110"/>
      <c r="U65" s="188"/>
      <c r="V65" s="189"/>
      <c r="W65" s="190"/>
      <c r="X65" s="114"/>
      <c r="Y65" s="110"/>
      <c r="Z65" s="110"/>
    </row>
    <row r="66" spans="1:26" ht="18" customHeight="1">
      <c r="A66" s="29"/>
      <c r="B66" s="223"/>
      <c r="C66" s="224"/>
      <c r="D66" s="224"/>
      <c r="E66" s="225"/>
      <c r="F66" s="111"/>
      <c r="G66" s="111"/>
      <c r="H66" s="197"/>
      <c r="I66" s="198"/>
      <c r="J66" s="199"/>
      <c r="K66" s="115"/>
      <c r="L66" s="117"/>
      <c r="M66" s="117"/>
      <c r="N66" s="223"/>
      <c r="O66" s="224"/>
      <c r="P66" s="224"/>
      <c r="Q66" s="224"/>
      <c r="R66" s="225"/>
      <c r="S66" s="111"/>
      <c r="T66" s="111"/>
      <c r="U66" s="197"/>
      <c r="V66" s="198"/>
      <c r="W66" s="199"/>
      <c r="X66" s="115"/>
      <c r="Y66" s="117"/>
      <c r="Z66" s="117"/>
    </row>
    <row r="67" spans="1:26" ht="7.5" customHeight="1">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48" t="s">
        <v>100</v>
      </c>
      <c r="C69" s="149"/>
      <c r="D69" s="149"/>
      <c r="E69" s="149"/>
      <c r="F69" s="150"/>
      <c r="G69" s="148" t="s">
        <v>146</v>
      </c>
      <c r="H69" s="149"/>
      <c r="I69" s="149"/>
      <c r="J69" s="149"/>
      <c r="K69" s="149"/>
      <c r="L69" s="149"/>
      <c r="M69" s="150"/>
      <c r="N69" s="229" t="s">
        <v>100</v>
      </c>
      <c r="O69" s="230"/>
      <c r="P69" s="230"/>
      <c r="Q69" s="230"/>
      <c r="R69" s="230"/>
      <c r="S69" s="231"/>
      <c r="T69" s="148" t="s">
        <v>146</v>
      </c>
      <c r="U69" s="149"/>
      <c r="V69" s="149"/>
      <c r="W69" s="149"/>
      <c r="X69" s="149"/>
      <c r="Y69" s="149"/>
      <c r="Z69" s="150"/>
    </row>
    <row r="70" spans="1:26" ht="18" customHeight="1">
      <c r="A70" s="29"/>
      <c r="B70" s="155"/>
      <c r="C70" s="156"/>
      <c r="D70" s="156"/>
      <c r="E70" s="156"/>
      <c r="F70" s="157"/>
      <c r="G70" s="158"/>
      <c r="H70" s="159"/>
      <c r="I70" s="159"/>
      <c r="J70" s="159"/>
      <c r="K70" s="159"/>
      <c r="L70" s="159"/>
      <c r="M70" s="160"/>
      <c r="N70" s="155"/>
      <c r="O70" s="156"/>
      <c r="P70" s="156"/>
      <c r="Q70" s="156"/>
      <c r="R70" s="156"/>
      <c r="S70" s="157"/>
      <c r="T70" s="158"/>
      <c r="U70" s="159"/>
      <c r="V70" s="159"/>
      <c r="W70" s="159"/>
      <c r="X70" s="159"/>
      <c r="Y70" s="159"/>
      <c r="Z70" s="160"/>
    </row>
    <row r="71" spans="1:26" ht="18" customHeight="1">
      <c r="A71" s="29"/>
      <c r="B71" s="164"/>
      <c r="C71" s="165"/>
      <c r="D71" s="165"/>
      <c r="E71" s="165"/>
      <c r="F71" s="166"/>
      <c r="G71" s="167"/>
      <c r="H71" s="168"/>
      <c r="I71" s="168"/>
      <c r="J71" s="168"/>
      <c r="K71" s="168"/>
      <c r="L71" s="168"/>
      <c r="M71" s="169"/>
      <c r="N71" s="164"/>
      <c r="O71" s="165"/>
      <c r="P71" s="165"/>
      <c r="Q71" s="165"/>
      <c r="R71" s="165"/>
      <c r="S71" s="166"/>
      <c r="T71" s="167"/>
      <c r="U71" s="168"/>
      <c r="V71" s="168"/>
      <c r="W71" s="168"/>
      <c r="X71" s="168"/>
      <c r="Y71" s="168"/>
      <c r="Z71" s="169"/>
    </row>
    <row r="72" spans="1:26" ht="18" customHeight="1">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c r="A76" s="29"/>
      <c r="B76" s="223"/>
      <c r="C76" s="224"/>
      <c r="D76" s="224"/>
      <c r="E76" s="224"/>
      <c r="F76" s="225"/>
      <c r="G76" s="226"/>
      <c r="H76" s="227"/>
      <c r="I76" s="227"/>
      <c r="J76" s="227"/>
      <c r="K76" s="227"/>
      <c r="L76" s="227"/>
      <c r="M76" s="228"/>
      <c r="N76" s="223"/>
      <c r="O76" s="224"/>
      <c r="P76" s="224"/>
      <c r="Q76" s="224"/>
      <c r="R76" s="224"/>
      <c r="S76" s="225"/>
      <c r="T76" s="226"/>
      <c r="U76" s="227"/>
      <c r="V76" s="227"/>
      <c r="W76" s="227"/>
      <c r="X76" s="227"/>
      <c r="Y76" s="227"/>
      <c r="Z76" s="228"/>
    </row>
    <row r="77" spans="1:26" ht="18" customHeight="1">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c r="A78" s="13" t="s">
        <v>142</v>
      </c>
    </row>
    <row r="79" spans="1:26" ht="18.75" customHeight="1">
      <c r="B79" s="76" t="s">
        <v>102</v>
      </c>
      <c r="C79" s="77"/>
      <c r="D79" s="183" t="s">
        <v>103</v>
      </c>
      <c r="E79" s="183"/>
      <c r="F79" s="183"/>
      <c r="G79" s="183"/>
      <c r="H79" s="183"/>
      <c r="I79" s="183"/>
      <c r="J79" s="183"/>
      <c r="K79" s="183"/>
      <c r="L79" s="183"/>
      <c r="M79" s="183"/>
      <c r="N79" s="183"/>
      <c r="O79" s="183"/>
      <c r="P79" s="183"/>
      <c r="Q79" s="183"/>
      <c r="R79" s="183"/>
      <c r="S79" s="183"/>
      <c r="T79" s="183"/>
      <c r="U79" s="183"/>
      <c r="V79" s="183"/>
      <c r="W79" s="183"/>
      <c r="X79" s="183"/>
      <c r="Y79" s="183"/>
      <c r="Z79" s="184"/>
    </row>
    <row r="80" spans="1:26" ht="78" customHeight="1">
      <c r="B80" s="172" t="s">
        <v>109</v>
      </c>
      <c r="C80" s="83" t="s">
        <v>104</v>
      </c>
      <c r="D80" s="179" t="s">
        <v>186</v>
      </c>
      <c r="E80" s="179"/>
      <c r="F80" s="179"/>
      <c r="G80" s="179"/>
      <c r="H80" s="179"/>
      <c r="I80" s="179"/>
      <c r="J80" s="179"/>
      <c r="K80" s="179"/>
      <c r="L80" s="179"/>
      <c r="M80" s="179"/>
      <c r="N80" s="179"/>
      <c r="O80" s="179"/>
      <c r="P80" s="179"/>
      <c r="Q80" s="179"/>
      <c r="R80" s="179"/>
      <c r="S80" s="179"/>
      <c r="T80" s="179"/>
      <c r="U80" s="179"/>
      <c r="V80" s="179"/>
      <c r="W80" s="179"/>
      <c r="X80" s="179"/>
      <c r="Y80" s="179"/>
      <c r="Z80" s="180"/>
    </row>
    <row r="81" spans="1:26" ht="78" customHeight="1">
      <c r="B81" s="173"/>
      <c r="C81" s="106" t="s">
        <v>137</v>
      </c>
      <c r="D81" s="215" t="s">
        <v>187</v>
      </c>
      <c r="E81" s="215"/>
      <c r="F81" s="215"/>
      <c r="G81" s="215"/>
      <c r="H81" s="215"/>
      <c r="I81" s="215"/>
      <c r="J81" s="215"/>
      <c r="K81" s="215"/>
      <c r="L81" s="215"/>
      <c r="M81" s="215"/>
      <c r="N81" s="215"/>
      <c r="O81" s="215"/>
      <c r="P81" s="215"/>
      <c r="Q81" s="215"/>
      <c r="R81" s="215"/>
      <c r="S81" s="215"/>
      <c r="T81" s="215"/>
      <c r="U81" s="215"/>
      <c r="V81" s="215"/>
      <c r="W81" s="215"/>
      <c r="X81" s="215"/>
      <c r="Y81" s="215"/>
      <c r="Z81" s="216"/>
    </row>
    <row r="82" spans="1:26" ht="78" customHeight="1">
      <c r="B82" s="170" t="s">
        <v>110</v>
      </c>
      <c r="C82" s="78" t="s">
        <v>127</v>
      </c>
      <c r="D82" s="217" t="s">
        <v>188</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78" customHeight="1">
      <c r="B83" s="171"/>
      <c r="C83" s="107" t="s">
        <v>128</v>
      </c>
      <c r="D83" s="221" t="s">
        <v>189</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c r="B84" s="170" t="s">
        <v>111</v>
      </c>
      <c r="C84" s="78" t="s">
        <v>130</v>
      </c>
      <c r="D84" s="217" t="s">
        <v>190</v>
      </c>
      <c r="E84" s="217"/>
      <c r="F84" s="217"/>
      <c r="G84" s="217"/>
      <c r="H84" s="217"/>
      <c r="I84" s="217"/>
      <c r="J84" s="217"/>
      <c r="K84" s="217"/>
      <c r="L84" s="217"/>
      <c r="M84" s="217"/>
      <c r="N84" s="217"/>
      <c r="O84" s="217"/>
      <c r="P84" s="217"/>
      <c r="Q84" s="217"/>
      <c r="R84" s="217"/>
      <c r="S84" s="217"/>
      <c r="T84" s="217"/>
      <c r="U84" s="217"/>
      <c r="V84" s="217"/>
      <c r="W84" s="217"/>
      <c r="X84" s="217"/>
      <c r="Y84" s="217"/>
      <c r="Z84" s="218"/>
    </row>
    <row r="85" spans="1:26" ht="66" customHeight="1">
      <c r="B85" s="171"/>
      <c r="C85" s="80" t="s">
        <v>131</v>
      </c>
      <c r="D85" s="219" t="s">
        <v>191</v>
      </c>
      <c r="E85" s="219"/>
      <c r="F85" s="219"/>
      <c r="G85" s="219"/>
      <c r="H85" s="219"/>
      <c r="I85" s="219"/>
      <c r="J85" s="219"/>
      <c r="K85" s="219"/>
      <c r="L85" s="219"/>
      <c r="M85" s="219"/>
      <c r="N85" s="219"/>
      <c r="O85" s="219"/>
      <c r="P85" s="219"/>
      <c r="Q85" s="219"/>
      <c r="R85" s="219"/>
      <c r="S85" s="219"/>
      <c r="T85" s="219"/>
      <c r="U85" s="219"/>
      <c r="V85" s="219"/>
      <c r="W85" s="219"/>
      <c r="X85" s="219"/>
      <c r="Y85" s="219"/>
      <c r="Z85" s="220"/>
    </row>
    <row r="86" spans="1:26" ht="66" customHeight="1">
      <c r="B86" s="172" t="s">
        <v>138</v>
      </c>
      <c r="C86" s="83" t="s">
        <v>106</v>
      </c>
      <c r="D86" s="179" t="s">
        <v>192</v>
      </c>
      <c r="E86" s="179"/>
      <c r="F86" s="179"/>
      <c r="G86" s="179"/>
      <c r="H86" s="179"/>
      <c r="I86" s="179"/>
      <c r="J86" s="179"/>
      <c r="K86" s="179"/>
      <c r="L86" s="179"/>
      <c r="M86" s="179"/>
      <c r="N86" s="179"/>
      <c r="O86" s="179"/>
      <c r="P86" s="179"/>
      <c r="Q86" s="179"/>
      <c r="R86" s="179"/>
      <c r="S86" s="179"/>
      <c r="T86" s="179"/>
      <c r="U86" s="179"/>
      <c r="V86" s="179"/>
      <c r="W86" s="179"/>
      <c r="X86" s="179"/>
      <c r="Y86" s="179"/>
      <c r="Z86" s="180"/>
    </row>
    <row r="87" spans="1:26" ht="66" customHeight="1">
      <c r="B87" s="178"/>
      <c r="C87" s="79" t="s">
        <v>108</v>
      </c>
      <c r="D87" s="181" t="s">
        <v>193</v>
      </c>
      <c r="E87" s="181"/>
      <c r="F87" s="181"/>
      <c r="G87" s="181"/>
      <c r="H87" s="181"/>
      <c r="I87" s="181"/>
      <c r="J87" s="181"/>
      <c r="K87" s="181"/>
      <c r="L87" s="181"/>
      <c r="M87" s="181"/>
      <c r="N87" s="181"/>
      <c r="O87" s="181"/>
      <c r="P87" s="181"/>
      <c r="Q87" s="181"/>
      <c r="R87" s="181"/>
      <c r="S87" s="181"/>
      <c r="T87" s="181"/>
      <c r="U87" s="181"/>
      <c r="V87" s="181"/>
      <c r="W87" s="181"/>
      <c r="X87" s="181"/>
      <c r="Y87" s="181"/>
      <c r="Z87" s="182"/>
    </row>
    <row r="88" spans="1:26" ht="66" customHeight="1">
      <c r="B88" s="172" t="s">
        <v>139</v>
      </c>
      <c r="C88" s="78" t="s">
        <v>105</v>
      </c>
      <c r="D88" s="174" t="s">
        <v>194</v>
      </c>
      <c r="E88" s="174"/>
      <c r="F88" s="174"/>
      <c r="G88" s="174"/>
      <c r="H88" s="174"/>
      <c r="I88" s="174"/>
      <c r="J88" s="174"/>
      <c r="K88" s="174"/>
      <c r="L88" s="174"/>
      <c r="M88" s="174"/>
      <c r="N88" s="174"/>
      <c r="O88" s="174"/>
      <c r="P88" s="174"/>
      <c r="Q88" s="174"/>
      <c r="R88" s="174"/>
      <c r="S88" s="174"/>
      <c r="T88" s="174"/>
      <c r="U88" s="174"/>
      <c r="V88" s="174"/>
      <c r="W88" s="174"/>
      <c r="X88" s="174"/>
      <c r="Y88" s="174"/>
      <c r="Z88" s="175"/>
    </row>
    <row r="89" spans="1:26" ht="66" customHeight="1">
      <c r="B89" s="173"/>
      <c r="C89" s="79" t="s">
        <v>134</v>
      </c>
      <c r="D89" s="161" t="s">
        <v>195</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66" customHeight="1">
      <c r="B90" s="171"/>
      <c r="C90" s="80" t="s">
        <v>135</v>
      </c>
      <c r="D90" s="176" t="s">
        <v>196</v>
      </c>
      <c r="E90" s="176"/>
      <c r="F90" s="176"/>
      <c r="G90" s="176"/>
      <c r="H90" s="176"/>
      <c r="I90" s="176"/>
      <c r="J90" s="176"/>
      <c r="K90" s="176"/>
      <c r="L90" s="176"/>
      <c r="M90" s="176"/>
      <c r="N90" s="176"/>
      <c r="O90" s="176"/>
      <c r="P90" s="176"/>
      <c r="Q90" s="176"/>
      <c r="R90" s="176"/>
      <c r="S90" s="176"/>
      <c r="T90" s="176"/>
      <c r="U90" s="176"/>
      <c r="V90" s="176"/>
      <c r="W90" s="176"/>
      <c r="X90" s="176"/>
      <c r="Y90" s="176"/>
      <c r="Z90" s="177"/>
    </row>
    <row r="91" spans="1:26" ht="6" customHeight="1"/>
    <row r="92" spans="1:26" ht="18.75" customHeight="1">
      <c r="A92" s="13" t="s">
        <v>143</v>
      </c>
    </row>
    <row r="93" spans="1:26" ht="18.75" customHeight="1">
      <c r="B93" s="232" t="s">
        <v>170</v>
      </c>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4"/>
    </row>
    <row r="94" spans="1:26" ht="18.75" customHeight="1">
      <c r="B94" s="235"/>
      <c r="C94" s="236"/>
      <c r="D94" s="236"/>
      <c r="E94" s="236"/>
      <c r="F94" s="236"/>
      <c r="G94" s="236"/>
      <c r="H94" s="236"/>
      <c r="I94" s="236"/>
      <c r="J94" s="236"/>
      <c r="K94" s="236"/>
      <c r="L94" s="236"/>
      <c r="M94" s="236"/>
      <c r="N94" s="236"/>
      <c r="O94" s="236"/>
      <c r="P94" s="236"/>
      <c r="Q94" s="236"/>
      <c r="R94" s="236"/>
      <c r="S94" s="236"/>
      <c r="T94" s="236"/>
      <c r="U94" s="236"/>
      <c r="V94" s="236"/>
      <c r="W94" s="236"/>
      <c r="X94" s="236"/>
      <c r="Y94" s="236"/>
      <c r="Z94" s="237"/>
    </row>
    <row r="95" spans="1:26" ht="18.75" customHeight="1">
      <c r="B95" s="238"/>
      <c r="C95" s="239"/>
      <c r="D95" s="239"/>
      <c r="E95" s="239"/>
      <c r="F95" s="239"/>
      <c r="G95" s="239"/>
      <c r="H95" s="239"/>
      <c r="I95" s="239"/>
      <c r="J95" s="239"/>
      <c r="K95" s="239"/>
      <c r="L95" s="239"/>
      <c r="M95" s="239"/>
      <c r="N95" s="239"/>
      <c r="O95" s="239"/>
      <c r="P95" s="239"/>
      <c r="Q95" s="239"/>
      <c r="R95" s="239"/>
      <c r="S95" s="239"/>
      <c r="T95" s="239"/>
      <c r="U95" s="239"/>
      <c r="V95" s="239"/>
      <c r="W95" s="239"/>
      <c r="X95" s="239"/>
      <c r="Y95" s="239"/>
      <c r="Z95" s="240"/>
    </row>
    <row r="96" spans="1:26" ht="6" customHeight="1"/>
    <row r="97" spans="1:26" ht="15" customHeight="1">
      <c r="A97" s="13" t="s">
        <v>144</v>
      </c>
    </row>
    <row r="98" spans="1:26" ht="15" customHeight="1">
      <c r="B98" s="241" t="s">
        <v>206</v>
      </c>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3"/>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2"/>
  <dataValidations count="4">
    <dataValidation type="list" allowBlank="1" showInputMessage="1" showErrorMessage="1" sqref="Y16:Z22 L16:M22 Y27:Z33 L27:M33 H38:H44 Y38:Z44 H49:H55 Y49:Z55 Y60:Z66 L60:M66 H16:H22 U16:U22 H27:H33 U27:U33 T60:T66 U38:U44 L38:M44 U49:U55 G60:G66 L49:M55" xr:uid="{00000000-0002-0000-0100-000000000000}">
      <formula1>"○"</formula1>
    </dataValidation>
    <dataValidation type="list" allowBlank="1" showInputMessage="1" showErrorMessage="1" sqref="Z23 Z34 D34:K34 D23:K23 V16:V22 I16:I22 V27:V33 I27:I33 V38:V44 H60:H66 V49:V55 I38:I44 U60:U66 I49:I55"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display="https://www.heps.fukushima-u.ac.jp/?p=619&amp;preview=true" xr:uid="{00000000-0004-0000-0100-000000000000}"/>
    <hyperlink ref="B98" r:id="rId2" xr:uid="{00000000-0004-0000-0100-000001000000}"/>
  </hyperlinks>
  <printOptions horizontalCentered="1"/>
  <pageMargins left="0.78740157480314965" right="0.78740157480314965" top="0.59055118110236227" bottom="0.19685039370078741" header="0.31496062992125984" footer="0.19685039370078741"/>
  <pageSetup paperSize="9" scale="98" orientation="landscape" r:id="rId3"/>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F21" sqref="F21"/>
    </sheetView>
  </sheetViews>
  <sheetFormatPr baseColWidth="10" defaultColWidth="9" defaultRowHeight="18.75" customHeight="1"/>
  <cols>
    <col min="1" max="1" width="2.6640625" style="1" customWidth="1"/>
    <col min="2" max="2" width="30" style="1" customWidth="1"/>
    <col min="3" max="17" width="6.1640625" style="1" customWidth="1"/>
    <col min="18" max="18" width="6.6640625" style="1" customWidth="1"/>
    <col min="19" max="16384" width="9" style="1"/>
  </cols>
  <sheetData>
    <row r="1" spans="1:20" ht="18" customHeight="1">
      <c r="F1" s="245" t="s">
        <v>63</v>
      </c>
      <c r="G1" s="245"/>
      <c r="H1" s="245"/>
      <c r="I1" s="245"/>
      <c r="J1" s="245"/>
      <c r="K1" s="245"/>
      <c r="L1" s="245"/>
      <c r="M1" s="245"/>
      <c r="N1" s="245"/>
      <c r="O1" s="245"/>
      <c r="P1" s="245"/>
      <c r="Q1" s="245"/>
      <c r="R1" s="245"/>
    </row>
    <row r="2" spans="1:20" ht="18" customHeight="1">
      <c r="A2" s="246" t="s">
        <v>89</v>
      </c>
      <c r="B2" s="246"/>
      <c r="C2" s="246"/>
      <c r="D2" s="246"/>
      <c r="E2" s="246"/>
      <c r="F2" s="246"/>
      <c r="G2" s="246"/>
      <c r="H2" s="246"/>
      <c r="I2" s="246"/>
      <c r="J2" s="246"/>
      <c r="K2" s="246"/>
      <c r="L2" s="246"/>
      <c r="M2" s="246"/>
      <c r="N2" s="246"/>
      <c r="O2" s="246"/>
      <c r="P2" s="246"/>
      <c r="Q2" s="246"/>
      <c r="R2" s="246"/>
      <c r="S2" s="4"/>
    </row>
    <row r="3" spans="1:20" ht="7.5" customHeight="1">
      <c r="A3" s="36"/>
      <c r="B3" s="36"/>
      <c r="C3" s="36"/>
      <c r="D3" s="36"/>
      <c r="E3" s="36"/>
      <c r="F3" s="36"/>
      <c r="G3" s="36"/>
      <c r="H3" s="36"/>
      <c r="I3" s="36"/>
      <c r="J3" s="36"/>
      <c r="K3" s="36"/>
      <c r="L3" s="36"/>
      <c r="M3" s="36"/>
      <c r="N3" s="36"/>
      <c r="O3" s="36"/>
      <c r="P3" s="36"/>
      <c r="Q3" s="36"/>
      <c r="R3" s="36"/>
    </row>
    <row r="4" spans="1:20" ht="18" customHeight="1">
      <c r="A4" s="4" t="s">
        <v>147</v>
      </c>
      <c r="B4" s="4"/>
      <c r="C4" s="247" t="str">
        <f>'様式１　大学等概要'!E12</f>
        <v>令和３</v>
      </c>
      <c r="D4" s="248"/>
      <c r="E4" s="36" t="s">
        <v>113</v>
      </c>
      <c r="F4" s="36"/>
      <c r="G4" s="36"/>
      <c r="H4" s="36"/>
      <c r="I4" s="36"/>
      <c r="J4" s="84"/>
      <c r="K4" s="36"/>
      <c r="L4" s="36"/>
      <c r="M4" s="112"/>
      <c r="N4" s="112"/>
      <c r="O4" s="112"/>
      <c r="P4" s="112"/>
      <c r="Q4" s="112"/>
      <c r="R4" s="112"/>
    </row>
    <row r="5" spans="1:20" ht="6" customHeight="1">
      <c r="A5" s="36"/>
      <c r="B5" s="36"/>
      <c r="C5" s="36"/>
      <c r="D5" s="36"/>
      <c r="E5" s="36"/>
      <c r="F5" s="36"/>
      <c r="G5" s="36"/>
      <c r="H5" s="36"/>
      <c r="I5" s="36"/>
      <c r="J5" s="36"/>
      <c r="K5" s="36"/>
      <c r="L5" s="36"/>
      <c r="M5" s="36"/>
      <c r="N5" s="36"/>
      <c r="O5" s="36"/>
      <c r="P5" s="36"/>
      <c r="Q5" s="36"/>
      <c r="R5" s="36"/>
    </row>
    <row r="6" spans="1:20" ht="18" customHeight="1">
      <c r="A6" s="4" t="s">
        <v>145</v>
      </c>
      <c r="B6" s="36"/>
      <c r="C6" s="36"/>
      <c r="D6" s="36"/>
      <c r="E6" s="36"/>
      <c r="F6" s="36"/>
      <c r="G6" s="36"/>
      <c r="H6" s="36"/>
      <c r="I6" s="36"/>
      <c r="J6" s="36"/>
      <c r="K6" s="36"/>
      <c r="L6" s="36"/>
      <c r="M6" s="36"/>
      <c r="N6" s="36"/>
      <c r="O6" s="36"/>
      <c r="P6" s="36"/>
      <c r="Q6" s="36"/>
      <c r="R6" s="36"/>
    </row>
    <row r="7" spans="1:20" ht="6" customHeight="1">
      <c r="A7" s="4"/>
      <c r="B7" s="36"/>
      <c r="C7" s="36"/>
      <c r="D7" s="36"/>
      <c r="E7" s="36"/>
      <c r="F7" s="36"/>
      <c r="G7" s="36"/>
      <c r="H7" s="36"/>
      <c r="I7" s="36"/>
      <c r="J7" s="36"/>
      <c r="K7" s="36"/>
      <c r="L7" s="36"/>
      <c r="M7" s="36"/>
      <c r="N7" s="36"/>
      <c r="O7" s="36"/>
      <c r="P7" s="36"/>
      <c r="Q7" s="36"/>
      <c r="R7" s="36"/>
    </row>
    <row r="8" spans="1:20" ht="18" customHeight="1">
      <c r="B8" s="249" t="s">
        <v>79</v>
      </c>
      <c r="C8" s="251" t="s">
        <v>84</v>
      </c>
      <c r="D8" s="253" t="s">
        <v>68</v>
      </c>
      <c r="E8" s="255" t="s">
        <v>90</v>
      </c>
      <c r="F8" s="255"/>
      <c r="G8" s="255" t="s">
        <v>91</v>
      </c>
      <c r="H8" s="255"/>
      <c r="I8" s="255" t="s">
        <v>92</v>
      </c>
      <c r="J8" s="255"/>
      <c r="K8" s="256" t="s">
        <v>93</v>
      </c>
      <c r="L8" s="257"/>
      <c r="M8" s="256" t="s">
        <v>94</v>
      </c>
      <c r="N8" s="257"/>
      <c r="O8" s="256" t="s">
        <v>95</v>
      </c>
      <c r="P8" s="257"/>
      <c r="Q8" s="258" t="s">
        <v>62</v>
      </c>
      <c r="R8" s="260" t="s">
        <v>56</v>
      </c>
      <c r="T8" s="32"/>
    </row>
    <row r="9" spans="1:20" ht="18" customHeight="1">
      <c r="A9" s="4"/>
      <c r="B9" s="250"/>
      <c r="C9" s="252"/>
      <c r="D9" s="254"/>
      <c r="E9" s="41" t="s">
        <v>44</v>
      </c>
      <c r="F9" s="42" t="s">
        <v>43</v>
      </c>
      <c r="G9" s="43" t="s">
        <v>44</v>
      </c>
      <c r="H9" s="44" t="s">
        <v>43</v>
      </c>
      <c r="I9" s="41" t="s">
        <v>44</v>
      </c>
      <c r="J9" s="42" t="s">
        <v>43</v>
      </c>
      <c r="K9" s="43" t="s">
        <v>44</v>
      </c>
      <c r="L9" s="44" t="s">
        <v>43</v>
      </c>
      <c r="M9" s="41" t="s">
        <v>44</v>
      </c>
      <c r="N9" s="42" t="s">
        <v>43</v>
      </c>
      <c r="O9" s="43" t="s">
        <v>44</v>
      </c>
      <c r="P9" s="44" t="s">
        <v>43</v>
      </c>
      <c r="Q9" s="259"/>
      <c r="R9" s="261"/>
      <c r="T9" s="32"/>
    </row>
    <row r="10" spans="1:20" ht="18" customHeight="1">
      <c r="A10" s="45"/>
      <c r="B10" s="119" t="s">
        <v>198</v>
      </c>
      <c r="C10" s="45">
        <v>260</v>
      </c>
      <c r="D10" s="46">
        <v>1050</v>
      </c>
      <c r="E10" s="47">
        <v>6</v>
      </c>
      <c r="F10" s="48">
        <v>2</v>
      </c>
      <c r="G10" s="49">
        <v>0</v>
      </c>
      <c r="H10" s="50">
        <v>0</v>
      </c>
      <c r="I10" s="47">
        <v>0</v>
      </c>
      <c r="J10" s="48">
        <v>0</v>
      </c>
      <c r="K10" s="49">
        <v>0</v>
      </c>
      <c r="L10" s="50">
        <v>0</v>
      </c>
      <c r="M10" s="47">
        <v>0</v>
      </c>
      <c r="N10" s="48">
        <v>0</v>
      </c>
      <c r="O10" s="49">
        <v>0</v>
      </c>
      <c r="P10" s="50">
        <v>0</v>
      </c>
      <c r="Q10" s="51">
        <f>E10+G10+I10+K10+M10+O10</f>
        <v>6</v>
      </c>
      <c r="R10" s="52">
        <f>Q10/D10</f>
        <v>5.7142857142857143E-3</v>
      </c>
    </row>
    <row r="11" spans="1:20" ht="18" customHeight="1">
      <c r="A11" s="45"/>
      <c r="B11" s="120" t="s">
        <v>199</v>
      </c>
      <c r="C11" s="61">
        <v>185</v>
      </c>
      <c r="D11" s="54">
        <v>765</v>
      </c>
      <c r="E11" s="55">
        <v>10</v>
      </c>
      <c r="F11" s="56">
        <v>2</v>
      </c>
      <c r="G11" s="57">
        <v>0</v>
      </c>
      <c r="H11" s="58">
        <v>0</v>
      </c>
      <c r="I11" s="55">
        <v>0</v>
      </c>
      <c r="J11" s="56">
        <v>0</v>
      </c>
      <c r="K11" s="57">
        <v>0</v>
      </c>
      <c r="L11" s="58">
        <v>0</v>
      </c>
      <c r="M11" s="55">
        <v>0</v>
      </c>
      <c r="N11" s="56">
        <v>0</v>
      </c>
      <c r="O11" s="57">
        <v>0</v>
      </c>
      <c r="P11" s="58">
        <v>0</v>
      </c>
      <c r="Q11" s="59">
        <f t="shared" ref="Q11:Q29" si="0">E11+G11+I11+K11+M11+O11</f>
        <v>10</v>
      </c>
      <c r="R11" s="60">
        <f t="shared" ref="R11:R29" si="1">Q11/D11</f>
        <v>1.3071895424836602E-2</v>
      </c>
    </row>
    <row r="12" spans="1:20" ht="18" customHeight="1">
      <c r="A12" s="45"/>
      <c r="B12" s="120" t="s">
        <v>200</v>
      </c>
      <c r="C12" s="61">
        <v>220</v>
      </c>
      <c r="D12" s="54">
        <v>885</v>
      </c>
      <c r="E12" s="55">
        <v>22</v>
      </c>
      <c r="F12" s="56">
        <v>13</v>
      </c>
      <c r="G12" s="57">
        <v>0</v>
      </c>
      <c r="H12" s="58">
        <v>0</v>
      </c>
      <c r="I12" s="55">
        <v>0</v>
      </c>
      <c r="J12" s="56">
        <v>0</v>
      </c>
      <c r="K12" s="57">
        <v>0</v>
      </c>
      <c r="L12" s="58">
        <v>0</v>
      </c>
      <c r="M12" s="55">
        <v>0</v>
      </c>
      <c r="N12" s="56">
        <v>0</v>
      </c>
      <c r="O12" s="57">
        <v>0</v>
      </c>
      <c r="P12" s="58">
        <v>0</v>
      </c>
      <c r="Q12" s="59">
        <f t="shared" si="0"/>
        <v>22</v>
      </c>
      <c r="R12" s="60">
        <f t="shared" si="1"/>
        <v>2.4858757062146894E-2</v>
      </c>
    </row>
    <row r="13" spans="1:20" ht="18" customHeight="1">
      <c r="A13" s="45"/>
      <c r="B13" s="120" t="s">
        <v>201</v>
      </c>
      <c r="C13" s="61">
        <v>160</v>
      </c>
      <c r="D13" s="54">
        <v>660</v>
      </c>
      <c r="E13" s="55">
        <v>37</v>
      </c>
      <c r="F13" s="56">
        <v>15</v>
      </c>
      <c r="G13" s="57">
        <v>0</v>
      </c>
      <c r="H13" s="58">
        <v>0</v>
      </c>
      <c r="I13" s="55">
        <v>0</v>
      </c>
      <c r="J13" s="56">
        <v>0</v>
      </c>
      <c r="K13" s="57">
        <v>0</v>
      </c>
      <c r="L13" s="58">
        <v>0</v>
      </c>
      <c r="M13" s="55">
        <v>0</v>
      </c>
      <c r="N13" s="56">
        <v>0</v>
      </c>
      <c r="O13" s="57">
        <v>0</v>
      </c>
      <c r="P13" s="58">
        <v>0</v>
      </c>
      <c r="Q13" s="59">
        <f t="shared" si="0"/>
        <v>37</v>
      </c>
      <c r="R13" s="60">
        <f t="shared" si="1"/>
        <v>5.6060606060606061E-2</v>
      </c>
    </row>
    <row r="14" spans="1:20" ht="18" customHeight="1">
      <c r="A14" s="45"/>
      <c r="B14" s="85" t="s">
        <v>171</v>
      </c>
      <c r="C14" s="61">
        <v>100</v>
      </c>
      <c r="D14" s="54">
        <v>300</v>
      </c>
      <c r="E14" s="55">
        <v>13</v>
      </c>
      <c r="F14" s="56">
        <v>4</v>
      </c>
      <c r="G14" s="57">
        <v>0</v>
      </c>
      <c r="H14" s="58">
        <v>0</v>
      </c>
      <c r="I14" s="55">
        <v>0</v>
      </c>
      <c r="J14" s="56">
        <v>0</v>
      </c>
      <c r="K14" s="57">
        <v>0</v>
      </c>
      <c r="L14" s="58">
        <v>0</v>
      </c>
      <c r="M14" s="55">
        <v>0</v>
      </c>
      <c r="N14" s="56">
        <v>0</v>
      </c>
      <c r="O14" s="57">
        <v>0</v>
      </c>
      <c r="P14" s="58">
        <v>0</v>
      </c>
      <c r="Q14" s="59">
        <f t="shared" si="0"/>
        <v>13</v>
      </c>
      <c r="R14" s="60">
        <f t="shared" si="1"/>
        <v>4.3333333333333335E-2</v>
      </c>
    </row>
    <row r="15" spans="1:20" ht="18" customHeight="1">
      <c r="A15" s="45"/>
      <c r="B15" s="85"/>
      <c r="C15" s="61"/>
      <c r="D15" s="54"/>
      <c r="E15" s="55"/>
      <c r="F15" s="56"/>
      <c r="G15" s="57"/>
      <c r="H15" s="58"/>
      <c r="I15" s="55"/>
      <c r="J15" s="56"/>
      <c r="K15" s="57"/>
      <c r="L15" s="58"/>
      <c r="M15" s="55"/>
      <c r="N15" s="56"/>
      <c r="O15" s="57"/>
      <c r="P15" s="58"/>
      <c r="Q15" s="59">
        <f t="shared" si="0"/>
        <v>0</v>
      </c>
      <c r="R15" s="60" t="e">
        <f t="shared" si="1"/>
        <v>#DIV/0!</v>
      </c>
    </row>
    <row r="16" spans="1:20" ht="18" customHeight="1">
      <c r="A16" s="45"/>
      <c r="B16" s="85"/>
      <c r="C16" s="61"/>
      <c r="D16" s="54"/>
      <c r="E16" s="55"/>
      <c r="F16" s="56"/>
      <c r="G16" s="57"/>
      <c r="H16" s="58"/>
      <c r="I16" s="55"/>
      <c r="J16" s="56"/>
      <c r="K16" s="57"/>
      <c r="L16" s="58"/>
      <c r="M16" s="55"/>
      <c r="N16" s="56"/>
      <c r="O16" s="57"/>
      <c r="P16" s="58"/>
      <c r="Q16" s="59">
        <f t="shared" si="0"/>
        <v>0</v>
      </c>
      <c r="R16" s="60" t="e">
        <f t="shared" si="1"/>
        <v>#DIV/0!</v>
      </c>
    </row>
    <row r="17" spans="1:18" ht="18" customHeight="1">
      <c r="A17" s="45"/>
      <c r="B17" s="85"/>
      <c r="C17" s="61"/>
      <c r="D17" s="54"/>
      <c r="E17" s="55"/>
      <c r="F17" s="56"/>
      <c r="G17" s="57"/>
      <c r="H17" s="58"/>
      <c r="I17" s="55"/>
      <c r="J17" s="56"/>
      <c r="K17" s="57"/>
      <c r="L17" s="58"/>
      <c r="M17" s="55"/>
      <c r="N17" s="56"/>
      <c r="O17" s="57"/>
      <c r="P17" s="58"/>
      <c r="Q17" s="59">
        <f t="shared" si="0"/>
        <v>0</v>
      </c>
      <c r="R17" s="60" t="e">
        <f t="shared" si="1"/>
        <v>#DIV/0!</v>
      </c>
    </row>
    <row r="18" spans="1:18" ht="18" customHeight="1">
      <c r="A18" s="45"/>
      <c r="B18" s="85"/>
      <c r="C18" s="61"/>
      <c r="D18" s="54"/>
      <c r="E18" s="55"/>
      <c r="F18" s="56"/>
      <c r="G18" s="57"/>
      <c r="H18" s="58"/>
      <c r="I18" s="55"/>
      <c r="J18" s="56"/>
      <c r="K18" s="57"/>
      <c r="L18" s="58"/>
      <c r="M18" s="55"/>
      <c r="N18" s="56"/>
      <c r="O18" s="57"/>
      <c r="P18" s="58"/>
      <c r="Q18" s="59">
        <f>E18+G18+I18+K18+M18+O18</f>
        <v>0</v>
      </c>
      <c r="R18" s="60" t="e">
        <f t="shared" si="1"/>
        <v>#DIV/0!</v>
      </c>
    </row>
    <row r="19" spans="1:18" ht="18" customHeight="1">
      <c r="A19" s="45"/>
      <c r="B19" s="85"/>
      <c r="C19" s="61"/>
      <c r="D19" s="54"/>
      <c r="E19" s="55"/>
      <c r="F19" s="56"/>
      <c r="G19" s="57"/>
      <c r="H19" s="58"/>
      <c r="I19" s="55"/>
      <c r="J19" s="56"/>
      <c r="K19" s="57"/>
      <c r="L19" s="58"/>
      <c r="M19" s="55"/>
      <c r="N19" s="56"/>
      <c r="O19" s="57"/>
      <c r="P19" s="58"/>
      <c r="Q19" s="59">
        <f t="shared" si="0"/>
        <v>0</v>
      </c>
      <c r="R19" s="60" t="e">
        <f t="shared" si="1"/>
        <v>#DIV/0!</v>
      </c>
    </row>
    <row r="20" spans="1:18" ht="18" customHeight="1">
      <c r="A20" s="45"/>
      <c r="B20" s="85"/>
      <c r="C20" s="61"/>
      <c r="D20" s="54"/>
      <c r="E20" s="55"/>
      <c r="F20" s="56"/>
      <c r="G20" s="57"/>
      <c r="H20" s="58"/>
      <c r="I20" s="55"/>
      <c r="J20" s="56"/>
      <c r="K20" s="57"/>
      <c r="L20" s="58"/>
      <c r="M20" s="55"/>
      <c r="N20" s="56"/>
      <c r="O20" s="57"/>
      <c r="P20" s="58"/>
      <c r="Q20" s="59">
        <f t="shared" si="0"/>
        <v>0</v>
      </c>
      <c r="R20" s="60" t="e">
        <f t="shared" si="1"/>
        <v>#DIV/0!</v>
      </c>
    </row>
    <row r="21" spans="1:18" ht="18" customHeight="1">
      <c r="A21" s="45"/>
      <c r="B21" s="85"/>
      <c r="C21" s="61"/>
      <c r="D21" s="54"/>
      <c r="E21" s="55"/>
      <c r="F21" s="56"/>
      <c r="G21" s="57"/>
      <c r="H21" s="58"/>
      <c r="I21" s="55"/>
      <c r="J21" s="56"/>
      <c r="K21" s="57"/>
      <c r="L21" s="58"/>
      <c r="M21" s="55"/>
      <c r="N21" s="56"/>
      <c r="O21" s="57"/>
      <c r="P21" s="58"/>
      <c r="Q21" s="59">
        <f t="shared" si="0"/>
        <v>0</v>
      </c>
      <c r="R21" s="60" t="e">
        <f t="shared" si="1"/>
        <v>#DIV/0!</v>
      </c>
    </row>
    <row r="22" spans="1:18" ht="18" customHeight="1">
      <c r="A22" s="45"/>
      <c r="B22" s="85"/>
      <c r="C22" s="61"/>
      <c r="D22" s="54"/>
      <c r="E22" s="55"/>
      <c r="F22" s="56"/>
      <c r="G22" s="57"/>
      <c r="H22" s="58"/>
      <c r="I22" s="55"/>
      <c r="J22" s="56"/>
      <c r="K22" s="57"/>
      <c r="L22" s="58"/>
      <c r="M22" s="55"/>
      <c r="N22" s="56"/>
      <c r="O22" s="57"/>
      <c r="P22" s="58"/>
      <c r="Q22" s="59">
        <f t="shared" si="0"/>
        <v>0</v>
      </c>
      <c r="R22" s="60" t="e">
        <f t="shared" si="1"/>
        <v>#DIV/0!</v>
      </c>
    </row>
    <row r="23" spans="1:18" ht="18" customHeight="1">
      <c r="A23" s="45"/>
      <c r="B23" s="85"/>
      <c r="C23" s="61"/>
      <c r="D23" s="54"/>
      <c r="E23" s="55"/>
      <c r="F23" s="56"/>
      <c r="G23" s="57"/>
      <c r="H23" s="58"/>
      <c r="I23" s="55"/>
      <c r="J23" s="56"/>
      <c r="K23" s="57"/>
      <c r="L23" s="58"/>
      <c r="M23" s="55"/>
      <c r="N23" s="56"/>
      <c r="O23" s="57"/>
      <c r="P23" s="58"/>
      <c r="Q23" s="59">
        <f t="shared" si="0"/>
        <v>0</v>
      </c>
      <c r="R23" s="60" t="e">
        <f t="shared" si="1"/>
        <v>#DIV/0!</v>
      </c>
    </row>
    <row r="24" spans="1:18" ht="18" customHeight="1">
      <c r="A24" s="45"/>
      <c r="B24" s="85"/>
      <c r="C24" s="61"/>
      <c r="D24" s="54"/>
      <c r="E24" s="55"/>
      <c r="F24" s="56"/>
      <c r="G24" s="57"/>
      <c r="H24" s="58"/>
      <c r="I24" s="55"/>
      <c r="J24" s="56"/>
      <c r="K24" s="57"/>
      <c r="L24" s="58"/>
      <c r="M24" s="55"/>
      <c r="N24" s="56"/>
      <c r="O24" s="57"/>
      <c r="P24" s="58"/>
      <c r="Q24" s="59">
        <f t="shared" si="0"/>
        <v>0</v>
      </c>
      <c r="R24" s="60" t="e">
        <f t="shared" si="1"/>
        <v>#DIV/0!</v>
      </c>
    </row>
    <row r="25" spans="1:18" ht="18" customHeight="1">
      <c r="A25" s="45"/>
      <c r="B25" s="85"/>
      <c r="C25" s="61"/>
      <c r="D25" s="54"/>
      <c r="E25" s="55"/>
      <c r="F25" s="56"/>
      <c r="G25" s="57"/>
      <c r="H25" s="58"/>
      <c r="I25" s="55"/>
      <c r="J25" s="56"/>
      <c r="K25" s="57"/>
      <c r="L25" s="58"/>
      <c r="M25" s="55"/>
      <c r="N25" s="56"/>
      <c r="O25" s="57"/>
      <c r="P25" s="58"/>
      <c r="Q25" s="59">
        <f t="shared" si="0"/>
        <v>0</v>
      </c>
      <c r="R25" s="60" t="e">
        <f t="shared" si="1"/>
        <v>#DIV/0!</v>
      </c>
    </row>
    <row r="26" spans="1:18" ht="18" customHeight="1">
      <c r="A26" s="45"/>
      <c r="B26" s="85"/>
      <c r="C26" s="61"/>
      <c r="D26" s="54"/>
      <c r="E26" s="55"/>
      <c r="F26" s="56"/>
      <c r="G26" s="57"/>
      <c r="H26" s="58"/>
      <c r="I26" s="55"/>
      <c r="J26" s="56"/>
      <c r="K26" s="57"/>
      <c r="L26" s="58"/>
      <c r="M26" s="55"/>
      <c r="N26" s="56"/>
      <c r="O26" s="57"/>
      <c r="P26" s="58"/>
      <c r="Q26" s="59">
        <f t="shared" si="0"/>
        <v>0</v>
      </c>
      <c r="R26" s="60" t="e">
        <f t="shared" si="1"/>
        <v>#DIV/0!</v>
      </c>
    </row>
    <row r="27" spans="1:18" ht="18" customHeight="1">
      <c r="A27" s="45"/>
      <c r="B27" s="85"/>
      <c r="C27" s="53"/>
      <c r="D27" s="54"/>
      <c r="E27" s="55"/>
      <c r="F27" s="56"/>
      <c r="G27" s="57"/>
      <c r="H27" s="58"/>
      <c r="I27" s="55"/>
      <c r="J27" s="56"/>
      <c r="K27" s="57"/>
      <c r="L27" s="58"/>
      <c r="M27" s="55"/>
      <c r="N27" s="56"/>
      <c r="O27" s="57"/>
      <c r="P27" s="58"/>
      <c r="Q27" s="59">
        <f t="shared" si="0"/>
        <v>0</v>
      </c>
      <c r="R27" s="60" t="e">
        <f t="shared" si="1"/>
        <v>#DIV/0!</v>
      </c>
    </row>
    <row r="28" spans="1:18" ht="18" customHeight="1">
      <c r="A28" s="45"/>
      <c r="B28" s="85"/>
      <c r="C28" s="53"/>
      <c r="D28" s="54"/>
      <c r="E28" s="55"/>
      <c r="F28" s="56"/>
      <c r="G28" s="57"/>
      <c r="H28" s="58"/>
      <c r="I28" s="55"/>
      <c r="J28" s="56"/>
      <c r="K28" s="57"/>
      <c r="L28" s="58"/>
      <c r="M28" s="55"/>
      <c r="N28" s="56"/>
      <c r="O28" s="57"/>
      <c r="P28" s="58"/>
      <c r="Q28" s="59">
        <f t="shared" si="0"/>
        <v>0</v>
      </c>
      <c r="R28" s="60" t="e">
        <f t="shared" si="1"/>
        <v>#DIV/0!</v>
      </c>
    </row>
    <row r="29" spans="1:18" ht="18" customHeight="1" thickBot="1">
      <c r="A29" s="45"/>
      <c r="B29" s="86"/>
      <c r="C29" s="87"/>
      <c r="D29" s="46"/>
      <c r="E29" s="47"/>
      <c r="F29" s="48"/>
      <c r="G29" s="49"/>
      <c r="H29" s="50"/>
      <c r="I29" s="47"/>
      <c r="J29" s="48"/>
      <c r="K29" s="49"/>
      <c r="L29" s="50"/>
      <c r="M29" s="47"/>
      <c r="N29" s="48"/>
      <c r="O29" s="49"/>
      <c r="P29" s="50"/>
      <c r="Q29" s="62">
        <f t="shared" si="0"/>
        <v>0</v>
      </c>
      <c r="R29" s="52" t="e">
        <f t="shared" si="1"/>
        <v>#DIV/0!</v>
      </c>
    </row>
    <row r="30" spans="1:18" ht="18" customHeight="1" thickTop="1">
      <c r="B30" s="88" t="s">
        <v>57</v>
      </c>
      <c r="C30" s="89">
        <f t="shared" ref="C30:Q30" si="2">SUM(C10:C29)</f>
        <v>925</v>
      </c>
      <c r="D30" s="63">
        <f t="shared" si="2"/>
        <v>3660</v>
      </c>
      <c r="E30" s="64">
        <f t="shared" si="2"/>
        <v>88</v>
      </c>
      <c r="F30" s="65">
        <f t="shared" si="2"/>
        <v>36</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88</v>
      </c>
      <c r="R30" s="69">
        <f>Q30/D30</f>
        <v>2.4043715846994537E-2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2"/>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2"/>
  <sheetViews>
    <sheetView showZeros="0" tabSelected="1" view="pageBreakPreview" zoomScaleNormal="100" zoomScaleSheetLayoutView="100" workbookViewId="0">
      <selection activeCell="B27" sqref="B27"/>
    </sheetView>
  </sheetViews>
  <sheetFormatPr baseColWidth="10" defaultColWidth="11.33203125" defaultRowHeight="18.75" customHeight="1"/>
  <cols>
    <col min="1" max="1" width="2.6640625" style="2" customWidth="1"/>
    <col min="2" max="2" width="16.6640625" style="1" customWidth="1"/>
    <col min="3" max="3" width="8.83203125" style="1" customWidth="1"/>
    <col min="4" max="4" width="2.1640625" style="1" customWidth="1"/>
    <col min="5" max="5" width="16.6640625" style="1" customWidth="1"/>
    <col min="6" max="6" width="8.83203125" style="1" customWidth="1"/>
    <col min="7" max="7" width="2.1640625" style="1" customWidth="1"/>
    <col min="8" max="8" width="16.6640625" style="1" customWidth="1"/>
    <col min="9" max="9" width="8.83203125" style="1" customWidth="1"/>
    <col min="10" max="10" width="2.1640625" style="1" customWidth="1"/>
    <col min="11" max="11" width="11.33203125" style="31"/>
    <col min="12" max="16384" width="11.33203125" style="1"/>
  </cols>
  <sheetData>
    <row r="1" spans="1:11" ht="18.75" customHeight="1">
      <c r="A1" s="2" t="s">
        <v>114</v>
      </c>
      <c r="J1" s="39" t="s">
        <v>115</v>
      </c>
    </row>
    <row r="2" spans="1:11" ht="18.75" customHeight="1">
      <c r="A2" s="246" t="s">
        <v>64</v>
      </c>
      <c r="B2" s="246"/>
      <c r="C2" s="246"/>
      <c r="D2" s="246"/>
      <c r="E2" s="246"/>
      <c r="F2" s="246"/>
      <c r="G2" s="246"/>
      <c r="H2" s="246"/>
      <c r="I2" s="246"/>
      <c r="J2" s="246"/>
    </row>
    <row r="3" spans="1:11" ht="7.5" customHeight="1">
      <c r="B3" s="36"/>
      <c r="C3" s="36"/>
      <c r="D3" s="36"/>
      <c r="E3" s="36"/>
      <c r="F3" s="36"/>
      <c r="G3" s="36"/>
      <c r="H3" s="36"/>
      <c r="I3" s="36"/>
      <c r="J3" s="36"/>
    </row>
    <row r="4" spans="1:11" ht="18.75" customHeight="1">
      <c r="A4" s="1" t="s">
        <v>6</v>
      </c>
      <c r="B4" s="4" t="s">
        <v>72</v>
      </c>
      <c r="C4" s="4"/>
      <c r="D4" s="4"/>
      <c r="E4" s="4"/>
      <c r="F4" s="4"/>
      <c r="G4" s="4"/>
      <c r="H4" s="4"/>
      <c r="I4" s="36"/>
      <c r="J4" s="36"/>
    </row>
    <row r="5" spans="1:11" ht="18.75" customHeight="1">
      <c r="A5" s="1"/>
      <c r="B5" s="136" t="s">
        <v>203</v>
      </c>
      <c r="C5" s="137"/>
      <c r="D5" s="137"/>
      <c r="E5" s="137"/>
      <c r="F5" s="137"/>
      <c r="G5" s="137"/>
      <c r="H5" s="137"/>
      <c r="I5" s="137"/>
      <c r="J5" s="271"/>
      <c r="K5" s="31" t="str">
        <f>IF(B5="","入力してください","")</f>
        <v/>
      </c>
    </row>
    <row r="6" spans="1:11" ht="7.5" customHeight="1">
      <c r="B6" s="29"/>
      <c r="C6" s="29"/>
      <c r="D6" s="29"/>
      <c r="E6" s="29"/>
      <c r="F6" s="29"/>
      <c r="G6" s="29"/>
      <c r="H6" s="29"/>
      <c r="I6" s="29"/>
      <c r="J6" s="29"/>
    </row>
    <row r="7" spans="1:11" s="4" customFormat="1" ht="18.75" customHeight="1">
      <c r="A7" s="1" t="s">
        <v>9</v>
      </c>
      <c r="B7" s="14" t="s">
        <v>39</v>
      </c>
      <c r="C7" s="14"/>
      <c r="D7" s="14"/>
      <c r="E7" s="14"/>
      <c r="F7" s="14"/>
      <c r="G7" s="14"/>
      <c r="H7" s="14"/>
      <c r="I7" s="14"/>
      <c r="J7" s="14"/>
      <c r="K7" s="33"/>
    </row>
    <row r="8" spans="1:11" s="4" customFormat="1" ht="18.75" customHeight="1">
      <c r="A8" s="90"/>
      <c r="B8" s="272" t="s">
        <v>204</v>
      </c>
      <c r="C8" s="273"/>
      <c r="D8" s="273"/>
      <c r="E8" s="273"/>
      <c r="F8" s="273"/>
      <c r="G8" s="273"/>
      <c r="H8" s="273"/>
      <c r="I8" s="274"/>
      <c r="J8" s="275"/>
      <c r="K8" s="31" t="str">
        <f>IF(B8="","入力してください","")</f>
        <v/>
      </c>
    </row>
    <row r="9" spans="1:11" s="4" customFormat="1" ht="18.75" customHeight="1">
      <c r="A9" s="90"/>
      <c r="B9" s="276"/>
      <c r="C9" s="277"/>
      <c r="D9" s="277"/>
      <c r="E9" s="277"/>
      <c r="F9" s="277"/>
      <c r="G9" s="277"/>
      <c r="H9" s="277"/>
      <c r="I9" s="277"/>
      <c r="J9" s="278"/>
      <c r="K9" s="31"/>
    </row>
    <row r="10" spans="1:11" s="4" customFormat="1" ht="18.75" customHeight="1">
      <c r="A10" s="90"/>
      <c r="B10" s="276"/>
      <c r="C10" s="277"/>
      <c r="D10" s="277"/>
      <c r="E10" s="277"/>
      <c r="F10" s="277"/>
      <c r="G10" s="277"/>
      <c r="H10" s="277"/>
      <c r="I10" s="277"/>
      <c r="J10" s="278"/>
      <c r="K10" s="31"/>
    </row>
    <row r="11" spans="1:11" s="4" customFormat="1" ht="18.75" customHeight="1">
      <c r="A11" s="90"/>
      <c r="B11" s="276"/>
      <c r="C11" s="277"/>
      <c r="D11" s="277"/>
      <c r="E11" s="277"/>
      <c r="F11" s="277"/>
      <c r="G11" s="277"/>
      <c r="H11" s="277"/>
      <c r="I11" s="277"/>
      <c r="J11" s="278"/>
      <c r="K11" s="31"/>
    </row>
    <row r="12" spans="1:11" s="4" customFormat="1" ht="18.75" customHeight="1">
      <c r="A12" s="90"/>
      <c r="B12" s="279"/>
      <c r="C12" s="280"/>
      <c r="D12" s="280"/>
      <c r="E12" s="280"/>
      <c r="F12" s="280"/>
      <c r="G12" s="280"/>
      <c r="H12" s="280"/>
      <c r="I12" s="280"/>
      <c r="J12" s="281"/>
      <c r="K12" s="31"/>
    </row>
    <row r="13" spans="1:11" s="4" customFormat="1" ht="7.5" customHeight="1">
      <c r="A13" s="90"/>
      <c r="B13" s="75"/>
      <c r="C13" s="75"/>
      <c r="D13" s="75"/>
      <c r="E13" s="75"/>
      <c r="F13" s="75"/>
      <c r="G13" s="75"/>
      <c r="H13" s="75"/>
      <c r="I13" s="75"/>
      <c r="J13" s="75"/>
      <c r="K13" s="31"/>
    </row>
    <row r="14" spans="1:11" s="4" customFormat="1" ht="18.75" customHeight="1">
      <c r="A14" s="91" t="s">
        <v>10</v>
      </c>
      <c r="B14" s="118" t="s">
        <v>15</v>
      </c>
      <c r="C14" s="118"/>
      <c r="D14" s="118"/>
      <c r="E14" s="118"/>
      <c r="F14" s="118"/>
      <c r="G14" s="118"/>
      <c r="H14" s="118"/>
      <c r="I14" s="118"/>
      <c r="J14" s="118"/>
      <c r="K14" s="31"/>
    </row>
    <row r="15" spans="1:11" s="4" customFormat="1" ht="18.75" customHeight="1">
      <c r="A15" s="90"/>
      <c r="B15" s="282" t="s">
        <v>205</v>
      </c>
      <c r="C15" s="283"/>
      <c r="D15" s="283"/>
      <c r="E15" s="283"/>
      <c r="F15" s="283"/>
      <c r="G15" s="283"/>
      <c r="H15" s="283"/>
      <c r="I15" s="284"/>
      <c r="J15" s="285"/>
      <c r="K15" s="31" t="str">
        <f>IF(B15="","入力してください","")</f>
        <v/>
      </c>
    </row>
    <row r="16" spans="1:11" s="4" customFormat="1" ht="18.75" customHeight="1">
      <c r="A16" s="90"/>
      <c r="B16" s="265"/>
      <c r="C16" s="266"/>
      <c r="D16" s="266"/>
      <c r="E16" s="266"/>
      <c r="F16" s="266"/>
      <c r="G16" s="266"/>
      <c r="H16" s="266"/>
      <c r="I16" s="266"/>
      <c r="J16" s="267"/>
      <c r="K16" s="31"/>
    </row>
    <row r="17" spans="1:11" s="4" customFormat="1" ht="18.75" customHeight="1">
      <c r="A17" s="90"/>
      <c r="B17" s="265"/>
      <c r="C17" s="266"/>
      <c r="D17" s="266"/>
      <c r="E17" s="266"/>
      <c r="F17" s="266"/>
      <c r="G17" s="266"/>
      <c r="H17" s="266"/>
      <c r="I17" s="266"/>
      <c r="J17" s="267"/>
      <c r="K17" s="31"/>
    </row>
    <row r="18" spans="1:11" s="4" customFormat="1" ht="18.75" customHeight="1">
      <c r="A18" s="90"/>
      <c r="B18" s="265"/>
      <c r="C18" s="266"/>
      <c r="D18" s="266"/>
      <c r="E18" s="266"/>
      <c r="F18" s="266"/>
      <c r="G18" s="266"/>
      <c r="H18" s="266"/>
      <c r="I18" s="266"/>
      <c r="J18" s="267"/>
      <c r="K18" s="31"/>
    </row>
    <row r="19" spans="1:11" s="4" customFormat="1" ht="18.75" customHeight="1">
      <c r="A19" s="90"/>
      <c r="B19" s="265"/>
      <c r="C19" s="266"/>
      <c r="D19" s="266"/>
      <c r="E19" s="266"/>
      <c r="F19" s="266"/>
      <c r="G19" s="266"/>
      <c r="H19" s="266"/>
      <c r="I19" s="266"/>
      <c r="J19" s="267"/>
      <c r="K19" s="31"/>
    </row>
    <row r="20" spans="1:11" s="4" customFormat="1" ht="18.75" customHeight="1">
      <c r="A20" s="90"/>
      <c r="B20" s="265"/>
      <c r="C20" s="266"/>
      <c r="D20" s="266"/>
      <c r="E20" s="266"/>
      <c r="F20" s="266"/>
      <c r="G20" s="266"/>
      <c r="H20" s="266"/>
      <c r="I20" s="266"/>
      <c r="J20" s="267"/>
      <c r="K20" s="31"/>
    </row>
    <row r="21" spans="1:11" s="4" customFormat="1" ht="18.75" customHeight="1">
      <c r="A21" s="90"/>
      <c r="B21" s="265"/>
      <c r="C21" s="266"/>
      <c r="D21" s="266"/>
      <c r="E21" s="266"/>
      <c r="F21" s="266"/>
      <c r="G21" s="266"/>
      <c r="H21" s="266"/>
      <c r="I21" s="266"/>
      <c r="J21" s="267"/>
      <c r="K21" s="31"/>
    </row>
    <row r="22" spans="1:11" s="4" customFormat="1" ht="18.75" customHeight="1">
      <c r="A22" s="90"/>
      <c r="B22" s="265"/>
      <c r="C22" s="266"/>
      <c r="D22" s="266"/>
      <c r="E22" s="266"/>
      <c r="F22" s="266"/>
      <c r="G22" s="266"/>
      <c r="H22" s="266"/>
      <c r="I22" s="266"/>
      <c r="J22" s="267"/>
      <c r="K22" s="31"/>
    </row>
    <row r="23" spans="1:11" s="4" customFormat="1" ht="18.75" customHeight="1">
      <c r="A23" s="90"/>
      <c r="B23" s="265"/>
      <c r="C23" s="266"/>
      <c r="D23" s="266"/>
      <c r="E23" s="266"/>
      <c r="F23" s="266"/>
      <c r="G23" s="266"/>
      <c r="H23" s="266"/>
      <c r="I23" s="266"/>
      <c r="J23" s="267"/>
      <c r="K23" s="31"/>
    </row>
    <row r="24" spans="1:11" s="4" customFormat="1" ht="18.75" customHeight="1">
      <c r="A24" s="90"/>
      <c r="B24" s="265"/>
      <c r="C24" s="266"/>
      <c r="D24" s="266"/>
      <c r="E24" s="266"/>
      <c r="F24" s="266"/>
      <c r="G24" s="266"/>
      <c r="H24" s="266"/>
      <c r="I24" s="266"/>
      <c r="J24" s="267"/>
      <c r="K24" s="31"/>
    </row>
    <row r="25" spans="1:11" s="4" customFormat="1" ht="18.75" customHeight="1">
      <c r="A25" s="90"/>
      <c r="B25" s="268"/>
      <c r="C25" s="269"/>
      <c r="D25" s="269"/>
      <c r="E25" s="269"/>
      <c r="F25" s="269"/>
      <c r="G25" s="269"/>
      <c r="H25" s="269"/>
      <c r="I25" s="269"/>
      <c r="J25" s="270"/>
      <c r="K25" s="31"/>
    </row>
    <row r="26" spans="1:11" ht="7.5" customHeight="1">
      <c r="A26" s="37"/>
      <c r="B26" s="121"/>
      <c r="C26" s="121"/>
      <c r="D26" s="121"/>
      <c r="E26" s="121"/>
      <c r="F26" s="121"/>
      <c r="G26" s="121"/>
      <c r="H26" s="121"/>
      <c r="I26" s="121"/>
      <c r="J26" s="121"/>
    </row>
    <row r="27" spans="1:11" s="4" customFormat="1" ht="18.75" customHeight="1">
      <c r="A27" s="1" t="s">
        <v>13</v>
      </c>
      <c r="B27" s="14" t="s">
        <v>26</v>
      </c>
      <c r="C27" s="14"/>
      <c r="D27" s="14"/>
      <c r="E27" s="14"/>
      <c r="F27" s="14"/>
      <c r="G27" s="14"/>
      <c r="H27" s="14"/>
      <c r="I27" s="14"/>
      <c r="J27" s="14"/>
      <c r="K27" s="31"/>
    </row>
    <row r="28" spans="1:11" s="29" customFormat="1" ht="18.75" customHeight="1">
      <c r="B28" s="92" t="s">
        <v>116</v>
      </c>
      <c r="C28" s="93">
        <f>'様式３　履修者等数の実績'!R30</f>
        <v>2.4043715846994537E-2</v>
      </c>
      <c r="D28" s="94"/>
      <c r="E28" s="94" t="s">
        <v>117</v>
      </c>
      <c r="F28" s="93">
        <v>7.0000000000000007E-2</v>
      </c>
      <c r="G28" s="94"/>
      <c r="H28" s="94" t="s">
        <v>118</v>
      </c>
      <c r="I28" s="95">
        <v>0.3</v>
      </c>
      <c r="J28" s="96"/>
      <c r="K28" s="31"/>
    </row>
    <row r="29" spans="1:11" s="29" customFormat="1" ht="18.75" customHeight="1">
      <c r="B29" s="81" t="s">
        <v>119</v>
      </c>
      <c r="C29" s="97">
        <v>0.5</v>
      </c>
      <c r="D29" s="82"/>
      <c r="E29" s="82" t="s">
        <v>120</v>
      </c>
      <c r="F29" s="97">
        <v>0.75</v>
      </c>
      <c r="G29" s="82"/>
      <c r="H29" s="82" t="s">
        <v>121</v>
      </c>
      <c r="I29" s="98">
        <f>'様式３　履修者等数の実績'!D30</f>
        <v>3660</v>
      </c>
      <c r="J29" s="99"/>
      <c r="K29" s="33"/>
    </row>
    <row r="30" spans="1:11" s="4" customFormat="1" ht="18.75" customHeight="1">
      <c r="A30" s="1"/>
      <c r="B30" s="167" t="s">
        <v>122</v>
      </c>
      <c r="C30" s="168"/>
      <c r="D30" s="168"/>
      <c r="E30" s="168"/>
      <c r="F30" s="168"/>
      <c r="G30" s="168"/>
      <c r="H30" s="168"/>
      <c r="I30" s="168"/>
      <c r="J30" s="169"/>
      <c r="K30" s="33"/>
    </row>
    <row r="31" spans="1:11" s="4" customFormat="1" ht="18.75" customHeight="1">
      <c r="A31" s="1"/>
      <c r="B31" s="262" t="s">
        <v>207</v>
      </c>
      <c r="C31" s="263"/>
      <c r="D31" s="263"/>
      <c r="E31" s="263"/>
      <c r="F31" s="263"/>
      <c r="G31" s="263"/>
      <c r="H31" s="263"/>
      <c r="I31" s="263"/>
      <c r="J31" s="264"/>
      <c r="K31" s="33" t="str">
        <f>IF(B31="","入力してください","")</f>
        <v/>
      </c>
    </row>
    <row r="32" spans="1:11" s="4" customFormat="1" ht="18.75" customHeight="1">
      <c r="A32" s="1"/>
      <c r="B32" s="265"/>
      <c r="C32" s="266"/>
      <c r="D32" s="266"/>
      <c r="E32" s="266"/>
      <c r="F32" s="266"/>
      <c r="G32" s="266"/>
      <c r="H32" s="266"/>
      <c r="I32" s="266"/>
      <c r="J32" s="267"/>
      <c r="K32" s="33"/>
    </row>
    <row r="33" spans="1:11" s="4" customFormat="1" ht="18.75" customHeight="1">
      <c r="A33" s="1"/>
      <c r="B33" s="265"/>
      <c r="C33" s="266"/>
      <c r="D33" s="266"/>
      <c r="E33" s="266"/>
      <c r="F33" s="266"/>
      <c r="G33" s="266"/>
      <c r="H33" s="266"/>
      <c r="I33" s="266"/>
      <c r="J33" s="267"/>
      <c r="K33" s="33"/>
    </row>
    <row r="34" spans="1:11" s="4" customFormat="1" ht="18.75" customHeight="1">
      <c r="A34" s="1"/>
      <c r="B34" s="265"/>
      <c r="C34" s="266"/>
      <c r="D34" s="266"/>
      <c r="E34" s="266"/>
      <c r="F34" s="266"/>
      <c r="G34" s="266"/>
      <c r="H34" s="266"/>
      <c r="I34" s="266"/>
      <c r="J34" s="267"/>
      <c r="K34" s="33"/>
    </row>
    <row r="35" spans="1:11" s="4" customFormat="1" ht="18.75" customHeight="1">
      <c r="A35" s="1"/>
      <c r="B35" s="265"/>
      <c r="C35" s="266"/>
      <c r="D35" s="266"/>
      <c r="E35" s="266"/>
      <c r="F35" s="266"/>
      <c r="G35" s="266"/>
      <c r="H35" s="266"/>
      <c r="I35" s="266"/>
      <c r="J35" s="267"/>
      <c r="K35" s="33"/>
    </row>
    <row r="36" spans="1:11" s="4" customFormat="1" ht="18.75" customHeight="1">
      <c r="A36" s="1"/>
      <c r="B36" s="265"/>
      <c r="C36" s="266"/>
      <c r="D36" s="266"/>
      <c r="E36" s="266"/>
      <c r="F36" s="266"/>
      <c r="G36" s="266"/>
      <c r="H36" s="266"/>
      <c r="I36" s="266"/>
      <c r="J36" s="267"/>
      <c r="K36" s="33"/>
    </row>
    <row r="37" spans="1:11" s="4" customFormat="1" ht="18.75" customHeight="1">
      <c r="A37" s="1"/>
      <c r="B37" s="265"/>
      <c r="C37" s="266"/>
      <c r="D37" s="266"/>
      <c r="E37" s="266"/>
      <c r="F37" s="266"/>
      <c r="G37" s="266"/>
      <c r="H37" s="266"/>
      <c r="I37" s="266"/>
      <c r="J37" s="267"/>
      <c r="K37" s="33"/>
    </row>
    <row r="38" spans="1:11" s="4" customFormat="1" ht="18.75" customHeight="1">
      <c r="A38" s="1"/>
      <c r="B38" s="265"/>
      <c r="C38" s="266"/>
      <c r="D38" s="266"/>
      <c r="E38" s="266"/>
      <c r="F38" s="266"/>
      <c r="G38" s="266"/>
      <c r="H38" s="266"/>
      <c r="I38" s="266"/>
      <c r="J38" s="267"/>
      <c r="K38" s="33"/>
    </row>
    <row r="39" spans="1:11" s="4" customFormat="1" ht="18.75" customHeight="1">
      <c r="A39" s="1"/>
      <c r="B39" s="265"/>
      <c r="C39" s="266"/>
      <c r="D39" s="266"/>
      <c r="E39" s="266"/>
      <c r="F39" s="266"/>
      <c r="G39" s="266"/>
      <c r="H39" s="266"/>
      <c r="I39" s="266"/>
      <c r="J39" s="267"/>
      <c r="K39" s="33"/>
    </row>
    <row r="40" spans="1:11" s="4" customFormat="1" ht="18.75" customHeight="1">
      <c r="A40" s="1"/>
      <c r="B40" s="265"/>
      <c r="C40" s="266"/>
      <c r="D40" s="266"/>
      <c r="E40" s="266"/>
      <c r="F40" s="266"/>
      <c r="G40" s="266"/>
      <c r="H40" s="266"/>
      <c r="I40" s="266"/>
      <c r="J40" s="267"/>
      <c r="K40" s="33"/>
    </row>
    <row r="41" spans="1:11" s="4" customFormat="1" ht="18.75" customHeight="1">
      <c r="A41" s="1"/>
      <c r="B41" s="265"/>
      <c r="C41" s="266"/>
      <c r="D41" s="266"/>
      <c r="E41" s="266"/>
      <c r="F41" s="266"/>
      <c r="G41" s="266"/>
      <c r="H41" s="266"/>
      <c r="I41" s="266"/>
      <c r="J41" s="267"/>
      <c r="K41" s="33"/>
    </row>
    <row r="42" spans="1:11" s="4" customFormat="1" ht="18.75" customHeight="1">
      <c r="A42" s="1"/>
      <c r="B42" s="265"/>
      <c r="C42" s="266"/>
      <c r="D42" s="266"/>
      <c r="E42" s="266"/>
      <c r="F42" s="266"/>
      <c r="G42" s="266"/>
      <c r="H42" s="266"/>
      <c r="I42" s="266"/>
      <c r="J42" s="267"/>
      <c r="K42" s="33"/>
    </row>
    <row r="43" spans="1:11" ht="18.75" customHeight="1">
      <c r="A43" s="37"/>
      <c r="B43" s="265"/>
      <c r="C43" s="266"/>
      <c r="D43" s="266"/>
      <c r="E43" s="266"/>
      <c r="F43" s="266"/>
      <c r="G43" s="266"/>
      <c r="H43" s="266"/>
      <c r="I43" s="266"/>
      <c r="J43" s="267"/>
      <c r="K43" s="33"/>
    </row>
    <row r="44" spans="1:11" ht="18.75" customHeight="1">
      <c r="A44" s="37"/>
      <c r="B44" s="268"/>
      <c r="C44" s="269"/>
      <c r="D44" s="269"/>
      <c r="E44" s="269"/>
      <c r="F44" s="269"/>
      <c r="G44" s="269"/>
      <c r="H44" s="269"/>
      <c r="I44" s="269"/>
      <c r="J44" s="270"/>
    </row>
    <row r="45" spans="1:11" s="4" customFormat="1" ht="18.75" customHeight="1">
      <c r="A45" s="100" t="s">
        <v>11</v>
      </c>
      <c r="B45" s="14" t="s">
        <v>65</v>
      </c>
      <c r="C45" s="14"/>
      <c r="D45" s="14"/>
      <c r="E45" s="14"/>
      <c r="F45" s="14"/>
      <c r="G45" s="14"/>
      <c r="H45" s="14"/>
      <c r="I45" s="118"/>
      <c r="J45" s="118"/>
      <c r="K45" s="31"/>
    </row>
    <row r="46" spans="1:11" ht="18.75" customHeight="1">
      <c r="A46" s="37"/>
      <c r="B46" s="282" t="s">
        <v>173</v>
      </c>
      <c r="C46" s="283"/>
      <c r="D46" s="283"/>
      <c r="E46" s="283"/>
      <c r="F46" s="283"/>
      <c r="G46" s="283"/>
      <c r="H46" s="283"/>
      <c r="I46" s="283"/>
      <c r="J46" s="286"/>
      <c r="K46" s="31" t="str">
        <f>IF(B46="","入力してください","")</f>
        <v/>
      </c>
    </row>
    <row r="47" spans="1:11" ht="18.75" customHeight="1">
      <c r="A47" s="37"/>
      <c r="B47" s="287"/>
      <c r="C47" s="288"/>
      <c r="D47" s="288"/>
      <c r="E47" s="288"/>
      <c r="F47" s="288"/>
      <c r="G47" s="288"/>
      <c r="H47" s="288"/>
      <c r="I47" s="288"/>
      <c r="J47" s="289"/>
    </row>
    <row r="48" spans="1:11" ht="18.75" customHeight="1">
      <c r="A48" s="37"/>
      <c r="B48" s="287"/>
      <c r="C48" s="288"/>
      <c r="D48" s="288"/>
      <c r="E48" s="288"/>
      <c r="F48" s="288"/>
      <c r="G48" s="288"/>
      <c r="H48" s="288"/>
      <c r="I48" s="288"/>
      <c r="J48" s="289"/>
    </row>
    <row r="49" spans="1:10" ht="18.75" customHeight="1">
      <c r="A49" s="37"/>
      <c r="B49" s="287"/>
      <c r="C49" s="288"/>
      <c r="D49" s="288"/>
      <c r="E49" s="288"/>
      <c r="F49" s="288"/>
      <c r="G49" s="288"/>
      <c r="H49" s="288"/>
      <c r="I49" s="288"/>
      <c r="J49" s="289"/>
    </row>
    <row r="50" spans="1:10" ht="18.75" customHeight="1">
      <c r="A50" s="37"/>
      <c r="B50" s="287"/>
      <c r="C50" s="288"/>
      <c r="D50" s="288"/>
      <c r="E50" s="288"/>
      <c r="F50" s="288"/>
      <c r="G50" s="288"/>
      <c r="H50" s="288"/>
      <c r="I50" s="288"/>
      <c r="J50" s="289"/>
    </row>
    <row r="51" spans="1:10" ht="18.75" customHeight="1">
      <c r="A51" s="37"/>
      <c r="B51" s="287"/>
      <c r="C51" s="288"/>
      <c r="D51" s="288"/>
      <c r="E51" s="288"/>
      <c r="F51" s="288"/>
      <c r="G51" s="288"/>
      <c r="H51" s="288"/>
      <c r="I51" s="288"/>
      <c r="J51" s="289"/>
    </row>
    <row r="52" spans="1:10" ht="18.75" customHeight="1">
      <c r="A52" s="37"/>
      <c r="B52" s="287"/>
      <c r="C52" s="288"/>
      <c r="D52" s="288"/>
      <c r="E52" s="288"/>
      <c r="F52" s="288"/>
      <c r="G52" s="288"/>
      <c r="H52" s="288"/>
      <c r="I52" s="288"/>
      <c r="J52" s="289"/>
    </row>
    <row r="53" spans="1:10" ht="18.75" customHeight="1">
      <c r="A53" s="37"/>
      <c r="B53" s="287"/>
      <c r="C53" s="288"/>
      <c r="D53" s="288"/>
      <c r="E53" s="288"/>
      <c r="F53" s="288"/>
      <c r="G53" s="288"/>
      <c r="H53" s="288"/>
      <c r="I53" s="288"/>
      <c r="J53" s="289"/>
    </row>
    <row r="54" spans="1:10" ht="18.75" customHeight="1">
      <c r="A54" s="37"/>
      <c r="B54" s="287"/>
      <c r="C54" s="288"/>
      <c r="D54" s="288"/>
      <c r="E54" s="288"/>
      <c r="F54" s="288"/>
      <c r="G54" s="288"/>
      <c r="H54" s="288"/>
      <c r="I54" s="288"/>
      <c r="J54" s="289"/>
    </row>
    <row r="55" spans="1:10" ht="18.75" customHeight="1">
      <c r="A55" s="37"/>
      <c r="B55" s="287"/>
      <c r="C55" s="288"/>
      <c r="D55" s="288"/>
      <c r="E55" s="288"/>
      <c r="F55" s="288"/>
      <c r="G55" s="288"/>
      <c r="H55" s="288"/>
      <c r="I55" s="288"/>
      <c r="J55" s="289"/>
    </row>
    <row r="56" spans="1:10" ht="18.75" customHeight="1">
      <c r="A56" s="37"/>
      <c r="B56" s="287"/>
      <c r="C56" s="288"/>
      <c r="D56" s="288"/>
      <c r="E56" s="288"/>
      <c r="F56" s="288"/>
      <c r="G56" s="288"/>
      <c r="H56" s="288"/>
      <c r="I56" s="288"/>
      <c r="J56" s="289"/>
    </row>
    <row r="57" spans="1:10" ht="18.75" customHeight="1">
      <c r="A57" s="37"/>
      <c r="B57" s="287"/>
      <c r="C57" s="288"/>
      <c r="D57" s="288"/>
      <c r="E57" s="288"/>
      <c r="F57" s="288"/>
      <c r="G57" s="288"/>
      <c r="H57" s="288"/>
      <c r="I57" s="288"/>
      <c r="J57" s="289"/>
    </row>
    <row r="58" spans="1:10" ht="18.75" customHeight="1">
      <c r="A58" s="37"/>
      <c r="B58" s="287"/>
      <c r="C58" s="288"/>
      <c r="D58" s="288"/>
      <c r="E58" s="288"/>
      <c r="F58" s="288"/>
      <c r="G58" s="288"/>
      <c r="H58" s="288"/>
      <c r="I58" s="288"/>
      <c r="J58" s="289"/>
    </row>
    <row r="59" spans="1:10" ht="18.75" customHeight="1">
      <c r="A59" s="37"/>
      <c r="B59" s="287"/>
      <c r="C59" s="288"/>
      <c r="D59" s="288"/>
      <c r="E59" s="288"/>
      <c r="F59" s="288"/>
      <c r="G59" s="288"/>
      <c r="H59" s="288"/>
      <c r="I59" s="288"/>
      <c r="J59" s="289"/>
    </row>
    <row r="60" spans="1:10" ht="18.75" customHeight="1">
      <c r="A60" s="37"/>
      <c r="B60" s="287"/>
      <c r="C60" s="288"/>
      <c r="D60" s="288"/>
      <c r="E60" s="288"/>
      <c r="F60" s="288"/>
      <c r="G60" s="288"/>
      <c r="H60" s="288"/>
      <c r="I60" s="288"/>
      <c r="J60" s="289"/>
    </row>
    <row r="61" spans="1:10" ht="18.75" customHeight="1">
      <c r="A61" s="37"/>
      <c r="B61" s="287"/>
      <c r="C61" s="288"/>
      <c r="D61" s="288"/>
      <c r="E61" s="288"/>
      <c r="F61" s="288"/>
      <c r="G61" s="288"/>
      <c r="H61" s="288"/>
      <c r="I61" s="288"/>
      <c r="J61" s="289"/>
    </row>
    <row r="62" spans="1:10" ht="18.75" customHeight="1">
      <c r="A62" s="37"/>
      <c r="B62" s="287"/>
      <c r="C62" s="288"/>
      <c r="D62" s="288"/>
      <c r="E62" s="288"/>
      <c r="F62" s="288"/>
      <c r="G62" s="288"/>
      <c r="H62" s="288"/>
      <c r="I62" s="288"/>
      <c r="J62" s="289"/>
    </row>
    <row r="63" spans="1:10" ht="18.75" customHeight="1">
      <c r="A63" s="37"/>
      <c r="B63" s="287"/>
      <c r="C63" s="288"/>
      <c r="D63" s="288"/>
      <c r="E63" s="288"/>
      <c r="F63" s="288"/>
      <c r="G63" s="288"/>
      <c r="H63" s="288"/>
      <c r="I63" s="288"/>
      <c r="J63" s="289"/>
    </row>
    <row r="64" spans="1:10" ht="18.75" customHeight="1">
      <c r="A64" s="37"/>
      <c r="B64" s="287"/>
      <c r="C64" s="288"/>
      <c r="D64" s="288"/>
      <c r="E64" s="288"/>
      <c r="F64" s="288"/>
      <c r="G64" s="288"/>
      <c r="H64" s="288"/>
      <c r="I64" s="288"/>
      <c r="J64" s="289"/>
    </row>
    <row r="65" spans="1:11" ht="18.75" customHeight="1">
      <c r="A65" s="37"/>
      <c r="B65" s="287"/>
      <c r="C65" s="288"/>
      <c r="D65" s="288"/>
      <c r="E65" s="288"/>
      <c r="F65" s="288"/>
      <c r="G65" s="288"/>
      <c r="H65" s="288"/>
      <c r="I65" s="288"/>
      <c r="J65" s="289"/>
    </row>
    <row r="66" spans="1:11" ht="18.75" customHeight="1">
      <c r="A66" s="37"/>
      <c r="B66" s="290"/>
      <c r="C66" s="291"/>
      <c r="D66" s="291"/>
      <c r="E66" s="291"/>
      <c r="F66" s="291"/>
      <c r="G66" s="291"/>
      <c r="H66" s="291"/>
      <c r="I66" s="291"/>
      <c r="J66" s="292"/>
    </row>
    <row r="67" spans="1:11" ht="7.5" customHeight="1">
      <c r="A67" s="37"/>
      <c r="B67" s="121"/>
      <c r="C67" s="121"/>
      <c r="D67" s="121"/>
      <c r="E67" s="121"/>
      <c r="F67" s="121"/>
      <c r="G67" s="121"/>
      <c r="H67" s="121"/>
      <c r="I67" s="121"/>
      <c r="J67" s="121"/>
    </row>
    <row r="68" spans="1:11" s="4" customFormat="1" ht="18.75" customHeight="1">
      <c r="A68" s="1" t="s">
        <v>14</v>
      </c>
      <c r="B68" s="14" t="s">
        <v>71</v>
      </c>
      <c r="C68" s="14"/>
      <c r="D68" s="14"/>
      <c r="E68" s="14"/>
      <c r="F68" s="14"/>
      <c r="G68" s="14"/>
      <c r="H68" s="14"/>
      <c r="I68" s="14"/>
      <c r="J68" s="14"/>
      <c r="K68" s="31"/>
    </row>
    <row r="69" spans="1:11" s="4" customFormat="1" ht="18.75" customHeight="1">
      <c r="A69" s="1"/>
      <c r="B69" s="282" t="s">
        <v>174</v>
      </c>
      <c r="C69" s="283"/>
      <c r="D69" s="283"/>
      <c r="E69" s="283"/>
      <c r="F69" s="283"/>
      <c r="G69" s="283"/>
      <c r="H69" s="283"/>
      <c r="I69" s="284"/>
      <c r="J69" s="285"/>
      <c r="K69" s="33" t="str">
        <f>IF(B69="","入力してください","")</f>
        <v/>
      </c>
    </row>
    <row r="70" spans="1:11" s="4" customFormat="1" ht="18.75" customHeight="1">
      <c r="A70" s="1"/>
      <c r="B70" s="265"/>
      <c r="C70" s="266"/>
      <c r="D70" s="266"/>
      <c r="E70" s="266"/>
      <c r="F70" s="266"/>
      <c r="G70" s="266"/>
      <c r="H70" s="266"/>
      <c r="I70" s="266"/>
      <c r="J70" s="267"/>
      <c r="K70" s="33"/>
    </row>
    <row r="71" spans="1:11" s="4" customFormat="1" ht="18.75" customHeight="1">
      <c r="A71" s="1"/>
      <c r="B71" s="265"/>
      <c r="C71" s="266"/>
      <c r="D71" s="266"/>
      <c r="E71" s="266"/>
      <c r="F71" s="266"/>
      <c r="G71" s="266"/>
      <c r="H71" s="266"/>
      <c r="I71" s="266"/>
      <c r="J71" s="267"/>
      <c r="K71" s="33"/>
    </row>
    <row r="72" spans="1:11" s="4" customFormat="1" ht="18.75" customHeight="1">
      <c r="A72" s="1"/>
      <c r="B72" s="265"/>
      <c r="C72" s="266"/>
      <c r="D72" s="266"/>
      <c r="E72" s="266"/>
      <c r="F72" s="266"/>
      <c r="G72" s="266"/>
      <c r="H72" s="266"/>
      <c r="I72" s="266"/>
      <c r="J72" s="267"/>
      <c r="K72" s="33"/>
    </row>
    <row r="73" spans="1:11" s="4" customFormat="1" ht="18.75" customHeight="1">
      <c r="A73" s="1"/>
      <c r="B73" s="265"/>
      <c r="C73" s="266"/>
      <c r="D73" s="266"/>
      <c r="E73" s="266"/>
      <c r="F73" s="266"/>
      <c r="G73" s="266"/>
      <c r="H73" s="266"/>
      <c r="I73" s="266"/>
      <c r="J73" s="267"/>
      <c r="K73" s="33"/>
    </row>
    <row r="74" spans="1:11" s="4" customFormat="1" ht="18.75" customHeight="1">
      <c r="A74" s="1"/>
      <c r="B74" s="265"/>
      <c r="C74" s="266"/>
      <c r="D74" s="266"/>
      <c r="E74" s="266"/>
      <c r="F74" s="266"/>
      <c r="G74" s="266"/>
      <c r="H74" s="266"/>
      <c r="I74" s="266"/>
      <c r="J74" s="267"/>
      <c r="K74" s="33"/>
    </row>
    <row r="75" spans="1:11" s="4" customFormat="1" ht="18.75" customHeight="1">
      <c r="A75" s="1"/>
      <c r="B75" s="265"/>
      <c r="C75" s="266"/>
      <c r="D75" s="266"/>
      <c r="E75" s="266"/>
      <c r="F75" s="266"/>
      <c r="G75" s="266"/>
      <c r="H75" s="266"/>
      <c r="I75" s="266"/>
      <c r="J75" s="267"/>
      <c r="K75" s="33"/>
    </row>
    <row r="76" spans="1:11" s="4" customFormat="1" ht="18.75" customHeight="1">
      <c r="A76" s="1"/>
      <c r="B76" s="265"/>
      <c r="C76" s="266"/>
      <c r="D76" s="266"/>
      <c r="E76" s="266"/>
      <c r="F76" s="266"/>
      <c r="G76" s="266"/>
      <c r="H76" s="266"/>
      <c r="I76" s="266"/>
      <c r="J76" s="267"/>
      <c r="K76" s="33"/>
    </row>
    <row r="77" spans="1:11" s="4" customFormat="1" ht="18.75" customHeight="1">
      <c r="A77" s="1"/>
      <c r="B77" s="265"/>
      <c r="C77" s="266"/>
      <c r="D77" s="266"/>
      <c r="E77" s="266"/>
      <c r="F77" s="266"/>
      <c r="G77" s="266"/>
      <c r="H77" s="266"/>
      <c r="I77" s="266"/>
      <c r="J77" s="267"/>
      <c r="K77" s="33"/>
    </row>
    <row r="78" spans="1:11" s="4" customFormat="1" ht="18.75" customHeight="1">
      <c r="A78" s="1"/>
      <c r="B78" s="265"/>
      <c r="C78" s="266"/>
      <c r="D78" s="266"/>
      <c r="E78" s="266"/>
      <c r="F78" s="266"/>
      <c r="G78" s="266"/>
      <c r="H78" s="266"/>
      <c r="I78" s="266"/>
      <c r="J78" s="267"/>
      <c r="K78" s="33"/>
    </row>
    <row r="79" spans="1:11" s="4" customFormat="1" ht="18.75" customHeight="1">
      <c r="A79" s="1"/>
      <c r="B79" s="265"/>
      <c r="C79" s="266"/>
      <c r="D79" s="266"/>
      <c r="E79" s="266"/>
      <c r="F79" s="266"/>
      <c r="G79" s="266"/>
      <c r="H79" s="266"/>
      <c r="I79" s="266"/>
      <c r="J79" s="267"/>
      <c r="K79" s="33"/>
    </row>
    <row r="80" spans="1:11" s="4" customFormat="1" ht="18.75" customHeight="1">
      <c r="A80" s="1"/>
      <c r="B80" s="265"/>
      <c r="C80" s="266"/>
      <c r="D80" s="266"/>
      <c r="E80" s="266"/>
      <c r="F80" s="266"/>
      <c r="G80" s="266"/>
      <c r="H80" s="266"/>
      <c r="I80" s="266"/>
      <c r="J80" s="267"/>
      <c r="K80" s="33"/>
    </row>
    <row r="81" spans="1:11" s="4" customFormat="1" ht="18.75" customHeight="1">
      <c r="A81" s="1"/>
      <c r="B81" s="265"/>
      <c r="C81" s="266"/>
      <c r="D81" s="266"/>
      <c r="E81" s="266"/>
      <c r="F81" s="266"/>
      <c r="G81" s="266"/>
      <c r="H81" s="266"/>
      <c r="I81" s="266"/>
      <c r="J81" s="267"/>
      <c r="K81" s="33"/>
    </row>
    <row r="82" spans="1:11" s="4" customFormat="1" ht="18.75" customHeight="1">
      <c r="A82" s="1"/>
      <c r="B82" s="265"/>
      <c r="C82" s="266"/>
      <c r="D82" s="266"/>
      <c r="E82" s="266"/>
      <c r="F82" s="266"/>
      <c r="G82" s="266"/>
      <c r="H82" s="266"/>
      <c r="I82" s="266"/>
      <c r="J82" s="267"/>
      <c r="K82" s="33"/>
    </row>
    <row r="83" spans="1:11" s="4" customFormat="1" ht="18.75" customHeight="1">
      <c r="A83" s="1"/>
      <c r="B83" s="265"/>
      <c r="C83" s="266"/>
      <c r="D83" s="266"/>
      <c r="E83" s="266"/>
      <c r="F83" s="266"/>
      <c r="G83" s="266"/>
      <c r="H83" s="266"/>
      <c r="I83" s="266"/>
      <c r="J83" s="267"/>
      <c r="K83" s="33"/>
    </row>
    <row r="84" spans="1:11" s="4" customFormat="1" ht="18.75" customHeight="1">
      <c r="A84" s="1"/>
      <c r="B84" s="265"/>
      <c r="C84" s="266"/>
      <c r="D84" s="266"/>
      <c r="E84" s="266"/>
      <c r="F84" s="266"/>
      <c r="G84" s="266"/>
      <c r="H84" s="266"/>
      <c r="I84" s="266"/>
      <c r="J84" s="267"/>
      <c r="K84" s="33"/>
    </row>
    <row r="85" spans="1:11" ht="18.75" customHeight="1">
      <c r="A85" s="37"/>
      <c r="B85" s="265"/>
      <c r="C85" s="266"/>
      <c r="D85" s="266"/>
      <c r="E85" s="266"/>
      <c r="F85" s="266"/>
      <c r="G85" s="266"/>
      <c r="H85" s="266"/>
      <c r="I85" s="266"/>
      <c r="J85" s="267"/>
      <c r="K85" s="33"/>
    </row>
    <row r="86" spans="1:11" ht="18.75" customHeight="1">
      <c r="A86" s="37"/>
      <c r="B86" s="268"/>
      <c r="C86" s="269"/>
      <c r="D86" s="269"/>
      <c r="E86" s="269"/>
      <c r="F86" s="269"/>
      <c r="G86" s="269"/>
      <c r="H86" s="269"/>
      <c r="I86" s="269"/>
      <c r="J86" s="270"/>
      <c r="K86" s="33"/>
    </row>
    <row r="87" spans="1:11" s="4" customFormat="1" ht="18.75" customHeight="1">
      <c r="A87" s="1" t="s">
        <v>12</v>
      </c>
      <c r="B87" s="14" t="s">
        <v>27</v>
      </c>
      <c r="C87" s="14"/>
      <c r="D87" s="14"/>
      <c r="E87" s="14"/>
      <c r="F87" s="14"/>
      <c r="G87" s="14"/>
      <c r="H87" s="14"/>
      <c r="I87" s="14"/>
      <c r="J87" s="14"/>
      <c r="K87" s="31"/>
    </row>
    <row r="88" spans="1:11" s="4" customFormat="1" ht="18.75" customHeight="1">
      <c r="A88" s="1"/>
      <c r="B88" s="282" t="s">
        <v>175</v>
      </c>
      <c r="C88" s="283"/>
      <c r="D88" s="283"/>
      <c r="E88" s="283"/>
      <c r="F88" s="283"/>
      <c r="G88" s="283"/>
      <c r="H88" s="283"/>
      <c r="I88" s="284"/>
      <c r="J88" s="285"/>
      <c r="K88" s="31"/>
    </row>
    <row r="89" spans="1:11" s="4" customFormat="1" ht="18.75" customHeight="1">
      <c r="A89" s="1"/>
      <c r="B89" s="265"/>
      <c r="C89" s="266"/>
      <c r="D89" s="266"/>
      <c r="E89" s="266"/>
      <c r="F89" s="266"/>
      <c r="G89" s="266"/>
      <c r="H89" s="266"/>
      <c r="I89" s="266"/>
      <c r="J89" s="267"/>
      <c r="K89" s="33"/>
    </row>
    <row r="90" spans="1:11" s="4" customFormat="1" ht="18.75" customHeight="1">
      <c r="A90" s="1"/>
      <c r="B90" s="265"/>
      <c r="C90" s="266"/>
      <c r="D90" s="266"/>
      <c r="E90" s="266"/>
      <c r="F90" s="266"/>
      <c r="G90" s="266"/>
      <c r="H90" s="266"/>
      <c r="I90" s="266"/>
      <c r="J90" s="267"/>
      <c r="K90" s="33" t="str">
        <f>IF(B88="","入力してください","")</f>
        <v/>
      </c>
    </row>
    <row r="91" spans="1:11" s="4" customFormat="1" ht="18.75" customHeight="1">
      <c r="A91" s="1"/>
      <c r="B91" s="265"/>
      <c r="C91" s="266"/>
      <c r="D91" s="266"/>
      <c r="E91" s="266"/>
      <c r="F91" s="266"/>
      <c r="G91" s="266"/>
      <c r="H91" s="266"/>
      <c r="I91" s="266"/>
      <c r="J91" s="267"/>
      <c r="K91" s="33"/>
    </row>
    <row r="92" spans="1:11" s="4" customFormat="1" ht="18.75" customHeight="1">
      <c r="A92" s="1"/>
      <c r="B92" s="265"/>
      <c r="C92" s="266"/>
      <c r="D92" s="266"/>
      <c r="E92" s="266"/>
      <c r="F92" s="266"/>
      <c r="G92" s="266"/>
      <c r="H92" s="266"/>
      <c r="I92" s="266"/>
      <c r="J92" s="267"/>
      <c r="K92" s="33"/>
    </row>
    <row r="93" spans="1:11" s="4" customFormat="1" ht="18.75" customHeight="1">
      <c r="A93" s="1"/>
      <c r="B93" s="265"/>
      <c r="C93" s="266"/>
      <c r="D93" s="266"/>
      <c r="E93" s="266"/>
      <c r="F93" s="266"/>
      <c r="G93" s="266"/>
      <c r="H93" s="266"/>
      <c r="I93" s="266"/>
      <c r="J93" s="267"/>
      <c r="K93" s="33"/>
    </row>
    <row r="94" spans="1:11" s="4" customFormat="1" ht="18.75" customHeight="1">
      <c r="A94" s="1"/>
      <c r="B94" s="265"/>
      <c r="C94" s="266"/>
      <c r="D94" s="266"/>
      <c r="E94" s="266"/>
      <c r="F94" s="266"/>
      <c r="G94" s="266"/>
      <c r="H94" s="266"/>
      <c r="I94" s="266"/>
      <c r="J94" s="267"/>
      <c r="K94" s="33"/>
    </row>
    <row r="95" spans="1:11" s="4" customFormat="1" ht="18.75" customHeight="1">
      <c r="A95" s="1"/>
      <c r="B95" s="265"/>
      <c r="C95" s="266"/>
      <c r="D95" s="266"/>
      <c r="E95" s="266"/>
      <c r="F95" s="266"/>
      <c r="G95" s="266"/>
      <c r="H95" s="266"/>
      <c r="I95" s="266"/>
      <c r="J95" s="267"/>
      <c r="K95" s="33"/>
    </row>
    <row r="96" spans="1:11" s="4" customFormat="1" ht="18.75" customHeight="1">
      <c r="A96" s="1"/>
      <c r="B96" s="265"/>
      <c r="C96" s="266"/>
      <c r="D96" s="266"/>
      <c r="E96" s="266"/>
      <c r="F96" s="266"/>
      <c r="G96" s="266"/>
      <c r="H96" s="266"/>
      <c r="I96" s="266"/>
      <c r="J96" s="267"/>
      <c r="K96" s="33"/>
    </row>
    <row r="97" spans="1:11" s="4" customFormat="1" ht="18.75" customHeight="1">
      <c r="A97" s="1"/>
      <c r="B97" s="265"/>
      <c r="C97" s="266"/>
      <c r="D97" s="266"/>
      <c r="E97" s="266"/>
      <c r="F97" s="266"/>
      <c r="G97" s="266"/>
      <c r="H97" s="266"/>
      <c r="I97" s="266"/>
      <c r="J97" s="267"/>
      <c r="K97" s="33"/>
    </row>
    <row r="98" spans="1:11" s="4" customFormat="1" ht="18.75" customHeight="1">
      <c r="A98" s="1"/>
      <c r="B98" s="265"/>
      <c r="C98" s="266"/>
      <c r="D98" s="266"/>
      <c r="E98" s="266"/>
      <c r="F98" s="266"/>
      <c r="G98" s="266"/>
      <c r="H98" s="266"/>
      <c r="I98" s="266"/>
      <c r="J98" s="267"/>
      <c r="K98" s="33"/>
    </row>
    <row r="99" spans="1:11" s="4" customFormat="1" ht="18.75" customHeight="1">
      <c r="A99" s="1"/>
      <c r="B99" s="265"/>
      <c r="C99" s="266"/>
      <c r="D99" s="266"/>
      <c r="E99" s="266"/>
      <c r="F99" s="266"/>
      <c r="G99" s="266"/>
      <c r="H99" s="266"/>
      <c r="I99" s="266"/>
      <c r="J99" s="267"/>
      <c r="K99" s="33"/>
    </row>
    <row r="100" spans="1:11" s="4" customFormat="1" ht="18.75" customHeight="1">
      <c r="A100" s="1"/>
      <c r="B100" s="265"/>
      <c r="C100" s="266"/>
      <c r="D100" s="266"/>
      <c r="E100" s="266"/>
      <c r="F100" s="266"/>
      <c r="G100" s="266"/>
      <c r="H100" s="266"/>
      <c r="I100" s="266"/>
      <c r="J100" s="267"/>
      <c r="K100" s="33"/>
    </row>
    <row r="101" spans="1:11" s="4" customFormat="1" ht="18.75" customHeight="1">
      <c r="A101" s="1"/>
      <c r="B101" s="265"/>
      <c r="C101" s="266"/>
      <c r="D101" s="266"/>
      <c r="E101" s="266"/>
      <c r="F101" s="266"/>
      <c r="G101" s="266"/>
      <c r="H101" s="266"/>
      <c r="I101" s="266"/>
      <c r="J101" s="267"/>
      <c r="K101" s="33"/>
    </row>
    <row r="102" spans="1:11" s="4" customFormat="1" ht="18.75" customHeight="1">
      <c r="A102" s="1"/>
      <c r="B102" s="265"/>
      <c r="C102" s="266"/>
      <c r="D102" s="266"/>
      <c r="E102" s="266"/>
      <c r="F102" s="266"/>
      <c r="G102" s="266"/>
      <c r="H102" s="266"/>
      <c r="I102" s="266"/>
      <c r="J102" s="267"/>
      <c r="K102" s="33"/>
    </row>
    <row r="103" spans="1:11" s="4" customFormat="1" ht="18.75" customHeight="1">
      <c r="A103" s="1"/>
      <c r="B103" s="265"/>
      <c r="C103" s="266"/>
      <c r="D103" s="266"/>
      <c r="E103" s="266"/>
      <c r="F103" s="266"/>
      <c r="G103" s="266"/>
      <c r="H103" s="266"/>
      <c r="I103" s="266"/>
      <c r="J103" s="267"/>
      <c r="K103" s="33"/>
    </row>
    <row r="104" spans="1:11" s="4" customFormat="1" ht="18.75" customHeight="1">
      <c r="A104" s="1"/>
      <c r="B104" s="265"/>
      <c r="C104" s="266"/>
      <c r="D104" s="266"/>
      <c r="E104" s="266"/>
      <c r="F104" s="266"/>
      <c r="G104" s="266"/>
      <c r="H104" s="266"/>
      <c r="I104" s="266"/>
      <c r="J104" s="267"/>
      <c r="K104" s="33"/>
    </row>
    <row r="105" spans="1:11" s="4" customFormat="1" ht="18.75" customHeight="1">
      <c r="A105" s="1"/>
      <c r="B105" s="265"/>
      <c r="C105" s="266"/>
      <c r="D105" s="266"/>
      <c r="E105" s="266"/>
      <c r="F105" s="266"/>
      <c r="G105" s="266"/>
      <c r="H105" s="266"/>
      <c r="I105" s="266"/>
      <c r="J105" s="267"/>
      <c r="K105" s="33"/>
    </row>
    <row r="106" spans="1:11" ht="18.75" customHeight="1">
      <c r="A106" s="37"/>
      <c r="B106" s="265"/>
      <c r="C106" s="266"/>
      <c r="D106" s="266"/>
      <c r="E106" s="266"/>
      <c r="F106" s="266"/>
      <c r="G106" s="266"/>
      <c r="H106" s="266"/>
      <c r="I106" s="266"/>
      <c r="J106" s="267"/>
      <c r="K106" s="33"/>
    </row>
    <row r="107" spans="1:11" ht="18.75" customHeight="1">
      <c r="A107" s="37"/>
      <c r="B107" s="268"/>
      <c r="C107" s="269"/>
      <c r="D107" s="269"/>
      <c r="E107" s="269"/>
      <c r="F107" s="269"/>
      <c r="G107" s="269"/>
      <c r="H107" s="269"/>
      <c r="I107" s="269"/>
      <c r="J107" s="270"/>
      <c r="K107" s="33"/>
    </row>
    <row r="108" spans="1:11" ht="7.5" customHeight="1">
      <c r="A108" s="37"/>
      <c r="B108" s="121"/>
      <c r="C108" s="121"/>
      <c r="D108" s="121"/>
      <c r="E108" s="121"/>
      <c r="F108" s="121"/>
      <c r="G108" s="121"/>
      <c r="H108" s="121"/>
      <c r="I108" s="121"/>
      <c r="J108" s="121"/>
    </row>
    <row r="109" spans="1:11" s="4" customFormat="1" ht="18.75" customHeight="1">
      <c r="A109" s="1" t="s">
        <v>53</v>
      </c>
      <c r="B109" s="293" t="s">
        <v>82</v>
      </c>
      <c r="C109" s="293"/>
      <c r="D109" s="293"/>
      <c r="E109" s="293"/>
      <c r="F109" s="293"/>
      <c r="G109" s="293"/>
      <c r="H109" s="293"/>
      <c r="I109" s="293"/>
      <c r="J109" s="293"/>
      <c r="K109" s="31"/>
    </row>
    <row r="110" spans="1:11" ht="18.75" customHeight="1">
      <c r="A110" s="37"/>
      <c r="B110" s="282" t="s">
        <v>176</v>
      </c>
      <c r="C110" s="283"/>
      <c r="D110" s="283"/>
      <c r="E110" s="283"/>
      <c r="F110" s="283"/>
      <c r="G110" s="283"/>
      <c r="H110" s="283"/>
      <c r="I110" s="284"/>
      <c r="J110" s="285"/>
    </row>
    <row r="111" spans="1:11" ht="18.75" customHeight="1">
      <c r="A111" s="37"/>
      <c r="B111" s="265"/>
      <c r="C111" s="266"/>
      <c r="D111" s="266"/>
      <c r="E111" s="266"/>
      <c r="F111" s="266"/>
      <c r="G111" s="266"/>
      <c r="H111" s="266"/>
      <c r="I111" s="266"/>
      <c r="J111" s="267"/>
      <c r="K111" s="33"/>
    </row>
    <row r="112" spans="1:11" ht="18.75" customHeight="1">
      <c r="A112" s="37"/>
      <c r="B112" s="265"/>
      <c r="C112" s="266"/>
      <c r="D112" s="266"/>
      <c r="E112" s="266"/>
      <c r="F112" s="266"/>
      <c r="G112" s="266"/>
      <c r="H112" s="266"/>
      <c r="I112" s="266"/>
      <c r="J112" s="267"/>
      <c r="K112" s="31" t="str">
        <f>IF(B110="","入力してください","")</f>
        <v/>
      </c>
    </row>
    <row r="113" spans="1:10" ht="18.75" customHeight="1">
      <c r="A113" s="37"/>
      <c r="B113" s="265"/>
      <c r="C113" s="266"/>
      <c r="D113" s="266"/>
      <c r="E113" s="266"/>
      <c r="F113" s="266"/>
      <c r="G113" s="266"/>
      <c r="H113" s="266"/>
      <c r="I113" s="266"/>
      <c r="J113" s="267"/>
    </row>
    <row r="114" spans="1:10" ht="18.75" customHeight="1">
      <c r="A114" s="37"/>
      <c r="B114" s="265"/>
      <c r="C114" s="266"/>
      <c r="D114" s="266"/>
      <c r="E114" s="266"/>
      <c r="F114" s="266"/>
      <c r="G114" s="266"/>
      <c r="H114" s="266"/>
      <c r="I114" s="266"/>
      <c r="J114" s="267"/>
    </row>
    <row r="115" spans="1:10" ht="18.75" customHeight="1">
      <c r="A115" s="37"/>
      <c r="B115" s="265"/>
      <c r="C115" s="266"/>
      <c r="D115" s="266"/>
      <c r="E115" s="266"/>
      <c r="F115" s="266"/>
      <c r="G115" s="266"/>
      <c r="H115" s="266"/>
      <c r="I115" s="266"/>
      <c r="J115" s="267"/>
    </row>
    <row r="116" spans="1:10" ht="18.75" customHeight="1">
      <c r="A116" s="37"/>
      <c r="B116" s="265"/>
      <c r="C116" s="266"/>
      <c r="D116" s="266"/>
      <c r="E116" s="266"/>
      <c r="F116" s="266"/>
      <c r="G116" s="266"/>
      <c r="H116" s="266"/>
      <c r="I116" s="266"/>
      <c r="J116" s="267"/>
    </row>
    <row r="117" spans="1:10" ht="18.75" customHeight="1">
      <c r="A117" s="37"/>
      <c r="B117" s="265"/>
      <c r="C117" s="266"/>
      <c r="D117" s="266"/>
      <c r="E117" s="266"/>
      <c r="F117" s="266"/>
      <c r="G117" s="266"/>
      <c r="H117" s="266"/>
      <c r="I117" s="266"/>
      <c r="J117" s="267"/>
    </row>
    <row r="118" spans="1:10" ht="18.75" customHeight="1">
      <c r="A118" s="37"/>
      <c r="B118" s="265"/>
      <c r="C118" s="266"/>
      <c r="D118" s="266"/>
      <c r="E118" s="266"/>
      <c r="F118" s="266"/>
      <c r="G118" s="266"/>
      <c r="H118" s="266"/>
      <c r="I118" s="266"/>
      <c r="J118" s="267"/>
    </row>
    <row r="119" spans="1:10" ht="18.75" customHeight="1">
      <c r="A119" s="37"/>
      <c r="B119" s="265"/>
      <c r="C119" s="266"/>
      <c r="D119" s="266"/>
      <c r="E119" s="266"/>
      <c r="F119" s="266"/>
      <c r="G119" s="266"/>
      <c r="H119" s="266"/>
      <c r="I119" s="266"/>
      <c r="J119" s="267"/>
    </row>
    <row r="120" spans="1:10" ht="18.75" customHeight="1">
      <c r="A120" s="37"/>
      <c r="B120" s="265"/>
      <c r="C120" s="266"/>
      <c r="D120" s="266"/>
      <c r="E120" s="266"/>
      <c r="F120" s="266"/>
      <c r="G120" s="266"/>
      <c r="H120" s="266"/>
      <c r="I120" s="266"/>
      <c r="J120" s="267"/>
    </row>
    <row r="121" spans="1:10" ht="18.75" customHeight="1">
      <c r="A121" s="37"/>
      <c r="B121" s="265"/>
      <c r="C121" s="266"/>
      <c r="D121" s="266"/>
      <c r="E121" s="266"/>
      <c r="F121" s="266"/>
      <c r="G121" s="266"/>
      <c r="H121" s="266"/>
      <c r="I121" s="266"/>
      <c r="J121" s="267"/>
    </row>
    <row r="122" spans="1:10" ht="18.75" customHeight="1">
      <c r="A122" s="37"/>
      <c r="B122" s="265"/>
      <c r="C122" s="266"/>
      <c r="D122" s="266"/>
      <c r="E122" s="266"/>
      <c r="F122" s="266"/>
      <c r="G122" s="266"/>
      <c r="H122" s="266"/>
      <c r="I122" s="266"/>
      <c r="J122" s="267"/>
    </row>
    <row r="123" spans="1:10" ht="18.75" customHeight="1">
      <c r="A123" s="37"/>
      <c r="B123" s="265"/>
      <c r="C123" s="266"/>
      <c r="D123" s="266"/>
      <c r="E123" s="266"/>
      <c r="F123" s="266"/>
      <c r="G123" s="266"/>
      <c r="H123" s="266"/>
      <c r="I123" s="266"/>
      <c r="J123" s="267"/>
    </row>
    <row r="124" spans="1:10" ht="18.75" customHeight="1">
      <c r="A124" s="37"/>
      <c r="B124" s="265"/>
      <c r="C124" s="266"/>
      <c r="D124" s="266"/>
      <c r="E124" s="266"/>
      <c r="F124" s="266"/>
      <c r="G124" s="266"/>
      <c r="H124" s="266"/>
      <c r="I124" s="266"/>
      <c r="J124" s="267"/>
    </row>
    <row r="125" spans="1:10" ht="18.75" customHeight="1">
      <c r="A125" s="37"/>
      <c r="B125" s="265"/>
      <c r="C125" s="266"/>
      <c r="D125" s="266"/>
      <c r="E125" s="266"/>
      <c r="F125" s="266"/>
      <c r="G125" s="266"/>
      <c r="H125" s="266"/>
      <c r="I125" s="266"/>
      <c r="J125" s="267"/>
    </row>
    <row r="126" spans="1:10" ht="18.75" customHeight="1">
      <c r="A126" s="37"/>
      <c r="B126" s="265"/>
      <c r="C126" s="266"/>
      <c r="D126" s="266"/>
      <c r="E126" s="266"/>
      <c r="F126" s="266"/>
      <c r="G126" s="266"/>
      <c r="H126" s="266"/>
      <c r="I126" s="266"/>
      <c r="J126" s="267"/>
    </row>
    <row r="127" spans="1:10" ht="18.75" customHeight="1">
      <c r="A127" s="37"/>
      <c r="B127" s="265"/>
      <c r="C127" s="266"/>
      <c r="D127" s="266"/>
      <c r="E127" s="266"/>
      <c r="F127" s="266"/>
      <c r="G127" s="266"/>
      <c r="H127" s="266"/>
      <c r="I127" s="266"/>
      <c r="J127" s="267"/>
    </row>
    <row r="128" spans="1:10" ht="18.75" customHeight="1">
      <c r="A128" s="37"/>
      <c r="B128" s="268"/>
      <c r="C128" s="269"/>
      <c r="D128" s="269"/>
      <c r="E128" s="269"/>
      <c r="F128" s="269"/>
      <c r="G128" s="269"/>
      <c r="H128" s="269"/>
      <c r="I128" s="269"/>
      <c r="J128" s="270"/>
    </row>
    <row r="129" spans="1:10" ht="18.75" customHeight="1">
      <c r="A129" s="37"/>
      <c r="B129" s="121"/>
      <c r="C129" s="121"/>
      <c r="D129" s="121"/>
      <c r="E129" s="121"/>
      <c r="F129" s="121"/>
      <c r="G129" s="121"/>
      <c r="H129" s="121"/>
      <c r="I129" s="121"/>
      <c r="J129" s="121"/>
    </row>
    <row r="130" spans="1:10" ht="18.75" customHeight="1">
      <c r="A130" s="37"/>
      <c r="B130" s="121"/>
      <c r="C130" s="121"/>
      <c r="D130" s="121"/>
      <c r="E130" s="121"/>
      <c r="F130" s="121"/>
      <c r="G130" s="121"/>
      <c r="H130" s="121"/>
      <c r="I130" s="121"/>
      <c r="J130" s="121"/>
    </row>
    <row r="131" spans="1:10" ht="18.75" customHeight="1">
      <c r="A131" s="37"/>
      <c r="B131" s="37"/>
      <c r="C131" s="37"/>
      <c r="D131" s="37"/>
      <c r="E131" s="37"/>
      <c r="F131" s="37"/>
      <c r="G131" s="37"/>
      <c r="H131" s="37"/>
      <c r="I131" s="37"/>
      <c r="J131" s="37"/>
    </row>
    <row r="132" spans="1:10" ht="18.75" customHeight="1">
      <c r="A132" s="37"/>
      <c r="B132" s="37"/>
      <c r="C132" s="37"/>
      <c r="D132" s="37"/>
      <c r="E132" s="37"/>
      <c r="F132" s="37"/>
      <c r="G132" s="37"/>
      <c r="H132" s="37"/>
      <c r="I132" s="37"/>
      <c r="J132" s="37"/>
    </row>
    <row r="133" spans="1:10" ht="18.75" customHeight="1">
      <c r="A133" s="37"/>
      <c r="B133" s="37"/>
      <c r="C133" s="37"/>
      <c r="D133" s="37"/>
      <c r="E133" s="37"/>
      <c r="F133" s="37"/>
      <c r="G133" s="37"/>
      <c r="H133" s="37"/>
      <c r="I133" s="37"/>
      <c r="J133" s="37"/>
    </row>
    <row r="134" spans="1:10" ht="18.75" customHeight="1">
      <c r="A134" s="37"/>
      <c r="B134" s="37"/>
      <c r="C134" s="37"/>
      <c r="D134" s="37"/>
      <c r="E134" s="37"/>
      <c r="F134" s="37"/>
      <c r="G134" s="37"/>
      <c r="H134" s="37"/>
      <c r="I134" s="37"/>
      <c r="J134" s="37"/>
    </row>
    <row r="135" spans="1:10" ht="18.75" customHeight="1">
      <c r="A135" s="37"/>
      <c r="B135" s="37"/>
      <c r="C135" s="37"/>
      <c r="D135" s="37"/>
      <c r="E135" s="37"/>
      <c r="F135" s="37"/>
      <c r="G135" s="37"/>
      <c r="H135" s="37"/>
      <c r="I135" s="37"/>
      <c r="J135" s="37"/>
    </row>
    <row r="136" spans="1:10" ht="18.75" customHeight="1">
      <c r="A136" s="37"/>
      <c r="B136" s="37"/>
      <c r="C136" s="37"/>
      <c r="D136" s="37"/>
      <c r="E136" s="37"/>
      <c r="F136" s="37"/>
      <c r="G136" s="37"/>
      <c r="H136" s="37"/>
      <c r="I136" s="37"/>
      <c r="J136" s="37"/>
    </row>
    <row r="137" spans="1:10" ht="18.75" customHeight="1">
      <c r="A137" s="37"/>
      <c r="B137" s="37"/>
      <c r="C137" s="37"/>
      <c r="D137" s="37"/>
      <c r="E137" s="37"/>
      <c r="F137" s="37"/>
      <c r="G137" s="37"/>
      <c r="H137" s="37"/>
      <c r="I137" s="37"/>
      <c r="J137" s="37"/>
    </row>
    <row r="138" spans="1:10" ht="18.75" customHeight="1">
      <c r="A138" s="37"/>
      <c r="B138" s="37"/>
      <c r="C138" s="37"/>
      <c r="D138" s="37"/>
      <c r="E138" s="37"/>
      <c r="F138" s="37"/>
      <c r="G138" s="37"/>
      <c r="H138" s="37"/>
      <c r="I138" s="37"/>
      <c r="J138" s="37"/>
    </row>
    <row r="139" spans="1:10" ht="18.75" customHeight="1">
      <c r="A139" s="37"/>
      <c r="B139" s="37"/>
      <c r="C139" s="37"/>
      <c r="D139" s="37"/>
      <c r="E139" s="37"/>
      <c r="F139" s="37"/>
      <c r="G139" s="37"/>
      <c r="H139" s="37"/>
      <c r="I139" s="37"/>
      <c r="J139" s="37"/>
    </row>
    <row r="140" spans="1:10" ht="18.75" customHeight="1">
      <c r="A140" s="37"/>
      <c r="B140" s="37"/>
      <c r="C140" s="37"/>
      <c r="D140" s="37"/>
      <c r="E140" s="37"/>
      <c r="F140" s="37"/>
      <c r="G140" s="37"/>
      <c r="H140" s="37"/>
      <c r="I140" s="37"/>
      <c r="J140" s="37"/>
    </row>
    <row r="141" spans="1:10" ht="15">
      <c r="A141" s="37"/>
      <c r="B141" s="37"/>
      <c r="C141" s="37"/>
      <c r="D141" s="37"/>
      <c r="E141" s="37"/>
      <c r="F141" s="37"/>
      <c r="G141" s="37"/>
      <c r="H141" s="37"/>
      <c r="I141" s="37"/>
      <c r="J141" s="37"/>
    </row>
    <row r="142" spans="1:10" ht="7.5" customHeight="1">
      <c r="A142" s="101"/>
      <c r="B142" s="101"/>
      <c r="C142" s="101"/>
      <c r="D142" s="101"/>
      <c r="E142" s="101"/>
      <c r="F142" s="101"/>
      <c r="G142" s="101"/>
      <c r="H142" s="101"/>
      <c r="I142" s="101"/>
      <c r="J142" s="101"/>
    </row>
  </sheetData>
  <mergeCells count="11">
    <mergeCell ref="B46:J66"/>
    <mergeCell ref="B69:J86"/>
    <mergeCell ref="B88:J107"/>
    <mergeCell ref="B109:J109"/>
    <mergeCell ref="B110:J128"/>
    <mergeCell ref="B31:J44"/>
    <mergeCell ref="A2:J2"/>
    <mergeCell ref="B5:J5"/>
    <mergeCell ref="B8:J12"/>
    <mergeCell ref="B15:J25"/>
    <mergeCell ref="B30:J30"/>
  </mergeCells>
  <phoneticPr fontId="2"/>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6"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H17" sqref="H1:H1048576"/>
    </sheetView>
  </sheetViews>
  <sheetFormatPr baseColWidth="10" defaultColWidth="11.33203125" defaultRowHeight="22.5" customHeight="1"/>
  <cols>
    <col min="1" max="3" width="2.6640625" style="1" customWidth="1"/>
    <col min="4" max="4" width="22.1640625" style="1" customWidth="1"/>
    <col min="5" max="5" width="21.6640625" style="1" customWidth="1"/>
    <col min="6" max="7" width="7.6640625" style="1" customWidth="1"/>
    <col min="8" max="8" width="33.33203125" style="1" customWidth="1"/>
    <col min="9" max="9" width="24.5" style="1" customWidth="1"/>
    <col min="10" max="10" width="5.5" style="1" customWidth="1"/>
    <col min="11" max="11" width="4.1640625" style="31" customWidth="1"/>
    <col min="12" max="16384" width="11.33203125" style="1"/>
  </cols>
  <sheetData>
    <row r="1" spans="1:11" ht="18.75" customHeight="1">
      <c r="A1" s="1" t="s">
        <v>123</v>
      </c>
      <c r="J1" s="39" t="s">
        <v>73</v>
      </c>
    </row>
    <row r="2" spans="1:11" ht="18.75" customHeight="1">
      <c r="A2" s="246" t="s">
        <v>42</v>
      </c>
      <c r="B2" s="246"/>
      <c r="C2" s="246"/>
      <c r="D2" s="246"/>
      <c r="E2" s="246"/>
      <c r="F2" s="246"/>
      <c r="G2" s="246"/>
      <c r="H2" s="246"/>
      <c r="I2" s="246"/>
      <c r="J2" s="246"/>
    </row>
    <row r="3" spans="1:11" ht="7.5" customHeight="1">
      <c r="A3" s="40"/>
      <c r="B3" s="40"/>
      <c r="C3" s="40"/>
      <c r="D3" s="40"/>
      <c r="E3" s="40"/>
      <c r="F3" s="40"/>
      <c r="G3" s="40"/>
      <c r="H3" s="40"/>
      <c r="I3" s="40"/>
      <c r="J3" s="40"/>
    </row>
    <row r="4" spans="1:11" ht="18.75" customHeight="1">
      <c r="A4" s="1" t="s">
        <v>6</v>
      </c>
      <c r="B4" s="4" t="s">
        <v>41</v>
      </c>
      <c r="C4" s="37"/>
      <c r="D4" s="37"/>
      <c r="E4" s="38"/>
      <c r="F4" s="38"/>
      <c r="G4" s="38"/>
      <c r="H4" s="38"/>
      <c r="I4" s="38"/>
      <c r="J4" s="38"/>
    </row>
    <row r="5" spans="1:11" ht="18.75" customHeight="1">
      <c r="B5" s="299" t="s">
        <v>38</v>
      </c>
      <c r="C5" s="300"/>
      <c r="D5" s="301"/>
      <c r="E5" s="302" t="s">
        <v>40</v>
      </c>
      <c r="F5" s="302"/>
      <c r="G5" s="302"/>
      <c r="H5" s="302"/>
      <c r="I5" s="302"/>
      <c r="J5" s="303"/>
    </row>
    <row r="6" spans="1:11" ht="18.75" customHeight="1">
      <c r="B6" s="3" t="s">
        <v>28</v>
      </c>
      <c r="C6" s="37"/>
      <c r="D6" s="7"/>
      <c r="I6" s="38"/>
      <c r="J6" s="5"/>
    </row>
    <row r="7" spans="1:11" ht="207" customHeight="1">
      <c r="B7" s="6"/>
      <c r="C7" s="304" t="s">
        <v>29</v>
      </c>
      <c r="D7" s="305"/>
      <c r="E7" s="296" t="s">
        <v>177</v>
      </c>
      <c r="F7" s="297"/>
      <c r="G7" s="297"/>
      <c r="H7" s="297"/>
      <c r="I7" s="297"/>
      <c r="J7" s="298"/>
      <c r="K7" s="31" t="str">
        <f>IF(E7="","入力してください","")</f>
        <v/>
      </c>
    </row>
    <row r="8" spans="1:11" ht="207" customHeight="1">
      <c r="B8" s="6"/>
      <c r="C8" s="294" t="s">
        <v>30</v>
      </c>
      <c r="D8" s="295"/>
      <c r="E8" s="296" t="s">
        <v>178</v>
      </c>
      <c r="F8" s="297"/>
      <c r="G8" s="297"/>
      <c r="H8" s="297"/>
      <c r="I8" s="297"/>
      <c r="J8" s="298"/>
      <c r="K8" s="31" t="str">
        <f>IF(E8="","入力してください","")</f>
        <v/>
      </c>
    </row>
    <row r="9" spans="1:11" ht="172.5" customHeight="1">
      <c r="B9" s="6"/>
      <c r="C9" s="304" t="s">
        <v>31</v>
      </c>
      <c r="D9" s="305"/>
      <c r="E9" s="296" t="s">
        <v>183</v>
      </c>
      <c r="F9" s="297"/>
      <c r="G9" s="297"/>
      <c r="H9" s="297"/>
      <c r="I9" s="297"/>
      <c r="J9" s="298"/>
      <c r="K9" s="31" t="str">
        <f>IF(E9="","入力してください","")</f>
        <v/>
      </c>
    </row>
    <row r="10" spans="1:11" ht="172.5" customHeight="1">
      <c r="B10" s="6"/>
      <c r="C10" s="304" t="s">
        <v>32</v>
      </c>
      <c r="D10" s="305"/>
      <c r="E10" s="296" t="s">
        <v>182</v>
      </c>
      <c r="F10" s="297"/>
      <c r="G10" s="297"/>
      <c r="H10" s="297"/>
      <c r="I10" s="297"/>
      <c r="J10" s="298"/>
      <c r="K10" s="31" t="str">
        <f>IF(E10="","入力してください","")</f>
        <v/>
      </c>
    </row>
    <row r="11" spans="1:11" ht="172.5" customHeight="1">
      <c r="B11" s="6"/>
      <c r="C11" s="304" t="s">
        <v>33</v>
      </c>
      <c r="D11" s="305"/>
      <c r="E11" s="296" t="s">
        <v>179</v>
      </c>
      <c r="F11" s="297"/>
      <c r="G11" s="297"/>
      <c r="H11" s="297"/>
      <c r="I11" s="297"/>
      <c r="J11" s="298"/>
      <c r="K11" s="31" t="str">
        <f>IF(E11="","入力してください","")</f>
        <v/>
      </c>
    </row>
    <row r="12" spans="1:11" ht="18.75" customHeight="1">
      <c r="B12" s="9" t="s">
        <v>34</v>
      </c>
      <c r="C12" s="28"/>
      <c r="D12" s="8"/>
      <c r="E12" s="122"/>
      <c r="F12" s="122"/>
      <c r="G12" s="122"/>
      <c r="H12" s="122"/>
      <c r="I12" s="122"/>
      <c r="J12" s="123"/>
    </row>
    <row r="13" spans="1:11" ht="244.25" customHeight="1">
      <c r="B13" s="6"/>
      <c r="C13" s="304" t="s">
        <v>35</v>
      </c>
      <c r="D13" s="305"/>
      <c r="E13" s="297" t="s">
        <v>180</v>
      </c>
      <c r="F13" s="297"/>
      <c r="G13" s="297"/>
      <c r="H13" s="297"/>
      <c r="I13" s="297"/>
      <c r="J13" s="298"/>
      <c r="K13" s="31" t="str">
        <f>IF(E13="","入力してください","")</f>
        <v/>
      </c>
    </row>
    <row r="14" spans="1:11" ht="255" customHeight="1">
      <c r="B14" s="6"/>
      <c r="C14" s="312" t="s">
        <v>36</v>
      </c>
      <c r="D14" s="305"/>
      <c r="E14" s="297" t="s">
        <v>185</v>
      </c>
      <c r="F14" s="297"/>
      <c r="G14" s="297"/>
      <c r="H14" s="297"/>
      <c r="I14" s="297"/>
      <c r="J14" s="298"/>
      <c r="K14" s="31" t="str">
        <f>IF(E14="","入力してください","")</f>
        <v/>
      </c>
    </row>
    <row r="15" spans="1:11" ht="243" customHeight="1">
      <c r="B15" s="313" t="s">
        <v>37</v>
      </c>
      <c r="C15" s="314"/>
      <c r="D15" s="305"/>
      <c r="E15" s="297" t="s">
        <v>184</v>
      </c>
      <c r="F15" s="297"/>
      <c r="G15" s="297"/>
      <c r="H15" s="297"/>
      <c r="I15" s="297"/>
      <c r="J15" s="298"/>
      <c r="K15" s="31" t="str">
        <f>IF(E15="","入力してください","")</f>
        <v/>
      </c>
    </row>
    <row r="16" spans="1:11" ht="243" customHeight="1">
      <c r="A16" s="31"/>
      <c r="B16" s="306" t="s">
        <v>66</v>
      </c>
      <c r="C16" s="307"/>
      <c r="D16" s="308"/>
      <c r="E16" s="291" t="s">
        <v>181</v>
      </c>
      <c r="F16" s="291"/>
      <c r="G16" s="291"/>
      <c r="H16" s="291"/>
      <c r="I16" s="291"/>
      <c r="J16" s="292"/>
      <c r="K16" s="31" t="str">
        <f>IF(E16="","入力してください","")</f>
        <v/>
      </c>
    </row>
    <row r="17" spans="1:11" ht="7.5" customHeight="1">
      <c r="B17" s="37"/>
      <c r="C17" s="37"/>
      <c r="D17" s="37"/>
      <c r="E17" s="38"/>
      <c r="F17" s="38"/>
      <c r="G17" s="38"/>
      <c r="H17" s="38"/>
      <c r="I17" s="38"/>
      <c r="J17" s="38"/>
    </row>
    <row r="18" spans="1:11" ht="18.75" customHeight="1">
      <c r="A18" s="1" t="s">
        <v>124</v>
      </c>
      <c r="B18" s="4"/>
      <c r="C18" s="37"/>
      <c r="D18" s="37"/>
      <c r="E18" s="38"/>
      <c r="F18" s="91"/>
      <c r="G18" s="309" t="s">
        <v>206</v>
      </c>
      <c r="H18" s="310"/>
      <c r="I18" s="310"/>
      <c r="J18" s="311"/>
      <c r="K18" s="31" t="str">
        <f>IF(G18="","入力してください","")</f>
        <v/>
      </c>
    </row>
    <row r="19" spans="1:11" ht="22.5" customHeight="1">
      <c r="B19" s="37"/>
      <c r="C19" s="37"/>
      <c r="D19" s="37"/>
      <c r="E19" s="38"/>
      <c r="F19" s="38"/>
      <c r="G19" s="38"/>
      <c r="H19" s="38"/>
      <c r="I19" s="38"/>
      <c r="J19" s="38"/>
    </row>
    <row r="20" spans="1:11" ht="22.5" customHeight="1">
      <c r="B20" s="37"/>
      <c r="C20" s="37"/>
      <c r="D20" s="37"/>
      <c r="E20" s="38"/>
      <c r="F20" s="38"/>
      <c r="G20" s="38"/>
      <c r="H20" s="38"/>
      <c r="I20" s="38"/>
      <c r="J20" s="38"/>
    </row>
    <row r="21" spans="1:11" ht="22.5" customHeight="1">
      <c r="B21" s="37"/>
      <c r="C21" s="37"/>
      <c r="D21" s="37"/>
      <c r="E21" s="38"/>
      <c r="F21" s="38"/>
      <c r="G21" s="38"/>
      <c r="H21" s="38"/>
      <c r="I21" s="38"/>
      <c r="J21" s="38"/>
    </row>
    <row r="22" spans="1:11" ht="22.5" customHeight="1">
      <c r="B22" s="37"/>
      <c r="C22" s="37"/>
      <c r="D22" s="37"/>
      <c r="E22" s="38"/>
      <c r="F22" s="38"/>
      <c r="G22" s="38"/>
      <c r="H22" s="38"/>
      <c r="I22" s="38"/>
      <c r="J22" s="38"/>
    </row>
    <row r="23" spans="1:11" ht="22.5" customHeight="1">
      <c r="B23" s="37"/>
      <c r="C23" s="37"/>
      <c r="D23" s="37"/>
      <c r="E23" s="38"/>
      <c r="F23" s="38"/>
      <c r="G23" s="38"/>
      <c r="H23" s="38"/>
      <c r="I23" s="38"/>
      <c r="J23" s="38"/>
    </row>
    <row r="24" spans="1:11" ht="22.5" customHeight="1">
      <c r="B24" s="102"/>
      <c r="C24" s="102"/>
      <c r="D24" s="102"/>
      <c r="E24" s="102"/>
      <c r="F24" s="102"/>
      <c r="G24" s="102"/>
      <c r="H24" s="102"/>
      <c r="I24" s="102"/>
      <c r="J24" s="102"/>
    </row>
    <row r="25" spans="1:11" ht="22.5" customHeight="1">
      <c r="B25" s="102"/>
      <c r="C25" s="102"/>
      <c r="D25" s="102"/>
      <c r="E25" s="102"/>
      <c r="F25" s="102"/>
      <c r="G25" s="102"/>
      <c r="H25" s="102"/>
      <c r="I25" s="102"/>
      <c r="J25" s="102"/>
    </row>
    <row r="26" spans="1:11" ht="22.5" customHeight="1">
      <c r="B26" s="102"/>
      <c r="C26" s="102"/>
      <c r="D26" s="102"/>
      <c r="E26" s="102"/>
      <c r="F26" s="102"/>
      <c r="G26" s="102"/>
      <c r="H26" s="102"/>
      <c r="I26" s="102"/>
      <c r="J26" s="102"/>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2"/>
  <hyperlinks>
    <hyperlink ref="G18:J18" r:id="rId1" display="https://www.heps.fukushima-u.ac.jp/news/edu/619/" xr:uid="{00000000-0004-0000-0400-000000000000}"/>
    <hyperlink ref="G18" r:id="rId2" xr:uid="{00000000-0004-0000-0400-000001000000}"/>
  </hyperlinks>
  <printOptions horizontalCentered="1"/>
  <pageMargins left="0.78740157480314965" right="0.78740157480314965" top="0.78740157480314965" bottom="0.78740157480314965" header="0.31496062992125984" footer="0.31496062992125984"/>
  <pageSetup paperSize="9" orientation="landscape"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呉 書雅</cp:lastModifiedBy>
  <cp:lastPrinted>2022-05-19T23:43:34Z</cp:lastPrinted>
  <dcterms:created xsi:type="dcterms:W3CDTF">2011-06-14T05:32:50Z</dcterms:created>
  <dcterms:modified xsi:type="dcterms:W3CDTF">2022-07-15T05:48:54Z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