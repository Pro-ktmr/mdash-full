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yoyu\共有\教務課共有$\1-01教務課副課長\教育企画・評価室関係\41数理・データサイエンス・ＡＩ教育プログラム認定制度\2022\20220526_申請書の修正\"/>
    </mc:Choice>
  </mc:AlternateContent>
  <bookViews>
    <workbookView xWindow="28680" yWindow="-120" windowWidth="29040" windowHeight="1764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<sst xmlns="http://schemas.openxmlformats.org/spreadsheetml/2006/main" count="323" uniqueCount="211">
  <si>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</si>
  <si>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</si>
  <si>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</si>
  <si>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</si>
  <si>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</si>
  <si>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</si>
  <si>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</si>
  <si>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</si>
  <si>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</si>
  <si>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</si>
  <si>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</si>
  <si>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</si>
  <si>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</si>
  <si>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</si>
  <si>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</si>
  <si>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</si>
  <si>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</si>
  <si>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</si>
  <si>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</si>
  <si>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</si>
  <si>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</si>
  <si>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</si>
  <si>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</si>
  <si>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</si>
  <si>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</si>
  <si>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</si>
  <si>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</si>
  <si>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</si>
  <si>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</si>
  <si>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</si>
  <si>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</si>
  <si>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</si>
  <si>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</si>
  <si>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</si>
  <si>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</si>
  <si>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</si>
  <si>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</si>
  <si>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</si>
  <si>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</si>
  <si>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</si>
  <si>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</si>
  <si>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</si>
  <si>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</si>
  <si>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</si>
  <si>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</si>
  <si>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</si>
  <si>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</si>
  <si>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</si>
  <si>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</si>
  <si>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</si>
  <si>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</si>
  <si>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</si>
  <si>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</si>
  <si>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</si>
  <si>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</si>
  <si>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</si>
  <si>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</si>
  <si>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</si>
  <si>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</si>
  <si>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</si>
  <si>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</si>
  <si>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</si>
  <si>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</si>
  <si>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</si>
  <si>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</si>
  <si>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</si>
  <si>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</si>
  <si>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</si>
  <si>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</si>
  <si>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</si>
  <si>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</si>
  <si>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</si>
  <si>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</si>
  <si>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</si>
  <si>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</si>
  <si>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</si>
  <si>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</si>
  <si>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</si>
  <si>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</si>
  <si>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</si>
  <si>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</si>
  <si>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</si>
  <si>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</si>
  <si>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</si>
  <si>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</si>
  <si>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</si>
  <si>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</si>
  <si>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</si>
  <si>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</si>
  <si>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</si>
  <si>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</si>
  <si>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</si>
  <si>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</si>
  <si>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</si>
  <si>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</si>
  <si>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</si>
  <si>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</si>
  <si>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</si>
  <si>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</si>
  <si>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</si>
  <si>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</si>
  <si>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</si>
  <si>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</si>
  <si>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</si>
  <si>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</si>
  <si>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</si>
  <si>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</si>
  <si>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</si>
  <si>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</si>
  <si>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</si>
  <si>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</si>
  <si>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</si>
  <si>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</si>
  <si>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</si>
  <si>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</si>
  <si>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</si>
  <si>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</si>
  <si>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</si>
  <si>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</si>
  <si>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</si>
  <si>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</si>
  <si>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</si>
  <si>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</si>
  <si>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</si>
  <si>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</si>
  <si>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</si>
  <si>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</si>
  <si>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</si>
  <si>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</si>
  <si>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</si>
  <si>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</si>
  <si>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</si>
  <si>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</si>
  <si>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</si>
  <si>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</si>
  <si>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</si>
  <si>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</si>
  <si>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</si>
  <si>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</si>
  <si>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</si>
  <si>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</si>
  <si>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</si>
  <si>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</si>
  <si>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</si>
  <si>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</si>
  <si>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</si>
  <si>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</si>
  <si>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</si>
  <si>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</si>
  <si>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鹿屋体育大学</t>
    <rPh sb="0" eb="2">
      <t>カノヤ</t>
    </rPh>
    <rPh sb="2" eb="4">
      <t>タイイク</t>
    </rPh>
    <rPh sb="4" eb="6">
      <t>ダイガク</t>
    </rPh>
    <phoneticPr fontId="1"/>
  </si>
  <si>
    <t>国立大学法人鹿屋体育大学</t>
    <rPh sb="0" eb="2">
      <t>コクリツ</t>
    </rPh>
    <rPh sb="2" eb="4">
      <t>ダイガク</t>
    </rPh>
    <rPh sb="4" eb="6">
      <t>ホウジン</t>
    </rPh>
    <rPh sb="6" eb="8">
      <t>カノヤ</t>
    </rPh>
    <rPh sb="8" eb="10">
      <t>タイイク</t>
    </rPh>
    <rPh sb="10" eb="12">
      <t>ダイガク</t>
    </rPh>
    <phoneticPr fontId="1"/>
  </si>
  <si>
    <t>国立大学</t>
  </si>
  <si>
    <t>鹿児島県鹿屋市白水町１番地</t>
    <rPh sb="0" eb="4">
      <t>カゴシマケン</t>
    </rPh>
    <rPh sb="4" eb="7">
      <t>カノヤシ</t>
    </rPh>
    <rPh sb="7" eb="9">
      <t>シロミズ</t>
    </rPh>
    <rPh sb="9" eb="10">
      <t>チョウ</t>
    </rPh>
    <rPh sb="11" eb="13">
      <t>バンチ</t>
    </rPh>
    <phoneticPr fontId="1"/>
  </si>
  <si>
    <t>無</t>
  </si>
  <si>
    <t>学部・学科によって、修了要件は相違しない</t>
  </si>
  <si>
    <t>認定教育プログラム</t>
  </si>
  <si>
    <t>教務課</t>
    <rPh sb="0" eb="3">
      <t>キョウムカ</t>
    </rPh>
    <phoneticPr fontId="1"/>
  </si>
  <si>
    <t>元明　勇二</t>
    <rPh sb="0" eb="1">
      <t>ガン</t>
    </rPh>
    <rPh sb="1" eb="2">
      <t>ミョウ</t>
    </rPh>
    <rPh sb="3" eb="5">
      <t>ユウジ</t>
    </rPh>
    <phoneticPr fontId="1"/>
  </si>
  <si>
    <t>0994-46-4861</t>
    <phoneticPr fontId="1"/>
  </si>
  <si>
    <t>令和３</t>
    <rPh sb="0" eb="2">
      <t>レイワ</t>
    </rPh>
    <phoneticPr fontId="1"/>
  </si>
  <si>
    <t>数理・データサイエンス・AI教育プログラム</t>
    <rPh sb="0" eb="2">
      <t>スウリ</t>
    </rPh>
    <rPh sb="14" eb="16">
      <t>キョウイク</t>
    </rPh>
    <phoneticPr fontId="1"/>
  </si>
  <si>
    <t>教務委員会</t>
    <rPh sb="0" eb="2">
      <t>キョウム</t>
    </rPh>
    <rPh sb="2" eb="3">
      <t>イ</t>
    </rPh>
    <rPh sb="4" eb="5">
      <t>カイ</t>
    </rPh>
    <phoneticPr fontId="1"/>
  </si>
  <si>
    <t>金高　宏文</t>
    <rPh sb="0" eb="2">
      <t>キンタカ</t>
    </rPh>
    <rPh sb="3" eb="5">
      <t>ヒロフミ</t>
    </rPh>
    <phoneticPr fontId="1"/>
  </si>
  <si>
    <t>情報処理A</t>
    <rPh sb="0" eb="4">
      <t>ジョウホウショリ</t>
    </rPh>
    <phoneticPr fontId="1"/>
  </si>
  <si>
    <t>情報処理B</t>
    <rPh sb="0" eb="4">
      <t>ジョウホウショリ</t>
    </rPh>
    <phoneticPr fontId="1"/>
  </si>
  <si>
    <t>情報処理C</t>
    <rPh sb="0" eb="4">
      <t>ジョウホウショリ</t>
    </rPh>
    <phoneticPr fontId="1"/>
  </si>
  <si>
    <t>4‐4時系列データ解析</t>
  </si>
  <si>
    <t>4‐7データハンドリング</t>
  </si>
  <si>
    <t>4‐2アルゴリズム基礎</t>
  </si>
  <si>
    <t>4‐3データ構造とプログラミング基礎</t>
  </si>
  <si>
    <t>すでに競技スポーツにおいては、データサイエンスの成果によって競技成績が左右されるといった事例が数多く報告されている。また、AIを用いた画像認識技術がスポーツ活動中の動作分析などの領域で実用化されるようになっている。本学では学生の9割が競技スポーツを行っており、「数理・データサイエンス・AI」に関する事柄が身近に使われていることを知ることで、「学ぶ楽しさ」「学ぶことの意義」を知ることができると考えられる。</t>
    <rPh sb="3" eb="5">
      <t>キョウギ</t>
    </rPh>
    <rPh sb="24" eb="26">
      <t>セイカ</t>
    </rPh>
    <rPh sb="30" eb="34">
      <t>キョウギセイセキ</t>
    </rPh>
    <rPh sb="35" eb="37">
      <t>サユウ</t>
    </rPh>
    <rPh sb="44" eb="46">
      <t>ジレイ</t>
    </rPh>
    <rPh sb="47" eb="49">
      <t>カズオオ</t>
    </rPh>
    <rPh sb="50" eb="52">
      <t>ホウコク</t>
    </rPh>
    <rPh sb="64" eb="65">
      <t>モチ</t>
    </rPh>
    <rPh sb="67" eb="71">
      <t>ガゾウニンシキ</t>
    </rPh>
    <rPh sb="71" eb="73">
      <t>ギジュツ</t>
    </rPh>
    <rPh sb="78" eb="81">
      <t>カツドウチュウ</t>
    </rPh>
    <rPh sb="82" eb="86">
      <t>ドウサブンセキ</t>
    </rPh>
    <rPh sb="89" eb="91">
      <t>リョウイキ</t>
    </rPh>
    <rPh sb="92" eb="95">
      <t>ジツヨウカ</t>
    </rPh>
    <rPh sb="107" eb="109">
      <t>ホンガク</t>
    </rPh>
    <rPh sb="111" eb="113">
      <t>ガクセイ</t>
    </rPh>
    <rPh sb="115" eb="116">
      <t>ワリ</t>
    </rPh>
    <rPh sb="117" eb="119">
      <t>キョウギ</t>
    </rPh>
    <rPh sb="124" eb="125">
      <t>オコナ</t>
    </rPh>
    <rPh sb="131" eb="133">
      <t>スウリ</t>
    </rPh>
    <rPh sb="147" eb="148">
      <t>カン</t>
    </rPh>
    <rPh sb="150" eb="152">
      <t>コトガラ</t>
    </rPh>
    <rPh sb="153" eb="155">
      <t>ミジカ</t>
    </rPh>
    <rPh sb="156" eb="157">
      <t>ツカ</t>
    </rPh>
    <rPh sb="165" eb="166">
      <t>シ</t>
    </rPh>
    <rPh sb="172" eb="173">
      <t>マナ</t>
    </rPh>
    <rPh sb="174" eb="175">
      <t>タノ</t>
    </rPh>
    <rPh sb="179" eb="180">
      <t>マナ</t>
    </rPh>
    <rPh sb="184" eb="186">
      <t>イギ</t>
    </rPh>
    <rPh sb="188" eb="189">
      <t>シ</t>
    </rPh>
    <rPh sb="197" eb="198">
      <t>カンガ</t>
    </rPh>
    <phoneticPr fontId="1"/>
  </si>
  <si>
    <t>○</t>
  </si>
  <si>
    <t>教育企画・評価室</t>
    <rPh sb="0" eb="4">
      <t>キョウイクキカク</t>
    </rPh>
    <rPh sb="5" eb="8">
      <t>ヒョウカシツ</t>
    </rPh>
    <phoneticPr fontId="1"/>
  </si>
  <si>
    <t>教授、教育企画・評価室長</t>
    <rPh sb="0" eb="2">
      <t>キョウジュ</t>
    </rPh>
    <rPh sb="3" eb="5">
      <t>キョウイク</t>
    </rPh>
    <rPh sb="5" eb="7">
      <t>キカク</t>
    </rPh>
    <rPh sb="8" eb="10">
      <t>ヒョウカ</t>
    </rPh>
    <rPh sb="10" eb="11">
      <t>シツ</t>
    </rPh>
    <rPh sb="11" eb="12">
      <t>チョウ</t>
    </rPh>
    <phoneticPr fontId="1"/>
  </si>
  <si>
    <t>数理・データサイエンス・AI教育プログラムを構成する科目のうち、「情報処理A」（２単位）を取得すること。</t>
    <rPh sb="0" eb="2">
      <t>スウリ</t>
    </rPh>
    <rPh sb="14" eb="16">
      <t>キョウイク</t>
    </rPh>
    <rPh sb="22" eb="24">
      <t>コウセイ</t>
    </rPh>
    <rPh sb="26" eb="28">
      <t>カモク</t>
    </rPh>
    <rPh sb="33" eb="35">
      <t>ジョウホウ</t>
    </rPh>
    <rPh sb="35" eb="37">
      <t>ショリ</t>
    </rPh>
    <rPh sb="41" eb="43">
      <t>タンイ</t>
    </rPh>
    <rPh sb="45" eb="47">
      <t>シュトク</t>
    </rPh>
    <phoneticPr fontId="1"/>
  </si>
  <si>
    <t>毎年度、教務委員会にて卒業する学生に対して本学の教育等の満足度調査と進路・就職状況等を、教育企画・評価室にて卒業後３年目・１０年目の卒業生に対して本学の教育等の満足度調査と社会での活躍状況等の調査を行っており、本教育プログラムの成果を把握する体制を構築している。また、現時点では本教育プログラムの修了生は排出されていないが、今後、卒業生の就職先に対して修了生の評価に係るアンケート調査を実施することを検討している。</t>
    <rPh sb="0" eb="3">
      <t>マイネンド</t>
    </rPh>
    <rPh sb="4" eb="6">
      <t>キョウム</t>
    </rPh>
    <rPh sb="6" eb="9">
      <t>イインカイ</t>
    </rPh>
    <rPh sb="11" eb="13">
      <t>ソツギョウ</t>
    </rPh>
    <rPh sb="15" eb="17">
      <t>ガクセイ</t>
    </rPh>
    <rPh sb="18" eb="19">
      <t>タイ</t>
    </rPh>
    <rPh sb="21" eb="23">
      <t>ホンガク</t>
    </rPh>
    <rPh sb="24" eb="26">
      <t>キョウイク</t>
    </rPh>
    <rPh sb="26" eb="27">
      <t>トウ</t>
    </rPh>
    <rPh sb="28" eb="31">
      <t>マンゾクド</t>
    </rPh>
    <rPh sb="31" eb="33">
      <t>チョウサ</t>
    </rPh>
    <rPh sb="34" eb="36">
      <t>シンロ</t>
    </rPh>
    <rPh sb="37" eb="39">
      <t>シュウショク</t>
    </rPh>
    <rPh sb="39" eb="41">
      <t>ジョウキョウ</t>
    </rPh>
    <rPh sb="41" eb="42">
      <t>トウ</t>
    </rPh>
    <rPh sb="44" eb="46">
      <t>キョウイク</t>
    </rPh>
    <rPh sb="46" eb="48">
      <t>キカク</t>
    </rPh>
    <rPh sb="49" eb="51">
      <t>ヒョウカ</t>
    </rPh>
    <rPh sb="51" eb="52">
      <t>シツ</t>
    </rPh>
    <rPh sb="54" eb="56">
      <t>ソツギョウ</t>
    </rPh>
    <rPh sb="56" eb="57">
      <t>ゴ</t>
    </rPh>
    <rPh sb="58" eb="59">
      <t>ネン</t>
    </rPh>
    <rPh sb="59" eb="60">
      <t>メ</t>
    </rPh>
    <rPh sb="63" eb="65">
      <t>ネンメ</t>
    </rPh>
    <rPh sb="66" eb="69">
      <t>ソツギョウセイ</t>
    </rPh>
    <rPh sb="70" eb="71">
      <t>タイ</t>
    </rPh>
    <rPh sb="86" eb="88">
      <t>シャカイ</t>
    </rPh>
    <rPh sb="90" eb="92">
      <t>カツヤク</t>
    </rPh>
    <rPh sb="92" eb="94">
      <t>ジョウキョウ</t>
    </rPh>
    <rPh sb="94" eb="95">
      <t>トウ</t>
    </rPh>
    <rPh sb="96" eb="98">
      <t>チョウサ</t>
    </rPh>
    <rPh sb="99" eb="100">
      <t>オコナ</t>
    </rPh>
    <rPh sb="105" eb="106">
      <t>ホン</t>
    </rPh>
    <rPh sb="106" eb="108">
      <t>キョウイク</t>
    </rPh>
    <rPh sb="114" eb="116">
      <t>セイカ</t>
    </rPh>
    <rPh sb="117" eb="119">
      <t>ハアク</t>
    </rPh>
    <rPh sb="121" eb="123">
      <t>タイセイ</t>
    </rPh>
    <rPh sb="124" eb="126">
      <t>コウチク</t>
    </rPh>
    <rPh sb="134" eb="137">
      <t>ゲンジテン</t>
    </rPh>
    <rPh sb="139" eb="140">
      <t>ホン</t>
    </rPh>
    <rPh sb="140" eb="142">
      <t>キョウイク</t>
    </rPh>
    <rPh sb="173" eb="174">
      <t>タイ</t>
    </rPh>
    <rPh sb="176" eb="179">
      <t>シュウリョウセイ</t>
    </rPh>
    <rPh sb="180" eb="182">
      <t>ヒョウカ</t>
    </rPh>
    <rPh sb="183" eb="184">
      <t>カカ</t>
    </rPh>
    <rPh sb="190" eb="192">
      <t>チョウサ</t>
    </rPh>
    <rPh sb="193" eb="195">
      <t>ジッシ</t>
    </rPh>
    <rPh sb="200" eb="202">
      <t>ケントウ</t>
    </rPh>
    <phoneticPr fontId="1"/>
  </si>
  <si>
    <t>本学学生が、数理・データサイエンス・AIに関するリテラシーを修得し、データを利活用できるようになり、社会の課題の発見や解決する力を育成することを目的に、全学的な数理・データサイエンス・AI教育プログラムを実施する。本教育プログラムの実施にあたっては、理事・副学長（教育担当）の下、全学的な組織である教育企画・評価室にて企画・運用を行い、教務委員会にて学修成果等を元に自己点検・評価を行う体制を敷いている。</t>
    <rPh sb="0" eb="2">
      <t>ホンガク</t>
    </rPh>
    <rPh sb="2" eb="4">
      <t>ガクセイ</t>
    </rPh>
    <rPh sb="21" eb="22">
      <t>カン</t>
    </rPh>
    <rPh sb="30" eb="32">
      <t>シュウトク</t>
    </rPh>
    <rPh sb="38" eb="41">
      <t>リカツヨウ</t>
    </rPh>
    <rPh sb="50" eb="52">
      <t>シャカイ</t>
    </rPh>
    <rPh sb="53" eb="55">
      <t>カダイ</t>
    </rPh>
    <rPh sb="56" eb="58">
      <t>ハッケン</t>
    </rPh>
    <rPh sb="59" eb="61">
      <t>カイケツ</t>
    </rPh>
    <rPh sb="63" eb="64">
      <t>チカラ</t>
    </rPh>
    <rPh sb="65" eb="67">
      <t>イクセイ</t>
    </rPh>
    <rPh sb="72" eb="74">
      <t>モクテキ</t>
    </rPh>
    <rPh sb="76" eb="79">
      <t>ゼンガクテキ</t>
    </rPh>
    <rPh sb="80" eb="82">
      <t>スウリ</t>
    </rPh>
    <rPh sb="94" eb="96">
      <t>キョウイク</t>
    </rPh>
    <rPh sb="102" eb="104">
      <t>ジッシ</t>
    </rPh>
    <rPh sb="107" eb="108">
      <t>ホン</t>
    </rPh>
    <rPh sb="108" eb="110">
      <t>キョウイク</t>
    </rPh>
    <rPh sb="116" eb="118">
      <t>ジッシ</t>
    </rPh>
    <rPh sb="125" eb="127">
      <t>リジ</t>
    </rPh>
    <rPh sb="128" eb="131">
      <t>フクガクチョウ</t>
    </rPh>
    <rPh sb="132" eb="134">
      <t>キョウイク</t>
    </rPh>
    <rPh sb="134" eb="136">
      <t>タントウ</t>
    </rPh>
    <rPh sb="138" eb="139">
      <t>モト</t>
    </rPh>
    <rPh sb="140" eb="143">
      <t>ゼンガクテキ</t>
    </rPh>
    <rPh sb="144" eb="146">
      <t>ソシキ</t>
    </rPh>
    <rPh sb="159" eb="161">
      <t>キカク</t>
    </rPh>
    <rPh sb="162" eb="164">
      <t>ウンヨウ</t>
    </rPh>
    <rPh sb="165" eb="166">
      <t>オコナ</t>
    </rPh>
    <rPh sb="168" eb="170">
      <t>キョウム</t>
    </rPh>
    <rPh sb="170" eb="173">
      <t>イインカイ</t>
    </rPh>
    <rPh sb="175" eb="177">
      <t>ガクシュウ</t>
    </rPh>
    <rPh sb="177" eb="179">
      <t>セイカ</t>
    </rPh>
    <rPh sb="179" eb="180">
      <t>トウ</t>
    </rPh>
    <rPh sb="181" eb="182">
      <t>モト</t>
    </rPh>
    <rPh sb="183" eb="185">
      <t>ジコ</t>
    </rPh>
    <rPh sb="185" eb="187">
      <t>テンケン</t>
    </rPh>
    <rPh sb="188" eb="190">
      <t>ヒョウカ</t>
    </rPh>
    <rPh sb="191" eb="192">
      <t>オコナ</t>
    </rPh>
    <rPh sb="193" eb="195">
      <t>タイセイ</t>
    </rPh>
    <rPh sb="196" eb="197">
      <t>シ</t>
    </rPh>
    <phoneticPr fontId="1"/>
  </si>
  <si>
    <t>本教育プログラムに開設する授業科目は、ハイフレックス授業にて開講しており、学生が履修しやすい受講関係を構築している。
また、本教育プログラムの配置科目には、多様な学生が学修目標を達成できるように、ティーチング・アシスタントを配置し、授業内での学生からの質問への対応や授業の進行に遅れた学生への指導ができるように、学修支援体制を構築している。
さらに、本教育プログラムの配置科目は、LMSに全授業回の授業資料や授業の録画映像等をアーカイブとして蓄積し、履修学生がいつでも授業の振り返りと自主学習を行うことが可能な環境を構築することで、学修効果を向上する取り組みを行っている。</t>
    <rPh sb="0" eb="3">
      <t>ホンキョウイク</t>
    </rPh>
    <rPh sb="9" eb="11">
      <t>カイセツ</t>
    </rPh>
    <rPh sb="13" eb="15">
      <t>ジュギョウ</t>
    </rPh>
    <rPh sb="15" eb="17">
      <t>カモク</t>
    </rPh>
    <rPh sb="26" eb="28">
      <t>ジュギョウ</t>
    </rPh>
    <rPh sb="30" eb="32">
      <t>カイコウ</t>
    </rPh>
    <rPh sb="37" eb="39">
      <t>ガクセイ</t>
    </rPh>
    <rPh sb="40" eb="42">
      <t>リシュウ</t>
    </rPh>
    <rPh sb="46" eb="48">
      <t>ジュコウ</t>
    </rPh>
    <rPh sb="48" eb="50">
      <t>カンケイ</t>
    </rPh>
    <rPh sb="51" eb="53">
      <t>コウチク</t>
    </rPh>
    <rPh sb="62" eb="63">
      <t>ホン</t>
    </rPh>
    <rPh sb="63" eb="65">
      <t>キョウイク</t>
    </rPh>
    <rPh sb="71" eb="73">
      <t>ハイチ</t>
    </rPh>
    <rPh sb="73" eb="75">
      <t>カモク</t>
    </rPh>
    <rPh sb="121" eb="122">
      <t>ガク</t>
    </rPh>
    <rPh sb="133" eb="135">
      <t>ジュギョウ</t>
    </rPh>
    <rPh sb="136" eb="138">
      <t>シンコウ</t>
    </rPh>
    <rPh sb="139" eb="140">
      <t>オク</t>
    </rPh>
    <rPh sb="142" eb="144">
      <t>ガクセイ</t>
    </rPh>
    <rPh sb="146" eb="148">
      <t>シドウ</t>
    </rPh>
    <rPh sb="156" eb="158">
      <t>ガクシュウ</t>
    </rPh>
    <rPh sb="158" eb="160">
      <t>シエン</t>
    </rPh>
    <rPh sb="160" eb="162">
      <t>タイセイ</t>
    </rPh>
    <rPh sb="163" eb="165">
      <t>コウチク</t>
    </rPh>
    <rPh sb="184" eb="186">
      <t>ハイチ</t>
    </rPh>
    <rPh sb="186" eb="188">
      <t>カモク</t>
    </rPh>
    <rPh sb="194" eb="195">
      <t>ゼン</t>
    </rPh>
    <rPh sb="195" eb="197">
      <t>ジュギョウ</t>
    </rPh>
    <rPh sb="197" eb="198">
      <t>カイ</t>
    </rPh>
    <rPh sb="199" eb="201">
      <t>ジュギョウ</t>
    </rPh>
    <rPh sb="201" eb="203">
      <t>シリョウ</t>
    </rPh>
    <rPh sb="204" eb="206">
      <t>ジュギョウ</t>
    </rPh>
    <rPh sb="207" eb="209">
      <t>ロクガ</t>
    </rPh>
    <rPh sb="209" eb="211">
      <t>エイゾウ</t>
    </rPh>
    <rPh sb="211" eb="212">
      <t>トウ</t>
    </rPh>
    <rPh sb="225" eb="227">
      <t>リシュウ</t>
    </rPh>
    <rPh sb="234" eb="236">
      <t>ジュギョウ</t>
    </rPh>
    <rPh sb="237" eb="238">
      <t>フ</t>
    </rPh>
    <rPh sb="239" eb="240">
      <t>カエ</t>
    </rPh>
    <rPh sb="242" eb="244">
      <t>ジシュ</t>
    </rPh>
    <rPh sb="244" eb="246">
      <t>ガクシュウ</t>
    </rPh>
    <rPh sb="247" eb="248">
      <t>オコナ</t>
    </rPh>
    <rPh sb="266" eb="268">
      <t>ガクシュウ</t>
    </rPh>
    <rPh sb="268" eb="270">
      <t>コウカ</t>
    </rPh>
    <rPh sb="271" eb="273">
      <t>コウジョウ</t>
    </rPh>
    <rPh sb="275" eb="276">
      <t>ト</t>
    </rPh>
    <rPh sb="277" eb="278">
      <t>ク</t>
    </rPh>
    <rPh sb="280" eb="281">
      <t>オコナ</t>
    </rPh>
    <phoneticPr fontId="1"/>
  </si>
  <si>
    <t>本学は本教育プログラムの配置科目を含む全開講科目を対象に、受講者全員に対して授業振り返りアンケートを実施し、科目ごとに理解度や授業の到達目標の達成度を把握・分析している。また、各科目の成績評価結果の分布を集計しており、これらのデータを基に教育企画・評価室にて検証を行い、理解度の向上を含めた本教育プログラムの改善に活かしている。</t>
    <rPh sb="1" eb="2">
      <t>ガク</t>
    </rPh>
    <rPh sb="3" eb="6">
      <t>ホンキョウイク</t>
    </rPh>
    <rPh sb="12" eb="14">
      <t>ハイチ</t>
    </rPh>
    <rPh sb="14" eb="16">
      <t>カモク</t>
    </rPh>
    <rPh sb="17" eb="18">
      <t>フク</t>
    </rPh>
    <rPh sb="19" eb="20">
      <t>ゼン</t>
    </rPh>
    <rPh sb="20" eb="22">
      <t>カイコウ</t>
    </rPh>
    <rPh sb="22" eb="24">
      <t>カモク</t>
    </rPh>
    <rPh sb="25" eb="27">
      <t>タイショウ</t>
    </rPh>
    <rPh sb="40" eb="41">
      <t>フ</t>
    </rPh>
    <rPh sb="42" eb="43">
      <t>カエ</t>
    </rPh>
    <rPh sb="54" eb="56">
      <t>カモク</t>
    </rPh>
    <rPh sb="59" eb="62">
      <t>リカイド</t>
    </rPh>
    <rPh sb="63" eb="65">
      <t>ジュギョウ</t>
    </rPh>
    <rPh sb="66" eb="68">
      <t>トウタツ</t>
    </rPh>
    <rPh sb="68" eb="70">
      <t>モクヒョウ</t>
    </rPh>
    <rPh sb="71" eb="73">
      <t>タッセイ</t>
    </rPh>
    <rPh sb="73" eb="74">
      <t>ド</t>
    </rPh>
    <rPh sb="75" eb="77">
      <t>ハアク</t>
    </rPh>
    <rPh sb="78" eb="80">
      <t>ブンセキ</t>
    </rPh>
    <rPh sb="88" eb="91">
      <t>カクカモク</t>
    </rPh>
    <rPh sb="92" eb="98">
      <t>セイセキヒョウカケッカ</t>
    </rPh>
    <rPh sb="99" eb="101">
      <t>ブンプ</t>
    </rPh>
    <rPh sb="102" eb="104">
      <t>シュウケイ</t>
    </rPh>
    <rPh sb="117" eb="118">
      <t>モト</t>
    </rPh>
    <rPh sb="119" eb="123">
      <t>キョウイクキカク</t>
    </rPh>
    <rPh sb="124" eb="127">
      <t>ヒョウカシツ</t>
    </rPh>
    <rPh sb="129" eb="131">
      <t>ケンショウ</t>
    </rPh>
    <rPh sb="132" eb="133">
      <t>オコナ</t>
    </rPh>
    <rPh sb="135" eb="138">
      <t>リカイド</t>
    </rPh>
    <rPh sb="139" eb="141">
      <t>コウジョウ</t>
    </rPh>
    <rPh sb="142" eb="143">
      <t>フク</t>
    </rPh>
    <rPh sb="145" eb="146">
      <t>ホン</t>
    </rPh>
    <rPh sb="146" eb="148">
      <t>キョウイク</t>
    </rPh>
    <rPh sb="154" eb="156">
      <t>カイゼン</t>
    </rPh>
    <rPh sb="157" eb="158">
      <t>イ</t>
    </rPh>
    <phoneticPr fontId="1"/>
  </si>
  <si>
    <t>本教育プログラムの配置科目について、前年度の授業振り返りアンケートの結果を、各科目のLMS上のコースに掲載し、学生が閲覧できるようにして講義受講の推奨に活用している。なお、本教育プログラムは令和３年度同調査において、学生からの高い満足度を得ていることを確認している。また、令和４年度から受講生に対する授業振り返りアンケートにおいて、後輩学生や他の学生への推奨に係る設問を設定し、周知を行う予定である。</t>
    <rPh sb="0" eb="1">
      <t>ホン</t>
    </rPh>
    <rPh sb="1" eb="3">
      <t>キョウイク</t>
    </rPh>
    <rPh sb="9" eb="11">
      <t>ハイチ</t>
    </rPh>
    <rPh sb="11" eb="13">
      <t>カモク</t>
    </rPh>
    <rPh sb="18" eb="21">
      <t>ゼンネンド</t>
    </rPh>
    <rPh sb="22" eb="24">
      <t>ジュギョウ</t>
    </rPh>
    <rPh sb="24" eb="25">
      <t>フ</t>
    </rPh>
    <rPh sb="26" eb="27">
      <t>カエ</t>
    </rPh>
    <rPh sb="34" eb="36">
      <t>ケッカ</t>
    </rPh>
    <rPh sb="38" eb="41">
      <t>カクカモク</t>
    </rPh>
    <rPh sb="45" eb="46">
      <t>ジョウ</t>
    </rPh>
    <rPh sb="51" eb="53">
      <t>ケイサイ</t>
    </rPh>
    <rPh sb="55" eb="57">
      <t>ガクセイ</t>
    </rPh>
    <rPh sb="58" eb="60">
      <t>エツラン</t>
    </rPh>
    <rPh sb="86" eb="89">
      <t>ホンキョウイク</t>
    </rPh>
    <rPh sb="95" eb="97">
      <t>レイワ</t>
    </rPh>
    <rPh sb="98" eb="100">
      <t>ネンド</t>
    </rPh>
    <rPh sb="100" eb="101">
      <t>ドウ</t>
    </rPh>
    <rPh sb="101" eb="103">
      <t>チョウサ</t>
    </rPh>
    <rPh sb="108" eb="110">
      <t>ガクセイ</t>
    </rPh>
    <rPh sb="113" eb="114">
      <t>タカ</t>
    </rPh>
    <rPh sb="115" eb="118">
      <t>マンゾクド</t>
    </rPh>
    <rPh sb="119" eb="120">
      <t>エ</t>
    </rPh>
    <rPh sb="126" eb="128">
      <t>カクニン</t>
    </rPh>
    <rPh sb="136" eb="138">
      <t>レイワ</t>
    </rPh>
    <rPh sb="139" eb="141">
      <t>ネンド</t>
    </rPh>
    <rPh sb="152" eb="153">
      <t>フ</t>
    </rPh>
    <rPh sb="154" eb="155">
      <t>カエ</t>
    </rPh>
    <rPh sb="180" eb="181">
      <t>カカ</t>
    </rPh>
    <rPh sb="182" eb="184">
      <t>セツモン</t>
    </rPh>
    <rPh sb="194" eb="196">
      <t>ヨテイ</t>
    </rPh>
    <phoneticPr fontId="1"/>
  </si>
  <si>
    <t>教務委員会にて授業振り返りアンケート等の学生の意見を参考に、学生の「分かりやすさ」の観点から講義の内容・実施方法の見直しを検討している。
また、ファカルティ・ディベロップメント事業として、授業振り返りアンケートの結果を授業担当教員にフィードバックし、振り返りの内容を提出させることで、授業担当教員の授業改善を促進する取り組みを行っている。
加えて、本教育プログラムの全配置科目は、LMS上にて課題の提示や授業資料・授業映像等の公開を行っているが、受講者ごとの課題への回答状況や演習の進捗状況、各コンテンツへのアクセス状況等による学生の学修状況の分析を、スポーツ情報センターにて行い、授業改善に活かしている。</t>
    <rPh sb="0" eb="2">
      <t>キョウム</t>
    </rPh>
    <rPh sb="2" eb="5">
      <t>イインカイ</t>
    </rPh>
    <rPh sb="7" eb="9">
      <t>ジュギョウ</t>
    </rPh>
    <rPh sb="9" eb="10">
      <t>フ</t>
    </rPh>
    <rPh sb="11" eb="12">
      <t>カエ</t>
    </rPh>
    <rPh sb="18" eb="19">
      <t>トウ</t>
    </rPh>
    <rPh sb="20" eb="22">
      <t>ガクセイ</t>
    </rPh>
    <rPh sb="88" eb="90">
      <t>ジギョウ</t>
    </rPh>
    <rPh sb="94" eb="96">
      <t>ジュギョウ</t>
    </rPh>
    <rPh sb="96" eb="97">
      <t>フ</t>
    </rPh>
    <rPh sb="98" eb="99">
      <t>カエ</t>
    </rPh>
    <rPh sb="106" eb="108">
      <t>ケッカ</t>
    </rPh>
    <rPh sb="109" eb="111">
      <t>ジュギョウ</t>
    </rPh>
    <rPh sb="111" eb="113">
      <t>タントウ</t>
    </rPh>
    <rPh sb="113" eb="115">
      <t>キョウイン</t>
    </rPh>
    <rPh sb="125" eb="126">
      <t>フ</t>
    </rPh>
    <rPh sb="127" eb="128">
      <t>カエ</t>
    </rPh>
    <rPh sb="130" eb="132">
      <t>ナイヨウ</t>
    </rPh>
    <rPh sb="133" eb="135">
      <t>テイシュツ</t>
    </rPh>
    <rPh sb="142" eb="144">
      <t>ジュギョウ</t>
    </rPh>
    <rPh sb="144" eb="146">
      <t>タントウ</t>
    </rPh>
    <rPh sb="146" eb="148">
      <t>キョウイン</t>
    </rPh>
    <rPh sb="149" eb="151">
      <t>ジュギョウ</t>
    </rPh>
    <rPh sb="151" eb="153">
      <t>カイゼン</t>
    </rPh>
    <rPh sb="154" eb="156">
      <t>ソクシン</t>
    </rPh>
    <rPh sb="158" eb="159">
      <t>ト</t>
    </rPh>
    <rPh sb="160" eb="161">
      <t>ク</t>
    </rPh>
    <rPh sb="163" eb="164">
      <t>オコナ</t>
    </rPh>
    <rPh sb="170" eb="171">
      <t>クワ</t>
    </rPh>
    <rPh sb="291" eb="293">
      <t>ジュギョウ</t>
    </rPh>
    <rPh sb="293" eb="295">
      <t>カイゼン</t>
    </rPh>
    <rPh sb="296" eb="297">
      <t>イ</t>
    </rPh>
    <phoneticPr fontId="1"/>
  </si>
  <si>
    <t>履修率に係る目標を達成するために、新入生オリエンテーションにおける本教育プログラムの学生への周知、学生が事前に詳細な学習内容を知る機会の提供、学生が受講しやすい授業環境の整備、LMSを利用した学生の自主学習環境の整備、授業時間内外における学生指導・質問への対応体制の整備等に取り組んでいる。その結果、令和３年度の１年生の本教育プログラム必修科目の履修率は１００％であった。
引き続き履修者数・履修率の維持に向けて取り組みを推進する。また、教育企画・評価室にて教育の内容及び教育効果について、各専門分野からの観点も取り入れて見直しを行い、教育プログラムを改善することで、学生の履修を促すことを検討している。</t>
    <phoneticPr fontId="1"/>
  </si>
  <si>
    <t>全学開講</t>
  </si>
  <si>
    <t>kyoumu-ap@nifs-k.ac.jp</t>
    <phoneticPr fontId="1"/>
  </si>
  <si>
    <t>教務課において実施している授業振り返りアンケートにより、学生の本教育プログラムの理解度・修得度を把握し、分析を行っている。また、本教育プログラムの配置科目の成績評価結果の分布を教育企画・評価室にて分析している。これらの分析結果を教育企画・評価室にて検証し、本教育プログラムの評価・改善に活用している。
また、本教育プログラム配置科目のLMS上の各種教育コンテンツに対する受講生ごとの回答内容・状況や演習の実施状況は、本教育プログラムの担当教員が共有できる体制を整備し、授業改善に活かしている。</t>
    <rPh sb="0" eb="3">
      <t>キョウムカ</t>
    </rPh>
    <rPh sb="13" eb="15">
      <t>ジュギョウ</t>
    </rPh>
    <rPh sb="15" eb="16">
      <t>フ</t>
    </rPh>
    <rPh sb="17" eb="18">
      <t>カエ</t>
    </rPh>
    <rPh sb="28" eb="30">
      <t>ガクセイ</t>
    </rPh>
    <rPh sb="31" eb="32">
      <t>ホン</t>
    </rPh>
    <rPh sb="32" eb="34">
      <t>キョウイク</t>
    </rPh>
    <rPh sb="40" eb="43">
      <t>リカイド</t>
    </rPh>
    <rPh sb="44" eb="46">
      <t>シュウトク</t>
    </rPh>
    <rPh sb="46" eb="47">
      <t>ド</t>
    </rPh>
    <rPh sb="48" eb="50">
      <t>ハアク</t>
    </rPh>
    <rPh sb="55" eb="56">
      <t>オコナ</t>
    </rPh>
    <rPh sb="64" eb="67">
      <t>ホンキョウイク</t>
    </rPh>
    <rPh sb="73" eb="75">
      <t>ハイチ</t>
    </rPh>
    <rPh sb="75" eb="77">
      <t>カモク</t>
    </rPh>
    <rPh sb="78" eb="80">
      <t>セイセキ</t>
    </rPh>
    <rPh sb="80" eb="82">
      <t>ヒョウカ</t>
    </rPh>
    <rPh sb="82" eb="84">
      <t>ケッカ</t>
    </rPh>
    <rPh sb="85" eb="87">
      <t>ブンプ</t>
    </rPh>
    <rPh sb="88" eb="92">
      <t>キョウイクキカク</t>
    </rPh>
    <rPh sb="93" eb="96">
      <t>ヒョウカシツ</t>
    </rPh>
    <rPh sb="98" eb="100">
      <t>ブンセキ</t>
    </rPh>
    <rPh sb="109" eb="111">
      <t>ブンセキ</t>
    </rPh>
    <rPh sb="111" eb="113">
      <t>ケッカ</t>
    </rPh>
    <rPh sb="172" eb="174">
      <t>カクシュ</t>
    </rPh>
    <rPh sb="174" eb="176">
      <t>キョウイク</t>
    </rPh>
    <rPh sb="182" eb="183">
      <t>タイ</t>
    </rPh>
    <rPh sb="185" eb="188">
      <t>ジュコウセイ</t>
    </rPh>
    <rPh sb="191" eb="193">
      <t>カイトウ</t>
    </rPh>
    <rPh sb="193" eb="195">
      <t>ナイヨウ</t>
    </rPh>
    <rPh sb="196" eb="198">
      <t>ジョウキョウ</t>
    </rPh>
    <rPh sb="199" eb="201">
      <t>エンシュウ</t>
    </rPh>
    <rPh sb="202" eb="204">
      <t>ジッシ</t>
    </rPh>
    <rPh sb="204" eb="206">
      <t>ジョウキョウ</t>
    </rPh>
    <rPh sb="208" eb="211">
      <t>ホンキョウイク</t>
    </rPh>
    <rPh sb="217" eb="219">
      <t>タントウ</t>
    </rPh>
    <rPh sb="219" eb="221">
      <t>キョウイン</t>
    </rPh>
    <rPh sb="222" eb="224">
      <t>キョウユウ</t>
    </rPh>
    <rPh sb="227" eb="229">
      <t>タイセイ</t>
    </rPh>
    <rPh sb="230" eb="232">
      <t>セイビ</t>
    </rPh>
    <rPh sb="234" eb="236">
      <t>ジュギョウ</t>
    </rPh>
    <rPh sb="236" eb="238">
      <t>カイゼン</t>
    </rPh>
    <rPh sb="239" eb="240">
      <t>イ</t>
    </rPh>
    <phoneticPr fontId="1"/>
  </si>
  <si>
    <r>
      <t>本学教育へ反映させることを狙いとして、卒業生の就職先へのヒアリングにより、本学の教育に期待することや産業界で求められている資質・能力、本学卒業生に対する満足度等の情報収集を行っている。</t>
    </r>
    <r>
      <rPr>
        <sz val="12"/>
        <rFont val="ＭＳ Ｐゴシック"/>
        <family val="3"/>
        <charset val="128"/>
        <scheme val="minor"/>
      </rPr>
      <t>また、企業との教育コンテンツの共同開発等を通じて、産業界からのニーズの把握に取り組んでいる。今後は、卒業生の就職先に対するアンケート調査を実施することも検討しており、これらの取り組みにより本教育プログラムの評価・改善サイクルを構築していく。</t>
    </r>
    <rPh sb="0" eb="2">
      <t>ホンガク</t>
    </rPh>
    <rPh sb="2" eb="4">
      <t>キョウイク</t>
    </rPh>
    <rPh sb="5" eb="7">
      <t>ハンエイ</t>
    </rPh>
    <rPh sb="13" eb="14">
      <t>ネラ</t>
    </rPh>
    <rPh sb="19" eb="21">
      <t>ソツギョウ</t>
    </rPh>
    <rPh sb="21" eb="22">
      <t>セイ</t>
    </rPh>
    <rPh sb="23" eb="25">
      <t>シュウショク</t>
    </rPh>
    <rPh sb="25" eb="26">
      <t>サキ</t>
    </rPh>
    <rPh sb="37" eb="39">
      <t>ホンガク</t>
    </rPh>
    <rPh sb="40" eb="42">
      <t>キョウイク</t>
    </rPh>
    <rPh sb="43" eb="45">
      <t>キタイ</t>
    </rPh>
    <rPh sb="50" eb="53">
      <t>サンギョウカイ</t>
    </rPh>
    <rPh sb="54" eb="55">
      <t>モト</t>
    </rPh>
    <rPh sb="61" eb="63">
      <t>シシツ</t>
    </rPh>
    <rPh sb="64" eb="66">
      <t>ノウリョク</t>
    </rPh>
    <rPh sb="67" eb="69">
      <t>ホンガク</t>
    </rPh>
    <rPh sb="69" eb="72">
      <t>ソツギョウセイ</t>
    </rPh>
    <rPh sb="73" eb="74">
      <t>タイ</t>
    </rPh>
    <rPh sb="76" eb="79">
      <t>マンゾクド</t>
    </rPh>
    <rPh sb="79" eb="80">
      <t>トウ</t>
    </rPh>
    <rPh sb="95" eb="97">
      <t>キギョウ</t>
    </rPh>
    <rPh sb="99" eb="101">
      <t>キョウイク</t>
    </rPh>
    <rPh sb="107" eb="109">
      <t>キョウドウ</t>
    </rPh>
    <rPh sb="109" eb="111">
      <t>カイハツ</t>
    </rPh>
    <rPh sb="111" eb="112">
      <t>トウ</t>
    </rPh>
    <rPh sb="113" eb="114">
      <t>ツウ</t>
    </rPh>
    <rPh sb="117" eb="120">
      <t>サンギョウカイ</t>
    </rPh>
    <rPh sb="127" eb="129">
      <t>ハアク</t>
    </rPh>
    <rPh sb="130" eb="131">
      <t>ト</t>
    </rPh>
    <rPh sb="132" eb="133">
      <t>ク</t>
    </rPh>
    <rPh sb="138" eb="140">
      <t>コンゴ</t>
    </rPh>
    <rPh sb="142" eb="145">
      <t>ソツギョウセイ</t>
    </rPh>
    <rPh sb="146" eb="148">
      <t>シュウショク</t>
    </rPh>
    <rPh sb="148" eb="149">
      <t>サキ</t>
    </rPh>
    <rPh sb="150" eb="151">
      <t>タイ</t>
    </rPh>
    <rPh sb="158" eb="160">
      <t>チョウサ</t>
    </rPh>
    <rPh sb="161" eb="163">
      <t>ジッシ</t>
    </rPh>
    <rPh sb="168" eb="170">
      <t>ケントウ</t>
    </rPh>
    <rPh sb="179" eb="180">
      <t>ト</t>
    </rPh>
    <rPh sb="181" eb="182">
      <t>ク</t>
    </rPh>
    <rPh sb="186" eb="187">
      <t>ホン</t>
    </rPh>
    <rPh sb="187" eb="189">
      <t>キョウイク</t>
    </rPh>
    <rPh sb="195" eb="197">
      <t>ヒョウカ</t>
    </rPh>
    <rPh sb="198" eb="200">
      <t>カイゼン</t>
    </rPh>
    <rPh sb="205" eb="207">
      <t>コウチク</t>
    </rPh>
    <phoneticPr fontId="1"/>
  </si>
  <si>
    <t>教務課において、全学的に運用されている修学支援システムのデータをもとに、本教育プログラムの履修・取得状況を把握している。特に各配置科目の履修者数については、自己点検・評価を担当する教務委員会に報告している。なお、本教育プログラムにおける必修科目の令和３年度１年生の履修率は１００％であった。
また、本教育プログラムの全配置科目は、LMSや動画配信システムにて課題の提示や授業資料・授業映像等の公開を行っているが、受講者ごとの課題への回答状況や演習の進捗状況、各コンテンツへのアクセス状況等による学生の学修状況の把握を、スポーツ情報センターにて行っている。</t>
    <rPh sb="0" eb="3">
      <t>キョウムカ</t>
    </rPh>
    <rPh sb="8" eb="10">
      <t>ゼンガク</t>
    </rPh>
    <rPh sb="10" eb="11">
      <t>テキ</t>
    </rPh>
    <rPh sb="12" eb="14">
      <t>ウンヨウ</t>
    </rPh>
    <rPh sb="19" eb="21">
      <t>シュウガク</t>
    </rPh>
    <rPh sb="21" eb="23">
      <t>シエン</t>
    </rPh>
    <rPh sb="36" eb="37">
      <t>ホン</t>
    </rPh>
    <rPh sb="37" eb="39">
      <t>キョウイク</t>
    </rPh>
    <rPh sb="53" eb="55">
      <t>ハアク</t>
    </rPh>
    <rPh sb="60" eb="61">
      <t>トク</t>
    </rPh>
    <rPh sb="62" eb="65">
      <t>カクハイチ</t>
    </rPh>
    <rPh sb="65" eb="67">
      <t>カモク</t>
    </rPh>
    <rPh sb="68" eb="70">
      <t>リシュウ</t>
    </rPh>
    <rPh sb="70" eb="71">
      <t>シャ</t>
    </rPh>
    <rPh sb="71" eb="72">
      <t>スウ</t>
    </rPh>
    <rPh sb="78" eb="82">
      <t>ジコテンケン</t>
    </rPh>
    <rPh sb="83" eb="85">
      <t>ヒョウカ</t>
    </rPh>
    <rPh sb="86" eb="88">
      <t>タントウ</t>
    </rPh>
    <rPh sb="90" eb="92">
      <t>キョウム</t>
    </rPh>
    <rPh sb="92" eb="95">
      <t>イインカイ</t>
    </rPh>
    <rPh sb="96" eb="98">
      <t>ホウコク</t>
    </rPh>
    <rPh sb="106" eb="109">
      <t>ホンキョウイク</t>
    </rPh>
    <rPh sb="118" eb="120">
      <t>ヒッシュウ</t>
    </rPh>
    <rPh sb="120" eb="122">
      <t>カモク</t>
    </rPh>
    <rPh sb="123" eb="125">
      <t>レイワ</t>
    </rPh>
    <rPh sb="126" eb="128">
      <t>ネンド</t>
    </rPh>
    <rPh sb="129" eb="131">
      <t>ネンセイ</t>
    </rPh>
    <rPh sb="132" eb="134">
      <t>リシュウ</t>
    </rPh>
    <rPh sb="134" eb="135">
      <t>リツ</t>
    </rPh>
    <rPh sb="169" eb="173">
      <t>ドウガハイシン</t>
    </rPh>
    <rPh sb="255" eb="257">
      <t>ハアク</t>
    </rPh>
    <phoneticPr fontId="1"/>
  </si>
  <si>
    <r>
      <t>４月当初の新入生オリエンテーションにおいて、全新入生に対し、本教育プログラムの周知と履修の推奨を行っている。
また、本教育プログラムに開設する授業科目は、ハイフレックス授業にて開講しており、学生が履修しやすい受講</t>
    </r>
    <r>
      <rPr>
        <sz val="12"/>
        <rFont val="ＭＳ Ｐゴシック"/>
        <family val="3"/>
        <charset val="128"/>
        <scheme val="minor"/>
      </rPr>
      <t>環境を構築している。
さらに、本教育プログラムの配置科目は、前年度の授業の録画映像や授業資料等をオンデマンド教材としてLMSにて学生が閲覧できるようにしており、学生が事前に本教育プログラムの内容や学ぶ意義を理解するための情報を得やすい環境を整備している。
これらの取り組みにより、令和３年度においては１年生全員が、本教育プログラムの修了要件における必修科目を履修している。</t>
    </r>
    <rPh sb="39" eb="41">
      <t>シュウチ</t>
    </rPh>
    <rPh sb="106" eb="108">
      <t>カンキョウ</t>
    </rPh>
    <rPh sb="121" eb="122">
      <t>ホン</t>
    </rPh>
    <rPh sb="122" eb="124">
      <t>キョウイク</t>
    </rPh>
    <rPh sb="130" eb="132">
      <t>ハイチ</t>
    </rPh>
    <rPh sb="132" eb="134">
      <t>カモク</t>
    </rPh>
    <rPh sb="136" eb="139">
      <t>ゼンネンド</t>
    </rPh>
    <rPh sb="140" eb="142">
      <t>ジュギョウ</t>
    </rPh>
    <rPh sb="143" eb="145">
      <t>ロクガ</t>
    </rPh>
    <rPh sb="145" eb="147">
      <t>エイゾウ</t>
    </rPh>
    <rPh sb="148" eb="150">
      <t>ジュギョウ</t>
    </rPh>
    <rPh sb="150" eb="152">
      <t>シリョウ</t>
    </rPh>
    <rPh sb="152" eb="153">
      <t>トウ</t>
    </rPh>
    <rPh sb="160" eb="162">
      <t>キョウザイ</t>
    </rPh>
    <rPh sb="170" eb="172">
      <t>ガクセイ</t>
    </rPh>
    <rPh sb="173" eb="175">
      <t>エツラン</t>
    </rPh>
    <rPh sb="186" eb="188">
      <t>ガクセイ</t>
    </rPh>
    <rPh sb="189" eb="191">
      <t>ジゼン</t>
    </rPh>
    <rPh sb="192" eb="193">
      <t>ホン</t>
    </rPh>
    <rPh sb="193" eb="195">
      <t>キョウイク</t>
    </rPh>
    <rPh sb="201" eb="203">
      <t>ナイヨウ</t>
    </rPh>
    <rPh sb="204" eb="205">
      <t>マナ</t>
    </rPh>
    <rPh sb="206" eb="208">
      <t>イギ</t>
    </rPh>
    <rPh sb="209" eb="211">
      <t>リカイ</t>
    </rPh>
    <rPh sb="216" eb="218">
      <t>ジョウホウ</t>
    </rPh>
    <rPh sb="219" eb="220">
      <t>エ</t>
    </rPh>
    <phoneticPr fontId="1"/>
  </si>
  <si>
    <r>
      <t>本教育プログラムの配置科目は、学生の所属に関係なく、全学生が受講可能な科目として開設している。
特に本教育プログラムにおける必修科目である「情報処理A」は、希望する学生全員が履修できるように、４つのクラスに分けて開講し、学生が履修しやすいように時間割の異なる曜日・時限に配置し、また、配当年次である１年生全員が受講できる</t>
    </r>
    <r>
      <rPr>
        <sz val="12"/>
        <rFont val="ＭＳ Ｐゴシック"/>
        <family val="3"/>
        <charset val="128"/>
        <scheme val="minor"/>
      </rPr>
      <t>より多くの定員を準備している。同科目の令和３年度の１年生の履修率はすでに１００％となっている。
また、本教育プログラムの配置科目は、対面授業とオンライン授業を同時開講するハイフレックス授業にて開講し、また、LMSからいつでもどこからでも授業受講に必要な情報・資料にアクセスできるようにすることで、学生が受講しやすい環境を整備している。また、授業後には録画されたビデオをストリーム配信しており、授業の復習や欠席時の学習などに利用されている。</t>
    </r>
    <rPh sb="0" eb="1">
      <t>ホン</t>
    </rPh>
    <rPh sb="1" eb="3">
      <t>キョウイク</t>
    </rPh>
    <rPh sb="9" eb="11">
      <t>ハイチ</t>
    </rPh>
    <rPh sb="11" eb="13">
      <t>カモク</t>
    </rPh>
    <rPh sb="15" eb="17">
      <t>ガクセイ</t>
    </rPh>
    <rPh sb="18" eb="20">
      <t>ショゾク</t>
    </rPh>
    <rPh sb="21" eb="23">
      <t>カンケイ</t>
    </rPh>
    <rPh sb="26" eb="27">
      <t>ゼン</t>
    </rPh>
    <rPh sb="27" eb="29">
      <t>ガクセイ</t>
    </rPh>
    <rPh sb="30" eb="32">
      <t>ジュコウ</t>
    </rPh>
    <rPh sb="32" eb="34">
      <t>カノウ</t>
    </rPh>
    <rPh sb="35" eb="37">
      <t>カモク</t>
    </rPh>
    <rPh sb="40" eb="42">
      <t>カイセツ</t>
    </rPh>
    <rPh sb="48" eb="49">
      <t>トク</t>
    </rPh>
    <rPh sb="50" eb="51">
      <t>ホン</t>
    </rPh>
    <rPh sb="51" eb="53">
      <t>キョウイク</t>
    </rPh>
    <rPh sb="62" eb="64">
      <t>ヒッシュウ</t>
    </rPh>
    <rPh sb="64" eb="66">
      <t>カモク</t>
    </rPh>
    <rPh sb="70" eb="72">
      <t>ジョウホウ</t>
    </rPh>
    <rPh sb="72" eb="74">
      <t>ショリ</t>
    </rPh>
    <rPh sb="78" eb="80">
      <t>キボウ</t>
    </rPh>
    <rPh sb="82" eb="84">
      <t>ガクセイ</t>
    </rPh>
    <rPh sb="84" eb="86">
      <t>ゼンイン</t>
    </rPh>
    <rPh sb="106" eb="108">
      <t>カイコウ</t>
    </rPh>
    <rPh sb="110" eb="112">
      <t>ガクセイ</t>
    </rPh>
    <rPh sb="113" eb="115">
      <t>リシュウ</t>
    </rPh>
    <rPh sb="122" eb="125">
      <t>ジカンワリ</t>
    </rPh>
    <rPh sb="129" eb="131">
      <t>ヨウビ</t>
    </rPh>
    <rPh sb="132" eb="134">
      <t>ジゲン</t>
    </rPh>
    <rPh sb="135" eb="137">
      <t>ハイチ</t>
    </rPh>
    <rPh sb="142" eb="144">
      <t>ハイトウ</t>
    </rPh>
    <rPh sb="144" eb="146">
      <t>ネンジ</t>
    </rPh>
    <rPh sb="150" eb="152">
      <t>ネンセイ</t>
    </rPh>
    <rPh sb="152" eb="154">
      <t>ゼンイン</t>
    </rPh>
    <rPh sb="155" eb="157">
      <t>ジュコウ</t>
    </rPh>
    <rPh sb="162" eb="163">
      <t>オオ</t>
    </rPh>
    <rPh sb="165" eb="167">
      <t>テイイン</t>
    </rPh>
    <rPh sb="168" eb="170">
      <t>ジュンビ</t>
    </rPh>
    <rPh sb="175" eb="176">
      <t>ドウ</t>
    </rPh>
    <rPh sb="176" eb="178">
      <t>カモク</t>
    </rPh>
    <rPh sb="179" eb="181">
      <t>レイワ</t>
    </rPh>
    <rPh sb="182" eb="184">
      <t>ネンド</t>
    </rPh>
    <rPh sb="186" eb="188">
      <t>ネンセイ</t>
    </rPh>
    <rPh sb="189" eb="191">
      <t>リシュウ</t>
    </rPh>
    <rPh sb="191" eb="192">
      <t>リツ</t>
    </rPh>
    <rPh sb="211" eb="214">
      <t>ホンキョウイク</t>
    </rPh>
    <rPh sb="220" eb="222">
      <t>ハイチ</t>
    </rPh>
    <rPh sb="222" eb="224">
      <t>カモク</t>
    </rPh>
    <rPh sb="320" eb="322">
      <t>セイビ</t>
    </rPh>
    <rPh sb="330" eb="332">
      <t>ジュギョウ</t>
    </rPh>
    <rPh sb="332" eb="333">
      <t>ゴ</t>
    </rPh>
    <rPh sb="335" eb="337">
      <t>ロクガ</t>
    </rPh>
    <rPh sb="349" eb="351">
      <t>ハイシン</t>
    </rPh>
    <rPh sb="356" eb="358">
      <t>ジュギョウ</t>
    </rPh>
    <rPh sb="359" eb="361">
      <t>フクシュウ</t>
    </rPh>
    <rPh sb="362" eb="365">
      <t>ケッセキジ</t>
    </rPh>
    <rPh sb="366" eb="368">
      <t>ガクシュウ</t>
    </rPh>
    <rPh sb="371" eb="373">
      <t>リヨウ</t>
    </rPh>
    <phoneticPr fontId="1"/>
  </si>
  <si>
    <t>令和３年度以降入学の全学生が本教育プログラムを履修することを目標に、教育企画・評価室、全学の学部教育を所掌する教務委員会、情報ネットワークや情報教育を所掌するスポーツ情報センター、教育支援を所掌する事務組織である教務課が連携し、履修率の向上に取り組む。
履修促進のために、新入生オリエンテーションにおける本教育プログラムの学生への周知、学生が事前に詳細な学習内容を知る機会の提供、学生が受講しやすい授業環境の整備、LMSを利用した学生の自主学習環境の整備、授業時間内外における学生指導・質問への対応体制の整備を行う。
目標達成のために、１年生の本教育プログラムにおける必修科目の履修率を９０％以上とすることを、各年度の年度目標として設定する。なお、上記の履修率は全学生における本教育プログラムの履修率を記載しているが、令和３年度の１年生の本教育プログラム必修科目の履修率は、先述の取り組みにより１００％であった。
また、履修率は毎年度分析及び検証を行い、必要があれば今後の教育課程改訂において、本教育プログラムの配置科目を全学の卒業要件上の必修科目として配置することを検討する。</t>
    <rPh sb="0" eb="2">
      <t>レイワ</t>
    </rPh>
    <rPh sb="3" eb="5">
      <t>ネンド</t>
    </rPh>
    <rPh sb="5" eb="7">
      <t>イコウ</t>
    </rPh>
    <rPh sb="7" eb="9">
      <t>ニュウガク</t>
    </rPh>
    <rPh sb="10" eb="11">
      <t>ゼン</t>
    </rPh>
    <rPh sb="11" eb="13">
      <t>ガクセイ</t>
    </rPh>
    <rPh sb="14" eb="17">
      <t>ホンキョウイク</t>
    </rPh>
    <rPh sb="23" eb="25">
      <t>リシュウ</t>
    </rPh>
    <rPh sb="30" eb="32">
      <t>モクヒョウ</t>
    </rPh>
    <rPh sb="34" eb="36">
      <t>キョウイク</t>
    </rPh>
    <rPh sb="36" eb="38">
      <t>キカク</t>
    </rPh>
    <rPh sb="39" eb="41">
      <t>ヒョウカ</t>
    </rPh>
    <rPh sb="41" eb="42">
      <t>シツ</t>
    </rPh>
    <rPh sb="43" eb="45">
      <t>ゼンガク</t>
    </rPh>
    <rPh sb="46" eb="48">
      <t>ガクブ</t>
    </rPh>
    <rPh sb="48" eb="50">
      <t>キョウイク</t>
    </rPh>
    <rPh sb="51" eb="53">
      <t>ショショウ</t>
    </rPh>
    <rPh sb="55" eb="57">
      <t>キョウム</t>
    </rPh>
    <rPh sb="57" eb="60">
      <t>イインカイ</t>
    </rPh>
    <rPh sb="61" eb="63">
      <t>ジョウホウ</t>
    </rPh>
    <rPh sb="70" eb="72">
      <t>ジョウホウ</t>
    </rPh>
    <rPh sb="72" eb="74">
      <t>キョウイク</t>
    </rPh>
    <rPh sb="75" eb="77">
      <t>ショショウ</t>
    </rPh>
    <rPh sb="83" eb="85">
      <t>ジョウホウ</t>
    </rPh>
    <rPh sb="90" eb="92">
      <t>キョウイク</t>
    </rPh>
    <rPh sb="92" eb="94">
      <t>シエン</t>
    </rPh>
    <rPh sb="95" eb="97">
      <t>ショショウ</t>
    </rPh>
    <rPh sb="99" eb="101">
      <t>ジム</t>
    </rPh>
    <rPh sb="101" eb="103">
      <t>ソシキ</t>
    </rPh>
    <rPh sb="106" eb="109">
      <t>キョウムカ</t>
    </rPh>
    <rPh sb="110" eb="112">
      <t>レンケイ</t>
    </rPh>
    <rPh sb="114" eb="116">
      <t>リシュウ</t>
    </rPh>
    <rPh sb="116" eb="117">
      <t>リツ</t>
    </rPh>
    <rPh sb="118" eb="120">
      <t>コウジョウ</t>
    </rPh>
    <rPh sb="121" eb="122">
      <t>ト</t>
    </rPh>
    <rPh sb="123" eb="124">
      <t>ク</t>
    </rPh>
    <rPh sb="127" eb="129">
      <t>リシュウ</t>
    </rPh>
    <rPh sb="129" eb="131">
      <t>ソクシン</t>
    </rPh>
    <rPh sb="136" eb="139">
      <t>シンニュウセイ</t>
    </rPh>
    <rPh sb="152" eb="155">
      <t>ホンキョウイク</t>
    </rPh>
    <rPh sb="161" eb="163">
      <t>ガクセイ</t>
    </rPh>
    <rPh sb="165" eb="167">
      <t>シュウチ</t>
    </rPh>
    <rPh sb="168" eb="170">
      <t>ガクセイ</t>
    </rPh>
    <rPh sb="171" eb="173">
      <t>ジゼン</t>
    </rPh>
    <rPh sb="174" eb="176">
      <t>ショウサイ</t>
    </rPh>
    <rPh sb="177" eb="179">
      <t>ガクシュウ</t>
    </rPh>
    <rPh sb="179" eb="181">
      <t>ナイヨウ</t>
    </rPh>
    <rPh sb="182" eb="183">
      <t>シ</t>
    </rPh>
    <rPh sb="184" eb="186">
      <t>キカイ</t>
    </rPh>
    <rPh sb="187" eb="189">
      <t>テイキョウ</t>
    </rPh>
    <rPh sb="190" eb="192">
      <t>ガクセイ</t>
    </rPh>
    <rPh sb="193" eb="195">
      <t>ジュコウ</t>
    </rPh>
    <rPh sb="199" eb="201">
      <t>ジュギョウ</t>
    </rPh>
    <rPh sb="201" eb="203">
      <t>カンキョウ</t>
    </rPh>
    <rPh sb="204" eb="206">
      <t>セイビ</t>
    </rPh>
    <rPh sb="211" eb="213">
      <t>リヨウ</t>
    </rPh>
    <rPh sb="215" eb="217">
      <t>ガクセイ</t>
    </rPh>
    <rPh sb="218" eb="220">
      <t>ジシュ</t>
    </rPh>
    <rPh sb="220" eb="222">
      <t>ガクシュウ</t>
    </rPh>
    <rPh sb="222" eb="224">
      <t>カンキョウ</t>
    </rPh>
    <rPh sb="225" eb="227">
      <t>セイビ</t>
    </rPh>
    <rPh sb="228" eb="230">
      <t>ジュギョウ</t>
    </rPh>
    <rPh sb="230" eb="232">
      <t>ジカン</t>
    </rPh>
    <rPh sb="232" eb="233">
      <t>ナイ</t>
    </rPh>
    <rPh sb="233" eb="234">
      <t>ガイ</t>
    </rPh>
    <rPh sb="238" eb="240">
      <t>ガクセイ</t>
    </rPh>
    <rPh sb="240" eb="242">
      <t>シドウ</t>
    </rPh>
    <rPh sb="243" eb="245">
      <t>シツモン</t>
    </rPh>
    <rPh sb="255" eb="256">
      <t>オコナ</t>
    </rPh>
    <rPh sb="259" eb="261">
      <t>モクヒョウ</t>
    </rPh>
    <rPh sb="261" eb="263">
      <t>タッセイ</t>
    </rPh>
    <rPh sb="269" eb="271">
      <t>ネンセイ</t>
    </rPh>
    <rPh sb="272" eb="273">
      <t>ホン</t>
    </rPh>
    <rPh sb="273" eb="275">
      <t>キョウイク</t>
    </rPh>
    <rPh sb="284" eb="286">
      <t>ヒッシュウ</t>
    </rPh>
    <rPh sb="286" eb="288">
      <t>カモク</t>
    </rPh>
    <rPh sb="289" eb="291">
      <t>リシュウ</t>
    </rPh>
    <rPh sb="291" eb="292">
      <t>リツ</t>
    </rPh>
    <rPh sb="296" eb="298">
      <t>イジョウ</t>
    </rPh>
    <rPh sb="305" eb="308">
      <t>カクネンド</t>
    </rPh>
    <rPh sb="309" eb="311">
      <t>ネンド</t>
    </rPh>
    <rPh sb="311" eb="313">
      <t>モクヒョウ</t>
    </rPh>
    <rPh sb="316" eb="318">
      <t>セッテイ</t>
    </rPh>
    <rPh sb="324" eb="326">
      <t>ジョウキ</t>
    </rPh>
    <rPh sb="327" eb="329">
      <t>リシュウ</t>
    </rPh>
    <rPh sb="329" eb="330">
      <t>リツ</t>
    </rPh>
    <rPh sb="331" eb="332">
      <t>ゼン</t>
    </rPh>
    <rPh sb="338" eb="339">
      <t>ホン</t>
    </rPh>
    <rPh sb="339" eb="341">
      <t>キョウイク</t>
    </rPh>
    <rPh sb="347" eb="349">
      <t>リシュウ</t>
    </rPh>
    <rPh sb="349" eb="350">
      <t>リツ</t>
    </rPh>
    <rPh sb="351" eb="353">
      <t>キサイ</t>
    </rPh>
    <rPh sb="359" eb="361">
      <t>レイワ</t>
    </rPh>
    <rPh sb="366" eb="368">
      <t>ネンセイ</t>
    </rPh>
    <rPh sb="369" eb="372">
      <t>ホンキョウイク</t>
    </rPh>
    <rPh sb="377" eb="379">
      <t>ヒッシュウ</t>
    </rPh>
    <rPh sb="379" eb="381">
      <t>カモク</t>
    </rPh>
    <rPh sb="382" eb="384">
      <t>リシュウ</t>
    </rPh>
    <rPh sb="384" eb="385">
      <t>リツ</t>
    </rPh>
    <rPh sb="387" eb="389">
      <t>センジュツ</t>
    </rPh>
    <rPh sb="390" eb="391">
      <t>ト</t>
    </rPh>
    <rPh sb="392" eb="393">
      <t>ク</t>
    </rPh>
    <rPh sb="414" eb="417">
      <t>マイネンド</t>
    </rPh>
    <rPh sb="417" eb="419">
      <t>ブンセキ</t>
    </rPh>
    <rPh sb="419" eb="420">
      <t>オヨ</t>
    </rPh>
    <rPh sb="421" eb="423">
      <t>ケンショウ</t>
    </rPh>
    <rPh sb="424" eb="425">
      <t>オコナ</t>
    </rPh>
    <rPh sb="447" eb="448">
      <t>ホン</t>
    </rPh>
    <rPh sb="448" eb="450">
      <t>キョウイク</t>
    </rPh>
    <rPh sb="456" eb="458">
      <t>ハイチ</t>
    </rPh>
    <rPh sb="458" eb="460">
      <t>カモク</t>
    </rPh>
    <rPh sb="461" eb="463">
      <t>ゼンガク</t>
    </rPh>
    <rPh sb="464" eb="466">
      <t>ソツギョウ</t>
    </rPh>
    <rPh sb="466" eb="468">
      <t>ヨウケン</t>
    </rPh>
    <rPh sb="468" eb="469">
      <t>ジョウ</t>
    </rPh>
    <rPh sb="472" eb="474">
      <t>カモク</t>
    </rPh>
    <rPh sb="477" eb="479">
      <t>ハイチ</t>
    </rPh>
    <rPh sb="484" eb="486">
      <t>ケントウ</t>
    </rPh>
    <phoneticPr fontId="1"/>
  </si>
  <si>
    <t>本教育プログラムを通じ、数理・データサイエンス・AIを学ぶことの意義・必要性を理解できるようになり、これらが社会でどのように活用され、新たな価値を生み出しているかを理解・説明できるようになる。また、数理・データサイエンス・AIに関するリテラシーを身に付けることで、データを分析・整理することができるようになり、これらを活用して社会の実データ・課題を読み解き、判断できるようになる。</t>
    <rPh sb="35" eb="38">
      <t>ヒツヨウセイ</t>
    </rPh>
    <rPh sb="114" eb="115">
      <t>カン</t>
    </rPh>
    <phoneticPr fontId="1"/>
  </si>
  <si>
    <t>・ビッグデータ、IoT、AI、ロボット「情報処理A」（１回目）
・第4次産業革命、Society 5.0、データ駆動型社会（１回目）
・複数技術を組み合わせたAIサービス（１２～１３回目）
・データを起点としたものの見方，人間の知的活動を起点としたものの見方（７回目）</t>
    <rPh sb="68" eb="72">
      <t>フクスウギジュツ</t>
    </rPh>
    <rPh sb="73" eb="74">
      <t>ク</t>
    </rPh>
    <rPh sb="75" eb="76">
      <t>ア</t>
    </rPh>
    <rPh sb="91" eb="93">
      <t>カイメ</t>
    </rPh>
    <rPh sb="100" eb="102">
      <t>キテン</t>
    </rPh>
    <rPh sb="108" eb="110">
      <t>ミカタ</t>
    </rPh>
    <rPh sb="111" eb="113">
      <t>ニンゲン</t>
    </rPh>
    <rPh sb="114" eb="118">
      <t>チテキカツドウ</t>
    </rPh>
    <rPh sb="119" eb="121">
      <t>キテン</t>
    </rPh>
    <rPh sb="127" eb="129">
      <t>ミカタ</t>
    </rPh>
    <rPh sb="131" eb="133">
      <t>カイメ</t>
    </rPh>
    <phoneticPr fontId="1"/>
  </si>
  <si>
    <t>・調査データ、実験データ、人の行動ログデータ、機械の稼働ログデータなど「情報処理A」（７～１０回目）
・1次データ、2次データ、データのメタ化「情報処理A」（７回目）
・構造化データ、非構造化データ（文章、画像／動画、音声／音楽など）「情報処理A」（１２～１３回目）
・データ作成（ビッグデータとアノテーション）「情報処理A」（１２～１３回目）
・データのオープン化「情報処理A」（７回目）</t>
    <rPh sb="80" eb="82">
      <t>カイメ</t>
    </rPh>
    <rPh sb="85" eb="88">
      <t>コウゾウカ</t>
    </rPh>
    <rPh sb="92" eb="96">
      <t>ヒコウゾウカ</t>
    </rPh>
    <rPh sb="100" eb="102">
      <t>ブンショウ</t>
    </rPh>
    <rPh sb="103" eb="105">
      <t>ガゾウ</t>
    </rPh>
    <rPh sb="106" eb="108">
      <t>ドウガ</t>
    </rPh>
    <rPh sb="109" eb="111">
      <t>オンセイ</t>
    </rPh>
    <rPh sb="112" eb="114">
      <t>オンガク</t>
    </rPh>
    <rPh sb="130" eb="132">
      <t>カイメ</t>
    </rPh>
    <rPh sb="138" eb="140">
      <t>サクセイ</t>
    </rPh>
    <rPh sb="182" eb="183">
      <t>カ</t>
    </rPh>
    <rPh sb="192" eb="194">
      <t>カイメ</t>
    </rPh>
    <phoneticPr fontId="1"/>
  </si>
  <si>
    <t>・データ・AI活用領域の広がり(生産、消費、文化活動など)「情報処理A」（１２～１３回目）
・研究開発、調達、製造、物流、販売、マーケティング、サービスなど「情報処理A]（１２～１３回目）</t>
    <rPh sb="47" eb="51">
      <t>ケンキュウカイハツ</t>
    </rPh>
    <rPh sb="52" eb="54">
      <t>チョウタツ</t>
    </rPh>
    <rPh sb="55" eb="57">
      <t>セイゾウ</t>
    </rPh>
    <rPh sb="58" eb="60">
      <t>ブツリュウ</t>
    </rPh>
    <rPh sb="61" eb="63">
      <t>ハンバイ</t>
    </rPh>
    <rPh sb="79" eb="83">
      <t>ジョウホウショリ</t>
    </rPh>
    <phoneticPr fontId="1"/>
  </si>
  <si>
    <t>・データ解析：予測、グルーピング、パターン発見、最適化、シミュレーション・データ同化など「情報処理A」（１回目、１２～１３回目）
・データ可視化：複合グラフ、2軸グラフ、多次元の可視化、関係性の可視化、地図上の可視化、挙動・軌跡の可視化、リアルタイム可視化など「情報処理A」（１０回目）
・非構造化データ処理：画像／動画処理「情報処理A」（１２～１３回目）</t>
    <rPh sb="53" eb="55">
      <t>カイメ</t>
    </rPh>
    <rPh sb="61" eb="63">
      <t>カイメ</t>
    </rPh>
    <rPh sb="145" eb="149">
      <t>ヒコウゾウカ</t>
    </rPh>
    <rPh sb="152" eb="154">
      <t>ショリ</t>
    </rPh>
    <rPh sb="155" eb="157">
      <t>ガゾウ</t>
    </rPh>
    <rPh sb="158" eb="160">
      <t>ドウガ</t>
    </rPh>
    <rPh sb="160" eb="162">
      <t>ショリ</t>
    </rPh>
    <rPh sb="163" eb="167">
      <t>ジョウホウショリ</t>
    </rPh>
    <rPh sb="175" eb="177">
      <t>カイメ</t>
    </rPh>
    <phoneticPr fontId="1"/>
  </si>
  <si>
    <t>・データサイエンスのサイクル（課題抽出と定式化、データの取得・管理・加工、探索的データ解析、データ解析と推論、結果の共有・伝達、課題解決に向けた提案）「情報処理A」（５回目、７～１０回目）
・流通、製造、金融、サービス、インフラ、公共、ヘルスケア等におけるデータ・AI活用事例紹介「情報処理A」（１回目、１２～１３回目）</t>
    <rPh sb="91" eb="93">
      <t>カイメ</t>
    </rPh>
    <rPh sb="96" eb="98">
      <t>リュウツウ</t>
    </rPh>
    <rPh sb="99" eb="101">
      <t>セイゾウ</t>
    </rPh>
    <rPh sb="102" eb="104">
      <t>キンユウ</t>
    </rPh>
    <rPh sb="115" eb="117">
      <t>コウキョウ</t>
    </rPh>
    <rPh sb="123" eb="124">
      <t>トウ</t>
    </rPh>
    <phoneticPr fontId="1"/>
  </si>
  <si>
    <t>・ELSI（Ethical, Legal and Social Issues）「情報処理A」（３～４回目）
・個人情報保護、EU一般データ保護規則(GDPR)、忘れられる権利、オプトアウト「情報処理A」（３～４回目）
・データ倫理：データのねつ造、改ざん、盗用、プライバシー保護「情報処理A」（３～４回目、１４～１５回目）
・AI社会原則（公平性、説明責任、透明性、人間中心の判断）「情報処理A」（３～４回目）
・データバイアス、アルゴリズムバイアス「情報処理A」（７～１０回目）
・データ・AI活用における負の事例紹介「情報処理A」（４回目）</t>
    <rPh sb="113" eb="115">
      <t>リンリ</t>
    </rPh>
    <rPh sb="122" eb="123">
      <t>ゾウ</t>
    </rPh>
    <rPh sb="124" eb="125">
      <t>カイ</t>
    </rPh>
    <rPh sb="128" eb="130">
      <t>トウヨウ</t>
    </rPh>
    <rPh sb="137" eb="139">
      <t>ホゴ</t>
    </rPh>
    <rPh sb="158" eb="160">
      <t>カイメ</t>
    </rPh>
    <rPh sb="165" eb="169">
      <t>シャカイゲンソク</t>
    </rPh>
    <rPh sb="170" eb="173">
      <t>コウヘイセイ</t>
    </rPh>
    <rPh sb="174" eb="178">
      <t>セツメイセキニン</t>
    </rPh>
    <rPh sb="179" eb="182">
      <t>トウメイセイ</t>
    </rPh>
    <rPh sb="183" eb="185">
      <t>ニンゲン</t>
    </rPh>
    <rPh sb="185" eb="187">
      <t>チュウシン</t>
    </rPh>
    <rPh sb="188" eb="190">
      <t>ハンダン</t>
    </rPh>
    <rPh sb="248" eb="250">
      <t>カツヨウ</t>
    </rPh>
    <rPh sb="254" eb="255">
      <t>フ</t>
    </rPh>
    <rPh sb="256" eb="260">
      <t>ジレイショウカイ</t>
    </rPh>
    <phoneticPr fontId="1"/>
  </si>
  <si>
    <t>・情報セキュリティ：機密性、完全性、可用性「情報処理A」（４回目）
・匿名加工情報、暗号化、パスワード、悪意ある情報搾取「情報処理A」（１回目）
・情報漏洩等によるセキュリティ事故の事例紹介「情報処理A」（４回目、１４回目）</t>
    <rPh sb="35" eb="41">
      <t>トクメイカコウジョウホウ</t>
    </rPh>
    <rPh sb="42" eb="45">
      <t>アンゴウカ</t>
    </rPh>
    <rPh sb="52" eb="54">
      <t>アクイ</t>
    </rPh>
    <rPh sb="56" eb="60">
      <t>ジョウホウサクシュ</t>
    </rPh>
    <rPh sb="74" eb="78">
      <t>ジョウホウロウエイ</t>
    </rPh>
    <rPh sb="78" eb="79">
      <t>トウ</t>
    </rPh>
    <rPh sb="88" eb="90">
      <t>ジコ</t>
    </rPh>
    <rPh sb="91" eb="95">
      <t>ジレイショウカイ</t>
    </rPh>
    <rPh sb="109" eb="111">
      <t>カイメ</t>
    </rPh>
    <phoneticPr fontId="1"/>
  </si>
  <si>
    <t>・データの種類（量的変数、質的変数）「情報処理A」（７～８回目）
・データの分布(ヒストグラム)と代表値（平均値、中央値、最頻値）「情報処理A」（７回目）
・代表値の性質の違い（実社会では平均値＝最頻値でないことが多い）「情報処理A」（７回目）
・データのばらつき（分散、標準偏差、偏差値）「情報処理A」（８～９回目）
・観測データに含まれる誤差の扱い「情報処理A」（８～９回目）
・相関と因果（相関係数、疑似相関、交絡）「情報処理A」（８～９回目）
・母集団と標本抽出（国勢調査、アンケート調査、全数調査、単純無作為抽出）「情報処理A」（９回目、１４回目）
・クロス集計表、分割表、相関係数行列、散布図行列「情報処理A（１０回目）
・統計情報の正しい理解（誇張表現に惑わされない）「情報処理A」（１０回目）</t>
    <rPh sb="79" eb="82">
      <t>ダイヒョウチ</t>
    </rPh>
    <rPh sb="83" eb="85">
      <t>セイシツ</t>
    </rPh>
    <rPh sb="86" eb="87">
      <t>チガ</t>
    </rPh>
    <rPh sb="89" eb="92">
      <t>ジツシャカイ</t>
    </rPh>
    <rPh sb="94" eb="97">
      <t>ヘイキンチ</t>
    </rPh>
    <rPh sb="98" eb="101">
      <t>サイヒンチ</t>
    </rPh>
    <rPh sb="107" eb="108">
      <t>オオ</t>
    </rPh>
    <rPh sb="133" eb="135">
      <t>ブンサン</t>
    </rPh>
    <rPh sb="136" eb="140">
      <t>ヒョウジュンヘンサ</t>
    </rPh>
    <rPh sb="141" eb="144">
      <t>ヘンサチ</t>
    </rPh>
    <rPh sb="161" eb="163">
      <t>カンソク</t>
    </rPh>
    <rPh sb="167" eb="168">
      <t>フク</t>
    </rPh>
    <rPh sb="171" eb="173">
      <t>ゴサ</t>
    </rPh>
    <rPh sb="174" eb="175">
      <t>アツカ</t>
    </rPh>
    <rPh sb="192" eb="194">
      <t>ソウカン</t>
    </rPh>
    <rPh sb="195" eb="197">
      <t>インガ</t>
    </rPh>
    <rPh sb="198" eb="202">
      <t>ソウカンケイスウ</t>
    </rPh>
    <rPh sb="203" eb="205">
      <t>ギジ</t>
    </rPh>
    <rPh sb="205" eb="207">
      <t>ソウカン</t>
    </rPh>
    <rPh sb="208" eb="210">
      <t>コウラク</t>
    </rPh>
    <rPh sb="227" eb="230">
      <t>ボシュウダン</t>
    </rPh>
    <rPh sb="231" eb="233">
      <t>ヒョウホン</t>
    </rPh>
    <rPh sb="233" eb="235">
      <t>チュウシュツ</t>
    </rPh>
    <rPh sb="236" eb="240">
      <t>コクセイチョウサ</t>
    </rPh>
    <rPh sb="246" eb="248">
      <t>チョウサ</t>
    </rPh>
    <rPh sb="249" eb="253">
      <t>ゼンスウチョウサ</t>
    </rPh>
    <rPh sb="254" eb="261">
      <t>タンジュンムサクイチュウシュツ</t>
    </rPh>
    <rPh sb="276" eb="278">
      <t>カイメ</t>
    </rPh>
    <rPh sb="284" eb="287">
      <t>シュウケイヒョウ</t>
    </rPh>
    <rPh sb="288" eb="291">
      <t>ブンカツヒョウ</t>
    </rPh>
    <rPh sb="292" eb="298">
      <t>ソウカンケイスウギョウレツ</t>
    </rPh>
    <rPh sb="299" eb="302">
      <t>サンプズ</t>
    </rPh>
    <rPh sb="302" eb="304">
      <t>ギョウレツ</t>
    </rPh>
    <rPh sb="318" eb="322">
      <t>トウケイジョウホウ</t>
    </rPh>
    <rPh sb="323" eb="324">
      <t>タダ</t>
    </rPh>
    <rPh sb="326" eb="328">
      <t>リカイ</t>
    </rPh>
    <rPh sb="329" eb="333">
      <t>コチョウヒョウゲン</t>
    </rPh>
    <rPh sb="334" eb="335">
      <t>マド</t>
    </rPh>
    <phoneticPr fontId="1"/>
  </si>
  <si>
    <t>・データ表現（棒グラフ、折線グラフ、散布図、ヒートマップ）「情報処理A」（１０回目）
・データの図表表現（チャート化）「情報処理A」（１０回目）
・データの比較（条件をそろえた比較、処理の前後での比較、A/Bテスト）「情報処理A」（８回目、１０回目）
・不適切なグラフ表現（チャートジャンク、不必要な視覚的要素）「情報処理A」（１０回目）
・優れた可視化事例の紹介（可視化することによって新たな気づきがあった事例など）「情報処理A」（１０回目）</t>
    <rPh sb="39" eb="41">
      <t>カイメ</t>
    </rPh>
    <rPh sb="78" eb="80">
      <t>ヒカク</t>
    </rPh>
    <rPh sb="81" eb="83">
      <t>ジョウケン</t>
    </rPh>
    <rPh sb="88" eb="90">
      <t>ヒカク</t>
    </rPh>
    <rPh sb="91" eb="93">
      <t>ショリ</t>
    </rPh>
    <rPh sb="94" eb="96">
      <t>ゼンゴ</t>
    </rPh>
    <rPh sb="98" eb="100">
      <t>ヒカク</t>
    </rPh>
    <rPh sb="127" eb="130">
      <t>フテキセツ</t>
    </rPh>
    <rPh sb="134" eb="136">
      <t>ヒョウゲン</t>
    </rPh>
    <rPh sb="146" eb="149">
      <t>フヒツヨウ</t>
    </rPh>
    <rPh sb="150" eb="155">
      <t>シカクテキヨウソ</t>
    </rPh>
    <rPh sb="171" eb="172">
      <t>スグ</t>
    </rPh>
    <rPh sb="174" eb="179">
      <t>カシカジレイ</t>
    </rPh>
    <rPh sb="180" eb="182">
      <t>ショウカイ</t>
    </rPh>
    <rPh sb="183" eb="186">
      <t>カシカ</t>
    </rPh>
    <rPh sb="194" eb="195">
      <t>アラ</t>
    </rPh>
    <rPh sb="197" eb="198">
      <t>キ</t>
    </rPh>
    <rPh sb="204" eb="206">
      <t>ジレイ</t>
    </rPh>
    <phoneticPr fontId="1"/>
  </si>
  <si>
    <t>・データの集計（和、平均）「情報処理A」（７～９回目）
・データの並び替え、ランキング「情報処理A」（７～９回目）
・データ解析ツール（スプレッドシート）「情報処理A」（９回目）
・表形式のデータ（csv）「情報処理A」（７回目）</t>
    <rPh sb="62" eb="64">
      <t>カイセキ</t>
    </rPh>
    <phoneticPr fontId="1"/>
  </si>
  <si>
    <t>・AIを活用した新しいビジネスモデル（商品のレコメンデーション）「情報処理A]（１回目）
・AI最新技術の活用例（強化学習、転移学習）「情報処理A」（１２～１３回目）</t>
    <rPh sb="4" eb="6">
      <t>カツヨウ</t>
    </rPh>
    <rPh sb="8" eb="9">
      <t>アタラ</t>
    </rPh>
    <rPh sb="19" eb="21">
      <t>ショウヒン</t>
    </rPh>
    <rPh sb="33" eb="37">
      <t>ジョウホウショリ</t>
    </rPh>
    <rPh sb="41" eb="43">
      <t>カイメ</t>
    </rPh>
    <phoneticPr fontId="1"/>
  </si>
  <si>
    <t>体育学部スポーツ総合課程</t>
    <rPh sb="0" eb="2">
      <t>タイイク</t>
    </rPh>
    <rPh sb="2" eb="4">
      <t>ガクブ</t>
    </rPh>
    <rPh sb="8" eb="10">
      <t>ソウゴウ</t>
    </rPh>
    <rPh sb="10" eb="12">
      <t>カテイ</t>
    </rPh>
    <phoneticPr fontId="1"/>
  </si>
  <si>
    <t>体育学部武道課程</t>
    <rPh sb="0" eb="2">
      <t>タイイク</t>
    </rPh>
    <rPh sb="2" eb="4">
      <t>ガクブ</t>
    </rPh>
    <rPh sb="4" eb="6">
      <t>ブドウ</t>
    </rPh>
    <rPh sb="6" eb="8">
      <t>カテイ</t>
    </rPh>
    <phoneticPr fontId="1"/>
  </si>
  <si>
    <t>森　司朗</t>
    <rPh sb="0" eb="1">
      <t>モリ</t>
    </rPh>
    <rPh sb="2" eb="4">
      <t>シロウ</t>
    </rPh>
    <phoneticPr fontId="1"/>
  </si>
  <si>
    <t>教務委員会委員長</t>
    <rPh sb="0" eb="2">
      <t>キョウム</t>
    </rPh>
    <rPh sb="2" eb="5">
      <t>イインカイ</t>
    </rPh>
    <rPh sb="5" eb="8">
      <t>イインチョウ</t>
    </rPh>
    <phoneticPr fontId="1"/>
  </si>
  <si>
    <t>数理・データサイエンス・AI教育プログラム実施要項</t>
    <rPh sb="0" eb="2">
      <t>スウリ</t>
    </rPh>
    <rPh sb="14" eb="16">
      <t>キョウイク</t>
    </rPh>
    <rPh sb="21" eb="23">
      <t>ジッシ</t>
    </rPh>
    <rPh sb="23" eb="25">
      <t>ヨウコウ</t>
    </rPh>
    <phoneticPr fontId="1"/>
  </si>
  <si>
    <t>大学で使用するLMSはメッセージ機能を有しており、授業に関連する質問等は授業時間内外で担当教員に送信できる。授業担当教員も学生に対し、この機能の利用を促している。
授業時間内においては、本教育プログラムの配置科目にはティーチング・アシスタントを配置し、授業内での学生からの質問への対応や授業の進行に遅れた学生への指導ができるように、学修支援体制を行っている。
授業時間外においては、本教育プログラムの配置科目は、LMSに全授業回の授業資料や授業の録画映像等をアーカイブとして蓄積し、履修学生がいつでも授業の振り返りと自主学習を行うことが可能な環境を構築しており、LMSのメール機能により授業担当教員が質問を受け付けている。また、学内の情報処理演習室（パソコンルーム）に大学院生のアルバイトを配置し、平日の22:00まで学生からの質問・相談を受けつける体制を整えている。</t>
    <rPh sb="0" eb="2">
      <t>ダイガク</t>
    </rPh>
    <rPh sb="3" eb="5">
      <t>シヨウ</t>
    </rPh>
    <rPh sb="16" eb="18">
      <t>キノウ</t>
    </rPh>
    <rPh sb="19" eb="20">
      <t>ユウ</t>
    </rPh>
    <rPh sb="25" eb="27">
      <t>ジュギョウ</t>
    </rPh>
    <rPh sb="28" eb="30">
      <t>カンレン</t>
    </rPh>
    <rPh sb="32" eb="34">
      <t>シツモン</t>
    </rPh>
    <rPh sb="34" eb="35">
      <t>トウ</t>
    </rPh>
    <rPh sb="36" eb="42">
      <t>ジュギョウジカンナイガイ</t>
    </rPh>
    <rPh sb="43" eb="47">
      <t>タントウキョウイン</t>
    </rPh>
    <rPh sb="48" eb="50">
      <t>ソウシン</t>
    </rPh>
    <rPh sb="54" eb="60">
      <t>ジュギョウタントウキョウイン</t>
    </rPh>
    <rPh sb="61" eb="63">
      <t>ガクセイ</t>
    </rPh>
    <rPh sb="64" eb="65">
      <t>タイ</t>
    </rPh>
    <rPh sb="69" eb="71">
      <t>キノウ</t>
    </rPh>
    <rPh sb="72" eb="74">
      <t>リヨウ</t>
    </rPh>
    <rPh sb="75" eb="76">
      <t>ウナガ</t>
    </rPh>
    <rPh sb="82" eb="84">
      <t>ジュギョウ</t>
    </rPh>
    <rPh sb="84" eb="86">
      <t>ジカン</t>
    </rPh>
    <rPh sb="86" eb="87">
      <t>ナイ</t>
    </rPh>
    <rPh sb="170" eb="172">
      <t>タイセイ</t>
    </rPh>
    <rPh sb="173" eb="174">
      <t>オコナ</t>
    </rPh>
    <rPh sb="180" eb="182">
      <t>ジュギョウ</t>
    </rPh>
    <rPh sb="182" eb="184">
      <t>ジカン</t>
    </rPh>
    <rPh sb="184" eb="185">
      <t>ガイ</t>
    </rPh>
    <rPh sb="288" eb="290">
      <t>キノウ</t>
    </rPh>
    <rPh sb="293" eb="295">
      <t>ジュギョウ</t>
    </rPh>
    <rPh sb="295" eb="297">
      <t>タントウ</t>
    </rPh>
    <rPh sb="297" eb="299">
      <t>キョウイン</t>
    </rPh>
    <rPh sb="300" eb="302">
      <t>シツモン</t>
    </rPh>
    <rPh sb="303" eb="304">
      <t>ウ</t>
    </rPh>
    <rPh sb="305" eb="306">
      <t>ツ</t>
    </rPh>
    <rPh sb="314" eb="316">
      <t>ガクナイ</t>
    </rPh>
    <rPh sb="317" eb="319">
      <t>ジョウホウ</t>
    </rPh>
    <rPh sb="319" eb="321">
      <t>ショリ</t>
    </rPh>
    <rPh sb="321" eb="323">
      <t>エンシュウ</t>
    </rPh>
    <rPh sb="323" eb="324">
      <t>シツ</t>
    </rPh>
    <rPh sb="334" eb="336">
      <t>ダイガク</t>
    </rPh>
    <rPh sb="336" eb="338">
      <t>インセイ</t>
    </rPh>
    <rPh sb="345" eb="347">
      <t>ハイチ</t>
    </rPh>
    <rPh sb="349" eb="351">
      <t>ヘイジツ</t>
    </rPh>
    <rPh sb="359" eb="361">
      <t>ガクセイ</t>
    </rPh>
    <rPh sb="364" eb="366">
      <t>シツモン</t>
    </rPh>
    <rPh sb="367" eb="369">
      <t>ソウダン</t>
    </rPh>
    <rPh sb="370" eb="371">
      <t>ウ</t>
    </rPh>
    <phoneticPr fontId="1"/>
  </si>
  <si>
    <t>理事(教務・学生・研究・国際交流担当)・副学長</t>
    <rPh sb="0" eb="2">
      <t>リジ</t>
    </rPh>
    <rPh sb="3" eb="5">
      <t>キョウム</t>
    </rPh>
    <rPh sb="6" eb="8">
      <t>ガクセイ</t>
    </rPh>
    <rPh sb="9" eb="11">
      <t>ケンキュウ</t>
    </rPh>
    <rPh sb="12" eb="14">
      <t>コクサイ</t>
    </rPh>
    <rPh sb="14" eb="16">
      <t>コウリュウ</t>
    </rPh>
    <rPh sb="16" eb="18">
      <t>タントウ</t>
    </rPh>
    <rPh sb="20" eb="21">
      <t>フク</t>
    </rPh>
    <rPh sb="21" eb="23">
      <t>ガクチョウ</t>
    </rPh>
    <phoneticPr fontId="1"/>
  </si>
  <si>
    <t>教育企画・評価室長、教務委員会副委員長、FD推進専門委員会委員長、体育学部教授
金高　宏文
スポーツ情報センター長、体育学部准教授　和田　智仁
アドミッションセンター長、体育学部教授　吉重　美紀
FD推進専門委員会副委員長、教務委員会委員、体育学部教授　中垣内　真樹
キャリア形成支援センター長、教務委員会委員、体育学部教授　前田　博子
体育学部准教授　中本　浩揮
教務委員会委員、教務課長　元明　勇二
経営戦略課企画評価係長　吉原　大智</t>
    <rPh sb="0" eb="4">
      <t>キョウイクキカク</t>
    </rPh>
    <rPh sb="5" eb="8">
      <t>ヒョウカシツ</t>
    </rPh>
    <rPh sb="8" eb="9">
      <t>チョウ</t>
    </rPh>
    <rPh sb="10" eb="12">
      <t>キョウム</t>
    </rPh>
    <rPh sb="12" eb="15">
      <t>イインカイ</t>
    </rPh>
    <rPh sb="15" eb="16">
      <t>フク</t>
    </rPh>
    <rPh sb="16" eb="19">
      <t>イインチョウ</t>
    </rPh>
    <rPh sb="40" eb="42">
      <t>キンタカ</t>
    </rPh>
    <rPh sb="43" eb="45">
      <t>ヒロフミ</t>
    </rPh>
    <rPh sb="50" eb="52">
      <t>ジョウホウ</t>
    </rPh>
    <rPh sb="56" eb="57">
      <t>チョウ</t>
    </rPh>
    <rPh sb="62" eb="63">
      <t>ジュン</t>
    </rPh>
    <rPh sb="66" eb="68">
      <t>ワダ</t>
    </rPh>
    <rPh sb="69" eb="71">
      <t>トモヒト</t>
    </rPh>
    <rPh sb="83" eb="84">
      <t>チョウ</t>
    </rPh>
    <rPh sb="85" eb="87">
      <t>タイイク</t>
    </rPh>
    <rPh sb="87" eb="89">
      <t>ガクブ</t>
    </rPh>
    <rPh sb="89" eb="91">
      <t>キョウジュ</t>
    </rPh>
    <rPh sb="112" eb="114">
      <t>キョウム</t>
    </rPh>
    <rPh sb="114" eb="117">
      <t>イインカイ</t>
    </rPh>
    <rPh sb="117" eb="119">
      <t>イイン</t>
    </rPh>
    <rPh sb="120" eb="122">
      <t>タイイク</t>
    </rPh>
    <rPh sb="122" eb="124">
      <t>ガクブ</t>
    </rPh>
    <rPh sb="124" eb="126">
      <t>キョウジュ</t>
    </rPh>
    <rPh sb="202" eb="204">
      <t>ケイエイ</t>
    </rPh>
    <rPh sb="204" eb="206">
      <t>センリャク</t>
    </rPh>
    <rPh sb="206" eb="207">
      <t>カ</t>
    </rPh>
    <rPh sb="207" eb="209">
      <t>キカク</t>
    </rPh>
    <rPh sb="209" eb="211">
      <t>ヒョウカ</t>
    </rPh>
    <rPh sb="211" eb="213">
      <t>カカリチョウ</t>
    </rPh>
    <phoneticPr fontId="1"/>
  </si>
  <si>
    <t>https://www.nifs-k.ac.jp/faculties/pe/math-ds-ai</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</si>
</sst>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4" fillId="0" borderId="20" xfId="0" applyFont="1" applyFill="1" applyBorder="1" applyAlignment="1">
      <alignment vertical="top" wrapText="1"/>
    </xf>
    <xf numFmtId="0" fontId="4" fillId="0" borderId="18" xfId="0" applyFont="1" applyFill="1" applyBorder="1" applyAlignment="1">
      <alignment vertical="top"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8"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9" fillId="0" borderId="2" xfId="0" applyFont="1" applyBorder="1" applyAlignment="1">
      <alignment vertical="center" wrapText="1"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7" xfId="0" applyFont="1" applyBorder="1" applyAlignment="1">
      <alignment vertical="center"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22" fillId="0" borderId="32" xfId="0" applyFont="1" applyBorder="1" applyAlignment="1">
      <alignment vertical="center" wrapTex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7" xfId="0" applyFont="1" applyBorder="1" applyAlignment="1">
      <alignment vertical="top" wrapText="1" shrinkToFit="1"/>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2" xfId="2" applyFont="1" applyFill="1" applyBorder="1" applyAlignment="1">
      <alignment horizontal="center" vertical="center" shrinkToFit="1"/>
    </xf>
    <xf numFmtId="0" fontId="11" fillId="0" borderId="3" xfId="2" applyFont="1" applyFill="1" applyBorder="1" applyAlignment="1">
      <alignment horizontal="center" vertical="center" shrinkToFit="1"/>
    </xf>
    <xf numFmtId="0" fontId="11" fillId="0" borderId="4" xfId="2" applyFont="1" applyFill="1" applyBorder="1" applyAlignment="1">
      <alignment horizontal="center" vertical="center" shrinkToFit="1"/>
    </xf>
    <xf numFmtId="0" fontId="9" fillId="0" borderId="17" xfId="0" applyFont="1" applyFill="1" applyBorder="1" applyAlignment="1">
      <alignment vertical="center" wrapText="1"/>
    </xf>
    <xf numFmtId="0" fontId="8" fillId="0" borderId="18" xfId="0" applyFont="1" applyFill="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7" xfId="0" applyFont="1" applyFill="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8" xfId="0" applyFont="1" applyBorder="1" applyAlignment="1">
      <alignment vertical="center" wrapText="1"/>
    </xf>
    <xf numFmtId="0" fontId="2" fillId="0" borderId="17"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E18" sqref="E18:F18"/>
    </sheetView>
  </sheetViews>
  <sheetFormatPr defaultColWidth="9" defaultRowHeight="18.7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29"/>
    <col min="16" max="16384" width="9" style="12"/>
  </cols>
  <sheetData>
    <row r="1" spans="1:15" ht="24" customHeight="1" x14ac:dyDescent="0.15">
      <c r="M1" s="139" t="s">
        <v>25</v>
      </c>
      <c r="N1" s="139"/>
    </row>
    <row r="2" spans="1:15" ht="24" customHeight="1" x14ac:dyDescent="0.15">
      <c r="A2" s="143" t="s">
        <v>83</v>
      </c>
      <c r="B2" s="143"/>
      <c r="C2" s="143"/>
      <c r="D2" s="143"/>
      <c r="E2" s="143"/>
      <c r="F2" s="143"/>
      <c r="G2" s="143"/>
      <c r="H2" s="143"/>
      <c r="I2" s="143"/>
      <c r="J2" s="143"/>
      <c r="K2" s="143"/>
      <c r="L2" s="143"/>
      <c r="M2" s="143"/>
      <c r="N2" s="143"/>
    </row>
    <row r="3" spans="1:15" ht="24" customHeight="1" x14ac:dyDescent="0.15"/>
    <row r="4" spans="1:15" ht="24" customHeight="1" x14ac:dyDescent="0.15">
      <c r="A4" s="13" t="s">
        <v>6</v>
      </c>
      <c r="B4" s="14" t="s">
        <v>16</v>
      </c>
      <c r="C4" s="131" t="s">
        <v>149</v>
      </c>
      <c r="D4" s="132"/>
      <c r="E4" s="132"/>
      <c r="F4" s="132"/>
      <c r="G4" s="132"/>
      <c r="H4" s="132"/>
      <c r="I4" s="132"/>
      <c r="J4" s="132"/>
      <c r="K4" s="132"/>
      <c r="L4" s="132"/>
      <c r="M4" s="132"/>
      <c r="N4" s="138"/>
      <c r="O4" s="29" t="str">
        <f>IF(C4="","入力してください","")</f>
        <v/>
      </c>
    </row>
    <row r="5" spans="1:15" ht="7.5" customHeight="1" x14ac:dyDescent="0.15">
      <c r="B5" s="14"/>
      <c r="C5" s="14"/>
      <c r="D5" s="14"/>
      <c r="E5" s="15"/>
      <c r="F5" s="35"/>
      <c r="G5" s="35"/>
      <c r="H5" s="35"/>
      <c r="I5" s="35"/>
      <c r="J5" s="35"/>
      <c r="K5" s="35"/>
      <c r="L5" s="35"/>
      <c r="M5" s="35"/>
      <c r="N5" s="35"/>
    </row>
    <row r="6" spans="1:15" ht="24" customHeight="1" x14ac:dyDescent="0.15">
      <c r="A6" s="13" t="s">
        <v>48</v>
      </c>
      <c r="B6" s="14" t="s">
        <v>49</v>
      </c>
      <c r="C6" s="14"/>
      <c r="D6" s="131" t="s">
        <v>150</v>
      </c>
      <c r="E6" s="132"/>
      <c r="F6" s="132"/>
      <c r="G6" s="132"/>
      <c r="H6" s="138"/>
      <c r="I6" s="16" t="s">
        <v>86</v>
      </c>
      <c r="J6" s="35" t="s">
        <v>87</v>
      </c>
      <c r="K6" s="131" t="s">
        <v>151</v>
      </c>
      <c r="L6" s="132"/>
      <c r="M6" s="132"/>
      <c r="N6" s="138"/>
      <c r="O6" s="29" t="str">
        <f>IF(D6="","入力してください","")</f>
        <v/>
      </c>
    </row>
    <row r="7" spans="1:15" ht="7.5" customHeight="1" x14ac:dyDescent="0.15">
      <c r="B7" s="14"/>
      <c r="C7" s="14"/>
      <c r="D7" s="14"/>
      <c r="E7" s="15"/>
      <c r="F7" s="35"/>
      <c r="G7" s="35"/>
      <c r="H7" s="35"/>
      <c r="I7" s="35"/>
      <c r="J7" s="35"/>
      <c r="K7" s="35"/>
      <c r="L7" s="35"/>
      <c r="M7" s="35"/>
      <c r="N7" s="35"/>
    </row>
    <row r="8" spans="1:15" ht="24" customHeight="1" x14ac:dyDescent="0.15">
      <c r="A8" s="13" t="s">
        <v>13</v>
      </c>
      <c r="B8" s="14" t="s">
        <v>45</v>
      </c>
      <c r="C8" s="131" t="s">
        <v>152</v>
      </c>
      <c r="D8" s="132"/>
      <c r="E8" s="132"/>
      <c r="F8" s="132"/>
      <c r="G8" s="132"/>
      <c r="H8" s="132"/>
      <c r="I8" s="132"/>
      <c r="J8" s="132"/>
      <c r="K8" s="132"/>
      <c r="L8" s="132"/>
      <c r="M8" s="132"/>
      <c r="N8" s="138"/>
      <c r="O8" s="29" t="str">
        <f>IF(C8="","入力してください","")</f>
        <v/>
      </c>
    </row>
    <row r="9" spans="1:15" ht="7.5" customHeight="1" x14ac:dyDescent="0.15">
      <c r="B9" s="14"/>
      <c r="C9" s="14"/>
      <c r="D9" s="14"/>
      <c r="E9" s="15"/>
      <c r="F9" s="35"/>
      <c r="G9" s="35"/>
      <c r="H9" s="35"/>
      <c r="I9" s="35"/>
      <c r="J9" s="35"/>
      <c r="K9" s="35"/>
      <c r="L9" s="35"/>
      <c r="M9" s="35"/>
      <c r="N9" s="35"/>
    </row>
    <row r="10" spans="1:15" ht="24" customHeight="1" x14ac:dyDescent="0.15">
      <c r="A10" s="13" t="s">
        <v>11</v>
      </c>
      <c r="B10" s="14" t="s">
        <v>85</v>
      </c>
      <c r="C10" s="14"/>
      <c r="D10" s="14"/>
      <c r="E10" s="131" t="s">
        <v>160</v>
      </c>
      <c r="F10" s="132"/>
      <c r="G10" s="132"/>
      <c r="H10" s="132"/>
      <c r="I10" s="132"/>
      <c r="J10" s="132"/>
      <c r="K10" s="132"/>
      <c r="L10" s="132"/>
      <c r="M10" s="132"/>
      <c r="N10" s="138"/>
      <c r="O10" s="29" t="str">
        <f>IF(E10="","入力してください","")</f>
        <v/>
      </c>
    </row>
    <row r="11" spans="1:15" ht="7.5" customHeight="1" x14ac:dyDescent="0.15">
      <c r="B11" s="15"/>
      <c r="C11" s="15"/>
      <c r="D11" s="15"/>
      <c r="E11" s="15"/>
      <c r="F11" s="35"/>
      <c r="G11" s="35"/>
      <c r="H11" s="35"/>
      <c r="I11" s="35"/>
      <c r="J11" s="35"/>
      <c r="K11" s="35"/>
      <c r="L11" s="35"/>
      <c r="M11" s="35"/>
      <c r="N11" s="35"/>
    </row>
    <row r="12" spans="1:15" ht="24" customHeight="1" x14ac:dyDescent="0.15">
      <c r="A12" s="13" t="s">
        <v>58</v>
      </c>
      <c r="B12" s="15" t="s">
        <v>59</v>
      </c>
      <c r="C12" s="15"/>
      <c r="D12" s="15"/>
      <c r="E12" s="144" t="s">
        <v>159</v>
      </c>
      <c r="F12" s="145"/>
      <c r="G12" s="16" t="s">
        <v>96</v>
      </c>
      <c r="H12" s="13" t="s">
        <v>97</v>
      </c>
      <c r="N12" s="115" t="s">
        <v>153</v>
      </c>
      <c r="O12" s="29" t="str">
        <f>IF(E12="","入力してください","")</f>
        <v/>
      </c>
    </row>
    <row r="13" spans="1:15" ht="7.5" customHeight="1" x14ac:dyDescent="0.15">
      <c r="B13" s="15"/>
      <c r="C13" s="15"/>
      <c r="D13" s="15"/>
      <c r="E13" s="15"/>
      <c r="F13" s="35"/>
      <c r="G13" s="35"/>
      <c r="H13" s="35"/>
      <c r="I13" s="35"/>
      <c r="J13" s="35"/>
      <c r="K13" s="35"/>
      <c r="L13" s="35"/>
      <c r="M13" s="35"/>
      <c r="N13" s="35"/>
    </row>
    <row r="14" spans="1:15" ht="24" customHeight="1" x14ac:dyDescent="0.15">
      <c r="A14" s="13" t="s">
        <v>53</v>
      </c>
      <c r="B14" s="13" t="s">
        <v>0</v>
      </c>
      <c r="C14" s="140" t="s">
        <v>5</v>
      </c>
      <c r="D14" s="141"/>
      <c r="E14" s="135">
        <v>64</v>
      </c>
      <c r="F14" s="136"/>
      <c r="G14" s="17" t="s">
        <v>7</v>
      </c>
      <c r="I14" s="140" t="s">
        <v>8</v>
      </c>
      <c r="J14" s="141"/>
      <c r="K14" s="135">
        <v>40</v>
      </c>
      <c r="L14" s="142"/>
      <c r="M14" s="136"/>
      <c r="N14" s="18" t="s">
        <v>7</v>
      </c>
      <c r="O14" s="29" t="str">
        <f>IF(OR(E14="",K14=""),"入力してください","")</f>
        <v/>
      </c>
    </row>
    <row r="15" spans="1:15" ht="7.5" customHeight="1" x14ac:dyDescent="0.15">
      <c r="F15" s="19"/>
      <c r="G15" s="19"/>
      <c r="H15" s="19"/>
      <c r="I15" s="19"/>
      <c r="J15" s="19"/>
      <c r="K15" s="19"/>
      <c r="L15" s="19"/>
      <c r="M15" s="18"/>
      <c r="N15" s="18"/>
    </row>
    <row r="16" spans="1:15" ht="24" customHeight="1" x14ac:dyDescent="0.15">
      <c r="A16" s="13" t="s">
        <v>60</v>
      </c>
      <c r="B16" s="13" t="s">
        <v>70</v>
      </c>
      <c r="F16" s="19"/>
      <c r="G16" s="19"/>
      <c r="H16" s="19"/>
      <c r="I16" s="19"/>
      <c r="J16" s="19"/>
      <c r="K16" s="123">
        <v>2</v>
      </c>
      <c r="L16" s="124"/>
      <c r="M16" s="125"/>
      <c r="N16" s="18" t="s">
        <v>51</v>
      </c>
    </row>
    <row r="17" spans="1:15" ht="7.5" customHeight="1" x14ac:dyDescent="0.15">
      <c r="F17" s="19"/>
      <c r="G17" s="19"/>
      <c r="H17" s="19"/>
      <c r="I17" s="19"/>
      <c r="J17" s="19"/>
      <c r="K17" s="19"/>
      <c r="L17" s="19"/>
      <c r="M17" s="18"/>
      <c r="N17" s="18"/>
    </row>
    <row r="18" spans="1:15" ht="24" customHeight="1" x14ac:dyDescent="0.15">
      <c r="A18" s="13" t="s">
        <v>24</v>
      </c>
      <c r="B18" s="13" t="s">
        <v>77</v>
      </c>
      <c r="E18" s="135">
        <v>170</v>
      </c>
      <c r="F18" s="136"/>
      <c r="G18" s="20" t="s">
        <v>21</v>
      </c>
      <c r="H18" s="19"/>
      <c r="K18" s="137"/>
      <c r="L18" s="137"/>
      <c r="M18" s="137"/>
      <c r="N18" s="137"/>
      <c r="O18" s="29" t="str">
        <f>IF(E18="","入力してください","")</f>
        <v/>
      </c>
    </row>
    <row r="19" spans="1:15" ht="7.5" customHeight="1" x14ac:dyDescent="0.15">
      <c r="E19" s="9"/>
      <c r="F19" s="19"/>
      <c r="G19" s="19"/>
      <c r="L19" s="34"/>
      <c r="M19" s="34"/>
      <c r="N19" s="21"/>
    </row>
    <row r="20" spans="1:15" ht="24" customHeight="1" x14ac:dyDescent="0.15">
      <c r="A20" s="13" t="s">
        <v>76</v>
      </c>
      <c r="B20" s="13" t="s">
        <v>78</v>
      </c>
      <c r="E20" s="9"/>
      <c r="F20" s="19"/>
      <c r="G20" s="19"/>
      <c r="H20" s="13" t="s">
        <v>52</v>
      </c>
      <c r="J20" s="126">
        <v>768</v>
      </c>
      <c r="K20" s="127"/>
      <c r="L20" s="128"/>
      <c r="M20" s="34" t="s">
        <v>51</v>
      </c>
      <c r="N20" s="21"/>
      <c r="O20" s="29" t="str">
        <f>IF(J20="","入力してください","")</f>
        <v/>
      </c>
    </row>
    <row r="21" spans="1:15" ht="7.5" customHeight="1" x14ac:dyDescent="0.15">
      <c r="E21" s="9"/>
      <c r="F21" s="19"/>
      <c r="G21" s="19"/>
      <c r="L21" s="34"/>
      <c r="M21" s="34"/>
      <c r="N21" s="21"/>
    </row>
    <row r="22" spans="1:15" ht="24" customHeight="1" x14ac:dyDescent="0.15">
      <c r="B22" s="27" t="s">
        <v>17</v>
      </c>
      <c r="C22" s="135">
        <v>182</v>
      </c>
      <c r="D22" s="136"/>
      <c r="E22" s="9" t="s">
        <v>22</v>
      </c>
      <c r="F22" s="19"/>
      <c r="G22" s="129" t="s">
        <v>18</v>
      </c>
      <c r="H22" s="129"/>
      <c r="I22" s="135">
        <v>178</v>
      </c>
      <c r="J22" s="136"/>
      <c r="K22" s="16" t="s">
        <v>22</v>
      </c>
      <c r="M22" s="34"/>
      <c r="N22" s="21"/>
    </row>
    <row r="23" spans="1:15" ht="7.5" customHeight="1" x14ac:dyDescent="0.15">
      <c r="B23" s="27"/>
      <c r="C23" s="10"/>
      <c r="D23" s="10"/>
      <c r="E23" s="9"/>
      <c r="F23" s="19"/>
      <c r="G23" s="34"/>
      <c r="H23" s="34"/>
      <c r="I23" s="10"/>
      <c r="J23" s="10"/>
      <c r="K23" s="16"/>
      <c r="M23" s="34"/>
      <c r="N23" s="21"/>
    </row>
    <row r="24" spans="1:15" ht="24" customHeight="1" x14ac:dyDescent="0.15">
      <c r="B24" s="27" t="s">
        <v>19</v>
      </c>
      <c r="C24" s="135">
        <v>198</v>
      </c>
      <c r="D24" s="136"/>
      <c r="E24" s="9" t="s">
        <v>22</v>
      </c>
      <c r="F24" s="19"/>
      <c r="G24" s="129" t="s">
        <v>20</v>
      </c>
      <c r="H24" s="129"/>
      <c r="I24" s="135">
        <v>210</v>
      </c>
      <c r="J24" s="136"/>
      <c r="K24" s="16" t="s">
        <v>22</v>
      </c>
      <c r="M24" s="34"/>
      <c r="N24" s="21"/>
    </row>
    <row r="25" spans="1:15" ht="7.5" customHeight="1" x14ac:dyDescent="0.15">
      <c r="B25" s="27"/>
      <c r="C25" s="10"/>
      <c r="D25" s="10"/>
      <c r="E25" s="9"/>
      <c r="F25" s="19"/>
      <c r="G25" s="34"/>
      <c r="H25" s="34"/>
      <c r="I25" s="10"/>
      <c r="J25" s="10"/>
      <c r="K25" s="16"/>
      <c r="M25" s="34"/>
      <c r="N25" s="21"/>
    </row>
    <row r="26" spans="1:15" ht="24" customHeight="1" x14ac:dyDescent="0.15">
      <c r="B26" s="27" t="s">
        <v>46</v>
      </c>
      <c r="C26" s="135"/>
      <c r="D26" s="136"/>
      <c r="E26" s="9" t="s">
        <v>7</v>
      </c>
      <c r="F26" s="19"/>
      <c r="G26" s="129" t="s">
        <v>47</v>
      </c>
      <c r="H26" s="129"/>
      <c r="I26" s="135"/>
      <c r="J26" s="136"/>
      <c r="K26" s="16" t="s">
        <v>7</v>
      </c>
      <c r="M26" s="34"/>
      <c r="N26" s="21"/>
    </row>
    <row r="27" spans="1:15" ht="7.5" customHeight="1" x14ac:dyDescent="0.15">
      <c r="F27" s="19"/>
      <c r="G27" s="19"/>
      <c r="M27" s="22"/>
      <c r="N27" s="22"/>
    </row>
    <row r="28" spans="1:15" ht="24" customHeight="1" x14ac:dyDescent="0.15">
      <c r="A28" s="13" t="s">
        <v>50</v>
      </c>
      <c r="B28" s="14" t="s">
        <v>75</v>
      </c>
      <c r="C28" s="14"/>
      <c r="D28" s="14"/>
      <c r="E28" s="14"/>
      <c r="F28" s="16"/>
      <c r="G28" s="35"/>
      <c r="H28" s="35"/>
      <c r="I28" s="35"/>
      <c r="J28" s="23"/>
      <c r="K28" s="23"/>
      <c r="L28" s="23"/>
      <c r="M28" s="23"/>
      <c r="N28" s="23"/>
    </row>
    <row r="29" spans="1:15" s="13" customFormat="1" ht="24" customHeight="1" x14ac:dyDescent="0.15">
      <c r="B29" s="130" t="s">
        <v>74</v>
      </c>
      <c r="C29" s="130"/>
      <c r="D29" s="131" t="s">
        <v>204</v>
      </c>
      <c r="E29" s="132"/>
      <c r="F29" s="132"/>
      <c r="G29" s="133" t="s">
        <v>23</v>
      </c>
      <c r="H29" s="130"/>
      <c r="I29" s="134"/>
      <c r="J29" s="131" t="s">
        <v>208</v>
      </c>
      <c r="K29" s="132"/>
      <c r="L29" s="132"/>
      <c r="M29" s="132"/>
      <c r="N29" s="138"/>
      <c r="O29" s="29" t="str">
        <f>IF(OR(D29="",J29=""),"入力してください","")</f>
        <v/>
      </c>
    </row>
    <row r="30" spans="1:15" ht="7.5" customHeight="1" x14ac:dyDescent="0.15">
      <c r="F30" s="19"/>
      <c r="G30" s="19"/>
      <c r="M30" s="22"/>
      <c r="N30" s="22"/>
    </row>
    <row r="31" spans="1:15" ht="24" customHeight="1" x14ac:dyDescent="0.15">
      <c r="A31" s="13" t="s">
        <v>54</v>
      </c>
      <c r="B31" s="14" t="s">
        <v>80</v>
      </c>
      <c r="C31" s="14"/>
      <c r="D31" s="14"/>
      <c r="E31" s="14"/>
      <c r="F31" s="16"/>
      <c r="G31" s="23"/>
      <c r="H31" s="23"/>
      <c r="I31" s="23"/>
      <c r="J31" s="23"/>
      <c r="K31" s="23"/>
      <c r="L31" s="23"/>
      <c r="M31" s="23"/>
      <c r="N31" s="23"/>
    </row>
    <row r="32" spans="1:15" ht="24" customHeight="1" x14ac:dyDescent="0.15">
      <c r="B32" s="131" t="s">
        <v>172</v>
      </c>
      <c r="C32" s="132"/>
      <c r="D32" s="132"/>
      <c r="E32" s="132"/>
      <c r="F32" s="132"/>
      <c r="G32" s="132"/>
      <c r="H32" s="132"/>
      <c r="I32" s="132"/>
      <c r="J32" s="132"/>
      <c r="K32" s="132"/>
      <c r="L32" s="132"/>
      <c r="M32" s="132"/>
      <c r="N32" s="138"/>
      <c r="O32" s="29" t="str">
        <f>IF(B32="","入力してください","")</f>
        <v/>
      </c>
    </row>
    <row r="33" spans="1:15" ht="7.5" customHeight="1" x14ac:dyDescent="0.15">
      <c r="B33" s="11"/>
      <c r="C33" s="11"/>
      <c r="D33" s="11"/>
      <c r="E33" s="11"/>
      <c r="F33" s="11"/>
      <c r="G33" s="11"/>
      <c r="H33" s="11"/>
      <c r="I33" s="11"/>
      <c r="J33" s="11"/>
      <c r="K33" s="11"/>
      <c r="L33" s="11"/>
      <c r="M33" s="11"/>
      <c r="N33" s="11"/>
    </row>
    <row r="34" spans="1:15" s="13" customFormat="1" ht="24" customHeight="1" x14ac:dyDescent="0.15">
      <c r="B34" s="130" t="s">
        <v>74</v>
      </c>
      <c r="C34" s="130"/>
      <c r="D34" s="131" t="s">
        <v>162</v>
      </c>
      <c r="E34" s="132"/>
      <c r="F34" s="132"/>
      <c r="G34" s="133" t="s">
        <v>55</v>
      </c>
      <c r="H34" s="130"/>
      <c r="I34" s="134"/>
      <c r="J34" s="131" t="s">
        <v>173</v>
      </c>
      <c r="K34" s="132"/>
      <c r="L34" s="132"/>
      <c r="M34" s="132"/>
      <c r="N34" s="138"/>
      <c r="O34" s="29" t="str">
        <f>IF(OR(D34="",J34=""),"入力してください","")</f>
        <v/>
      </c>
    </row>
    <row r="35" spans="1:15" ht="7.5" customHeight="1" x14ac:dyDescent="0.15">
      <c r="F35" s="120"/>
      <c r="G35" s="120"/>
      <c r="H35" s="120"/>
      <c r="I35" s="120"/>
      <c r="J35" s="120"/>
      <c r="K35" s="120"/>
      <c r="L35" s="120"/>
      <c r="M35" s="120"/>
      <c r="N35" s="120"/>
    </row>
    <row r="36" spans="1:15" ht="24" customHeight="1" x14ac:dyDescent="0.15">
      <c r="A36" s="13" t="s">
        <v>61</v>
      </c>
      <c r="B36" s="13" t="s">
        <v>81</v>
      </c>
      <c r="M36" s="22"/>
      <c r="N36" s="22"/>
    </row>
    <row r="37" spans="1:15" ht="24" customHeight="1" x14ac:dyDescent="0.15">
      <c r="B37" s="131" t="s">
        <v>161</v>
      </c>
      <c r="C37" s="132"/>
      <c r="D37" s="132"/>
      <c r="E37" s="132"/>
      <c r="F37" s="132"/>
      <c r="G37" s="132"/>
      <c r="H37" s="132"/>
      <c r="I37" s="132"/>
      <c r="J37" s="132"/>
      <c r="K37" s="132"/>
      <c r="L37" s="132"/>
      <c r="M37" s="132"/>
      <c r="N37" s="138"/>
      <c r="O37" s="29" t="str">
        <f>IF(B37="","入力してください","")</f>
        <v/>
      </c>
    </row>
    <row r="38" spans="1:15" ht="7.5" customHeight="1" x14ac:dyDescent="0.15">
      <c r="F38" s="35"/>
      <c r="G38" s="35"/>
      <c r="H38" s="35"/>
      <c r="I38" s="35"/>
      <c r="J38" s="35"/>
      <c r="K38" s="35"/>
      <c r="L38" s="35"/>
      <c r="M38" s="35"/>
      <c r="N38" s="35"/>
    </row>
    <row r="39" spans="1:15" s="13" customFormat="1" ht="24" customHeight="1" x14ac:dyDescent="0.15">
      <c r="B39" s="130" t="s">
        <v>74</v>
      </c>
      <c r="C39" s="130"/>
      <c r="D39" s="131" t="s">
        <v>204</v>
      </c>
      <c r="E39" s="132"/>
      <c r="F39" s="132"/>
      <c r="G39" s="133" t="s">
        <v>55</v>
      </c>
      <c r="H39" s="130"/>
      <c r="I39" s="134"/>
      <c r="J39" s="131" t="s">
        <v>205</v>
      </c>
      <c r="K39" s="132"/>
      <c r="L39" s="132"/>
      <c r="M39" s="132"/>
      <c r="N39" s="138"/>
      <c r="O39" s="29" t="str">
        <f>IF(OR(D39="",J39=""),"入力してください","")</f>
        <v/>
      </c>
    </row>
    <row r="40" spans="1:15" ht="7.5" customHeight="1" x14ac:dyDescent="0.15">
      <c r="F40" s="35"/>
      <c r="G40" s="35"/>
      <c r="H40" s="35"/>
      <c r="I40" s="35"/>
      <c r="J40" s="35"/>
      <c r="K40" s="35"/>
      <c r="L40" s="35"/>
      <c r="M40" s="35"/>
      <c r="N40" s="35"/>
    </row>
    <row r="41" spans="1:15" ht="24" customHeight="1" x14ac:dyDescent="0.15">
      <c r="A41" s="13" t="s">
        <v>88</v>
      </c>
      <c r="B41" s="71" t="s">
        <v>69</v>
      </c>
      <c r="E41" s="72"/>
      <c r="F41" s="131" t="s">
        <v>155</v>
      </c>
      <c r="G41" s="132"/>
      <c r="H41" s="132"/>
      <c r="I41" s="132"/>
      <c r="J41" s="132"/>
      <c r="K41" s="132"/>
      <c r="L41" s="132"/>
      <c r="M41" s="132"/>
      <c r="N41" s="138"/>
      <c r="O41" s="29" t="str">
        <f>IF(F41="","入力してください","")</f>
        <v/>
      </c>
    </row>
    <row r="42" spans="1:15" ht="7.5" customHeight="1" x14ac:dyDescent="0.15">
      <c r="F42" s="35"/>
      <c r="G42" s="35"/>
      <c r="H42" s="35"/>
      <c r="I42" s="35"/>
      <c r="J42" s="35"/>
      <c r="K42" s="35"/>
      <c r="L42" s="35"/>
      <c r="M42" s="35"/>
      <c r="N42" s="35"/>
    </row>
    <row r="43" spans="1:15" ht="24" customHeight="1" x14ac:dyDescent="0.15">
      <c r="A43" s="13" t="s">
        <v>98</v>
      </c>
    </row>
    <row r="44" spans="1:15" ht="24" customHeight="1" x14ac:dyDescent="0.15">
      <c r="B44" s="28" t="s">
        <v>1</v>
      </c>
      <c r="C44" s="152" t="s">
        <v>156</v>
      </c>
      <c r="D44" s="153"/>
      <c r="E44" s="153"/>
      <c r="F44" s="153"/>
      <c r="G44" s="153"/>
      <c r="H44" s="153"/>
      <c r="I44" s="25" t="s">
        <v>2</v>
      </c>
      <c r="J44" s="26"/>
      <c r="K44" s="131" t="s">
        <v>157</v>
      </c>
      <c r="L44" s="132"/>
      <c r="M44" s="132"/>
      <c r="N44" s="138"/>
      <c r="O44" s="29" t="str">
        <f>IF(OR(C44="",K44=""),"入力してください","")</f>
        <v/>
      </c>
    </row>
    <row r="45" spans="1:15" ht="24" customHeight="1" x14ac:dyDescent="0.15">
      <c r="B45" s="24" t="s">
        <v>4</v>
      </c>
      <c r="C45" s="146" t="s">
        <v>183</v>
      </c>
      <c r="D45" s="147"/>
      <c r="E45" s="147"/>
      <c r="F45" s="147"/>
      <c r="G45" s="147"/>
      <c r="H45" s="148"/>
      <c r="I45" s="25" t="s">
        <v>3</v>
      </c>
      <c r="J45" s="26"/>
      <c r="K45" s="149" t="s">
        <v>158</v>
      </c>
      <c r="L45" s="150"/>
      <c r="M45" s="150"/>
      <c r="N45" s="151"/>
      <c r="O45" s="29"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10" zoomScaleNormal="100" zoomScaleSheetLayoutView="100" workbookViewId="0">
      <selection activeCell="B98" sqref="B98:Z98"/>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75" t="s">
        <v>113</v>
      </c>
      <c r="X1" s="175"/>
      <c r="Y1" s="175"/>
      <c r="Z1" s="175"/>
    </row>
    <row r="2" spans="1:26" ht="18" customHeight="1" x14ac:dyDescent="0.15">
      <c r="A2" s="214" t="s">
        <v>67</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x14ac:dyDescent="0.15">
      <c r="B3" s="27"/>
      <c r="C3" s="27"/>
      <c r="D3" s="27"/>
      <c r="E3" s="27"/>
      <c r="F3" s="27"/>
      <c r="G3" s="27"/>
      <c r="H3" s="27"/>
      <c r="I3" s="27"/>
      <c r="J3" s="27"/>
      <c r="K3" s="27"/>
      <c r="L3" s="27"/>
      <c r="M3" s="27"/>
      <c r="N3" s="27"/>
      <c r="O3" s="27"/>
      <c r="P3" s="27"/>
      <c r="Q3" s="27"/>
      <c r="R3" s="27"/>
      <c r="S3" s="27"/>
      <c r="T3" s="27"/>
      <c r="U3" s="27"/>
      <c r="V3" s="27"/>
      <c r="W3" s="27"/>
      <c r="X3" s="27"/>
      <c r="Y3" s="27"/>
      <c r="Z3" s="27"/>
    </row>
    <row r="4" spans="1:26" ht="18" customHeight="1" x14ac:dyDescent="0.15">
      <c r="A4" s="12" t="s">
        <v>99</v>
      </c>
      <c r="B4" s="27"/>
      <c r="C4" s="27"/>
      <c r="D4" s="27"/>
      <c r="E4" s="27"/>
      <c r="F4" s="27"/>
      <c r="G4" s="27"/>
      <c r="H4" s="14" t="s">
        <v>112</v>
      </c>
      <c r="I4" s="27"/>
      <c r="J4" s="27"/>
      <c r="K4" s="27"/>
      <c r="L4" s="27"/>
      <c r="M4" s="27"/>
      <c r="N4" s="27"/>
      <c r="O4" s="123" t="s">
        <v>154</v>
      </c>
      <c r="P4" s="124"/>
      <c r="Q4" s="124"/>
      <c r="R4" s="124"/>
      <c r="S4" s="124"/>
      <c r="T4" s="124"/>
      <c r="U4" s="124"/>
      <c r="V4" s="124"/>
      <c r="W4" s="124"/>
      <c r="X4" s="124"/>
      <c r="Y4" s="124"/>
      <c r="Z4" s="125"/>
    </row>
    <row r="5" spans="1:26" ht="6" customHeight="1" x14ac:dyDescent="0.15">
      <c r="B5" s="27"/>
      <c r="C5" s="27"/>
      <c r="D5" s="27"/>
      <c r="E5" s="27"/>
      <c r="F5" s="27"/>
      <c r="G5" s="27"/>
      <c r="H5" s="27"/>
      <c r="I5" s="27"/>
      <c r="J5" s="27"/>
      <c r="K5" s="27"/>
      <c r="L5" s="27"/>
      <c r="M5" s="27"/>
      <c r="N5" s="27"/>
      <c r="O5" s="15"/>
      <c r="P5" s="27"/>
      <c r="Q5" s="27"/>
      <c r="R5" s="27"/>
      <c r="S5" s="27"/>
      <c r="T5" s="27"/>
      <c r="U5" s="27"/>
      <c r="V5" s="27"/>
      <c r="W5" s="27"/>
      <c r="X5" s="27"/>
      <c r="Y5" s="27"/>
      <c r="Z5" s="27"/>
    </row>
    <row r="6" spans="1:26" ht="18" customHeight="1" x14ac:dyDescent="0.15">
      <c r="B6" s="215" t="s">
        <v>174</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x14ac:dyDescent="0.15">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x14ac:dyDescent="0.15">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x14ac:dyDescent="0.15">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x14ac:dyDescent="0.15">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x14ac:dyDescent="0.15">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x14ac:dyDescent="0.15">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8" customHeight="1" x14ac:dyDescent="0.15">
      <c r="A13" s="213" t="s">
        <v>126</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x14ac:dyDescent="0.15">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x14ac:dyDescent="0.15">
      <c r="A15" s="13"/>
      <c r="B15" s="123" t="s">
        <v>100</v>
      </c>
      <c r="C15" s="124"/>
      <c r="D15" s="124"/>
      <c r="E15" s="124"/>
      <c r="F15" s="125"/>
      <c r="G15" s="28" t="s">
        <v>142</v>
      </c>
      <c r="H15" s="110" t="s">
        <v>141</v>
      </c>
      <c r="I15" s="124" t="s">
        <v>101</v>
      </c>
      <c r="J15" s="124"/>
      <c r="K15" s="124"/>
      <c r="L15" s="73" t="s">
        <v>104</v>
      </c>
      <c r="M15" s="73" t="s">
        <v>107</v>
      </c>
      <c r="N15" s="123" t="s">
        <v>100</v>
      </c>
      <c r="O15" s="124"/>
      <c r="P15" s="124"/>
      <c r="Q15" s="124"/>
      <c r="R15" s="124"/>
      <c r="S15" s="125"/>
      <c r="T15" s="28" t="s">
        <v>142</v>
      </c>
      <c r="U15" s="110" t="s">
        <v>141</v>
      </c>
      <c r="V15" s="124" t="s">
        <v>101</v>
      </c>
      <c r="W15" s="124"/>
      <c r="X15" s="124"/>
      <c r="Y15" s="73" t="s">
        <v>104</v>
      </c>
      <c r="Z15" s="73" t="s">
        <v>107</v>
      </c>
    </row>
    <row r="16" spans="1:26" ht="18" customHeight="1" x14ac:dyDescent="0.15">
      <c r="A16" s="13"/>
      <c r="B16" s="176" t="s">
        <v>163</v>
      </c>
      <c r="C16" s="177"/>
      <c r="D16" s="177"/>
      <c r="E16" s="177"/>
      <c r="F16" s="178"/>
      <c r="G16" s="111">
        <v>2</v>
      </c>
      <c r="H16" s="111" t="s">
        <v>171</v>
      </c>
      <c r="I16" s="182" t="s">
        <v>182</v>
      </c>
      <c r="J16" s="183"/>
      <c r="K16" s="184"/>
      <c r="L16" s="111" t="s">
        <v>171</v>
      </c>
      <c r="M16" s="111" t="s">
        <v>171</v>
      </c>
      <c r="N16" s="172"/>
      <c r="O16" s="173"/>
      <c r="P16" s="173"/>
      <c r="Q16" s="173"/>
      <c r="R16" s="173"/>
      <c r="S16" s="174"/>
      <c r="T16" s="111"/>
      <c r="U16" s="111"/>
      <c r="V16" s="182"/>
      <c r="W16" s="183"/>
      <c r="X16" s="184"/>
      <c r="Y16" s="111"/>
      <c r="Z16" s="111"/>
    </row>
    <row r="17" spans="1:26" ht="18" customHeight="1" x14ac:dyDescent="0.15">
      <c r="A17" s="13"/>
      <c r="B17" s="169"/>
      <c r="C17" s="170"/>
      <c r="D17" s="170"/>
      <c r="E17" s="170"/>
      <c r="F17" s="171"/>
      <c r="G17" s="112"/>
      <c r="H17" s="112"/>
      <c r="I17" s="154"/>
      <c r="J17" s="155"/>
      <c r="K17" s="156"/>
      <c r="L17" s="112"/>
      <c r="M17" s="112"/>
      <c r="N17" s="160"/>
      <c r="O17" s="161"/>
      <c r="P17" s="161"/>
      <c r="Q17" s="161"/>
      <c r="R17" s="161"/>
      <c r="S17" s="162"/>
      <c r="T17" s="112"/>
      <c r="U17" s="112"/>
      <c r="V17" s="154"/>
      <c r="W17" s="155"/>
      <c r="X17" s="156"/>
      <c r="Y17" s="112"/>
      <c r="Z17" s="112"/>
    </row>
    <row r="18" spans="1:26" ht="18" customHeight="1" x14ac:dyDescent="0.15">
      <c r="A18" s="13"/>
      <c r="B18" s="169"/>
      <c r="C18" s="170"/>
      <c r="D18" s="170"/>
      <c r="E18" s="170"/>
      <c r="F18" s="171"/>
      <c r="G18" s="112"/>
      <c r="H18" s="112"/>
      <c r="I18" s="154"/>
      <c r="J18" s="155"/>
      <c r="K18" s="156"/>
      <c r="L18" s="112"/>
      <c r="M18" s="112"/>
      <c r="N18" s="160"/>
      <c r="O18" s="161"/>
      <c r="P18" s="161"/>
      <c r="Q18" s="161"/>
      <c r="R18" s="161"/>
      <c r="S18" s="162"/>
      <c r="T18" s="112"/>
      <c r="U18" s="112"/>
      <c r="V18" s="154"/>
      <c r="W18" s="155"/>
      <c r="X18" s="156"/>
      <c r="Y18" s="112"/>
      <c r="Z18" s="112"/>
    </row>
    <row r="19" spans="1:26" ht="18" customHeight="1" x14ac:dyDescent="0.15">
      <c r="A19" s="13"/>
      <c r="B19" s="169"/>
      <c r="C19" s="170"/>
      <c r="D19" s="170"/>
      <c r="E19" s="170"/>
      <c r="F19" s="171"/>
      <c r="G19" s="112"/>
      <c r="H19" s="112"/>
      <c r="I19" s="154"/>
      <c r="J19" s="155"/>
      <c r="K19" s="156"/>
      <c r="L19" s="112"/>
      <c r="M19" s="112"/>
      <c r="N19" s="160"/>
      <c r="O19" s="161"/>
      <c r="P19" s="161"/>
      <c r="Q19" s="161"/>
      <c r="R19" s="161"/>
      <c r="S19" s="162"/>
      <c r="T19" s="112"/>
      <c r="U19" s="112"/>
      <c r="V19" s="154"/>
      <c r="W19" s="155"/>
      <c r="X19" s="156"/>
      <c r="Y19" s="112"/>
      <c r="Z19" s="112"/>
    </row>
    <row r="20" spans="1:26" ht="18" customHeight="1" x14ac:dyDescent="0.15">
      <c r="A20" s="13"/>
      <c r="B20" s="169"/>
      <c r="C20" s="170"/>
      <c r="D20" s="170"/>
      <c r="E20" s="170"/>
      <c r="F20" s="171"/>
      <c r="G20" s="112"/>
      <c r="H20" s="112"/>
      <c r="I20" s="154"/>
      <c r="J20" s="155"/>
      <c r="K20" s="156"/>
      <c r="L20" s="112"/>
      <c r="M20" s="112"/>
      <c r="N20" s="160"/>
      <c r="O20" s="161"/>
      <c r="P20" s="161"/>
      <c r="Q20" s="161"/>
      <c r="R20" s="161"/>
      <c r="S20" s="162"/>
      <c r="T20" s="112"/>
      <c r="U20" s="112"/>
      <c r="V20" s="154"/>
      <c r="W20" s="155"/>
      <c r="X20" s="156"/>
      <c r="Y20" s="112"/>
      <c r="Z20" s="112"/>
    </row>
    <row r="21" spans="1:26" ht="18" customHeight="1" x14ac:dyDescent="0.15">
      <c r="A21" s="27"/>
      <c r="B21" s="169"/>
      <c r="C21" s="170"/>
      <c r="D21" s="170"/>
      <c r="E21" s="170"/>
      <c r="F21" s="171"/>
      <c r="G21" s="112"/>
      <c r="H21" s="112"/>
      <c r="I21" s="154"/>
      <c r="J21" s="155"/>
      <c r="K21" s="156"/>
      <c r="L21" s="112"/>
      <c r="M21" s="112"/>
      <c r="N21" s="160"/>
      <c r="O21" s="161"/>
      <c r="P21" s="161"/>
      <c r="Q21" s="161"/>
      <c r="R21" s="161"/>
      <c r="S21" s="162"/>
      <c r="T21" s="112"/>
      <c r="U21" s="112"/>
      <c r="V21" s="154"/>
      <c r="W21" s="155"/>
      <c r="X21" s="156"/>
      <c r="Y21" s="112"/>
      <c r="Z21" s="112"/>
    </row>
    <row r="22" spans="1:26" ht="18" customHeight="1" x14ac:dyDescent="0.15">
      <c r="A22" s="27"/>
      <c r="B22" s="157"/>
      <c r="C22" s="158"/>
      <c r="D22" s="158"/>
      <c r="E22" s="158"/>
      <c r="F22" s="159"/>
      <c r="G22" s="113"/>
      <c r="H22" s="113"/>
      <c r="I22" s="166"/>
      <c r="J22" s="167"/>
      <c r="K22" s="168"/>
      <c r="L22" s="119"/>
      <c r="M22" s="119"/>
      <c r="N22" s="163"/>
      <c r="O22" s="164"/>
      <c r="P22" s="164"/>
      <c r="Q22" s="164"/>
      <c r="R22" s="164"/>
      <c r="S22" s="165"/>
      <c r="T22" s="113"/>
      <c r="U22" s="113"/>
      <c r="V22" s="166"/>
      <c r="W22" s="167"/>
      <c r="X22" s="168"/>
      <c r="Y22" s="119"/>
      <c r="Z22" s="119"/>
    </row>
    <row r="23" spans="1:26" ht="7.5" customHeight="1" x14ac:dyDescent="0.15">
      <c r="A23" s="27"/>
      <c r="B23" s="74"/>
      <c r="C23" s="74"/>
      <c r="D23" s="27"/>
      <c r="E23" s="27"/>
      <c r="F23" s="27"/>
      <c r="G23" s="27"/>
      <c r="H23" s="27"/>
      <c r="I23" s="27"/>
      <c r="J23" s="27"/>
      <c r="K23" s="27"/>
      <c r="L23" s="74"/>
      <c r="M23" s="74"/>
      <c r="N23" s="74"/>
      <c r="O23" s="74"/>
      <c r="P23" s="74"/>
      <c r="Q23" s="74"/>
      <c r="R23" s="74"/>
      <c r="S23" s="74"/>
      <c r="T23" s="74"/>
      <c r="U23" s="74"/>
      <c r="V23" s="74"/>
      <c r="W23" s="74"/>
      <c r="X23" s="74"/>
      <c r="Y23" s="74"/>
      <c r="Z23" s="27"/>
    </row>
    <row r="24" spans="1:26" ht="18" customHeight="1" x14ac:dyDescent="0.15">
      <c r="A24" s="213" t="s">
        <v>127</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x14ac:dyDescent="0.15">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x14ac:dyDescent="0.15">
      <c r="A26" s="13"/>
      <c r="B26" s="123" t="s">
        <v>100</v>
      </c>
      <c r="C26" s="124"/>
      <c r="D26" s="124"/>
      <c r="E26" s="124"/>
      <c r="F26" s="125"/>
      <c r="G26" s="28" t="s">
        <v>142</v>
      </c>
      <c r="H26" s="110" t="s">
        <v>141</v>
      </c>
      <c r="I26" s="124" t="s">
        <v>101</v>
      </c>
      <c r="J26" s="124"/>
      <c r="K26" s="124"/>
      <c r="L26" s="73" t="s">
        <v>128</v>
      </c>
      <c r="M26" s="73" t="s">
        <v>129</v>
      </c>
      <c r="N26" s="123" t="s">
        <v>100</v>
      </c>
      <c r="O26" s="124"/>
      <c r="P26" s="124"/>
      <c r="Q26" s="124"/>
      <c r="R26" s="124"/>
      <c r="S26" s="125"/>
      <c r="T26" s="28" t="s">
        <v>142</v>
      </c>
      <c r="U26" s="110" t="s">
        <v>141</v>
      </c>
      <c r="V26" s="124" t="s">
        <v>101</v>
      </c>
      <c r="W26" s="124"/>
      <c r="X26" s="124"/>
      <c r="Y26" s="73" t="s">
        <v>128</v>
      </c>
      <c r="Z26" s="73" t="s">
        <v>129</v>
      </c>
    </row>
    <row r="27" spans="1:26" ht="18" customHeight="1" x14ac:dyDescent="0.15">
      <c r="A27" s="13"/>
      <c r="B27" s="176" t="s">
        <v>163</v>
      </c>
      <c r="C27" s="177"/>
      <c r="D27" s="177"/>
      <c r="E27" s="177"/>
      <c r="F27" s="178"/>
      <c r="G27" s="111">
        <v>2</v>
      </c>
      <c r="H27" s="111" t="s">
        <v>171</v>
      </c>
      <c r="I27" s="182" t="s">
        <v>182</v>
      </c>
      <c r="J27" s="183"/>
      <c r="K27" s="184"/>
      <c r="L27" s="111" t="s">
        <v>171</v>
      </c>
      <c r="M27" s="111" t="s">
        <v>171</v>
      </c>
      <c r="N27" s="172"/>
      <c r="O27" s="173"/>
      <c r="P27" s="173"/>
      <c r="Q27" s="173"/>
      <c r="R27" s="173"/>
      <c r="S27" s="174"/>
      <c r="T27" s="111"/>
      <c r="U27" s="111"/>
      <c r="V27" s="182"/>
      <c r="W27" s="183"/>
      <c r="X27" s="184"/>
      <c r="Y27" s="111"/>
      <c r="Z27" s="111"/>
    </row>
    <row r="28" spans="1:26" ht="18" customHeight="1" x14ac:dyDescent="0.15">
      <c r="A28" s="13"/>
      <c r="B28" s="169"/>
      <c r="C28" s="170"/>
      <c r="D28" s="170"/>
      <c r="E28" s="170"/>
      <c r="F28" s="171"/>
      <c r="G28" s="112"/>
      <c r="H28" s="112"/>
      <c r="I28" s="154"/>
      <c r="J28" s="155"/>
      <c r="K28" s="156"/>
      <c r="L28" s="112"/>
      <c r="M28" s="112"/>
      <c r="N28" s="160"/>
      <c r="O28" s="161"/>
      <c r="P28" s="161"/>
      <c r="Q28" s="161"/>
      <c r="R28" s="161"/>
      <c r="S28" s="162"/>
      <c r="T28" s="112"/>
      <c r="U28" s="112"/>
      <c r="V28" s="154"/>
      <c r="W28" s="155"/>
      <c r="X28" s="156"/>
      <c r="Y28" s="112"/>
      <c r="Z28" s="112"/>
    </row>
    <row r="29" spans="1:26" ht="18" customHeight="1" x14ac:dyDescent="0.15">
      <c r="A29" s="13"/>
      <c r="B29" s="169"/>
      <c r="C29" s="170"/>
      <c r="D29" s="170"/>
      <c r="E29" s="170"/>
      <c r="F29" s="171"/>
      <c r="G29" s="112"/>
      <c r="H29" s="112"/>
      <c r="I29" s="154"/>
      <c r="J29" s="155"/>
      <c r="K29" s="156"/>
      <c r="L29" s="112"/>
      <c r="M29" s="112"/>
      <c r="N29" s="160"/>
      <c r="O29" s="161"/>
      <c r="P29" s="161"/>
      <c r="Q29" s="161"/>
      <c r="R29" s="161"/>
      <c r="S29" s="162"/>
      <c r="T29" s="112"/>
      <c r="U29" s="112"/>
      <c r="V29" s="154"/>
      <c r="W29" s="155"/>
      <c r="X29" s="156"/>
      <c r="Y29" s="112"/>
      <c r="Z29" s="112"/>
    </row>
    <row r="30" spans="1:26" ht="18" customHeight="1" x14ac:dyDescent="0.15">
      <c r="A30" s="13"/>
      <c r="B30" s="169"/>
      <c r="C30" s="170"/>
      <c r="D30" s="170"/>
      <c r="E30" s="170"/>
      <c r="F30" s="171"/>
      <c r="G30" s="112"/>
      <c r="H30" s="112"/>
      <c r="I30" s="154"/>
      <c r="J30" s="155"/>
      <c r="K30" s="156"/>
      <c r="L30" s="112"/>
      <c r="M30" s="112"/>
      <c r="N30" s="160"/>
      <c r="O30" s="161"/>
      <c r="P30" s="161"/>
      <c r="Q30" s="161"/>
      <c r="R30" s="161"/>
      <c r="S30" s="162"/>
      <c r="T30" s="112"/>
      <c r="U30" s="112"/>
      <c r="V30" s="154"/>
      <c r="W30" s="155"/>
      <c r="X30" s="156"/>
      <c r="Y30" s="112"/>
      <c r="Z30" s="112"/>
    </row>
    <row r="31" spans="1:26" ht="18" customHeight="1" x14ac:dyDescent="0.15">
      <c r="A31" s="13"/>
      <c r="B31" s="169"/>
      <c r="C31" s="170"/>
      <c r="D31" s="170"/>
      <c r="E31" s="170"/>
      <c r="F31" s="171"/>
      <c r="G31" s="112"/>
      <c r="H31" s="112"/>
      <c r="I31" s="154"/>
      <c r="J31" s="155"/>
      <c r="K31" s="156"/>
      <c r="L31" s="112"/>
      <c r="M31" s="112"/>
      <c r="N31" s="160"/>
      <c r="O31" s="161"/>
      <c r="P31" s="161"/>
      <c r="Q31" s="161"/>
      <c r="R31" s="161"/>
      <c r="S31" s="162"/>
      <c r="T31" s="112"/>
      <c r="U31" s="112"/>
      <c r="V31" s="154"/>
      <c r="W31" s="155"/>
      <c r="X31" s="156"/>
      <c r="Y31" s="112"/>
      <c r="Z31" s="112"/>
    </row>
    <row r="32" spans="1:26" ht="18" customHeight="1" x14ac:dyDescent="0.15">
      <c r="A32" s="13"/>
      <c r="B32" s="169"/>
      <c r="C32" s="170"/>
      <c r="D32" s="170"/>
      <c r="E32" s="170"/>
      <c r="F32" s="171"/>
      <c r="G32" s="112"/>
      <c r="H32" s="112"/>
      <c r="I32" s="154"/>
      <c r="J32" s="155"/>
      <c r="K32" s="156"/>
      <c r="L32" s="112"/>
      <c r="M32" s="112"/>
      <c r="N32" s="160"/>
      <c r="O32" s="161"/>
      <c r="P32" s="161"/>
      <c r="Q32" s="161"/>
      <c r="R32" s="161"/>
      <c r="S32" s="162"/>
      <c r="T32" s="112"/>
      <c r="U32" s="112"/>
      <c r="V32" s="154"/>
      <c r="W32" s="155"/>
      <c r="X32" s="156"/>
      <c r="Y32" s="112"/>
      <c r="Z32" s="112"/>
    </row>
    <row r="33" spans="1:26" ht="18" customHeight="1" x14ac:dyDescent="0.15">
      <c r="A33" s="13"/>
      <c r="B33" s="157"/>
      <c r="C33" s="158"/>
      <c r="D33" s="158"/>
      <c r="E33" s="158"/>
      <c r="F33" s="159"/>
      <c r="G33" s="113"/>
      <c r="H33" s="113"/>
      <c r="I33" s="166"/>
      <c r="J33" s="167"/>
      <c r="K33" s="168"/>
      <c r="L33" s="119"/>
      <c r="M33" s="119"/>
      <c r="N33" s="163"/>
      <c r="O33" s="164"/>
      <c r="P33" s="164"/>
      <c r="Q33" s="164"/>
      <c r="R33" s="164"/>
      <c r="S33" s="165"/>
      <c r="T33" s="113"/>
      <c r="U33" s="113"/>
      <c r="V33" s="166"/>
      <c r="W33" s="167"/>
      <c r="X33" s="168"/>
      <c r="Y33" s="119"/>
      <c r="Z33" s="119"/>
    </row>
    <row r="34" spans="1:26" ht="7.5" customHeight="1" x14ac:dyDescent="0.15">
      <c r="A34" s="27"/>
      <c r="B34" s="74"/>
      <c r="C34" s="74"/>
      <c r="D34" s="27"/>
      <c r="E34" s="27"/>
      <c r="F34" s="27"/>
      <c r="G34" s="27"/>
      <c r="H34" s="27"/>
      <c r="I34" s="27"/>
      <c r="J34" s="27"/>
      <c r="K34" s="27"/>
      <c r="L34" s="74"/>
      <c r="M34" s="74"/>
      <c r="N34" s="74"/>
      <c r="O34" s="74"/>
      <c r="P34" s="74"/>
      <c r="Q34" s="74"/>
      <c r="R34" s="74"/>
      <c r="S34" s="74"/>
      <c r="T34" s="74"/>
      <c r="U34" s="74"/>
      <c r="V34" s="74"/>
      <c r="W34" s="74"/>
      <c r="X34" s="74"/>
      <c r="Y34" s="74"/>
      <c r="Z34" s="27"/>
    </row>
    <row r="35" spans="1:26" ht="18" customHeight="1" x14ac:dyDescent="0.15">
      <c r="A35" s="213" t="s">
        <v>130</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x14ac:dyDescent="0.15">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x14ac:dyDescent="0.15">
      <c r="A37" s="13"/>
      <c r="B37" s="123" t="s">
        <v>100</v>
      </c>
      <c r="C37" s="124"/>
      <c r="D37" s="124"/>
      <c r="E37" s="124"/>
      <c r="F37" s="125"/>
      <c r="G37" s="28" t="s">
        <v>142</v>
      </c>
      <c r="H37" s="110" t="s">
        <v>141</v>
      </c>
      <c r="I37" s="123" t="s">
        <v>101</v>
      </c>
      <c r="J37" s="124"/>
      <c r="K37" s="125"/>
      <c r="L37" s="73" t="s">
        <v>131</v>
      </c>
      <c r="M37" s="73" t="s">
        <v>132</v>
      </c>
      <c r="N37" s="123" t="s">
        <v>100</v>
      </c>
      <c r="O37" s="124"/>
      <c r="P37" s="124"/>
      <c r="Q37" s="124"/>
      <c r="R37" s="124"/>
      <c r="S37" s="125"/>
      <c r="T37" s="28" t="s">
        <v>142</v>
      </c>
      <c r="U37" s="110" t="s">
        <v>141</v>
      </c>
      <c r="V37" s="123" t="s">
        <v>101</v>
      </c>
      <c r="W37" s="124"/>
      <c r="X37" s="125"/>
      <c r="Y37" s="73" t="s">
        <v>131</v>
      </c>
      <c r="Z37" s="73" t="s">
        <v>132</v>
      </c>
    </row>
    <row r="38" spans="1:26" ht="18" customHeight="1" x14ac:dyDescent="0.15">
      <c r="A38" s="27"/>
      <c r="B38" s="176" t="s">
        <v>163</v>
      </c>
      <c r="C38" s="177"/>
      <c r="D38" s="177"/>
      <c r="E38" s="177"/>
      <c r="F38" s="178"/>
      <c r="G38" s="111">
        <v>2</v>
      </c>
      <c r="H38" s="111" t="s">
        <v>171</v>
      </c>
      <c r="I38" s="182" t="s">
        <v>182</v>
      </c>
      <c r="J38" s="183"/>
      <c r="K38" s="184"/>
      <c r="L38" s="111" t="s">
        <v>171</v>
      </c>
      <c r="M38" s="111" t="s">
        <v>171</v>
      </c>
      <c r="N38" s="172"/>
      <c r="O38" s="173"/>
      <c r="P38" s="173"/>
      <c r="Q38" s="173"/>
      <c r="R38" s="173"/>
      <c r="S38" s="174"/>
      <c r="T38" s="111"/>
      <c r="U38" s="111"/>
      <c r="V38" s="182"/>
      <c r="W38" s="183"/>
      <c r="X38" s="184"/>
      <c r="Y38" s="111"/>
      <c r="Z38" s="111"/>
    </row>
    <row r="39" spans="1:26" ht="18" customHeight="1" x14ac:dyDescent="0.15">
      <c r="A39" s="27"/>
      <c r="B39" s="169"/>
      <c r="C39" s="170"/>
      <c r="D39" s="170"/>
      <c r="E39" s="170"/>
      <c r="F39" s="171"/>
      <c r="G39" s="112"/>
      <c r="H39" s="112"/>
      <c r="I39" s="154"/>
      <c r="J39" s="155"/>
      <c r="K39" s="156"/>
      <c r="L39" s="112"/>
      <c r="M39" s="112"/>
      <c r="N39" s="160"/>
      <c r="O39" s="161"/>
      <c r="P39" s="161"/>
      <c r="Q39" s="161"/>
      <c r="R39" s="161"/>
      <c r="S39" s="162"/>
      <c r="T39" s="112"/>
      <c r="U39" s="112"/>
      <c r="V39" s="154"/>
      <c r="W39" s="155"/>
      <c r="X39" s="156"/>
      <c r="Y39" s="112"/>
      <c r="Z39" s="112"/>
    </row>
    <row r="40" spans="1:26" ht="18" customHeight="1" x14ac:dyDescent="0.15">
      <c r="A40" s="27"/>
      <c r="B40" s="169"/>
      <c r="C40" s="170"/>
      <c r="D40" s="170"/>
      <c r="E40" s="170"/>
      <c r="F40" s="171"/>
      <c r="G40" s="112"/>
      <c r="H40" s="112"/>
      <c r="I40" s="154"/>
      <c r="J40" s="155"/>
      <c r="K40" s="156"/>
      <c r="L40" s="112"/>
      <c r="M40" s="112"/>
      <c r="N40" s="160"/>
      <c r="O40" s="161"/>
      <c r="P40" s="161"/>
      <c r="Q40" s="161"/>
      <c r="R40" s="161"/>
      <c r="S40" s="162"/>
      <c r="T40" s="112"/>
      <c r="U40" s="112"/>
      <c r="V40" s="154"/>
      <c r="W40" s="155"/>
      <c r="X40" s="156"/>
      <c r="Y40" s="112"/>
      <c r="Z40" s="112"/>
    </row>
    <row r="41" spans="1:26" ht="18" customHeight="1" x14ac:dyDescent="0.15">
      <c r="A41" s="27"/>
      <c r="B41" s="169"/>
      <c r="C41" s="170"/>
      <c r="D41" s="170"/>
      <c r="E41" s="170"/>
      <c r="F41" s="171"/>
      <c r="G41" s="112"/>
      <c r="H41" s="112"/>
      <c r="I41" s="154"/>
      <c r="J41" s="155"/>
      <c r="K41" s="156"/>
      <c r="L41" s="112"/>
      <c r="M41" s="112"/>
      <c r="N41" s="160"/>
      <c r="O41" s="161"/>
      <c r="P41" s="161"/>
      <c r="Q41" s="161"/>
      <c r="R41" s="161"/>
      <c r="S41" s="162"/>
      <c r="T41" s="112"/>
      <c r="U41" s="112"/>
      <c r="V41" s="154"/>
      <c r="W41" s="155"/>
      <c r="X41" s="156"/>
      <c r="Y41" s="112"/>
      <c r="Z41" s="112"/>
    </row>
    <row r="42" spans="1:26" ht="18" customHeight="1" x14ac:dyDescent="0.15">
      <c r="A42" s="27"/>
      <c r="B42" s="169"/>
      <c r="C42" s="170"/>
      <c r="D42" s="170"/>
      <c r="E42" s="170"/>
      <c r="F42" s="171"/>
      <c r="G42" s="112"/>
      <c r="H42" s="112"/>
      <c r="I42" s="154"/>
      <c r="J42" s="155"/>
      <c r="K42" s="156"/>
      <c r="L42" s="112"/>
      <c r="M42" s="112"/>
      <c r="N42" s="160"/>
      <c r="O42" s="161"/>
      <c r="P42" s="161"/>
      <c r="Q42" s="161"/>
      <c r="R42" s="161"/>
      <c r="S42" s="162"/>
      <c r="T42" s="112"/>
      <c r="U42" s="112"/>
      <c r="V42" s="154"/>
      <c r="W42" s="155"/>
      <c r="X42" s="156"/>
      <c r="Y42" s="112"/>
      <c r="Z42" s="112"/>
    </row>
    <row r="43" spans="1:26" ht="18" customHeight="1" x14ac:dyDescent="0.15">
      <c r="A43" s="27"/>
      <c r="B43" s="169"/>
      <c r="C43" s="170"/>
      <c r="D43" s="170"/>
      <c r="E43" s="170"/>
      <c r="F43" s="171"/>
      <c r="G43" s="112"/>
      <c r="H43" s="112"/>
      <c r="I43" s="154"/>
      <c r="J43" s="155"/>
      <c r="K43" s="156"/>
      <c r="L43" s="112"/>
      <c r="M43" s="112"/>
      <c r="N43" s="160"/>
      <c r="O43" s="161"/>
      <c r="P43" s="161"/>
      <c r="Q43" s="161"/>
      <c r="R43" s="161"/>
      <c r="S43" s="162"/>
      <c r="T43" s="112"/>
      <c r="U43" s="112"/>
      <c r="V43" s="154"/>
      <c r="W43" s="155"/>
      <c r="X43" s="156"/>
      <c r="Y43" s="112"/>
      <c r="Z43" s="112"/>
    </row>
    <row r="44" spans="1:26" ht="18" customHeight="1" x14ac:dyDescent="0.15">
      <c r="A44" s="27"/>
      <c r="B44" s="157"/>
      <c r="C44" s="158"/>
      <c r="D44" s="158"/>
      <c r="E44" s="158"/>
      <c r="F44" s="159"/>
      <c r="G44" s="113"/>
      <c r="H44" s="113"/>
      <c r="I44" s="166"/>
      <c r="J44" s="167"/>
      <c r="K44" s="168"/>
      <c r="L44" s="119"/>
      <c r="M44" s="119"/>
      <c r="N44" s="163"/>
      <c r="O44" s="164"/>
      <c r="P44" s="164"/>
      <c r="Q44" s="164"/>
      <c r="R44" s="164"/>
      <c r="S44" s="165"/>
      <c r="T44" s="113"/>
      <c r="U44" s="113"/>
      <c r="V44" s="166"/>
      <c r="W44" s="167"/>
      <c r="X44" s="168"/>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13" t="s">
        <v>133</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x14ac:dyDescent="0.15">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x14ac:dyDescent="0.15">
      <c r="A48" s="13"/>
      <c r="B48" s="123" t="s">
        <v>100</v>
      </c>
      <c r="C48" s="124"/>
      <c r="D48" s="124"/>
      <c r="E48" s="124"/>
      <c r="F48" s="125"/>
      <c r="G48" s="28" t="s">
        <v>142</v>
      </c>
      <c r="H48" s="110" t="s">
        <v>141</v>
      </c>
      <c r="I48" s="123" t="s">
        <v>101</v>
      </c>
      <c r="J48" s="124"/>
      <c r="K48" s="125"/>
      <c r="L48" s="73" t="s">
        <v>106</v>
      </c>
      <c r="M48" s="73" t="s">
        <v>108</v>
      </c>
      <c r="N48" s="123" t="s">
        <v>100</v>
      </c>
      <c r="O48" s="124"/>
      <c r="P48" s="124"/>
      <c r="Q48" s="124"/>
      <c r="R48" s="124"/>
      <c r="S48" s="125"/>
      <c r="T48" s="28" t="s">
        <v>142</v>
      </c>
      <c r="U48" s="110" t="s">
        <v>141</v>
      </c>
      <c r="V48" s="123" t="s">
        <v>101</v>
      </c>
      <c r="W48" s="124"/>
      <c r="X48" s="125"/>
      <c r="Y48" s="73" t="s">
        <v>106</v>
      </c>
      <c r="Z48" s="73" t="s">
        <v>108</v>
      </c>
    </row>
    <row r="49" spans="1:26" ht="18" customHeight="1" x14ac:dyDescent="0.15">
      <c r="A49" s="27"/>
      <c r="B49" s="176" t="s">
        <v>163</v>
      </c>
      <c r="C49" s="177"/>
      <c r="D49" s="177"/>
      <c r="E49" s="177"/>
      <c r="F49" s="178"/>
      <c r="G49" s="111">
        <v>2</v>
      </c>
      <c r="H49" s="111" t="s">
        <v>171</v>
      </c>
      <c r="I49" s="182" t="s">
        <v>182</v>
      </c>
      <c r="J49" s="183"/>
      <c r="K49" s="184"/>
      <c r="L49" s="111" t="s">
        <v>171</v>
      </c>
      <c r="M49" s="111" t="s">
        <v>171</v>
      </c>
      <c r="N49" s="172"/>
      <c r="O49" s="173"/>
      <c r="P49" s="173"/>
      <c r="Q49" s="173"/>
      <c r="R49" s="173"/>
      <c r="S49" s="174"/>
      <c r="T49" s="111"/>
      <c r="U49" s="111"/>
      <c r="V49" s="182"/>
      <c r="W49" s="183"/>
      <c r="X49" s="184"/>
      <c r="Y49" s="111"/>
      <c r="Z49" s="111"/>
    </row>
    <row r="50" spans="1:26" ht="18" customHeight="1" x14ac:dyDescent="0.15">
      <c r="A50" s="27"/>
      <c r="B50" s="169"/>
      <c r="C50" s="170"/>
      <c r="D50" s="170"/>
      <c r="E50" s="170"/>
      <c r="F50" s="171"/>
      <c r="G50" s="112"/>
      <c r="H50" s="112"/>
      <c r="I50" s="154"/>
      <c r="J50" s="155"/>
      <c r="K50" s="156"/>
      <c r="L50" s="112"/>
      <c r="M50" s="112"/>
      <c r="N50" s="160"/>
      <c r="O50" s="161"/>
      <c r="P50" s="161"/>
      <c r="Q50" s="161"/>
      <c r="R50" s="161"/>
      <c r="S50" s="162"/>
      <c r="T50" s="112"/>
      <c r="U50" s="112"/>
      <c r="V50" s="154"/>
      <c r="W50" s="155"/>
      <c r="X50" s="156"/>
      <c r="Y50" s="112"/>
      <c r="Z50" s="112"/>
    </row>
    <row r="51" spans="1:26" ht="18" customHeight="1" x14ac:dyDescent="0.15">
      <c r="A51" s="27"/>
      <c r="B51" s="169"/>
      <c r="C51" s="170"/>
      <c r="D51" s="170"/>
      <c r="E51" s="170"/>
      <c r="F51" s="171"/>
      <c r="G51" s="112"/>
      <c r="H51" s="112"/>
      <c r="I51" s="154"/>
      <c r="J51" s="155"/>
      <c r="K51" s="156"/>
      <c r="L51" s="112"/>
      <c r="M51" s="112"/>
      <c r="N51" s="160"/>
      <c r="O51" s="161"/>
      <c r="P51" s="161"/>
      <c r="Q51" s="161"/>
      <c r="R51" s="161"/>
      <c r="S51" s="162"/>
      <c r="T51" s="112"/>
      <c r="U51" s="112"/>
      <c r="V51" s="154"/>
      <c r="W51" s="155"/>
      <c r="X51" s="156"/>
      <c r="Y51" s="112"/>
      <c r="Z51" s="112"/>
    </row>
    <row r="52" spans="1:26" ht="18" customHeight="1" x14ac:dyDescent="0.15">
      <c r="A52" s="27"/>
      <c r="B52" s="169"/>
      <c r="C52" s="170"/>
      <c r="D52" s="170"/>
      <c r="E52" s="170"/>
      <c r="F52" s="171"/>
      <c r="G52" s="112"/>
      <c r="H52" s="112"/>
      <c r="I52" s="154"/>
      <c r="J52" s="155"/>
      <c r="K52" s="156"/>
      <c r="L52" s="112"/>
      <c r="M52" s="112"/>
      <c r="N52" s="160"/>
      <c r="O52" s="161"/>
      <c r="P52" s="161"/>
      <c r="Q52" s="161"/>
      <c r="R52" s="161"/>
      <c r="S52" s="162"/>
      <c r="T52" s="112"/>
      <c r="U52" s="112"/>
      <c r="V52" s="154"/>
      <c r="W52" s="155"/>
      <c r="X52" s="156"/>
      <c r="Y52" s="112"/>
      <c r="Z52" s="112"/>
    </row>
    <row r="53" spans="1:26" ht="18" customHeight="1" x14ac:dyDescent="0.15">
      <c r="A53" s="27"/>
      <c r="B53" s="169"/>
      <c r="C53" s="170"/>
      <c r="D53" s="170"/>
      <c r="E53" s="170"/>
      <c r="F53" s="171"/>
      <c r="G53" s="112"/>
      <c r="H53" s="112"/>
      <c r="I53" s="154"/>
      <c r="J53" s="155"/>
      <c r="K53" s="156"/>
      <c r="L53" s="112"/>
      <c r="M53" s="112"/>
      <c r="N53" s="160"/>
      <c r="O53" s="161"/>
      <c r="P53" s="161"/>
      <c r="Q53" s="161"/>
      <c r="R53" s="161"/>
      <c r="S53" s="162"/>
      <c r="T53" s="112"/>
      <c r="U53" s="112"/>
      <c r="V53" s="154"/>
      <c r="W53" s="155"/>
      <c r="X53" s="156"/>
      <c r="Y53" s="112"/>
      <c r="Z53" s="112"/>
    </row>
    <row r="54" spans="1:26" ht="18" customHeight="1" x14ac:dyDescent="0.15">
      <c r="A54" s="27"/>
      <c r="B54" s="169"/>
      <c r="C54" s="170"/>
      <c r="D54" s="170"/>
      <c r="E54" s="170"/>
      <c r="F54" s="171"/>
      <c r="G54" s="112"/>
      <c r="H54" s="112"/>
      <c r="I54" s="154"/>
      <c r="J54" s="155"/>
      <c r="K54" s="156"/>
      <c r="L54" s="112"/>
      <c r="M54" s="112"/>
      <c r="N54" s="160"/>
      <c r="O54" s="161"/>
      <c r="P54" s="161"/>
      <c r="Q54" s="161"/>
      <c r="R54" s="161"/>
      <c r="S54" s="162"/>
      <c r="T54" s="112"/>
      <c r="U54" s="112"/>
      <c r="V54" s="154"/>
      <c r="W54" s="155"/>
      <c r="X54" s="156"/>
      <c r="Y54" s="112"/>
      <c r="Z54" s="112"/>
    </row>
    <row r="55" spans="1:26" ht="18" customHeight="1" x14ac:dyDescent="0.15">
      <c r="A55" s="27"/>
      <c r="B55" s="157"/>
      <c r="C55" s="158"/>
      <c r="D55" s="158"/>
      <c r="E55" s="158"/>
      <c r="F55" s="159"/>
      <c r="G55" s="113"/>
      <c r="H55" s="113"/>
      <c r="I55" s="166"/>
      <c r="J55" s="167"/>
      <c r="K55" s="168"/>
      <c r="L55" s="119"/>
      <c r="M55" s="119"/>
      <c r="N55" s="163"/>
      <c r="O55" s="164"/>
      <c r="P55" s="164"/>
      <c r="Q55" s="164"/>
      <c r="R55" s="164"/>
      <c r="S55" s="165"/>
      <c r="T55" s="113"/>
      <c r="U55" s="113"/>
      <c r="V55" s="166"/>
      <c r="W55" s="167"/>
      <c r="X55" s="168"/>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13" t="s">
        <v>134</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x14ac:dyDescent="0.15">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x14ac:dyDescent="0.15">
      <c r="A59" s="13"/>
      <c r="B59" s="123" t="s">
        <v>100</v>
      </c>
      <c r="C59" s="124"/>
      <c r="D59" s="124"/>
      <c r="E59" s="125"/>
      <c r="F59" s="28" t="s">
        <v>142</v>
      </c>
      <c r="G59" s="110" t="s">
        <v>141</v>
      </c>
      <c r="H59" s="105" t="s">
        <v>101</v>
      </c>
      <c r="I59" s="106"/>
      <c r="J59" s="107"/>
      <c r="K59" s="73" t="s">
        <v>105</v>
      </c>
      <c r="L59" s="73" t="s">
        <v>135</v>
      </c>
      <c r="M59" s="73" t="s">
        <v>136</v>
      </c>
      <c r="N59" s="123" t="s">
        <v>100</v>
      </c>
      <c r="O59" s="124"/>
      <c r="P59" s="124"/>
      <c r="Q59" s="124"/>
      <c r="R59" s="125"/>
      <c r="S59" s="28" t="s">
        <v>142</v>
      </c>
      <c r="T59" s="110" t="s">
        <v>141</v>
      </c>
      <c r="U59" s="105" t="s">
        <v>101</v>
      </c>
      <c r="V59" s="106"/>
      <c r="W59" s="107"/>
      <c r="X59" s="73" t="s">
        <v>105</v>
      </c>
      <c r="Y59" s="73" t="s">
        <v>135</v>
      </c>
      <c r="Z59" s="73" t="s">
        <v>136</v>
      </c>
    </row>
    <row r="60" spans="1:26" ht="18" customHeight="1" x14ac:dyDescent="0.15">
      <c r="A60" s="27"/>
      <c r="B60" s="172" t="s">
        <v>163</v>
      </c>
      <c r="C60" s="173"/>
      <c r="D60" s="173"/>
      <c r="E60" s="174"/>
      <c r="F60" s="111">
        <v>2</v>
      </c>
      <c r="G60" s="111" t="s">
        <v>171</v>
      </c>
      <c r="H60" s="182" t="s">
        <v>182</v>
      </c>
      <c r="I60" s="183"/>
      <c r="J60" s="184"/>
      <c r="K60" s="111" t="s">
        <v>171</v>
      </c>
      <c r="L60" s="111" t="s">
        <v>171</v>
      </c>
      <c r="M60" s="111" t="s">
        <v>171</v>
      </c>
      <c r="N60" s="172"/>
      <c r="O60" s="173"/>
      <c r="P60" s="173"/>
      <c r="Q60" s="173"/>
      <c r="R60" s="174"/>
      <c r="S60" s="111"/>
      <c r="T60" s="111"/>
      <c r="U60" s="182"/>
      <c r="V60" s="183"/>
      <c r="W60" s="184"/>
      <c r="X60" s="118"/>
      <c r="Y60" s="111"/>
      <c r="Z60" s="111"/>
    </row>
    <row r="61" spans="1:26" ht="18" customHeight="1" x14ac:dyDescent="0.15">
      <c r="A61" s="27"/>
      <c r="B61" s="160"/>
      <c r="C61" s="161"/>
      <c r="D61" s="161"/>
      <c r="E61" s="162"/>
      <c r="F61" s="112"/>
      <c r="G61" s="112"/>
      <c r="H61" s="154"/>
      <c r="I61" s="155"/>
      <c r="J61" s="156"/>
      <c r="K61" s="116"/>
      <c r="L61" s="112"/>
      <c r="M61" s="112"/>
      <c r="N61" s="160"/>
      <c r="O61" s="161"/>
      <c r="P61" s="161"/>
      <c r="Q61" s="161"/>
      <c r="R61" s="162"/>
      <c r="S61" s="112"/>
      <c r="T61" s="112"/>
      <c r="U61" s="154"/>
      <c r="V61" s="155"/>
      <c r="W61" s="156"/>
      <c r="X61" s="116"/>
      <c r="Y61" s="112"/>
      <c r="Z61" s="112"/>
    </row>
    <row r="62" spans="1:26" ht="18" customHeight="1" x14ac:dyDescent="0.15">
      <c r="A62" s="27"/>
      <c r="B62" s="160"/>
      <c r="C62" s="161"/>
      <c r="D62" s="161"/>
      <c r="E62" s="162"/>
      <c r="F62" s="112"/>
      <c r="G62" s="112"/>
      <c r="H62" s="154"/>
      <c r="I62" s="155"/>
      <c r="J62" s="156"/>
      <c r="K62" s="116"/>
      <c r="L62" s="112"/>
      <c r="M62" s="112"/>
      <c r="N62" s="160"/>
      <c r="O62" s="161"/>
      <c r="P62" s="161"/>
      <c r="Q62" s="161"/>
      <c r="R62" s="162"/>
      <c r="S62" s="112"/>
      <c r="T62" s="112"/>
      <c r="U62" s="154"/>
      <c r="V62" s="155"/>
      <c r="W62" s="156"/>
      <c r="X62" s="116"/>
      <c r="Y62" s="112"/>
      <c r="Z62" s="112"/>
    </row>
    <row r="63" spans="1:26" ht="18" customHeight="1" x14ac:dyDescent="0.15">
      <c r="A63" s="27"/>
      <c r="B63" s="160"/>
      <c r="C63" s="161"/>
      <c r="D63" s="161"/>
      <c r="E63" s="162"/>
      <c r="F63" s="112"/>
      <c r="G63" s="112"/>
      <c r="H63" s="154"/>
      <c r="I63" s="155"/>
      <c r="J63" s="156"/>
      <c r="K63" s="116"/>
      <c r="L63" s="112"/>
      <c r="M63" s="112"/>
      <c r="N63" s="160"/>
      <c r="O63" s="161"/>
      <c r="P63" s="161"/>
      <c r="Q63" s="161"/>
      <c r="R63" s="162"/>
      <c r="S63" s="112"/>
      <c r="T63" s="112"/>
      <c r="U63" s="154"/>
      <c r="V63" s="155"/>
      <c r="W63" s="156"/>
      <c r="X63" s="116"/>
      <c r="Y63" s="112"/>
      <c r="Z63" s="112"/>
    </row>
    <row r="64" spans="1:26" ht="18" customHeight="1" x14ac:dyDescent="0.15">
      <c r="A64" s="27"/>
      <c r="B64" s="160"/>
      <c r="C64" s="161"/>
      <c r="D64" s="161"/>
      <c r="E64" s="162"/>
      <c r="F64" s="112"/>
      <c r="G64" s="112"/>
      <c r="H64" s="154"/>
      <c r="I64" s="155"/>
      <c r="J64" s="156"/>
      <c r="K64" s="116"/>
      <c r="L64" s="112"/>
      <c r="M64" s="112"/>
      <c r="N64" s="160"/>
      <c r="O64" s="161"/>
      <c r="P64" s="161"/>
      <c r="Q64" s="161"/>
      <c r="R64" s="162"/>
      <c r="S64" s="112"/>
      <c r="T64" s="112"/>
      <c r="U64" s="154"/>
      <c r="V64" s="155"/>
      <c r="W64" s="156"/>
      <c r="X64" s="116"/>
      <c r="Y64" s="112"/>
      <c r="Z64" s="112"/>
    </row>
    <row r="65" spans="1:26" ht="18" customHeight="1" x14ac:dyDescent="0.15">
      <c r="A65" s="27"/>
      <c r="B65" s="160"/>
      <c r="C65" s="161"/>
      <c r="D65" s="161"/>
      <c r="E65" s="162"/>
      <c r="F65" s="112"/>
      <c r="G65" s="112"/>
      <c r="H65" s="154"/>
      <c r="I65" s="155"/>
      <c r="J65" s="156"/>
      <c r="K65" s="116"/>
      <c r="L65" s="112"/>
      <c r="M65" s="112"/>
      <c r="N65" s="160"/>
      <c r="O65" s="161"/>
      <c r="P65" s="161"/>
      <c r="Q65" s="161"/>
      <c r="R65" s="162"/>
      <c r="S65" s="112"/>
      <c r="T65" s="112"/>
      <c r="U65" s="154"/>
      <c r="V65" s="155"/>
      <c r="W65" s="156"/>
      <c r="X65" s="116"/>
      <c r="Y65" s="112"/>
      <c r="Z65" s="112"/>
    </row>
    <row r="66" spans="1:26" ht="18" customHeight="1" x14ac:dyDescent="0.15">
      <c r="A66" s="27"/>
      <c r="B66" s="163"/>
      <c r="C66" s="164"/>
      <c r="D66" s="164"/>
      <c r="E66" s="165"/>
      <c r="F66" s="113"/>
      <c r="G66" s="113"/>
      <c r="H66" s="166"/>
      <c r="I66" s="167"/>
      <c r="J66" s="168"/>
      <c r="K66" s="117"/>
      <c r="L66" s="119"/>
      <c r="M66" s="119"/>
      <c r="N66" s="163"/>
      <c r="O66" s="164"/>
      <c r="P66" s="164"/>
      <c r="Q66" s="164"/>
      <c r="R66" s="165"/>
      <c r="S66" s="113"/>
      <c r="T66" s="113"/>
      <c r="U66" s="166"/>
      <c r="V66" s="167"/>
      <c r="W66" s="168"/>
      <c r="X66" s="117"/>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3" t="s">
        <v>137</v>
      </c>
      <c r="B68" s="13"/>
      <c r="C68" s="13"/>
      <c r="D68" s="13"/>
      <c r="E68" s="13"/>
      <c r="F68" s="13"/>
      <c r="G68" s="13"/>
      <c r="H68" s="13"/>
      <c r="I68" s="13"/>
      <c r="J68" s="13"/>
      <c r="K68" s="13"/>
      <c r="L68" s="27"/>
      <c r="M68" s="27"/>
      <c r="N68" s="27"/>
      <c r="O68" s="27"/>
      <c r="P68" s="27"/>
      <c r="Q68" s="27"/>
      <c r="R68" s="27"/>
      <c r="S68" s="27"/>
      <c r="T68" s="27"/>
      <c r="U68" s="27"/>
      <c r="V68" s="27"/>
      <c r="W68" s="27"/>
      <c r="X68" s="27"/>
      <c r="Y68" s="27"/>
      <c r="Z68" s="27"/>
    </row>
    <row r="69" spans="1:26" ht="18" customHeight="1" x14ac:dyDescent="0.15">
      <c r="A69" s="13"/>
      <c r="B69" s="123" t="s">
        <v>100</v>
      </c>
      <c r="C69" s="124"/>
      <c r="D69" s="124"/>
      <c r="E69" s="124"/>
      <c r="F69" s="125"/>
      <c r="G69" s="123" t="s">
        <v>147</v>
      </c>
      <c r="H69" s="124"/>
      <c r="I69" s="124"/>
      <c r="J69" s="124"/>
      <c r="K69" s="124"/>
      <c r="L69" s="124"/>
      <c r="M69" s="125"/>
      <c r="N69" s="179" t="s">
        <v>100</v>
      </c>
      <c r="O69" s="180"/>
      <c r="P69" s="180"/>
      <c r="Q69" s="180"/>
      <c r="R69" s="180"/>
      <c r="S69" s="181"/>
      <c r="T69" s="123" t="s">
        <v>147</v>
      </c>
      <c r="U69" s="124"/>
      <c r="V69" s="124"/>
      <c r="W69" s="124"/>
      <c r="X69" s="124"/>
      <c r="Y69" s="124"/>
      <c r="Z69" s="125"/>
    </row>
    <row r="70" spans="1:26" ht="18" customHeight="1" x14ac:dyDescent="0.15">
      <c r="A70" s="27"/>
      <c r="B70" s="228" t="s">
        <v>164</v>
      </c>
      <c r="C70" s="229"/>
      <c r="D70" s="229"/>
      <c r="E70" s="229"/>
      <c r="F70" s="230"/>
      <c r="G70" s="225" t="s">
        <v>166</v>
      </c>
      <c r="H70" s="226"/>
      <c r="I70" s="226"/>
      <c r="J70" s="226"/>
      <c r="K70" s="226"/>
      <c r="L70" s="226"/>
      <c r="M70" s="227"/>
      <c r="N70" s="172"/>
      <c r="O70" s="173"/>
      <c r="P70" s="173"/>
      <c r="Q70" s="173"/>
      <c r="R70" s="173"/>
      <c r="S70" s="174"/>
      <c r="T70" s="225"/>
      <c r="U70" s="226"/>
      <c r="V70" s="226"/>
      <c r="W70" s="226"/>
      <c r="X70" s="226"/>
      <c r="Y70" s="226"/>
      <c r="Z70" s="227"/>
    </row>
    <row r="71" spans="1:26" ht="18" customHeight="1" x14ac:dyDescent="0.15">
      <c r="A71" s="27"/>
      <c r="B71" s="160" t="s">
        <v>164</v>
      </c>
      <c r="C71" s="161"/>
      <c r="D71" s="161"/>
      <c r="E71" s="161"/>
      <c r="F71" s="162"/>
      <c r="G71" s="200" t="s">
        <v>167</v>
      </c>
      <c r="H71" s="201"/>
      <c r="I71" s="201"/>
      <c r="J71" s="201"/>
      <c r="K71" s="201"/>
      <c r="L71" s="201"/>
      <c r="M71" s="202"/>
      <c r="N71" s="160"/>
      <c r="O71" s="161"/>
      <c r="P71" s="161"/>
      <c r="Q71" s="161"/>
      <c r="R71" s="161"/>
      <c r="S71" s="162"/>
      <c r="T71" s="200"/>
      <c r="U71" s="201"/>
      <c r="V71" s="201"/>
      <c r="W71" s="201"/>
      <c r="X71" s="201"/>
      <c r="Y71" s="201"/>
      <c r="Z71" s="202"/>
    </row>
    <row r="72" spans="1:26" ht="18" customHeight="1" x14ac:dyDescent="0.15">
      <c r="A72" s="27"/>
      <c r="B72" s="160" t="s">
        <v>165</v>
      </c>
      <c r="C72" s="161"/>
      <c r="D72" s="161"/>
      <c r="E72" s="161"/>
      <c r="F72" s="162"/>
      <c r="G72" s="200" t="s">
        <v>168</v>
      </c>
      <c r="H72" s="201"/>
      <c r="I72" s="201"/>
      <c r="J72" s="201"/>
      <c r="K72" s="201"/>
      <c r="L72" s="201"/>
      <c r="M72" s="202"/>
      <c r="N72" s="160"/>
      <c r="O72" s="161"/>
      <c r="P72" s="161"/>
      <c r="Q72" s="161"/>
      <c r="R72" s="161"/>
      <c r="S72" s="162"/>
      <c r="T72" s="200"/>
      <c r="U72" s="201"/>
      <c r="V72" s="201"/>
      <c r="W72" s="201"/>
      <c r="X72" s="201"/>
      <c r="Y72" s="201"/>
      <c r="Z72" s="202"/>
    </row>
    <row r="73" spans="1:26" ht="18" customHeight="1" x14ac:dyDescent="0.15">
      <c r="A73" s="27"/>
      <c r="B73" s="160" t="s">
        <v>165</v>
      </c>
      <c r="C73" s="161"/>
      <c r="D73" s="161"/>
      <c r="E73" s="161"/>
      <c r="F73" s="162"/>
      <c r="G73" s="200" t="s">
        <v>169</v>
      </c>
      <c r="H73" s="201"/>
      <c r="I73" s="201"/>
      <c r="J73" s="201"/>
      <c r="K73" s="201"/>
      <c r="L73" s="201"/>
      <c r="M73" s="202"/>
      <c r="N73" s="160"/>
      <c r="O73" s="161"/>
      <c r="P73" s="161"/>
      <c r="Q73" s="161"/>
      <c r="R73" s="161"/>
      <c r="S73" s="162"/>
      <c r="T73" s="200"/>
      <c r="U73" s="201"/>
      <c r="V73" s="201"/>
      <c r="W73" s="201"/>
      <c r="X73" s="201"/>
      <c r="Y73" s="201"/>
      <c r="Z73" s="202"/>
    </row>
    <row r="74" spans="1:26" ht="18" customHeight="1" x14ac:dyDescent="0.15">
      <c r="A74" s="27"/>
      <c r="B74" s="160"/>
      <c r="C74" s="161"/>
      <c r="D74" s="161"/>
      <c r="E74" s="161"/>
      <c r="F74" s="162"/>
      <c r="G74" s="200"/>
      <c r="H74" s="201"/>
      <c r="I74" s="201"/>
      <c r="J74" s="201"/>
      <c r="K74" s="201"/>
      <c r="L74" s="201"/>
      <c r="M74" s="202"/>
      <c r="N74" s="160"/>
      <c r="O74" s="161"/>
      <c r="P74" s="161"/>
      <c r="Q74" s="161"/>
      <c r="R74" s="161"/>
      <c r="S74" s="162"/>
      <c r="T74" s="200"/>
      <c r="U74" s="201"/>
      <c r="V74" s="201"/>
      <c r="W74" s="201"/>
      <c r="X74" s="201"/>
      <c r="Y74" s="201"/>
      <c r="Z74" s="202"/>
    </row>
    <row r="75" spans="1:26" ht="18" customHeight="1" x14ac:dyDescent="0.15">
      <c r="A75" s="27"/>
      <c r="B75" s="160"/>
      <c r="C75" s="161"/>
      <c r="D75" s="161"/>
      <c r="E75" s="161"/>
      <c r="F75" s="162"/>
      <c r="G75" s="200"/>
      <c r="H75" s="201"/>
      <c r="I75" s="201"/>
      <c r="J75" s="201"/>
      <c r="K75" s="201"/>
      <c r="L75" s="201"/>
      <c r="M75" s="202"/>
      <c r="N75" s="160"/>
      <c r="O75" s="161"/>
      <c r="P75" s="161"/>
      <c r="Q75" s="161"/>
      <c r="R75" s="161"/>
      <c r="S75" s="162"/>
      <c r="T75" s="200"/>
      <c r="U75" s="201"/>
      <c r="V75" s="201"/>
      <c r="W75" s="201"/>
      <c r="X75" s="201"/>
      <c r="Y75" s="201"/>
      <c r="Z75" s="202"/>
    </row>
    <row r="76" spans="1:26" ht="18" customHeight="1" x14ac:dyDescent="0.15">
      <c r="A76" s="27"/>
      <c r="B76" s="163"/>
      <c r="C76" s="164"/>
      <c r="D76" s="164"/>
      <c r="E76" s="164"/>
      <c r="F76" s="165"/>
      <c r="G76" s="197"/>
      <c r="H76" s="198"/>
      <c r="I76" s="198"/>
      <c r="J76" s="198"/>
      <c r="K76" s="198"/>
      <c r="L76" s="198"/>
      <c r="M76" s="199"/>
      <c r="N76" s="163"/>
      <c r="O76" s="164"/>
      <c r="P76" s="164"/>
      <c r="Q76" s="164"/>
      <c r="R76" s="164"/>
      <c r="S76" s="165"/>
      <c r="T76" s="197"/>
      <c r="U76" s="198"/>
      <c r="V76" s="198"/>
      <c r="W76" s="198"/>
      <c r="X76" s="198"/>
      <c r="Y76" s="198"/>
      <c r="Z76" s="199"/>
    </row>
    <row r="77" spans="1:26" ht="18" customHeight="1" x14ac:dyDescent="0.15">
      <c r="A77" s="27"/>
      <c r="B77" s="70"/>
      <c r="C77" s="70"/>
      <c r="D77" s="70"/>
      <c r="E77" s="70"/>
      <c r="F77" s="70"/>
      <c r="G77" s="11"/>
      <c r="H77" s="11"/>
      <c r="I77" s="11"/>
      <c r="J77" s="11"/>
      <c r="K77" s="11"/>
      <c r="L77" s="11"/>
      <c r="M77" s="11"/>
      <c r="N77" s="70"/>
      <c r="O77" s="70"/>
      <c r="P77" s="70"/>
      <c r="Q77" s="70"/>
      <c r="R77" s="70"/>
      <c r="S77" s="70"/>
      <c r="T77" s="11"/>
      <c r="U77" s="11"/>
      <c r="V77" s="11"/>
      <c r="W77" s="11"/>
      <c r="X77" s="11"/>
      <c r="Y77" s="11"/>
      <c r="Z77" s="11"/>
    </row>
    <row r="78" spans="1:26" ht="18.75" customHeight="1" x14ac:dyDescent="0.15">
      <c r="A78" s="12" t="s">
        <v>143</v>
      </c>
    </row>
    <row r="79" spans="1:26" ht="18.75" customHeight="1" x14ac:dyDescent="0.15">
      <c r="B79" s="76" t="s">
        <v>102</v>
      </c>
      <c r="C79" s="77"/>
      <c r="D79" s="245" t="s">
        <v>103</v>
      </c>
      <c r="E79" s="245"/>
      <c r="F79" s="245"/>
      <c r="G79" s="245"/>
      <c r="H79" s="245"/>
      <c r="I79" s="245"/>
      <c r="J79" s="245"/>
      <c r="K79" s="245"/>
      <c r="L79" s="245"/>
      <c r="M79" s="245"/>
      <c r="N79" s="245"/>
      <c r="O79" s="245"/>
      <c r="P79" s="245"/>
      <c r="Q79" s="245"/>
      <c r="R79" s="245"/>
      <c r="S79" s="245"/>
      <c r="T79" s="245"/>
      <c r="U79" s="245"/>
      <c r="V79" s="245"/>
      <c r="W79" s="245"/>
      <c r="X79" s="245"/>
      <c r="Y79" s="245"/>
      <c r="Z79" s="246"/>
    </row>
    <row r="80" spans="1:26" ht="78" customHeight="1" x14ac:dyDescent="0.15">
      <c r="B80" s="236" t="s">
        <v>109</v>
      </c>
      <c r="C80" s="83" t="s">
        <v>104</v>
      </c>
      <c r="D80" s="211" t="s">
        <v>191</v>
      </c>
      <c r="E80" s="211"/>
      <c r="F80" s="211"/>
      <c r="G80" s="211"/>
      <c r="H80" s="211"/>
      <c r="I80" s="211"/>
      <c r="J80" s="211"/>
      <c r="K80" s="211"/>
      <c r="L80" s="211"/>
      <c r="M80" s="211"/>
      <c r="N80" s="211"/>
      <c r="O80" s="211"/>
      <c r="P80" s="211"/>
      <c r="Q80" s="211"/>
      <c r="R80" s="211"/>
      <c r="S80" s="211"/>
      <c r="T80" s="211"/>
      <c r="U80" s="211"/>
      <c r="V80" s="211"/>
      <c r="W80" s="211"/>
      <c r="X80" s="211"/>
      <c r="Y80" s="211"/>
      <c r="Z80" s="212"/>
    </row>
    <row r="81" spans="1:26" ht="78" customHeight="1" x14ac:dyDescent="0.15">
      <c r="B81" s="237"/>
      <c r="C81" s="108" t="s">
        <v>138</v>
      </c>
      <c r="D81" s="203" t="s">
        <v>201</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78" customHeight="1" x14ac:dyDescent="0.15">
      <c r="B82" s="234" t="s">
        <v>110</v>
      </c>
      <c r="C82" s="78" t="s">
        <v>128</v>
      </c>
      <c r="D82" s="205" t="s">
        <v>192</v>
      </c>
      <c r="E82" s="205"/>
      <c r="F82" s="205"/>
      <c r="G82" s="205"/>
      <c r="H82" s="205"/>
      <c r="I82" s="205"/>
      <c r="J82" s="205"/>
      <c r="K82" s="205"/>
      <c r="L82" s="205"/>
      <c r="M82" s="205"/>
      <c r="N82" s="205"/>
      <c r="O82" s="205"/>
      <c r="P82" s="205"/>
      <c r="Q82" s="205"/>
      <c r="R82" s="205"/>
      <c r="S82" s="205"/>
      <c r="T82" s="205"/>
      <c r="U82" s="205"/>
      <c r="V82" s="205"/>
      <c r="W82" s="205"/>
      <c r="X82" s="205"/>
      <c r="Y82" s="205"/>
      <c r="Z82" s="206"/>
    </row>
    <row r="83" spans="1:26" ht="78" customHeight="1" x14ac:dyDescent="0.15">
      <c r="B83" s="235"/>
      <c r="C83" s="109" t="s">
        <v>129</v>
      </c>
      <c r="D83" s="209" t="s">
        <v>193</v>
      </c>
      <c r="E83" s="209"/>
      <c r="F83" s="209"/>
      <c r="G83" s="209"/>
      <c r="H83" s="209"/>
      <c r="I83" s="209"/>
      <c r="J83" s="209"/>
      <c r="K83" s="209"/>
      <c r="L83" s="209"/>
      <c r="M83" s="209"/>
      <c r="N83" s="209"/>
      <c r="O83" s="209"/>
      <c r="P83" s="209"/>
      <c r="Q83" s="209"/>
      <c r="R83" s="209"/>
      <c r="S83" s="209"/>
      <c r="T83" s="209"/>
      <c r="U83" s="209"/>
      <c r="V83" s="209"/>
      <c r="W83" s="209"/>
      <c r="X83" s="209"/>
      <c r="Y83" s="209"/>
      <c r="Z83" s="210"/>
    </row>
    <row r="84" spans="1:26" ht="75" customHeight="1" x14ac:dyDescent="0.15">
      <c r="B84" s="234" t="s">
        <v>111</v>
      </c>
      <c r="C84" s="78" t="s">
        <v>131</v>
      </c>
      <c r="D84" s="205" t="s">
        <v>194</v>
      </c>
      <c r="E84" s="205"/>
      <c r="F84" s="205"/>
      <c r="G84" s="205"/>
      <c r="H84" s="205"/>
      <c r="I84" s="205"/>
      <c r="J84" s="205"/>
      <c r="K84" s="205"/>
      <c r="L84" s="205"/>
      <c r="M84" s="205"/>
      <c r="N84" s="205"/>
      <c r="O84" s="205"/>
      <c r="P84" s="205"/>
      <c r="Q84" s="205"/>
      <c r="R84" s="205"/>
      <c r="S84" s="205"/>
      <c r="T84" s="205"/>
      <c r="U84" s="205"/>
      <c r="V84" s="205"/>
      <c r="W84" s="205"/>
      <c r="X84" s="205"/>
      <c r="Y84" s="205"/>
      <c r="Z84" s="206"/>
    </row>
    <row r="85" spans="1:26" ht="66" customHeight="1" x14ac:dyDescent="0.15">
      <c r="B85" s="235"/>
      <c r="C85" s="80" t="s">
        <v>132</v>
      </c>
      <c r="D85" s="207" t="s">
        <v>195</v>
      </c>
      <c r="E85" s="207"/>
      <c r="F85" s="207"/>
      <c r="G85" s="207"/>
      <c r="H85" s="207"/>
      <c r="I85" s="207"/>
      <c r="J85" s="207"/>
      <c r="K85" s="207"/>
      <c r="L85" s="207"/>
      <c r="M85" s="207"/>
      <c r="N85" s="207"/>
      <c r="O85" s="207"/>
      <c r="P85" s="207"/>
      <c r="Q85" s="207"/>
      <c r="R85" s="207"/>
      <c r="S85" s="207"/>
      <c r="T85" s="207"/>
      <c r="U85" s="207"/>
      <c r="V85" s="207"/>
      <c r="W85" s="207"/>
      <c r="X85" s="207"/>
      <c r="Y85" s="207"/>
      <c r="Z85" s="208"/>
    </row>
    <row r="86" spans="1:26" ht="90" customHeight="1" x14ac:dyDescent="0.15">
      <c r="B86" s="236" t="s">
        <v>139</v>
      </c>
      <c r="C86" s="83" t="s">
        <v>106</v>
      </c>
      <c r="D86" s="211" t="s">
        <v>196</v>
      </c>
      <c r="E86" s="211"/>
      <c r="F86" s="211"/>
      <c r="G86" s="211"/>
      <c r="H86" s="211"/>
      <c r="I86" s="211"/>
      <c r="J86" s="211"/>
      <c r="K86" s="211"/>
      <c r="L86" s="211"/>
      <c r="M86" s="211"/>
      <c r="N86" s="211"/>
      <c r="O86" s="211"/>
      <c r="P86" s="211"/>
      <c r="Q86" s="211"/>
      <c r="R86" s="211"/>
      <c r="S86" s="211"/>
      <c r="T86" s="211"/>
      <c r="U86" s="211"/>
      <c r="V86" s="211"/>
      <c r="W86" s="211"/>
      <c r="X86" s="211"/>
      <c r="Y86" s="211"/>
      <c r="Z86" s="212"/>
    </row>
    <row r="87" spans="1:26" ht="66" customHeight="1" x14ac:dyDescent="0.15">
      <c r="B87" s="242"/>
      <c r="C87" s="79" t="s">
        <v>108</v>
      </c>
      <c r="D87" s="243" t="s">
        <v>197</v>
      </c>
      <c r="E87" s="243"/>
      <c r="F87" s="243"/>
      <c r="G87" s="243"/>
      <c r="H87" s="243"/>
      <c r="I87" s="243"/>
      <c r="J87" s="243"/>
      <c r="K87" s="243"/>
      <c r="L87" s="243"/>
      <c r="M87" s="243"/>
      <c r="N87" s="243"/>
      <c r="O87" s="243"/>
      <c r="P87" s="243"/>
      <c r="Q87" s="243"/>
      <c r="R87" s="243"/>
      <c r="S87" s="243"/>
      <c r="T87" s="243"/>
      <c r="U87" s="243"/>
      <c r="V87" s="243"/>
      <c r="W87" s="243"/>
      <c r="X87" s="243"/>
      <c r="Y87" s="243"/>
      <c r="Z87" s="244"/>
    </row>
    <row r="88" spans="1:26" ht="150" customHeight="1" x14ac:dyDescent="0.15">
      <c r="B88" s="236" t="s">
        <v>140</v>
      </c>
      <c r="C88" s="78" t="s">
        <v>105</v>
      </c>
      <c r="D88" s="238" t="s">
        <v>198</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90" customHeight="1" x14ac:dyDescent="0.15">
      <c r="B89" s="237"/>
      <c r="C89" s="79" t="s">
        <v>135</v>
      </c>
      <c r="D89" s="231" t="s">
        <v>199</v>
      </c>
      <c r="E89" s="232"/>
      <c r="F89" s="232"/>
      <c r="G89" s="232"/>
      <c r="H89" s="232"/>
      <c r="I89" s="232"/>
      <c r="J89" s="232"/>
      <c r="K89" s="232"/>
      <c r="L89" s="232"/>
      <c r="M89" s="232"/>
      <c r="N89" s="232"/>
      <c r="O89" s="232"/>
      <c r="P89" s="232"/>
      <c r="Q89" s="232"/>
      <c r="R89" s="232"/>
      <c r="S89" s="232"/>
      <c r="T89" s="232"/>
      <c r="U89" s="232"/>
      <c r="V89" s="232"/>
      <c r="W89" s="232"/>
      <c r="X89" s="232"/>
      <c r="Y89" s="232"/>
      <c r="Z89" s="233"/>
    </row>
    <row r="90" spans="1:26" ht="66" customHeight="1" x14ac:dyDescent="0.15">
      <c r="B90" s="235"/>
      <c r="C90" s="80" t="s">
        <v>136</v>
      </c>
      <c r="D90" s="240" t="s">
        <v>200</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15"/>
    <row r="92" spans="1:26" ht="18.75" customHeight="1" x14ac:dyDescent="0.15">
      <c r="A92" s="12" t="s">
        <v>144</v>
      </c>
    </row>
    <row r="93" spans="1:26" ht="18.75" customHeight="1" x14ac:dyDescent="0.15">
      <c r="B93" s="185" t="s">
        <v>190</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7"/>
    </row>
    <row r="94" spans="1:26" ht="18.75" customHeight="1" x14ac:dyDescent="0.15">
      <c r="B94" s="188"/>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90"/>
    </row>
    <row r="95" spans="1:26" ht="18.75" customHeight="1" x14ac:dyDescent="0.15">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x14ac:dyDescent="0.15"/>
    <row r="97" spans="1:26" ht="15" customHeight="1" x14ac:dyDescent="0.15">
      <c r="A97" s="12" t="s">
        <v>145</v>
      </c>
    </row>
    <row r="98" spans="1:26" ht="15" customHeight="1" x14ac:dyDescent="0.15">
      <c r="B98" s="194" t="s">
        <v>210</v>
      </c>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6"/>
    </row>
  </sheetData>
  <mergeCells count="218">
    <mergeCell ref="B71:F71"/>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U64:W64"/>
    <mergeCell ref="U65:W65"/>
    <mergeCell ref="U66:W66"/>
    <mergeCell ref="I29:K29"/>
    <mergeCell ref="I30:K30"/>
    <mergeCell ref="V29:X29"/>
    <mergeCell ref="V30:X30"/>
    <mergeCell ref="I40:K40"/>
    <mergeCell ref="I41:K41"/>
    <mergeCell ref="V40:X40"/>
    <mergeCell ref="A35:Z36"/>
    <mergeCell ref="V41:X41"/>
    <mergeCell ref="U63:W63"/>
    <mergeCell ref="V48:X48"/>
    <mergeCell ref="I49:K49"/>
    <mergeCell ref="V49:X49"/>
    <mergeCell ref="I51:K51"/>
    <mergeCell ref="V51:X51"/>
    <mergeCell ref="I52:K52"/>
    <mergeCell ref="V52:X52"/>
    <mergeCell ref="V55:X55"/>
    <mergeCell ref="A57:Z58"/>
    <mergeCell ref="I53:K53"/>
    <mergeCell ref="V53:X53"/>
    <mergeCell ref="V26:X26"/>
    <mergeCell ref="V27:X27"/>
    <mergeCell ref="V28:X28"/>
    <mergeCell ref="I26:K26"/>
    <mergeCell ref="I27:K27"/>
    <mergeCell ref="I28:K28"/>
    <mergeCell ref="B26:F26"/>
    <mergeCell ref="B27:F27"/>
    <mergeCell ref="B28:F28"/>
    <mergeCell ref="V54:X54"/>
    <mergeCell ref="I55:K55"/>
    <mergeCell ref="B51:F51"/>
    <mergeCell ref="B52:F52"/>
    <mergeCell ref="U60:W60"/>
    <mergeCell ref="U61:W61"/>
    <mergeCell ref="V43:X43"/>
    <mergeCell ref="I44:K44"/>
    <mergeCell ref="V44:X44"/>
    <mergeCell ref="I50:K50"/>
    <mergeCell ref="B48:F48"/>
    <mergeCell ref="B49:F49"/>
    <mergeCell ref="B50:F50"/>
    <mergeCell ref="N49:S49"/>
    <mergeCell ref="N50:S50"/>
    <mergeCell ref="N51:S51"/>
    <mergeCell ref="N52:S52"/>
    <mergeCell ref="N53:S53"/>
    <mergeCell ref="N54:S54"/>
    <mergeCell ref="N55:S55"/>
    <mergeCell ref="B59:E59"/>
    <mergeCell ref="N59:R59"/>
    <mergeCell ref="B53:F53"/>
    <mergeCell ref="B54:F54"/>
    <mergeCell ref="V31:X31"/>
    <mergeCell ref="I31:K31"/>
    <mergeCell ref="I32:K32"/>
    <mergeCell ref="I33:K33"/>
    <mergeCell ref="H62:J62"/>
    <mergeCell ref="U62:W62"/>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0:X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D81:Z81"/>
    <mergeCell ref="D82:Z82"/>
    <mergeCell ref="D85:Z85"/>
    <mergeCell ref="D83:Z83"/>
    <mergeCell ref="D84:Z84"/>
    <mergeCell ref="B75:F75"/>
    <mergeCell ref="G75:M75"/>
    <mergeCell ref="N75:S75"/>
    <mergeCell ref="T75:Z75"/>
    <mergeCell ref="B76:F76"/>
    <mergeCell ref="G76:M76"/>
    <mergeCell ref="N76:S76"/>
    <mergeCell ref="D80:Z80"/>
    <mergeCell ref="B69:F69"/>
    <mergeCell ref="G69:M69"/>
    <mergeCell ref="N69:S69"/>
    <mergeCell ref="H60:J60"/>
    <mergeCell ref="H61:J61"/>
    <mergeCell ref="B93:Z95"/>
    <mergeCell ref="B98:Z98"/>
    <mergeCell ref="T76:Z76"/>
    <mergeCell ref="B72:F72"/>
    <mergeCell ref="G71:M71"/>
    <mergeCell ref="N71:S71"/>
    <mergeCell ref="T71:Z71"/>
    <mergeCell ref="B74:F74"/>
    <mergeCell ref="G74:M74"/>
    <mergeCell ref="N74:S74"/>
    <mergeCell ref="T74:Z74"/>
    <mergeCell ref="B60:E60"/>
    <mergeCell ref="B61:E61"/>
    <mergeCell ref="B62:E62"/>
    <mergeCell ref="B63:E63"/>
    <mergeCell ref="B64:E64"/>
    <mergeCell ref="B65:E65"/>
    <mergeCell ref="B66:E66"/>
    <mergeCell ref="N60:R60"/>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I54:K54"/>
    <mergeCell ref="B55:F55"/>
    <mergeCell ref="N61:R61"/>
    <mergeCell ref="N62:R62"/>
    <mergeCell ref="N63:R63"/>
    <mergeCell ref="N64:R64"/>
    <mergeCell ref="N65:R65"/>
    <mergeCell ref="N66:R66"/>
    <mergeCell ref="H64:J64"/>
    <mergeCell ref="H65:J65"/>
    <mergeCell ref="H66:J66"/>
    <mergeCell ref="H63:J63"/>
  </mergeCells>
  <phoneticPr fontId="1"/>
  <dataValidations count="4">
    <dataValidation type="list" allowBlank="1" showInputMessage="1" showErrorMessage="1" sqref="Y16:Z22 L16:M22 Y27:Z33 L27:M33 L38:M44 Y38:Z44 L49:M55 Y49:Z55 Y60:Z66 L60:M66 H16:H22 U16:U22 H27:H33 U27:U33 H38:H44 U38:U44 H49:H55 U49:U55 G60:G66 T60:T66 K60">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topLeftCell="B1" zoomScaleNormal="100" zoomScaleSheetLayoutView="100" workbookViewId="0">
      <selection activeCell="F10" sqref="F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7" t="s">
        <v>63</v>
      </c>
      <c r="G1" s="247"/>
      <c r="H1" s="247"/>
      <c r="I1" s="247"/>
      <c r="J1" s="247"/>
      <c r="K1" s="247"/>
      <c r="L1" s="247"/>
      <c r="M1" s="247"/>
      <c r="N1" s="247"/>
      <c r="O1" s="247"/>
      <c r="P1" s="247"/>
      <c r="Q1" s="247"/>
      <c r="R1" s="247"/>
    </row>
    <row r="2" spans="1:20" ht="18" customHeight="1" x14ac:dyDescent="0.15">
      <c r="A2" s="248" t="s">
        <v>89</v>
      </c>
      <c r="B2" s="248"/>
      <c r="C2" s="248"/>
      <c r="D2" s="248"/>
      <c r="E2" s="248"/>
      <c r="F2" s="248"/>
      <c r="G2" s="248"/>
      <c r="H2" s="248"/>
      <c r="I2" s="248"/>
      <c r="J2" s="248"/>
      <c r="K2" s="248"/>
      <c r="L2" s="248"/>
      <c r="M2" s="248"/>
      <c r="N2" s="248"/>
      <c r="O2" s="248"/>
      <c r="P2" s="248"/>
      <c r="Q2" s="248"/>
      <c r="R2" s="248"/>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148</v>
      </c>
      <c r="B4" s="4"/>
      <c r="C4" s="249" t="str">
        <f>'様式１　大学等概要'!E12</f>
        <v>令和３</v>
      </c>
      <c r="D4" s="250"/>
      <c r="E4" s="36" t="s">
        <v>114</v>
      </c>
      <c r="F4" s="36"/>
      <c r="G4" s="36"/>
      <c r="H4" s="36"/>
      <c r="I4" s="36"/>
      <c r="J4" s="84"/>
      <c r="K4" s="36"/>
      <c r="L4" s="36"/>
      <c r="M4" s="114"/>
      <c r="N4" s="114"/>
      <c r="O4" s="114"/>
      <c r="P4" s="114"/>
      <c r="Q4" s="114"/>
      <c r="R4" s="114"/>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146</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51" t="s">
        <v>79</v>
      </c>
      <c r="C8" s="253" t="s">
        <v>84</v>
      </c>
      <c r="D8" s="255" t="s">
        <v>68</v>
      </c>
      <c r="E8" s="257" t="s">
        <v>90</v>
      </c>
      <c r="F8" s="257"/>
      <c r="G8" s="257" t="s">
        <v>91</v>
      </c>
      <c r="H8" s="257"/>
      <c r="I8" s="257" t="s">
        <v>92</v>
      </c>
      <c r="J8" s="257"/>
      <c r="K8" s="258" t="s">
        <v>93</v>
      </c>
      <c r="L8" s="259"/>
      <c r="M8" s="258" t="s">
        <v>94</v>
      </c>
      <c r="N8" s="259"/>
      <c r="O8" s="258" t="s">
        <v>95</v>
      </c>
      <c r="P8" s="259"/>
      <c r="Q8" s="260" t="s">
        <v>62</v>
      </c>
      <c r="R8" s="262" t="s">
        <v>56</v>
      </c>
      <c r="T8" s="32"/>
    </row>
    <row r="9" spans="1:20" ht="18" customHeight="1" x14ac:dyDescent="0.15">
      <c r="A9" s="4"/>
      <c r="B9" s="252"/>
      <c r="C9" s="254"/>
      <c r="D9" s="256"/>
      <c r="E9" s="41" t="s">
        <v>44</v>
      </c>
      <c r="F9" s="42" t="s">
        <v>43</v>
      </c>
      <c r="G9" s="43" t="s">
        <v>44</v>
      </c>
      <c r="H9" s="44" t="s">
        <v>43</v>
      </c>
      <c r="I9" s="41" t="s">
        <v>44</v>
      </c>
      <c r="J9" s="42" t="s">
        <v>43</v>
      </c>
      <c r="K9" s="43" t="s">
        <v>44</v>
      </c>
      <c r="L9" s="44" t="s">
        <v>43</v>
      </c>
      <c r="M9" s="41" t="s">
        <v>44</v>
      </c>
      <c r="N9" s="42" t="s">
        <v>43</v>
      </c>
      <c r="O9" s="43" t="s">
        <v>44</v>
      </c>
      <c r="P9" s="44" t="s">
        <v>43</v>
      </c>
      <c r="Q9" s="261"/>
      <c r="R9" s="263"/>
      <c r="T9" s="32"/>
    </row>
    <row r="10" spans="1:20" ht="18" customHeight="1" x14ac:dyDescent="0.15">
      <c r="A10" s="45"/>
      <c r="B10" s="85" t="s">
        <v>202</v>
      </c>
      <c r="C10" s="45">
        <v>120</v>
      </c>
      <c r="D10" s="46">
        <v>520</v>
      </c>
      <c r="E10" s="47">
        <v>140</v>
      </c>
      <c r="F10" s="48">
        <v>0</v>
      </c>
      <c r="G10" s="49"/>
      <c r="H10" s="50"/>
      <c r="I10" s="47"/>
      <c r="J10" s="48"/>
      <c r="K10" s="49"/>
      <c r="L10" s="50"/>
      <c r="M10" s="47"/>
      <c r="N10" s="48"/>
      <c r="O10" s="49"/>
      <c r="P10" s="50"/>
      <c r="Q10" s="51">
        <f>E10+G10+I10+K10+M10+O10</f>
        <v>140</v>
      </c>
      <c r="R10" s="52">
        <f>Q10/D10</f>
        <v>0.26923076923076922</v>
      </c>
    </row>
    <row r="11" spans="1:20" ht="18" customHeight="1" x14ac:dyDescent="0.15">
      <c r="A11" s="45"/>
      <c r="B11" s="86" t="s">
        <v>203</v>
      </c>
      <c r="C11" s="61">
        <v>50</v>
      </c>
      <c r="D11" s="54">
        <v>200</v>
      </c>
      <c r="E11" s="55">
        <v>52</v>
      </c>
      <c r="F11" s="56">
        <v>0</v>
      </c>
      <c r="G11" s="57"/>
      <c r="H11" s="58"/>
      <c r="I11" s="55"/>
      <c r="J11" s="56"/>
      <c r="K11" s="57"/>
      <c r="L11" s="58"/>
      <c r="M11" s="55"/>
      <c r="N11" s="56"/>
      <c r="O11" s="57"/>
      <c r="P11" s="58"/>
      <c r="Q11" s="59">
        <f t="shared" ref="Q11:Q29" si="0">E11+G11+I11+K11+M11+O11</f>
        <v>52</v>
      </c>
      <c r="R11" s="60">
        <f t="shared" ref="R11:R29" si="1">Q11/D11</f>
        <v>0.26</v>
      </c>
    </row>
    <row r="12" spans="1:20" ht="18" customHeight="1" x14ac:dyDescent="0.15">
      <c r="A12" s="45"/>
      <c r="B12" s="86"/>
      <c r="C12" s="61"/>
      <c r="D12" s="54"/>
      <c r="E12" s="55"/>
      <c r="F12" s="56"/>
      <c r="G12" s="57"/>
      <c r="H12" s="58"/>
      <c r="I12" s="55"/>
      <c r="J12" s="56"/>
      <c r="K12" s="57"/>
      <c r="L12" s="58"/>
      <c r="M12" s="55"/>
      <c r="N12" s="56"/>
      <c r="O12" s="57"/>
      <c r="P12" s="58"/>
      <c r="Q12" s="59">
        <f t="shared" si="0"/>
        <v>0</v>
      </c>
      <c r="R12" s="60" t="e">
        <f t="shared" si="1"/>
        <v>#DIV/0!</v>
      </c>
    </row>
    <row r="13" spans="1:20" ht="18" customHeight="1" x14ac:dyDescent="0.15">
      <c r="A13" s="45"/>
      <c r="B13" s="86"/>
      <c r="C13" s="61"/>
      <c r="D13" s="54"/>
      <c r="E13" s="55"/>
      <c r="F13" s="56"/>
      <c r="G13" s="57"/>
      <c r="H13" s="58"/>
      <c r="I13" s="55"/>
      <c r="J13" s="56"/>
      <c r="K13" s="57"/>
      <c r="L13" s="58"/>
      <c r="M13" s="55"/>
      <c r="N13" s="56"/>
      <c r="O13" s="57"/>
      <c r="P13" s="58"/>
      <c r="Q13" s="59">
        <f t="shared" si="0"/>
        <v>0</v>
      </c>
      <c r="R13" s="60" t="e">
        <f t="shared" si="1"/>
        <v>#DIV/0!</v>
      </c>
    </row>
    <row r="14" spans="1:20" ht="18" customHeight="1" x14ac:dyDescent="0.15">
      <c r="A14" s="45"/>
      <c r="B14" s="86"/>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9" t="s">
        <v>57</v>
      </c>
      <c r="C30" s="90">
        <f t="shared" ref="C30:Q30" si="2">SUM(C10:C29)</f>
        <v>170</v>
      </c>
      <c r="D30" s="63">
        <f t="shared" si="2"/>
        <v>720</v>
      </c>
      <c r="E30" s="64">
        <f t="shared" si="2"/>
        <v>192</v>
      </c>
      <c r="F30" s="65">
        <f t="shared" si="2"/>
        <v>0</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192</v>
      </c>
      <c r="R30" s="69">
        <f>Q30/D30</f>
        <v>0.26666666666666666</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9"/>
    <col min="12" max="16384" width="11.375" style="1"/>
  </cols>
  <sheetData>
    <row r="1" spans="1:11" ht="18.75" customHeight="1" x14ac:dyDescent="0.15">
      <c r="A1" s="2" t="s">
        <v>115</v>
      </c>
      <c r="J1" s="39" t="s">
        <v>116</v>
      </c>
    </row>
    <row r="2" spans="1:11" ht="18.75" customHeight="1" x14ac:dyDescent="0.15">
      <c r="A2" s="248" t="s">
        <v>64</v>
      </c>
      <c r="B2" s="248"/>
      <c r="C2" s="248"/>
      <c r="D2" s="248"/>
      <c r="E2" s="248"/>
      <c r="F2" s="248"/>
      <c r="G2" s="248"/>
      <c r="H2" s="248"/>
      <c r="I2" s="248"/>
      <c r="J2" s="248"/>
    </row>
    <row r="3" spans="1:11" ht="7.5" customHeight="1" x14ac:dyDescent="0.15">
      <c r="B3" s="36"/>
      <c r="C3" s="36"/>
      <c r="D3" s="36"/>
      <c r="E3" s="36"/>
      <c r="F3" s="36"/>
      <c r="G3" s="36"/>
      <c r="H3" s="36"/>
      <c r="I3" s="36"/>
      <c r="J3" s="36"/>
    </row>
    <row r="4" spans="1:11" ht="18.75" customHeight="1" x14ac:dyDescent="0.15">
      <c r="A4" s="1" t="s">
        <v>6</v>
      </c>
      <c r="B4" s="13" t="s">
        <v>72</v>
      </c>
      <c r="C4" s="4"/>
      <c r="D4" s="4"/>
      <c r="E4" s="4"/>
      <c r="F4" s="4"/>
      <c r="G4" s="4"/>
      <c r="H4" s="4"/>
      <c r="I4" s="36"/>
      <c r="J4" s="36"/>
    </row>
    <row r="5" spans="1:11" ht="18.75" customHeight="1" x14ac:dyDescent="0.15">
      <c r="A5" s="1"/>
      <c r="B5" s="152" t="s">
        <v>206</v>
      </c>
      <c r="C5" s="153"/>
      <c r="D5" s="153"/>
      <c r="E5" s="153"/>
      <c r="F5" s="153"/>
      <c r="G5" s="153"/>
      <c r="H5" s="153"/>
      <c r="I5" s="153"/>
      <c r="J5" s="286"/>
      <c r="K5" s="29"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39</v>
      </c>
      <c r="C7" s="1"/>
      <c r="D7" s="1"/>
      <c r="E7" s="1"/>
      <c r="F7" s="1"/>
      <c r="G7" s="1"/>
      <c r="H7" s="1"/>
      <c r="I7" s="1"/>
      <c r="J7" s="1"/>
      <c r="K7" s="33"/>
    </row>
    <row r="8" spans="1:11" s="4" customFormat="1" ht="18.75" customHeight="1" x14ac:dyDescent="0.15">
      <c r="A8" s="91"/>
      <c r="B8" s="282" t="s">
        <v>176</v>
      </c>
      <c r="C8" s="265"/>
      <c r="D8" s="265"/>
      <c r="E8" s="265"/>
      <c r="F8" s="265"/>
      <c r="G8" s="265"/>
      <c r="H8" s="265"/>
      <c r="I8" s="273"/>
      <c r="J8" s="274"/>
      <c r="K8" s="29" t="str">
        <f>IF(B8="","入力してください","")</f>
        <v/>
      </c>
    </row>
    <row r="9" spans="1:11" s="4" customFormat="1" ht="18.75" customHeight="1" x14ac:dyDescent="0.15">
      <c r="A9" s="91"/>
      <c r="B9" s="275"/>
      <c r="C9" s="276"/>
      <c r="D9" s="276"/>
      <c r="E9" s="276"/>
      <c r="F9" s="276"/>
      <c r="G9" s="276"/>
      <c r="H9" s="276"/>
      <c r="I9" s="276"/>
      <c r="J9" s="277"/>
      <c r="K9" s="29"/>
    </row>
    <row r="10" spans="1:11" s="4" customFormat="1" ht="18.75" customHeight="1" x14ac:dyDescent="0.15">
      <c r="A10" s="91"/>
      <c r="B10" s="275"/>
      <c r="C10" s="276"/>
      <c r="D10" s="276"/>
      <c r="E10" s="276"/>
      <c r="F10" s="276"/>
      <c r="G10" s="276"/>
      <c r="H10" s="276"/>
      <c r="I10" s="276"/>
      <c r="J10" s="277"/>
      <c r="K10" s="29"/>
    </row>
    <row r="11" spans="1:11" s="4" customFormat="1" ht="18.75" customHeight="1" x14ac:dyDescent="0.15">
      <c r="A11" s="91"/>
      <c r="B11" s="275"/>
      <c r="C11" s="276"/>
      <c r="D11" s="276"/>
      <c r="E11" s="276"/>
      <c r="F11" s="276"/>
      <c r="G11" s="276"/>
      <c r="H11" s="276"/>
      <c r="I11" s="276"/>
      <c r="J11" s="277"/>
      <c r="K11" s="29"/>
    </row>
    <row r="12" spans="1:11" s="4" customFormat="1" ht="18.75" customHeight="1" x14ac:dyDescent="0.15">
      <c r="A12" s="91"/>
      <c r="B12" s="278"/>
      <c r="C12" s="279"/>
      <c r="D12" s="279"/>
      <c r="E12" s="279"/>
      <c r="F12" s="279"/>
      <c r="G12" s="279"/>
      <c r="H12" s="279"/>
      <c r="I12" s="279"/>
      <c r="J12" s="280"/>
      <c r="K12" s="29"/>
    </row>
    <row r="13" spans="1:11" s="4" customFormat="1" ht="7.5" customHeight="1" x14ac:dyDescent="0.15">
      <c r="A13" s="91"/>
      <c r="B13" s="91"/>
      <c r="C13" s="91"/>
      <c r="D13" s="91"/>
      <c r="E13" s="91"/>
      <c r="F13" s="91"/>
      <c r="G13" s="91"/>
      <c r="H13" s="91"/>
      <c r="I13" s="91"/>
      <c r="J13" s="91"/>
      <c r="K13" s="29"/>
    </row>
    <row r="14" spans="1:11" s="4" customFormat="1" ht="18.75" customHeight="1" x14ac:dyDescent="0.15">
      <c r="A14" s="92" t="s">
        <v>10</v>
      </c>
      <c r="B14" s="92" t="s">
        <v>15</v>
      </c>
      <c r="C14" s="92"/>
      <c r="D14" s="92"/>
      <c r="E14" s="92"/>
      <c r="F14" s="92"/>
      <c r="G14" s="92"/>
      <c r="H14" s="92"/>
      <c r="I14" s="92"/>
      <c r="J14" s="92"/>
      <c r="K14" s="29"/>
    </row>
    <row r="15" spans="1:11" s="4" customFormat="1" ht="18.75" customHeight="1" x14ac:dyDescent="0.15">
      <c r="A15" s="91"/>
      <c r="B15" s="282" t="s">
        <v>209</v>
      </c>
      <c r="C15" s="265"/>
      <c r="D15" s="265"/>
      <c r="E15" s="265"/>
      <c r="F15" s="265"/>
      <c r="G15" s="265"/>
      <c r="H15" s="265"/>
      <c r="I15" s="273"/>
      <c r="J15" s="274"/>
      <c r="K15" s="29" t="str">
        <f>IF(B15="","入力してください","")</f>
        <v/>
      </c>
    </row>
    <row r="16" spans="1:11" s="4" customFormat="1" ht="18.75" customHeight="1" x14ac:dyDescent="0.15">
      <c r="A16" s="91"/>
      <c r="B16" s="275"/>
      <c r="C16" s="276"/>
      <c r="D16" s="276"/>
      <c r="E16" s="276"/>
      <c r="F16" s="276"/>
      <c r="G16" s="276"/>
      <c r="H16" s="276"/>
      <c r="I16" s="276"/>
      <c r="J16" s="277"/>
      <c r="K16" s="29"/>
    </row>
    <row r="17" spans="1:11" s="4" customFormat="1" ht="18.75" customHeight="1" x14ac:dyDescent="0.15">
      <c r="A17" s="91"/>
      <c r="B17" s="275"/>
      <c r="C17" s="276"/>
      <c r="D17" s="276"/>
      <c r="E17" s="276"/>
      <c r="F17" s="276"/>
      <c r="G17" s="276"/>
      <c r="H17" s="276"/>
      <c r="I17" s="276"/>
      <c r="J17" s="277"/>
      <c r="K17" s="29"/>
    </row>
    <row r="18" spans="1:11" s="4" customFormat="1" ht="18.75" customHeight="1" x14ac:dyDescent="0.15">
      <c r="A18" s="91"/>
      <c r="B18" s="275"/>
      <c r="C18" s="276"/>
      <c r="D18" s="276"/>
      <c r="E18" s="276"/>
      <c r="F18" s="276"/>
      <c r="G18" s="276"/>
      <c r="H18" s="276"/>
      <c r="I18" s="276"/>
      <c r="J18" s="277"/>
      <c r="K18" s="29"/>
    </row>
    <row r="19" spans="1:11" s="4" customFormat="1" ht="18.75" customHeight="1" x14ac:dyDescent="0.15">
      <c r="A19" s="91"/>
      <c r="B19" s="275"/>
      <c r="C19" s="276"/>
      <c r="D19" s="276"/>
      <c r="E19" s="276"/>
      <c r="F19" s="276"/>
      <c r="G19" s="276"/>
      <c r="H19" s="276"/>
      <c r="I19" s="276"/>
      <c r="J19" s="277"/>
      <c r="K19" s="29"/>
    </row>
    <row r="20" spans="1:11" s="4" customFormat="1" ht="18.75" customHeight="1" x14ac:dyDescent="0.15">
      <c r="A20" s="91"/>
      <c r="B20" s="275"/>
      <c r="C20" s="276"/>
      <c r="D20" s="276"/>
      <c r="E20" s="276"/>
      <c r="F20" s="276"/>
      <c r="G20" s="276"/>
      <c r="H20" s="276"/>
      <c r="I20" s="276"/>
      <c r="J20" s="277"/>
      <c r="K20" s="29"/>
    </row>
    <row r="21" spans="1:11" s="4" customFormat="1" ht="18.75" customHeight="1" x14ac:dyDescent="0.15">
      <c r="A21" s="91"/>
      <c r="B21" s="275"/>
      <c r="C21" s="276"/>
      <c r="D21" s="276"/>
      <c r="E21" s="276"/>
      <c r="F21" s="276"/>
      <c r="G21" s="276"/>
      <c r="H21" s="276"/>
      <c r="I21" s="276"/>
      <c r="J21" s="277"/>
      <c r="K21" s="29"/>
    </row>
    <row r="22" spans="1:11" s="4" customFormat="1" ht="18.75" customHeight="1" x14ac:dyDescent="0.15">
      <c r="A22" s="91"/>
      <c r="B22" s="275"/>
      <c r="C22" s="276"/>
      <c r="D22" s="276"/>
      <c r="E22" s="276"/>
      <c r="F22" s="276"/>
      <c r="G22" s="276"/>
      <c r="H22" s="276"/>
      <c r="I22" s="276"/>
      <c r="J22" s="277"/>
      <c r="K22" s="29"/>
    </row>
    <row r="23" spans="1:11" s="4" customFormat="1" ht="18.75" customHeight="1" x14ac:dyDescent="0.15">
      <c r="A23" s="91"/>
      <c r="B23" s="275"/>
      <c r="C23" s="276"/>
      <c r="D23" s="276"/>
      <c r="E23" s="276"/>
      <c r="F23" s="276"/>
      <c r="G23" s="276"/>
      <c r="H23" s="276"/>
      <c r="I23" s="276"/>
      <c r="J23" s="277"/>
      <c r="K23" s="29"/>
    </row>
    <row r="24" spans="1:11" s="4" customFormat="1" ht="18.75" customHeight="1" x14ac:dyDescent="0.15">
      <c r="A24" s="91"/>
      <c r="B24" s="275"/>
      <c r="C24" s="276"/>
      <c r="D24" s="276"/>
      <c r="E24" s="276"/>
      <c r="F24" s="276"/>
      <c r="G24" s="276"/>
      <c r="H24" s="276"/>
      <c r="I24" s="276"/>
      <c r="J24" s="277"/>
      <c r="K24" s="29"/>
    </row>
    <row r="25" spans="1:11" s="4" customFormat="1" ht="18.75" customHeight="1" x14ac:dyDescent="0.15">
      <c r="A25" s="91"/>
      <c r="B25" s="278"/>
      <c r="C25" s="279"/>
      <c r="D25" s="279"/>
      <c r="E25" s="279"/>
      <c r="F25" s="279"/>
      <c r="G25" s="279"/>
      <c r="H25" s="279"/>
      <c r="I25" s="279"/>
      <c r="J25" s="280"/>
      <c r="K25" s="29"/>
    </row>
    <row r="26" spans="1:11" ht="7.5" customHeight="1" x14ac:dyDescent="0.15">
      <c r="A26" s="37"/>
      <c r="B26" s="37"/>
      <c r="C26" s="37"/>
      <c r="D26" s="37"/>
      <c r="E26" s="37"/>
      <c r="F26" s="37"/>
      <c r="G26" s="37"/>
      <c r="H26" s="37"/>
      <c r="I26" s="37"/>
      <c r="J26" s="37"/>
    </row>
    <row r="27" spans="1:11" s="4" customFormat="1" ht="18.75" customHeight="1" x14ac:dyDescent="0.15">
      <c r="A27" s="1" t="s">
        <v>13</v>
      </c>
      <c r="B27" s="1" t="s">
        <v>26</v>
      </c>
      <c r="C27" s="1"/>
      <c r="D27" s="1"/>
      <c r="E27" s="1"/>
      <c r="F27" s="1"/>
      <c r="G27" s="1"/>
      <c r="H27" s="1"/>
      <c r="I27" s="1"/>
      <c r="J27" s="1"/>
      <c r="K27" s="29"/>
    </row>
    <row r="28" spans="1:11" s="27" customFormat="1" ht="18.75" customHeight="1" x14ac:dyDescent="0.15">
      <c r="B28" s="93" t="s">
        <v>117</v>
      </c>
      <c r="C28" s="94">
        <f>'様式３　履修者等数の実績'!R30</f>
        <v>0.26666666666666666</v>
      </c>
      <c r="D28" s="95"/>
      <c r="E28" s="95" t="s">
        <v>118</v>
      </c>
      <c r="F28" s="94">
        <v>0.3</v>
      </c>
      <c r="G28" s="95"/>
      <c r="H28" s="95" t="s">
        <v>119</v>
      </c>
      <c r="I28" s="96">
        <v>0.5</v>
      </c>
      <c r="J28" s="97"/>
      <c r="K28" s="29"/>
    </row>
    <row r="29" spans="1:11" s="27" customFormat="1" ht="18.75" customHeight="1" x14ac:dyDescent="0.15">
      <c r="B29" s="81" t="s">
        <v>120</v>
      </c>
      <c r="C29" s="98">
        <v>0.7</v>
      </c>
      <c r="D29" s="82"/>
      <c r="E29" s="82" t="s">
        <v>121</v>
      </c>
      <c r="F29" s="98">
        <v>0.9</v>
      </c>
      <c r="G29" s="82"/>
      <c r="H29" s="82" t="s">
        <v>122</v>
      </c>
      <c r="I29" s="99">
        <f>'様式３　履修者等数の実績'!D30</f>
        <v>720</v>
      </c>
      <c r="J29" s="100"/>
      <c r="K29" s="33"/>
    </row>
    <row r="30" spans="1:11" s="4" customFormat="1" ht="18.75" customHeight="1" x14ac:dyDescent="0.15">
      <c r="A30" s="1"/>
      <c r="B30" s="200" t="s">
        <v>123</v>
      </c>
      <c r="C30" s="201"/>
      <c r="D30" s="201"/>
      <c r="E30" s="201"/>
      <c r="F30" s="201"/>
      <c r="G30" s="201"/>
      <c r="H30" s="201"/>
      <c r="I30" s="201"/>
      <c r="J30" s="202"/>
      <c r="K30" s="33"/>
    </row>
    <row r="31" spans="1:11" s="4" customFormat="1" ht="18.75" customHeight="1" x14ac:dyDescent="0.15">
      <c r="A31" s="1"/>
      <c r="B31" s="283" t="s">
        <v>189</v>
      </c>
      <c r="C31" s="284"/>
      <c r="D31" s="284"/>
      <c r="E31" s="284"/>
      <c r="F31" s="284"/>
      <c r="G31" s="284"/>
      <c r="H31" s="284"/>
      <c r="I31" s="284"/>
      <c r="J31" s="285"/>
      <c r="K31" s="33" t="str">
        <f>IF(B31="","入力してください","")</f>
        <v/>
      </c>
    </row>
    <row r="32" spans="1:11" s="4" customFormat="1" ht="18.75" customHeight="1" x14ac:dyDescent="0.15">
      <c r="A32" s="1"/>
      <c r="B32" s="267"/>
      <c r="C32" s="268"/>
      <c r="D32" s="268"/>
      <c r="E32" s="268"/>
      <c r="F32" s="268"/>
      <c r="G32" s="268"/>
      <c r="H32" s="268"/>
      <c r="I32" s="268"/>
      <c r="J32" s="269"/>
      <c r="K32" s="33"/>
    </row>
    <row r="33" spans="1:11" s="4" customFormat="1" ht="18.75" customHeight="1" x14ac:dyDescent="0.15">
      <c r="A33" s="1"/>
      <c r="B33" s="267"/>
      <c r="C33" s="268"/>
      <c r="D33" s="268"/>
      <c r="E33" s="268"/>
      <c r="F33" s="268"/>
      <c r="G33" s="268"/>
      <c r="H33" s="268"/>
      <c r="I33" s="268"/>
      <c r="J33" s="269"/>
      <c r="K33" s="33"/>
    </row>
    <row r="34" spans="1:11" s="4" customFormat="1" ht="18.75" customHeight="1" x14ac:dyDescent="0.15">
      <c r="A34" s="1"/>
      <c r="B34" s="267"/>
      <c r="C34" s="268"/>
      <c r="D34" s="268"/>
      <c r="E34" s="268"/>
      <c r="F34" s="268"/>
      <c r="G34" s="268"/>
      <c r="H34" s="268"/>
      <c r="I34" s="268"/>
      <c r="J34" s="269"/>
      <c r="K34" s="33"/>
    </row>
    <row r="35" spans="1:11" s="4" customFormat="1" ht="18.75" customHeight="1" x14ac:dyDescent="0.15">
      <c r="A35" s="1"/>
      <c r="B35" s="267"/>
      <c r="C35" s="268"/>
      <c r="D35" s="268"/>
      <c r="E35" s="268"/>
      <c r="F35" s="268"/>
      <c r="G35" s="268"/>
      <c r="H35" s="268"/>
      <c r="I35" s="268"/>
      <c r="J35" s="269"/>
      <c r="K35" s="33"/>
    </row>
    <row r="36" spans="1:11" s="4" customFormat="1" ht="18.75" customHeight="1" x14ac:dyDescent="0.15">
      <c r="A36" s="1"/>
      <c r="B36" s="267"/>
      <c r="C36" s="268"/>
      <c r="D36" s="268"/>
      <c r="E36" s="268"/>
      <c r="F36" s="268"/>
      <c r="G36" s="268"/>
      <c r="H36" s="268"/>
      <c r="I36" s="268"/>
      <c r="J36" s="269"/>
      <c r="K36" s="33"/>
    </row>
    <row r="37" spans="1:11" s="4" customFormat="1" ht="18.75" customHeight="1" x14ac:dyDescent="0.15">
      <c r="A37" s="1"/>
      <c r="B37" s="267"/>
      <c r="C37" s="268"/>
      <c r="D37" s="268"/>
      <c r="E37" s="268"/>
      <c r="F37" s="268"/>
      <c r="G37" s="268"/>
      <c r="H37" s="268"/>
      <c r="I37" s="268"/>
      <c r="J37" s="269"/>
      <c r="K37" s="33"/>
    </row>
    <row r="38" spans="1:11" s="4" customFormat="1" ht="18.75" customHeight="1" x14ac:dyDescent="0.15">
      <c r="A38" s="1"/>
      <c r="B38" s="267"/>
      <c r="C38" s="268"/>
      <c r="D38" s="268"/>
      <c r="E38" s="268"/>
      <c r="F38" s="268"/>
      <c r="G38" s="268"/>
      <c r="H38" s="268"/>
      <c r="I38" s="268"/>
      <c r="J38" s="269"/>
      <c r="K38" s="33"/>
    </row>
    <row r="39" spans="1:11" s="4" customFormat="1" ht="18.75" customHeight="1" x14ac:dyDescent="0.15">
      <c r="A39" s="1"/>
      <c r="B39" s="267"/>
      <c r="C39" s="268"/>
      <c r="D39" s="268"/>
      <c r="E39" s="268"/>
      <c r="F39" s="268"/>
      <c r="G39" s="268"/>
      <c r="H39" s="268"/>
      <c r="I39" s="268"/>
      <c r="J39" s="269"/>
      <c r="K39" s="33"/>
    </row>
    <row r="40" spans="1:11" s="4" customFormat="1" ht="18.75" customHeight="1" x14ac:dyDescent="0.15">
      <c r="A40" s="1"/>
      <c r="B40" s="267"/>
      <c r="C40" s="268"/>
      <c r="D40" s="268"/>
      <c r="E40" s="268"/>
      <c r="F40" s="268"/>
      <c r="G40" s="268"/>
      <c r="H40" s="268"/>
      <c r="I40" s="268"/>
      <c r="J40" s="269"/>
      <c r="K40" s="33"/>
    </row>
    <row r="41" spans="1:11" s="4" customFormat="1" ht="18.75" customHeight="1" x14ac:dyDescent="0.15">
      <c r="A41" s="1"/>
      <c r="B41" s="267"/>
      <c r="C41" s="268"/>
      <c r="D41" s="268"/>
      <c r="E41" s="268"/>
      <c r="F41" s="268"/>
      <c r="G41" s="268"/>
      <c r="H41" s="268"/>
      <c r="I41" s="268"/>
      <c r="J41" s="269"/>
      <c r="K41" s="33"/>
    </row>
    <row r="42" spans="1:11" s="4" customFormat="1" ht="18.75" customHeight="1" x14ac:dyDescent="0.15">
      <c r="A42" s="1"/>
      <c r="B42" s="267"/>
      <c r="C42" s="268"/>
      <c r="D42" s="268"/>
      <c r="E42" s="268"/>
      <c r="F42" s="268"/>
      <c r="G42" s="268"/>
      <c r="H42" s="268"/>
      <c r="I42" s="268"/>
      <c r="J42" s="269"/>
      <c r="K42" s="33"/>
    </row>
    <row r="43" spans="1:11" ht="18.75" customHeight="1" x14ac:dyDescent="0.15">
      <c r="A43" s="37"/>
      <c r="B43" s="267"/>
      <c r="C43" s="268"/>
      <c r="D43" s="268"/>
      <c r="E43" s="268"/>
      <c r="F43" s="268"/>
      <c r="G43" s="268"/>
      <c r="H43" s="268"/>
      <c r="I43" s="268"/>
      <c r="J43" s="269"/>
      <c r="K43" s="33"/>
    </row>
    <row r="44" spans="1:11" ht="18.75" customHeight="1" x14ac:dyDescent="0.15">
      <c r="A44" s="37"/>
      <c r="B44" s="270"/>
      <c r="C44" s="271"/>
      <c r="D44" s="271"/>
      <c r="E44" s="271"/>
      <c r="F44" s="271"/>
      <c r="G44" s="271"/>
      <c r="H44" s="271"/>
      <c r="I44" s="271"/>
      <c r="J44" s="272"/>
    </row>
    <row r="45" spans="1:11" s="4" customFormat="1" ht="18.75" customHeight="1" x14ac:dyDescent="0.15">
      <c r="A45" s="101" t="s">
        <v>11</v>
      </c>
      <c r="B45" s="1" t="s">
        <v>65</v>
      </c>
      <c r="C45" s="1"/>
      <c r="D45" s="1"/>
      <c r="E45" s="1"/>
      <c r="F45" s="1"/>
      <c r="G45" s="1"/>
      <c r="H45" s="1"/>
      <c r="I45" s="101"/>
      <c r="J45" s="101"/>
      <c r="K45" s="29"/>
    </row>
    <row r="46" spans="1:11" ht="18.75" customHeight="1" x14ac:dyDescent="0.15">
      <c r="A46" s="37"/>
      <c r="B46" s="264" t="s">
        <v>188</v>
      </c>
      <c r="C46" s="265"/>
      <c r="D46" s="265"/>
      <c r="E46" s="265"/>
      <c r="F46" s="265"/>
      <c r="G46" s="265"/>
      <c r="H46" s="265"/>
      <c r="I46" s="265"/>
      <c r="J46" s="266"/>
      <c r="K46" s="29" t="str">
        <f>IF(B46="","入力してください","")</f>
        <v/>
      </c>
    </row>
    <row r="47" spans="1:11" ht="18.75" customHeight="1" x14ac:dyDescent="0.15">
      <c r="A47" s="37"/>
      <c r="B47" s="267"/>
      <c r="C47" s="268"/>
      <c r="D47" s="268"/>
      <c r="E47" s="268"/>
      <c r="F47" s="268"/>
      <c r="G47" s="268"/>
      <c r="H47" s="268"/>
      <c r="I47" s="268"/>
      <c r="J47" s="269"/>
    </row>
    <row r="48" spans="1:11" ht="18.75" customHeight="1" x14ac:dyDescent="0.15">
      <c r="A48" s="37"/>
      <c r="B48" s="267"/>
      <c r="C48" s="268"/>
      <c r="D48" s="268"/>
      <c r="E48" s="268"/>
      <c r="F48" s="268"/>
      <c r="G48" s="268"/>
      <c r="H48" s="268"/>
      <c r="I48" s="268"/>
      <c r="J48" s="269"/>
    </row>
    <row r="49" spans="1:10" ht="18.75" customHeight="1" x14ac:dyDescent="0.15">
      <c r="A49" s="37"/>
      <c r="B49" s="267"/>
      <c r="C49" s="268"/>
      <c r="D49" s="268"/>
      <c r="E49" s="268"/>
      <c r="F49" s="268"/>
      <c r="G49" s="268"/>
      <c r="H49" s="268"/>
      <c r="I49" s="268"/>
      <c r="J49" s="269"/>
    </row>
    <row r="50" spans="1:10" ht="18.75" customHeight="1" x14ac:dyDescent="0.15">
      <c r="A50" s="37"/>
      <c r="B50" s="267"/>
      <c r="C50" s="268"/>
      <c r="D50" s="268"/>
      <c r="E50" s="268"/>
      <c r="F50" s="268"/>
      <c r="G50" s="268"/>
      <c r="H50" s="268"/>
      <c r="I50" s="268"/>
      <c r="J50" s="269"/>
    </row>
    <row r="51" spans="1:10" ht="18.75" customHeight="1" x14ac:dyDescent="0.15">
      <c r="A51" s="37"/>
      <c r="B51" s="267"/>
      <c r="C51" s="268"/>
      <c r="D51" s="268"/>
      <c r="E51" s="268"/>
      <c r="F51" s="268"/>
      <c r="G51" s="268"/>
      <c r="H51" s="268"/>
      <c r="I51" s="268"/>
      <c r="J51" s="269"/>
    </row>
    <row r="52" spans="1:10" ht="18.75" customHeight="1" x14ac:dyDescent="0.15">
      <c r="A52" s="37"/>
      <c r="B52" s="267"/>
      <c r="C52" s="268"/>
      <c r="D52" s="268"/>
      <c r="E52" s="268"/>
      <c r="F52" s="268"/>
      <c r="G52" s="268"/>
      <c r="H52" s="268"/>
      <c r="I52" s="268"/>
      <c r="J52" s="269"/>
    </row>
    <row r="53" spans="1:10" ht="18.75" customHeight="1" x14ac:dyDescent="0.15">
      <c r="A53" s="37"/>
      <c r="B53" s="267"/>
      <c r="C53" s="268"/>
      <c r="D53" s="268"/>
      <c r="E53" s="268"/>
      <c r="F53" s="268"/>
      <c r="G53" s="268"/>
      <c r="H53" s="268"/>
      <c r="I53" s="268"/>
      <c r="J53" s="269"/>
    </row>
    <row r="54" spans="1:10" ht="18.75" customHeight="1" x14ac:dyDescent="0.15">
      <c r="A54" s="37"/>
      <c r="B54" s="267"/>
      <c r="C54" s="268"/>
      <c r="D54" s="268"/>
      <c r="E54" s="268"/>
      <c r="F54" s="268"/>
      <c r="G54" s="268"/>
      <c r="H54" s="268"/>
      <c r="I54" s="268"/>
      <c r="J54" s="269"/>
    </row>
    <row r="55" spans="1:10" ht="18.75" customHeight="1" x14ac:dyDescent="0.15">
      <c r="A55" s="37"/>
      <c r="B55" s="267"/>
      <c r="C55" s="268"/>
      <c r="D55" s="268"/>
      <c r="E55" s="268"/>
      <c r="F55" s="268"/>
      <c r="G55" s="268"/>
      <c r="H55" s="268"/>
      <c r="I55" s="268"/>
      <c r="J55" s="269"/>
    </row>
    <row r="56" spans="1:10" ht="18.75" customHeight="1" x14ac:dyDescent="0.15">
      <c r="A56" s="37"/>
      <c r="B56" s="267"/>
      <c r="C56" s="268"/>
      <c r="D56" s="268"/>
      <c r="E56" s="268"/>
      <c r="F56" s="268"/>
      <c r="G56" s="268"/>
      <c r="H56" s="268"/>
      <c r="I56" s="268"/>
      <c r="J56" s="269"/>
    </row>
    <row r="57" spans="1:10" ht="18.75" customHeight="1" x14ac:dyDescent="0.15">
      <c r="A57" s="37"/>
      <c r="B57" s="267"/>
      <c r="C57" s="268"/>
      <c r="D57" s="268"/>
      <c r="E57" s="268"/>
      <c r="F57" s="268"/>
      <c r="G57" s="268"/>
      <c r="H57" s="268"/>
      <c r="I57" s="268"/>
      <c r="J57" s="269"/>
    </row>
    <row r="58" spans="1:10" ht="18.75" customHeight="1" x14ac:dyDescent="0.15">
      <c r="A58" s="37"/>
      <c r="B58" s="267"/>
      <c r="C58" s="268"/>
      <c r="D58" s="268"/>
      <c r="E58" s="268"/>
      <c r="F58" s="268"/>
      <c r="G58" s="268"/>
      <c r="H58" s="268"/>
      <c r="I58" s="268"/>
      <c r="J58" s="269"/>
    </row>
    <row r="59" spans="1:10" ht="18.75" customHeight="1" x14ac:dyDescent="0.15">
      <c r="A59" s="37"/>
      <c r="B59" s="267"/>
      <c r="C59" s="268"/>
      <c r="D59" s="268"/>
      <c r="E59" s="268"/>
      <c r="F59" s="268"/>
      <c r="G59" s="268"/>
      <c r="H59" s="268"/>
      <c r="I59" s="268"/>
      <c r="J59" s="269"/>
    </row>
    <row r="60" spans="1:10" ht="18.75" customHeight="1" x14ac:dyDescent="0.15">
      <c r="A60" s="37"/>
      <c r="B60" s="267"/>
      <c r="C60" s="268"/>
      <c r="D60" s="268"/>
      <c r="E60" s="268"/>
      <c r="F60" s="268"/>
      <c r="G60" s="268"/>
      <c r="H60" s="268"/>
      <c r="I60" s="268"/>
      <c r="J60" s="269"/>
    </row>
    <row r="61" spans="1:10" ht="18.75" customHeight="1" x14ac:dyDescent="0.15">
      <c r="A61" s="37"/>
      <c r="B61" s="267"/>
      <c r="C61" s="268"/>
      <c r="D61" s="268"/>
      <c r="E61" s="268"/>
      <c r="F61" s="268"/>
      <c r="G61" s="268"/>
      <c r="H61" s="268"/>
      <c r="I61" s="268"/>
      <c r="J61" s="269"/>
    </row>
    <row r="62" spans="1:10" ht="18.75" customHeight="1" x14ac:dyDescent="0.15">
      <c r="A62" s="37"/>
      <c r="B62" s="267"/>
      <c r="C62" s="268"/>
      <c r="D62" s="268"/>
      <c r="E62" s="268"/>
      <c r="F62" s="268"/>
      <c r="G62" s="268"/>
      <c r="H62" s="268"/>
      <c r="I62" s="268"/>
      <c r="J62" s="269"/>
    </row>
    <row r="63" spans="1:10" ht="18.75" customHeight="1" x14ac:dyDescent="0.15">
      <c r="A63" s="37"/>
      <c r="B63" s="267"/>
      <c r="C63" s="268"/>
      <c r="D63" s="268"/>
      <c r="E63" s="268"/>
      <c r="F63" s="268"/>
      <c r="G63" s="268"/>
      <c r="H63" s="268"/>
      <c r="I63" s="268"/>
      <c r="J63" s="269"/>
    </row>
    <row r="64" spans="1:10" ht="18.75" customHeight="1" x14ac:dyDescent="0.15">
      <c r="A64" s="37"/>
      <c r="B64" s="267"/>
      <c r="C64" s="268"/>
      <c r="D64" s="268"/>
      <c r="E64" s="268"/>
      <c r="F64" s="268"/>
      <c r="G64" s="268"/>
      <c r="H64" s="268"/>
      <c r="I64" s="268"/>
      <c r="J64" s="269"/>
    </row>
    <row r="65" spans="1:11" ht="18.75" customHeight="1" x14ac:dyDescent="0.15">
      <c r="A65" s="37"/>
      <c r="B65" s="267"/>
      <c r="C65" s="268"/>
      <c r="D65" s="268"/>
      <c r="E65" s="268"/>
      <c r="F65" s="268"/>
      <c r="G65" s="268"/>
      <c r="H65" s="268"/>
      <c r="I65" s="268"/>
      <c r="J65" s="269"/>
    </row>
    <row r="66" spans="1:11" ht="18.75" customHeight="1" x14ac:dyDescent="0.15">
      <c r="A66" s="37"/>
      <c r="B66" s="270"/>
      <c r="C66" s="271"/>
      <c r="D66" s="271"/>
      <c r="E66" s="271"/>
      <c r="F66" s="271"/>
      <c r="G66" s="271"/>
      <c r="H66" s="271"/>
      <c r="I66" s="271"/>
      <c r="J66" s="272"/>
    </row>
    <row r="67" spans="1:11" ht="7.5" customHeight="1" x14ac:dyDescent="0.15">
      <c r="A67" s="37"/>
      <c r="B67" s="37"/>
      <c r="C67" s="37"/>
      <c r="D67" s="37"/>
      <c r="E67" s="37"/>
      <c r="F67" s="37"/>
      <c r="G67" s="37"/>
      <c r="H67" s="37"/>
      <c r="I67" s="37"/>
      <c r="J67" s="37"/>
    </row>
    <row r="68" spans="1:11" s="4" customFormat="1" ht="18.75" customHeight="1" x14ac:dyDescent="0.15">
      <c r="A68" s="1" t="s">
        <v>14</v>
      </c>
      <c r="B68" s="1" t="s">
        <v>71</v>
      </c>
      <c r="C68" s="1"/>
      <c r="D68" s="1"/>
      <c r="E68" s="1"/>
      <c r="F68" s="1"/>
      <c r="G68" s="1"/>
      <c r="H68" s="1"/>
      <c r="I68" s="1"/>
      <c r="J68" s="1"/>
      <c r="K68" s="29"/>
    </row>
    <row r="69" spans="1:11" s="4" customFormat="1" ht="18.75" customHeight="1" x14ac:dyDescent="0.15">
      <c r="A69" s="1"/>
      <c r="B69" s="264" t="s">
        <v>187</v>
      </c>
      <c r="C69" s="265"/>
      <c r="D69" s="265"/>
      <c r="E69" s="265"/>
      <c r="F69" s="265"/>
      <c r="G69" s="265"/>
      <c r="H69" s="265"/>
      <c r="I69" s="273"/>
      <c r="J69" s="274"/>
      <c r="K69" s="33" t="str">
        <f>IF(B69="","入力してください","")</f>
        <v/>
      </c>
    </row>
    <row r="70" spans="1:11" s="4" customFormat="1" ht="18.75" customHeight="1" x14ac:dyDescent="0.15">
      <c r="A70" s="1"/>
      <c r="B70" s="275"/>
      <c r="C70" s="276"/>
      <c r="D70" s="276"/>
      <c r="E70" s="276"/>
      <c r="F70" s="276"/>
      <c r="G70" s="276"/>
      <c r="H70" s="276"/>
      <c r="I70" s="276"/>
      <c r="J70" s="277"/>
      <c r="K70" s="33"/>
    </row>
    <row r="71" spans="1:11" s="4" customFormat="1" ht="18.75" customHeight="1" x14ac:dyDescent="0.15">
      <c r="A71" s="1"/>
      <c r="B71" s="275"/>
      <c r="C71" s="276"/>
      <c r="D71" s="276"/>
      <c r="E71" s="276"/>
      <c r="F71" s="276"/>
      <c r="G71" s="276"/>
      <c r="H71" s="276"/>
      <c r="I71" s="276"/>
      <c r="J71" s="277"/>
      <c r="K71" s="33"/>
    </row>
    <row r="72" spans="1:11" s="4" customFormat="1" ht="18.75" customHeight="1" x14ac:dyDescent="0.15">
      <c r="A72" s="1"/>
      <c r="B72" s="275"/>
      <c r="C72" s="276"/>
      <c r="D72" s="276"/>
      <c r="E72" s="276"/>
      <c r="F72" s="276"/>
      <c r="G72" s="276"/>
      <c r="H72" s="276"/>
      <c r="I72" s="276"/>
      <c r="J72" s="277"/>
      <c r="K72" s="33"/>
    </row>
    <row r="73" spans="1:11" s="4" customFormat="1" ht="18.75" customHeight="1" x14ac:dyDescent="0.15">
      <c r="A73" s="1"/>
      <c r="B73" s="275"/>
      <c r="C73" s="276"/>
      <c r="D73" s="276"/>
      <c r="E73" s="276"/>
      <c r="F73" s="276"/>
      <c r="G73" s="276"/>
      <c r="H73" s="276"/>
      <c r="I73" s="276"/>
      <c r="J73" s="277"/>
      <c r="K73" s="33"/>
    </row>
    <row r="74" spans="1:11" s="4" customFormat="1" ht="18.75" customHeight="1" x14ac:dyDescent="0.15">
      <c r="A74" s="1"/>
      <c r="B74" s="275"/>
      <c r="C74" s="276"/>
      <c r="D74" s="276"/>
      <c r="E74" s="276"/>
      <c r="F74" s="276"/>
      <c r="G74" s="276"/>
      <c r="H74" s="276"/>
      <c r="I74" s="276"/>
      <c r="J74" s="277"/>
      <c r="K74" s="33"/>
    </row>
    <row r="75" spans="1:11" s="4" customFormat="1" ht="18.75" customHeight="1" x14ac:dyDescent="0.15">
      <c r="A75" s="1"/>
      <c r="B75" s="275"/>
      <c r="C75" s="276"/>
      <c r="D75" s="276"/>
      <c r="E75" s="276"/>
      <c r="F75" s="276"/>
      <c r="G75" s="276"/>
      <c r="H75" s="276"/>
      <c r="I75" s="276"/>
      <c r="J75" s="277"/>
      <c r="K75" s="33"/>
    </row>
    <row r="76" spans="1:11" s="4" customFormat="1" ht="18.75" customHeight="1" x14ac:dyDescent="0.15">
      <c r="A76" s="1"/>
      <c r="B76" s="275"/>
      <c r="C76" s="276"/>
      <c r="D76" s="276"/>
      <c r="E76" s="276"/>
      <c r="F76" s="276"/>
      <c r="G76" s="276"/>
      <c r="H76" s="276"/>
      <c r="I76" s="276"/>
      <c r="J76" s="277"/>
      <c r="K76" s="33"/>
    </row>
    <row r="77" spans="1:11" s="4" customFormat="1" ht="18.75" customHeight="1" x14ac:dyDescent="0.15">
      <c r="A77" s="1"/>
      <c r="B77" s="275"/>
      <c r="C77" s="276"/>
      <c r="D77" s="276"/>
      <c r="E77" s="276"/>
      <c r="F77" s="276"/>
      <c r="G77" s="276"/>
      <c r="H77" s="276"/>
      <c r="I77" s="276"/>
      <c r="J77" s="277"/>
      <c r="K77" s="33"/>
    </row>
    <row r="78" spans="1:11" s="4" customFormat="1" ht="18.75" customHeight="1" x14ac:dyDescent="0.15">
      <c r="A78" s="1"/>
      <c r="B78" s="275"/>
      <c r="C78" s="276"/>
      <c r="D78" s="276"/>
      <c r="E78" s="276"/>
      <c r="F78" s="276"/>
      <c r="G78" s="276"/>
      <c r="H78" s="276"/>
      <c r="I78" s="276"/>
      <c r="J78" s="277"/>
      <c r="K78" s="33"/>
    </row>
    <row r="79" spans="1:11" s="4" customFormat="1" ht="18.75" customHeight="1" x14ac:dyDescent="0.15">
      <c r="A79" s="1"/>
      <c r="B79" s="275"/>
      <c r="C79" s="276"/>
      <c r="D79" s="276"/>
      <c r="E79" s="276"/>
      <c r="F79" s="276"/>
      <c r="G79" s="276"/>
      <c r="H79" s="276"/>
      <c r="I79" s="276"/>
      <c r="J79" s="277"/>
      <c r="K79" s="33"/>
    </row>
    <row r="80" spans="1:11" s="4" customFormat="1" ht="18.75" customHeight="1" x14ac:dyDescent="0.15">
      <c r="A80" s="1"/>
      <c r="B80" s="275"/>
      <c r="C80" s="276"/>
      <c r="D80" s="276"/>
      <c r="E80" s="276"/>
      <c r="F80" s="276"/>
      <c r="G80" s="276"/>
      <c r="H80" s="276"/>
      <c r="I80" s="276"/>
      <c r="J80" s="277"/>
      <c r="K80" s="33"/>
    </row>
    <row r="81" spans="1:11" s="4" customFormat="1" ht="18.75" customHeight="1" x14ac:dyDescent="0.15">
      <c r="A81" s="1"/>
      <c r="B81" s="275"/>
      <c r="C81" s="276"/>
      <c r="D81" s="276"/>
      <c r="E81" s="276"/>
      <c r="F81" s="276"/>
      <c r="G81" s="276"/>
      <c r="H81" s="276"/>
      <c r="I81" s="276"/>
      <c r="J81" s="277"/>
      <c r="K81" s="33"/>
    </row>
    <row r="82" spans="1:11" s="4" customFormat="1" ht="18.75" customHeight="1" x14ac:dyDescent="0.15">
      <c r="A82" s="1"/>
      <c r="B82" s="275"/>
      <c r="C82" s="276"/>
      <c r="D82" s="276"/>
      <c r="E82" s="276"/>
      <c r="F82" s="276"/>
      <c r="G82" s="276"/>
      <c r="H82" s="276"/>
      <c r="I82" s="276"/>
      <c r="J82" s="277"/>
      <c r="K82" s="33"/>
    </row>
    <row r="83" spans="1:11" s="4" customFormat="1" ht="18.75" customHeight="1" x14ac:dyDescent="0.15">
      <c r="A83" s="1"/>
      <c r="B83" s="275"/>
      <c r="C83" s="276"/>
      <c r="D83" s="276"/>
      <c r="E83" s="276"/>
      <c r="F83" s="276"/>
      <c r="G83" s="276"/>
      <c r="H83" s="276"/>
      <c r="I83" s="276"/>
      <c r="J83" s="277"/>
      <c r="K83" s="33"/>
    </row>
    <row r="84" spans="1:11" s="4" customFormat="1" ht="18.75" customHeight="1" x14ac:dyDescent="0.15">
      <c r="A84" s="1"/>
      <c r="B84" s="275"/>
      <c r="C84" s="276"/>
      <c r="D84" s="276"/>
      <c r="E84" s="276"/>
      <c r="F84" s="276"/>
      <c r="G84" s="276"/>
      <c r="H84" s="276"/>
      <c r="I84" s="276"/>
      <c r="J84" s="277"/>
      <c r="K84" s="33"/>
    </row>
    <row r="85" spans="1:11" ht="18.75" customHeight="1" x14ac:dyDescent="0.15">
      <c r="A85" s="37"/>
      <c r="B85" s="275"/>
      <c r="C85" s="276"/>
      <c r="D85" s="276"/>
      <c r="E85" s="276"/>
      <c r="F85" s="276"/>
      <c r="G85" s="276"/>
      <c r="H85" s="276"/>
      <c r="I85" s="276"/>
      <c r="J85" s="277"/>
      <c r="K85" s="33"/>
    </row>
    <row r="86" spans="1:11" ht="18.75" customHeight="1" x14ac:dyDescent="0.15">
      <c r="A86" s="37"/>
      <c r="B86" s="278"/>
      <c r="C86" s="279"/>
      <c r="D86" s="279"/>
      <c r="E86" s="279"/>
      <c r="F86" s="279"/>
      <c r="G86" s="279"/>
      <c r="H86" s="279"/>
      <c r="I86" s="279"/>
      <c r="J86" s="280"/>
      <c r="K86" s="33"/>
    </row>
    <row r="87" spans="1:11" ht="7.5" customHeight="1" x14ac:dyDescent="0.15">
      <c r="A87" s="37"/>
      <c r="B87" s="37"/>
      <c r="C87" s="37"/>
      <c r="D87" s="37"/>
      <c r="E87" s="37"/>
      <c r="F87" s="37"/>
      <c r="G87" s="37"/>
      <c r="H87" s="37"/>
      <c r="I87" s="37"/>
      <c r="J87" s="37"/>
    </row>
    <row r="88" spans="1:11" s="4" customFormat="1" ht="18.75" customHeight="1" x14ac:dyDescent="0.15">
      <c r="A88" s="1" t="s">
        <v>12</v>
      </c>
      <c r="B88" s="1" t="s">
        <v>27</v>
      </c>
      <c r="C88" s="1"/>
      <c r="D88" s="1"/>
      <c r="E88" s="1"/>
      <c r="F88" s="1"/>
      <c r="G88" s="1"/>
      <c r="H88" s="1"/>
      <c r="I88" s="1"/>
      <c r="J88" s="1"/>
      <c r="K88" s="29"/>
    </row>
    <row r="89" spans="1:11" s="4" customFormat="1" ht="18.75" customHeight="1" x14ac:dyDescent="0.15">
      <c r="A89" s="1"/>
      <c r="B89" s="264" t="s">
        <v>177</v>
      </c>
      <c r="C89" s="265"/>
      <c r="D89" s="265"/>
      <c r="E89" s="265"/>
      <c r="F89" s="265"/>
      <c r="G89" s="265"/>
      <c r="H89" s="265"/>
      <c r="I89" s="273"/>
      <c r="J89" s="274"/>
      <c r="K89" s="29"/>
    </row>
    <row r="90" spans="1:11" s="4" customFormat="1" ht="18.75" customHeight="1" x14ac:dyDescent="0.15">
      <c r="A90" s="1"/>
      <c r="B90" s="275"/>
      <c r="C90" s="276"/>
      <c r="D90" s="276"/>
      <c r="E90" s="276"/>
      <c r="F90" s="276"/>
      <c r="G90" s="276"/>
      <c r="H90" s="276"/>
      <c r="I90" s="276"/>
      <c r="J90" s="277"/>
      <c r="K90" s="33"/>
    </row>
    <row r="91" spans="1:11" s="4" customFormat="1" ht="18.75" customHeight="1" x14ac:dyDescent="0.15">
      <c r="A91" s="1"/>
      <c r="B91" s="275"/>
      <c r="C91" s="276"/>
      <c r="D91" s="276"/>
      <c r="E91" s="276"/>
      <c r="F91" s="276"/>
      <c r="G91" s="276"/>
      <c r="H91" s="276"/>
      <c r="I91" s="276"/>
      <c r="J91" s="277"/>
      <c r="K91" s="33" t="str">
        <f>IF(B89="","入力してください","")</f>
        <v/>
      </c>
    </row>
    <row r="92" spans="1:11" s="4" customFormat="1" ht="18.75" customHeight="1" x14ac:dyDescent="0.15">
      <c r="A92" s="1"/>
      <c r="B92" s="275"/>
      <c r="C92" s="276"/>
      <c r="D92" s="276"/>
      <c r="E92" s="276"/>
      <c r="F92" s="276"/>
      <c r="G92" s="276"/>
      <c r="H92" s="276"/>
      <c r="I92" s="276"/>
      <c r="J92" s="277"/>
      <c r="K92" s="33"/>
    </row>
    <row r="93" spans="1:11" s="4" customFormat="1" ht="18.75" customHeight="1" x14ac:dyDescent="0.15">
      <c r="A93" s="1"/>
      <c r="B93" s="275"/>
      <c r="C93" s="276"/>
      <c r="D93" s="276"/>
      <c r="E93" s="276"/>
      <c r="F93" s="276"/>
      <c r="G93" s="276"/>
      <c r="H93" s="276"/>
      <c r="I93" s="276"/>
      <c r="J93" s="277"/>
      <c r="K93" s="33"/>
    </row>
    <row r="94" spans="1:11" s="4" customFormat="1" ht="18.75" customHeight="1" x14ac:dyDescent="0.15">
      <c r="A94" s="1"/>
      <c r="B94" s="275"/>
      <c r="C94" s="276"/>
      <c r="D94" s="276"/>
      <c r="E94" s="276"/>
      <c r="F94" s="276"/>
      <c r="G94" s="276"/>
      <c r="H94" s="276"/>
      <c r="I94" s="276"/>
      <c r="J94" s="277"/>
      <c r="K94" s="33"/>
    </row>
    <row r="95" spans="1:11" s="4" customFormat="1" ht="18.75" customHeight="1" x14ac:dyDescent="0.15">
      <c r="A95" s="1"/>
      <c r="B95" s="275"/>
      <c r="C95" s="276"/>
      <c r="D95" s="276"/>
      <c r="E95" s="276"/>
      <c r="F95" s="276"/>
      <c r="G95" s="276"/>
      <c r="H95" s="276"/>
      <c r="I95" s="276"/>
      <c r="J95" s="277"/>
      <c r="K95" s="33"/>
    </row>
    <row r="96" spans="1:11" s="4" customFormat="1" ht="18.75" customHeight="1" x14ac:dyDescent="0.15">
      <c r="A96" s="1"/>
      <c r="B96" s="275"/>
      <c r="C96" s="276"/>
      <c r="D96" s="276"/>
      <c r="E96" s="276"/>
      <c r="F96" s="276"/>
      <c r="G96" s="276"/>
      <c r="H96" s="276"/>
      <c r="I96" s="276"/>
      <c r="J96" s="277"/>
      <c r="K96" s="33"/>
    </row>
    <row r="97" spans="1:11" s="4" customFormat="1" ht="18.75" customHeight="1" x14ac:dyDescent="0.15">
      <c r="A97" s="1"/>
      <c r="B97" s="275"/>
      <c r="C97" s="276"/>
      <c r="D97" s="276"/>
      <c r="E97" s="276"/>
      <c r="F97" s="276"/>
      <c r="G97" s="276"/>
      <c r="H97" s="276"/>
      <c r="I97" s="276"/>
      <c r="J97" s="277"/>
      <c r="K97" s="33"/>
    </row>
    <row r="98" spans="1:11" s="4" customFormat="1" ht="18.75" customHeight="1" x14ac:dyDescent="0.15">
      <c r="A98" s="1"/>
      <c r="B98" s="275"/>
      <c r="C98" s="276"/>
      <c r="D98" s="276"/>
      <c r="E98" s="276"/>
      <c r="F98" s="276"/>
      <c r="G98" s="276"/>
      <c r="H98" s="276"/>
      <c r="I98" s="276"/>
      <c r="J98" s="277"/>
      <c r="K98" s="33"/>
    </row>
    <row r="99" spans="1:11" s="4" customFormat="1" ht="18.75" customHeight="1" x14ac:dyDescent="0.15">
      <c r="A99" s="1"/>
      <c r="B99" s="275"/>
      <c r="C99" s="276"/>
      <c r="D99" s="276"/>
      <c r="E99" s="276"/>
      <c r="F99" s="276"/>
      <c r="G99" s="276"/>
      <c r="H99" s="276"/>
      <c r="I99" s="276"/>
      <c r="J99" s="277"/>
      <c r="K99" s="33"/>
    </row>
    <row r="100" spans="1:11" s="4" customFormat="1" ht="18.75" customHeight="1" x14ac:dyDescent="0.15">
      <c r="A100" s="1"/>
      <c r="B100" s="275"/>
      <c r="C100" s="276"/>
      <c r="D100" s="276"/>
      <c r="E100" s="276"/>
      <c r="F100" s="276"/>
      <c r="G100" s="276"/>
      <c r="H100" s="276"/>
      <c r="I100" s="276"/>
      <c r="J100" s="277"/>
      <c r="K100" s="33"/>
    </row>
    <row r="101" spans="1:11" s="4" customFormat="1" ht="18.75" customHeight="1" x14ac:dyDescent="0.15">
      <c r="A101" s="1"/>
      <c r="B101" s="275"/>
      <c r="C101" s="276"/>
      <c r="D101" s="276"/>
      <c r="E101" s="276"/>
      <c r="F101" s="276"/>
      <c r="G101" s="276"/>
      <c r="H101" s="276"/>
      <c r="I101" s="276"/>
      <c r="J101" s="277"/>
      <c r="K101" s="33"/>
    </row>
    <row r="102" spans="1:11" s="4" customFormat="1" ht="18.75" customHeight="1" x14ac:dyDescent="0.15">
      <c r="A102" s="1"/>
      <c r="B102" s="275"/>
      <c r="C102" s="276"/>
      <c r="D102" s="276"/>
      <c r="E102" s="276"/>
      <c r="F102" s="276"/>
      <c r="G102" s="276"/>
      <c r="H102" s="276"/>
      <c r="I102" s="276"/>
      <c r="J102" s="277"/>
      <c r="K102" s="33"/>
    </row>
    <row r="103" spans="1:11" s="4" customFormat="1" ht="18.75" customHeight="1" x14ac:dyDescent="0.15">
      <c r="A103" s="1"/>
      <c r="B103" s="275"/>
      <c r="C103" s="276"/>
      <c r="D103" s="276"/>
      <c r="E103" s="276"/>
      <c r="F103" s="276"/>
      <c r="G103" s="276"/>
      <c r="H103" s="276"/>
      <c r="I103" s="276"/>
      <c r="J103" s="277"/>
      <c r="K103" s="33"/>
    </row>
    <row r="104" spans="1:11" s="4" customFormat="1" ht="18.75" customHeight="1" x14ac:dyDescent="0.15">
      <c r="A104" s="1"/>
      <c r="B104" s="275"/>
      <c r="C104" s="276"/>
      <c r="D104" s="276"/>
      <c r="E104" s="276"/>
      <c r="F104" s="276"/>
      <c r="G104" s="276"/>
      <c r="H104" s="276"/>
      <c r="I104" s="276"/>
      <c r="J104" s="277"/>
      <c r="K104" s="33"/>
    </row>
    <row r="105" spans="1:11" s="4" customFormat="1" ht="18.75" customHeight="1" x14ac:dyDescent="0.15">
      <c r="A105" s="1"/>
      <c r="B105" s="275"/>
      <c r="C105" s="276"/>
      <c r="D105" s="276"/>
      <c r="E105" s="276"/>
      <c r="F105" s="276"/>
      <c r="G105" s="276"/>
      <c r="H105" s="276"/>
      <c r="I105" s="276"/>
      <c r="J105" s="277"/>
      <c r="K105" s="33"/>
    </row>
    <row r="106" spans="1:11" s="4" customFormat="1" ht="18.75" customHeight="1" x14ac:dyDescent="0.15">
      <c r="A106" s="1"/>
      <c r="B106" s="275"/>
      <c r="C106" s="276"/>
      <c r="D106" s="276"/>
      <c r="E106" s="276"/>
      <c r="F106" s="276"/>
      <c r="G106" s="276"/>
      <c r="H106" s="276"/>
      <c r="I106" s="276"/>
      <c r="J106" s="277"/>
      <c r="K106" s="33"/>
    </row>
    <row r="107" spans="1:11" ht="18.75" customHeight="1" x14ac:dyDescent="0.15">
      <c r="A107" s="37"/>
      <c r="B107" s="275"/>
      <c r="C107" s="276"/>
      <c r="D107" s="276"/>
      <c r="E107" s="276"/>
      <c r="F107" s="276"/>
      <c r="G107" s="276"/>
      <c r="H107" s="276"/>
      <c r="I107" s="276"/>
      <c r="J107" s="277"/>
      <c r="K107" s="33"/>
    </row>
    <row r="108" spans="1:11" ht="18.75" customHeight="1" x14ac:dyDescent="0.15">
      <c r="A108" s="37"/>
      <c r="B108" s="278"/>
      <c r="C108" s="279"/>
      <c r="D108" s="279"/>
      <c r="E108" s="279"/>
      <c r="F108" s="279"/>
      <c r="G108" s="279"/>
      <c r="H108" s="279"/>
      <c r="I108" s="279"/>
      <c r="J108" s="280"/>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53</v>
      </c>
      <c r="B110" s="281" t="s">
        <v>82</v>
      </c>
      <c r="C110" s="281"/>
      <c r="D110" s="281"/>
      <c r="E110" s="281"/>
      <c r="F110" s="281"/>
      <c r="G110" s="281"/>
      <c r="H110" s="281"/>
      <c r="I110" s="281"/>
      <c r="J110" s="281"/>
      <c r="K110" s="29"/>
    </row>
    <row r="111" spans="1:11" ht="18.75" customHeight="1" x14ac:dyDescent="0.15">
      <c r="A111" s="37"/>
      <c r="B111" s="282" t="s">
        <v>207</v>
      </c>
      <c r="C111" s="265"/>
      <c r="D111" s="265"/>
      <c r="E111" s="265"/>
      <c r="F111" s="265"/>
      <c r="G111" s="265"/>
      <c r="H111" s="265"/>
      <c r="I111" s="273"/>
      <c r="J111" s="274"/>
    </row>
    <row r="112" spans="1:11" ht="18.75" customHeight="1" x14ac:dyDescent="0.15">
      <c r="A112" s="37"/>
      <c r="B112" s="275"/>
      <c r="C112" s="276"/>
      <c r="D112" s="276"/>
      <c r="E112" s="276"/>
      <c r="F112" s="276"/>
      <c r="G112" s="276"/>
      <c r="H112" s="276"/>
      <c r="I112" s="276"/>
      <c r="J112" s="277"/>
      <c r="K112" s="33"/>
    </row>
    <row r="113" spans="1:11" ht="18.75" customHeight="1" x14ac:dyDescent="0.15">
      <c r="A113" s="37"/>
      <c r="B113" s="275"/>
      <c r="C113" s="276"/>
      <c r="D113" s="276"/>
      <c r="E113" s="276"/>
      <c r="F113" s="276"/>
      <c r="G113" s="276"/>
      <c r="H113" s="276"/>
      <c r="I113" s="276"/>
      <c r="J113" s="277"/>
      <c r="K113" s="29" t="str">
        <f>IF(B111="","入力してください","")</f>
        <v/>
      </c>
    </row>
    <row r="114" spans="1:11" ht="18.75" customHeight="1" x14ac:dyDescent="0.15">
      <c r="A114" s="37"/>
      <c r="B114" s="275"/>
      <c r="C114" s="276"/>
      <c r="D114" s="276"/>
      <c r="E114" s="276"/>
      <c r="F114" s="276"/>
      <c r="G114" s="276"/>
      <c r="H114" s="276"/>
      <c r="I114" s="276"/>
      <c r="J114" s="277"/>
    </row>
    <row r="115" spans="1:11" ht="18.75" customHeight="1" x14ac:dyDescent="0.15">
      <c r="A115" s="37"/>
      <c r="B115" s="275"/>
      <c r="C115" s="276"/>
      <c r="D115" s="276"/>
      <c r="E115" s="276"/>
      <c r="F115" s="276"/>
      <c r="G115" s="276"/>
      <c r="H115" s="276"/>
      <c r="I115" s="276"/>
      <c r="J115" s="277"/>
    </row>
    <row r="116" spans="1:11" ht="18.75" customHeight="1" x14ac:dyDescent="0.15">
      <c r="A116" s="37"/>
      <c r="B116" s="275"/>
      <c r="C116" s="276"/>
      <c r="D116" s="276"/>
      <c r="E116" s="276"/>
      <c r="F116" s="276"/>
      <c r="G116" s="276"/>
      <c r="H116" s="276"/>
      <c r="I116" s="276"/>
      <c r="J116" s="277"/>
    </row>
    <row r="117" spans="1:11" ht="18.75" customHeight="1" x14ac:dyDescent="0.15">
      <c r="A117" s="37"/>
      <c r="B117" s="275"/>
      <c r="C117" s="276"/>
      <c r="D117" s="276"/>
      <c r="E117" s="276"/>
      <c r="F117" s="276"/>
      <c r="G117" s="276"/>
      <c r="H117" s="276"/>
      <c r="I117" s="276"/>
      <c r="J117" s="277"/>
    </row>
    <row r="118" spans="1:11" ht="18.75" customHeight="1" x14ac:dyDescent="0.15">
      <c r="A118" s="37"/>
      <c r="B118" s="275"/>
      <c r="C118" s="276"/>
      <c r="D118" s="276"/>
      <c r="E118" s="276"/>
      <c r="F118" s="276"/>
      <c r="G118" s="276"/>
      <c r="H118" s="276"/>
      <c r="I118" s="276"/>
      <c r="J118" s="277"/>
    </row>
    <row r="119" spans="1:11" ht="18.75" customHeight="1" x14ac:dyDescent="0.15">
      <c r="A119" s="37"/>
      <c r="B119" s="275"/>
      <c r="C119" s="276"/>
      <c r="D119" s="276"/>
      <c r="E119" s="276"/>
      <c r="F119" s="276"/>
      <c r="G119" s="276"/>
      <c r="H119" s="276"/>
      <c r="I119" s="276"/>
      <c r="J119" s="277"/>
    </row>
    <row r="120" spans="1:11" ht="18.75" customHeight="1" x14ac:dyDescent="0.15">
      <c r="A120" s="37"/>
      <c r="B120" s="275"/>
      <c r="C120" s="276"/>
      <c r="D120" s="276"/>
      <c r="E120" s="276"/>
      <c r="F120" s="276"/>
      <c r="G120" s="276"/>
      <c r="H120" s="276"/>
      <c r="I120" s="276"/>
      <c r="J120" s="277"/>
    </row>
    <row r="121" spans="1:11" ht="18.75" customHeight="1" x14ac:dyDescent="0.15">
      <c r="A121" s="37"/>
      <c r="B121" s="275"/>
      <c r="C121" s="276"/>
      <c r="D121" s="276"/>
      <c r="E121" s="276"/>
      <c r="F121" s="276"/>
      <c r="G121" s="276"/>
      <c r="H121" s="276"/>
      <c r="I121" s="276"/>
      <c r="J121" s="277"/>
    </row>
    <row r="122" spans="1:11" ht="18.75" customHeight="1" x14ac:dyDescent="0.15">
      <c r="A122" s="37"/>
      <c r="B122" s="275"/>
      <c r="C122" s="276"/>
      <c r="D122" s="276"/>
      <c r="E122" s="276"/>
      <c r="F122" s="276"/>
      <c r="G122" s="276"/>
      <c r="H122" s="276"/>
      <c r="I122" s="276"/>
      <c r="J122" s="277"/>
    </row>
    <row r="123" spans="1:11" ht="18.75" customHeight="1" x14ac:dyDescent="0.15">
      <c r="A123" s="37"/>
      <c r="B123" s="275"/>
      <c r="C123" s="276"/>
      <c r="D123" s="276"/>
      <c r="E123" s="276"/>
      <c r="F123" s="276"/>
      <c r="G123" s="276"/>
      <c r="H123" s="276"/>
      <c r="I123" s="276"/>
      <c r="J123" s="277"/>
    </row>
    <row r="124" spans="1:11" ht="18.75" customHeight="1" x14ac:dyDescent="0.15">
      <c r="A124" s="37"/>
      <c r="B124" s="275"/>
      <c r="C124" s="276"/>
      <c r="D124" s="276"/>
      <c r="E124" s="276"/>
      <c r="F124" s="276"/>
      <c r="G124" s="276"/>
      <c r="H124" s="276"/>
      <c r="I124" s="276"/>
      <c r="J124" s="277"/>
    </row>
    <row r="125" spans="1:11" ht="18.75" customHeight="1" x14ac:dyDescent="0.15">
      <c r="A125" s="37"/>
      <c r="B125" s="275"/>
      <c r="C125" s="276"/>
      <c r="D125" s="276"/>
      <c r="E125" s="276"/>
      <c r="F125" s="276"/>
      <c r="G125" s="276"/>
      <c r="H125" s="276"/>
      <c r="I125" s="276"/>
      <c r="J125" s="277"/>
    </row>
    <row r="126" spans="1:11" ht="18.75" customHeight="1" x14ac:dyDescent="0.15">
      <c r="A126" s="37"/>
      <c r="B126" s="275"/>
      <c r="C126" s="276"/>
      <c r="D126" s="276"/>
      <c r="E126" s="276"/>
      <c r="F126" s="276"/>
      <c r="G126" s="276"/>
      <c r="H126" s="276"/>
      <c r="I126" s="276"/>
      <c r="J126" s="277"/>
    </row>
    <row r="127" spans="1:11" ht="18.75" customHeight="1" x14ac:dyDescent="0.15">
      <c r="A127" s="37"/>
      <c r="B127" s="275"/>
      <c r="C127" s="276"/>
      <c r="D127" s="276"/>
      <c r="E127" s="276"/>
      <c r="F127" s="276"/>
      <c r="G127" s="276"/>
      <c r="H127" s="276"/>
      <c r="I127" s="276"/>
      <c r="J127" s="277"/>
    </row>
    <row r="128" spans="1:11" ht="18.75" customHeight="1" x14ac:dyDescent="0.15">
      <c r="A128" s="37"/>
      <c r="B128" s="275"/>
      <c r="C128" s="276"/>
      <c r="D128" s="276"/>
      <c r="E128" s="276"/>
      <c r="F128" s="276"/>
      <c r="G128" s="276"/>
      <c r="H128" s="276"/>
      <c r="I128" s="276"/>
      <c r="J128" s="277"/>
    </row>
    <row r="129" spans="1:10" ht="18.75" customHeight="1" x14ac:dyDescent="0.15">
      <c r="A129" s="37"/>
      <c r="B129" s="278"/>
      <c r="C129" s="279"/>
      <c r="D129" s="279"/>
      <c r="E129" s="279"/>
      <c r="F129" s="279"/>
      <c r="G129" s="279"/>
      <c r="H129" s="279"/>
      <c r="I129" s="279"/>
      <c r="J129" s="280"/>
    </row>
    <row r="130" spans="1:10" ht="7.5" customHeight="1" x14ac:dyDescent="0.15">
      <c r="A130" s="37"/>
      <c r="B130" s="102"/>
      <c r="C130" s="102"/>
      <c r="D130" s="102"/>
      <c r="E130" s="102"/>
      <c r="F130" s="102"/>
      <c r="G130" s="102"/>
      <c r="H130" s="102"/>
      <c r="I130" s="102"/>
      <c r="J130" s="102"/>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3"/>
      <c r="B144" s="103"/>
      <c r="C144" s="103"/>
      <c r="D144" s="103"/>
      <c r="E144" s="103"/>
      <c r="F144" s="103"/>
      <c r="G144" s="103"/>
      <c r="H144" s="103"/>
      <c r="I144" s="103"/>
      <c r="J144" s="10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9" customWidth="1"/>
    <col min="12" max="16384" width="11.375" style="1"/>
  </cols>
  <sheetData>
    <row r="1" spans="1:11" ht="18.75" customHeight="1" x14ac:dyDescent="0.15">
      <c r="A1" s="1" t="s">
        <v>124</v>
      </c>
      <c r="J1" s="39" t="s">
        <v>73</v>
      </c>
    </row>
    <row r="2" spans="1:11" ht="18.75" customHeight="1" x14ac:dyDescent="0.15">
      <c r="A2" s="248" t="s">
        <v>42</v>
      </c>
      <c r="B2" s="248"/>
      <c r="C2" s="248"/>
      <c r="D2" s="248"/>
      <c r="E2" s="248"/>
      <c r="F2" s="248"/>
      <c r="G2" s="248"/>
      <c r="H2" s="248"/>
      <c r="I2" s="248"/>
      <c r="J2" s="248"/>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05" t="s">
        <v>38</v>
      </c>
      <c r="C5" s="306"/>
      <c r="D5" s="307"/>
      <c r="E5" s="308" t="s">
        <v>40</v>
      </c>
      <c r="F5" s="308"/>
      <c r="G5" s="308"/>
      <c r="H5" s="308"/>
      <c r="I5" s="308"/>
      <c r="J5" s="309"/>
    </row>
    <row r="6" spans="1:11" ht="18.75" customHeight="1" x14ac:dyDescent="0.15">
      <c r="B6" s="3" t="s">
        <v>28</v>
      </c>
      <c r="C6" s="37"/>
      <c r="D6" s="7"/>
      <c r="I6" s="38"/>
      <c r="J6" s="5"/>
    </row>
    <row r="7" spans="1:11" ht="207" customHeight="1" x14ac:dyDescent="0.15">
      <c r="B7" s="6"/>
      <c r="C7" s="301" t="s">
        <v>29</v>
      </c>
      <c r="D7" s="300"/>
      <c r="E7" s="302" t="s">
        <v>186</v>
      </c>
      <c r="F7" s="295"/>
      <c r="G7" s="295"/>
      <c r="H7" s="295"/>
      <c r="I7" s="295"/>
      <c r="J7" s="296"/>
      <c r="K7" s="29" t="str">
        <f>IF(E7="","入力してください","")</f>
        <v/>
      </c>
    </row>
    <row r="8" spans="1:11" ht="207" customHeight="1" x14ac:dyDescent="0.15">
      <c r="B8" s="6"/>
      <c r="C8" s="303" t="s">
        <v>30</v>
      </c>
      <c r="D8" s="304"/>
      <c r="E8" s="302" t="s">
        <v>184</v>
      </c>
      <c r="F8" s="295"/>
      <c r="G8" s="295"/>
      <c r="H8" s="295"/>
      <c r="I8" s="295"/>
      <c r="J8" s="296"/>
      <c r="K8" s="29" t="str">
        <f>IF(E8="","入力してください","")</f>
        <v/>
      </c>
    </row>
    <row r="9" spans="1:11" ht="172.5" customHeight="1" x14ac:dyDescent="0.15">
      <c r="B9" s="6"/>
      <c r="C9" s="301" t="s">
        <v>31</v>
      </c>
      <c r="D9" s="300"/>
      <c r="E9" s="302" t="s">
        <v>178</v>
      </c>
      <c r="F9" s="295"/>
      <c r="G9" s="295"/>
      <c r="H9" s="295"/>
      <c r="I9" s="295"/>
      <c r="J9" s="296"/>
      <c r="K9" s="29" t="str">
        <f>IF(E9="","入力してください","")</f>
        <v/>
      </c>
    </row>
    <row r="10" spans="1:11" ht="172.5" customHeight="1" x14ac:dyDescent="0.15">
      <c r="B10" s="6"/>
      <c r="C10" s="301" t="s">
        <v>32</v>
      </c>
      <c r="D10" s="300"/>
      <c r="E10" s="302" t="s">
        <v>179</v>
      </c>
      <c r="F10" s="295"/>
      <c r="G10" s="295"/>
      <c r="H10" s="295"/>
      <c r="I10" s="295"/>
      <c r="J10" s="296"/>
      <c r="K10" s="29" t="str">
        <f t="shared" ref="K10:K14" si="0">IF(E10="","入力してください","")</f>
        <v/>
      </c>
    </row>
    <row r="11" spans="1:11" ht="172.5" customHeight="1" x14ac:dyDescent="0.15">
      <c r="B11" s="6"/>
      <c r="C11" s="301" t="s">
        <v>33</v>
      </c>
      <c r="D11" s="300"/>
      <c r="E11" s="302" t="s">
        <v>181</v>
      </c>
      <c r="F11" s="295"/>
      <c r="G11" s="295"/>
      <c r="H11" s="295"/>
      <c r="I11" s="295"/>
      <c r="J11" s="296"/>
      <c r="K11" s="29" t="str">
        <f t="shared" si="0"/>
        <v/>
      </c>
    </row>
    <row r="12" spans="1:11" ht="18.75" customHeight="1" x14ac:dyDescent="0.15">
      <c r="B12" s="8" t="s">
        <v>34</v>
      </c>
      <c r="C12" s="121"/>
      <c r="D12" s="122"/>
      <c r="E12" s="30"/>
      <c r="F12" s="30"/>
      <c r="G12" s="30"/>
      <c r="H12" s="30"/>
      <c r="I12" s="30"/>
      <c r="J12" s="31"/>
    </row>
    <row r="13" spans="1:11" ht="244.15" customHeight="1" x14ac:dyDescent="0.15">
      <c r="B13" s="6"/>
      <c r="C13" s="293" t="s">
        <v>35</v>
      </c>
      <c r="D13" s="294"/>
      <c r="E13" s="295" t="s">
        <v>175</v>
      </c>
      <c r="F13" s="295"/>
      <c r="G13" s="295"/>
      <c r="H13" s="295"/>
      <c r="I13" s="295"/>
      <c r="J13" s="296"/>
      <c r="K13" s="29" t="str">
        <f t="shared" si="0"/>
        <v/>
      </c>
    </row>
    <row r="14" spans="1:11" ht="255" customHeight="1" x14ac:dyDescent="0.15">
      <c r="B14" s="6"/>
      <c r="C14" s="297" t="s">
        <v>36</v>
      </c>
      <c r="D14" s="294"/>
      <c r="E14" s="295" t="s">
        <v>185</v>
      </c>
      <c r="F14" s="295"/>
      <c r="G14" s="295"/>
      <c r="H14" s="295"/>
      <c r="I14" s="295"/>
      <c r="J14" s="296"/>
      <c r="K14" s="29" t="str">
        <f t="shared" si="0"/>
        <v/>
      </c>
    </row>
    <row r="15" spans="1:11" ht="243" customHeight="1" x14ac:dyDescent="0.15">
      <c r="B15" s="298" t="s">
        <v>37</v>
      </c>
      <c r="C15" s="299"/>
      <c r="D15" s="300"/>
      <c r="E15" s="295" t="s">
        <v>170</v>
      </c>
      <c r="F15" s="295"/>
      <c r="G15" s="295"/>
      <c r="H15" s="295"/>
      <c r="I15" s="295"/>
      <c r="J15" s="296"/>
      <c r="K15" s="29" t="str">
        <f>IF(E15="","入力してください","")</f>
        <v/>
      </c>
    </row>
    <row r="16" spans="1:11" ht="243" customHeight="1" x14ac:dyDescent="0.15">
      <c r="A16" s="29"/>
      <c r="B16" s="287" t="s">
        <v>66</v>
      </c>
      <c r="C16" s="288"/>
      <c r="D16" s="289"/>
      <c r="E16" s="271" t="s">
        <v>180</v>
      </c>
      <c r="F16" s="271"/>
      <c r="G16" s="271"/>
      <c r="H16" s="271"/>
      <c r="I16" s="271"/>
      <c r="J16" s="272"/>
      <c r="K16" s="29" t="str">
        <f>IF(E16="","入力してください","")</f>
        <v/>
      </c>
    </row>
    <row r="17" spans="1:11" ht="7.5" customHeight="1" x14ac:dyDescent="0.15">
      <c r="B17" s="37"/>
      <c r="C17" s="37"/>
      <c r="D17" s="37"/>
      <c r="E17" s="38"/>
      <c r="F17" s="38"/>
      <c r="G17" s="38"/>
      <c r="H17" s="38"/>
      <c r="I17" s="38"/>
      <c r="J17" s="38"/>
    </row>
    <row r="18" spans="1:11" ht="18.75" customHeight="1" x14ac:dyDescent="0.15">
      <c r="A18" s="1" t="s">
        <v>125</v>
      </c>
      <c r="B18" s="4"/>
      <c r="C18" s="37"/>
      <c r="D18" s="37"/>
      <c r="E18" s="38"/>
      <c r="F18" s="92"/>
      <c r="G18" s="290" t="s">
        <v>210</v>
      </c>
      <c r="H18" s="291"/>
      <c r="I18" s="291"/>
      <c r="J18" s="292"/>
      <c r="K18" s="29"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鈴木 拓朗</cp:lastModifiedBy>
  <cp:lastPrinted>2022-05-26T03:51:46Z</cp:lastPrinted>
  <dcterms:created xsi:type="dcterms:W3CDTF">2011-06-14T05:32:50Z</dcterms:created>
  <dcterms:modified xsi:type="dcterms:W3CDTF">2022-05-26T06:22:45Z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