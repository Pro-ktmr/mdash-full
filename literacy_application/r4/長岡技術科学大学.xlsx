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Vos300\学務__共通\●数理データサイエンス教育\R4\認定申請関係（R4.5.20・17時まで）\リテラシーレベル\◎提出用\◎文科省提出版（確定版）\01（長岡技術科学大学）_リテラシー\"/>
    </mc:Choice>
  </mc:AlternateContent>
  <bookViews>
    <workbookView xWindow="0" yWindow="0" windowWidth="28800" windowHeight="1221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<sst xmlns="http://schemas.openxmlformats.org/spreadsheetml/2006/main" count="359" uniqueCount="222">
  <si>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</si>
  <si>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</si>
  <si>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</si>
  <si>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</si>
  <si>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</si>
  <si>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</si>
  <si>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</si>
  <si>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</si>
  <si>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</si>
  <si>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</si>
  <si>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</si>
  <si>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</si>
  <si>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</si>
  <si>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</si>
  <si>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</si>
  <si>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</si>
  <si>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</si>
  <si>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</si>
  <si>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</si>
  <si>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</si>
  <si>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</si>
  <si>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</si>
  <si>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</si>
  <si>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</si>
  <si>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</si>
  <si>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</si>
  <si>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</si>
  <si>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</si>
  <si>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</si>
  <si>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</si>
  <si>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</si>
  <si>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</si>
  <si>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</si>
  <si>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</si>
  <si>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</si>
  <si>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</si>
  <si>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</si>
  <si>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</si>
  <si>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</si>
  <si>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</si>
  <si>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</si>
  <si>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</si>
  <si>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</si>
  <si>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</si>
  <si>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</si>
  <si>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</si>
  <si>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</si>
  <si>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</si>
  <si>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</si>
  <si>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総数</t>
    <rPh sb="0" eb="2">
      <t>ソウスウ</t>
    </rPh>
    <phoneticPr fontId="1"/>
  </si>
  <si>
    <t>⑧</t>
    <phoneticPr fontId="1"/>
  </si>
  <si>
    <t>⑬</t>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</si>
  <si>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</si>
  <si>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</si>
  <si>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</si>
  <si>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</si>
  <si>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</si>
  <si>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</si>
  <si>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</si>
  <si>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</si>
  <si>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</si>
  <si>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</si>
  <si>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</si>
  <si>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</si>
  <si>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</si>
  <si>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</si>
  <si>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</si>
  <si>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</si>
  <si>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</si>
  <si>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</si>
  <si>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</si>
  <si>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</si>
  <si>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</si>
  <si>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</si>
  <si>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</si>
  <si>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</si>
  <si>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</si>
  <si>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</si>
  <si>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</si>
  <si>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</si>
  <si>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</si>
  <si>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</si>
  <si>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</si>
  <si>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</si>
  <si>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</si>
  <si>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</si>
  <si>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</si>
  <si>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</si>
  <si>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</si>
  <si>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</si>
  <si>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</si>
  <si>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</si>
  <si>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</si>
  <si>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</si>
  <si>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</si>
  <si>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</si>
  <si>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</si>
  <si>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</si>
  <si>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</si>
  <si>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</si>
  <si>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</si>
  <si>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</si>
  <si>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</si>
  <si>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</si>
  <si>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</si>
  <si>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</si>
  <si>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</si>
  <si>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</si>
  <si>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</si>
  <si>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</si>
  <si>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</si>
  <si>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</si>
  <si>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</si>
  <si>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</si>
  <si>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</si>
  <si>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</si>
  <si>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</si>
  <si>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</si>
  <si>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</si>
  <si>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</si>
  <si>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</si>
  <si>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</si>
  <si>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</si>
  <si>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</si>
  <si>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</si>
  <si>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</si>
  <si>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</si>
  <si>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</si>
  <si>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</si>
  <si>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</si>
  <si>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</si>
  <si>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</si>
  <si>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</si>
  <si>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</si>
  <si>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</si>
  <si>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</si>
  <si>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</si>
  <si>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</si>
  <si>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</si>
  <si>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</si>
  <si>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</si>
  <si>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</si>
  <si>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</si>
  <si>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</si>
  <si>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長岡技術科学大学</t>
    <rPh sb="0" eb="8">
      <t>ナガオカギダイ</t>
    </rPh>
    <phoneticPr fontId="1"/>
  </si>
  <si>
    <t>国立大学法人 長岡技術科学大学</t>
    <rPh sb="0" eb="2">
      <t>コクリツ</t>
    </rPh>
    <rPh sb="2" eb="4">
      <t>ダイガク</t>
    </rPh>
    <rPh sb="4" eb="6">
      <t>ホウジン</t>
    </rPh>
    <rPh sb="7" eb="15">
      <t>ナガオカギダイ</t>
    </rPh>
    <phoneticPr fontId="1"/>
  </si>
  <si>
    <t>国立大学</t>
  </si>
  <si>
    <t>新潟県長岡市上富岡町1603-1</t>
    <rPh sb="0" eb="3">
      <t>ニイガタケン</t>
    </rPh>
    <rPh sb="3" eb="6">
      <t>ナガオカシ</t>
    </rPh>
    <rPh sb="6" eb="10">
      <t>カミトミオカマチ</t>
    </rPh>
    <phoneticPr fontId="1"/>
  </si>
  <si>
    <t>数理・データサイエンス・AIリテラシー教育プログラム</t>
    <rPh sb="0" eb="14">
      <t>スウリ</t>
    </rPh>
    <rPh sb="19" eb="21">
      <t>キョウイク</t>
    </rPh>
    <phoneticPr fontId="1"/>
  </si>
  <si>
    <t>令和3</t>
    <rPh sb="0" eb="2">
      <t>レイワ</t>
    </rPh>
    <phoneticPr fontId="1"/>
  </si>
  <si>
    <t>岩橋 政宏</t>
    <rPh sb="0" eb="2">
      <t>イワハシ</t>
    </rPh>
    <rPh sb="3" eb="5">
      <t>マサヒロ</t>
    </rPh>
    <phoneticPr fontId="1"/>
  </si>
  <si>
    <t>教授</t>
    <rPh sb="0" eb="2">
      <t>キョウジュ</t>
    </rPh>
    <phoneticPr fontId="1"/>
  </si>
  <si>
    <t>センター長</t>
    <rPh sb="4" eb="5">
      <t>チョウ</t>
    </rPh>
    <phoneticPr fontId="1"/>
  </si>
  <si>
    <t>岩橋 政宏 / 上村 靖司</t>
    <rPh sb="0" eb="2">
      <t>イワハシ</t>
    </rPh>
    <rPh sb="3" eb="5">
      <t>マサヒロ</t>
    </rPh>
    <rPh sb="8" eb="10">
      <t>カミムラ</t>
    </rPh>
    <rPh sb="11" eb="13">
      <t>セイジ</t>
    </rPh>
    <phoneticPr fontId="1"/>
  </si>
  <si>
    <t>センター長 / センター長</t>
    <rPh sb="4" eb="5">
      <t>チョウ</t>
    </rPh>
    <rPh sb="12" eb="13">
      <t>チョウ</t>
    </rPh>
    <phoneticPr fontId="1"/>
  </si>
  <si>
    <t>認定教育プログラム</t>
  </si>
  <si>
    <t>学務課</t>
    <rPh sb="0" eb="3">
      <t>ガクムカ</t>
    </rPh>
    <phoneticPr fontId="1"/>
  </si>
  <si>
    <t>学部・学科によって、修了要件は相違しない</t>
  </si>
  <si>
    <t>情報技術と社会変革</t>
    <rPh sb="0" eb="2">
      <t>ジョウホウ</t>
    </rPh>
    <rPh sb="2" eb="4">
      <t>ギジュツ</t>
    </rPh>
    <rPh sb="5" eb="7">
      <t>シャカイ</t>
    </rPh>
    <rPh sb="7" eb="9">
      <t>ヘンカク</t>
    </rPh>
    <phoneticPr fontId="1"/>
  </si>
  <si>
    <t>○</t>
  </si>
  <si>
    <t>全学開講</t>
  </si>
  <si>
    <t>機械創造工学総合演習入門（PBL入門）</t>
    <phoneticPr fontId="1"/>
  </si>
  <si>
    <t>物質材料工学実験</t>
    <phoneticPr fontId="1"/>
  </si>
  <si>
    <t>生物機能工学演習</t>
    <phoneticPr fontId="1"/>
  </si>
  <si>
    <t>情報システム工学実験</t>
    <phoneticPr fontId="1"/>
  </si>
  <si>
    <t>○</t>
    <phoneticPr fontId="1"/>
  </si>
  <si>
    <t>環境社会基盤計算機実習1</t>
    <phoneticPr fontId="1"/>
  </si>
  <si>
    <t>一部開講</t>
  </si>
  <si>
    <t>一部開講</t>
    <phoneticPr fontId="1"/>
  </si>
  <si>
    <t>4‐5テキスト解析</t>
  </si>
  <si>
    <t>4-1統計および数理基礎</t>
  </si>
  <si>
    <t>4‐4時系列データ解析</t>
  </si>
  <si>
    <t>4‐6画像解析</t>
  </si>
  <si>
    <t>4‐7データハンドリング</t>
  </si>
  <si>
    <t>機械創造工学課程</t>
    <rPh sb="0" eb="2">
      <t>キカイ</t>
    </rPh>
    <rPh sb="2" eb="4">
      <t>ソウゾウ</t>
    </rPh>
    <rPh sb="4" eb="6">
      <t>コウガク</t>
    </rPh>
    <rPh sb="6" eb="8">
      <t>カテイ</t>
    </rPh>
    <phoneticPr fontId="1"/>
  </si>
  <si>
    <t>電気電子情報工学課程</t>
    <rPh sb="0" eb="4">
      <t>デンキデンシ</t>
    </rPh>
    <rPh sb="4" eb="6">
      <t>ジョウホウ</t>
    </rPh>
    <rPh sb="6" eb="8">
      <t>コウガク</t>
    </rPh>
    <rPh sb="8" eb="10">
      <t>カテイ</t>
    </rPh>
    <phoneticPr fontId="1"/>
  </si>
  <si>
    <t>物質材料工学課程</t>
    <rPh sb="0" eb="2">
      <t>ブッシツ</t>
    </rPh>
    <rPh sb="2" eb="4">
      <t>ザイリョウ</t>
    </rPh>
    <rPh sb="4" eb="6">
      <t>コウガク</t>
    </rPh>
    <rPh sb="6" eb="8">
      <t>カテイ</t>
    </rPh>
    <phoneticPr fontId="1"/>
  </si>
  <si>
    <t>環境社会基盤工学課程</t>
    <rPh sb="0" eb="2">
      <t>カンキョウ</t>
    </rPh>
    <rPh sb="2" eb="4">
      <t>シャカイ</t>
    </rPh>
    <rPh sb="4" eb="6">
      <t>キバン</t>
    </rPh>
    <rPh sb="6" eb="8">
      <t>コウガク</t>
    </rPh>
    <rPh sb="8" eb="10">
      <t>カテイ</t>
    </rPh>
    <phoneticPr fontId="1"/>
  </si>
  <si>
    <t>生物機能工学課程</t>
    <rPh sb="0" eb="2">
      <t>セイブツ</t>
    </rPh>
    <rPh sb="2" eb="4">
      <t>キノウ</t>
    </rPh>
    <rPh sb="4" eb="6">
      <t>コウガク</t>
    </rPh>
    <rPh sb="6" eb="8">
      <t>カテイ</t>
    </rPh>
    <phoneticPr fontId="1"/>
  </si>
  <si>
    <t>情報・経営システム工学課程</t>
    <rPh sb="0" eb="11">
      <t>ジョウケイ</t>
    </rPh>
    <rPh sb="11" eb="13">
      <t>カテイ</t>
    </rPh>
    <phoneticPr fontId="1"/>
  </si>
  <si>
    <t>数理・データサイエンス教育研究センター規則</t>
    <rPh sb="0" eb="2">
      <t>スウリ</t>
    </rPh>
    <rPh sb="11" eb="13">
      <t>キョウイク</t>
    </rPh>
    <rPh sb="13" eb="15">
      <t>ケンキュウ</t>
    </rPh>
    <rPh sb="19" eb="21">
      <t>キソク</t>
    </rPh>
    <phoneticPr fontId="1"/>
  </si>
  <si>
    <t>・データ，情報，知識，智慧の定義と意義が正しく理解できる．
・データサイエンスやAIの基礎となるディジタル・メディア，インターネットについての概念を理解できるとともに，データの扱いに関する基礎的な知識と技能を身につけ，データから情報や知識を得ることを実践できる．
・様々な数理・データサイエンス・AIに関する要素技術の概要を理解しその発展過程を説明できる．
・数理・データサイエンス・AIの要素技術と他の要素技術を組合せた有用なシステムについて理解しそれらの社会へのインパクトを自ら説明できる
・情報セキュリティ管理の基本が説明できる</t>
    <rPh sb="5" eb="7">
      <t>ジョウホウ</t>
    </rPh>
    <rPh sb="8" eb="10">
      <t>チシキ</t>
    </rPh>
    <rPh sb="11" eb="13">
      <t>チエ</t>
    </rPh>
    <rPh sb="14" eb="16">
      <t>テイギ</t>
    </rPh>
    <rPh sb="88" eb="89">
      <t>アツカ</t>
    </rPh>
    <rPh sb="91" eb="92">
      <t>カン</t>
    </rPh>
    <rPh sb="94" eb="97">
      <t>キソテキ</t>
    </rPh>
    <rPh sb="98" eb="100">
      <t>チシキ</t>
    </rPh>
    <rPh sb="101" eb="103">
      <t>ギノウ</t>
    </rPh>
    <rPh sb="104" eb="105">
      <t>ミ</t>
    </rPh>
    <rPh sb="114" eb="116">
      <t>ジョウホウ</t>
    </rPh>
    <rPh sb="117" eb="119">
      <t>チシキ</t>
    </rPh>
    <rPh sb="120" eb="121">
      <t>エ</t>
    </rPh>
    <rPh sb="125" eb="127">
      <t>ジッセン</t>
    </rPh>
    <rPh sb="136" eb="150">
      <t>スウリ</t>
    </rPh>
    <rPh sb="151" eb="152">
      <t>カン</t>
    </rPh>
    <rPh sb="154" eb="156">
      <t>ヨウソ</t>
    </rPh>
    <rPh sb="159" eb="161">
      <t>ガイヨウ</t>
    </rPh>
    <rPh sb="162" eb="164">
      <t>リカイ</t>
    </rPh>
    <rPh sb="172" eb="174">
      <t>セツメイ</t>
    </rPh>
    <rPh sb="180" eb="194">
      <t>スウリ</t>
    </rPh>
    <rPh sb="195" eb="197">
      <t>ヨウソ</t>
    </rPh>
    <rPh sb="197" eb="199">
      <t>ギジュツ</t>
    </rPh>
    <rPh sb="200" eb="201">
      <t>タ</t>
    </rPh>
    <rPh sb="202" eb="204">
      <t>ヨウソ</t>
    </rPh>
    <rPh sb="204" eb="206">
      <t>ギジュツ</t>
    </rPh>
    <rPh sb="207" eb="209">
      <t>クミアワ</t>
    </rPh>
    <rPh sb="211" eb="213">
      <t>ユウヨウ</t>
    </rPh>
    <rPh sb="222" eb="224">
      <t>リカイ</t>
    </rPh>
    <phoneticPr fontId="1"/>
  </si>
  <si>
    <t>実践的な数理・データサイエンス・AI教育の全学的展開とｅラーニングによる全国の高等専門学校への展開を推進する．</t>
    <rPh sb="0" eb="3">
      <t>ジッセンテキ</t>
    </rPh>
    <rPh sb="4" eb="6">
      <t>スウリ</t>
    </rPh>
    <rPh sb="18" eb="20">
      <t>キョウイク</t>
    </rPh>
    <rPh sb="21" eb="23">
      <t>ゼンガク</t>
    </rPh>
    <rPh sb="23" eb="24">
      <t>テキ</t>
    </rPh>
    <rPh sb="24" eb="26">
      <t>テンカイ</t>
    </rPh>
    <rPh sb="36" eb="38">
      <t>ゼンコク</t>
    </rPh>
    <rPh sb="39" eb="41">
      <t>コウトウ</t>
    </rPh>
    <rPh sb="41" eb="43">
      <t>センモン</t>
    </rPh>
    <rPh sb="43" eb="45">
      <t>ガッコウ</t>
    </rPh>
    <rPh sb="47" eb="49">
      <t>テンカイ</t>
    </rPh>
    <rPh sb="50" eb="52">
      <t>スイシン</t>
    </rPh>
    <phoneticPr fontId="1"/>
  </si>
  <si>
    <t>当プログラムにおいて修了のために必修となる「情報技術と社会変革」は全学向け開講科目であり，希望する学生は課程（学科に相当）に関わらず受講可能である．
当プログラムの修了要件上の選択必修となる実験・演習科目は，各課程における卒業要件上の必修科目となっているため，全学生がいずれかの科目を履修することになる．
改組によって，令和6年度から3年生向けに数理・データサイエンス・AI教育科目が開講されるが，これは卒業要件上の必修科目となっており，全学生が受講することになる．</t>
    <rPh sb="0" eb="1">
      <t>トウ</t>
    </rPh>
    <rPh sb="10" eb="12">
      <t>シュウリョウ</t>
    </rPh>
    <rPh sb="16" eb="18">
      <t>ヒッシュウ</t>
    </rPh>
    <rPh sb="22" eb="26">
      <t>ジョウホウギジュツ</t>
    </rPh>
    <rPh sb="27" eb="29">
      <t>シャカイ</t>
    </rPh>
    <rPh sb="29" eb="31">
      <t>ヘンカク</t>
    </rPh>
    <rPh sb="33" eb="35">
      <t>ゼンガク</t>
    </rPh>
    <rPh sb="35" eb="36">
      <t>ム</t>
    </rPh>
    <rPh sb="37" eb="39">
      <t>カイコウ</t>
    </rPh>
    <rPh sb="39" eb="41">
      <t>カモク</t>
    </rPh>
    <rPh sb="45" eb="47">
      <t>キボウ</t>
    </rPh>
    <rPh sb="49" eb="51">
      <t>ガクセイ</t>
    </rPh>
    <rPh sb="52" eb="54">
      <t>カテイ</t>
    </rPh>
    <rPh sb="55" eb="57">
      <t>ガッカ</t>
    </rPh>
    <rPh sb="58" eb="60">
      <t>ソウトウ</t>
    </rPh>
    <rPh sb="62" eb="63">
      <t>カカ</t>
    </rPh>
    <rPh sb="66" eb="68">
      <t>ジュコウ</t>
    </rPh>
    <rPh sb="68" eb="70">
      <t>カノウ</t>
    </rPh>
    <rPh sb="75" eb="76">
      <t>トウ</t>
    </rPh>
    <rPh sb="82" eb="84">
      <t>シュウリョウ</t>
    </rPh>
    <rPh sb="84" eb="86">
      <t>ヨウケン</t>
    </rPh>
    <rPh sb="86" eb="87">
      <t>ジョウ</t>
    </rPh>
    <rPh sb="88" eb="90">
      <t>センタク</t>
    </rPh>
    <rPh sb="90" eb="92">
      <t>ヒッシュウ</t>
    </rPh>
    <rPh sb="95" eb="97">
      <t>ジッケン</t>
    </rPh>
    <rPh sb="98" eb="100">
      <t>エンシュウ</t>
    </rPh>
    <rPh sb="100" eb="102">
      <t>カモク</t>
    </rPh>
    <rPh sb="104" eb="105">
      <t>カク</t>
    </rPh>
    <rPh sb="105" eb="107">
      <t>カテイ</t>
    </rPh>
    <rPh sb="111" eb="113">
      <t>ソツギョウ</t>
    </rPh>
    <rPh sb="113" eb="115">
      <t>ヨウケン</t>
    </rPh>
    <rPh sb="115" eb="116">
      <t>ジョウ</t>
    </rPh>
    <rPh sb="117" eb="119">
      <t>ヒッシュウ</t>
    </rPh>
    <rPh sb="119" eb="121">
      <t>カモク</t>
    </rPh>
    <rPh sb="130" eb="131">
      <t>ゼン</t>
    </rPh>
    <rPh sb="131" eb="133">
      <t>ガクセイ</t>
    </rPh>
    <rPh sb="139" eb="141">
      <t>カモク</t>
    </rPh>
    <rPh sb="142" eb="144">
      <t>リシュウ</t>
    </rPh>
    <rPh sb="153" eb="155">
      <t>カイソ</t>
    </rPh>
    <rPh sb="160" eb="162">
      <t>レイワ</t>
    </rPh>
    <rPh sb="163" eb="164">
      <t>ネン</t>
    </rPh>
    <rPh sb="164" eb="165">
      <t>ド</t>
    </rPh>
    <rPh sb="168" eb="170">
      <t>ネンセイ</t>
    </rPh>
    <rPh sb="170" eb="171">
      <t>ム</t>
    </rPh>
    <rPh sb="173" eb="187">
      <t>スウリ</t>
    </rPh>
    <rPh sb="187" eb="189">
      <t>キョウイク</t>
    </rPh>
    <rPh sb="189" eb="191">
      <t>カモク</t>
    </rPh>
    <rPh sb="192" eb="194">
      <t>カイコウ</t>
    </rPh>
    <rPh sb="202" eb="204">
      <t>ソツギョウ</t>
    </rPh>
    <rPh sb="204" eb="206">
      <t>ヨウケン</t>
    </rPh>
    <rPh sb="206" eb="207">
      <t>ジョウ</t>
    </rPh>
    <rPh sb="208" eb="210">
      <t>ヒッシュウ</t>
    </rPh>
    <rPh sb="210" eb="212">
      <t>カモク</t>
    </rPh>
    <rPh sb="219" eb="220">
      <t>ゼン</t>
    </rPh>
    <rPh sb="220" eb="222">
      <t>ガクセイ</t>
    </rPh>
    <rPh sb="223" eb="225">
      <t>ジュコウ</t>
    </rPh>
    <phoneticPr fontId="1"/>
  </si>
  <si>
    <t>本学で開講されているすべての科目は，LMS上に科目ごとの領域が作成されており，授業資料の配布や確認問題等ができる仕組みが備わっている．さらに，新型コロナウイルス感染症の蔓延を機会として，対面の授業を同時にビデオ会議システムで配信するとともに，それを録画するよう授業が運用されており，その録画をLMS上に公開可能としている（すわなち授業アーカイブ）．このため，受講者は授業時間外でも資料の取得や確認問題の受験，授業アーカイブの視聴が可能である．また，LMS上のコミュニケーション機能を利用して，同期的にも非同期的にも質問を受け付けるようになっている．
数理・データサイエンス・AI教育リテラシープログラムを構成する科目においても，特に講義科目は，同様の運用をしているため，授業時間外における学習を十分に支援する仕組みとなっている．</t>
    <rPh sb="0" eb="2">
      <t>ホンガク</t>
    </rPh>
    <rPh sb="3" eb="5">
      <t>カイコウ</t>
    </rPh>
    <rPh sb="14" eb="16">
      <t>カモク</t>
    </rPh>
    <rPh sb="21" eb="22">
      <t>ジョウ</t>
    </rPh>
    <rPh sb="23" eb="25">
      <t>カモク</t>
    </rPh>
    <rPh sb="28" eb="30">
      <t>リョウイキ</t>
    </rPh>
    <rPh sb="31" eb="33">
      <t>サクセイ</t>
    </rPh>
    <rPh sb="39" eb="41">
      <t>ジュギョウ</t>
    </rPh>
    <rPh sb="41" eb="43">
      <t>シリョウ</t>
    </rPh>
    <rPh sb="44" eb="46">
      <t>ハイフ</t>
    </rPh>
    <rPh sb="47" eb="49">
      <t>カクニン</t>
    </rPh>
    <rPh sb="49" eb="51">
      <t>モンダイ</t>
    </rPh>
    <rPh sb="51" eb="52">
      <t>ナド</t>
    </rPh>
    <rPh sb="56" eb="58">
      <t>シク</t>
    </rPh>
    <rPh sb="60" eb="61">
      <t>ソナ</t>
    </rPh>
    <rPh sb="71" eb="73">
      <t>シンガタ</t>
    </rPh>
    <rPh sb="80" eb="83">
      <t>カンセンショウ</t>
    </rPh>
    <rPh sb="84" eb="86">
      <t>マンエン</t>
    </rPh>
    <rPh sb="87" eb="89">
      <t>キカイ</t>
    </rPh>
    <rPh sb="93" eb="95">
      <t>タイメン</t>
    </rPh>
    <rPh sb="96" eb="98">
      <t>ジュギョウ</t>
    </rPh>
    <rPh sb="99" eb="101">
      <t>ドウジ</t>
    </rPh>
    <rPh sb="105" eb="107">
      <t>カイギ</t>
    </rPh>
    <rPh sb="112" eb="114">
      <t>ハイシン</t>
    </rPh>
    <rPh sb="124" eb="126">
      <t>ロクガ</t>
    </rPh>
    <rPh sb="130" eb="132">
      <t>ジュギョウ</t>
    </rPh>
    <rPh sb="133" eb="135">
      <t>ウンヨウ</t>
    </rPh>
    <rPh sb="143" eb="145">
      <t>ロクガ</t>
    </rPh>
    <rPh sb="149" eb="150">
      <t>ジョウ</t>
    </rPh>
    <rPh sb="151" eb="153">
      <t>コウカイ</t>
    </rPh>
    <rPh sb="153" eb="155">
      <t>カノウ</t>
    </rPh>
    <rPh sb="165" eb="167">
      <t>ジュギョウ</t>
    </rPh>
    <rPh sb="179" eb="182">
      <t>ジュコウシャ</t>
    </rPh>
    <rPh sb="183" eb="185">
      <t>ジュギョウ</t>
    </rPh>
    <rPh sb="185" eb="187">
      <t>ジカン</t>
    </rPh>
    <rPh sb="187" eb="188">
      <t>ガイ</t>
    </rPh>
    <rPh sb="190" eb="192">
      <t>シリョウ</t>
    </rPh>
    <rPh sb="193" eb="195">
      <t>シュトク</t>
    </rPh>
    <rPh sb="196" eb="198">
      <t>カクニン</t>
    </rPh>
    <rPh sb="198" eb="200">
      <t>モンダイ</t>
    </rPh>
    <rPh sb="201" eb="203">
      <t>ジュケン</t>
    </rPh>
    <rPh sb="204" eb="206">
      <t>ジュギョウ</t>
    </rPh>
    <rPh sb="212" eb="214">
      <t>シチョウ</t>
    </rPh>
    <rPh sb="215" eb="217">
      <t>カノウ</t>
    </rPh>
    <rPh sb="227" eb="228">
      <t>ジョウ</t>
    </rPh>
    <rPh sb="238" eb="240">
      <t>キノウ</t>
    </rPh>
    <rPh sb="241" eb="243">
      <t>リヨウ</t>
    </rPh>
    <rPh sb="246" eb="249">
      <t>ドウキテキ</t>
    </rPh>
    <rPh sb="251" eb="254">
      <t>ヒドウキ</t>
    </rPh>
    <rPh sb="254" eb="255">
      <t>テキ</t>
    </rPh>
    <rPh sb="257" eb="259">
      <t>シツモン</t>
    </rPh>
    <rPh sb="260" eb="261">
      <t>ウ</t>
    </rPh>
    <rPh sb="262" eb="263">
      <t>ツ</t>
    </rPh>
    <rPh sb="275" eb="289">
      <t>スウリ</t>
    </rPh>
    <rPh sb="289" eb="291">
      <t>キョウイク</t>
    </rPh>
    <rPh sb="302" eb="304">
      <t>コウセイ</t>
    </rPh>
    <rPh sb="306" eb="308">
      <t>カモク</t>
    </rPh>
    <rPh sb="314" eb="315">
      <t>トク</t>
    </rPh>
    <rPh sb="316" eb="318">
      <t>コウギ</t>
    </rPh>
    <rPh sb="318" eb="320">
      <t>カモク</t>
    </rPh>
    <rPh sb="322" eb="324">
      <t>ドウヨウ</t>
    </rPh>
    <rPh sb="325" eb="327">
      <t>ウンヨウ</t>
    </rPh>
    <rPh sb="335" eb="337">
      <t>ジュギョウ</t>
    </rPh>
    <rPh sb="337" eb="339">
      <t>ジカン</t>
    </rPh>
    <rPh sb="339" eb="340">
      <t>ガイ</t>
    </rPh>
    <rPh sb="344" eb="346">
      <t>ガクシュウ</t>
    </rPh>
    <rPh sb="347" eb="349">
      <t>ジュウブン</t>
    </rPh>
    <rPh sb="350" eb="352">
      <t>シエン</t>
    </rPh>
    <rPh sb="354" eb="356">
      <t>シク</t>
    </rPh>
    <phoneticPr fontId="1"/>
  </si>
  <si>
    <t>学生の受講を電子的に支援するための Learning Management System (LMS) を大学として運用しており，受講者はこれを通じて質問等を担当教員に送ることができる．また，シラバスに電子メールアドレスを掲載しており，電子メールによる質問も可能となっている．さらに，先輩学生（修士学生）が質問を受けたり教えてくれる「学習サポーター制度」を設けており，教員に質問しにくい場合でも学習支援が受けられるようにしている．</t>
    <rPh sb="0" eb="2">
      <t>ガクセイ</t>
    </rPh>
    <rPh sb="3" eb="5">
      <t>ジュコウ</t>
    </rPh>
    <rPh sb="6" eb="9">
      <t>デンシテキ</t>
    </rPh>
    <rPh sb="10" eb="12">
      <t>シエン</t>
    </rPh>
    <rPh sb="52" eb="54">
      <t>ダイガク</t>
    </rPh>
    <rPh sb="57" eb="59">
      <t>ウンヨウ</t>
    </rPh>
    <rPh sb="64" eb="67">
      <t>ジュコウシャ</t>
    </rPh>
    <rPh sb="71" eb="72">
      <t>ツウ</t>
    </rPh>
    <rPh sb="74" eb="76">
      <t>シツモン</t>
    </rPh>
    <rPh sb="76" eb="77">
      <t>ナド</t>
    </rPh>
    <rPh sb="78" eb="80">
      <t>タントウ</t>
    </rPh>
    <rPh sb="80" eb="82">
      <t>キョウイン</t>
    </rPh>
    <rPh sb="83" eb="84">
      <t>オク</t>
    </rPh>
    <rPh sb="100" eb="102">
      <t>デンシ</t>
    </rPh>
    <rPh sb="110" eb="112">
      <t>ケイサイ</t>
    </rPh>
    <rPh sb="117" eb="119">
      <t>デンシ</t>
    </rPh>
    <rPh sb="125" eb="127">
      <t>シツモン</t>
    </rPh>
    <rPh sb="128" eb="130">
      <t>カノウ</t>
    </rPh>
    <rPh sb="141" eb="143">
      <t>センパイ</t>
    </rPh>
    <rPh sb="143" eb="145">
      <t>ガクセイ</t>
    </rPh>
    <rPh sb="146" eb="148">
      <t>シュウシ</t>
    </rPh>
    <rPh sb="148" eb="150">
      <t>ガクセイ</t>
    </rPh>
    <rPh sb="152" eb="154">
      <t>シツモン</t>
    </rPh>
    <rPh sb="155" eb="156">
      <t>ウ</t>
    </rPh>
    <rPh sb="159" eb="160">
      <t>オシ</t>
    </rPh>
    <rPh sb="166" eb="168">
      <t>ガクシュウ</t>
    </rPh>
    <rPh sb="173" eb="175">
      <t>セイド</t>
    </rPh>
    <rPh sb="177" eb="178">
      <t>モウ</t>
    </rPh>
    <rPh sb="183" eb="185">
      <t>キョウイン</t>
    </rPh>
    <rPh sb="186" eb="188">
      <t>シツモン</t>
    </rPh>
    <rPh sb="192" eb="194">
      <t>バアイ</t>
    </rPh>
    <rPh sb="196" eb="198">
      <t>ガクシュウ</t>
    </rPh>
    <rPh sb="198" eb="200">
      <t>シエン</t>
    </rPh>
    <rPh sb="201" eb="202">
      <t>ウ</t>
    </rPh>
    <phoneticPr fontId="1"/>
  </si>
  <si>
    <t>学生が履修登録する際に利用する学務情報システムが全学生に向けて情報を掲示できる機能を持つため，これを利用して当プログラムについて周知する．</t>
    <rPh sb="0" eb="2">
      <t>ガクセイ</t>
    </rPh>
    <rPh sb="3" eb="5">
      <t>リシュウ</t>
    </rPh>
    <rPh sb="5" eb="7">
      <t>トウロク</t>
    </rPh>
    <rPh sb="9" eb="10">
      <t>サイ</t>
    </rPh>
    <rPh sb="11" eb="13">
      <t>リヨウ</t>
    </rPh>
    <rPh sb="15" eb="17">
      <t>ガクム</t>
    </rPh>
    <rPh sb="17" eb="19">
      <t>ジョウホウ</t>
    </rPh>
    <rPh sb="24" eb="25">
      <t>ゼン</t>
    </rPh>
    <rPh sb="25" eb="27">
      <t>ガクセイ</t>
    </rPh>
    <rPh sb="28" eb="29">
      <t>ム</t>
    </rPh>
    <rPh sb="31" eb="33">
      <t>ジョウホウ</t>
    </rPh>
    <rPh sb="34" eb="36">
      <t>ケイジ</t>
    </rPh>
    <rPh sb="39" eb="41">
      <t>キノウ</t>
    </rPh>
    <rPh sb="42" eb="43">
      <t>モ</t>
    </rPh>
    <rPh sb="50" eb="52">
      <t>リヨウ</t>
    </rPh>
    <rPh sb="54" eb="55">
      <t>トウ</t>
    </rPh>
    <rPh sb="64" eb="66">
      <t>シュウチ</t>
    </rPh>
    <phoneticPr fontId="1"/>
  </si>
  <si>
    <t>数理・データサイエンス教育研究センターにおいて，プログラムの履修者・各科目の合格率，プログラムの修了率等を分析する体制を整えている．
個別の学生の出席状況や学習進捗は教務情報システムおよびLMSに記録されるため，これを取り出して分析することが可能となっている．</t>
    <rPh sb="0" eb="2">
      <t>スウリ</t>
    </rPh>
    <rPh sb="11" eb="13">
      <t>キョウイク</t>
    </rPh>
    <rPh sb="13" eb="15">
      <t>ケンキュウ</t>
    </rPh>
    <rPh sb="30" eb="32">
      <t>リシュウ</t>
    </rPh>
    <rPh sb="32" eb="33">
      <t>シャ</t>
    </rPh>
    <rPh sb="34" eb="35">
      <t>カク</t>
    </rPh>
    <rPh sb="35" eb="37">
      <t>カモク</t>
    </rPh>
    <rPh sb="38" eb="41">
      <t>ゴウカクリツ</t>
    </rPh>
    <rPh sb="48" eb="50">
      <t>シュウリョウ</t>
    </rPh>
    <rPh sb="50" eb="51">
      <t>リツ</t>
    </rPh>
    <rPh sb="51" eb="52">
      <t>トウ</t>
    </rPh>
    <rPh sb="53" eb="55">
      <t>ブンセキ</t>
    </rPh>
    <rPh sb="57" eb="59">
      <t>タイセイ</t>
    </rPh>
    <rPh sb="60" eb="61">
      <t>トトノ</t>
    </rPh>
    <rPh sb="67" eb="69">
      <t>コベツ</t>
    </rPh>
    <rPh sb="70" eb="72">
      <t>ガクセイ</t>
    </rPh>
    <rPh sb="73" eb="75">
      <t>シュッセキ</t>
    </rPh>
    <rPh sb="75" eb="77">
      <t>ジョウキョウ</t>
    </rPh>
    <rPh sb="78" eb="80">
      <t>ガクシュウ</t>
    </rPh>
    <rPh sb="80" eb="82">
      <t>シンチョク</t>
    </rPh>
    <rPh sb="83" eb="85">
      <t>キョウム</t>
    </rPh>
    <rPh sb="85" eb="87">
      <t>ジョウホウ</t>
    </rPh>
    <rPh sb="98" eb="100">
      <t>キロク</t>
    </rPh>
    <rPh sb="109" eb="110">
      <t>ト</t>
    </rPh>
    <rPh sb="111" eb="112">
      <t>ダ</t>
    </rPh>
    <rPh sb="114" eb="116">
      <t>ブンセキ</t>
    </rPh>
    <rPh sb="121" eb="123">
      <t>カノウ</t>
    </rPh>
    <phoneticPr fontId="1"/>
  </si>
  <si>
    <t>当プログラムを構成する主要な科目では，試験をComputer Based Test (CBT) またはマークシート式で実施しており，回答が電子的に記録されている．このため，履修者の学習目標達成度に関する様々な分析が可能となっている．これに基づいて，達成度が低い単元はより丁寧な説明とする等，授業の改善につなげる．</t>
    <rPh sb="0" eb="1">
      <t>トウ</t>
    </rPh>
    <rPh sb="7" eb="9">
      <t>コウセイ</t>
    </rPh>
    <rPh sb="11" eb="13">
      <t>シュヨウ</t>
    </rPh>
    <rPh sb="14" eb="16">
      <t>カモク</t>
    </rPh>
    <rPh sb="19" eb="21">
      <t>シケン</t>
    </rPh>
    <rPh sb="57" eb="58">
      <t>シキ</t>
    </rPh>
    <rPh sb="59" eb="61">
      <t>ジッシ</t>
    </rPh>
    <rPh sb="66" eb="68">
      <t>カイトウ</t>
    </rPh>
    <rPh sb="69" eb="72">
      <t>デンシテキ</t>
    </rPh>
    <rPh sb="73" eb="75">
      <t>キロク</t>
    </rPh>
    <rPh sb="86" eb="89">
      <t>リシュウシャ</t>
    </rPh>
    <rPh sb="90" eb="92">
      <t>ガクシュウ</t>
    </rPh>
    <rPh sb="92" eb="94">
      <t>モクヒョウ</t>
    </rPh>
    <rPh sb="94" eb="97">
      <t>タッセイド</t>
    </rPh>
    <rPh sb="98" eb="99">
      <t>カン</t>
    </rPh>
    <rPh sb="101" eb="103">
      <t>サマザマ</t>
    </rPh>
    <rPh sb="104" eb="106">
      <t>ブンセキ</t>
    </rPh>
    <rPh sb="107" eb="109">
      <t>カノウ</t>
    </rPh>
    <rPh sb="119" eb="120">
      <t>モト</t>
    </rPh>
    <rPh sb="124" eb="127">
      <t>タッセイド</t>
    </rPh>
    <rPh sb="128" eb="129">
      <t>ヒク</t>
    </rPh>
    <rPh sb="130" eb="132">
      <t>タンゲン</t>
    </rPh>
    <rPh sb="135" eb="137">
      <t>テイネイ</t>
    </rPh>
    <rPh sb="138" eb="140">
      <t>セツメイ</t>
    </rPh>
    <rPh sb="143" eb="144">
      <t>ナド</t>
    </rPh>
    <rPh sb="145" eb="147">
      <t>ジュギョウ</t>
    </rPh>
    <rPh sb="148" eb="150">
      <t>カイゼン</t>
    </rPh>
    <phoneticPr fontId="1"/>
  </si>
  <si>
    <t>科目の終了後に授業アンケートを実施している．自由記述意見も含めて電子的に集計されている．アンケート項目には，履修前の期待が受講後に満たされたか，講義の進行速度が適切か，授業内容の主観的難易度等の項目があり，単なる理解度にとどまらず，受講者がどのような点で理解がしやすかったか，しにくかったか，ということを分析できるようにしている．</t>
    <rPh sb="0" eb="2">
      <t>カモク</t>
    </rPh>
    <rPh sb="3" eb="5">
      <t>シュウリョウ</t>
    </rPh>
    <rPh sb="5" eb="6">
      <t>ゴ</t>
    </rPh>
    <rPh sb="7" eb="9">
      <t>ジュギョウ</t>
    </rPh>
    <rPh sb="15" eb="17">
      <t>ジッシ</t>
    </rPh>
    <rPh sb="22" eb="24">
      <t>ジユウ</t>
    </rPh>
    <rPh sb="24" eb="26">
      <t>キジュツ</t>
    </rPh>
    <rPh sb="26" eb="28">
      <t>イケン</t>
    </rPh>
    <rPh sb="29" eb="30">
      <t>フク</t>
    </rPh>
    <rPh sb="32" eb="35">
      <t>デンシテキ</t>
    </rPh>
    <rPh sb="36" eb="38">
      <t>シュウケイ</t>
    </rPh>
    <rPh sb="49" eb="51">
      <t>コウモク</t>
    </rPh>
    <rPh sb="54" eb="56">
      <t>リシュウ</t>
    </rPh>
    <rPh sb="56" eb="57">
      <t>マエ</t>
    </rPh>
    <rPh sb="58" eb="60">
      <t>キタイ</t>
    </rPh>
    <rPh sb="61" eb="63">
      <t>ジュコウ</t>
    </rPh>
    <rPh sb="63" eb="64">
      <t>ゴ</t>
    </rPh>
    <rPh sb="65" eb="66">
      <t>ミ</t>
    </rPh>
    <rPh sb="72" eb="74">
      <t>コウギ</t>
    </rPh>
    <rPh sb="75" eb="77">
      <t>シンコウ</t>
    </rPh>
    <rPh sb="77" eb="79">
      <t>ソクド</t>
    </rPh>
    <rPh sb="80" eb="82">
      <t>テキセツ</t>
    </rPh>
    <rPh sb="84" eb="86">
      <t>ジュギョウ</t>
    </rPh>
    <rPh sb="86" eb="88">
      <t>ナイヨウ</t>
    </rPh>
    <rPh sb="89" eb="92">
      <t>シュカンテキ</t>
    </rPh>
    <rPh sb="92" eb="95">
      <t>ナンイド</t>
    </rPh>
    <rPh sb="95" eb="96">
      <t>ナド</t>
    </rPh>
    <rPh sb="97" eb="99">
      <t>コウモク</t>
    </rPh>
    <rPh sb="103" eb="104">
      <t>タン</t>
    </rPh>
    <rPh sb="106" eb="109">
      <t>リカイド</t>
    </rPh>
    <rPh sb="116" eb="119">
      <t>ジュコウシャ</t>
    </rPh>
    <rPh sb="125" eb="126">
      <t>テン</t>
    </rPh>
    <rPh sb="127" eb="129">
      <t>リカイ</t>
    </rPh>
    <rPh sb="152" eb="154">
      <t>ブンセキ</t>
    </rPh>
    <phoneticPr fontId="1"/>
  </si>
  <si>
    <t>授業アンケートにおいて，授業の総合的な満足度についての項目があり，この項目と理解度に関する項目とから他学生への推奨度を推定できる．これに基づいて，より推奨度が高くなるように授業の改善を図る．</t>
    <rPh sb="0" eb="2">
      <t>ジュギョウ</t>
    </rPh>
    <rPh sb="12" eb="14">
      <t>ジュギョウ</t>
    </rPh>
    <rPh sb="15" eb="18">
      <t>ソウゴウテキ</t>
    </rPh>
    <rPh sb="19" eb="22">
      <t>マンゾクド</t>
    </rPh>
    <rPh sb="27" eb="29">
      <t>コウモク</t>
    </rPh>
    <rPh sb="35" eb="37">
      <t>コウモク</t>
    </rPh>
    <rPh sb="38" eb="41">
      <t>リカイド</t>
    </rPh>
    <rPh sb="42" eb="43">
      <t>カン</t>
    </rPh>
    <rPh sb="45" eb="47">
      <t>コウモク</t>
    </rPh>
    <rPh sb="50" eb="51">
      <t>タ</t>
    </rPh>
    <rPh sb="51" eb="53">
      <t>ガクセイ</t>
    </rPh>
    <rPh sb="55" eb="57">
      <t>スイショウ</t>
    </rPh>
    <rPh sb="57" eb="58">
      <t>ド</t>
    </rPh>
    <rPh sb="59" eb="61">
      <t>スイテイ</t>
    </rPh>
    <rPh sb="68" eb="69">
      <t>モト</t>
    </rPh>
    <rPh sb="75" eb="77">
      <t>スイショウ</t>
    </rPh>
    <rPh sb="77" eb="78">
      <t>ド</t>
    </rPh>
    <rPh sb="79" eb="80">
      <t>タカ</t>
    </rPh>
    <rPh sb="86" eb="88">
      <t>ジュギョウ</t>
    </rPh>
    <rPh sb="89" eb="91">
      <t>カイゼン</t>
    </rPh>
    <rPh sb="92" eb="93">
      <t>ハカ</t>
    </rPh>
    <phoneticPr fontId="1"/>
  </si>
  <si>
    <t>改組を行なってカリキュラムを更新し，数理・データサイエンス・AI教育リテラシープログラムに関わる科目を，卒業要件上の必修科目とした．また，大学の方針としても，数理・データサイエンス・AI教育の強化を打ち出し，学長が教員や学生に向けた様々な局面において，数理・データサイエンス・AIに関する知識・技能の重要性を説いている．</t>
    <rPh sb="0" eb="2">
      <t>カイソ</t>
    </rPh>
    <rPh sb="3" eb="4">
      <t>オコ</t>
    </rPh>
    <rPh sb="14" eb="16">
      <t>コウシン</t>
    </rPh>
    <rPh sb="18" eb="32">
      <t>スウリ</t>
    </rPh>
    <rPh sb="32" eb="34">
      <t>キョウイク</t>
    </rPh>
    <rPh sb="45" eb="46">
      <t>カカ</t>
    </rPh>
    <rPh sb="48" eb="50">
      <t>カモク</t>
    </rPh>
    <rPh sb="52" eb="54">
      <t>ソツギョウ</t>
    </rPh>
    <rPh sb="54" eb="56">
      <t>ヨウケン</t>
    </rPh>
    <rPh sb="56" eb="57">
      <t>ジョウ</t>
    </rPh>
    <rPh sb="58" eb="60">
      <t>ヒッシュウ</t>
    </rPh>
    <rPh sb="60" eb="62">
      <t>カモク</t>
    </rPh>
    <rPh sb="69" eb="71">
      <t>ダイガク</t>
    </rPh>
    <rPh sb="72" eb="74">
      <t>ホウシン</t>
    </rPh>
    <rPh sb="79" eb="93">
      <t>スウリ</t>
    </rPh>
    <rPh sb="93" eb="95">
      <t>キョウイク</t>
    </rPh>
    <rPh sb="96" eb="98">
      <t>キョウカ</t>
    </rPh>
    <rPh sb="99" eb="100">
      <t>ウ</t>
    </rPh>
    <rPh sb="101" eb="102">
      <t>ダ</t>
    </rPh>
    <rPh sb="104" eb="106">
      <t>ガクチョウ</t>
    </rPh>
    <rPh sb="107" eb="109">
      <t>キョウイン</t>
    </rPh>
    <rPh sb="110" eb="112">
      <t>ガクセイ</t>
    </rPh>
    <rPh sb="113" eb="114">
      <t>ム</t>
    </rPh>
    <rPh sb="116" eb="118">
      <t>サマザマ</t>
    </rPh>
    <rPh sb="119" eb="121">
      <t>キョクメン</t>
    </rPh>
    <rPh sb="126" eb="140">
      <t>スウリ</t>
    </rPh>
    <rPh sb="141" eb="142">
      <t>カン</t>
    </rPh>
    <rPh sb="144" eb="146">
      <t>チシキ</t>
    </rPh>
    <rPh sb="147" eb="149">
      <t>ギノウ</t>
    </rPh>
    <rPh sb="150" eb="153">
      <t>ジュウヨウセイ</t>
    </rPh>
    <rPh sb="154" eb="155">
      <t>ト</t>
    </rPh>
    <phoneticPr fontId="1"/>
  </si>
  <si>
    <t>当プログラムは令和3年度から開始のため，当プログラムの修了要件を満した上で卒業した学生はまだいない．従来より全分野の卒業・修了生について就職先企業に対するアンケート調査や修了後の5年，10年を経過した学生に対するアンケート調査等を実施しており，本学出身者の活躍状況・企業等の評価を分析している．これに数理・データサイエンス・AIに関わる調査項目を加える予定である．</t>
    <rPh sb="0" eb="1">
      <t>トウガイ</t>
    </rPh>
    <rPh sb="7" eb="9">
      <t>レイワ</t>
    </rPh>
    <rPh sb="10" eb="12">
      <t>ネンド</t>
    </rPh>
    <rPh sb="14" eb="16">
      <t>カイシ</t>
    </rPh>
    <rPh sb="20" eb="21">
      <t>トウ</t>
    </rPh>
    <rPh sb="27" eb="29">
      <t>シュウリョウ</t>
    </rPh>
    <rPh sb="29" eb="31">
      <t>ヨウケン</t>
    </rPh>
    <rPh sb="32" eb="33">
      <t>ミタ</t>
    </rPh>
    <rPh sb="35" eb="36">
      <t>ウエ</t>
    </rPh>
    <rPh sb="37" eb="39">
      <t>ソツギョウ</t>
    </rPh>
    <rPh sb="41" eb="43">
      <t>ガクセイ</t>
    </rPh>
    <rPh sb="50" eb="52">
      <t>ジュウライ</t>
    </rPh>
    <rPh sb="54" eb="55">
      <t>ゼン</t>
    </rPh>
    <rPh sb="55" eb="57">
      <t>ブンヤ</t>
    </rPh>
    <rPh sb="58" eb="60">
      <t>ソツギョウ</t>
    </rPh>
    <rPh sb="61" eb="64">
      <t>シュウリョウセイ</t>
    </rPh>
    <rPh sb="68" eb="70">
      <t>シュウショク</t>
    </rPh>
    <rPh sb="70" eb="71">
      <t>サキ</t>
    </rPh>
    <rPh sb="71" eb="73">
      <t>キギョウ</t>
    </rPh>
    <rPh sb="74" eb="75">
      <t>タイ</t>
    </rPh>
    <rPh sb="82" eb="84">
      <t>チョウサ</t>
    </rPh>
    <rPh sb="85" eb="87">
      <t>シュウリョウ</t>
    </rPh>
    <rPh sb="87" eb="88">
      <t>ゴ</t>
    </rPh>
    <rPh sb="103" eb="104">
      <t>タイ</t>
    </rPh>
    <rPh sb="111" eb="113">
      <t>チョウサ</t>
    </rPh>
    <rPh sb="113" eb="114">
      <t>ナド</t>
    </rPh>
    <rPh sb="115" eb="117">
      <t>ジッシ</t>
    </rPh>
    <rPh sb="122" eb="124">
      <t>ホンガク</t>
    </rPh>
    <rPh sb="124" eb="127">
      <t>シュッシンシャ</t>
    </rPh>
    <rPh sb="128" eb="130">
      <t>カツヤク</t>
    </rPh>
    <rPh sb="130" eb="132">
      <t>ジョウキョウ</t>
    </rPh>
    <rPh sb="133" eb="135">
      <t>キギョウ</t>
    </rPh>
    <rPh sb="135" eb="136">
      <t>ナド</t>
    </rPh>
    <rPh sb="137" eb="139">
      <t>ヒョウカ</t>
    </rPh>
    <rPh sb="140" eb="142">
      <t>ブンセキ</t>
    </rPh>
    <rPh sb="150" eb="164">
      <t>スウリ</t>
    </rPh>
    <rPh sb="165" eb="166">
      <t>カカ</t>
    </rPh>
    <rPh sb="168" eb="170">
      <t>チョウサ</t>
    </rPh>
    <rPh sb="170" eb="172">
      <t>コウモク</t>
    </rPh>
    <rPh sb="173" eb="174">
      <t>クワ</t>
    </rPh>
    <rPh sb="176" eb="178">
      <t>ヨテイ</t>
    </rPh>
    <phoneticPr fontId="1"/>
  </si>
  <si>
    <t>本学は開学当初より産学連携に力を入れており，近年は研究と教育の両方についての産業界との連携が盛んになって来ている．これらの連携先企業に本プログラムの内容を提示してヒアリングする等により，産業界の視点を取り入れたプログラム改善につなげて行く．</t>
    <rPh sb="0" eb="2">
      <t>ホンガク</t>
    </rPh>
    <rPh sb="67" eb="68">
      <t>ホン</t>
    </rPh>
    <rPh sb="74" eb="76">
      <t>ナイヨウ</t>
    </rPh>
    <rPh sb="77" eb="79">
      <t>テイジ</t>
    </rPh>
    <rPh sb="93" eb="96">
      <t>サンギョウカイ</t>
    </rPh>
    <rPh sb="97" eb="99">
      <t>シテン</t>
    </rPh>
    <rPh sb="100" eb="101">
      <t>ト</t>
    </rPh>
    <rPh sb="102" eb="103">
      <t>イ</t>
    </rPh>
    <rPh sb="110" eb="112">
      <t>カイゼン</t>
    </rPh>
    <rPh sb="117" eb="118">
      <t>ユ</t>
    </rPh>
    <phoneticPr fontId="1"/>
  </si>
  <si>
    <t>「情報技術と社会変革」において，数理・データサイエンス・AIの要素技術および，デジタル技術やインターネット技術も含め，それらの講述の際には，身近な生活や社会へのインパクトに関する内容を必ず含ませ，学生に興味を持たせるとともに，学ぶことの意義を理解させるような講義内容としている．</t>
    <rPh sb="1" eb="3">
      <t>ジョウホウ</t>
    </rPh>
    <rPh sb="3" eb="5">
      <t>ギジュツ</t>
    </rPh>
    <rPh sb="6" eb="8">
      <t>シャカイ</t>
    </rPh>
    <rPh sb="8" eb="10">
      <t>ヘンカク</t>
    </rPh>
    <rPh sb="16" eb="30">
      <t>スウリ</t>
    </rPh>
    <rPh sb="31" eb="33">
      <t>ヨウソ</t>
    </rPh>
    <rPh sb="33" eb="35">
      <t>ギジュツ</t>
    </rPh>
    <rPh sb="43" eb="45">
      <t>ギジュツ</t>
    </rPh>
    <rPh sb="53" eb="55">
      <t>ギジュツ</t>
    </rPh>
    <rPh sb="56" eb="57">
      <t>フク</t>
    </rPh>
    <rPh sb="63" eb="65">
      <t>コウジュツ</t>
    </rPh>
    <rPh sb="66" eb="67">
      <t>サイ</t>
    </rPh>
    <rPh sb="70" eb="72">
      <t>ミジカ</t>
    </rPh>
    <rPh sb="73" eb="75">
      <t>セイカツ</t>
    </rPh>
    <rPh sb="76" eb="78">
      <t>シャカイ</t>
    </rPh>
    <rPh sb="86" eb="87">
      <t>カン</t>
    </rPh>
    <rPh sb="89" eb="91">
      <t>ナイヨウ</t>
    </rPh>
    <rPh sb="92" eb="93">
      <t>カナラ</t>
    </rPh>
    <rPh sb="94" eb="95">
      <t>フク</t>
    </rPh>
    <rPh sb="98" eb="100">
      <t>ガクセイ</t>
    </rPh>
    <rPh sb="101" eb="103">
      <t>キョウミ</t>
    </rPh>
    <rPh sb="104" eb="105">
      <t>モ</t>
    </rPh>
    <rPh sb="113" eb="114">
      <t>マナ</t>
    </rPh>
    <rPh sb="118" eb="120">
      <t>イギ</t>
    </rPh>
    <rPh sb="121" eb="123">
      <t>リカイ</t>
    </rPh>
    <rPh sb="129" eb="131">
      <t>コウギ</t>
    </rPh>
    <rPh sb="131" eb="133">
      <t>ナイヨウ</t>
    </rPh>
    <phoneticPr fontId="1"/>
  </si>
  <si>
    <r>
      <t>人　</t>
    </r>
    <r>
      <rPr>
        <sz val="12"/>
        <color rgb="FFFF0000"/>
        <rFont val="ＭＳ Ｐゴシック"/>
        <family val="3"/>
        <charset val="128"/>
        <scheme val="minor"/>
      </rPr>
      <t>（3年次編入学定員310人）</t>
    </r>
    <rPh sb="4" eb="6">
      <t>ネンジ</t>
    </rPh>
    <rPh sb="6" eb="9">
      <t>ヘンニュウガク</t>
    </rPh>
    <rPh sb="9" eb="11">
      <t>テイイン</t>
    </rPh>
    <rPh sb="14" eb="15">
      <t>ニン</t>
    </rPh>
    <phoneticPr fontId="1"/>
  </si>
  <si>
    <t>数理・データサイエンス教育研究センター</t>
    <rPh sb="0" eb="2">
      <t>スウリ</t>
    </rPh>
    <rPh sb="11" eb="13">
      <t>キョウイク</t>
    </rPh>
    <rPh sb="13" eb="15">
      <t>ケンキュウ</t>
    </rPh>
    <phoneticPr fontId="1"/>
  </si>
  <si>
    <t>丸田　誉</t>
    <rPh sb="0" eb="2">
      <t>マルタ</t>
    </rPh>
    <rPh sb="3" eb="4">
      <t>ホマレ</t>
    </rPh>
    <phoneticPr fontId="1"/>
  </si>
  <si>
    <t>gakumuka@jcom.nagaokaut.ac.jp</t>
    <phoneticPr fontId="1"/>
  </si>
  <si>
    <t>0258-47-9242</t>
    <phoneticPr fontId="1"/>
  </si>
  <si>
    <t>https://www.nagaokaut.ac.jp/center/suuri.html</t>
    <phoneticPr fontId="1"/>
  </si>
  <si>
    <t>数理・データサイエンス教育研究センター / 教育方法開発センター</t>
    <rPh sb="0" eb="2">
      <t>スウリ</t>
    </rPh>
    <rPh sb="11" eb="13">
      <t>キョウイク</t>
    </rPh>
    <rPh sb="13" eb="15">
      <t>ケンキュウ</t>
    </rPh>
    <rPh sb="22" eb="24">
      <t>キョウイク</t>
    </rPh>
    <rPh sb="24" eb="26">
      <t>ホウホウ</t>
    </rPh>
    <rPh sb="26" eb="28">
      <t>カイハツ</t>
    </rPh>
    <phoneticPr fontId="1"/>
  </si>
  <si>
    <t>電気電子情報数学及び演習1</t>
    <rPh sb="8" eb="9">
      <t>オヨ</t>
    </rPh>
    <phoneticPr fontId="1"/>
  </si>
  <si>
    <t>数理・データサイエンス・人工知能への誘い</t>
    <rPh sb="0" eb="2">
      <t>スウリ</t>
    </rPh>
    <rPh sb="12" eb="14">
      <t>ジンコウ</t>
    </rPh>
    <rPh sb="14" eb="16">
      <t>チノウ</t>
    </rPh>
    <rPh sb="18" eb="19">
      <t>イザナ</t>
    </rPh>
    <phoneticPr fontId="1"/>
  </si>
  <si>
    <t>（令和3年度）
センター長：湯川 高志
副センター：岩橋 政宏
機械創造工学専攻：倉橋 貴彦
電気電子情報工学専攻：坪根 正
物質材料工学専攻：内田 希
環境社会基盤工学専攻：松田 曜子
生物機能工学専攻：木村 悟隆
情報・経営システム工学専攻：野村 収作
情報・経営システム工学専攻：白川 智弘
情報・経営システム工学専攻：野中 尋史
技術科学イノベーション専攻：山崎 渉
基盤共通教育部：原 信一郎</t>
    <rPh sb="1" eb="3">
      <t>レイワ</t>
    </rPh>
    <rPh sb="4" eb="6">
      <t>ネンド</t>
    </rPh>
    <rPh sb="12" eb="13">
      <t>チョウ</t>
    </rPh>
    <rPh sb="14" eb="16">
      <t>ユカワ</t>
    </rPh>
    <rPh sb="17" eb="19">
      <t>タカシ</t>
    </rPh>
    <rPh sb="20" eb="21">
      <t>フク</t>
    </rPh>
    <rPh sb="32" eb="34">
      <t>キカイ</t>
    </rPh>
    <rPh sb="34" eb="36">
      <t>ソウゾウ</t>
    </rPh>
    <rPh sb="36" eb="38">
      <t>コウガク</t>
    </rPh>
    <rPh sb="38" eb="40">
      <t>センコウ</t>
    </rPh>
    <rPh sb="47" eb="51">
      <t>デンキデンシ</t>
    </rPh>
    <rPh sb="51" eb="53">
      <t>ジョウホウ</t>
    </rPh>
    <rPh sb="53" eb="55">
      <t>コウガク</t>
    </rPh>
    <rPh sb="55" eb="57">
      <t>センコウ</t>
    </rPh>
    <rPh sb="63" eb="65">
      <t>ブッシツ</t>
    </rPh>
    <rPh sb="65" eb="67">
      <t>ザイリョウ</t>
    </rPh>
    <rPh sb="67" eb="69">
      <t>コウガク</t>
    </rPh>
    <rPh sb="69" eb="71">
      <t>センコウ</t>
    </rPh>
    <rPh sb="72" eb="74">
      <t>ウチダ</t>
    </rPh>
    <rPh sb="75" eb="76">
      <t>ノゾム</t>
    </rPh>
    <rPh sb="77" eb="79">
      <t>カンキョウ</t>
    </rPh>
    <rPh sb="79" eb="81">
      <t>シャカイ</t>
    </rPh>
    <rPh sb="81" eb="83">
      <t>キバン</t>
    </rPh>
    <rPh sb="83" eb="85">
      <t>コウガク</t>
    </rPh>
    <rPh sb="85" eb="87">
      <t>センコウ</t>
    </rPh>
    <rPh sb="94" eb="96">
      <t>セイブツ</t>
    </rPh>
    <rPh sb="96" eb="98">
      <t>キノウ</t>
    </rPh>
    <rPh sb="98" eb="100">
      <t>コウガク</t>
    </rPh>
    <rPh sb="100" eb="102">
      <t>センコウ</t>
    </rPh>
    <rPh sb="109" eb="120">
      <t>ジョウケイ</t>
    </rPh>
    <rPh sb="120" eb="122">
      <t>センコウ</t>
    </rPh>
    <rPh sb="140" eb="142">
      <t>センコウ</t>
    </rPh>
    <rPh sb="163" eb="165">
      <t>ノナカ</t>
    </rPh>
    <rPh sb="166" eb="167">
      <t>タズ</t>
    </rPh>
    <rPh sb="169" eb="173">
      <t>ギジュツカガク</t>
    </rPh>
    <rPh sb="180" eb="182">
      <t>センコウ</t>
    </rPh>
    <rPh sb="188" eb="190">
      <t>キバン</t>
    </rPh>
    <rPh sb="190" eb="192">
      <t>キョウツウ</t>
    </rPh>
    <rPh sb="192" eb="194">
      <t>キョウイク</t>
    </rPh>
    <rPh sb="194" eb="195">
      <t>ブ</t>
    </rPh>
    <phoneticPr fontId="1"/>
  </si>
  <si>
    <t>https://www.nagaokaut.ac.jp/center/suuri.html</t>
    <phoneticPr fontId="1"/>
  </si>
  <si>
    <t>無</t>
  </si>
  <si>
    <t>・ビッグデータ，IoT，AI，ロボット：「情報技術と社会変革」第11回
・データ量の増加，計算機の処理性能の向上，AIの非連続的進化：「情報技術と社会変革」第9回
・第4次産業革命，Society5.0，データ駆動型社会：「情報技術と社会変革」第8回</t>
    <rPh sb="21" eb="23">
      <t>ジョウホウ</t>
    </rPh>
    <rPh sb="23" eb="25">
      <t>ギジュツ</t>
    </rPh>
    <rPh sb="26" eb="28">
      <t>シャカイ</t>
    </rPh>
    <rPh sb="28" eb="30">
      <t>ヘンカク</t>
    </rPh>
    <rPh sb="31" eb="32">
      <t>ダイ</t>
    </rPh>
    <rPh sb="34" eb="35">
      <t>カイ</t>
    </rPh>
    <rPh sb="40" eb="41">
      <t>リョウ</t>
    </rPh>
    <rPh sb="42" eb="44">
      <t>ゾウカ</t>
    </rPh>
    <rPh sb="45" eb="48">
      <t>ケイサンキ</t>
    </rPh>
    <rPh sb="49" eb="51">
      <t>ショリ</t>
    </rPh>
    <rPh sb="51" eb="53">
      <t>セイノウ</t>
    </rPh>
    <rPh sb="54" eb="56">
      <t>コウジョウ</t>
    </rPh>
    <rPh sb="60" eb="64">
      <t>ヒレンゾクテキ</t>
    </rPh>
    <rPh sb="64" eb="66">
      <t>シンカ</t>
    </rPh>
    <rPh sb="68" eb="70">
      <t>ジョウホウ</t>
    </rPh>
    <rPh sb="70" eb="72">
      <t>ギジュツ</t>
    </rPh>
    <rPh sb="73" eb="75">
      <t>シャカイ</t>
    </rPh>
    <rPh sb="75" eb="77">
      <t>ヘンカク</t>
    </rPh>
    <rPh sb="78" eb="79">
      <t>ダイ</t>
    </rPh>
    <rPh sb="80" eb="81">
      <t>カイ</t>
    </rPh>
    <rPh sb="83" eb="84">
      <t>ダイ</t>
    </rPh>
    <rPh sb="85" eb="86">
      <t>ジ</t>
    </rPh>
    <rPh sb="86" eb="88">
      <t>サンギョウ</t>
    </rPh>
    <rPh sb="88" eb="90">
      <t>カクメイ</t>
    </rPh>
    <rPh sb="105" eb="108">
      <t>クドウガタ</t>
    </rPh>
    <rPh sb="108" eb="110">
      <t>シャカイ</t>
    </rPh>
    <rPh sb="112" eb="114">
      <t>ジョウホウ</t>
    </rPh>
    <rPh sb="114" eb="116">
      <t>ギジュツ</t>
    </rPh>
    <rPh sb="117" eb="119">
      <t>シャカイ</t>
    </rPh>
    <rPh sb="119" eb="121">
      <t>ヘンカク</t>
    </rPh>
    <rPh sb="122" eb="123">
      <t>ダイ</t>
    </rPh>
    <rPh sb="124" eb="125">
      <t>カイ</t>
    </rPh>
    <phoneticPr fontId="1"/>
  </si>
  <si>
    <t>・AI等を活用した新しいビジネスモデル(シェアリングエコノミー、商品のレコメンデーションなど)：「情報技術と社会変革」第8回
・AI最新技術の活用例（深層生成モデル、敵対的生成ネットワーク、強化学習、転移学習など）：「情報技術と社会変革」第10回</t>
    <rPh sb="49" eb="51">
      <t>ジョウホウ</t>
    </rPh>
    <rPh sb="51" eb="53">
      <t>ギジュツ</t>
    </rPh>
    <rPh sb="54" eb="56">
      <t>シャカイ</t>
    </rPh>
    <rPh sb="56" eb="58">
      <t>ヘンカク</t>
    </rPh>
    <rPh sb="59" eb="60">
      <t>ダイ</t>
    </rPh>
    <rPh sb="61" eb="62">
      <t>カイ</t>
    </rPh>
    <rPh sb="109" eb="111">
      <t>ジョウホウ</t>
    </rPh>
    <rPh sb="111" eb="113">
      <t>ギジュツ</t>
    </rPh>
    <rPh sb="114" eb="116">
      <t>シャカイ</t>
    </rPh>
    <rPh sb="116" eb="118">
      <t>ヘンカク</t>
    </rPh>
    <rPh sb="119" eb="120">
      <t>ダイ</t>
    </rPh>
    <rPh sb="122" eb="123">
      <t>カイ</t>
    </rPh>
    <phoneticPr fontId="1"/>
  </si>
  <si>
    <t>・構造化データ、非構造化データ（文章、画像/動画、音声/音楽など）：「情報技術と社会変革」第4回
・データ作成（ビッグデータとアノテーション）：「情報技術と社会変革」第9回</t>
    <rPh sb="35" eb="37">
      <t>ジョウホウ</t>
    </rPh>
    <rPh sb="37" eb="39">
      <t>ギジュツ</t>
    </rPh>
    <rPh sb="40" eb="42">
      <t>シャカイ</t>
    </rPh>
    <rPh sb="42" eb="44">
      <t>ヘンカク</t>
    </rPh>
    <rPh sb="45" eb="46">
      <t>ダイ</t>
    </rPh>
    <rPh sb="47" eb="48">
      <t>カイ</t>
    </rPh>
    <rPh sb="49" eb="51">
      <t>ジョウホウ</t>
    </rPh>
    <rPh sb="51" eb="53">
      <t>ギジュツ</t>
    </rPh>
    <rPh sb="54" eb="56">
      <t>シャカイ</t>
    </rPh>
    <rPh sb="56" eb="58">
      <t>ヘンカク</t>
    </rPh>
    <rPh sb="59" eb="60">
      <t>ダイ</t>
    </rPh>
    <rPh sb="61" eb="62">
      <t>カイ</t>
    </rPh>
    <rPh sb="73" eb="75">
      <t>ジョウホウ</t>
    </rPh>
    <rPh sb="75" eb="77">
      <t>ギジュツ</t>
    </rPh>
    <rPh sb="78" eb="80">
      <t>シャカイ</t>
    </rPh>
    <rPh sb="80" eb="82">
      <t>ヘンカク</t>
    </rPh>
    <rPh sb="83" eb="84">
      <t>ダイ</t>
    </rPh>
    <rPh sb="85" eb="86">
      <t>カイ</t>
    </rPh>
    <phoneticPr fontId="1"/>
  </si>
  <si>
    <t xml:space="preserve">・AIの活用領域・データ・AI活用領域の広がり(生産、消費、文化活動など)：「情報技術と社会変革」第7回
</t>
    <rPh sb="39" eb="41">
      <t>ジョウホウ</t>
    </rPh>
    <rPh sb="41" eb="43">
      <t>ギジュツ</t>
    </rPh>
    <rPh sb="44" eb="46">
      <t>シャカイ</t>
    </rPh>
    <rPh sb="46" eb="48">
      <t>ヘンカク</t>
    </rPh>
    <rPh sb="49" eb="50">
      <t>ダイ</t>
    </rPh>
    <rPh sb="51" eb="52">
      <t>カイ</t>
    </rPh>
    <phoneticPr fontId="1"/>
  </si>
  <si>
    <t>・データ可視化：複合グラフ、2軸グラフ、多次元の可視化、関係性の可視化、地図上の可視化、挙動・軌跡の可視化、リアルタイム可視化など：「情報技術と社会変革」第4回
・非構造化データ処理：言語処理、画像/動画処理、音声/音楽処理など：「情報技術と社会変革」第12回
・認識技術、ルールベース、自動化技術：「情報技術と社会変革」第10回</t>
    <rPh sb="67" eb="69">
      <t>ジョウホウ</t>
    </rPh>
    <rPh sb="69" eb="71">
      <t>ギジュツ</t>
    </rPh>
    <rPh sb="72" eb="74">
      <t>シャカイ</t>
    </rPh>
    <rPh sb="74" eb="76">
      <t>ヘンカク</t>
    </rPh>
    <rPh sb="77" eb="78">
      <t>ダイ</t>
    </rPh>
    <rPh sb="79" eb="80">
      <t>カイ</t>
    </rPh>
    <rPh sb="116" eb="118">
      <t>ジョウホウ</t>
    </rPh>
    <rPh sb="118" eb="120">
      <t>ギジュツ</t>
    </rPh>
    <rPh sb="121" eb="123">
      <t>シャカイ</t>
    </rPh>
    <rPh sb="123" eb="125">
      <t>ヘンカク</t>
    </rPh>
    <rPh sb="126" eb="127">
      <t>ダイ</t>
    </rPh>
    <rPh sb="129" eb="130">
      <t>カイ</t>
    </rPh>
    <rPh sb="151" eb="153">
      <t>ジョウホウ</t>
    </rPh>
    <rPh sb="153" eb="155">
      <t>ギジュツ</t>
    </rPh>
    <rPh sb="156" eb="158">
      <t>シャカイ</t>
    </rPh>
    <rPh sb="158" eb="160">
      <t>ヘンカク</t>
    </rPh>
    <rPh sb="161" eb="162">
      <t>ダイ</t>
    </rPh>
    <rPh sb="164" eb="165">
      <t>カイ</t>
    </rPh>
    <phoneticPr fontId="1"/>
  </si>
  <si>
    <t>・流通、製造、金融、サービス、インフラ、公共、ヘルスケア等におけるデータ・AI利活用事例紹介：「情報技術と社会変革」第3回，第6回</t>
    <rPh sb="48" eb="50">
      <t>ジョウホウ</t>
    </rPh>
    <rPh sb="50" eb="52">
      <t>ギジュツ</t>
    </rPh>
    <rPh sb="53" eb="55">
      <t>シャカイ</t>
    </rPh>
    <rPh sb="55" eb="57">
      <t>ヘンカク</t>
    </rPh>
    <rPh sb="58" eb="59">
      <t>ダイ</t>
    </rPh>
    <rPh sb="60" eb="61">
      <t>カイ</t>
    </rPh>
    <rPh sb="62" eb="63">
      <t>ダイ</t>
    </rPh>
    <rPh sb="64" eb="65">
      <t>カイ</t>
    </rPh>
    <phoneticPr fontId="1"/>
  </si>
  <si>
    <r>
      <t>・個人情報保護、EU一般データ保護規則(GDPR)、忘れられる権利、オプトアウト：</t>
    </r>
    <r>
      <rPr>
        <sz val="12"/>
        <rFont val="ＭＳ Ｐゴシック"/>
        <family val="3"/>
        <charset val="128"/>
        <scheme val="minor"/>
      </rPr>
      <t xml:space="preserve">「情報技術と社会変革」第9回
・データ倫理：データのねつ造、改ざん、盗用、プライバシー保護：「情報技術と社会変革」第14回
</t>
    </r>
    <rPh sb="42" eb="44">
      <t>ジョウホウ</t>
    </rPh>
    <rPh sb="44" eb="46">
      <t>ギジュツ</t>
    </rPh>
    <rPh sb="47" eb="49">
      <t>シャカイ</t>
    </rPh>
    <rPh sb="49" eb="51">
      <t>ヘンカク</t>
    </rPh>
    <rPh sb="52" eb="53">
      <t>ダイ</t>
    </rPh>
    <rPh sb="54" eb="55">
      <t>カイ</t>
    </rPh>
    <rPh sb="88" eb="90">
      <t>ジョウホウ</t>
    </rPh>
    <rPh sb="90" eb="92">
      <t>ギジュツ</t>
    </rPh>
    <rPh sb="93" eb="95">
      <t>シャカイ</t>
    </rPh>
    <rPh sb="95" eb="97">
      <t>ヘンカク</t>
    </rPh>
    <rPh sb="98" eb="99">
      <t>ダイ</t>
    </rPh>
    <rPh sb="101" eb="102">
      <t>カイ</t>
    </rPh>
    <phoneticPr fontId="1"/>
  </si>
  <si>
    <t xml:space="preserve">・情報セキュリティ：機密性、完全性、可用性：「情報技術と社会変革」第14回
・匿名加工情報、暗号化、パスワード、悪意ある情報搾取：「情報技術と社会変革』第14回
</t>
    <rPh sb="23" eb="25">
      <t>ジョウホウ</t>
    </rPh>
    <rPh sb="25" eb="27">
      <t>ギジュツ</t>
    </rPh>
    <rPh sb="28" eb="30">
      <t>シャカイ</t>
    </rPh>
    <rPh sb="30" eb="32">
      <t>ヘンカク</t>
    </rPh>
    <rPh sb="33" eb="34">
      <t>ダイ</t>
    </rPh>
    <rPh sb="36" eb="37">
      <t>カイ</t>
    </rPh>
    <rPh sb="66" eb="68">
      <t>ジョウホウ</t>
    </rPh>
    <rPh sb="68" eb="70">
      <t>ギジュツ</t>
    </rPh>
    <rPh sb="71" eb="73">
      <t>シャカイ</t>
    </rPh>
    <rPh sb="73" eb="75">
      <t>ヘンカク</t>
    </rPh>
    <rPh sb="76" eb="77">
      <t>ダイ</t>
    </rPh>
    <rPh sb="79" eb="80">
      <t>カイ</t>
    </rPh>
    <phoneticPr fontId="1"/>
  </si>
  <si>
    <t>・データの種類（量的変数、質的変数）：「機械創造工学総合演習入門（PBL入門）」A群10回目、B群10回目：「電気電子情報数学及び演習1」第10回：「環境社会基盤計算機実習１」第5回
・データの分布(ヒストグラム)と代表値（平均値、中央値、最頻値）：「機械創造工学総合演習入門（PBL入門）」A群12,14回目、B群10,12回目：「情報システム工学実験」第12回：「電気電子情報数学及び演習1」第10回：「物質材料工学実験」第１回：「環境社会基盤計算機実習１」第2回
・代表値の性質の違い（実社会では平均値＝最頻値でないことが多い）：「機械創造工学総合演習入門（PBL入門）」A群10,12回目、B群8,12回目：「電気電子情報数学及び演習1」第10回：「環境社会基盤計算機実習１」第3回：「生物機能工学演習」第12回
・データのばらつき（分散、標準偏差、偏差値）：「機械創造工学総合演習入門（PBL入門）」A群4,10回目、B群10,12回目：「電気電子情報数学及び演習1」第11回：「物質材料工学実験」第１回：「環境社会基盤計算機実習１」第5回：「生物機能工学演習」第 8，9回
・観測データに含まれる誤差の扱い：「機械創造工学総合演習入門（PBL入門）」A群10,14回目、B群6,10回目：「情報システム工学実験」第16回：「電気電子情報数学及び演習1」第9回：「物質材料工学実験」第１回：「環境社会基盤計算機実習１」第5回：「生物機能工学演習」第12回
・打ち切りや脱落を含むデータ、層別の必要なデータ：「機械創造工学総合演習入門（PBL入門）」A群10回目、B群12回目：「電気電子情報数学及び演習1」第8回：「環境社会基盤計算機実習１」第5回
・相関と因果（相関係数、擬似相関、交絡）：「機械創造工学総合演習入門（PBL入門）」A群12回目、B群10回目：「電気電子情報数学及び演習1」第13回：「物質材料工学実験」第１回：「環境社会基盤計算機実習１」第5回
・母集団と標本抽出（国勢調査、アンケート調査、全数調査、単純無作為抽出、層別抽出、多段抽出）：「電気電子情報数学及び演習1」第8回：「環境社会基盤計算機実習１」第4回
・クロス集計表、分割表、相関係数行列、散布図行列：「電気電子情報数学及び演習1」第14回：「環境社会基盤計算機実習１」第4回
・統計情報の正しい理解（誇張表現に惑わされない）：「機械創造工学総合演習入門（PBL入門）」A群10回目、B群10回目：「電気電子情報数学及び演習1」第8回：「環境社会基盤計算機実習１」第13回：「生物機能工学演習」第12，13回</t>
    <rPh sb="13" eb="17">
      <t>シツテキヘンスウ</t>
    </rPh>
    <rPh sb="41" eb="42">
      <t>グン</t>
    </rPh>
    <rPh sb="44" eb="45">
      <t>カイ</t>
    </rPh>
    <rPh sb="45" eb="46">
      <t>メ</t>
    </rPh>
    <rPh sb="48" eb="49">
      <t>グン</t>
    </rPh>
    <phoneticPr fontId="1"/>
  </si>
  <si>
    <t>・データ表現（棒グラフ、折線グラフ、散布図、ヒートマップ）：「機械創造工学総合演習入門（PBL入門）」A群10,12,14回目、B群4,6,8回目：「情報システム工学実験」第12回：「電気電子情報数学及び演習1」第8回：「物質材料工学実験」第９回：「環境社会基盤計算機実習１」第14回
・データの図表表現（チャート化）：「機械創造工学総合演習入門（PBL入門）」A群12,14回目、B群10,12回目：「電気電子情報数学及び演習1」第8回：「物質材料工学実験」第９回：「環境社会基盤計算機実習１」第9回：「生物機能工学演習」第12回
・データの比較（条件をそろえた比較、処理の前後での比較、A/Bテスト)：「機械創造工学総合演習入門（PBL入門）」A群10,14回目、B群6,10回目：「情報システム工学実験」第8，9回：「電気電子情報数学及び演習1」第13回：「環境社会基盤計算機実習１」第14回：「生物機能工学演習」第10，11，12回
・不適切なグラフ表現（チャートジャンク、不必要な視覚的要素）：「機械創造工学総合演習入門（PBL入門）」A群10,12回目、B群6,8回目：「物質材料工学実験」第９回：「環境社会基盤計算機実習１」第15回
・優れた可視化事例の紹介（可視化することによって新たな気づきがあった事例など）：「機械創造工学総合演習入門（PBL入門）」A群10,12回目、B群6,10回目：「環境社会基盤計算機実習１」第10回</t>
    <phoneticPr fontId="1"/>
  </si>
  <si>
    <r>
      <t>・データの並び替え、ランキング</t>
    </r>
    <r>
      <rPr>
        <sz val="12"/>
        <rFont val="ＭＳ Ｐゴシック"/>
        <family val="3"/>
        <charset val="128"/>
        <scheme val="minor"/>
      </rPr>
      <t>：「機械創造工学総合演習入門（PBL入門）」A群10回目、B群6回目：「情報システム工学実験」第20回：「電気電子情報数学及び演習1」第8回：「環境社会基盤計算機実習１」第1回：「生物機能工学演習」第 8，9，10回
・データ解析ツール（スプレッドシート）：「機械創造工学総合演習入門（PBL入門）」A群4,10回目、B群4,8回目：「物質材料工学実験」第８回：「環境社会基盤計算機実習１」第1回：「生物機能工学演習」第 8，9，10，11，12回
・表形式のデータ（csv）：「機械創造工学総合演習入門（PBL入門）」A群4,10回目、B群4,8回目：「物質材料工学実験」第８回：「環境社会基盤計算機実習１」第1回</t>
    </r>
    <phoneticPr fontId="1"/>
  </si>
  <si>
    <t>令和4年度には，数理・データサイエンス・AI教育リテラシープログラムについての学生への周知を徹底し，履修者の倍増を目指す．
当プログラムの修了要件において必須となる「情報技術と社会変革」は教室の収容定員の面から令和4年度目標以上の対面授業は困難であるが，令和5年度にはｅラーニング等を活用しより多くの受講者に対応する．
令和4年度に改組されて1年入学学生は新しいカリキュラムでの履修となる．このカリキュラムにおいては3年次において数理・データサイエンス・AI教育科目が必修となる．学年進行により新カリキュラムによる3年生科目を学生が受講するのは令和6年からであり，このため令和6年度以降は100%となる．</t>
    <rPh sb="0" eb="2">
      <t>レイワ</t>
    </rPh>
    <rPh sb="3" eb="5">
      <t>ネンド</t>
    </rPh>
    <rPh sb="8" eb="22">
      <t>スウリ</t>
    </rPh>
    <rPh sb="22" eb="24">
      <t>キョウイク</t>
    </rPh>
    <rPh sb="39" eb="41">
      <t>ガクセイ</t>
    </rPh>
    <rPh sb="43" eb="45">
      <t>シュウチ</t>
    </rPh>
    <rPh sb="46" eb="48">
      <t>テッテイ</t>
    </rPh>
    <rPh sb="50" eb="53">
      <t>リシュウシャ</t>
    </rPh>
    <rPh sb="54" eb="56">
      <t>バイゾウ</t>
    </rPh>
    <rPh sb="57" eb="59">
      <t>メザ</t>
    </rPh>
    <rPh sb="62" eb="63">
      <t>トウ</t>
    </rPh>
    <rPh sb="69" eb="71">
      <t>シュウリョウ</t>
    </rPh>
    <rPh sb="71" eb="73">
      <t>ヨウケン</t>
    </rPh>
    <rPh sb="77" eb="79">
      <t>ヒッス</t>
    </rPh>
    <rPh sb="83" eb="85">
      <t>ジョウホウ</t>
    </rPh>
    <rPh sb="85" eb="87">
      <t>ギジュツ</t>
    </rPh>
    <rPh sb="88" eb="90">
      <t>シャカイ</t>
    </rPh>
    <rPh sb="90" eb="92">
      <t>ヘンカク</t>
    </rPh>
    <rPh sb="94" eb="96">
      <t>キョウシツ</t>
    </rPh>
    <rPh sb="97" eb="99">
      <t>シュウヨウ</t>
    </rPh>
    <rPh sb="99" eb="101">
      <t>テイイン</t>
    </rPh>
    <rPh sb="102" eb="103">
      <t>メン</t>
    </rPh>
    <rPh sb="105" eb="107">
      <t>レイワ</t>
    </rPh>
    <rPh sb="108" eb="110">
      <t>ネンド</t>
    </rPh>
    <rPh sb="110" eb="112">
      <t>モクヒョウ</t>
    </rPh>
    <rPh sb="112" eb="114">
      <t>イジョウ</t>
    </rPh>
    <rPh sb="115" eb="117">
      <t>タイメン</t>
    </rPh>
    <rPh sb="117" eb="119">
      <t>ジュギョウ</t>
    </rPh>
    <rPh sb="120" eb="122">
      <t>コンナン</t>
    </rPh>
    <rPh sb="127" eb="129">
      <t>レイワ</t>
    </rPh>
    <rPh sb="130" eb="132">
      <t>ネンド</t>
    </rPh>
    <rPh sb="140" eb="141">
      <t>ナド</t>
    </rPh>
    <rPh sb="142" eb="144">
      <t>カツヨウ</t>
    </rPh>
    <rPh sb="147" eb="148">
      <t>オオ</t>
    </rPh>
    <rPh sb="150" eb="153">
      <t>ジュコウシャ</t>
    </rPh>
    <rPh sb="154" eb="156">
      <t>タイオウ</t>
    </rPh>
    <rPh sb="160" eb="162">
      <t>レイワ</t>
    </rPh>
    <rPh sb="163" eb="165">
      <t>ネンド</t>
    </rPh>
    <rPh sb="166" eb="168">
      <t>カイソ</t>
    </rPh>
    <rPh sb="172" eb="173">
      <t>ネン</t>
    </rPh>
    <rPh sb="173" eb="175">
      <t>ニュウガク</t>
    </rPh>
    <rPh sb="175" eb="177">
      <t>ガクセイ</t>
    </rPh>
    <rPh sb="178" eb="179">
      <t>アタラ</t>
    </rPh>
    <rPh sb="189" eb="191">
      <t>リシュウ</t>
    </rPh>
    <rPh sb="209" eb="211">
      <t>ネンジ</t>
    </rPh>
    <rPh sb="215" eb="229">
      <t>スウリ</t>
    </rPh>
    <rPh sb="229" eb="231">
      <t>キョウイク</t>
    </rPh>
    <rPh sb="231" eb="233">
      <t>カモク</t>
    </rPh>
    <rPh sb="234" eb="236">
      <t>ヒッシュウ</t>
    </rPh>
    <rPh sb="240" eb="242">
      <t>ガクネン</t>
    </rPh>
    <rPh sb="242" eb="244">
      <t>シンコウ</t>
    </rPh>
    <rPh sb="247" eb="248">
      <t>シン</t>
    </rPh>
    <rPh sb="258" eb="260">
      <t>ネンセイ</t>
    </rPh>
    <rPh sb="260" eb="262">
      <t>カモク</t>
    </rPh>
    <rPh sb="263" eb="265">
      <t>ガクセイ</t>
    </rPh>
    <rPh sb="266" eb="268">
      <t>ジュコウ</t>
    </rPh>
    <rPh sb="272" eb="274">
      <t>レイワ</t>
    </rPh>
    <rPh sb="275" eb="276">
      <t>ネン</t>
    </rPh>
    <rPh sb="286" eb="288">
      <t>レイワ</t>
    </rPh>
    <rPh sb="289" eb="290">
      <t>ネン</t>
    </rPh>
    <rPh sb="290" eb="291">
      <t>ド</t>
    </rPh>
    <rPh sb="291" eb="293">
      <t>イコウ</t>
    </rPh>
    <phoneticPr fontId="1"/>
  </si>
  <si>
    <t>本学では全科目に対して授業アンケートを実施している．本学の授業アンケートは，学生が授業や教員を評価する目的ではなく，学生自身の期待と授業の内容や教え方とがマッチしているか，その授業が理解できて自身の能力が向上したか等の設問から成り，また，自由記述欄も設けており，学生と教員とのコミュニケーションのためのツールと位置付けている．この授業アンケートの結果に基づいて，教員はよりわかりやすい授業のための工夫を考え，教員アンケートとして大学に提出するようになっている．本プログラムを構成する科目についても，この活動は適用されるため，よりわかりやすい授業のための工夫が継続的に行なわれると期待できる．</t>
    <rPh sb="0" eb="2">
      <t>ホンガク</t>
    </rPh>
    <rPh sb="4" eb="5">
      <t>ゼン</t>
    </rPh>
    <rPh sb="5" eb="7">
      <t>カモク</t>
    </rPh>
    <rPh sb="8" eb="9">
      <t>タイ</t>
    </rPh>
    <rPh sb="11" eb="13">
      <t>ジュギョウ</t>
    </rPh>
    <rPh sb="19" eb="21">
      <t>ジッシ</t>
    </rPh>
    <rPh sb="26" eb="28">
      <t>ホンガク</t>
    </rPh>
    <rPh sb="29" eb="31">
      <t>ジュギョウ</t>
    </rPh>
    <rPh sb="38" eb="40">
      <t>ガクセイ</t>
    </rPh>
    <rPh sb="41" eb="43">
      <t>ジュギョウ</t>
    </rPh>
    <rPh sb="44" eb="46">
      <t>キョウイン</t>
    </rPh>
    <rPh sb="47" eb="49">
      <t>ヒョウカ</t>
    </rPh>
    <rPh sb="51" eb="53">
      <t>モクテキ</t>
    </rPh>
    <rPh sb="58" eb="60">
      <t>ガクセイ</t>
    </rPh>
    <rPh sb="60" eb="62">
      <t>ジシン</t>
    </rPh>
    <rPh sb="63" eb="65">
      <t>キタイ</t>
    </rPh>
    <rPh sb="66" eb="68">
      <t>ジュギョウ</t>
    </rPh>
    <rPh sb="69" eb="71">
      <t>ナイヨウ</t>
    </rPh>
    <rPh sb="72" eb="73">
      <t>オシ</t>
    </rPh>
    <rPh sb="74" eb="75">
      <t>カタ</t>
    </rPh>
    <rPh sb="88" eb="90">
      <t>ジュギョウ</t>
    </rPh>
    <rPh sb="91" eb="93">
      <t>リカイ</t>
    </rPh>
    <rPh sb="96" eb="98">
      <t>ジシン</t>
    </rPh>
    <rPh sb="99" eb="101">
      <t>ノウリョク</t>
    </rPh>
    <rPh sb="102" eb="104">
      <t>コウジョウ</t>
    </rPh>
    <rPh sb="107" eb="108">
      <t>ナド</t>
    </rPh>
    <rPh sb="109" eb="111">
      <t>セツモン</t>
    </rPh>
    <rPh sb="113" eb="114">
      <t>ナ</t>
    </rPh>
    <rPh sb="119" eb="121">
      <t>ジユウ</t>
    </rPh>
    <rPh sb="121" eb="123">
      <t>キジュツ</t>
    </rPh>
    <rPh sb="123" eb="124">
      <t>ラン</t>
    </rPh>
    <rPh sb="125" eb="126">
      <t>モウ</t>
    </rPh>
    <rPh sb="131" eb="133">
      <t>ガクセイ</t>
    </rPh>
    <rPh sb="134" eb="136">
      <t>キョウイン</t>
    </rPh>
    <rPh sb="155" eb="158">
      <t>イチヅ</t>
    </rPh>
    <rPh sb="165" eb="167">
      <t>ジュギョウ</t>
    </rPh>
    <rPh sb="173" eb="175">
      <t>ケッカ</t>
    </rPh>
    <rPh sb="176" eb="177">
      <t>モト</t>
    </rPh>
    <rPh sb="181" eb="183">
      <t>キョウイン</t>
    </rPh>
    <rPh sb="192" eb="194">
      <t>ジュギョウ</t>
    </rPh>
    <rPh sb="198" eb="200">
      <t>クフウ</t>
    </rPh>
    <rPh sb="201" eb="202">
      <t>カンガ</t>
    </rPh>
    <rPh sb="204" eb="206">
      <t>キョウイン</t>
    </rPh>
    <rPh sb="214" eb="216">
      <t>ダイガク</t>
    </rPh>
    <rPh sb="217" eb="219">
      <t>テイシュツ</t>
    </rPh>
    <rPh sb="230" eb="231">
      <t>ホン</t>
    </rPh>
    <rPh sb="237" eb="239">
      <t>コウセイ</t>
    </rPh>
    <rPh sb="241" eb="243">
      <t>カモク</t>
    </rPh>
    <rPh sb="251" eb="253">
      <t>カツドウ</t>
    </rPh>
    <rPh sb="254" eb="256">
      <t>テキヨウ</t>
    </rPh>
    <rPh sb="270" eb="272">
      <t>ジュギョウ</t>
    </rPh>
    <rPh sb="276" eb="278">
      <t>クフウ</t>
    </rPh>
    <rPh sb="279" eb="282">
      <t>ケイゾクテキ</t>
    </rPh>
    <rPh sb="283" eb="284">
      <t>オコ</t>
    </rPh>
    <rPh sb="289" eb="291">
      <t>キタイ</t>
    </rPh>
    <phoneticPr fontId="1"/>
  </si>
  <si>
    <t>様式２－１</t>
    <phoneticPr fontId="1"/>
  </si>
  <si>
    <t xml:space="preserve">・「情報技術と社会変革」（2単位）を修得することに加えて、所属する各課程で以下の科目を修得する。
   機械創造工学課程：「機械創造工学総合演習入門（PBL入門）」
　 電気電子情報工学課程：「電気電子情報数学及び演習1」
   物質材料工学課程：「物質材料工学実験」
   環境社会基盤工学課程：「環境社会基盤計算機実習1」
   生物機能工学課程：「生物機能工学演習」
   情報・経営システム工学課程：「情報システム工学実験」
　なお，修了要件には含まれないが，数理・データサイエンス・AIに関する学習の動機付けのために「数理・データサイエンス・人工知能への誘い」を1・2年生向けに開講しており，1年入学者（本学は8割の学生が高専から3年への編入学）には当該科目の修得を推奨す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</si>
</sst>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1"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1" fillId="0" borderId="47"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1"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1" fillId="0" borderId="52" xfId="0" applyNumberFormat="1" applyFont="1" applyBorder="1" applyAlignment="1">
      <alignment horizontal="center" vertical="center"/>
    </xf>
    <xf numFmtId="49" fontId="21" fillId="0" borderId="29" xfId="0" applyNumberFormat="1" applyFont="1" applyBorder="1" applyAlignment="1">
      <alignment horizontal="center" vertical="center"/>
    </xf>
    <xf numFmtId="0" fontId="24"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38"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5" xfId="0" applyFont="1" applyBorder="1" applyAlignment="1">
      <alignment vertical="center" shrinkToFit="1"/>
    </xf>
    <xf numFmtId="49" fontId="21" fillId="0" borderId="47" xfId="0" applyNumberFormat="1" applyFont="1" applyFill="1" applyBorder="1" applyAlignment="1">
      <alignment horizontal="center" vertical="center"/>
    </xf>
    <xf numFmtId="49" fontId="21" fillId="0" borderId="33" xfId="0" applyNumberFormat="1" applyFont="1" applyFill="1" applyBorder="1" applyAlignment="1">
      <alignment horizontal="center" vertical="center"/>
    </xf>
    <xf numFmtId="49" fontId="21" fillId="0" borderId="50" xfId="0" applyNumberFormat="1" applyFont="1" applyFill="1" applyBorder="1" applyAlignment="1">
      <alignment horizontal="center" vertical="center"/>
    </xf>
    <xf numFmtId="0" fontId="8" fillId="0" borderId="1" xfId="0" applyFont="1" applyFill="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20"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Fill="1" applyBorder="1" applyAlignment="1">
      <alignment vertical="center" wrapText="1"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23" fillId="0" borderId="48" xfId="0" applyFont="1" applyBorder="1" applyAlignment="1">
      <alignment vertical="center" wrapText="1"/>
    </xf>
    <xf numFmtId="0" fontId="23" fillId="0" borderId="49" xfId="0" applyFont="1" applyBorder="1" applyAlignment="1">
      <alignment vertical="center" wrapText="1"/>
    </xf>
    <xf numFmtId="0" fontId="22" fillId="0" borderId="48" xfId="0" applyFont="1" applyBorder="1" applyAlignment="1">
      <alignment vertical="center" wrapText="1"/>
    </xf>
    <xf numFmtId="0" fontId="22" fillId="0" borderId="32" xfId="0" applyFont="1" applyBorder="1" applyAlignment="1">
      <alignment vertical="center" wrapText="1"/>
    </xf>
    <xf numFmtId="0" fontId="22" fillId="0" borderId="48" xfId="0" applyFont="1" applyFill="1" applyBorder="1" applyAlignment="1">
      <alignment vertical="center" wrapText="1"/>
    </xf>
    <xf numFmtId="0" fontId="22" fillId="0" borderId="32" xfId="0" applyFont="1" applyFill="1" applyBorder="1" applyAlignment="1">
      <alignment vertical="center" wrapText="1"/>
    </xf>
    <xf numFmtId="0" fontId="23" fillId="0" borderId="49" xfId="0" applyFont="1" applyFill="1" applyBorder="1" applyAlignment="1">
      <alignment vertical="center" wrapText="1"/>
    </xf>
    <xf numFmtId="0" fontId="8" fillId="0" borderId="39" xfId="0" applyFont="1" applyFill="1" applyBorder="1" applyAlignment="1">
      <alignment vertical="center" wrapText="1"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9" fillId="0" borderId="6" xfId="0" applyFont="1" applyFill="1" applyBorder="1" applyAlignment="1">
      <alignment vertical="center" wrapText="1" shrinkToFit="1"/>
    </xf>
    <xf numFmtId="0" fontId="8" fillId="0" borderId="6" xfId="0" applyFont="1" applyFill="1" applyBorder="1" applyAlignment="1">
      <alignment vertical="center" shrinkToFit="1"/>
    </xf>
    <xf numFmtId="0" fontId="8" fillId="0" borderId="12" xfId="0" applyFont="1" applyFill="1" applyBorder="1" applyAlignment="1">
      <alignment vertical="center" shrinkToFit="1"/>
    </xf>
    <xf numFmtId="0" fontId="23" fillId="0" borderId="32" xfId="0" applyFont="1" applyBorder="1" applyAlignment="1">
      <alignment vertical="center" wrapText="1"/>
    </xf>
    <xf numFmtId="0" fontId="9"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8" fillId="0" borderId="18"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agaokaut.ac.jp/center/suuri.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agaokaut.ac.jp/center/suur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P25" sqref="P25"/>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6" t="s">
        <v>23</v>
      </c>
      <c r="N1" s="146"/>
    </row>
    <row r="2" spans="1:15" ht="24" customHeight="1" x14ac:dyDescent="0.15">
      <c r="A2" s="150" t="s">
        <v>79</v>
      </c>
      <c r="B2" s="150"/>
      <c r="C2" s="150"/>
      <c r="D2" s="150"/>
      <c r="E2" s="150"/>
      <c r="F2" s="150"/>
      <c r="G2" s="150"/>
      <c r="H2" s="150"/>
      <c r="I2" s="150"/>
      <c r="J2" s="150"/>
      <c r="K2" s="150"/>
      <c r="L2" s="150"/>
      <c r="M2" s="150"/>
      <c r="N2" s="150"/>
    </row>
    <row r="3" spans="1:15" ht="24" customHeight="1" x14ac:dyDescent="0.15"/>
    <row r="4" spans="1:15" ht="24" customHeight="1" x14ac:dyDescent="0.15">
      <c r="A4" s="14" t="s">
        <v>6</v>
      </c>
      <c r="B4" s="15" t="s">
        <v>16</v>
      </c>
      <c r="C4" s="138" t="s">
        <v>144</v>
      </c>
      <c r="D4" s="139"/>
      <c r="E4" s="139"/>
      <c r="F4" s="139"/>
      <c r="G4" s="139"/>
      <c r="H4" s="139"/>
      <c r="I4" s="139"/>
      <c r="J4" s="139"/>
      <c r="K4" s="139"/>
      <c r="L4" s="139"/>
      <c r="M4" s="139"/>
      <c r="N4" s="145"/>
      <c r="O4" s="31" t="str">
        <f>IF(C4="","入力してください","")</f>
        <v/>
      </c>
    </row>
    <row r="5" spans="1:15" ht="7.5" customHeight="1" x14ac:dyDescent="0.15">
      <c r="B5" s="15"/>
      <c r="C5" s="15"/>
      <c r="D5" s="15"/>
      <c r="E5" s="16"/>
      <c r="F5" s="36"/>
      <c r="G5" s="36"/>
      <c r="H5" s="36"/>
      <c r="I5" s="36"/>
      <c r="J5" s="36"/>
      <c r="K5" s="36"/>
      <c r="L5" s="36"/>
      <c r="M5" s="36"/>
      <c r="N5" s="36"/>
    </row>
    <row r="6" spans="1:15" ht="24" customHeight="1" x14ac:dyDescent="0.15">
      <c r="A6" s="14" t="s">
        <v>46</v>
      </c>
      <c r="B6" s="15" t="s">
        <v>47</v>
      </c>
      <c r="C6" s="15"/>
      <c r="D6" s="138" t="s">
        <v>145</v>
      </c>
      <c r="E6" s="139"/>
      <c r="F6" s="139"/>
      <c r="G6" s="139"/>
      <c r="H6" s="145"/>
      <c r="I6" s="17" t="s">
        <v>82</v>
      </c>
      <c r="J6" s="36" t="s">
        <v>83</v>
      </c>
      <c r="K6" s="138" t="s">
        <v>146</v>
      </c>
      <c r="L6" s="139"/>
      <c r="M6" s="139"/>
      <c r="N6" s="145"/>
      <c r="O6" s="31" t="str">
        <f>IF(D6="","入力してください","")</f>
        <v/>
      </c>
    </row>
    <row r="7" spans="1:15" ht="7.5" customHeight="1" x14ac:dyDescent="0.15">
      <c r="B7" s="15"/>
      <c r="C7" s="15"/>
      <c r="D7" s="15"/>
      <c r="E7" s="16"/>
      <c r="F7" s="36"/>
      <c r="G7" s="36"/>
      <c r="H7" s="36"/>
      <c r="I7" s="36"/>
      <c r="J7" s="36"/>
      <c r="K7" s="36"/>
      <c r="L7" s="36"/>
      <c r="M7" s="36"/>
      <c r="N7" s="36"/>
    </row>
    <row r="8" spans="1:15" ht="24" customHeight="1" x14ac:dyDescent="0.15">
      <c r="A8" s="14" t="s">
        <v>13</v>
      </c>
      <c r="B8" s="15" t="s">
        <v>43</v>
      </c>
      <c r="C8" s="138" t="s">
        <v>147</v>
      </c>
      <c r="D8" s="139"/>
      <c r="E8" s="139"/>
      <c r="F8" s="139"/>
      <c r="G8" s="139"/>
      <c r="H8" s="139"/>
      <c r="I8" s="139"/>
      <c r="J8" s="139"/>
      <c r="K8" s="139"/>
      <c r="L8" s="139"/>
      <c r="M8" s="139"/>
      <c r="N8" s="145"/>
      <c r="O8" s="31" t="str">
        <f>IF(C8="","入力してください","")</f>
        <v/>
      </c>
    </row>
    <row r="9" spans="1:15" ht="7.5" customHeight="1" x14ac:dyDescent="0.15">
      <c r="B9" s="15"/>
      <c r="C9" s="15"/>
      <c r="D9" s="15"/>
      <c r="E9" s="16"/>
      <c r="F9" s="36"/>
      <c r="G9" s="36"/>
      <c r="H9" s="36"/>
      <c r="I9" s="36"/>
      <c r="J9" s="36"/>
      <c r="K9" s="36"/>
      <c r="L9" s="36"/>
      <c r="M9" s="36"/>
      <c r="N9" s="36"/>
    </row>
    <row r="10" spans="1:15" ht="24" customHeight="1" x14ac:dyDescent="0.15">
      <c r="A10" s="14" t="s">
        <v>11</v>
      </c>
      <c r="B10" s="15" t="s">
        <v>81</v>
      </c>
      <c r="C10" s="15"/>
      <c r="D10" s="15"/>
      <c r="E10" s="138" t="s">
        <v>148</v>
      </c>
      <c r="F10" s="139"/>
      <c r="G10" s="139"/>
      <c r="H10" s="139"/>
      <c r="I10" s="139"/>
      <c r="J10" s="139"/>
      <c r="K10" s="139"/>
      <c r="L10" s="139"/>
      <c r="M10" s="139"/>
      <c r="N10" s="145"/>
      <c r="O10" s="31" t="str">
        <f>IF(E10="","入力してください","")</f>
        <v/>
      </c>
    </row>
    <row r="11" spans="1:15" ht="7.5" customHeight="1" x14ac:dyDescent="0.15">
      <c r="B11" s="16"/>
      <c r="C11" s="16"/>
      <c r="D11" s="16"/>
      <c r="E11" s="16"/>
      <c r="F11" s="36"/>
      <c r="G11" s="36"/>
      <c r="H11" s="36"/>
      <c r="I11" s="36"/>
      <c r="J11" s="36"/>
      <c r="K11" s="36"/>
      <c r="L11" s="36"/>
      <c r="M11" s="36"/>
      <c r="N11" s="36"/>
    </row>
    <row r="12" spans="1:15" ht="24" customHeight="1" x14ac:dyDescent="0.15">
      <c r="A12" s="14" t="s">
        <v>54</v>
      </c>
      <c r="B12" s="16" t="s">
        <v>55</v>
      </c>
      <c r="C12" s="16"/>
      <c r="D12" s="16"/>
      <c r="E12" s="151" t="s">
        <v>149</v>
      </c>
      <c r="F12" s="152"/>
      <c r="G12" s="17" t="s">
        <v>92</v>
      </c>
      <c r="H12" s="14" t="s">
        <v>93</v>
      </c>
      <c r="N12" s="129" t="s">
        <v>206</v>
      </c>
      <c r="O12" s="31" t="str">
        <f>IF(E12="","入力してください","")</f>
        <v/>
      </c>
    </row>
    <row r="13" spans="1:15" ht="7.5" customHeight="1" x14ac:dyDescent="0.15">
      <c r="B13" s="16"/>
      <c r="C13" s="16"/>
      <c r="D13" s="16"/>
      <c r="E13" s="16"/>
      <c r="F13" s="36"/>
      <c r="G13" s="36"/>
      <c r="H13" s="36"/>
      <c r="I13" s="36"/>
      <c r="J13" s="36"/>
      <c r="K13" s="36"/>
      <c r="L13" s="36"/>
      <c r="M13" s="36"/>
      <c r="N13" s="36"/>
    </row>
    <row r="14" spans="1:15" ht="24" customHeight="1" x14ac:dyDescent="0.15">
      <c r="A14" s="14" t="s">
        <v>50</v>
      </c>
      <c r="B14" s="14" t="s">
        <v>0</v>
      </c>
      <c r="C14" s="147" t="s">
        <v>5</v>
      </c>
      <c r="D14" s="148"/>
      <c r="E14" s="142">
        <v>206</v>
      </c>
      <c r="F14" s="143"/>
      <c r="G14" s="18" t="s">
        <v>7</v>
      </c>
      <c r="I14" s="147" t="s">
        <v>8</v>
      </c>
      <c r="J14" s="148"/>
      <c r="K14" s="142">
        <v>222</v>
      </c>
      <c r="L14" s="149"/>
      <c r="M14" s="143"/>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56</v>
      </c>
      <c r="B16" s="14" t="s">
        <v>66</v>
      </c>
      <c r="F16" s="20"/>
      <c r="G16" s="20"/>
      <c r="H16" s="20"/>
      <c r="I16" s="20"/>
      <c r="J16" s="20"/>
      <c r="K16" s="130">
        <v>56</v>
      </c>
      <c r="L16" s="131"/>
      <c r="M16" s="132"/>
      <c r="N16" s="19" t="s">
        <v>7</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22</v>
      </c>
      <c r="B18" s="14" t="s">
        <v>73</v>
      </c>
      <c r="E18" s="142">
        <v>80</v>
      </c>
      <c r="F18" s="143"/>
      <c r="G18" s="21" t="s">
        <v>195</v>
      </c>
      <c r="H18" s="20"/>
      <c r="K18" s="144"/>
      <c r="L18" s="144"/>
      <c r="M18" s="144"/>
      <c r="N18" s="144"/>
      <c r="O18" s="31" t="str">
        <f>IF(E18="","入力してください","")</f>
        <v/>
      </c>
    </row>
    <row r="19" spans="1:15" ht="7.5" customHeight="1" x14ac:dyDescent="0.15">
      <c r="E19" s="10"/>
      <c r="F19" s="20"/>
      <c r="G19" s="20"/>
      <c r="L19" s="121"/>
      <c r="M19" s="121"/>
      <c r="N19" s="22"/>
    </row>
    <row r="20" spans="1:15" ht="24" customHeight="1" x14ac:dyDescent="0.15">
      <c r="A20" s="14" t="s">
        <v>72</v>
      </c>
      <c r="B20" s="14" t="s">
        <v>74</v>
      </c>
      <c r="E20" s="10"/>
      <c r="F20" s="20"/>
      <c r="G20" s="20"/>
      <c r="H20" s="14" t="s">
        <v>49</v>
      </c>
      <c r="J20" s="133">
        <v>1115</v>
      </c>
      <c r="K20" s="134"/>
      <c r="L20" s="135"/>
      <c r="M20" s="121" t="s">
        <v>7</v>
      </c>
      <c r="N20" s="22"/>
      <c r="O20" s="31" t="str">
        <f>IF(J20="","入力してください","")</f>
        <v/>
      </c>
    </row>
    <row r="21" spans="1:15" ht="7.5" customHeight="1" x14ac:dyDescent="0.15">
      <c r="E21" s="10"/>
      <c r="F21" s="20"/>
      <c r="G21" s="20"/>
      <c r="L21" s="121"/>
      <c r="M21" s="121"/>
      <c r="N21" s="22"/>
    </row>
    <row r="22" spans="1:15" ht="24" customHeight="1" x14ac:dyDescent="0.15">
      <c r="B22" s="29" t="s">
        <v>17</v>
      </c>
      <c r="C22" s="142">
        <v>90</v>
      </c>
      <c r="D22" s="143"/>
      <c r="E22" s="10" t="s">
        <v>7</v>
      </c>
      <c r="F22" s="20"/>
      <c r="G22" s="136" t="s">
        <v>18</v>
      </c>
      <c r="H22" s="136"/>
      <c r="I22" s="142">
        <v>96</v>
      </c>
      <c r="J22" s="143"/>
      <c r="K22" s="17" t="s">
        <v>7</v>
      </c>
      <c r="M22" s="121"/>
      <c r="N22" s="22"/>
    </row>
    <row r="23" spans="1:15" ht="7.5" customHeight="1" x14ac:dyDescent="0.15">
      <c r="B23" s="29"/>
      <c r="C23" s="11"/>
      <c r="D23" s="11"/>
      <c r="E23" s="10"/>
      <c r="F23" s="20"/>
      <c r="G23" s="121"/>
      <c r="H23" s="121"/>
      <c r="I23" s="11"/>
      <c r="J23" s="11"/>
      <c r="K23" s="17"/>
      <c r="M23" s="121"/>
      <c r="N23" s="22"/>
    </row>
    <row r="24" spans="1:15" ht="24" customHeight="1" x14ac:dyDescent="0.15">
      <c r="B24" s="29" t="s">
        <v>19</v>
      </c>
      <c r="C24" s="142">
        <v>442</v>
      </c>
      <c r="D24" s="143"/>
      <c r="E24" s="10" t="s">
        <v>7</v>
      </c>
      <c r="F24" s="20"/>
      <c r="G24" s="136" t="s">
        <v>20</v>
      </c>
      <c r="H24" s="136"/>
      <c r="I24" s="142">
        <v>487</v>
      </c>
      <c r="J24" s="143"/>
      <c r="K24" s="17" t="s">
        <v>7</v>
      </c>
      <c r="M24" s="121"/>
      <c r="N24" s="22"/>
    </row>
    <row r="25" spans="1:15" ht="7.5" customHeight="1" x14ac:dyDescent="0.15">
      <c r="B25" s="29"/>
      <c r="C25" s="11"/>
      <c r="D25" s="11"/>
      <c r="E25" s="10"/>
      <c r="F25" s="20"/>
      <c r="G25" s="121"/>
      <c r="H25" s="121"/>
      <c r="I25" s="11"/>
      <c r="J25" s="11"/>
      <c r="K25" s="17"/>
      <c r="M25" s="121"/>
      <c r="N25" s="22"/>
    </row>
    <row r="26" spans="1:15" ht="24" customHeight="1" x14ac:dyDescent="0.15">
      <c r="B26" s="29" t="s">
        <v>44</v>
      </c>
      <c r="C26" s="142">
        <v>0</v>
      </c>
      <c r="D26" s="143"/>
      <c r="E26" s="10" t="s">
        <v>7</v>
      </c>
      <c r="F26" s="20"/>
      <c r="G26" s="136" t="s">
        <v>45</v>
      </c>
      <c r="H26" s="136"/>
      <c r="I26" s="142">
        <v>0</v>
      </c>
      <c r="J26" s="143"/>
      <c r="K26" s="17" t="s">
        <v>7</v>
      </c>
      <c r="M26" s="121"/>
      <c r="N26" s="22"/>
    </row>
    <row r="27" spans="1:15" ht="7.5" customHeight="1" x14ac:dyDescent="0.15">
      <c r="F27" s="20"/>
      <c r="G27" s="20"/>
      <c r="M27" s="23"/>
      <c r="N27" s="23"/>
    </row>
    <row r="28" spans="1:15" ht="24" customHeight="1" x14ac:dyDescent="0.15">
      <c r="A28" s="14" t="s">
        <v>48</v>
      </c>
      <c r="B28" s="15" t="s">
        <v>71</v>
      </c>
      <c r="C28" s="15"/>
      <c r="D28" s="15"/>
      <c r="E28" s="15"/>
      <c r="F28" s="17"/>
      <c r="G28" s="122"/>
      <c r="H28" s="122"/>
      <c r="I28" s="122"/>
      <c r="J28" s="24"/>
      <c r="K28" s="24"/>
      <c r="L28" s="24"/>
      <c r="M28" s="24"/>
      <c r="N28" s="24"/>
    </row>
    <row r="29" spans="1:15" s="14" customFormat="1" ht="24" customHeight="1" x14ac:dyDescent="0.15">
      <c r="B29" s="137" t="s">
        <v>70</v>
      </c>
      <c r="C29" s="137"/>
      <c r="D29" s="138" t="s">
        <v>150</v>
      </c>
      <c r="E29" s="139"/>
      <c r="F29" s="139"/>
      <c r="G29" s="140" t="s">
        <v>21</v>
      </c>
      <c r="H29" s="137"/>
      <c r="I29" s="141"/>
      <c r="J29" s="138" t="s">
        <v>151</v>
      </c>
      <c r="K29" s="139"/>
      <c r="L29" s="139"/>
      <c r="M29" s="139"/>
      <c r="N29" s="145"/>
      <c r="O29" s="31" t="str">
        <f>IF(OR(D29="",J29=""),"入力してください","")</f>
        <v/>
      </c>
    </row>
    <row r="30" spans="1:15" ht="7.5" customHeight="1" x14ac:dyDescent="0.15">
      <c r="F30" s="20"/>
      <c r="G30" s="20"/>
      <c r="M30" s="23"/>
      <c r="N30" s="23"/>
    </row>
    <row r="31" spans="1:15" ht="24" customHeight="1" x14ac:dyDescent="0.15">
      <c r="A31" s="14" t="s">
        <v>51</v>
      </c>
      <c r="B31" s="15" t="s">
        <v>76</v>
      </c>
      <c r="C31" s="15"/>
      <c r="D31" s="15"/>
      <c r="E31" s="15"/>
      <c r="F31" s="17"/>
      <c r="G31" s="24"/>
      <c r="H31" s="24"/>
      <c r="I31" s="24"/>
      <c r="J31" s="24"/>
      <c r="K31" s="24"/>
      <c r="L31" s="24"/>
      <c r="M31" s="24"/>
      <c r="N31" s="24"/>
    </row>
    <row r="32" spans="1:15" ht="24" customHeight="1" x14ac:dyDescent="0.15">
      <c r="B32" s="138" t="s">
        <v>196</v>
      </c>
      <c r="C32" s="139"/>
      <c r="D32" s="139"/>
      <c r="E32" s="139"/>
      <c r="F32" s="139"/>
      <c r="G32" s="139"/>
      <c r="H32" s="139"/>
      <c r="I32" s="139"/>
      <c r="J32" s="139"/>
      <c r="K32" s="139"/>
      <c r="L32" s="139"/>
      <c r="M32" s="139"/>
      <c r="N32" s="145"/>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7" t="s">
        <v>70</v>
      </c>
      <c r="C34" s="137"/>
      <c r="D34" s="138" t="s">
        <v>150</v>
      </c>
      <c r="E34" s="139"/>
      <c r="F34" s="139"/>
      <c r="G34" s="140" t="s">
        <v>21</v>
      </c>
      <c r="H34" s="137"/>
      <c r="I34" s="141"/>
      <c r="J34" s="138" t="s">
        <v>152</v>
      </c>
      <c r="K34" s="139"/>
      <c r="L34" s="139"/>
      <c r="M34" s="139"/>
      <c r="N34" s="145"/>
      <c r="O34" s="31" t="str">
        <f>IF(OR(D34="",J34=""),"入力してください","")</f>
        <v/>
      </c>
    </row>
    <row r="35" spans="1:15" ht="7.5" customHeight="1" x14ac:dyDescent="0.15">
      <c r="F35" s="122"/>
      <c r="G35" s="122"/>
      <c r="H35" s="122"/>
      <c r="I35" s="122"/>
      <c r="J35" s="122"/>
      <c r="K35" s="122"/>
      <c r="L35" s="122"/>
      <c r="M35" s="122"/>
      <c r="N35" s="122"/>
    </row>
    <row r="36" spans="1:15" ht="24" customHeight="1" x14ac:dyDescent="0.15">
      <c r="A36" s="14" t="s">
        <v>57</v>
      </c>
      <c r="B36" s="14" t="s">
        <v>77</v>
      </c>
      <c r="M36" s="23"/>
      <c r="N36" s="23"/>
    </row>
    <row r="37" spans="1:15" ht="24" customHeight="1" x14ac:dyDescent="0.15">
      <c r="B37" s="138" t="s">
        <v>201</v>
      </c>
      <c r="C37" s="139"/>
      <c r="D37" s="139"/>
      <c r="E37" s="139"/>
      <c r="F37" s="139"/>
      <c r="G37" s="139"/>
      <c r="H37" s="139"/>
      <c r="I37" s="139"/>
      <c r="J37" s="139"/>
      <c r="K37" s="139"/>
      <c r="L37" s="139"/>
      <c r="M37" s="139"/>
      <c r="N37" s="145"/>
      <c r="O37" s="31" t="str">
        <f>IF(B37="","入力してください","")</f>
        <v/>
      </c>
    </row>
    <row r="38" spans="1:15" ht="7.5" customHeight="1" x14ac:dyDescent="0.15">
      <c r="F38" s="122"/>
      <c r="G38" s="122"/>
      <c r="H38" s="122"/>
      <c r="I38" s="122"/>
      <c r="J38" s="122"/>
      <c r="K38" s="122"/>
      <c r="L38" s="122"/>
      <c r="M38" s="122"/>
      <c r="N38" s="122"/>
    </row>
    <row r="39" spans="1:15" s="14" customFormat="1" ht="24" customHeight="1" x14ac:dyDescent="0.15">
      <c r="B39" s="137" t="s">
        <v>70</v>
      </c>
      <c r="C39" s="137"/>
      <c r="D39" s="138" t="s">
        <v>153</v>
      </c>
      <c r="E39" s="139"/>
      <c r="F39" s="139"/>
      <c r="G39" s="140" t="s">
        <v>21</v>
      </c>
      <c r="H39" s="137"/>
      <c r="I39" s="141"/>
      <c r="J39" s="138" t="s">
        <v>154</v>
      </c>
      <c r="K39" s="139"/>
      <c r="L39" s="139"/>
      <c r="M39" s="139"/>
      <c r="N39" s="145"/>
      <c r="O39" s="31" t="str">
        <f>IF(OR(D39="",J39=""),"入力してください","")</f>
        <v/>
      </c>
    </row>
    <row r="40" spans="1:15" ht="7.5" customHeight="1" x14ac:dyDescent="0.15">
      <c r="F40" s="122"/>
      <c r="G40" s="122"/>
      <c r="H40" s="122"/>
      <c r="I40" s="122"/>
      <c r="J40" s="122"/>
      <c r="K40" s="122"/>
      <c r="L40" s="122"/>
      <c r="M40" s="122"/>
      <c r="N40" s="122"/>
    </row>
    <row r="41" spans="1:15" ht="24" customHeight="1" x14ac:dyDescent="0.15">
      <c r="A41" s="14" t="s">
        <v>84</v>
      </c>
      <c r="B41" s="72" t="s">
        <v>65</v>
      </c>
      <c r="E41" s="73"/>
      <c r="F41" s="138" t="s">
        <v>155</v>
      </c>
      <c r="G41" s="139"/>
      <c r="H41" s="139"/>
      <c r="I41" s="139"/>
      <c r="J41" s="139"/>
      <c r="K41" s="139"/>
      <c r="L41" s="139"/>
      <c r="M41" s="139"/>
      <c r="N41" s="145"/>
      <c r="O41" s="31" t="str">
        <f>IF(F41="","入力してください","")</f>
        <v/>
      </c>
    </row>
    <row r="42" spans="1:15" ht="7.5" customHeight="1" x14ac:dyDescent="0.15">
      <c r="F42" s="122"/>
      <c r="G42" s="122"/>
      <c r="H42" s="122"/>
      <c r="I42" s="122"/>
      <c r="J42" s="122"/>
      <c r="K42" s="122"/>
      <c r="L42" s="122"/>
      <c r="M42" s="122"/>
      <c r="N42" s="122"/>
    </row>
    <row r="43" spans="1:15" ht="24" customHeight="1" x14ac:dyDescent="0.15">
      <c r="A43" s="14" t="s">
        <v>94</v>
      </c>
    </row>
    <row r="44" spans="1:15" ht="24" customHeight="1" x14ac:dyDescent="0.15">
      <c r="B44" s="30" t="s">
        <v>1</v>
      </c>
      <c r="C44" s="159" t="s">
        <v>156</v>
      </c>
      <c r="D44" s="160"/>
      <c r="E44" s="160"/>
      <c r="F44" s="160"/>
      <c r="G44" s="160"/>
      <c r="H44" s="160"/>
      <c r="I44" s="26" t="s">
        <v>2</v>
      </c>
      <c r="J44" s="27"/>
      <c r="K44" s="138" t="s">
        <v>197</v>
      </c>
      <c r="L44" s="139"/>
      <c r="M44" s="139"/>
      <c r="N44" s="145"/>
      <c r="O44" s="31" t="str">
        <f>IF(OR(C44="",K44=""),"入力してください","")</f>
        <v/>
      </c>
    </row>
    <row r="45" spans="1:15" ht="24" customHeight="1" x14ac:dyDescent="0.15">
      <c r="B45" s="25" t="s">
        <v>4</v>
      </c>
      <c r="C45" s="153" t="s">
        <v>198</v>
      </c>
      <c r="D45" s="154"/>
      <c r="E45" s="154"/>
      <c r="F45" s="154"/>
      <c r="G45" s="154"/>
      <c r="H45" s="155"/>
      <c r="I45" s="26" t="s">
        <v>3</v>
      </c>
      <c r="J45" s="27"/>
      <c r="K45" s="156" t="s">
        <v>199</v>
      </c>
      <c r="L45" s="157"/>
      <c r="M45" s="157"/>
      <c r="N45" s="158"/>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Zeros="0" view="pageBreakPreview" zoomScale="75" zoomScaleNormal="75" zoomScaleSheetLayoutView="75" workbookViewId="0">
      <selection activeCell="B6" sqref="B6:Z11"/>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5" width="3.375" style="13" customWidth="1"/>
    <col min="26" max="26" width="40.625" style="13" customWidth="1"/>
    <col min="27" max="16384" width="9" style="13"/>
  </cols>
  <sheetData>
    <row r="1" spans="1:26" ht="15" customHeight="1" x14ac:dyDescent="0.15">
      <c r="W1" s="182" t="s">
        <v>220</v>
      </c>
      <c r="X1" s="182"/>
      <c r="Y1" s="182"/>
      <c r="Z1" s="182"/>
    </row>
    <row r="2" spans="1:26" ht="18" customHeight="1" x14ac:dyDescent="0.15">
      <c r="A2" s="223" t="s">
        <v>63</v>
      </c>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95</v>
      </c>
      <c r="B4" s="29"/>
      <c r="C4" s="29"/>
      <c r="D4" s="29"/>
      <c r="E4" s="29"/>
      <c r="F4" s="29"/>
      <c r="G4" s="29"/>
      <c r="H4" s="15" t="s">
        <v>108</v>
      </c>
      <c r="I4" s="29"/>
      <c r="J4" s="29"/>
      <c r="K4" s="29"/>
      <c r="L4" s="29"/>
      <c r="M4" s="29"/>
      <c r="N4" s="29"/>
      <c r="O4" s="130" t="s">
        <v>157</v>
      </c>
      <c r="P4" s="131"/>
      <c r="Q4" s="131"/>
      <c r="R4" s="131"/>
      <c r="S4" s="131"/>
      <c r="T4" s="131"/>
      <c r="U4" s="131"/>
      <c r="V4" s="131"/>
      <c r="W4" s="131"/>
      <c r="X4" s="131"/>
      <c r="Y4" s="131"/>
      <c r="Z4" s="13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4" t="s">
        <v>221</v>
      </c>
      <c r="C6" s="225"/>
      <c r="D6" s="225"/>
      <c r="E6" s="225"/>
      <c r="F6" s="225"/>
      <c r="G6" s="225"/>
      <c r="H6" s="225"/>
      <c r="I6" s="225"/>
      <c r="J6" s="225"/>
      <c r="K6" s="225"/>
      <c r="L6" s="225"/>
      <c r="M6" s="225"/>
      <c r="N6" s="225"/>
      <c r="O6" s="225"/>
      <c r="P6" s="225"/>
      <c r="Q6" s="225"/>
      <c r="R6" s="225"/>
      <c r="S6" s="225"/>
      <c r="T6" s="225"/>
      <c r="U6" s="225"/>
      <c r="V6" s="225"/>
      <c r="W6" s="225"/>
      <c r="X6" s="225"/>
      <c r="Y6" s="225"/>
      <c r="Z6" s="226"/>
    </row>
    <row r="7" spans="1:26" ht="18" customHeight="1" x14ac:dyDescent="0.15">
      <c r="B7" s="227"/>
      <c r="C7" s="228"/>
      <c r="D7" s="228"/>
      <c r="E7" s="228"/>
      <c r="F7" s="228"/>
      <c r="G7" s="228"/>
      <c r="H7" s="228"/>
      <c r="I7" s="228"/>
      <c r="J7" s="228"/>
      <c r="K7" s="228"/>
      <c r="L7" s="228"/>
      <c r="M7" s="228"/>
      <c r="N7" s="228"/>
      <c r="O7" s="228"/>
      <c r="P7" s="228"/>
      <c r="Q7" s="228"/>
      <c r="R7" s="228"/>
      <c r="S7" s="228"/>
      <c r="T7" s="228"/>
      <c r="U7" s="228"/>
      <c r="V7" s="228"/>
      <c r="W7" s="228"/>
      <c r="X7" s="228"/>
      <c r="Y7" s="228"/>
      <c r="Z7" s="229"/>
    </row>
    <row r="8" spans="1:26" ht="18" customHeight="1" x14ac:dyDescent="0.15">
      <c r="B8" s="227"/>
      <c r="C8" s="228"/>
      <c r="D8" s="228"/>
      <c r="E8" s="228"/>
      <c r="F8" s="228"/>
      <c r="G8" s="228"/>
      <c r="H8" s="228"/>
      <c r="I8" s="228"/>
      <c r="J8" s="228"/>
      <c r="K8" s="228"/>
      <c r="L8" s="228"/>
      <c r="M8" s="228"/>
      <c r="N8" s="228"/>
      <c r="O8" s="228"/>
      <c r="P8" s="228"/>
      <c r="Q8" s="228"/>
      <c r="R8" s="228"/>
      <c r="S8" s="228"/>
      <c r="T8" s="228"/>
      <c r="U8" s="228"/>
      <c r="V8" s="228"/>
      <c r="W8" s="228"/>
      <c r="X8" s="228"/>
      <c r="Y8" s="228"/>
      <c r="Z8" s="229"/>
    </row>
    <row r="9" spans="1:26" ht="18" customHeight="1" x14ac:dyDescent="0.15">
      <c r="B9" s="227"/>
      <c r="C9" s="228"/>
      <c r="D9" s="228"/>
      <c r="E9" s="228"/>
      <c r="F9" s="228"/>
      <c r="G9" s="228"/>
      <c r="H9" s="228"/>
      <c r="I9" s="228"/>
      <c r="J9" s="228"/>
      <c r="K9" s="228"/>
      <c r="L9" s="228"/>
      <c r="M9" s="228"/>
      <c r="N9" s="228"/>
      <c r="O9" s="228"/>
      <c r="P9" s="228"/>
      <c r="Q9" s="228"/>
      <c r="R9" s="228"/>
      <c r="S9" s="228"/>
      <c r="T9" s="228"/>
      <c r="U9" s="228"/>
      <c r="V9" s="228"/>
      <c r="W9" s="228"/>
      <c r="X9" s="228"/>
      <c r="Y9" s="228"/>
      <c r="Z9" s="229"/>
    </row>
    <row r="10" spans="1:26" ht="18" customHeight="1" x14ac:dyDescent="0.15">
      <c r="B10" s="227"/>
      <c r="C10" s="230"/>
      <c r="D10" s="230"/>
      <c r="E10" s="230"/>
      <c r="F10" s="230"/>
      <c r="G10" s="230"/>
      <c r="H10" s="230"/>
      <c r="I10" s="230"/>
      <c r="J10" s="230"/>
      <c r="K10" s="230"/>
      <c r="L10" s="230"/>
      <c r="M10" s="230"/>
      <c r="N10" s="230"/>
      <c r="O10" s="230"/>
      <c r="P10" s="230"/>
      <c r="Q10" s="230"/>
      <c r="R10" s="230"/>
      <c r="S10" s="230"/>
      <c r="T10" s="230"/>
      <c r="U10" s="230"/>
      <c r="V10" s="230"/>
      <c r="W10" s="230"/>
      <c r="X10" s="230"/>
      <c r="Y10" s="230"/>
      <c r="Z10" s="229"/>
    </row>
    <row r="11" spans="1:26" ht="61.5" customHeight="1" x14ac:dyDescent="0.15">
      <c r="B11" s="231"/>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3"/>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2" t="s">
        <v>121</v>
      </c>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x14ac:dyDescent="0.15">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x14ac:dyDescent="0.15">
      <c r="A15" s="14"/>
      <c r="B15" s="130" t="s">
        <v>96</v>
      </c>
      <c r="C15" s="131"/>
      <c r="D15" s="131"/>
      <c r="E15" s="131"/>
      <c r="F15" s="132"/>
      <c r="G15" s="30" t="s">
        <v>137</v>
      </c>
      <c r="H15" s="111" t="s">
        <v>136</v>
      </c>
      <c r="I15" s="131" t="s">
        <v>97</v>
      </c>
      <c r="J15" s="131"/>
      <c r="K15" s="131"/>
      <c r="L15" s="74" t="s">
        <v>100</v>
      </c>
      <c r="M15" s="74" t="s">
        <v>103</v>
      </c>
      <c r="N15" s="130" t="s">
        <v>96</v>
      </c>
      <c r="O15" s="131"/>
      <c r="P15" s="131"/>
      <c r="Q15" s="131"/>
      <c r="R15" s="131"/>
      <c r="S15" s="132"/>
      <c r="T15" s="30" t="s">
        <v>137</v>
      </c>
      <c r="U15" s="111" t="s">
        <v>136</v>
      </c>
      <c r="V15" s="131" t="s">
        <v>97</v>
      </c>
      <c r="W15" s="131"/>
      <c r="X15" s="131"/>
      <c r="Y15" s="74" t="s">
        <v>100</v>
      </c>
      <c r="Z15" s="74" t="s">
        <v>103</v>
      </c>
    </row>
    <row r="16" spans="1:26" ht="18" customHeight="1" x14ac:dyDescent="0.15">
      <c r="A16" s="14"/>
      <c r="B16" s="183" t="s">
        <v>158</v>
      </c>
      <c r="C16" s="184"/>
      <c r="D16" s="184"/>
      <c r="E16" s="184"/>
      <c r="F16" s="185"/>
      <c r="G16" s="112">
        <v>2</v>
      </c>
      <c r="H16" s="112" t="s">
        <v>159</v>
      </c>
      <c r="I16" s="189" t="s">
        <v>160</v>
      </c>
      <c r="J16" s="190"/>
      <c r="K16" s="191"/>
      <c r="L16" s="112" t="s">
        <v>159</v>
      </c>
      <c r="M16" s="112" t="s">
        <v>159</v>
      </c>
      <c r="N16" s="161"/>
      <c r="O16" s="162"/>
      <c r="P16" s="162"/>
      <c r="Q16" s="162"/>
      <c r="R16" s="162"/>
      <c r="S16" s="163"/>
      <c r="T16" s="112"/>
      <c r="U16" s="112"/>
      <c r="V16" s="189"/>
      <c r="W16" s="190"/>
      <c r="X16" s="191"/>
      <c r="Y16" s="112"/>
      <c r="Z16" s="112"/>
    </row>
    <row r="17" spans="1:26" ht="18" customHeight="1" x14ac:dyDescent="0.15">
      <c r="A17" s="14"/>
      <c r="B17" s="176"/>
      <c r="C17" s="177"/>
      <c r="D17" s="177"/>
      <c r="E17" s="177"/>
      <c r="F17" s="178"/>
      <c r="G17" s="113"/>
      <c r="H17" s="113"/>
      <c r="I17" s="170"/>
      <c r="J17" s="171"/>
      <c r="K17" s="172"/>
      <c r="L17" s="113"/>
      <c r="M17" s="113"/>
      <c r="N17" s="164"/>
      <c r="O17" s="165"/>
      <c r="P17" s="165"/>
      <c r="Q17" s="165"/>
      <c r="R17" s="165"/>
      <c r="S17" s="166"/>
      <c r="T17" s="113"/>
      <c r="U17" s="113"/>
      <c r="V17" s="170"/>
      <c r="W17" s="171"/>
      <c r="X17" s="172"/>
      <c r="Y17" s="113"/>
      <c r="Z17" s="113"/>
    </row>
    <row r="18" spans="1:26" ht="18" customHeight="1" x14ac:dyDescent="0.15">
      <c r="A18" s="14"/>
      <c r="B18" s="176"/>
      <c r="C18" s="177"/>
      <c r="D18" s="177"/>
      <c r="E18" s="177"/>
      <c r="F18" s="178"/>
      <c r="G18" s="113"/>
      <c r="H18" s="113"/>
      <c r="I18" s="170"/>
      <c r="J18" s="171"/>
      <c r="K18" s="172"/>
      <c r="L18" s="113"/>
      <c r="M18" s="113"/>
      <c r="N18" s="164"/>
      <c r="O18" s="165"/>
      <c r="P18" s="165"/>
      <c r="Q18" s="165"/>
      <c r="R18" s="165"/>
      <c r="S18" s="166"/>
      <c r="T18" s="113"/>
      <c r="U18" s="113"/>
      <c r="V18" s="170"/>
      <c r="W18" s="171"/>
      <c r="X18" s="172"/>
      <c r="Y18" s="113"/>
      <c r="Z18" s="113"/>
    </row>
    <row r="19" spans="1:26" ht="18" customHeight="1" x14ac:dyDescent="0.15">
      <c r="A19" s="14"/>
      <c r="B19" s="176"/>
      <c r="C19" s="177"/>
      <c r="D19" s="177"/>
      <c r="E19" s="177"/>
      <c r="F19" s="178"/>
      <c r="G19" s="113"/>
      <c r="H19" s="113"/>
      <c r="I19" s="170"/>
      <c r="J19" s="171"/>
      <c r="K19" s="172"/>
      <c r="L19" s="113"/>
      <c r="M19" s="113"/>
      <c r="N19" s="164"/>
      <c r="O19" s="165"/>
      <c r="P19" s="165"/>
      <c r="Q19" s="165"/>
      <c r="R19" s="165"/>
      <c r="S19" s="166"/>
      <c r="T19" s="113"/>
      <c r="U19" s="113"/>
      <c r="V19" s="170"/>
      <c r="W19" s="171"/>
      <c r="X19" s="172"/>
      <c r="Y19" s="113"/>
      <c r="Z19" s="113"/>
    </row>
    <row r="20" spans="1:26" ht="18" customHeight="1" x14ac:dyDescent="0.15">
      <c r="A20" s="14"/>
      <c r="B20" s="176"/>
      <c r="C20" s="177"/>
      <c r="D20" s="177"/>
      <c r="E20" s="177"/>
      <c r="F20" s="178"/>
      <c r="G20" s="113"/>
      <c r="H20" s="113"/>
      <c r="I20" s="170"/>
      <c r="J20" s="171"/>
      <c r="K20" s="172"/>
      <c r="L20" s="113"/>
      <c r="M20" s="113"/>
      <c r="N20" s="164"/>
      <c r="O20" s="165"/>
      <c r="P20" s="165"/>
      <c r="Q20" s="165"/>
      <c r="R20" s="165"/>
      <c r="S20" s="166"/>
      <c r="T20" s="113"/>
      <c r="U20" s="113"/>
      <c r="V20" s="170"/>
      <c r="W20" s="171"/>
      <c r="X20" s="172"/>
      <c r="Y20" s="113"/>
      <c r="Z20" s="113"/>
    </row>
    <row r="21" spans="1:26" ht="18" customHeight="1" x14ac:dyDescent="0.15">
      <c r="A21" s="29"/>
      <c r="B21" s="176"/>
      <c r="C21" s="177"/>
      <c r="D21" s="177"/>
      <c r="E21" s="177"/>
      <c r="F21" s="178"/>
      <c r="G21" s="113"/>
      <c r="H21" s="113"/>
      <c r="I21" s="170"/>
      <c r="J21" s="171"/>
      <c r="K21" s="172"/>
      <c r="L21" s="113"/>
      <c r="M21" s="113"/>
      <c r="N21" s="164"/>
      <c r="O21" s="165"/>
      <c r="P21" s="165"/>
      <c r="Q21" s="165"/>
      <c r="R21" s="165"/>
      <c r="S21" s="166"/>
      <c r="T21" s="113"/>
      <c r="U21" s="113"/>
      <c r="V21" s="170"/>
      <c r="W21" s="171"/>
      <c r="X21" s="172"/>
      <c r="Y21" s="113"/>
      <c r="Z21" s="113"/>
    </row>
    <row r="22" spans="1:26" ht="18" customHeight="1" x14ac:dyDescent="0.15">
      <c r="A22" s="29"/>
      <c r="B22" s="179"/>
      <c r="C22" s="180"/>
      <c r="D22" s="180"/>
      <c r="E22" s="180"/>
      <c r="F22" s="181"/>
      <c r="G22" s="114"/>
      <c r="H22" s="114"/>
      <c r="I22" s="173"/>
      <c r="J22" s="174"/>
      <c r="K22" s="175"/>
      <c r="L22" s="119"/>
      <c r="M22" s="119"/>
      <c r="N22" s="167"/>
      <c r="O22" s="168"/>
      <c r="P22" s="168"/>
      <c r="Q22" s="168"/>
      <c r="R22" s="168"/>
      <c r="S22" s="169"/>
      <c r="T22" s="114"/>
      <c r="U22" s="114"/>
      <c r="V22" s="173"/>
      <c r="W22" s="174"/>
      <c r="X22" s="175"/>
      <c r="Y22" s="119"/>
      <c r="Z22" s="119"/>
    </row>
    <row r="23" spans="1:26" ht="7.5" customHeight="1" x14ac:dyDescent="0.15">
      <c r="A23" s="29"/>
      <c r="B23" s="75"/>
      <c r="C23" s="75"/>
      <c r="D23" s="29"/>
      <c r="E23" s="29"/>
      <c r="F23" s="29"/>
      <c r="G23" s="29"/>
      <c r="H23" s="29"/>
      <c r="I23" s="29"/>
      <c r="J23" s="29"/>
      <c r="K23" s="29"/>
      <c r="L23" s="75"/>
      <c r="M23" s="75"/>
      <c r="N23" s="75"/>
      <c r="O23" s="75"/>
      <c r="P23" s="75"/>
      <c r="Q23" s="75"/>
      <c r="R23" s="75"/>
      <c r="S23" s="75"/>
      <c r="T23" s="75"/>
      <c r="U23" s="75"/>
      <c r="V23" s="75"/>
      <c r="W23" s="75"/>
      <c r="X23" s="75"/>
      <c r="Y23" s="75"/>
      <c r="Z23" s="29"/>
    </row>
    <row r="24" spans="1:26" ht="18" customHeight="1" x14ac:dyDescent="0.15">
      <c r="A24" s="222" t="s">
        <v>122</v>
      </c>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x14ac:dyDescent="0.15">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x14ac:dyDescent="0.15">
      <c r="A26" s="14"/>
      <c r="B26" s="130" t="s">
        <v>96</v>
      </c>
      <c r="C26" s="131"/>
      <c r="D26" s="131"/>
      <c r="E26" s="131"/>
      <c r="F26" s="132"/>
      <c r="G26" s="30" t="s">
        <v>137</v>
      </c>
      <c r="H26" s="111" t="s">
        <v>136</v>
      </c>
      <c r="I26" s="131" t="s">
        <v>97</v>
      </c>
      <c r="J26" s="131"/>
      <c r="K26" s="131"/>
      <c r="L26" s="74" t="s">
        <v>123</v>
      </c>
      <c r="M26" s="74" t="s">
        <v>124</v>
      </c>
      <c r="N26" s="130" t="s">
        <v>96</v>
      </c>
      <c r="O26" s="131"/>
      <c r="P26" s="131"/>
      <c r="Q26" s="131"/>
      <c r="R26" s="131"/>
      <c r="S26" s="132"/>
      <c r="T26" s="30" t="s">
        <v>137</v>
      </c>
      <c r="U26" s="111" t="s">
        <v>136</v>
      </c>
      <c r="V26" s="131" t="s">
        <v>97</v>
      </c>
      <c r="W26" s="131"/>
      <c r="X26" s="131"/>
      <c r="Y26" s="74" t="s">
        <v>123</v>
      </c>
      <c r="Z26" s="74" t="s">
        <v>124</v>
      </c>
    </row>
    <row r="27" spans="1:26" ht="18" customHeight="1" x14ac:dyDescent="0.15">
      <c r="A27" s="14"/>
      <c r="B27" s="183" t="s">
        <v>158</v>
      </c>
      <c r="C27" s="184"/>
      <c r="D27" s="184"/>
      <c r="E27" s="184"/>
      <c r="F27" s="185"/>
      <c r="G27" s="112">
        <v>2</v>
      </c>
      <c r="H27" s="112" t="s">
        <v>159</v>
      </c>
      <c r="I27" s="189" t="s">
        <v>160</v>
      </c>
      <c r="J27" s="190"/>
      <c r="K27" s="191"/>
      <c r="L27" s="112" t="s">
        <v>159</v>
      </c>
      <c r="M27" s="112" t="s">
        <v>159</v>
      </c>
      <c r="N27" s="161"/>
      <c r="O27" s="162"/>
      <c r="P27" s="162"/>
      <c r="Q27" s="162"/>
      <c r="R27" s="162"/>
      <c r="S27" s="163"/>
      <c r="T27" s="112"/>
      <c r="U27" s="112"/>
      <c r="V27" s="189"/>
      <c r="W27" s="190"/>
      <c r="X27" s="191"/>
      <c r="Y27" s="112"/>
      <c r="Z27" s="112"/>
    </row>
    <row r="28" spans="1:26" ht="18" customHeight="1" x14ac:dyDescent="0.15">
      <c r="A28" s="14"/>
      <c r="B28" s="176"/>
      <c r="C28" s="177"/>
      <c r="D28" s="177"/>
      <c r="E28" s="177"/>
      <c r="F28" s="178"/>
      <c r="G28" s="113"/>
      <c r="H28" s="113"/>
      <c r="I28" s="170"/>
      <c r="J28" s="171"/>
      <c r="K28" s="172"/>
      <c r="L28" s="113"/>
      <c r="M28" s="113"/>
      <c r="N28" s="164"/>
      <c r="O28" s="165"/>
      <c r="P28" s="165"/>
      <c r="Q28" s="165"/>
      <c r="R28" s="165"/>
      <c r="S28" s="166"/>
      <c r="T28" s="113"/>
      <c r="U28" s="113"/>
      <c r="V28" s="170"/>
      <c r="W28" s="171"/>
      <c r="X28" s="172"/>
      <c r="Y28" s="113"/>
      <c r="Z28" s="113"/>
    </row>
    <row r="29" spans="1:26" ht="18" customHeight="1" x14ac:dyDescent="0.15">
      <c r="A29" s="14"/>
      <c r="B29" s="176"/>
      <c r="C29" s="177"/>
      <c r="D29" s="177"/>
      <c r="E29" s="177"/>
      <c r="F29" s="178"/>
      <c r="G29" s="113"/>
      <c r="H29" s="113"/>
      <c r="I29" s="170"/>
      <c r="J29" s="171"/>
      <c r="K29" s="172"/>
      <c r="L29" s="113"/>
      <c r="M29" s="113"/>
      <c r="N29" s="164"/>
      <c r="O29" s="165"/>
      <c r="P29" s="165"/>
      <c r="Q29" s="165"/>
      <c r="R29" s="165"/>
      <c r="S29" s="166"/>
      <c r="T29" s="113"/>
      <c r="U29" s="113"/>
      <c r="V29" s="170"/>
      <c r="W29" s="171"/>
      <c r="X29" s="172"/>
      <c r="Y29" s="113"/>
      <c r="Z29" s="113"/>
    </row>
    <row r="30" spans="1:26" ht="18" customHeight="1" x14ac:dyDescent="0.15">
      <c r="A30" s="14"/>
      <c r="B30" s="176"/>
      <c r="C30" s="177"/>
      <c r="D30" s="177"/>
      <c r="E30" s="177"/>
      <c r="F30" s="178"/>
      <c r="G30" s="113"/>
      <c r="H30" s="113"/>
      <c r="I30" s="170"/>
      <c r="J30" s="171"/>
      <c r="K30" s="172"/>
      <c r="L30" s="113"/>
      <c r="M30" s="113"/>
      <c r="N30" s="164"/>
      <c r="O30" s="165"/>
      <c r="P30" s="165"/>
      <c r="Q30" s="165"/>
      <c r="R30" s="165"/>
      <c r="S30" s="166"/>
      <c r="T30" s="113"/>
      <c r="U30" s="113"/>
      <c r="V30" s="170"/>
      <c r="W30" s="171"/>
      <c r="X30" s="172"/>
      <c r="Y30" s="113"/>
      <c r="Z30" s="113"/>
    </row>
    <row r="31" spans="1:26" ht="18" customHeight="1" x14ac:dyDescent="0.15">
      <c r="A31" s="14"/>
      <c r="B31" s="176"/>
      <c r="C31" s="177"/>
      <c r="D31" s="177"/>
      <c r="E31" s="177"/>
      <c r="F31" s="178"/>
      <c r="G31" s="113"/>
      <c r="H31" s="113"/>
      <c r="I31" s="170"/>
      <c r="J31" s="171"/>
      <c r="K31" s="172"/>
      <c r="L31" s="113"/>
      <c r="M31" s="113"/>
      <c r="N31" s="164"/>
      <c r="O31" s="165"/>
      <c r="P31" s="165"/>
      <c r="Q31" s="165"/>
      <c r="R31" s="165"/>
      <c r="S31" s="166"/>
      <c r="T31" s="113"/>
      <c r="U31" s="113"/>
      <c r="V31" s="170"/>
      <c r="W31" s="171"/>
      <c r="X31" s="172"/>
      <c r="Y31" s="113"/>
      <c r="Z31" s="113"/>
    </row>
    <row r="32" spans="1:26" ht="18" customHeight="1" x14ac:dyDescent="0.15">
      <c r="A32" s="14"/>
      <c r="B32" s="176"/>
      <c r="C32" s="177"/>
      <c r="D32" s="177"/>
      <c r="E32" s="177"/>
      <c r="F32" s="178"/>
      <c r="G32" s="113"/>
      <c r="H32" s="113"/>
      <c r="I32" s="170"/>
      <c r="J32" s="171"/>
      <c r="K32" s="172"/>
      <c r="L32" s="113"/>
      <c r="M32" s="113"/>
      <c r="N32" s="164"/>
      <c r="O32" s="165"/>
      <c r="P32" s="165"/>
      <c r="Q32" s="165"/>
      <c r="R32" s="165"/>
      <c r="S32" s="166"/>
      <c r="T32" s="113"/>
      <c r="U32" s="113"/>
      <c r="V32" s="170"/>
      <c r="W32" s="171"/>
      <c r="X32" s="172"/>
      <c r="Y32" s="113"/>
      <c r="Z32" s="113"/>
    </row>
    <row r="33" spans="1:26" ht="18" customHeight="1" x14ac:dyDescent="0.15">
      <c r="A33" s="14"/>
      <c r="B33" s="179"/>
      <c r="C33" s="180"/>
      <c r="D33" s="180"/>
      <c r="E33" s="180"/>
      <c r="F33" s="181"/>
      <c r="G33" s="114"/>
      <c r="H33" s="114"/>
      <c r="I33" s="173"/>
      <c r="J33" s="174"/>
      <c r="K33" s="175"/>
      <c r="L33" s="119"/>
      <c r="M33" s="119"/>
      <c r="N33" s="167"/>
      <c r="O33" s="168"/>
      <c r="P33" s="168"/>
      <c r="Q33" s="168"/>
      <c r="R33" s="168"/>
      <c r="S33" s="169"/>
      <c r="T33" s="114"/>
      <c r="U33" s="114"/>
      <c r="V33" s="173"/>
      <c r="W33" s="174"/>
      <c r="X33" s="175"/>
      <c r="Y33" s="119"/>
      <c r="Z33" s="119"/>
    </row>
    <row r="34" spans="1:26" ht="7.5" customHeight="1" x14ac:dyDescent="0.15">
      <c r="A34" s="29"/>
      <c r="B34" s="75"/>
      <c r="C34" s="75"/>
      <c r="D34" s="29"/>
      <c r="E34" s="29"/>
      <c r="F34" s="29"/>
      <c r="G34" s="29"/>
      <c r="H34" s="29"/>
      <c r="I34" s="29"/>
      <c r="J34" s="29"/>
      <c r="K34" s="29"/>
      <c r="L34" s="75"/>
      <c r="M34" s="75"/>
      <c r="N34" s="75"/>
      <c r="O34" s="75"/>
      <c r="P34" s="75"/>
      <c r="Q34" s="75"/>
      <c r="R34" s="75"/>
      <c r="S34" s="75"/>
      <c r="T34" s="75"/>
      <c r="U34" s="75"/>
      <c r="V34" s="75"/>
      <c r="W34" s="75"/>
      <c r="X34" s="75"/>
      <c r="Y34" s="75"/>
      <c r="Z34" s="29"/>
    </row>
    <row r="35" spans="1:26" ht="18" customHeight="1" x14ac:dyDescent="0.15">
      <c r="A35" s="222" t="s">
        <v>125</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x14ac:dyDescent="0.15">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x14ac:dyDescent="0.15">
      <c r="A37" s="14"/>
      <c r="B37" s="130" t="s">
        <v>96</v>
      </c>
      <c r="C37" s="131"/>
      <c r="D37" s="131"/>
      <c r="E37" s="131"/>
      <c r="F37" s="132"/>
      <c r="G37" s="30" t="s">
        <v>137</v>
      </c>
      <c r="H37" s="111" t="s">
        <v>136</v>
      </c>
      <c r="I37" s="130" t="s">
        <v>97</v>
      </c>
      <c r="J37" s="131"/>
      <c r="K37" s="132"/>
      <c r="L37" s="74" t="s">
        <v>126</v>
      </c>
      <c r="M37" s="74" t="s">
        <v>127</v>
      </c>
      <c r="N37" s="130" t="s">
        <v>96</v>
      </c>
      <c r="O37" s="131"/>
      <c r="P37" s="131"/>
      <c r="Q37" s="131"/>
      <c r="R37" s="131"/>
      <c r="S37" s="132"/>
      <c r="T37" s="30" t="s">
        <v>137</v>
      </c>
      <c r="U37" s="111" t="s">
        <v>136</v>
      </c>
      <c r="V37" s="130" t="s">
        <v>97</v>
      </c>
      <c r="W37" s="131"/>
      <c r="X37" s="132"/>
      <c r="Y37" s="74" t="s">
        <v>126</v>
      </c>
      <c r="Z37" s="74" t="s">
        <v>127</v>
      </c>
    </row>
    <row r="38" spans="1:26" ht="18" customHeight="1" x14ac:dyDescent="0.15">
      <c r="A38" s="29"/>
      <c r="B38" s="183" t="s">
        <v>158</v>
      </c>
      <c r="C38" s="184"/>
      <c r="D38" s="184"/>
      <c r="E38" s="184"/>
      <c r="F38" s="185"/>
      <c r="G38" s="112">
        <v>2</v>
      </c>
      <c r="H38" s="112" t="s">
        <v>159</v>
      </c>
      <c r="I38" s="189" t="s">
        <v>160</v>
      </c>
      <c r="J38" s="190"/>
      <c r="K38" s="191"/>
      <c r="L38" s="112" t="s">
        <v>159</v>
      </c>
      <c r="M38" s="112" t="s">
        <v>159</v>
      </c>
      <c r="N38" s="161"/>
      <c r="O38" s="162"/>
      <c r="P38" s="162"/>
      <c r="Q38" s="162"/>
      <c r="R38" s="162"/>
      <c r="S38" s="163"/>
      <c r="T38" s="112"/>
      <c r="U38" s="112"/>
      <c r="V38" s="189"/>
      <c r="W38" s="190"/>
      <c r="X38" s="191"/>
      <c r="Y38" s="112"/>
      <c r="Z38" s="112"/>
    </row>
    <row r="39" spans="1:26" ht="18" customHeight="1" x14ac:dyDescent="0.15">
      <c r="A39" s="29"/>
      <c r="B39" s="176"/>
      <c r="C39" s="177"/>
      <c r="D39" s="177"/>
      <c r="E39" s="177"/>
      <c r="F39" s="178"/>
      <c r="G39" s="113"/>
      <c r="H39" s="113"/>
      <c r="I39" s="170"/>
      <c r="J39" s="171"/>
      <c r="K39" s="172"/>
      <c r="L39" s="113"/>
      <c r="M39" s="113"/>
      <c r="N39" s="164"/>
      <c r="O39" s="165"/>
      <c r="P39" s="165"/>
      <c r="Q39" s="165"/>
      <c r="R39" s="165"/>
      <c r="S39" s="166"/>
      <c r="T39" s="113"/>
      <c r="U39" s="113"/>
      <c r="V39" s="170"/>
      <c r="W39" s="171"/>
      <c r="X39" s="172"/>
      <c r="Y39" s="113"/>
      <c r="Z39" s="113"/>
    </row>
    <row r="40" spans="1:26" ht="18" customHeight="1" x14ac:dyDescent="0.15">
      <c r="A40" s="29"/>
      <c r="B40" s="176"/>
      <c r="C40" s="177"/>
      <c r="D40" s="177"/>
      <c r="E40" s="177"/>
      <c r="F40" s="178"/>
      <c r="G40" s="113"/>
      <c r="H40" s="113"/>
      <c r="I40" s="170"/>
      <c r="J40" s="171"/>
      <c r="K40" s="172"/>
      <c r="L40" s="113"/>
      <c r="M40" s="113"/>
      <c r="N40" s="164"/>
      <c r="O40" s="165"/>
      <c r="P40" s="165"/>
      <c r="Q40" s="165"/>
      <c r="R40" s="165"/>
      <c r="S40" s="166"/>
      <c r="T40" s="113"/>
      <c r="U40" s="113"/>
      <c r="V40" s="170"/>
      <c r="W40" s="171"/>
      <c r="X40" s="172"/>
      <c r="Y40" s="113"/>
      <c r="Z40" s="113"/>
    </row>
    <row r="41" spans="1:26" ht="18" customHeight="1" x14ac:dyDescent="0.15">
      <c r="A41" s="29"/>
      <c r="B41" s="176"/>
      <c r="C41" s="177"/>
      <c r="D41" s="177"/>
      <c r="E41" s="177"/>
      <c r="F41" s="178"/>
      <c r="G41" s="113"/>
      <c r="H41" s="113"/>
      <c r="I41" s="170"/>
      <c r="J41" s="171"/>
      <c r="K41" s="172"/>
      <c r="L41" s="113"/>
      <c r="M41" s="113"/>
      <c r="N41" s="164"/>
      <c r="O41" s="165"/>
      <c r="P41" s="165"/>
      <c r="Q41" s="165"/>
      <c r="R41" s="165"/>
      <c r="S41" s="166"/>
      <c r="T41" s="113"/>
      <c r="U41" s="113"/>
      <c r="V41" s="170"/>
      <c r="W41" s="171"/>
      <c r="X41" s="172"/>
      <c r="Y41" s="113"/>
      <c r="Z41" s="113"/>
    </row>
    <row r="42" spans="1:26" ht="18" customHeight="1" x14ac:dyDescent="0.15">
      <c r="A42" s="29"/>
      <c r="B42" s="176"/>
      <c r="C42" s="177"/>
      <c r="D42" s="177"/>
      <c r="E42" s="177"/>
      <c r="F42" s="178"/>
      <c r="G42" s="113"/>
      <c r="H42" s="113"/>
      <c r="I42" s="170"/>
      <c r="J42" s="171"/>
      <c r="K42" s="172"/>
      <c r="L42" s="113"/>
      <c r="M42" s="113"/>
      <c r="N42" s="164"/>
      <c r="O42" s="165"/>
      <c r="P42" s="165"/>
      <c r="Q42" s="165"/>
      <c r="R42" s="165"/>
      <c r="S42" s="166"/>
      <c r="T42" s="113"/>
      <c r="U42" s="113"/>
      <c r="V42" s="170"/>
      <c r="W42" s="171"/>
      <c r="X42" s="172"/>
      <c r="Y42" s="113"/>
      <c r="Z42" s="113"/>
    </row>
    <row r="43" spans="1:26" ht="18" customHeight="1" x14ac:dyDescent="0.15">
      <c r="A43" s="29"/>
      <c r="B43" s="176"/>
      <c r="C43" s="177"/>
      <c r="D43" s="177"/>
      <c r="E43" s="177"/>
      <c r="F43" s="178"/>
      <c r="G43" s="113"/>
      <c r="H43" s="113"/>
      <c r="I43" s="170"/>
      <c r="J43" s="171"/>
      <c r="K43" s="172"/>
      <c r="L43" s="113"/>
      <c r="M43" s="113"/>
      <c r="N43" s="164"/>
      <c r="O43" s="165"/>
      <c r="P43" s="165"/>
      <c r="Q43" s="165"/>
      <c r="R43" s="165"/>
      <c r="S43" s="166"/>
      <c r="T43" s="113"/>
      <c r="U43" s="113"/>
      <c r="V43" s="170"/>
      <c r="W43" s="171"/>
      <c r="X43" s="172"/>
      <c r="Y43" s="113"/>
      <c r="Z43" s="113"/>
    </row>
    <row r="44" spans="1:26" ht="18" customHeight="1" x14ac:dyDescent="0.15">
      <c r="A44" s="29"/>
      <c r="B44" s="179"/>
      <c r="C44" s="180"/>
      <c r="D44" s="180"/>
      <c r="E44" s="180"/>
      <c r="F44" s="181"/>
      <c r="G44" s="114"/>
      <c r="H44" s="114"/>
      <c r="I44" s="173"/>
      <c r="J44" s="174"/>
      <c r="K44" s="175"/>
      <c r="L44" s="119"/>
      <c r="M44" s="119"/>
      <c r="N44" s="167"/>
      <c r="O44" s="168"/>
      <c r="P44" s="168"/>
      <c r="Q44" s="168"/>
      <c r="R44" s="168"/>
      <c r="S44" s="169"/>
      <c r="T44" s="114"/>
      <c r="U44" s="114"/>
      <c r="V44" s="173"/>
      <c r="W44" s="174"/>
      <c r="X44" s="175"/>
      <c r="Y44" s="119"/>
      <c r="Z44" s="119"/>
    </row>
    <row r="45" spans="1:26" ht="7.5" customHeight="1" x14ac:dyDescent="0.15">
      <c r="B45" s="76"/>
      <c r="C45" s="76"/>
      <c r="D45" s="76"/>
      <c r="E45" s="76"/>
      <c r="F45" s="76"/>
      <c r="G45" s="76"/>
      <c r="H45" s="76"/>
      <c r="I45" s="76"/>
      <c r="J45" s="76"/>
      <c r="K45" s="76"/>
      <c r="L45" s="76"/>
      <c r="M45" s="76"/>
      <c r="N45" s="76"/>
      <c r="O45" s="76"/>
      <c r="P45" s="76"/>
      <c r="Q45" s="76"/>
      <c r="R45" s="76"/>
      <c r="S45" s="76"/>
      <c r="T45" s="76"/>
      <c r="U45" s="76"/>
      <c r="V45" s="76"/>
      <c r="W45" s="76"/>
      <c r="X45" s="76"/>
      <c r="Y45" s="76"/>
    </row>
    <row r="46" spans="1:26" ht="18" customHeight="1" x14ac:dyDescent="0.15">
      <c r="A46" s="222" t="s">
        <v>128</v>
      </c>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x14ac:dyDescent="0.15">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x14ac:dyDescent="0.15">
      <c r="A48" s="14"/>
      <c r="B48" s="130" t="s">
        <v>96</v>
      </c>
      <c r="C48" s="131"/>
      <c r="D48" s="131"/>
      <c r="E48" s="131"/>
      <c r="F48" s="132"/>
      <c r="G48" s="30" t="s">
        <v>137</v>
      </c>
      <c r="H48" s="111" t="s">
        <v>136</v>
      </c>
      <c r="I48" s="130" t="s">
        <v>97</v>
      </c>
      <c r="J48" s="131"/>
      <c r="K48" s="132"/>
      <c r="L48" s="74" t="s">
        <v>102</v>
      </c>
      <c r="M48" s="74" t="s">
        <v>104</v>
      </c>
      <c r="N48" s="130" t="s">
        <v>96</v>
      </c>
      <c r="O48" s="131"/>
      <c r="P48" s="131"/>
      <c r="Q48" s="131"/>
      <c r="R48" s="131"/>
      <c r="S48" s="132"/>
      <c r="T48" s="30" t="s">
        <v>137</v>
      </c>
      <c r="U48" s="111" t="s">
        <v>136</v>
      </c>
      <c r="V48" s="130" t="s">
        <v>97</v>
      </c>
      <c r="W48" s="131"/>
      <c r="X48" s="132"/>
      <c r="Y48" s="74" t="s">
        <v>102</v>
      </c>
      <c r="Z48" s="74" t="s">
        <v>104</v>
      </c>
    </row>
    <row r="49" spans="1:26" ht="18" customHeight="1" x14ac:dyDescent="0.15">
      <c r="A49" s="29"/>
      <c r="B49" s="183" t="s">
        <v>158</v>
      </c>
      <c r="C49" s="184"/>
      <c r="D49" s="184"/>
      <c r="E49" s="184"/>
      <c r="F49" s="185"/>
      <c r="G49" s="112">
        <v>2</v>
      </c>
      <c r="H49" s="112" t="s">
        <v>159</v>
      </c>
      <c r="I49" s="189" t="s">
        <v>160</v>
      </c>
      <c r="J49" s="190"/>
      <c r="K49" s="191"/>
      <c r="L49" s="112" t="s">
        <v>159</v>
      </c>
      <c r="M49" s="112" t="s">
        <v>159</v>
      </c>
      <c r="N49" s="161"/>
      <c r="O49" s="162"/>
      <c r="P49" s="162"/>
      <c r="Q49" s="162"/>
      <c r="R49" s="162"/>
      <c r="S49" s="163"/>
      <c r="T49" s="112"/>
      <c r="U49" s="112"/>
      <c r="V49" s="189"/>
      <c r="W49" s="190"/>
      <c r="X49" s="191"/>
      <c r="Y49" s="112"/>
      <c r="Z49" s="112"/>
    </row>
    <row r="50" spans="1:26" ht="18" customHeight="1" x14ac:dyDescent="0.15">
      <c r="A50" s="29"/>
      <c r="B50" s="176"/>
      <c r="C50" s="177"/>
      <c r="D50" s="177"/>
      <c r="E50" s="177"/>
      <c r="F50" s="178"/>
      <c r="G50" s="113"/>
      <c r="H50" s="113"/>
      <c r="I50" s="170"/>
      <c r="J50" s="171"/>
      <c r="K50" s="172"/>
      <c r="L50" s="113"/>
      <c r="M50" s="113"/>
      <c r="N50" s="164"/>
      <c r="O50" s="165"/>
      <c r="P50" s="165"/>
      <c r="Q50" s="165"/>
      <c r="R50" s="165"/>
      <c r="S50" s="166"/>
      <c r="T50" s="113"/>
      <c r="U50" s="113"/>
      <c r="V50" s="170"/>
      <c r="W50" s="171"/>
      <c r="X50" s="172"/>
      <c r="Y50" s="113"/>
      <c r="Z50" s="113"/>
    </row>
    <row r="51" spans="1:26" ht="18" customHeight="1" x14ac:dyDescent="0.15">
      <c r="A51" s="29"/>
      <c r="B51" s="176"/>
      <c r="C51" s="177"/>
      <c r="D51" s="177"/>
      <c r="E51" s="177"/>
      <c r="F51" s="178"/>
      <c r="G51" s="113"/>
      <c r="H51" s="113"/>
      <c r="I51" s="170"/>
      <c r="J51" s="171"/>
      <c r="K51" s="172"/>
      <c r="L51" s="113"/>
      <c r="M51" s="113"/>
      <c r="N51" s="164"/>
      <c r="O51" s="165"/>
      <c r="P51" s="165"/>
      <c r="Q51" s="165"/>
      <c r="R51" s="165"/>
      <c r="S51" s="166"/>
      <c r="T51" s="113"/>
      <c r="U51" s="113"/>
      <c r="V51" s="170"/>
      <c r="W51" s="171"/>
      <c r="X51" s="172"/>
      <c r="Y51" s="113"/>
      <c r="Z51" s="113"/>
    </row>
    <row r="52" spans="1:26" ht="18" customHeight="1" x14ac:dyDescent="0.15">
      <c r="A52" s="29"/>
      <c r="B52" s="176"/>
      <c r="C52" s="177"/>
      <c r="D52" s="177"/>
      <c r="E52" s="177"/>
      <c r="F52" s="178"/>
      <c r="G52" s="113"/>
      <c r="H52" s="113"/>
      <c r="I52" s="170"/>
      <c r="J52" s="171"/>
      <c r="K52" s="172"/>
      <c r="L52" s="113"/>
      <c r="M52" s="113"/>
      <c r="N52" s="164"/>
      <c r="O52" s="165"/>
      <c r="P52" s="165"/>
      <c r="Q52" s="165"/>
      <c r="R52" s="165"/>
      <c r="S52" s="166"/>
      <c r="T52" s="113"/>
      <c r="U52" s="113"/>
      <c r="V52" s="170"/>
      <c r="W52" s="171"/>
      <c r="X52" s="172"/>
      <c r="Y52" s="113"/>
      <c r="Z52" s="113"/>
    </row>
    <row r="53" spans="1:26" ht="18" customHeight="1" x14ac:dyDescent="0.15">
      <c r="A53" s="29"/>
      <c r="B53" s="176"/>
      <c r="C53" s="177"/>
      <c r="D53" s="177"/>
      <c r="E53" s="177"/>
      <c r="F53" s="178"/>
      <c r="G53" s="113"/>
      <c r="H53" s="113"/>
      <c r="I53" s="170"/>
      <c r="J53" s="171"/>
      <c r="K53" s="172"/>
      <c r="L53" s="113"/>
      <c r="M53" s="113"/>
      <c r="N53" s="164"/>
      <c r="O53" s="165"/>
      <c r="P53" s="165"/>
      <c r="Q53" s="165"/>
      <c r="R53" s="165"/>
      <c r="S53" s="166"/>
      <c r="T53" s="113"/>
      <c r="U53" s="113"/>
      <c r="V53" s="170"/>
      <c r="W53" s="171"/>
      <c r="X53" s="172"/>
      <c r="Y53" s="113"/>
      <c r="Z53" s="113"/>
    </row>
    <row r="54" spans="1:26" ht="18" customHeight="1" x14ac:dyDescent="0.15">
      <c r="A54" s="29"/>
      <c r="B54" s="176"/>
      <c r="C54" s="177"/>
      <c r="D54" s="177"/>
      <c r="E54" s="177"/>
      <c r="F54" s="178"/>
      <c r="G54" s="113"/>
      <c r="H54" s="113"/>
      <c r="I54" s="170"/>
      <c r="J54" s="171"/>
      <c r="K54" s="172"/>
      <c r="L54" s="113"/>
      <c r="M54" s="113"/>
      <c r="N54" s="164"/>
      <c r="O54" s="165"/>
      <c r="P54" s="165"/>
      <c r="Q54" s="165"/>
      <c r="R54" s="165"/>
      <c r="S54" s="166"/>
      <c r="T54" s="113"/>
      <c r="U54" s="113"/>
      <c r="V54" s="170"/>
      <c r="W54" s="171"/>
      <c r="X54" s="172"/>
      <c r="Y54" s="113"/>
      <c r="Z54" s="113"/>
    </row>
    <row r="55" spans="1:26" ht="18" customHeight="1" x14ac:dyDescent="0.15">
      <c r="A55" s="29"/>
      <c r="B55" s="179"/>
      <c r="C55" s="180"/>
      <c r="D55" s="180"/>
      <c r="E55" s="180"/>
      <c r="F55" s="181"/>
      <c r="G55" s="114"/>
      <c r="H55" s="114"/>
      <c r="I55" s="173"/>
      <c r="J55" s="174"/>
      <c r="K55" s="175"/>
      <c r="L55" s="119"/>
      <c r="M55" s="119"/>
      <c r="N55" s="167"/>
      <c r="O55" s="168"/>
      <c r="P55" s="168"/>
      <c r="Q55" s="168"/>
      <c r="R55" s="168"/>
      <c r="S55" s="169"/>
      <c r="T55" s="114"/>
      <c r="U55" s="114"/>
      <c r="V55" s="173"/>
      <c r="W55" s="174"/>
      <c r="X55" s="175"/>
      <c r="Y55" s="119"/>
      <c r="Z55" s="119"/>
    </row>
    <row r="56" spans="1:26" ht="7.5" customHeight="1" x14ac:dyDescent="0.15">
      <c r="B56" s="76"/>
      <c r="C56" s="76"/>
      <c r="D56" s="76"/>
      <c r="E56" s="76"/>
      <c r="F56" s="76"/>
      <c r="G56" s="76"/>
      <c r="H56" s="76"/>
      <c r="I56" s="76"/>
      <c r="J56" s="76"/>
      <c r="K56" s="76"/>
      <c r="L56" s="76"/>
      <c r="M56" s="76"/>
      <c r="N56" s="76"/>
      <c r="O56" s="76"/>
      <c r="P56" s="76"/>
      <c r="Q56" s="76"/>
      <c r="R56" s="76"/>
      <c r="S56" s="76"/>
      <c r="T56" s="76"/>
      <c r="U56" s="76"/>
      <c r="V56" s="76"/>
      <c r="W56" s="76"/>
      <c r="X56" s="76"/>
      <c r="Y56" s="76"/>
    </row>
    <row r="57" spans="1:26" ht="18" customHeight="1" x14ac:dyDescent="0.15">
      <c r="A57" s="222" t="s">
        <v>129</v>
      </c>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x14ac:dyDescent="0.15">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x14ac:dyDescent="0.15">
      <c r="A59" s="14"/>
      <c r="B59" s="130" t="s">
        <v>96</v>
      </c>
      <c r="C59" s="131"/>
      <c r="D59" s="131"/>
      <c r="E59" s="132"/>
      <c r="F59" s="30" t="s">
        <v>137</v>
      </c>
      <c r="G59" s="111" t="s">
        <v>136</v>
      </c>
      <c r="H59" s="106" t="s">
        <v>97</v>
      </c>
      <c r="I59" s="107"/>
      <c r="J59" s="108"/>
      <c r="K59" s="74" t="s">
        <v>101</v>
      </c>
      <c r="L59" s="74" t="s">
        <v>130</v>
      </c>
      <c r="M59" s="74" t="s">
        <v>131</v>
      </c>
      <c r="N59" s="130" t="s">
        <v>96</v>
      </c>
      <c r="O59" s="131"/>
      <c r="P59" s="131"/>
      <c r="Q59" s="131"/>
      <c r="R59" s="132"/>
      <c r="S59" s="30" t="s">
        <v>137</v>
      </c>
      <c r="T59" s="111" t="s">
        <v>136</v>
      </c>
      <c r="U59" s="106" t="s">
        <v>97</v>
      </c>
      <c r="V59" s="107"/>
      <c r="W59" s="108"/>
      <c r="X59" s="74" t="s">
        <v>101</v>
      </c>
      <c r="Y59" s="74" t="s">
        <v>130</v>
      </c>
      <c r="Z59" s="74" t="s">
        <v>131</v>
      </c>
    </row>
    <row r="60" spans="1:26" ht="18" customHeight="1" x14ac:dyDescent="0.15">
      <c r="A60" s="29"/>
      <c r="B60" s="161" t="s">
        <v>161</v>
      </c>
      <c r="C60" s="162"/>
      <c r="D60" s="162"/>
      <c r="E60" s="163"/>
      <c r="F60" s="112">
        <v>2</v>
      </c>
      <c r="G60" s="112" t="s">
        <v>159</v>
      </c>
      <c r="H60" s="189" t="s">
        <v>167</v>
      </c>
      <c r="I60" s="190"/>
      <c r="J60" s="191"/>
      <c r="K60" s="118" t="s">
        <v>165</v>
      </c>
      <c r="L60" s="120" t="s">
        <v>165</v>
      </c>
      <c r="M60" s="120" t="s">
        <v>165</v>
      </c>
      <c r="N60" s="161"/>
      <c r="O60" s="162"/>
      <c r="P60" s="162"/>
      <c r="Q60" s="162"/>
      <c r="R60" s="163"/>
      <c r="S60" s="112"/>
      <c r="T60" s="112"/>
      <c r="U60" s="189"/>
      <c r="V60" s="190"/>
      <c r="W60" s="191"/>
      <c r="X60" s="118"/>
      <c r="Y60" s="112"/>
      <c r="Z60" s="112"/>
    </row>
    <row r="61" spans="1:26" ht="18" customHeight="1" x14ac:dyDescent="0.15">
      <c r="A61" s="29"/>
      <c r="B61" s="164" t="s">
        <v>202</v>
      </c>
      <c r="C61" s="165"/>
      <c r="D61" s="165"/>
      <c r="E61" s="166"/>
      <c r="F61" s="113">
        <v>3</v>
      </c>
      <c r="G61" s="113" t="s">
        <v>159</v>
      </c>
      <c r="H61" s="170" t="s">
        <v>167</v>
      </c>
      <c r="I61" s="171"/>
      <c r="J61" s="172"/>
      <c r="K61" s="120" t="s">
        <v>165</v>
      </c>
      <c r="L61" s="120" t="s">
        <v>165</v>
      </c>
      <c r="M61" s="120" t="s">
        <v>165</v>
      </c>
      <c r="N61" s="164"/>
      <c r="O61" s="165"/>
      <c r="P61" s="165"/>
      <c r="Q61" s="165"/>
      <c r="R61" s="166"/>
      <c r="S61" s="113"/>
      <c r="T61" s="113"/>
      <c r="U61" s="170"/>
      <c r="V61" s="171"/>
      <c r="W61" s="172"/>
      <c r="X61" s="116"/>
      <c r="Y61" s="113"/>
      <c r="Z61" s="113"/>
    </row>
    <row r="62" spans="1:26" ht="18" customHeight="1" x14ac:dyDescent="0.15">
      <c r="A62" s="29"/>
      <c r="B62" s="164" t="s">
        <v>162</v>
      </c>
      <c r="C62" s="165"/>
      <c r="D62" s="165"/>
      <c r="E62" s="166"/>
      <c r="F62" s="113">
        <v>2</v>
      </c>
      <c r="G62" s="113" t="s">
        <v>159</v>
      </c>
      <c r="H62" s="170" t="s">
        <v>167</v>
      </c>
      <c r="I62" s="171"/>
      <c r="J62" s="172"/>
      <c r="K62" s="120" t="s">
        <v>165</v>
      </c>
      <c r="L62" s="120" t="s">
        <v>165</v>
      </c>
      <c r="M62" s="120" t="s">
        <v>165</v>
      </c>
      <c r="N62" s="164"/>
      <c r="O62" s="165"/>
      <c r="P62" s="165"/>
      <c r="Q62" s="165"/>
      <c r="R62" s="166"/>
      <c r="S62" s="113"/>
      <c r="T62" s="113"/>
      <c r="U62" s="170"/>
      <c r="V62" s="171"/>
      <c r="W62" s="172"/>
      <c r="X62" s="116"/>
      <c r="Y62" s="113"/>
      <c r="Z62" s="113"/>
    </row>
    <row r="63" spans="1:26" ht="18" customHeight="1" x14ac:dyDescent="0.15">
      <c r="A63" s="29"/>
      <c r="B63" s="164" t="s">
        <v>166</v>
      </c>
      <c r="C63" s="165"/>
      <c r="D63" s="165"/>
      <c r="E63" s="166"/>
      <c r="F63" s="113">
        <v>1</v>
      </c>
      <c r="G63" s="113" t="s">
        <v>159</v>
      </c>
      <c r="H63" s="170" t="s">
        <v>167</v>
      </c>
      <c r="I63" s="171"/>
      <c r="J63" s="172"/>
      <c r="K63" s="120" t="s">
        <v>165</v>
      </c>
      <c r="L63" s="120" t="s">
        <v>165</v>
      </c>
      <c r="M63" s="120" t="s">
        <v>165</v>
      </c>
      <c r="N63" s="164"/>
      <c r="O63" s="165"/>
      <c r="P63" s="165"/>
      <c r="Q63" s="165"/>
      <c r="R63" s="166"/>
      <c r="S63" s="113"/>
      <c r="T63" s="113"/>
      <c r="U63" s="170"/>
      <c r="V63" s="171"/>
      <c r="W63" s="172"/>
      <c r="X63" s="116"/>
      <c r="Y63" s="113"/>
      <c r="Z63" s="113"/>
    </row>
    <row r="64" spans="1:26" ht="18" customHeight="1" x14ac:dyDescent="0.15">
      <c r="A64" s="29"/>
      <c r="B64" s="164" t="s">
        <v>163</v>
      </c>
      <c r="C64" s="165"/>
      <c r="D64" s="165"/>
      <c r="E64" s="166"/>
      <c r="F64" s="113">
        <v>1</v>
      </c>
      <c r="G64" s="113" t="s">
        <v>159</v>
      </c>
      <c r="H64" s="170" t="s">
        <v>167</v>
      </c>
      <c r="I64" s="171"/>
      <c r="J64" s="172"/>
      <c r="K64" s="120" t="s">
        <v>165</v>
      </c>
      <c r="L64" s="120" t="s">
        <v>165</v>
      </c>
      <c r="M64" s="120" t="s">
        <v>165</v>
      </c>
      <c r="N64" s="164"/>
      <c r="O64" s="165"/>
      <c r="P64" s="165"/>
      <c r="Q64" s="165"/>
      <c r="R64" s="166"/>
      <c r="S64" s="113"/>
      <c r="T64" s="113"/>
      <c r="U64" s="170"/>
      <c r="V64" s="171"/>
      <c r="W64" s="172"/>
      <c r="X64" s="116"/>
      <c r="Y64" s="113"/>
      <c r="Z64" s="113"/>
    </row>
    <row r="65" spans="1:26" ht="18" customHeight="1" x14ac:dyDescent="0.15">
      <c r="A65" s="29"/>
      <c r="B65" s="164" t="s">
        <v>164</v>
      </c>
      <c r="C65" s="165"/>
      <c r="D65" s="165"/>
      <c r="E65" s="166"/>
      <c r="F65" s="113">
        <v>2</v>
      </c>
      <c r="G65" s="113" t="s">
        <v>159</v>
      </c>
      <c r="H65" s="170" t="s">
        <v>168</v>
      </c>
      <c r="I65" s="171"/>
      <c r="J65" s="172"/>
      <c r="K65" s="120" t="s">
        <v>165</v>
      </c>
      <c r="L65" s="120" t="s">
        <v>165</v>
      </c>
      <c r="M65" s="120" t="s">
        <v>165</v>
      </c>
      <c r="N65" s="164"/>
      <c r="O65" s="165"/>
      <c r="P65" s="165"/>
      <c r="Q65" s="165"/>
      <c r="R65" s="166"/>
      <c r="S65" s="113"/>
      <c r="T65" s="113"/>
      <c r="U65" s="170"/>
      <c r="V65" s="171"/>
      <c r="W65" s="172"/>
      <c r="X65" s="116"/>
      <c r="Y65" s="113"/>
      <c r="Z65" s="113"/>
    </row>
    <row r="66" spans="1:26" ht="18" customHeight="1" x14ac:dyDescent="0.15">
      <c r="A66" s="29"/>
      <c r="B66" s="167"/>
      <c r="C66" s="168"/>
      <c r="D66" s="168"/>
      <c r="E66" s="169"/>
      <c r="F66" s="114"/>
      <c r="G66" s="114"/>
      <c r="H66" s="173"/>
      <c r="I66" s="174"/>
      <c r="J66" s="175"/>
      <c r="K66" s="117"/>
      <c r="L66" s="119"/>
      <c r="M66" s="119"/>
      <c r="N66" s="167"/>
      <c r="O66" s="168"/>
      <c r="P66" s="168"/>
      <c r="Q66" s="168"/>
      <c r="R66" s="169"/>
      <c r="S66" s="114"/>
      <c r="T66" s="114"/>
      <c r="U66" s="173"/>
      <c r="V66" s="174"/>
      <c r="W66" s="175"/>
      <c r="X66" s="117"/>
      <c r="Y66" s="119"/>
      <c r="Z66" s="119"/>
    </row>
    <row r="67" spans="1:26" ht="7.5" customHeight="1" x14ac:dyDescent="0.15">
      <c r="B67" s="76"/>
      <c r="C67" s="76"/>
      <c r="D67" s="76"/>
      <c r="E67" s="76"/>
      <c r="F67" s="76"/>
      <c r="G67" s="76"/>
      <c r="H67" s="76"/>
      <c r="I67" s="76"/>
      <c r="J67" s="76"/>
      <c r="K67" s="76"/>
      <c r="L67" s="76"/>
      <c r="M67" s="76"/>
      <c r="N67" s="76"/>
      <c r="O67" s="76"/>
      <c r="P67" s="76"/>
      <c r="Q67" s="76"/>
      <c r="R67" s="76"/>
      <c r="S67" s="76"/>
      <c r="T67" s="76"/>
      <c r="U67" s="76"/>
      <c r="V67" s="76"/>
      <c r="W67" s="76"/>
      <c r="X67" s="76"/>
      <c r="Y67" s="76"/>
    </row>
    <row r="68" spans="1:26" ht="18" customHeight="1" x14ac:dyDescent="0.15">
      <c r="A68" s="14" t="s">
        <v>132</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30" t="s">
        <v>96</v>
      </c>
      <c r="C69" s="131"/>
      <c r="D69" s="131"/>
      <c r="E69" s="131"/>
      <c r="F69" s="132"/>
      <c r="G69" s="130" t="s">
        <v>142</v>
      </c>
      <c r="H69" s="131"/>
      <c r="I69" s="131"/>
      <c r="J69" s="131"/>
      <c r="K69" s="131"/>
      <c r="L69" s="131"/>
      <c r="M69" s="132"/>
      <c r="N69" s="186" t="s">
        <v>96</v>
      </c>
      <c r="O69" s="187"/>
      <c r="P69" s="187"/>
      <c r="Q69" s="187"/>
      <c r="R69" s="187"/>
      <c r="S69" s="188"/>
      <c r="T69" s="130" t="s">
        <v>142</v>
      </c>
      <c r="U69" s="131"/>
      <c r="V69" s="131"/>
      <c r="W69" s="131"/>
      <c r="X69" s="131"/>
      <c r="Y69" s="131"/>
      <c r="Z69" s="132"/>
    </row>
    <row r="70" spans="1:26" ht="18" customHeight="1" x14ac:dyDescent="0.15">
      <c r="A70" s="29"/>
      <c r="B70" s="161" t="s">
        <v>158</v>
      </c>
      <c r="C70" s="162"/>
      <c r="D70" s="162"/>
      <c r="E70" s="162"/>
      <c r="F70" s="163"/>
      <c r="G70" s="234" t="s">
        <v>169</v>
      </c>
      <c r="H70" s="235"/>
      <c r="I70" s="235"/>
      <c r="J70" s="235"/>
      <c r="K70" s="235"/>
      <c r="L70" s="235"/>
      <c r="M70" s="236"/>
      <c r="N70" s="161"/>
      <c r="O70" s="162"/>
      <c r="P70" s="162"/>
      <c r="Q70" s="162"/>
      <c r="R70" s="162"/>
      <c r="S70" s="163"/>
      <c r="T70" s="234"/>
      <c r="U70" s="235"/>
      <c r="V70" s="235"/>
      <c r="W70" s="235"/>
      <c r="X70" s="235"/>
      <c r="Y70" s="235"/>
      <c r="Z70" s="236"/>
    </row>
    <row r="71" spans="1:26" ht="18" customHeight="1" x14ac:dyDescent="0.15">
      <c r="A71" s="29"/>
      <c r="B71" s="164" t="s">
        <v>203</v>
      </c>
      <c r="C71" s="165"/>
      <c r="D71" s="165"/>
      <c r="E71" s="165"/>
      <c r="F71" s="166"/>
      <c r="G71" s="207" t="s">
        <v>170</v>
      </c>
      <c r="H71" s="208"/>
      <c r="I71" s="208"/>
      <c r="J71" s="208"/>
      <c r="K71" s="208"/>
      <c r="L71" s="208"/>
      <c r="M71" s="209"/>
      <c r="N71" s="164"/>
      <c r="O71" s="165"/>
      <c r="P71" s="165"/>
      <c r="Q71" s="165"/>
      <c r="R71" s="165"/>
      <c r="S71" s="166"/>
      <c r="T71" s="207"/>
      <c r="U71" s="208"/>
      <c r="V71" s="208"/>
      <c r="W71" s="208"/>
      <c r="X71" s="208"/>
      <c r="Y71" s="208"/>
      <c r="Z71" s="209"/>
    </row>
    <row r="72" spans="1:26" ht="18" customHeight="1" x14ac:dyDescent="0.15">
      <c r="A72" s="29"/>
      <c r="B72" s="164" t="s">
        <v>203</v>
      </c>
      <c r="C72" s="165"/>
      <c r="D72" s="165"/>
      <c r="E72" s="165"/>
      <c r="F72" s="166"/>
      <c r="G72" s="207" t="s">
        <v>171</v>
      </c>
      <c r="H72" s="208"/>
      <c r="I72" s="208"/>
      <c r="J72" s="208"/>
      <c r="K72" s="208"/>
      <c r="L72" s="208"/>
      <c r="M72" s="209"/>
      <c r="N72" s="164"/>
      <c r="O72" s="165"/>
      <c r="P72" s="165"/>
      <c r="Q72" s="165"/>
      <c r="R72" s="165"/>
      <c r="S72" s="166"/>
      <c r="T72" s="207"/>
      <c r="U72" s="208"/>
      <c r="V72" s="208"/>
      <c r="W72" s="208"/>
      <c r="X72" s="208"/>
      <c r="Y72" s="208"/>
      <c r="Z72" s="209"/>
    </row>
    <row r="73" spans="1:26" ht="18" customHeight="1" x14ac:dyDescent="0.15">
      <c r="A73" s="29"/>
      <c r="B73" s="164" t="s">
        <v>203</v>
      </c>
      <c r="C73" s="165"/>
      <c r="D73" s="165"/>
      <c r="E73" s="165"/>
      <c r="F73" s="166"/>
      <c r="G73" s="207" t="s">
        <v>172</v>
      </c>
      <c r="H73" s="208"/>
      <c r="I73" s="208"/>
      <c r="J73" s="208"/>
      <c r="K73" s="208"/>
      <c r="L73" s="208"/>
      <c r="M73" s="209"/>
      <c r="N73" s="164"/>
      <c r="O73" s="165"/>
      <c r="P73" s="165"/>
      <c r="Q73" s="165"/>
      <c r="R73" s="165"/>
      <c r="S73" s="166"/>
      <c r="T73" s="207"/>
      <c r="U73" s="208"/>
      <c r="V73" s="208"/>
      <c r="W73" s="208"/>
      <c r="X73" s="208"/>
      <c r="Y73" s="208"/>
      <c r="Z73" s="209"/>
    </row>
    <row r="74" spans="1:26" ht="18" customHeight="1" x14ac:dyDescent="0.15">
      <c r="A74" s="29"/>
      <c r="B74" s="164" t="s">
        <v>203</v>
      </c>
      <c r="C74" s="165"/>
      <c r="D74" s="165"/>
      <c r="E74" s="165"/>
      <c r="F74" s="166"/>
      <c r="G74" s="207" t="s">
        <v>173</v>
      </c>
      <c r="H74" s="208"/>
      <c r="I74" s="208"/>
      <c r="J74" s="208"/>
      <c r="K74" s="208"/>
      <c r="L74" s="208"/>
      <c r="M74" s="209"/>
      <c r="N74" s="164"/>
      <c r="O74" s="165"/>
      <c r="P74" s="165"/>
      <c r="Q74" s="165"/>
      <c r="R74" s="165"/>
      <c r="S74" s="166"/>
      <c r="T74" s="207"/>
      <c r="U74" s="208"/>
      <c r="V74" s="208"/>
      <c r="W74" s="208"/>
      <c r="X74" s="208"/>
      <c r="Y74" s="208"/>
      <c r="Z74" s="209"/>
    </row>
    <row r="75" spans="1:26" ht="18" customHeight="1" x14ac:dyDescent="0.15">
      <c r="A75" s="29"/>
      <c r="B75" s="164"/>
      <c r="C75" s="165"/>
      <c r="D75" s="165"/>
      <c r="E75" s="165"/>
      <c r="F75" s="166"/>
      <c r="G75" s="207"/>
      <c r="H75" s="208"/>
      <c r="I75" s="208"/>
      <c r="J75" s="208"/>
      <c r="K75" s="208"/>
      <c r="L75" s="208"/>
      <c r="M75" s="209"/>
      <c r="N75" s="164"/>
      <c r="O75" s="165"/>
      <c r="P75" s="165"/>
      <c r="Q75" s="165"/>
      <c r="R75" s="165"/>
      <c r="S75" s="166"/>
      <c r="T75" s="207"/>
      <c r="U75" s="208"/>
      <c r="V75" s="208"/>
      <c r="W75" s="208"/>
      <c r="X75" s="208"/>
      <c r="Y75" s="208"/>
      <c r="Z75" s="209"/>
    </row>
    <row r="76" spans="1:26" ht="18" customHeight="1" x14ac:dyDescent="0.15">
      <c r="A76" s="29"/>
      <c r="B76" s="167"/>
      <c r="C76" s="168"/>
      <c r="D76" s="168"/>
      <c r="E76" s="168"/>
      <c r="F76" s="169"/>
      <c r="G76" s="204"/>
      <c r="H76" s="205"/>
      <c r="I76" s="205"/>
      <c r="J76" s="205"/>
      <c r="K76" s="205"/>
      <c r="L76" s="205"/>
      <c r="M76" s="206"/>
      <c r="N76" s="167"/>
      <c r="O76" s="168"/>
      <c r="P76" s="168"/>
      <c r="Q76" s="168"/>
      <c r="R76" s="168"/>
      <c r="S76" s="169"/>
      <c r="T76" s="204"/>
      <c r="U76" s="205"/>
      <c r="V76" s="205"/>
      <c r="W76" s="205"/>
      <c r="X76" s="205"/>
      <c r="Y76" s="205"/>
      <c r="Z76" s="206"/>
    </row>
    <row r="77" spans="1:26" ht="18" customHeight="1" x14ac:dyDescent="0.15">
      <c r="A77" s="29"/>
      <c r="B77" s="71"/>
      <c r="C77" s="71"/>
      <c r="D77" s="71"/>
      <c r="E77" s="71"/>
      <c r="F77" s="71"/>
      <c r="G77" s="12"/>
      <c r="H77" s="12"/>
      <c r="I77" s="12"/>
      <c r="J77" s="12"/>
      <c r="K77" s="12"/>
      <c r="L77" s="12"/>
      <c r="M77" s="12"/>
      <c r="N77" s="71"/>
      <c r="O77" s="71"/>
      <c r="P77" s="71"/>
      <c r="Q77" s="71"/>
      <c r="R77" s="71"/>
      <c r="S77" s="71"/>
      <c r="T77" s="12"/>
      <c r="U77" s="12"/>
      <c r="V77" s="12"/>
      <c r="W77" s="12"/>
      <c r="X77" s="12"/>
      <c r="Y77" s="12"/>
      <c r="Z77" s="12"/>
    </row>
    <row r="78" spans="1:26" ht="18.75" customHeight="1" x14ac:dyDescent="0.15">
      <c r="A78" s="13" t="s">
        <v>138</v>
      </c>
    </row>
    <row r="79" spans="1:26" ht="18.75" customHeight="1" x14ac:dyDescent="0.15">
      <c r="B79" s="77" t="s">
        <v>98</v>
      </c>
      <c r="C79" s="78"/>
      <c r="D79" s="258" t="s">
        <v>99</v>
      </c>
      <c r="E79" s="258"/>
      <c r="F79" s="258"/>
      <c r="G79" s="258"/>
      <c r="H79" s="258"/>
      <c r="I79" s="258"/>
      <c r="J79" s="258"/>
      <c r="K79" s="258"/>
      <c r="L79" s="258"/>
      <c r="M79" s="258"/>
      <c r="N79" s="258"/>
      <c r="O79" s="258"/>
      <c r="P79" s="258"/>
      <c r="Q79" s="258"/>
      <c r="R79" s="258"/>
      <c r="S79" s="258"/>
      <c r="T79" s="258"/>
      <c r="U79" s="258"/>
      <c r="V79" s="258"/>
      <c r="W79" s="258"/>
      <c r="X79" s="258"/>
      <c r="Y79" s="258"/>
      <c r="Z79" s="259"/>
    </row>
    <row r="80" spans="1:26" ht="78" customHeight="1" x14ac:dyDescent="0.15">
      <c r="B80" s="242" t="s">
        <v>105</v>
      </c>
      <c r="C80" s="84" t="s">
        <v>100</v>
      </c>
      <c r="D80" s="254" t="s">
        <v>207</v>
      </c>
      <c r="E80" s="260"/>
      <c r="F80" s="260"/>
      <c r="G80" s="260"/>
      <c r="H80" s="260"/>
      <c r="I80" s="260"/>
      <c r="J80" s="260"/>
      <c r="K80" s="260"/>
      <c r="L80" s="260"/>
      <c r="M80" s="260"/>
      <c r="N80" s="260"/>
      <c r="O80" s="260"/>
      <c r="P80" s="260"/>
      <c r="Q80" s="260"/>
      <c r="R80" s="260"/>
      <c r="S80" s="260"/>
      <c r="T80" s="260"/>
      <c r="U80" s="260"/>
      <c r="V80" s="260"/>
      <c r="W80" s="260"/>
      <c r="X80" s="260"/>
      <c r="Y80" s="260"/>
      <c r="Z80" s="261"/>
    </row>
    <row r="81" spans="1:26" ht="78" customHeight="1" x14ac:dyDescent="0.15">
      <c r="B81" s="243"/>
      <c r="C81" s="109" t="s">
        <v>133</v>
      </c>
      <c r="D81" s="210" t="s">
        <v>208</v>
      </c>
      <c r="E81" s="211"/>
      <c r="F81" s="211"/>
      <c r="G81" s="211"/>
      <c r="H81" s="211"/>
      <c r="I81" s="211"/>
      <c r="J81" s="211"/>
      <c r="K81" s="211"/>
      <c r="L81" s="211"/>
      <c r="M81" s="211"/>
      <c r="N81" s="211"/>
      <c r="O81" s="211"/>
      <c r="P81" s="211"/>
      <c r="Q81" s="211"/>
      <c r="R81" s="211"/>
      <c r="S81" s="211"/>
      <c r="T81" s="211"/>
      <c r="U81" s="211"/>
      <c r="V81" s="211"/>
      <c r="W81" s="211"/>
      <c r="X81" s="211"/>
      <c r="Y81" s="211"/>
      <c r="Z81" s="212"/>
    </row>
    <row r="82" spans="1:26" ht="78" customHeight="1" x14ac:dyDescent="0.15">
      <c r="B82" s="240" t="s">
        <v>106</v>
      </c>
      <c r="C82" s="79" t="s">
        <v>123</v>
      </c>
      <c r="D82" s="213" t="s">
        <v>209</v>
      </c>
      <c r="E82" s="214"/>
      <c r="F82" s="214"/>
      <c r="G82" s="214"/>
      <c r="H82" s="214"/>
      <c r="I82" s="214"/>
      <c r="J82" s="214"/>
      <c r="K82" s="214"/>
      <c r="L82" s="214"/>
      <c r="M82" s="214"/>
      <c r="N82" s="214"/>
      <c r="O82" s="214"/>
      <c r="P82" s="214"/>
      <c r="Q82" s="214"/>
      <c r="R82" s="214"/>
      <c r="S82" s="214"/>
      <c r="T82" s="214"/>
      <c r="U82" s="214"/>
      <c r="V82" s="214"/>
      <c r="W82" s="214"/>
      <c r="X82" s="214"/>
      <c r="Y82" s="214"/>
      <c r="Z82" s="215"/>
    </row>
    <row r="83" spans="1:26" ht="78" customHeight="1" x14ac:dyDescent="0.15">
      <c r="B83" s="241"/>
      <c r="C83" s="110" t="s">
        <v>124</v>
      </c>
      <c r="D83" s="219" t="s">
        <v>210</v>
      </c>
      <c r="E83" s="220"/>
      <c r="F83" s="220"/>
      <c r="G83" s="220"/>
      <c r="H83" s="220"/>
      <c r="I83" s="220"/>
      <c r="J83" s="220"/>
      <c r="K83" s="220"/>
      <c r="L83" s="220"/>
      <c r="M83" s="220"/>
      <c r="N83" s="220"/>
      <c r="O83" s="220"/>
      <c r="P83" s="220"/>
      <c r="Q83" s="220"/>
      <c r="R83" s="220"/>
      <c r="S83" s="220"/>
      <c r="T83" s="220"/>
      <c r="U83" s="220"/>
      <c r="V83" s="220"/>
      <c r="W83" s="220"/>
      <c r="X83" s="220"/>
      <c r="Y83" s="220"/>
      <c r="Z83" s="221"/>
    </row>
    <row r="84" spans="1:26" ht="66" customHeight="1" x14ac:dyDescent="0.15">
      <c r="B84" s="240" t="s">
        <v>107</v>
      </c>
      <c r="C84" s="79" t="s">
        <v>126</v>
      </c>
      <c r="D84" s="213" t="s">
        <v>211</v>
      </c>
      <c r="E84" s="214"/>
      <c r="F84" s="214"/>
      <c r="G84" s="214"/>
      <c r="H84" s="214"/>
      <c r="I84" s="214"/>
      <c r="J84" s="214"/>
      <c r="K84" s="214"/>
      <c r="L84" s="214"/>
      <c r="M84" s="214"/>
      <c r="N84" s="214"/>
      <c r="O84" s="214"/>
      <c r="P84" s="214"/>
      <c r="Q84" s="214"/>
      <c r="R84" s="214"/>
      <c r="S84" s="214"/>
      <c r="T84" s="214"/>
      <c r="U84" s="214"/>
      <c r="V84" s="214"/>
      <c r="W84" s="214"/>
      <c r="X84" s="214"/>
      <c r="Y84" s="214"/>
      <c r="Z84" s="215"/>
    </row>
    <row r="85" spans="1:26" ht="66" customHeight="1" x14ac:dyDescent="0.15">
      <c r="B85" s="241"/>
      <c r="C85" s="81" t="s">
        <v>127</v>
      </c>
      <c r="D85" s="216" t="s">
        <v>212</v>
      </c>
      <c r="E85" s="217"/>
      <c r="F85" s="217"/>
      <c r="G85" s="217"/>
      <c r="H85" s="217"/>
      <c r="I85" s="217"/>
      <c r="J85" s="217"/>
      <c r="K85" s="217"/>
      <c r="L85" s="217"/>
      <c r="M85" s="217"/>
      <c r="N85" s="217"/>
      <c r="O85" s="217"/>
      <c r="P85" s="217"/>
      <c r="Q85" s="217"/>
      <c r="R85" s="217"/>
      <c r="S85" s="217"/>
      <c r="T85" s="217"/>
      <c r="U85" s="217"/>
      <c r="V85" s="217"/>
      <c r="W85" s="217"/>
      <c r="X85" s="217"/>
      <c r="Y85" s="217"/>
      <c r="Z85" s="218"/>
    </row>
    <row r="86" spans="1:26" ht="66" customHeight="1" x14ac:dyDescent="0.15">
      <c r="B86" s="242" t="s">
        <v>134</v>
      </c>
      <c r="C86" s="84" t="s">
        <v>102</v>
      </c>
      <c r="D86" s="254" t="s">
        <v>213</v>
      </c>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ht="66" customHeight="1" x14ac:dyDescent="0.15">
      <c r="B87" s="253"/>
      <c r="C87" s="80" t="s">
        <v>104</v>
      </c>
      <c r="D87" s="257" t="s">
        <v>214</v>
      </c>
      <c r="E87" s="177"/>
      <c r="F87" s="177"/>
      <c r="G87" s="177"/>
      <c r="H87" s="177"/>
      <c r="I87" s="177"/>
      <c r="J87" s="177"/>
      <c r="K87" s="177"/>
      <c r="L87" s="177"/>
      <c r="M87" s="177"/>
      <c r="N87" s="177"/>
      <c r="O87" s="177"/>
      <c r="P87" s="177"/>
      <c r="Q87" s="177"/>
      <c r="R87" s="177"/>
      <c r="S87" s="177"/>
      <c r="T87" s="177"/>
      <c r="U87" s="177"/>
      <c r="V87" s="177"/>
      <c r="W87" s="177"/>
      <c r="X87" s="177"/>
      <c r="Y87" s="177"/>
      <c r="Z87" s="178"/>
    </row>
    <row r="88" spans="1:26" ht="280.5" customHeight="1" x14ac:dyDescent="0.15">
      <c r="B88" s="244" t="s">
        <v>135</v>
      </c>
      <c r="C88" s="126" t="s">
        <v>101</v>
      </c>
      <c r="D88" s="247" t="s">
        <v>215</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154.5" customHeight="1" x14ac:dyDescent="0.15">
      <c r="B89" s="245"/>
      <c r="C89" s="127" t="s">
        <v>130</v>
      </c>
      <c r="D89" s="237" t="s">
        <v>216</v>
      </c>
      <c r="E89" s="238"/>
      <c r="F89" s="238"/>
      <c r="G89" s="238"/>
      <c r="H89" s="238"/>
      <c r="I89" s="238"/>
      <c r="J89" s="238"/>
      <c r="K89" s="238"/>
      <c r="L89" s="238"/>
      <c r="M89" s="238"/>
      <c r="N89" s="238"/>
      <c r="O89" s="238"/>
      <c r="P89" s="238"/>
      <c r="Q89" s="238"/>
      <c r="R89" s="238"/>
      <c r="S89" s="238"/>
      <c r="T89" s="238"/>
      <c r="U89" s="238"/>
      <c r="V89" s="238"/>
      <c r="W89" s="238"/>
      <c r="X89" s="238"/>
      <c r="Y89" s="238"/>
      <c r="Z89" s="239"/>
    </row>
    <row r="90" spans="1:26" ht="95.25" customHeight="1" x14ac:dyDescent="0.15">
      <c r="B90" s="246"/>
      <c r="C90" s="128" t="s">
        <v>131</v>
      </c>
      <c r="D90" s="250" t="s">
        <v>217</v>
      </c>
      <c r="E90" s="251"/>
      <c r="F90" s="251"/>
      <c r="G90" s="251"/>
      <c r="H90" s="251"/>
      <c r="I90" s="251"/>
      <c r="J90" s="251"/>
      <c r="K90" s="251"/>
      <c r="L90" s="251"/>
      <c r="M90" s="251"/>
      <c r="N90" s="251"/>
      <c r="O90" s="251"/>
      <c r="P90" s="251"/>
      <c r="Q90" s="251"/>
      <c r="R90" s="251"/>
      <c r="S90" s="251"/>
      <c r="T90" s="251"/>
      <c r="U90" s="251"/>
      <c r="V90" s="251"/>
      <c r="W90" s="251"/>
      <c r="X90" s="251"/>
      <c r="Y90" s="251"/>
      <c r="Z90" s="252"/>
    </row>
    <row r="91" spans="1:26" ht="6" customHeight="1" x14ac:dyDescent="0.15"/>
    <row r="92" spans="1:26" ht="18.75" customHeight="1" x14ac:dyDescent="0.15">
      <c r="A92" s="13" t="s">
        <v>139</v>
      </c>
    </row>
    <row r="93" spans="1:26" ht="18.75" customHeight="1" x14ac:dyDescent="0.15">
      <c r="B93" s="192" t="s">
        <v>181</v>
      </c>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4"/>
    </row>
    <row r="94" spans="1:26" ht="18.75" customHeight="1" x14ac:dyDescent="0.15">
      <c r="B94" s="195"/>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7"/>
    </row>
    <row r="95" spans="1:26" ht="18.75" customHeight="1" x14ac:dyDescent="0.15">
      <c r="B95" s="198"/>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200"/>
    </row>
    <row r="96" spans="1:26" ht="6" customHeight="1" x14ac:dyDescent="0.15"/>
    <row r="97" spans="1:26" ht="15" customHeight="1" x14ac:dyDescent="0.15">
      <c r="A97" s="13" t="s">
        <v>140</v>
      </c>
    </row>
    <row r="98" spans="1:26" ht="15" customHeight="1" x14ac:dyDescent="0.15">
      <c r="B98" s="201" t="s">
        <v>200</v>
      </c>
      <c r="C98" s="202"/>
      <c r="D98" s="202"/>
      <c r="E98" s="202"/>
      <c r="F98" s="202"/>
      <c r="G98" s="202"/>
      <c r="H98" s="202"/>
      <c r="I98" s="202"/>
      <c r="J98" s="202"/>
      <c r="K98" s="202"/>
      <c r="L98" s="202"/>
      <c r="M98" s="202"/>
      <c r="N98" s="202"/>
      <c r="O98" s="202"/>
      <c r="P98" s="202"/>
      <c r="Q98" s="202"/>
      <c r="R98" s="202"/>
      <c r="S98" s="202"/>
      <c r="T98" s="202"/>
      <c r="U98" s="202"/>
      <c r="V98" s="202"/>
      <c r="W98" s="202"/>
      <c r="X98" s="202"/>
      <c r="Y98" s="202"/>
      <c r="Z98" s="203"/>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T60:T66 H16:H22 U16:U22 H27:H33 U27:U33 H38:H44 U38:U44 H49:H55 U49:U55 G60:G66 L66:M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76" fitToHeight="0"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B32" sqref="B32:N32"/>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2" t="s">
        <v>59</v>
      </c>
      <c r="G1" s="262"/>
      <c r="H1" s="262"/>
      <c r="I1" s="262"/>
      <c r="J1" s="262"/>
      <c r="K1" s="262"/>
      <c r="L1" s="262"/>
      <c r="M1" s="262"/>
      <c r="N1" s="262"/>
      <c r="O1" s="262"/>
      <c r="P1" s="262"/>
      <c r="Q1" s="262"/>
      <c r="R1" s="262"/>
    </row>
    <row r="2" spans="1:20" ht="18" customHeight="1" x14ac:dyDescent="0.15">
      <c r="A2" s="263" t="s">
        <v>85</v>
      </c>
      <c r="B2" s="263"/>
      <c r="C2" s="263"/>
      <c r="D2" s="263"/>
      <c r="E2" s="263"/>
      <c r="F2" s="263"/>
      <c r="G2" s="263"/>
      <c r="H2" s="263"/>
      <c r="I2" s="263"/>
      <c r="J2" s="263"/>
      <c r="K2" s="263"/>
      <c r="L2" s="263"/>
      <c r="M2" s="263"/>
      <c r="N2" s="263"/>
      <c r="O2" s="263"/>
      <c r="P2" s="263"/>
      <c r="Q2" s="263"/>
      <c r="R2" s="263"/>
      <c r="S2" s="4"/>
    </row>
    <row r="3" spans="1:20" ht="7.5" customHeight="1" x14ac:dyDescent="0.15">
      <c r="A3" s="37"/>
      <c r="B3" s="37"/>
      <c r="C3" s="37"/>
      <c r="D3" s="37"/>
      <c r="E3" s="37"/>
      <c r="F3" s="37"/>
      <c r="G3" s="37"/>
      <c r="H3" s="37"/>
      <c r="I3" s="37"/>
      <c r="J3" s="37"/>
      <c r="K3" s="37"/>
      <c r="L3" s="37"/>
      <c r="M3" s="37"/>
      <c r="N3" s="37"/>
      <c r="O3" s="37"/>
      <c r="P3" s="37"/>
      <c r="Q3" s="37"/>
      <c r="R3" s="37"/>
    </row>
    <row r="4" spans="1:20" ht="18" customHeight="1" x14ac:dyDescent="0.15">
      <c r="A4" s="4" t="s">
        <v>143</v>
      </c>
      <c r="B4" s="4"/>
      <c r="C4" s="264" t="str">
        <f>'様式１　大学等概要'!E12</f>
        <v>令和3</v>
      </c>
      <c r="D4" s="265"/>
      <c r="E4" s="37" t="s">
        <v>109</v>
      </c>
      <c r="F4" s="37"/>
      <c r="G4" s="37"/>
      <c r="H4" s="37"/>
      <c r="I4" s="37"/>
      <c r="J4" s="85"/>
      <c r="K4" s="37"/>
      <c r="L4" s="37"/>
      <c r="M4" s="115"/>
      <c r="N4" s="115"/>
      <c r="O4" s="115"/>
      <c r="P4" s="115"/>
      <c r="Q4" s="115"/>
      <c r="R4" s="115"/>
    </row>
    <row r="5" spans="1:20" ht="6" customHeight="1" x14ac:dyDescent="0.15">
      <c r="A5" s="37"/>
      <c r="B5" s="37"/>
      <c r="C5" s="37"/>
      <c r="D5" s="37"/>
      <c r="E5" s="37"/>
      <c r="F5" s="37"/>
      <c r="G5" s="37"/>
      <c r="H5" s="37"/>
      <c r="I5" s="37"/>
      <c r="J5" s="37"/>
      <c r="K5" s="37"/>
      <c r="L5" s="37"/>
      <c r="M5" s="37"/>
      <c r="N5" s="37"/>
      <c r="O5" s="37"/>
      <c r="P5" s="37"/>
      <c r="Q5" s="37"/>
      <c r="R5" s="37"/>
    </row>
    <row r="6" spans="1:20" ht="18" customHeight="1" x14ac:dyDescent="0.15">
      <c r="A6" s="4" t="s">
        <v>141</v>
      </c>
      <c r="B6" s="37"/>
      <c r="C6" s="37"/>
      <c r="D6" s="37"/>
      <c r="E6" s="37"/>
      <c r="F6" s="37"/>
      <c r="G6" s="37"/>
      <c r="H6" s="37"/>
      <c r="I6" s="37"/>
      <c r="J6" s="37"/>
      <c r="K6" s="37"/>
      <c r="L6" s="37"/>
      <c r="M6" s="37"/>
      <c r="N6" s="37"/>
      <c r="O6" s="37"/>
      <c r="P6" s="37"/>
      <c r="Q6" s="37"/>
      <c r="R6" s="37"/>
    </row>
    <row r="7" spans="1:20" ht="6" customHeight="1" x14ac:dyDescent="0.15">
      <c r="A7" s="4"/>
      <c r="B7" s="37"/>
      <c r="C7" s="37"/>
      <c r="D7" s="37"/>
      <c r="E7" s="37"/>
      <c r="F7" s="37"/>
      <c r="G7" s="37"/>
      <c r="H7" s="37"/>
      <c r="I7" s="37"/>
      <c r="J7" s="37"/>
      <c r="K7" s="37"/>
      <c r="L7" s="37"/>
      <c r="M7" s="37"/>
      <c r="N7" s="37"/>
      <c r="O7" s="37"/>
      <c r="P7" s="37"/>
      <c r="Q7" s="37"/>
      <c r="R7" s="37"/>
    </row>
    <row r="8" spans="1:20" ht="18" customHeight="1" x14ac:dyDescent="0.15">
      <c r="B8" s="266" t="s">
        <v>75</v>
      </c>
      <c r="C8" s="268" t="s">
        <v>80</v>
      </c>
      <c r="D8" s="270" t="s">
        <v>64</v>
      </c>
      <c r="E8" s="272" t="s">
        <v>86</v>
      </c>
      <c r="F8" s="272"/>
      <c r="G8" s="272" t="s">
        <v>87</v>
      </c>
      <c r="H8" s="272"/>
      <c r="I8" s="272" t="s">
        <v>88</v>
      </c>
      <c r="J8" s="272"/>
      <c r="K8" s="273" t="s">
        <v>89</v>
      </c>
      <c r="L8" s="274"/>
      <c r="M8" s="273" t="s">
        <v>90</v>
      </c>
      <c r="N8" s="274"/>
      <c r="O8" s="273" t="s">
        <v>91</v>
      </c>
      <c r="P8" s="274"/>
      <c r="Q8" s="275" t="s">
        <v>58</v>
      </c>
      <c r="R8" s="277" t="s">
        <v>52</v>
      </c>
      <c r="T8" s="34"/>
    </row>
    <row r="9" spans="1:20" ht="18" customHeight="1" x14ac:dyDescent="0.15">
      <c r="A9" s="4"/>
      <c r="B9" s="267"/>
      <c r="C9" s="269"/>
      <c r="D9" s="271"/>
      <c r="E9" s="42" t="s">
        <v>42</v>
      </c>
      <c r="F9" s="43" t="s">
        <v>41</v>
      </c>
      <c r="G9" s="44" t="s">
        <v>42</v>
      </c>
      <c r="H9" s="45" t="s">
        <v>41</v>
      </c>
      <c r="I9" s="42" t="s">
        <v>42</v>
      </c>
      <c r="J9" s="43" t="s">
        <v>41</v>
      </c>
      <c r="K9" s="44" t="s">
        <v>42</v>
      </c>
      <c r="L9" s="45" t="s">
        <v>41</v>
      </c>
      <c r="M9" s="42" t="s">
        <v>42</v>
      </c>
      <c r="N9" s="43" t="s">
        <v>41</v>
      </c>
      <c r="O9" s="44" t="s">
        <v>42</v>
      </c>
      <c r="P9" s="45" t="s">
        <v>41</v>
      </c>
      <c r="Q9" s="276"/>
      <c r="R9" s="278"/>
      <c r="T9" s="34"/>
    </row>
    <row r="10" spans="1:20" ht="18" customHeight="1" x14ac:dyDescent="0.15">
      <c r="A10" s="46"/>
      <c r="B10" s="86" t="s">
        <v>174</v>
      </c>
      <c r="C10" s="75">
        <v>17</v>
      </c>
      <c r="D10" s="125">
        <v>226</v>
      </c>
      <c r="E10" s="48">
        <v>31</v>
      </c>
      <c r="F10" s="49">
        <v>20</v>
      </c>
      <c r="G10" s="50"/>
      <c r="H10" s="51"/>
      <c r="I10" s="48"/>
      <c r="J10" s="49"/>
      <c r="K10" s="50"/>
      <c r="L10" s="51"/>
      <c r="M10" s="48"/>
      <c r="N10" s="49"/>
      <c r="O10" s="50"/>
      <c r="P10" s="51"/>
      <c r="Q10" s="52">
        <f>E10+G10+I10+K10+M10+O10</f>
        <v>31</v>
      </c>
      <c r="R10" s="53">
        <f>Q10/D10</f>
        <v>0.13716814159292035</v>
      </c>
    </row>
    <row r="11" spans="1:20" ht="18" customHeight="1" x14ac:dyDescent="0.15">
      <c r="A11" s="46"/>
      <c r="B11" s="87" t="s">
        <v>175</v>
      </c>
      <c r="C11" s="124">
        <v>17</v>
      </c>
      <c r="D11" s="123">
        <v>226</v>
      </c>
      <c r="E11" s="56">
        <v>54</v>
      </c>
      <c r="F11" s="57">
        <v>30</v>
      </c>
      <c r="G11" s="58"/>
      <c r="H11" s="59"/>
      <c r="I11" s="56"/>
      <c r="J11" s="57"/>
      <c r="K11" s="58"/>
      <c r="L11" s="59"/>
      <c r="M11" s="56"/>
      <c r="N11" s="57"/>
      <c r="O11" s="58"/>
      <c r="P11" s="59"/>
      <c r="Q11" s="60">
        <f t="shared" ref="Q11:Q29" si="0">E11+G11+I11+K11+M11+O11</f>
        <v>54</v>
      </c>
      <c r="R11" s="61">
        <f t="shared" ref="R11:R29" si="1">Q11/D11</f>
        <v>0.23893805309734514</v>
      </c>
    </row>
    <row r="12" spans="1:20" ht="18" customHeight="1" x14ac:dyDescent="0.15">
      <c r="A12" s="46"/>
      <c r="B12" s="87" t="s">
        <v>176</v>
      </c>
      <c r="C12" s="124">
        <v>12</v>
      </c>
      <c r="D12" s="123">
        <v>124</v>
      </c>
      <c r="E12" s="56">
        <v>15</v>
      </c>
      <c r="F12" s="57">
        <v>7</v>
      </c>
      <c r="G12" s="58"/>
      <c r="H12" s="59"/>
      <c r="I12" s="56"/>
      <c r="J12" s="57"/>
      <c r="K12" s="58"/>
      <c r="L12" s="59"/>
      <c r="M12" s="56"/>
      <c r="N12" s="57"/>
      <c r="O12" s="58"/>
      <c r="P12" s="59"/>
      <c r="Q12" s="60">
        <f t="shared" si="0"/>
        <v>15</v>
      </c>
      <c r="R12" s="61">
        <f t="shared" si="1"/>
        <v>0.12096774193548387</v>
      </c>
    </row>
    <row r="13" spans="1:20" ht="18" customHeight="1" x14ac:dyDescent="0.15">
      <c r="A13" s="46"/>
      <c r="B13" s="87" t="s">
        <v>177</v>
      </c>
      <c r="C13" s="124">
        <v>13</v>
      </c>
      <c r="D13" s="123">
        <v>146</v>
      </c>
      <c r="E13" s="56">
        <v>12</v>
      </c>
      <c r="F13" s="57">
        <v>3</v>
      </c>
      <c r="G13" s="58"/>
      <c r="H13" s="59"/>
      <c r="I13" s="56"/>
      <c r="J13" s="57"/>
      <c r="K13" s="58"/>
      <c r="L13" s="59"/>
      <c r="M13" s="56"/>
      <c r="N13" s="57"/>
      <c r="O13" s="58"/>
      <c r="P13" s="59"/>
      <c r="Q13" s="60">
        <f t="shared" si="0"/>
        <v>12</v>
      </c>
      <c r="R13" s="61">
        <f t="shared" si="1"/>
        <v>8.2191780821917804E-2</v>
      </c>
    </row>
    <row r="14" spans="1:20" ht="18" customHeight="1" x14ac:dyDescent="0.15">
      <c r="A14" s="46"/>
      <c r="B14" s="87" t="s">
        <v>178</v>
      </c>
      <c r="C14" s="124">
        <v>10</v>
      </c>
      <c r="D14" s="123">
        <v>120</v>
      </c>
      <c r="E14" s="56">
        <v>4</v>
      </c>
      <c r="F14" s="57">
        <v>0</v>
      </c>
      <c r="G14" s="58"/>
      <c r="H14" s="59"/>
      <c r="I14" s="56"/>
      <c r="J14" s="57"/>
      <c r="K14" s="58"/>
      <c r="L14" s="59"/>
      <c r="M14" s="56"/>
      <c r="N14" s="57"/>
      <c r="O14" s="58"/>
      <c r="P14" s="59"/>
      <c r="Q14" s="60">
        <f t="shared" si="0"/>
        <v>4</v>
      </c>
      <c r="R14" s="61">
        <f t="shared" si="1"/>
        <v>3.3333333333333333E-2</v>
      </c>
    </row>
    <row r="15" spans="1:20" ht="18" customHeight="1" x14ac:dyDescent="0.15">
      <c r="A15" s="46"/>
      <c r="B15" s="87" t="s">
        <v>179</v>
      </c>
      <c r="C15" s="124">
        <v>11</v>
      </c>
      <c r="D15" s="123">
        <v>98</v>
      </c>
      <c r="E15" s="56">
        <v>30</v>
      </c>
      <c r="F15" s="57">
        <v>17</v>
      </c>
      <c r="G15" s="58"/>
      <c r="H15" s="59"/>
      <c r="I15" s="56"/>
      <c r="J15" s="57"/>
      <c r="K15" s="58"/>
      <c r="L15" s="59"/>
      <c r="M15" s="56"/>
      <c r="N15" s="57"/>
      <c r="O15" s="58"/>
      <c r="P15" s="59"/>
      <c r="Q15" s="60">
        <f t="shared" si="0"/>
        <v>30</v>
      </c>
      <c r="R15" s="61">
        <f t="shared" si="1"/>
        <v>0.30612244897959184</v>
      </c>
    </row>
    <row r="16" spans="1:20" ht="18" customHeight="1" x14ac:dyDescent="0.15">
      <c r="A16" s="46"/>
      <c r="B16" s="87"/>
      <c r="C16" s="62"/>
      <c r="D16" s="55"/>
      <c r="E16" s="56"/>
      <c r="F16" s="57"/>
      <c r="G16" s="58"/>
      <c r="H16" s="59"/>
      <c r="I16" s="56"/>
      <c r="J16" s="57"/>
      <c r="K16" s="58"/>
      <c r="L16" s="59"/>
      <c r="M16" s="56"/>
      <c r="N16" s="57"/>
      <c r="O16" s="58"/>
      <c r="P16" s="59"/>
      <c r="Q16" s="60">
        <f t="shared" si="0"/>
        <v>0</v>
      </c>
      <c r="R16" s="61" t="e">
        <f t="shared" si="1"/>
        <v>#DIV/0!</v>
      </c>
    </row>
    <row r="17" spans="1:18" ht="18" customHeight="1" x14ac:dyDescent="0.15">
      <c r="A17" s="46"/>
      <c r="B17" s="87"/>
      <c r="C17" s="62"/>
      <c r="D17" s="55"/>
      <c r="E17" s="56"/>
      <c r="F17" s="57"/>
      <c r="G17" s="58"/>
      <c r="H17" s="59"/>
      <c r="I17" s="56"/>
      <c r="J17" s="57"/>
      <c r="K17" s="58"/>
      <c r="L17" s="59"/>
      <c r="M17" s="56"/>
      <c r="N17" s="57"/>
      <c r="O17" s="58"/>
      <c r="P17" s="59"/>
      <c r="Q17" s="60">
        <f t="shared" si="0"/>
        <v>0</v>
      </c>
      <c r="R17" s="61" t="e">
        <f t="shared" si="1"/>
        <v>#DIV/0!</v>
      </c>
    </row>
    <row r="18" spans="1:18" ht="18" customHeight="1" x14ac:dyDescent="0.15">
      <c r="A18" s="46"/>
      <c r="B18" s="87"/>
      <c r="C18" s="62"/>
      <c r="D18" s="55"/>
      <c r="E18" s="56"/>
      <c r="F18" s="57"/>
      <c r="G18" s="58"/>
      <c r="H18" s="59"/>
      <c r="I18" s="56"/>
      <c r="J18" s="57"/>
      <c r="K18" s="58"/>
      <c r="L18" s="59"/>
      <c r="M18" s="56"/>
      <c r="N18" s="57"/>
      <c r="O18" s="58"/>
      <c r="P18" s="59"/>
      <c r="Q18" s="60">
        <f>E18+G18+I18+K18+M18+O18</f>
        <v>0</v>
      </c>
      <c r="R18" s="61" t="e">
        <f t="shared" si="1"/>
        <v>#DIV/0!</v>
      </c>
    </row>
    <row r="19" spans="1:18" ht="18" customHeight="1" x14ac:dyDescent="0.15">
      <c r="A19" s="46"/>
      <c r="B19" s="87"/>
      <c r="C19" s="62"/>
      <c r="D19" s="55"/>
      <c r="E19" s="56"/>
      <c r="F19" s="57"/>
      <c r="G19" s="58"/>
      <c r="H19" s="59"/>
      <c r="I19" s="56"/>
      <c r="J19" s="57"/>
      <c r="K19" s="58"/>
      <c r="L19" s="59"/>
      <c r="M19" s="56"/>
      <c r="N19" s="57"/>
      <c r="O19" s="58"/>
      <c r="P19" s="59"/>
      <c r="Q19" s="60">
        <f t="shared" si="0"/>
        <v>0</v>
      </c>
      <c r="R19" s="61" t="e">
        <f t="shared" si="1"/>
        <v>#DIV/0!</v>
      </c>
    </row>
    <row r="20" spans="1:18" ht="18" customHeight="1" x14ac:dyDescent="0.15">
      <c r="A20" s="46"/>
      <c r="B20" s="87"/>
      <c r="C20" s="62"/>
      <c r="D20" s="55"/>
      <c r="E20" s="56"/>
      <c r="F20" s="57"/>
      <c r="G20" s="58"/>
      <c r="H20" s="59"/>
      <c r="I20" s="56"/>
      <c r="J20" s="57"/>
      <c r="K20" s="58"/>
      <c r="L20" s="59"/>
      <c r="M20" s="56"/>
      <c r="N20" s="57"/>
      <c r="O20" s="58"/>
      <c r="P20" s="59"/>
      <c r="Q20" s="60">
        <f t="shared" si="0"/>
        <v>0</v>
      </c>
      <c r="R20" s="61" t="e">
        <f t="shared" si="1"/>
        <v>#DIV/0!</v>
      </c>
    </row>
    <row r="21" spans="1:18" ht="18" customHeight="1" x14ac:dyDescent="0.15">
      <c r="A21" s="46"/>
      <c r="B21" s="87"/>
      <c r="C21" s="62"/>
      <c r="D21" s="55"/>
      <c r="E21" s="56"/>
      <c r="F21" s="57"/>
      <c r="G21" s="58"/>
      <c r="H21" s="59"/>
      <c r="I21" s="56"/>
      <c r="J21" s="57"/>
      <c r="K21" s="58"/>
      <c r="L21" s="59"/>
      <c r="M21" s="56"/>
      <c r="N21" s="57"/>
      <c r="O21" s="58"/>
      <c r="P21" s="59"/>
      <c r="Q21" s="60">
        <f t="shared" si="0"/>
        <v>0</v>
      </c>
      <c r="R21" s="61" t="e">
        <f t="shared" si="1"/>
        <v>#DIV/0!</v>
      </c>
    </row>
    <row r="22" spans="1:18" ht="18" customHeight="1" x14ac:dyDescent="0.15">
      <c r="A22" s="46"/>
      <c r="B22" s="87"/>
      <c r="C22" s="62"/>
      <c r="D22" s="55"/>
      <c r="E22" s="56"/>
      <c r="F22" s="57"/>
      <c r="G22" s="58"/>
      <c r="H22" s="59"/>
      <c r="I22" s="56"/>
      <c r="J22" s="57"/>
      <c r="K22" s="58"/>
      <c r="L22" s="59"/>
      <c r="M22" s="56"/>
      <c r="N22" s="57"/>
      <c r="O22" s="58"/>
      <c r="P22" s="59"/>
      <c r="Q22" s="60">
        <f t="shared" si="0"/>
        <v>0</v>
      </c>
      <c r="R22" s="61" t="e">
        <f t="shared" si="1"/>
        <v>#DIV/0!</v>
      </c>
    </row>
    <row r="23" spans="1:18" ht="18" customHeight="1" x14ac:dyDescent="0.15">
      <c r="A23" s="46"/>
      <c r="B23" s="87"/>
      <c r="C23" s="62"/>
      <c r="D23" s="55"/>
      <c r="E23" s="56"/>
      <c r="F23" s="57"/>
      <c r="G23" s="58"/>
      <c r="H23" s="59"/>
      <c r="I23" s="56"/>
      <c r="J23" s="57"/>
      <c r="K23" s="58"/>
      <c r="L23" s="59"/>
      <c r="M23" s="56"/>
      <c r="N23" s="57"/>
      <c r="O23" s="58"/>
      <c r="P23" s="59"/>
      <c r="Q23" s="60">
        <f t="shared" si="0"/>
        <v>0</v>
      </c>
      <c r="R23" s="61" t="e">
        <f t="shared" si="1"/>
        <v>#DIV/0!</v>
      </c>
    </row>
    <row r="24" spans="1:18" ht="18" customHeight="1" x14ac:dyDescent="0.15">
      <c r="A24" s="46"/>
      <c r="B24" s="87"/>
      <c r="C24" s="62"/>
      <c r="D24" s="55"/>
      <c r="E24" s="56"/>
      <c r="F24" s="57"/>
      <c r="G24" s="58"/>
      <c r="H24" s="59"/>
      <c r="I24" s="56"/>
      <c r="J24" s="57"/>
      <c r="K24" s="58"/>
      <c r="L24" s="59"/>
      <c r="M24" s="56"/>
      <c r="N24" s="57"/>
      <c r="O24" s="58"/>
      <c r="P24" s="59"/>
      <c r="Q24" s="60">
        <f t="shared" si="0"/>
        <v>0</v>
      </c>
      <c r="R24" s="61" t="e">
        <f t="shared" si="1"/>
        <v>#DIV/0!</v>
      </c>
    </row>
    <row r="25" spans="1:18" ht="18" customHeight="1" x14ac:dyDescent="0.15">
      <c r="A25" s="46"/>
      <c r="B25" s="87"/>
      <c r="C25" s="62"/>
      <c r="D25" s="55"/>
      <c r="E25" s="56"/>
      <c r="F25" s="57"/>
      <c r="G25" s="58"/>
      <c r="H25" s="59"/>
      <c r="I25" s="56"/>
      <c r="J25" s="57"/>
      <c r="K25" s="58"/>
      <c r="L25" s="59"/>
      <c r="M25" s="56"/>
      <c r="N25" s="57"/>
      <c r="O25" s="58"/>
      <c r="P25" s="59"/>
      <c r="Q25" s="60">
        <f t="shared" si="0"/>
        <v>0</v>
      </c>
      <c r="R25" s="61" t="e">
        <f t="shared" si="1"/>
        <v>#DIV/0!</v>
      </c>
    </row>
    <row r="26" spans="1:18" ht="18" customHeight="1" x14ac:dyDescent="0.15">
      <c r="A26" s="46"/>
      <c r="B26" s="87"/>
      <c r="C26" s="62"/>
      <c r="D26" s="55"/>
      <c r="E26" s="56"/>
      <c r="F26" s="57"/>
      <c r="G26" s="58"/>
      <c r="H26" s="59"/>
      <c r="I26" s="56"/>
      <c r="J26" s="57"/>
      <c r="K26" s="58"/>
      <c r="L26" s="59"/>
      <c r="M26" s="56"/>
      <c r="N26" s="57"/>
      <c r="O26" s="58"/>
      <c r="P26" s="59"/>
      <c r="Q26" s="60">
        <f t="shared" si="0"/>
        <v>0</v>
      </c>
      <c r="R26" s="61" t="e">
        <f t="shared" si="1"/>
        <v>#DIV/0!</v>
      </c>
    </row>
    <row r="27" spans="1:18" ht="18" customHeight="1" x14ac:dyDescent="0.15">
      <c r="A27" s="46"/>
      <c r="B27" s="87"/>
      <c r="C27" s="54"/>
      <c r="D27" s="55"/>
      <c r="E27" s="56"/>
      <c r="F27" s="57"/>
      <c r="G27" s="58"/>
      <c r="H27" s="59"/>
      <c r="I27" s="56"/>
      <c r="J27" s="57"/>
      <c r="K27" s="58"/>
      <c r="L27" s="59"/>
      <c r="M27" s="56"/>
      <c r="N27" s="57"/>
      <c r="O27" s="58"/>
      <c r="P27" s="59"/>
      <c r="Q27" s="60">
        <f t="shared" si="0"/>
        <v>0</v>
      </c>
      <c r="R27" s="61" t="e">
        <f t="shared" si="1"/>
        <v>#DIV/0!</v>
      </c>
    </row>
    <row r="28" spans="1:18" ht="18" customHeight="1" x14ac:dyDescent="0.15">
      <c r="A28" s="46"/>
      <c r="B28" s="87"/>
      <c r="C28" s="54"/>
      <c r="D28" s="55"/>
      <c r="E28" s="56"/>
      <c r="F28" s="57"/>
      <c r="G28" s="58"/>
      <c r="H28" s="59"/>
      <c r="I28" s="56"/>
      <c r="J28" s="57"/>
      <c r="K28" s="58"/>
      <c r="L28" s="59"/>
      <c r="M28" s="56"/>
      <c r="N28" s="57"/>
      <c r="O28" s="58"/>
      <c r="P28" s="59"/>
      <c r="Q28" s="60">
        <f t="shared" si="0"/>
        <v>0</v>
      </c>
      <c r="R28" s="61" t="e">
        <f t="shared" si="1"/>
        <v>#DIV/0!</v>
      </c>
    </row>
    <row r="29" spans="1:18" ht="18" customHeight="1" thickBot="1" x14ac:dyDescent="0.2">
      <c r="A29" s="46"/>
      <c r="B29" s="88"/>
      <c r="C29" s="89"/>
      <c r="D29" s="47"/>
      <c r="E29" s="48"/>
      <c r="F29" s="49"/>
      <c r="G29" s="50"/>
      <c r="H29" s="51"/>
      <c r="I29" s="48"/>
      <c r="J29" s="49"/>
      <c r="K29" s="50"/>
      <c r="L29" s="51"/>
      <c r="M29" s="48"/>
      <c r="N29" s="49"/>
      <c r="O29" s="50"/>
      <c r="P29" s="51"/>
      <c r="Q29" s="63">
        <f t="shared" si="0"/>
        <v>0</v>
      </c>
      <c r="R29" s="53" t="e">
        <f t="shared" si="1"/>
        <v>#DIV/0!</v>
      </c>
    </row>
    <row r="30" spans="1:18" ht="18" customHeight="1" thickTop="1" x14ac:dyDescent="0.15">
      <c r="B30" s="90" t="s">
        <v>53</v>
      </c>
      <c r="C30" s="91">
        <f t="shared" ref="C30:Q30" si="2">SUM(C10:C29)</f>
        <v>80</v>
      </c>
      <c r="D30" s="64">
        <f t="shared" si="2"/>
        <v>940</v>
      </c>
      <c r="E30" s="65">
        <f t="shared" si="2"/>
        <v>146</v>
      </c>
      <c r="F30" s="66">
        <f t="shared" si="2"/>
        <v>77</v>
      </c>
      <c r="G30" s="67">
        <f t="shared" si="2"/>
        <v>0</v>
      </c>
      <c r="H30" s="68">
        <f t="shared" si="2"/>
        <v>0</v>
      </c>
      <c r="I30" s="65">
        <f t="shared" si="2"/>
        <v>0</v>
      </c>
      <c r="J30" s="66">
        <f t="shared" si="2"/>
        <v>0</v>
      </c>
      <c r="K30" s="67">
        <f t="shared" si="2"/>
        <v>0</v>
      </c>
      <c r="L30" s="68">
        <f t="shared" si="2"/>
        <v>0</v>
      </c>
      <c r="M30" s="65">
        <f t="shared" si="2"/>
        <v>0</v>
      </c>
      <c r="N30" s="66">
        <f t="shared" si="2"/>
        <v>0</v>
      </c>
      <c r="O30" s="67">
        <f t="shared" si="2"/>
        <v>0</v>
      </c>
      <c r="P30" s="68">
        <f t="shared" si="2"/>
        <v>0</v>
      </c>
      <c r="Q30" s="69">
        <f t="shared" si="2"/>
        <v>146</v>
      </c>
      <c r="R30" s="70">
        <f>Q30/D30</f>
        <v>0.15531914893617021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110" zoomScaleNormal="100" zoomScaleSheetLayoutView="110" workbookViewId="0">
      <selection activeCell="B32" sqref="B32:N3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110</v>
      </c>
      <c r="J1" s="40" t="s">
        <v>111</v>
      </c>
    </row>
    <row r="2" spans="1:11" ht="18.75" customHeight="1" x14ac:dyDescent="0.15">
      <c r="A2" s="263" t="s">
        <v>60</v>
      </c>
      <c r="B2" s="263"/>
      <c r="C2" s="263"/>
      <c r="D2" s="263"/>
      <c r="E2" s="263"/>
      <c r="F2" s="263"/>
      <c r="G2" s="263"/>
      <c r="H2" s="263"/>
      <c r="I2" s="263"/>
      <c r="J2" s="263"/>
    </row>
    <row r="3" spans="1:11" ht="7.5" customHeight="1" x14ac:dyDescent="0.15">
      <c r="B3" s="37"/>
      <c r="C3" s="37"/>
      <c r="D3" s="37"/>
      <c r="E3" s="37"/>
      <c r="F3" s="37"/>
      <c r="G3" s="37"/>
      <c r="H3" s="37"/>
      <c r="I3" s="37"/>
      <c r="J3" s="37"/>
    </row>
    <row r="4" spans="1:11" ht="18.75" customHeight="1" x14ac:dyDescent="0.15">
      <c r="A4" s="1" t="s">
        <v>6</v>
      </c>
      <c r="B4" s="4" t="s">
        <v>68</v>
      </c>
      <c r="C4" s="4"/>
      <c r="D4" s="4"/>
      <c r="E4" s="4"/>
      <c r="F4" s="4"/>
      <c r="G4" s="4"/>
      <c r="H4" s="4"/>
      <c r="I4" s="37"/>
      <c r="J4" s="37"/>
    </row>
    <row r="5" spans="1:11" ht="18.75" customHeight="1" x14ac:dyDescent="0.15">
      <c r="A5" s="1"/>
      <c r="B5" s="159" t="s">
        <v>180</v>
      </c>
      <c r="C5" s="160"/>
      <c r="D5" s="160"/>
      <c r="E5" s="160"/>
      <c r="F5" s="160"/>
      <c r="G5" s="160"/>
      <c r="H5" s="160"/>
      <c r="I5" s="160"/>
      <c r="J5" s="300"/>
      <c r="K5" s="31" t="str">
        <f>IF(B5="","入力してください","")</f>
        <v/>
      </c>
    </row>
    <row r="6" spans="1:11" ht="7.5" customHeight="1" x14ac:dyDescent="0.15">
      <c r="B6" s="37"/>
      <c r="C6" s="37"/>
      <c r="D6" s="37"/>
      <c r="E6" s="37"/>
      <c r="F6" s="37"/>
      <c r="G6" s="37"/>
      <c r="H6" s="37"/>
      <c r="I6" s="37"/>
      <c r="J6" s="37"/>
    </row>
    <row r="7" spans="1:11" s="4" customFormat="1" ht="18.75" customHeight="1" x14ac:dyDescent="0.15">
      <c r="A7" s="1" t="s">
        <v>9</v>
      </c>
      <c r="B7" s="1" t="s">
        <v>37</v>
      </c>
      <c r="C7" s="1"/>
      <c r="D7" s="1"/>
      <c r="E7" s="1"/>
      <c r="F7" s="1"/>
      <c r="G7" s="1"/>
      <c r="H7" s="1"/>
      <c r="I7" s="1"/>
      <c r="J7" s="1"/>
      <c r="K7" s="35"/>
    </row>
    <row r="8" spans="1:11" s="4" customFormat="1" ht="18.75" customHeight="1" x14ac:dyDescent="0.15">
      <c r="A8" s="92"/>
      <c r="B8" s="279" t="s">
        <v>182</v>
      </c>
      <c r="C8" s="280"/>
      <c r="D8" s="280"/>
      <c r="E8" s="280"/>
      <c r="F8" s="280"/>
      <c r="G8" s="280"/>
      <c r="H8" s="280"/>
      <c r="I8" s="288"/>
      <c r="J8" s="289"/>
      <c r="K8" s="31" t="str">
        <f>IF(B8="","入力してください","")</f>
        <v/>
      </c>
    </row>
    <row r="9" spans="1:11" s="4" customFormat="1" ht="18.75" customHeight="1" x14ac:dyDescent="0.15">
      <c r="A9" s="92"/>
      <c r="B9" s="290"/>
      <c r="C9" s="291"/>
      <c r="D9" s="291"/>
      <c r="E9" s="291"/>
      <c r="F9" s="291"/>
      <c r="G9" s="291"/>
      <c r="H9" s="291"/>
      <c r="I9" s="291"/>
      <c r="J9" s="292"/>
      <c r="K9" s="31"/>
    </row>
    <row r="10" spans="1:11" s="4" customFormat="1" ht="18.75" customHeight="1" x14ac:dyDescent="0.15">
      <c r="A10" s="92"/>
      <c r="B10" s="290"/>
      <c r="C10" s="291"/>
      <c r="D10" s="291"/>
      <c r="E10" s="291"/>
      <c r="F10" s="291"/>
      <c r="G10" s="291"/>
      <c r="H10" s="291"/>
      <c r="I10" s="291"/>
      <c r="J10" s="292"/>
      <c r="K10" s="31"/>
    </row>
    <row r="11" spans="1:11" s="4" customFormat="1" ht="18.75" customHeight="1" x14ac:dyDescent="0.15">
      <c r="A11" s="92"/>
      <c r="B11" s="290"/>
      <c r="C11" s="291"/>
      <c r="D11" s="291"/>
      <c r="E11" s="291"/>
      <c r="F11" s="291"/>
      <c r="G11" s="291"/>
      <c r="H11" s="291"/>
      <c r="I11" s="291"/>
      <c r="J11" s="292"/>
      <c r="K11" s="31"/>
    </row>
    <row r="12" spans="1:11" s="4" customFormat="1" ht="18.75" customHeight="1" x14ac:dyDescent="0.15">
      <c r="A12" s="92"/>
      <c r="B12" s="293"/>
      <c r="C12" s="294"/>
      <c r="D12" s="294"/>
      <c r="E12" s="294"/>
      <c r="F12" s="294"/>
      <c r="G12" s="294"/>
      <c r="H12" s="294"/>
      <c r="I12" s="294"/>
      <c r="J12" s="295"/>
      <c r="K12" s="31"/>
    </row>
    <row r="13" spans="1:11" s="4" customFormat="1" ht="7.5" customHeight="1" x14ac:dyDescent="0.15">
      <c r="A13" s="92"/>
      <c r="B13" s="92"/>
      <c r="C13" s="92"/>
      <c r="D13" s="92"/>
      <c r="E13" s="92"/>
      <c r="F13" s="92"/>
      <c r="G13" s="92"/>
      <c r="H13" s="92"/>
      <c r="I13" s="92"/>
      <c r="J13" s="92"/>
      <c r="K13" s="31"/>
    </row>
    <row r="14" spans="1:11" s="4" customFormat="1" ht="18.75" customHeight="1" x14ac:dyDescent="0.15">
      <c r="A14" s="93" t="s">
        <v>10</v>
      </c>
      <c r="B14" s="93" t="s">
        <v>15</v>
      </c>
      <c r="C14" s="93"/>
      <c r="D14" s="93"/>
      <c r="E14" s="93"/>
      <c r="F14" s="93"/>
      <c r="G14" s="93"/>
      <c r="H14" s="93"/>
      <c r="I14" s="93"/>
      <c r="J14" s="93"/>
      <c r="K14" s="31"/>
    </row>
    <row r="15" spans="1:11" s="4" customFormat="1" ht="18.75" customHeight="1" x14ac:dyDescent="0.15">
      <c r="A15" s="92"/>
      <c r="B15" s="279" t="s">
        <v>204</v>
      </c>
      <c r="C15" s="280"/>
      <c r="D15" s="280"/>
      <c r="E15" s="280"/>
      <c r="F15" s="280"/>
      <c r="G15" s="280"/>
      <c r="H15" s="280"/>
      <c r="I15" s="288"/>
      <c r="J15" s="289"/>
      <c r="K15" s="31" t="str">
        <f>IF(B15="","入力してください","")</f>
        <v/>
      </c>
    </row>
    <row r="16" spans="1:11" s="4" customFormat="1" ht="18.75" customHeight="1" x14ac:dyDescent="0.15">
      <c r="A16" s="92"/>
      <c r="B16" s="290"/>
      <c r="C16" s="291"/>
      <c r="D16" s="291"/>
      <c r="E16" s="291"/>
      <c r="F16" s="291"/>
      <c r="G16" s="291"/>
      <c r="H16" s="291"/>
      <c r="I16" s="291"/>
      <c r="J16" s="292"/>
      <c r="K16" s="31"/>
    </row>
    <row r="17" spans="1:11" s="4" customFormat="1" ht="18.75" customHeight="1" x14ac:dyDescent="0.15">
      <c r="A17" s="92"/>
      <c r="B17" s="290"/>
      <c r="C17" s="291"/>
      <c r="D17" s="291"/>
      <c r="E17" s="291"/>
      <c r="F17" s="291"/>
      <c r="G17" s="291"/>
      <c r="H17" s="291"/>
      <c r="I17" s="291"/>
      <c r="J17" s="292"/>
      <c r="K17" s="31"/>
    </row>
    <row r="18" spans="1:11" s="4" customFormat="1" ht="18.75" customHeight="1" x14ac:dyDescent="0.15">
      <c r="A18" s="92"/>
      <c r="B18" s="290"/>
      <c r="C18" s="291"/>
      <c r="D18" s="291"/>
      <c r="E18" s="291"/>
      <c r="F18" s="291"/>
      <c r="G18" s="291"/>
      <c r="H18" s="291"/>
      <c r="I18" s="291"/>
      <c r="J18" s="292"/>
      <c r="K18" s="31"/>
    </row>
    <row r="19" spans="1:11" s="4" customFormat="1" ht="18.75" customHeight="1" x14ac:dyDescent="0.15">
      <c r="A19" s="92"/>
      <c r="B19" s="290"/>
      <c r="C19" s="291"/>
      <c r="D19" s="291"/>
      <c r="E19" s="291"/>
      <c r="F19" s="291"/>
      <c r="G19" s="291"/>
      <c r="H19" s="291"/>
      <c r="I19" s="291"/>
      <c r="J19" s="292"/>
      <c r="K19" s="31"/>
    </row>
    <row r="20" spans="1:11" s="4" customFormat="1" ht="18.75" customHeight="1" x14ac:dyDescent="0.15">
      <c r="A20" s="92"/>
      <c r="B20" s="290"/>
      <c r="C20" s="291"/>
      <c r="D20" s="291"/>
      <c r="E20" s="291"/>
      <c r="F20" s="291"/>
      <c r="G20" s="291"/>
      <c r="H20" s="291"/>
      <c r="I20" s="291"/>
      <c r="J20" s="292"/>
      <c r="K20" s="31"/>
    </row>
    <row r="21" spans="1:11" s="4" customFormat="1" ht="18.75" customHeight="1" x14ac:dyDescent="0.15">
      <c r="A21" s="92"/>
      <c r="B21" s="290"/>
      <c r="C21" s="291"/>
      <c r="D21" s="291"/>
      <c r="E21" s="291"/>
      <c r="F21" s="291"/>
      <c r="G21" s="291"/>
      <c r="H21" s="291"/>
      <c r="I21" s="291"/>
      <c r="J21" s="292"/>
      <c r="K21" s="31"/>
    </row>
    <row r="22" spans="1:11" s="4" customFormat="1" ht="18.75" customHeight="1" x14ac:dyDescent="0.15">
      <c r="A22" s="92"/>
      <c r="B22" s="290"/>
      <c r="C22" s="291"/>
      <c r="D22" s="291"/>
      <c r="E22" s="291"/>
      <c r="F22" s="291"/>
      <c r="G22" s="291"/>
      <c r="H22" s="291"/>
      <c r="I22" s="291"/>
      <c r="J22" s="292"/>
      <c r="K22" s="31"/>
    </row>
    <row r="23" spans="1:11" s="4" customFormat="1" ht="18.75" customHeight="1" x14ac:dyDescent="0.15">
      <c r="A23" s="92"/>
      <c r="B23" s="290"/>
      <c r="C23" s="291"/>
      <c r="D23" s="291"/>
      <c r="E23" s="291"/>
      <c r="F23" s="291"/>
      <c r="G23" s="291"/>
      <c r="H23" s="291"/>
      <c r="I23" s="291"/>
      <c r="J23" s="292"/>
      <c r="K23" s="31"/>
    </row>
    <row r="24" spans="1:11" s="4" customFormat="1" ht="18.75" customHeight="1" x14ac:dyDescent="0.15">
      <c r="A24" s="92"/>
      <c r="B24" s="290"/>
      <c r="C24" s="291"/>
      <c r="D24" s="291"/>
      <c r="E24" s="291"/>
      <c r="F24" s="291"/>
      <c r="G24" s="291"/>
      <c r="H24" s="291"/>
      <c r="I24" s="291"/>
      <c r="J24" s="292"/>
      <c r="K24" s="31"/>
    </row>
    <row r="25" spans="1:11" s="4" customFormat="1" ht="18.75" customHeight="1" x14ac:dyDescent="0.15">
      <c r="A25" s="92"/>
      <c r="B25" s="293"/>
      <c r="C25" s="294"/>
      <c r="D25" s="294"/>
      <c r="E25" s="294"/>
      <c r="F25" s="294"/>
      <c r="G25" s="294"/>
      <c r="H25" s="294"/>
      <c r="I25" s="294"/>
      <c r="J25" s="295"/>
      <c r="K25" s="31"/>
    </row>
    <row r="26" spans="1:11" ht="7.5" customHeight="1" x14ac:dyDescent="0.15">
      <c r="A26" s="38"/>
      <c r="B26" s="38"/>
      <c r="C26" s="38"/>
      <c r="D26" s="38"/>
      <c r="E26" s="38"/>
      <c r="F26" s="38"/>
      <c r="G26" s="38"/>
      <c r="H26" s="38"/>
      <c r="I26" s="38"/>
      <c r="J26" s="38"/>
    </row>
    <row r="27" spans="1:11" s="4" customFormat="1" ht="18.75" customHeight="1" x14ac:dyDescent="0.15">
      <c r="A27" s="1" t="s">
        <v>13</v>
      </c>
      <c r="B27" s="1" t="s">
        <v>24</v>
      </c>
      <c r="C27" s="1"/>
      <c r="D27" s="1"/>
      <c r="E27" s="1"/>
      <c r="F27" s="1"/>
      <c r="G27" s="1"/>
      <c r="H27" s="1"/>
      <c r="I27" s="1"/>
      <c r="J27" s="1"/>
      <c r="K27" s="31"/>
    </row>
    <row r="28" spans="1:11" s="29" customFormat="1" ht="18.75" customHeight="1" x14ac:dyDescent="0.15">
      <c r="B28" s="94" t="s">
        <v>112</v>
      </c>
      <c r="C28" s="95">
        <f>'様式３　履修者等数の実績'!R30</f>
        <v>0.15531914893617021</v>
      </c>
      <c r="D28" s="96"/>
      <c r="E28" s="96" t="s">
        <v>113</v>
      </c>
      <c r="F28" s="95">
        <v>0.3</v>
      </c>
      <c r="G28" s="96"/>
      <c r="H28" s="96" t="s">
        <v>114</v>
      </c>
      <c r="I28" s="97">
        <v>0.45</v>
      </c>
      <c r="J28" s="98"/>
      <c r="K28" s="31"/>
    </row>
    <row r="29" spans="1:11" s="29" customFormat="1" ht="18.75" customHeight="1" x14ac:dyDescent="0.15">
      <c r="B29" s="82" t="s">
        <v>115</v>
      </c>
      <c r="C29" s="99">
        <v>1</v>
      </c>
      <c r="D29" s="83"/>
      <c r="E29" s="83" t="s">
        <v>116</v>
      </c>
      <c r="F29" s="99">
        <v>1</v>
      </c>
      <c r="G29" s="83"/>
      <c r="H29" s="83" t="s">
        <v>117</v>
      </c>
      <c r="I29" s="100">
        <f>'様式３　履修者等数の実績'!D30</f>
        <v>940</v>
      </c>
      <c r="J29" s="101"/>
      <c r="K29" s="35"/>
    </row>
    <row r="30" spans="1:11" s="4" customFormat="1" ht="18.75" customHeight="1" x14ac:dyDescent="0.15">
      <c r="A30" s="1"/>
      <c r="B30" s="207" t="s">
        <v>118</v>
      </c>
      <c r="C30" s="208"/>
      <c r="D30" s="208"/>
      <c r="E30" s="208"/>
      <c r="F30" s="208"/>
      <c r="G30" s="208"/>
      <c r="H30" s="208"/>
      <c r="I30" s="208"/>
      <c r="J30" s="209"/>
      <c r="K30" s="35"/>
    </row>
    <row r="31" spans="1:11" s="4" customFormat="1" ht="18.75" customHeight="1" x14ac:dyDescent="0.15">
      <c r="A31" s="1"/>
      <c r="B31" s="297" t="s">
        <v>218</v>
      </c>
      <c r="C31" s="298"/>
      <c r="D31" s="298"/>
      <c r="E31" s="298"/>
      <c r="F31" s="298"/>
      <c r="G31" s="298"/>
      <c r="H31" s="298"/>
      <c r="I31" s="298"/>
      <c r="J31" s="299"/>
      <c r="K31" s="35" t="str">
        <f>IF(B31="","入力してください","")</f>
        <v/>
      </c>
    </row>
    <row r="32" spans="1:11" s="4" customFormat="1" ht="18.75" customHeight="1" x14ac:dyDescent="0.15">
      <c r="A32" s="1"/>
      <c r="B32" s="290"/>
      <c r="C32" s="291"/>
      <c r="D32" s="291"/>
      <c r="E32" s="291"/>
      <c r="F32" s="291"/>
      <c r="G32" s="291"/>
      <c r="H32" s="291"/>
      <c r="I32" s="291"/>
      <c r="J32" s="292"/>
      <c r="K32" s="35"/>
    </row>
    <row r="33" spans="1:11" s="4" customFormat="1" ht="18.75" customHeight="1" x14ac:dyDescent="0.15">
      <c r="A33" s="1"/>
      <c r="B33" s="290"/>
      <c r="C33" s="291"/>
      <c r="D33" s="291"/>
      <c r="E33" s="291"/>
      <c r="F33" s="291"/>
      <c r="G33" s="291"/>
      <c r="H33" s="291"/>
      <c r="I33" s="291"/>
      <c r="J33" s="292"/>
      <c r="K33" s="35"/>
    </row>
    <row r="34" spans="1:11" s="4" customFormat="1" ht="18.75" customHeight="1" x14ac:dyDescent="0.15">
      <c r="A34" s="1"/>
      <c r="B34" s="290"/>
      <c r="C34" s="291"/>
      <c r="D34" s="291"/>
      <c r="E34" s="291"/>
      <c r="F34" s="291"/>
      <c r="G34" s="291"/>
      <c r="H34" s="291"/>
      <c r="I34" s="291"/>
      <c r="J34" s="292"/>
      <c r="K34" s="35"/>
    </row>
    <row r="35" spans="1:11" s="4" customFormat="1" ht="18.75" customHeight="1" x14ac:dyDescent="0.15">
      <c r="A35" s="1"/>
      <c r="B35" s="290"/>
      <c r="C35" s="291"/>
      <c r="D35" s="291"/>
      <c r="E35" s="291"/>
      <c r="F35" s="291"/>
      <c r="G35" s="291"/>
      <c r="H35" s="291"/>
      <c r="I35" s="291"/>
      <c r="J35" s="292"/>
      <c r="K35" s="35"/>
    </row>
    <row r="36" spans="1:11" s="4" customFormat="1" ht="18.75" customHeight="1" x14ac:dyDescent="0.15">
      <c r="A36" s="1"/>
      <c r="B36" s="290"/>
      <c r="C36" s="291"/>
      <c r="D36" s="291"/>
      <c r="E36" s="291"/>
      <c r="F36" s="291"/>
      <c r="G36" s="291"/>
      <c r="H36" s="291"/>
      <c r="I36" s="291"/>
      <c r="J36" s="292"/>
      <c r="K36" s="35"/>
    </row>
    <row r="37" spans="1:11" s="4" customFormat="1" ht="18.75" customHeight="1" x14ac:dyDescent="0.15">
      <c r="A37" s="1"/>
      <c r="B37" s="290"/>
      <c r="C37" s="291"/>
      <c r="D37" s="291"/>
      <c r="E37" s="291"/>
      <c r="F37" s="291"/>
      <c r="G37" s="291"/>
      <c r="H37" s="291"/>
      <c r="I37" s="291"/>
      <c r="J37" s="292"/>
      <c r="K37" s="35"/>
    </row>
    <row r="38" spans="1:11" s="4" customFormat="1" ht="18.75" customHeight="1" x14ac:dyDescent="0.15">
      <c r="A38" s="1"/>
      <c r="B38" s="290"/>
      <c r="C38" s="291"/>
      <c r="D38" s="291"/>
      <c r="E38" s="291"/>
      <c r="F38" s="291"/>
      <c r="G38" s="291"/>
      <c r="H38" s="291"/>
      <c r="I38" s="291"/>
      <c r="J38" s="292"/>
      <c r="K38" s="35"/>
    </row>
    <row r="39" spans="1:11" s="4" customFormat="1" ht="18.75" customHeight="1" x14ac:dyDescent="0.15">
      <c r="A39" s="1"/>
      <c r="B39" s="290"/>
      <c r="C39" s="291"/>
      <c r="D39" s="291"/>
      <c r="E39" s="291"/>
      <c r="F39" s="291"/>
      <c r="G39" s="291"/>
      <c r="H39" s="291"/>
      <c r="I39" s="291"/>
      <c r="J39" s="292"/>
      <c r="K39" s="35"/>
    </row>
    <row r="40" spans="1:11" s="4" customFormat="1" ht="18.75" customHeight="1" x14ac:dyDescent="0.15">
      <c r="A40" s="1"/>
      <c r="B40" s="290"/>
      <c r="C40" s="291"/>
      <c r="D40" s="291"/>
      <c r="E40" s="291"/>
      <c r="F40" s="291"/>
      <c r="G40" s="291"/>
      <c r="H40" s="291"/>
      <c r="I40" s="291"/>
      <c r="J40" s="292"/>
      <c r="K40" s="35"/>
    </row>
    <row r="41" spans="1:11" s="4" customFormat="1" ht="18.75" customHeight="1" x14ac:dyDescent="0.15">
      <c r="A41" s="1"/>
      <c r="B41" s="290"/>
      <c r="C41" s="291"/>
      <c r="D41" s="291"/>
      <c r="E41" s="291"/>
      <c r="F41" s="291"/>
      <c r="G41" s="291"/>
      <c r="H41" s="291"/>
      <c r="I41" s="291"/>
      <c r="J41" s="292"/>
      <c r="K41" s="35"/>
    </row>
    <row r="42" spans="1:11" s="4" customFormat="1" ht="18.75" customHeight="1" x14ac:dyDescent="0.15">
      <c r="A42" s="1"/>
      <c r="B42" s="290"/>
      <c r="C42" s="291"/>
      <c r="D42" s="291"/>
      <c r="E42" s="291"/>
      <c r="F42" s="291"/>
      <c r="G42" s="291"/>
      <c r="H42" s="291"/>
      <c r="I42" s="291"/>
      <c r="J42" s="292"/>
      <c r="K42" s="35"/>
    </row>
    <row r="43" spans="1:11" ht="18.75" customHeight="1" x14ac:dyDescent="0.15">
      <c r="A43" s="38"/>
      <c r="B43" s="290"/>
      <c r="C43" s="291"/>
      <c r="D43" s="291"/>
      <c r="E43" s="291"/>
      <c r="F43" s="291"/>
      <c r="G43" s="291"/>
      <c r="H43" s="291"/>
      <c r="I43" s="291"/>
      <c r="J43" s="292"/>
      <c r="K43" s="35"/>
    </row>
    <row r="44" spans="1:11" ht="18.75" customHeight="1" x14ac:dyDescent="0.15">
      <c r="A44" s="38"/>
      <c r="B44" s="293"/>
      <c r="C44" s="294"/>
      <c r="D44" s="294"/>
      <c r="E44" s="294"/>
      <c r="F44" s="294"/>
      <c r="G44" s="294"/>
      <c r="H44" s="294"/>
      <c r="I44" s="294"/>
      <c r="J44" s="295"/>
    </row>
    <row r="45" spans="1:11" s="4" customFormat="1" ht="18.75" customHeight="1" x14ac:dyDescent="0.15">
      <c r="A45" s="102" t="s">
        <v>11</v>
      </c>
      <c r="B45" s="1" t="s">
        <v>61</v>
      </c>
      <c r="C45" s="1"/>
      <c r="D45" s="1"/>
      <c r="E45" s="1"/>
      <c r="F45" s="1"/>
      <c r="G45" s="1"/>
      <c r="H45" s="1"/>
      <c r="I45" s="102"/>
      <c r="J45" s="102"/>
      <c r="K45" s="31"/>
    </row>
    <row r="46" spans="1:11" ht="18.75" customHeight="1" x14ac:dyDescent="0.15">
      <c r="A46" s="38"/>
      <c r="B46" s="279" t="s">
        <v>183</v>
      </c>
      <c r="C46" s="280"/>
      <c r="D46" s="280"/>
      <c r="E46" s="280"/>
      <c r="F46" s="280"/>
      <c r="G46" s="280"/>
      <c r="H46" s="280"/>
      <c r="I46" s="280"/>
      <c r="J46" s="281"/>
      <c r="K46" s="31" t="str">
        <f>IF(B46="","入力してください","")</f>
        <v/>
      </c>
    </row>
    <row r="47" spans="1:11" ht="18.75" customHeight="1" x14ac:dyDescent="0.15">
      <c r="A47" s="38"/>
      <c r="B47" s="282"/>
      <c r="C47" s="283"/>
      <c r="D47" s="283"/>
      <c r="E47" s="283"/>
      <c r="F47" s="283"/>
      <c r="G47" s="283"/>
      <c r="H47" s="283"/>
      <c r="I47" s="283"/>
      <c r="J47" s="284"/>
    </row>
    <row r="48" spans="1:11" ht="18.75" customHeight="1" x14ac:dyDescent="0.15">
      <c r="A48" s="38"/>
      <c r="B48" s="282"/>
      <c r="C48" s="283"/>
      <c r="D48" s="283"/>
      <c r="E48" s="283"/>
      <c r="F48" s="283"/>
      <c r="G48" s="283"/>
      <c r="H48" s="283"/>
      <c r="I48" s="283"/>
      <c r="J48" s="284"/>
    </row>
    <row r="49" spans="1:10" ht="18.75" customHeight="1" x14ac:dyDescent="0.15">
      <c r="A49" s="38"/>
      <c r="B49" s="282"/>
      <c r="C49" s="283"/>
      <c r="D49" s="283"/>
      <c r="E49" s="283"/>
      <c r="F49" s="283"/>
      <c r="G49" s="283"/>
      <c r="H49" s="283"/>
      <c r="I49" s="283"/>
      <c r="J49" s="284"/>
    </row>
    <row r="50" spans="1:10" ht="18.75" customHeight="1" x14ac:dyDescent="0.15">
      <c r="A50" s="38"/>
      <c r="B50" s="282"/>
      <c r="C50" s="283"/>
      <c r="D50" s="283"/>
      <c r="E50" s="283"/>
      <c r="F50" s="283"/>
      <c r="G50" s="283"/>
      <c r="H50" s="283"/>
      <c r="I50" s="283"/>
      <c r="J50" s="284"/>
    </row>
    <row r="51" spans="1:10" ht="18.75" customHeight="1" x14ac:dyDescent="0.15">
      <c r="A51" s="38"/>
      <c r="B51" s="282"/>
      <c r="C51" s="283"/>
      <c r="D51" s="283"/>
      <c r="E51" s="283"/>
      <c r="F51" s="283"/>
      <c r="G51" s="283"/>
      <c r="H51" s="283"/>
      <c r="I51" s="283"/>
      <c r="J51" s="284"/>
    </row>
    <row r="52" spans="1:10" ht="18.75" customHeight="1" x14ac:dyDescent="0.15">
      <c r="A52" s="38"/>
      <c r="B52" s="282"/>
      <c r="C52" s="283"/>
      <c r="D52" s="283"/>
      <c r="E52" s="283"/>
      <c r="F52" s="283"/>
      <c r="G52" s="283"/>
      <c r="H52" s="283"/>
      <c r="I52" s="283"/>
      <c r="J52" s="284"/>
    </row>
    <row r="53" spans="1:10" ht="18.75" customHeight="1" x14ac:dyDescent="0.15">
      <c r="A53" s="38"/>
      <c r="B53" s="282"/>
      <c r="C53" s="283"/>
      <c r="D53" s="283"/>
      <c r="E53" s="283"/>
      <c r="F53" s="283"/>
      <c r="G53" s="283"/>
      <c r="H53" s="283"/>
      <c r="I53" s="283"/>
      <c r="J53" s="284"/>
    </row>
    <row r="54" spans="1:10" ht="18.75" customHeight="1" x14ac:dyDescent="0.15">
      <c r="A54" s="38"/>
      <c r="B54" s="282"/>
      <c r="C54" s="283"/>
      <c r="D54" s="283"/>
      <c r="E54" s="283"/>
      <c r="F54" s="283"/>
      <c r="G54" s="283"/>
      <c r="H54" s="283"/>
      <c r="I54" s="283"/>
      <c r="J54" s="284"/>
    </row>
    <row r="55" spans="1:10" ht="18.75" customHeight="1" x14ac:dyDescent="0.15">
      <c r="A55" s="38"/>
      <c r="B55" s="282"/>
      <c r="C55" s="283"/>
      <c r="D55" s="283"/>
      <c r="E55" s="283"/>
      <c r="F55" s="283"/>
      <c r="G55" s="283"/>
      <c r="H55" s="283"/>
      <c r="I55" s="283"/>
      <c r="J55" s="284"/>
    </row>
    <row r="56" spans="1:10" ht="18.75" customHeight="1" x14ac:dyDescent="0.15">
      <c r="A56" s="38"/>
      <c r="B56" s="282"/>
      <c r="C56" s="283"/>
      <c r="D56" s="283"/>
      <c r="E56" s="283"/>
      <c r="F56" s="283"/>
      <c r="G56" s="283"/>
      <c r="H56" s="283"/>
      <c r="I56" s="283"/>
      <c r="J56" s="284"/>
    </row>
    <row r="57" spans="1:10" ht="18.75" customHeight="1" x14ac:dyDescent="0.15">
      <c r="A57" s="38"/>
      <c r="B57" s="282"/>
      <c r="C57" s="283"/>
      <c r="D57" s="283"/>
      <c r="E57" s="283"/>
      <c r="F57" s="283"/>
      <c r="G57" s="283"/>
      <c r="H57" s="283"/>
      <c r="I57" s="283"/>
      <c r="J57" s="284"/>
    </row>
    <row r="58" spans="1:10" ht="18.75" customHeight="1" x14ac:dyDescent="0.15">
      <c r="A58" s="38"/>
      <c r="B58" s="282"/>
      <c r="C58" s="283"/>
      <c r="D58" s="283"/>
      <c r="E58" s="283"/>
      <c r="F58" s="283"/>
      <c r="G58" s="283"/>
      <c r="H58" s="283"/>
      <c r="I58" s="283"/>
      <c r="J58" s="284"/>
    </row>
    <row r="59" spans="1:10" ht="18.75" customHeight="1" x14ac:dyDescent="0.15">
      <c r="A59" s="38"/>
      <c r="B59" s="282"/>
      <c r="C59" s="283"/>
      <c r="D59" s="283"/>
      <c r="E59" s="283"/>
      <c r="F59" s="283"/>
      <c r="G59" s="283"/>
      <c r="H59" s="283"/>
      <c r="I59" s="283"/>
      <c r="J59" s="284"/>
    </row>
    <row r="60" spans="1:10" ht="18.75" customHeight="1" x14ac:dyDescent="0.15">
      <c r="A60" s="38"/>
      <c r="B60" s="282"/>
      <c r="C60" s="283"/>
      <c r="D60" s="283"/>
      <c r="E60" s="283"/>
      <c r="F60" s="283"/>
      <c r="G60" s="283"/>
      <c r="H60" s="283"/>
      <c r="I60" s="283"/>
      <c r="J60" s="284"/>
    </row>
    <row r="61" spans="1:10" ht="18.75" customHeight="1" x14ac:dyDescent="0.15">
      <c r="A61" s="38"/>
      <c r="B61" s="282"/>
      <c r="C61" s="283"/>
      <c r="D61" s="283"/>
      <c r="E61" s="283"/>
      <c r="F61" s="283"/>
      <c r="G61" s="283"/>
      <c r="H61" s="283"/>
      <c r="I61" s="283"/>
      <c r="J61" s="284"/>
    </row>
    <row r="62" spans="1:10" ht="18.75" customHeight="1" x14ac:dyDescent="0.15">
      <c r="A62" s="38"/>
      <c r="B62" s="282"/>
      <c r="C62" s="283"/>
      <c r="D62" s="283"/>
      <c r="E62" s="283"/>
      <c r="F62" s="283"/>
      <c r="G62" s="283"/>
      <c r="H62" s="283"/>
      <c r="I62" s="283"/>
      <c r="J62" s="284"/>
    </row>
    <row r="63" spans="1:10" ht="18.75" customHeight="1" x14ac:dyDescent="0.15">
      <c r="A63" s="38"/>
      <c r="B63" s="282"/>
      <c r="C63" s="283"/>
      <c r="D63" s="283"/>
      <c r="E63" s="283"/>
      <c r="F63" s="283"/>
      <c r="G63" s="283"/>
      <c r="H63" s="283"/>
      <c r="I63" s="283"/>
      <c r="J63" s="284"/>
    </row>
    <row r="64" spans="1:10" ht="18.75" customHeight="1" x14ac:dyDescent="0.15">
      <c r="A64" s="38"/>
      <c r="B64" s="282"/>
      <c r="C64" s="283"/>
      <c r="D64" s="283"/>
      <c r="E64" s="283"/>
      <c r="F64" s="283"/>
      <c r="G64" s="283"/>
      <c r="H64" s="283"/>
      <c r="I64" s="283"/>
      <c r="J64" s="284"/>
    </row>
    <row r="65" spans="1:11" ht="18.75" customHeight="1" x14ac:dyDescent="0.15">
      <c r="A65" s="38"/>
      <c r="B65" s="282"/>
      <c r="C65" s="283"/>
      <c r="D65" s="283"/>
      <c r="E65" s="283"/>
      <c r="F65" s="283"/>
      <c r="G65" s="283"/>
      <c r="H65" s="283"/>
      <c r="I65" s="283"/>
      <c r="J65" s="284"/>
    </row>
    <row r="66" spans="1:11" ht="18.75" customHeight="1" x14ac:dyDescent="0.15">
      <c r="A66" s="38"/>
      <c r="B66" s="285"/>
      <c r="C66" s="286"/>
      <c r="D66" s="286"/>
      <c r="E66" s="286"/>
      <c r="F66" s="286"/>
      <c r="G66" s="286"/>
      <c r="H66" s="286"/>
      <c r="I66" s="286"/>
      <c r="J66" s="287"/>
    </row>
    <row r="67" spans="1:11" ht="7.5" customHeight="1" x14ac:dyDescent="0.15">
      <c r="A67" s="38"/>
      <c r="B67" s="38"/>
      <c r="C67" s="38"/>
      <c r="D67" s="38"/>
      <c r="E67" s="38"/>
      <c r="F67" s="38"/>
      <c r="G67" s="38"/>
      <c r="H67" s="38"/>
      <c r="I67" s="38"/>
      <c r="J67" s="38"/>
    </row>
    <row r="68" spans="1:11" s="4" customFormat="1" ht="18.75" customHeight="1" x14ac:dyDescent="0.15">
      <c r="A68" s="1" t="s">
        <v>14</v>
      </c>
      <c r="B68" s="1" t="s">
        <v>67</v>
      </c>
      <c r="C68" s="1"/>
      <c r="D68" s="1"/>
      <c r="E68" s="1"/>
      <c r="F68" s="1"/>
      <c r="G68" s="1"/>
      <c r="H68" s="1"/>
      <c r="I68" s="1"/>
      <c r="J68" s="1"/>
      <c r="K68" s="31"/>
    </row>
    <row r="69" spans="1:11" s="4" customFormat="1" ht="18.75" customHeight="1" x14ac:dyDescent="0.15">
      <c r="A69" s="1"/>
      <c r="B69" s="279" t="s">
        <v>186</v>
      </c>
      <c r="C69" s="280"/>
      <c r="D69" s="280"/>
      <c r="E69" s="280"/>
      <c r="F69" s="280"/>
      <c r="G69" s="280"/>
      <c r="H69" s="280"/>
      <c r="I69" s="288"/>
      <c r="J69" s="289"/>
      <c r="K69" s="35" t="str">
        <f>IF(B69="","入力してください","")</f>
        <v/>
      </c>
    </row>
    <row r="70" spans="1:11" s="4" customFormat="1" ht="18.75" customHeight="1" x14ac:dyDescent="0.15">
      <c r="A70" s="1"/>
      <c r="B70" s="290"/>
      <c r="C70" s="291"/>
      <c r="D70" s="291"/>
      <c r="E70" s="291"/>
      <c r="F70" s="291"/>
      <c r="G70" s="291"/>
      <c r="H70" s="291"/>
      <c r="I70" s="291"/>
      <c r="J70" s="292"/>
      <c r="K70" s="35"/>
    </row>
    <row r="71" spans="1:11" s="4" customFormat="1" ht="18.75" customHeight="1" x14ac:dyDescent="0.15">
      <c r="A71" s="1"/>
      <c r="B71" s="290"/>
      <c r="C71" s="291"/>
      <c r="D71" s="291"/>
      <c r="E71" s="291"/>
      <c r="F71" s="291"/>
      <c r="G71" s="291"/>
      <c r="H71" s="291"/>
      <c r="I71" s="291"/>
      <c r="J71" s="292"/>
      <c r="K71" s="35"/>
    </row>
    <row r="72" spans="1:11" s="4" customFormat="1" ht="18.75" customHeight="1" x14ac:dyDescent="0.15">
      <c r="A72" s="1"/>
      <c r="B72" s="290"/>
      <c r="C72" s="291"/>
      <c r="D72" s="291"/>
      <c r="E72" s="291"/>
      <c r="F72" s="291"/>
      <c r="G72" s="291"/>
      <c r="H72" s="291"/>
      <c r="I72" s="291"/>
      <c r="J72" s="292"/>
      <c r="K72" s="35"/>
    </row>
    <row r="73" spans="1:11" s="4" customFormat="1" ht="18.75" customHeight="1" x14ac:dyDescent="0.15">
      <c r="A73" s="1"/>
      <c r="B73" s="290"/>
      <c r="C73" s="291"/>
      <c r="D73" s="291"/>
      <c r="E73" s="291"/>
      <c r="F73" s="291"/>
      <c r="G73" s="291"/>
      <c r="H73" s="291"/>
      <c r="I73" s="291"/>
      <c r="J73" s="292"/>
      <c r="K73" s="35"/>
    </row>
    <row r="74" spans="1:11" s="4" customFormat="1" ht="18.75" customHeight="1" x14ac:dyDescent="0.15">
      <c r="A74" s="1"/>
      <c r="B74" s="290"/>
      <c r="C74" s="291"/>
      <c r="D74" s="291"/>
      <c r="E74" s="291"/>
      <c r="F74" s="291"/>
      <c r="G74" s="291"/>
      <c r="H74" s="291"/>
      <c r="I74" s="291"/>
      <c r="J74" s="292"/>
      <c r="K74" s="35"/>
    </row>
    <row r="75" spans="1:11" s="4" customFormat="1" ht="18.75" customHeight="1" x14ac:dyDescent="0.15">
      <c r="A75" s="1"/>
      <c r="B75" s="290"/>
      <c r="C75" s="291"/>
      <c r="D75" s="291"/>
      <c r="E75" s="291"/>
      <c r="F75" s="291"/>
      <c r="G75" s="291"/>
      <c r="H75" s="291"/>
      <c r="I75" s="291"/>
      <c r="J75" s="292"/>
      <c r="K75" s="35"/>
    </row>
    <row r="76" spans="1:11" s="4" customFormat="1" ht="18.75" customHeight="1" x14ac:dyDescent="0.15">
      <c r="A76" s="1"/>
      <c r="B76" s="290"/>
      <c r="C76" s="291"/>
      <c r="D76" s="291"/>
      <c r="E76" s="291"/>
      <c r="F76" s="291"/>
      <c r="G76" s="291"/>
      <c r="H76" s="291"/>
      <c r="I76" s="291"/>
      <c r="J76" s="292"/>
      <c r="K76" s="35"/>
    </row>
    <row r="77" spans="1:11" s="4" customFormat="1" ht="18.75" customHeight="1" x14ac:dyDescent="0.15">
      <c r="A77" s="1"/>
      <c r="B77" s="290"/>
      <c r="C77" s="291"/>
      <c r="D77" s="291"/>
      <c r="E77" s="291"/>
      <c r="F77" s="291"/>
      <c r="G77" s="291"/>
      <c r="H77" s="291"/>
      <c r="I77" s="291"/>
      <c r="J77" s="292"/>
      <c r="K77" s="35"/>
    </row>
    <row r="78" spans="1:11" s="4" customFormat="1" ht="18.75" customHeight="1" x14ac:dyDescent="0.15">
      <c r="A78" s="1"/>
      <c r="B78" s="290"/>
      <c r="C78" s="291"/>
      <c r="D78" s="291"/>
      <c r="E78" s="291"/>
      <c r="F78" s="291"/>
      <c r="G78" s="291"/>
      <c r="H78" s="291"/>
      <c r="I78" s="291"/>
      <c r="J78" s="292"/>
      <c r="K78" s="35"/>
    </row>
    <row r="79" spans="1:11" s="4" customFormat="1" ht="18.75" customHeight="1" x14ac:dyDescent="0.15">
      <c r="A79" s="1"/>
      <c r="B79" s="290"/>
      <c r="C79" s="291"/>
      <c r="D79" s="291"/>
      <c r="E79" s="291"/>
      <c r="F79" s="291"/>
      <c r="G79" s="291"/>
      <c r="H79" s="291"/>
      <c r="I79" s="291"/>
      <c r="J79" s="292"/>
      <c r="K79" s="35"/>
    </row>
    <row r="80" spans="1:11" s="4" customFormat="1" ht="18.75" customHeight="1" x14ac:dyDescent="0.15">
      <c r="A80" s="1"/>
      <c r="B80" s="290"/>
      <c r="C80" s="291"/>
      <c r="D80" s="291"/>
      <c r="E80" s="291"/>
      <c r="F80" s="291"/>
      <c r="G80" s="291"/>
      <c r="H80" s="291"/>
      <c r="I80" s="291"/>
      <c r="J80" s="292"/>
      <c r="K80" s="35"/>
    </row>
    <row r="81" spans="1:11" s="4" customFormat="1" ht="18.75" customHeight="1" x14ac:dyDescent="0.15">
      <c r="A81" s="1"/>
      <c r="B81" s="290"/>
      <c r="C81" s="291"/>
      <c r="D81" s="291"/>
      <c r="E81" s="291"/>
      <c r="F81" s="291"/>
      <c r="G81" s="291"/>
      <c r="H81" s="291"/>
      <c r="I81" s="291"/>
      <c r="J81" s="292"/>
      <c r="K81" s="35"/>
    </row>
    <row r="82" spans="1:11" s="4" customFormat="1" ht="18.75" customHeight="1" x14ac:dyDescent="0.15">
      <c r="A82" s="1"/>
      <c r="B82" s="290"/>
      <c r="C82" s="291"/>
      <c r="D82" s="291"/>
      <c r="E82" s="291"/>
      <c r="F82" s="291"/>
      <c r="G82" s="291"/>
      <c r="H82" s="291"/>
      <c r="I82" s="291"/>
      <c r="J82" s="292"/>
      <c r="K82" s="35"/>
    </row>
    <row r="83" spans="1:11" s="4" customFormat="1" ht="18.75" customHeight="1" x14ac:dyDescent="0.15">
      <c r="A83" s="1"/>
      <c r="B83" s="290"/>
      <c r="C83" s="291"/>
      <c r="D83" s="291"/>
      <c r="E83" s="291"/>
      <c r="F83" s="291"/>
      <c r="G83" s="291"/>
      <c r="H83" s="291"/>
      <c r="I83" s="291"/>
      <c r="J83" s="292"/>
      <c r="K83" s="35"/>
    </row>
    <row r="84" spans="1:11" s="4" customFormat="1" ht="18.75" customHeight="1" x14ac:dyDescent="0.15">
      <c r="A84" s="1"/>
      <c r="B84" s="290"/>
      <c r="C84" s="291"/>
      <c r="D84" s="291"/>
      <c r="E84" s="291"/>
      <c r="F84" s="291"/>
      <c r="G84" s="291"/>
      <c r="H84" s="291"/>
      <c r="I84" s="291"/>
      <c r="J84" s="292"/>
      <c r="K84" s="35"/>
    </row>
    <row r="85" spans="1:11" ht="18.75" customHeight="1" x14ac:dyDescent="0.15">
      <c r="A85" s="38"/>
      <c r="B85" s="290"/>
      <c r="C85" s="291"/>
      <c r="D85" s="291"/>
      <c r="E85" s="291"/>
      <c r="F85" s="291"/>
      <c r="G85" s="291"/>
      <c r="H85" s="291"/>
      <c r="I85" s="291"/>
      <c r="J85" s="292"/>
      <c r="K85" s="35"/>
    </row>
    <row r="86" spans="1:11" ht="18.75" customHeight="1" x14ac:dyDescent="0.15">
      <c r="A86" s="38"/>
      <c r="B86" s="293"/>
      <c r="C86" s="294"/>
      <c r="D86" s="294"/>
      <c r="E86" s="294"/>
      <c r="F86" s="294"/>
      <c r="G86" s="294"/>
      <c r="H86" s="294"/>
      <c r="I86" s="294"/>
      <c r="J86" s="295"/>
      <c r="K86" s="35"/>
    </row>
    <row r="87" spans="1:11" ht="7.5" customHeight="1" x14ac:dyDescent="0.15">
      <c r="A87" s="38"/>
      <c r="B87" s="38"/>
      <c r="C87" s="38"/>
      <c r="D87" s="38"/>
      <c r="E87" s="38"/>
      <c r="F87" s="38"/>
      <c r="G87" s="38"/>
      <c r="H87" s="38"/>
      <c r="I87" s="38"/>
      <c r="J87" s="38"/>
    </row>
    <row r="88" spans="1:11" s="4" customFormat="1" ht="18.75" customHeight="1" x14ac:dyDescent="0.15">
      <c r="A88" s="1" t="s">
        <v>12</v>
      </c>
      <c r="B88" s="1" t="s">
        <v>25</v>
      </c>
      <c r="C88" s="1"/>
      <c r="D88" s="1"/>
      <c r="E88" s="1"/>
      <c r="F88" s="1"/>
      <c r="G88" s="1"/>
      <c r="H88" s="1"/>
      <c r="I88" s="1"/>
      <c r="J88" s="1"/>
      <c r="K88" s="31"/>
    </row>
    <row r="89" spans="1:11" s="4" customFormat="1" ht="18.75" customHeight="1" x14ac:dyDescent="0.15">
      <c r="A89" s="1"/>
      <c r="B89" s="279" t="s">
        <v>185</v>
      </c>
      <c r="C89" s="280"/>
      <c r="D89" s="280"/>
      <c r="E89" s="280"/>
      <c r="F89" s="280"/>
      <c r="G89" s="280"/>
      <c r="H89" s="280"/>
      <c r="I89" s="288"/>
      <c r="J89" s="289"/>
      <c r="K89" s="31"/>
    </row>
    <row r="90" spans="1:11" s="4" customFormat="1" ht="18.75" customHeight="1" x14ac:dyDescent="0.15">
      <c r="A90" s="1"/>
      <c r="B90" s="290"/>
      <c r="C90" s="291"/>
      <c r="D90" s="291"/>
      <c r="E90" s="291"/>
      <c r="F90" s="291"/>
      <c r="G90" s="291"/>
      <c r="H90" s="291"/>
      <c r="I90" s="291"/>
      <c r="J90" s="292"/>
      <c r="K90" s="35"/>
    </row>
    <row r="91" spans="1:11" s="4" customFormat="1" ht="18.75" customHeight="1" x14ac:dyDescent="0.15">
      <c r="A91" s="1"/>
      <c r="B91" s="290"/>
      <c r="C91" s="291"/>
      <c r="D91" s="291"/>
      <c r="E91" s="291"/>
      <c r="F91" s="291"/>
      <c r="G91" s="291"/>
      <c r="H91" s="291"/>
      <c r="I91" s="291"/>
      <c r="J91" s="292"/>
      <c r="K91" s="35" t="str">
        <f>IF(B89="","入力してください","")</f>
        <v/>
      </c>
    </row>
    <row r="92" spans="1:11" s="4" customFormat="1" ht="18.75" customHeight="1" x14ac:dyDescent="0.15">
      <c r="A92" s="1"/>
      <c r="B92" s="290"/>
      <c r="C92" s="291"/>
      <c r="D92" s="291"/>
      <c r="E92" s="291"/>
      <c r="F92" s="291"/>
      <c r="G92" s="291"/>
      <c r="H92" s="291"/>
      <c r="I92" s="291"/>
      <c r="J92" s="292"/>
      <c r="K92" s="35"/>
    </row>
    <row r="93" spans="1:11" s="4" customFormat="1" ht="18.75" customHeight="1" x14ac:dyDescent="0.15">
      <c r="A93" s="1"/>
      <c r="B93" s="290"/>
      <c r="C93" s="291"/>
      <c r="D93" s="291"/>
      <c r="E93" s="291"/>
      <c r="F93" s="291"/>
      <c r="G93" s="291"/>
      <c r="H93" s="291"/>
      <c r="I93" s="291"/>
      <c r="J93" s="292"/>
      <c r="K93" s="35"/>
    </row>
    <row r="94" spans="1:11" s="4" customFormat="1" ht="18.75" customHeight="1" x14ac:dyDescent="0.15">
      <c r="A94" s="1"/>
      <c r="B94" s="290"/>
      <c r="C94" s="291"/>
      <c r="D94" s="291"/>
      <c r="E94" s="291"/>
      <c r="F94" s="291"/>
      <c r="G94" s="291"/>
      <c r="H94" s="291"/>
      <c r="I94" s="291"/>
      <c r="J94" s="292"/>
      <c r="K94" s="35"/>
    </row>
    <row r="95" spans="1:11" s="4" customFormat="1" ht="18.75" customHeight="1" x14ac:dyDescent="0.15">
      <c r="A95" s="1"/>
      <c r="B95" s="290"/>
      <c r="C95" s="291"/>
      <c r="D95" s="291"/>
      <c r="E95" s="291"/>
      <c r="F95" s="291"/>
      <c r="G95" s="291"/>
      <c r="H95" s="291"/>
      <c r="I95" s="291"/>
      <c r="J95" s="292"/>
      <c r="K95" s="35"/>
    </row>
    <row r="96" spans="1:11" s="4" customFormat="1" ht="18.75" customHeight="1" x14ac:dyDescent="0.15">
      <c r="A96" s="1"/>
      <c r="B96" s="290"/>
      <c r="C96" s="291"/>
      <c r="D96" s="291"/>
      <c r="E96" s="291"/>
      <c r="F96" s="291"/>
      <c r="G96" s="291"/>
      <c r="H96" s="291"/>
      <c r="I96" s="291"/>
      <c r="J96" s="292"/>
      <c r="K96" s="35"/>
    </row>
    <row r="97" spans="1:11" s="4" customFormat="1" ht="18.75" customHeight="1" x14ac:dyDescent="0.15">
      <c r="A97" s="1"/>
      <c r="B97" s="290"/>
      <c r="C97" s="291"/>
      <c r="D97" s="291"/>
      <c r="E97" s="291"/>
      <c r="F97" s="291"/>
      <c r="G97" s="291"/>
      <c r="H97" s="291"/>
      <c r="I97" s="291"/>
      <c r="J97" s="292"/>
      <c r="K97" s="35"/>
    </row>
    <row r="98" spans="1:11" s="4" customFormat="1" ht="18.75" customHeight="1" x14ac:dyDescent="0.15">
      <c r="A98" s="1"/>
      <c r="B98" s="290"/>
      <c r="C98" s="291"/>
      <c r="D98" s="291"/>
      <c r="E98" s="291"/>
      <c r="F98" s="291"/>
      <c r="G98" s="291"/>
      <c r="H98" s="291"/>
      <c r="I98" s="291"/>
      <c r="J98" s="292"/>
      <c r="K98" s="35"/>
    </row>
    <row r="99" spans="1:11" s="4" customFormat="1" ht="18.75" customHeight="1" x14ac:dyDescent="0.15">
      <c r="A99" s="1"/>
      <c r="B99" s="290"/>
      <c r="C99" s="291"/>
      <c r="D99" s="291"/>
      <c r="E99" s="291"/>
      <c r="F99" s="291"/>
      <c r="G99" s="291"/>
      <c r="H99" s="291"/>
      <c r="I99" s="291"/>
      <c r="J99" s="292"/>
      <c r="K99" s="35"/>
    </row>
    <row r="100" spans="1:11" s="4" customFormat="1" ht="18.75" customHeight="1" x14ac:dyDescent="0.15">
      <c r="A100" s="1"/>
      <c r="B100" s="290"/>
      <c r="C100" s="291"/>
      <c r="D100" s="291"/>
      <c r="E100" s="291"/>
      <c r="F100" s="291"/>
      <c r="G100" s="291"/>
      <c r="H100" s="291"/>
      <c r="I100" s="291"/>
      <c r="J100" s="292"/>
      <c r="K100" s="35"/>
    </row>
    <row r="101" spans="1:11" s="4" customFormat="1" ht="18.75" customHeight="1" x14ac:dyDescent="0.15">
      <c r="A101" s="1"/>
      <c r="B101" s="290"/>
      <c r="C101" s="291"/>
      <c r="D101" s="291"/>
      <c r="E101" s="291"/>
      <c r="F101" s="291"/>
      <c r="G101" s="291"/>
      <c r="H101" s="291"/>
      <c r="I101" s="291"/>
      <c r="J101" s="292"/>
      <c r="K101" s="35"/>
    </row>
    <row r="102" spans="1:11" s="4" customFormat="1" ht="18.75" customHeight="1" x14ac:dyDescent="0.15">
      <c r="A102" s="1"/>
      <c r="B102" s="290"/>
      <c r="C102" s="291"/>
      <c r="D102" s="291"/>
      <c r="E102" s="291"/>
      <c r="F102" s="291"/>
      <c r="G102" s="291"/>
      <c r="H102" s="291"/>
      <c r="I102" s="291"/>
      <c r="J102" s="292"/>
      <c r="K102" s="35"/>
    </row>
    <row r="103" spans="1:11" s="4" customFormat="1" ht="18.75" customHeight="1" x14ac:dyDescent="0.15">
      <c r="A103" s="1"/>
      <c r="B103" s="290"/>
      <c r="C103" s="291"/>
      <c r="D103" s="291"/>
      <c r="E103" s="291"/>
      <c r="F103" s="291"/>
      <c r="G103" s="291"/>
      <c r="H103" s="291"/>
      <c r="I103" s="291"/>
      <c r="J103" s="292"/>
      <c r="K103" s="35"/>
    </row>
    <row r="104" spans="1:11" s="4" customFormat="1" ht="18.75" customHeight="1" x14ac:dyDescent="0.15">
      <c r="A104" s="1"/>
      <c r="B104" s="290"/>
      <c r="C104" s="291"/>
      <c r="D104" s="291"/>
      <c r="E104" s="291"/>
      <c r="F104" s="291"/>
      <c r="G104" s="291"/>
      <c r="H104" s="291"/>
      <c r="I104" s="291"/>
      <c r="J104" s="292"/>
      <c r="K104" s="35"/>
    </row>
    <row r="105" spans="1:11" s="4" customFormat="1" ht="18.75" customHeight="1" x14ac:dyDescent="0.15">
      <c r="A105" s="1"/>
      <c r="B105" s="290"/>
      <c r="C105" s="291"/>
      <c r="D105" s="291"/>
      <c r="E105" s="291"/>
      <c r="F105" s="291"/>
      <c r="G105" s="291"/>
      <c r="H105" s="291"/>
      <c r="I105" s="291"/>
      <c r="J105" s="292"/>
      <c r="K105" s="35"/>
    </row>
    <row r="106" spans="1:11" s="4" customFormat="1" ht="18.75" customHeight="1" x14ac:dyDescent="0.15">
      <c r="A106" s="1"/>
      <c r="B106" s="290"/>
      <c r="C106" s="291"/>
      <c r="D106" s="291"/>
      <c r="E106" s="291"/>
      <c r="F106" s="291"/>
      <c r="G106" s="291"/>
      <c r="H106" s="291"/>
      <c r="I106" s="291"/>
      <c r="J106" s="292"/>
      <c r="K106" s="35"/>
    </row>
    <row r="107" spans="1:11" ht="18.75" customHeight="1" x14ac:dyDescent="0.15">
      <c r="A107" s="38"/>
      <c r="B107" s="290"/>
      <c r="C107" s="291"/>
      <c r="D107" s="291"/>
      <c r="E107" s="291"/>
      <c r="F107" s="291"/>
      <c r="G107" s="291"/>
      <c r="H107" s="291"/>
      <c r="I107" s="291"/>
      <c r="J107" s="292"/>
      <c r="K107" s="35"/>
    </row>
    <row r="108" spans="1:11" ht="18.75" customHeight="1" x14ac:dyDescent="0.15">
      <c r="A108" s="38"/>
      <c r="B108" s="293"/>
      <c r="C108" s="294"/>
      <c r="D108" s="294"/>
      <c r="E108" s="294"/>
      <c r="F108" s="294"/>
      <c r="G108" s="294"/>
      <c r="H108" s="294"/>
      <c r="I108" s="294"/>
      <c r="J108" s="295"/>
      <c r="K108" s="35"/>
    </row>
    <row r="109" spans="1:11" ht="7.5" customHeight="1" x14ac:dyDescent="0.15">
      <c r="A109" s="38"/>
      <c r="B109" s="38"/>
      <c r="C109" s="38"/>
      <c r="D109" s="38"/>
      <c r="E109" s="38"/>
      <c r="F109" s="38"/>
      <c r="G109" s="38"/>
      <c r="H109" s="38"/>
      <c r="I109" s="38"/>
      <c r="J109" s="38"/>
    </row>
    <row r="110" spans="1:11" s="4" customFormat="1" ht="18.75" customHeight="1" x14ac:dyDescent="0.15">
      <c r="A110" s="1" t="s">
        <v>50</v>
      </c>
      <c r="B110" s="296" t="s">
        <v>78</v>
      </c>
      <c r="C110" s="296"/>
      <c r="D110" s="296"/>
      <c r="E110" s="296"/>
      <c r="F110" s="296"/>
      <c r="G110" s="296"/>
      <c r="H110" s="296"/>
      <c r="I110" s="296"/>
      <c r="J110" s="296"/>
      <c r="K110" s="31"/>
    </row>
    <row r="111" spans="1:11" ht="18.75" customHeight="1" x14ac:dyDescent="0.15">
      <c r="A111" s="38"/>
      <c r="B111" s="279" t="s">
        <v>184</v>
      </c>
      <c r="C111" s="280"/>
      <c r="D111" s="280"/>
      <c r="E111" s="280"/>
      <c r="F111" s="280"/>
      <c r="G111" s="280"/>
      <c r="H111" s="280"/>
      <c r="I111" s="288"/>
      <c r="J111" s="289"/>
    </row>
    <row r="112" spans="1:11" ht="18.75" customHeight="1" x14ac:dyDescent="0.15">
      <c r="A112" s="38"/>
      <c r="B112" s="290"/>
      <c r="C112" s="291"/>
      <c r="D112" s="291"/>
      <c r="E112" s="291"/>
      <c r="F112" s="291"/>
      <c r="G112" s="291"/>
      <c r="H112" s="291"/>
      <c r="I112" s="291"/>
      <c r="J112" s="292"/>
      <c r="K112" s="35"/>
    </row>
    <row r="113" spans="1:11" ht="18.75" customHeight="1" x14ac:dyDescent="0.15">
      <c r="A113" s="38"/>
      <c r="B113" s="290"/>
      <c r="C113" s="291"/>
      <c r="D113" s="291"/>
      <c r="E113" s="291"/>
      <c r="F113" s="291"/>
      <c r="G113" s="291"/>
      <c r="H113" s="291"/>
      <c r="I113" s="291"/>
      <c r="J113" s="292"/>
      <c r="K113" s="31" t="str">
        <f>IF(B111="","入力してください","")</f>
        <v/>
      </c>
    </row>
    <row r="114" spans="1:11" ht="18.75" customHeight="1" x14ac:dyDescent="0.15">
      <c r="A114" s="38"/>
      <c r="B114" s="290"/>
      <c r="C114" s="291"/>
      <c r="D114" s="291"/>
      <c r="E114" s="291"/>
      <c r="F114" s="291"/>
      <c r="G114" s="291"/>
      <c r="H114" s="291"/>
      <c r="I114" s="291"/>
      <c r="J114" s="292"/>
    </row>
    <row r="115" spans="1:11" ht="18.75" customHeight="1" x14ac:dyDescent="0.15">
      <c r="A115" s="38"/>
      <c r="B115" s="290"/>
      <c r="C115" s="291"/>
      <c r="D115" s="291"/>
      <c r="E115" s="291"/>
      <c r="F115" s="291"/>
      <c r="G115" s="291"/>
      <c r="H115" s="291"/>
      <c r="I115" s="291"/>
      <c r="J115" s="292"/>
    </row>
    <row r="116" spans="1:11" ht="18.75" customHeight="1" x14ac:dyDescent="0.15">
      <c r="A116" s="38"/>
      <c r="B116" s="290"/>
      <c r="C116" s="291"/>
      <c r="D116" s="291"/>
      <c r="E116" s="291"/>
      <c r="F116" s="291"/>
      <c r="G116" s="291"/>
      <c r="H116" s="291"/>
      <c r="I116" s="291"/>
      <c r="J116" s="292"/>
    </row>
    <row r="117" spans="1:11" ht="18.75" customHeight="1" x14ac:dyDescent="0.15">
      <c r="A117" s="38"/>
      <c r="B117" s="290"/>
      <c r="C117" s="291"/>
      <c r="D117" s="291"/>
      <c r="E117" s="291"/>
      <c r="F117" s="291"/>
      <c r="G117" s="291"/>
      <c r="H117" s="291"/>
      <c r="I117" s="291"/>
      <c r="J117" s="292"/>
    </row>
    <row r="118" spans="1:11" ht="18.75" customHeight="1" x14ac:dyDescent="0.15">
      <c r="A118" s="38"/>
      <c r="B118" s="290"/>
      <c r="C118" s="291"/>
      <c r="D118" s="291"/>
      <c r="E118" s="291"/>
      <c r="F118" s="291"/>
      <c r="G118" s="291"/>
      <c r="H118" s="291"/>
      <c r="I118" s="291"/>
      <c r="J118" s="292"/>
    </row>
    <row r="119" spans="1:11" ht="18.75" customHeight="1" x14ac:dyDescent="0.15">
      <c r="A119" s="38"/>
      <c r="B119" s="290"/>
      <c r="C119" s="291"/>
      <c r="D119" s="291"/>
      <c r="E119" s="291"/>
      <c r="F119" s="291"/>
      <c r="G119" s="291"/>
      <c r="H119" s="291"/>
      <c r="I119" s="291"/>
      <c r="J119" s="292"/>
    </row>
    <row r="120" spans="1:11" ht="18.75" customHeight="1" x14ac:dyDescent="0.15">
      <c r="A120" s="38"/>
      <c r="B120" s="290"/>
      <c r="C120" s="291"/>
      <c r="D120" s="291"/>
      <c r="E120" s="291"/>
      <c r="F120" s="291"/>
      <c r="G120" s="291"/>
      <c r="H120" s="291"/>
      <c r="I120" s="291"/>
      <c r="J120" s="292"/>
    </row>
    <row r="121" spans="1:11" ht="18.75" customHeight="1" x14ac:dyDescent="0.15">
      <c r="A121" s="38"/>
      <c r="B121" s="290"/>
      <c r="C121" s="291"/>
      <c r="D121" s="291"/>
      <c r="E121" s="291"/>
      <c r="F121" s="291"/>
      <c r="G121" s="291"/>
      <c r="H121" s="291"/>
      <c r="I121" s="291"/>
      <c r="J121" s="292"/>
    </row>
    <row r="122" spans="1:11" ht="18.75" customHeight="1" x14ac:dyDescent="0.15">
      <c r="A122" s="38"/>
      <c r="B122" s="290"/>
      <c r="C122" s="291"/>
      <c r="D122" s="291"/>
      <c r="E122" s="291"/>
      <c r="F122" s="291"/>
      <c r="G122" s="291"/>
      <c r="H122" s="291"/>
      <c r="I122" s="291"/>
      <c r="J122" s="292"/>
    </row>
    <row r="123" spans="1:11" ht="18.75" customHeight="1" x14ac:dyDescent="0.15">
      <c r="A123" s="38"/>
      <c r="B123" s="290"/>
      <c r="C123" s="291"/>
      <c r="D123" s="291"/>
      <c r="E123" s="291"/>
      <c r="F123" s="291"/>
      <c r="G123" s="291"/>
      <c r="H123" s="291"/>
      <c r="I123" s="291"/>
      <c r="J123" s="292"/>
    </row>
    <row r="124" spans="1:11" ht="18.75" customHeight="1" x14ac:dyDescent="0.15">
      <c r="A124" s="38"/>
      <c r="B124" s="290"/>
      <c r="C124" s="291"/>
      <c r="D124" s="291"/>
      <c r="E124" s="291"/>
      <c r="F124" s="291"/>
      <c r="G124" s="291"/>
      <c r="H124" s="291"/>
      <c r="I124" s="291"/>
      <c r="J124" s="292"/>
    </row>
    <row r="125" spans="1:11" ht="18.75" customHeight="1" x14ac:dyDescent="0.15">
      <c r="A125" s="38"/>
      <c r="B125" s="290"/>
      <c r="C125" s="291"/>
      <c r="D125" s="291"/>
      <c r="E125" s="291"/>
      <c r="F125" s="291"/>
      <c r="G125" s="291"/>
      <c r="H125" s="291"/>
      <c r="I125" s="291"/>
      <c r="J125" s="292"/>
    </row>
    <row r="126" spans="1:11" ht="18.75" customHeight="1" x14ac:dyDescent="0.15">
      <c r="A126" s="38"/>
      <c r="B126" s="290"/>
      <c r="C126" s="291"/>
      <c r="D126" s="291"/>
      <c r="E126" s="291"/>
      <c r="F126" s="291"/>
      <c r="G126" s="291"/>
      <c r="H126" s="291"/>
      <c r="I126" s="291"/>
      <c r="J126" s="292"/>
    </row>
    <row r="127" spans="1:11" ht="18.75" customHeight="1" x14ac:dyDescent="0.15">
      <c r="A127" s="38"/>
      <c r="B127" s="290"/>
      <c r="C127" s="291"/>
      <c r="D127" s="291"/>
      <c r="E127" s="291"/>
      <c r="F127" s="291"/>
      <c r="G127" s="291"/>
      <c r="H127" s="291"/>
      <c r="I127" s="291"/>
      <c r="J127" s="292"/>
    </row>
    <row r="128" spans="1:11" ht="18.75" customHeight="1" x14ac:dyDescent="0.15">
      <c r="A128" s="38"/>
      <c r="B128" s="290"/>
      <c r="C128" s="291"/>
      <c r="D128" s="291"/>
      <c r="E128" s="291"/>
      <c r="F128" s="291"/>
      <c r="G128" s="291"/>
      <c r="H128" s="291"/>
      <c r="I128" s="291"/>
      <c r="J128" s="292"/>
    </row>
    <row r="129" spans="1:10" ht="18.75" customHeight="1" x14ac:dyDescent="0.15">
      <c r="A129" s="38"/>
      <c r="B129" s="293"/>
      <c r="C129" s="294"/>
      <c r="D129" s="294"/>
      <c r="E129" s="294"/>
      <c r="F129" s="294"/>
      <c r="G129" s="294"/>
      <c r="H129" s="294"/>
      <c r="I129" s="294"/>
      <c r="J129" s="295"/>
    </row>
    <row r="130" spans="1:10" ht="7.5" customHeight="1" x14ac:dyDescent="0.15">
      <c r="A130" s="38"/>
      <c r="B130" s="103"/>
      <c r="C130" s="103"/>
      <c r="D130" s="103"/>
      <c r="E130" s="103"/>
      <c r="F130" s="103"/>
      <c r="G130" s="103"/>
      <c r="H130" s="103"/>
      <c r="I130" s="103"/>
      <c r="J130" s="103"/>
    </row>
    <row r="131" spans="1:10" ht="18.75" customHeight="1" x14ac:dyDescent="0.15">
      <c r="A131" s="38"/>
      <c r="B131" s="38"/>
      <c r="C131" s="38"/>
      <c r="D131" s="38"/>
      <c r="E131" s="38"/>
      <c r="F131" s="38"/>
      <c r="G131" s="38"/>
      <c r="H131" s="38"/>
      <c r="I131" s="38"/>
      <c r="J131" s="38"/>
    </row>
    <row r="132" spans="1:10" ht="18.75" customHeight="1" x14ac:dyDescent="0.15">
      <c r="A132" s="38"/>
      <c r="B132" s="38"/>
      <c r="C132" s="38"/>
      <c r="D132" s="38"/>
      <c r="E132" s="38"/>
      <c r="F132" s="38"/>
      <c r="G132" s="38"/>
      <c r="H132" s="38"/>
      <c r="I132" s="38"/>
      <c r="J132" s="38"/>
    </row>
    <row r="133" spans="1:10" ht="18.75" customHeight="1" x14ac:dyDescent="0.15">
      <c r="A133" s="38"/>
      <c r="B133" s="38"/>
      <c r="C133" s="38"/>
      <c r="D133" s="38"/>
      <c r="E133" s="38"/>
      <c r="F133" s="38"/>
      <c r="G133" s="38"/>
      <c r="H133" s="38"/>
      <c r="I133" s="38"/>
      <c r="J133" s="38"/>
    </row>
    <row r="134" spans="1:10" ht="18.75" customHeight="1" x14ac:dyDescent="0.15">
      <c r="A134" s="38"/>
      <c r="B134" s="38"/>
      <c r="C134" s="38"/>
      <c r="D134" s="38"/>
      <c r="E134" s="38"/>
      <c r="F134" s="38"/>
      <c r="G134" s="38"/>
      <c r="H134" s="38"/>
      <c r="I134" s="38"/>
      <c r="J134" s="38"/>
    </row>
    <row r="135" spans="1:10" ht="18.75" customHeight="1" x14ac:dyDescent="0.15">
      <c r="A135" s="38"/>
      <c r="B135" s="38"/>
      <c r="C135" s="38"/>
      <c r="D135" s="38"/>
      <c r="E135" s="38"/>
      <c r="F135" s="38"/>
      <c r="G135" s="38"/>
      <c r="H135" s="38"/>
      <c r="I135" s="38"/>
      <c r="J135" s="38"/>
    </row>
    <row r="136" spans="1:10" ht="18.75" customHeight="1" x14ac:dyDescent="0.15">
      <c r="A136" s="38"/>
      <c r="B136" s="38"/>
      <c r="C136" s="38"/>
      <c r="D136" s="38"/>
      <c r="E136" s="38"/>
      <c r="F136" s="38"/>
      <c r="G136" s="38"/>
      <c r="H136" s="38"/>
      <c r="I136" s="38"/>
      <c r="J136" s="38"/>
    </row>
    <row r="137" spans="1:10" ht="18.75" customHeight="1" x14ac:dyDescent="0.15">
      <c r="A137" s="38"/>
      <c r="B137" s="38"/>
      <c r="C137" s="38"/>
      <c r="D137" s="38"/>
      <c r="E137" s="38"/>
      <c r="F137" s="38"/>
      <c r="G137" s="38"/>
      <c r="H137" s="38"/>
      <c r="I137" s="38"/>
      <c r="J137" s="38"/>
    </row>
    <row r="138" spans="1:10" ht="18.75" customHeight="1" x14ac:dyDescent="0.15">
      <c r="A138" s="38"/>
      <c r="B138" s="38"/>
      <c r="C138" s="38"/>
      <c r="D138" s="38"/>
      <c r="E138" s="38"/>
      <c r="F138" s="38"/>
      <c r="G138" s="38"/>
      <c r="H138" s="38"/>
      <c r="I138" s="38"/>
      <c r="J138" s="38"/>
    </row>
    <row r="139" spans="1:10" ht="18.75" customHeight="1" x14ac:dyDescent="0.15">
      <c r="A139" s="38"/>
      <c r="B139" s="38"/>
      <c r="C139" s="38"/>
      <c r="D139" s="38"/>
      <c r="E139" s="38"/>
      <c r="F139" s="38"/>
      <c r="G139" s="38"/>
      <c r="H139" s="38"/>
      <c r="I139" s="38"/>
      <c r="J139" s="38"/>
    </row>
    <row r="140" spans="1:10" ht="18.75" customHeight="1" x14ac:dyDescent="0.15">
      <c r="A140" s="38"/>
      <c r="B140" s="38"/>
      <c r="C140" s="38"/>
      <c r="D140" s="38"/>
      <c r="E140" s="38"/>
      <c r="F140" s="38"/>
      <c r="G140" s="38"/>
      <c r="H140" s="38"/>
      <c r="I140" s="38"/>
      <c r="J140" s="38"/>
    </row>
    <row r="141" spans="1:10" ht="18.75" customHeight="1" x14ac:dyDescent="0.15">
      <c r="A141" s="38"/>
      <c r="B141" s="38"/>
      <c r="C141" s="38"/>
      <c r="D141" s="38"/>
      <c r="E141" s="38"/>
      <c r="F141" s="38"/>
      <c r="G141" s="38"/>
      <c r="H141" s="38"/>
      <c r="I141" s="38"/>
      <c r="J141" s="38"/>
    </row>
    <row r="142" spans="1:10" ht="18.75" customHeight="1" x14ac:dyDescent="0.15">
      <c r="A142" s="38"/>
      <c r="B142" s="38"/>
      <c r="C142" s="38"/>
      <c r="D142" s="38"/>
      <c r="E142" s="38"/>
      <c r="F142" s="38"/>
      <c r="G142" s="38"/>
      <c r="H142" s="38"/>
      <c r="I142" s="38"/>
      <c r="J142" s="38"/>
    </row>
    <row r="143" spans="1:10" ht="14.25" x14ac:dyDescent="0.15">
      <c r="A143" s="38"/>
      <c r="B143" s="38"/>
      <c r="C143" s="38"/>
      <c r="D143" s="38"/>
      <c r="E143" s="38"/>
      <c r="F143" s="38"/>
      <c r="G143" s="38"/>
      <c r="H143" s="38"/>
      <c r="I143" s="38"/>
      <c r="J143" s="38"/>
    </row>
    <row r="144" spans="1:10" ht="7.5" customHeight="1" x14ac:dyDescent="0.15">
      <c r="A144" s="104"/>
      <c r="B144" s="104"/>
      <c r="C144" s="104"/>
      <c r="D144" s="104"/>
      <c r="E144" s="104"/>
      <c r="F144" s="104"/>
      <c r="G144" s="104"/>
      <c r="H144" s="104"/>
      <c r="I144" s="104"/>
      <c r="J144" s="10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B32" sqref="B32:N32"/>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119</v>
      </c>
      <c r="J1" s="40" t="s">
        <v>69</v>
      </c>
    </row>
    <row r="2" spans="1:11" ht="18.75" customHeight="1" x14ac:dyDescent="0.15">
      <c r="A2" s="263" t="s">
        <v>40</v>
      </c>
      <c r="B2" s="263"/>
      <c r="C2" s="263"/>
      <c r="D2" s="263"/>
      <c r="E2" s="263"/>
      <c r="F2" s="263"/>
      <c r="G2" s="263"/>
      <c r="H2" s="263"/>
      <c r="I2" s="263"/>
      <c r="J2" s="263"/>
    </row>
    <row r="3" spans="1:11" ht="7.5" customHeight="1" x14ac:dyDescent="0.15">
      <c r="A3" s="41"/>
      <c r="B3" s="41"/>
      <c r="C3" s="41"/>
      <c r="D3" s="41"/>
      <c r="E3" s="41"/>
      <c r="F3" s="41"/>
      <c r="G3" s="41"/>
      <c r="H3" s="41"/>
      <c r="I3" s="41"/>
      <c r="J3" s="41"/>
    </row>
    <row r="4" spans="1:11" ht="18.75" customHeight="1" x14ac:dyDescent="0.15">
      <c r="A4" s="1" t="s">
        <v>6</v>
      </c>
      <c r="B4" s="4" t="s">
        <v>39</v>
      </c>
      <c r="C4" s="38"/>
      <c r="D4" s="38"/>
      <c r="E4" s="39"/>
      <c r="F4" s="39"/>
      <c r="G4" s="39"/>
      <c r="H4" s="39"/>
      <c r="I4" s="39"/>
      <c r="J4" s="39"/>
    </row>
    <row r="5" spans="1:11" ht="18.75" customHeight="1" x14ac:dyDescent="0.15">
      <c r="B5" s="318" t="s">
        <v>36</v>
      </c>
      <c r="C5" s="319"/>
      <c r="D5" s="320"/>
      <c r="E5" s="321" t="s">
        <v>38</v>
      </c>
      <c r="F5" s="321"/>
      <c r="G5" s="321"/>
      <c r="H5" s="321"/>
      <c r="I5" s="321"/>
      <c r="J5" s="322"/>
    </row>
    <row r="6" spans="1:11" ht="18.75" customHeight="1" x14ac:dyDescent="0.15">
      <c r="B6" s="3" t="s">
        <v>26</v>
      </c>
      <c r="C6" s="38"/>
      <c r="D6" s="7"/>
      <c r="I6" s="39"/>
      <c r="J6" s="5"/>
    </row>
    <row r="7" spans="1:11" ht="207" customHeight="1" x14ac:dyDescent="0.15">
      <c r="B7" s="6"/>
      <c r="C7" s="307" t="s">
        <v>27</v>
      </c>
      <c r="D7" s="308"/>
      <c r="E7" s="314" t="s">
        <v>187</v>
      </c>
      <c r="F7" s="309"/>
      <c r="G7" s="309"/>
      <c r="H7" s="309"/>
      <c r="I7" s="309"/>
      <c r="J7" s="315"/>
      <c r="K7" s="31" t="str">
        <f>IF(E7="","入力してください","")</f>
        <v/>
      </c>
    </row>
    <row r="8" spans="1:11" ht="207" customHeight="1" x14ac:dyDescent="0.15">
      <c r="B8" s="6"/>
      <c r="C8" s="316" t="s">
        <v>28</v>
      </c>
      <c r="D8" s="317"/>
      <c r="E8" s="314" t="s">
        <v>188</v>
      </c>
      <c r="F8" s="309"/>
      <c r="G8" s="309"/>
      <c r="H8" s="309"/>
      <c r="I8" s="309"/>
      <c r="J8" s="315"/>
      <c r="K8" s="31" t="str">
        <f>IF(E8="","入力してください","")</f>
        <v/>
      </c>
    </row>
    <row r="9" spans="1:11" ht="172.5" customHeight="1" x14ac:dyDescent="0.15">
      <c r="B9" s="6"/>
      <c r="C9" s="307" t="s">
        <v>29</v>
      </c>
      <c r="D9" s="308"/>
      <c r="E9" s="314" t="s">
        <v>189</v>
      </c>
      <c r="F9" s="309"/>
      <c r="G9" s="309"/>
      <c r="H9" s="309"/>
      <c r="I9" s="309"/>
      <c r="J9" s="315"/>
      <c r="K9" s="31" t="str">
        <f>IF(E9="","入力してください","")</f>
        <v/>
      </c>
    </row>
    <row r="10" spans="1:11" ht="172.5" customHeight="1" x14ac:dyDescent="0.15">
      <c r="B10" s="6"/>
      <c r="C10" s="307" t="s">
        <v>30</v>
      </c>
      <c r="D10" s="308"/>
      <c r="E10" s="314" t="s">
        <v>190</v>
      </c>
      <c r="F10" s="309"/>
      <c r="G10" s="309"/>
      <c r="H10" s="309"/>
      <c r="I10" s="309"/>
      <c r="J10" s="315"/>
      <c r="K10" s="31" t="str">
        <f t="shared" ref="K10:K14" si="0">IF(E10="","入力してください","")</f>
        <v/>
      </c>
    </row>
    <row r="11" spans="1:11" ht="172.5" customHeight="1" x14ac:dyDescent="0.15">
      <c r="B11" s="6"/>
      <c r="C11" s="307" t="s">
        <v>31</v>
      </c>
      <c r="D11" s="308"/>
      <c r="E11" s="314" t="s">
        <v>191</v>
      </c>
      <c r="F11" s="309"/>
      <c r="G11" s="309"/>
      <c r="H11" s="309"/>
      <c r="I11" s="309"/>
      <c r="J11" s="315"/>
      <c r="K11" s="31" t="str">
        <f t="shared" si="0"/>
        <v/>
      </c>
    </row>
    <row r="12" spans="1:11" ht="18.75" customHeight="1" x14ac:dyDescent="0.15">
      <c r="B12" s="9" t="s">
        <v>32</v>
      </c>
      <c r="C12" s="28"/>
      <c r="D12" s="8"/>
      <c r="E12" s="32"/>
      <c r="F12" s="32"/>
      <c r="G12" s="32"/>
      <c r="H12" s="32"/>
      <c r="I12" s="32"/>
      <c r="J12" s="33"/>
    </row>
    <row r="13" spans="1:11" ht="244.15" customHeight="1" x14ac:dyDescent="0.15">
      <c r="B13" s="6"/>
      <c r="C13" s="307" t="s">
        <v>33</v>
      </c>
      <c r="D13" s="308"/>
      <c r="E13" s="309" t="s">
        <v>192</v>
      </c>
      <c r="F13" s="310"/>
      <c r="G13" s="310"/>
      <c r="H13" s="310"/>
      <c r="I13" s="310"/>
      <c r="J13" s="311"/>
      <c r="K13" s="31" t="str">
        <f t="shared" si="0"/>
        <v/>
      </c>
    </row>
    <row r="14" spans="1:11" ht="255" customHeight="1" x14ac:dyDescent="0.15">
      <c r="B14" s="6"/>
      <c r="C14" s="307" t="s">
        <v>34</v>
      </c>
      <c r="D14" s="308"/>
      <c r="E14" s="309" t="s">
        <v>193</v>
      </c>
      <c r="F14" s="310"/>
      <c r="G14" s="310"/>
      <c r="H14" s="310"/>
      <c r="I14" s="310"/>
      <c r="J14" s="311"/>
      <c r="K14" s="31" t="str">
        <f t="shared" si="0"/>
        <v/>
      </c>
    </row>
    <row r="15" spans="1:11" ht="243" customHeight="1" x14ac:dyDescent="0.15">
      <c r="B15" s="312" t="s">
        <v>35</v>
      </c>
      <c r="C15" s="313"/>
      <c r="D15" s="308"/>
      <c r="E15" s="309" t="s">
        <v>194</v>
      </c>
      <c r="F15" s="310"/>
      <c r="G15" s="310"/>
      <c r="H15" s="310"/>
      <c r="I15" s="310"/>
      <c r="J15" s="311"/>
      <c r="K15" s="31" t="str">
        <f>IF(E15="","入力してください","")</f>
        <v/>
      </c>
    </row>
    <row r="16" spans="1:11" ht="243" customHeight="1" x14ac:dyDescent="0.15">
      <c r="A16" s="31"/>
      <c r="B16" s="301" t="s">
        <v>62</v>
      </c>
      <c r="C16" s="302"/>
      <c r="D16" s="303"/>
      <c r="E16" s="286" t="s">
        <v>219</v>
      </c>
      <c r="F16" s="286"/>
      <c r="G16" s="286"/>
      <c r="H16" s="286"/>
      <c r="I16" s="286"/>
      <c r="J16" s="287"/>
      <c r="K16" s="31" t="str">
        <f>IF(E16="","入力してください","")</f>
        <v/>
      </c>
    </row>
    <row r="17" spans="1:11" ht="7.5" customHeight="1" x14ac:dyDescent="0.15">
      <c r="B17" s="38"/>
      <c r="C17" s="38"/>
      <c r="D17" s="38"/>
      <c r="E17" s="39"/>
      <c r="F17" s="39"/>
      <c r="G17" s="39"/>
      <c r="H17" s="39"/>
      <c r="I17" s="39"/>
      <c r="J17" s="39"/>
    </row>
    <row r="18" spans="1:11" ht="18.75" customHeight="1" x14ac:dyDescent="0.15">
      <c r="A18" s="1" t="s">
        <v>120</v>
      </c>
      <c r="B18" s="4"/>
      <c r="C18" s="38"/>
      <c r="D18" s="38"/>
      <c r="E18" s="39"/>
      <c r="F18" s="93"/>
      <c r="G18" s="304" t="s">
        <v>205</v>
      </c>
      <c r="H18" s="305"/>
      <c r="I18" s="305"/>
      <c r="J18" s="306"/>
      <c r="K18" s="31" t="str">
        <f>IF(G18="","入力してください","")</f>
        <v/>
      </c>
    </row>
    <row r="19" spans="1:11" ht="22.5" customHeight="1" x14ac:dyDescent="0.15">
      <c r="B19" s="38"/>
      <c r="C19" s="38"/>
      <c r="D19" s="38"/>
      <c r="E19" s="39"/>
      <c r="F19" s="39"/>
      <c r="G19" s="39"/>
      <c r="H19" s="39"/>
      <c r="I19" s="39"/>
      <c r="J19" s="39"/>
    </row>
    <row r="20" spans="1:11" ht="22.5" customHeight="1" x14ac:dyDescent="0.15">
      <c r="B20" s="38"/>
      <c r="C20" s="38"/>
      <c r="D20" s="38"/>
      <c r="E20" s="39"/>
      <c r="F20" s="39"/>
      <c r="G20" s="39"/>
      <c r="H20" s="39"/>
      <c r="I20" s="39"/>
      <c r="J20" s="39"/>
    </row>
    <row r="21" spans="1:11" ht="22.5" customHeight="1" x14ac:dyDescent="0.15">
      <c r="B21" s="38"/>
      <c r="C21" s="38"/>
      <c r="D21" s="38"/>
      <c r="E21" s="39"/>
      <c r="F21" s="39"/>
      <c r="G21" s="39"/>
      <c r="H21" s="39"/>
      <c r="I21" s="39"/>
      <c r="J21" s="39"/>
    </row>
    <row r="22" spans="1:11" ht="22.5" customHeight="1" x14ac:dyDescent="0.15">
      <c r="B22" s="38"/>
      <c r="C22" s="38"/>
      <c r="D22" s="38"/>
      <c r="E22" s="39"/>
      <c r="F22" s="39"/>
      <c r="G22" s="39"/>
      <c r="H22" s="39"/>
      <c r="I22" s="39"/>
      <c r="J22" s="39"/>
    </row>
    <row r="23" spans="1:11" ht="22.5" customHeight="1" x14ac:dyDescent="0.15">
      <c r="B23" s="38"/>
      <c r="C23" s="38"/>
      <c r="D23" s="38"/>
      <c r="E23" s="39"/>
      <c r="F23" s="39"/>
      <c r="G23" s="39"/>
      <c r="H23" s="39"/>
      <c r="I23" s="39"/>
      <c r="J23" s="39"/>
    </row>
    <row r="24" spans="1:11" ht="22.5" customHeight="1" x14ac:dyDescent="0.15">
      <c r="B24" s="105"/>
      <c r="C24" s="105"/>
      <c r="D24" s="105"/>
      <c r="E24" s="105"/>
      <c r="F24" s="105"/>
      <c r="G24" s="105"/>
      <c r="H24" s="105"/>
      <c r="I24" s="105"/>
      <c r="J24" s="105"/>
    </row>
    <row r="25" spans="1:11" ht="22.5" customHeight="1" x14ac:dyDescent="0.15">
      <c r="B25" s="105"/>
      <c r="C25" s="105"/>
      <c r="D25" s="105"/>
      <c r="E25" s="105"/>
      <c r="F25" s="105"/>
      <c r="G25" s="105"/>
      <c r="H25" s="105"/>
      <c r="I25" s="105"/>
      <c r="J25" s="105"/>
    </row>
    <row r="26" spans="1:11" ht="22.5" customHeight="1" x14ac:dyDescent="0.15">
      <c r="B26" s="105"/>
      <c r="C26" s="105"/>
      <c r="D26" s="105"/>
      <c r="E26" s="105"/>
      <c r="F26" s="105"/>
      <c r="G26" s="105"/>
      <c r="H26" s="105"/>
      <c r="I26" s="105"/>
      <c r="J26" s="10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丸田　誉</cp:lastModifiedBy>
  <cp:lastPrinted>2022-05-25T06:49:50Z</cp:lastPrinted>
  <dcterms:created xsi:type="dcterms:W3CDTF">2011-06-14T05:32:50Z</dcterms:created>
  <dcterms:modified xsi:type="dcterms:W3CDTF">2022-05-27T04:25:46Z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