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autoCompressPictures="0" defaultThemeVersion="124226"/>
  <mc:AlternateContent xmlns:mc="http://schemas.openxmlformats.org/markup-compatibility/2006">
    <mc:Choice Requires="x15">
      <x15ac:absPath xmlns:x15ac="http://schemas.microsoft.com/office/spreadsheetml/2010/11/ac" url="X:\2022年度(令和４年)\数理・データサイエンス・AI教育プログラム関係\提出予定\再提出\"/>
    </mc:Choice>
  </mc:AlternateContent>
  <bookViews>
    <workbookView xWindow="0" yWindow="0" windowWidth="9525" windowHeight="11475" tabRatio="905"/>
  </bookViews>
  <sheets>
    <sheet name="様式１　大学等概要" sheetId="8" r:id="rId1"/>
    <sheet name="様式２-1　プログラムを構成する授業科目 " sheetId="44" r:id="rId2"/>
    <sheet name="様式２-2　プログラムを構成する授業科目" sheetId="39" r:id="rId3"/>
    <sheet name="様式３　履修者等数の実績" sheetId="40" r:id="rId4"/>
    <sheet name="様式４　教育の質・履修者数を向上させるための体制・計画" sheetId="41" r:id="rId5"/>
    <sheet name="様式５　自己点検・評価" sheetId="42" r:id="rId6"/>
  </sheets>
  <definedNames>
    <definedName name="_xlnm._FilterDatabase" localSheetId="1" hidden="1">'様式２-1　プログラムを構成する授業科目 '!#REF!</definedName>
    <definedName name="_xlnm._FilterDatabase" localSheetId="2" hidden="1">'様式２-2　プログラムを構成する授業科目'!#REF!</definedName>
    <definedName name="_xlnm._FilterDatabase" localSheetId="3" hidden="1">'様式３　履修者等数の実績'!#REF!</definedName>
    <definedName name="_xlnm.Print_Area" localSheetId="0">'様式１　大学等概要'!$A$1:$N$45</definedName>
    <definedName name="_xlnm.Print_Area" localSheetId="1">'様式２-1　プログラムを構成する授業科目 '!$A$1:$Z$98</definedName>
    <definedName name="_xlnm.Print_Area" localSheetId="2">'様式２-2　プログラムを構成する授業科目'!$A$1:$Z$98</definedName>
    <definedName name="_xlnm.Print_Area" localSheetId="3">'様式３　履修者等数の実績'!$A$1:$R$30</definedName>
    <definedName name="_xlnm.Print_Area" localSheetId="4">'様式４　教育の質・履修者数を向上させるための体制・計画'!$A$1:$J$130</definedName>
    <definedName name="_xlnm.Print_Area" localSheetId="5">'様式５　自己点検・評価'!$A$1:$J$18</definedName>
  </definedNames>
  <calcPr calcId="162913"/>
  <extLst>
    <ext xmlns:mx="http://schemas.microsoft.com/office/mac/excel/2008/main" uri="{7523E5D3-25F3-A5E0-1632-64F254C22452}">
      <mx:ArchID Flags="2"/>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30" i="40" l="1"/>
  <c r="I29" i="41"/>
  <c r="K18" i="42"/>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c r="O30" i="40"/>
  <c r="N30" i="40"/>
  <c r="M30" i="40"/>
  <c r="L30" i="40"/>
  <c r="K30" i="40"/>
  <c r="J30" i="40"/>
  <c r="I30" i="40"/>
  <c r="H30" i="40"/>
  <c r="G30" i="40"/>
  <c r="F30" i="40"/>
  <c r="E30" i="40"/>
  <c r="C30" i="40"/>
  <c r="Q29" i="40"/>
  <c r="R29" i="40"/>
  <c r="Q28" i="40"/>
  <c r="R28" i="40" s="1"/>
  <c r="Q27" i="40"/>
  <c r="R27" i="40"/>
  <c r="Q26" i="40"/>
  <c r="R26" i="40" s="1"/>
  <c r="Q25" i="40"/>
  <c r="R25" i="40"/>
  <c r="Q24" i="40"/>
  <c r="R24" i="40" s="1"/>
  <c r="Q23" i="40"/>
  <c r="R23" i="40"/>
  <c r="Q22" i="40"/>
  <c r="R22" i="40" s="1"/>
  <c r="Q21" i="40"/>
  <c r="R21" i="40"/>
  <c r="Q20" i="40"/>
  <c r="R20" i="40" s="1"/>
  <c r="Q19" i="40"/>
  <c r="R19" i="40"/>
  <c r="Q18" i="40"/>
  <c r="R18" i="40" s="1"/>
  <c r="Q17" i="40"/>
  <c r="R17" i="40"/>
  <c r="Q16" i="40"/>
  <c r="R16" i="40" s="1"/>
  <c r="Q15" i="40"/>
  <c r="R15" i="40"/>
  <c r="Q14" i="40"/>
  <c r="R14" i="40" s="1"/>
  <c r="Q13" i="40"/>
  <c r="R13" i="40"/>
  <c r="Q12" i="40"/>
  <c r="R12" i="40" s="1"/>
  <c r="Q11" i="40"/>
  <c r="R11" i="40"/>
  <c r="Q10" i="40"/>
  <c r="R10" i="40" s="1"/>
  <c r="Q30" i="40" l="1"/>
  <c r="R30" i="40" s="1"/>
  <c r="C28" i="41" s="1"/>
</calcChain>
</file>

<file path=xl/sharedStrings.xml><?xml version="1.0" encoding="utf-8"?>
<sst xmlns="http://schemas.openxmlformats.org/spreadsheetml/2006/main" count="457" uniqueCount="228">
  <si>
    <t>教員数</t>
    <rPh sb="0" eb="2">
      <t>キョウイン</t>
    </rPh>
    <rPh sb="2" eb="3">
      <t>スウ</t>
    </rPh>
    <phoneticPr fontId="2"/>
  </si>
  <si>
    <t>所属部署名</t>
    <rPh sb="0" eb="2">
      <t>ショゾク</t>
    </rPh>
    <rPh sb="2" eb="4">
      <t>ブショ</t>
    </rPh>
    <rPh sb="4" eb="5">
      <t>メイ</t>
    </rPh>
    <phoneticPr fontId="2"/>
  </si>
  <si>
    <t>担当者名</t>
    <rPh sb="0" eb="2">
      <t>タントウ</t>
    </rPh>
    <rPh sb="2" eb="3">
      <t>シャ</t>
    </rPh>
    <rPh sb="3" eb="4">
      <t>メイ</t>
    </rPh>
    <phoneticPr fontId="2"/>
  </si>
  <si>
    <t>電話番号</t>
  </si>
  <si>
    <t>E-mail</t>
  </si>
  <si>
    <t>（常勤）</t>
    <rPh sb="1" eb="3">
      <t>ジョウキン</t>
    </rPh>
    <phoneticPr fontId="2"/>
  </si>
  <si>
    <t>①</t>
    <phoneticPr fontId="2"/>
  </si>
  <si>
    <t>人</t>
    <rPh sb="0" eb="1">
      <t>ニン</t>
    </rPh>
    <phoneticPr fontId="2"/>
  </si>
  <si>
    <t>（非常勤）</t>
    <rPh sb="1" eb="4">
      <t>ヒジョウキン</t>
    </rPh>
    <phoneticPr fontId="2"/>
  </si>
  <si>
    <t>⑤</t>
    <phoneticPr fontId="2"/>
  </si>
  <si>
    <t>④</t>
    <phoneticPr fontId="2"/>
  </si>
  <si>
    <t>学校名</t>
    <rPh sb="0" eb="2">
      <t>ガッコウ</t>
    </rPh>
    <rPh sb="2" eb="3">
      <t>メイ</t>
    </rPh>
    <phoneticPr fontId="2"/>
  </si>
  <si>
    <t>１年次</t>
    <rPh sb="1" eb="2">
      <t>ネン</t>
    </rPh>
    <rPh sb="2" eb="3">
      <t>ツギ</t>
    </rPh>
    <phoneticPr fontId="2"/>
  </si>
  <si>
    <t>２年次</t>
    <rPh sb="1" eb="2">
      <t>ネン</t>
    </rPh>
    <rPh sb="2" eb="3">
      <t>ツギ</t>
    </rPh>
    <phoneticPr fontId="2"/>
  </si>
  <si>
    <t>３年次</t>
    <rPh sb="1" eb="2">
      <t>ネン</t>
    </rPh>
    <rPh sb="2" eb="3">
      <t>ツギ</t>
    </rPh>
    <phoneticPr fontId="2"/>
  </si>
  <si>
    <t>４年次</t>
    <rPh sb="1" eb="2">
      <t>ネン</t>
    </rPh>
    <rPh sb="2" eb="3">
      <t>ツギ</t>
    </rPh>
    <phoneticPr fontId="2"/>
  </si>
  <si>
    <t>人</t>
  </si>
  <si>
    <t>人</t>
    <rPh sb="0" eb="1">
      <t>ニン</t>
    </rPh>
    <phoneticPr fontId="2"/>
  </si>
  <si>
    <t>（役職名）</t>
    <rPh sb="1" eb="4">
      <t>ヤクショクメイ</t>
    </rPh>
    <phoneticPr fontId="2"/>
  </si>
  <si>
    <t>⑩</t>
    <phoneticPr fontId="2"/>
  </si>
  <si>
    <t>様式１</t>
    <rPh sb="0" eb="2">
      <t>ヨウシキ</t>
    </rPh>
    <phoneticPr fontId="2"/>
  </si>
  <si>
    <t>修了者数</t>
    <rPh sb="0" eb="3">
      <t>シュウリョウシャ</t>
    </rPh>
    <rPh sb="3" eb="4">
      <t>スウ</t>
    </rPh>
    <phoneticPr fontId="2"/>
  </si>
  <si>
    <t>履修者数</t>
    <rPh sb="0" eb="2">
      <t>リシュウ</t>
    </rPh>
    <rPh sb="2" eb="3">
      <t>シャ</t>
    </rPh>
    <rPh sb="3" eb="4">
      <t>スウ</t>
    </rPh>
    <phoneticPr fontId="2"/>
  </si>
  <si>
    <t>所在地</t>
    <phoneticPr fontId="2"/>
  </si>
  <si>
    <t>５年次</t>
    <rPh sb="1" eb="2">
      <t>ネン</t>
    </rPh>
    <rPh sb="2" eb="3">
      <t>ツギ</t>
    </rPh>
    <phoneticPr fontId="2"/>
  </si>
  <si>
    <t>６年次</t>
    <rPh sb="1" eb="2">
      <t>ネン</t>
    </rPh>
    <rPh sb="2" eb="3">
      <t>ツギ</t>
    </rPh>
    <phoneticPr fontId="2"/>
  </si>
  <si>
    <t>②</t>
    <phoneticPr fontId="2"/>
  </si>
  <si>
    <t>大学等の設置者</t>
  </si>
  <si>
    <t>⑫</t>
    <phoneticPr fontId="2"/>
  </si>
  <si>
    <t>人</t>
    <rPh sb="0" eb="1">
      <t>ニン</t>
    </rPh>
    <phoneticPr fontId="2"/>
  </si>
  <si>
    <t>総数</t>
    <rPh sb="0" eb="2">
      <t>ソウスウ</t>
    </rPh>
    <phoneticPr fontId="2"/>
  </si>
  <si>
    <t>⑧</t>
    <phoneticPr fontId="2"/>
  </si>
  <si>
    <t>⑬</t>
    <phoneticPr fontId="2"/>
  </si>
  <si>
    <t>（役職名）</t>
    <rPh sb="1" eb="4">
      <t>ヤクショクメイ</t>
    </rPh>
    <phoneticPr fontId="2"/>
  </si>
  <si>
    <t>履修率</t>
    <rPh sb="0" eb="2">
      <t>リシュウ</t>
    </rPh>
    <rPh sb="2" eb="3">
      <t>リツ</t>
    </rPh>
    <phoneticPr fontId="2"/>
  </si>
  <si>
    <t>合　計</t>
    <phoneticPr fontId="2"/>
  </si>
  <si>
    <t>⑥</t>
    <phoneticPr fontId="2"/>
  </si>
  <si>
    <t>プログラムの開設年度</t>
    <rPh sb="6" eb="8">
      <t>カイセツ</t>
    </rPh>
    <rPh sb="8" eb="10">
      <t>ネンド</t>
    </rPh>
    <phoneticPr fontId="2"/>
  </si>
  <si>
    <t>⑨</t>
    <phoneticPr fontId="2"/>
  </si>
  <si>
    <t>⑭</t>
    <phoneticPr fontId="2"/>
  </si>
  <si>
    <t>履修者数
合計</t>
    <rPh sb="0" eb="2">
      <t>リシュウ</t>
    </rPh>
    <rPh sb="2" eb="3">
      <t>シャ</t>
    </rPh>
    <rPh sb="3" eb="4">
      <t>スウ</t>
    </rPh>
    <rPh sb="5" eb="7">
      <t>ゴウケイ</t>
    </rPh>
    <phoneticPr fontId="2"/>
  </si>
  <si>
    <t>様式３</t>
    <rPh sb="0" eb="2">
      <t>ヨウシキ</t>
    </rPh>
    <phoneticPr fontId="2"/>
  </si>
  <si>
    <t>プログラムを構成する授業科目について</t>
    <phoneticPr fontId="2"/>
  </si>
  <si>
    <t>収容
定員</t>
    <rPh sb="0" eb="2">
      <t>シュウヨウ</t>
    </rPh>
    <rPh sb="3" eb="5">
      <t>テイイン</t>
    </rPh>
    <phoneticPr fontId="2"/>
  </si>
  <si>
    <t>申請する認定プログラム</t>
    <rPh sb="0" eb="2">
      <t>シンセイ</t>
    </rPh>
    <rPh sb="4" eb="6">
      <t>ニンテイ</t>
    </rPh>
    <phoneticPr fontId="2"/>
  </si>
  <si>
    <t>プログラムの授業を教えている教員数</t>
    <rPh sb="6" eb="8">
      <t>ジュギョウ</t>
    </rPh>
    <rPh sb="9" eb="10">
      <t>オシ</t>
    </rPh>
    <rPh sb="14" eb="16">
      <t>キョウイン</t>
    </rPh>
    <rPh sb="16" eb="17">
      <t>スウ</t>
    </rPh>
    <phoneticPr fontId="2"/>
  </si>
  <si>
    <t>（責任者名）</t>
    <rPh sb="1" eb="4">
      <t>セキニンシャ</t>
    </rPh>
    <rPh sb="4" eb="5">
      <t>メイ</t>
    </rPh>
    <phoneticPr fontId="2"/>
  </si>
  <si>
    <t>プログラムの運営責任者</t>
    <phoneticPr fontId="2"/>
  </si>
  <si>
    <t>⑪</t>
    <phoneticPr fontId="2"/>
  </si>
  <si>
    <t>全学部・学科の入学定員</t>
    <rPh sb="0" eb="1">
      <t>ゼン</t>
    </rPh>
    <rPh sb="4" eb="6">
      <t>ガッカ</t>
    </rPh>
    <rPh sb="7" eb="9">
      <t>ニュウガク</t>
    </rPh>
    <rPh sb="9" eb="11">
      <t>テイイン</t>
    </rPh>
    <phoneticPr fontId="2"/>
  </si>
  <si>
    <t>全学部・学科の学生数（学年別）</t>
    <rPh sb="0" eb="1">
      <t>ゼン</t>
    </rPh>
    <rPh sb="4" eb="6">
      <t>ガッカ</t>
    </rPh>
    <rPh sb="7" eb="10">
      <t>ガクセイスウ</t>
    </rPh>
    <rPh sb="11" eb="13">
      <t>ガクネン</t>
    </rPh>
    <rPh sb="13" eb="14">
      <t>ベツ</t>
    </rPh>
    <phoneticPr fontId="2"/>
  </si>
  <si>
    <t>学部・学科名称</t>
    <rPh sb="0" eb="2">
      <t>ガクブ</t>
    </rPh>
    <rPh sb="3" eb="5">
      <t>ガッカ</t>
    </rPh>
    <rPh sb="5" eb="7">
      <t>メイショウ</t>
    </rPh>
    <phoneticPr fontId="2"/>
  </si>
  <si>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2"/>
  </si>
  <si>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2"/>
  </si>
  <si>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2"/>
  </si>
  <si>
    <t>入学
定員</t>
    <rPh sb="0" eb="2">
      <t>ニュウガク</t>
    </rPh>
    <rPh sb="3" eb="5">
      <t>テイイン</t>
    </rPh>
    <phoneticPr fontId="2"/>
  </si>
  <si>
    <t>申請するプログラム名称</t>
    <rPh sb="0" eb="2">
      <t>シンセイ</t>
    </rPh>
    <rPh sb="9" eb="11">
      <t>メイショウ</t>
    </rPh>
    <phoneticPr fontId="2"/>
  </si>
  <si>
    <t>③</t>
  </si>
  <si>
    <t>設置形態</t>
    <phoneticPr fontId="2"/>
  </si>
  <si>
    <t>⑮</t>
    <phoneticPr fontId="2"/>
  </si>
  <si>
    <t>プログラムの履修者数等の実績について</t>
    <phoneticPr fontId="2"/>
  </si>
  <si>
    <t>令和3年度</t>
    <rPh sb="0" eb="2">
      <t>レイワ</t>
    </rPh>
    <rPh sb="3" eb="5">
      <t>ネンド</t>
    </rPh>
    <phoneticPr fontId="2"/>
  </si>
  <si>
    <t>令和2年度</t>
    <rPh sb="0" eb="2">
      <t>レイワ</t>
    </rPh>
    <rPh sb="3" eb="5">
      <t>ネンド</t>
    </rPh>
    <phoneticPr fontId="2"/>
  </si>
  <si>
    <t>令和元年度</t>
    <rPh sb="0" eb="2">
      <t>レイワ</t>
    </rPh>
    <rPh sb="2" eb="3">
      <t>モト</t>
    </rPh>
    <rPh sb="3" eb="5">
      <t>ネンド</t>
    </rPh>
    <phoneticPr fontId="2"/>
  </si>
  <si>
    <t>平成30年度</t>
    <rPh sb="0" eb="2">
      <t>ヘイセイ</t>
    </rPh>
    <rPh sb="4" eb="6">
      <t>ネンド</t>
    </rPh>
    <phoneticPr fontId="2"/>
  </si>
  <si>
    <t>平成29年度</t>
    <rPh sb="0" eb="2">
      <t>ヘイセイ</t>
    </rPh>
    <rPh sb="4" eb="6">
      <t>ネンド</t>
    </rPh>
    <phoneticPr fontId="2"/>
  </si>
  <si>
    <t>平成28年度</t>
    <rPh sb="0" eb="2">
      <t>ヘイセイ</t>
    </rPh>
    <rPh sb="4" eb="6">
      <t>ネンド</t>
    </rPh>
    <phoneticPr fontId="2"/>
  </si>
  <si>
    <t>年度</t>
    <rPh sb="0" eb="2">
      <t>ネンド</t>
    </rPh>
    <phoneticPr fontId="2"/>
  </si>
  <si>
    <t>⑦応用基礎レベルの申請の有無</t>
    <phoneticPr fontId="2"/>
  </si>
  <si>
    <t>連絡先</t>
  </si>
  <si>
    <t>①具体的な修了要件</t>
    <phoneticPr fontId="2"/>
  </si>
  <si>
    <t>授業科目</t>
    <rPh sb="0" eb="2">
      <t>ジュギョウ</t>
    </rPh>
    <rPh sb="2" eb="4">
      <t>カモク</t>
    </rPh>
    <phoneticPr fontId="2"/>
  </si>
  <si>
    <t>開講状況</t>
    <phoneticPr fontId="2"/>
  </si>
  <si>
    <t>授業に含まれている内容・要素</t>
    <phoneticPr fontId="2"/>
  </si>
  <si>
    <t>講義内容</t>
    <rPh sb="0" eb="2">
      <t>コウギ</t>
    </rPh>
    <rPh sb="2" eb="4">
      <t>ナイヨウ</t>
    </rPh>
    <phoneticPr fontId="2"/>
  </si>
  <si>
    <t>1-1</t>
    <phoneticPr fontId="2"/>
  </si>
  <si>
    <t>2-1</t>
    <phoneticPr fontId="2"/>
  </si>
  <si>
    <t>3-1</t>
    <phoneticPr fontId="2"/>
  </si>
  <si>
    <t>1-6</t>
  </si>
  <si>
    <t>3-2</t>
    <phoneticPr fontId="2"/>
  </si>
  <si>
    <t>（１）現在進行中の社会変化（第４次産業革命、Society 5.0、データ駆動型社会等）に深く寄与しているものであり、それが自らの生活と密接に結びついている</t>
    <phoneticPr fontId="2"/>
  </si>
  <si>
    <t>（２）「社会で活用されているデータ」や「データの活用領域」は非常に広範囲であって、日常生活や社会の課題を解決する有用なツールになり得るもの</t>
    <phoneticPr fontId="2"/>
  </si>
  <si>
    <t>（３）様々なデータ利活用の現場におけるデータ利活用事例が示され、様々な適用領域（流通、製造、金融、サービス、インフラ、公共、ヘルスケア等）の知見と組み合わせることで価値を創出するもの</t>
    <phoneticPr fontId="2"/>
  </si>
  <si>
    <t>②教育プログラムの修了要件</t>
    <phoneticPr fontId="2"/>
  </si>
  <si>
    <t>年度</t>
    <rPh sb="0" eb="2">
      <t>ネンド</t>
    </rPh>
    <phoneticPr fontId="2"/>
  </si>
  <si>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2"/>
  </si>
  <si>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2"/>
  </si>
  <si>
    <t>1-2</t>
    <phoneticPr fontId="2"/>
  </si>
  <si>
    <t>1-3</t>
    <phoneticPr fontId="2"/>
  </si>
  <si>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2"/>
  </si>
  <si>
    <t>1-4</t>
    <phoneticPr fontId="2"/>
  </si>
  <si>
    <t>1-5</t>
    <phoneticPr fontId="2"/>
  </si>
  <si>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2"/>
  </si>
  <si>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2"/>
  </si>
  <si>
    <t>2-2</t>
    <phoneticPr fontId="2"/>
  </si>
  <si>
    <t>2-3</t>
    <phoneticPr fontId="2"/>
  </si>
  <si>
    <t>⑧選択「４．オプション」の内容を含む授業科目</t>
    <rPh sb="13" eb="15">
      <t>ナイヨウ</t>
    </rPh>
    <rPh sb="16" eb="17">
      <t>フク</t>
    </rPh>
    <rPh sb="18" eb="20">
      <t>ジュギョウ</t>
    </rPh>
    <rPh sb="20" eb="22">
      <t>カモク</t>
    </rPh>
    <phoneticPr fontId="2"/>
  </si>
  <si>
    <t>1-6</t>
    <phoneticPr fontId="2"/>
  </si>
  <si>
    <t>（４）活用に当たっての様々な留意事項（ELSI、個人情報、データ倫理、ＡＩ社会原則等）を考慮し、情報セキュリティや情報漏洩等、データを守る上での留意事項への理解をする</t>
    <phoneticPr fontId="2"/>
  </si>
  <si>
    <t>（５）実データ・実課題（学術データ等を含む）を用いた演習など、社会での実例を題材として、「データを読む、説明する、扱う」といった数理・データサイエンス・ＡＩの基本的な活用法に関するもの</t>
    <phoneticPr fontId="2"/>
  </si>
  <si>
    <t>必修</t>
    <rPh sb="0" eb="2">
      <t>ヒッシュウ</t>
    </rPh>
    <phoneticPr fontId="2"/>
  </si>
  <si>
    <t>単位数</t>
    <rPh sb="0" eb="3">
      <t>タンイスウ</t>
    </rPh>
    <phoneticPr fontId="2"/>
  </si>
  <si>
    <t>⑨プログラムを構成する授業の内容</t>
    <phoneticPr fontId="2"/>
  </si>
  <si>
    <t>⑩プログラムの学修成果（学生等が身に付けられる能力等）</t>
    <phoneticPr fontId="2"/>
  </si>
  <si>
    <t>⑪プログラムの授業内容等を公表しているアドレス</t>
    <phoneticPr fontId="2"/>
  </si>
  <si>
    <t>②履修者・修了者の実績</t>
    <rPh sb="1" eb="3">
      <t>リシュウ</t>
    </rPh>
    <rPh sb="3" eb="4">
      <t>シャ</t>
    </rPh>
    <rPh sb="5" eb="8">
      <t>シュウリョウシャ</t>
    </rPh>
    <rPh sb="9" eb="11">
      <t>ジッセキ</t>
    </rPh>
    <phoneticPr fontId="2"/>
  </si>
  <si>
    <t>選択項目</t>
    <rPh sb="0" eb="2">
      <t>センタク</t>
    </rPh>
    <rPh sb="2" eb="4">
      <t>コウモク</t>
    </rPh>
    <phoneticPr fontId="2"/>
  </si>
  <si>
    <t>①プログラム開設年度</t>
    <rPh sb="6" eb="8">
      <t>カイセツ</t>
    </rPh>
    <rPh sb="8" eb="10">
      <t>ネンド</t>
    </rPh>
    <phoneticPr fontId="2"/>
  </si>
  <si>
    <t>学部・学科によって、修了要件は相違する</t>
  </si>
  <si>
    <t>様式２－１</t>
    <phoneticPr fontId="2"/>
  </si>
  <si>
    <t>情報薬学基礎演習</t>
    <rPh sb="0" eb="2">
      <t>ジョウホウ</t>
    </rPh>
    <rPh sb="2" eb="4">
      <t>ヤクガク</t>
    </rPh>
    <rPh sb="4" eb="6">
      <t>キソ</t>
    </rPh>
    <rPh sb="6" eb="8">
      <t>エンシュウ</t>
    </rPh>
    <phoneticPr fontId="2"/>
  </si>
  <si>
    <t>情報薬学基礎演習</t>
    <rPh sb="0" eb="8">
      <t>ジョウホウヤクガクキソエンシュウ</t>
    </rPh>
    <phoneticPr fontId="2"/>
  </si>
  <si>
    <t>○</t>
  </si>
  <si>
    <t>全学開講</t>
  </si>
  <si>
    <t>保険での応用，銀行におけるデータ活用（第22回）
マーケティングリサーチ、遺伝子の探索（第22回）</t>
    <phoneticPr fontId="2"/>
  </si>
  <si>
    <t>データ・AI利活用における留意事項（第23回）
データを守る上での留意事項（第23回）</t>
    <phoneticPr fontId="2"/>
  </si>
  <si>
    <t>データ分析の基礎：ヒストグラム、箱ひげ図（第19回）
平均・分散・標準偏差（第20回）
相関関係、相関と因果の違い（第21回）</t>
    <phoneticPr fontId="2"/>
  </si>
  <si>
    <t>情報通信技術を利活用する社会における「読み・書き・そろばん」的な素養である「数理・データサイエンス・AI」に関する基本的な知識・技能・態度の習得。</t>
    <rPh sb="0" eb="2">
      <t>ジョウホウ</t>
    </rPh>
    <rPh sb="2" eb="4">
      <t>ツウシン</t>
    </rPh>
    <rPh sb="4" eb="6">
      <t>ギジュツ</t>
    </rPh>
    <rPh sb="7" eb="10">
      <t>リカツヨウ</t>
    </rPh>
    <rPh sb="12" eb="14">
      <t>シャカイ</t>
    </rPh>
    <rPh sb="19" eb="20">
      <t>ヨ</t>
    </rPh>
    <rPh sb="22" eb="23">
      <t>カ</t>
    </rPh>
    <rPh sb="30" eb="31">
      <t>テキ</t>
    </rPh>
    <rPh sb="32" eb="34">
      <t>ソヨウ</t>
    </rPh>
    <rPh sb="38" eb="40">
      <t>スウリ</t>
    </rPh>
    <rPh sb="54" eb="55">
      <t>カン</t>
    </rPh>
    <rPh sb="57" eb="60">
      <t>キホンテキ</t>
    </rPh>
    <rPh sb="61" eb="63">
      <t>チシキ</t>
    </rPh>
    <rPh sb="64" eb="66">
      <t>ギノウ</t>
    </rPh>
    <rPh sb="67" eb="69">
      <t>タイド</t>
    </rPh>
    <rPh sb="70" eb="72">
      <t>シュウトク</t>
    </rPh>
    <phoneticPr fontId="2"/>
  </si>
  <si>
    <t>コンピュータ技術基礎Ⅰ</t>
    <rPh sb="6" eb="11">
      <t>ギジュツキソ１</t>
    </rPh>
    <phoneticPr fontId="2"/>
  </si>
  <si>
    <t>コンピュータ技術基礎Ⅰ</t>
    <rPh sb="6" eb="8">
      <t>ギジュツ</t>
    </rPh>
    <rPh sb="8" eb="10">
      <t>キソ</t>
    </rPh>
    <phoneticPr fontId="2"/>
  </si>
  <si>
    <t>教育・学修支援センター</t>
    <rPh sb="0" eb="2">
      <t>キョウイク</t>
    </rPh>
    <rPh sb="3" eb="5">
      <t>ガクシュウ</t>
    </rPh>
    <rPh sb="5" eb="7">
      <t>シエン</t>
    </rPh>
    <phoneticPr fontId="2"/>
  </si>
  <si>
    <t>私立大学</t>
  </si>
  <si>
    <t>大阪大谷大学</t>
    <rPh sb="0" eb="2">
      <t>オオサカ</t>
    </rPh>
    <rPh sb="2" eb="4">
      <t>オオタニ</t>
    </rPh>
    <rPh sb="4" eb="6">
      <t>ダイガク</t>
    </rPh>
    <phoneticPr fontId="2"/>
  </si>
  <si>
    <t>学校法人　大谷学園</t>
    <rPh sb="0" eb="2">
      <t>ガッコウ</t>
    </rPh>
    <rPh sb="2" eb="4">
      <t>ホウジン</t>
    </rPh>
    <rPh sb="5" eb="7">
      <t>オオタニ</t>
    </rPh>
    <rPh sb="7" eb="9">
      <t>ガクエン</t>
    </rPh>
    <phoneticPr fontId="2"/>
  </si>
  <si>
    <t>大阪府富田林市錦織北3-11-1</t>
    <rPh sb="0" eb="2">
      <t>オオサカ</t>
    </rPh>
    <rPh sb="2" eb="3">
      <t>フ</t>
    </rPh>
    <rPh sb="3" eb="6">
      <t>トンダバヤシ</t>
    </rPh>
    <rPh sb="6" eb="7">
      <t>シ</t>
    </rPh>
    <rPh sb="7" eb="9">
      <t>ニシキオリ</t>
    </rPh>
    <rPh sb="9" eb="10">
      <t>キタ</t>
    </rPh>
    <phoneticPr fontId="2"/>
  </si>
  <si>
    <t>令和3</t>
    <rPh sb="0" eb="2">
      <t>レイワ</t>
    </rPh>
    <phoneticPr fontId="2"/>
  </si>
  <si>
    <t>無</t>
  </si>
  <si>
    <t>中村　雅司</t>
    <rPh sb="0" eb="2">
      <t>ナカムラ</t>
    </rPh>
    <rPh sb="3" eb="5">
      <t>マサシ</t>
    </rPh>
    <phoneticPr fontId="2"/>
  </si>
  <si>
    <t>教育・学修支援センター長</t>
    <rPh sb="0" eb="11">
      <t>キョウガク</t>
    </rPh>
    <rPh sb="11" eb="12">
      <t>チョウ</t>
    </rPh>
    <phoneticPr fontId="2"/>
  </si>
  <si>
    <t>教育・学修支援センター長</t>
    <rPh sb="0" eb="12">
      <t>キョウガクチョウ</t>
    </rPh>
    <phoneticPr fontId="2"/>
  </si>
  <si>
    <t>大学自己点検・評価委員会</t>
    <rPh sb="0" eb="2">
      <t>ダイガク</t>
    </rPh>
    <rPh sb="2" eb="4">
      <t>ジコ</t>
    </rPh>
    <rPh sb="4" eb="6">
      <t>テンケン</t>
    </rPh>
    <rPh sb="7" eb="9">
      <t>ヒョウカ</t>
    </rPh>
    <rPh sb="9" eb="12">
      <t>イインカイ</t>
    </rPh>
    <phoneticPr fontId="2"/>
  </si>
  <si>
    <t>浅尾　広良</t>
    <rPh sb="0" eb="2">
      <t>アサオ</t>
    </rPh>
    <rPh sb="3" eb="5">
      <t>ヒロヨシ</t>
    </rPh>
    <phoneticPr fontId="2"/>
  </si>
  <si>
    <t>学長</t>
    <rPh sb="0" eb="2">
      <t>ガクチョウ</t>
    </rPh>
    <phoneticPr fontId="2"/>
  </si>
  <si>
    <t>認定教育プログラム</t>
  </si>
  <si>
    <t>kyouikusien@osaka-ohtani.ac.jp</t>
    <phoneticPr fontId="2"/>
  </si>
  <si>
    <t>峯山　美智子</t>
    <rPh sb="0" eb="2">
      <t>ミネヤマ</t>
    </rPh>
    <rPh sb="3" eb="6">
      <t>ミチコ</t>
    </rPh>
    <phoneticPr fontId="2"/>
  </si>
  <si>
    <t>0721-24-9419</t>
    <phoneticPr fontId="2"/>
  </si>
  <si>
    <t>文学部・日本語日本文学科</t>
    <rPh sb="0" eb="3">
      <t>ブン</t>
    </rPh>
    <rPh sb="4" eb="12">
      <t>ニチブン</t>
    </rPh>
    <phoneticPr fontId="3"/>
  </si>
  <si>
    <t>文学部・歴史文化学科</t>
    <rPh sb="0" eb="3">
      <t>ブン</t>
    </rPh>
    <rPh sb="4" eb="10">
      <t>レキシ</t>
    </rPh>
    <phoneticPr fontId="3"/>
  </si>
  <si>
    <t>教育学部・教育学科</t>
    <rPh sb="0" eb="4">
      <t>キョウイク</t>
    </rPh>
    <rPh sb="5" eb="9">
      <t>キョウイク</t>
    </rPh>
    <phoneticPr fontId="3"/>
  </si>
  <si>
    <t>人間社会学部・人間社会学科</t>
    <rPh sb="0" eb="6">
      <t>ニンシャ</t>
    </rPh>
    <rPh sb="7" eb="13">
      <t>ニンシャ</t>
    </rPh>
    <phoneticPr fontId="3"/>
  </si>
  <si>
    <t>人間社会学部・スポーツ健康学科</t>
    <rPh sb="0" eb="6">
      <t>ニンシャ</t>
    </rPh>
    <phoneticPr fontId="3"/>
  </si>
  <si>
    <t>薬学部・薬学科</t>
    <rPh sb="0" eb="3">
      <t>ヤク</t>
    </rPh>
    <rPh sb="4" eb="7">
      <t>ヤク</t>
    </rPh>
    <phoneticPr fontId="3"/>
  </si>
  <si>
    <t>Excelの応用的な処理技術（第8回）</t>
    <phoneticPr fontId="2"/>
  </si>
  <si>
    <t>文書作成アプリケーションによる情報共有（第5回）
データサイエンスの役割（第16回）
データの種類，データの取得・管理（第17回）</t>
    <phoneticPr fontId="2"/>
  </si>
  <si>
    <t>現時点で本プログラムを修了した卒業生はいないため、外部の直接的な評価を得ることが困難であるものの、今後は本学卒業生が就職している企業との意見交換等を通して、プログラムに求められる資質・能力等について改善を図っていく。</t>
    <rPh sb="11" eb="13">
      <t>シュウリョウ</t>
    </rPh>
    <phoneticPr fontId="2"/>
  </si>
  <si>
    <t>大学を例とした身近な情報通信環境の状況（第1回）
データサイエンスの役割（第16回）</t>
    <phoneticPr fontId="2"/>
  </si>
  <si>
    <t>大学を例とした身近な情報通信環境の状況（第1回）
データサイエンスの役割（第16回）</t>
    <rPh sb="0" eb="2">
      <t>ダイガク</t>
    </rPh>
    <phoneticPr fontId="2"/>
  </si>
  <si>
    <t>自己点検・評価について</t>
    <rPh sb="0" eb="2">
      <t>ジコ</t>
    </rPh>
    <rPh sb="2" eb="4">
      <t>テンケン</t>
    </rPh>
    <rPh sb="5" eb="7">
      <t>ヒョウカ</t>
    </rPh>
    <phoneticPr fontId="2"/>
  </si>
  <si>
    <t>プレゼンテーションを通したデータの説明（第9～11、13～15回）
データ分析の基礎：ヒストグラム、箱ひげ図（第19回）
平均・分散・標準偏差（第20回）
相関関係、相関と因果の違い（第21回）</t>
    <phoneticPr fontId="2"/>
  </si>
  <si>
    <t>Excelによる計算（第6～8回）
データ分析の基礎：ヒストグラム、箱ひげ図（第19回）
平均・分散・標準偏差（第20回）
相関関係、相関と因果の違い（第21回）</t>
    <phoneticPr fontId="2"/>
  </si>
  <si>
    <t>情報環境に関する仕組みと特徴（第3、12回）
デジタル画像の構成、画像処理（第18回）</t>
    <phoneticPr fontId="2"/>
  </si>
  <si>
    <t>OPAC等のデータベースの活用（第3回）
データサイエンスの役割（第16回）
データの種類，データの取得・管理（第17回）
クロス集計（第21回）</t>
    <phoneticPr fontId="2"/>
  </si>
  <si>
    <t>身近なデータサイエンス実践プログラム</t>
    <phoneticPr fontId="2"/>
  </si>
  <si>
    <t>保険での応用、銀行におけるデータ活用（第22回）
マーケティングリサーチ、遺伝子の探索（第22回）</t>
    <phoneticPr fontId="2"/>
  </si>
  <si>
    <t>データ・AI利活用における留意事項（第23回）
データを守る上での留意事項（第23回）</t>
    <phoneticPr fontId="2"/>
  </si>
  <si>
    <t>データ分析の基礎：ヒストグラム、箱ひげ図（第19回）
平均・分散・標準偏差（第20回）
相関関係、相関と因果の違い（第21回）</t>
    <phoneticPr fontId="2"/>
  </si>
  <si>
    <t>様式２－２</t>
    <phoneticPr fontId="2"/>
  </si>
  <si>
    <t>本プログラムを構成する科目（コンピュータ技術基礎Ⅰ、情報薬学基礎演習）は、全学必修科目として開講している。
データサイエンス・AI教育の重要性はますます高まっていくという認識のもと、今後も全学必修科目とする方針である。</t>
    <phoneticPr fontId="2"/>
  </si>
  <si>
    <r>
      <t>上記④に記載した通り、本プログラムを構成する科目は、学部・学科を問わず、全学必修科目としている。さらに本学では、教育・学修支援センター及び情報教育センターが、ICT環境の整備、</t>
    </r>
    <r>
      <rPr>
        <sz val="12"/>
        <color theme="1"/>
        <rFont val="ＭＳ Ｐゴシック"/>
        <family val="2"/>
        <charset val="136"/>
        <scheme val="minor"/>
      </rPr>
      <t>ラーニングコモンズの運営及びオンライン教材開発</t>
    </r>
    <r>
      <rPr>
        <sz val="12"/>
        <rFont val="ＭＳ Ｐゴシック"/>
        <family val="3"/>
        <charset val="128"/>
        <scheme val="minor"/>
      </rPr>
      <t xml:space="preserve">・利用の推進等、積極的な授業支援を行っている。
</t>
    </r>
    <rPh sb="36" eb="38">
      <t>ゼンガク</t>
    </rPh>
    <rPh sb="67" eb="68">
      <t>オヨ</t>
    </rPh>
    <rPh sb="100" eb="101">
      <t>オヨ</t>
    </rPh>
    <rPh sb="117" eb="118">
      <t>トウ</t>
    </rPh>
    <phoneticPr fontId="2"/>
  </si>
  <si>
    <t>履修方法や授業内容等は、Webポータルサイト（Active Academy）にある「履修の手引き」、「カリキュラム」、「シラバス」で周知している。また、各科目のシラバスは、本学のホームページからも常に閲覧可能となっている。
なお、上記④に記載した通り、本プログラムを構成する科目はすでに全学必修科目としているので、全学生が履修する。今後も、授業におけるLMSの活用方法の検討を続ける等、学生が本プログラムに、一層アクセスしやすくなるような取り組みを行っていく。</t>
    <rPh sb="5" eb="7">
      <t>ジュギョウ</t>
    </rPh>
    <rPh sb="7" eb="9">
      <t>ナイヨウ</t>
    </rPh>
    <rPh sb="9" eb="10">
      <t>ナド</t>
    </rPh>
    <rPh sb="42" eb="44">
      <t>リシュウ</t>
    </rPh>
    <rPh sb="45" eb="47">
      <t>テビ</t>
    </rPh>
    <rPh sb="86" eb="88">
      <t>ホンガク</t>
    </rPh>
    <rPh sb="157" eb="158">
      <t>ゼン</t>
    </rPh>
    <rPh sb="158" eb="160">
      <t>ガクセイ</t>
    </rPh>
    <rPh sb="161" eb="163">
      <t>リシュウ</t>
    </rPh>
    <rPh sb="191" eb="192">
      <t>ナド</t>
    </rPh>
    <rPh sb="196" eb="197">
      <t>ホン</t>
    </rPh>
    <rPh sb="204" eb="206">
      <t>イッソウ</t>
    </rPh>
    <phoneticPr fontId="2"/>
  </si>
  <si>
    <t>上記④に記載した通り、本プログラムを構成する科目はすでに全学必修科目としているので、全学生が履修する。
本プログラムの実施にあたってはICT環境をハード・ソフトの両面から整備することが重要であり、教育・学修支援センター及び情報教育センターが授業運営のサポートやラーニングコモンズの運営及びオンライン教材開発・利用の推進等、積極的な授業支援を行っている。また、図書館は、数理・データサイエンス・AI教育と関連する図書や参考資料を充実させており、加えてデータベースや電子図書の充実にも力を入れている。さらに、これらのコンテンツを学内だけでなく、自宅等の学外からもインターネット経由で利用できるよう整備している。
今後は、本プログラム履修者の中からICT習熟度の高い学生を、数理・データサイエンス・AI教育のSA（ステューデント・アシスタント）として採用すること等で、授業時間外の学習指導や、個別に質問を受け付ける体制を整備し、より充実した学修支援を実現していく。</t>
    <rPh sb="109" eb="110">
      <t>オヨ</t>
    </rPh>
    <rPh sb="142" eb="143">
      <t>オヨ</t>
    </rPh>
    <rPh sb="262" eb="263">
      <t>ガク</t>
    </rPh>
    <rPh sb="308" eb="309">
      <t>ホン</t>
    </rPh>
    <rPh sb="378" eb="379">
      <t>ナド</t>
    </rPh>
    <phoneticPr fontId="2"/>
  </si>
  <si>
    <t>以下のような仕組みを設けている。
①本プログラムを構成する科目に関する授業資料は、LMSに公開しており、学生はいつでも自習することができる。また、授業外のオンライン学習では、テーマごとに小課題を設定し、学生の回答をリアルタイムに評価し、学生が常に自ら学修結果の把握ができるようにしている。
②担当教員のオフィスアワーを公開し、学生の質問への対応、個人指導等のサポート体制を整備している。
③図書館には、数理・データサイエンス・AI教育に関連する参考図書や参考資料を整備している。
今後は、プログラム履修者の中からICT習熟度の高い学生を、数理・データサイエンス・AI教育のSA（ステューデント・アシスタント）として採用すること等で、授業時間外の学習指導や、個別に質問を受け付ける体制を整備し、より充実した学修支援を実現していく。</t>
    <rPh sb="0" eb="2">
      <t>イカ</t>
    </rPh>
    <rPh sb="6" eb="8">
      <t>シク</t>
    </rPh>
    <rPh sb="10" eb="11">
      <t>モウ</t>
    </rPh>
    <rPh sb="82" eb="84">
      <t>ガクシュウ</t>
    </rPh>
    <rPh sb="97" eb="99">
      <t>セッテイ</t>
    </rPh>
    <rPh sb="104" eb="106">
      <t>カイトウ</t>
    </rPh>
    <rPh sb="114" eb="116">
      <t>ヒョウカ</t>
    </rPh>
    <rPh sb="170" eb="172">
      <t>タイオウ</t>
    </rPh>
    <rPh sb="177" eb="178">
      <t>トウ</t>
    </rPh>
    <rPh sb="232" eb="234">
      <t>セイビ</t>
    </rPh>
    <phoneticPr fontId="2"/>
  </si>
  <si>
    <t>　　　　　　　　　　　　　　　　　　　　　　　　　　　　　　　　　　　　　　　　　　　　　　　　　　　　　　　　　　　　　　　　　　　　　　　　　　　　　　　　　　　　　　　　　　　　　　　　　　　　　　　　　　　　　　　　　　　　　　　　　　　　　　　　　　　　　　　　　　　　　　　　　　　　　　　　　　　　　　　　　　　　　　　　　　　　　　　　　　　　　　　　　　　　　　　　　　　　　　　　　　　　　　　　　　　　　　　　　　　　　　　　　　　　　　　　　　　　　　　　　　　　　　　　　　　　　　　　　　　　　　　　　　　　　　　　　　　　　　　　　　　　　　　　　　　　　　　　　　　　　　　　　　　　　　　　　　　　　　　　　　　　　　　　　　　　　　　　　　　　　　　　　　　　　　　　　　　　　　　　　　　　　　　　　　　　　　　　　　　　　　　　　　　　　　　　　　　　　　　　　　　　　　　　　　　　　　　　　　　　　　　　　　　　　　　　　　　　　　　　　　　　　　　　　　　　　　　　　　　　　　　　　　　　　　　　　　　　　　　　　　　　　　　　　　　　　　　　　　　　　　　　　　　　　　　　　　　　　　　　　　　　　　　　　　　　　　　　　　　　　　　　　　　　　　　　　　　　　　　　　　　　　　　　　　　　　　　　　　　　　　　　　　　　　　　　　　　　　　　　　　　　　　　　　　　　　　　　　　　　　　　　　　　　　　　　　　　　　　　　　　　　　　　　　　　　　　　　　　　　　　　　　　　　　　　　　　　　　　　　　　　　　　　　　　　　　　　　　　　　　　　　　　　　　　　　　　　　　　　　　　　　　　　　　　　　　　</t>
    <phoneticPr fontId="2"/>
  </si>
  <si>
    <t>様式４</t>
    <rPh sb="0" eb="2">
      <t>ヨウシキ</t>
    </rPh>
    <phoneticPr fontId="2"/>
  </si>
  <si>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2"/>
  </si>
  <si>
    <t>①</t>
    <phoneticPr fontId="2"/>
  </si>
  <si>
    <t>プログラムを改善・進化させるための体制を定める規則名称</t>
    <phoneticPr fontId="2"/>
  </si>
  <si>
    <t>大阪大谷大学教育・学修支援センター規程</t>
    <phoneticPr fontId="2"/>
  </si>
  <si>
    <t>②</t>
    <phoneticPr fontId="2"/>
  </si>
  <si>
    <t>体制の目的</t>
    <rPh sb="0" eb="2">
      <t>タイセイ</t>
    </rPh>
    <rPh sb="3" eb="5">
      <t>モクテキ</t>
    </rPh>
    <phoneticPr fontId="2"/>
  </si>
  <si>
    <t>③</t>
    <phoneticPr fontId="2"/>
  </si>
  <si>
    <t>具体的な構成員</t>
    <rPh sb="0" eb="3">
      <t>グタイテキ</t>
    </rPh>
    <rPh sb="4" eb="7">
      <t>コウセイイン</t>
    </rPh>
    <phoneticPr fontId="2"/>
  </si>
  <si>
    <t xml:space="preserve">＜教育・学修支援センター教職員＞ 
中村　雅司　（センター長、副学長、人間社会学部　教授） 
大倉　孝昭　（特任教授）
廖　　于晴　（特任講師） 
前田　裕介　（助教）
松田　亜夕　（職員）
峯山　美智子（参事）
＜情報教育の在り方検討タスクフォースメンバー＞ 
江崎　誠治（薬学部　准教授） 
中島　悠介（教育学部　准教授） 
江上　直樹（教育学部　講師）
大倉　孝昭（特任教授）
那須　正夫（教授）
峯山　美智子（参事）
</t>
    <rPh sb="110" eb="112">
      <t>ジョウホウ</t>
    </rPh>
    <rPh sb="112" eb="114">
      <t>キョウイク</t>
    </rPh>
    <rPh sb="115" eb="116">
      <t>ア</t>
    </rPh>
    <rPh sb="117" eb="118">
      <t>カタ</t>
    </rPh>
    <rPh sb="118" eb="120">
      <t>ケントウ</t>
    </rPh>
    <phoneticPr fontId="2"/>
  </si>
  <si>
    <t>④</t>
    <phoneticPr fontId="2"/>
  </si>
  <si>
    <t>履修者数・履修率の向上に向けた計画</t>
    <rPh sb="5" eb="7">
      <t>リシュウ</t>
    </rPh>
    <rPh sb="7" eb="8">
      <t>リツ</t>
    </rPh>
    <phoneticPr fontId="2"/>
  </si>
  <si>
    <t>令和３年度実績</t>
    <rPh sb="0" eb="2">
      <t>レイワ</t>
    </rPh>
    <rPh sb="3" eb="5">
      <t>ネンド</t>
    </rPh>
    <rPh sb="5" eb="7">
      <t>ジッセキ</t>
    </rPh>
    <phoneticPr fontId="2"/>
  </si>
  <si>
    <t>令和４年度予定</t>
    <rPh sb="0" eb="2">
      <t>レイワ</t>
    </rPh>
    <rPh sb="3" eb="5">
      <t>ネンド</t>
    </rPh>
    <rPh sb="5" eb="7">
      <t>ヨテイ</t>
    </rPh>
    <phoneticPr fontId="2"/>
  </si>
  <si>
    <t>令和５年度予定</t>
    <rPh sb="0" eb="2">
      <t>レイワ</t>
    </rPh>
    <rPh sb="3" eb="5">
      <t>ネンド</t>
    </rPh>
    <rPh sb="5" eb="7">
      <t>ヨテイ</t>
    </rPh>
    <phoneticPr fontId="2"/>
  </si>
  <si>
    <t>令和６年度予定</t>
    <rPh sb="0" eb="2">
      <t>レイワ</t>
    </rPh>
    <rPh sb="3" eb="5">
      <t>ネンド</t>
    </rPh>
    <rPh sb="5" eb="7">
      <t>ヨテイ</t>
    </rPh>
    <phoneticPr fontId="2"/>
  </si>
  <si>
    <t>令和７年度予定</t>
    <rPh sb="0" eb="2">
      <t>レイワ</t>
    </rPh>
    <rPh sb="3" eb="5">
      <t>ネンド</t>
    </rPh>
    <rPh sb="5" eb="7">
      <t>ヨテイ</t>
    </rPh>
    <phoneticPr fontId="2"/>
  </si>
  <si>
    <t>収容定員（名）</t>
    <rPh sb="0" eb="4">
      <t>シュウヨウテイイン</t>
    </rPh>
    <rPh sb="5" eb="6">
      <t>メイ</t>
    </rPh>
    <phoneticPr fontId="2"/>
  </si>
  <si>
    <t>具体的な計画</t>
    <rPh sb="0" eb="3">
      <t>グタイテキ</t>
    </rPh>
    <rPh sb="4" eb="6">
      <t>ケイカク</t>
    </rPh>
    <phoneticPr fontId="2"/>
  </si>
  <si>
    <t>⑤</t>
    <phoneticPr fontId="2"/>
  </si>
  <si>
    <t>学部・学科に関係なく希望する学生全員が受講可能となるような必要な体制・取組等</t>
    <rPh sb="29" eb="31">
      <t>ヒツヨウ</t>
    </rPh>
    <rPh sb="32" eb="34">
      <t>タイセイ</t>
    </rPh>
    <rPh sb="35" eb="37">
      <t>トリクミ</t>
    </rPh>
    <rPh sb="37" eb="38">
      <t>トウ</t>
    </rPh>
    <phoneticPr fontId="2"/>
  </si>
  <si>
    <t>⑥</t>
    <phoneticPr fontId="2"/>
  </si>
  <si>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2"/>
  </si>
  <si>
    <t>⑦</t>
    <phoneticPr fontId="2"/>
  </si>
  <si>
    <t>できる限り多くの学生が履修・修得できるようなサポート体制</t>
    <rPh sb="26" eb="28">
      <t>タイセイ</t>
    </rPh>
    <phoneticPr fontId="2"/>
  </si>
  <si>
    <t>⑧</t>
    <phoneticPr fontId="2"/>
  </si>
  <si>
    <t>授業時間内外で学習指導、質問を受け付ける具体的な仕組み</t>
    <rPh sb="20" eb="23">
      <t>グタイテキ</t>
    </rPh>
    <phoneticPr fontId="2"/>
  </si>
  <si>
    <t>本プログラムを構成する科目は全学必修科目であり、卒業までに全学生が履修・修得するため、教務課が履修登録の漏れがないことを確認している。また、履修学生の修得状況については教育・学修支援センターが把握できる体制にある。</t>
    <rPh sb="72" eb="74">
      <t>ガクセイ</t>
    </rPh>
    <rPh sb="96" eb="98">
      <t>ハアク</t>
    </rPh>
    <rPh sb="101" eb="103">
      <t>タイセイ</t>
    </rPh>
    <phoneticPr fontId="2"/>
  </si>
  <si>
    <t>科目成績及び受講生全員を対象とした「授業評価アンケート」を手がかりに、学修成果の分析と確認を行っている。また、本プログラムの特色の一つであるオンライン学習時には、単元ごとに理解度チェックのための演習問題を設定し、科目全体の学修成果だけでなく、単元ごとの学修成果も教職員・学生の双方がLMSによって把握できる。これらの学修成果は教育・学修支援センターが構築しているデータベースと組み合わせて、分析を行っている。分析の結果は授業担当教員および各学科の教務委員に周知し、授業の改善に向けて議論している。</t>
    <rPh sb="46" eb="47">
      <t>オコナ</t>
    </rPh>
    <rPh sb="158" eb="160">
      <t>ガクシュウ</t>
    </rPh>
    <rPh sb="210" eb="212">
      <t>ジュギョウ</t>
    </rPh>
    <phoneticPr fontId="2"/>
  </si>
  <si>
    <t>本プログラムを構成する科目では、受講生全員を対象とした「授業評価アンケート」を実施し、教材・教育内容の評価や授業内容の理解度を把握している。また、本プログラムの担当教員も、科目内容に対して、自己点検・評価を行っている。それらの評価の結果を、次年度の授業改善に繋げている。さらに、本プログラムの特色の一つであるオンライン学習時には、単元ごとに理解度チェックのための演習問題を設定しており、科目成績のような科目全体の学修成果だけでなく、単元ごとの学修成果も教職員・学生の双方がLMSによって把握できる。これらの学修成果を基に担当教員は、次年度の教材・授業内容の改善に活かしている。</t>
    <rPh sb="22" eb="24">
      <t>タイショウ</t>
    </rPh>
    <rPh sb="129" eb="130">
      <t>ツナ</t>
    </rPh>
    <phoneticPr fontId="2"/>
  </si>
  <si>
    <t>授業評価アンケートの結果は、学内のWebポータルサイト（Active Academy）にて提示し、学生はこれらの結果を閲覧することが可能である。これは、授業に対して上級生からのレビューとなり、これから履修する学生にとって単位修得に向けた授業への取り組みの参考となっている。</t>
    <rPh sb="56" eb="58">
      <t>ケッカ</t>
    </rPh>
    <rPh sb="100" eb="102">
      <t>リシュウ</t>
    </rPh>
    <rPh sb="118" eb="120">
      <t>ジュギョウ</t>
    </rPh>
    <phoneticPr fontId="2"/>
  </si>
  <si>
    <t>本プログラムを構成する科目は全学必修科目であり、卒業までに全学生が履修・修得する。大学における数理・データサイエンス・AI教育の重要性はますます高まっていくという認識のもと、今後も全学必修科目とする方針を継続していく計画である。
本プログラムの実施にあたってはICT環境をハード・ソフトの両面から整備することが重要であり、教育・学修支援センター及び情報教育センターが授業運営のサポートやラーニングコモンズの運営及びオンライン教材開発・利用の推進等、積極的な授業支援を行っている。また、図書館は、数理・データサイエンス・AI教育と関連する図書や参考資料を充実させており、加えてデータベースや電子図書の充実にも力を入れている。さらに、これらのコンテンツを学内だけでなく、自宅等の学外からもインターネット経由で利用できるよう整備している。</t>
    <rPh sb="325" eb="326">
      <t>ガク</t>
    </rPh>
    <phoneticPr fontId="2"/>
  </si>
  <si>
    <t>外部評価、大学全体の自己点検・評価及び薬学教育評価機構による評価等の機会、企業との連携や共同研究を通して、産業界から意見を収集し、本プログラムの改善に寄与する。また、同窓会も利用し、定期的に意見交換を行う。</t>
    <rPh sb="17" eb="18">
      <t>オヨ</t>
    </rPh>
    <rPh sb="32" eb="33">
      <t>ナド</t>
    </rPh>
    <rPh sb="100" eb="101">
      <t>オコナ</t>
    </rPh>
    <phoneticPr fontId="2"/>
  </si>
  <si>
    <t>本プログラムを構成する科目では、Society5.0社会に向けて、家庭・学校・職場等の日常生活における様々な場で使いこなすことが必要となる基礎的な素養を、主体的に身に付けることを目標としている。また、データサイエンスやAIを学ぶことが自身の社会生活と密接に繋がることに気づくことで、「学ぶ楽しさ」が得られることをねらいとしている。</t>
    <rPh sb="41" eb="42">
      <t>ナド</t>
    </rPh>
    <phoneticPr fontId="2"/>
  </si>
  <si>
    <t>学修成果の向上に関する研究を進めるとともに、学生にとってよりわかりやすい教材の開発や授業内容の検討等を常に行っている。また、専門家を招いた講演会や、相互研修型のFD・SDを全学で定期的に開催しており、授業方法・内容の改善を継続的に行う仕組みを整えている。
なお、本プログラムの特色の一つであるオンライン学習時のスムーズな実施を図るため、新入生に向けて動画の視聴方法やLMSの基本的な利用方法の解説を行っている。</t>
    <rPh sb="49" eb="50">
      <t>ナド</t>
    </rPh>
    <phoneticPr fontId="2"/>
  </si>
  <si>
    <t>様式５</t>
    <rPh sb="0" eb="2">
      <t>ヨウシキ</t>
    </rPh>
    <phoneticPr fontId="2"/>
  </si>
  <si>
    <t>自己点検・評価体制における意見等</t>
    <rPh sb="15" eb="16">
      <t>トウ</t>
    </rPh>
    <phoneticPr fontId="2"/>
  </si>
  <si>
    <t>自己点検・評価の視点</t>
    <rPh sb="0" eb="2">
      <t>ジコ</t>
    </rPh>
    <rPh sb="2" eb="4">
      <t>テンケン</t>
    </rPh>
    <rPh sb="5" eb="7">
      <t>ヒョウカ</t>
    </rPh>
    <rPh sb="8" eb="10">
      <t>シテン</t>
    </rPh>
    <phoneticPr fontId="2"/>
  </si>
  <si>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2"/>
  </si>
  <si>
    <t>学内からの視点</t>
    <rPh sb="0" eb="2">
      <t>ガクナイ</t>
    </rPh>
    <rPh sb="5" eb="7">
      <t>シテン</t>
    </rPh>
    <phoneticPr fontId="2"/>
  </si>
  <si>
    <t>プログラムの履修・修得状況</t>
    <rPh sb="6" eb="8">
      <t>リシュウ</t>
    </rPh>
    <rPh sb="9" eb="11">
      <t>シュウトク</t>
    </rPh>
    <rPh sb="11" eb="13">
      <t>ジョウキョウ</t>
    </rPh>
    <phoneticPr fontId="2"/>
  </si>
  <si>
    <t>学修成果</t>
    <rPh sb="0" eb="2">
      <t>ガクシュウ</t>
    </rPh>
    <rPh sb="2" eb="4">
      <t>セイカ</t>
    </rPh>
    <phoneticPr fontId="2"/>
  </si>
  <si>
    <t>学生アンケート等を通じた学生の内容の理解度</t>
    <rPh sb="0" eb="2">
      <t>ガクセイ</t>
    </rPh>
    <rPh sb="7" eb="8">
      <t>トウ</t>
    </rPh>
    <rPh sb="9" eb="10">
      <t>ツウ</t>
    </rPh>
    <rPh sb="12" eb="14">
      <t>ガクセイ</t>
    </rPh>
    <rPh sb="15" eb="17">
      <t>ナイヨウ</t>
    </rPh>
    <rPh sb="18" eb="21">
      <t>リカイド</t>
    </rPh>
    <phoneticPr fontId="2"/>
  </si>
  <si>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2"/>
  </si>
  <si>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2"/>
  </si>
  <si>
    <t>学外からの視点</t>
    <rPh sb="0" eb="2">
      <t>ガクガイ</t>
    </rPh>
    <rPh sb="5" eb="7">
      <t>シテン</t>
    </rPh>
    <phoneticPr fontId="2"/>
  </si>
  <si>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2"/>
  </si>
  <si>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2"/>
  </si>
  <si>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2"/>
  </si>
  <si>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2"/>
  </si>
  <si>
    <t>　　　　　　　　　　　　　　　　　　　　　　　　　　　　　　　　　　　　　　　　　　　　　　　　　　　　　　　　　　　　　　　　　　　　　　　　　</t>
    <phoneticPr fontId="2"/>
  </si>
  <si>
    <t>②自己点検・評価体制における意見等を公表しているアドレス</t>
    <phoneticPr fontId="2"/>
  </si>
  <si>
    <t>　本学の教育・学修支援センターは、全学的な教育内容・方法の改善、教育効果の評価方法の開発・実施及び学修支援、初年次教育の企画等を担っている。
　数理・データサイエンス・AI教育の推進にあたっては、情報教育の在り方検討タスクフォースを新たに設置し、本学における教育内容の検討・分析の結果をもとに、プログラム改善に向けた提言を行うことを目的としている。</t>
    <rPh sb="47" eb="48">
      <t>オヨ</t>
    </rPh>
    <rPh sb="62" eb="63">
      <t>ナド</t>
    </rPh>
    <rPh sb="64" eb="65">
      <t>ニナ</t>
    </rPh>
    <rPh sb="98" eb="100">
      <t>ジョウホウ</t>
    </rPh>
    <rPh sb="100" eb="102">
      <t>キョウイク</t>
    </rPh>
    <rPh sb="103" eb="104">
      <t>ア</t>
    </rPh>
    <rPh sb="105" eb="106">
      <t>カタ</t>
    </rPh>
    <rPh sb="106" eb="108">
      <t>ケントウ</t>
    </rPh>
    <rPh sb="116" eb="117">
      <t>アラ</t>
    </rPh>
    <rPh sb="123" eb="125">
      <t>ホンガク</t>
    </rPh>
    <rPh sb="134" eb="136">
      <t>ケントウ</t>
    </rPh>
    <rPh sb="137" eb="139">
      <t>ブンセキ</t>
    </rPh>
    <rPh sb="140" eb="142">
      <t>ケッカ</t>
    </rPh>
    <rPh sb="155" eb="156">
      <t>ム</t>
    </rPh>
    <rPh sb="158" eb="160">
      <t>テイゲン</t>
    </rPh>
    <rPh sb="161" eb="162">
      <t>オコナ</t>
    </rPh>
    <rPh sb="166" eb="168">
      <t>モクテキ</t>
    </rPh>
    <phoneticPr fontId="2"/>
  </si>
  <si>
    <t xml:space="preserve">"Excelによる計算（文学部第9～10回、教育学部Ⅱは第7～8回、教育学部Ⅱ・人間社会学部第10～11回）
データ分析の基礎：ヒストグラム、箱ひげ図（第19回）
平均・分散・標準偏差（第20回）
相関関係、相関と因果の違い（第21回）"                      </t>
    <phoneticPr fontId="2"/>
  </si>
  <si>
    <t>ファイルとフォルダ、Moodle・tani-WAの活用（第4回　※教育学部Ⅰのみ第2回と第6回）
デジタル画像の構成、画像処理（第18回）</t>
    <rPh sb="33" eb="35">
      <t>キョウイク</t>
    </rPh>
    <rPh sb="35" eb="37">
      <t>ガクブ</t>
    </rPh>
    <phoneticPr fontId="2"/>
  </si>
  <si>
    <t>Wordによる応用的な文書作成（文学部第6回、教育学部Ⅰ第12回、教育学部Ⅱ第9回、人間社会学部第7回）
データサイエンスの役割（第16回）
データの種類、データの取得・管理（第17回）</t>
    <rPh sb="26" eb="27">
      <t>ブ</t>
    </rPh>
    <rPh sb="33" eb="35">
      <t>キョウイク</t>
    </rPh>
    <rPh sb="35" eb="37">
      <t>ガクブ</t>
    </rPh>
    <rPh sb="38" eb="39">
      <t>ダイ</t>
    </rPh>
    <rPh sb="40" eb="41">
      <t>カイ</t>
    </rPh>
    <phoneticPr fontId="2"/>
  </si>
  <si>
    <t>Excelの応用的な処理技術（文学部第9回、教育学部Ⅰは第12回、教育学部Ⅱは第9回、人間社会学部第11回　）</t>
    <rPh sb="43" eb="49">
      <t>ニンシャ</t>
    </rPh>
    <phoneticPr fontId="2"/>
  </si>
  <si>
    <t>情報検索・図書館文献探索（第2回　※教育学部Ⅰのみ第5回）
データサイエンスの役割（第16回）
データの種類、データの取得・管理（第17回）
クロス集計（第21回）</t>
    <phoneticPr fontId="2"/>
  </si>
  <si>
    <r>
      <t>プレゼンテーションを通したデータの説明
（文学部第10～11回、教育学部</t>
    </r>
    <r>
      <rPr>
        <sz val="12"/>
        <rFont val="ＭＳ Ｐゴシック"/>
        <family val="3"/>
        <charset val="128"/>
        <scheme val="minor"/>
      </rPr>
      <t>Ⅰ第13～15回、教育学部Ⅱは第10～11回、人間社会学部第12～15回）
データ分析の基礎：ヒストグラム、箱ひげ図（第19回）
平均・分散・標準偏差（第20回）
相関関係、相関と因果の違い（第21回）</t>
    </r>
    <rPh sb="35" eb="36">
      <t>ブ</t>
    </rPh>
    <phoneticPr fontId="2"/>
  </si>
  <si>
    <t>本学の「身近なデータサイエンス実践プログラム」は、「コンピュータ技術基礎Ⅰ」及び「情報薬学基礎演習」という同じ内容の２科目から構成され、学生は所属する学部に応じていずれか１科目を履修し、単位を修得することが当プログラムの修了要件である。（ディプロマポリシーにおいて、文学部・教育学部・人間社会学部は当該科目を「報恩感謝の心と幅広い教養」につながるものと位置付けているのに対し、薬学部は「専門的な知識・技能」につながるものと位置付けているため、科目の名称は異なるが内容は共通である。）
文学部・教育学部・人間社会学部では、共通教育必修科目の「コンピュータ技術基礎Ⅰ」（２単位）を履修し、単位を修得すること。
また、令和4年度から、同科目は情報教育の在り方検討タスクフォースでの検討、改善案を基に、再編した。</t>
    <rPh sb="221" eb="223">
      <t>カモク</t>
    </rPh>
    <rPh sb="231" eb="233">
      <t>ナイヨウ</t>
    </rPh>
    <rPh sb="234" eb="236">
      <t>キョウツウ</t>
    </rPh>
    <rPh sb="260" eb="262">
      <t>キョウツウ</t>
    </rPh>
    <rPh sb="262" eb="264">
      <t>キョウイク</t>
    </rPh>
    <rPh sb="264" eb="266">
      <t>ヒッシュウ</t>
    </rPh>
    <rPh sb="266" eb="268">
      <t>カモク</t>
    </rPh>
    <rPh sb="288" eb="290">
      <t>リシュウ</t>
    </rPh>
    <rPh sb="292" eb="294">
      <t>タンイ</t>
    </rPh>
    <rPh sb="318" eb="320">
      <t>ジョウホウ</t>
    </rPh>
    <rPh sb="320" eb="322">
      <t>キョウイク</t>
    </rPh>
    <rPh sb="323" eb="324">
      <t>ア</t>
    </rPh>
    <rPh sb="325" eb="326">
      <t>カタ</t>
    </rPh>
    <rPh sb="326" eb="328">
      <t>ケントウ</t>
    </rPh>
    <rPh sb="337" eb="339">
      <t>ケントウ</t>
    </rPh>
    <rPh sb="340" eb="343">
      <t>カイゼンアン</t>
    </rPh>
    <rPh sb="344" eb="345">
      <t>モト</t>
    </rPh>
    <phoneticPr fontId="2"/>
  </si>
  <si>
    <t>本学の「身近なデータサイエンス実践プログラム」は、「コンピュータ技術基礎Ⅰ」及び「情報薬学基礎演習」という同じ内容の２科目から構成され、学生は所属する学部に応じていずれか１科目を履修し、単位を修得することが当プログラムの修了要件である。（ディプロマポリシーにおいて、文学部・教育学部・人間社会学部は当該科目について「報恩感謝の心と幅広い教養」につながるものと位置付けているのに対し、薬学部は「専門的な知識・技能」につながるものと位置付けているため科目の名称が異なるが、内容は共通である。）
薬学部では、共通教育必修科目の「情報薬学基礎演習」（２単位）を履修し、単位を修得すること。
また、令和4年度から、同科目は情報教育の在り方検討タスクフォースでの検討、改善案を基に、再編した。</t>
    <phoneticPr fontId="2"/>
  </si>
  <si>
    <t>https://www.osaka-ohtani.ac.jp/facilities/educational_learning_support_center/datascienceprogram.html</t>
    <phoneticPr fontId="2"/>
  </si>
  <si>
    <t>https://www.osaka-ohtani.ac.jp/facilities/educational_learning_support_center/datascienceprogram.html</t>
    <phoneticPr fontId="2"/>
  </si>
  <si>
    <t>https://www.osaka-ohtani.ac.jp/facilities/educational_learning_support_center/files/R3_selfcheck_report.pdf</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</si>
</sst>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6" x14ac:knownFonts="1">
    <font>
      <sz val="11"/>
      <color theme="1"/>
      <name val="ＭＳ Ｐゴシック"/>
      <family val="2"/>
      <charset val="128"/>
      <scheme val="minor"/>
    </font>
    <font>
      <sz val="12"/>
      <color theme="1"/>
      <name val="ＭＳ Ｐゴシック"/>
      <family val="2"/>
      <charset val="136"/>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u/>
      <sz val="11"/>
      <color theme="1"/>
      <name val="ＭＳ Ｐゴシック"/>
      <family val="2"/>
      <charset val="128"/>
      <scheme val="minor"/>
    </font>
    <font>
      <sz val="9"/>
      <color theme="1"/>
      <name val="ＭＳ Ｐゴシック"/>
      <family val="3"/>
      <charset val="128"/>
      <scheme val="minor"/>
    </font>
    <font>
      <sz val="9"/>
      <color rgb="FFFF0000"/>
      <name val="ＭＳ Ｐゴシック"/>
      <family val="3"/>
      <charset val="128"/>
      <scheme val="minor"/>
    </font>
    <font>
      <u/>
      <sz val="11"/>
      <color theme="1"/>
      <name val="ＭＳ Ｐゴシック"/>
      <family val="3"/>
      <charset val="128"/>
      <scheme val="minor"/>
    </font>
    <font>
      <sz val="12"/>
      <name val="ＭＳ Ｐゴシック"/>
      <family val="2"/>
      <charset val="136"/>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5" fillId="0" borderId="0" applyFont="0" applyFill="0" applyBorder="0" applyAlignment="0" applyProtection="0">
      <alignment vertical="center"/>
    </xf>
    <xf numFmtId="0" fontId="6" fillId="0" borderId="0" applyNumberFormat="0" applyFill="0" applyBorder="0" applyAlignment="0" applyProtection="0">
      <alignment vertical="center"/>
    </xf>
  </cellStyleXfs>
  <cellXfs count="353">
    <xf numFmtId="0" fontId="0" fillId="0" borderId="0" xfId="0">
      <alignment vertical="center"/>
    </xf>
    <xf numFmtId="0" fontId="3" fillId="0" borderId="0" xfId="0" applyFont="1">
      <alignment vertical="center"/>
    </xf>
    <xf numFmtId="0" fontId="4" fillId="0" borderId="0" xfId="0" applyFont="1">
      <alignment vertical="center"/>
    </xf>
    <xf numFmtId="176" fontId="7" fillId="0" borderId="0" xfId="0" applyNumberFormat="1" applyFont="1" applyBorder="1">
      <alignment vertical="center"/>
    </xf>
    <xf numFmtId="176" fontId="7" fillId="0" borderId="3" xfId="0" applyNumberFormat="1" applyFont="1" applyBorder="1" applyAlignment="1">
      <alignment vertical="center" shrinkToFit="1"/>
    </xf>
    <xf numFmtId="0" fontId="7" fillId="0" borderId="0" xfId="0" applyFont="1" applyBorder="1" applyAlignment="1">
      <alignment horizontal="center" vertical="center" shrinkToFit="1"/>
    </xf>
    <xf numFmtId="0" fontId="8" fillId="0" borderId="0" xfId="0" applyFont="1">
      <alignment vertical="center"/>
    </xf>
    <xf numFmtId="0" fontId="7" fillId="0" borderId="0" xfId="0" applyFont="1">
      <alignment vertical="center"/>
    </xf>
    <xf numFmtId="0" fontId="7" fillId="0" borderId="0" xfId="0" applyFont="1" applyAlignment="1">
      <alignment vertical="center"/>
    </xf>
    <xf numFmtId="0" fontId="7" fillId="0" borderId="0" xfId="0" applyFont="1" applyAlignment="1">
      <alignment horizontal="left" vertical="center"/>
    </xf>
    <xf numFmtId="0" fontId="7" fillId="0" borderId="0" xfId="0" applyFont="1" applyBorder="1" applyAlignment="1">
      <alignment vertical="center"/>
    </xf>
    <xf numFmtId="0" fontId="7" fillId="0" borderId="5" xfId="0" applyFont="1" applyBorder="1">
      <alignment vertical="center"/>
    </xf>
    <xf numFmtId="176" fontId="7" fillId="0" borderId="0" xfId="0" applyNumberFormat="1" applyFont="1" applyBorder="1" applyAlignment="1">
      <alignment vertical="center" wrapText="1"/>
    </xf>
    <xf numFmtId="0" fontId="7" fillId="0" borderId="0" xfId="0" applyFont="1" applyBorder="1">
      <alignment vertical="center"/>
    </xf>
    <xf numFmtId="176" fontId="7" fillId="0" borderId="5" xfId="0" applyNumberFormat="1" applyFont="1" applyBorder="1" applyAlignment="1">
      <alignment vertical="center"/>
    </xf>
    <xf numFmtId="176" fontId="7" fillId="0" borderId="0" xfId="0" applyNumberFormat="1" applyFont="1" applyAlignment="1">
      <alignment vertical="center" wrapText="1"/>
    </xf>
    <xf numFmtId="176" fontId="7" fillId="0" borderId="0" xfId="0" applyNumberFormat="1" applyFont="1" applyAlignment="1">
      <alignment horizontal="left" vertical="center" wrapText="1"/>
    </xf>
    <xf numFmtId="0" fontId="7" fillId="0" borderId="6" xfId="0" applyFont="1" applyBorder="1" applyAlignment="1">
      <alignment vertical="center" shrinkToFit="1"/>
    </xf>
    <xf numFmtId="0" fontId="7" fillId="0" borderId="1" xfId="0" applyFont="1" applyBorder="1">
      <alignment vertical="center"/>
    </xf>
    <xf numFmtId="0" fontId="7" fillId="0" borderId="2" xfId="0" applyFont="1" applyBorder="1">
      <alignment vertical="center"/>
    </xf>
    <xf numFmtId="0" fontId="7" fillId="0" borderId="4" xfId="0" applyFont="1" applyBorder="1">
      <alignment vertical="center"/>
    </xf>
    <xf numFmtId="0" fontId="7" fillId="0" borderId="0" xfId="0" applyFont="1" applyAlignment="1">
      <alignment horizontal="center" vertical="center"/>
    </xf>
    <xf numFmtId="0" fontId="7" fillId="0" borderId="1" xfId="0" applyFont="1" applyBorder="1" applyAlignment="1">
      <alignment vertical="center" shrinkToFit="1"/>
    </xf>
    <xf numFmtId="0" fontId="9" fillId="0" borderId="0" xfId="0" applyFont="1">
      <alignment vertical="center"/>
    </xf>
    <xf numFmtId="0" fontId="11" fillId="0" borderId="0" xfId="0" applyFont="1">
      <alignment vertical="center"/>
    </xf>
    <xf numFmtId="0" fontId="7" fillId="0" borderId="0" xfId="0" applyFont="1" applyBorder="1" applyAlignment="1">
      <alignment horizontal="center" vertical="center"/>
    </xf>
    <xf numFmtId="0" fontId="7" fillId="0" borderId="0" xfId="0" applyFont="1" applyBorder="1" applyAlignment="1">
      <alignment vertical="center" shrinkToFit="1"/>
    </xf>
    <xf numFmtId="0" fontId="4" fillId="0" borderId="0" xfId="0" applyFont="1" applyAlignment="1">
      <alignment horizontal="center" vertical="center"/>
    </xf>
    <xf numFmtId="0" fontId="15" fillId="0" borderId="11" xfId="0" applyFont="1" applyBorder="1" applyAlignment="1">
      <alignment horizontal="center" vertical="center"/>
    </xf>
    <xf numFmtId="0" fontId="15" fillId="0" borderId="29" xfId="0" applyFont="1" applyBorder="1" applyAlignment="1">
      <alignment horizontal="center" vertical="center" wrapText="1"/>
    </xf>
    <xf numFmtId="0" fontId="15" fillId="0" borderId="30" xfId="0" applyFont="1" applyBorder="1" applyAlignment="1">
      <alignment horizontal="center" vertical="center"/>
    </xf>
    <xf numFmtId="0" fontId="15" fillId="0" borderId="12" xfId="0" applyFont="1" applyBorder="1" applyAlignment="1">
      <alignment horizontal="center" vertical="center" wrapText="1"/>
    </xf>
    <xf numFmtId="0" fontId="4" fillId="0" borderId="0" xfId="0" applyFont="1" applyAlignment="1">
      <alignment vertical="center" shrinkToFit="1"/>
    </xf>
    <xf numFmtId="0" fontId="4" fillId="0" borderId="5" xfId="0" applyFont="1" applyBorder="1" applyAlignment="1">
      <alignment vertical="center" shrinkToFit="1"/>
    </xf>
    <xf numFmtId="176" fontId="4" fillId="0" borderId="5" xfId="0" applyNumberFormat="1" applyFont="1" applyBorder="1" applyAlignment="1">
      <alignment vertical="center" shrinkToFit="1"/>
    </xf>
    <xf numFmtId="176" fontId="4" fillId="0" borderId="31" xfId="0" applyNumberFormat="1" applyFont="1" applyBorder="1" applyAlignment="1">
      <alignment vertical="center" shrinkToFit="1"/>
    </xf>
    <xf numFmtId="176" fontId="4" fillId="0" borderId="32" xfId="0" applyNumberFormat="1" applyFont="1" applyBorder="1" applyAlignment="1">
      <alignment vertical="center" shrinkToFit="1"/>
    </xf>
    <xf numFmtId="176" fontId="4" fillId="0" borderId="10" xfId="0" applyNumberFormat="1" applyFont="1" applyBorder="1" applyAlignment="1">
      <alignment vertical="center" shrinkToFit="1"/>
    </xf>
    <xf numFmtId="176" fontId="4" fillId="0" borderId="14" xfId="0" applyNumberFormat="1" applyFont="1" applyBorder="1" applyAlignment="1">
      <alignment vertical="center" shrinkToFit="1"/>
    </xf>
    <xf numFmtId="9" fontId="4" fillId="0" borderId="10" xfId="0" applyNumberFormat="1" applyFont="1" applyBorder="1" applyAlignment="1">
      <alignment vertical="center" shrinkToFit="1"/>
    </xf>
    <xf numFmtId="0" fontId="4" fillId="0" borderId="18" xfId="0" applyFont="1" applyBorder="1" applyAlignment="1">
      <alignment vertical="center" shrinkToFit="1"/>
    </xf>
    <xf numFmtId="0" fontId="4" fillId="0" borderId="19" xfId="0" applyFont="1" applyBorder="1" applyAlignment="1">
      <alignment vertical="center" shrinkToFit="1"/>
    </xf>
    <xf numFmtId="176" fontId="4" fillId="0" borderId="19" xfId="0" applyNumberFormat="1" applyFont="1" applyBorder="1" applyAlignment="1">
      <alignment vertical="center" shrinkToFit="1"/>
    </xf>
    <xf numFmtId="176" fontId="4" fillId="0" borderId="33" xfId="0" applyNumberFormat="1" applyFont="1" applyBorder="1" applyAlignment="1">
      <alignment vertical="center" shrinkToFit="1"/>
    </xf>
    <xf numFmtId="176" fontId="4" fillId="0" borderId="34" xfId="0" applyNumberFormat="1" applyFont="1" applyBorder="1" applyAlignment="1">
      <alignment vertical="center" shrinkToFit="1"/>
    </xf>
    <xf numFmtId="176" fontId="4" fillId="0" borderId="18" xfId="0" applyNumberFormat="1" applyFont="1" applyBorder="1" applyAlignment="1">
      <alignment vertical="center" shrinkToFit="1"/>
    </xf>
    <xf numFmtId="176" fontId="4" fillId="0" borderId="23" xfId="0" applyNumberFormat="1" applyFont="1" applyBorder="1" applyAlignment="1">
      <alignment vertical="center" shrinkToFit="1"/>
    </xf>
    <xf numFmtId="9" fontId="4" fillId="0" borderId="23" xfId="0" applyNumberFormat="1" applyFont="1" applyBorder="1" applyAlignment="1">
      <alignment vertical="center" shrinkToFit="1"/>
    </xf>
    <xf numFmtId="0" fontId="4" fillId="0" borderId="20" xfId="0" applyFont="1" applyBorder="1" applyAlignment="1">
      <alignment vertical="center" shrinkToFit="1"/>
    </xf>
    <xf numFmtId="176" fontId="4" fillId="0" borderId="24" xfId="0" applyNumberFormat="1" applyFont="1" applyBorder="1" applyAlignment="1">
      <alignment vertical="center" shrinkToFit="1"/>
    </xf>
    <xf numFmtId="0" fontId="4" fillId="0" borderId="25" xfId="0" applyFont="1" applyBorder="1" applyAlignment="1">
      <alignment vertical="center" shrinkToFit="1"/>
    </xf>
    <xf numFmtId="176" fontId="4" fillId="0" borderId="25" xfId="0" applyNumberFormat="1" applyFont="1" applyBorder="1" applyAlignment="1">
      <alignment vertical="center" shrinkToFit="1"/>
    </xf>
    <xf numFmtId="176" fontId="4" fillId="0" borderId="35" xfId="0" applyNumberFormat="1" applyFont="1" applyBorder="1" applyAlignment="1">
      <alignment vertical="center" shrinkToFit="1"/>
    </xf>
    <xf numFmtId="176" fontId="4" fillId="0" borderId="36" xfId="0" applyNumberFormat="1" applyFont="1" applyBorder="1" applyAlignment="1">
      <alignment vertical="center" shrinkToFit="1"/>
    </xf>
    <xf numFmtId="176" fontId="4" fillId="0" borderId="27" xfId="0" applyNumberFormat="1" applyFont="1" applyBorder="1" applyAlignment="1">
      <alignment vertical="center" shrinkToFit="1"/>
    </xf>
    <xf numFmtId="176" fontId="4" fillId="0" borderId="28" xfId="0" applyNumberFormat="1" applyFont="1" applyBorder="1" applyAlignment="1">
      <alignment vertical="center" shrinkToFit="1"/>
    </xf>
    <xf numFmtId="9" fontId="4" fillId="0" borderId="27" xfId="0" applyNumberFormat="1" applyFont="1" applyBorder="1" applyAlignment="1">
      <alignment vertical="center" shrinkToFit="1"/>
    </xf>
    <xf numFmtId="0" fontId="7" fillId="0" borderId="0" xfId="0" applyFont="1" applyBorder="1" applyAlignment="1">
      <alignment vertical="center" shrinkToFit="1"/>
    </xf>
    <xf numFmtId="0" fontId="7" fillId="0" borderId="0" xfId="0" applyFont="1" applyFill="1">
      <alignment vertical="center"/>
    </xf>
    <xf numFmtId="0" fontId="7" fillId="0" borderId="10" xfId="0" applyFont="1" applyBorder="1" applyAlignment="1">
      <alignment vertical="center" shrinkToFit="1"/>
    </xf>
    <xf numFmtId="49" fontId="17" fillId="0" borderId="1" xfId="0" applyNumberFormat="1" applyFont="1" applyBorder="1" applyAlignment="1">
      <alignment horizontal="center" vertical="center"/>
    </xf>
    <xf numFmtId="0" fontId="7" fillId="0" borderId="0" xfId="0" applyFont="1" applyAlignment="1">
      <alignment vertical="center" shrinkToFit="1"/>
    </xf>
    <xf numFmtId="0" fontId="7" fillId="0" borderId="0" xfId="0" applyFont="1" applyAlignment="1">
      <alignment vertical="top" wrapText="1"/>
    </xf>
    <xf numFmtId="0" fontId="8" fillId="0" borderId="2" xfId="0" applyFont="1" applyBorder="1">
      <alignment vertical="center"/>
    </xf>
    <xf numFmtId="0" fontId="8" fillId="0" borderId="4" xfId="0" applyFont="1" applyBorder="1">
      <alignment vertical="center"/>
    </xf>
    <xf numFmtId="49" fontId="17" fillId="0" borderId="47" xfId="0" applyNumberFormat="1" applyFont="1" applyBorder="1" applyAlignment="1">
      <alignment horizontal="center" vertical="center"/>
    </xf>
    <xf numFmtId="49" fontId="17" fillId="0" borderId="33" xfId="0" applyNumberFormat="1" applyFont="1" applyBorder="1" applyAlignment="1">
      <alignment horizontal="center" vertical="center"/>
    </xf>
    <xf numFmtId="49" fontId="17" fillId="0" borderId="50" xfId="0" applyNumberFormat="1" applyFont="1" applyBorder="1" applyAlignment="1">
      <alignment horizontal="center" vertical="center"/>
    </xf>
    <xf numFmtId="49" fontId="17" fillId="0" borderId="51" xfId="0" applyNumberFormat="1" applyFont="1" applyBorder="1" applyAlignment="1">
      <alignment horizontal="center" vertical="center"/>
    </xf>
    <xf numFmtId="0" fontId="4" fillId="0" borderId="0" xfId="0" applyFont="1" applyAlignment="1">
      <alignment horizontal="left" vertical="center"/>
    </xf>
    <xf numFmtId="0" fontId="4" fillId="0" borderId="14"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24" xfId="0" applyFont="1" applyBorder="1" applyAlignment="1">
      <alignment horizontal="left" vertical="center" shrinkToFit="1"/>
    </xf>
    <xf numFmtId="0" fontId="4" fillId="0" borderId="10" xfId="0" applyFont="1" applyBorder="1" applyAlignment="1">
      <alignment vertical="center" shrinkToFit="1"/>
    </xf>
    <xf numFmtId="0" fontId="4" fillId="0" borderId="28" xfId="0" applyFont="1" applyBorder="1" applyAlignment="1">
      <alignment horizontal="center" vertical="center" shrinkToFit="1"/>
    </xf>
    <xf numFmtId="0" fontId="4" fillId="0" borderId="26" xfId="0" applyFont="1" applyBorder="1" applyAlignment="1">
      <alignment vertical="center" shrinkToFit="1"/>
    </xf>
    <xf numFmtId="0" fontId="7" fillId="0" borderId="2"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49" fontId="17" fillId="0" borderId="52" xfId="0" applyNumberFormat="1" applyFont="1" applyBorder="1" applyAlignment="1">
      <alignment horizontal="center" vertical="center"/>
    </xf>
    <xf numFmtId="49" fontId="17" fillId="0" borderId="29" xfId="0" applyNumberFormat="1" applyFont="1" applyBorder="1" applyAlignment="1">
      <alignment horizontal="center" vertical="center"/>
    </xf>
    <xf numFmtId="0" fontId="20" fillId="0" borderId="4" xfId="0" applyFont="1" applyBorder="1" applyAlignment="1">
      <alignment horizontal="center" vertical="center" shrinkToFit="1"/>
    </xf>
    <xf numFmtId="0" fontId="7" fillId="0" borderId="14" xfId="0" applyFont="1" applyBorder="1" applyAlignment="1">
      <alignment horizontal="center" vertical="center" shrinkToFit="1"/>
    </xf>
    <xf numFmtId="0" fontId="7" fillId="0" borderId="23" xfId="0" applyFont="1" applyBorder="1" applyAlignment="1">
      <alignment horizontal="center" vertical="center" shrinkToFit="1"/>
    </xf>
    <xf numFmtId="0" fontId="7" fillId="0" borderId="13" xfId="0" applyFont="1" applyBorder="1" applyAlignment="1">
      <alignment horizontal="center" vertical="center" shrinkToFit="1"/>
    </xf>
    <xf numFmtId="0" fontId="4" fillId="0" borderId="0" xfId="0" applyFont="1" applyBorder="1" applyAlignment="1">
      <alignment vertical="center" shrinkToFit="1"/>
    </xf>
    <xf numFmtId="0" fontId="7" fillId="0" borderId="1" xfId="0" applyFont="1" applyBorder="1" applyAlignment="1">
      <alignment horizontal="center" vertical="center" shrinkToFit="1"/>
    </xf>
    <xf numFmtId="0" fontId="7" fillId="0" borderId="18" xfId="0" applyFont="1" applyBorder="1" applyAlignment="1">
      <alignment horizontal="center" vertical="center"/>
    </xf>
    <xf numFmtId="0" fontId="7" fillId="0" borderId="42" xfId="0" applyFont="1" applyBorder="1" applyAlignment="1">
      <alignment horizontal="center" vertical="center"/>
    </xf>
    <xf numFmtId="0" fontId="7" fillId="0" borderId="38" xfId="0" applyFont="1" applyBorder="1" applyAlignment="1">
      <alignment horizontal="center" vertical="center"/>
    </xf>
    <xf numFmtId="0" fontId="7" fillId="0" borderId="43" xfId="0" applyFont="1" applyBorder="1" applyAlignment="1">
      <alignment horizontal="center" vertical="center" shrinkToFit="1"/>
    </xf>
    <xf numFmtId="0" fontId="7" fillId="0" borderId="0" xfId="0" applyFont="1" applyBorder="1" applyAlignment="1">
      <alignment vertical="center" shrinkToFit="1"/>
    </xf>
    <xf numFmtId="0" fontId="7" fillId="0" borderId="18" xfId="0" applyFont="1" applyBorder="1" applyAlignment="1">
      <alignment horizontal="center" vertical="center"/>
    </xf>
    <xf numFmtId="0" fontId="7" fillId="0" borderId="42" xfId="0" applyFont="1" applyBorder="1" applyAlignment="1">
      <alignment horizontal="center" vertical="center"/>
    </xf>
    <xf numFmtId="0" fontId="7" fillId="0" borderId="38" xfId="0" applyFont="1" applyBorder="1" applyAlignment="1">
      <alignment horizontal="center" vertical="center"/>
    </xf>
    <xf numFmtId="0" fontId="18" fillId="0" borderId="0" xfId="0" applyFont="1">
      <alignment vertical="center"/>
    </xf>
    <xf numFmtId="0" fontId="7" fillId="0" borderId="0" xfId="0" applyFont="1" applyAlignment="1">
      <alignment vertical="center" wrapText="1"/>
    </xf>
    <xf numFmtId="0" fontId="13" fillId="0" borderId="0" xfId="0" applyFont="1" applyAlignment="1">
      <alignment horizontal="center" vertical="center"/>
    </xf>
    <xf numFmtId="0" fontId="4" fillId="0" borderId="0" xfId="0" applyFont="1" applyAlignment="1">
      <alignment horizontal="center" vertical="center"/>
    </xf>
    <xf numFmtId="0" fontId="22" fillId="0" borderId="0" xfId="0" applyFont="1">
      <alignment vertical="center"/>
    </xf>
    <xf numFmtId="0" fontId="4" fillId="0" borderId="0" xfId="0" applyFont="1" applyAlignment="1">
      <alignment horizontal="right" vertical="center"/>
    </xf>
    <xf numFmtId="0" fontId="10" fillId="0" borderId="0" xfId="0" applyFont="1">
      <alignment vertical="center"/>
    </xf>
    <xf numFmtId="0" fontId="10" fillId="0" borderId="0" xfId="0" applyFont="1" applyAlignment="1">
      <alignment vertical="center"/>
    </xf>
    <xf numFmtId="0" fontId="4" fillId="0" borderId="0" xfId="0" applyFont="1" applyAlignment="1">
      <alignment vertical="top" wrapText="1"/>
    </xf>
    <xf numFmtId="0" fontId="4" fillId="0" borderId="0" xfId="0" applyFont="1" applyAlignment="1">
      <alignment vertical="center" wrapText="1"/>
    </xf>
    <xf numFmtId="0" fontId="22" fillId="0" borderId="0" xfId="0" applyFont="1" applyAlignment="1">
      <alignment vertical="top" wrapText="1"/>
    </xf>
    <xf numFmtId="0" fontId="7" fillId="0" borderId="7" xfId="0" applyFont="1" applyBorder="1" applyAlignment="1">
      <alignment horizontal="center" vertical="center" wrapText="1" shrinkToFit="1"/>
    </xf>
    <xf numFmtId="9" fontId="7" fillId="0" borderId="8" xfId="0" applyNumberFormat="1" applyFont="1" applyBorder="1" applyAlignment="1">
      <alignment horizontal="center" vertical="center" wrapText="1" shrinkToFit="1"/>
    </xf>
    <xf numFmtId="0" fontId="7" fillId="0" borderId="8" xfId="0" applyFont="1" applyBorder="1" applyAlignment="1">
      <alignment horizontal="center" vertical="center" wrapText="1" shrinkToFit="1"/>
    </xf>
    <xf numFmtId="9" fontId="7" fillId="0" borderId="8" xfId="0" applyNumberFormat="1" applyFont="1" applyFill="1" applyBorder="1" applyAlignment="1">
      <alignment horizontal="center" vertical="center" wrapText="1" shrinkToFit="1"/>
    </xf>
    <xf numFmtId="9" fontId="7" fillId="0" borderId="8" xfId="0" applyNumberFormat="1" applyFont="1" applyFill="1" applyBorder="1" applyAlignment="1">
      <alignment horizontal="center" vertical="center" shrinkToFit="1"/>
    </xf>
    <xf numFmtId="0" fontId="7" fillId="0" borderId="9" xfId="0" applyFont="1" applyBorder="1" applyAlignment="1">
      <alignment horizontal="center" vertical="center" shrinkToFit="1"/>
    </xf>
    <xf numFmtId="0" fontId="7" fillId="0" borderId="44" xfId="0" applyFont="1" applyBorder="1" applyAlignment="1">
      <alignment horizontal="center" vertical="center" shrinkToFit="1"/>
    </xf>
    <xf numFmtId="9" fontId="7" fillId="0" borderId="45" xfId="0" applyNumberFormat="1" applyFont="1" applyFill="1" applyBorder="1" applyAlignment="1">
      <alignment horizontal="center" vertical="center" shrinkToFit="1"/>
    </xf>
    <xf numFmtId="0" fontId="7" fillId="0" borderId="45" xfId="0" applyFont="1" applyBorder="1" applyAlignment="1">
      <alignment horizontal="center" vertical="center" shrinkToFit="1"/>
    </xf>
    <xf numFmtId="176" fontId="7" fillId="0" borderId="45" xfId="0" applyNumberFormat="1" applyFont="1" applyBorder="1" applyAlignment="1">
      <alignment horizontal="center" vertical="center" shrinkToFit="1"/>
    </xf>
    <xf numFmtId="0" fontId="7" fillId="0" borderId="46" xfId="0" applyFont="1" applyBorder="1" applyAlignment="1">
      <alignment horizontal="center" vertical="center" shrinkToFit="1"/>
    </xf>
    <xf numFmtId="0" fontId="22" fillId="0" borderId="0" xfId="0" applyFont="1" applyAlignment="1">
      <alignment vertical="top" shrinkToFit="1"/>
    </xf>
    <xf numFmtId="0" fontId="22" fillId="0" borderId="0" xfId="0" applyFont="1" applyAlignment="1">
      <alignment vertical="center" wrapText="1"/>
    </xf>
    <xf numFmtId="0" fontId="4" fillId="0" borderId="5" xfId="0" applyFont="1" applyBorder="1">
      <alignment vertical="center"/>
    </xf>
    <xf numFmtId="0" fontId="22" fillId="0" borderId="10" xfId="0" applyFont="1" applyBorder="1" applyAlignment="1">
      <alignment vertical="top" wrapText="1"/>
    </xf>
    <xf numFmtId="0" fontId="22" fillId="0" borderId="5" xfId="0" applyFont="1" applyBorder="1" applyAlignment="1">
      <alignment vertical="top" wrapText="1"/>
    </xf>
    <xf numFmtId="0" fontId="4" fillId="0" borderId="16" xfId="0" applyFont="1" applyBorder="1">
      <alignment vertical="center"/>
    </xf>
    <xf numFmtId="0" fontId="22" fillId="0" borderId="20" xfId="0" applyFont="1" applyBorder="1" applyAlignment="1">
      <alignment vertical="top" wrapText="1"/>
    </xf>
    <xf numFmtId="0" fontId="22" fillId="0" borderId="18" xfId="0" applyFont="1" applyBorder="1" applyAlignment="1">
      <alignment vertical="top" wrapText="1"/>
    </xf>
    <xf numFmtId="0" fontId="23" fillId="0" borderId="20" xfId="0" applyFont="1" applyBorder="1" applyAlignment="1">
      <alignment vertical="top" shrinkToFit="1"/>
    </xf>
    <xf numFmtId="0" fontId="23" fillId="0" borderId="18" xfId="0" applyFont="1" applyBorder="1" applyAlignment="1">
      <alignment vertical="top" shrinkToFit="1"/>
    </xf>
    <xf numFmtId="49" fontId="17" fillId="0" borderId="33" xfId="0" applyNumberFormat="1" applyFont="1" applyFill="1" applyBorder="1" applyAlignment="1">
      <alignment horizontal="center" vertical="center"/>
    </xf>
    <xf numFmtId="49" fontId="17" fillId="0" borderId="50" xfId="0" applyNumberFormat="1" applyFont="1" applyFill="1" applyBorder="1" applyAlignment="1">
      <alignment horizontal="center" vertical="center"/>
    </xf>
    <xf numFmtId="49" fontId="17" fillId="0" borderId="52" xfId="0" applyNumberFormat="1" applyFont="1" applyFill="1" applyBorder="1" applyAlignment="1">
      <alignment horizontal="center" vertical="center"/>
    </xf>
    <xf numFmtId="49" fontId="17" fillId="0" borderId="47" xfId="0" applyNumberFormat="1" applyFont="1" applyFill="1" applyBorder="1" applyAlignment="1">
      <alignment horizontal="center" vertical="center"/>
    </xf>
    <xf numFmtId="49" fontId="17" fillId="0" borderId="29" xfId="0" applyNumberFormat="1" applyFont="1" applyFill="1" applyBorder="1" applyAlignment="1">
      <alignment horizontal="center" vertical="center"/>
    </xf>
    <xf numFmtId="49" fontId="19" fillId="0" borderId="2" xfId="2" applyNumberFormat="1" applyFont="1" applyBorder="1" applyAlignment="1">
      <alignment vertical="center" shrinkToFit="1"/>
    </xf>
    <xf numFmtId="49" fontId="7" fillId="0" borderId="3" xfId="0" applyNumberFormat="1" applyFont="1" applyBorder="1" applyAlignment="1">
      <alignment vertical="center" shrinkToFit="1"/>
    </xf>
    <xf numFmtId="49" fontId="7" fillId="0" borderId="4" xfId="0" applyNumberFormat="1" applyFont="1" applyBorder="1" applyAlignment="1">
      <alignment vertical="center" shrinkToFit="1"/>
    </xf>
    <xf numFmtId="49" fontId="7" fillId="0" borderId="2" xfId="1" applyNumberFormat="1" applyFont="1" applyBorder="1" applyAlignment="1">
      <alignment horizontal="center" vertical="center" shrinkToFit="1"/>
    </xf>
    <xf numFmtId="49" fontId="7" fillId="0" borderId="3" xfId="1" applyNumberFormat="1" applyFont="1" applyBorder="1" applyAlignment="1">
      <alignment horizontal="center" vertical="center" shrinkToFit="1"/>
    </xf>
    <xf numFmtId="49" fontId="7" fillId="0" borderId="4" xfId="1" applyNumberFormat="1" applyFont="1" applyBorder="1" applyAlignment="1">
      <alignment horizontal="center" vertical="center" shrinkToFit="1"/>
    </xf>
    <xf numFmtId="0" fontId="7" fillId="0" borderId="0" xfId="0" applyFont="1" applyBorder="1" applyAlignment="1">
      <alignment horizontal="center" vertical="center"/>
    </xf>
    <xf numFmtId="0" fontId="7" fillId="0" borderId="2" xfId="0" applyFont="1" applyBorder="1" applyAlignment="1">
      <alignment horizontal="center" vertical="center" shrinkToFit="1"/>
    </xf>
    <xf numFmtId="0" fontId="7" fillId="0" borderId="3" xfId="0" applyFont="1" applyBorder="1" applyAlignment="1">
      <alignment horizontal="center" vertical="center" shrinkToFit="1"/>
    </xf>
    <xf numFmtId="0" fontId="7" fillId="0" borderId="4" xfId="0" applyFont="1" applyBorder="1" applyAlignment="1">
      <alignment horizontal="center" vertical="center" shrinkToFit="1"/>
    </xf>
    <xf numFmtId="176" fontId="7" fillId="0" borderId="2" xfId="0" applyNumberFormat="1" applyFont="1" applyBorder="1" applyAlignment="1">
      <alignment horizontal="center" vertical="center" shrinkToFit="1"/>
    </xf>
    <xf numFmtId="176" fontId="7" fillId="0" borderId="4" xfId="0" applyNumberFormat="1" applyFont="1" applyBorder="1" applyAlignment="1">
      <alignment horizontal="center" vertical="center" shrinkToFit="1"/>
    </xf>
    <xf numFmtId="0" fontId="7" fillId="0" borderId="2" xfId="0" applyFont="1" applyBorder="1" applyAlignment="1">
      <alignment vertical="center" shrinkToFit="1"/>
    </xf>
    <xf numFmtId="0" fontId="7" fillId="0" borderId="3" xfId="0" applyFont="1" applyBorder="1" applyAlignment="1">
      <alignment vertical="center" shrinkToFit="1"/>
    </xf>
    <xf numFmtId="0" fontId="7" fillId="0" borderId="0" xfId="0" applyFont="1" applyBorder="1" applyAlignment="1">
      <alignment horizontal="right" vertical="center" shrinkToFit="1"/>
    </xf>
    <xf numFmtId="0" fontId="7" fillId="0" borderId="5" xfId="0" applyFont="1" applyBorder="1" applyAlignment="1">
      <alignment horizontal="right" vertical="center" shrinkToFit="1"/>
    </xf>
    <xf numFmtId="0" fontId="7" fillId="0" borderId="10" xfId="0" applyFont="1" applyBorder="1" applyAlignment="1">
      <alignment horizontal="right" vertical="center" shrinkToFit="1"/>
    </xf>
    <xf numFmtId="0" fontId="7" fillId="0" borderId="0" xfId="0" applyFont="1" applyAlignment="1">
      <alignment horizontal="right" vertical="center"/>
    </xf>
    <xf numFmtId="0" fontId="7" fillId="0" borderId="0" xfId="0" applyFont="1" applyBorder="1" applyAlignment="1">
      <alignment horizontal="right" vertical="center"/>
    </xf>
    <xf numFmtId="0" fontId="7" fillId="0" borderId="10" xfId="0" applyFont="1" applyBorder="1" applyAlignment="1">
      <alignment horizontal="right" vertical="center"/>
    </xf>
    <xf numFmtId="176" fontId="7" fillId="0" borderId="3" xfId="0" applyNumberFormat="1" applyFont="1" applyBorder="1" applyAlignment="1">
      <alignment horizontal="center" vertical="center" shrinkToFit="1"/>
    </xf>
    <xf numFmtId="0" fontId="12" fillId="0" borderId="0" xfId="0" applyFont="1" applyAlignment="1">
      <alignment horizontal="center" vertical="center"/>
    </xf>
    <xf numFmtId="0" fontId="4" fillId="0" borderId="2" xfId="0" applyFont="1" applyFill="1" applyBorder="1" applyAlignment="1">
      <alignment horizontal="center" vertical="center" shrinkToFit="1"/>
    </xf>
    <xf numFmtId="0" fontId="4" fillId="0" borderId="3" xfId="0" applyFont="1" applyFill="1" applyBorder="1" applyAlignment="1">
      <alignment horizontal="center" vertical="center" shrinkToFit="1"/>
    </xf>
    <xf numFmtId="0" fontId="4" fillId="0" borderId="4" xfId="0" applyFont="1" applyFill="1" applyBorder="1" applyAlignment="1">
      <alignment horizontal="center" vertical="center" shrinkToFit="1"/>
    </xf>
    <xf numFmtId="0" fontId="7" fillId="0" borderId="2" xfId="0" applyNumberFormat="1" applyFont="1" applyBorder="1" applyAlignment="1">
      <alignment horizontal="center" vertical="center"/>
    </xf>
    <xf numFmtId="0" fontId="7" fillId="0" borderId="4" xfId="0" applyNumberFormat="1" applyFont="1" applyBorder="1" applyAlignment="1">
      <alignment horizontal="center" vertical="center"/>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176" fontId="7" fillId="0" borderId="2" xfId="0" applyNumberFormat="1" applyFont="1" applyBorder="1" applyAlignment="1">
      <alignment horizontal="center" vertical="center"/>
    </xf>
    <xf numFmtId="176" fontId="7" fillId="0" borderId="3" xfId="0" applyNumberFormat="1" applyFont="1" applyBorder="1" applyAlignment="1">
      <alignment horizontal="center" vertical="center"/>
    </xf>
    <xf numFmtId="176" fontId="7" fillId="0" borderId="4" xfId="0" applyNumberFormat="1" applyFont="1" applyBorder="1" applyAlignment="1">
      <alignment horizontal="center" vertical="center"/>
    </xf>
    <xf numFmtId="0" fontId="7" fillId="0" borderId="0" xfId="0" applyFont="1" applyBorder="1" applyAlignment="1">
      <alignment vertical="center" shrinkToFit="1"/>
    </xf>
    <xf numFmtId="0" fontId="7" fillId="0" borderId="37" xfId="0" applyFont="1" applyBorder="1" applyAlignment="1">
      <alignment horizontal="left" vertical="center" shrinkToFit="1"/>
    </xf>
    <xf numFmtId="0" fontId="7" fillId="0" borderId="39" xfId="0" applyFont="1" applyBorder="1" applyAlignment="1">
      <alignment horizontal="left" vertical="center" shrinkToFit="1"/>
    </xf>
    <xf numFmtId="0" fontId="7" fillId="0" borderId="38" xfId="0" applyFont="1" applyBorder="1" applyAlignment="1">
      <alignment horizontal="left" vertical="center" shrinkToFit="1"/>
    </xf>
    <xf numFmtId="0" fontId="7" fillId="0" borderId="37" xfId="0" applyFont="1" applyBorder="1" applyAlignment="1">
      <alignment horizontal="center" vertical="center"/>
    </xf>
    <xf numFmtId="0" fontId="7" fillId="0" borderId="39" xfId="0" applyFont="1" applyBorder="1" applyAlignment="1">
      <alignment horizontal="center" vertical="center"/>
    </xf>
    <xf numFmtId="0" fontId="7" fillId="0" borderId="38" xfId="0" applyFont="1" applyBorder="1" applyAlignment="1">
      <alignment horizontal="center" vertical="center"/>
    </xf>
    <xf numFmtId="0" fontId="7" fillId="0" borderId="37" xfId="0" applyFont="1" applyBorder="1" applyAlignment="1">
      <alignment vertical="center" shrinkToFit="1"/>
    </xf>
    <xf numFmtId="0" fontId="7" fillId="0" borderId="39" xfId="0" applyFont="1" applyBorder="1" applyAlignment="1">
      <alignment vertical="center" shrinkToFit="1"/>
    </xf>
    <xf numFmtId="0" fontId="7" fillId="0" borderId="38" xfId="0" applyFont="1" applyBorder="1" applyAlignment="1">
      <alignment vertical="center" shrinkToFit="1"/>
    </xf>
    <xf numFmtId="0" fontId="7" fillId="0" borderId="19" xfId="0" applyFont="1" applyBorder="1" applyAlignment="1">
      <alignment horizontal="left" vertical="center" shrinkToFit="1"/>
    </xf>
    <xf numFmtId="0" fontId="7" fillId="0" borderId="20" xfId="0" applyFont="1" applyBorder="1" applyAlignment="1">
      <alignment horizontal="left" vertical="center" shrinkToFit="1"/>
    </xf>
    <xf numFmtId="0" fontId="7" fillId="0" borderId="18" xfId="0" applyFont="1" applyBorder="1" applyAlignment="1">
      <alignment horizontal="left" vertical="center" shrinkToFit="1"/>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vertical="center" shrinkToFit="1"/>
    </xf>
    <xf numFmtId="0" fontId="7" fillId="0" borderId="20" xfId="0" applyFont="1" applyBorder="1" applyAlignment="1">
      <alignment vertical="center" shrinkToFit="1"/>
    </xf>
    <xf numFmtId="0" fontId="7" fillId="0" borderId="18" xfId="0" applyFont="1" applyBorder="1" applyAlignment="1">
      <alignment vertical="center" shrinkToFit="1"/>
    </xf>
    <xf numFmtId="0" fontId="8" fillId="0" borderId="0" xfId="0" applyFont="1" applyAlignment="1">
      <alignment horizontal="center" vertical="center"/>
    </xf>
    <xf numFmtId="0" fontId="16" fillId="0" borderId="0" xfId="0" applyFont="1" applyAlignment="1">
      <alignment horizontal="center" vertical="center"/>
    </xf>
    <xf numFmtId="0" fontId="4" fillId="0" borderId="7" xfId="0" applyFont="1" applyBorder="1" applyAlignment="1">
      <alignment horizontal="left" vertical="top" wrapText="1" shrinkToFit="1"/>
    </xf>
    <xf numFmtId="0" fontId="4" fillId="0" borderId="8" xfId="0" applyFont="1" applyBorder="1" applyAlignment="1">
      <alignment horizontal="left" vertical="top" shrinkToFit="1"/>
    </xf>
    <xf numFmtId="0" fontId="4" fillId="0" borderId="9" xfId="0" applyFont="1" applyBorder="1" applyAlignment="1">
      <alignment horizontal="left" vertical="top" shrinkToFit="1"/>
    </xf>
    <xf numFmtId="0" fontId="4" fillId="0" borderId="5" xfId="0" applyFont="1" applyBorder="1" applyAlignment="1">
      <alignment horizontal="left" vertical="top" shrinkToFit="1"/>
    </xf>
    <xf numFmtId="0" fontId="4" fillId="0" borderId="0" xfId="0" applyFont="1" applyBorder="1" applyAlignment="1">
      <alignment horizontal="left" vertical="top" shrinkToFit="1"/>
    </xf>
    <xf numFmtId="0" fontId="4" fillId="0" borderId="10" xfId="0" applyFont="1" applyBorder="1" applyAlignment="1">
      <alignment horizontal="left" vertical="top" shrinkToFit="1"/>
    </xf>
    <xf numFmtId="0" fontId="4" fillId="0" borderId="0" xfId="0" applyFont="1" applyAlignment="1">
      <alignment horizontal="left" vertical="top" shrinkToFit="1"/>
    </xf>
    <xf numFmtId="0" fontId="4" fillId="0" borderId="11" xfId="0" applyFont="1" applyBorder="1" applyAlignment="1">
      <alignment horizontal="left" vertical="top" shrinkToFit="1"/>
    </xf>
    <xf numFmtId="0" fontId="4" fillId="0" borderId="6" xfId="0" applyFont="1" applyBorder="1" applyAlignment="1">
      <alignment horizontal="left" vertical="top" shrinkToFit="1"/>
    </xf>
    <xf numFmtId="0" fontId="4" fillId="0" borderId="12" xfId="0" applyFont="1" applyBorder="1" applyAlignment="1">
      <alignment horizontal="left" vertical="top" shrinkToFit="1"/>
    </xf>
    <xf numFmtId="0" fontId="7" fillId="0" borderId="0" xfId="0" applyFont="1" applyAlignment="1">
      <alignment vertical="center" wrapText="1"/>
    </xf>
    <xf numFmtId="0" fontId="7" fillId="0" borderId="40" xfId="0" applyFont="1" applyBorder="1" applyAlignment="1">
      <alignment horizontal="left" vertical="center" shrinkToFit="1"/>
    </xf>
    <xf numFmtId="0" fontId="7" fillId="0" borderId="41" xfId="0" applyFont="1" applyBorder="1" applyAlignment="1">
      <alignment horizontal="left" vertical="center" shrinkToFit="1"/>
    </xf>
    <xf numFmtId="0" fontId="7" fillId="0" borderId="42" xfId="0" applyFont="1" applyBorder="1" applyAlignment="1">
      <alignment horizontal="left" vertical="center" shrinkToFit="1"/>
    </xf>
    <xf numFmtId="0" fontId="7" fillId="0" borderId="40" xfId="0" applyFont="1" applyBorder="1" applyAlignment="1">
      <alignment horizontal="center" vertical="center"/>
    </xf>
    <xf numFmtId="0" fontId="7" fillId="0" borderId="41" xfId="0" applyFont="1" applyBorder="1" applyAlignment="1">
      <alignment horizontal="center" vertical="center"/>
    </xf>
    <xf numFmtId="0" fontId="7" fillId="0" borderId="42" xfId="0" applyFont="1" applyBorder="1" applyAlignment="1">
      <alignment horizontal="center" vertical="center"/>
    </xf>
    <xf numFmtId="0" fontId="7" fillId="0" borderId="40" xfId="0" applyFont="1" applyBorder="1" applyAlignment="1">
      <alignment vertical="center" shrinkToFit="1"/>
    </xf>
    <xf numFmtId="0" fontId="7" fillId="0" borderId="41" xfId="0" applyFont="1" applyBorder="1" applyAlignment="1">
      <alignment vertical="center" shrinkToFit="1"/>
    </xf>
    <xf numFmtId="0" fontId="7" fillId="0" borderId="42" xfId="0" applyFont="1" applyBorder="1" applyAlignment="1">
      <alignment vertical="center" shrinkToFit="1"/>
    </xf>
    <xf numFmtId="0" fontId="7" fillId="0" borderId="37" xfId="0" applyFont="1" applyBorder="1" applyAlignment="1">
      <alignment horizontal="center" vertical="center" shrinkToFit="1"/>
    </xf>
    <xf numFmtId="0" fontId="7" fillId="0" borderId="39" xfId="0" applyFont="1" applyBorder="1" applyAlignment="1">
      <alignment horizontal="center" vertical="center" shrinkToFit="1"/>
    </xf>
    <xf numFmtId="0" fontId="7" fillId="0" borderId="38"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18" xfId="0" applyFont="1" applyBorder="1" applyAlignment="1">
      <alignment horizontal="center" vertical="center" shrinkToFit="1"/>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19" fillId="0" borderId="48" xfId="0" applyFont="1" applyBorder="1" applyAlignment="1">
      <alignment vertical="center" wrapText="1"/>
    </xf>
    <xf numFmtId="0" fontId="19" fillId="0" borderId="49" xfId="0" applyFont="1" applyBorder="1" applyAlignment="1">
      <alignment vertical="center" wrapText="1"/>
    </xf>
    <xf numFmtId="0" fontId="7" fillId="0" borderId="39" xfId="0" applyFont="1" applyBorder="1" applyAlignment="1">
      <alignment horizontal="left" vertical="center" wrapText="1" shrinkToFit="1"/>
    </xf>
    <xf numFmtId="0" fontId="7" fillId="0" borderId="41" xfId="0" applyFont="1" applyBorder="1" applyAlignment="1">
      <alignment horizontal="left" vertical="center" wrapText="1"/>
    </xf>
    <xf numFmtId="0" fontId="7" fillId="0" borderId="42" xfId="0" applyFont="1" applyBorder="1" applyAlignment="1">
      <alignment horizontal="left" vertical="center" wrapText="1"/>
    </xf>
    <xf numFmtId="0" fontId="4" fillId="0" borderId="6" xfId="0" applyFont="1" applyBorder="1" applyAlignment="1">
      <alignment horizontal="left" vertical="center" wrapText="1" shrinkToFit="1"/>
    </xf>
    <xf numFmtId="0" fontId="4" fillId="0" borderId="6" xfId="0" applyFont="1" applyBorder="1" applyAlignment="1">
      <alignment horizontal="left" vertical="center" shrinkToFit="1"/>
    </xf>
    <xf numFmtId="0" fontId="4" fillId="0" borderId="12" xfId="0" applyFont="1" applyBorder="1" applyAlignment="1">
      <alignment horizontal="left" vertical="center" shrinkToFit="1"/>
    </xf>
    <xf numFmtId="0" fontId="7" fillId="0" borderId="40" xfId="0" applyFont="1" applyBorder="1" applyAlignment="1">
      <alignment horizontal="center" vertical="center" shrinkToFit="1"/>
    </xf>
    <xf numFmtId="0" fontId="7" fillId="0" borderId="41" xfId="0" applyFont="1" applyBorder="1" applyAlignment="1">
      <alignment horizontal="center" vertical="center" shrinkToFit="1"/>
    </xf>
    <xf numFmtId="0" fontId="7" fillId="0" borderId="42" xfId="0" applyFont="1" applyBorder="1" applyAlignment="1">
      <alignment horizontal="center" vertical="center" shrinkToFit="1"/>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18" fillId="0" borderId="48" xfId="0" applyFont="1" applyBorder="1" applyAlignment="1">
      <alignment vertical="center" wrapText="1"/>
    </xf>
    <xf numFmtId="0" fontId="18" fillId="0" borderId="32" xfId="0" applyFont="1" applyBorder="1" applyAlignment="1">
      <alignment vertical="center" wrapText="1"/>
    </xf>
    <xf numFmtId="0" fontId="4" fillId="0" borderId="8" xfId="0" applyFont="1" applyBorder="1" applyAlignment="1">
      <alignment horizontal="left" vertical="center" wrapText="1" shrinkToFit="1"/>
    </xf>
    <xf numFmtId="0" fontId="4" fillId="0" borderId="8" xfId="0" applyFont="1" applyBorder="1" applyAlignment="1">
      <alignment horizontal="left" vertical="center" shrinkToFit="1"/>
    </xf>
    <xf numFmtId="0" fontId="4" fillId="0" borderId="9" xfId="0" applyFont="1" applyBorder="1" applyAlignment="1">
      <alignment horizontal="left" vertical="center" shrinkToFit="1"/>
    </xf>
    <xf numFmtId="0" fontId="7" fillId="0" borderId="22" xfId="0" applyFont="1" applyBorder="1" applyAlignment="1">
      <alignment horizontal="left" vertical="center" wrapText="1" shrinkToFit="1"/>
    </xf>
    <xf numFmtId="0" fontId="7" fillId="0" borderId="22" xfId="0" applyFont="1" applyBorder="1" applyAlignment="1">
      <alignment horizontal="left" vertical="center" shrinkToFit="1"/>
    </xf>
    <xf numFmtId="0" fontId="7" fillId="0" borderId="21" xfId="0" applyFont="1" applyBorder="1" applyAlignment="1">
      <alignment horizontal="left" vertical="center" shrinkToFit="1"/>
    </xf>
    <xf numFmtId="0" fontId="8" fillId="0" borderId="7" xfId="0" applyFont="1" applyBorder="1" applyAlignment="1">
      <alignment vertical="center" shrinkToFit="1"/>
    </xf>
    <xf numFmtId="0" fontId="8" fillId="0" borderId="8" xfId="0" applyFont="1" applyBorder="1" applyAlignment="1">
      <alignment vertical="center" shrinkToFit="1"/>
    </xf>
    <xf numFmtId="0" fontId="8" fillId="0" borderId="9" xfId="0" applyFont="1" applyBorder="1" applyAlignment="1">
      <alignment vertical="center" shrinkToFit="1"/>
    </xf>
    <xf numFmtId="0" fontId="8" fillId="0" borderId="5" xfId="0" applyFont="1" applyBorder="1" applyAlignment="1">
      <alignment vertical="center" shrinkToFit="1"/>
    </xf>
    <xf numFmtId="0" fontId="8" fillId="0" borderId="0" xfId="0" applyFont="1" applyBorder="1" applyAlignment="1">
      <alignment vertical="center" shrinkToFit="1"/>
    </xf>
    <xf numFmtId="0" fontId="8" fillId="0" borderId="10" xfId="0" applyFont="1" applyBorder="1" applyAlignment="1">
      <alignment vertical="center" shrinkToFit="1"/>
    </xf>
    <xf numFmtId="0" fontId="8" fillId="0" borderId="11" xfId="0" applyFont="1" applyBorder="1" applyAlignment="1">
      <alignment vertical="center"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19" fillId="0" borderId="32" xfId="0" applyFont="1" applyBorder="1" applyAlignment="1">
      <alignment vertical="center" wrapText="1"/>
    </xf>
    <xf numFmtId="0" fontId="4" fillId="0" borderId="40" xfId="0" applyFont="1" applyBorder="1" applyAlignment="1">
      <alignment horizontal="left" vertical="center" wrapText="1"/>
    </xf>
    <xf numFmtId="0" fontId="4" fillId="0" borderId="41" xfId="0" applyFont="1" applyBorder="1" applyAlignment="1">
      <alignment horizontal="left" vertical="center" wrapText="1"/>
    </xf>
    <xf numFmtId="0" fontId="4" fillId="0" borderId="42" xfId="0" applyFont="1" applyBorder="1" applyAlignment="1">
      <alignment horizontal="left"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0" fontId="25" fillId="0" borderId="19" xfId="0" applyFont="1" applyBorder="1" applyAlignment="1">
      <alignment vertical="center" wrapText="1"/>
    </xf>
    <xf numFmtId="0" fontId="7" fillId="0" borderId="20" xfId="0" applyFont="1" applyBorder="1" applyAlignment="1">
      <alignment vertical="center" wrapText="1"/>
    </xf>
    <xf numFmtId="0" fontId="7" fillId="0" borderId="18" xfId="0" applyFont="1" applyBorder="1" applyAlignment="1">
      <alignment vertical="center" wrapText="1"/>
    </xf>
    <xf numFmtId="0" fontId="1" fillId="0" borderId="40" xfId="0" applyFont="1" applyBorder="1" applyAlignment="1">
      <alignment vertical="center" wrapText="1"/>
    </xf>
    <xf numFmtId="0" fontId="4" fillId="0" borderId="41" xfId="0" applyFont="1" applyBorder="1" applyAlignment="1">
      <alignment vertical="center" wrapText="1"/>
    </xf>
    <xf numFmtId="0" fontId="4" fillId="0" borderId="42" xfId="0" applyFont="1" applyBorder="1" applyAlignment="1">
      <alignment vertical="center" wrapText="1"/>
    </xf>
    <xf numFmtId="0" fontId="4" fillId="0" borderId="19" xfId="0" applyFont="1" applyBorder="1" applyAlignment="1">
      <alignment vertical="center" wrapText="1"/>
    </xf>
    <xf numFmtId="0" fontId="4" fillId="0" borderId="20" xfId="0" applyFont="1" applyBorder="1" applyAlignment="1">
      <alignment vertical="center" wrapText="1"/>
    </xf>
    <xf numFmtId="0" fontId="4" fillId="0" borderId="18" xfId="0" applyFont="1" applyBorder="1" applyAlignment="1">
      <alignment vertical="center" wrapText="1"/>
    </xf>
    <xf numFmtId="0" fontId="4" fillId="0" borderId="40" xfId="0" applyFont="1" applyBorder="1" applyAlignment="1">
      <alignment vertical="center" wrapText="1"/>
    </xf>
    <xf numFmtId="0" fontId="3" fillId="0" borderId="8" xfId="0" applyFont="1" applyBorder="1" applyAlignment="1">
      <alignment horizontal="left" vertical="center" wrapText="1" shrinkToFit="1"/>
    </xf>
    <xf numFmtId="0" fontId="4" fillId="0" borderId="22" xfId="0" applyFont="1" applyBorder="1" applyAlignment="1">
      <alignment horizontal="left" vertical="center" wrapText="1" shrinkToFit="1"/>
    </xf>
    <xf numFmtId="0" fontId="4" fillId="0" borderId="22"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39" xfId="0" applyFont="1" applyBorder="1" applyAlignment="1">
      <alignment horizontal="left" vertical="center" wrapText="1" shrinkToFit="1"/>
    </xf>
    <xf numFmtId="0" fontId="4" fillId="0" borderId="39" xfId="0" applyFont="1" applyBorder="1" applyAlignment="1">
      <alignment horizontal="left" vertical="center" shrinkToFit="1"/>
    </xf>
    <xf numFmtId="0" fontId="4" fillId="0" borderId="38" xfId="0" applyFont="1" applyBorder="1" applyAlignment="1">
      <alignment horizontal="left" vertical="center" shrinkToFit="1"/>
    </xf>
    <xf numFmtId="0" fontId="3" fillId="0" borderId="0" xfId="0" applyFont="1" applyAlignment="1">
      <alignment horizontal="right" vertical="center"/>
    </xf>
    <xf numFmtId="0" fontId="13" fillId="0" borderId="0" xfId="0" applyFont="1" applyAlignment="1">
      <alignment horizontal="center" vertical="center"/>
    </xf>
    <xf numFmtId="0" fontId="4" fillId="0" borderId="2" xfId="0" applyNumberFormat="1" applyFont="1" applyBorder="1" applyAlignment="1">
      <alignment horizontal="center" vertical="center" shrinkToFit="1"/>
    </xf>
    <xf numFmtId="0" fontId="4" fillId="0" borderId="4" xfId="0" applyNumberFormat="1" applyFont="1" applyBorder="1" applyAlignment="1">
      <alignment horizontal="center" vertical="center" shrinkToFit="1"/>
    </xf>
    <xf numFmtId="0" fontId="4" fillId="0" borderId="15" xfId="0" applyFont="1" applyBorder="1" applyAlignment="1">
      <alignment horizontal="center" vertical="center"/>
    </xf>
    <xf numFmtId="0" fontId="4" fillId="0" borderId="13" xfId="0" applyFont="1" applyBorder="1" applyAlignment="1">
      <alignment horizontal="center" vertical="center"/>
    </xf>
    <xf numFmtId="0" fontId="14" fillId="0" borderId="8" xfId="0" applyFont="1" applyBorder="1" applyAlignment="1">
      <alignment horizontal="center" vertical="center" wrapText="1"/>
    </xf>
    <xf numFmtId="0" fontId="14" fillId="0" borderId="6" xfId="0" applyFont="1" applyBorder="1" applyAlignment="1">
      <alignment horizontal="center" vertical="center"/>
    </xf>
    <xf numFmtId="0" fontId="14" fillId="0" borderId="7" xfId="0" applyFont="1" applyBorder="1" applyAlignment="1">
      <alignment horizontal="center" vertical="center" wrapText="1"/>
    </xf>
    <xf numFmtId="0" fontId="14" fillId="0" borderId="11" xfId="0" applyFont="1" applyBorder="1" applyAlignment="1">
      <alignment horizontal="center" vertical="center"/>
    </xf>
    <xf numFmtId="0" fontId="4" fillId="0" borderId="14"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15" fillId="0" borderId="15" xfId="0" applyFont="1" applyBorder="1" applyAlignment="1">
      <alignment horizontal="center" vertical="center" wrapText="1"/>
    </xf>
    <xf numFmtId="0" fontId="15" fillId="0" borderId="13" xfId="0" applyFont="1" applyBorder="1" applyAlignment="1">
      <alignment horizontal="center" vertical="center"/>
    </xf>
    <xf numFmtId="0" fontId="14" fillId="0" borderId="9" xfId="0" applyFont="1" applyBorder="1" applyAlignment="1">
      <alignment horizontal="center" vertical="center"/>
    </xf>
    <xf numFmtId="0" fontId="14" fillId="0" borderId="12" xfId="0" applyFont="1" applyBorder="1" applyAlignment="1">
      <alignment horizontal="center" vertical="center"/>
    </xf>
    <xf numFmtId="0" fontId="4" fillId="0" borderId="16" xfId="0" applyFont="1" applyFill="1" applyBorder="1" applyAlignment="1">
      <alignment vertical="top" wrapText="1" shrinkToFit="1"/>
    </xf>
    <xf numFmtId="0" fontId="4" fillId="0" borderId="22" xfId="0" applyFont="1" applyFill="1" applyBorder="1" applyAlignment="1">
      <alignment vertical="top" shrinkToFit="1"/>
    </xf>
    <xf numFmtId="0" fontId="4" fillId="0" borderId="21" xfId="0" applyFont="1" applyFill="1" applyBorder="1" applyAlignment="1">
      <alignment vertical="top" shrinkToFit="1"/>
    </xf>
    <xf numFmtId="0" fontId="4" fillId="0" borderId="5" xfId="0" applyFont="1" applyFill="1" applyBorder="1" applyAlignment="1">
      <alignment vertical="top" shrinkToFit="1"/>
    </xf>
    <xf numFmtId="0" fontId="4" fillId="0" borderId="0" xfId="0" applyFont="1" applyFill="1" applyAlignment="1">
      <alignment vertical="top" shrinkToFit="1"/>
    </xf>
    <xf numFmtId="0" fontId="4" fillId="0" borderId="10" xfId="0" applyFont="1" applyFill="1" applyBorder="1" applyAlignment="1">
      <alignment vertical="top" shrinkToFit="1"/>
    </xf>
    <xf numFmtId="0" fontId="4" fillId="0" borderId="11" xfId="0" applyFont="1" applyFill="1" applyBorder="1" applyAlignment="1">
      <alignment vertical="top" shrinkToFit="1"/>
    </xf>
    <xf numFmtId="0" fontId="4" fillId="0" borderId="6" xfId="0" applyFont="1" applyFill="1" applyBorder="1" applyAlignment="1">
      <alignment vertical="top" shrinkToFit="1"/>
    </xf>
    <xf numFmtId="0" fontId="4" fillId="0" borderId="12" xfId="0" applyFont="1" applyFill="1" applyBorder="1" applyAlignment="1">
      <alignment vertical="top" shrinkToFit="1"/>
    </xf>
    <xf numFmtId="0" fontId="7" fillId="0" borderId="4" xfId="0" applyFont="1" applyBorder="1" applyAlignment="1">
      <alignment vertical="center" shrinkToFit="1"/>
    </xf>
    <xf numFmtId="0" fontId="7" fillId="0" borderId="7" xfId="0" applyFont="1" applyBorder="1" applyAlignment="1">
      <alignment vertical="top" wrapText="1" shrinkToFit="1"/>
    </xf>
    <xf numFmtId="0" fontId="7" fillId="0" borderId="8" xfId="0" applyFont="1" applyBorder="1" applyAlignment="1">
      <alignment vertical="top" wrapText="1" shrinkToFit="1"/>
    </xf>
    <xf numFmtId="0" fontId="7" fillId="0" borderId="8" xfId="0" applyFont="1" applyBorder="1" applyAlignment="1">
      <alignment vertical="top" shrinkToFit="1"/>
    </xf>
    <xf numFmtId="0" fontId="7" fillId="0" borderId="9" xfId="0" applyFont="1" applyBorder="1" applyAlignment="1">
      <alignment vertical="top" shrinkToFit="1"/>
    </xf>
    <xf numFmtId="0" fontId="7" fillId="0" borderId="5" xfId="0" applyFont="1" applyBorder="1" applyAlignment="1">
      <alignment vertical="top" shrinkToFit="1"/>
    </xf>
    <xf numFmtId="0" fontId="7" fillId="0" borderId="0" xfId="0" applyFont="1" applyAlignment="1">
      <alignment vertical="top" shrinkToFit="1"/>
    </xf>
    <xf numFmtId="0" fontId="7" fillId="0" borderId="10" xfId="0" applyFont="1" applyBorder="1" applyAlignment="1">
      <alignment vertical="top" shrinkToFit="1"/>
    </xf>
    <xf numFmtId="0" fontId="7" fillId="0" borderId="11" xfId="0" applyFont="1" applyBorder="1" applyAlignment="1">
      <alignment vertical="top" shrinkToFit="1"/>
    </xf>
    <xf numFmtId="0" fontId="7" fillId="0" borderId="6" xfId="0" applyFont="1" applyBorder="1" applyAlignment="1">
      <alignment vertical="top" shrinkToFit="1"/>
    </xf>
    <xf numFmtId="0" fontId="7" fillId="0" borderId="12" xfId="0" applyFont="1" applyBorder="1" applyAlignment="1">
      <alignment vertical="top" shrinkToFit="1"/>
    </xf>
    <xf numFmtId="0" fontId="10" fillId="0" borderId="8" xfId="0" applyFont="1" applyBorder="1" applyAlignment="1">
      <alignment vertical="top" wrapText="1" shrinkToFit="1"/>
    </xf>
    <xf numFmtId="0" fontId="10" fillId="0" borderId="9" xfId="0" applyFont="1" applyBorder="1" applyAlignment="1">
      <alignment vertical="top" wrapText="1" shrinkToFit="1"/>
    </xf>
    <xf numFmtId="0" fontId="10" fillId="0" borderId="5" xfId="0" applyFont="1" applyBorder="1" applyAlignment="1">
      <alignment vertical="top" wrapText="1" shrinkToFit="1"/>
    </xf>
    <xf numFmtId="0" fontId="10" fillId="0" borderId="0" xfId="0" applyFont="1" applyAlignment="1">
      <alignment vertical="top" wrapText="1" shrinkToFit="1"/>
    </xf>
    <xf numFmtId="0" fontId="10" fillId="0" borderId="10" xfId="0" applyFont="1" applyBorder="1" applyAlignment="1">
      <alignment vertical="top" wrapText="1" shrinkToFit="1"/>
    </xf>
    <xf numFmtId="0" fontId="10" fillId="0" borderId="11" xfId="0" applyFont="1" applyBorder="1" applyAlignment="1">
      <alignment vertical="top" wrapText="1" shrinkToFit="1"/>
    </xf>
    <xf numFmtId="0" fontId="10" fillId="0" borderId="6" xfId="0" applyFont="1" applyBorder="1" applyAlignment="1">
      <alignment vertical="top" wrapText="1" shrinkToFit="1"/>
    </xf>
    <xf numFmtId="0" fontId="10" fillId="0" borderId="12" xfId="0" applyFont="1" applyBorder="1" applyAlignment="1">
      <alignment vertical="top" wrapText="1" shrinkToFit="1"/>
    </xf>
    <xf numFmtId="0" fontId="4" fillId="0" borderId="7" xfId="0" applyFont="1" applyFill="1" applyBorder="1" applyAlignment="1">
      <alignment vertical="top" wrapText="1" shrinkToFit="1"/>
    </xf>
    <xf numFmtId="0" fontId="4" fillId="0" borderId="8" xfId="0" applyFont="1" applyFill="1" applyBorder="1" applyAlignment="1">
      <alignment vertical="top" wrapText="1" shrinkToFit="1"/>
    </xf>
    <xf numFmtId="0" fontId="4" fillId="0" borderId="8" xfId="0" applyFont="1" applyFill="1" applyBorder="1" applyAlignment="1">
      <alignment vertical="top" shrinkToFit="1"/>
    </xf>
    <xf numFmtId="0" fontId="4" fillId="0" borderId="9" xfId="0" applyFont="1" applyFill="1" applyBorder="1" applyAlignment="1">
      <alignment vertical="top" shrinkToFit="1"/>
    </xf>
    <xf numFmtId="0" fontId="4" fillId="0" borderId="6" xfId="0" applyFont="1" applyBorder="1">
      <alignment vertical="center"/>
    </xf>
    <xf numFmtId="0" fontId="4" fillId="0" borderId="7" xfId="0" applyFont="1" applyBorder="1" applyAlignment="1">
      <alignment vertical="top" wrapText="1" shrinkToFit="1"/>
    </xf>
    <xf numFmtId="0" fontId="4" fillId="0" borderId="8" xfId="0" applyFont="1" applyBorder="1" applyAlignment="1">
      <alignment vertical="top" wrapText="1" shrinkToFit="1"/>
    </xf>
    <xf numFmtId="0" fontId="4" fillId="0" borderId="8" xfId="0" applyFont="1" applyBorder="1" applyAlignment="1">
      <alignment vertical="top" shrinkToFit="1"/>
    </xf>
    <xf numFmtId="0" fontId="4" fillId="0" borderId="9" xfId="0" applyFont="1" applyBorder="1" applyAlignment="1">
      <alignment vertical="top" shrinkToFit="1"/>
    </xf>
    <xf numFmtId="0" fontId="4" fillId="0" borderId="5" xfId="0" applyFont="1" applyBorder="1" applyAlignment="1">
      <alignment vertical="top" shrinkToFit="1"/>
    </xf>
    <xf numFmtId="0" fontId="4" fillId="0" borderId="0" xfId="0" applyFont="1" applyAlignment="1">
      <alignment vertical="top" shrinkToFit="1"/>
    </xf>
    <xf numFmtId="0" fontId="4" fillId="0" borderId="10" xfId="0" applyFont="1" applyBorder="1" applyAlignment="1">
      <alignment vertical="top" shrinkToFit="1"/>
    </xf>
    <xf numFmtId="0" fontId="4" fillId="0" borderId="11" xfId="0" applyFont="1" applyBorder="1" applyAlignment="1">
      <alignment vertical="top" shrinkToFit="1"/>
    </xf>
    <xf numFmtId="0" fontId="4" fillId="0" borderId="6" xfId="0" applyFont="1" applyBorder="1" applyAlignment="1">
      <alignment vertical="top" shrinkToFit="1"/>
    </xf>
    <xf numFmtId="0" fontId="4" fillId="0" borderId="12" xfId="0" applyFont="1" applyBorder="1" applyAlignment="1">
      <alignment vertical="top" shrinkToFit="1"/>
    </xf>
    <xf numFmtId="0" fontId="4" fillId="0" borderId="17" xfId="0" applyFont="1" applyBorder="1">
      <alignment vertical="center"/>
    </xf>
    <xf numFmtId="0" fontId="11" fillId="0" borderId="18" xfId="0" applyFont="1" applyBorder="1">
      <alignment vertical="center"/>
    </xf>
    <xf numFmtId="0" fontId="4" fillId="0" borderId="19" xfId="0" applyFont="1" applyFill="1" applyBorder="1" applyAlignment="1">
      <alignment vertical="top" wrapText="1" shrinkToFit="1"/>
    </xf>
    <xf numFmtId="0" fontId="4" fillId="0" borderId="20" xfId="0" applyFont="1" applyFill="1" applyBorder="1" applyAlignment="1">
      <alignment vertical="top" wrapText="1" shrinkToFit="1"/>
    </xf>
    <xf numFmtId="0" fontId="4" fillId="0" borderId="18" xfId="0" applyFont="1" applyFill="1" applyBorder="1" applyAlignment="1">
      <alignment vertical="top" wrapText="1" shrinkToFi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7" xfId="0" applyFont="1" applyBorder="1" applyAlignment="1">
      <alignment vertical="center" wrapText="1"/>
    </xf>
    <xf numFmtId="0" fontId="4" fillId="0" borderId="11" xfId="0" applyFont="1" applyBorder="1" applyAlignment="1">
      <alignment vertical="center" wrapText="1"/>
    </xf>
    <xf numFmtId="0" fontId="4" fillId="0" borderId="6" xfId="0" applyFont="1" applyBorder="1" applyAlignment="1">
      <alignment vertical="center" wrapText="1"/>
    </xf>
    <xf numFmtId="0" fontId="4" fillId="0" borderId="12" xfId="0" applyFont="1" applyBorder="1" applyAlignment="1">
      <alignment vertical="center" wrapText="1"/>
    </xf>
    <xf numFmtId="0" fontId="4" fillId="0" borderId="6" xfId="0" applyFont="1" applyBorder="1" applyAlignment="1">
      <alignment vertical="top" wrapText="1" shrinkToFit="1"/>
    </xf>
    <xf numFmtId="0" fontId="4" fillId="0" borderId="12" xfId="0" applyFont="1" applyBorder="1" applyAlignment="1">
      <alignment vertical="top" wrapText="1" shrinkToFit="1"/>
    </xf>
    <xf numFmtId="0" fontId="4" fillId="0" borderId="20" xfId="0" applyFont="1" applyBorder="1" applyAlignment="1">
      <alignment vertical="top" wrapText="1" shrinkToFit="1"/>
    </xf>
    <xf numFmtId="0" fontId="4" fillId="0" borderId="18" xfId="0" applyFont="1" applyBorder="1" applyAlignment="1">
      <alignment vertical="top" wrapText="1" shrinkToFit="1"/>
    </xf>
    <xf numFmtId="0" fontId="21" fillId="0" borderId="2" xfId="2" applyFont="1" applyFill="1" applyBorder="1" applyAlignment="1">
      <alignment vertical="center" shrinkToFit="1"/>
    </xf>
    <xf numFmtId="0" fontId="4" fillId="0" borderId="3" xfId="0" applyFont="1" applyFill="1" applyBorder="1" applyAlignment="1">
      <alignment vertical="center" shrinkToFit="1"/>
    </xf>
    <xf numFmtId="0" fontId="4" fillId="0" borderId="4" xfId="0" applyFont="1" applyFill="1" applyBorder="1" applyAlignment="1">
      <alignment vertical="center" shrinkToFit="1"/>
    </xf>
    <xf numFmtId="0" fontId="24" fillId="0" borderId="2" xfId="2" applyFont="1" applyFill="1" applyBorder="1" applyAlignment="1">
      <alignment horizontal="center" vertical="center" shrinkToFit="1"/>
    </xf>
    <xf numFmtId="0" fontId="24" fillId="0" borderId="3" xfId="2" applyFont="1" applyFill="1" applyBorder="1" applyAlignment="1">
      <alignment horizontal="center" vertical="center" shrinkToFit="1"/>
    </xf>
    <xf numFmtId="0" fontId="24" fillId="0" borderId="4" xfId="2" applyFont="1" applyFill="1" applyBorder="1" applyAlignment="1">
      <alignment horizontal="center" vertical="center"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O45"/>
  <sheetViews>
    <sheetView tabSelected="1" view="pageBreakPreview" zoomScale="85" zoomScaleNormal="85" zoomScaleSheetLayoutView="85" zoomScalePageLayoutView="85" workbookViewId="0">
      <selection activeCell="B1" sqref="B1"/>
    </sheetView>
  </sheetViews>
  <sheetFormatPr defaultColWidth="9" defaultRowHeight="18.75" customHeight="1" x14ac:dyDescent="0.15"/>
  <cols>
    <col min="1" max="1" width="3.375" style="7" customWidth="1"/>
    <col min="2" max="2" width="11.125" style="7" customWidth="1"/>
    <col min="3" max="8" width="6.625" style="7" customWidth="1"/>
    <col min="9" max="9" width="3.375" style="7" customWidth="1"/>
    <col min="10" max="10" width="10" style="7" customWidth="1"/>
    <col min="11" max="11" width="3.375" style="7" customWidth="1"/>
    <col min="12" max="12" width="7.625" style="7" customWidth="1"/>
    <col min="13" max="13" width="3.375" style="7" customWidth="1"/>
    <col min="14" max="14" width="4.5" style="7" customWidth="1"/>
    <col min="15" max="15" width="9" style="23"/>
    <col min="16" max="16384" width="9" style="6"/>
  </cols>
  <sheetData>
    <row r="1" spans="1:15" ht="24" customHeight="1" x14ac:dyDescent="0.15">
      <c r="M1" s="149" t="s">
        <v>20</v>
      </c>
      <c r="N1" s="149"/>
    </row>
    <row r="2" spans="1:15" ht="24" customHeight="1" x14ac:dyDescent="0.15">
      <c r="A2" s="153" t="s">
        <v>54</v>
      </c>
      <c r="B2" s="153"/>
      <c r="C2" s="153"/>
      <c r="D2" s="153"/>
      <c r="E2" s="153"/>
      <c r="F2" s="153"/>
      <c r="G2" s="153"/>
      <c r="H2" s="153"/>
      <c r="I2" s="153"/>
      <c r="J2" s="153"/>
      <c r="K2" s="153"/>
      <c r="L2" s="153"/>
      <c r="M2" s="153"/>
      <c r="N2" s="153"/>
    </row>
    <row r="3" spans="1:15" ht="24" customHeight="1" x14ac:dyDescent="0.15"/>
    <row r="4" spans="1:15" ht="24" customHeight="1" x14ac:dyDescent="0.15">
      <c r="A4" s="7" t="s">
        <v>6</v>
      </c>
      <c r="B4" s="8" t="s">
        <v>11</v>
      </c>
      <c r="C4" s="139" t="s">
        <v>122</v>
      </c>
      <c r="D4" s="140"/>
      <c r="E4" s="140"/>
      <c r="F4" s="140"/>
      <c r="G4" s="140"/>
      <c r="H4" s="140"/>
      <c r="I4" s="140"/>
      <c r="J4" s="140"/>
      <c r="K4" s="140"/>
      <c r="L4" s="140"/>
      <c r="M4" s="140"/>
      <c r="N4" s="141"/>
      <c r="O4" s="23" t="str">
        <f>IF(C4="","入力してください","")</f>
        <v/>
      </c>
    </row>
    <row r="5" spans="1:15" ht="7.5" customHeight="1" x14ac:dyDescent="0.15">
      <c r="B5" s="8"/>
      <c r="C5" s="8"/>
      <c r="D5" s="8"/>
      <c r="E5" s="9"/>
      <c r="F5" s="26"/>
      <c r="G5" s="26"/>
      <c r="H5" s="26"/>
      <c r="I5" s="26"/>
      <c r="J5" s="26"/>
      <c r="K5" s="26"/>
      <c r="L5" s="26"/>
      <c r="M5" s="26"/>
      <c r="N5" s="26"/>
    </row>
    <row r="6" spans="1:15" ht="24" customHeight="1" x14ac:dyDescent="0.15">
      <c r="A6" s="7" t="s">
        <v>26</v>
      </c>
      <c r="B6" s="8" t="s">
        <v>27</v>
      </c>
      <c r="C6" s="8"/>
      <c r="D6" s="139" t="s">
        <v>123</v>
      </c>
      <c r="E6" s="140"/>
      <c r="F6" s="140"/>
      <c r="G6" s="140"/>
      <c r="H6" s="141"/>
      <c r="I6" s="10" t="s">
        <v>57</v>
      </c>
      <c r="J6" s="26" t="s">
        <v>58</v>
      </c>
      <c r="K6" s="139" t="s">
        <v>121</v>
      </c>
      <c r="L6" s="140"/>
      <c r="M6" s="140"/>
      <c r="N6" s="141"/>
      <c r="O6" s="23" t="str">
        <f>IF(D6="","入力してください","")</f>
        <v/>
      </c>
    </row>
    <row r="7" spans="1:15" ht="7.5" customHeight="1" x14ac:dyDescent="0.15">
      <c r="B7" s="8"/>
      <c r="C7" s="8"/>
      <c r="D7" s="8"/>
      <c r="E7" s="9"/>
      <c r="F7" s="26"/>
      <c r="G7" s="26"/>
      <c r="H7" s="26"/>
      <c r="I7" s="26"/>
      <c r="J7" s="26"/>
      <c r="K7" s="26"/>
      <c r="L7" s="26"/>
      <c r="M7" s="26"/>
      <c r="N7" s="26"/>
    </row>
    <row r="8" spans="1:15" ht="24" customHeight="1" x14ac:dyDescent="0.15">
      <c r="A8" s="7" t="s">
        <v>10</v>
      </c>
      <c r="B8" s="8" t="s">
        <v>23</v>
      </c>
      <c r="C8" s="139" t="s">
        <v>124</v>
      </c>
      <c r="D8" s="140"/>
      <c r="E8" s="140"/>
      <c r="F8" s="140"/>
      <c r="G8" s="140"/>
      <c r="H8" s="140"/>
      <c r="I8" s="140"/>
      <c r="J8" s="140"/>
      <c r="K8" s="140"/>
      <c r="L8" s="140"/>
      <c r="M8" s="140"/>
      <c r="N8" s="141"/>
      <c r="O8" s="23" t="str">
        <f>IF(C8="","入力してください","")</f>
        <v/>
      </c>
    </row>
    <row r="9" spans="1:15" ht="7.5" customHeight="1" x14ac:dyDescent="0.15">
      <c r="B9" s="8"/>
      <c r="C9" s="8"/>
      <c r="D9" s="8"/>
      <c r="E9" s="9"/>
      <c r="F9" s="26"/>
      <c r="G9" s="26"/>
      <c r="H9" s="26"/>
      <c r="I9" s="26"/>
      <c r="J9" s="26"/>
      <c r="K9" s="26"/>
      <c r="L9" s="26"/>
      <c r="M9" s="26"/>
      <c r="N9" s="26"/>
    </row>
    <row r="10" spans="1:15" ht="24" customHeight="1" x14ac:dyDescent="0.15">
      <c r="A10" s="7" t="s">
        <v>9</v>
      </c>
      <c r="B10" s="8" t="s">
        <v>56</v>
      </c>
      <c r="C10" s="8"/>
      <c r="D10" s="8"/>
      <c r="E10" s="154" t="s">
        <v>153</v>
      </c>
      <c r="F10" s="155"/>
      <c r="G10" s="155"/>
      <c r="H10" s="155"/>
      <c r="I10" s="155"/>
      <c r="J10" s="155"/>
      <c r="K10" s="155"/>
      <c r="L10" s="155"/>
      <c r="M10" s="155"/>
      <c r="N10" s="156"/>
      <c r="O10" s="23" t="str">
        <f>IF(E10="","入力してください","")</f>
        <v/>
      </c>
    </row>
    <row r="11" spans="1:15" ht="7.5" customHeight="1" x14ac:dyDescent="0.15">
      <c r="B11" s="9"/>
      <c r="C11" s="9"/>
      <c r="D11" s="9"/>
      <c r="E11" s="9"/>
      <c r="F11" s="26"/>
      <c r="G11" s="26"/>
      <c r="H11" s="26"/>
      <c r="I11" s="26"/>
      <c r="J11" s="26"/>
      <c r="K11" s="26"/>
      <c r="L11" s="26"/>
      <c r="M11" s="26"/>
      <c r="N11" s="26"/>
    </row>
    <row r="12" spans="1:15" ht="24" customHeight="1" x14ac:dyDescent="0.15">
      <c r="A12" s="7" t="s">
        <v>36</v>
      </c>
      <c r="B12" s="9" t="s">
        <v>37</v>
      </c>
      <c r="C12" s="9"/>
      <c r="D12" s="9"/>
      <c r="E12" s="157" t="s">
        <v>125</v>
      </c>
      <c r="F12" s="158"/>
      <c r="G12" s="10" t="s">
        <v>67</v>
      </c>
      <c r="H12" s="7" t="s">
        <v>68</v>
      </c>
      <c r="N12" s="86" t="s">
        <v>126</v>
      </c>
      <c r="O12" s="23" t="str">
        <f>IF(E12="","入力してください","")</f>
        <v/>
      </c>
    </row>
    <row r="13" spans="1:15" ht="7.5" customHeight="1" x14ac:dyDescent="0.15">
      <c r="B13" s="9"/>
      <c r="C13" s="9"/>
      <c r="D13" s="9"/>
      <c r="E13" s="9"/>
      <c r="F13" s="26"/>
      <c r="G13" s="26"/>
      <c r="H13" s="26"/>
      <c r="I13" s="26"/>
      <c r="J13" s="26"/>
      <c r="K13" s="26"/>
      <c r="L13" s="26"/>
      <c r="M13" s="26"/>
      <c r="N13" s="26"/>
    </row>
    <row r="14" spans="1:15" ht="24" customHeight="1" x14ac:dyDescent="0.15">
      <c r="A14" s="7" t="s">
        <v>31</v>
      </c>
      <c r="B14" s="7" t="s">
        <v>0</v>
      </c>
      <c r="C14" s="150" t="s">
        <v>5</v>
      </c>
      <c r="D14" s="151"/>
      <c r="E14" s="142">
        <v>135</v>
      </c>
      <c r="F14" s="143"/>
      <c r="G14" s="11" t="s">
        <v>7</v>
      </c>
      <c r="I14" s="150" t="s">
        <v>8</v>
      </c>
      <c r="J14" s="151"/>
      <c r="K14" s="142">
        <v>184</v>
      </c>
      <c r="L14" s="152"/>
      <c r="M14" s="143"/>
      <c r="N14" s="12" t="s">
        <v>7</v>
      </c>
      <c r="O14" s="23" t="str">
        <f>IF(OR(E14="",K14=""),"入力してください","")</f>
        <v/>
      </c>
    </row>
    <row r="15" spans="1:15" ht="7.5" customHeight="1" x14ac:dyDescent="0.15">
      <c r="F15" s="13"/>
      <c r="G15" s="13"/>
      <c r="H15" s="13"/>
      <c r="I15" s="13"/>
      <c r="J15" s="13"/>
      <c r="K15" s="13"/>
      <c r="L15" s="13"/>
      <c r="M15" s="12"/>
      <c r="N15" s="12"/>
    </row>
    <row r="16" spans="1:15" ht="24" customHeight="1" x14ac:dyDescent="0.15">
      <c r="A16" s="7" t="s">
        <v>38</v>
      </c>
      <c r="B16" s="7" t="s">
        <v>45</v>
      </c>
      <c r="F16" s="13"/>
      <c r="G16" s="13"/>
      <c r="H16" s="13"/>
      <c r="I16" s="13"/>
      <c r="J16" s="13"/>
      <c r="K16" s="162">
        <v>13</v>
      </c>
      <c r="L16" s="163"/>
      <c r="M16" s="164"/>
      <c r="N16" s="12" t="s">
        <v>29</v>
      </c>
      <c r="O16" s="23" t="str">
        <f>IF(K16="","入力してください","")</f>
        <v/>
      </c>
    </row>
    <row r="17" spans="1:15" ht="7.5" customHeight="1" x14ac:dyDescent="0.15">
      <c r="F17" s="13"/>
      <c r="G17" s="13"/>
      <c r="H17" s="13"/>
      <c r="I17" s="13"/>
      <c r="J17" s="13"/>
      <c r="K17" s="13"/>
      <c r="L17" s="13"/>
      <c r="M17" s="12"/>
      <c r="N17" s="12"/>
    </row>
    <row r="18" spans="1:15" ht="24" customHeight="1" x14ac:dyDescent="0.15">
      <c r="A18" s="7" t="s">
        <v>19</v>
      </c>
      <c r="B18" s="7" t="s">
        <v>49</v>
      </c>
      <c r="E18" s="142">
        <v>650</v>
      </c>
      <c r="F18" s="143"/>
      <c r="G18" s="14" t="s">
        <v>16</v>
      </c>
      <c r="H18" s="13"/>
      <c r="K18" s="168"/>
      <c r="L18" s="168"/>
      <c r="M18" s="168"/>
      <c r="N18" s="168"/>
      <c r="O18" s="23" t="str">
        <f>IF(E18="","入力してください","")</f>
        <v/>
      </c>
    </row>
    <row r="19" spans="1:15" ht="7.5" customHeight="1" x14ac:dyDescent="0.15">
      <c r="E19" s="3"/>
      <c r="F19" s="13"/>
      <c r="G19" s="13"/>
      <c r="L19" s="25"/>
      <c r="M19" s="25"/>
      <c r="N19" s="15"/>
    </row>
    <row r="20" spans="1:15" ht="24" customHeight="1" x14ac:dyDescent="0.15">
      <c r="A20" s="7" t="s">
        <v>48</v>
      </c>
      <c r="B20" s="7" t="s">
        <v>50</v>
      </c>
      <c r="E20" s="3"/>
      <c r="F20" s="13"/>
      <c r="G20" s="13"/>
      <c r="H20" s="7" t="s">
        <v>30</v>
      </c>
      <c r="J20" s="165">
        <v>2917</v>
      </c>
      <c r="K20" s="166"/>
      <c r="L20" s="167"/>
      <c r="M20" s="25" t="s">
        <v>29</v>
      </c>
      <c r="N20" s="15"/>
      <c r="O20" s="23" t="str">
        <f>IF(J20="","入力してください","")</f>
        <v/>
      </c>
    </row>
    <row r="21" spans="1:15" ht="7.5" customHeight="1" x14ac:dyDescent="0.15">
      <c r="E21" s="3"/>
      <c r="F21" s="13"/>
      <c r="G21" s="13"/>
      <c r="L21" s="25"/>
      <c r="M21" s="25"/>
      <c r="N21" s="15"/>
    </row>
    <row r="22" spans="1:15" ht="24" customHeight="1" x14ac:dyDescent="0.15">
      <c r="B22" s="21" t="s">
        <v>12</v>
      </c>
      <c r="C22" s="142">
        <v>611</v>
      </c>
      <c r="D22" s="143"/>
      <c r="E22" s="3" t="s">
        <v>17</v>
      </c>
      <c r="F22" s="13"/>
      <c r="G22" s="138" t="s">
        <v>13</v>
      </c>
      <c r="H22" s="138"/>
      <c r="I22" s="142">
        <v>710</v>
      </c>
      <c r="J22" s="143"/>
      <c r="K22" s="10" t="s">
        <v>17</v>
      </c>
      <c r="M22" s="25"/>
      <c r="N22" s="15"/>
    </row>
    <row r="23" spans="1:15" ht="7.5" customHeight="1" x14ac:dyDescent="0.15">
      <c r="B23" s="21"/>
      <c r="C23" s="4"/>
      <c r="D23" s="4"/>
      <c r="E23" s="3"/>
      <c r="F23" s="13"/>
      <c r="G23" s="25"/>
      <c r="H23" s="25"/>
      <c r="I23" s="4"/>
      <c r="J23" s="4"/>
      <c r="K23" s="10"/>
      <c r="M23" s="25"/>
      <c r="N23" s="15"/>
    </row>
    <row r="24" spans="1:15" ht="24" customHeight="1" x14ac:dyDescent="0.15">
      <c r="B24" s="21" t="s">
        <v>14</v>
      </c>
      <c r="C24" s="142">
        <v>630</v>
      </c>
      <c r="D24" s="143"/>
      <c r="E24" s="3" t="s">
        <v>17</v>
      </c>
      <c r="F24" s="13"/>
      <c r="G24" s="138" t="s">
        <v>15</v>
      </c>
      <c r="H24" s="138"/>
      <c r="I24" s="142">
        <v>714</v>
      </c>
      <c r="J24" s="143"/>
      <c r="K24" s="10" t="s">
        <v>17</v>
      </c>
      <c r="M24" s="25"/>
      <c r="N24" s="15"/>
    </row>
    <row r="25" spans="1:15" ht="7.5" customHeight="1" x14ac:dyDescent="0.15">
      <c r="B25" s="21"/>
      <c r="C25" s="4"/>
      <c r="D25" s="4"/>
      <c r="E25" s="3"/>
      <c r="F25" s="13"/>
      <c r="G25" s="25"/>
      <c r="H25" s="25"/>
      <c r="I25" s="4"/>
      <c r="J25" s="4"/>
      <c r="K25" s="10"/>
      <c r="M25" s="25"/>
      <c r="N25" s="15"/>
    </row>
    <row r="26" spans="1:15" ht="24" customHeight="1" x14ac:dyDescent="0.15">
      <c r="B26" s="21" t="s">
        <v>24</v>
      </c>
      <c r="C26" s="142">
        <v>105</v>
      </c>
      <c r="D26" s="143"/>
      <c r="E26" s="3" t="s">
        <v>7</v>
      </c>
      <c r="F26" s="13"/>
      <c r="G26" s="138" t="s">
        <v>25</v>
      </c>
      <c r="H26" s="138"/>
      <c r="I26" s="142">
        <v>147</v>
      </c>
      <c r="J26" s="143"/>
      <c r="K26" s="10" t="s">
        <v>7</v>
      </c>
      <c r="M26" s="25"/>
      <c r="N26" s="15"/>
    </row>
    <row r="27" spans="1:15" ht="7.5" customHeight="1" x14ac:dyDescent="0.15">
      <c r="F27" s="13"/>
      <c r="G27" s="13"/>
      <c r="M27" s="16"/>
      <c r="N27" s="16"/>
    </row>
    <row r="28" spans="1:15" ht="24" customHeight="1" x14ac:dyDescent="0.15">
      <c r="A28" s="7" t="s">
        <v>28</v>
      </c>
      <c r="B28" s="8" t="s">
        <v>47</v>
      </c>
      <c r="C28" s="8"/>
      <c r="D28" s="8"/>
      <c r="E28" s="8"/>
      <c r="F28" s="10"/>
      <c r="G28" s="26"/>
      <c r="H28" s="26"/>
      <c r="I28" s="26"/>
      <c r="J28" s="17"/>
      <c r="K28" s="17"/>
      <c r="L28" s="17"/>
      <c r="M28" s="17"/>
      <c r="N28" s="17"/>
    </row>
    <row r="29" spans="1:15" s="7" customFormat="1" ht="24" customHeight="1" x14ac:dyDescent="0.15">
      <c r="B29" s="146" t="s">
        <v>46</v>
      </c>
      <c r="C29" s="146"/>
      <c r="D29" s="139" t="s">
        <v>127</v>
      </c>
      <c r="E29" s="140"/>
      <c r="F29" s="140"/>
      <c r="G29" s="147" t="s">
        <v>18</v>
      </c>
      <c r="H29" s="146"/>
      <c r="I29" s="148"/>
      <c r="J29" s="139" t="s">
        <v>128</v>
      </c>
      <c r="K29" s="140"/>
      <c r="L29" s="140"/>
      <c r="M29" s="140"/>
      <c r="N29" s="141"/>
      <c r="O29" s="23" t="str">
        <f>IF(OR(D29="",J29=""),"入力してください","")</f>
        <v/>
      </c>
    </row>
    <row r="30" spans="1:15" ht="7.5" customHeight="1" x14ac:dyDescent="0.15">
      <c r="F30" s="13"/>
      <c r="G30" s="13"/>
      <c r="M30" s="16"/>
      <c r="N30" s="16"/>
    </row>
    <row r="31" spans="1:15" ht="24" customHeight="1" x14ac:dyDescent="0.15">
      <c r="A31" s="7" t="s">
        <v>32</v>
      </c>
      <c r="B31" s="8" t="s">
        <v>52</v>
      </c>
      <c r="C31" s="8"/>
      <c r="D31" s="8"/>
      <c r="E31" s="8"/>
      <c r="F31" s="10"/>
      <c r="G31" s="17"/>
      <c r="H31" s="17"/>
      <c r="I31" s="17"/>
      <c r="J31" s="17"/>
      <c r="K31" s="17"/>
      <c r="L31" s="17"/>
      <c r="M31" s="17"/>
      <c r="N31" s="17"/>
    </row>
    <row r="32" spans="1:15" ht="24" customHeight="1" x14ac:dyDescent="0.15">
      <c r="B32" s="159" t="s">
        <v>120</v>
      </c>
      <c r="C32" s="160"/>
      <c r="D32" s="160"/>
      <c r="E32" s="160"/>
      <c r="F32" s="160"/>
      <c r="G32" s="160"/>
      <c r="H32" s="160"/>
      <c r="I32" s="160"/>
      <c r="J32" s="160"/>
      <c r="K32" s="160"/>
      <c r="L32" s="160"/>
      <c r="M32" s="160"/>
      <c r="N32" s="161"/>
      <c r="O32" s="23" t="str">
        <f>IF(B32="","入力してください","")</f>
        <v/>
      </c>
    </row>
    <row r="33" spans="1:15" ht="7.5" customHeight="1" x14ac:dyDescent="0.15">
      <c r="B33" s="5"/>
      <c r="C33" s="5"/>
      <c r="D33" s="5"/>
      <c r="E33" s="5"/>
      <c r="F33" s="5"/>
      <c r="G33" s="5"/>
      <c r="H33" s="5"/>
      <c r="I33" s="5"/>
      <c r="J33" s="5"/>
      <c r="K33" s="5"/>
      <c r="L33" s="5"/>
      <c r="M33" s="5"/>
      <c r="N33" s="5"/>
    </row>
    <row r="34" spans="1:15" s="7" customFormat="1" ht="24" customHeight="1" x14ac:dyDescent="0.15">
      <c r="B34" s="146" t="s">
        <v>46</v>
      </c>
      <c r="C34" s="146"/>
      <c r="D34" s="139" t="s">
        <v>127</v>
      </c>
      <c r="E34" s="140"/>
      <c r="F34" s="140"/>
      <c r="G34" s="147" t="s">
        <v>33</v>
      </c>
      <c r="H34" s="146"/>
      <c r="I34" s="148"/>
      <c r="J34" s="139" t="s">
        <v>129</v>
      </c>
      <c r="K34" s="140"/>
      <c r="L34" s="140"/>
      <c r="M34" s="140"/>
      <c r="N34" s="141"/>
      <c r="O34" s="23" t="str">
        <f>IF(OR(D34="",J34=""),"入力してください","")</f>
        <v/>
      </c>
    </row>
    <row r="35" spans="1:15" ht="7.5" customHeight="1" x14ac:dyDescent="0.15">
      <c r="F35" s="26"/>
      <c r="G35" s="26"/>
      <c r="H35" s="26"/>
      <c r="I35" s="26"/>
      <c r="J35" s="26"/>
      <c r="K35" s="26"/>
      <c r="L35" s="26"/>
      <c r="M35" s="26"/>
      <c r="N35" s="26"/>
    </row>
    <row r="36" spans="1:15" ht="24" customHeight="1" x14ac:dyDescent="0.15">
      <c r="A36" s="7" t="s">
        <v>39</v>
      </c>
      <c r="B36" s="7" t="s">
        <v>53</v>
      </c>
      <c r="M36" s="16"/>
      <c r="N36" s="16"/>
    </row>
    <row r="37" spans="1:15" ht="24" customHeight="1" x14ac:dyDescent="0.15">
      <c r="B37" s="159" t="s">
        <v>130</v>
      </c>
      <c r="C37" s="160"/>
      <c r="D37" s="160"/>
      <c r="E37" s="160"/>
      <c r="F37" s="160"/>
      <c r="G37" s="160"/>
      <c r="H37" s="160"/>
      <c r="I37" s="160"/>
      <c r="J37" s="160"/>
      <c r="K37" s="160"/>
      <c r="L37" s="160"/>
      <c r="M37" s="160"/>
      <c r="N37" s="161"/>
      <c r="O37" s="23" t="str">
        <f>IF(B37="","入力してください","")</f>
        <v/>
      </c>
    </row>
    <row r="38" spans="1:15" ht="7.5" customHeight="1" x14ac:dyDescent="0.15">
      <c r="F38" s="26"/>
      <c r="G38" s="26"/>
      <c r="H38" s="26"/>
      <c r="I38" s="26"/>
      <c r="J38" s="26"/>
      <c r="K38" s="26"/>
      <c r="L38" s="26"/>
      <c r="M38" s="26"/>
      <c r="N38" s="26"/>
    </row>
    <row r="39" spans="1:15" s="7" customFormat="1" ht="24" customHeight="1" x14ac:dyDescent="0.15">
      <c r="B39" s="146" t="s">
        <v>46</v>
      </c>
      <c r="C39" s="146"/>
      <c r="D39" s="139" t="s">
        <v>131</v>
      </c>
      <c r="E39" s="140"/>
      <c r="F39" s="140"/>
      <c r="G39" s="147" t="s">
        <v>33</v>
      </c>
      <c r="H39" s="146"/>
      <c r="I39" s="148"/>
      <c r="J39" s="139" t="s">
        <v>132</v>
      </c>
      <c r="K39" s="140"/>
      <c r="L39" s="140"/>
      <c r="M39" s="140"/>
      <c r="N39" s="141"/>
      <c r="O39" s="23" t="str">
        <f>IF(OR(D39="",J39=""),"入力してください","")</f>
        <v/>
      </c>
    </row>
    <row r="40" spans="1:15" ht="7.5" customHeight="1" x14ac:dyDescent="0.15">
      <c r="F40" s="26"/>
      <c r="G40" s="26"/>
      <c r="H40" s="26"/>
      <c r="I40" s="26"/>
      <c r="J40" s="26"/>
      <c r="K40" s="26"/>
      <c r="L40" s="26"/>
      <c r="M40" s="26"/>
      <c r="N40" s="26"/>
    </row>
    <row r="41" spans="1:15" ht="24" customHeight="1" x14ac:dyDescent="0.15">
      <c r="A41" s="7" t="s">
        <v>59</v>
      </c>
      <c r="B41" s="58" t="s">
        <v>44</v>
      </c>
      <c r="E41" s="59"/>
      <c r="F41" s="139" t="s">
        <v>133</v>
      </c>
      <c r="G41" s="140"/>
      <c r="H41" s="140"/>
      <c r="I41" s="140"/>
      <c r="J41" s="140"/>
      <c r="K41" s="140"/>
      <c r="L41" s="140"/>
      <c r="M41" s="140"/>
      <c r="N41" s="141"/>
      <c r="O41" s="23" t="str">
        <f>IF(F41="","入力してください","")</f>
        <v/>
      </c>
    </row>
    <row r="42" spans="1:15" ht="7.5" customHeight="1" x14ac:dyDescent="0.15">
      <c r="F42" s="26"/>
      <c r="G42" s="26"/>
      <c r="H42" s="26"/>
      <c r="I42" s="26"/>
      <c r="J42" s="26"/>
      <c r="K42" s="26"/>
      <c r="L42" s="26"/>
      <c r="M42" s="26"/>
      <c r="N42" s="26"/>
    </row>
    <row r="43" spans="1:15" ht="24" customHeight="1" x14ac:dyDescent="0.15">
      <c r="A43" s="7" t="s">
        <v>69</v>
      </c>
    </row>
    <row r="44" spans="1:15" ht="24" customHeight="1" x14ac:dyDescent="0.15">
      <c r="B44" s="22" t="s">
        <v>1</v>
      </c>
      <c r="C44" s="144" t="s">
        <v>120</v>
      </c>
      <c r="D44" s="145"/>
      <c r="E44" s="145"/>
      <c r="F44" s="145"/>
      <c r="G44" s="145"/>
      <c r="H44" s="145"/>
      <c r="I44" s="19" t="s">
        <v>2</v>
      </c>
      <c r="J44" s="20"/>
      <c r="K44" s="139" t="s">
        <v>135</v>
      </c>
      <c r="L44" s="140"/>
      <c r="M44" s="140"/>
      <c r="N44" s="141"/>
      <c r="O44" s="23" t="str">
        <f>IF(OR(C44="",K44=""),"入力してください","")</f>
        <v/>
      </c>
    </row>
    <row r="45" spans="1:15" ht="24" customHeight="1" x14ac:dyDescent="0.15">
      <c r="B45" s="18" t="s">
        <v>4</v>
      </c>
      <c r="C45" s="132" t="s">
        <v>134</v>
      </c>
      <c r="D45" s="133"/>
      <c r="E45" s="133"/>
      <c r="F45" s="133"/>
      <c r="G45" s="133"/>
      <c r="H45" s="134"/>
      <c r="I45" s="19" t="s">
        <v>3</v>
      </c>
      <c r="J45" s="20"/>
      <c r="K45" s="135" t="s">
        <v>136</v>
      </c>
      <c r="L45" s="136"/>
      <c r="M45" s="136"/>
      <c r="N45" s="137"/>
      <c r="O45" s="23"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2"/>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SheetLayoutView="100" workbookViewId="0">
      <selection activeCell="A2" sqref="A2:Z2"/>
    </sheetView>
  </sheetViews>
  <sheetFormatPr defaultColWidth="9" defaultRowHeight="18.75" customHeight="1" x14ac:dyDescent="0.15"/>
  <cols>
    <col min="1" max="1" width="2.5" style="6" customWidth="1"/>
    <col min="2" max="2" width="27.625" style="6" customWidth="1"/>
    <col min="3" max="13" width="3.375" style="6" customWidth="1"/>
    <col min="14" max="14" width="8.625" style="6" customWidth="1"/>
    <col min="15" max="15" width="18.625" style="6" customWidth="1"/>
    <col min="16" max="19" width="3.375" style="6" customWidth="1"/>
    <col min="20" max="20" width="3.5" style="6" customWidth="1"/>
    <col min="21" max="26" width="3.375" style="6" customWidth="1"/>
    <col min="27" max="16384" width="9" style="6"/>
  </cols>
  <sheetData>
    <row r="1" spans="1:26" ht="15" customHeight="1" x14ac:dyDescent="0.15">
      <c r="W1" s="187" t="s">
        <v>109</v>
      </c>
      <c r="X1" s="187"/>
      <c r="Y1" s="187"/>
      <c r="Z1" s="187"/>
    </row>
    <row r="2" spans="1:26" ht="18" customHeight="1" x14ac:dyDescent="0.15">
      <c r="A2" s="188" t="s">
        <v>42</v>
      </c>
      <c r="B2" s="188"/>
      <c r="C2" s="188"/>
      <c r="D2" s="188"/>
      <c r="E2" s="188"/>
      <c r="F2" s="188"/>
      <c r="G2" s="188"/>
      <c r="H2" s="188"/>
      <c r="I2" s="188"/>
      <c r="J2" s="188"/>
      <c r="K2" s="188"/>
      <c r="L2" s="188"/>
      <c r="M2" s="188"/>
      <c r="N2" s="188"/>
      <c r="O2" s="188"/>
      <c r="P2" s="188"/>
      <c r="Q2" s="188"/>
      <c r="R2" s="188"/>
      <c r="S2" s="188"/>
      <c r="T2" s="188"/>
      <c r="U2" s="188"/>
      <c r="V2" s="188"/>
      <c r="W2" s="188"/>
      <c r="X2" s="188"/>
      <c r="Y2" s="188"/>
      <c r="Z2" s="188"/>
    </row>
    <row r="3" spans="1:26" ht="15" customHeight="1" x14ac:dyDescent="0.15">
      <c r="B3" s="21"/>
      <c r="C3" s="21"/>
      <c r="D3" s="21"/>
      <c r="E3" s="21"/>
      <c r="F3" s="21"/>
      <c r="G3" s="21"/>
      <c r="H3" s="21"/>
      <c r="I3" s="21"/>
      <c r="J3" s="21"/>
      <c r="K3" s="21"/>
      <c r="L3" s="21"/>
      <c r="M3" s="21"/>
      <c r="N3" s="21"/>
      <c r="O3" s="21"/>
      <c r="P3" s="21"/>
      <c r="Q3" s="21"/>
      <c r="R3" s="21"/>
      <c r="S3" s="21"/>
      <c r="T3" s="21"/>
      <c r="U3" s="21"/>
      <c r="V3" s="21"/>
      <c r="W3" s="21"/>
      <c r="X3" s="21"/>
      <c r="Y3" s="21"/>
      <c r="Z3" s="21"/>
    </row>
    <row r="4" spans="1:26" ht="18" customHeight="1" x14ac:dyDescent="0.15">
      <c r="A4" s="6" t="s">
        <v>70</v>
      </c>
      <c r="B4" s="21"/>
      <c r="C4" s="21"/>
      <c r="D4" s="21"/>
      <c r="E4" s="21"/>
      <c r="F4" s="21"/>
      <c r="G4" s="21"/>
      <c r="H4" s="8" t="s">
        <v>83</v>
      </c>
      <c r="I4" s="21"/>
      <c r="J4" s="21"/>
      <c r="K4" s="21"/>
      <c r="L4" s="21"/>
      <c r="M4" s="21"/>
      <c r="N4" s="21"/>
      <c r="O4" s="162" t="s">
        <v>108</v>
      </c>
      <c r="P4" s="163"/>
      <c r="Q4" s="163"/>
      <c r="R4" s="163"/>
      <c r="S4" s="163"/>
      <c r="T4" s="163"/>
      <c r="U4" s="163"/>
      <c r="V4" s="163"/>
      <c r="W4" s="163"/>
      <c r="X4" s="163"/>
      <c r="Y4" s="163"/>
      <c r="Z4" s="164"/>
    </row>
    <row r="5" spans="1:26" ht="6" customHeight="1" x14ac:dyDescent="0.15">
      <c r="B5" s="21"/>
      <c r="C5" s="21"/>
      <c r="D5" s="21"/>
      <c r="E5" s="21"/>
      <c r="F5" s="21"/>
      <c r="G5" s="21"/>
      <c r="H5" s="21"/>
      <c r="I5" s="21"/>
      <c r="J5" s="21"/>
      <c r="K5" s="21"/>
      <c r="L5" s="21"/>
      <c r="M5" s="21"/>
      <c r="N5" s="21"/>
      <c r="O5" s="9"/>
      <c r="P5" s="21"/>
      <c r="Q5" s="21"/>
      <c r="R5" s="21"/>
      <c r="S5" s="21"/>
      <c r="T5" s="21"/>
      <c r="U5" s="21"/>
      <c r="V5" s="21"/>
      <c r="W5" s="21"/>
      <c r="X5" s="21"/>
      <c r="Y5" s="21"/>
      <c r="Z5" s="21"/>
    </row>
    <row r="6" spans="1:26" ht="18" customHeight="1" x14ac:dyDescent="0.15">
      <c r="B6" s="189" t="s">
        <v>223</v>
      </c>
      <c r="C6" s="190"/>
      <c r="D6" s="190"/>
      <c r="E6" s="190"/>
      <c r="F6" s="190"/>
      <c r="G6" s="190"/>
      <c r="H6" s="190"/>
      <c r="I6" s="190"/>
      <c r="J6" s="190"/>
      <c r="K6" s="190"/>
      <c r="L6" s="190"/>
      <c r="M6" s="190"/>
      <c r="N6" s="190"/>
      <c r="O6" s="190"/>
      <c r="P6" s="190"/>
      <c r="Q6" s="190"/>
      <c r="R6" s="190"/>
      <c r="S6" s="190"/>
      <c r="T6" s="190"/>
      <c r="U6" s="190"/>
      <c r="V6" s="190"/>
      <c r="W6" s="190"/>
      <c r="X6" s="190"/>
      <c r="Y6" s="190"/>
      <c r="Z6" s="191"/>
    </row>
    <row r="7" spans="1:26" ht="18" customHeight="1" x14ac:dyDescent="0.15">
      <c r="B7" s="192"/>
      <c r="C7" s="193"/>
      <c r="D7" s="193"/>
      <c r="E7" s="193"/>
      <c r="F7" s="193"/>
      <c r="G7" s="193"/>
      <c r="H7" s="193"/>
      <c r="I7" s="193"/>
      <c r="J7" s="193"/>
      <c r="K7" s="193"/>
      <c r="L7" s="193"/>
      <c r="M7" s="193"/>
      <c r="N7" s="193"/>
      <c r="O7" s="193"/>
      <c r="P7" s="193"/>
      <c r="Q7" s="193"/>
      <c r="R7" s="193"/>
      <c r="S7" s="193"/>
      <c r="T7" s="193"/>
      <c r="U7" s="193"/>
      <c r="V7" s="193"/>
      <c r="W7" s="193"/>
      <c r="X7" s="193"/>
      <c r="Y7" s="193"/>
      <c r="Z7" s="194"/>
    </row>
    <row r="8" spans="1:26" ht="18" customHeight="1" x14ac:dyDescent="0.15">
      <c r="B8" s="192"/>
      <c r="C8" s="193"/>
      <c r="D8" s="193"/>
      <c r="E8" s="193"/>
      <c r="F8" s="193"/>
      <c r="G8" s="193"/>
      <c r="H8" s="193"/>
      <c r="I8" s="193"/>
      <c r="J8" s="193"/>
      <c r="K8" s="193"/>
      <c r="L8" s="193"/>
      <c r="M8" s="193"/>
      <c r="N8" s="193"/>
      <c r="O8" s="193"/>
      <c r="P8" s="193"/>
      <c r="Q8" s="193"/>
      <c r="R8" s="193"/>
      <c r="S8" s="193"/>
      <c r="T8" s="193"/>
      <c r="U8" s="193"/>
      <c r="V8" s="193"/>
      <c r="W8" s="193"/>
      <c r="X8" s="193"/>
      <c r="Y8" s="193"/>
      <c r="Z8" s="194"/>
    </row>
    <row r="9" spans="1:26" ht="18" customHeight="1" x14ac:dyDescent="0.15">
      <c r="B9" s="192"/>
      <c r="C9" s="193"/>
      <c r="D9" s="193"/>
      <c r="E9" s="193"/>
      <c r="F9" s="193"/>
      <c r="G9" s="193"/>
      <c r="H9" s="193"/>
      <c r="I9" s="193"/>
      <c r="J9" s="193"/>
      <c r="K9" s="193"/>
      <c r="L9" s="193"/>
      <c r="M9" s="193"/>
      <c r="N9" s="193"/>
      <c r="O9" s="193"/>
      <c r="P9" s="193"/>
      <c r="Q9" s="193"/>
      <c r="R9" s="193"/>
      <c r="S9" s="193"/>
      <c r="T9" s="193"/>
      <c r="U9" s="193"/>
      <c r="V9" s="193"/>
      <c r="W9" s="193"/>
      <c r="X9" s="193"/>
      <c r="Y9" s="193"/>
      <c r="Z9" s="194"/>
    </row>
    <row r="10" spans="1:26" ht="18" customHeight="1" x14ac:dyDescent="0.15">
      <c r="B10" s="192"/>
      <c r="C10" s="195"/>
      <c r="D10" s="195"/>
      <c r="E10" s="195"/>
      <c r="F10" s="195"/>
      <c r="G10" s="195"/>
      <c r="H10" s="195"/>
      <c r="I10" s="195"/>
      <c r="J10" s="195"/>
      <c r="K10" s="195"/>
      <c r="L10" s="195"/>
      <c r="M10" s="195"/>
      <c r="N10" s="195"/>
      <c r="O10" s="195"/>
      <c r="P10" s="195"/>
      <c r="Q10" s="195"/>
      <c r="R10" s="195"/>
      <c r="S10" s="195"/>
      <c r="T10" s="195"/>
      <c r="U10" s="195"/>
      <c r="V10" s="195"/>
      <c r="W10" s="195"/>
      <c r="X10" s="195"/>
      <c r="Y10" s="195"/>
      <c r="Z10" s="194"/>
    </row>
    <row r="11" spans="1:26" ht="18" customHeight="1" x14ac:dyDescent="0.15">
      <c r="B11" s="196"/>
      <c r="C11" s="197"/>
      <c r="D11" s="197"/>
      <c r="E11" s="197"/>
      <c r="F11" s="197"/>
      <c r="G11" s="197"/>
      <c r="H11" s="197"/>
      <c r="I11" s="197"/>
      <c r="J11" s="197"/>
      <c r="K11" s="197"/>
      <c r="L11" s="197"/>
      <c r="M11" s="197"/>
      <c r="N11" s="197"/>
      <c r="O11" s="197"/>
      <c r="P11" s="197"/>
      <c r="Q11" s="197"/>
      <c r="R11" s="197"/>
      <c r="S11" s="197"/>
      <c r="T11" s="197"/>
      <c r="U11" s="197"/>
      <c r="V11" s="197"/>
      <c r="W11" s="197"/>
      <c r="X11" s="197"/>
      <c r="Y11" s="197"/>
      <c r="Z11" s="198"/>
    </row>
    <row r="12" spans="1:26" ht="7.5" customHeight="1" x14ac:dyDescent="0.15">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18" customHeight="1" x14ac:dyDescent="0.15">
      <c r="A13" s="199" t="s">
        <v>85</v>
      </c>
      <c r="B13" s="199"/>
      <c r="C13" s="199"/>
      <c r="D13" s="199"/>
      <c r="E13" s="199"/>
      <c r="F13" s="199"/>
      <c r="G13" s="199"/>
      <c r="H13" s="199"/>
      <c r="I13" s="199"/>
      <c r="J13" s="199"/>
      <c r="K13" s="199"/>
      <c r="L13" s="199"/>
      <c r="M13" s="199"/>
      <c r="N13" s="199"/>
      <c r="O13" s="199"/>
      <c r="P13" s="199"/>
      <c r="Q13" s="199"/>
      <c r="R13" s="199"/>
      <c r="S13" s="199"/>
      <c r="T13" s="199"/>
      <c r="U13" s="199"/>
      <c r="V13" s="199"/>
      <c r="W13" s="199"/>
      <c r="X13" s="199"/>
      <c r="Y13" s="199"/>
      <c r="Z13" s="199"/>
    </row>
    <row r="14" spans="1:26" ht="18" customHeight="1" x14ac:dyDescent="0.15">
      <c r="A14" s="199"/>
      <c r="B14" s="199"/>
      <c r="C14" s="199"/>
      <c r="D14" s="199"/>
      <c r="E14" s="199"/>
      <c r="F14" s="199"/>
      <c r="G14" s="199"/>
      <c r="H14" s="199"/>
      <c r="I14" s="199"/>
      <c r="J14" s="199"/>
      <c r="K14" s="199"/>
      <c r="L14" s="199"/>
      <c r="M14" s="199"/>
      <c r="N14" s="199"/>
      <c r="O14" s="199"/>
      <c r="P14" s="199"/>
      <c r="Q14" s="199"/>
      <c r="R14" s="199"/>
      <c r="S14" s="199"/>
      <c r="T14" s="199"/>
      <c r="U14" s="199"/>
      <c r="V14" s="199"/>
      <c r="W14" s="199"/>
      <c r="X14" s="199"/>
      <c r="Y14" s="199"/>
      <c r="Z14" s="199"/>
    </row>
    <row r="15" spans="1:26" ht="18" customHeight="1" x14ac:dyDescent="0.15">
      <c r="A15" s="7"/>
      <c r="B15" s="162" t="s">
        <v>71</v>
      </c>
      <c r="C15" s="163"/>
      <c r="D15" s="163"/>
      <c r="E15" s="163"/>
      <c r="F15" s="164"/>
      <c r="G15" s="22" t="s">
        <v>101</v>
      </c>
      <c r="H15" s="81" t="s">
        <v>100</v>
      </c>
      <c r="I15" s="163" t="s">
        <v>72</v>
      </c>
      <c r="J15" s="163"/>
      <c r="K15" s="163"/>
      <c r="L15" s="60" t="s">
        <v>75</v>
      </c>
      <c r="M15" s="60" t="s">
        <v>78</v>
      </c>
      <c r="N15" s="162" t="s">
        <v>71</v>
      </c>
      <c r="O15" s="163"/>
      <c r="P15" s="163"/>
      <c r="Q15" s="163"/>
      <c r="R15" s="163"/>
      <c r="S15" s="164"/>
      <c r="T15" s="22" t="s">
        <v>101</v>
      </c>
      <c r="U15" s="81" t="s">
        <v>100</v>
      </c>
      <c r="V15" s="163" t="s">
        <v>72</v>
      </c>
      <c r="W15" s="163"/>
      <c r="X15" s="163"/>
      <c r="Y15" s="60" t="s">
        <v>75</v>
      </c>
      <c r="Z15" s="60" t="s">
        <v>78</v>
      </c>
    </row>
    <row r="16" spans="1:26" ht="18" customHeight="1" x14ac:dyDescent="0.15">
      <c r="A16" s="7"/>
      <c r="B16" s="169" t="s">
        <v>118</v>
      </c>
      <c r="C16" s="170"/>
      <c r="D16" s="170"/>
      <c r="E16" s="170"/>
      <c r="F16" s="171"/>
      <c r="G16" s="82">
        <v>2</v>
      </c>
      <c r="H16" s="82" t="s">
        <v>112</v>
      </c>
      <c r="I16" s="172" t="s">
        <v>113</v>
      </c>
      <c r="J16" s="173"/>
      <c r="K16" s="174"/>
      <c r="L16" s="82" t="s">
        <v>112</v>
      </c>
      <c r="M16" s="82" t="s">
        <v>112</v>
      </c>
      <c r="N16" s="175"/>
      <c r="O16" s="176"/>
      <c r="P16" s="176"/>
      <c r="Q16" s="176"/>
      <c r="R16" s="176"/>
      <c r="S16" s="177"/>
      <c r="T16" s="82"/>
      <c r="U16" s="82"/>
      <c r="V16" s="172"/>
      <c r="W16" s="173"/>
      <c r="X16" s="174"/>
      <c r="Y16" s="82"/>
      <c r="Z16" s="82"/>
    </row>
    <row r="17" spans="1:26" ht="18" customHeight="1" x14ac:dyDescent="0.15">
      <c r="A17" s="7"/>
      <c r="B17" s="178"/>
      <c r="C17" s="179"/>
      <c r="D17" s="179"/>
      <c r="E17" s="179"/>
      <c r="F17" s="180"/>
      <c r="G17" s="83"/>
      <c r="H17" s="83"/>
      <c r="I17" s="181"/>
      <c r="J17" s="182"/>
      <c r="K17" s="183"/>
      <c r="L17" s="83"/>
      <c r="M17" s="83"/>
      <c r="N17" s="184"/>
      <c r="O17" s="185"/>
      <c r="P17" s="185"/>
      <c r="Q17" s="185"/>
      <c r="R17" s="185"/>
      <c r="S17" s="186"/>
      <c r="T17" s="83"/>
      <c r="U17" s="83"/>
      <c r="V17" s="181"/>
      <c r="W17" s="182"/>
      <c r="X17" s="183"/>
      <c r="Y17" s="83"/>
      <c r="Z17" s="83"/>
    </row>
    <row r="18" spans="1:26" ht="18" customHeight="1" x14ac:dyDescent="0.15">
      <c r="A18" s="7"/>
      <c r="B18" s="178"/>
      <c r="C18" s="179"/>
      <c r="D18" s="179"/>
      <c r="E18" s="179"/>
      <c r="F18" s="180"/>
      <c r="G18" s="83"/>
      <c r="H18" s="83"/>
      <c r="I18" s="181"/>
      <c r="J18" s="182"/>
      <c r="K18" s="183"/>
      <c r="L18" s="83"/>
      <c r="M18" s="83"/>
      <c r="N18" s="184"/>
      <c r="O18" s="185"/>
      <c r="P18" s="185"/>
      <c r="Q18" s="185"/>
      <c r="R18" s="185"/>
      <c r="S18" s="186"/>
      <c r="T18" s="83"/>
      <c r="U18" s="83"/>
      <c r="V18" s="181"/>
      <c r="W18" s="182"/>
      <c r="X18" s="183"/>
      <c r="Y18" s="83"/>
      <c r="Z18" s="83"/>
    </row>
    <row r="19" spans="1:26" ht="18" customHeight="1" x14ac:dyDescent="0.15">
      <c r="A19" s="7"/>
      <c r="B19" s="178"/>
      <c r="C19" s="179"/>
      <c r="D19" s="179"/>
      <c r="E19" s="179"/>
      <c r="F19" s="180"/>
      <c r="G19" s="83"/>
      <c r="H19" s="83"/>
      <c r="I19" s="181"/>
      <c r="J19" s="182"/>
      <c r="K19" s="183"/>
      <c r="L19" s="83"/>
      <c r="M19" s="83"/>
      <c r="N19" s="184"/>
      <c r="O19" s="185"/>
      <c r="P19" s="185"/>
      <c r="Q19" s="185"/>
      <c r="R19" s="185"/>
      <c r="S19" s="186"/>
      <c r="T19" s="83"/>
      <c r="U19" s="83"/>
      <c r="V19" s="181"/>
      <c r="W19" s="182"/>
      <c r="X19" s="183"/>
      <c r="Y19" s="83"/>
      <c r="Z19" s="83"/>
    </row>
    <row r="20" spans="1:26" ht="18" customHeight="1" x14ac:dyDescent="0.15">
      <c r="A20" s="7"/>
      <c r="B20" s="178"/>
      <c r="C20" s="179"/>
      <c r="D20" s="179"/>
      <c r="E20" s="179"/>
      <c r="F20" s="180"/>
      <c r="G20" s="83"/>
      <c r="H20" s="83"/>
      <c r="I20" s="181"/>
      <c r="J20" s="182"/>
      <c r="K20" s="183"/>
      <c r="L20" s="83"/>
      <c r="M20" s="83"/>
      <c r="N20" s="184"/>
      <c r="O20" s="185"/>
      <c r="P20" s="185"/>
      <c r="Q20" s="185"/>
      <c r="R20" s="185"/>
      <c r="S20" s="186"/>
      <c r="T20" s="83"/>
      <c r="U20" s="83"/>
      <c r="V20" s="181"/>
      <c r="W20" s="182"/>
      <c r="X20" s="183"/>
      <c r="Y20" s="83"/>
      <c r="Z20" s="83"/>
    </row>
    <row r="21" spans="1:26" ht="18" customHeight="1" x14ac:dyDescent="0.15">
      <c r="A21" s="21"/>
      <c r="B21" s="178"/>
      <c r="C21" s="179"/>
      <c r="D21" s="179"/>
      <c r="E21" s="179"/>
      <c r="F21" s="180"/>
      <c r="G21" s="83"/>
      <c r="H21" s="83"/>
      <c r="I21" s="181"/>
      <c r="J21" s="182"/>
      <c r="K21" s="183"/>
      <c r="L21" s="83"/>
      <c r="M21" s="83"/>
      <c r="N21" s="184"/>
      <c r="O21" s="185"/>
      <c r="P21" s="185"/>
      <c r="Q21" s="185"/>
      <c r="R21" s="185"/>
      <c r="S21" s="186"/>
      <c r="T21" s="83"/>
      <c r="U21" s="83"/>
      <c r="V21" s="181"/>
      <c r="W21" s="182"/>
      <c r="X21" s="183"/>
      <c r="Y21" s="83"/>
      <c r="Z21" s="83"/>
    </row>
    <row r="22" spans="1:26" ht="18" customHeight="1" x14ac:dyDescent="0.15">
      <c r="A22" s="21"/>
      <c r="B22" s="200"/>
      <c r="C22" s="201"/>
      <c r="D22" s="201"/>
      <c r="E22" s="201"/>
      <c r="F22" s="202"/>
      <c r="G22" s="84"/>
      <c r="H22" s="84"/>
      <c r="I22" s="203"/>
      <c r="J22" s="204"/>
      <c r="K22" s="205"/>
      <c r="L22" s="90"/>
      <c r="M22" s="90"/>
      <c r="N22" s="206"/>
      <c r="O22" s="207"/>
      <c r="P22" s="207"/>
      <c r="Q22" s="207"/>
      <c r="R22" s="207"/>
      <c r="S22" s="208"/>
      <c r="T22" s="84"/>
      <c r="U22" s="84"/>
      <c r="V22" s="203"/>
      <c r="W22" s="204"/>
      <c r="X22" s="205"/>
      <c r="Y22" s="90"/>
      <c r="Z22" s="90"/>
    </row>
    <row r="23" spans="1:26" ht="7.5" customHeight="1" x14ac:dyDescent="0.15">
      <c r="A23" s="21"/>
      <c r="B23" s="61"/>
      <c r="C23" s="61"/>
      <c r="D23" s="21"/>
      <c r="E23" s="21"/>
      <c r="F23" s="21"/>
      <c r="G23" s="21"/>
      <c r="H23" s="21"/>
      <c r="I23" s="21"/>
      <c r="J23" s="21"/>
      <c r="K23" s="21"/>
      <c r="L23" s="61"/>
      <c r="M23" s="61"/>
      <c r="N23" s="61"/>
      <c r="O23" s="61"/>
      <c r="P23" s="61"/>
      <c r="Q23" s="61"/>
      <c r="R23" s="61"/>
      <c r="S23" s="61"/>
      <c r="T23" s="61"/>
      <c r="U23" s="61"/>
      <c r="V23" s="61"/>
      <c r="W23" s="61"/>
      <c r="X23" s="61"/>
      <c r="Y23" s="61"/>
      <c r="Z23" s="21"/>
    </row>
    <row r="24" spans="1:26" ht="18" customHeight="1" x14ac:dyDescent="0.15">
      <c r="A24" s="199" t="s">
        <v>86</v>
      </c>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row>
    <row r="25" spans="1:26" ht="18" customHeight="1" x14ac:dyDescent="0.15">
      <c r="A25" s="19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row>
    <row r="26" spans="1:26" ht="18" customHeight="1" x14ac:dyDescent="0.15">
      <c r="A26" s="7"/>
      <c r="B26" s="162" t="s">
        <v>71</v>
      </c>
      <c r="C26" s="163"/>
      <c r="D26" s="163"/>
      <c r="E26" s="163"/>
      <c r="F26" s="164"/>
      <c r="G26" s="22" t="s">
        <v>101</v>
      </c>
      <c r="H26" s="81" t="s">
        <v>100</v>
      </c>
      <c r="I26" s="163" t="s">
        <v>72</v>
      </c>
      <c r="J26" s="163"/>
      <c r="K26" s="163"/>
      <c r="L26" s="60" t="s">
        <v>87</v>
      </c>
      <c r="M26" s="60" t="s">
        <v>88</v>
      </c>
      <c r="N26" s="162" t="s">
        <v>71</v>
      </c>
      <c r="O26" s="163"/>
      <c r="P26" s="163"/>
      <c r="Q26" s="163"/>
      <c r="R26" s="163"/>
      <c r="S26" s="164"/>
      <c r="T26" s="22" t="s">
        <v>101</v>
      </c>
      <c r="U26" s="81" t="s">
        <v>100</v>
      </c>
      <c r="V26" s="163" t="s">
        <v>72</v>
      </c>
      <c r="W26" s="163"/>
      <c r="X26" s="163"/>
      <c r="Y26" s="60" t="s">
        <v>87</v>
      </c>
      <c r="Z26" s="60" t="s">
        <v>88</v>
      </c>
    </row>
    <row r="27" spans="1:26" ht="18" customHeight="1" x14ac:dyDescent="0.15">
      <c r="A27" s="7"/>
      <c r="B27" s="169" t="s">
        <v>119</v>
      </c>
      <c r="C27" s="170"/>
      <c r="D27" s="170"/>
      <c r="E27" s="170"/>
      <c r="F27" s="171"/>
      <c r="G27" s="82">
        <v>2</v>
      </c>
      <c r="H27" s="82" t="s">
        <v>112</v>
      </c>
      <c r="I27" s="172" t="s">
        <v>113</v>
      </c>
      <c r="J27" s="173"/>
      <c r="K27" s="174"/>
      <c r="L27" s="82" t="s">
        <v>112</v>
      </c>
      <c r="M27" s="82" t="s">
        <v>112</v>
      </c>
      <c r="N27" s="175"/>
      <c r="O27" s="176"/>
      <c r="P27" s="176"/>
      <c r="Q27" s="176"/>
      <c r="R27" s="176"/>
      <c r="S27" s="177"/>
      <c r="T27" s="82"/>
      <c r="U27" s="82"/>
      <c r="V27" s="172"/>
      <c r="W27" s="173"/>
      <c r="X27" s="174"/>
      <c r="Y27" s="82"/>
      <c r="Z27" s="82"/>
    </row>
    <row r="28" spans="1:26" ht="18" customHeight="1" x14ac:dyDescent="0.15">
      <c r="A28" s="7"/>
      <c r="B28" s="178"/>
      <c r="C28" s="179"/>
      <c r="D28" s="179"/>
      <c r="E28" s="179"/>
      <c r="F28" s="180"/>
      <c r="G28" s="83"/>
      <c r="H28" s="83"/>
      <c r="I28" s="181"/>
      <c r="J28" s="182"/>
      <c r="K28" s="183"/>
      <c r="L28" s="83"/>
      <c r="M28" s="83"/>
      <c r="N28" s="184"/>
      <c r="O28" s="185"/>
      <c r="P28" s="185"/>
      <c r="Q28" s="185"/>
      <c r="R28" s="185"/>
      <c r="S28" s="186"/>
      <c r="T28" s="83"/>
      <c r="U28" s="83"/>
      <c r="V28" s="181"/>
      <c r="W28" s="182"/>
      <c r="X28" s="183"/>
      <c r="Y28" s="83"/>
      <c r="Z28" s="83"/>
    </row>
    <row r="29" spans="1:26" ht="18" customHeight="1" x14ac:dyDescent="0.15">
      <c r="A29" s="7"/>
      <c r="B29" s="178"/>
      <c r="C29" s="179"/>
      <c r="D29" s="179"/>
      <c r="E29" s="179"/>
      <c r="F29" s="180"/>
      <c r="G29" s="83"/>
      <c r="H29" s="83"/>
      <c r="I29" s="181"/>
      <c r="J29" s="182"/>
      <c r="K29" s="183"/>
      <c r="L29" s="83"/>
      <c r="M29" s="83"/>
      <c r="N29" s="184"/>
      <c r="O29" s="185"/>
      <c r="P29" s="185"/>
      <c r="Q29" s="185"/>
      <c r="R29" s="185"/>
      <c r="S29" s="186"/>
      <c r="T29" s="83"/>
      <c r="U29" s="83"/>
      <c r="V29" s="181"/>
      <c r="W29" s="182"/>
      <c r="X29" s="183"/>
      <c r="Y29" s="83"/>
      <c r="Z29" s="83"/>
    </row>
    <row r="30" spans="1:26" ht="18" customHeight="1" x14ac:dyDescent="0.15">
      <c r="A30" s="7"/>
      <c r="B30" s="178"/>
      <c r="C30" s="179"/>
      <c r="D30" s="179"/>
      <c r="E30" s="179"/>
      <c r="F30" s="180"/>
      <c r="G30" s="83"/>
      <c r="H30" s="83"/>
      <c r="I30" s="181"/>
      <c r="J30" s="182"/>
      <c r="K30" s="183"/>
      <c r="L30" s="83"/>
      <c r="M30" s="83"/>
      <c r="N30" s="184"/>
      <c r="O30" s="185"/>
      <c r="P30" s="185"/>
      <c r="Q30" s="185"/>
      <c r="R30" s="185"/>
      <c r="S30" s="186"/>
      <c r="T30" s="83"/>
      <c r="U30" s="83"/>
      <c r="V30" s="181"/>
      <c r="W30" s="182"/>
      <c r="X30" s="183"/>
      <c r="Y30" s="83"/>
      <c r="Z30" s="83"/>
    </row>
    <row r="31" spans="1:26" ht="18" customHeight="1" x14ac:dyDescent="0.15">
      <c r="A31" s="7"/>
      <c r="B31" s="178"/>
      <c r="C31" s="179"/>
      <c r="D31" s="179"/>
      <c r="E31" s="179"/>
      <c r="F31" s="180"/>
      <c r="G31" s="83"/>
      <c r="H31" s="83"/>
      <c r="I31" s="181"/>
      <c r="J31" s="182"/>
      <c r="K31" s="183"/>
      <c r="L31" s="83"/>
      <c r="M31" s="83"/>
      <c r="N31" s="184"/>
      <c r="O31" s="185"/>
      <c r="P31" s="185"/>
      <c r="Q31" s="185"/>
      <c r="R31" s="185"/>
      <c r="S31" s="186"/>
      <c r="T31" s="83"/>
      <c r="U31" s="83"/>
      <c r="V31" s="181"/>
      <c r="W31" s="182"/>
      <c r="X31" s="183"/>
      <c r="Y31" s="83"/>
      <c r="Z31" s="83"/>
    </row>
    <row r="32" spans="1:26" ht="18" customHeight="1" x14ac:dyDescent="0.15">
      <c r="A32" s="7"/>
      <c r="B32" s="178"/>
      <c r="C32" s="179"/>
      <c r="D32" s="179"/>
      <c r="E32" s="179"/>
      <c r="F32" s="180"/>
      <c r="G32" s="83"/>
      <c r="H32" s="83"/>
      <c r="I32" s="181"/>
      <c r="J32" s="182"/>
      <c r="K32" s="183"/>
      <c r="L32" s="83"/>
      <c r="M32" s="83"/>
      <c r="N32" s="184"/>
      <c r="O32" s="185"/>
      <c r="P32" s="185"/>
      <c r="Q32" s="185"/>
      <c r="R32" s="185"/>
      <c r="S32" s="186"/>
      <c r="T32" s="83"/>
      <c r="U32" s="83"/>
      <c r="V32" s="181"/>
      <c r="W32" s="182"/>
      <c r="X32" s="183"/>
      <c r="Y32" s="83"/>
      <c r="Z32" s="83"/>
    </row>
    <row r="33" spans="1:26" ht="18" customHeight="1" x14ac:dyDescent="0.15">
      <c r="A33" s="7"/>
      <c r="B33" s="200"/>
      <c r="C33" s="201"/>
      <c r="D33" s="201"/>
      <c r="E33" s="201"/>
      <c r="F33" s="202"/>
      <c r="G33" s="84"/>
      <c r="H33" s="84"/>
      <c r="I33" s="203"/>
      <c r="J33" s="204"/>
      <c r="K33" s="205"/>
      <c r="L33" s="90"/>
      <c r="M33" s="90"/>
      <c r="N33" s="206"/>
      <c r="O33" s="207"/>
      <c r="P33" s="207"/>
      <c r="Q33" s="207"/>
      <c r="R33" s="207"/>
      <c r="S33" s="208"/>
      <c r="T33" s="84"/>
      <c r="U33" s="84"/>
      <c r="V33" s="203"/>
      <c r="W33" s="204"/>
      <c r="X33" s="205"/>
      <c r="Y33" s="90"/>
      <c r="Z33" s="90"/>
    </row>
    <row r="34" spans="1:26" ht="7.5" customHeight="1" x14ac:dyDescent="0.15">
      <c r="A34" s="21"/>
      <c r="B34" s="61"/>
      <c r="C34" s="61"/>
      <c r="D34" s="21"/>
      <c r="E34" s="21"/>
      <c r="F34" s="21"/>
      <c r="G34" s="21"/>
      <c r="H34" s="21"/>
      <c r="I34" s="21"/>
      <c r="J34" s="21"/>
      <c r="K34" s="21"/>
      <c r="L34" s="61"/>
      <c r="M34" s="61"/>
      <c r="N34" s="61"/>
      <c r="O34" s="61"/>
      <c r="P34" s="61"/>
      <c r="Q34" s="61"/>
      <c r="R34" s="61"/>
      <c r="S34" s="61"/>
      <c r="T34" s="61"/>
      <c r="U34" s="61"/>
      <c r="V34" s="61"/>
      <c r="W34" s="61"/>
      <c r="X34" s="61"/>
      <c r="Y34" s="61"/>
      <c r="Z34" s="21"/>
    </row>
    <row r="35" spans="1:26" ht="18" customHeight="1" x14ac:dyDescent="0.15">
      <c r="A35" s="199" t="s">
        <v>89</v>
      </c>
      <c r="B35" s="199"/>
      <c r="C35" s="199"/>
      <c r="D35" s="199"/>
      <c r="E35" s="199"/>
      <c r="F35" s="199"/>
      <c r="G35" s="199"/>
      <c r="H35" s="199"/>
      <c r="I35" s="199"/>
      <c r="J35" s="199"/>
      <c r="K35" s="199"/>
      <c r="L35" s="199"/>
      <c r="M35" s="199"/>
      <c r="N35" s="199"/>
      <c r="O35" s="199"/>
      <c r="P35" s="199"/>
      <c r="Q35" s="199"/>
      <c r="R35" s="199"/>
      <c r="S35" s="199"/>
      <c r="T35" s="199"/>
      <c r="U35" s="199"/>
      <c r="V35" s="199"/>
      <c r="W35" s="199"/>
      <c r="X35" s="199"/>
      <c r="Y35" s="199"/>
      <c r="Z35" s="199"/>
    </row>
    <row r="36" spans="1:26" ht="18" customHeight="1" x14ac:dyDescent="0.15">
      <c r="A36" s="199"/>
      <c r="B36" s="199"/>
      <c r="C36" s="199"/>
      <c r="D36" s="199"/>
      <c r="E36" s="199"/>
      <c r="F36" s="199"/>
      <c r="G36" s="199"/>
      <c r="H36" s="199"/>
      <c r="I36" s="199"/>
      <c r="J36" s="199"/>
      <c r="K36" s="199"/>
      <c r="L36" s="199"/>
      <c r="M36" s="199"/>
      <c r="N36" s="199"/>
      <c r="O36" s="199"/>
      <c r="P36" s="199"/>
      <c r="Q36" s="199"/>
      <c r="R36" s="199"/>
      <c r="S36" s="199"/>
      <c r="T36" s="199"/>
      <c r="U36" s="199"/>
      <c r="V36" s="199"/>
      <c r="W36" s="199"/>
      <c r="X36" s="199"/>
      <c r="Y36" s="199"/>
      <c r="Z36" s="199"/>
    </row>
    <row r="37" spans="1:26" ht="18" customHeight="1" x14ac:dyDescent="0.15">
      <c r="A37" s="7"/>
      <c r="B37" s="162" t="s">
        <v>71</v>
      </c>
      <c r="C37" s="163"/>
      <c r="D37" s="163"/>
      <c r="E37" s="163"/>
      <c r="F37" s="164"/>
      <c r="G37" s="22" t="s">
        <v>101</v>
      </c>
      <c r="H37" s="81" t="s">
        <v>100</v>
      </c>
      <c r="I37" s="162" t="s">
        <v>72</v>
      </c>
      <c r="J37" s="163"/>
      <c r="K37" s="164"/>
      <c r="L37" s="60" t="s">
        <v>90</v>
      </c>
      <c r="M37" s="60" t="s">
        <v>91</v>
      </c>
      <c r="N37" s="162" t="s">
        <v>71</v>
      </c>
      <c r="O37" s="163"/>
      <c r="P37" s="163"/>
      <c r="Q37" s="163"/>
      <c r="R37" s="163"/>
      <c r="S37" s="164"/>
      <c r="T37" s="22" t="s">
        <v>101</v>
      </c>
      <c r="U37" s="81" t="s">
        <v>100</v>
      </c>
      <c r="V37" s="162" t="s">
        <v>72</v>
      </c>
      <c r="W37" s="163"/>
      <c r="X37" s="164"/>
      <c r="Y37" s="60" t="s">
        <v>90</v>
      </c>
      <c r="Z37" s="60" t="s">
        <v>91</v>
      </c>
    </row>
    <row r="38" spans="1:26" ht="18" customHeight="1" x14ac:dyDescent="0.15">
      <c r="A38" s="21"/>
      <c r="B38" s="169" t="s">
        <v>119</v>
      </c>
      <c r="C38" s="170"/>
      <c r="D38" s="170"/>
      <c r="E38" s="170"/>
      <c r="F38" s="171"/>
      <c r="G38" s="82">
        <v>2</v>
      </c>
      <c r="H38" s="82" t="s">
        <v>112</v>
      </c>
      <c r="I38" s="172" t="s">
        <v>113</v>
      </c>
      <c r="J38" s="173"/>
      <c r="K38" s="174"/>
      <c r="L38" s="82" t="s">
        <v>112</v>
      </c>
      <c r="M38" s="82" t="s">
        <v>112</v>
      </c>
      <c r="N38" s="175"/>
      <c r="O38" s="176"/>
      <c r="P38" s="176"/>
      <c r="Q38" s="176"/>
      <c r="R38" s="176"/>
      <c r="S38" s="177"/>
      <c r="T38" s="82"/>
      <c r="U38" s="82"/>
      <c r="V38" s="172"/>
      <c r="W38" s="173"/>
      <c r="X38" s="174"/>
      <c r="Y38" s="82"/>
      <c r="Z38" s="82"/>
    </row>
    <row r="39" spans="1:26" ht="18" customHeight="1" x14ac:dyDescent="0.15">
      <c r="A39" s="21"/>
      <c r="B39" s="178"/>
      <c r="C39" s="179"/>
      <c r="D39" s="179"/>
      <c r="E39" s="179"/>
      <c r="F39" s="180"/>
      <c r="G39" s="83"/>
      <c r="H39" s="83"/>
      <c r="I39" s="181"/>
      <c r="J39" s="182"/>
      <c r="K39" s="183"/>
      <c r="L39" s="83"/>
      <c r="M39" s="83"/>
      <c r="N39" s="184"/>
      <c r="O39" s="185"/>
      <c r="P39" s="185"/>
      <c r="Q39" s="185"/>
      <c r="R39" s="185"/>
      <c r="S39" s="186"/>
      <c r="T39" s="83"/>
      <c r="U39" s="83"/>
      <c r="V39" s="181"/>
      <c r="W39" s="182"/>
      <c r="X39" s="183"/>
      <c r="Y39" s="83"/>
      <c r="Z39" s="83"/>
    </row>
    <row r="40" spans="1:26" ht="18" customHeight="1" x14ac:dyDescent="0.15">
      <c r="A40" s="21"/>
      <c r="B40" s="178"/>
      <c r="C40" s="179"/>
      <c r="D40" s="179"/>
      <c r="E40" s="179"/>
      <c r="F40" s="180"/>
      <c r="G40" s="83"/>
      <c r="H40" s="83"/>
      <c r="I40" s="181"/>
      <c r="J40" s="182"/>
      <c r="K40" s="183"/>
      <c r="L40" s="83"/>
      <c r="M40" s="83"/>
      <c r="N40" s="184"/>
      <c r="O40" s="185"/>
      <c r="P40" s="185"/>
      <c r="Q40" s="185"/>
      <c r="R40" s="185"/>
      <c r="S40" s="186"/>
      <c r="T40" s="83"/>
      <c r="U40" s="83"/>
      <c r="V40" s="181"/>
      <c r="W40" s="182"/>
      <c r="X40" s="183"/>
      <c r="Y40" s="83"/>
      <c r="Z40" s="83"/>
    </row>
    <row r="41" spans="1:26" ht="18" customHeight="1" x14ac:dyDescent="0.15">
      <c r="A41" s="21"/>
      <c r="B41" s="178"/>
      <c r="C41" s="179"/>
      <c r="D41" s="179"/>
      <c r="E41" s="179"/>
      <c r="F41" s="180"/>
      <c r="G41" s="83"/>
      <c r="H41" s="83"/>
      <c r="I41" s="181"/>
      <c r="J41" s="182"/>
      <c r="K41" s="183"/>
      <c r="L41" s="83"/>
      <c r="M41" s="83"/>
      <c r="N41" s="184"/>
      <c r="O41" s="185"/>
      <c r="P41" s="185"/>
      <c r="Q41" s="185"/>
      <c r="R41" s="185"/>
      <c r="S41" s="186"/>
      <c r="T41" s="83"/>
      <c r="U41" s="83"/>
      <c r="V41" s="181"/>
      <c r="W41" s="182"/>
      <c r="X41" s="183"/>
      <c r="Y41" s="83"/>
      <c r="Z41" s="83"/>
    </row>
    <row r="42" spans="1:26" ht="18" customHeight="1" x14ac:dyDescent="0.15">
      <c r="A42" s="21"/>
      <c r="B42" s="178"/>
      <c r="C42" s="179"/>
      <c r="D42" s="179"/>
      <c r="E42" s="179"/>
      <c r="F42" s="180"/>
      <c r="G42" s="83"/>
      <c r="H42" s="83"/>
      <c r="I42" s="181"/>
      <c r="J42" s="182"/>
      <c r="K42" s="183"/>
      <c r="L42" s="83"/>
      <c r="M42" s="83"/>
      <c r="N42" s="184"/>
      <c r="O42" s="185"/>
      <c r="P42" s="185"/>
      <c r="Q42" s="185"/>
      <c r="R42" s="185"/>
      <c r="S42" s="186"/>
      <c r="T42" s="83"/>
      <c r="U42" s="83"/>
      <c r="V42" s="181"/>
      <c r="W42" s="182"/>
      <c r="X42" s="183"/>
      <c r="Y42" s="83"/>
      <c r="Z42" s="83"/>
    </row>
    <row r="43" spans="1:26" ht="18" customHeight="1" x14ac:dyDescent="0.15">
      <c r="A43" s="21"/>
      <c r="B43" s="178"/>
      <c r="C43" s="179"/>
      <c r="D43" s="179"/>
      <c r="E43" s="179"/>
      <c r="F43" s="180"/>
      <c r="G43" s="83"/>
      <c r="H43" s="83"/>
      <c r="I43" s="181"/>
      <c r="J43" s="182"/>
      <c r="K43" s="183"/>
      <c r="L43" s="83"/>
      <c r="M43" s="83"/>
      <c r="N43" s="184"/>
      <c r="O43" s="185"/>
      <c r="P43" s="185"/>
      <c r="Q43" s="185"/>
      <c r="R43" s="185"/>
      <c r="S43" s="186"/>
      <c r="T43" s="83"/>
      <c r="U43" s="83"/>
      <c r="V43" s="181"/>
      <c r="W43" s="182"/>
      <c r="X43" s="183"/>
      <c r="Y43" s="83"/>
      <c r="Z43" s="83"/>
    </row>
    <row r="44" spans="1:26" ht="18" customHeight="1" x14ac:dyDescent="0.15">
      <c r="A44" s="21"/>
      <c r="B44" s="200"/>
      <c r="C44" s="201"/>
      <c r="D44" s="201"/>
      <c r="E44" s="201"/>
      <c r="F44" s="202"/>
      <c r="G44" s="84"/>
      <c r="H44" s="84"/>
      <c r="I44" s="203"/>
      <c r="J44" s="204"/>
      <c r="K44" s="205"/>
      <c r="L44" s="90"/>
      <c r="M44" s="90"/>
      <c r="N44" s="206"/>
      <c r="O44" s="207"/>
      <c r="P44" s="207"/>
      <c r="Q44" s="207"/>
      <c r="R44" s="207"/>
      <c r="S44" s="208"/>
      <c r="T44" s="84"/>
      <c r="U44" s="84"/>
      <c r="V44" s="203"/>
      <c r="W44" s="204"/>
      <c r="X44" s="205"/>
      <c r="Y44" s="90"/>
      <c r="Z44" s="90"/>
    </row>
    <row r="45" spans="1:26" ht="7.5" customHeight="1" x14ac:dyDescent="0.15">
      <c r="B45" s="62"/>
      <c r="C45" s="62"/>
      <c r="D45" s="62"/>
      <c r="E45" s="62"/>
      <c r="F45" s="62"/>
      <c r="G45" s="62"/>
      <c r="H45" s="62"/>
      <c r="I45" s="62"/>
      <c r="J45" s="62"/>
      <c r="K45" s="62"/>
      <c r="L45" s="62"/>
      <c r="M45" s="62"/>
      <c r="N45" s="62"/>
      <c r="O45" s="62"/>
      <c r="P45" s="62"/>
      <c r="Q45" s="62"/>
      <c r="R45" s="62"/>
      <c r="S45" s="62"/>
      <c r="T45" s="62"/>
      <c r="U45" s="62"/>
      <c r="V45" s="62"/>
      <c r="W45" s="62"/>
      <c r="X45" s="62"/>
      <c r="Y45" s="62"/>
    </row>
    <row r="46" spans="1:26" ht="18" customHeight="1" x14ac:dyDescent="0.15">
      <c r="A46" s="199" t="s">
        <v>92</v>
      </c>
      <c r="B46" s="199"/>
      <c r="C46" s="199"/>
      <c r="D46" s="199"/>
      <c r="E46" s="199"/>
      <c r="F46" s="199"/>
      <c r="G46" s="199"/>
      <c r="H46" s="199"/>
      <c r="I46" s="199"/>
      <c r="J46" s="199"/>
      <c r="K46" s="199"/>
      <c r="L46" s="199"/>
      <c r="M46" s="199"/>
      <c r="N46" s="199"/>
      <c r="O46" s="199"/>
      <c r="P46" s="199"/>
      <c r="Q46" s="199"/>
      <c r="R46" s="199"/>
      <c r="S46" s="199"/>
      <c r="T46" s="199"/>
      <c r="U46" s="199"/>
      <c r="V46" s="199"/>
      <c r="W46" s="199"/>
      <c r="X46" s="199"/>
      <c r="Y46" s="199"/>
      <c r="Z46" s="199"/>
    </row>
    <row r="47" spans="1:26" ht="18" customHeight="1" x14ac:dyDescent="0.15">
      <c r="A47" s="199"/>
      <c r="B47" s="199"/>
      <c r="C47" s="199"/>
      <c r="D47" s="199"/>
      <c r="E47" s="199"/>
      <c r="F47" s="199"/>
      <c r="G47" s="199"/>
      <c r="H47" s="199"/>
      <c r="I47" s="199"/>
      <c r="J47" s="199"/>
      <c r="K47" s="199"/>
      <c r="L47" s="199"/>
      <c r="M47" s="199"/>
      <c r="N47" s="199"/>
      <c r="O47" s="199"/>
      <c r="P47" s="199"/>
      <c r="Q47" s="199"/>
      <c r="R47" s="199"/>
      <c r="S47" s="199"/>
      <c r="T47" s="199"/>
      <c r="U47" s="199"/>
      <c r="V47" s="199"/>
      <c r="W47" s="199"/>
      <c r="X47" s="199"/>
      <c r="Y47" s="199"/>
      <c r="Z47" s="199"/>
    </row>
    <row r="48" spans="1:26" ht="18" customHeight="1" x14ac:dyDescent="0.15">
      <c r="A48" s="7"/>
      <c r="B48" s="162" t="s">
        <v>71</v>
      </c>
      <c r="C48" s="163"/>
      <c r="D48" s="163"/>
      <c r="E48" s="163"/>
      <c r="F48" s="164"/>
      <c r="G48" s="22" t="s">
        <v>101</v>
      </c>
      <c r="H48" s="81" t="s">
        <v>100</v>
      </c>
      <c r="I48" s="162" t="s">
        <v>72</v>
      </c>
      <c r="J48" s="163"/>
      <c r="K48" s="164"/>
      <c r="L48" s="60" t="s">
        <v>77</v>
      </c>
      <c r="M48" s="60" t="s">
        <v>79</v>
      </c>
      <c r="N48" s="162" t="s">
        <v>71</v>
      </c>
      <c r="O48" s="163"/>
      <c r="P48" s="163"/>
      <c r="Q48" s="163"/>
      <c r="R48" s="163"/>
      <c r="S48" s="164"/>
      <c r="T48" s="22" t="s">
        <v>101</v>
      </c>
      <c r="U48" s="81" t="s">
        <v>100</v>
      </c>
      <c r="V48" s="162" t="s">
        <v>72</v>
      </c>
      <c r="W48" s="163"/>
      <c r="X48" s="164"/>
      <c r="Y48" s="60" t="s">
        <v>77</v>
      </c>
      <c r="Z48" s="60" t="s">
        <v>79</v>
      </c>
    </row>
    <row r="49" spans="1:26" ht="18" customHeight="1" x14ac:dyDescent="0.15">
      <c r="A49" s="21"/>
      <c r="B49" s="169" t="s">
        <v>119</v>
      </c>
      <c r="C49" s="170"/>
      <c r="D49" s="170"/>
      <c r="E49" s="170"/>
      <c r="F49" s="171"/>
      <c r="G49" s="82">
        <v>2</v>
      </c>
      <c r="H49" s="82" t="s">
        <v>112</v>
      </c>
      <c r="I49" s="172" t="s">
        <v>113</v>
      </c>
      <c r="J49" s="173"/>
      <c r="K49" s="174"/>
      <c r="L49" s="82" t="s">
        <v>112</v>
      </c>
      <c r="M49" s="82" t="s">
        <v>112</v>
      </c>
      <c r="N49" s="175"/>
      <c r="O49" s="176"/>
      <c r="P49" s="176"/>
      <c r="Q49" s="176"/>
      <c r="R49" s="176"/>
      <c r="S49" s="177"/>
      <c r="T49" s="82"/>
      <c r="U49" s="82"/>
      <c r="V49" s="172"/>
      <c r="W49" s="173"/>
      <c r="X49" s="174"/>
      <c r="Y49" s="82"/>
      <c r="Z49" s="82"/>
    </row>
    <row r="50" spans="1:26" ht="18" customHeight="1" x14ac:dyDescent="0.15">
      <c r="A50" s="21"/>
      <c r="B50" s="178"/>
      <c r="C50" s="179"/>
      <c r="D50" s="179"/>
      <c r="E50" s="179"/>
      <c r="F50" s="180"/>
      <c r="G50" s="83"/>
      <c r="H50" s="83"/>
      <c r="I50" s="181"/>
      <c r="J50" s="182"/>
      <c r="K50" s="183"/>
      <c r="L50" s="83"/>
      <c r="M50" s="83"/>
      <c r="N50" s="184"/>
      <c r="O50" s="185"/>
      <c r="P50" s="185"/>
      <c r="Q50" s="185"/>
      <c r="R50" s="185"/>
      <c r="S50" s="186"/>
      <c r="T50" s="83"/>
      <c r="U50" s="83"/>
      <c r="V50" s="181"/>
      <c r="W50" s="182"/>
      <c r="X50" s="183"/>
      <c r="Y50" s="83"/>
      <c r="Z50" s="83"/>
    </row>
    <row r="51" spans="1:26" ht="18" customHeight="1" x14ac:dyDescent="0.15">
      <c r="A51" s="21"/>
      <c r="B51" s="178"/>
      <c r="C51" s="179"/>
      <c r="D51" s="179"/>
      <c r="E51" s="179"/>
      <c r="F51" s="180"/>
      <c r="G51" s="83"/>
      <c r="H51" s="83"/>
      <c r="I51" s="181"/>
      <c r="J51" s="182"/>
      <c r="K51" s="183"/>
      <c r="L51" s="83"/>
      <c r="M51" s="83"/>
      <c r="N51" s="184"/>
      <c r="O51" s="185"/>
      <c r="P51" s="185"/>
      <c r="Q51" s="185"/>
      <c r="R51" s="185"/>
      <c r="S51" s="186"/>
      <c r="T51" s="83"/>
      <c r="U51" s="83"/>
      <c r="V51" s="181"/>
      <c r="W51" s="182"/>
      <c r="X51" s="183"/>
      <c r="Y51" s="83"/>
      <c r="Z51" s="83"/>
    </row>
    <row r="52" spans="1:26" ht="18" customHeight="1" x14ac:dyDescent="0.15">
      <c r="A52" s="21"/>
      <c r="B52" s="178"/>
      <c r="C52" s="179"/>
      <c r="D52" s="179"/>
      <c r="E52" s="179"/>
      <c r="F52" s="180"/>
      <c r="G52" s="83"/>
      <c r="H52" s="83"/>
      <c r="I52" s="181"/>
      <c r="J52" s="182"/>
      <c r="K52" s="183"/>
      <c r="L52" s="83"/>
      <c r="M52" s="83"/>
      <c r="N52" s="184"/>
      <c r="O52" s="185"/>
      <c r="P52" s="185"/>
      <c r="Q52" s="185"/>
      <c r="R52" s="185"/>
      <c r="S52" s="186"/>
      <c r="T52" s="83"/>
      <c r="U52" s="83"/>
      <c r="V52" s="181"/>
      <c r="W52" s="182"/>
      <c r="X52" s="183"/>
      <c r="Y52" s="83"/>
      <c r="Z52" s="83"/>
    </row>
    <row r="53" spans="1:26" ht="18" customHeight="1" x14ac:dyDescent="0.15">
      <c r="A53" s="21"/>
      <c r="B53" s="178"/>
      <c r="C53" s="179"/>
      <c r="D53" s="179"/>
      <c r="E53" s="179"/>
      <c r="F53" s="180"/>
      <c r="G53" s="83"/>
      <c r="H53" s="83"/>
      <c r="I53" s="181"/>
      <c r="J53" s="182"/>
      <c r="K53" s="183"/>
      <c r="L53" s="83"/>
      <c r="M53" s="83"/>
      <c r="N53" s="184"/>
      <c r="O53" s="185"/>
      <c r="P53" s="185"/>
      <c r="Q53" s="185"/>
      <c r="R53" s="185"/>
      <c r="S53" s="186"/>
      <c r="T53" s="83"/>
      <c r="U53" s="83"/>
      <c r="V53" s="181"/>
      <c r="W53" s="182"/>
      <c r="X53" s="183"/>
      <c r="Y53" s="83"/>
      <c r="Z53" s="83"/>
    </row>
    <row r="54" spans="1:26" ht="18" customHeight="1" x14ac:dyDescent="0.15">
      <c r="A54" s="21"/>
      <c r="B54" s="178"/>
      <c r="C54" s="179"/>
      <c r="D54" s="179"/>
      <c r="E54" s="179"/>
      <c r="F54" s="180"/>
      <c r="G54" s="83"/>
      <c r="H54" s="83"/>
      <c r="I54" s="181"/>
      <c r="J54" s="182"/>
      <c r="K54" s="183"/>
      <c r="L54" s="83"/>
      <c r="M54" s="83"/>
      <c r="N54" s="184"/>
      <c r="O54" s="185"/>
      <c r="P54" s="185"/>
      <c r="Q54" s="185"/>
      <c r="R54" s="185"/>
      <c r="S54" s="186"/>
      <c r="T54" s="83"/>
      <c r="U54" s="83"/>
      <c r="V54" s="181"/>
      <c r="W54" s="182"/>
      <c r="X54" s="183"/>
      <c r="Y54" s="83"/>
      <c r="Z54" s="83"/>
    </row>
    <row r="55" spans="1:26" ht="18" customHeight="1" x14ac:dyDescent="0.15">
      <c r="A55" s="21"/>
      <c r="B55" s="200"/>
      <c r="C55" s="201"/>
      <c r="D55" s="201"/>
      <c r="E55" s="201"/>
      <c r="F55" s="202"/>
      <c r="G55" s="84"/>
      <c r="H55" s="84"/>
      <c r="I55" s="203"/>
      <c r="J55" s="204"/>
      <c r="K55" s="205"/>
      <c r="L55" s="90"/>
      <c r="M55" s="90"/>
      <c r="N55" s="206"/>
      <c r="O55" s="207"/>
      <c r="P55" s="207"/>
      <c r="Q55" s="207"/>
      <c r="R55" s="207"/>
      <c r="S55" s="208"/>
      <c r="T55" s="84"/>
      <c r="U55" s="84"/>
      <c r="V55" s="203"/>
      <c r="W55" s="204"/>
      <c r="X55" s="205"/>
      <c r="Y55" s="90"/>
      <c r="Z55" s="90"/>
    </row>
    <row r="56" spans="1:26" ht="7.5" customHeight="1" x14ac:dyDescent="0.15">
      <c r="B56" s="62"/>
      <c r="C56" s="62"/>
      <c r="D56" s="62"/>
      <c r="E56" s="62"/>
      <c r="F56" s="62"/>
      <c r="G56" s="62"/>
      <c r="H56" s="62"/>
      <c r="I56" s="62"/>
      <c r="J56" s="62"/>
      <c r="K56" s="62"/>
      <c r="L56" s="62"/>
      <c r="M56" s="62"/>
      <c r="N56" s="62"/>
      <c r="O56" s="62"/>
      <c r="P56" s="62"/>
      <c r="Q56" s="62"/>
      <c r="R56" s="62"/>
      <c r="S56" s="62"/>
      <c r="T56" s="62"/>
      <c r="U56" s="62"/>
      <c r="V56" s="62"/>
      <c r="W56" s="62"/>
      <c r="X56" s="62"/>
      <c r="Y56" s="62"/>
    </row>
    <row r="57" spans="1:26" ht="18" customHeight="1" x14ac:dyDescent="0.15">
      <c r="A57" s="199" t="s">
        <v>93</v>
      </c>
      <c r="B57" s="199"/>
      <c r="C57" s="199"/>
      <c r="D57" s="199"/>
      <c r="E57" s="199"/>
      <c r="F57" s="199"/>
      <c r="G57" s="199"/>
      <c r="H57" s="199"/>
      <c r="I57" s="199"/>
      <c r="J57" s="199"/>
      <c r="K57" s="199"/>
      <c r="L57" s="199"/>
      <c r="M57" s="199"/>
      <c r="N57" s="199"/>
      <c r="O57" s="199"/>
      <c r="P57" s="199"/>
      <c r="Q57" s="199"/>
      <c r="R57" s="199"/>
      <c r="S57" s="199"/>
      <c r="T57" s="199"/>
      <c r="U57" s="199"/>
      <c r="V57" s="199"/>
      <c r="W57" s="199"/>
      <c r="X57" s="199"/>
      <c r="Y57" s="199"/>
      <c r="Z57" s="199"/>
    </row>
    <row r="58" spans="1:26" ht="18" customHeight="1" x14ac:dyDescent="0.15">
      <c r="A58" s="199"/>
      <c r="B58" s="199"/>
      <c r="C58" s="199"/>
      <c r="D58" s="199"/>
      <c r="E58" s="199"/>
      <c r="F58" s="199"/>
      <c r="G58" s="199"/>
      <c r="H58" s="199"/>
      <c r="I58" s="199"/>
      <c r="J58" s="199"/>
      <c r="K58" s="199"/>
      <c r="L58" s="199"/>
      <c r="M58" s="199"/>
      <c r="N58" s="199"/>
      <c r="O58" s="199"/>
      <c r="P58" s="199"/>
      <c r="Q58" s="199"/>
      <c r="R58" s="199"/>
      <c r="S58" s="199"/>
      <c r="T58" s="199"/>
      <c r="U58" s="199"/>
      <c r="V58" s="199"/>
      <c r="W58" s="199"/>
      <c r="X58" s="199"/>
      <c r="Y58" s="199"/>
      <c r="Z58" s="199"/>
    </row>
    <row r="59" spans="1:26" ht="18" customHeight="1" x14ac:dyDescent="0.15">
      <c r="A59" s="7"/>
      <c r="B59" s="162" t="s">
        <v>71</v>
      </c>
      <c r="C59" s="163"/>
      <c r="D59" s="163"/>
      <c r="E59" s="164"/>
      <c r="F59" s="22" t="s">
        <v>101</v>
      </c>
      <c r="G59" s="81" t="s">
        <v>100</v>
      </c>
      <c r="H59" s="76" t="s">
        <v>72</v>
      </c>
      <c r="I59" s="77"/>
      <c r="J59" s="78"/>
      <c r="K59" s="60" t="s">
        <v>76</v>
      </c>
      <c r="L59" s="60" t="s">
        <v>94</v>
      </c>
      <c r="M59" s="60" t="s">
        <v>95</v>
      </c>
      <c r="N59" s="162" t="s">
        <v>71</v>
      </c>
      <c r="O59" s="163"/>
      <c r="P59" s="163"/>
      <c r="Q59" s="163"/>
      <c r="R59" s="164"/>
      <c r="S59" s="22" t="s">
        <v>101</v>
      </c>
      <c r="T59" s="81" t="s">
        <v>100</v>
      </c>
      <c r="U59" s="76" t="s">
        <v>72</v>
      </c>
      <c r="V59" s="77"/>
      <c r="W59" s="78"/>
      <c r="X59" s="60" t="s">
        <v>76</v>
      </c>
      <c r="Y59" s="60" t="s">
        <v>94</v>
      </c>
      <c r="Z59" s="60" t="s">
        <v>95</v>
      </c>
    </row>
    <row r="60" spans="1:26" ht="18" customHeight="1" x14ac:dyDescent="0.15">
      <c r="A60" s="21"/>
      <c r="B60" s="175" t="s">
        <v>119</v>
      </c>
      <c r="C60" s="176"/>
      <c r="D60" s="176"/>
      <c r="E60" s="177"/>
      <c r="F60" s="82">
        <v>2</v>
      </c>
      <c r="G60" s="82" t="s">
        <v>112</v>
      </c>
      <c r="H60" s="172" t="s">
        <v>113</v>
      </c>
      <c r="I60" s="173"/>
      <c r="J60" s="174"/>
      <c r="K60" s="82" t="s">
        <v>112</v>
      </c>
      <c r="L60" s="82" t="s">
        <v>112</v>
      </c>
      <c r="M60" s="82" t="s">
        <v>112</v>
      </c>
      <c r="N60" s="175"/>
      <c r="O60" s="176"/>
      <c r="P60" s="176"/>
      <c r="Q60" s="176"/>
      <c r="R60" s="177"/>
      <c r="S60" s="82"/>
      <c r="T60" s="82"/>
      <c r="U60" s="172"/>
      <c r="V60" s="173"/>
      <c r="W60" s="174"/>
      <c r="X60" s="94"/>
      <c r="Y60" s="82"/>
      <c r="Z60" s="82"/>
    </row>
    <row r="61" spans="1:26" ht="18" customHeight="1" x14ac:dyDescent="0.15">
      <c r="A61" s="21"/>
      <c r="B61" s="184"/>
      <c r="C61" s="185"/>
      <c r="D61" s="185"/>
      <c r="E61" s="186"/>
      <c r="F61" s="83"/>
      <c r="G61" s="83"/>
      <c r="H61" s="181"/>
      <c r="I61" s="182"/>
      <c r="J61" s="183"/>
      <c r="K61" s="92"/>
      <c r="L61" s="83"/>
      <c r="M61" s="83"/>
      <c r="N61" s="184"/>
      <c r="O61" s="185"/>
      <c r="P61" s="185"/>
      <c r="Q61" s="185"/>
      <c r="R61" s="186"/>
      <c r="S61" s="83"/>
      <c r="T61" s="83"/>
      <c r="U61" s="181"/>
      <c r="V61" s="182"/>
      <c r="W61" s="183"/>
      <c r="X61" s="92"/>
      <c r="Y61" s="83"/>
      <c r="Z61" s="83"/>
    </row>
    <row r="62" spans="1:26" ht="18" customHeight="1" x14ac:dyDescent="0.15">
      <c r="A62" s="21"/>
      <c r="B62" s="184"/>
      <c r="C62" s="185"/>
      <c r="D62" s="185"/>
      <c r="E62" s="186"/>
      <c r="F62" s="83"/>
      <c r="G62" s="83"/>
      <c r="H62" s="181"/>
      <c r="I62" s="182"/>
      <c r="J62" s="183"/>
      <c r="K62" s="92"/>
      <c r="L62" s="83"/>
      <c r="M62" s="83"/>
      <c r="N62" s="184"/>
      <c r="O62" s="185"/>
      <c r="P62" s="185"/>
      <c r="Q62" s="185"/>
      <c r="R62" s="186"/>
      <c r="S62" s="83"/>
      <c r="T62" s="83"/>
      <c r="U62" s="181"/>
      <c r="V62" s="182"/>
      <c r="W62" s="183"/>
      <c r="X62" s="92"/>
      <c r="Y62" s="83"/>
      <c r="Z62" s="83"/>
    </row>
    <row r="63" spans="1:26" ht="18" customHeight="1" x14ac:dyDescent="0.15">
      <c r="A63" s="21"/>
      <c r="B63" s="184"/>
      <c r="C63" s="185"/>
      <c r="D63" s="185"/>
      <c r="E63" s="186"/>
      <c r="F63" s="83"/>
      <c r="G63" s="83"/>
      <c r="H63" s="181"/>
      <c r="I63" s="182"/>
      <c r="J63" s="183"/>
      <c r="K63" s="92"/>
      <c r="L63" s="83"/>
      <c r="M63" s="83"/>
      <c r="N63" s="184"/>
      <c r="O63" s="185"/>
      <c r="P63" s="185"/>
      <c r="Q63" s="185"/>
      <c r="R63" s="186"/>
      <c r="S63" s="83"/>
      <c r="T63" s="83"/>
      <c r="U63" s="181"/>
      <c r="V63" s="182"/>
      <c r="W63" s="183"/>
      <c r="X63" s="92"/>
      <c r="Y63" s="83"/>
      <c r="Z63" s="83"/>
    </row>
    <row r="64" spans="1:26" ht="18" customHeight="1" x14ac:dyDescent="0.15">
      <c r="A64" s="21"/>
      <c r="B64" s="184"/>
      <c r="C64" s="185"/>
      <c r="D64" s="185"/>
      <c r="E64" s="186"/>
      <c r="F64" s="83"/>
      <c r="G64" s="83"/>
      <c r="H64" s="181"/>
      <c r="I64" s="182"/>
      <c r="J64" s="183"/>
      <c r="K64" s="92"/>
      <c r="L64" s="83"/>
      <c r="M64" s="83"/>
      <c r="N64" s="184"/>
      <c r="O64" s="185"/>
      <c r="P64" s="185"/>
      <c r="Q64" s="185"/>
      <c r="R64" s="186"/>
      <c r="S64" s="83"/>
      <c r="T64" s="83"/>
      <c r="U64" s="181"/>
      <c r="V64" s="182"/>
      <c r="W64" s="183"/>
      <c r="X64" s="92"/>
      <c r="Y64" s="83"/>
      <c r="Z64" s="83"/>
    </row>
    <row r="65" spans="1:26" ht="18" customHeight="1" x14ac:dyDescent="0.15">
      <c r="A65" s="21"/>
      <c r="B65" s="184"/>
      <c r="C65" s="185"/>
      <c r="D65" s="185"/>
      <c r="E65" s="186"/>
      <c r="F65" s="83"/>
      <c r="G65" s="83"/>
      <c r="H65" s="181"/>
      <c r="I65" s="182"/>
      <c r="J65" s="183"/>
      <c r="K65" s="92"/>
      <c r="L65" s="83"/>
      <c r="M65" s="83"/>
      <c r="N65" s="184"/>
      <c r="O65" s="185"/>
      <c r="P65" s="185"/>
      <c r="Q65" s="185"/>
      <c r="R65" s="186"/>
      <c r="S65" s="83"/>
      <c r="T65" s="83"/>
      <c r="U65" s="181"/>
      <c r="V65" s="182"/>
      <c r="W65" s="183"/>
      <c r="X65" s="92"/>
      <c r="Y65" s="83"/>
      <c r="Z65" s="83"/>
    </row>
    <row r="66" spans="1:26" ht="18" customHeight="1" x14ac:dyDescent="0.15">
      <c r="A66" s="21"/>
      <c r="B66" s="206"/>
      <c r="C66" s="207"/>
      <c r="D66" s="207"/>
      <c r="E66" s="208"/>
      <c r="F66" s="84"/>
      <c r="G66" s="84"/>
      <c r="H66" s="203"/>
      <c r="I66" s="204"/>
      <c r="J66" s="205"/>
      <c r="K66" s="93"/>
      <c r="L66" s="90"/>
      <c r="M66" s="90"/>
      <c r="N66" s="206"/>
      <c r="O66" s="207"/>
      <c r="P66" s="207"/>
      <c r="Q66" s="207"/>
      <c r="R66" s="208"/>
      <c r="S66" s="84"/>
      <c r="T66" s="84"/>
      <c r="U66" s="203"/>
      <c r="V66" s="204"/>
      <c r="W66" s="205"/>
      <c r="X66" s="93"/>
      <c r="Y66" s="90"/>
      <c r="Z66" s="90"/>
    </row>
    <row r="67" spans="1:26" ht="7.5" customHeight="1" x14ac:dyDescent="0.15">
      <c r="B67" s="62"/>
      <c r="C67" s="62"/>
      <c r="D67" s="62"/>
      <c r="E67" s="62"/>
      <c r="F67" s="62"/>
      <c r="G67" s="62"/>
      <c r="H67" s="62"/>
      <c r="I67" s="62"/>
      <c r="J67" s="62"/>
      <c r="K67" s="62"/>
      <c r="L67" s="62"/>
      <c r="M67" s="62"/>
      <c r="N67" s="62"/>
      <c r="O67" s="62"/>
      <c r="P67" s="62"/>
      <c r="Q67" s="62"/>
      <c r="R67" s="62"/>
      <c r="S67" s="62"/>
      <c r="T67" s="62"/>
      <c r="U67" s="62"/>
      <c r="V67" s="62"/>
      <c r="W67" s="62"/>
      <c r="X67" s="62"/>
      <c r="Y67" s="62"/>
    </row>
    <row r="68" spans="1:26" ht="18" customHeight="1" x14ac:dyDescent="0.15">
      <c r="A68" s="7" t="s">
        <v>96</v>
      </c>
      <c r="B68" s="7"/>
      <c r="C68" s="7"/>
      <c r="D68" s="7"/>
      <c r="E68" s="7"/>
      <c r="F68" s="7"/>
      <c r="G68" s="7"/>
      <c r="H68" s="7"/>
      <c r="I68" s="7"/>
      <c r="J68" s="7"/>
      <c r="K68" s="7"/>
      <c r="L68" s="21"/>
      <c r="M68" s="21"/>
      <c r="N68" s="21"/>
      <c r="O68" s="21"/>
      <c r="P68" s="21"/>
      <c r="Q68" s="21"/>
      <c r="R68" s="21"/>
      <c r="S68" s="21"/>
      <c r="T68" s="21"/>
      <c r="U68" s="21"/>
      <c r="V68" s="21"/>
      <c r="W68" s="21"/>
      <c r="X68" s="21"/>
      <c r="Y68" s="21"/>
      <c r="Z68" s="21"/>
    </row>
    <row r="69" spans="1:26" ht="18" customHeight="1" x14ac:dyDescent="0.15">
      <c r="A69" s="7"/>
      <c r="B69" s="162" t="s">
        <v>71</v>
      </c>
      <c r="C69" s="163"/>
      <c r="D69" s="163"/>
      <c r="E69" s="163"/>
      <c r="F69" s="164"/>
      <c r="G69" s="162" t="s">
        <v>106</v>
      </c>
      <c r="H69" s="163"/>
      <c r="I69" s="163"/>
      <c r="J69" s="163"/>
      <c r="K69" s="163"/>
      <c r="L69" s="163"/>
      <c r="M69" s="164"/>
      <c r="N69" s="215" t="s">
        <v>71</v>
      </c>
      <c r="O69" s="216"/>
      <c r="P69" s="216"/>
      <c r="Q69" s="216"/>
      <c r="R69" s="216"/>
      <c r="S69" s="217"/>
      <c r="T69" s="162" t="s">
        <v>106</v>
      </c>
      <c r="U69" s="163"/>
      <c r="V69" s="163"/>
      <c r="W69" s="163"/>
      <c r="X69" s="163"/>
      <c r="Y69" s="163"/>
      <c r="Z69" s="164"/>
    </row>
    <row r="70" spans="1:26" ht="18" customHeight="1" x14ac:dyDescent="0.15">
      <c r="A70" s="21"/>
      <c r="B70" s="175"/>
      <c r="C70" s="176"/>
      <c r="D70" s="176"/>
      <c r="E70" s="176"/>
      <c r="F70" s="177"/>
      <c r="G70" s="209"/>
      <c r="H70" s="210"/>
      <c r="I70" s="210"/>
      <c r="J70" s="210"/>
      <c r="K70" s="210"/>
      <c r="L70" s="210"/>
      <c r="M70" s="211"/>
      <c r="N70" s="175"/>
      <c r="O70" s="176"/>
      <c r="P70" s="176"/>
      <c r="Q70" s="176"/>
      <c r="R70" s="176"/>
      <c r="S70" s="177"/>
      <c r="T70" s="209"/>
      <c r="U70" s="210"/>
      <c r="V70" s="210"/>
      <c r="W70" s="210"/>
      <c r="X70" s="210"/>
      <c r="Y70" s="210"/>
      <c r="Z70" s="211"/>
    </row>
    <row r="71" spans="1:26" ht="18" customHeight="1" x14ac:dyDescent="0.15">
      <c r="A71" s="21"/>
      <c r="B71" s="184"/>
      <c r="C71" s="185"/>
      <c r="D71" s="185"/>
      <c r="E71" s="185"/>
      <c r="F71" s="186"/>
      <c r="G71" s="212"/>
      <c r="H71" s="213"/>
      <c r="I71" s="213"/>
      <c r="J71" s="213"/>
      <c r="K71" s="213"/>
      <c r="L71" s="213"/>
      <c r="M71" s="214"/>
      <c r="N71" s="184"/>
      <c r="O71" s="185"/>
      <c r="P71" s="185"/>
      <c r="Q71" s="185"/>
      <c r="R71" s="185"/>
      <c r="S71" s="186"/>
      <c r="T71" s="212"/>
      <c r="U71" s="213"/>
      <c r="V71" s="213"/>
      <c r="W71" s="213"/>
      <c r="X71" s="213"/>
      <c r="Y71" s="213"/>
      <c r="Z71" s="214"/>
    </row>
    <row r="72" spans="1:26" ht="18" customHeight="1" x14ac:dyDescent="0.15">
      <c r="A72" s="21"/>
      <c r="B72" s="184"/>
      <c r="C72" s="185"/>
      <c r="D72" s="185"/>
      <c r="E72" s="185"/>
      <c r="F72" s="186"/>
      <c r="G72" s="212"/>
      <c r="H72" s="213"/>
      <c r="I72" s="213"/>
      <c r="J72" s="213"/>
      <c r="K72" s="213"/>
      <c r="L72" s="213"/>
      <c r="M72" s="214"/>
      <c r="N72" s="184"/>
      <c r="O72" s="185"/>
      <c r="P72" s="185"/>
      <c r="Q72" s="185"/>
      <c r="R72" s="185"/>
      <c r="S72" s="186"/>
      <c r="T72" s="212"/>
      <c r="U72" s="213"/>
      <c r="V72" s="213"/>
      <c r="W72" s="213"/>
      <c r="X72" s="213"/>
      <c r="Y72" s="213"/>
      <c r="Z72" s="214"/>
    </row>
    <row r="73" spans="1:26" ht="18" customHeight="1" x14ac:dyDescent="0.15">
      <c r="A73" s="21"/>
      <c r="B73" s="184"/>
      <c r="C73" s="185"/>
      <c r="D73" s="185"/>
      <c r="E73" s="185"/>
      <c r="F73" s="186"/>
      <c r="G73" s="212"/>
      <c r="H73" s="213"/>
      <c r="I73" s="213"/>
      <c r="J73" s="213"/>
      <c r="K73" s="213"/>
      <c r="L73" s="213"/>
      <c r="M73" s="214"/>
      <c r="N73" s="184"/>
      <c r="O73" s="185"/>
      <c r="P73" s="185"/>
      <c r="Q73" s="185"/>
      <c r="R73" s="185"/>
      <c r="S73" s="186"/>
      <c r="T73" s="212"/>
      <c r="U73" s="213"/>
      <c r="V73" s="213"/>
      <c r="W73" s="213"/>
      <c r="X73" s="213"/>
      <c r="Y73" s="213"/>
      <c r="Z73" s="214"/>
    </row>
    <row r="74" spans="1:26" ht="18" customHeight="1" x14ac:dyDescent="0.15">
      <c r="A74" s="21"/>
      <c r="B74" s="184"/>
      <c r="C74" s="185"/>
      <c r="D74" s="185"/>
      <c r="E74" s="185"/>
      <c r="F74" s="186"/>
      <c r="G74" s="212"/>
      <c r="H74" s="213"/>
      <c r="I74" s="213"/>
      <c r="J74" s="213"/>
      <c r="K74" s="213"/>
      <c r="L74" s="213"/>
      <c r="M74" s="214"/>
      <c r="N74" s="184"/>
      <c r="O74" s="185"/>
      <c r="P74" s="185"/>
      <c r="Q74" s="185"/>
      <c r="R74" s="185"/>
      <c r="S74" s="186"/>
      <c r="T74" s="212"/>
      <c r="U74" s="213"/>
      <c r="V74" s="213"/>
      <c r="W74" s="213"/>
      <c r="X74" s="213"/>
      <c r="Y74" s="213"/>
      <c r="Z74" s="214"/>
    </row>
    <row r="75" spans="1:26" ht="18" customHeight="1" x14ac:dyDescent="0.15">
      <c r="A75" s="21"/>
      <c r="B75" s="184"/>
      <c r="C75" s="185"/>
      <c r="D75" s="185"/>
      <c r="E75" s="185"/>
      <c r="F75" s="186"/>
      <c r="G75" s="212"/>
      <c r="H75" s="213"/>
      <c r="I75" s="213"/>
      <c r="J75" s="213"/>
      <c r="K75" s="213"/>
      <c r="L75" s="213"/>
      <c r="M75" s="214"/>
      <c r="N75" s="184"/>
      <c r="O75" s="185"/>
      <c r="P75" s="185"/>
      <c r="Q75" s="185"/>
      <c r="R75" s="185"/>
      <c r="S75" s="186"/>
      <c r="T75" s="212"/>
      <c r="U75" s="213"/>
      <c r="V75" s="213"/>
      <c r="W75" s="213"/>
      <c r="X75" s="213"/>
      <c r="Y75" s="213"/>
      <c r="Z75" s="214"/>
    </row>
    <row r="76" spans="1:26" ht="18" customHeight="1" x14ac:dyDescent="0.15">
      <c r="A76" s="21"/>
      <c r="B76" s="206"/>
      <c r="C76" s="207"/>
      <c r="D76" s="207"/>
      <c r="E76" s="207"/>
      <c r="F76" s="208"/>
      <c r="G76" s="226"/>
      <c r="H76" s="227"/>
      <c r="I76" s="227"/>
      <c r="J76" s="227"/>
      <c r="K76" s="227"/>
      <c r="L76" s="227"/>
      <c r="M76" s="228"/>
      <c r="N76" s="206"/>
      <c r="O76" s="207"/>
      <c r="P76" s="207"/>
      <c r="Q76" s="207"/>
      <c r="R76" s="207"/>
      <c r="S76" s="208"/>
      <c r="T76" s="226"/>
      <c r="U76" s="227"/>
      <c r="V76" s="227"/>
      <c r="W76" s="227"/>
      <c r="X76" s="227"/>
      <c r="Y76" s="227"/>
      <c r="Z76" s="228"/>
    </row>
    <row r="77" spans="1:26" ht="18" customHeight="1" x14ac:dyDescent="0.15">
      <c r="A77" s="21"/>
      <c r="B77" s="91"/>
      <c r="C77" s="91"/>
      <c r="D77" s="91"/>
      <c r="E77" s="91"/>
      <c r="F77" s="91"/>
      <c r="G77" s="5"/>
      <c r="H77" s="5"/>
      <c r="I77" s="5"/>
      <c r="J77" s="5"/>
      <c r="K77" s="5"/>
      <c r="L77" s="5"/>
      <c r="M77" s="5"/>
      <c r="N77" s="91"/>
      <c r="O77" s="91"/>
      <c r="P77" s="91"/>
      <c r="Q77" s="91"/>
      <c r="R77" s="91"/>
      <c r="S77" s="91"/>
      <c r="T77" s="5"/>
      <c r="U77" s="5"/>
      <c r="V77" s="5"/>
      <c r="W77" s="5"/>
      <c r="X77" s="5"/>
      <c r="Y77" s="5"/>
      <c r="Z77" s="5"/>
    </row>
    <row r="78" spans="1:26" ht="18.75" customHeight="1" x14ac:dyDescent="0.15">
      <c r="A78" s="6" t="s">
        <v>102</v>
      </c>
    </row>
    <row r="79" spans="1:26" ht="18.75" customHeight="1" x14ac:dyDescent="0.15">
      <c r="B79" s="63" t="s">
        <v>73</v>
      </c>
      <c r="C79" s="64"/>
      <c r="D79" s="229" t="s">
        <v>74</v>
      </c>
      <c r="E79" s="229"/>
      <c r="F79" s="229"/>
      <c r="G79" s="229"/>
      <c r="H79" s="229"/>
      <c r="I79" s="229"/>
      <c r="J79" s="229"/>
      <c r="K79" s="229"/>
      <c r="L79" s="229"/>
      <c r="M79" s="229"/>
      <c r="N79" s="229"/>
      <c r="O79" s="229"/>
      <c r="P79" s="229"/>
      <c r="Q79" s="229"/>
      <c r="R79" s="229"/>
      <c r="S79" s="229"/>
      <c r="T79" s="229"/>
      <c r="U79" s="229"/>
      <c r="V79" s="229"/>
      <c r="W79" s="229"/>
      <c r="X79" s="229"/>
      <c r="Y79" s="229"/>
      <c r="Z79" s="230"/>
    </row>
    <row r="80" spans="1:26" ht="78" customHeight="1" x14ac:dyDescent="0.15">
      <c r="B80" s="231" t="s">
        <v>80</v>
      </c>
      <c r="C80" s="68" t="s">
        <v>75</v>
      </c>
      <c r="D80" s="233" t="s">
        <v>147</v>
      </c>
      <c r="E80" s="234"/>
      <c r="F80" s="234"/>
      <c r="G80" s="234"/>
      <c r="H80" s="234"/>
      <c r="I80" s="234"/>
      <c r="J80" s="234"/>
      <c r="K80" s="234"/>
      <c r="L80" s="234"/>
      <c r="M80" s="234"/>
      <c r="N80" s="234"/>
      <c r="O80" s="234"/>
      <c r="P80" s="234"/>
      <c r="Q80" s="234"/>
      <c r="R80" s="234"/>
      <c r="S80" s="234"/>
      <c r="T80" s="234"/>
      <c r="U80" s="234"/>
      <c r="V80" s="234"/>
      <c r="W80" s="234"/>
      <c r="X80" s="234"/>
      <c r="Y80" s="234"/>
      <c r="Z80" s="235"/>
    </row>
    <row r="81" spans="1:26" ht="78" customHeight="1" x14ac:dyDescent="0.15">
      <c r="B81" s="232"/>
      <c r="C81" s="129" t="s">
        <v>97</v>
      </c>
      <c r="D81" s="236" t="s">
        <v>218</v>
      </c>
      <c r="E81" s="237"/>
      <c r="F81" s="237"/>
      <c r="G81" s="237"/>
      <c r="H81" s="237"/>
      <c r="I81" s="237"/>
      <c r="J81" s="237"/>
      <c r="K81" s="237"/>
      <c r="L81" s="237"/>
      <c r="M81" s="237"/>
      <c r="N81" s="237"/>
      <c r="O81" s="237"/>
      <c r="P81" s="237"/>
      <c r="Q81" s="237"/>
      <c r="R81" s="237"/>
      <c r="S81" s="237"/>
      <c r="T81" s="237"/>
      <c r="U81" s="237"/>
      <c r="V81" s="237"/>
      <c r="W81" s="237"/>
      <c r="X81" s="237"/>
      <c r="Y81" s="237"/>
      <c r="Z81" s="238"/>
    </row>
    <row r="82" spans="1:26" ht="78" customHeight="1" x14ac:dyDescent="0.15">
      <c r="B82" s="218" t="s">
        <v>81</v>
      </c>
      <c r="C82" s="130" t="s">
        <v>87</v>
      </c>
      <c r="D82" s="220" t="s">
        <v>221</v>
      </c>
      <c r="E82" s="170"/>
      <c r="F82" s="170"/>
      <c r="G82" s="170"/>
      <c r="H82" s="170"/>
      <c r="I82" s="170"/>
      <c r="J82" s="170"/>
      <c r="K82" s="170"/>
      <c r="L82" s="170"/>
      <c r="M82" s="170"/>
      <c r="N82" s="170"/>
      <c r="O82" s="170"/>
      <c r="P82" s="170"/>
      <c r="Q82" s="170"/>
      <c r="R82" s="170"/>
      <c r="S82" s="170"/>
      <c r="T82" s="170"/>
      <c r="U82" s="170"/>
      <c r="V82" s="170"/>
      <c r="W82" s="170"/>
      <c r="X82" s="170"/>
      <c r="Y82" s="170"/>
      <c r="Z82" s="171"/>
    </row>
    <row r="83" spans="1:26" ht="78" customHeight="1" x14ac:dyDescent="0.15">
      <c r="B83" s="219"/>
      <c r="C83" s="131" t="s">
        <v>88</v>
      </c>
      <c r="D83" s="221" t="s">
        <v>219</v>
      </c>
      <c r="E83" s="221"/>
      <c r="F83" s="221"/>
      <c r="G83" s="221"/>
      <c r="H83" s="221"/>
      <c r="I83" s="221"/>
      <c r="J83" s="221"/>
      <c r="K83" s="221"/>
      <c r="L83" s="221"/>
      <c r="M83" s="221"/>
      <c r="N83" s="221"/>
      <c r="O83" s="221"/>
      <c r="P83" s="221"/>
      <c r="Q83" s="221"/>
      <c r="R83" s="221"/>
      <c r="S83" s="221"/>
      <c r="T83" s="221"/>
      <c r="U83" s="221"/>
      <c r="V83" s="221"/>
      <c r="W83" s="221"/>
      <c r="X83" s="221"/>
      <c r="Y83" s="221"/>
      <c r="Z83" s="222"/>
    </row>
    <row r="84" spans="1:26" ht="66" customHeight="1" x14ac:dyDescent="0.15">
      <c r="B84" s="218" t="s">
        <v>82</v>
      </c>
      <c r="C84" s="130" t="s">
        <v>90</v>
      </c>
      <c r="D84" s="170" t="s">
        <v>220</v>
      </c>
      <c r="E84" s="170"/>
      <c r="F84" s="170"/>
      <c r="G84" s="170"/>
      <c r="H84" s="170"/>
      <c r="I84" s="170"/>
      <c r="J84" s="170"/>
      <c r="K84" s="170"/>
      <c r="L84" s="170"/>
      <c r="M84" s="170"/>
      <c r="N84" s="170"/>
      <c r="O84" s="170"/>
      <c r="P84" s="170"/>
      <c r="Q84" s="170"/>
      <c r="R84" s="170"/>
      <c r="S84" s="170"/>
      <c r="T84" s="170"/>
      <c r="U84" s="170"/>
      <c r="V84" s="170"/>
      <c r="W84" s="170"/>
      <c r="X84" s="170"/>
      <c r="Y84" s="170"/>
      <c r="Z84" s="171"/>
    </row>
    <row r="85" spans="1:26" ht="66" customHeight="1" x14ac:dyDescent="0.15">
      <c r="B85" s="219"/>
      <c r="C85" s="67" t="s">
        <v>91</v>
      </c>
      <c r="D85" s="223" t="s">
        <v>154</v>
      </c>
      <c r="E85" s="224"/>
      <c r="F85" s="224"/>
      <c r="G85" s="224"/>
      <c r="H85" s="224"/>
      <c r="I85" s="224"/>
      <c r="J85" s="224"/>
      <c r="K85" s="224"/>
      <c r="L85" s="224"/>
      <c r="M85" s="224"/>
      <c r="N85" s="224"/>
      <c r="O85" s="224"/>
      <c r="P85" s="224"/>
      <c r="Q85" s="224"/>
      <c r="R85" s="224"/>
      <c r="S85" s="224"/>
      <c r="T85" s="224"/>
      <c r="U85" s="224"/>
      <c r="V85" s="224"/>
      <c r="W85" s="224"/>
      <c r="X85" s="224"/>
      <c r="Y85" s="224"/>
      <c r="Z85" s="225"/>
    </row>
    <row r="86" spans="1:26" ht="66" customHeight="1" x14ac:dyDescent="0.15">
      <c r="B86" s="231" t="s">
        <v>98</v>
      </c>
      <c r="C86" s="68" t="s">
        <v>77</v>
      </c>
      <c r="D86" s="233" t="s">
        <v>155</v>
      </c>
      <c r="E86" s="234"/>
      <c r="F86" s="234"/>
      <c r="G86" s="234"/>
      <c r="H86" s="234"/>
      <c r="I86" s="234"/>
      <c r="J86" s="234"/>
      <c r="K86" s="234"/>
      <c r="L86" s="234"/>
      <c r="M86" s="234"/>
      <c r="N86" s="234"/>
      <c r="O86" s="234"/>
      <c r="P86" s="234"/>
      <c r="Q86" s="234"/>
      <c r="R86" s="234"/>
      <c r="S86" s="234"/>
      <c r="T86" s="234"/>
      <c r="U86" s="234"/>
      <c r="V86" s="234"/>
      <c r="W86" s="234"/>
      <c r="X86" s="234"/>
      <c r="Y86" s="234"/>
      <c r="Z86" s="235"/>
    </row>
    <row r="87" spans="1:26" ht="66" customHeight="1" x14ac:dyDescent="0.15">
      <c r="B87" s="248"/>
      <c r="C87" s="66" t="s">
        <v>79</v>
      </c>
      <c r="D87" s="249" t="s">
        <v>155</v>
      </c>
      <c r="E87" s="250"/>
      <c r="F87" s="250"/>
      <c r="G87" s="250"/>
      <c r="H87" s="250"/>
      <c r="I87" s="250"/>
      <c r="J87" s="250"/>
      <c r="K87" s="250"/>
      <c r="L87" s="250"/>
      <c r="M87" s="250"/>
      <c r="N87" s="250"/>
      <c r="O87" s="250"/>
      <c r="P87" s="250"/>
      <c r="Q87" s="250"/>
      <c r="R87" s="250"/>
      <c r="S87" s="250"/>
      <c r="T87" s="250"/>
      <c r="U87" s="250"/>
      <c r="V87" s="250"/>
      <c r="W87" s="250"/>
      <c r="X87" s="250"/>
      <c r="Y87" s="250"/>
      <c r="Z87" s="251"/>
    </row>
    <row r="88" spans="1:26" ht="66" customHeight="1" x14ac:dyDescent="0.15">
      <c r="B88" s="231" t="s">
        <v>99</v>
      </c>
      <c r="C88" s="65" t="s">
        <v>76</v>
      </c>
      <c r="D88" s="252" t="s">
        <v>156</v>
      </c>
      <c r="E88" s="252"/>
      <c r="F88" s="252"/>
      <c r="G88" s="252"/>
      <c r="H88" s="252"/>
      <c r="I88" s="252"/>
      <c r="J88" s="252"/>
      <c r="K88" s="252"/>
      <c r="L88" s="252"/>
      <c r="M88" s="252"/>
      <c r="N88" s="252"/>
      <c r="O88" s="252"/>
      <c r="P88" s="252"/>
      <c r="Q88" s="252"/>
      <c r="R88" s="252"/>
      <c r="S88" s="252"/>
      <c r="T88" s="252"/>
      <c r="U88" s="252"/>
      <c r="V88" s="252"/>
      <c r="W88" s="252"/>
      <c r="X88" s="252"/>
      <c r="Y88" s="252"/>
      <c r="Z88" s="253"/>
    </row>
    <row r="89" spans="1:26" ht="89.25" customHeight="1" x14ac:dyDescent="0.15">
      <c r="B89" s="232"/>
      <c r="C89" s="127" t="s">
        <v>94</v>
      </c>
      <c r="D89" s="254" t="s">
        <v>222</v>
      </c>
      <c r="E89" s="255"/>
      <c r="F89" s="255"/>
      <c r="G89" s="255"/>
      <c r="H89" s="255"/>
      <c r="I89" s="255"/>
      <c r="J89" s="255"/>
      <c r="K89" s="255"/>
      <c r="L89" s="255"/>
      <c r="M89" s="255"/>
      <c r="N89" s="255"/>
      <c r="O89" s="255"/>
      <c r="P89" s="255"/>
      <c r="Q89" s="255"/>
      <c r="R89" s="255"/>
      <c r="S89" s="255"/>
      <c r="T89" s="255"/>
      <c r="U89" s="255"/>
      <c r="V89" s="255"/>
      <c r="W89" s="255"/>
      <c r="X89" s="255"/>
      <c r="Y89" s="255"/>
      <c r="Z89" s="256"/>
    </row>
    <row r="90" spans="1:26" ht="80.25" customHeight="1" x14ac:dyDescent="0.15">
      <c r="B90" s="219"/>
      <c r="C90" s="128" t="s">
        <v>95</v>
      </c>
      <c r="D90" s="257" t="s">
        <v>217</v>
      </c>
      <c r="E90" s="258"/>
      <c r="F90" s="258"/>
      <c r="G90" s="258"/>
      <c r="H90" s="258"/>
      <c r="I90" s="258"/>
      <c r="J90" s="258"/>
      <c r="K90" s="258"/>
      <c r="L90" s="258"/>
      <c r="M90" s="258"/>
      <c r="N90" s="258"/>
      <c r="O90" s="258"/>
      <c r="P90" s="258"/>
      <c r="Q90" s="258"/>
      <c r="R90" s="258"/>
      <c r="S90" s="258"/>
      <c r="T90" s="258"/>
      <c r="U90" s="258"/>
      <c r="V90" s="258"/>
      <c r="W90" s="258"/>
      <c r="X90" s="258"/>
      <c r="Y90" s="258"/>
      <c r="Z90" s="259"/>
    </row>
    <row r="91" spans="1:26" ht="6" customHeight="1" x14ac:dyDescent="0.15"/>
    <row r="92" spans="1:26" ht="18.75" customHeight="1" x14ac:dyDescent="0.15">
      <c r="A92" s="6" t="s">
        <v>103</v>
      </c>
    </row>
    <row r="93" spans="1:26" ht="18.75" customHeight="1" x14ac:dyDescent="0.15">
      <c r="B93" s="239" t="s">
        <v>117</v>
      </c>
      <c r="C93" s="240"/>
      <c r="D93" s="240"/>
      <c r="E93" s="240"/>
      <c r="F93" s="240"/>
      <c r="G93" s="240"/>
      <c r="H93" s="240"/>
      <c r="I93" s="240"/>
      <c r="J93" s="240"/>
      <c r="K93" s="240"/>
      <c r="L93" s="240"/>
      <c r="M93" s="240"/>
      <c r="N93" s="240"/>
      <c r="O93" s="240"/>
      <c r="P93" s="240"/>
      <c r="Q93" s="240"/>
      <c r="R93" s="240"/>
      <c r="S93" s="240"/>
      <c r="T93" s="240"/>
      <c r="U93" s="240"/>
      <c r="V93" s="240"/>
      <c r="W93" s="240"/>
      <c r="X93" s="240"/>
      <c r="Y93" s="240"/>
      <c r="Z93" s="241"/>
    </row>
    <row r="94" spans="1:26" ht="18.75" customHeight="1" x14ac:dyDescent="0.15">
      <c r="B94" s="242"/>
      <c r="C94" s="243"/>
      <c r="D94" s="243"/>
      <c r="E94" s="243"/>
      <c r="F94" s="243"/>
      <c r="G94" s="243"/>
      <c r="H94" s="243"/>
      <c r="I94" s="243"/>
      <c r="J94" s="243"/>
      <c r="K94" s="243"/>
      <c r="L94" s="243"/>
      <c r="M94" s="243"/>
      <c r="N94" s="243"/>
      <c r="O94" s="243"/>
      <c r="P94" s="243"/>
      <c r="Q94" s="243"/>
      <c r="R94" s="243"/>
      <c r="S94" s="243"/>
      <c r="T94" s="243"/>
      <c r="U94" s="243"/>
      <c r="V94" s="243"/>
      <c r="W94" s="243"/>
      <c r="X94" s="243"/>
      <c r="Y94" s="243"/>
      <c r="Z94" s="244"/>
    </row>
    <row r="95" spans="1:26" ht="18.75" customHeight="1" x14ac:dyDescent="0.15">
      <c r="B95" s="245"/>
      <c r="C95" s="246"/>
      <c r="D95" s="246"/>
      <c r="E95" s="246"/>
      <c r="F95" s="246"/>
      <c r="G95" s="246"/>
      <c r="H95" s="246"/>
      <c r="I95" s="246"/>
      <c r="J95" s="246"/>
      <c r="K95" s="246"/>
      <c r="L95" s="246"/>
      <c r="M95" s="246"/>
      <c r="N95" s="246"/>
      <c r="O95" s="246"/>
      <c r="P95" s="246"/>
      <c r="Q95" s="246"/>
      <c r="R95" s="246"/>
      <c r="S95" s="246"/>
      <c r="T95" s="246"/>
      <c r="U95" s="246"/>
      <c r="V95" s="246"/>
      <c r="W95" s="246"/>
      <c r="X95" s="246"/>
      <c r="Y95" s="246"/>
      <c r="Z95" s="247"/>
    </row>
    <row r="96" spans="1:26" ht="6" customHeight="1" x14ac:dyDescent="0.15"/>
    <row r="97" spans="1:26" ht="15" customHeight="1" x14ac:dyDescent="0.15">
      <c r="A97" s="6" t="s">
        <v>104</v>
      </c>
    </row>
    <row r="98" spans="1:26" ht="15" customHeight="1" x14ac:dyDescent="0.15">
      <c r="B98" s="347" t="s">
        <v>225</v>
      </c>
      <c r="C98" s="348"/>
      <c r="D98" s="348"/>
      <c r="E98" s="348"/>
      <c r="F98" s="348"/>
      <c r="G98" s="348"/>
      <c r="H98" s="348"/>
      <c r="I98" s="348"/>
      <c r="J98" s="348"/>
      <c r="K98" s="348"/>
      <c r="L98" s="348"/>
      <c r="M98" s="348"/>
      <c r="N98" s="348"/>
      <c r="O98" s="348"/>
      <c r="P98" s="348"/>
      <c r="Q98" s="348"/>
      <c r="R98" s="348"/>
      <c r="S98" s="348"/>
      <c r="T98" s="348"/>
      <c r="U98" s="348"/>
      <c r="V98" s="348"/>
      <c r="W98" s="348"/>
      <c r="X98" s="348"/>
      <c r="Y98" s="348"/>
      <c r="Z98" s="349"/>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2"/>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I49:I55 V38:V44 I27:I33 V49:V55 I38:I44 U60:U66 H60:H66">
      <formula1>"全学開講,一部開講"</formula1>
    </dataValidation>
    <dataValidation type="list" allowBlank="1" showInputMessage="1" showErrorMessage="1" sqref="Y16:Z22 L16:M22 Y27:Z33 H27:H33 H38:H44 Y38:Z44 H49:H55 Y49:Z55 Y60:Z66 G60:G66 H16:H22 U16:U22 T60:T66 U27:U33 L27:M33 U38:U44 L38:M44 U49:U55 L49:M55 M60:M66 L61:L66 K60:L60">
      <formula1>"○"</formula1>
    </dataValidation>
  </dataValidations>
  <printOptions horizontalCentered="1"/>
  <pageMargins left="0.78740157480314965" right="0.78740157480314965" top="0.59055118110236227" bottom="0.19685039370078741" header="0.31496062992125984" footer="0.19685039370078741"/>
  <pageSetup paperSize="9" scale="94" orientation="landscape" r:id="rId1"/>
  <rowBreaks count="3" manualBreakCount="3">
    <brk id="34" max="25" man="1"/>
    <brk id="67" max="25" man="1"/>
    <brk id="83" max="25" man="1"/>
  </rowBreaks>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
  <sheetViews>
    <sheetView showZeros="0" view="pageBreakPreview" zoomScaleSheetLayoutView="100" workbookViewId="0">
      <selection activeCell="A2" sqref="A2:Z2"/>
    </sheetView>
  </sheetViews>
  <sheetFormatPr defaultColWidth="9" defaultRowHeight="18.75" customHeight="1" x14ac:dyDescent="0.15"/>
  <cols>
    <col min="1" max="1" width="2.5" style="6" customWidth="1"/>
    <col min="2" max="2" width="27.625" style="6" customWidth="1"/>
    <col min="3" max="13" width="3.375" style="6" customWidth="1"/>
    <col min="14" max="14" width="8.625" style="6" customWidth="1"/>
    <col min="15" max="15" width="18.625" style="6" customWidth="1"/>
    <col min="16" max="19" width="3.375" style="6" customWidth="1"/>
    <col min="20" max="20" width="3.5" style="6" customWidth="1"/>
    <col min="21" max="26" width="3.375" style="6" customWidth="1"/>
    <col min="27" max="16384" width="9" style="6"/>
  </cols>
  <sheetData>
    <row r="1" spans="1:26" ht="15" customHeight="1" x14ac:dyDescent="0.15">
      <c r="W1" s="187" t="s">
        <v>157</v>
      </c>
      <c r="X1" s="187"/>
      <c r="Y1" s="187"/>
      <c r="Z1" s="187"/>
    </row>
    <row r="2" spans="1:26" ht="18" customHeight="1" x14ac:dyDescent="0.15">
      <c r="A2" s="188" t="s">
        <v>42</v>
      </c>
      <c r="B2" s="188"/>
      <c r="C2" s="188"/>
      <c r="D2" s="188"/>
      <c r="E2" s="188"/>
      <c r="F2" s="188"/>
      <c r="G2" s="188"/>
      <c r="H2" s="188"/>
      <c r="I2" s="188"/>
      <c r="J2" s="188"/>
      <c r="K2" s="188"/>
      <c r="L2" s="188"/>
      <c r="M2" s="188"/>
      <c r="N2" s="188"/>
      <c r="O2" s="188"/>
      <c r="P2" s="188"/>
      <c r="Q2" s="188"/>
      <c r="R2" s="188"/>
      <c r="S2" s="188"/>
      <c r="T2" s="188"/>
      <c r="U2" s="188"/>
      <c r="V2" s="188"/>
      <c r="W2" s="188"/>
      <c r="X2" s="188"/>
      <c r="Y2" s="188"/>
      <c r="Z2" s="188"/>
    </row>
    <row r="3" spans="1:26" ht="15" customHeight="1" x14ac:dyDescent="0.15">
      <c r="B3" s="21"/>
      <c r="C3" s="21"/>
      <c r="D3" s="21"/>
      <c r="E3" s="21"/>
      <c r="F3" s="21"/>
      <c r="G3" s="21"/>
      <c r="H3" s="21"/>
      <c r="I3" s="21"/>
      <c r="J3" s="21"/>
      <c r="K3" s="21"/>
      <c r="L3" s="21"/>
      <c r="M3" s="21"/>
      <c r="N3" s="21"/>
      <c r="O3" s="21"/>
      <c r="P3" s="21"/>
      <c r="Q3" s="21"/>
      <c r="R3" s="21"/>
      <c r="S3" s="21"/>
      <c r="T3" s="21"/>
      <c r="U3" s="21"/>
      <c r="V3" s="21"/>
      <c r="W3" s="21"/>
      <c r="X3" s="21"/>
      <c r="Y3" s="21"/>
      <c r="Z3" s="21"/>
    </row>
    <row r="4" spans="1:26" ht="18" customHeight="1" x14ac:dyDescent="0.15">
      <c r="A4" s="6" t="s">
        <v>70</v>
      </c>
      <c r="B4" s="21"/>
      <c r="C4" s="21"/>
      <c r="D4" s="21"/>
      <c r="E4" s="21"/>
      <c r="F4" s="21"/>
      <c r="G4" s="21"/>
      <c r="H4" s="8" t="s">
        <v>83</v>
      </c>
      <c r="I4" s="21"/>
      <c r="J4" s="21"/>
      <c r="K4" s="21"/>
      <c r="L4" s="21"/>
      <c r="M4" s="21"/>
      <c r="N4" s="21"/>
      <c r="O4" s="162" t="s">
        <v>108</v>
      </c>
      <c r="P4" s="163"/>
      <c r="Q4" s="163"/>
      <c r="R4" s="163"/>
      <c r="S4" s="163"/>
      <c r="T4" s="163"/>
      <c r="U4" s="163"/>
      <c r="V4" s="163"/>
      <c r="W4" s="163"/>
      <c r="X4" s="163"/>
      <c r="Y4" s="163"/>
      <c r="Z4" s="164"/>
    </row>
    <row r="5" spans="1:26" ht="6" customHeight="1" x14ac:dyDescent="0.15">
      <c r="B5" s="21"/>
      <c r="C5" s="21"/>
      <c r="D5" s="21"/>
      <c r="E5" s="21"/>
      <c r="F5" s="21"/>
      <c r="G5" s="21"/>
      <c r="H5" s="21"/>
      <c r="I5" s="21"/>
      <c r="J5" s="21"/>
      <c r="K5" s="21"/>
      <c r="L5" s="21"/>
      <c r="M5" s="21"/>
      <c r="N5" s="21"/>
      <c r="O5" s="9"/>
      <c r="P5" s="21"/>
      <c r="Q5" s="21"/>
      <c r="R5" s="21"/>
      <c r="S5" s="21"/>
      <c r="T5" s="21"/>
      <c r="U5" s="21"/>
      <c r="V5" s="21"/>
      <c r="W5" s="21"/>
      <c r="X5" s="21"/>
      <c r="Y5" s="21"/>
      <c r="Z5" s="21"/>
    </row>
    <row r="6" spans="1:26" ht="18" customHeight="1" x14ac:dyDescent="0.15">
      <c r="B6" s="189" t="s">
        <v>224</v>
      </c>
      <c r="C6" s="190"/>
      <c r="D6" s="190"/>
      <c r="E6" s="190"/>
      <c r="F6" s="190"/>
      <c r="G6" s="190"/>
      <c r="H6" s="190"/>
      <c r="I6" s="190"/>
      <c r="J6" s="190"/>
      <c r="K6" s="190"/>
      <c r="L6" s="190"/>
      <c r="M6" s="190"/>
      <c r="N6" s="190"/>
      <c r="O6" s="190"/>
      <c r="P6" s="190"/>
      <c r="Q6" s="190"/>
      <c r="R6" s="190"/>
      <c r="S6" s="190"/>
      <c r="T6" s="190"/>
      <c r="U6" s="190"/>
      <c r="V6" s="190"/>
      <c r="W6" s="190"/>
      <c r="X6" s="190"/>
      <c r="Y6" s="190"/>
      <c r="Z6" s="191"/>
    </row>
    <row r="7" spans="1:26" ht="18" customHeight="1" x14ac:dyDescent="0.15">
      <c r="B7" s="192"/>
      <c r="C7" s="193"/>
      <c r="D7" s="193"/>
      <c r="E7" s="193"/>
      <c r="F7" s="193"/>
      <c r="G7" s="193"/>
      <c r="H7" s="193"/>
      <c r="I7" s="193"/>
      <c r="J7" s="193"/>
      <c r="K7" s="193"/>
      <c r="L7" s="193"/>
      <c r="M7" s="193"/>
      <c r="N7" s="193"/>
      <c r="O7" s="193"/>
      <c r="P7" s="193"/>
      <c r="Q7" s="193"/>
      <c r="R7" s="193"/>
      <c r="S7" s="193"/>
      <c r="T7" s="193"/>
      <c r="U7" s="193"/>
      <c r="V7" s="193"/>
      <c r="W7" s="193"/>
      <c r="X7" s="193"/>
      <c r="Y7" s="193"/>
      <c r="Z7" s="194"/>
    </row>
    <row r="8" spans="1:26" ht="18" customHeight="1" x14ac:dyDescent="0.15">
      <c r="B8" s="192"/>
      <c r="C8" s="193"/>
      <c r="D8" s="193"/>
      <c r="E8" s="193"/>
      <c r="F8" s="193"/>
      <c r="G8" s="193"/>
      <c r="H8" s="193"/>
      <c r="I8" s="193"/>
      <c r="J8" s="193"/>
      <c r="K8" s="193"/>
      <c r="L8" s="193"/>
      <c r="M8" s="193"/>
      <c r="N8" s="193"/>
      <c r="O8" s="193"/>
      <c r="P8" s="193"/>
      <c r="Q8" s="193"/>
      <c r="R8" s="193"/>
      <c r="S8" s="193"/>
      <c r="T8" s="193"/>
      <c r="U8" s="193"/>
      <c r="V8" s="193"/>
      <c r="W8" s="193"/>
      <c r="X8" s="193"/>
      <c r="Y8" s="193"/>
      <c r="Z8" s="194"/>
    </row>
    <row r="9" spans="1:26" ht="18" customHeight="1" x14ac:dyDescent="0.15">
      <c r="B9" s="192"/>
      <c r="C9" s="193"/>
      <c r="D9" s="193"/>
      <c r="E9" s="193"/>
      <c r="F9" s="193"/>
      <c r="G9" s="193"/>
      <c r="H9" s="193"/>
      <c r="I9" s="193"/>
      <c r="J9" s="193"/>
      <c r="K9" s="193"/>
      <c r="L9" s="193"/>
      <c r="M9" s="193"/>
      <c r="N9" s="193"/>
      <c r="O9" s="193"/>
      <c r="P9" s="193"/>
      <c r="Q9" s="193"/>
      <c r="R9" s="193"/>
      <c r="S9" s="193"/>
      <c r="T9" s="193"/>
      <c r="U9" s="193"/>
      <c r="V9" s="193"/>
      <c r="W9" s="193"/>
      <c r="X9" s="193"/>
      <c r="Y9" s="193"/>
      <c r="Z9" s="194"/>
    </row>
    <row r="10" spans="1:26" ht="18" customHeight="1" x14ac:dyDescent="0.15">
      <c r="B10" s="192"/>
      <c r="C10" s="195"/>
      <c r="D10" s="195"/>
      <c r="E10" s="195"/>
      <c r="F10" s="195"/>
      <c r="G10" s="195"/>
      <c r="H10" s="195"/>
      <c r="I10" s="195"/>
      <c r="J10" s="195"/>
      <c r="K10" s="195"/>
      <c r="L10" s="195"/>
      <c r="M10" s="195"/>
      <c r="N10" s="195"/>
      <c r="O10" s="195"/>
      <c r="P10" s="195"/>
      <c r="Q10" s="195"/>
      <c r="R10" s="195"/>
      <c r="S10" s="195"/>
      <c r="T10" s="195"/>
      <c r="U10" s="195"/>
      <c r="V10" s="195"/>
      <c r="W10" s="195"/>
      <c r="X10" s="195"/>
      <c r="Y10" s="195"/>
      <c r="Z10" s="194"/>
    </row>
    <row r="11" spans="1:26" ht="18" customHeight="1" x14ac:dyDescent="0.15">
      <c r="B11" s="196"/>
      <c r="C11" s="197"/>
      <c r="D11" s="197"/>
      <c r="E11" s="197"/>
      <c r="F11" s="197"/>
      <c r="G11" s="197"/>
      <c r="H11" s="197"/>
      <c r="I11" s="197"/>
      <c r="J11" s="197"/>
      <c r="K11" s="197"/>
      <c r="L11" s="197"/>
      <c r="M11" s="197"/>
      <c r="N11" s="197"/>
      <c r="O11" s="197"/>
      <c r="P11" s="197"/>
      <c r="Q11" s="197"/>
      <c r="R11" s="197"/>
      <c r="S11" s="197"/>
      <c r="T11" s="197"/>
      <c r="U11" s="197"/>
      <c r="V11" s="197"/>
      <c r="W11" s="197"/>
      <c r="X11" s="197"/>
      <c r="Y11" s="197"/>
      <c r="Z11" s="198"/>
    </row>
    <row r="12" spans="1:26" ht="7.5" customHeight="1" x14ac:dyDescent="0.15">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18" customHeight="1" x14ac:dyDescent="0.15">
      <c r="A13" s="199" t="s">
        <v>85</v>
      </c>
      <c r="B13" s="199"/>
      <c r="C13" s="199"/>
      <c r="D13" s="199"/>
      <c r="E13" s="199"/>
      <c r="F13" s="199"/>
      <c r="G13" s="199"/>
      <c r="H13" s="199"/>
      <c r="I13" s="199"/>
      <c r="J13" s="199"/>
      <c r="K13" s="199"/>
      <c r="L13" s="199"/>
      <c r="M13" s="199"/>
      <c r="N13" s="199"/>
      <c r="O13" s="199"/>
      <c r="P13" s="199"/>
      <c r="Q13" s="199"/>
      <c r="R13" s="199"/>
      <c r="S13" s="199"/>
      <c r="T13" s="199"/>
      <c r="U13" s="199"/>
      <c r="V13" s="199"/>
      <c r="W13" s="199"/>
      <c r="X13" s="199"/>
      <c r="Y13" s="199"/>
      <c r="Z13" s="199"/>
    </row>
    <row r="14" spans="1:26" ht="18" customHeight="1" x14ac:dyDescent="0.15">
      <c r="A14" s="199"/>
      <c r="B14" s="199"/>
      <c r="C14" s="199"/>
      <c r="D14" s="199"/>
      <c r="E14" s="199"/>
      <c r="F14" s="199"/>
      <c r="G14" s="199"/>
      <c r="H14" s="199"/>
      <c r="I14" s="199"/>
      <c r="J14" s="199"/>
      <c r="K14" s="199"/>
      <c r="L14" s="199"/>
      <c r="M14" s="199"/>
      <c r="N14" s="199"/>
      <c r="O14" s="199"/>
      <c r="P14" s="199"/>
      <c r="Q14" s="199"/>
      <c r="R14" s="199"/>
      <c r="S14" s="199"/>
      <c r="T14" s="199"/>
      <c r="U14" s="199"/>
      <c r="V14" s="199"/>
      <c r="W14" s="199"/>
      <c r="X14" s="199"/>
      <c r="Y14" s="199"/>
      <c r="Z14" s="199"/>
    </row>
    <row r="15" spans="1:26" ht="18" customHeight="1" x14ac:dyDescent="0.15">
      <c r="A15" s="7"/>
      <c r="B15" s="162" t="s">
        <v>71</v>
      </c>
      <c r="C15" s="163"/>
      <c r="D15" s="163"/>
      <c r="E15" s="163"/>
      <c r="F15" s="164"/>
      <c r="G15" s="22" t="s">
        <v>101</v>
      </c>
      <c r="H15" s="81" t="s">
        <v>100</v>
      </c>
      <c r="I15" s="163" t="s">
        <v>72</v>
      </c>
      <c r="J15" s="163"/>
      <c r="K15" s="163"/>
      <c r="L15" s="60" t="s">
        <v>75</v>
      </c>
      <c r="M15" s="60" t="s">
        <v>78</v>
      </c>
      <c r="N15" s="162" t="s">
        <v>71</v>
      </c>
      <c r="O15" s="163"/>
      <c r="P15" s="163"/>
      <c r="Q15" s="163"/>
      <c r="R15" s="163"/>
      <c r="S15" s="164"/>
      <c r="T15" s="22" t="s">
        <v>101</v>
      </c>
      <c r="U15" s="81" t="s">
        <v>100</v>
      </c>
      <c r="V15" s="163" t="s">
        <v>72</v>
      </c>
      <c r="W15" s="163"/>
      <c r="X15" s="163"/>
      <c r="Y15" s="60" t="s">
        <v>75</v>
      </c>
      <c r="Z15" s="60" t="s">
        <v>78</v>
      </c>
    </row>
    <row r="16" spans="1:26" ht="18" customHeight="1" x14ac:dyDescent="0.15">
      <c r="A16" s="7"/>
      <c r="B16" s="169" t="s">
        <v>110</v>
      </c>
      <c r="C16" s="170"/>
      <c r="D16" s="170"/>
      <c r="E16" s="170"/>
      <c r="F16" s="171"/>
      <c r="G16" s="82">
        <v>2</v>
      </c>
      <c r="H16" s="82" t="s">
        <v>112</v>
      </c>
      <c r="I16" s="172" t="s">
        <v>113</v>
      </c>
      <c r="J16" s="173"/>
      <c r="K16" s="174"/>
      <c r="L16" s="82" t="s">
        <v>112</v>
      </c>
      <c r="M16" s="82" t="s">
        <v>112</v>
      </c>
      <c r="N16" s="175"/>
      <c r="O16" s="176"/>
      <c r="P16" s="176"/>
      <c r="Q16" s="176"/>
      <c r="R16" s="176"/>
      <c r="S16" s="177"/>
      <c r="T16" s="82"/>
      <c r="U16" s="82"/>
      <c r="V16" s="172"/>
      <c r="W16" s="173"/>
      <c r="X16" s="174"/>
      <c r="Y16" s="82"/>
      <c r="Z16" s="82"/>
    </row>
    <row r="17" spans="1:26" ht="18" customHeight="1" x14ac:dyDescent="0.15">
      <c r="A17" s="7"/>
      <c r="B17" s="178"/>
      <c r="C17" s="179"/>
      <c r="D17" s="179"/>
      <c r="E17" s="179"/>
      <c r="F17" s="180"/>
      <c r="G17" s="83"/>
      <c r="H17" s="83"/>
      <c r="I17" s="181"/>
      <c r="J17" s="182"/>
      <c r="K17" s="183"/>
      <c r="L17" s="83"/>
      <c r="M17" s="83"/>
      <c r="N17" s="184"/>
      <c r="O17" s="185"/>
      <c r="P17" s="185"/>
      <c r="Q17" s="185"/>
      <c r="R17" s="185"/>
      <c r="S17" s="186"/>
      <c r="T17" s="83"/>
      <c r="U17" s="83"/>
      <c r="V17" s="181"/>
      <c r="W17" s="182"/>
      <c r="X17" s="183"/>
      <c r="Y17" s="83"/>
      <c r="Z17" s="83"/>
    </row>
    <row r="18" spans="1:26" ht="18" customHeight="1" x14ac:dyDescent="0.15">
      <c r="A18" s="7"/>
      <c r="B18" s="178"/>
      <c r="C18" s="179"/>
      <c r="D18" s="179"/>
      <c r="E18" s="179"/>
      <c r="F18" s="180"/>
      <c r="G18" s="83"/>
      <c r="H18" s="83"/>
      <c r="I18" s="181"/>
      <c r="J18" s="182"/>
      <c r="K18" s="183"/>
      <c r="L18" s="83"/>
      <c r="M18" s="83"/>
      <c r="N18" s="184"/>
      <c r="O18" s="185"/>
      <c r="P18" s="185"/>
      <c r="Q18" s="185"/>
      <c r="R18" s="185"/>
      <c r="S18" s="186"/>
      <c r="T18" s="83"/>
      <c r="U18" s="83"/>
      <c r="V18" s="181"/>
      <c r="W18" s="182"/>
      <c r="X18" s="183"/>
      <c r="Y18" s="83"/>
      <c r="Z18" s="83"/>
    </row>
    <row r="19" spans="1:26" ht="18" customHeight="1" x14ac:dyDescent="0.15">
      <c r="A19" s="7"/>
      <c r="B19" s="178"/>
      <c r="C19" s="179"/>
      <c r="D19" s="179"/>
      <c r="E19" s="179"/>
      <c r="F19" s="180"/>
      <c r="G19" s="83"/>
      <c r="H19" s="83"/>
      <c r="I19" s="181"/>
      <c r="J19" s="182"/>
      <c r="K19" s="183"/>
      <c r="L19" s="83"/>
      <c r="M19" s="83"/>
      <c r="N19" s="184"/>
      <c r="O19" s="185"/>
      <c r="P19" s="185"/>
      <c r="Q19" s="185"/>
      <c r="R19" s="185"/>
      <c r="S19" s="186"/>
      <c r="T19" s="83"/>
      <c r="U19" s="83"/>
      <c r="V19" s="181"/>
      <c r="W19" s="182"/>
      <c r="X19" s="183"/>
      <c r="Y19" s="83"/>
      <c r="Z19" s="83"/>
    </row>
    <row r="20" spans="1:26" ht="18" customHeight="1" x14ac:dyDescent="0.15">
      <c r="A20" s="7"/>
      <c r="B20" s="178"/>
      <c r="C20" s="179"/>
      <c r="D20" s="179"/>
      <c r="E20" s="179"/>
      <c r="F20" s="180"/>
      <c r="G20" s="83"/>
      <c r="H20" s="83"/>
      <c r="I20" s="181"/>
      <c r="J20" s="182"/>
      <c r="K20" s="183"/>
      <c r="L20" s="83"/>
      <c r="M20" s="83"/>
      <c r="N20" s="184"/>
      <c r="O20" s="185"/>
      <c r="P20" s="185"/>
      <c r="Q20" s="185"/>
      <c r="R20" s="185"/>
      <c r="S20" s="186"/>
      <c r="T20" s="83"/>
      <c r="U20" s="83"/>
      <c r="V20" s="181"/>
      <c r="W20" s="182"/>
      <c r="X20" s="183"/>
      <c r="Y20" s="83"/>
      <c r="Z20" s="83"/>
    </row>
    <row r="21" spans="1:26" ht="18" customHeight="1" x14ac:dyDescent="0.15">
      <c r="A21" s="21"/>
      <c r="B21" s="178"/>
      <c r="C21" s="179"/>
      <c r="D21" s="179"/>
      <c r="E21" s="179"/>
      <c r="F21" s="180"/>
      <c r="G21" s="83"/>
      <c r="H21" s="83"/>
      <c r="I21" s="181"/>
      <c r="J21" s="182"/>
      <c r="K21" s="183"/>
      <c r="L21" s="83"/>
      <c r="M21" s="83"/>
      <c r="N21" s="184"/>
      <c r="O21" s="185"/>
      <c r="P21" s="185"/>
      <c r="Q21" s="185"/>
      <c r="R21" s="185"/>
      <c r="S21" s="186"/>
      <c r="T21" s="83"/>
      <c r="U21" s="83"/>
      <c r="V21" s="181"/>
      <c r="W21" s="182"/>
      <c r="X21" s="183"/>
      <c r="Y21" s="83"/>
      <c r="Z21" s="83"/>
    </row>
    <row r="22" spans="1:26" ht="18" customHeight="1" x14ac:dyDescent="0.15">
      <c r="A22" s="21"/>
      <c r="B22" s="200"/>
      <c r="C22" s="201"/>
      <c r="D22" s="201"/>
      <c r="E22" s="201"/>
      <c r="F22" s="202"/>
      <c r="G22" s="84"/>
      <c r="H22" s="84"/>
      <c r="I22" s="203"/>
      <c r="J22" s="204"/>
      <c r="K22" s="205"/>
      <c r="L22" s="90"/>
      <c r="M22" s="90"/>
      <c r="N22" s="206"/>
      <c r="O22" s="207"/>
      <c r="P22" s="207"/>
      <c r="Q22" s="207"/>
      <c r="R22" s="207"/>
      <c r="S22" s="208"/>
      <c r="T22" s="84"/>
      <c r="U22" s="84"/>
      <c r="V22" s="203"/>
      <c r="W22" s="204"/>
      <c r="X22" s="205"/>
      <c r="Y22" s="90"/>
      <c r="Z22" s="90"/>
    </row>
    <row r="23" spans="1:26" ht="7.5" customHeight="1" x14ac:dyDescent="0.15">
      <c r="A23" s="21"/>
      <c r="B23" s="61"/>
      <c r="C23" s="61"/>
      <c r="D23" s="21"/>
      <c r="E23" s="21"/>
      <c r="F23" s="21"/>
      <c r="G23" s="21"/>
      <c r="H23" s="21"/>
      <c r="I23" s="21"/>
      <c r="J23" s="21"/>
      <c r="K23" s="21"/>
      <c r="L23" s="61"/>
      <c r="M23" s="61"/>
      <c r="N23" s="61"/>
      <c r="O23" s="61"/>
      <c r="P23" s="61"/>
      <c r="Q23" s="61"/>
      <c r="R23" s="61"/>
      <c r="S23" s="61"/>
      <c r="T23" s="61"/>
      <c r="U23" s="61"/>
      <c r="V23" s="61"/>
      <c r="W23" s="61"/>
      <c r="X23" s="61"/>
      <c r="Y23" s="61"/>
      <c r="Z23" s="21"/>
    </row>
    <row r="24" spans="1:26" ht="18" customHeight="1" x14ac:dyDescent="0.15">
      <c r="A24" s="199" t="s">
        <v>86</v>
      </c>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row>
    <row r="25" spans="1:26" ht="18" customHeight="1" x14ac:dyDescent="0.15">
      <c r="A25" s="19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row>
    <row r="26" spans="1:26" ht="18" customHeight="1" x14ac:dyDescent="0.15">
      <c r="A26" s="7"/>
      <c r="B26" s="162" t="s">
        <v>71</v>
      </c>
      <c r="C26" s="163"/>
      <c r="D26" s="163"/>
      <c r="E26" s="163"/>
      <c r="F26" s="164"/>
      <c r="G26" s="22" t="s">
        <v>101</v>
      </c>
      <c r="H26" s="81" t="s">
        <v>100</v>
      </c>
      <c r="I26" s="163" t="s">
        <v>72</v>
      </c>
      <c r="J26" s="163"/>
      <c r="K26" s="163"/>
      <c r="L26" s="60" t="s">
        <v>87</v>
      </c>
      <c r="M26" s="60" t="s">
        <v>88</v>
      </c>
      <c r="N26" s="162" t="s">
        <v>71</v>
      </c>
      <c r="O26" s="163"/>
      <c r="P26" s="163"/>
      <c r="Q26" s="163"/>
      <c r="R26" s="163"/>
      <c r="S26" s="164"/>
      <c r="T26" s="22" t="s">
        <v>101</v>
      </c>
      <c r="U26" s="81" t="s">
        <v>100</v>
      </c>
      <c r="V26" s="163" t="s">
        <v>72</v>
      </c>
      <c r="W26" s="163"/>
      <c r="X26" s="163"/>
      <c r="Y26" s="60" t="s">
        <v>87</v>
      </c>
      <c r="Z26" s="60" t="s">
        <v>88</v>
      </c>
    </row>
    <row r="27" spans="1:26" ht="18" customHeight="1" x14ac:dyDescent="0.15">
      <c r="A27" s="7"/>
      <c r="B27" s="169" t="s">
        <v>111</v>
      </c>
      <c r="C27" s="170"/>
      <c r="D27" s="170"/>
      <c r="E27" s="170"/>
      <c r="F27" s="171"/>
      <c r="G27" s="82">
        <v>2</v>
      </c>
      <c r="H27" s="82" t="s">
        <v>112</v>
      </c>
      <c r="I27" s="172" t="s">
        <v>113</v>
      </c>
      <c r="J27" s="173"/>
      <c r="K27" s="174"/>
      <c r="L27" s="82" t="s">
        <v>112</v>
      </c>
      <c r="M27" s="82" t="s">
        <v>112</v>
      </c>
      <c r="N27" s="175"/>
      <c r="O27" s="176"/>
      <c r="P27" s="176"/>
      <c r="Q27" s="176"/>
      <c r="R27" s="176"/>
      <c r="S27" s="177"/>
      <c r="T27" s="82"/>
      <c r="U27" s="82"/>
      <c r="V27" s="172"/>
      <c r="W27" s="173"/>
      <c r="X27" s="174"/>
      <c r="Y27" s="82"/>
      <c r="Z27" s="82"/>
    </row>
    <row r="28" spans="1:26" ht="18" customHeight="1" x14ac:dyDescent="0.15">
      <c r="A28" s="7"/>
      <c r="B28" s="178"/>
      <c r="C28" s="179"/>
      <c r="D28" s="179"/>
      <c r="E28" s="179"/>
      <c r="F28" s="180"/>
      <c r="G28" s="83"/>
      <c r="H28" s="83"/>
      <c r="I28" s="181"/>
      <c r="J28" s="182"/>
      <c r="K28" s="183"/>
      <c r="L28" s="83"/>
      <c r="M28" s="83"/>
      <c r="N28" s="184"/>
      <c r="O28" s="185"/>
      <c r="P28" s="185"/>
      <c r="Q28" s="185"/>
      <c r="R28" s="185"/>
      <c r="S28" s="186"/>
      <c r="T28" s="83"/>
      <c r="U28" s="83"/>
      <c r="V28" s="181"/>
      <c r="W28" s="182"/>
      <c r="X28" s="183"/>
      <c r="Y28" s="83"/>
      <c r="Z28" s="83"/>
    </row>
    <row r="29" spans="1:26" ht="18" customHeight="1" x14ac:dyDescent="0.15">
      <c r="A29" s="7"/>
      <c r="B29" s="178"/>
      <c r="C29" s="179"/>
      <c r="D29" s="179"/>
      <c r="E29" s="179"/>
      <c r="F29" s="180"/>
      <c r="G29" s="83"/>
      <c r="H29" s="83"/>
      <c r="I29" s="181"/>
      <c r="J29" s="182"/>
      <c r="K29" s="183"/>
      <c r="L29" s="83"/>
      <c r="M29" s="83"/>
      <c r="N29" s="184"/>
      <c r="O29" s="185"/>
      <c r="P29" s="185"/>
      <c r="Q29" s="185"/>
      <c r="R29" s="185"/>
      <c r="S29" s="186"/>
      <c r="T29" s="83"/>
      <c r="U29" s="83"/>
      <c r="V29" s="181"/>
      <c r="W29" s="182"/>
      <c r="X29" s="183"/>
      <c r="Y29" s="83"/>
      <c r="Z29" s="83"/>
    </row>
    <row r="30" spans="1:26" ht="18" customHeight="1" x14ac:dyDescent="0.15">
      <c r="A30" s="7"/>
      <c r="B30" s="178"/>
      <c r="C30" s="179"/>
      <c r="D30" s="179"/>
      <c r="E30" s="179"/>
      <c r="F30" s="180"/>
      <c r="G30" s="83"/>
      <c r="H30" s="83"/>
      <c r="I30" s="181"/>
      <c r="J30" s="182"/>
      <c r="K30" s="183"/>
      <c r="L30" s="83"/>
      <c r="M30" s="83"/>
      <c r="N30" s="184"/>
      <c r="O30" s="185"/>
      <c r="P30" s="185"/>
      <c r="Q30" s="185"/>
      <c r="R30" s="185"/>
      <c r="S30" s="186"/>
      <c r="T30" s="83"/>
      <c r="U30" s="83"/>
      <c r="V30" s="181"/>
      <c r="W30" s="182"/>
      <c r="X30" s="183"/>
      <c r="Y30" s="83"/>
      <c r="Z30" s="83"/>
    </row>
    <row r="31" spans="1:26" ht="18" customHeight="1" x14ac:dyDescent="0.15">
      <c r="A31" s="7"/>
      <c r="B31" s="178"/>
      <c r="C31" s="179"/>
      <c r="D31" s="179"/>
      <c r="E31" s="179"/>
      <c r="F31" s="180"/>
      <c r="G31" s="83"/>
      <c r="H31" s="83"/>
      <c r="I31" s="181"/>
      <c r="J31" s="182"/>
      <c r="K31" s="183"/>
      <c r="L31" s="83"/>
      <c r="M31" s="83"/>
      <c r="N31" s="184"/>
      <c r="O31" s="185"/>
      <c r="P31" s="185"/>
      <c r="Q31" s="185"/>
      <c r="R31" s="185"/>
      <c r="S31" s="186"/>
      <c r="T31" s="83"/>
      <c r="U31" s="83"/>
      <c r="V31" s="181"/>
      <c r="W31" s="182"/>
      <c r="X31" s="183"/>
      <c r="Y31" s="83"/>
      <c r="Z31" s="83"/>
    </row>
    <row r="32" spans="1:26" ht="18" customHeight="1" x14ac:dyDescent="0.15">
      <c r="A32" s="7"/>
      <c r="B32" s="178"/>
      <c r="C32" s="179"/>
      <c r="D32" s="179"/>
      <c r="E32" s="179"/>
      <c r="F32" s="180"/>
      <c r="G32" s="83"/>
      <c r="H32" s="83"/>
      <c r="I32" s="181"/>
      <c r="J32" s="182"/>
      <c r="K32" s="183"/>
      <c r="L32" s="83"/>
      <c r="M32" s="83"/>
      <c r="N32" s="184"/>
      <c r="O32" s="185"/>
      <c r="P32" s="185"/>
      <c r="Q32" s="185"/>
      <c r="R32" s="185"/>
      <c r="S32" s="186"/>
      <c r="T32" s="83"/>
      <c r="U32" s="83"/>
      <c r="V32" s="181"/>
      <c r="W32" s="182"/>
      <c r="X32" s="183"/>
      <c r="Y32" s="83"/>
      <c r="Z32" s="83"/>
    </row>
    <row r="33" spans="1:26" ht="18" customHeight="1" x14ac:dyDescent="0.15">
      <c r="A33" s="7"/>
      <c r="B33" s="200"/>
      <c r="C33" s="201"/>
      <c r="D33" s="201"/>
      <c r="E33" s="201"/>
      <c r="F33" s="202"/>
      <c r="G33" s="84"/>
      <c r="H33" s="84"/>
      <c r="I33" s="203"/>
      <c r="J33" s="204"/>
      <c r="K33" s="205"/>
      <c r="L33" s="90"/>
      <c r="M33" s="90"/>
      <c r="N33" s="206"/>
      <c r="O33" s="207"/>
      <c r="P33" s="207"/>
      <c r="Q33" s="207"/>
      <c r="R33" s="207"/>
      <c r="S33" s="208"/>
      <c r="T33" s="84"/>
      <c r="U33" s="84"/>
      <c r="V33" s="203"/>
      <c r="W33" s="204"/>
      <c r="X33" s="205"/>
      <c r="Y33" s="90"/>
      <c r="Z33" s="90"/>
    </row>
    <row r="34" spans="1:26" ht="7.5" customHeight="1" x14ac:dyDescent="0.15">
      <c r="A34" s="21"/>
      <c r="B34" s="61"/>
      <c r="C34" s="61"/>
      <c r="D34" s="21"/>
      <c r="E34" s="21"/>
      <c r="F34" s="21"/>
      <c r="G34" s="21"/>
      <c r="H34" s="21"/>
      <c r="I34" s="21"/>
      <c r="J34" s="21"/>
      <c r="K34" s="21"/>
      <c r="L34" s="61"/>
      <c r="M34" s="61"/>
      <c r="N34" s="61"/>
      <c r="O34" s="61"/>
      <c r="P34" s="61"/>
      <c r="Q34" s="61"/>
      <c r="R34" s="61"/>
      <c r="S34" s="61"/>
      <c r="T34" s="61"/>
      <c r="U34" s="61"/>
      <c r="V34" s="61"/>
      <c r="W34" s="61"/>
      <c r="X34" s="61"/>
      <c r="Y34" s="61"/>
      <c r="Z34" s="21"/>
    </row>
    <row r="35" spans="1:26" ht="18" customHeight="1" x14ac:dyDescent="0.15">
      <c r="A35" s="199" t="s">
        <v>89</v>
      </c>
      <c r="B35" s="199"/>
      <c r="C35" s="199"/>
      <c r="D35" s="199"/>
      <c r="E35" s="199"/>
      <c r="F35" s="199"/>
      <c r="G35" s="199"/>
      <c r="H35" s="199"/>
      <c r="I35" s="199"/>
      <c r="J35" s="199"/>
      <c r="K35" s="199"/>
      <c r="L35" s="199"/>
      <c r="M35" s="199"/>
      <c r="N35" s="199"/>
      <c r="O35" s="199"/>
      <c r="P35" s="199"/>
      <c r="Q35" s="199"/>
      <c r="R35" s="199"/>
      <c r="S35" s="199"/>
      <c r="T35" s="199"/>
      <c r="U35" s="199"/>
      <c r="V35" s="199"/>
      <c r="W35" s="199"/>
      <c r="X35" s="199"/>
      <c r="Y35" s="199"/>
      <c r="Z35" s="199"/>
    </row>
    <row r="36" spans="1:26" ht="18" customHeight="1" x14ac:dyDescent="0.15">
      <c r="A36" s="199"/>
      <c r="B36" s="199"/>
      <c r="C36" s="199"/>
      <c r="D36" s="199"/>
      <c r="E36" s="199"/>
      <c r="F36" s="199"/>
      <c r="G36" s="199"/>
      <c r="H36" s="199"/>
      <c r="I36" s="199"/>
      <c r="J36" s="199"/>
      <c r="K36" s="199"/>
      <c r="L36" s="199"/>
      <c r="M36" s="199"/>
      <c r="N36" s="199"/>
      <c r="O36" s="199"/>
      <c r="P36" s="199"/>
      <c r="Q36" s="199"/>
      <c r="R36" s="199"/>
      <c r="S36" s="199"/>
      <c r="T36" s="199"/>
      <c r="U36" s="199"/>
      <c r="V36" s="199"/>
      <c r="W36" s="199"/>
      <c r="X36" s="199"/>
      <c r="Y36" s="199"/>
      <c r="Z36" s="199"/>
    </row>
    <row r="37" spans="1:26" ht="18" customHeight="1" x14ac:dyDescent="0.15">
      <c r="A37" s="7"/>
      <c r="B37" s="162" t="s">
        <v>71</v>
      </c>
      <c r="C37" s="163"/>
      <c r="D37" s="163"/>
      <c r="E37" s="163"/>
      <c r="F37" s="164"/>
      <c r="G37" s="22" t="s">
        <v>101</v>
      </c>
      <c r="H37" s="81" t="s">
        <v>100</v>
      </c>
      <c r="I37" s="162" t="s">
        <v>72</v>
      </c>
      <c r="J37" s="163"/>
      <c r="K37" s="164"/>
      <c r="L37" s="60" t="s">
        <v>90</v>
      </c>
      <c r="M37" s="60" t="s">
        <v>91</v>
      </c>
      <c r="N37" s="162" t="s">
        <v>71</v>
      </c>
      <c r="O37" s="163"/>
      <c r="P37" s="163"/>
      <c r="Q37" s="163"/>
      <c r="R37" s="163"/>
      <c r="S37" s="164"/>
      <c r="T37" s="22" t="s">
        <v>101</v>
      </c>
      <c r="U37" s="81" t="s">
        <v>100</v>
      </c>
      <c r="V37" s="162" t="s">
        <v>72</v>
      </c>
      <c r="W37" s="163"/>
      <c r="X37" s="164"/>
      <c r="Y37" s="60" t="s">
        <v>90</v>
      </c>
      <c r="Z37" s="60" t="s">
        <v>91</v>
      </c>
    </row>
    <row r="38" spans="1:26" ht="18" customHeight="1" x14ac:dyDescent="0.15">
      <c r="A38" s="21"/>
      <c r="B38" s="169" t="s">
        <v>111</v>
      </c>
      <c r="C38" s="170"/>
      <c r="D38" s="170"/>
      <c r="E38" s="170"/>
      <c r="F38" s="171"/>
      <c r="G38" s="82">
        <v>2</v>
      </c>
      <c r="H38" s="82" t="s">
        <v>112</v>
      </c>
      <c r="I38" s="172" t="s">
        <v>113</v>
      </c>
      <c r="J38" s="173"/>
      <c r="K38" s="174"/>
      <c r="L38" s="82" t="s">
        <v>112</v>
      </c>
      <c r="M38" s="82" t="s">
        <v>112</v>
      </c>
      <c r="N38" s="175"/>
      <c r="O38" s="176"/>
      <c r="P38" s="176"/>
      <c r="Q38" s="176"/>
      <c r="R38" s="176"/>
      <c r="S38" s="177"/>
      <c r="T38" s="82"/>
      <c r="U38" s="82"/>
      <c r="V38" s="172"/>
      <c r="W38" s="173"/>
      <c r="X38" s="174"/>
      <c r="Y38" s="82"/>
      <c r="Z38" s="82"/>
    </row>
    <row r="39" spans="1:26" ht="18" customHeight="1" x14ac:dyDescent="0.15">
      <c r="A39" s="21"/>
      <c r="B39" s="178"/>
      <c r="C39" s="179"/>
      <c r="D39" s="179"/>
      <c r="E39" s="179"/>
      <c r="F39" s="180"/>
      <c r="G39" s="83"/>
      <c r="H39" s="83"/>
      <c r="I39" s="181"/>
      <c r="J39" s="182"/>
      <c r="K39" s="183"/>
      <c r="L39" s="83"/>
      <c r="M39" s="83"/>
      <c r="N39" s="184"/>
      <c r="O39" s="185"/>
      <c r="P39" s="185"/>
      <c r="Q39" s="185"/>
      <c r="R39" s="185"/>
      <c r="S39" s="186"/>
      <c r="T39" s="83"/>
      <c r="U39" s="83"/>
      <c r="V39" s="181"/>
      <c r="W39" s="182"/>
      <c r="X39" s="183"/>
      <c r="Y39" s="83"/>
      <c r="Z39" s="83"/>
    </row>
    <row r="40" spans="1:26" ht="18" customHeight="1" x14ac:dyDescent="0.15">
      <c r="A40" s="21"/>
      <c r="B40" s="178"/>
      <c r="C40" s="179"/>
      <c r="D40" s="179"/>
      <c r="E40" s="179"/>
      <c r="F40" s="180"/>
      <c r="G40" s="83"/>
      <c r="H40" s="83"/>
      <c r="I40" s="181"/>
      <c r="J40" s="182"/>
      <c r="K40" s="183"/>
      <c r="L40" s="83"/>
      <c r="M40" s="83"/>
      <c r="N40" s="184"/>
      <c r="O40" s="185"/>
      <c r="P40" s="185"/>
      <c r="Q40" s="185"/>
      <c r="R40" s="185"/>
      <c r="S40" s="186"/>
      <c r="T40" s="83"/>
      <c r="U40" s="83"/>
      <c r="V40" s="181"/>
      <c r="W40" s="182"/>
      <c r="X40" s="183"/>
      <c r="Y40" s="83"/>
      <c r="Z40" s="83"/>
    </row>
    <row r="41" spans="1:26" ht="18" customHeight="1" x14ac:dyDescent="0.15">
      <c r="A41" s="21"/>
      <c r="B41" s="178"/>
      <c r="C41" s="179"/>
      <c r="D41" s="179"/>
      <c r="E41" s="179"/>
      <c r="F41" s="180"/>
      <c r="G41" s="83"/>
      <c r="H41" s="83"/>
      <c r="I41" s="181"/>
      <c r="J41" s="182"/>
      <c r="K41" s="183"/>
      <c r="L41" s="83"/>
      <c r="M41" s="83"/>
      <c r="N41" s="184"/>
      <c r="O41" s="185"/>
      <c r="P41" s="185"/>
      <c r="Q41" s="185"/>
      <c r="R41" s="185"/>
      <c r="S41" s="186"/>
      <c r="T41" s="83"/>
      <c r="U41" s="83"/>
      <c r="V41" s="181"/>
      <c r="W41" s="182"/>
      <c r="X41" s="183"/>
      <c r="Y41" s="83"/>
      <c r="Z41" s="83"/>
    </row>
    <row r="42" spans="1:26" ht="18" customHeight="1" x14ac:dyDescent="0.15">
      <c r="A42" s="21"/>
      <c r="B42" s="178"/>
      <c r="C42" s="179"/>
      <c r="D42" s="179"/>
      <c r="E42" s="179"/>
      <c r="F42" s="180"/>
      <c r="G42" s="83"/>
      <c r="H42" s="83"/>
      <c r="I42" s="181"/>
      <c r="J42" s="182"/>
      <c r="K42" s="183"/>
      <c r="L42" s="83"/>
      <c r="M42" s="83"/>
      <c r="N42" s="184"/>
      <c r="O42" s="185"/>
      <c r="P42" s="185"/>
      <c r="Q42" s="185"/>
      <c r="R42" s="185"/>
      <c r="S42" s="186"/>
      <c r="T42" s="83"/>
      <c r="U42" s="83"/>
      <c r="V42" s="181"/>
      <c r="W42" s="182"/>
      <c r="X42" s="183"/>
      <c r="Y42" s="83"/>
      <c r="Z42" s="83"/>
    </row>
    <row r="43" spans="1:26" ht="18" customHeight="1" x14ac:dyDescent="0.15">
      <c r="A43" s="21"/>
      <c r="B43" s="178"/>
      <c r="C43" s="179"/>
      <c r="D43" s="179"/>
      <c r="E43" s="179"/>
      <c r="F43" s="180"/>
      <c r="G43" s="83"/>
      <c r="H43" s="83"/>
      <c r="I43" s="181"/>
      <c r="J43" s="182"/>
      <c r="K43" s="183"/>
      <c r="L43" s="83"/>
      <c r="M43" s="83"/>
      <c r="N43" s="184"/>
      <c r="O43" s="185"/>
      <c r="P43" s="185"/>
      <c r="Q43" s="185"/>
      <c r="R43" s="185"/>
      <c r="S43" s="186"/>
      <c r="T43" s="83"/>
      <c r="U43" s="83"/>
      <c r="V43" s="181"/>
      <c r="W43" s="182"/>
      <c r="X43" s="183"/>
      <c r="Y43" s="83"/>
      <c r="Z43" s="83"/>
    </row>
    <row r="44" spans="1:26" ht="18" customHeight="1" x14ac:dyDescent="0.15">
      <c r="A44" s="21"/>
      <c r="B44" s="200"/>
      <c r="C44" s="201"/>
      <c r="D44" s="201"/>
      <c r="E44" s="201"/>
      <c r="F44" s="202"/>
      <c r="G44" s="84"/>
      <c r="H44" s="84"/>
      <c r="I44" s="203"/>
      <c r="J44" s="204"/>
      <c r="K44" s="205"/>
      <c r="L44" s="90"/>
      <c r="M44" s="90"/>
      <c r="N44" s="206"/>
      <c r="O44" s="207"/>
      <c r="P44" s="207"/>
      <c r="Q44" s="207"/>
      <c r="R44" s="207"/>
      <c r="S44" s="208"/>
      <c r="T44" s="84"/>
      <c r="U44" s="84"/>
      <c r="V44" s="203"/>
      <c r="W44" s="204"/>
      <c r="X44" s="205"/>
      <c r="Y44" s="90"/>
      <c r="Z44" s="90"/>
    </row>
    <row r="45" spans="1:26" ht="7.5" customHeight="1" x14ac:dyDescent="0.15">
      <c r="B45" s="62"/>
      <c r="C45" s="62"/>
      <c r="D45" s="62"/>
      <c r="E45" s="62"/>
      <c r="F45" s="62"/>
      <c r="G45" s="62"/>
      <c r="H45" s="62"/>
      <c r="I45" s="62"/>
      <c r="J45" s="62"/>
      <c r="K45" s="62"/>
      <c r="L45" s="62"/>
      <c r="M45" s="62"/>
      <c r="N45" s="62"/>
      <c r="O45" s="62"/>
      <c r="P45" s="62"/>
      <c r="Q45" s="62"/>
      <c r="R45" s="62"/>
      <c r="S45" s="62"/>
      <c r="T45" s="62"/>
      <c r="U45" s="62"/>
      <c r="V45" s="62"/>
      <c r="W45" s="62"/>
      <c r="X45" s="62"/>
      <c r="Y45" s="62"/>
    </row>
    <row r="46" spans="1:26" ht="18" customHeight="1" x14ac:dyDescent="0.15">
      <c r="A46" s="199" t="s">
        <v>92</v>
      </c>
      <c r="B46" s="199"/>
      <c r="C46" s="199"/>
      <c r="D46" s="199"/>
      <c r="E46" s="199"/>
      <c r="F46" s="199"/>
      <c r="G46" s="199"/>
      <c r="H46" s="199"/>
      <c r="I46" s="199"/>
      <c r="J46" s="199"/>
      <c r="K46" s="199"/>
      <c r="L46" s="199"/>
      <c r="M46" s="199"/>
      <c r="N46" s="199"/>
      <c r="O46" s="199"/>
      <c r="P46" s="199"/>
      <c r="Q46" s="199"/>
      <c r="R46" s="199"/>
      <c r="S46" s="199"/>
      <c r="T46" s="199"/>
      <c r="U46" s="199"/>
      <c r="V46" s="199"/>
      <c r="W46" s="199"/>
      <c r="X46" s="199"/>
      <c r="Y46" s="199"/>
      <c r="Z46" s="199"/>
    </row>
    <row r="47" spans="1:26" ht="18" customHeight="1" x14ac:dyDescent="0.15">
      <c r="A47" s="199"/>
      <c r="B47" s="199"/>
      <c r="C47" s="199"/>
      <c r="D47" s="199"/>
      <c r="E47" s="199"/>
      <c r="F47" s="199"/>
      <c r="G47" s="199"/>
      <c r="H47" s="199"/>
      <c r="I47" s="199"/>
      <c r="J47" s="199"/>
      <c r="K47" s="199"/>
      <c r="L47" s="199"/>
      <c r="M47" s="199"/>
      <c r="N47" s="199"/>
      <c r="O47" s="199"/>
      <c r="P47" s="199"/>
      <c r="Q47" s="199"/>
      <c r="R47" s="199"/>
      <c r="S47" s="199"/>
      <c r="T47" s="199"/>
      <c r="U47" s="199"/>
      <c r="V47" s="199"/>
      <c r="W47" s="199"/>
      <c r="X47" s="199"/>
      <c r="Y47" s="199"/>
      <c r="Z47" s="199"/>
    </row>
    <row r="48" spans="1:26" ht="18" customHeight="1" x14ac:dyDescent="0.15">
      <c r="A48" s="7"/>
      <c r="B48" s="162" t="s">
        <v>71</v>
      </c>
      <c r="C48" s="163"/>
      <c r="D48" s="163"/>
      <c r="E48" s="163"/>
      <c r="F48" s="164"/>
      <c r="G48" s="22" t="s">
        <v>101</v>
      </c>
      <c r="H48" s="81" t="s">
        <v>100</v>
      </c>
      <c r="I48" s="162" t="s">
        <v>72</v>
      </c>
      <c r="J48" s="163"/>
      <c r="K48" s="164"/>
      <c r="L48" s="60" t="s">
        <v>77</v>
      </c>
      <c r="M48" s="60" t="s">
        <v>79</v>
      </c>
      <c r="N48" s="162" t="s">
        <v>71</v>
      </c>
      <c r="O48" s="163"/>
      <c r="P48" s="163"/>
      <c r="Q48" s="163"/>
      <c r="R48" s="163"/>
      <c r="S48" s="164"/>
      <c r="T48" s="22" t="s">
        <v>101</v>
      </c>
      <c r="U48" s="81" t="s">
        <v>100</v>
      </c>
      <c r="V48" s="162" t="s">
        <v>72</v>
      </c>
      <c r="W48" s="163"/>
      <c r="X48" s="164"/>
      <c r="Y48" s="60" t="s">
        <v>77</v>
      </c>
      <c r="Z48" s="60" t="s">
        <v>79</v>
      </c>
    </row>
    <row r="49" spans="1:26" ht="18" customHeight="1" x14ac:dyDescent="0.15">
      <c r="A49" s="21"/>
      <c r="B49" s="169" t="s">
        <v>111</v>
      </c>
      <c r="C49" s="170"/>
      <c r="D49" s="170"/>
      <c r="E49" s="170"/>
      <c r="F49" s="171"/>
      <c r="G49" s="82">
        <v>2</v>
      </c>
      <c r="H49" s="82" t="s">
        <v>112</v>
      </c>
      <c r="I49" s="172" t="s">
        <v>113</v>
      </c>
      <c r="J49" s="173"/>
      <c r="K49" s="174"/>
      <c r="L49" s="82" t="s">
        <v>112</v>
      </c>
      <c r="M49" s="82" t="s">
        <v>112</v>
      </c>
      <c r="N49" s="175"/>
      <c r="O49" s="176"/>
      <c r="P49" s="176"/>
      <c r="Q49" s="176"/>
      <c r="R49" s="176"/>
      <c r="S49" s="177"/>
      <c r="T49" s="82"/>
      <c r="U49" s="82"/>
      <c r="V49" s="172"/>
      <c r="W49" s="173"/>
      <c r="X49" s="174"/>
      <c r="Y49" s="82"/>
      <c r="Z49" s="82"/>
    </row>
    <row r="50" spans="1:26" ht="18" customHeight="1" x14ac:dyDescent="0.15">
      <c r="A50" s="21"/>
      <c r="B50" s="178"/>
      <c r="C50" s="179"/>
      <c r="D50" s="179"/>
      <c r="E50" s="179"/>
      <c r="F50" s="180"/>
      <c r="G50" s="83"/>
      <c r="H50" s="83"/>
      <c r="I50" s="181"/>
      <c r="J50" s="182"/>
      <c r="K50" s="183"/>
      <c r="L50" s="83"/>
      <c r="M50" s="83"/>
      <c r="N50" s="184"/>
      <c r="O50" s="185"/>
      <c r="P50" s="185"/>
      <c r="Q50" s="185"/>
      <c r="R50" s="185"/>
      <c r="S50" s="186"/>
      <c r="T50" s="83"/>
      <c r="U50" s="83"/>
      <c r="V50" s="181"/>
      <c r="W50" s="182"/>
      <c r="X50" s="183"/>
      <c r="Y50" s="83"/>
      <c r="Z50" s="83"/>
    </row>
    <row r="51" spans="1:26" ht="18" customHeight="1" x14ac:dyDescent="0.15">
      <c r="A51" s="21"/>
      <c r="B51" s="178"/>
      <c r="C51" s="179"/>
      <c r="D51" s="179"/>
      <c r="E51" s="179"/>
      <c r="F51" s="180"/>
      <c r="G51" s="83"/>
      <c r="H51" s="83"/>
      <c r="I51" s="181"/>
      <c r="J51" s="182"/>
      <c r="K51" s="183"/>
      <c r="L51" s="83"/>
      <c r="M51" s="83"/>
      <c r="N51" s="184"/>
      <c r="O51" s="185"/>
      <c r="P51" s="185"/>
      <c r="Q51" s="185"/>
      <c r="R51" s="185"/>
      <c r="S51" s="186"/>
      <c r="T51" s="83"/>
      <c r="U51" s="83"/>
      <c r="V51" s="181"/>
      <c r="W51" s="182"/>
      <c r="X51" s="183"/>
      <c r="Y51" s="83"/>
      <c r="Z51" s="83"/>
    </row>
    <row r="52" spans="1:26" ht="18" customHeight="1" x14ac:dyDescent="0.15">
      <c r="A52" s="21"/>
      <c r="B52" s="178"/>
      <c r="C52" s="179"/>
      <c r="D52" s="179"/>
      <c r="E52" s="179"/>
      <c r="F52" s="180"/>
      <c r="G52" s="83"/>
      <c r="H52" s="83"/>
      <c r="I52" s="181"/>
      <c r="J52" s="182"/>
      <c r="K52" s="183"/>
      <c r="L52" s="83"/>
      <c r="M52" s="83"/>
      <c r="N52" s="184"/>
      <c r="O52" s="185"/>
      <c r="P52" s="185"/>
      <c r="Q52" s="185"/>
      <c r="R52" s="185"/>
      <c r="S52" s="186"/>
      <c r="T52" s="83"/>
      <c r="U52" s="83"/>
      <c r="V52" s="181"/>
      <c r="W52" s="182"/>
      <c r="X52" s="183"/>
      <c r="Y52" s="83"/>
      <c r="Z52" s="83"/>
    </row>
    <row r="53" spans="1:26" ht="18" customHeight="1" x14ac:dyDescent="0.15">
      <c r="A53" s="21"/>
      <c r="B53" s="178"/>
      <c r="C53" s="179"/>
      <c r="D53" s="179"/>
      <c r="E53" s="179"/>
      <c r="F53" s="180"/>
      <c r="G53" s="83"/>
      <c r="H53" s="83"/>
      <c r="I53" s="181"/>
      <c r="J53" s="182"/>
      <c r="K53" s="183"/>
      <c r="L53" s="83"/>
      <c r="M53" s="83"/>
      <c r="N53" s="184"/>
      <c r="O53" s="185"/>
      <c r="P53" s="185"/>
      <c r="Q53" s="185"/>
      <c r="R53" s="185"/>
      <c r="S53" s="186"/>
      <c r="T53" s="83"/>
      <c r="U53" s="83"/>
      <c r="V53" s="181"/>
      <c r="W53" s="182"/>
      <c r="X53" s="183"/>
      <c r="Y53" s="83"/>
      <c r="Z53" s="83"/>
    </row>
    <row r="54" spans="1:26" ht="18" customHeight="1" x14ac:dyDescent="0.15">
      <c r="A54" s="21"/>
      <c r="B54" s="178"/>
      <c r="C54" s="179"/>
      <c r="D54" s="179"/>
      <c r="E54" s="179"/>
      <c r="F54" s="180"/>
      <c r="G54" s="83"/>
      <c r="H54" s="83"/>
      <c r="I54" s="181"/>
      <c r="J54" s="182"/>
      <c r="K54" s="183"/>
      <c r="L54" s="83"/>
      <c r="M54" s="83"/>
      <c r="N54" s="184"/>
      <c r="O54" s="185"/>
      <c r="P54" s="185"/>
      <c r="Q54" s="185"/>
      <c r="R54" s="185"/>
      <c r="S54" s="186"/>
      <c r="T54" s="83"/>
      <c r="U54" s="83"/>
      <c r="V54" s="181"/>
      <c r="W54" s="182"/>
      <c r="X54" s="183"/>
      <c r="Y54" s="83"/>
      <c r="Z54" s="83"/>
    </row>
    <row r="55" spans="1:26" ht="18" customHeight="1" x14ac:dyDescent="0.15">
      <c r="A55" s="21"/>
      <c r="B55" s="200"/>
      <c r="C55" s="201"/>
      <c r="D55" s="201"/>
      <c r="E55" s="201"/>
      <c r="F55" s="202"/>
      <c r="G55" s="84"/>
      <c r="H55" s="84"/>
      <c r="I55" s="203"/>
      <c r="J55" s="204"/>
      <c r="K55" s="205"/>
      <c r="L55" s="90"/>
      <c r="M55" s="90"/>
      <c r="N55" s="206"/>
      <c r="O55" s="207"/>
      <c r="P55" s="207"/>
      <c r="Q55" s="207"/>
      <c r="R55" s="207"/>
      <c r="S55" s="208"/>
      <c r="T55" s="84"/>
      <c r="U55" s="84"/>
      <c r="V55" s="203"/>
      <c r="W55" s="204"/>
      <c r="X55" s="205"/>
      <c r="Y55" s="90"/>
      <c r="Z55" s="90"/>
    </row>
    <row r="56" spans="1:26" ht="7.5" customHeight="1" x14ac:dyDescent="0.15">
      <c r="B56" s="62"/>
      <c r="C56" s="62"/>
      <c r="D56" s="62"/>
      <c r="E56" s="62"/>
      <c r="F56" s="62"/>
      <c r="G56" s="62"/>
      <c r="H56" s="62"/>
      <c r="I56" s="62"/>
      <c r="J56" s="62"/>
      <c r="K56" s="62"/>
      <c r="L56" s="62"/>
      <c r="M56" s="62"/>
      <c r="N56" s="62"/>
      <c r="O56" s="62"/>
      <c r="P56" s="62"/>
      <c r="Q56" s="62"/>
      <c r="R56" s="62"/>
      <c r="S56" s="62"/>
      <c r="T56" s="62"/>
      <c r="U56" s="62"/>
      <c r="V56" s="62"/>
      <c r="W56" s="62"/>
      <c r="X56" s="62"/>
      <c r="Y56" s="62"/>
    </row>
    <row r="57" spans="1:26" ht="18" customHeight="1" x14ac:dyDescent="0.15">
      <c r="A57" s="199" t="s">
        <v>93</v>
      </c>
      <c r="B57" s="199"/>
      <c r="C57" s="199"/>
      <c r="D57" s="199"/>
      <c r="E57" s="199"/>
      <c r="F57" s="199"/>
      <c r="G57" s="199"/>
      <c r="H57" s="199"/>
      <c r="I57" s="199"/>
      <c r="J57" s="199"/>
      <c r="K57" s="199"/>
      <c r="L57" s="199"/>
      <c r="M57" s="199"/>
      <c r="N57" s="199"/>
      <c r="O57" s="199"/>
      <c r="P57" s="199"/>
      <c r="Q57" s="199"/>
      <c r="R57" s="199"/>
      <c r="S57" s="199"/>
      <c r="T57" s="199"/>
      <c r="U57" s="199"/>
      <c r="V57" s="199"/>
      <c r="W57" s="199"/>
      <c r="X57" s="199"/>
      <c r="Y57" s="199"/>
      <c r="Z57" s="199"/>
    </row>
    <row r="58" spans="1:26" ht="18" customHeight="1" x14ac:dyDescent="0.15">
      <c r="A58" s="199"/>
      <c r="B58" s="199"/>
      <c r="C58" s="199"/>
      <c r="D58" s="199"/>
      <c r="E58" s="199"/>
      <c r="F58" s="199"/>
      <c r="G58" s="199"/>
      <c r="H58" s="199"/>
      <c r="I58" s="199"/>
      <c r="J58" s="199"/>
      <c r="K58" s="199"/>
      <c r="L58" s="199"/>
      <c r="M58" s="199"/>
      <c r="N58" s="199"/>
      <c r="O58" s="199"/>
      <c r="P58" s="199"/>
      <c r="Q58" s="199"/>
      <c r="R58" s="199"/>
      <c r="S58" s="199"/>
      <c r="T58" s="199"/>
      <c r="U58" s="199"/>
      <c r="V58" s="199"/>
      <c r="W58" s="199"/>
      <c r="X58" s="199"/>
      <c r="Y58" s="199"/>
      <c r="Z58" s="199"/>
    </row>
    <row r="59" spans="1:26" ht="18" customHeight="1" x14ac:dyDescent="0.15">
      <c r="A59" s="7"/>
      <c r="B59" s="162" t="s">
        <v>71</v>
      </c>
      <c r="C59" s="163"/>
      <c r="D59" s="163"/>
      <c r="E59" s="164"/>
      <c r="F59" s="22" t="s">
        <v>101</v>
      </c>
      <c r="G59" s="81" t="s">
        <v>100</v>
      </c>
      <c r="H59" s="76" t="s">
        <v>72</v>
      </c>
      <c r="I59" s="77"/>
      <c r="J59" s="78"/>
      <c r="K59" s="60" t="s">
        <v>76</v>
      </c>
      <c r="L59" s="60" t="s">
        <v>94</v>
      </c>
      <c r="M59" s="60" t="s">
        <v>95</v>
      </c>
      <c r="N59" s="162" t="s">
        <v>71</v>
      </c>
      <c r="O59" s="163"/>
      <c r="P59" s="163"/>
      <c r="Q59" s="163"/>
      <c r="R59" s="164"/>
      <c r="S59" s="22" t="s">
        <v>101</v>
      </c>
      <c r="T59" s="81" t="s">
        <v>100</v>
      </c>
      <c r="U59" s="76" t="s">
        <v>72</v>
      </c>
      <c r="V59" s="77"/>
      <c r="W59" s="78"/>
      <c r="X59" s="60" t="s">
        <v>76</v>
      </c>
      <c r="Y59" s="60" t="s">
        <v>94</v>
      </c>
      <c r="Z59" s="60" t="s">
        <v>95</v>
      </c>
    </row>
    <row r="60" spans="1:26" ht="18" customHeight="1" x14ac:dyDescent="0.15">
      <c r="A60" s="21"/>
      <c r="B60" s="175" t="s">
        <v>111</v>
      </c>
      <c r="C60" s="176"/>
      <c r="D60" s="176"/>
      <c r="E60" s="177"/>
      <c r="F60" s="82">
        <v>2</v>
      </c>
      <c r="G60" s="82" t="s">
        <v>112</v>
      </c>
      <c r="H60" s="172" t="s">
        <v>113</v>
      </c>
      <c r="I60" s="173"/>
      <c r="J60" s="174"/>
      <c r="K60" s="82" t="s">
        <v>112</v>
      </c>
      <c r="L60" s="82" t="s">
        <v>112</v>
      </c>
      <c r="M60" s="82" t="s">
        <v>112</v>
      </c>
      <c r="N60" s="175"/>
      <c r="O60" s="176"/>
      <c r="P60" s="176"/>
      <c r="Q60" s="176"/>
      <c r="R60" s="177"/>
      <c r="S60" s="82"/>
      <c r="T60" s="82"/>
      <c r="U60" s="172"/>
      <c r="V60" s="173"/>
      <c r="W60" s="174"/>
      <c r="X60" s="89"/>
      <c r="Y60" s="82"/>
      <c r="Z60" s="82"/>
    </row>
    <row r="61" spans="1:26" ht="18" customHeight="1" x14ac:dyDescent="0.15">
      <c r="A61" s="21"/>
      <c r="B61" s="184"/>
      <c r="C61" s="185"/>
      <c r="D61" s="185"/>
      <c r="E61" s="186"/>
      <c r="F61" s="83"/>
      <c r="G61" s="83"/>
      <c r="H61" s="181"/>
      <c r="I61" s="182"/>
      <c r="J61" s="183"/>
      <c r="K61" s="87"/>
      <c r="L61" s="83"/>
      <c r="M61" s="83"/>
      <c r="N61" s="184"/>
      <c r="O61" s="185"/>
      <c r="P61" s="185"/>
      <c r="Q61" s="185"/>
      <c r="R61" s="186"/>
      <c r="S61" s="83"/>
      <c r="T61" s="83"/>
      <c r="U61" s="181"/>
      <c r="V61" s="182"/>
      <c r="W61" s="183"/>
      <c r="X61" s="87"/>
      <c r="Y61" s="83"/>
      <c r="Z61" s="83"/>
    </row>
    <row r="62" spans="1:26" ht="18" customHeight="1" x14ac:dyDescent="0.15">
      <c r="A62" s="21"/>
      <c r="B62" s="184"/>
      <c r="C62" s="185"/>
      <c r="D62" s="185"/>
      <c r="E62" s="186"/>
      <c r="F62" s="83"/>
      <c r="G62" s="83"/>
      <c r="H62" s="181"/>
      <c r="I62" s="182"/>
      <c r="J62" s="183"/>
      <c r="K62" s="87"/>
      <c r="L62" s="83"/>
      <c r="M62" s="83"/>
      <c r="N62" s="184"/>
      <c r="O62" s="185"/>
      <c r="P62" s="185"/>
      <c r="Q62" s="185"/>
      <c r="R62" s="186"/>
      <c r="S62" s="83"/>
      <c r="T62" s="83"/>
      <c r="U62" s="181"/>
      <c r="V62" s="182"/>
      <c r="W62" s="183"/>
      <c r="X62" s="87"/>
      <c r="Y62" s="83"/>
      <c r="Z62" s="83"/>
    </row>
    <row r="63" spans="1:26" ht="18" customHeight="1" x14ac:dyDescent="0.15">
      <c r="A63" s="21"/>
      <c r="B63" s="184"/>
      <c r="C63" s="185"/>
      <c r="D63" s="185"/>
      <c r="E63" s="186"/>
      <c r="F63" s="83"/>
      <c r="G63" s="83"/>
      <c r="H63" s="181"/>
      <c r="I63" s="182"/>
      <c r="J63" s="183"/>
      <c r="K63" s="87"/>
      <c r="L63" s="83"/>
      <c r="M63" s="83"/>
      <c r="N63" s="184"/>
      <c r="O63" s="185"/>
      <c r="P63" s="185"/>
      <c r="Q63" s="185"/>
      <c r="R63" s="186"/>
      <c r="S63" s="83"/>
      <c r="T63" s="83"/>
      <c r="U63" s="181"/>
      <c r="V63" s="182"/>
      <c r="W63" s="183"/>
      <c r="X63" s="87"/>
      <c r="Y63" s="83"/>
      <c r="Z63" s="83"/>
    </row>
    <row r="64" spans="1:26" ht="18" customHeight="1" x14ac:dyDescent="0.15">
      <c r="A64" s="21"/>
      <c r="B64" s="184"/>
      <c r="C64" s="185"/>
      <c r="D64" s="185"/>
      <c r="E64" s="186"/>
      <c r="F64" s="83"/>
      <c r="G64" s="83"/>
      <c r="H64" s="181"/>
      <c r="I64" s="182"/>
      <c r="J64" s="183"/>
      <c r="K64" s="87"/>
      <c r="L64" s="83"/>
      <c r="M64" s="83"/>
      <c r="N64" s="184"/>
      <c r="O64" s="185"/>
      <c r="P64" s="185"/>
      <c r="Q64" s="185"/>
      <c r="R64" s="186"/>
      <c r="S64" s="83"/>
      <c r="T64" s="83"/>
      <c r="U64" s="181"/>
      <c r="V64" s="182"/>
      <c r="W64" s="183"/>
      <c r="X64" s="87"/>
      <c r="Y64" s="83"/>
      <c r="Z64" s="83"/>
    </row>
    <row r="65" spans="1:26" ht="18" customHeight="1" x14ac:dyDescent="0.15">
      <c r="A65" s="21"/>
      <c r="B65" s="184"/>
      <c r="C65" s="185"/>
      <c r="D65" s="185"/>
      <c r="E65" s="186"/>
      <c r="F65" s="83"/>
      <c r="G65" s="83"/>
      <c r="H65" s="181"/>
      <c r="I65" s="182"/>
      <c r="J65" s="183"/>
      <c r="K65" s="87"/>
      <c r="L65" s="83"/>
      <c r="M65" s="83"/>
      <c r="N65" s="184"/>
      <c r="O65" s="185"/>
      <c r="P65" s="185"/>
      <c r="Q65" s="185"/>
      <c r="R65" s="186"/>
      <c r="S65" s="83"/>
      <c r="T65" s="83"/>
      <c r="U65" s="181"/>
      <c r="V65" s="182"/>
      <c r="W65" s="183"/>
      <c r="X65" s="87"/>
      <c r="Y65" s="83"/>
      <c r="Z65" s="83"/>
    </row>
    <row r="66" spans="1:26" ht="18" customHeight="1" x14ac:dyDescent="0.15">
      <c r="A66" s="21"/>
      <c r="B66" s="206"/>
      <c r="C66" s="207"/>
      <c r="D66" s="207"/>
      <c r="E66" s="208"/>
      <c r="F66" s="84"/>
      <c r="G66" s="84"/>
      <c r="H66" s="203"/>
      <c r="I66" s="204"/>
      <c r="J66" s="205"/>
      <c r="K66" s="88"/>
      <c r="L66" s="90"/>
      <c r="M66" s="90"/>
      <c r="N66" s="206"/>
      <c r="O66" s="207"/>
      <c r="P66" s="207"/>
      <c r="Q66" s="207"/>
      <c r="R66" s="208"/>
      <c r="S66" s="84"/>
      <c r="T66" s="84"/>
      <c r="U66" s="203"/>
      <c r="V66" s="204"/>
      <c r="W66" s="205"/>
      <c r="X66" s="88"/>
      <c r="Y66" s="90"/>
      <c r="Z66" s="90"/>
    </row>
    <row r="67" spans="1:26" ht="7.5" customHeight="1" x14ac:dyDescent="0.15">
      <c r="B67" s="62"/>
      <c r="C67" s="62"/>
      <c r="D67" s="62"/>
      <c r="E67" s="62"/>
      <c r="F67" s="62"/>
      <c r="G67" s="62"/>
      <c r="H67" s="62"/>
      <c r="I67" s="62"/>
      <c r="J67" s="62"/>
      <c r="K67" s="62"/>
      <c r="L67" s="62"/>
      <c r="M67" s="62"/>
      <c r="N67" s="62"/>
      <c r="O67" s="62"/>
      <c r="P67" s="62"/>
      <c r="Q67" s="62"/>
      <c r="R67" s="62"/>
      <c r="S67" s="62"/>
      <c r="T67" s="62"/>
      <c r="U67" s="62"/>
      <c r="V67" s="62"/>
      <c r="W67" s="62"/>
      <c r="X67" s="62"/>
      <c r="Y67" s="62"/>
    </row>
    <row r="68" spans="1:26" ht="18" customHeight="1" x14ac:dyDescent="0.15">
      <c r="A68" s="7" t="s">
        <v>96</v>
      </c>
      <c r="B68" s="7"/>
      <c r="C68" s="7"/>
      <c r="D68" s="7"/>
      <c r="E68" s="7"/>
      <c r="F68" s="7"/>
      <c r="G68" s="7"/>
      <c r="H68" s="7"/>
      <c r="I68" s="7"/>
      <c r="J68" s="7"/>
      <c r="K68" s="7"/>
      <c r="L68" s="21"/>
      <c r="M68" s="21"/>
      <c r="N68" s="21"/>
      <c r="O68" s="21"/>
      <c r="P68" s="21"/>
      <c r="Q68" s="21"/>
      <c r="R68" s="21"/>
      <c r="S68" s="21"/>
      <c r="T68" s="21"/>
      <c r="U68" s="21"/>
      <c r="V68" s="21"/>
      <c r="W68" s="21"/>
      <c r="X68" s="21"/>
      <c r="Y68" s="21"/>
      <c r="Z68" s="21"/>
    </row>
    <row r="69" spans="1:26" ht="18" customHeight="1" x14ac:dyDescent="0.15">
      <c r="A69" s="7"/>
      <c r="B69" s="162" t="s">
        <v>71</v>
      </c>
      <c r="C69" s="163"/>
      <c r="D69" s="163"/>
      <c r="E69" s="163"/>
      <c r="F69" s="164"/>
      <c r="G69" s="162" t="s">
        <v>106</v>
      </c>
      <c r="H69" s="163"/>
      <c r="I69" s="163"/>
      <c r="J69" s="163"/>
      <c r="K69" s="163"/>
      <c r="L69" s="163"/>
      <c r="M69" s="164"/>
      <c r="N69" s="215" t="s">
        <v>71</v>
      </c>
      <c r="O69" s="216"/>
      <c r="P69" s="216"/>
      <c r="Q69" s="216"/>
      <c r="R69" s="216"/>
      <c r="S69" s="217"/>
      <c r="T69" s="162" t="s">
        <v>106</v>
      </c>
      <c r="U69" s="163"/>
      <c r="V69" s="163"/>
      <c r="W69" s="163"/>
      <c r="X69" s="163"/>
      <c r="Y69" s="163"/>
      <c r="Z69" s="164"/>
    </row>
    <row r="70" spans="1:26" ht="18" customHeight="1" x14ac:dyDescent="0.15">
      <c r="A70" s="21"/>
      <c r="B70" s="175"/>
      <c r="C70" s="176"/>
      <c r="D70" s="176"/>
      <c r="E70" s="176"/>
      <c r="F70" s="177"/>
      <c r="G70" s="209"/>
      <c r="H70" s="210"/>
      <c r="I70" s="210"/>
      <c r="J70" s="210"/>
      <c r="K70" s="210"/>
      <c r="L70" s="210"/>
      <c r="M70" s="211"/>
      <c r="N70" s="175"/>
      <c r="O70" s="176"/>
      <c r="P70" s="176"/>
      <c r="Q70" s="176"/>
      <c r="R70" s="176"/>
      <c r="S70" s="177"/>
      <c r="T70" s="209"/>
      <c r="U70" s="210"/>
      <c r="V70" s="210"/>
      <c r="W70" s="210"/>
      <c r="X70" s="210"/>
      <c r="Y70" s="210"/>
      <c r="Z70" s="211"/>
    </row>
    <row r="71" spans="1:26" ht="18" customHeight="1" x14ac:dyDescent="0.15">
      <c r="A71" s="21"/>
      <c r="B71" s="184"/>
      <c r="C71" s="185"/>
      <c r="D71" s="185"/>
      <c r="E71" s="185"/>
      <c r="F71" s="186"/>
      <c r="G71" s="212"/>
      <c r="H71" s="213"/>
      <c r="I71" s="213"/>
      <c r="J71" s="213"/>
      <c r="K71" s="213"/>
      <c r="L71" s="213"/>
      <c r="M71" s="214"/>
      <c r="N71" s="184"/>
      <c r="O71" s="185"/>
      <c r="P71" s="185"/>
      <c r="Q71" s="185"/>
      <c r="R71" s="185"/>
      <c r="S71" s="186"/>
      <c r="T71" s="212"/>
      <c r="U71" s="213"/>
      <c r="V71" s="213"/>
      <c r="W71" s="213"/>
      <c r="X71" s="213"/>
      <c r="Y71" s="213"/>
      <c r="Z71" s="214"/>
    </row>
    <row r="72" spans="1:26" ht="18" customHeight="1" x14ac:dyDescent="0.15">
      <c r="A72" s="21"/>
      <c r="B72" s="184"/>
      <c r="C72" s="185"/>
      <c r="D72" s="185"/>
      <c r="E72" s="185"/>
      <c r="F72" s="186"/>
      <c r="G72" s="212"/>
      <c r="H72" s="213"/>
      <c r="I72" s="213"/>
      <c r="J72" s="213"/>
      <c r="K72" s="213"/>
      <c r="L72" s="213"/>
      <c r="M72" s="214"/>
      <c r="N72" s="184"/>
      <c r="O72" s="185"/>
      <c r="P72" s="185"/>
      <c r="Q72" s="185"/>
      <c r="R72" s="185"/>
      <c r="S72" s="186"/>
      <c r="T72" s="212"/>
      <c r="U72" s="213"/>
      <c r="V72" s="213"/>
      <c r="W72" s="213"/>
      <c r="X72" s="213"/>
      <c r="Y72" s="213"/>
      <c r="Z72" s="214"/>
    </row>
    <row r="73" spans="1:26" ht="18" customHeight="1" x14ac:dyDescent="0.15">
      <c r="A73" s="21"/>
      <c r="B73" s="184"/>
      <c r="C73" s="185"/>
      <c r="D73" s="185"/>
      <c r="E73" s="185"/>
      <c r="F73" s="186"/>
      <c r="G73" s="212"/>
      <c r="H73" s="213"/>
      <c r="I73" s="213"/>
      <c r="J73" s="213"/>
      <c r="K73" s="213"/>
      <c r="L73" s="213"/>
      <c r="M73" s="214"/>
      <c r="N73" s="184"/>
      <c r="O73" s="185"/>
      <c r="P73" s="185"/>
      <c r="Q73" s="185"/>
      <c r="R73" s="185"/>
      <c r="S73" s="186"/>
      <c r="T73" s="212"/>
      <c r="U73" s="213"/>
      <c r="V73" s="213"/>
      <c r="W73" s="213"/>
      <c r="X73" s="213"/>
      <c r="Y73" s="213"/>
      <c r="Z73" s="214"/>
    </row>
    <row r="74" spans="1:26" ht="18" customHeight="1" x14ac:dyDescent="0.15">
      <c r="A74" s="21"/>
      <c r="B74" s="184"/>
      <c r="C74" s="185"/>
      <c r="D74" s="185"/>
      <c r="E74" s="185"/>
      <c r="F74" s="186"/>
      <c r="G74" s="212"/>
      <c r="H74" s="213"/>
      <c r="I74" s="213"/>
      <c r="J74" s="213"/>
      <c r="K74" s="213"/>
      <c r="L74" s="213"/>
      <c r="M74" s="214"/>
      <c r="N74" s="184"/>
      <c r="O74" s="185"/>
      <c r="P74" s="185"/>
      <c r="Q74" s="185"/>
      <c r="R74" s="185"/>
      <c r="S74" s="186"/>
      <c r="T74" s="212"/>
      <c r="U74" s="213"/>
      <c r="V74" s="213"/>
      <c r="W74" s="213"/>
      <c r="X74" s="213"/>
      <c r="Y74" s="213"/>
      <c r="Z74" s="214"/>
    </row>
    <row r="75" spans="1:26" ht="18" customHeight="1" x14ac:dyDescent="0.15">
      <c r="A75" s="21"/>
      <c r="B75" s="184"/>
      <c r="C75" s="185"/>
      <c r="D75" s="185"/>
      <c r="E75" s="185"/>
      <c r="F75" s="186"/>
      <c r="G75" s="212"/>
      <c r="H75" s="213"/>
      <c r="I75" s="213"/>
      <c r="J75" s="213"/>
      <c r="K75" s="213"/>
      <c r="L75" s="213"/>
      <c r="M75" s="214"/>
      <c r="N75" s="184"/>
      <c r="O75" s="185"/>
      <c r="P75" s="185"/>
      <c r="Q75" s="185"/>
      <c r="R75" s="185"/>
      <c r="S75" s="186"/>
      <c r="T75" s="212"/>
      <c r="U75" s="213"/>
      <c r="V75" s="213"/>
      <c r="W75" s="213"/>
      <c r="X75" s="213"/>
      <c r="Y75" s="213"/>
      <c r="Z75" s="214"/>
    </row>
    <row r="76" spans="1:26" ht="18" customHeight="1" x14ac:dyDescent="0.15">
      <c r="A76" s="21"/>
      <c r="B76" s="206"/>
      <c r="C76" s="207"/>
      <c r="D76" s="207"/>
      <c r="E76" s="207"/>
      <c r="F76" s="208"/>
      <c r="G76" s="226"/>
      <c r="H76" s="227"/>
      <c r="I76" s="227"/>
      <c r="J76" s="227"/>
      <c r="K76" s="227"/>
      <c r="L76" s="227"/>
      <c r="M76" s="228"/>
      <c r="N76" s="206"/>
      <c r="O76" s="207"/>
      <c r="P76" s="207"/>
      <c r="Q76" s="207"/>
      <c r="R76" s="207"/>
      <c r="S76" s="208"/>
      <c r="T76" s="226"/>
      <c r="U76" s="227"/>
      <c r="V76" s="227"/>
      <c r="W76" s="227"/>
      <c r="X76" s="227"/>
      <c r="Y76" s="227"/>
      <c r="Z76" s="228"/>
    </row>
    <row r="77" spans="1:26" ht="18" customHeight="1" x14ac:dyDescent="0.15">
      <c r="A77" s="21"/>
      <c r="B77" s="57"/>
      <c r="C77" s="57"/>
      <c r="D77" s="57"/>
      <c r="E77" s="57"/>
      <c r="F77" s="57"/>
      <c r="G77" s="5"/>
      <c r="H77" s="5"/>
      <c r="I77" s="5"/>
      <c r="J77" s="5"/>
      <c r="K77" s="5"/>
      <c r="L77" s="5"/>
      <c r="M77" s="5"/>
      <c r="N77" s="57"/>
      <c r="O77" s="57"/>
      <c r="P77" s="57"/>
      <c r="Q77" s="57"/>
      <c r="R77" s="57"/>
      <c r="S77" s="57"/>
      <c r="T77" s="5"/>
      <c r="U77" s="5"/>
      <c r="V77" s="5"/>
      <c r="W77" s="5"/>
      <c r="X77" s="5"/>
      <c r="Y77" s="5"/>
      <c r="Z77" s="5"/>
    </row>
    <row r="78" spans="1:26" ht="18.75" customHeight="1" x14ac:dyDescent="0.15">
      <c r="A78" s="6" t="s">
        <v>102</v>
      </c>
    </row>
    <row r="79" spans="1:26" ht="18.75" customHeight="1" x14ac:dyDescent="0.15">
      <c r="B79" s="63" t="s">
        <v>73</v>
      </c>
      <c r="C79" s="64"/>
      <c r="D79" s="229" t="s">
        <v>74</v>
      </c>
      <c r="E79" s="229"/>
      <c r="F79" s="229"/>
      <c r="G79" s="229"/>
      <c r="H79" s="229"/>
      <c r="I79" s="229"/>
      <c r="J79" s="229"/>
      <c r="K79" s="229"/>
      <c r="L79" s="229"/>
      <c r="M79" s="229"/>
      <c r="N79" s="229"/>
      <c r="O79" s="229"/>
      <c r="P79" s="229"/>
      <c r="Q79" s="229"/>
      <c r="R79" s="229"/>
      <c r="S79" s="229"/>
      <c r="T79" s="229"/>
      <c r="U79" s="229"/>
      <c r="V79" s="229"/>
      <c r="W79" s="229"/>
      <c r="X79" s="229"/>
      <c r="Y79" s="229"/>
      <c r="Z79" s="230"/>
    </row>
    <row r="80" spans="1:26" ht="78" customHeight="1" x14ac:dyDescent="0.15">
      <c r="B80" s="231" t="s">
        <v>80</v>
      </c>
      <c r="C80" s="68" t="s">
        <v>75</v>
      </c>
      <c r="D80" s="264" t="s">
        <v>146</v>
      </c>
      <c r="E80" s="234"/>
      <c r="F80" s="234"/>
      <c r="G80" s="234"/>
      <c r="H80" s="234"/>
      <c r="I80" s="234"/>
      <c r="J80" s="234"/>
      <c r="K80" s="234"/>
      <c r="L80" s="234"/>
      <c r="M80" s="234"/>
      <c r="N80" s="234"/>
      <c r="O80" s="234"/>
      <c r="P80" s="234"/>
      <c r="Q80" s="234"/>
      <c r="R80" s="234"/>
      <c r="S80" s="234"/>
      <c r="T80" s="234"/>
      <c r="U80" s="234"/>
      <c r="V80" s="234"/>
      <c r="W80" s="234"/>
      <c r="X80" s="234"/>
      <c r="Y80" s="234"/>
      <c r="Z80" s="235"/>
    </row>
    <row r="81" spans="1:26" ht="78" customHeight="1" x14ac:dyDescent="0.15">
      <c r="B81" s="232"/>
      <c r="C81" s="79" t="s">
        <v>97</v>
      </c>
      <c r="D81" s="265" t="s">
        <v>151</v>
      </c>
      <c r="E81" s="266"/>
      <c r="F81" s="266"/>
      <c r="G81" s="266"/>
      <c r="H81" s="266"/>
      <c r="I81" s="266"/>
      <c r="J81" s="266"/>
      <c r="K81" s="266"/>
      <c r="L81" s="266"/>
      <c r="M81" s="266"/>
      <c r="N81" s="266"/>
      <c r="O81" s="266"/>
      <c r="P81" s="266"/>
      <c r="Q81" s="266"/>
      <c r="R81" s="266"/>
      <c r="S81" s="266"/>
      <c r="T81" s="266"/>
      <c r="U81" s="266"/>
      <c r="V81" s="266"/>
      <c r="W81" s="266"/>
      <c r="X81" s="266"/>
      <c r="Y81" s="266"/>
      <c r="Z81" s="267"/>
    </row>
    <row r="82" spans="1:26" ht="78" customHeight="1" x14ac:dyDescent="0.15">
      <c r="B82" s="218" t="s">
        <v>81</v>
      </c>
      <c r="C82" s="65" t="s">
        <v>87</v>
      </c>
      <c r="D82" s="268" t="s">
        <v>152</v>
      </c>
      <c r="E82" s="269"/>
      <c r="F82" s="269"/>
      <c r="G82" s="269"/>
      <c r="H82" s="269"/>
      <c r="I82" s="269"/>
      <c r="J82" s="269"/>
      <c r="K82" s="269"/>
      <c r="L82" s="269"/>
      <c r="M82" s="269"/>
      <c r="N82" s="269"/>
      <c r="O82" s="269"/>
      <c r="P82" s="269"/>
      <c r="Q82" s="269"/>
      <c r="R82" s="269"/>
      <c r="S82" s="269"/>
      <c r="T82" s="269"/>
      <c r="U82" s="269"/>
      <c r="V82" s="269"/>
      <c r="W82" s="269"/>
      <c r="X82" s="269"/>
      <c r="Y82" s="269"/>
      <c r="Z82" s="270"/>
    </row>
    <row r="83" spans="1:26" ht="78" customHeight="1" x14ac:dyDescent="0.15">
      <c r="B83" s="219"/>
      <c r="C83" s="80" t="s">
        <v>88</v>
      </c>
      <c r="D83" s="250" t="s">
        <v>144</v>
      </c>
      <c r="E83" s="250"/>
      <c r="F83" s="250"/>
      <c r="G83" s="250"/>
      <c r="H83" s="250"/>
      <c r="I83" s="250"/>
      <c r="J83" s="250"/>
      <c r="K83" s="250"/>
      <c r="L83" s="250"/>
      <c r="M83" s="250"/>
      <c r="N83" s="250"/>
      <c r="O83" s="250"/>
      <c r="P83" s="250"/>
      <c r="Q83" s="250"/>
      <c r="R83" s="250"/>
      <c r="S83" s="250"/>
      <c r="T83" s="250"/>
      <c r="U83" s="250"/>
      <c r="V83" s="250"/>
      <c r="W83" s="250"/>
      <c r="X83" s="250"/>
      <c r="Y83" s="250"/>
      <c r="Z83" s="251"/>
    </row>
    <row r="84" spans="1:26" ht="66" customHeight="1" x14ac:dyDescent="0.15">
      <c r="B84" s="218" t="s">
        <v>82</v>
      </c>
      <c r="C84" s="65" t="s">
        <v>90</v>
      </c>
      <c r="D84" s="269" t="s">
        <v>143</v>
      </c>
      <c r="E84" s="269"/>
      <c r="F84" s="269"/>
      <c r="G84" s="269"/>
      <c r="H84" s="269"/>
      <c r="I84" s="269"/>
      <c r="J84" s="269"/>
      <c r="K84" s="269"/>
      <c r="L84" s="269"/>
      <c r="M84" s="269"/>
      <c r="N84" s="269"/>
      <c r="O84" s="269"/>
      <c r="P84" s="269"/>
      <c r="Q84" s="269"/>
      <c r="R84" s="269"/>
      <c r="S84" s="269"/>
      <c r="T84" s="269"/>
      <c r="U84" s="269"/>
      <c r="V84" s="269"/>
      <c r="W84" s="269"/>
      <c r="X84" s="269"/>
      <c r="Y84" s="269"/>
      <c r="Z84" s="270"/>
    </row>
    <row r="85" spans="1:26" ht="66" customHeight="1" x14ac:dyDescent="0.15">
      <c r="B85" s="219"/>
      <c r="C85" s="67" t="s">
        <v>91</v>
      </c>
      <c r="D85" s="223" t="s">
        <v>114</v>
      </c>
      <c r="E85" s="224"/>
      <c r="F85" s="224"/>
      <c r="G85" s="224"/>
      <c r="H85" s="224"/>
      <c r="I85" s="224"/>
      <c r="J85" s="224"/>
      <c r="K85" s="224"/>
      <c r="L85" s="224"/>
      <c r="M85" s="224"/>
      <c r="N85" s="224"/>
      <c r="O85" s="224"/>
      <c r="P85" s="224"/>
      <c r="Q85" s="224"/>
      <c r="R85" s="224"/>
      <c r="S85" s="224"/>
      <c r="T85" s="224"/>
      <c r="U85" s="224"/>
      <c r="V85" s="224"/>
      <c r="W85" s="224"/>
      <c r="X85" s="224"/>
      <c r="Y85" s="224"/>
      <c r="Z85" s="225"/>
    </row>
    <row r="86" spans="1:26" ht="66" customHeight="1" x14ac:dyDescent="0.15">
      <c r="B86" s="231" t="s">
        <v>98</v>
      </c>
      <c r="C86" s="68" t="s">
        <v>77</v>
      </c>
      <c r="D86" s="233" t="s">
        <v>115</v>
      </c>
      <c r="E86" s="234"/>
      <c r="F86" s="234"/>
      <c r="G86" s="234"/>
      <c r="H86" s="234"/>
      <c r="I86" s="234"/>
      <c r="J86" s="234"/>
      <c r="K86" s="234"/>
      <c r="L86" s="234"/>
      <c r="M86" s="234"/>
      <c r="N86" s="234"/>
      <c r="O86" s="234"/>
      <c r="P86" s="234"/>
      <c r="Q86" s="234"/>
      <c r="R86" s="234"/>
      <c r="S86" s="234"/>
      <c r="T86" s="234"/>
      <c r="U86" s="234"/>
      <c r="V86" s="234"/>
      <c r="W86" s="234"/>
      <c r="X86" s="234"/>
      <c r="Y86" s="234"/>
      <c r="Z86" s="235"/>
    </row>
    <row r="87" spans="1:26" ht="66" customHeight="1" x14ac:dyDescent="0.15">
      <c r="B87" s="248"/>
      <c r="C87" s="66" t="s">
        <v>79</v>
      </c>
      <c r="D87" s="249" t="s">
        <v>115</v>
      </c>
      <c r="E87" s="250"/>
      <c r="F87" s="250"/>
      <c r="G87" s="250"/>
      <c r="H87" s="250"/>
      <c r="I87" s="250"/>
      <c r="J87" s="250"/>
      <c r="K87" s="250"/>
      <c r="L87" s="250"/>
      <c r="M87" s="250"/>
      <c r="N87" s="250"/>
      <c r="O87" s="250"/>
      <c r="P87" s="250"/>
      <c r="Q87" s="250"/>
      <c r="R87" s="250"/>
      <c r="S87" s="250"/>
      <c r="T87" s="250"/>
      <c r="U87" s="250"/>
      <c r="V87" s="250"/>
      <c r="W87" s="250"/>
      <c r="X87" s="250"/>
      <c r="Y87" s="250"/>
      <c r="Z87" s="251"/>
    </row>
    <row r="88" spans="1:26" ht="66" customHeight="1" x14ac:dyDescent="0.15">
      <c r="B88" s="231" t="s">
        <v>99</v>
      </c>
      <c r="C88" s="65" t="s">
        <v>76</v>
      </c>
      <c r="D88" s="252" t="s">
        <v>116</v>
      </c>
      <c r="E88" s="252"/>
      <c r="F88" s="252"/>
      <c r="G88" s="252"/>
      <c r="H88" s="252"/>
      <c r="I88" s="252"/>
      <c r="J88" s="252"/>
      <c r="K88" s="252"/>
      <c r="L88" s="252"/>
      <c r="M88" s="252"/>
      <c r="N88" s="252"/>
      <c r="O88" s="252"/>
      <c r="P88" s="252"/>
      <c r="Q88" s="252"/>
      <c r="R88" s="252"/>
      <c r="S88" s="252"/>
      <c r="T88" s="252"/>
      <c r="U88" s="252"/>
      <c r="V88" s="252"/>
      <c r="W88" s="252"/>
      <c r="X88" s="252"/>
      <c r="Y88" s="252"/>
      <c r="Z88" s="253"/>
    </row>
    <row r="89" spans="1:26" ht="66" customHeight="1" x14ac:dyDescent="0.15">
      <c r="B89" s="232"/>
      <c r="C89" s="66" t="s">
        <v>94</v>
      </c>
      <c r="D89" s="260" t="s">
        <v>149</v>
      </c>
      <c r="E89" s="261"/>
      <c r="F89" s="261"/>
      <c r="G89" s="261"/>
      <c r="H89" s="261"/>
      <c r="I89" s="261"/>
      <c r="J89" s="261"/>
      <c r="K89" s="261"/>
      <c r="L89" s="261"/>
      <c r="M89" s="261"/>
      <c r="N89" s="261"/>
      <c r="O89" s="261"/>
      <c r="P89" s="261"/>
      <c r="Q89" s="261"/>
      <c r="R89" s="261"/>
      <c r="S89" s="261"/>
      <c r="T89" s="261"/>
      <c r="U89" s="261"/>
      <c r="V89" s="261"/>
      <c r="W89" s="261"/>
      <c r="X89" s="261"/>
      <c r="Y89" s="261"/>
      <c r="Z89" s="262"/>
    </row>
    <row r="90" spans="1:26" ht="66" customHeight="1" x14ac:dyDescent="0.15">
      <c r="B90" s="219"/>
      <c r="C90" s="67" t="s">
        <v>95</v>
      </c>
      <c r="D90" s="263" t="s">
        <v>150</v>
      </c>
      <c r="E90" s="258"/>
      <c r="F90" s="258"/>
      <c r="G90" s="258"/>
      <c r="H90" s="258"/>
      <c r="I90" s="258"/>
      <c r="J90" s="258"/>
      <c r="K90" s="258"/>
      <c r="L90" s="258"/>
      <c r="M90" s="258"/>
      <c r="N90" s="258"/>
      <c r="O90" s="258"/>
      <c r="P90" s="258"/>
      <c r="Q90" s="258"/>
      <c r="R90" s="258"/>
      <c r="S90" s="258"/>
      <c r="T90" s="258"/>
      <c r="U90" s="258"/>
      <c r="V90" s="258"/>
      <c r="W90" s="258"/>
      <c r="X90" s="258"/>
      <c r="Y90" s="258"/>
      <c r="Z90" s="259"/>
    </row>
    <row r="91" spans="1:26" ht="6" customHeight="1" x14ac:dyDescent="0.15"/>
    <row r="92" spans="1:26" ht="18.75" customHeight="1" x14ac:dyDescent="0.15">
      <c r="A92" s="6" t="s">
        <v>103</v>
      </c>
    </row>
    <row r="93" spans="1:26" ht="18.75" customHeight="1" x14ac:dyDescent="0.15">
      <c r="B93" s="239" t="s">
        <v>117</v>
      </c>
      <c r="C93" s="240"/>
      <c r="D93" s="240"/>
      <c r="E93" s="240"/>
      <c r="F93" s="240"/>
      <c r="G93" s="240"/>
      <c r="H93" s="240"/>
      <c r="I93" s="240"/>
      <c r="J93" s="240"/>
      <c r="K93" s="240"/>
      <c r="L93" s="240"/>
      <c r="M93" s="240"/>
      <c r="N93" s="240"/>
      <c r="O93" s="240"/>
      <c r="P93" s="240"/>
      <c r="Q93" s="240"/>
      <c r="R93" s="240"/>
      <c r="S93" s="240"/>
      <c r="T93" s="240"/>
      <c r="U93" s="240"/>
      <c r="V93" s="240"/>
      <c r="W93" s="240"/>
      <c r="X93" s="240"/>
      <c r="Y93" s="240"/>
      <c r="Z93" s="241"/>
    </row>
    <row r="94" spans="1:26" ht="18.75" customHeight="1" x14ac:dyDescent="0.15">
      <c r="B94" s="242"/>
      <c r="C94" s="243"/>
      <c r="D94" s="243"/>
      <c r="E94" s="243"/>
      <c r="F94" s="243"/>
      <c r="G94" s="243"/>
      <c r="H94" s="243"/>
      <c r="I94" s="243"/>
      <c r="J94" s="243"/>
      <c r="K94" s="243"/>
      <c r="L94" s="243"/>
      <c r="M94" s="243"/>
      <c r="N94" s="243"/>
      <c r="O94" s="243"/>
      <c r="P94" s="243"/>
      <c r="Q94" s="243"/>
      <c r="R94" s="243"/>
      <c r="S94" s="243"/>
      <c r="T94" s="243"/>
      <c r="U94" s="243"/>
      <c r="V94" s="243"/>
      <c r="W94" s="243"/>
      <c r="X94" s="243"/>
      <c r="Y94" s="243"/>
      <c r="Z94" s="244"/>
    </row>
    <row r="95" spans="1:26" ht="18.75" customHeight="1" x14ac:dyDescent="0.15">
      <c r="B95" s="245"/>
      <c r="C95" s="246"/>
      <c r="D95" s="246"/>
      <c r="E95" s="246"/>
      <c r="F95" s="246"/>
      <c r="G95" s="246"/>
      <c r="H95" s="246"/>
      <c r="I95" s="246"/>
      <c r="J95" s="246"/>
      <c r="K95" s="246"/>
      <c r="L95" s="246"/>
      <c r="M95" s="246"/>
      <c r="N95" s="246"/>
      <c r="O95" s="246"/>
      <c r="P95" s="246"/>
      <c r="Q95" s="246"/>
      <c r="R95" s="246"/>
      <c r="S95" s="246"/>
      <c r="T95" s="246"/>
      <c r="U95" s="246"/>
      <c r="V95" s="246"/>
      <c r="W95" s="246"/>
      <c r="X95" s="246"/>
      <c r="Y95" s="246"/>
      <c r="Z95" s="247"/>
    </row>
    <row r="96" spans="1:26" ht="6" customHeight="1" x14ac:dyDescent="0.15"/>
    <row r="97" spans="1:26" ht="15" customHeight="1" x14ac:dyDescent="0.15">
      <c r="A97" s="6" t="s">
        <v>104</v>
      </c>
    </row>
    <row r="98" spans="1:26" ht="15" customHeight="1" x14ac:dyDescent="0.15">
      <c r="B98" s="347" t="s">
        <v>226</v>
      </c>
      <c r="C98" s="348"/>
      <c r="D98" s="348"/>
      <c r="E98" s="348"/>
      <c r="F98" s="348"/>
      <c r="G98" s="348"/>
      <c r="H98" s="348"/>
      <c r="I98" s="348"/>
      <c r="J98" s="348"/>
      <c r="K98" s="348"/>
      <c r="L98" s="348"/>
      <c r="M98" s="348"/>
      <c r="N98" s="348"/>
      <c r="O98" s="348"/>
      <c r="P98" s="348"/>
      <c r="Q98" s="348"/>
      <c r="R98" s="348"/>
      <c r="S98" s="348"/>
      <c r="T98" s="348"/>
      <c r="U98" s="348"/>
      <c r="V98" s="348"/>
      <c r="W98" s="348"/>
      <c r="X98" s="348"/>
      <c r="Y98" s="348"/>
      <c r="Z98" s="349"/>
    </row>
    <row r="99" spans="1:26" ht="18.75" customHeight="1" x14ac:dyDescent="0.15">
      <c r="B99" s="95"/>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2"/>
  <dataValidations count="4">
    <dataValidation type="list" allowBlank="1" showInputMessage="1" showErrorMessage="1" sqref="Y16:Z22 L16:M22 Y27:Z33 H27:H33 H38:H44 Y38:Z44 H49:H55 Y49:Z55 Y60:Z66 G60:G66 H16:H22 U16:U22 T60:T66 U27:U33 L27:M33 U38:U44 L38:M44 U49:U55 L49:M55 M60:M66 L61:L66 K60:L60">
      <formula1>"○"</formula1>
    </dataValidation>
    <dataValidation type="list" allowBlank="1" showInputMessage="1" showErrorMessage="1" sqref="Z23 Z34 D34:K34 D23:K23 V16:V22 I16:I22 V27:V33 I49:I55 V38:V44 I27:I33 V49:V55 I38:I44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15" zoomScaleSheetLayoutView="100" zoomScalePageLayoutView="115" workbookViewId="0">
      <selection activeCell="R31" sqref="R31"/>
    </sheetView>
  </sheetViews>
  <sheetFormatPr defaultColWidth="9" defaultRowHeight="18.75" customHeight="1" x14ac:dyDescent="0.15"/>
  <cols>
    <col min="1" max="1" width="2.625" style="1" customWidth="1"/>
    <col min="2" max="2" width="30" style="1" customWidth="1"/>
    <col min="3" max="17" width="6.125" style="1" customWidth="1"/>
    <col min="18" max="18" width="6.625" style="1" customWidth="1"/>
    <col min="19" max="16384" width="9" style="1"/>
  </cols>
  <sheetData>
    <row r="1" spans="1:20" ht="18" customHeight="1" x14ac:dyDescent="0.15">
      <c r="F1" s="271" t="s">
        <v>41</v>
      </c>
      <c r="G1" s="271"/>
      <c r="H1" s="271"/>
      <c r="I1" s="271"/>
      <c r="J1" s="271"/>
      <c r="K1" s="271"/>
      <c r="L1" s="271"/>
      <c r="M1" s="271"/>
      <c r="N1" s="271"/>
      <c r="O1" s="271"/>
      <c r="P1" s="271"/>
      <c r="Q1" s="271"/>
      <c r="R1" s="271"/>
    </row>
    <row r="2" spans="1:20" ht="18" customHeight="1" x14ac:dyDescent="0.15">
      <c r="A2" s="272" t="s">
        <v>60</v>
      </c>
      <c r="B2" s="272"/>
      <c r="C2" s="272"/>
      <c r="D2" s="272"/>
      <c r="E2" s="272"/>
      <c r="F2" s="272"/>
      <c r="G2" s="272"/>
      <c r="H2" s="272"/>
      <c r="I2" s="272"/>
      <c r="J2" s="272"/>
      <c r="K2" s="272"/>
      <c r="L2" s="272"/>
      <c r="M2" s="272"/>
      <c r="N2" s="272"/>
      <c r="O2" s="272"/>
      <c r="P2" s="272"/>
      <c r="Q2" s="272"/>
      <c r="R2" s="272"/>
      <c r="S2" s="2"/>
    </row>
    <row r="3" spans="1:20" ht="7.5" customHeight="1" x14ac:dyDescent="0.15">
      <c r="A3" s="27"/>
      <c r="B3" s="27"/>
      <c r="C3" s="27"/>
      <c r="D3" s="27"/>
      <c r="E3" s="27"/>
      <c r="F3" s="27"/>
      <c r="G3" s="27"/>
      <c r="H3" s="27"/>
      <c r="I3" s="27"/>
      <c r="J3" s="27"/>
      <c r="K3" s="27"/>
      <c r="L3" s="27"/>
      <c r="M3" s="27"/>
      <c r="N3" s="27"/>
      <c r="O3" s="27"/>
      <c r="P3" s="27"/>
      <c r="Q3" s="27"/>
      <c r="R3" s="27"/>
    </row>
    <row r="4" spans="1:20" ht="18" customHeight="1" x14ac:dyDescent="0.15">
      <c r="A4" s="2" t="s">
        <v>107</v>
      </c>
      <c r="B4" s="2"/>
      <c r="C4" s="273" t="str">
        <f>'様式１　大学等概要'!E12</f>
        <v>令和3</v>
      </c>
      <c r="D4" s="274"/>
      <c r="E4" s="27" t="s">
        <v>84</v>
      </c>
      <c r="F4" s="27"/>
      <c r="G4" s="27"/>
      <c r="H4" s="27"/>
      <c r="I4" s="27"/>
      <c r="J4" s="69"/>
      <c r="K4" s="27"/>
      <c r="L4" s="27"/>
      <c r="M4" s="85"/>
      <c r="N4" s="85"/>
      <c r="O4" s="85"/>
      <c r="P4" s="85"/>
      <c r="Q4" s="85"/>
      <c r="R4" s="85"/>
    </row>
    <row r="5" spans="1:20" ht="6" customHeight="1" x14ac:dyDescent="0.15">
      <c r="A5" s="27"/>
      <c r="B5" s="27"/>
      <c r="C5" s="27"/>
      <c r="D5" s="27"/>
      <c r="E5" s="27"/>
      <c r="F5" s="27"/>
      <c r="G5" s="27"/>
      <c r="H5" s="27"/>
      <c r="I5" s="27"/>
      <c r="J5" s="27"/>
      <c r="K5" s="27"/>
      <c r="L5" s="27"/>
      <c r="M5" s="27"/>
      <c r="N5" s="27"/>
      <c r="O5" s="27"/>
      <c r="P5" s="27"/>
      <c r="Q5" s="27"/>
      <c r="R5" s="27"/>
    </row>
    <row r="6" spans="1:20" ht="18" customHeight="1" x14ac:dyDescent="0.15">
      <c r="A6" s="2" t="s">
        <v>105</v>
      </c>
      <c r="B6" s="27"/>
      <c r="C6" s="27"/>
      <c r="D6" s="27"/>
      <c r="E6" s="27"/>
      <c r="F6" s="27"/>
      <c r="G6" s="27"/>
      <c r="H6" s="27"/>
      <c r="I6" s="27"/>
      <c r="J6" s="27"/>
      <c r="K6" s="27"/>
      <c r="L6" s="27"/>
      <c r="M6" s="27"/>
      <c r="N6" s="27"/>
      <c r="O6" s="27"/>
      <c r="P6" s="27"/>
      <c r="Q6" s="27"/>
      <c r="R6" s="27"/>
    </row>
    <row r="7" spans="1:20" ht="6" customHeight="1" x14ac:dyDescent="0.15">
      <c r="A7" s="2"/>
      <c r="B7" s="27"/>
      <c r="C7" s="27"/>
      <c r="D7" s="27"/>
      <c r="E7" s="27"/>
      <c r="F7" s="27"/>
      <c r="G7" s="27"/>
      <c r="H7" s="27"/>
      <c r="I7" s="27"/>
      <c r="J7" s="27"/>
      <c r="K7" s="27"/>
      <c r="L7" s="27"/>
      <c r="M7" s="27"/>
      <c r="N7" s="27"/>
      <c r="O7" s="27"/>
      <c r="P7" s="27"/>
      <c r="Q7" s="27"/>
      <c r="R7" s="27"/>
    </row>
    <row r="8" spans="1:20" ht="18" customHeight="1" x14ac:dyDescent="0.15">
      <c r="B8" s="275" t="s">
        <v>51</v>
      </c>
      <c r="C8" s="277" t="s">
        <v>55</v>
      </c>
      <c r="D8" s="279" t="s">
        <v>43</v>
      </c>
      <c r="E8" s="281" t="s">
        <v>61</v>
      </c>
      <c r="F8" s="281"/>
      <c r="G8" s="281" t="s">
        <v>62</v>
      </c>
      <c r="H8" s="281"/>
      <c r="I8" s="281" t="s">
        <v>63</v>
      </c>
      <c r="J8" s="281"/>
      <c r="K8" s="282" t="s">
        <v>64</v>
      </c>
      <c r="L8" s="283"/>
      <c r="M8" s="282" t="s">
        <v>65</v>
      </c>
      <c r="N8" s="283"/>
      <c r="O8" s="282" t="s">
        <v>66</v>
      </c>
      <c r="P8" s="283"/>
      <c r="Q8" s="284" t="s">
        <v>40</v>
      </c>
      <c r="R8" s="286" t="s">
        <v>34</v>
      </c>
      <c r="T8" s="24"/>
    </row>
    <row r="9" spans="1:20" ht="18" customHeight="1" x14ac:dyDescent="0.15">
      <c r="A9" s="2"/>
      <c r="B9" s="276"/>
      <c r="C9" s="278"/>
      <c r="D9" s="280"/>
      <c r="E9" s="28" t="s">
        <v>22</v>
      </c>
      <c r="F9" s="29" t="s">
        <v>21</v>
      </c>
      <c r="G9" s="30" t="s">
        <v>22</v>
      </c>
      <c r="H9" s="31" t="s">
        <v>21</v>
      </c>
      <c r="I9" s="28" t="s">
        <v>22</v>
      </c>
      <c r="J9" s="29" t="s">
        <v>21</v>
      </c>
      <c r="K9" s="30" t="s">
        <v>22</v>
      </c>
      <c r="L9" s="31" t="s">
        <v>21</v>
      </c>
      <c r="M9" s="28" t="s">
        <v>22</v>
      </c>
      <c r="N9" s="29" t="s">
        <v>21</v>
      </c>
      <c r="O9" s="30" t="s">
        <v>22</v>
      </c>
      <c r="P9" s="31" t="s">
        <v>21</v>
      </c>
      <c r="Q9" s="285"/>
      <c r="R9" s="287"/>
      <c r="T9" s="24"/>
    </row>
    <row r="10" spans="1:20" ht="18" customHeight="1" x14ac:dyDescent="0.15">
      <c r="A10" s="32"/>
      <c r="B10" s="70" t="s">
        <v>137</v>
      </c>
      <c r="C10" s="32">
        <v>50</v>
      </c>
      <c r="D10" s="33">
        <v>200</v>
      </c>
      <c r="E10" s="34">
        <v>56</v>
      </c>
      <c r="F10" s="35">
        <v>45</v>
      </c>
      <c r="G10" s="36"/>
      <c r="H10" s="37"/>
      <c r="I10" s="34"/>
      <c r="J10" s="35"/>
      <c r="K10" s="36"/>
      <c r="L10" s="37"/>
      <c r="M10" s="34"/>
      <c r="N10" s="35"/>
      <c r="O10" s="36"/>
      <c r="P10" s="37"/>
      <c r="Q10" s="38">
        <f>E10+G10+I10+K10+M10+O10</f>
        <v>56</v>
      </c>
      <c r="R10" s="39">
        <f>Q10/D10</f>
        <v>0.28000000000000003</v>
      </c>
    </row>
    <row r="11" spans="1:20" ht="18" customHeight="1" x14ac:dyDescent="0.15">
      <c r="A11" s="32"/>
      <c r="B11" s="71" t="s">
        <v>138</v>
      </c>
      <c r="C11" s="48">
        <v>50</v>
      </c>
      <c r="D11" s="41">
        <v>200</v>
      </c>
      <c r="E11" s="42">
        <v>58</v>
      </c>
      <c r="F11" s="43">
        <v>46</v>
      </c>
      <c r="G11" s="44"/>
      <c r="H11" s="45"/>
      <c r="I11" s="42"/>
      <c r="J11" s="43"/>
      <c r="K11" s="44"/>
      <c r="L11" s="45"/>
      <c r="M11" s="42"/>
      <c r="N11" s="43"/>
      <c r="O11" s="44"/>
      <c r="P11" s="45"/>
      <c r="Q11" s="46">
        <f t="shared" ref="Q11:Q29" si="0">E11+G11+I11+K11+M11+O11</f>
        <v>58</v>
      </c>
      <c r="R11" s="47">
        <f t="shared" ref="R11:R29" si="1">Q11/D11</f>
        <v>0.28999999999999998</v>
      </c>
    </row>
    <row r="12" spans="1:20" ht="18" customHeight="1" x14ac:dyDescent="0.15">
      <c r="A12" s="32"/>
      <c r="B12" s="71" t="s">
        <v>139</v>
      </c>
      <c r="C12" s="48">
        <v>230</v>
      </c>
      <c r="D12" s="41">
        <v>920</v>
      </c>
      <c r="E12" s="42">
        <v>171</v>
      </c>
      <c r="F12" s="43">
        <v>154</v>
      </c>
      <c r="G12" s="44"/>
      <c r="H12" s="45"/>
      <c r="I12" s="42"/>
      <c r="J12" s="43"/>
      <c r="K12" s="44"/>
      <c r="L12" s="45"/>
      <c r="M12" s="42"/>
      <c r="N12" s="43"/>
      <c r="O12" s="44"/>
      <c r="P12" s="45"/>
      <c r="Q12" s="46">
        <f t="shared" si="0"/>
        <v>171</v>
      </c>
      <c r="R12" s="47">
        <f t="shared" si="1"/>
        <v>0.18586956521739131</v>
      </c>
    </row>
    <row r="13" spans="1:20" ht="18" customHeight="1" x14ac:dyDescent="0.15">
      <c r="A13" s="32"/>
      <c r="B13" s="71" t="s">
        <v>140</v>
      </c>
      <c r="C13" s="48">
        <v>80</v>
      </c>
      <c r="D13" s="41">
        <v>320</v>
      </c>
      <c r="E13" s="42">
        <v>81</v>
      </c>
      <c r="F13" s="43">
        <v>77</v>
      </c>
      <c r="G13" s="44"/>
      <c r="H13" s="45"/>
      <c r="I13" s="42"/>
      <c r="J13" s="43"/>
      <c r="K13" s="44"/>
      <c r="L13" s="45"/>
      <c r="M13" s="42"/>
      <c r="N13" s="43"/>
      <c r="O13" s="44"/>
      <c r="P13" s="45"/>
      <c r="Q13" s="46">
        <f t="shared" si="0"/>
        <v>81</v>
      </c>
      <c r="R13" s="47">
        <f t="shared" si="1"/>
        <v>0.25312499999999999</v>
      </c>
    </row>
    <row r="14" spans="1:20" ht="18" customHeight="1" x14ac:dyDescent="0.15">
      <c r="A14" s="32"/>
      <c r="B14" s="71" t="s">
        <v>141</v>
      </c>
      <c r="C14" s="48">
        <v>100</v>
      </c>
      <c r="D14" s="41">
        <v>400</v>
      </c>
      <c r="E14" s="42">
        <v>120</v>
      </c>
      <c r="F14" s="43">
        <v>106</v>
      </c>
      <c r="G14" s="44"/>
      <c r="H14" s="45"/>
      <c r="I14" s="42"/>
      <c r="J14" s="43"/>
      <c r="K14" s="44"/>
      <c r="L14" s="45"/>
      <c r="M14" s="42"/>
      <c r="N14" s="43"/>
      <c r="O14" s="44"/>
      <c r="P14" s="45"/>
      <c r="Q14" s="46">
        <f t="shared" si="0"/>
        <v>120</v>
      </c>
      <c r="R14" s="47">
        <f t="shared" si="1"/>
        <v>0.3</v>
      </c>
    </row>
    <row r="15" spans="1:20" ht="18" customHeight="1" x14ac:dyDescent="0.15">
      <c r="A15" s="32"/>
      <c r="B15" s="71" t="s">
        <v>142</v>
      </c>
      <c r="C15" s="48">
        <v>140</v>
      </c>
      <c r="D15" s="41">
        <v>840</v>
      </c>
      <c r="E15" s="42">
        <v>124</v>
      </c>
      <c r="F15" s="43">
        <v>116</v>
      </c>
      <c r="G15" s="44"/>
      <c r="H15" s="45"/>
      <c r="I15" s="42"/>
      <c r="J15" s="43"/>
      <c r="K15" s="44"/>
      <c r="L15" s="45"/>
      <c r="M15" s="42"/>
      <c r="N15" s="43"/>
      <c r="O15" s="44"/>
      <c r="P15" s="45"/>
      <c r="Q15" s="46">
        <f t="shared" si="0"/>
        <v>124</v>
      </c>
      <c r="R15" s="47">
        <f t="shared" si="1"/>
        <v>0.14761904761904762</v>
      </c>
    </row>
    <row r="16" spans="1:20" ht="18" customHeight="1" x14ac:dyDescent="0.15">
      <c r="A16" s="32"/>
      <c r="B16" s="71"/>
      <c r="C16" s="48"/>
      <c r="D16" s="41"/>
      <c r="E16" s="42"/>
      <c r="F16" s="43"/>
      <c r="G16" s="44"/>
      <c r="H16" s="45"/>
      <c r="I16" s="42"/>
      <c r="J16" s="43"/>
      <c r="K16" s="44"/>
      <c r="L16" s="45"/>
      <c r="M16" s="42"/>
      <c r="N16" s="43"/>
      <c r="O16" s="44"/>
      <c r="P16" s="45"/>
      <c r="Q16" s="46">
        <f t="shared" si="0"/>
        <v>0</v>
      </c>
      <c r="R16" s="47" t="e">
        <f t="shared" si="1"/>
        <v>#DIV/0!</v>
      </c>
    </row>
    <row r="17" spans="1:18" ht="18" customHeight="1" x14ac:dyDescent="0.15">
      <c r="A17" s="32"/>
      <c r="B17" s="71"/>
      <c r="C17" s="48"/>
      <c r="D17" s="41"/>
      <c r="E17" s="42"/>
      <c r="F17" s="43"/>
      <c r="G17" s="44"/>
      <c r="H17" s="45"/>
      <c r="I17" s="42"/>
      <c r="J17" s="43"/>
      <c r="K17" s="44"/>
      <c r="L17" s="45"/>
      <c r="M17" s="42"/>
      <c r="N17" s="43"/>
      <c r="O17" s="44"/>
      <c r="P17" s="45"/>
      <c r="Q17" s="46">
        <f t="shared" si="0"/>
        <v>0</v>
      </c>
      <c r="R17" s="47" t="e">
        <f t="shared" si="1"/>
        <v>#DIV/0!</v>
      </c>
    </row>
    <row r="18" spans="1:18" ht="18" customHeight="1" x14ac:dyDescent="0.15">
      <c r="A18" s="32"/>
      <c r="B18" s="71"/>
      <c r="C18" s="48"/>
      <c r="D18" s="41"/>
      <c r="E18" s="42"/>
      <c r="F18" s="43"/>
      <c r="G18" s="44"/>
      <c r="H18" s="45"/>
      <c r="I18" s="42"/>
      <c r="J18" s="43"/>
      <c r="K18" s="44"/>
      <c r="L18" s="45"/>
      <c r="M18" s="42"/>
      <c r="N18" s="43"/>
      <c r="O18" s="44"/>
      <c r="P18" s="45"/>
      <c r="Q18" s="46">
        <f>E18+G18+I18+K18+M18+O18</f>
        <v>0</v>
      </c>
      <c r="R18" s="47" t="e">
        <f t="shared" si="1"/>
        <v>#DIV/0!</v>
      </c>
    </row>
    <row r="19" spans="1:18" ht="18" customHeight="1" x14ac:dyDescent="0.15">
      <c r="A19" s="32"/>
      <c r="B19" s="71"/>
      <c r="C19" s="48"/>
      <c r="D19" s="41"/>
      <c r="E19" s="42"/>
      <c r="F19" s="43"/>
      <c r="G19" s="44"/>
      <c r="H19" s="45"/>
      <c r="I19" s="42"/>
      <c r="J19" s="43"/>
      <c r="K19" s="44"/>
      <c r="L19" s="45"/>
      <c r="M19" s="42"/>
      <c r="N19" s="43"/>
      <c r="O19" s="44"/>
      <c r="P19" s="45"/>
      <c r="Q19" s="46">
        <f t="shared" si="0"/>
        <v>0</v>
      </c>
      <c r="R19" s="47" t="e">
        <f t="shared" si="1"/>
        <v>#DIV/0!</v>
      </c>
    </row>
    <row r="20" spans="1:18" ht="18" customHeight="1" x14ac:dyDescent="0.15">
      <c r="A20" s="32"/>
      <c r="B20" s="71"/>
      <c r="C20" s="48"/>
      <c r="D20" s="41"/>
      <c r="E20" s="42"/>
      <c r="F20" s="43"/>
      <c r="G20" s="44"/>
      <c r="H20" s="45"/>
      <c r="I20" s="42"/>
      <c r="J20" s="43"/>
      <c r="K20" s="44"/>
      <c r="L20" s="45"/>
      <c r="M20" s="42"/>
      <c r="N20" s="43"/>
      <c r="O20" s="44"/>
      <c r="P20" s="45"/>
      <c r="Q20" s="46">
        <f t="shared" si="0"/>
        <v>0</v>
      </c>
      <c r="R20" s="47" t="e">
        <f t="shared" si="1"/>
        <v>#DIV/0!</v>
      </c>
    </row>
    <row r="21" spans="1:18" ht="18" customHeight="1" x14ac:dyDescent="0.15">
      <c r="A21" s="32"/>
      <c r="B21" s="71"/>
      <c r="C21" s="48"/>
      <c r="D21" s="41"/>
      <c r="E21" s="42"/>
      <c r="F21" s="43"/>
      <c r="G21" s="44"/>
      <c r="H21" s="45"/>
      <c r="I21" s="42"/>
      <c r="J21" s="43"/>
      <c r="K21" s="44"/>
      <c r="L21" s="45"/>
      <c r="M21" s="42"/>
      <c r="N21" s="43"/>
      <c r="O21" s="44"/>
      <c r="P21" s="45"/>
      <c r="Q21" s="46">
        <f t="shared" si="0"/>
        <v>0</v>
      </c>
      <c r="R21" s="47" t="e">
        <f t="shared" si="1"/>
        <v>#DIV/0!</v>
      </c>
    </row>
    <row r="22" spans="1:18" ht="18" customHeight="1" x14ac:dyDescent="0.15">
      <c r="A22" s="32"/>
      <c r="B22" s="71"/>
      <c r="C22" s="48"/>
      <c r="D22" s="41"/>
      <c r="E22" s="42"/>
      <c r="F22" s="43"/>
      <c r="G22" s="44"/>
      <c r="H22" s="45"/>
      <c r="I22" s="42"/>
      <c r="J22" s="43"/>
      <c r="K22" s="44"/>
      <c r="L22" s="45"/>
      <c r="M22" s="42"/>
      <c r="N22" s="43"/>
      <c r="O22" s="44"/>
      <c r="P22" s="45"/>
      <c r="Q22" s="46">
        <f t="shared" si="0"/>
        <v>0</v>
      </c>
      <c r="R22" s="47" t="e">
        <f t="shared" si="1"/>
        <v>#DIV/0!</v>
      </c>
    </row>
    <row r="23" spans="1:18" ht="18" customHeight="1" x14ac:dyDescent="0.15">
      <c r="A23" s="32"/>
      <c r="B23" s="71"/>
      <c r="C23" s="48"/>
      <c r="D23" s="41"/>
      <c r="E23" s="42"/>
      <c r="F23" s="43"/>
      <c r="G23" s="44"/>
      <c r="H23" s="45"/>
      <c r="I23" s="42"/>
      <c r="J23" s="43"/>
      <c r="K23" s="44"/>
      <c r="L23" s="45"/>
      <c r="M23" s="42"/>
      <c r="N23" s="43"/>
      <c r="O23" s="44"/>
      <c r="P23" s="45"/>
      <c r="Q23" s="46">
        <f t="shared" si="0"/>
        <v>0</v>
      </c>
      <c r="R23" s="47" t="e">
        <f t="shared" si="1"/>
        <v>#DIV/0!</v>
      </c>
    </row>
    <row r="24" spans="1:18" ht="18" customHeight="1" x14ac:dyDescent="0.15">
      <c r="A24" s="32"/>
      <c r="B24" s="71"/>
      <c r="C24" s="48"/>
      <c r="D24" s="41"/>
      <c r="E24" s="42"/>
      <c r="F24" s="43"/>
      <c r="G24" s="44"/>
      <c r="H24" s="45"/>
      <c r="I24" s="42"/>
      <c r="J24" s="43"/>
      <c r="K24" s="44"/>
      <c r="L24" s="45"/>
      <c r="M24" s="42"/>
      <c r="N24" s="43"/>
      <c r="O24" s="44"/>
      <c r="P24" s="45"/>
      <c r="Q24" s="46">
        <f t="shared" si="0"/>
        <v>0</v>
      </c>
      <c r="R24" s="47" t="e">
        <f t="shared" si="1"/>
        <v>#DIV/0!</v>
      </c>
    </row>
    <row r="25" spans="1:18" ht="18" customHeight="1" x14ac:dyDescent="0.15">
      <c r="A25" s="32"/>
      <c r="B25" s="71"/>
      <c r="C25" s="48"/>
      <c r="D25" s="41"/>
      <c r="E25" s="42"/>
      <c r="F25" s="43"/>
      <c r="G25" s="44"/>
      <c r="H25" s="45"/>
      <c r="I25" s="42"/>
      <c r="J25" s="43"/>
      <c r="K25" s="44"/>
      <c r="L25" s="45"/>
      <c r="M25" s="42"/>
      <c r="N25" s="43"/>
      <c r="O25" s="44"/>
      <c r="P25" s="45"/>
      <c r="Q25" s="46">
        <f t="shared" si="0"/>
        <v>0</v>
      </c>
      <c r="R25" s="47" t="e">
        <f t="shared" si="1"/>
        <v>#DIV/0!</v>
      </c>
    </row>
    <row r="26" spans="1:18" ht="18" customHeight="1" x14ac:dyDescent="0.15">
      <c r="A26" s="32"/>
      <c r="B26" s="71"/>
      <c r="C26" s="48"/>
      <c r="D26" s="41"/>
      <c r="E26" s="42"/>
      <c r="F26" s="43"/>
      <c r="G26" s="44"/>
      <c r="H26" s="45"/>
      <c r="I26" s="42"/>
      <c r="J26" s="43"/>
      <c r="K26" s="44"/>
      <c r="L26" s="45"/>
      <c r="M26" s="42"/>
      <c r="N26" s="43"/>
      <c r="O26" s="44"/>
      <c r="P26" s="45"/>
      <c r="Q26" s="46">
        <f t="shared" si="0"/>
        <v>0</v>
      </c>
      <c r="R26" s="47" t="e">
        <f t="shared" si="1"/>
        <v>#DIV/0!</v>
      </c>
    </row>
    <row r="27" spans="1:18" ht="18" customHeight="1" x14ac:dyDescent="0.15">
      <c r="A27" s="32"/>
      <c r="B27" s="71"/>
      <c r="C27" s="40"/>
      <c r="D27" s="41"/>
      <c r="E27" s="42"/>
      <c r="F27" s="43"/>
      <c r="G27" s="44"/>
      <c r="H27" s="45"/>
      <c r="I27" s="42"/>
      <c r="J27" s="43"/>
      <c r="K27" s="44"/>
      <c r="L27" s="45"/>
      <c r="M27" s="42"/>
      <c r="N27" s="43"/>
      <c r="O27" s="44"/>
      <c r="P27" s="45"/>
      <c r="Q27" s="46">
        <f t="shared" si="0"/>
        <v>0</v>
      </c>
      <c r="R27" s="47" t="e">
        <f t="shared" si="1"/>
        <v>#DIV/0!</v>
      </c>
    </row>
    <row r="28" spans="1:18" ht="18" customHeight="1" x14ac:dyDescent="0.15">
      <c r="A28" s="32"/>
      <c r="B28" s="71"/>
      <c r="C28" s="40"/>
      <c r="D28" s="41"/>
      <c r="E28" s="42"/>
      <c r="F28" s="43"/>
      <c r="G28" s="44"/>
      <c r="H28" s="45"/>
      <c r="I28" s="42"/>
      <c r="J28" s="43"/>
      <c r="K28" s="44"/>
      <c r="L28" s="45"/>
      <c r="M28" s="42"/>
      <c r="N28" s="43"/>
      <c r="O28" s="44"/>
      <c r="P28" s="45"/>
      <c r="Q28" s="46">
        <f t="shared" si="0"/>
        <v>0</v>
      </c>
      <c r="R28" s="47" t="e">
        <f t="shared" si="1"/>
        <v>#DIV/0!</v>
      </c>
    </row>
    <row r="29" spans="1:18" ht="18" customHeight="1" thickBot="1" x14ac:dyDescent="0.2">
      <c r="A29" s="32"/>
      <c r="B29" s="72"/>
      <c r="C29" s="73"/>
      <c r="D29" s="33"/>
      <c r="E29" s="34"/>
      <c r="F29" s="35"/>
      <c r="G29" s="36"/>
      <c r="H29" s="37"/>
      <c r="I29" s="34"/>
      <c r="J29" s="35"/>
      <c r="K29" s="36"/>
      <c r="L29" s="37"/>
      <c r="M29" s="34"/>
      <c r="N29" s="35"/>
      <c r="O29" s="36"/>
      <c r="P29" s="37"/>
      <c r="Q29" s="49">
        <f t="shared" si="0"/>
        <v>0</v>
      </c>
      <c r="R29" s="39" t="e">
        <f t="shared" si="1"/>
        <v>#DIV/0!</v>
      </c>
    </row>
    <row r="30" spans="1:18" ht="18" customHeight="1" thickTop="1" x14ac:dyDescent="0.15">
      <c r="B30" s="74" t="s">
        <v>35</v>
      </c>
      <c r="C30" s="75">
        <f t="shared" ref="C30:Q30" si="2">SUM(C10:C29)</f>
        <v>650</v>
      </c>
      <c r="D30" s="50">
        <f t="shared" si="2"/>
        <v>2880</v>
      </c>
      <c r="E30" s="51">
        <f t="shared" si="2"/>
        <v>610</v>
      </c>
      <c r="F30" s="52">
        <f t="shared" si="2"/>
        <v>544</v>
      </c>
      <c r="G30" s="53">
        <f t="shared" si="2"/>
        <v>0</v>
      </c>
      <c r="H30" s="54">
        <f t="shared" si="2"/>
        <v>0</v>
      </c>
      <c r="I30" s="51">
        <f t="shared" si="2"/>
        <v>0</v>
      </c>
      <c r="J30" s="52">
        <f t="shared" si="2"/>
        <v>0</v>
      </c>
      <c r="K30" s="53">
        <f t="shared" si="2"/>
        <v>0</v>
      </c>
      <c r="L30" s="54">
        <f t="shared" si="2"/>
        <v>0</v>
      </c>
      <c r="M30" s="51">
        <f t="shared" si="2"/>
        <v>0</v>
      </c>
      <c r="N30" s="52">
        <f t="shared" si="2"/>
        <v>0</v>
      </c>
      <c r="O30" s="53">
        <f t="shared" si="2"/>
        <v>0</v>
      </c>
      <c r="P30" s="54">
        <f t="shared" si="2"/>
        <v>0</v>
      </c>
      <c r="Q30" s="55">
        <f t="shared" si="2"/>
        <v>610</v>
      </c>
      <c r="R30" s="56">
        <f>Q30/D30</f>
        <v>0.21180555555555555</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2"/>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SheetLayoutView="100" workbookViewId="0">
      <selection activeCell="B1" sqref="B1"/>
    </sheetView>
  </sheetViews>
  <sheetFormatPr defaultColWidth="11.375" defaultRowHeight="18.75" customHeight="1" x14ac:dyDescent="0.15"/>
  <cols>
    <col min="1" max="1" width="2.625" style="99" customWidth="1"/>
    <col min="2" max="2" width="16.625" style="2" customWidth="1"/>
    <col min="3" max="3" width="8.625" style="2" customWidth="1"/>
    <col min="4" max="4" width="2.125" style="2" customWidth="1"/>
    <col min="5" max="5" width="16.625" style="2" customWidth="1"/>
    <col min="6" max="6" width="8.625" style="2" customWidth="1"/>
    <col min="7" max="7" width="2.125" style="2" customWidth="1"/>
    <col min="8" max="8" width="16.625" style="2" customWidth="1"/>
    <col min="9" max="9" width="8.625" style="2" customWidth="1"/>
    <col min="10" max="10" width="2.125" style="2" customWidth="1"/>
    <col min="11" max="11" width="11.375" style="101"/>
    <col min="12" max="16384" width="11.375" style="2"/>
  </cols>
  <sheetData>
    <row r="1" spans="1:11" ht="18.75" customHeight="1" x14ac:dyDescent="0.15">
      <c r="A1" s="99" t="s">
        <v>163</v>
      </c>
      <c r="J1" s="100" t="s">
        <v>164</v>
      </c>
    </row>
    <row r="2" spans="1:11" ht="18.75" customHeight="1" x14ac:dyDescent="0.15">
      <c r="A2" s="272" t="s">
        <v>165</v>
      </c>
      <c r="B2" s="272"/>
      <c r="C2" s="272"/>
      <c r="D2" s="272"/>
      <c r="E2" s="272"/>
      <c r="F2" s="272"/>
      <c r="G2" s="272"/>
      <c r="H2" s="272"/>
      <c r="I2" s="272"/>
      <c r="J2" s="272"/>
    </row>
    <row r="3" spans="1:11" ht="7.5" customHeight="1" x14ac:dyDescent="0.15">
      <c r="B3" s="98"/>
      <c r="C3" s="98"/>
      <c r="D3" s="98"/>
      <c r="E3" s="98"/>
      <c r="F3" s="98"/>
      <c r="G3" s="98"/>
      <c r="H3" s="98"/>
      <c r="I3" s="98"/>
      <c r="J3" s="98"/>
    </row>
    <row r="4" spans="1:11" ht="18.75" customHeight="1" x14ac:dyDescent="0.15">
      <c r="A4" s="2" t="s">
        <v>166</v>
      </c>
      <c r="B4" s="2" t="s">
        <v>167</v>
      </c>
      <c r="I4" s="98"/>
      <c r="J4" s="98"/>
    </row>
    <row r="5" spans="1:11" ht="18.75" customHeight="1" x14ac:dyDescent="0.15">
      <c r="A5" s="2"/>
      <c r="B5" s="144" t="s">
        <v>168</v>
      </c>
      <c r="C5" s="145"/>
      <c r="D5" s="145"/>
      <c r="E5" s="145"/>
      <c r="F5" s="145"/>
      <c r="G5" s="145"/>
      <c r="H5" s="145"/>
      <c r="I5" s="145"/>
      <c r="J5" s="297"/>
      <c r="K5" s="101" t="str">
        <f>IF(B5="","入力してください","")</f>
        <v/>
      </c>
    </row>
    <row r="6" spans="1:11" ht="7.5" customHeight="1" x14ac:dyDescent="0.15">
      <c r="B6" s="21"/>
      <c r="C6" s="21"/>
      <c r="D6" s="21"/>
      <c r="E6" s="21"/>
      <c r="F6" s="21"/>
      <c r="G6" s="21"/>
      <c r="H6" s="21"/>
      <c r="I6" s="21"/>
      <c r="J6" s="21"/>
    </row>
    <row r="7" spans="1:11" ht="18.75" customHeight="1" x14ac:dyDescent="0.15">
      <c r="A7" s="2" t="s">
        <v>169</v>
      </c>
      <c r="B7" s="7" t="s">
        <v>170</v>
      </c>
      <c r="C7" s="7"/>
      <c r="D7" s="7"/>
      <c r="E7" s="7"/>
      <c r="F7" s="7"/>
      <c r="G7" s="7"/>
      <c r="H7" s="7"/>
      <c r="I7" s="7"/>
      <c r="J7" s="7"/>
      <c r="K7" s="102"/>
    </row>
    <row r="8" spans="1:11" ht="16.5" customHeight="1" x14ac:dyDescent="0.15">
      <c r="A8" s="103"/>
      <c r="B8" s="298" t="s">
        <v>216</v>
      </c>
      <c r="C8" s="299"/>
      <c r="D8" s="299"/>
      <c r="E8" s="299"/>
      <c r="F8" s="299"/>
      <c r="G8" s="299"/>
      <c r="H8" s="299"/>
      <c r="I8" s="300"/>
      <c r="J8" s="301"/>
      <c r="K8" s="101" t="str">
        <f>IF(B8="","入力してください","")</f>
        <v/>
      </c>
    </row>
    <row r="9" spans="1:11" ht="16.5" customHeight="1" x14ac:dyDescent="0.15">
      <c r="A9" s="103"/>
      <c r="B9" s="302"/>
      <c r="C9" s="303"/>
      <c r="D9" s="303"/>
      <c r="E9" s="303"/>
      <c r="F9" s="303"/>
      <c r="G9" s="303"/>
      <c r="H9" s="303"/>
      <c r="I9" s="303"/>
      <c r="J9" s="304"/>
    </row>
    <row r="10" spans="1:11" ht="16.5" customHeight="1" x14ac:dyDescent="0.15">
      <c r="A10" s="103"/>
      <c r="B10" s="302"/>
      <c r="C10" s="303"/>
      <c r="D10" s="303"/>
      <c r="E10" s="303"/>
      <c r="F10" s="303"/>
      <c r="G10" s="303"/>
      <c r="H10" s="303"/>
      <c r="I10" s="303"/>
      <c r="J10" s="304"/>
    </row>
    <row r="11" spans="1:11" ht="16.5" customHeight="1" x14ac:dyDescent="0.15">
      <c r="A11" s="103"/>
      <c r="B11" s="302"/>
      <c r="C11" s="303"/>
      <c r="D11" s="303"/>
      <c r="E11" s="303"/>
      <c r="F11" s="303"/>
      <c r="G11" s="303"/>
      <c r="H11" s="303"/>
      <c r="I11" s="303"/>
      <c r="J11" s="304"/>
    </row>
    <row r="12" spans="1:11" ht="16.5" customHeight="1" x14ac:dyDescent="0.15">
      <c r="A12" s="103"/>
      <c r="B12" s="305"/>
      <c r="C12" s="306"/>
      <c r="D12" s="306"/>
      <c r="E12" s="306"/>
      <c r="F12" s="306"/>
      <c r="G12" s="306"/>
      <c r="H12" s="306"/>
      <c r="I12" s="306"/>
      <c r="J12" s="307"/>
    </row>
    <row r="13" spans="1:11" ht="7.5" customHeight="1" x14ac:dyDescent="0.15">
      <c r="A13" s="103"/>
      <c r="B13" s="62"/>
      <c r="C13" s="62"/>
      <c r="D13" s="62"/>
      <c r="E13" s="62"/>
      <c r="F13" s="62"/>
      <c r="G13" s="62"/>
      <c r="H13" s="62"/>
      <c r="I13" s="62"/>
      <c r="J13" s="62"/>
    </row>
    <row r="14" spans="1:11" ht="18.75" customHeight="1" x14ac:dyDescent="0.15">
      <c r="A14" s="104" t="s">
        <v>171</v>
      </c>
      <c r="B14" s="96" t="s">
        <v>172</v>
      </c>
      <c r="C14" s="96"/>
      <c r="D14" s="96"/>
      <c r="E14" s="96"/>
      <c r="F14" s="96"/>
      <c r="G14" s="96"/>
      <c r="H14" s="96"/>
      <c r="I14" s="96"/>
      <c r="J14" s="96"/>
    </row>
    <row r="15" spans="1:11" ht="21.75" customHeight="1" x14ac:dyDescent="0.15">
      <c r="A15" s="103"/>
      <c r="B15" s="298" t="s">
        <v>173</v>
      </c>
      <c r="C15" s="299"/>
      <c r="D15" s="299"/>
      <c r="E15" s="299"/>
      <c r="F15" s="299"/>
      <c r="G15" s="299"/>
      <c r="H15" s="299"/>
      <c r="I15" s="300"/>
      <c r="J15" s="301"/>
      <c r="K15" s="101" t="str">
        <f>IF(B15="","入力してください","")</f>
        <v/>
      </c>
    </row>
    <row r="16" spans="1:11" ht="21.75" customHeight="1" x14ac:dyDescent="0.15">
      <c r="A16" s="103"/>
      <c r="B16" s="302"/>
      <c r="C16" s="303"/>
      <c r="D16" s="303"/>
      <c r="E16" s="303"/>
      <c r="F16" s="303"/>
      <c r="G16" s="303"/>
      <c r="H16" s="303"/>
      <c r="I16" s="303"/>
      <c r="J16" s="304"/>
    </row>
    <row r="17" spans="1:11" ht="21.75" customHeight="1" x14ac:dyDescent="0.15">
      <c r="A17" s="103"/>
      <c r="B17" s="302"/>
      <c r="C17" s="303"/>
      <c r="D17" s="303"/>
      <c r="E17" s="303"/>
      <c r="F17" s="303"/>
      <c r="G17" s="303"/>
      <c r="H17" s="303"/>
      <c r="I17" s="303"/>
      <c r="J17" s="304"/>
    </row>
    <row r="18" spans="1:11" ht="21.75" customHeight="1" x14ac:dyDescent="0.15">
      <c r="A18" s="103"/>
      <c r="B18" s="302"/>
      <c r="C18" s="303"/>
      <c r="D18" s="303"/>
      <c r="E18" s="303"/>
      <c r="F18" s="303"/>
      <c r="G18" s="303"/>
      <c r="H18" s="303"/>
      <c r="I18" s="303"/>
      <c r="J18" s="304"/>
    </row>
    <row r="19" spans="1:11" ht="21.75" customHeight="1" x14ac:dyDescent="0.15">
      <c r="A19" s="103"/>
      <c r="B19" s="302"/>
      <c r="C19" s="303"/>
      <c r="D19" s="303"/>
      <c r="E19" s="303"/>
      <c r="F19" s="303"/>
      <c r="G19" s="303"/>
      <c r="H19" s="303"/>
      <c r="I19" s="303"/>
      <c r="J19" s="304"/>
    </row>
    <row r="20" spans="1:11" ht="21.75" customHeight="1" x14ac:dyDescent="0.15">
      <c r="A20" s="103"/>
      <c r="B20" s="302"/>
      <c r="C20" s="303"/>
      <c r="D20" s="303"/>
      <c r="E20" s="303"/>
      <c r="F20" s="303"/>
      <c r="G20" s="303"/>
      <c r="H20" s="303"/>
      <c r="I20" s="303"/>
      <c r="J20" s="304"/>
    </row>
    <row r="21" spans="1:11" ht="21.75" customHeight="1" x14ac:dyDescent="0.15">
      <c r="A21" s="103"/>
      <c r="B21" s="302"/>
      <c r="C21" s="303"/>
      <c r="D21" s="303"/>
      <c r="E21" s="303"/>
      <c r="F21" s="303"/>
      <c r="G21" s="303"/>
      <c r="H21" s="303"/>
      <c r="I21" s="303"/>
      <c r="J21" s="304"/>
    </row>
    <row r="22" spans="1:11" ht="21.75" customHeight="1" x14ac:dyDescent="0.15">
      <c r="A22" s="103"/>
      <c r="B22" s="302"/>
      <c r="C22" s="303"/>
      <c r="D22" s="303"/>
      <c r="E22" s="303"/>
      <c r="F22" s="303"/>
      <c r="G22" s="303"/>
      <c r="H22" s="303"/>
      <c r="I22" s="303"/>
      <c r="J22" s="304"/>
    </row>
    <row r="23" spans="1:11" ht="21.75" customHeight="1" x14ac:dyDescent="0.15">
      <c r="A23" s="103"/>
      <c r="B23" s="302"/>
      <c r="C23" s="303"/>
      <c r="D23" s="303"/>
      <c r="E23" s="303"/>
      <c r="F23" s="303"/>
      <c r="G23" s="303"/>
      <c r="H23" s="303"/>
      <c r="I23" s="303"/>
      <c r="J23" s="304"/>
    </row>
    <row r="24" spans="1:11" ht="21.75" customHeight="1" x14ac:dyDescent="0.15">
      <c r="A24" s="103"/>
      <c r="B24" s="302"/>
      <c r="C24" s="303"/>
      <c r="D24" s="303"/>
      <c r="E24" s="303"/>
      <c r="F24" s="303"/>
      <c r="G24" s="303"/>
      <c r="H24" s="303"/>
      <c r="I24" s="303"/>
      <c r="J24" s="304"/>
    </row>
    <row r="25" spans="1:11" ht="21.75" customHeight="1" x14ac:dyDescent="0.15">
      <c r="A25" s="103"/>
      <c r="B25" s="305"/>
      <c r="C25" s="306"/>
      <c r="D25" s="306"/>
      <c r="E25" s="306"/>
      <c r="F25" s="306"/>
      <c r="G25" s="306"/>
      <c r="H25" s="306"/>
      <c r="I25" s="306"/>
      <c r="J25" s="307"/>
    </row>
    <row r="26" spans="1:11" ht="7.5" customHeight="1" x14ac:dyDescent="0.15">
      <c r="A26" s="105"/>
      <c r="B26" s="105"/>
      <c r="C26" s="105"/>
      <c r="D26" s="105"/>
      <c r="E26" s="105"/>
      <c r="F26" s="105"/>
      <c r="G26" s="105"/>
      <c r="H26" s="105"/>
      <c r="I26" s="105"/>
      <c r="J26" s="105"/>
    </row>
    <row r="27" spans="1:11" ht="18.75" customHeight="1" x14ac:dyDescent="0.15">
      <c r="A27" s="2" t="s">
        <v>174</v>
      </c>
      <c r="B27" s="2" t="s">
        <v>175</v>
      </c>
    </row>
    <row r="28" spans="1:11" s="21" customFormat="1" ht="18.75" customHeight="1" x14ac:dyDescent="0.15">
      <c r="B28" s="106" t="s">
        <v>176</v>
      </c>
      <c r="C28" s="107">
        <f>'様式３　履修者等数の実績'!R30</f>
        <v>0.21180555555555555</v>
      </c>
      <c r="D28" s="108"/>
      <c r="E28" s="108" t="s">
        <v>177</v>
      </c>
      <c r="F28" s="109">
        <v>0.4</v>
      </c>
      <c r="G28" s="108"/>
      <c r="H28" s="108" t="s">
        <v>178</v>
      </c>
      <c r="I28" s="110">
        <v>0.6</v>
      </c>
      <c r="J28" s="111"/>
      <c r="K28" s="101"/>
    </row>
    <row r="29" spans="1:11" s="21" customFormat="1" ht="18.75" customHeight="1" x14ac:dyDescent="0.15">
      <c r="B29" s="112" t="s">
        <v>179</v>
      </c>
      <c r="C29" s="113">
        <v>0.8</v>
      </c>
      <c r="D29" s="114"/>
      <c r="E29" s="114" t="s">
        <v>180</v>
      </c>
      <c r="F29" s="113">
        <v>1</v>
      </c>
      <c r="G29" s="114"/>
      <c r="H29" s="114" t="s">
        <v>181</v>
      </c>
      <c r="I29" s="115">
        <f>'様式３　履修者等数の実績'!D30</f>
        <v>2880</v>
      </c>
      <c r="J29" s="116"/>
      <c r="K29" s="102"/>
    </row>
    <row r="30" spans="1:11" ht="18.75" customHeight="1" x14ac:dyDescent="0.15">
      <c r="A30" s="2"/>
      <c r="B30" s="212" t="s">
        <v>182</v>
      </c>
      <c r="C30" s="213"/>
      <c r="D30" s="213"/>
      <c r="E30" s="213"/>
      <c r="F30" s="213"/>
      <c r="G30" s="213"/>
      <c r="H30" s="213"/>
      <c r="I30" s="213"/>
      <c r="J30" s="214"/>
      <c r="K30" s="102"/>
    </row>
    <row r="31" spans="1:11" ht="18.75" customHeight="1" x14ac:dyDescent="0.15">
      <c r="A31" s="2"/>
      <c r="B31" s="288" t="s">
        <v>158</v>
      </c>
      <c r="C31" s="289"/>
      <c r="D31" s="289"/>
      <c r="E31" s="289"/>
      <c r="F31" s="289"/>
      <c r="G31" s="289"/>
      <c r="H31" s="289"/>
      <c r="I31" s="289"/>
      <c r="J31" s="290"/>
      <c r="K31" s="102" t="str">
        <f>IF(B31="","入力してください","")</f>
        <v/>
      </c>
    </row>
    <row r="32" spans="1:11" ht="18.75" customHeight="1" x14ac:dyDescent="0.15">
      <c r="A32" s="2"/>
      <c r="B32" s="291"/>
      <c r="C32" s="292"/>
      <c r="D32" s="292"/>
      <c r="E32" s="292"/>
      <c r="F32" s="292"/>
      <c r="G32" s="292"/>
      <c r="H32" s="292"/>
      <c r="I32" s="292"/>
      <c r="J32" s="293"/>
      <c r="K32" s="102"/>
    </row>
    <row r="33" spans="1:11" ht="18.75" customHeight="1" x14ac:dyDescent="0.15">
      <c r="A33" s="2"/>
      <c r="B33" s="291"/>
      <c r="C33" s="292"/>
      <c r="D33" s="292"/>
      <c r="E33" s="292"/>
      <c r="F33" s="292"/>
      <c r="G33" s="292"/>
      <c r="H33" s="292"/>
      <c r="I33" s="292"/>
      <c r="J33" s="293"/>
      <c r="K33" s="102"/>
    </row>
    <row r="34" spans="1:11" ht="18.75" customHeight="1" x14ac:dyDescent="0.15">
      <c r="A34" s="2"/>
      <c r="B34" s="291"/>
      <c r="C34" s="292"/>
      <c r="D34" s="292"/>
      <c r="E34" s="292"/>
      <c r="F34" s="292"/>
      <c r="G34" s="292"/>
      <c r="H34" s="292"/>
      <c r="I34" s="292"/>
      <c r="J34" s="293"/>
      <c r="K34" s="102"/>
    </row>
    <row r="35" spans="1:11" ht="18.75" customHeight="1" x14ac:dyDescent="0.15">
      <c r="A35" s="2"/>
      <c r="B35" s="291"/>
      <c r="C35" s="292"/>
      <c r="D35" s="292"/>
      <c r="E35" s="292"/>
      <c r="F35" s="292"/>
      <c r="G35" s="292"/>
      <c r="H35" s="292"/>
      <c r="I35" s="292"/>
      <c r="J35" s="293"/>
      <c r="K35" s="102"/>
    </row>
    <row r="36" spans="1:11" ht="18.75" customHeight="1" x14ac:dyDescent="0.15">
      <c r="A36" s="2"/>
      <c r="B36" s="291"/>
      <c r="C36" s="292"/>
      <c r="D36" s="292"/>
      <c r="E36" s="292"/>
      <c r="F36" s="292"/>
      <c r="G36" s="292"/>
      <c r="H36" s="292"/>
      <c r="I36" s="292"/>
      <c r="J36" s="293"/>
      <c r="K36" s="102"/>
    </row>
    <row r="37" spans="1:11" ht="18.75" customHeight="1" x14ac:dyDescent="0.15">
      <c r="A37" s="2"/>
      <c r="B37" s="291"/>
      <c r="C37" s="292"/>
      <c r="D37" s="292"/>
      <c r="E37" s="292"/>
      <c r="F37" s="292"/>
      <c r="G37" s="292"/>
      <c r="H37" s="292"/>
      <c r="I37" s="292"/>
      <c r="J37" s="293"/>
      <c r="K37" s="102"/>
    </row>
    <row r="38" spans="1:11" ht="18.75" customHeight="1" x14ac:dyDescent="0.15">
      <c r="A38" s="2"/>
      <c r="B38" s="291"/>
      <c r="C38" s="292"/>
      <c r="D38" s="292"/>
      <c r="E38" s="292"/>
      <c r="F38" s="292"/>
      <c r="G38" s="292"/>
      <c r="H38" s="292"/>
      <c r="I38" s="292"/>
      <c r="J38" s="293"/>
      <c r="K38" s="102"/>
    </row>
    <row r="39" spans="1:11" ht="18.75" customHeight="1" x14ac:dyDescent="0.15">
      <c r="A39" s="2"/>
      <c r="B39" s="291"/>
      <c r="C39" s="292"/>
      <c r="D39" s="292"/>
      <c r="E39" s="292"/>
      <c r="F39" s="292"/>
      <c r="G39" s="292"/>
      <c r="H39" s="292"/>
      <c r="I39" s="292"/>
      <c r="J39" s="293"/>
      <c r="K39" s="102"/>
    </row>
    <row r="40" spans="1:11" ht="18.75" customHeight="1" x14ac:dyDescent="0.15">
      <c r="A40" s="2"/>
      <c r="B40" s="291"/>
      <c r="C40" s="292"/>
      <c r="D40" s="292"/>
      <c r="E40" s="292"/>
      <c r="F40" s="292"/>
      <c r="G40" s="292"/>
      <c r="H40" s="292"/>
      <c r="I40" s="292"/>
      <c r="J40" s="293"/>
      <c r="K40" s="102"/>
    </row>
    <row r="41" spans="1:11" ht="18.75" customHeight="1" x14ac:dyDescent="0.15">
      <c r="A41" s="2"/>
      <c r="B41" s="291"/>
      <c r="C41" s="292"/>
      <c r="D41" s="292"/>
      <c r="E41" s="292"/>
      <c r="F41" s="292"/>
      <c r="G41" s="292"/>
      <c r="H41" s="292"/>
      <c r="I41" s="292"/>
      <c r="J41" s="293"/>
      <c r="K41" s="102"/>
    </row>
    <row r="42" spans="1:11" ht="18.75" customHeight="1" x14ac:dyDescent="0.15">
      <c r="A42" s="2"/>
      <c r="B42" s="291"/>
      <c r="C42" s="292"/>
      <c r="D42" s="292"/>
      <c r="E42" s="292"/>
      <c r="F42" s="292"/>
      <c r="G42" s="292"/>
      <c r="H42" s="292"/>
      <c r="I42" s="292"/>
      <c r="J42" s="293"/>
      <c r="K42" s="102"/>
    </row>
    <row r="43" spans="1:11" ht="18.75" customHeight="1" x14ac:dyDescent="0.15">
      <c r="A43" s="105"/>
      <c r="B43" s="291"/>
      <c r="C43" s="292"/>
      <c r="D43" s="292"/>
      <c r="E43" s="292"/>
      <c r="F43" s="292"/>
      <c r="G43" s="292"/>
      <c r="H43" s="292"/>
      <c r="I43" s="292"/>
      <c r="J43" s="293"/>
      <c r="K43" s="102"/>
    </row>
    <row r="44" spans="1:11" ht="18.75" customHeight="1" x14ac:dyDescent="0.15">
      <c r="A44" s="105"/>
      <c r="B44" s="294"/>
      <c r="C44" s="295"/>
      <c r="D44" s="295"/>
      <c r="E44" s="295"/>
      <c r="F44" s="295"/>
      <c r="G44" s="295"/>
      <c r="H44" s="295"/>
      <c r="I44" s="295"/>
      <c r="J44" s="296"/>
    </row>
    <row r="45" spans="1:11" ht="18.75" customHeight="1" x14ac:dyDescent="0.15">
      <c r="A45" s="104" t="s">
        <v>183</v>
      </c>
      <c r="B45" s="2" t="s">
        <v>184</v>
      </c>
      <c r="I45" s="104"/>
      <c r="J45" s="104"/>
    </row>
    <row r="46" spans="1:11" ht="18.75" customHeight="1" x14ac:dyDescent="0.15">
      <c r="A46" s="105"/>
      <c r="B46" s="298" t="s">
        <v>159</v>
      </c>
      <c r="C46" s="308"/>
      <c r="D46" s="308"/>
      <c r="E46" s="308"/>
      <c r="F46" s="308"/>
      <c r="G46" s="308"/>
      <c r="H46" s="308"/>
      <c r="I46" s="308"/>
      <c r="J46" s="309"/>
      <c r="K46" s="101" t="str">
        <f>IF(B46="","入力してください","")</f>
        <v/>
      </c>
    </row>
    <row r="47" spans="1:11" ht="18.75" customHeight="1" x14ac:dyDescent="0.15">
      <c r="A47" s="105"/>
      <c r="B47" s="310"/>
      <c r="C47" s="311"/>
      <c r="D47" s="311"/>
      <c r="E47" s="311"/>
      <c r="F47" s="311"/>
      <c r="G47" s="311"/>
      <c r="H47" s="311"/>
      <c r="I47" s="311"/>
      <c r="J47" s="312"/>
    </row>
    <row r="48" spans="1:11" ht="18.75" customHeight="1" x14ac:dyDescent="0.15">
      <c r="A48" s="105"/>
      <c r="B48" s="310"/>
      <c r="C48" s="311"/>
      <c r="D48" s="311"/>
      <c r="E48" s="311"/>
      <c r="F48" s="311"/>
      <c r="G48" s="311"/>
      <c r="H48" s="311"/>
      <c r="I48" s="311"/>
      <c r="J48" s="312"/>
    </row>
    <row r="49" spans="1:10" ht="18.75" customHeight="1" x14ac:dyDescent="0.15">
      <c r="A49" s="105"/>
      <c r="B49" s="310"/>
      <c r="C49" s="311"/>
      <c r="D49" s="311"/>
      <c r="E49" s="311"/>
      <c r="F49" s="311"/>
      <c r="G49" s="311"/>
      <c r="H49" s="311"/>
      <c r="I49" s="311"/>
      <c r="J49" s="312"/>
    </row>
    <row r="50" spans="1:10" ht="18.75" customHeight="1" x14ac:dyDescent="0.15">
      <c r="A50" s="105"/>
      <c r="B50" s="310"/>
      <c r="C50" s="311"/>
      <c r="D50" s="311"/>
      <c r="E50" s="311"/>
      <c r="F50" s="311"/>
      <c r="G50" s="311"/>
      <c r="H50" s="311"/>
      <c r="I50" s="311"/>
      <c r="J50" s="312"/>
    </row>
    <row r="51" spans="1:10" ht="18.75" customHeight="1" x14ac:dyDescent="0.15">
      <c r="A51" s="105"/>
      <c r="B51" s="310"/>
      <c r="C51" s="311"/>
      <c r="D51" s="311"/>
      <c r="E51" s="311"/>
      <c r="F51" s="311"/>
      <c r="G51" s="311"/>
      <c r="H51" s="311"/>
      <c r="I51" s="311"/>
      <c r="J51" s="312"/>
    </row>
    <row r="52" spans="1:10" ht="18.75" customHeight="1" x14ac:dyDescent="0.15">
      <c r="A52" s="105"/>
      <c r="B52" s="310"/>
      <c r="C52" s="311"/>
      <c r="D52" s="311"/>
      <c r="E52" s="311"/>
      <c r="F52" s="311"/>
      <c r="G52" s="311"/>
      <c r="H52" s="311"/>
      <c r="I52" s="311"/>
      <c r="J52" s="312"/>
    </row>
    <row r="53" spans="1:10" ht="18.75" customHeight="1" x14ac:dyDescent="0.15">
      <c r="A53" s="105"/>
      <c r="B53" s="310"/>
      <c r="C53" s="311"/>
      <c r="D53" s="311"/>
      <c r="E53" s="311"/>
      <c r="F53" s="311"/>
      <c r="G53" s="311"/>
      <c r="H53" s="311"/>
      <c r="I53" s="311"/>
      <c r="J53" s="312"/>
    </row>
    <row r="54" spans="1:10" ht="18.75" customHeight="1" x14ac:dyDescent="0.15">
      <c r="A54" s="105"/>
      <c r="B54" s="310"/>
      <c r="C54" s="311"/>
      <c r="D54" s="311"/>
      <c r="E54" s="311"/>
      <c r="F54" s="311"/>
      <c r="G54" s="311"/>
      <c r="H54" s="311"/>
      <c r="I54" s="311"/>
      <c r="J54" s="312"/>
    </row>
    <row r="55" spans="1:10" ht="18.75" customHeight="1" x14ac:dyDescent="0.15">
      <c r="A55" s="105"/>
      <c r="B55" s="310"/>
      <c r="C55" s="311"/>
      <c r="D55" s="311"/>
      <c r="E55" s="311"/>
      <c r="F55" s="311"/>
      <c r="G55" s="311"/>
      <c r="H55" s="311"/>
      <c r="I55" s="311"/>
      <c r="J55" s="312"/>
    </row>
    <row r="56" spans="1:10" ht="18.75" customHeight="1" x14ac:dyDescent="0.15">
      <c r="A56" s="105"/>
      <c r="B56" s="310"/>
      <c r="C56" s="311"/>
      <c r="D56" s="311"/>
      <c r="E56" s="311"/>
      <c r="F56" s="311"/>
      <c r="G56" s="311"/>
      <c r="H56" s="311"/>
      <c r="I56" s="311"/>
      <c r="J56" s="312"/>
    </row>
    <row r="57" spans="1:10" ht="18.75" customHeight="1" x14ac:dyDescent="0.15">
      <c r="A57" s="105"/>
      <c r="B57" s="310"/>
      <c r="C57" s="311"/>
      <c r="D57" s="311"/>
      <c r="E57" s="311"/>
      <c r="F57" s="311"/>
      <c r="G57" s="311"/>
      <c r="H57" s="311"/>
      <c r="I57" s="311"/>
      <c r="J57" s="312"/>
    </row>
    <row r="58" spans="1:10" ht="18.75" customHeight="1" x14ac:dyDescent="0.15">
      <c r="A58" s="105"/>
      <c r="B58" s="310"/>
      <c r="C58" s="311"/>
      <c r="D58" s="311"/>
      <c r="E58" s="311"/>
      <c r="F58" s="311"/>
      <c r="G58" s="311"/>
      <c r="H58" s="311"/>
      <c r="I58" s="311"/>
      <c r="J58" s="312"/>
    </row>
    <row r="59" spans="1:10" ht="18.75" customHeight="1" x14ac:dyDescent="0.15">
      <c r="A59" s="105"/>
      <c r="B59" s="310"/>
      <c r="C59" s="311"/>
      <c r="D59" s="311"/>
      <c r="E59" s="311"/>
      <c r="F59" s="311"/>
      <c r="G59" s="311"/>
      <c r="H59" s="311"/>
      <c r="I59" s="311"/>
      <c r="J59" s="312"/>
    </row>
    <row r="60" spans="1:10" ht="18.75" customHeight="1" x14ac:dyDescent="0.15">
      <c r="A60" s="105"/>
      <c r="B60" s="310"/>
      <c r="C60" s="311"/>
      <c r="D60" s="311"/>
      <c r="E60" s="311"/>
      <c r="F60" s="311"/>
      <c r="G60" s="311"/>
      <c r="H60" s="311"/>
      <c r="I60" s="311"/>
      <c r="J60" s="312"/>
    </row>
    <row r="61" spans="1:10" ht="18.75" customHeight="1" x14ac:dyDescent="0.15">
      <c r="A61" s="105"/>
      <c r="B61" s="310"/>
      <c r="C61" s="311"/>
      <c r="D61" s="311"/>
      <c r="E61" s="311"/>
      <c r="F61" s="311"/>
      <c r="G61" s="311"/>
      <c r="H61" s="311"/>
      <c r="I61" s="311"/>
      <c r="J61" s="312"/>
    </row>
    <row r="62" spans="1:10" ht="18.75" customHeight="1" x14ac:dyDescent="0.15">
      <c r="A62" s="105"/>
      <c r="B62" s="310"/>
      <c r="C62" s="311"/>
      <c r="D62" s="311"/>
      <c r="E62" s="311"/>
      <c r="F62" s="311"/>
      <c r="G62" s="311"/>
      <c r="H62" s="311"/>
      <c r="I62" s="311"/>
      <c r="J62" s="312"/>
    </row>
    <row r="63" spans="1:10" ht="18.75" customHeight="1" x14ac:dyDescent="0.15">
      <c r="A63" s="105"/>
      <c r="B63" s="310"/>
      <c r="C63" s="311"/>
      <c r="D63" s="311"/>
      <c r="E63" s="311"/>
      <c r="F63" s="311"/>
      <c r="G63" s="311"/>
      <c r="H63" s="311"/>
      <c r="I63" s="311"/>
      <c r="J63" s="312"/>
    </row>
    <row r="64" spans="1:10" ht="18.75" customHeight="1" x14ac:dyDescent="0.15">
      <c r="A64" s="105"/>
      <c r="B64" s="310"/>
      <c r="C64" s="311"/>
      <c r="D64" s="311"/>
      <c r="E64" s="311"/>
      <c r="F64" s="311"/>
      <c r="G64" s="311"/>
      <c r="H64" s="311"/>
      <c r="I64" s="311"/>
      <c r="J64" s="312"/>
    </row>
    <row r="65" spans="1:11" ht="18.75" customHeight="1" x14ac:dyDescent="0.15">
      <c r="A65" s="105"/>
      <c r="B65" s="310"/>
      <c r="C65" s="311"/>
      <c r="D65" s="311"/>
      <c r="E65" s="311"/>
      <c r="F65" s="311"/>
      <c r="G65" s="311"/>
      <c r="H65" s="311"/>
      <c r="I65" s="311"/>
      <c r="J65" s="312"/>
    </row>
    <row r="66" spans="1:11" ht="18.75" customHeight="1" x14ac:dyDescent="0.15">
      <c r="A66" s="105"/>
      <c r="B66" s="313"/>
      <c r="C66" s="314"/>
      <c r="D66" s="314"/>
      <c r="E66" s="314"/>
      <c r="F66" s="314"/>
      <c r="G66" s="314"/>
      <c r="H66" s="314"/>
      <c r="I66" s="314"/>
      <c r="J66" s="315"/>
    </row>
    <row r="67" spans="1:11" ht="7.5" customHeight="1" x14ac:dyDescent="0.15">
      <c r="A67" s="105"/>
      <c r="B67" s="105"/>
      <c r="C67" s="105"/>
      <c r="D67" s="105"/>
      <c r="E67" s="105"/>
      <c r="F67" s="105"/>
      <c r="G67" s="105"/>
      <c r="H67" s="105"/>
      <c r="I67" s="105"/>
      <c r="J67" s="105"/>
    </row>
    <row r="68" spans="1:11" ht="18.75" customHeight="1" x14ac:dyDescent="0.15">
      <c r="A68" s="2" t="s">
        <v>185</v>
      </c>
      <c r="B68" s="2" t="s">
        <v>186</v>
      </c>
    </row>
    <row r="69" spans="1:11" ht="18.75" customHeight="1" x14ac:dyDescent="0.15">
      <c r="A69" s="2"/>
      <c r="B69" s="316" t="s">
        <v>160</v>
      </c>
      <c r="C69" s="317"/>
      <c r="D69" s="317"/>
      <c r="E69" s="317"/>
      <c r="F69" s="317"/>
      <c r="G69" s="317"/>
      <c r="H69" s="317"/>
      <c r="I69" s="318"/>
      <c r="J69" s="319"/>
      <c r="K69" s="102" t="str">
        <f>IF(B69="","入力してください","")</f>
        <v/>
      </c>
    </row>
    <row r="70" spans="1:11" ht="18.75" customHeight="1" x14ac:dyDescent="0.15">
      <c r="A70" s="2"/>
      <c r="B70" s="291"/>
      <c r="C70" s="292"/>
      <c r="D70" s="292"/>
      <c r="E70" s="292"/>
      <c r="F70" s="292"/>
      <c r="G70" s="292"/>
      <c r="H70" s="292"/>
      <c r="I70" s="292"/>
      <c r="J70" s="293"/>
      <c r="K70" s="102"/>
    </row>
    <row r="71" spans="1:11" ht="18.75" customHeight="1" x14ac:dyDescent="0.15">
      <c r="A71" s="2"/>
      <c r="B71" s="291"/>
      <c r="C71" s="292"/>
      <c r="D71" s="292"/>
      <c r="E71" s="292"/>
      <c r="F71" s="292"/>
      <c r="G71" s="292"/>
      <c r="H71" s="292"/>
      <c r="I71" s="292"/>
      <c r="J71" s="293"/>
      <c r="K71" s="102"/>
    </row>
    <row r="72" spans="1:11" ht="18.75" customHeight="1" x14ac:dyDescent="0.15">
      <c r="A72" s="2"/>
      <c r="B72" s="291"/>
      <c r="C72" s="292"/>
      <c r="D72" s="292"/>
      <c r="E72" s="292"/>
      <c r="F72" s="292"/>
      <c r="G72" s="292"/>
      <c r="H72" s="292"/>
      <c r="I72" s="292"/>
      <c r="J72" s="293"/>
      <c r="K72" s="102"/>
    </row>
    <row r="73" spans="1:11" ht="18.75" customHeight="1" x14ac:dyDescent="0.15">
      <c r="A73" s="2"/>
      <c r="B73" s="291"/>
      <c r="C73" s="292"/>
      <c r="D73" s="292"/>
      <c r="E73" s="292"/>
      <c r="F73" s="292"/>
      <c r="G73" s="292"/>
      <c r="H73" s="292"/>
      <c r="I73" s="292"/>
      <c r="J73" s="293"/>
      <c r="K73" s="102"/>
    </row>
    <row r="74" spans="1:11" ht="18.75" customHeight="1" x14ac:dyDescent="0.15">
      <c r="A74" s="2"/>
      <c r="B74" s="291"/>
      <c r="C74" s="292"/>
      <c r="D74" s="292"/>
      <c r="E74" s="292"/>
      <c r="F74" s="292"/>
      <c r="G74" s="292"/>
      <c r="H74" s="292"/>
      <c r="I74" s="292"/>
      <c r="J74" s="293"/>
      <c r="K74" s="102"/>
    </row>
    <row r="75" spans="1:11" ht="18.75" customHeight="1" x14ac:dyDescent="0.15">
      <c r="A75" s="2"/>
      <c r="B75" s="291"/>
      <c r="C75" s="292"/>
      <c r="D75" s="292"/>
      <c r="E75" s="292"/>
      <c r="F75" s="292"/>
      <c r="G75" s="292"/>
      <c r="H75" s="292"/>
      <c r="I75" s="292"/>
      <c r="J75" s="293"/>
      <c r="K75" s="102"/>
    </row>
    <row r="76" spans="1:11" ht="18.75" customHeight="1" x14ac:dyDescent="0.15">
      <c r="A76" s="2"/>
      <c r="B76" s="291"/>
      <c r="C76" s="292"/>
      <c r="D76" s="292"/>
      <c r="E76" s="292"/>
      <c r="F76" s="292"/>
      <c r="G76" s="292"/>
      <c r="H76" s="292"/>
      <c r="I76" s="292"/>
      <c r="J76" s="293"/>
      <c r="K76" s="102"/>
    </row>
    <row r="77" spans="1:11" ht="18.75" customHeight="1" x14ac:dyDescent="0.15">
      <c r="A77" s="2"/>
      <c r="B77" s="291"/>
      <c r="C77" s="292"/>
      <c r="D77" s="292"/>
      <c r="E77" s="292"/>
      <c r="F77" s="292"/>
      <c r="G77" s="292"/>
      <c r="H77" s="292"/>
      <c r="I77" s="292"/>
      <c r="J77" s="293"/>
      <c r="K77" s="102"/>
    </row>
    <row r="78" spans="1:11" ht="18.75" customHeight="1" x14ac:dyDescent="0.15">
      <c r="A78" s="2"/>
      <c r="B78" s="291"/>
      <c r="C78" s="292"/>
      <c r="D78" s="292"/>
      <c r="E78" s="292"/>
      <c r="F78" s="292"/>
      <c r="G78" s="292"/>
      <c r="H78" s="292"/>
      <c r="I78" s="292"/>
      <c r="J78" s="293"/>
      <c r="K78" s="102"/>
    </row>
    <row r="79" spans="1:11" ht="18.75" customHeight="1" x14ac:dyDescent="0.15">
      <c r="A79" s="2"/>
      <c r="B79" s="291"/>
      <c r="C79" s="292"/>
      <c r="D79" s="292"/>
      <c r="E79" s="292"/>
      <c r="F79" s="292"/>
      <c r="G79" s="292"/>
      <c r="H79" s="292"/>
      <c r="I79" s="292"/>
      <c r="J79" s="293"/>
      <c r="K79" s="102"/>
    </row>
    <row r="80" spans="1:11" ht="18.75" customHeight="1" x14ac:dyDescent="0.15">
      <c r="A80" s="2"/>
      <c r="B80" s="291"/>
      <c r="C80" s="292"/>
      <c r="D80" s="292"/>
      <c r="E80" s="292"/>
      <c r="F80" s="292"/>
      <c r="G80" s="292"/>
      <c r="H80" s="292"/>
      <c r="I80" s="292"/>
      <c r="J80" s="293"/>
      <c r="K80" s="102"/>
    </row>
    <row r="81" spans="1:11" ht="18.75" customHeight="1" x14ac:dyDescent="0.15">
      <c r="A81" s="2"/>
      <c r="B81" s="291"/>
      <c r="C81" s="292"/>
      <c r="D81" s="292"/>
      <c r="E81" s="292"/>
      <c r="F81" s="292"/>
      <c r="G81" s="292"/>
      <c r="H81" s="292"/>
      <c r="I81" s="292"/>
      <c r="J81" s="293"/>
      <c r="K81" s="102"/>
    </row>
    <row r="82" spans="1:11" ht="18.75" customHeight="1" x14ac:dyDescent="0.15">
      <c r="A82" s="2"/>
      <c r="B82" s="291"/>
      <c r="C82" s="292"/>
      <c r="D82" s="292"/>
      <c r="E82" s="292"/>
      <c r="F82" s="292"/>
      <c r="G82" s="292"/>
      <c r="H82" s="292"/>
      <c r="I82" s="292"/>
      <c r="J82" s="293"/>
      <c r="K82" s="102"/>
    </row>
    <row r="83" spans="1:11" ht="18.75" customHeight="1" x14ac:dyDescent="0.15">
      <c r="A83" s="2"/>
      <c r="B83" s="291"/>
      <c r="C83" s="292"/>
      <c r="D83" s="292"/>
      <c r="E83" s="292"/>
      <c r="F83" s="292"/>
      <c r="G83" s="292"/>
      <c r="H83" s="292"/>
      <c r="I83" s="292"/>
      <c r="J83" s="293"/>
      <c r="K83" s="102"/>
    </row>
    <row r="84" spans="1:11" ht="18.75" customHeight="1" x14ac:dyDescent="0.15">
      <c r="A84" s="2"/>
      <c r="B84" s="291"/>
      <c r="C84" s="292"/>
      <c r="D84" s="292"/>
      <c r="E84" s="292"/>
      <c r="F84" s="292"/>
      <c r="G84" s="292"/>
      <c r="H84" s="292"/>
      <c r="I84" s="292"/>
      <c r="J84" s="293"/>
      <c r="K84" s="102"/>
    </row>
    <row r="85" spans="1:11" ht="18.75" customHeight="1" x14ac:dyDescent="0.15">
      <c r="A85" s="105"/>
      <c r="B85" s="291"/>
      <c r="C85" s="292"/>
      <c r="D85" s="292"/>
      <c r="E85" s="292"/>
      <c r="F85" s="292"/>
      <c r="G85" s="292"/>
      <c r="H85" s="292"/>
      <c r="I85" s="292"/>
      <c r="J85" s="293"/>
      <c r="K85" s="102"/>
    </row>
    <row r="86" spans="1:11" ht="18.75" customHeight="1" x14ac:dyDescent="0.15">
      <c r="A86" s="105"/>
      <c r="B86" s="294"/>
      <c r="C86" s="295"/>
      <c r="D86" s="295"/>
      <c r="E86" s="295"/>
      <c r="F86" s="295"/>
      <c r="G86" s="295"/>
      <c r="H86" s="295"/>
      <c r="I86" s="295"/>
      <c r="J86" s="296"/>
      <c r="K86" s="102"/>
    </row>
    <row r="87" spans="1:11" ht="7.5" customHeight="1" x14ac:dyDescent="0.15">
      <c r="A87" s="105"/>
      <c r="B87" s="105"/>
      <c r="C87" s="105"/>
      <c r="D87" s="105"/>
      <c r="E87" s="105"/>
      <c r="F87" s="105"/>
      <c r="G87" s="105"/>
      <c r="H87" s="105"/>
      <c r="I87" s="105"/>
      <c r="J87" s="105"/>
    </row>
    <row r="88" spans="1:11" ht="18.75" customHeight="1" x14ac:dyDescent="0.15">
      <c r="A88" s="2" t="s">
        <v>187</v>
      </c>
      <c r="B88" s="2" t="s">
        <v>188</v>
      </c>
    </row>
    <row r="89" spans="1:11" ht="18.75" customHeight="1" x14ac:dyDescent="0.15">
      <c r="A89" s="2"/>
      <c r="B89" s="316" t="s">
        <v>161</v>
      </c>
      <c r="C89" s="317"/>
      <c r="D89" s="317"/>
      <c r="E89" s="317"/>
      <c r="F89" s="317"/>
      <c r="G89" s="317"/>
      <c r="H89" s="317"/>
      <c r="I89" s="318"/>
      <c r="J89" s="319"/>
    </row>
    <row r="90" spans="1:11" ht="18.75" customHeight="1" x14ac:dyDescent="0.15">
      <c r="A90" s="2"/>
      <c r="B90" s="291"/>
      <c r="C90" s="292"/>
      <c r="D90" s="292"/>
      <c r="E90" s="292"/>
      <c r="F90" s="292"/>
      <c r="G90" s="292"/>
      <c r="H90" s="292"/>
      <c r="I90" s="292"/>
      <c r="J90" s="293"/>
      <c r="K90" s="102"/>
    </row>
    <row r="91" spans="1:11" ht="18.75" customHeight="1" x14ac:dyDescent="0.15">
      <c r="A91" s="2"/>
      <c r="B91" s="291"/>
      <c r="C91" s="292"/>
      <c r="D91" s="292"/>
      <c r="E91" s="292"/>
      <c r="F91" s="292"/>
      <c r="G91" s="292"/>
      <c r="H91" s="292"/>
      <c r="I91" s="292"/>
      <c r="J91" s="293"/>
      <c r="K91" s="102" t="str">
        <f>IF(B89="","入力してください","")</f>
        <v/>
      </c>
    </row>
    <row r="92" spans="1:11" ht="18.75" customHeight="1" x14ac:dyDescent="0.15">
      <c r="A92" s="2"/>
      <c r="B92" s="291"/>
      <c r="C92" s="292"/>
      <c r="D92" s="292"/>
      <c r="E92" s="292"/>
      <c r="F92" s="292"/>
      <c r="G92" s="292"/>
      <c r="H92" s="292"/>
      <c r="I92" s="292"/>
      <c r="J92" s="293"/>
      <c r="K92" s="102"/>
    </row>
    <row r="93" spans="1:11" ht="18.75" customHeight="1" x14ac:dyDescent="0.15">
      <c r="A93" s="2"/>
      <c r="B93" s="291"/>
      <c r="C93" s="292"/>
      <c r="D93" s="292"/>
      <c r="E93" s="292"/>
      <c r="F93" s="292"/>
      <c r="G93" s="292"/>
      <c r="H93" s="292"/>
      <c r="I93" s="292"/>
      <c r="J93" s="293"/>
      <c r="K93" s="102"/>
    </row>
    <row r="94" spans="1:11" ht="18.75" customHeight="1" x14ac:dyDescent="0.15">
      <c r="A94" s="2"/>
      <c r="B94" s="291"/>
      <c r="C94" s="292"/>
      <c r="D94" s="292"/>
      <c r="E94" s="292"/>
      <c r="F94" s="292"/>
      <c r="G94" s="292"/>
      <c r="H94" s="292"/>
      <c r="I94" s="292"/>
      <c r="J94" s="293"/>
      <c r="K94" s="102"/>
    </row>
    <row r="95" spans="1:11" ht="18.75" customHeight="1" x14ac:dyDescent="0.15">
      <c r="A95" s="2"/>
      <c r="B95" s="291"/>
      <c r="C95" s="292"/>
      <c r="D95" s="292"/>
      <c r="E95" s="292"/>
      <c r="F95" s="292"/>
      <c r="G95" s="292"/>
      <c r="H95" s="292"/>
      <c r="I95" s="292"/>
      <c r="J95" s="293"/>
      <c r="K95" s="102"/>
    </row>
    <row r="96" spans="1:11" ht="18.75" customHeight="1" x14ac:dyDescent="0.15">
      <c r="A96" s="2"/>
      <c r="B96" s="291"/>
      <c r="C96" s="292"/>
      <c r="D96" s="292"/>
      <c r="E96" s="292"/>
      <c r="F96" s="292"/>
      <c r="G96" s="292"/>
      <c r="H96" s="292"/>
      <c r="I96" s="292"/>
      <c r="J96" s="293"/>
      <c r="K96" s="102"/>
    </row>
    <row r="97" spans="1:11" ht="18.75" customHeight="1" x14ac:dyDescent="0.15">
      <c r="A97" s="2"/>
      <c r="B97" s="291"/>
      <c r="C97" s="292"/>
      <c r="D97" s="292"/>
      <c r="E97" s="292"/>
      <c r="F97" s="292"/>
      <c r="G97" s="292"/>
      <c r="H97" s="292"/>
      <c r="I97" s="292"/>
      <c r="J97" s="293"/>
      <c r="K97" s="102"/>
    </row>
    <row r="98" spans="1:11" ht="18.75" customHeight="1" x14ac:dyDescent="0.15">
      <c r="A98" s="2"/>
      <c r="B98" s="291"/>
      <c r="C98" s="292"/>
      <c r="D98" s="292"/>
      <c r="E98" s="292"/>
      <c r="F98" s="292"/>
      <c r="G98" s="292"/>
      <c r="H98" s="292"/>
      <c r="I98" s="292"/>
      <c r="J98" s="293"/>
      <c r="K98" s="102"/>
    </row>
    <row r="99" spans="1:11" ht="18.75" customHeight="1" x14ac:dyDescent="0.15">
      <c r="A99" s="2"/>
      <c r="B99" s="291"/>
      <c r="C99" s="292"/>
      <c r="D99" s="292"/>
      <c r="E99" s="292"/>
      <c r="F99" s="292"/>
      <c r="G99" s="292"/>
      <c r="H99" s="292"/>
      <c r="I99" s="292"/>
      <c r="J99" s="293"/>
      <c r="K99" s="102"/>
    </row>
    <row r="100" spans="1:11" ht="18.75" customHeight="1" x14ac:dyDescent="0.15">
      <c r="A100" s="2"/>
      <c r="B100" s="291"/>
      <c r="C100" s="292"/>
      <c r="D100" s="292"/>
      <c r="E100" s="292"/>
      <c r="F100" s="292"/>
      <c r="G100" s="292"/>
      <c r="H100" s="292"/>
      <c r="I100" s="292"/>
      <c r="J100" s="293"/>
      <c r="K100" s="102"/>
    </row>
    <row r="101" spans="1:11" ht="18.75" customHeight="1" x14ac:dyDescent="0.15">
      <c r="A101" s="2"/>
      <c r="B101" s="291"/>
      <c r="C101" s="292"/>
      <c r="D101" s="292"/>
      <c r="E101" s="292"/>
      <c r="F101" s="292"/>
      <c r="G101" s="292"/>
      <c r="H101" s="292"/>
      <c r="I101" s="292"/>
      <c r="J101" s="293"/>
      <c r="K101" s="102"/>
    </row>
    <row r="102" spans="1:11" ht="18.75" customHeight="1" x14ac:dyDescent="0.15">
      <c r="A102" s="2"/>
      <c r="B102" s="291"/>
      <c r="C102" s="292"/>
      <c r="D102" s="292"/>
      <c r="E102" s="292"/>
      <c r="F102" s="292"/>
      <c r="G102" s="292"/>
      <c r="H102" s="292"/>
      <c r="I102" s="292"/>
      <c r="J102" s="293"/>
      <c r="K102" s="102"/>
    </row>
    <row r="103" spans="1:11" ht="18.75" customHeight="1" x14ac:dyDescent="0.15">
      <c r="A103" s="2"/>
      <c r="B103" s="291"/>
      <c r="C103" s="292"/>
      <c r="D103" s="292"/>
      <c r="E103" s="292"/>
      <c r="F103" s="292"/>
      <c r="G103" s="292"/>
      <c r="H103" s="292"/>
      <c r="I103" s="292"/>
      <c r="J103" s="293"/>
      <c r="K103" s="102"/>
    </row>
    <row r="104" spans="1:11" ht="18.75" customHeight="1" x14ac:dyDescent="0.15">
      <c r="A104" s="2"/>
      <c r="B104" s="291"/>
      <c r="C104" s="292"/>
      <c r="D104" s="292"/>
      <c r="E104" s="292"/>
      <c r="F104" s="292"/>
      <c r="G104" s="292"/>
      <c r="H104" s="292"/>
      <c r="I104" s="292"/>
      <c r="J104" s="293"/>
      <c r="K104" s="102"/>
    </row>
    <row r="105" spans="1:11" ht="18.75" customHeight="1" x14ac:dyDescent="0.15">
      <c r="A105" s="2"/>
      <c r="B105" s="291"/>
      <c r="C105" s="292"/>
      <c r="D105" s="292"/>
      <c r="E105" s="292"/>
      <c r="F105" s="292"/>
      <c r="G105" s="292"/>
      <c r="H105" s="292"/>
      <c r="I105" s="292"/>
      <c r="J105" s="293"/>
      <c r="K105" s="102"/>
    </row>
    <row r="106" spans="1:11" ht="18.75" customHeight="1" x14ac:dyDescent="0.15">
      <c r="A106" s="2"/>
      <c r="B106" s="291"/>
      <c r="C106" s="292"/>
      <c r="D106" s="292"/>
      <c r="E106" s="292"/>
      <c r="F106" s="292"/>
      <c r="G106" s="292"/>
      <c r="H106" s="292"/>
      <c r="I106" s="292"/>
      <c r="J106" s="293"/>
      <c r="K106" s="102"/>
    </row>
    <row r="107" spans="1:11" ht="18.75" customHeight="1" x14ac:dyDescent="0.15">
      <c r="A107" s="105"/>
      <c r="B107" s="291"/>
      <c r="C107" s="292"/>
      <c r="D107" s="292"/>
      <c r="E107" s="292"/>
      <c r="F107" s="292"/>
      <c r="G107" s="292"/>
      <c r="H107" s="292"/>
      <c r="I107" s="292"/>
      <c r="J107" s="293"/>
      <c r="K107" s="102"/>
    </row>
    <row r="108" spans="1:11" ht="18.75" customHeight="1" x14ac:dyDescent="0.15">
      <c r="A108" s="105"/>
      <c r="B108" s="294"/>
      <c r="C108" s="295"/>
      <c r="D108" s="295"/>
      <c r="E108" s="295"/>
      <c r="F108" s="295"/>
      <c r="G108" s="295"/>
      <c r="H108" s="295"/>
      <c r="I108" s="295"/>
      <c r="J108" s="296"/>
      <c r="K108" s="102"/>
    </row>
    <row r="109" spans="1:11" ht="7.5" customHeight="1" x14ac:dyDescent="0.15">
      <c r="A109" s="105"/>
      <c r="B109" s="105"/>
      <c r="C109" s="105"/>
      <c r="D109" s="105"/>
      <c r="E109" s="105"/>
      <c r="F109" s="105"/>
      <c r="G109" s="105"/>
      <c r="H109" s="105"/>
      <c r="I109" s="105"/>
      <c r="J109" s="105"/>
    </row>
    <row r="110" spans="1:11" ht="18.75" customHeight="1" x14ac:dyDescent="0.15">
      <c r="A110" s="2" t="s">
        <v>189</v>
      </c>
      <c r="B110" s="320" t="s">
        <v>190</v>
      </c>
      <c r="C110" s="320"/>
      <c r="D110" s="320"/>
      <c r="E110" s="320"/>
      <c r="F110" s="320"/>
      <c r="G110" s="320"/>
      <c r="H110" s="320"/>
      <c r="I110" s="320"/>
      <c r="J110" s="320"/>
    </row>
    <row r="111" spans="1:11" ht="18.75" customHeight="1" x14ac:dyDescent="0.15">
      <c r="A111" s="105"/>
      <c r="B111" s="321" t="s">
        <v>162</v>
      </c>
      <c r="C111" s="322"/>
      <c r="D111" s="322"/>
      <c r="E111" s="322"/>
      <c r="F111" s="322"/>
      <c r="G111" s="322"/>
      <c r="H111" s="322"/>
      <c r="I111" s="323"/>
      <c r="J111" s="324"/>
    </row>
    <row r="112" spans="1:11" ht="18.75" customHeight="1" x14ac:dyDescent="0.15">
      <c r="A112" s="105"/>
      <c r="B112" s="325"/>
      <c r="C112" s="326"/>
      <c r="D112" s="326"/>
      <c r="E112" s="326"/>
      <c r="F112" s="326"/>
      <c r="G112" s="326"/>
      <c r="H112" s="326"/>
      <c r="I112" s="326"/>
      <c r="J112" s="327"/>
      <c r="K112" s="102"/>
    </row>
    <row r="113" spans="1:11" ht="18.75" customHeight="1" x14ac:dyDescent="0.15">
      <c r="A113" s="105"/>
      <c r="B113" s="325"/>
      <c r="C113" s="326"/>
      <c r="D113" s="326"/>
      <c r="E113" s="326"/>
      <c r="F113" s="326"/>
      <c r="G113" s="326"/>
      <c r="H113" s="326"/>
      <c r="I113" s="326"/>
      <c r="J113" s="327"/>
      <c r="K113" s="101" t="str">
        <f>IF(B111="","入力してください","")</f>
        <v/>
      </c>
    </row>
    <row r="114" spans="1:11" ht="18.75" customHeight="1" x14ac:dyDescent="0.15">
      <c r="A114" s="105"/>
      <c r="B114" s="325"/>
      <c r="C114" s="326"/>
      <c r="D114" s="326"/>
      <c r="E114" s="326"/>
      <c r="F114" s="326"/>
      <c r="G114" s="326"/>
      <c r="H114" s="326"/>
      <c r="I114" s="326"/>
      <c r="J114" s="327"/>
    </row>
    <row r="115" spans="1:11" ht="18.75" customHeight="1" x14ac:dyDescent="0.15">
      <c r="A115" s="105"/>
      <c r="B115" s="325"/>
      <c r="C115" s="326"/>
      <c r="D115" s="326"/>
      <c r="E115" s="326"/>
      <c r="F115" s="326"/>
      <c r="G115" s="326"/>
      <c r="H115" s="326"/>
      <c r="I115" s="326"/>
      <c r="J115" s="327"/>
    </row>
    <row r="116" spans="1:11" ht="18.75" customHeight="1" x14ac:dyDescent="0.15">
      <c r="A116" s="105"/>
      <c r="B116" s="325"/>
      <c r="C116" s="326"/>
      <c r="D116" s="326"/>
      <c r="E116" s="326"/>
      <c r="F116" s="326"/>
      <c r="G116" s="326"/>
      <c r="H116" s="326"/>
      <c r="I116" s="326"/>
      <c r="J116" s="327"/>
    </row>
    <row r="117" spans="1:11" ht="18.75" customHeight="1" x14ac:dyDescent="0.15">
      <c r="A117" s="105"/>
      <c r="B117" s="325"/>
      <c r="C117" s="326"/>
      <c r="D117" s="326"/>
      <c r="E117" s="326"/>
      <c r="F117" s="326"/>
      <c r="G117" s="326"/>
      <c r="H117" s="326"/>
      <c r="I117" s="326"/>
      <c r="J117" s="327"/>
    </row>
    <row r="118" spans="1:11" ht="18.75" customHeight="1" x14ac:dyDescent="0.15">
      <c r="A118" s="105"/>
      <c r="B118" s="325"/>
      <c r="C118" s="326"/>
      <c r="D118" s="326"/>
      <c r="E118" s="326"/>
      <c r="F118" s="326"/>
      <c r="G118" s="326"/>
      <c r="H118" s="326"/>
      <c r="I118" s="326"/>
      <c r="J118" s="327"/>
    </row>
    <row r="119" spans="1:11" ht="18.75" customHeight="1" x14ac:dyDescent="0.15">
      <c r="A119" s="105"/>
      <c r="B119" s="325"/>
      <c r="C119" s="326"/>
      <c r="D119" s="326"/>
      <c r="E119" s="326"/>
      <c r="F119" s="326"/>
      <c r="G119" s="326"/>
      <c r="H119" s="326"/>
      <c r="I119" s="326"/>
      <c r="J119" s="327"/>
    </row>
    <row r="120" spans="1:11" ht="18.75" customHeight="1" x14ac:dyDescent="0.15">
      <c r="A120" s="105"/>
      <c r="B120" s="325"/>
      <c r="C120" s="326"/>
      <c r="D120" s="326"/>
      <c r="E120" s="326"/>
      <c r="F120" s="326"/>
      <c r="G120" s="326"/>
      <c r="H120" s="326"/>
      <c r="I120" s="326"/>
      <c r="J120" s="327"/>
    </row>
    <row r="121" spans="1:11" ht="18.75" customHeight="1" x14ac:dyDescent="0.15">
      <c r="A121" s="105"/>
      <c r="B121" s="325"/>
      <c r="C121" s="326"/>
      <c r="D121" s="326"/>
      <c r="E121" s="326"/>
      <c r="F121" s="326"/>
      <c r="G121" s="326"/>
      <c r="H121" s="326"/>
      <c r="I121" s="326"/>
      <c r="J121" s="327"/>
    </row>
    <row r="122" spans="1:11" ht="18.75" customHeight="1" x14ac:dyDescent="0.15">
      <c r="A122" s="105"/>
      <c r="B122" s="325"/>
      <c r="C122" s="326"/>
      <c r="D122" s="326"/>
      <c r="E122" s="326"/>
      <c r="F122" s="326"/>
      <c r="G122" s="326"/>
      <c r="H122" s="326"/>
      <c r="I122" s="326"/>
      <c r="J122" s="327"/>
    </row>
    <row r="123" spans="1:11" ht="18.75" customHeight="1" x14ac:dyDescent="0.15">
      <c r="A123" s="105"/>
      <c r="B123" s="325"/>
      <c r="C123" s="326"/>
      <c r="D123" s="326"/>
      <c r="E123" s="326"/>
      <c r="F123" s="326"/>
      <c r="G123" s="326"/>
      <c r="H123" s="326"/>
      <c r="I123" s="326"/>
      <c r="J123" s="327"/>
    </row>
    <row r="124" spans="1:11" ht="18.75" customHeight="1" x14ac:dyDescent="0.15">
      <c r="A124" s="105"/>
      <c r="B124" s="325"/>
      <c r="C124" s="326"/>
      <c r="D124" s="326"/>
      <c r="E124" s="326"/>
      <c r="F124" s="326"/>
      <c r="G124" s="326"/>
      <c r="H124" s="326"/>
      <c r="I124" s="326"/>
      <c r="J124" s="327"/>
    </row>
    <row r="125" spans="1:11" ht="18.75" customHeight="1" x14ac:dyDescent="0.15">
      <c r="A125" s="105"/>
      <c r="B125" s="325"/>
      <c r="C125" s="326"/>
      <c r="D125" s="326"/>
      <c r="E125" s="326"/>
      <c r="F125" s="326"/>
      <c r="G125" s="326"/>
      <c r="H125" s="326"/>
      <c r="I125" s="326"/>
      <c r="J125" s="327"/>
    </row>
    <row r="126" spans="1:11" ht="18.75" customHeight="1" x14ac:dyDescent="0.15">
      <c r="A126" s="105"/>
      <c r="B126" s="325"/>
      <c r="C126" s="326"/>
      <c r="D126" s="326"/>
      <c r="E126" s="326"/>
      <c r="F126" s="326"/>
      <c r="G126" s="326"/>
      <c r="H126" s="326"/>
      <c r="I126" s="326"/>
      <c r="J126" s="327"/>
    </row>
    <row r="127" spans="1:11" ht="18.75" customHeight="1" x14ac:dyDescent="0.15">
      <c r="A127" s="105"/>
      <c r="B127" s="325"/>
      <c r="C127" s="326"/>
      <c r="D127" s="326"/>
      <c r="E127" s="326"/>
      <c r="F127" s="326"/>
      <c r="G127" s="326"/>
      <c r="H127" s="326"/>
      <c r="I127" s="326"/>
      <c r="J127" s="327"/>
    </row>
    <row r="128" spans="1:11" ht="18.75" customHeight="1" x14ac:dyDescent="0.15">
      <c r="A128" s="105"/>
      <c r="B128" s="325"/>
      <c r="C128" s="326"/>
      <c r="D128" s="326"/>
      <c r="E128" s="326"/>
      <c r="F128" s="326"/>
      <c r="G128" s="326"/>
      <c r="H128" s="326"/>
      <c r="I128" s="326"/>
      <c r="J128" s="327"/>
    </row>
    <row r="129" spans="1:10" ht="18.75" customHeight="1" x14ac:dyDescent="0.15">
      <c r="A129" s="105"/>
      <c r="B129" s="328"/>
      <c r="C129" s="329"/>
      <c r="D129" s="329"/>
      <c r="E129" s="329"/>
      <c r="F129" s="329"/>
      <c r="G129" s="329"/>
      <c r="H129" s="329"/>
      <c r="I129" s="329"/>
      <c r="J129" s="330"/>
    </row>
    <row r="130" spans="1:10" ht="7.5" customHeight="1" x14ac:dyDescent="0.15">
      <c r="A130" s="105"/>
      <c r="B130" s="117"/>
      <c r="C130" s="117"/>
      <c r="D130" s="117"/>
      <c r="E130" s="117"/>
      <c r="F130" s="117"/>
      <c r="G130" s="117"/>
      <c r="H130" s="117"/>
      <c r="I130" s="117"/>
      <c r="J130" s="117"/>
    </row>
    <row r="131" spans="1:10" ht="18.75" customHeight="1" x14ac:dyDescent="0.15">
      <c r="A131" s="105"/>
      <c r="B131" s="105"/>
      <c r="C131" s="105"/>
      <c r="D131" s="105"/>
      <c r="E131" s="105"/>
      <c r="F131" s="105"/>
      <c r="G131" s="105"/>
      <c r="H131" s="105"/>
      <c r="I131" s="105"/>
      <c r="J131" s="105"/>
    </row>
    <row r="132" spans="1:10" ht="18.75" customHeight="1" x14ac:dyDescent="0.15">
      <c r="A132" s="105"/>
      <c r="B132" s="105"/>
      <c r="C132" s="105"/>
      <c r="D132" s="105"/>
      <c r="E132" s="105"/>
      <c r="F132" s="105"/>
      <c r="G132" s="105"/>
      <c r="H132" s="105"/>
      <c r="I132" s="105"/>
      <c r="J132" s="105"/>
    </row>
    <row r="133" spans="1:10" ht="18.75" customHeight="1" x14ac:dyDescent="0.15">
      <c r="A133" s="105"/>
      <c r="B133" s="105"/>
      <c r="C133" s="105"/>
      <c r="D133" s="105"/>
      <c r="E133" s="105"/>
      <c r="F133" s="105"/>
      <c r="G133" s="105"/>
      <c r="H133" s="105"/>
      <c r="I133" s="105"/>
      <c r="J133" s="105"/>
    </row>
    <row r="134" spans="1:10" ht="18.75" customHeight="1" x14ac:dyDescent="0.15">
      <c r="A134" s="105"/>
      <c r="B134" s="105"/>
      <c r="C134" s="105"/>
      <c r="D134" s="105"/>
      <c r="E134" s="105"/>
      <c r="F134" s="105"/>
      <c r="G134" s="105"/>
      <c r="H134" s="105"/>
      <c r="I134" s="105"/>
      <c r="J134" s="105"/>
    </row>
    <row r="135" spans="1:10" ht="18.75" customHeight="1" x14ac:dyDescent="0.15">
      <c r="A135" s="105"/>
      <c r="B135" s="105"/>
      <c r="C135" s="105"/>
      <c r="D135" s="105"/>
      <c r="E135" s="105"/>
      <c r="F135" s="105"/>
      <c r="G135" s="105"/>
      <c r="H135" s="105"/>
      <c r="I135" s="105"/>
      <c r="J135" s="105"/>
    </row>
    <row r="136" spans="1:10" ht="18.75" customHeight="1" x14ac:dyDescent="0.15">
      <c r="A136" s="105"/>
      <c r="B136" s="105"/>
      <c r="C136" s="105"/>
      <c r="D136" s="105"/>
      <c r="E136" s="105"/>
      <c r="F136" s="105"/>
      <c r="G136" s="105"/>
      <c r="H136" s="105"/>
      <c r="I136" s="105"/>
      <c r="J136" s="105"/>
    </row>
    <row r="137" spans="1:10" ht="18.75" customHeight="1" x14ac:dyDescent="0.15">
      <c r="A137" s="105"/>
      <c r="B137" s="105"/>
      <c r="C137" s="105"/>
      <c r="D137" s="105"/>
      <c r="E137" s="105"/>
      <c r="F137" s="105"/>
      <c r="G137" s="105"/>
      <c r="H137" s="105"/>
      <c r="I137" s="105"/>
      <c r="J137" s="105"/>
    </row>
    <row r="138" spans="1:10" ht="18.75" customHeight="1" x14ac:dyDescent="0.15">
      <c r="A138" s="105"/>
      <c r="B138" s="105"/>
      <c r="C138" s="105"/>
      <c r="D138" s="105"/>
      <c r="E138" s="105"/>
      <c r="F138" s="105"/>
      <c r="G138" s="105"/>
      <c r="H138" s="105"/>
      <c r="I138" s="105"/>
      <c r="J138" s="105"/>
    </row>
    <row r="139" spans="1:10" ht="18.75" customHeight="1" x14ac:dyDescent="0.15">
      <c r="A139" s="105"/>
      <c r="B139" s="105"/>
      <c r="C139" s="105"/>
      <c r="D139" s="105"/>
      <c r="E139" s="105"/>
      <c r="F139" s="105"/>
      <c r="G139" s="105"/>
      <c r="H139" s="105"/>
      <c r="I139" s="105"/>
      <c r="J139" s="105"/>
    </row>
    <row r="140" spans="1:10" ht="18.75" customHeight="1" x14ac:dyDescent="0.15">
      <c r="A140" s="105"/>
      <c r="B140" s="105"/>
      <c r="C140" s="105"/>
      <c r="D140" s="105"/>
      <c r="E140" s="105"/>
      <c r="F140" s="105"/>
      <c r="G140" s="105"/>
      <c r="H140" s="105"/>
      <c r="I140" s="105"/>
      <c r="J140" s="105"/>
    </row>
    <row r="141" spans="1:10" ht="18.75" customHeight="1" x14ac:dyDescent="0.15">
      <c r="A141" s="105"/>
      <c r="B141" s="105"/>
      <c r="C141" s="105"/>
      <c r="D141" s="105"/>
      <c r="E141" s="105"/>
      <c r="F141" s="105"/>
      <c r="G141" s="105"/>
      <c r="H141" s="105"/>
      <c r="I141" s="105"/>
      <c r="J141" s="105"/>
    </row>
    <row r="142" spans="1:10" ht="18.75" customHeight="1" x14ac:dyDescent="0.15">
      <c r="A142" s="105"/>
      <c r="B142" s="105"/>
      <c r="C142" s="105"/>
      <c r="D142" s="105"/>
      <c r="E142" s="105"/>
      <c r="F142" s="105"/>
      <c r="G142" s="105"/>
      <c r="H142" s="105"/>
      <c r="I142" s="105"/>
      <c r="J142" s="105"/>
    </row>
    <row r="143" spans="1:10" ht="14.25" x14ac:dyDescent="0.15">
      <c r="A143" s="105"/>
      <c r="B143" s="105"/>
      <c r="C143" s="105"/>
      <c r="D143" s="105"/>
      <c r="E143" s="105"/>
      <c r="F143" s="105"/>
      <c r="G143" s="105"/>
      <c r="H143" s="105"/>
      <c r="I143" s="105"/>
      <c r="J143" s="105"/>
    </row>
    <row r="144" spans="1:10" ht="7.5" customHeight="1" x14ac:dyDescent="0.15">
      <c r="A144" s="118"/>
      <c r="B144" s="118"/>
      <c r="C144" s="118"/>
      <c r="D144" s="118"/>
      <c r="E144" s="118"/>
      <c r="F144" s="118"/>
      <c r="G144" s="118"/>
      <c r="H144" s="118"/>
      <c r="I144" s="118"/>
      <c r="J144" s="118"/>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2"/>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Normal="85" zoomScaleSheetLayoutView="100" zoomScalePageLayoutView="85" workbookViewId="0">
      <selection activeCell="A2" sqref="A2:J2"/>
    </sheetView>
  </sheetViews>
  <sheetFormatPr defaultColWidth="11.375" defaultRowHeight="22.5" customHeight="1" x14ac:dyDescent="0.15"/>
  <cols>
    <col min="1" max="3" width="2.625" style="2" customWidth="1"/>
    <col min="4" max="4" width="22.125" style="2" customWidth="1"/>
    <col min="5" max="5" width="21.625" style="2" customWidth="1"/>
    <col min="6" max="7" width="7.625" style="2" customWidth="1"/>
    <col min="8" max="8" width="33.375" style="2" customWidth="1"/>
    <col min="9" max="9" width="24.5" style="2" customWidth="1"/>
    <col min="10" max="10" width="5.5" style="2" customWidth="1"/>
    <col min="11" max="11" width="4.125" style="101" customWidth="1"/>
    <col min="12" max="16384" width="11.375" style="2"/>
  </cols>
  <sheetData>
    <row r="1" spans="1:11" ht="18.75" customHeight="1" x14ac:dyDescent="0.15">
      <c r="A1" s="2" t="s">
        <v>214</v>
      </c>
      <c r="J1" s="100" t="s">
        <v>199</v>
      </c>
    </row>
    <row r="2" spans="1:11" ht="18.75" customHeight="1" x14ac:dyDescent="0.15">
      <c r="A2" s="272" t="s">
        <v>148</v>
      </c>
      <c r="B2" s="272"/>
      <c r="C2" s="272"/>
      <c r="D2" s="272"/>
      <c r="E2" s="272"/>
      <c r="F2" s="272"/>
      <c r="G2" s="272"/>
      <c r="H2" s="272"/>
      <c r="I2" s="272"/>
      <c r="J2" s="272"/>
    </row>
    <row r="3" spans="1:11" ht="7.5" customHeight="1" x14ac:dyDescent="0.15">
      <c r="A3" s="97"/>
      <c r="B3" s="97"/>
      <c r="C3" s="97"/>
      <c r="D3" s="97"/>
      <c r="E3" s="97"/>
      <c r="F3" s="97"/>
      <c r="G3" s="97"/>
      <c r="H3" s="97"/>
      <c r="I3" s="97"/>
      <c r="J3" s="97"/>
    </row>
    <row r="4" spans="1:11" ht="18.75" customHeight="1" x14ac:dyDescent="0.15">
      <c r="A4" s="2" t="s">
        <v>166</v>
      </c>
      <c r="B4" s="2" t="s">
        <v>200</v>
      </c>
      <c r="C4" s="105"/>
      <c r="D4" s="105"/>
      <c r="E4" s="105"/>
      <c r="F4" s="105"/>
      <c r="G4" s="105"/>
      <c r="H4" s="105"/>
      <c r="I4" s="105"/>
      <c r="J4" s="105"/>
    </row>
    <row r="5" spans="1:11" ht="18.75" customHeight="1" x14ac:dyDescent="0.15">
      <c r="B5" s="336" t="s">
        <v>201</v>
      </c>
      <c r="C5" s="337"/>
      <c r="D5" s="338"/>
      <c r="E5" s="337" t="s">
        <v>202</v>
      </c>
      <c r="F5" s="337"/>
      <c r="G5" s="337"/>
      <c r="H5" s="337"/>
      <c r="I5" s="337"/>
      <c r="J5" s="338"/>
    </row>
    <row r="6" spans="1:11" ht="18.75" customHeight="1" x14ac:dyDescent="0.15">
      <c r="B6" s="119" t="s">
        <v>203</v>
      </c>
      <c r="C6" s="105"/>
      <c r="D6" s="120"/>
      <c r="I6" s="105"/>
      <c r="J6" s="120"/>
    </row>
    <row r="7" spans="1:11" ht="207" customHeight="1" x14ac:dyDescent="0.15">
      <c r="B7" s="121"/>
      <c r="C7" s="339" t="s">
        <v>204</v>
      </c>
      <c r="D7" s="262"/>
      <c r="E7" s="333" t="s">
        <v>191</v>
      </c>
      <c r="F7" s="334"/>
      <c r="G7" s="334"/>
      <c r="H7" s="334"/>
      <c r="I7" s="334"/>
      <c r="J7" s="335"/>
      <c r="K7" s="101" t="str">
        <f>IF(E7="","入力してください","")</f>
        <v/>
      </c>
    </row>
    <row r="8" spans="1:11" ht="207" customHeight="1" x14ac:dyDescent="0.15">
      <c r="B8" s="121"/>
      <c r="C8" s="331" t="s">
        <v>205</v>
      </c>
      <c r="D8" s="332"/>
      <c r="E8" s="333" t="s">
        <v>192</v>
      </c>
      <c r="F8" s="334"/>
      <c r="G8" s="334"/>
      <c r="H8" s="334"/>
      <c r="I8" s="334"/>
      <c r="J8" s="335"/>
      <c r="K8" s="101" t="str">
        <f>IF(E8="","入力してください","")</f>
        <v/>
      </c>
    </row>
    <row r="9" spans="1:11" ht="172.5" customHeight="1" x14ac:dyDescent="0.15">
      <c r="B9" s="121"/>
      <c r="C9" s="339" t="s">
        <v>206</v>
      </c>
      <c r="D9" s="262"/>
      <c r="E9" s="333" t="s">
        <v>193</v>
      </c>
      <c r="F9" s="334"/>
      <c r="G9" s="334"/>
      <c r="H9" s="334"/>
      <c r="I9" s="334"/>
      <c r="J9" s="335"/>
      <c r="K9" s="101" t="str">
        <f>IF(E9="","入力してください","")</f>
        <v/>
      </c>
    </row>
    <row r="10" spans="1:11" ht="172.5" customHeight="1" x14ac:dyDescent="0.15">
      <c r="B10" s="121"/>
      <c r="C10" s="339" t="s">
        <v>207</v>
      </c>
      <c r="D10" s="262"/>
      <c r="E10" s="333" t="s">
        <v>194</v>
      </c>
      <c r="F10" s="334"/>
      <c r="G10" s="334"/>
      <c r="H10" s="334"/>
      <c r="I10" s="334"/>
      <c r="J10" s="335"/>
      <c r="K10" s="101" t="str">
        <f t="shared" ref="K10:K14" si="0">IF(E10="","入力してください","")</f>
        <v/>
      </c>
    </row>
    <row r="11" spans="1:11" ht="172.5" customHeight="1" x14ac:dyDescent="0.15">
      <c r="B11" s="121"/>
      <c r="C11" s="339" t="s">
        <v>208</v>
      </c>
      <c r="D11" s="262"/>
      <c r="E11" s="333" t="s">
        <v>195</v>
      </c>
      <c r="F11" s="334"/>
      <c r="G11" s="334"/>
      <c r="H11" s="334"/>
      <c r="I11" s="334"/>
      <c r="J11" s="335"/>
      <c r="K11" s="101" t="str">
        <f t="shared" si="0"/>
        <v/>
      </c>
    </row>
    <row r="12" spans="1:11" ht="18.75" customHeight="1" x14ac:dyDescent="0.15">
      <c r="B12" s="122" t="s">
        <v>209</v>
      </c>
      <c r="C12" s="123"/>
      <c r="D12" s="124"/>
      <c r="E12" s="125"/>
      <c r="F12" s="125"/>
      <c r="G12" s="125"/>
      <c r="H12" s="125"/>
      <c r="I12" s="125"/>
      <c r="J12" s="126"/>
    </row>
    <row r="13" spans="1:11" ht="244.35" customHeight="1" x14ac:dyDescent="0.15">
      <c r="B13" s="121"/>
      <c r="C13" s="339" t="s">
        <v>210</v>
      </c>
      <c r="D13" s="262"/>
      <c r="E13" s="345" t="s">
        <v>145</v>
      </c>
      <c r="F13" s="345"/>
      <c r="G13" s="345"/>
      <c r="H13" s="345"/>
      <c r="I13" s="345"/>
      <c r="J13" s="346"/>
      <c r="K13" s="101" t="str">
        <f t="shared" si="0"/>
        <v/>
      </c>
    </row>
    <row r="14" spans="1:11" ht="255" customHeight="1" x14ac:dyDescent="0.15">
      <c r="B14" s="121"/>
      <c r="C14" s="339" t="s">
        <v>211</v>
      </c>
      <c r="D14" s="262"/>
      <c r="E14" s="345" t="s">
        <v>196</v>
      </c>
      <c r="F14" s="345"/>
      <c r="G14" s="345"/>
      <c r="H14" s="345"/>
      <c r="I14" s="345"/>
      <c r="J14" s="346"/>
      <c r="K14" s="101" t="str">
        <f t="shared" si="0"/>
        <v/>
      </c>
    </row>
    <row r="15" spans="1:11" ht="243" customHeight="1" x14ac:dyDescent="0.15">
      <c r="B15" s="260" t="s">
        <v>212</v>
      </c>
      <c r="C15" s="261"/>
      <c r="D15" s="262"/>
      <c r="E15" s="345" t="s">
        <v>197</v>
      </c>
      <c r="F15" s="345"/>
      <c r="G15" s="345"/>
      <c r="H15" s="345"/>
      <c r="I15" s="345"/>
      <c r="J15" s="346"/>
      <c r="K15" s="101" t="str">
        <f>IF(E15="","入力してください","")</f>
        <v/>
      </c>
    </row>
    <row r="16" spans="1:11" ht="243" customHeight="1" x14ac:dyDescent="0.15">
      <c r="A16" s="101"/>
      <c r="B16" s="340" t="s">
        <v>213</v>
      </c>
      <c r="C16" s="341"/>
      <c r="D16" s="342"/>
      <c r="E16" s="343" t="s">
        <v>198</v>
      </c>
      <c r="F16" s="343"/>
      <c r="G16" s="343"/>
      <c r="H16" s="343"/>
      <c r="I16" s="343"/>
      <c r="J16" s="344"/>
      <c r="K16" s="101" t="str">
        <f>IF(E16="","入力してください","")</f>
        <v/>
      </c>
    </row>
    <row r="17" spans="1:11" ht="7.5" customHeight="1" x14ac:dyDescent="0.15">
      <c r="B17" s="105"/>
      <c r="C17" s="105"/>
      <c r="D17" s="105"/>
      <c r="E17" s="105"/>
      <c r="F17" s="105"/>
      <c r="G17" s="105"/>
      <c r="H17" s="105"/>
      <c r="I17" s="105"/>
      <c r="J17" s="105"/>
    </row>
    <row r="18" spans="1:11" ht="18.75" customHeight="1" x14ac:dyDescent="0.15">
      <c r="A18" s="2" t="s">
        <v>215</v>
      </c>
      <c r="C18" s="105"/>
      <c r="D18" s="105"/>
      <c r="E18" s="105"/>
      <c r="F18" s="104"/>
      <c r="G18" s="350" t="s">
        <v>227</v>
      </c>
      <c r="H18" s="351"/>
      <c r="I18" s="351"/>
      <c r="J18" s="352"/>
      <c r="K18" s="101" t="str">
        <f>IF(G18="","入力してください","")</f>
        <v/>
      </c>
    </row>
    <row r="19" spans="1:11" ht="22.5" customHeight="1" x14ac:dyDescent="0.15">
      <c r="B19" s="105"/>
      <c r="C19" s="105"/>
      <c r="D19" s="105"/>
      <c r="E19" s="105"/>
      <c r="F19" s="105"/>
      <c r="G19" s="105"/>
      <c r="H19" s="105"/>
      <c r="I19" s="105"/>
      <c r="J19" s="105"/>
    </row>
    <row r="20" spans="1:11" ht="22.5" customHeight="1" x14ac:dyDescent="0.15">
      <c r="B20" s="105"/>
      <c r="C20" s="105"/>
      <c r="D20" s="105"/>
      <c r="E20" s="105"/>
      <c r="F20" s="105"/>
      <c r="G20" s="105"/>
      <c r="H20" s="105"/>
      <c r="I20" s="105"/>
      <c r="J20" s="105"/>
    </row>
    <row r="21" spans="1:11" ht="22.5" customHeight="1" x14ac:dyDescent="0.15">
      <c r="B21" s="105"/>
      <c r="C21" s="105"/>
      <c r="D21" s="105"/>
      <c r="E21" s="105"/>
      <c r="F21" s="105"/>
      <c r="G21" s="105"/>
      <c r="H21" s="105"/>
      <c r="I21" s="105"/>
      <c r="J21" s="105"/>
    </row>
    <row r="22" spans="1:11" ht="22.5" customHeight="1" x14ac:dyDescent="0.15">
      <c r="B22" s="105"/>
      <c r="C22" s="105"/>
      <c r="D22" s="105"/>
      <c r="E22" s="105"/>
      <c r="F22" s="105"/>
      <c r="G22" s="105"/>
      <c r="H22" s="105"/>
      <c r="I22" s="105"/>
      <c r="J22" s="105"/>
    </row>
    <row r="23" spans="1:11" ht="22.5" customHeight="1" x14ac:dyDescent="0.15">
      <c r="B23" s="105"/>
      <c r="C23" s="105"/>
      <c r="D23" s="105"/>
      <c r="E23" s="105"/>
      <c r="F23" s="105"/>
      <c r="G23" s="105"/>
      <c r="H23" s="105"/>
      <c r="I23" s="105"/>
      <c r="J23" s="105"/>
    </row>
    <row r="24" spans="1:11" ht="22.5" customHeight="1" x14ac:dyDescent="0.15">
      <c r="B24" s="103"/>
      <c r="C24" s="103"/>
      <c r="D24" s="103"/>
      <c r="E24" s="103"/>
      <c r="F24" s="103"/>
      <c r="G24" s="103"/>
      <c r="H24" s="103"/>
      <c r="I24" s="103"/>
      <c r="J24" s="103"/>
    </row>
    <row r="25" spans="1:11" ht="22.5" customHeight="1" x14ac:dyDescent="0.15">
      <c r="B25" s="103"/>
      <c r="C25" s="103"/>
      <c r="D25" s="103"/>
      <c r="E25" s="103"/>
      <c r="F25" s="103"/>
      <c r="G25" s="103"/>
      <c r="H25" s="103"/>
      <c r="I25" s="103"/>
      <c r="J25" s="103"/>
    </row>
    <row r="26" spans="1:11" ht="22.5" customHeight="1" x14ac:dyDescent="0.15">
      <c r="B26" s="103"/>
      <c r="C26" s="103"/>
      <c r="D26" s="103"/>
      <c r="E26" s="103"/>
      <c r="F26" s="103"/>
      <c r="G26" s="103"/>
      <c r="H26" s="103"/>
      <c r="I26" s="103"/>
      <c r="J26" s="103"/>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2"/>
  <printOptions horizontalCentered="1"/>
  <pageMargins left="0.78740157480314965" right="0.78740157480314965" top="0.78740157480314965" bottom="0.78740157480314965" header="0.31496062992125984" footer="0.31496062992125984"/>
  <pageSetup paperSize="9" orientation="landscape"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様式２-1　プログラムを構成する授業科目 </vt:lpstr>
      <vt:lpstr>様式２-2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'様式２-1　プログラムを構成する授業科目 '!Print_Area</vt:lpstr>
      <vt:lpstr>'様式２-2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Administrator</cp:lastModifiedBy>
  <cp:lastPrinted>2022-05-10T05:30:23Z</cp:lastPrinted>
  <dcterms:created xsi:type="dcterms:W3CDTF">2011-06-14T05:32:50Z</dcterms:created>
  <dcterms:modified xsi:type="dcterms:W3CDTF">2022-07-14T03:35:54Z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