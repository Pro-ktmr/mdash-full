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revisions/revisionHeaders.xml" ContentType="application/vnd.openxmlformats-officedocument.spreadsheetml.revisionHeaders+xml"/>
  <Override PartName="/xl/revisions/revisionLog57.xml" ContentType="application/vnd.openxmlformats-officedocument.spreadsheetml.revisionLog+xml"/>
  <Override PartName="/xl/revisions/userNames.xml" ContentType="application/vnd.openxmlformats-officedocument.spreadsheetml.userNam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revisions/revisionLog13.xml" ContentType="application/vnd.openxmlformats-officedocument.spreadsheetml.revisionLog+xml"/>
  <Override PartName="/xl/revisions/revisionLog18.xml" ContentType="application/vnd.openxmlformats-officedocument.spreadsheetml.revisionLog+xml"/>
  <Override PartName="/xl/revisions/revisionLog26.xml" ContentType="application/vnd.openxmlformats-officedocument.spreadsheetml.revisionLog+xml"/>
  <Override PartName="/xl/revisions/revisionLog39.xml" ContentType="application/vnd.openxmlformats-officedocument.spreadsheetml.revisionLog+xml"/>
  <Override PartName="/xl/revisions/revisionLog21.xml" ContentType="application/vnd.openxmlformats-officedocument.spreadsheetml.revisionLog+xml"/>
  <Override PartName="/xl/revisions/revisionLog34.xml" ContentType="application/vnd.openxmlformats-officedocument.spreadsheetml.revisionLog+xml"/>
  <Override PartName="/xl/revisions/revisionLog42.xml" ContentType="application/vnd.openxmlformats-officedocument.spreadsheetml.revisionLog+xml"/>
  <Override PartName="/xl/revisions/revisionLog47.xml" ContentType="application/vnd.openxmlformats-officedocument.spreadsheetml.revisionLog+xml"/>
  <Override PartName="/xl/revisions/revisionLog50.xml" ContentType="application/vnd.openxmlformats-officedocument.spreadsheetml.revisionLog+xml"/>
  <Override PartName="/xl/revisions/revisionLog55.xml" ContentType="application/vnd.openxmlformats-officedocument.spreadsheetml.revisionLog+xml"/>
  <Override PartName="/xl/revisions/revisionLog7.xml" ContentType="application/vnd.openxmlformats-officedocument.spreadsheetml.revisionLog+xml"/>
  <Override PartName="/xl/revisions/revisionLog2.xml" ContentType="application/vnd.openxmlformats-officedocument.spreadsheetml.revisionLog+xml"/>
  <Override PartName="/xl/revisions/revisionLog16.xml" ContentType="application/vnd.openxmlformats-officedocument.spreadsheetml.revisionLog+xml"/>
  <Override PartName="/xl/revisions/revisionLog29.xml" ContentType="application/vnd.openxmlformats-officedocument.spreadsheetml.revisionLog+xml"/>
  <Override PartName="/xl/revisions/revisionLog11.xml" ContentType="application/vnd.openxmlformats-officedocument.spreadsheetml.revisionLog+xml"/>
  <Override PartName="/xl/revisions/revisionLog24.xml" ContentType="application/vnd.openxmlformats-officedocument.spreadsheetml.revisionLog+xml"/>
  <Override PartName="/xl/revisions/revisionLog32.xml" ContentType="application/vnd.openxmlformats-officedocument.spreadsheetml.revisionLog+xml"/>
  <Override PartName="/xl/revisions/revisionLog37.xml" ContentType="application/vnd.openxmlformats-officedocument.spreadsheetml.revisionLog+xml"/>
  <Override PartName="/xl/revisions/revisionLog40.xml" ContentType="application/vnd.openxmlformats-officedocument.spreadsheetml.revisionLog+xml"/>
  <Override PartName="/xl/revisions/revisionLog45.xml" ContentType="application/vnd.openxmlformats-officedocument.spreadsheetml.revisionLog+xml"/>
  <Override PartName="/xl/revisions/revisionLog53.xml" ContentType="application/vnd.openxmlformats-officedocument.spreadsheetml.revisionLog+xml"/>
  <Override PartName="/xl/revisions/revisionLog5.xml" ContentType="application/vnd.openxmlformats-officedocument.spreadsheetml.revisionLog+xml"/>
  <Override PartName="/xl/revisions/revisionLog10.xml" ContentType="application/vnd.openxmlformats-officedocument.spreadsheetml.revisionLog+xml"/>
  <Override PartName="/xl/revisions/revisionLog19.xml" ContentType="application/vnd.openxmlformats-officedocument.spreadsheetml.revisionLog+xml"/>
  <Override PartName="/xl/revisions/revisionLog31.xml" ContentType="application/vnd.openxmlformats-officedocument.spreadsheetml.revisionLog+xml"/>
  <Override PartName="/xl/revisions/revisionLog44.xml" ContentType="application/vnd.openxmlformats-officedocument.spreadsheetml.revisionLog+xml"/>
  <Override PartName="/xl/revisions/revisionLog52.xml" ContentType="application/vnd.openxmlformats-officedocument.spreadsheetml.revisionLog+xml"/>
  <Override PartName="/xl/revisions/revisionLog4.xml" ContentType="application/vnd.openxmlformats-officedocument.spreadsheetml.revisionLog+xml"/>
  <Override PartName="/xl/revisions/revisionLog9.xml" ContentType="application/vnd.openxmlformats-officedocument.spreadsheetml.revisionLog+xml"/>
  <Override PartName="/xl/revisions/revisionLog14.xml" ContentType="application/vnd.openxmlformats-officedocument.spreadsheetml.revisionLog+xml"/>
  <Override PartName="/xl/revisions/revisionLog22.xml" ContentType="application/vnd.openxmlformats-officedocument.spreadsheetml.revisionLog+xml"/>
  <Override PartName="/xl/revisions/revisionLog27.xml" ContentType="application/vnd.openxmlformats-officedocument.spreadsheetml.revisionLog+xml"/>
  <Override PartName="/xl/revisions/revisionLog30.xml" ContentType="application/vnd.openxmlformats-officedocument.spreadsheetml.revisionLog+xml"/>
  <Override PartName="/xl/revisions/revisionLog35.xml" ContentType="application/vnd.openxmlformats-officedocument.spreadsheetml.revisionLog+xml"/>
  <Override PartName="/xl/revisions/revisionLog43.xml" ContentType="application/vnd.openxmlformats-officedocument.spreadsheetml.revisionLog+xml"/>
  <Override PartName="/xl/revisions/revisionLog48.xml" ContentType="application/vnd.openxmlformats-officedocument.spreadsheetml.revisionLog+xml"/>
  <Override PartName="/xl/revisions/revisionLog56.xml" ContentType="application/vnd.openxmlformats-officedocument.spreadsheetml.revisionLog+xml"/>
  <Override PartName="/xl/revisions/revisionLog8.xml" ContentType="application/vnd.openxmlformats-officedocument.spreadsheetml.revisionLog+xml"/>
  <Override PartName="/xl/revisions/revisionLog51.xml" ContentType="application/vnd.openxmlformats-officedocument.spreadsheetml.revisionLog+xml"/>
  <Override PartName="/xl/revisions/revisionLog3.xml" ContentType="application/vnd.openxmlformats-officedocument.spreadsheetml.revisionLog+xml"/>
  <Override PartName="/xl/revisions/revisionLog12.xml" ContentType="application/vnd.openxmlformats-officedocument.spreadsheetml.revisionLog+xml"/>
  <Override PartName="/xl/revisions/revisionLog17.xml" ContentType="application/vnd.openxmlformats-officedocument.spreadsheetml.revisionLog+xml"/>
  <Override PartName="/xl/revisions/revisionLog25.xml" ContentType="application/vnd.openxmlformats-officedocument.spreadsheetml.revisionLog+xml"/>
  <Override PartName="/xl/revisions/revisionLog33.xml" ContentType="application/vnd.openxmlformats-officedocument.spreadsheetml.revisionLog+xml"/>
  <Override PartName="/xl/revisions/revisionLog38.xml" ContentType="application/vnd.openxmlformats-officedocument.spreadsheetml.revisionLog+xml"/>
  <Override PartName="/xl/revisions/revisionLog46.xml" ContentType="application/vnd.openxmlformats-officedocument.spreadsheetml.revisionLog+xml"/>
  <Override PartName="/xl/revisions/revisionLog20.xml" ContentType="application/vnd.openxmlformats-officedocument.spreadsheetml.revisionLog+xml"/>
  <Override PartName="/xl/revisions/revisionLog41.xml" ContentType="application/vnd.openxmlformats-officedocument.spreadsheetml.revisionLog+xml"/>
  <Override PartName="/xl/revisions/revisionLog54.xml" ContentType="application/vnd.openxmlformats-officedocument.spreadsheetml.revisionLog+xml"/>
  <Override PartName="/xl/revisions/revisionLog1.xml" ContentType="application/vnd.openxmlformats-officedocument.spreadsheetml.revisionLog+xml"/>
  <Override PartName="/xl/revisions/revisionLog6.xml" ContentType="application/vnd.openxmlformats-officedocument.spreadsheetml.revisionLog+xml"/>
  <Override PartName="/xl/revisions/revisionLog15.xml" ContentType="application/vnd.openxmlformats-officedocument.spreadsheetml.revisionLog+xml"/>
  <Override PartName="/xl/revisions/revisionLog23.xml" ContentType="application/vnd.openxmlformats-officedocument.spreadsheetml.revisionLog+xml"/>
  <Override PartName="/xl/revisions/revisionLog28.xml" ContentType="application/vnd.openxmlformats-officedocument.spreadsheetml.revisionLog+xml"/>
  <Override PartName="/xl/revisions/revisionLog36.xml" ContentType="application/vnd.openxmlformats-officedocument.spreadsheetml.revisionLog+xml"/>
  <Override PartName="/xl/revisions/revisionLog49.xml" ContentType="application/vnd.openxmlformats-officedocument.spreadsheetml.revisionLo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386"/>
  <workbookPr defaultThemeVersion="124226"/>
  <mc:AlternateContent xmlns:mc="http://schemas.openxmlformats.org/markup-compatibility/2006">
    <mc:Choice Requires="x15">
      <x15ac:absPath xmlns:x15ac="http://schemas.microsoft.com/office/spreadsheetml/2010/11/ac" url="Z:\04_教育企画課\04_教育改革係\DS関係\58-数理データWG、MDSセンター、データ科学科目準備部会運営関係\数理・データサイエンス・AI教育プログラム認定制度\01_リテラシーレベル\2022年度\03_作成\"/>
    </mc:Choice>
  </mc:AlternateContent>
  <xr:revisionPtr revIDLastSave="0" documentId="13_ncr:81_{29A934BD-C881-4D5B-82D9-A20860AA3CCB}" xr6:coauthVersionLast="36" xr6:coauthVersionMax="47" xr10:uidLastSave="{00000000-0000-0000-0000-000000000000}"/>
  <bookViews>
    <workbookView xWindow="0" yWindow="0" windowWidth="11280" windowHeight="14450" tabRatio="885" xr2:uid="{00000000-000D-0000-FFFF-FFFF00000000}"/>
  </bookViews>
  <sheets>
    <sheet name="様式１　大学等概要" sheetId="1" r:id="rId1"/>
    <sheet name="様式２-１　プログラムを構成する授業科目" sheetId="2" r:id="rId2"/>
    <sheet name="様式２-２　プログラムを構成する授業科目" sheetId="3" r:id="rId3"/>
    <sheet name="様式３　履修者等数の実績" sheetId="4" r:id="rId4"/>
    <sheet name="様式４　教育の質・履修者数を向上させるための体制・計画" sheetId="5" r:id="rId5"/>
    <sheet name="様式５　自己点検・評価" sheetId="6" r:id="rId6"/>
    <sheet name="様式６　特色ある取組" sheetId="7" state="hidden" r:id="rId7"/>
  </sheets>
  <definedNames>
    <definedName name="_xlnm._FilterDatabase" localSheetId="1" hidden="1">'様式２-１　プログラムを構成する授業科目'!#REF!</definedName>
    <definedName name="_xlnm._FilterDatabase" localSheetId="2" hidden="1">'様式２-２　プログラムを構成する授業科目'!#REF!</definedName>
    <definedName name="_xlnm._FilterDatabase" localSheetId="3" hidden="1">'様式３　履修者等数の実績'!#REF!</definedName>
    <definedName name="_xlnm.Print_Area" localSheetId="0">'様式１　大学等概要'!$A$1:$N$45</definedName>
    <definedName name="_xlnm.Print_Area" localSheetId="1">'様式２-１　プログラムを構成する授業科目'!$A$1:$Z$98</definedName>
    <definedName name="_xlnm.Print_Area" localSheetId="2">'様式２-２　プログラムを構成する授業科目'!$A$1:$Z$98</definedName>
    <definedName name="_xlnm.Print_Area" localSheetId="3">'様式３　履修者等数の実績'!$A$1:$R$30</definedName>
    <definedName name="_xlnm.Print_Area" localSheetId="4">'様式４　教育の質・履修者数を向上させるための体制・計画'!$A$1:$J$130</definedName>
    <definedName name="_xlnm.Print_Area" localSheetId="5">'様式５　自己点検・評価'!$A$1:$J$18</definedName>
    <definedName name="_xlnm.Print_Area" localSheetId="6">'様式６　特色ある取組'!$A$1:$F$124</definedName>
    <definedName name="Z_3F6F70B2_63B4_4C1B_8947_42666FB99B7C_.wvu.PrintArea" localSheetId="0" hidden="1">'様式１　大学等概要'!$A$1:$N$45</definedName>
    <definedName name="Z_3F6F70B2_63B4_4C1B_8947_42666FB99B7C_.wvu.PrintArea" localSheetId="1" hidden="1">'様式２-１　プログラムを構成する授業科目'!$A$1:$Z$98</definedName>
    <definedName name="Z_3F6F70B2_63B4_4C1B_8947_42666FB99B7C_.wvu.PrintArea" localSheetId="2" hidden="1">'様式２-２　プログラムを構成する授業科目'!$A$1:$Z$98</definedName>
    <definedName name="Z_3F6F70B2_63B4_4C1B_8947_42666FB99B7C_.wvu.PrintArea" localSheetId="3" hidden="1">'様式３　履修者等数の実績'!$A$1:$R$30</definedName>
    <definedName name="Z_3F6F70B2_63B4_4C1B_8947_42666FB99B7C_.wvu.PrintArea" localSheetId="4" hidden="1">'様式４　教育の質・履修者数を向上させるための体制・計画'!$A$1:$J$130</definedName>
    <definedName name="Z_3F6F70B2_63B4_4C1B_8947_42666FB99B7C_.wvu.PrintArea" localSheetId="5" hidden="1">'様式５　自己点検・評価'!$A$1:$J$18</definedName>
    <definedName name="Z_3F6F70B2_63B4_4C1B_8947_42666FB99B7C_.wvu.PrintArea" localSheetId="6" hidden="1">'様式６　特色ある取組'!$A$1:$F$124</definedName>
    <definedName name="Z_AB72F774_B35A_46F0_BC4F_A888CB0430C3_.wvu.PrintArea" localSheetId="0" hidden="1">'様式１　大学等概要'!$A$1:$N$45</definedName>
    <definedName name="Z_AB72F774_B35A_46F0_BC4F_A888CB0430C3_.wvu.PrintArea" localSheetId="1" hidden="1">'様式２-１　プログラムを構成する授業科目'!$A$1:$Z$98</definedName>
    <definedName name="Z_AB72F774_B35A_46F0_BC4F_A888CB0430C3_.wvu.PrintArea" localSheetId="2" hidden="1">'様式２-２　プログラムを構成する授業科目'!$A$1:$Z$98</definedName>
    <definedName name="Z_AB72F774_B35A_46F0_BC4F_A888CB0430C3_.wvu.PrintArea" localSheetId="3" hidden="1">'様式３　履修者等数の実績'!$A$1:$R$30</definedName>
    <definedName name="Z_AB72F774_B35A_46F0_BC4F_A888CB0430C3_.wvu.PrintArea" localSheetId="4" hidden="1">'様式４　教育の質・履修者数を向上させるための体制・計画'!$A$1:$J$130</definedName>
    <definedName name="Z_AB72F774_B35A_46F0_BC4F_A888CB0430C3_.wvu.PrintArea" localSheetId="5" hidden="1">'様式５　自己点検・評価'!$A$1:$J$18</definedName>
    <definedName name="Z_AB72F774_B35A_46F0_BC4F_A888CB0430C3_.wvu.PrintArea" localSheetId="6" hidden="1">'様式６　特色ある取組'!$A$1:$F$124</definedName>
    <definedName name="Z_F66F98FB_58AD_4588_B2BF_A96D7B6BA538_.wvu.PrintArea" localSheetId="0" hidden="1">'様式１　大学等概要'!$A$1:$N$45</definedName>
    <definedName name="Z_F66F98FB_58AD_4588_B2BF_A96D7B6BA538_.wvu.PrintArea" localSheetId="1" hidden="1">'様式２-１　プログラムを構成する授業科目'!$A$1:$Z$98</definedName>
    <definedName name="Z_F66F98FB_58AD_4588_B2BF_A96D7B6BA538_.wvu.PrintArea" localSheetId="2" hidden="1">'様式２-２　プログラムを構成する授業科目'!$A$1:$Z$98</definedName>
    <definedName name="Z_F66F98FB_58AD_4588_B2BF_A96D7B6BA538_.wvu.PrintArea" localSheetId="3" hidden="1">'様式３　履修者等数の実績'!$A$1:$R$30</definedName>
    <definedName name="Z_F66F98FB_58AD_4588_B2BF_A96D7B6BA538_.wvu.PrintArea" localSheetId="4" hidden="1">'様式４　教育の質・履修者数を向上させるための体制・計画'!$A$1:$J$130</definedName>
    <definedName name="Z_F66F98FB_58AD_4588_B2BF_A96D7B6BA538_.wvu.PrintArea" localSheetId="5" hidden="1">'様式５　自己点検・評価'!$A$1:$J$18</definedName>
    <definedName name="Z_F66F98FB_58AD_4588_B2BF_A96D7B6BA538_.wvu.PrintArea" localSheetId="6" hidden="1">'様式６　特色ある取組'!$A$1:$F$124</definedName>
  </definedNames>
  <calcPr calcId="191029"/>
  <customWorkbookViews>
    <customWorkbookView name="Rieko Hayashi - 個人用ビュー" guid="{F66F98FB-58AD-4588-B2BF-A96D7B6BA538}" mergeInterval="0" personalView="1" maximized="1" xWindow="-11" yWindow="-11" windowWidth="2278" windowHeight="1466" tabRatio="885" activeSheetId="1" showComments="commIndAndComment"/>
    <customWorkbookView name="Rieko YAMAMOTO - 個人用ビュー" guid="{AB72F774-B35A-46F0-BC4F-A888CB0430C3}" mergeInterval="0" personalView="1" windowWidth="1128" windowHeight="1444" tabRatio="885" activeSheetId="5" showComments="commIndAndComment"/>
    <customWorkbookView name="JADB020172K - 個人用ビュー" guid="{3F6F70B2-63B4-4C1B-8947-42666FB99B7C}" mergeInterval="0" personalView="1" maximized="1" xWindow="-8" yWindow="-8" windowWidth="1936" windowHeight="1176" tabRatio="885" activeSheetId="1" showComments="commIndAndComment"/>
  </customWorkbookViews>
</workbook>
</file>

<file path=xl/calcChain.xml><?xml version="1.0" encoding="utf-8"?>
<calcChain xmlns="http://schemas.openxmlformats.org/spreadsheetml/2006/main">
  <c r="Q10" i="4" l="1"/>
  <c r="K18" i="6" l="1"/>
  <c r="K16" i="6"/>
  <c r="K15" i="6"/>
  <c r="K9" i="6"/>
  <c r="K8" i="6"/>
  <c r="K7" i="6"/>
  <c r="K113" i="5"/>
  <c r="K91" i="5"/>
  <c r="K69" i="5"/>
  <c r="K46" i="5"/>
  <c r="K31" i="5"/>
  <c r="K15" i="5"/>
  <c r="K8" i="5"/>
  <c r="K5" i="5"/>
  <c r="C4" i="4"/>
  <c r="O45" i="1"/>
  <c r="O44" i="1"/>
  <c r="O41" i="1"/>
  <c r="O39" i="1"/>
  <c r="O37" i="1"/>
  <c r="O34" i="1"/>
  <c r="O32" i="1"/>
  <c r="O29" i="1"/>
  <c r="O20" i="1"/>
  <c r="O18" i="1"/>
  <c r="O16" i="1"/>
  <c r="O14" i="1"/>
  <c r="O12" i="1"/>
  <c r="O10" i="1"/>
  <c r="O6" i="1"/>
  <c r="O8" i="1"/>
  <c r="O4" i="1"/>
  <c r="K14" i="6"/>
  <c r="K13" i="6"/>
  <c r="K11" i="6"/>
  <c r="K10" i="6"/>
  <c r="P30" i="4" l="1"/>
  <c r="O30" i="4"/>
  <c r="N30" i="4"/>
  <c r="M30" i="4"/>
  <c r="L30" i="4"/>
  <c r="K30" i="4"/>
  <c r="J30" i="4"/>
  <c r="I30" i="4"/>
  <c r="H30" i="4"/>
  <c r="G30" i="4"/>
  <c r="F30" i="4"/>
  <c r="E30" i="4"/>
  <c r="D30" i="4"/>
  <c r="I29" i="5" s="1"/>
  <c r="C30" i="4"/>
  <c r="Q29" i="4"/>
  <c r="R29" i="4" s="1"/>
  <c r="Q28" i="4"/>
  <c r="R28" i="4" s="1"/>
  <c r="Q27" i="4"/>
  <c r="R27" i="4" s="1"/>
  <c r="Q26" i="4"/>
  <c r="R26" i="4" s="1"/>
  <c r="Q25" i="4"/>
  <c r="R25" i="4" s="1"/>
  <c r="Q24" i="4"/>
  <c r="R24" i="4" s="1"/>
  <c r="Q23" i="4"/>
  <c r="R23" i="4" s="1"/>
  <c r="Q22" i="4"/>
  <c r="R22" i="4" s="1"/>
  <c r="Q21" i="4"/>
  <c r="R21" i="4" s="1"/>
  <c r="R20" i="4"/>
  <c r="Q20" i="4"/>
  <c r="Q19" i="4"/>
  <c r="R19" i="4" s="1"/>
  <c r="Q18" i="4"/>
  <c r="R18" i="4" s="1"/>
  <c r="Q17" i="4"/>
  <c r="R17" i="4" s="1"/>
  <c r="Q16" i="4"/>
  <c r="R16" i="4" s="1"/>
  <c r="Q15" i="4"/>
  <c r="R15" i="4" s="1"/>
  <c r="Q14" i="4"/>
  <c r="R14" i="4" s="1"/>
  <c r="Q13" i="4"/>
  <c r="R13" i="4" s="1"/>
  <c r="Q12" i="4"/>
  <c r="R12" i="4" s="1"/>
  <c r="Q11" i="4"/>
  <c r="R11" i="4" s="1"/>
  <c r="Q30" i="4" l="1"/>
  <c r="R30" i="4" s="1"/>
  <c r="C28" i="5" s="1"/>
  <c r="R10" i="4"/>
</calcChain>
</file>

<file path=xl/sharedStrings.xml><?xml version="1.0" encoding="utf-8"?>
<sst xmlns="http://schemas.openxmlformats.org/spreadsheetml/2006/main" count="557" uniqueCount="250">
  <si>
    <t>教員数</t>
    <rPh sb="0" eb="2">
      <t>キョウイン</t>
    </rPh>
    <rPh sb="2" eb="3">
      <t>スウ</t>
    </rPh>
    <phoneticPr fontId="1"/>
  </si>
  <si>
    <t>所属部署名</t>
    <rPh sb="0" eb="2">
      <t>ショゾク</t>
    </rPh>
    <rPh sb="2" eb="4">
      <t>ブショ</t>
    </rPh>
    <rPh sb="4" eb="5">
      <t>メイ</t>
    </rPh>
    <phoneticPr fontId="1"/>
  </si>
  <si>
    <t>担当者名</t>
    <rPh sb="0" eb="2">
      <t>タントウ</t>
    </rPh>
    <rPh sb="2" eb="3">
      <t>シャ</t>
    </rPh>
    <rPh sb="3" eb="4">
      <t>メイ</t>
    </rPh>
    <phoneticPr fontId="1"/>
  </si>
  <si>
    <t>電話番号</t>
  </si>
  <si>
    <t>E-mail</t>
  </si>
  <si>
    <t>（常勤）</t>
    <rPh sb="1" eb="3">
      <t>ジョウキン</t>
    </rPh>
    <phoneticPr fontId="1"/>
  </si>
  <si>
    <t>①</t>
    <phoneticPr fontId="1"/>
  </si>
  <si>
    <t>様式６</t>
    <rPh sb="0" eb="2">
      <t>ヨウシキ</t>
    </rPh>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</si>
  <si>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</si>
  <si>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</si>
  <si>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</si>
  <si>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</si>
  <si>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</si>
  <si>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</si>
  <si>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</si>
  <si>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</si>
  <si>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</si>
  <si>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学校名</t>
    <rPh sb="0" eb="2">
      <t>ガッコウ</t>
    </rPh>
    <rPh sb="2" eb="3">
      <t>メイ</t>
    </rPh>
    <phoneticPr fontId="1"/>
  </si>
  <si>
    <t>１年次</t>
    <rPh sb="1" eb="2">
      <t>ネン</t>
    </rPh>
    <rPh sb="2" eb="3">
      <t>ツギ</t>
    </rPh>
    <phoneticPr fontId="1"/>
  </si>
  <si>
    <t>２年次</t>
    <rPh sb="1" eb="2">
      <t>ネン</t>
    </rPh>
    <rPh sb="2" eb="3">
      <t>ツギ</t>
    </rPh>
    <phoneticPr fontId="1"/>
  </si>
  <si>
    <t>３年次</t>
    <rPh sb="1" eb="2">
      <t>ネン</t>
    </rPh>
    <rPh sb="2" eb="3">
      <t>ツギ</t>
    </rPh>
    <phoneticPr fontId="1"/>
  </si>
  <si>
    <t>４年次</t>
    <rPh sb="1" eb="2">
      <t>ネン</t>
    </rPh>
    <rPh sb="2" eb="3">
      <t>ツギ</t>
    </rPh>
    <phoneticPr fontId="1"/>
  </si>
  <si>
    <t>人</t>
  </si>
  <si>
    <t>人</t>
    <rPh sb="0" eb="1">
      <t>ニン</t>
    </rPh>
    <phoneticPr fontId="1"/>
  </si>
  <si>
    <t>（役職名）</t>
    <rPh sb="1" eb="4">
      <t>ヤクショクメイ</t>
    </rPh>
    <phoneticPr fontId="1"/>
  </si>
  <si>
    <t>⑩</t>
    <phoneticPr fontId="1"/>
  </si>
  <si>
    <t>様式１</t>
    <rPh sb="0" eb="2">
      <t>ヨウシキ</t>
    </rPh>
    <phoneticPr fontId="1"/>
  </si>
  <si>
    <t>履修者数・履修率の向上に向けた計画</t>
    <rPh sb="5" eb="7">
      <t>リシュウ</t>
    </rPh>
    <rPh sb="7" eb="8">
      <t>リツ</t>
    </rPh>
    <phoneticPr fontId="1"/>
  </si>
  <si>
    <t>授業内容</t>
    <rPh sb="0" eb="2">
      <t>ジュギョウ</t>
    </rPh>
    <rPh sb="2" eb="4">
      <t>ナイヨウ</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</si>
  <si>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</si>
  <si>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</si>
  <si>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</si>
  <si>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</si>
  <si>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</si>
  <si>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</si>
  <si>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</si>
  <si>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</si>
  <si>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</si>
  <si>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</si>
  <si>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</si>
  <si>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</si>
  <si>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</si>
  <si>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</si>
  <si>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</si>
  <si>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</si>
  <si>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</si>
  <si>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履修者数</t>
    <rPh sb="0" eb="2">
      <t>リシュウ</t>
    </rPh>
    <rPh sb="2" eb="3">
      <t>シャ</t>
    </rPh>
    <rPh sb="3" eb="4">
      <t>スウ</t>
    </rPh>
    <phoneticPr fontId="1"/>
  </si>
  <si>
    <t>所在地</t>
    <phoneticPr fontId="1"/>
  </si>
  <si>
    <t>５年次</t>
    <rPh sb="1" eb="2">
      <t>ネン</t>
    </rPh>
    <rPh sb="2" eb="3">
      <t>ツギ</t>
    </rPh>
    <phoneticPr fontId="1"/>
  </si>
  <si>
    <t>６年次</t>
    <rPh sb="1" eb="2">
      <t>ネン</t>
    </rPh>
    <rPh sb="2" eb="3">
      <t>ツギ</t>
    </rPh>
    <phoneticPr fontId="1"/>
  </si>
  <si>
    <t>②</t>
    <phoneticPr fontId="1"/>
  </si>
  <si>
    <t>大学等の設置者</t>
  </si>
  <si>
    <t>⑫</t>
    <phoneticPr fontId="1"/>
  </si>
  <si>
    <t>人</t>
    <rPh sb="0" eb="1">
      <t>ニン</t>
    </rPh>
    <phoneticPr fontId="1"/>
  </si>
  <si>
    <t>総数</t>
    <rPh sb="0" eb="2">
      <t>ソウスウ</t>
    </rPh>
    <phoneticPr fontId="1"/>
  </si>
  <si>
    <t>⑧</t>
    <phoneticPr fontId="1"/>
  </si>
  <si>
    <t>⑬</t>
    <phoneticPr fontId="1"/>
  </si>
  <si>
    <t>（役職名）</t>
    <rPh sb="1" eb="4">
      <t>ヤクショクメイ</t>
    </rPh>
    <phoneticPr fontId="1"/>
  </si>
  <si>
    <t>履修率</t>
    <rPh sb="0" eb="2">
      <t>リシュウ</t>
    </rPh>
    <rPh sb="2" eb="3">
      <t>リツ</t>
    </rPh>
    <phoneticPr fontId="1"/>
  </si>
  <si>
    <t>合　計</t>
    <phoneticPr fontId="1"/>
  </si>
  <si>
    <t>⑥</t>
    <phoneticPr fontId="1"/>
  </si>
  <si>
    <t>プログラムの開設年度</t>
    <rPh sb="6" eb="8">
      <t>カイセツ</t>
    </rPh>
    <rPh sb="8" eb="10">
      <t>ネンド</t>
    </rPh>
    <phoneticPr fontId="1"/>
  </si>
  <si>
    <t>⑨</t>
    <phoneticPr fontId="1"/>
  </si>
  <si>
    <t>⑭</t>
    <phoneticPr fontId="1"/>
  </si>
  <si>
    <t>履修者数
合計</t>
    <rPh sb="0" eb="2">
      <t>リシュウ</t>
    </rPh>
    <rPh sb="2" eb="3">
      <t>シャ</t>
    </rPh>
    <rPh sb="3" eb="4">
      <t>スウ</t>
    </rPh>
    <rPh sb="5" eb="7">
      <t>ゴウケイ</t>
    </rPh>
    <phoneticPr fontId="1"/>
  </si>
  <si>
    <t>様式３</t>
    <rPh sb="0" eb="2">
      <t>ヨウシキ</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</si>
  <si>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</si>
  <si>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</si>
  <si>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</si>
  <si>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プログラムを構成する授業科目について</t>
    <phoneticPr fontId="1"/>
  </si>
  <si>
    <t>収容
定員</t>
    <rPh sb="0" eb="2">
      <t>シュウヨウ</t>
    </rPh>
    <rPh sb="3" eb="5">
      <t>テイイン</t>
    </rPh>
    <phoneticPr fontId="1"/>
  </si>
  <si>
    <t>申請する認定プログラム</t>
    <rPh sb="0" eb="2">
      <t>シンセイ</t>
    </rPh>
    <rPh sb="4" eb="6">
      <t>ニンテイ</t>
    </rPh>
    <phoneticPr fontId="1"/>
  </si>
  <si>
    <t>プログラムの授業を教えている教員数</t>
    <rPh sb="6" eb="8">
      <t>ジュギョウ</t>
    </rPh>
    <rPh sb="9" eb="10">
      <t>オシ</t>
    </rPh>
    <rPh sb="14" eb="16">
      <t>キョウイン</t>
    </rPh>
    <rPh sb="16" eb="17">
      <t>スウ</t>
    </rPh>
    <phoneticPr fontId="1"/>
  </si>
  <si>
    <t>学生への学習支援</t>
    <rPh sb="0" eb="2">
      <t>ガクセイ</t>
    </rPh>
    <rPh sb="4" eb="6">
      <t>ガクシュウ</t>
    </rPh>
    <rPh sb="6" eb="8">
      <t>シエン</t>
    </rPh>
    <phoneticPr fontId="1"/>
  </si>
  <si>
    <t>その他の取組（地域連携、産業界との連携、海外の大学等との連携等）</t>
    <rPh sb="2" eb="3">
      <t>タ</t>
    </rPh>
    <rPh sb="4" eb="5">
      <t>ト</t>
    </rPh>
    <rPh sb="5" eb="6">
      <t>ク</t>
    </rPh>
    <rPh sb="7" eb="9">
      <t>チイキ</t>
    </rPh>
    <rPh sb="9" eb="11">
      <t>レンケイ</t>
    </rPh>
    <rPh sb="12" eb="14">
      <t>サンギョウ</t>
    </rPh>
    <rPh sb="14" eb="15">
      <t>カイ</t>
    </rPh>
    <rPh sb="17" eb="19">
      <t>レンケイ</t>
    </rPh>
    <rPh sb="20" eb="22">
      <t>カイガイ</t>
    </rPh>
    <rPh sb="23" eb="25">
      <t>ダイガク</t>
    </rPh>
    <rPh sb="25" eb="26">
      <t>トウ</t>
    </rPh>
    <rPh sb="28" eb="30">
      <t>レンケイ</t>
    </rPh>
    <rPh sb="30" eb="31">
      <t>トウ</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</si>
  <si>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</si>
  <si>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</si>
  <si>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様式５</t>
    <rPh sb="0" eb="2">
      <t>ヨウシキ</t>
    </rPh>
    <phoneticPr fontId="1"/>
  </si>
  <si>
    <t>（責任者名）</t>
    <rPh sb="1" eb="4">
      <t>セキニンシャ</t>
    </rPh>
    <rPh sb="4" eb="5">
      <t>メイ</t>
    </rPh>
    <phoneticPr fontId="1"/>
  </si>
  <si>
    <t>プログラムの運営責任者</t>
    <phoneticPr fontId="1"/>
  </si>
  <si>
    <t>⑪</t>
    <phoneticPr fontId="1"/>
  </si>
  <si>
    <t>全学部・学科の入学定員</t>
    <rPh sb="0" eb="1">
      <t>ゼン</t>
    </rPh>
    <rPh sb="4" eb="6">
      <t>ガッカ</t>
    </rPh>
    <rPh sb="7" eb="9">
      <t>ニュウガク</t>
    </rPh>
    <rPh sb="9" eb="11">
      <t>テイイン</t>
    </rPh>
    <phoneticPr fontId="1"/>
  </si>
  <si>
    <t>全学部・学科の学生数（学年別）</t>
    <rPh sb="0" eb="1">
      <t>ゼン</t>
    </rPh>
    <rPh sb="4" eb="6">
      <t>ガッカ</t>
    </rPh>
    <rPh sb="7" eb="10">
      <t>ガクセイスウ</t>
    </rPh>
    <rPh sb="11" eb="13">
      <t>ガクネン</t>
    </rPh>
    <rPh sb="13" eb="14">
      <t>ベツ</t>
    </rPh>
    <phoneticPr fontId="1"/>
  </si>
  <si>
    <t>学部・学科名称</t>
    <rPh sb="0" eb="2">
      <t>ガクブ</t>
    </rPh>
    <rPh sb="3" eb="5">
      <t>ガッカ</t>
    </rPh>
    <rPh sb="5" eb="7">
      <t>メイショウ</t>
    </rPh>
    <phoneticPr fontId="1"/>
  </si>
  <si>
    <t>プログラムを改善・進化させるための体制（委員会・組織等）</t>
    <rPh sb="6" eb="8">
      <t>カイゼン</t>
    </rPh>
    <rPh sb="9" eb="11">
      <t>シンカ</t>
    </rPh>
    <rPh sb="17" eb="19">
      <t>タイセイ</t>
    </rPh>
    <rPh sb="20" eb="23">
      <t>イインカイ</t>
    </rPh>
    <rPh sb="24" eb="26">
      <t>ソシキ</t>
    </rPh>
    <rPh sb="26" eb="27">
      <t>トウ</t>
    </rPh>
    <phoneticPr fontId="1"/>
  </si>
  <si>
    <t>プログラムの自己点検・評価を行う体制（委員会・組織等）</t>
    <rPh sb="6" eb="8">
      <t>ジコ</t>
    </rPh>
    <rPh sb="8" eb="10">
      <t>テンケン</t>
    </rPh>
    <rPh sb="11" eb="13">
      <t>ヒョウカ</t>
    </rPh>
    <rPh sb="14" eb="15">
      <t>オコナ</t>
    </rPh>
    <rPh sb="16" eb="18">
      <t>タイセイ</t>
    </rPh>
    <rPh sb="19" eb="22">
      <t>イインカイ</t>
    </rPh>
    <rPh sb="23" eb="25">
      <t>ソシキ</t>
    </rPh>
    <rPh sb="25" eb="26">
      <t>トウ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</si>
  <si>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</si>
  <si>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</si>
  <si>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申請するプログラム名称</t>
    <rPh sb="0" eb="2">
      <t>シンセイ</t>
    </rPh>
    <rPh sb="9" eb="11">
      <t>メイショウ</t>
    </rPh>
    <phoneticPr fontId="1"/>
  </si>
  <si>
    <t>③</t>
  </si>
  <si>
    <t>設置形態</t>
    <phoneticPr fontId="1"/>
  </si>
  <si>
    <t>⑮</t>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</si>
  <si>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</si>
  <si>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</si>
  <si>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</si>
  <si>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令和元年度</t>
    <rPh sb="0" eb="2">
      <t>レイワ</t>
    </rPh>
    <rPh sb="2" eb="3">
      <t>モト</t>
    </rPh>
    <rPh sb="3" eb="5">
      <t>ネンド</t>
    </rPh>
    <phoneticPr fontId="1"/>
  </si>
  <si>
    <t>平成30年度</t>
    <rPh sb="0" eb="2">
      <t>ヘイセイ</t>
    </rPh>
    <rPh sb="4" eb="6">
      <t>ネンド</t>
    </rPh>
    <phoneticPr fontId="1"/>
  </si>
  <si>
    <t>平成29年度</t>
    <rPh sb="0" eb="2">
      <t>ヘイセイ</t>
    </rPh>
    <rPh sb="4" eb="6">
      <t>ネンド</t>
    </rPh>
    <phoneticPr fontId="1"/>
  </si>
  <si>
    <t>平成28年度</t>
    <rPh sb="0" eb="2">
      <t>ヘイセイ</t>
    </rPh>
    <rPh sb="4" eb="6">
      <t>ネンド</t>
    </rPh>
    <phoneticPr fontId="1"/>
  </si>
  <si>
    <t>年度</t>
    <rPh sb="0" eb="2">
      <t>ネンド</t>
    </rPh>
    <phoneticPr fontId="1"/>
  </si>
  <si>
    <t>⑦応用基礎レベルの申請の有無</t>
    <phoneticPr fontId="1"/>
  </si>
  <si>
    <t>連絡先</t>
  </si>
  <si>
    <t>①具体的な修了要件</t>
    <phoneticPr fontId="1"/>
  </si>
  <si>
    <t>授業科目</t>
    <rPh sb="0" eb="2">
      <t>ジュギョウ</t>
    </rPh>
    <rPh sb="2" eb="4">
      <t>カモク</t>
    </rPh>
    <phoneticPr fontId="1"/>
  </si>
  <si>
    <t>開講状況</t>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</si>
  <si>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</si>
  <si>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</si>
  <si>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</si>
  <si>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</si>
  <si>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</si>
  <si>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</si>
  <si>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</si>
  <si>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</si>
  <si>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</si>
  <si>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</si>
  <si>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②教育プログラムの修了要件</t>
    <phoneticPr fontId="1"/>
  </si>
  <si>
    <t>年度</t>
    <rPh sb="0" eb="2">
      <t>ネンド</t>
    </rPh>
    <phoneticPr fontId="1"/>
  </si>
  <si>
    <t>　　　　　　　　　　　　　　　　　　　　　　　　　　　　　　　　　　　　　　　　　　　　　　　　　　　　　　　　　　　　　　　　　　　　　　　　　　　　　　　　　　　　　　　　　　　　　　　　　　　　　　　　　　　　　　　　　　　　　　　　　　　　　　　　　　　　　　　　　　　　　　　　　　　　　　　　　　　　　　　　　　　　　　　　　　　　　　　　　　　　　　　　　　　　　　　　　　　　　　　　　　　　　　　　　　　　　　　　　　　　　　　　　　　　　　　　　　　　　　　　　　　　　　　　　　　　　　　　　　　　　　　　　　　　　　　　　　　　　　　　　　　　　　　　　　　　　　　　　　　　　　　　　　　　　　　　　　　　　　　　　　　　　　　　　　　　　　　　　　　　　　　　　　　　　　　　　　　　　　　　　　　　　　　　　　　　　　　　　　　　　　　　　　　　　　　　　　　　　　　　　　　　　　　　　　　　　　　　　　　　　　　　　　　　　　　　　　　　　　　　　　　　　　　　　　　　　　　　　　　　　　　　　　　　　　　　　　　　　　　　　　　　　　　　　　　　　　　　　　　　　　　　　　　　　　　　　　　　　　　　　　　　　　　　　　　　　　　　　　　　　　　　　　　　　　　　　　　　　　　　　　　　　　　　　　　　　　　　　　　　　　　　　　　　　　　　　　　　　　　　　　　　　　　　　　　　　　　　　　　　　　　　　　　　　　　　　　　　　　　　　　　　　　　　　　　　　　　　　　　　　　　　　　　　　　　　　　　　　　　　　　　　　　　　　　　　　　　　　　　　　　　　　　　　　　　　　　　　　　　　　　　　　　　　　　　　　　</t>
    <phoneticPr fontId="1"/>
  </si>
  <si>
    <t>様式４</t>
    <rPh sb="0" eb="2">
      <t>ヨウシキ</t>
    </rPh>
    <phoneticPr fontId="1"/>
  </si>
  <si>
    <t>令和３年度実績</t>
    <rPh sb="0" eb="2">
      <t>レイワ</t>
    </rPh>
    <rPh sb="3" eb="5">
      <t>ネンド</t>
    </rPh>
    <rPh sb="5" eb="7">
      <t>ジッセキ</t>
    </rPh>
    <phoneticPr fontId="1"/>
  </si>
  <si>
    <t>令和４年度予定</t>
    <rPh sb="0" eb="2">
      <t>レイワ</t>
    </rPh>
    <rPh sb="3" eb="5">
      <t>ネンド</t>
    </rPh>
    <rPh sb="5" eb="7">
      <t>ヨテイ</t>
    </rPh>
    <phoneticPr fontId="1"/>
  </si>
  <si>
    <t>令和５年度予定</t>
    <rPh sb="0" eb="2">
      <t>レイワ</t>
    </rPh>
    <rPh sb="3" eb="5">
      <t>ネンド</t>
    </rPh>
    <rPh sb="5" eb="7">
      <t>ヨテイ</t>
    </rPh>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</si>
  <si>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</si>
  <si>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</si>
  <si>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</si>
  <si>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</si>
  <si>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</si>
  <si>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②自己点検・評価体制における意見等を公表しているアドレス</t>
    <phoneticPr fontId="1"/>
  </si>
  <si>
    <t>③現在進行中の社会変化（第４次産業革命、Society 5.0、データ駆動型社会等）に深く寄与しているものであり、それが自らの生活と密接に結びついている」の内容を含む授業科目</t>
    <rPh sb="1" eb="3">
      <t>ゲンザイ</t>
    </rPh>
    <rPh sb="3" eb="5">
      <t>シンコウ</t>
    </rPh>
    <rPh sb="5" eb="6">
      <t>チュウ</t>
    </rPh>
    <rPh sb="7" eb="9">
      <t>シャカイ</t>
    </rPh>
    <rPh sb="9" eb="11">
      <t>ヘンカ</t>
    </rPh>
    <rPh sb="12" eb="13">
      <t>ダイ</t>
    </rPh>
    <rPh sb="14" eb="15">
      <t>ジ</t>
    </rPh>
    <rPh sb="15" eb="17">
      <t>サンギョウ</t>
    </rPh>
    <rPh sb="17" eb="19">
      <t>カクメイ</t>
    </rPh>
    <rPh sb="35" eb="37">
      <t>クドウ</t>
    </rPh>
    <rPh sb="37" eb="38">
      <t>ガタ</t>
    </rPh>
    <rPh sb="38" eb="40">
      <t>シャカイ</t>
    </rPh>
    <rPh sb="40" eb="41">
      <t>トウ</t>
    </rPh>
    <rPh sb="43" eb="44">
      <t>フカ</t>
    </rPh>
    <rPh sb="45" eb="47">
      <t>キヨ</t>
    </rPh>
    <rPh sb="60" eb="61">
      <t>ミズカ</t>
    </rPh>
    <rPh sb="63" eb="65">
      <t>セイカツ</t>
    </rPh>
    <rPh sb="66" eb="68">
      <t>ミッセツ</t>
    </rPh>
    <rPh sb="69" eb="70">
      <t>ムス</t>
    </rPh>
    <rPh sb="78" eb="80">
      <t>ナイヨウ</t>
    </rPh>
    <rPh sb="81" eb="82">
      <t>フク</t>
    </rPh>
    <rPh sb="83" eb="85">
      <t>ジュギョウ</t>
    </rPh>
    <rPh sb="85" eb="87">
      <t>カモク</t>
    </rPh>
    <phoneticPr fontId="1"/>
  </si>
  <si>
    <t>④「社会で活用されているデータ」や「データの活用領域」は非常に広範囲であって、日常生活や社会の課題を解決する有用なツールになり得るもの」の内容を含む授業科目</t>
    <rPh sb="2" eb="4">
      <t>シャカイ</t>
    </rPh>
    <rPh sb="5" eb="7">
      <t>カツヨウ</t>
    </rPh>
    <rPh sb="22" eb="24">
      <t>カツヨウ</t>
    </rPh>
    <rPh sb="24" eb="26">
      <t>リョウイキ</t>
    </rPh>
    <rPh sb="28" eb="30">
      <t>ヒジョウ</t>
    </rPh>
    <rPh sb="31" eb="34">
      <t>コウハンイ</t>
    </rPh>
    <rPh sb="39" eb="41">
      <t>ニチジョウ</t>
    </rPh>
    <rPh sb="41" eb="43">
      <t>セイカツ</t>
    </rPh>
    <rPh sb="44" eb="46">
      <t>シャカイ</t>
    </rPh>
    <rPh sb="47" eb="49">
      <t>カダイ</t>
    </rPh>
    <rPh sb="50" eb="52">
      <t>カイケツ</t>
    </rPh>
    <rPh sb="54" eb="56">
      <t>ユウヨウ</t>
    </rPh>
    <rPh sb="63" eb="64">
      <t>ウ</t>
    </rPh>
    <rPh sb="69" eb="71">
      <t>ナイヨウ</t>
    </rPh>
    <phoneticPr fontId="1"/>
  </si>
  <si>
    <t>1-2</t>
    <phoneticPr fontId="1"/>
  </si>
  <si>
    <t>1-3</t>
    <phoneticPr fontId="1"/>
  </si>
  <si>
    <t>⑤「様々なデータ利活用の現場におけるデータ利活用事例が示され、様々な適用領域（流通、製造、金融、サービス、インフラ、公共、ヘルスケア等）の知見と組み合わせることで価値を創出するもの」の内容を含む授業科目</t>
    <rPh sb="2" eb="4">
      <t>サマザマ</t>
    </rPh>
    <rPh sb="8" eb="11">
      <t>リカツヨウ</t>
    </rPh>
    <rPh sb="12" eb="14">
      <t>ゲンバ</t>
    </rPh>
    <rPh sb="21" eb="24">
      <t>リカツヨウ</t>
    </rPh>
    <rPh sb="24" eb="26">
      <t>ジレイ</t>
    </rPh>
    <rPh sb="27" eb="28">
      <t>シメ</t>
    </rPh>
    <rPh sb="31" eb="33">
      <t>サマザマ</t>
    </rPh>
    <rPh sb="34" eb="36">
      <t>テキヨウ</t>
    </rPh>
    <rPh sb="36" eb="38">
      <t>リョウイキ</t>
    </rPh>
    <rPh sb="39" eb="41">
      <t>リュウツウ</t>
    </rPh>
    <rPh sb="42" eb="44">
      <t>セイゾウ</t>
    </rPh>
    <rPh sb="45" eb="47">
      <t>キンユウ</t>
    </rPh>
    <rPh sb="58" eb="60">
      <t>コウキョウ</t>
    </rPh>
    <rPh sb="66" eb="67">
      <t>ナド</t>
    </rPh>
    <rPh sb="69" eb="71">
      <t>チケン</t>
    </rPh>
    <rPh sb="72" eb="73">
      <t>ク</t>
    </rPh>
    <rPh sb="74" eb="75">
      <t>ア</t>
    </rPh>
    <rPh sb="81" eb="83">
      <t>カチ</t>
    </rPh>
    <rPh sb="84" eb="86">
      <t>ソウシュツ</t>
    </rPh>
    <phoneticPr fontId="1"/>
  </si>
  <si>
    <t>1-4</t>
    <phoneticPr fontId="1"/>
  </si>
  <si>
    <t>1-5</t>
    <phoneticPr fontId="1"/>
  </si>
  <si>
    <t>⑥「活用に当たっての様々な留意事項（ELSI、個人情報、データ倫理、ＡＩ社会原則等）を考慮し、情報セキュリティや情報漏洩等、データを守る上での留意事項への理解をする」の内容を含む授業科目</t>
    <rPh sb="2" eb="4">
      <t>カツヨウ</t>
    </rPh>
    <rPh sb="5" eb="6">
      <t>ア</t>
    </rPh>
    <rPh sb="10" eb="12">
      <t>サマザマ</t>
    </rPh>
    <rPh sb="13" eb="15">
      <t>リュウイ</t>
    </rPh>
    <rPh sb="15" eb="17">
      <t>ジコウ</t>
    </rPh>
    <rPh sb="23" eb="25">
      <t>コジン</t>
    </rPh>
    <rPh sb="25" eb="27">
      <t>ジョウホウ</t>
    </rPh>
    <rPh sb="31" eb="33">
      <t>リンリ</t>
    </rPh>
    <rPh sb="36" eb="38">
      <t>シャカイ</t>
    </rPh>
    <rPh sb="38" eb="40">
      <t>ゲンソク</t>
    </rPh>
    <rPh sb="40" eb="41">
      <t>ナド</t>
    </rPh>
    <rPh sb="43" eb="45">
      <t>コウリョ</t>
    </rPh>
    <rPh sb="47" eb="49">
      <t>ジョウホウ</t>
    </rPh>
    <rPh sb="56" eb="58">
      <t>ジョウホウ</t>
    </rPh>
    <rPh sb="58" eb="60">
      <t>ロウエイ</t>
    </rPh>
    <rPh sb="60" eb="61">
      <t>ナド</t>
    </rPh>
    <rPh sb="66" eb="67">
      <t>マモ</t>
    </rPh>
    <rPh sb="68" eb="69">
      <t>ウエ</t>
    </rPh>
    <rPh sb="71" eb="73">
      <t>リュウイ</t>
    </rPh>
    <rPh sb="73" eb="75">
      <t>ジコウ</t>
    </rPh>
    <rPh sb="77" eb="79">
      <t>リカイ</t>
    </rPh>
    <phoneticPr fontId="1"/>
  </si>
  <si>
    <t>⑦「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</si>
  <si>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2-2</t>
    <phoneticPr fontId="1"/>
  </si>
  <si>
    <t>2-3</t>
    <phoneticPr fontId="1"/>
  </si>
  <si>
    <t>⑧選択「４．オプション」の内容を含む授業科目</t>
    <rPh sb="13" eb="15">
      <t>ナイヨウ</t>
    </rPh>
    <rPh sb="16" eb="17">
      <t>フク</t>
    </rPh>
    <rPh sb="18" eb="20">
      <t>ジュギョウ</t>
    </rPh>
    <rPh sb="20" eb="22">
      <t>カモク</t>
    </rPh>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</si>
  <si>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</si>
  <si>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</si>
  <si>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</si>
  <si>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必修</t>
    <rPh sb="0" eb="2">
      <t>ヒッシュウ</t>
    </rPh>
    <phoneticPr fontId="1"/>
  </si>
  <si>
    <t>単位数</t>
    <rPh sb="0" eb="3">
      <t>タンイスウ</t>
    </rPh>
    <phoneticPr fontId="1"/>
  </si>
  <si>
    <t>⑨プログラムを構成する授業の内容</t>
    <phoneticPr fontId="1"/>
  </si>
  <si>
    <t>⑩プログラムの学修成果（学生等が身に付けられる能力等）</t>
    <phoneticPr fontId="1"/>
  </si>
  <si>
    <t>⑪プログラムの授業内容等を公表しているアドレス</t>
    <phoneticPr fontId="1"/>
  </si>
  <si>
    <t>②履修者・修了者の実績</t>
    <rPh sb="1" eb="3">
      <t>リシュウ</t>
    </rPh>
    <rPh sb="3" eb="4">
      <t>シャ</t>
    </rPh>
    <rPh sb="5" eb="8">
      <t>シュウリョウシャ</t>
    </rPh>
    <rPh sb="9" eb="11">
      <t>ジッセキ</t>
    </rPh>
    <phoneticPr fontId="1"/>
  </si>
  <si>
    <t>選択項目</t>
    <rPh sb="0" eb="2">
      <t>センタク</t>
    </rPh>
    <rPh sb="2" eb="4">
      <t>コウモク</t>
    </rPh>
    <phoneticPr fontId="1"/>
  </si>
  <si>
    <t>①プログラム開設年度</t>
    <rPh sb="6" eb="8">
      <t>カイセツ</t>
    </rPh>
    <rPh sb="8" eb="10">
      <t>ネンド</t>
    </rPh>
    <phoneticPr fontId="1"/>
  </si>
  <si>
    <t>数理・データサイエンス・AI教育プログラム認定制度（リテラシーレベル）プラス　申請書</t>
    <rPh sb="0" eb="2">
      <t>スウリ</t>
    </rPh>
    <rPh sb="14" eb="16">
      <t>キョウイク</t>
    </rPh>
    <rPh sb="21" eb="23">
      <t>ニンテイ</t>
    </rPh>
    <rPh sb="23" eb="25">
      <t>セイド</t>
    </rPh>
    <rPh sb="39" eb="42">
      <t>シンセイショ</t>
    </rPh>
    <phoneticPr fontId="1"/>
  </si>
  <si>
    <t>名古屋大学</t>
    <rPh sb="0" eb="5">
      <t>ナゴヤダイガク</t>
    </rPh>
    <phoneticPr fontId="1"/>
  </si>
  <si>
    <t>国立大学法人東海国立大学機構</t>
  </si>
  <si>
    <t>国立大学</t>
  </si>
  <si>
    <t>愛知県名古屋市千種区不老町</t>
  </si>
  <si>
    <t>名古屋大学　数理・データサイエンス・ＡＩ教育プログラム</t>
    <rPh sb="0" eb="5">
      <t>ナゴヤダイガク</t>
    </rPh>
    <phoneticPr fontId="1"/>
  </si>
  <si>
    <t>有</t>
  </si>
  <si>
    <t>藤巻　朗</t>
  </si>
  <si>
    <t>井手 一郎</t>
    <rPh sb="0" eb="2">
      <t>イデ</t>
    </rPh>
    <rPh sb="3" eb="5">
      <t>イチロウ</t>
    </rPh>
    <phoneticPr fontId="1"/>
  </si>
  <si>
    <t>副総長（教育・留学生担当）</t>
  </si>
  <si>
    <t>教授</t>
    <rPh sb="0" eb="2">
      <t>キョウジュ</t>
    </rPh>
    <phoneticPr fontId="1"/>
  </si>
  <si>
    <t>教養教育院統括部　データ科学科目部会</t>
    <rPh sb="0" eb="2">
      <t>キョウヨウ</t>
    </rPh>
    <rPh sb="2" eb="4">
      <t>キョウイク</t>
    </rPh>
    <rPh sb="4" eb="5">
      <t>イン</t>
    </rPh>
    <rPh sb="5" eb="7">
      <t>トウカツ</t>
    </rPh>
    <rPh sb="7" eb="8">
      <t>ブ</t>
    </rPh>
    <rPh sb="12" eb="14">
      <t>カガク</t>
    </rPh>
    <rPh sb="14" eb="16">
      <t>カモク</t>
    </rPh>
    <rPh sb="16" eb="18">
      <t>ブカイ</t>
    </rPh>
    <phoneticPr fontId="1"/>
  </si>
  <si>
    <t>数理・データ科学教育研究センター　教育専門委員会</t>
    <rPh sb="0" eb="2">
      <t>スウリ</t>
    </rPh>
    <rPh sb="6" eb="12">
      <t>カガクキョウイクケンキュウ</t>
    </rPh>
    <rPh sb="17" eb="24">
      <t>キョウイクセンモンイインカイ</t>
    </rPh>
    <phoneticPr fontId="1"/>
  </si>
  <si>
    <t>認定教育プログラム</t>
  </si>
  <si>
    <t>教育推進部教育企画課教育改革係</t>
    <rPh sb="0" eb="5">
      <t>キョウイクスイシンブ</t>
    </rPh>
    <rPh sb="5" eb="10">
      <t>キョウイクキカクカ</t>
    </rPh>
    <rPh sb="10" eb="15">
      <t>キョウイクカイカクガカリ</t>
    </rPh>
    <phoneticPr fontId="1"/>
  </si>
  <si>
    <t>mds-center@adm.nagoya-u.ac.jp</t>
  </si>
  <si>
    <t>山元　梨恵子</t>
    <rPh sb="0" eb="2">
      <t>ヤマモト</t>
    </rPh>
    <rPh sb="3" eb="6">
      <t>ナシケイコ</t>
    </rPh>
    <phoneticPr fontId="1"/>
  </si>
  <si>
    <t>052-788-6161</t>
  </si>
  <si>
    <t>学部・学科によって、修了要件は相違する</t>
  </si>
  <si>
    <t>情報リテラシー（理系）</t>
  </si>
  <si>
    <t>情報科学入門</t>
    <rPh sb="0" eb="4">
      <t>ジョウホウカガク</t>
    </rPh>
    <rPh sb="4" eb="6">
      <t>ニュウモン</t>
    </rPh>
    <phoneticPr fontId="1"/>
  </si>
  <si>
    <t>○</t>
  </si>
  <si>
    <t>4-1統計および数理基礎</t>
  </si>
  <si>
    <t>4‐2アルゴリズム基礎</t>
  </si>
  <si>
    <t>4‐3データ構造とプログラミング基礎</t>
  </si>
  <si>
    <t>4‐4時系列データ解析</t>
  </si>
  <si>
    <t>4‐6画像解析</t>
  </si>
  <si>
    <t>4‐7データハンドリング</t>
  </si>
  <si>
    <t>4‐8データ活用実践（教師あり学習）</t>
  </si>
  <si>
    <t>情報科学入門</t>
  </si>
  <si>
    <t>様式２－２</t>
    <phoneticPr fontId="1"/>
  </si>
  <si>
    <t>様式２－１</t>
    <phoneticPr fontId="1"/>
  </si>
  <si>
    <t>文学部</t>
    <rPh sb="0" eb="3">
      <t>ブンガクブ</t>
    </rPh>
    <phoneticPr fontId="1"/>
  </si>
  <si>
    <t>教育学部</t>
    <rPh sb="0" eb="4">
      <t>キョウイクガクブ</t>
    </rPh>
    <phoneticPr fontId="1"/>
  </si>
  <si>
    <t>法学部</t>
    <rPh sb="0" eb="3">
      <t>ホウガクブ</t>
    </rPh>
    <phoneticPr fontId="1"/>
  </si>
  <si>
    <t>経済学部</t>
    <rPh sb="0" eb="4">
      <t>ケイザイガクブ</t>
    </rPh>
    <phoneticPr fontId="1"/>
  </si>
  <si>
    <t>情報学部</t>
    <rPh sb="0" eb="4">
      <t>ジョウホウガクブ</t>
    </rPh>
    <phoneticPr fontId="1"/>
  </si>
  <si>
    <t>理学部</t>
    <rPh sb="0" eb="3">
      <t>リガクブ</t>
    </rPh>
    <phoneticPr fontId="1"/>
  </si>
  <si>
    <t>医学部</t>
    <rPh sb="0" eb="3">
      <t>イガクブ</t>
    </rPh>
    <phoneticPr fontId="1"/>
  </si>
  <si>
    <t>工学部</t>
    <rPh sb="0" eb="3">
      <t>コウガクブ</t>
    </rPh>
    <phoneticPr fontId="1"/>
  </si>
  <si>
    <t>農学部</t>
    <rPh sb="0" eb="3">
      <t>ノウガクブ</t>
    </rPh>
    <phoneticPr fontId="1"/>
  </si>
  <si>
    <t>教養教育院統括部基盤科学部門にデータ科学科目部会を置く。データ科学科目部会は、数理・データ科学の素養を広範に学び、数理的思考及び情報処理の基礎力を身につけた人材を育成することを目的に、データ科学科目の企画・実施・評価・改善を行う。</t>
  </si>
  <si>
    <t>履修率100%を目標とする。目標を実現するために、令和4年度入学者から「データ科学基礎」を全学必修とする。</t>
    <rPh sb="30" eb="33">
      <t>ニュウガクシャ</t>
    </rPh>
    <rPh sb="45" eb="47">
      <t>ゼンガク</t>
    </rPh>
    <phoneticPr fontId="1"/>
  </si>
  <si>
    <t>「情報リテラシー（理系）」「情報科学入門」等の科目について、一部オンデマンドでの授業提供、授業時間外でのオンライン質問対応を行っている。また、授業担当教員に加え、TA（Teaching Assistant）や、教授法に関するトレーニングを受けたQTA（Qualified Teaching Assistant）が質問対応を行うことにより、学生に対して、きめ細かな学修サポートを行うことが可能となっている。</t>
    <rPh sb="1" eb="3">
      <t>ジョウホウ</t>
    </rPh>
    <rPh sb="9" eb="11">
      <t>リケイ</t>
    </rPh>
    <rPh sb="14" eb="18">
      <t>ジョウホウカガク</t>
    </rPh>
    <rPh sb="18" eb="20">
      <t>ニュウモン</t>
    </rPh>
    <rPh sb="21" eb="22">
      <t>トウ</t>
    </rPh>
    <rPh sb="23" eb="25">
      <t>カモク</t>
    </rPh>
    <rPh sb="30" eb="32">
      <t>イチブ</t>
    </rPh>
    <phoneticPr fontId="1"/>
  </si>
  <si>
    <t>令和4年度から「データ科学基礎」を全学必修とし、令和4年度に入学した1年生全員を自動で履修登録するとともに、全学向け教育学習支援システム NUCTの「お知らせ」機能を用いて受講を促す。また、大学ホームページ、広報誌、イベント等によりプログラム内容の紹介や学修成果の発信を行うことで、学生へ周知する。</t>
  </si>
  <si>
    <t>授業担当教員に加え、複数名のTA・QTAが質問対応を行うことにより、受講者数が増加した場合にも、全受講者に対してきめ細かな学修サポートを行うことが可能となっている。また、「データ科学基礎」の講義ビデオを全学向け教育学習支援システム NUCT上で公開し、東海国立大学機構のすべての学生が閲覧できるようにしている。</t>
    <rPh sb="0" eb="6">
      <t>ジュギョウタントウキョウイン</t>
    </rPh>
    <rPh sb="7" eb="8">
      <t>クワ</t>
    </rPh>
    <rPh sb="10" eb="13">
      <t>フクスウメイ</t>
    </rPh>
    <rPh sb="49" eb="52">
      <t>ジュコウシャ</t>
    </rPh>
    <rPh sb="58" eb="59">
      <t>コマ</t>
    </rPh>
    <phoneticPr fontId="1"/>
  </si>
  <si>
    <t>本教育プログラムの履修を全学向け教育学習支援システム NUCTで管理している。不明点等を授業時間外にチャット、メール等により質問することができ、質問はセンターの教員またはTA・QTAを通じて返答する体制を整備している。</t>
  </si>
  <si>
    <t>各講義において情報科学の社会とのつながりについて最新の事例に基づいて紹介し、学生の動機づけを図っている。令和4年度から全学必修となる「データ科学基礎」では、第1週の「データサイエンスの役割」に関するパートを令和3年度開講時の約3倍に拡張し、深層学習等の手法の仕組みやその活用例の紹介を充実させることで、データサイエンスを学ぶことの楽しさや意義を学生がより理解できるようにする。</t>
    <rPh sb="0" eb="1">
      <t>カク</t>
    </rPh>
    <rPh sb="7" eb="11">
      <t>ジョウホウカガク</t>
    </rPh>
    <rPh sb="12" eb="14">
      <t>シャカイ</t>
    </rPh>
    <rPh sb="59" eb="63">
      <t>ゼンガクヒッシュウ</t>
    </rPh>
    <rPh sb="78" eb="79">
      <t>ダイ</t>
    </rPh>
    <rPh sb="80" eb="81">
      <t>シュウ</t>
    </rPh>
    <rPh sb="103" eb="105">
      <t>レイワ</t>
    </rPh>
    <rPh sb="106" eb="108">
      <t>ネンド</t>
    </rPh>
    <rPh sb="108" eb="111">
      <t>カイコウジ</t>
    </rPh>
    <phoneticPr fontId="1"/>
  </si>
  <si>
    <t>情報リテラシー（文系）</t>
    <phoneticPr fontId="1"/>
  </si>
  <si>
    <t>情報メディアとコミュニケーション</t>
    <phoneticPr fontId="1"/>
  </si>
  <si>
    <t>図情報とコンピュータ</t>
    <phoneticPr fontId="1"/>
  </si>
  <si>
    <t>一部開講</t>
  </si>
  <si>
    <t>全学開講</t>
  </si>
  <si>
    <t>・調査データ「情報リテラシー（理系）」（11回目）
・オープンデータ「情報リテラシー（理系）」（13回目）
・文字・画像・音声のパターンデータ「情報科学入門」（11回目）</t>
    <rPh sb="72" eb="78">
      <t>ジョウホウカガクニュウモン</t>
    </rPh>
    <phoneticPr fontId="1"/>
  </si>
  <si>
    <t>・データ解析：予測、分類「情報リテラシー（理系）」（11、13回目）
・データ可視化：複合グラフ、2軸グラフ、多次元の可視化、関係性の可視化「情報リテラシー（理系）」（10、11回目）
・非構造化データ処理：画像処理／認識技術「情報リテラシー（理系）」（14、15回目）
・データ解析：パターン分類、動画処理の例示、最近傍法、辞書マッチング、ベイズ法、パーセプトロン、ニューラルネットワーク／認識技術「情報科学入門」（11～15回目）</t>
    <rPh sb="201" eb="203">
      <t>ジョウホウ</t>
    </rPh>
    <rPh sb="203" eb="205">
      <t>カガク</t>
    </rPh>
    <rPh sb="205" eb="207">
      <t>ニュウモン</t>
    </rPh>
    <phoneticPr fontId="1"/>
  </si>
  <si>
    <t>・パターン認識の過程／実社会でパターン認識が用いられている事例「情報科学入門」（11～12回目）</t>
    <rPh sb="45" eb="47">
      <t>カイメ</t>
    </rPh>
    <phoneticPr fontId="1"/>
  </si>
  <si>
    <t>・データ表現「情報リテラシー（理系）」（10回目）
・データの図表表現「情報リテラシー（理系）」（10、11、13回目）
・次元の呪い、次元圧縮「情報科学入門」（11回目）
・データの図表表現「情報科学入門」（13回目）</t>
    <rPh sb="22" eb="24">
      <t>カイメ</t>
    </rPh>
    <phoneticPr fontId="1"/>
  </si>
  <si>
    <t>・AI最新技術の活用例（ニューラルネットワーク）「情報リテラシー（理系）」（13回目）
・AI最新技術の活用例（物体検出）「情報リテラシー（理系）」（14回目）
・AI最新技術の活用例（転移学習、GANなど）「情報科学入門」（15回目）</t>
    <phoneticPr fontId="1"/>
  </si>
  <si>
    <t>・車載カメラからの歩行者認識、魚種の分別、文字認識等の事例「情報科学入門」（11～12回目）</t>
    <phoneticPr fontId="1"/>
  </si>
  <si>
    <t>・データの並び替え「情報リテラシー（理系）」(7回目)
・データのランキング「情報リテラシー（理系）」（9回目）
・表形式のデータ（csv）「情報リテラシー（理系）」（11回目）
・データ処理法の実際（最近傍法、決定木、ベイズ決定則、パーセプトロンなど）「情報科学入門」（12～15回目）</t>
    <phoneticPr fontId="1"/>
  </si>
  <si>
    <t>・計算機の処理性能の向上「情報リテラシー（理系）」（2回目）
・人間の知的活動とパターン認識（機械学習）の関係性「情報科学入門」（11回目）</t>
    <rPh sb="13" eb="15">
      <t>ジョウホウ</t>
    </rPh>
    <rPh sb="21" eb="23">
      <t>リケイ</t>
    </rPh>
    <rPh sb="27" eb="29">
      <t>カイメ</t>
    </rPh>
    <rPh sb="57" eb="63">
      <t>ジョウホウカガクニュウモン</t>
    </rPh>
    <phoneticPr fontId="1"/>
  </si>
  <si>
    <t>社会の様々な場面で新しい価値を生み出す基盤となるデータ分析能力を身につけるために、その基礎的知識と汎用的な分析技能を獲得する。</t>
  </si>
  <si>
    <t>・情報セキュリティ／暗号化、パスワード、悪意ある情報搾取／情報漏洩等によるセキュリティ事故の事例紹介「情報リテラシー（理系）」(2回目)</t>
    <phoneticPr fontId="1"/>
  </si>
  <si>
    <t>・自治体等におけるAI最新技術の活用例「情報メディアとコミュニケーション」（5回目）</t>
    <rPh sb="39" eb="41">
      <t>カイメ</t>
    </rPh>
    <phoneticPr fontId="1"/>
  </si>
  <si>
    <t>・データ・AI活用領域の広がり「情報メディアとコミュニケーション」（4回目）
・データ・AI活用領域の広がり「図情報とコンピュータ」（1回目）</t>
    <rPh sb="35" eb="37">
      <t>カイメ</t>
    </rPh>
    <rPh sb="68" eb="70">
      <t>カイメ</t>
    </rPh>
    <phoneticPr fontId="1"/>
  </si>
  <si>
    <t>図情報とコンピュータ</t>
    <rPh sb="0" eb="3">
      <t>ズジョウホウ</t>
    </rPh>
    <phoneticPr fontId="1"/>
  </si>
  <si>
    <t>・データ解析：予測 / データ可視化：地図上の可視化 / AIとビッグデータ「情報メディアとコミュニケーション」（4回目）
・データ解析：予測「図情報とコンピュータ」（4、6～7回目）
・データ解析：グルーピング「図情報とコンピュータ」（5回目）</t>
    <rPh sb="58" eb="60">
      <t>カイメ</t>
    </rPh>
    <rPh sb="89" eb="90">
      <t>カイ</t>
    </rPh>
    <rPh sb="90" eb="91">
      <t>メ</t>
    </rPh>
    <rPh sb="120" eb="122">
      <t>カイメ</t>
    </rPh>
    <phoneticPr fontId="1"/>
  </si>
  <si>
    <t>・データ表現（折線グラフ、散布図） / データの図表表現（チャート化）「図情報とコンピュータ」（1～3回目）</t>
    <rPh sb="51" eb="53">
      <t>カイメ</t>
    </rPh>
    <phoneticPr fontId="1"/>
  </si>
  <si>
    <t>・ビッグデータ、AI、データサイエンス「情報リテラシー（文系）」（1回目）
・データ量の増加、計算機処理性能の向上「情報リテラシー（文系）」（2回目）
・人間の知的活動とAIの関係性（自動翻訳の実際）「情報リテラシー（文系）」(8回目)
・ビッグデータ、IoT、AI「情報メディアとコミュニケーション」（1回目）
・人間の知的活動を起点としたものの見方「情報メディアとコミュニケーション」（2回目）</t>
    <rPh sb="20" eb="22">
      <t>ジョウホウ</t>
    </rPh>
    <rPh sb="28" eb="30">
      <t>ブンケイ</t>
    </rPh>
    <rPh sb="34" eb="35">
      <t>カイ</t>
    </rPh>
    <rPh sb="35" eb="36">
      <t>メ</t>
    </rPh>
    <rPh sb="72" eb="74">
      <t>カイメ</t>
    </rPh>
    <rPh sb="115" eb="116">
      <t>カイ</t>
    </rPh>
    <rPh sb="116" eb="117">
      <t>メ</t>
    </rPh>
    <rPh sb="134" eb="136">
      <t>ジョウホウ</t>
    </rPh>
    <rPh sb="153" eb="155">
      <t>カイメ</t>
    </rPh>
    <rPh sb="196" eb="198">
      <t>カイメ</t>
    </rPh>
    <phoneticPr fontId="1"/>
  </si>
  <si>
    <t>・データ作成（データベース）「情報リテラシー（文系）」（6回目）
・構造化データ、非構造化データ「情報メディアとコミュニケーション」（3回目）
・オープンデータ「情報メディアとコミュニケーション」（5回目）
・非構造化データ（画像/動画）「図情報とコンピュータ」（12～13回目）
・非構造化データ（音声/音楽）「図情報とコンピュータ」（14～15回目）</t>
    <rPh sb="15" eb="17">
      <t>ジョウホウ</t>
    </rPh>
    <rPh sb="23" eb="25">
      <t>ブンケイ</t>
    </rPh>
    <rPh sb="45" eb="47">
      <t>カイメ</t>
    </rPh>
    <rPh sb="84" eb="86">
      <t>カイメ</t>
    </rPh>
    <rPh sb="116" eb="118">
      <t>カイメ</t>
    </rPh>
    <phoneticPr fontId="1"/>
  </si>
  <si>
    <t>情報リテラシー（文系）</t>
    <rPh sb="0" eb="2">
      <t>ジョウホウ</t>
    </rPh>
    <rPh sb="8" eb="10">
      <t>ブンケイ</t>
    </rPh>
    <phoneticPr fontId="1"/>
  </si>
  <si>
    <t>・データのばらつき（分散、標準偏差、偏差値）「情報リテラシー（文系）」(13回目)
・データの分布（平均値、中央値）「情報リテラシー（文系）」(13回目)
・代表値（平均値） / 相関（相関係数）「図情報とコンピュータ」（3回目）
・データのばらつき（分散、標準偏差）「図情報とコンピュータ」（4～5回目）
・データの種類（量的変数、質的変数）「図情報とコンピュータ」（5回目）</t>
    <rPh sb="23" eb="25">
      <t>ジョウホウ</t>
    </rPh>
    <rPh sb="31" eb="33">
      <t>ブンケイ</t>
    </rPh>
    <rPh sb="59" eb="61">
      <t>ジョウホウ</t>
    </rPh>
    <rPh sb="67" eb="69">
      <t>ブンケイ</t>
    </rPh>
    <rPh sb="74" eb="76">
      <t>カイメ</t>
    </rPh>
    <rPh sb="112" eb="114">
      <t>カイメ</t>
    </rPh>
    <rPh sb="150" eb="152">
      <t>カイメ</t>
    </rPh>
    <rPh sb="186" eb="188">
      <t>カイメ</t>
    </rPh>
    <phoneticPr fontId="1"/>
  </si>
  <si>
    <t>・データサイエンスのサイクル：課題抽出と定式化「情報リテラシー（文系）」(7回目)
・自治体等におけるデータ・AI利活用事例紹介「情報メディアとコミュニケーション」（5回目）
・金融におけるデータ・AI利活用事例紹介「図情報とコンピュータ」（4回目）
・気象予測におけるデータ・AI利活用事例紹介「図情報とコンピュータ」（5回目）</t>
    <rPh sb="24" eb="26">
      <t>ジョウホウ</t>
    </rPh>
    <rPh sb="32" eb="34">
      <t>ブンケイ</t>
    </rPh>
    <rPh sb="38" eb="39">
      <t>カイ</t>
    </rPh>
    <rPh sb="39" eb="40">
      <t>メ</t>
    </rPh>
    <rPh sb="84" eb="86">
      <t>カイメ</t>
    </rPh>
    <rPh sb="122" eb="124">
      <t>カイメ</t>
    </rPh>
    <rPh sb="162" eb="164">
      <t>カイメ</t>
    </rPh>
    <phoneticPr fontId="1"/>
  </si>
  <si>
    <t>・情報セキュリティ / コンピュータウィルスの実際 / セキュリティ事故の事例紹介「情報リテラシー（文系）」(4回目)
・悪意ある情報搾取（CRAAPテスト、取得した情報の信頼性のチェックテスト)「情報リテラシー（文系）」(8回目)
・メディアの利活用における情報セキュリティ「情報メディアとコミュニケーション」（4回目）</t>
    <rPh sb="42" eb="44">
      <t>ジョウホウ</t>
    </rPh>
    <rPh sb="50" eb="52">
      <t>ブンケイ</t>
    </rPh>
    <rPh sb="113" eb="114">
      <t>カイ</t>
    </rPh>
    <rPh sb="114" eb="115">
      <t>メ</t>
    </rPh>
    <rPh sb="158" eb="160">
      <t>カイメ</t>
    </rPh>
    <phoneticPr fontId="1"/>
  </si>
  <si>
    <t>・データの集計（和、平均）「情報リテラシー（文系）」(13回目)
・データ解析ツール（スプレッドシート）「情報リテラシー（文系）」(12～13回目)
・データの集計 / 表形式のデータ「情報メディアとコミュニケーション」（5回目）
・データ解析ツール（スプレッドシート）「図情報とコンピュータ」（1～3回目）</t>
    <rPh sb="14" eb="16">
      <t>ジョウホウ</t>
    </rPh>
    <rPh sb="22" eb="24">
      <t>ブンケイ</t>
    </rPh>
    <rPh sb="29" eb="31">
      <t>カイメ</t>
    </rPh>
    <rPh sb="53" eb="55">
      <t>ジョウホウ</t>
    </rPh>
    <rPh sb="61" eb="63">
      <t>ブンケイ</t>
    </rPh>
    <rPh sb="71" eb="73">
      <t>カイメ</t>
    </rPh>
    <rPh sb="112" eb="114">
      <t>カイメ</t>
    </rPh>
    <rPh sb="136" eb="139">
      <t>ズジョウホウ</t>
    </rPh>
    <rPh sb="151" eb="153">
      <t>カイメ</t>
    </rPh>
    <phoneticPr fontId="1"/>
  </si>
  <si>
    <t>授業評価アンケートを通じて、学生の知的関心の高まりや達成感が得られたかを確認している。令和4年度から全学必修化を予定し、全学部1年生が受講対象となるため、後輩への推奨度は明示的には調査していないが、上述の授業評価アンケートの設問や自由記述式のコメントから、後輩等にも受講を推奨できると評価している受講者が多いと考えられる。</t>
    <phoneticPr fontId="1"/>
  </si>
  <si>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0"/>
  </si>
  <si>
    <t>情報科学入門</t>
    <rPh sb="0" eb="6">
      <t>ジョウホウカガクニュウモン</t>
    </rPh>
    <phoneticPr fontId="1"/>
  </si>
  <si>
    <t>○</t>
    <phoneticPr fontId="1"/>
  </si>
  <si>
    <t>・データバイアス（PCR検査の性能を例に）「情報科学入門」（11回目）</t>
    <rPh sb="22" eb="26">
      <t>ジョウホウカガク</t>
    </rPh>
    <rPh sb="26" eb="28">
      <t>ニュウモン</t>
    </rPh>
    <phoneticPr fontId="1"/>
  </si>
  <si>
    <t>・データ倫理：プライバシー保護、著作権 / 情報倫理（松本サリン事件を例に）「情報リテラシー（文系）」（5回目）
・ELSI(データジャーナリズム、福島原子力事故に関する低線量被曝のフェイクニュースを例に)「情報リテラシー（文系）」(10～11回目)
・データバイアス「情報リテラシー（文系）」（13回目）
・メディアの利活用における倫理「情報メディアとコミュニケーション」（4回目）
・データバイアス「図情報とコンピュータ」（3回目）</t>
    <rPh sb="39" eb="41">
      <t>ジョウホウ</t>
    </rPh>
    <rPh sb="47" eb="49">
      <t>ブンケイ</t>
    </rPh>
    <rPh sb="150" eb="152">
      <t>カイメ</t>
    </rPh>
    <rPh sb="170" eb="172">
      <t>ジョウホウ</t>
    </rPh>
    <rPh sb="188" eb="190">
      <t>カイメ</t>
    </rPh>
    <rPh sb="214" eb="216">
      <t>カイメ</t>
    </rPh>
    <phoneticPr fontId="0"/>
  </si>
  <si>
    <t>情報科学入門</t>
    <rPh sb="0" eb="2">
      <t>ジョウホウ</t>
    </rPh>
    <rPh sb="2" eb="4">
      <t>カガク</t>
    </rPh>
    <rPh sb="4" eb="6">
      <t>ニュウモン</t>
    </rPh>
    <phoneticPr fontId="1"/>
  </si>
  <si>
    <t>令和2</t>
    <phoneticPr fontId="1"/>
  </si>
  <si>
    <t>名古屋大学教養教育院規程</t>
    <phoneticPr fontId="1"/>
  </si>
  <si>
    <t>教養教育院統括部に設置された部会において、プログラムの履修・修得状況の分析を実施している。全学向け教育学習支援システム NUCTの活用により、受講者ごとの課題への回答状況を把握している。全学教育科目として従来から開講している「情報リテラシー（文系）」等の情報科学に関する科目に加え、令和4年度から「特別講義（データ科学基礎）」を全学必修の科目として開講する。</t>
    <rPh sb="30" eb="32">
      <t>シュウトク</t>
    </rPh>
    <phoneticPr fontId="1"/>
  </si>
  <si>
    <t>授業評価アンケートを通じて、学生の理解度を把握している。授業内容を理解できたかを問う設問において、93.4%の受講生が「あてはまる」または「ややあてはまる」と回答したことから、授業の難易度は適切であると考えられる。また、令和4年度から当プログラムを構成する科目となる「データ科学基礎」についても令和3年度のアンケート結果の分析を行い、100%の受講生が「あてはまる」または「ややあてはまる」と回答したことから、新カリキュラムにおいても学生が内容を十分に理解できていることを確認した。</t>
    <rPh sb="110" eb="112">
      <t>レイワ</t>
    </rPh>
    <rPh sb="113" eb="115">
      <t>ネンド</t>
    </rPh>
    <rPh sb="147" eb="149">
      <t>レイワ</t>
    </rPh>
    <rPh sb="150" eb="152">
      <t>ネンド</t>
    </rPh>
    <rPh sb="158" eb="160">
      <t>ケッカ</t>
    </rPh>
    <rPh sb="172" eb="175">
      <t>ジュコウセイ</t>
    </rPh>
    <rPh sb="205" eb="206">
      <t>シン</t>
    </rPh>
    <rPh sb="217" eb="219">
      <t>ガクセイ</t>
    </rPh>
    <rPh sb="220" eb="222">
      <t>ナイヨウ</t>
    </rPh>
    <rPh sb="223" eb="225">
      <t>ジュウブン</t>
    </rPh>
    <rPh sb="226" eb="228">
      <t>リカイ</t>
    </rPh>
    <rPh sb="236" eb="238">
      <t>カクニン</t>
    </rPh>
    <phoneticPr fontId="1"/>
  </si>
  <si>
    <t>令和4年度から「データ科学基礎」を全学必修とすることが決定しており、履修者数、履修率の向上に向けて取り組んでいる。
また、教養教育院統括部に設置された部会において授業方法や教材の見直しを行うことで、教育の質の確保を図り、学生の修了率を向上させる。</t>
    <phoneticPr fontId="1"/>
  </si>
  <si>
    <t>令和3年度に、監査法人トーマツに委託し、東海地域の企業7社（支社を含む）に対して大学の数理・データサイエンス・AI教育への期待、協業の希望等についてヒアリングを実施した。得られた意見は、今後の地域連携体制の構築や、カリキュラム・教材の改善の参考とする。</t>
    <phoneticPr fontId="1"/>
  </si>
  <si>
    <t>教養教育院統括部に設置された部会において、学生の修了状況や、課題の解答状況、授業評価アンケートの結果の分析を行い、「分かりやすさ」の観点から教材や授業実施方法の改善策を検討している。また、定期的に授業担当教員へのFDを行うことにより、授業の水準の維持・向上を図っている。</t>
    <rPh sb="30" eb="32">
      <t>カダイ</t>
    </rPh>
    <rPh sb="33" eb="35">
      <t>カイトウ</t>
    </rPh>
    <rPh sb="58" eb="59">
      <t>ワ</t>
    </rPh>
    <phoneticPr fontId="1"/>
  </si>
  <si>
    <t>社会の様々な場面で新しい価値を生み出す基盤となるデータ分析能力を身につけるために、その基礎的知識と汎用的な分析技能を獲得する。</t>
    <phoneticPr fontId="1"/>
  </si>
  <si>
    <t>https://www.mds.nagoya-u.ac.jp/mda-program/</t>
    <phoneticPr fontId="1"/>
  </si>
  <si>
    <t>文学部、教育学部、法学部、経済学部、情報学部（人間・社会情報学科）の学部学生が、「情報リテラシー（文系）」2単位、「情報メディアとコミュニケーション」2単位、「図情報とコンピュータ」2単位の合計6単位を取得すること。</t>
    <rPh sb="0" eb="1">
      <t>ブン</t>
    </rPh>
    <rPh sb="1" eb="3">
      <t>ガクブ</t>
    </rPh>
    <rPh sb="4" eb="6">
      <t>キョウイク</t>
    </rPh>
    <rPh sb="6" eb="8">
      <t>ガクブ</t>
    </rPh>
    <rPh sb="9" eb="10">
      <t>ホウ</t>
    </rPh>
    <rPh sb="10" eb="12">
      <t>ガクブ</t>
    </rPh>
    <rPh sb="13" eb="15">
      <t>ケイザイ</t>
    </rPh>
    <rPh sb="15" eb="17">
      <t>ガクブ</t>
    </rPh>
    <rPh sb="18" eb="20">
      <t>ジョウホウ</t>
    </rPh>
    <rPh sb="20" eb="22">
      <t>ガクブ</t>
    </rPh>
    <rPh sb="34" eb="38">
      <t>ガクブガクセイ</t>
    </rPh>
    <phoneticPr fontId="1"/>
  </si>
  <si>
    <t>https://www.mds.nagoya-u.ac.jp/mda-program/</t>
    <phoneticPr fontId="1"/>
  </si>
  <si>
    <t>情報学部（自然情報学科、コンピュータ科学科）、理学部、医学部、工学部、農学部の学部学生が、「情報リテラシー（理系）」2単位、「情報科学入門」2単位の合計4単位を取得すること。</t>
    <rPh sb="0" eb="2">
      <t>ジョウホウ</t>
    </rPh>
    <rPh sb="23" eb="24">
      <t>リ</t>
    </rPh>
    <rPh sb="27" eb="28">
      <t>イ</t>
    </rPh>
    <rPh sb="31" eb="34">
      <t>コウガクブ</t>
    </rPh>
    <rPh sb="35" eb="38">
      <t>ノウガクブ</t>
    </rPh>
    <phoneticPr fontId="1"/>
  </si>
  <si>
    <t>各学部において、卒業時に就職先の調査を行っている。本プログラム開始は令和2年度であり、卒業生が社会に出るのは令和4年度以降となる見込みだが、今後全学的な卒後調査の実施が予定されており、可能な範囲で活躍状況等の調査を実施する予定である。</t>
    <rPh sb="54" eb="56">
      <t>レイワ</t>
    </rPh>
    <rPh sb="57" eb="59">
      <t>ネンド</t>
    </rPh>
    <rPh sb="59" eb="61">
      <t>イコウ</t>
    </rPh>
    <rPh sb="64" eb="66">
      <t>ミコ</t>
    </rPh>
    <phoneticPr fontId="1"/>
  </si>
  <si>
    <t>図情報とコンピュータ</t>
    <phoneticPr fontId="1"/>
  </si>
  <si>
    <t>・データのばらつき（分散、標準偏差、偏差値）「情報科学入門」（2、3回目）
・代表値の性質の違い（実社会では平均値＝最頻値でないことが多い）／相関と因果（相関係数）「情報科学入門」（4回目）
・データの分布(ヒストグラム)と代表値（平均値、中央値、最頻値）／母集団と標本抽出（国勢調査、アンケート調査、全数調査、単純無作為抽出）「情報科学入門」（4、11回目）
・観測データに含まれる誤差の扱い／統計情報の正しい理解（誇張表現に惑わされない） 「情報科学入門」（5回目）
・感度と特異度「情報科学入門」（11回目）</t>
    <rPh sb="92" eb="94">
      <t>カイメ</t>
    </rPh>
    <rPh sb="232" eb="233">
      <t>カイ</t>
    </rPh>
    <rPh sb="233" eb="234">
      <t>メ</t>
    </rPh>
    <rPh sb="244" eb="250">
      <t>ジョウホウカガクニュウモン</t>
    </rPh>
    <rPh sb="254" eb="256">
      <t>カイメ</t>
    </rPh>
    <phoneticPr fontId="1"/>
  </si>
  <si>
    <t>大学院情報学研究科　教授　井手一郎（主査）
大学院教育発達科学研究科　教授　石井秀宗
大学院情報学研究科　教授　北栄輔
大学院情報学研究科　教授　武田浩一
大学院情報学研究科　准教授　出口大輔
大学院多元数理科学研究科　教授　大平徹
大学院多元数理科学研究科　准教授　中島 誠
宇宙地球環境研究所　教授　三好由純
数理・データ科学教育研究センター　准教授　駒水孝裕
未来社会創造機構　教授　武田一哉
教養教育院教養教育推進室　特任講師　	Nathan Hamlitsch
（令和4年4月1日時点）</t>
    <phoneticPr fontId="1"/>
  </si>
  <si>
    <t>教養教育院において受講者に対して実施している学修確認調査(授業評価アンケート)の結果を分析することによって、学生の理解度を把握することができる。また、学生の所属・学年別での修了状況や、NUCT上で実施した課題への回答状況を分析することにより、授業の難易度に問題が無いかを確認している。これらの分析結果は、数理・データ科学教育研究センター教育専門委員会と共有し、本教育プログラムの評価・改善に活用している。</t>
    <rPh sb="102" eb="104">
      <t>カダイ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</si>
</sst>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76" formatCode="#,##0_ "/>
    <numFmt numFmtId="177" formatCode="0.0%"/>
  </numFmts>
  <fonts count="19"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2"/>
      <charset val="128"/>
      <scheme val="minor"/>
    </font>
    <font>
      <sz val="12"/>
      <color theme="1"/>
      <name val="ＭＳ Ｐゴシック"/>
      <family val="3"/>
      <charset val="128"/>
      <scheme val="minor"/>
    </font>
    <font>
      <sz val="11"/>
      <color theme="1"/>
      <name val="ＭＳ Ｐゴシック"/>
      <family val="2"/>
      <charset val="128"/>
      <scheme val="minor"/>
    </font>
    <font>
      <u/>
      <sz val="11"/>
      <color theme="10"/>
      <name val="ＭＳ Ｐゴシック"/>
      <family val="2"/>
      <charset val="128"/>
      <scheme val="minor"/>
    </font>
    <font>
      <sz val="12"/>
      <name val="ＭＳ Ｐゴシック"/>
      <family val="3"/>
      <charset val="128"/>
      <scheme val="minor"/>
    </font>
    <font>
      <sz val="12"/>
      <name val="ＭＳ Ｐゴシック"/>
      <family val="2"/>
      <charset val="128"/>
      <scheme val="minor"/>
    </font>
    <font>
      <sz val="12"/>
      <color rgb="FFFF0000"/>
      <name val="ＭＳ Ｐゴシック"/>
      <family val="2"/>
      <charset val="128"/>
      <scheme val="minor"/>
    </font>
    <font>
      <sz val="11"/>
      <color theme="1"/>
      <name val="ＭＳ Ｐゴシック"/>
      <family val="3"/>
      <charset val="128"/>
      <scheme val="minor"/>
    </font>
    <font>
      <sz val="13"/>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u/>
      <sz val="11"/>
      <name val="ＭＳ Ｐゴシック"/>
      <family val="3"/>
      <charset val="128"/>
      <scheme val="minor"/>
    </font>
    <font>
      <sz val="14"/>
      <name val="ＭＳ Ｐゴシック"/>
      <family val="3"/>
      <charset val="128"/>
      <scheme val="minor"/>
    </font>
    <font>
      <sz val="9"/>
      <name val="ＭＳ Ｐゴシック"/>
      <family val="3"/>
      <charset val="128"/>
      <scheme val="minor"/>
    </font>
    <font>
      <sz val="11"/>
      <name val="ＭＳ Ｐゴシック"/>
      <family val="3"/>
      <charset val="128"/>
      <scheme val="minor"/>
    </font>
    <font>
      <sz val="8"/>
      <name val="ＭＳ Ｐゴシック"/>
      <family val="3"/>
      <charset val="128"/>
      <scheme val="minor"/>
    </font>
  </fonts>
  <fills count="2">
    <fill>
      <patternFill patternType="none"/>
    </fill>
    <fill>
      <patternFill patternType="gray125"/>
    </fill>
  </fills>
  <borders count="54">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thin">
        <color auto="1"/>
      </left>
      <right/>
      <top style="hair">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right style="thin">
        <color auto="1"/>
      </right>
      <top style="hair">
        <color auto="1"/>
      </top>
      <bottom/>
      <diagonal/>
    </border>
    <border>
      <left/>
      <right/>
      <top style="hair">
        <color auto="1"/>
      </top>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style="hair">
        <color auto="1"/>
      </top>
      <bottom style="thin">
        <color auto="1"/>
      </bottom>
      <diagonal/>
    </border>
    <border>
      <left style="hair">
        <color auto="1"/>
      </left>
      <right style="thin">
        <color auto="1"/>
      </right>
      <top/>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double">
        <color auto="1"/>
      </top>
      <bottom style="thin">
        <color auto="1"/>
      </bottom>
      <diagonal/>
    </border>
    <border>
      <left style="thin">
        <color auto="1"/>
      </left>
      <right style="hair">
        <color auto="1"/>
      </right>
      <top style="double">
        <color auto="1"/>
      </top>
      <bottom style="thin">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style="hair">
        <color auto="1"/>
      </bottom>
      <diagonal/>
    </border>
  </borders>
  <cellStyleXfs count="3">
    <xf numFmtId="0" fontId="0" fillId="0" borderId="0">
      <alignment vertical="center"/>
    </xf>
    <xf numFmtId="38" fontId="4" fillId="0" borderId="0" applyFont="0" applyFill="0" applyBorder="0" applyAlignment="0" applyProtection="0">
      <alignment vertical="center"/>
    </xf>
    <xf numFmtId="0" fontId="5" fillId="0" borderId="0" applyNumberFormat="0" applyFill="0" applyBorder="0" applyAlignment="0" applyProtection="0">
      <alignment vertical="center"/>
    </xf>
  </cellStyleXfs>
  <cellXfs count="329">
    <xf numFmtId="0" fontId="0" fillId="0" borderId="0" xfId="0">
      <alignment vertical="center"/>
    </xf>
    <xf numFmtId="0" fontId="2" fillId="0" borderId="0" xfId="0" applyFont="1">
      <alignment vertical="center"/>
    </xf>
    <xf numFmtId="0" fontId="3" fillId="0" borderId="0" xfId="0" applyFont="1">
      <alignment vertical="center"/>
    </xf>
    <xf numFmtId="176" fontId="6" fillId="0" borderId="0" xfId="0" applyNumberFormat="1" applyFont="1" applyBorder="1">
      <alignment vertical="center"/>
    </xf>
    <xf numFmtId="176" fontId="6" fillId="0" borderId="3" xfId="0" applyNumberFormat="1" applyFont="1" applyBorder="1" applyAlignment="1">
      <alignment vertical="center" shrinkToFit="1"/>
    </xf>
    <xf numFmtId="0" fontId="6" fillId="0" borderId="0" xfId="0" applyFont="1" applyBorder="1" applyAlignment="1">
      <alignment horizontal="center" vertical="center" shrinkToFit="1"/>
    </xf>
    <xf numFmtId="0" fontId="7" fillId="0" borderId="0" xfId="0" applyFont="1">
      <alignment vertical="center"/>
    </xf>
    <xf numFmtId="0" fontId="6" fillId="0" borderId="0" xfId="0" applyFont="1">
      <alignment vertical="center"/>
    </xf>
    <xf numFmtId="0" fontId="6" fillId="0" borderId="0" xfId="0" applyFont="1" applyAlignment="1">
      <alignment vertical="center"/>
    </xf>
    <xf numFmtId="0" fontId="6" fillId="0" borderId="0" xfId="0" applyFont="1" applyAlignment="1">
      <alignment horizontal="left" vertical="center"/>
    </xf>
    <xf numFmtId="0" fontId="6" fillId="0" borderId="0" xfId="0" applyFont="1" applyBorder="1" applyAlignment="1">
      <alignment vertical="center"/>
    </xf>
    <xf numFmtId="0" fontId="6" fillId="0" borderId="5" xfId="0" applyFont="1" applyBorder="1">
      <alignment vertical="center"/>
    </xf>
    <xf numFmtId="176" fontId="6" fillId="0" borderId="0" xfId="0" applyNumberFormat="1" applyFont="1" applyBorder="1" applyAlignment="1">
      <alignment vertical="center" wrapText="1"/>
    </xf>
    <xf numFmtId="0" fontId="6" fillId="0" borderId="0" xfId="0" applyFont="1" applyBorder="1">
      <alignment vertical="center"/>
    </xf>
    <xf numFmtId="176" fontId="6" fillId="0" borderId="5" xfId="0" applyNumberFormat="1" applyFont="1" applyBorder="1" applyAlignment="1">
      <alignment vertical="center"/>
    </xf>
    <xf numFmtId="176" fontId="6" fillId="0" borderId="0" xfId="0" applyNumberFormat="1" applyFont="1" applyAlignment="1">
      <alignment vertical="center" wrapText="1"/>
    </xf>
    <xf numFmtId="176" fontId="6" fillId="0" borderId="0" xfId="0" applyNumberFormat="1" applyFont="1" applyAlignment="1">
      <alignment horizontal="left" vertical="center" wrapText="1"/>
    </xf>
    <xf numFmtId="0" fontId="6" fillId="0" borderId="6" xfId="0" applyFont="1" applyBorder="1" applyAlignment="1">
      <alignment vertical="center" shrinkToFit="1"/>
    </xf>
    <xf numFmtId="0" fontId="6" fillId="0" borderId="1" xfId="0" applyFont="1" applyBorder="1">
      <alignment vertical="center"/>
    </xf>
    <xf numFmtId="0" fontId="6" fillId="0" borderId="2" xfId="0" applyFont="1" applyBorder="1">
      <alignment vertical="center"/>
    </xf>
    <xf numFmtId="0" fontId="6" fillId="0" borderId="4" xfId="0" applyFont="1" applyBorder="1">
      <alignment vertical="center"/>
    </xf>
    <xf numFmtId="0" fontId="6" fillId="0" borderId="0" xfId="0" applyFont="1" applyAlignment="1">
      <alignment horizontal="center" vertical="center"/>
    </xf>
    <xf numFmtId="0" fontId="6" fillId="0" borderId="1" xfId="0" applyFont="1" applyBorder="1" applyAlignment="1">
      <alignment vertical="center" shrinkToFit="1"/>
    </xf>
    <xf numFmtId="0" fontId="8" fillId="0" borderId="0" xfId="0" applyFont="1">
      <alignment vertical="center"/>
    </xf>
    <xf numFmtId="0" fontId="9" fillId="0" borderId="0" xfId="0" applyFont="1">
      <alignment vertical="center"/>
    </xf>
    <xf numFmtId="0" fontId="6" fillId="0" borderId="0" xfId="0" applyFont="1" applyBorder="1" applyAlignment="1">
      <alignment horizontal="center" vertical="center"/>
    </xf>
    <xf numFmtId="0" fontId="6" fillId="0" borderId="0" xfId="0" applyFont="1" applyBorder="1" applyAlignment="1">
      <alignment vertical="center" shrinkToFit="1"/>
    </xf>
    <xf numFmtId="0" fontId="3" fillId="0" borderId="0" xfId="0" applyFont="1" applyAlignment="1">
      <alignment horizontal="center" vertical="center"/>
    </xf>
    <xf numFmtId="0" fontId="13" fillId="0" borderId="11" xfId="0" applyFont="1" applyBorder="1" applyAlignment="1">
      <alignment horizontal="center" vertical="center"/>
    </xf>
    <xf numFmtId="0" fontId="13" fillId="0" borderId="29" xfId="0" applyFont="1" applyBorder="1" applyAlignment="1">
      <alignment horizontal="center" vertical="center" wrapText="1"/>
    </xf>
    <xf numFmtId="0" fontId="13" fillId="0" borderId="30" xfId="0" applyFont="1" applyBorder="1" applyAlignment="1">
      <alignment horizontal="center" vertical="center"/>
    </xf>
    <xf numFmtId="0" fontId="13" fillId="0" borderId="12" xfId="0" applyFont="1" applyBorder="1" applyAlignment="1">
      <alignment horizontal="center" vertical="center" wrapText="1"/>
    </xf>
    <xf numFmtId="0" fontId="3" fillId="0" borderId="0" xfId="0" applyFont="1" applyAlignment="1">
      <alignment vertical="center" shrinkToFit="1"/>
    </xf>
    <xf numFmtId="0" fontId="3" fillId="0" borderId="5" xfId="0" applyFont="1" applyBorder="1" applyAlignment="1">
      <alignment vertical="center" shrinkToFit="1"/>
    </xf>
    <xf numFmtId="176" fontId="3" fillId="0" borderId="5" xfId="0" applyNumberFormat="1" applyFont="1" applyBorder="1" applyAlignment="1">
      <alignment vertical="center" shrinkToFit="1"/>
    </xf>
    <xf numFmtId="176" fontId="3" fillId="0" borderId="31" xfId="0" applyNumberFormat="1" applyFont="1" applyBorder="1" applyAlignment="1">
      <alignment vertical="center" shrinkToFit="1"/>
    </xf>
    <xf numFmtId="176" fontId="3" fillId="0" borderId="32" xfId="0" applyNumberFormat="1" applyFont="1" applyBorder="1" applyAlignment="1">
      <alignment vertical="center" shrinkToFit="1"/>
    </xf>
    <xf numFmtId="176" fontId="3" fillId="0" borderId="10" xfId="0" applyNumberFormat="1" applyFont="1" applyBorder="1" applyAlignment="1">
      <alignment vertical="center" shrinkToFit="1"/>
    </xf>
    <xf numFmtId="176" fontId="3" fillId="0" borderId="14" xfId="0" applyNumberFormat="1" applyFont="1" applyBorder="1" applyAlignment="1">
      <alignment vertical="center" shrinkToFit="1"/>
    </xf>
    <xf numFmtId="9" fontId="3" fillId="0" borderId="10" xfId="0" applyNumberFormat="1" applyFont="1" applyBorder="1" applyAlignment="1">
      <alignment vertical="center" shrinkToFit="1"/>
    </xf>
    <xf numFmtId="0" fontId="3" fillId="0" borderId="18" xfId="0" applyFont="1" applyBorder="1" applyAlignment="1">
      <alignment vertical="center" shrinkToFit="1"/>
    </xf>
    <xf numFmtId="0" fontId="3" fillId="0" borderId="19" xfId="0" applyFont="1" applyBorder="1" applyAlignment="1">
      <alignment vertical="center" shrinkToFit="1"/>
    </xf>
    <xf numFmtId="176" fontId="3" fillId="0" borderId="19" xfId="0" applyNumberFormat="1" applyFont="1" applyBorder="1" applyAlignment="1">
      <alignment vertical="center" shrinkToFit="1"/>
    </xf>
    <xf numFmtId="176" fontId="3" fillId="0" borderId="33" xfId="0" applyNumberFormat="1" applyFont="1" applyBorder="1" applyAlignment="1">
      <alignment vertical="center" shrinkToFit="1"/>
    </xf>
    <xf numFmtId="176" fontId="3" fillId="0" borderId="34" xfId="0" applyNumberFormat="1" applyFont="1" applyBorder="1" applyAlignment="1">
      <alignment vertical="center" shrinkToFit="1"/>
    </xf>
    <xf numFmtId="176" fontId="3" fillId="0" borderId="18" xfId="0" applyNumberFormat="1" applyFont="1" applyBorder="1" applyAlignment="1">
      <alignment vertical="center" shrinkToFit="1"/>
    </xf>
    <xf numFmtId="176" fontId="3" fillId="0" borderId="23" xfId="0" applyNumberFormat="1" applyFont="1" applyBorder="1" applyAlignment="1">
      <alignment vertical="center" shrinkToFit="1"/>
    </xf>
    <xf numFmtId="9" fontId="3" fillId="0" borderId="23" xfId="0" applyNumberFormat="1" applyFont="1" applyBorder="1" applyAlignment="1">
      <alignment vertical="center" shrinkToFit="1"/>
    </xf>
    <xf numFmtId="0" fontId="3" fillId="0" borderId="20" xfId="0" applyFont="1" applyBorder="1" applyAlignment="1">
      <alignment vertical="center" shrinkToFit="1"/>
    </xf>
    <xf numFmtId="176" fontId="3" fillId="0" borderId="24" xfId="0" applyNumberFormat="1" applyFont="1" applyBorder="1" applyAlignment="1">
      <alignment vertical="center" shrinkToFit="1"/>
    </xf>
    <xf numFmtId="0" fontId="3" fillId="0" borderId="25" xfId="0" applyFont="1" applyBorder="1" applyAlignment="1">
      <alignment vertical="center" shrinkToFit="1"/>
    </xf>
    <xf numFmtId="176" fontId="3" fillId="0" borderId="25" xfId="0" applyNumberFormat="1" applyFont="1" applyBorder="1" applyAlignment="1">
      <alignment vertical="center" shrinkToFit="1"/>
    </xf>
    <xf numFmtId="176" fontId="3" fillId="0" borderId="35" xfId="0" applyNumberFormat="1" applyFont="1" applyBorder="1" applyAlignment="1">
      <alignment vertical="center" shrinkToFit="1"/>
    </xf>
    <xf numFmtId="176" fontId="3" fillId="0" borderId="36" xfId="0" applyNumberFormat="1" applyFont="1" applyBorder="1" applyAlignment="1">
      <alignment vertical="center" shrinkToFit="1"/>
    </xf>
    <xf numFmtId="176" fontId="3" fillId="0" borderId="27" xfId="0" applyNumberFormat="1" applyFont="1" applyBorder="1" applyAlignment="1">
      <alignment vertical="center" shrinkToFit="1"/>
    </xf>
    <xf numFmtId="176" fontId="3" fillId="0" borderId="28" xfId="0" applyNumberFormat="1" applyFont="1" applyBorder="1" applyAlignment="1">
      <alignment vertical="center" shrinkToFit="1"/>
    </xf>
    <xf numFmtId="0" fontId="6" fillId="0" borderId="0" xfId="0" applyFont="1" applyFill="1">
      <alignment vertical="center"/>
    </xf>
    <xf numFmtId="0" fontId="6" fillId="0" borderId="10" xfId="0" applyFont="1" applyBorder="1" applyAlignment="1">
      <alignment vertical="center" shrinkToFit="1"/>
    </xf>
    <xf numFmtId="49" fontId="16" fillId="0" borderId="1" xfId="0" applyNumberFormat="1" applyFont="1" applyBorder="1" applyAlignment="1">
      <alignment horizontal="center" vertical="center"/>
    </xf>
    <xf numFmtId="0" fontId="6" fillId="0" borderId="0" xfId="0" applyFont="1" applyAlignment="1">
      <alignment vertical="center" shrinkToFit="1"/>
    </xf>
    <xf numFmtId="49" fontId="16" fillId="0" borderId="47" xfId="0" applyNumberFormat="1" applyFont="1" applyBorder="1" applyAlignment="1">
      <alignment horizontal="center" vertical="center"/>
    </xf>
    <xf numFmtId="49" fontId="16" fillId="0" borderId="33" xfId="0" applyNumberFormat="1" applyFont="1" applyBorder="1" applyAlignment="1">
      <alignment horizontal="center" vertical="center"/>
    </xf>
    <xf numFmtId="49" fontId="16" fillId="0" borderId="50" xfId="0" applyNumberFormat="1" applyFont="1" applyBorder="1" applyAlignment="1">
      <alignment horizontal="center" vertical="center"/>
    </xf>
    <xf numFmtId="0" fontId="6" fillId="0" borderId="44" xfId="0" applyFont="1" applyBorder="1" applyAlignment="1">
      <alignment horizontal="center" vertical="center" shrinkToFit="1"/>
    </xf>
    <xf numFmtId="0" fontId="6" fillId="0" borderId="45" xfId="0" applyFont="1" applyBorder="1" applyAlignment="1">
      <alignment horizontal="center" vertical="center" shrinkToFit="1"/>
    </xf>
    <xf numFmtId="49" fontId="16" fillId="0" borderId="51" xfId="0" applyNumberFormat="1" applyFont="1" applyBorder="1" applyAlignment="1">
      <alignment horizontal="center" vertical="center"/>
    </xf>
    <xf numFmtId="0" fontId="3" fillId="0" borderId="0" xfId="0" applyFont="1" applyAlignment="1">
      <alignment horizontal="left" vertical="center"/>
    </xf>
    <xf numFmtId="0" fontId="3" fillId="0" borderId="14" xfId="0" applyFont="1" applyBorder="1" applyAlignment="1">
      <alignment horizontal="left" vertical="center" shrinkToFit="1"/>
    </xf>
    <xf numFmtId="0" fontId="3" fillId="0" borderId="23" xfId="0" applyFont="1" applyBorder="1" applyAlignment="1">
      <alignment horizontal="left" vertical="center" shrinkToFit="1"/>
    </xf>
    <xf numFmtId="0" fontId="3" fillId="0" borderId="24" xfId="0" applyFont="1" applyBorder="1" applyAlignment="1">
      <alignment horizontal="left" vertical="center" shrinkToFit="1"/>
    </xf>
    <xf numFmtId="0" fontId="3" fillId="0" borderId="10" xfId="0" applyFont="1" applyBorder="1" applyAlignment="1">
      <alignment vertical="center" shrinkToFit="1"/>
    </xf>
    <xf numFmtId="0" fontId="3" fillId="0" borderId="28" xfId="0" applyFont="1" applyBorder="1" applyAlignment="1">
      <alignment horizontal="center" vertical="center" shrinkToFit="1"/>
    </xf>
    <xf numFmtId="0" fontId="3" fillId="0" borderId="26" xfId="0" applyFont="1" applyBorder="1" applyAlignment="1">
      <alignment vertical="center" shrinkToFit="1"/>
    </xf>
    <xf numFmtId="0" fontId="6" fillId="0" borderId="7" xfId="0" applyFont="1" applyBorder="1" applyAlignment="1">
      <alignment horizontal="center" vertical="center" wrapText="1" shrinkToFit="1"/>
    </xf>
    <xf numFmtId="9" fontId="6" fillId="0" borderId="8" xfId="0" applyNumberFormat="1" applyFont="1" applyBorder="1" applyAlignment="1">
      <alignment horizontal="center" vertical="center" wrapText="1" shrinkToFit="1"/>
    </xf>
    <xf numFmtId="0" fontId="6" fillId="0" borderId="8" xfId="0" applyFont="1" applyBorder="1" applyAlignment="1">
      <alignment horizontal="center" vertical="center" wrapText="1" shrinkToFit="1"/>
    </xf>
    <xf numFmtId="9" fontId="6" fillId="0" borderId="8" xfId="0" applyNumberFormat="1" applyFont="1" applyBorder="1" applyAlignment="1">
      <alignment horizontal="center" vertical="center" shrinkToFit="1"/>
    </xf>
    <xf numFmtId="0" fontId="6" fillId="0" borderId="9" xfId="0" applyFont="1" applyBorder="1" applyAlignment="1">
      <alignment horizontal="center" vertical="center" shrinkToFit="1"/>
    </xf>
    <xf numFmtId="9" fontId="6" fillId="0" borderId="45" xfId="0" applyNumberFormat="1" applyFont="1" applyBorder="1" applyAlignment="1">
      <alignment horizontal="center" vertical="center" shrinkToFit="1"/>
    </xf>
    <xf numFmtId="176" fontId="6" fillId="0" borderId="45" xfId="0" applyNumberFormat="1" applyFont="1" applyBorder="1" applyAlignment="1">
      <alignment horizontal="center" vertical="center" shrinkToFit="1"/>
    </xf>
    <xf numFmtId="0" fontId="6" fillId="0" borderId="46" xfId="0" applyFont="1" applyBorder="1" applyAlignment="1">
      <alignment horizontal="center" vertical="center" shrinkToFit="1"/>
    </xf>
    <xf numFmtId="0" fontId="6" fillId="0" borderId="2" xfId="0" applyFont="1" applyBorder="1" applyAlignment="1">
      <alignment vertical="center"/>
    </xf>
    <xf numFmtId="0" fontId="6" fillId="0" borderId="3" xfId="0" applyFont="1" applyBorder="1" applyAlignment="1">
      <alignment vertical="center"/>
    </xf>
    <xf numFmtId="0" fontId="6" fillId="0" borderId="4" xfId="0" applyFont="1" applyBorder="1" applyAlignment="1">
      <alignment vertical="center"/>
    </xf>
    <xf numFmtId="49" fontId="16" fillId="0" borderId="52" xfId="0" applyNumberFormat="1" applyFont="1" applyBorder="1" applyAlignment="1">
      <alignment horizontal="center" vertical="center"/>
    </xf>
    <xf numFmtId="49" fontId="16" fillId="0" borderId="29" xfId="0" applyNumberFormat="1" applyFont="1" applyBorder="1" applyAlignment="1">
      <alignment horizontal="center" vertical="center"/>
    </xf>
    <xf numFmtId="0" fontId="18" fillId="0" borderId="4" xfId="0" applyFont="1" applyBorder="1" applyAlignment="1">
      <alignment horizontal="center" vertical="center" shrinkToFit="1"/>
    </xf>
    <xf numFmtId="0" fontId="6" fillId="0" borderId="14" xfId="0" applyFont="1" applyBorder="1" applyAlignment="1">
      <alignment horizontal="center" vertical="center" shrinkToFit="1"/>
    </xf>
    <xf numFmtId="0" fontId="6" fillId="0" borderId="23" xfId="0" applyFont="1" applyBorder="1" applyAlignment="1">
      <alignment horizontal="center" vertical="center" shrinkToFit="1"/>
    </xf>
    <xf numFmtId="0" fontId="6" fillId="0" borderId="13" xfId="0" applyFont="1" applyBorder="1" applyAlignment="1">
      <alignment horizontal="center" vertical="center" shrinkToFit="1"/>
    </xf>
    <xf numFmtId="0" fontId="3" fillId="0" borderId="0" xfId="0" applyFont="1" applyBorder="1" applyAlignment="1">
      <alignment vertical="center" shrinkToFit="1"/>
    </xf>
    <xf numFmtId="0" fontId="6" fillId="0" borderId="1" xfId="0" applyFont="1" applyBorder="1" applyAlignment="1">
      <alignment horizontal="center" vertical="center" shrinkToFit="1"/>
    </xf>
    <xf numFmtId="0" fontId="6" fillId="0" borderId="43" xfId="0" applyFont="1" applyBorder="1" applyAlignment="1">
      <alignment horizontal="center" vertical="center" shrinkToFit="1"/>
    </xf>
    <xf numFmtId="0" fontId="16" fillId="0" borderId="0" xfId="0" applyFont="1" applyAlignment="1">
      <alignment vertical="top" wrapText="1"/>
    </xf>
    <xf numFmtId="0" fontId="16" fillId="0" borderId="10" xfId="0" applyFont="1" applyBorder="1" applyAlignment="1">
      <alignment vertical="top" wrapText="1"/>
    </xf>
    <xf numFmtId="0" fontId="16" fillId="0" borderId="5" xfId="0" applyFont="1" applyBorder="1" applyAlignment="1">
      <alignment vertical="top" wrapText="1"/>
    </xf>
    <xf numFmtId="0" fontId="6" fillId="0" borderId="16" xfId="0" applyFont="1" applyBorder="1">
      <alignment vertical="center"/>
    </xf>
    <xf numFmtId="0" fontId="16" fillId="0" borderId="20" xfId="0" applyFont="1" applyBorder="1" applyAlignment="1">
      <alignment vertical="top" wrapText="1"/>
    </xf>
    <xf numFmtId="0" fontId="16" fillId="0" borderId="18" xfId="0" applyFont="1" applyBorder="1" applyAlignment="1">
      <alignment vertical="top" wrapText="1"/>
    </xf>
    <xf numFmtId="0" fontId="16" fillId="0" borderId="20" xfId="0" applyFont="1" applyBorder="1" applyAlignment="1">
      <alignment vertical="top" shrinkToFit="1"/>
    </xf>
    <xf numFmtId="0" fontId="16" fillId="0" borderId="18" xfId="0" applyFont="1" applyBorder="1" applyAlignment="1">
      <alignment vertical="top" shrinkToFit="1"/>
    </xf>
    <xf numFmtId="0" fontId="16" fillId="0" borderId="0" xfId="0" applyFont="1">
      <alignment vertical="center"/>
    </xf>
    <xf numFmtId="0" fontId="16" fillId="0" borderId="0" xfId="0" applyFont="1" applyAlignment="1">
      <alignment vertical="top" shrinkToFit="1"/>
    </xf>
    <xf numFmtId="0" fontId="16" fillId="0" borderId="0" xfId="0" applyFont="1" applyAlignment="1">
      <alignment vertical="center" wrapText="1"/>
    </xf>
    <xf numFmtId="177" fontId="3" fillId="0" borderId="27" xfId="0" applyNumberFormat="1" applyFont="1" applyBorder="1" applyAlignment="1">
      <alignment vertical="center" shrinkToFit="1"/>
    </xf>
    <xf numFmtId="177" fontId="6" fillId="0" borderId="8" xfId="0" applyNumberFormat="1" applyFont="1" applyBorder="1" applyAlignment="1">
      <alignment horizontal="center" vertical="center" wrapText="1" shrinkToFit="1"/>
    </xf>
    <xf numFmtId="0" fontId="6" fillId="0" borderId="0" xfId="0" applyFont="1" applyBorder="1" applyAlignment="1">
      <alignment vertical="center" shrinkToFit="1"/>
    </xf>
    <xf numFmtId="0" fontId="6" fillId="0" borderId="0" xfId="0" applyFont="1" applyAlignment="1">
      <alignment horizontal="right" vertical="center"/>
    </xf>
    <xf numFmtId="0" fontId="6" fillId="0" borderId="42" xfId="0" applyFont="1" applyBorder="1" applyAlignment="1">
      <alignment horizontal="center" vertical="center"/>
    </xf>
    <xf numFmtId="0" fontId="6" fillId="0" borderId="18" xfId="0" applyFont="1" applyBorder="1" applyAlignment="1">
      <alignment horizontal="center" vertical="center"/>
    </xf>
    <xf numFmtId="0" fontId="6" fillId="0" borderId="38" xfId="0" applyFont="1" applyBorder="1" applyAlignment="1">
      <alignment horizontal="center" vertical="center"/>
    </xf>
    <xf numFmtId="0" fontId="6" fillId="0" borderId="0" xfId="0" applyFont="1" applyAlignment="1">
      <alignment vertical="center" wrapText="1"/>
    </xf>
    <xf numFmtId="0" fontId="15" fillId="0" borderId="0" xfId="0" applyFont="1" applyAlignment="1">
      <alignment horizontal="center" vertical="center"/>
    </xf>
    <xf numFmtId="0" fontId="6" fillId="0" borderId="0" xfId="0" applyFont="1" applyAlignment="1">
      <alignment vertical="top" wrapText="1"/>
    </xf>
    <xf numFmtId="0" fontId="6" fillId="0" borderId="15" xfId="0" applyFont="1" applyBorder="1" applyAlignment="1">
      <alignment horizontal="center" vertical="center" shrinkToFit="1"/>
    </xf>
    <xf numFmtId="0" fontId="6" fillId="0" borderId="23" xfId="0" applyFont="1" applyBorder="1" applyAlignment="1">
      <alignment horizontal="center" vertical="center"/>
    </xf>
    <xf numFmtId="0" fontId="6" fillId="0" borderId="53" xfId="0" applyFont="1" applyBorder="1" applyAlignment="1">
      <alignment horizontal="center" vertical="center" shrinkToFit="1"/>
    </xf>
    <xf numFmtId="49" fontId="14" fillId="0" borderId="2" xfId="2" applyNumberFormat="1" applyFont="1" applyBorder="1" applyAlignment="1">
      <alignment vertical="center" shrinkToFit="1"/>
    </xf>
    <xf numFmtId="49" fontId="6" fillId="0" borderId="3" xfId="0" applyNumberFormat="1" applyFont="1" applyBorder="1" applyAlignment="1">
      <alignment vertical="center" shrinkToFit="1"/>
    </xf>
    <xf numFmtId="49" fontId="6" fillId="0" borderId="4" xfId="0" applyNumberFormat="1" applyFont="1" applyBorder="1" applyAlignment="1">
      <alignment vertical="center" shrinkToFit="1"/>
    </xf>
    <xf numFmtId="49" fontId="6" fillId="0" borderId="2" xfId="1" applyNumberFormat="1" applyFont="1" applyBorder="1" applyAlignment="1">
      <alignment horizontal="center" vertical="center" shrinkToFit="1"/>
    </xf>
    <xf numFmtId="49" fontId="6" fillId="0" borderId="3" xfId="1" applyNumberFormat="1" applyFont="1" applyBorder="1" applyAlignment="1">
      <alignment horizontal="center" vertical="center" shrinkToFit="1"/>
    </xf>
    <xf numFmtId="49" fontId="6" fillId="0" borderId="4" xfId="1" applyNumberFormat="1" applyFont="1" applyBorder="1" applyAlignment="1">
      <alignment horizontal="center" vertical="center" shrinkToFit="1"/>
    </xf>
    <xf numFmtId="0" fontId="6" fillId="0" borderId="0" xfId="0" applyFont="1" applyBorder="1" applyAlignment="1">
      <alignment horizontal="center" vertical="center"/>
    </xf>
    <xf numFmtId="0" fontId="6" fillId="0" borderId="2" xfId="0" applyFont="1" applyBorder="1" applyAlignment="1">
      <alignment horizontal="center" vertical="center" shrinkToFit="1"/>
    </xf>
    <xf numFmtId="0" fontId="6" fillId="0" borderId="3" xfId="0" applyFont="1" applyBorder="1" applyAlignment="1">
      <alignment horizontal="center" vertical="center" shrinkToFit="1"/>
    </xf>
    <xf numFmtId="0" fontId="6" fillId="0" borderId="4" xfId="0" applyFont="1" applyBorder="1" applyAlignment="1">
      <alignment horizontal="center" vertical="center" shrinkToFit="1"/>
    </xf>
    <xf numFmtId="176" fontId="6" fillId="0" borderId="2" xfId="0" applyNumberFormat="1" applyFont="1" applyBorder="1" applyAlignment="1">
      <alignment horizontal="center" vertical="center" shrinkToFit="1"/>
    </xf>
    <xf numFmtId="176" fontId="6" fillId="0" borderId="4" xfId="0" applyNumberFormat="1" applyFont="1" applyBorder="1" applyAlignment="1">
      <alignment horizontal="center" vertical="center" shrinkToFit="1"/>
    </xf>
    <xf numFmtId="0" fontId="6" fillId="0" borderId="2" xfId="0" applyFont="1" applyBorder="1" applyAlignment="1">
      <alignment vertical="center" shrinkToFit="1"/>
    </xf>
    <xf numFmtId="0" fontId="6" fillId="0" borderId="3" xfId="0" applyFont="1" applyBorder="1" applyAlignment="1">
      <alignment vertical="center" shrinkToFit="1"/>
    </xf>
    <xf numFmtId="0" fontId="6" fillId="0" borderId="0" xfId="0" applyFont="1" applyBorder="1" applyAlignment="1">
      <alignment horizontal="right" vertical="center" shrinkToFit="1"/>
    </xf>
    <xf numFmtId="0" fontId="6" fillId="0" borderId="5" xfId="0" applyFont="1" applyBorder="1" applyAlignment="1">
      <alignment horizontal="right" vertical="center" shrinkToFit="1"/>
    </xf>
    <xf numFmtId="0" fontId="6" fillId="0" borderId="10" xfId="0" applyFont="1" applyBorder="1" applyAlignment="1">
      <alignment horizontal="right" vertical="center" shrinkToFit="1"/>
    </xf>
    <xf numFmtId="0" fontId="6" fillId="0" borderId="0" xfId="0" applyFont="1" applyAlignment="1">
      <alignment horizontal="right" vertical="center"/>
    </xf>
    <xf numFmtId="0" fontId="6" fillId="0" borderId="0" xfId="0" applyFont="1" applyBorder="1" applyAlignment="1">
      <alignment horizontal="right" vertical="center"/>
    </xf>
    <xf numFmtId="0" fontId="6" fillId="0" borderId="10" xfId="0" applyFont="1" applyBorder="1" applyAlignment="1">
      <alignment horizontal="right" vertical="center"/>
    </xf>
    <xf numFmtId="176" fontId="6" fillId="0" borderId="3" xfId="0" applyNumberFormat="1" applyFont="1" applyBorder="1" applyAlignment="1">
      <alignment horizontal="center" vertical="center" shrinkToFit="1"/>
    </xf>
    <xf numFmtId="0" fontId="10" fillId="0" borderId="0" xfId="0" applyFont="1" applyAlignment="1">
      <alignment horizontal="center" vertical="center"/>
    </xf>
    <xf numFmtId="0" fontId="6" fillId="0" borderId="2" xfId="0" applyNumberFormat="1" applyFont="1" applyBorder="1" applyAlignment="1">
      <alignment horizontal="center" vertical="center"/>
    </xf>
    <xf numFmtId="0" fontId="6" fillId="0" borderId="4" xfId="0" applyNumberFormat="1" applyFont="1" applyBorder="1" applyAlignment="1">
      <alignment horizontal="center" vertical="center"/>
    </xf>
    <xf numFmtId="0" fontId="6" fillId="0" borderId="2" xfId="0" applyFont="1" applyBorder="1" applyAlignment="1">
      <alignment horizontal="center" vertical="center"/>
    </xf>
    <xf numFmtId="0" fontId="6" fillId="0" borderId="3" xfId="0" applyFont="1" applyBorder="1" applyAlignment="1">
      <alignment horizontal="center" vertical="center"/>
    </xf>
    <xf numFmtId="0" fontId="6" fillId="0" borderId="4" xfId="0" applyFont="1" applyBorder="1" applyAlignment="1">
      <alignment horizontal="center" vertical="center"/>
    </xf>
    <xf numFmtId="176" fontId="6" fillId="0" borderId="2" xfId="0" applyNumberFormat="1" applyFont="1" applyBorder="1" applyAlignment="1">
      <alignment horizontal="center" vertical="center"/>
    </xf>
    <xf numFmtId="176" fontId="6" fillId="0" borderId="3" xfId="0" applyNumberFormat="1" applyFont="1" applyBorder="1" applyAlignment="1">
      <alignment horizontal="center" vertical="center"/>
    </xf>
    <xf numFmtId="176" fontId="6" fillId="0" borderId="4" xfId="0" applyNumberFormat="1" applyFont="1" applyBorder="1" applyAlignment="1">
      <alignment horizontal="center" vertical="center"/>
    </xf>
    <xf numFmtId="0" fontId="6" fillId="0" borderId="0" xfId="0" applyFont="1" applyBorder="1" applyAlignment="1">
      <alignment vertical="center" shrinkToFit="1"/>
    </xf>
    <xf numFmtId="0" fontId="6" fillId="0" borderId="37" xfId="0" applyFont="1" applyBorder="1" applyAlignment="1">
      <alignment horizontal="left" vertical="center" shrinkToFit="1"/>
    </xf>
    <xf numFmtId="0" fontId="6" fillId="0" borderId="39" xfId="0" applyFont="1" applyBorder="1" applyAlignment="1">
      <alignment horizontal="left" vertical="center" shrinkToFit="1"/>
    </xf>
    <xf numFmtId="0" fontId="6" fillId="0" borderId="38" xfId="0" applyFont="1" applyBorder="1" applyAlignment="1">
      <alignment horizontal="left" vertical="center" shrinkToFit="1"/>
    </xf>
    <xf numFmtId="0" fontId="6" fillId="0" borderId="37" xfId="0" applyFont="1" applyBorder="1" applyAlignment="1">
      <alignment horizontal="center" vertical="center"/>
    </xf>
    <xf numFmtId="0" fontId="6" fillId="0" borderId="39" xfId="0" applyFont="1" applyBorder="1" applyAlignment="1">
      <alignment horizontal="center" vertical="center"/>
    </xf>
    <xf numFmtId="0" fontId="6" fillId="0" borderId="38" xfId="0" applyFont="1" applyBorder="1" applyAlignment="1">
      <alignment horizontal="center" vertical="center"/>
    </xf>
    <xf numFmtId="0" fontId="6" fillId="0" borderId="37" xfId="0" applyFont="1" applyBorder="1" applyAlignment="1">
      <alignment vertical="center" shrinkToFit="1"/>
    </xf>
    <xf numFmtId="0" fontId="6" fillId="0" borderId="39" xfId="0" applyFont="1" applyBorder="1" applyAlignment="1">
      <alignment vertical="center" shrinkToFit="1"/>
    </xf>
    <xf numFmtId="0" fontId="6" fillId="0" borderId="38" xfId="0" applyFont="1" applyBorder="1" applyAlignment="1">
      <alignment vertical="center" shrinkToFit="1"/>
    </xf>
    <xf numFmtId="0" fontId="6" fillId="0" borderId="19" xfId="0" applyFont="1" applyBorder="1" applyAlignment="1">
      <alignment horizontal="left" vertical="center" shrinkToFit="1"/>
    </xf>
    <xf numFmtId="0" fontId="6" fillId="0" borderId="20" xfId="0" applyFont="1" applyBorder="1" applyAlignment="1">
      <alignment horizontal="left" vertical="center" shrinkToFit="1"/>
    </xf>
    <xf numFmtId="0" fontId="6" fillId="0" borderId="18" xfId="0" applyFont="1" applyBorder="1" applyAlignment="1">
      <alignment horizontal="left" vertical="center" shrinkToFit="1"/>
    </xf>
    <xf numFmtId="0" fontId="6" fillId="0" borderId="19" xfId="0" applyFont="1" applyBorder="1" applyAlignment="1">
      <alignment horizontal="center" vertical="center"/>
    </xf>
    <xf numFmtId="0" fontId="6" fillId="0" borderId="20" xfId="0" applyFont="1" applyBorder="1" applyAlignment="1">
      <alignment horizontal="center" vertical="center"/>
    </xf>
    <xf numFmtId="0" fontId="6" fillId="0" borderId="18" xfId="0" applyFont="1" applyBorder="1" applyAlignment="1">
      <alignment horizontal="center" vertical="center"/>
    </xf>
    <xf numFmtId="0" fontId="6" fillId="0" borderId="19" xfId="0" applyFont="1" applyBorder="1" applyAlignment="1">
      <alignment vertical="center" shrinkToFit="1"/>
    </xf>
    <xf numFmtId="0" fontId="6" fillId="0" borderId="20" xfId="0" applyFont="1" applyBorder="1" applyAlignment="1">
      <alignment vertical="center" shrinkToFit="1"/>
    </xf>
    <xf numFmtId="0" fontId="6" fillId="0" borderId="18" xfId="0" applyFont="1" applyBorder="1" applyAlignment="1">
      <alignment vertical="center" shrinkToFit="1"/>
    </xf>
    <xf numFmtId="0" fontId="6" fillId="0" borderId="0" xfId="0" applyFont="1" applyAlignment="1">
      <alignment horizontal="center" vertical="center"/>
    </xf>
    <xf numFmtId="0" fontId="15" fillId="0" borderId="0" xfId="0" applyFont="1" applyAlignment="1">
      <alignment horizontal="center" vertical="center"/>
    </xf>
    <xf numFmtId="0" fontId="6" fillId="0" borderId="7" xfId="0" applyFont="1" applyBorder="1" applyAlignment="1">
      <alignment horizontal="left" vertical="top" wrapText="1" shrinkToFit="1"/>
    </xf>
    <xf numFmtId="0" fontId="6" fillId="0" borderId="8" xfId="0" applyFont="1" applyBorder="1" applyAlignment="1">
      <alignment horizontal="left" vertical="top" wrapText="1" shrinkToFit="1"/>
    </xf>
    <xf numFmtId="0" fontId="6" fillId="0" borderId="9" xfId="0" applyFont="1" applyBorder="1" applyAlignment="1">
      <alignment horizontal="left" vertical="top" wrapText="1" shrinkToFit="1"/>
    </xf>
    <xf numFmtId="0" fontId="6" fillId="0" borderId="5" xfId="0" applyFont="1" applyBorder="1" applyAlignment="1">
      <alignment horizontal="left" vertical="top" wrapText="1" shrinkToFit="1"/>
    </xf>
    <xf numFmtId="0" fontId="6" fillId="0" borderId="0" xfId="0" applyFont="1" applyBorder="1" applyAlignment="1">
      <alignment horizontal="left" vertical="top" wrapText="1" shrinkToFit="1"/>
    </xf>
    <xf numFmtId="0" fontId="6" fillId="0" borderId="10" xfId="0" applyFont="1" applyBorder="1" applyAlignment="1">
      <alignment horizontal="left" vertical="top" wrapText="1" shrinkToFit="1"/>
    </xf>
    <xf numFmtId="0" fontId="6" fillId="0" borderId="0" xfId="0" applyFont="1" applyAlignment="1">
      <alignment horizontal="left" vertical="top" wrapText="1" shrinkToFit="1"/>
    </xf>
    <xf numFmtId="0" fontId="6" fillId="0" borderId="11" xfId="0" applyFont="1" applyBorder="1" applyAlignment="1">
      <alignment horizontal="left" vertical="top" wrapText="1" shrinkToFit="1"/>
    </xf>
    <xf numFmtId="0" fontId="6" fillId="0" borderId="6" xfId="0" applyFont="1" applyBorder="1" applyAlignment="1">
      <alignment horizontal="left" vertical="top" wrapText="1" shrinkToFit="1"/>
    </xf>
    <xf numFmtId="0" fontId="6" fillId="0" borderId="12" xfId="0" applyFont="1" applyBorder="1" applyAlignment="1">
      <alignment horizontal="left" vertical="top" wrapText="1" shrinkToFit="1"/>
    </xf>
    <xf numFmtId="0" fontId="6" fillId="0" borderId="0" xfId="0" applyFont="1" applyAlignment="1">
      <alignment vertical="center" wrapText="1"/>
    </xf>
    <xf numFmtId="0" fontId="6" fillId="0" borderId="44" xfId="0" applyFont="1" applyBorder="1" applyAlignment="1">
      <alignment horizontal="left" vertical="center" shrinkToFit="1"/>
    </xf>
    <xf numFmtId="0" fontId="6" fillId="0" borderId="45" xfId="0" applyFont="1" applyBorder="1" applyAlignment="1">
      <alignment horizontal="left" vertical="center" shrinkToFit="1"/>
    </xf>
    <xf numFmtId="0" fontId="6" fillId="0" borderId="46" xfId="0" applyFont="1" applyBorder="1" applyAlignment="1">
      <alignment horizontal="left" vertical="center" shrinkToFit="1"/>
    </xf>
    <xf numFmtId="0" fontId="6" fillId="0" borderId="44" xfId="0" applyFont="1" applyBorder="1" applyAlignment="1">
      <alignment horizontal="center" vertical="center"/>
    </xf>
    <xf numFmtId="0" fontId="6" fillId="0" borderId="45" xfId="0" applyFont="1" applyBorder="1" applyAlignment="1">
      <alignment horizontal="center" vertical="center"/>
    </xf>
    <xf numFmtId="0" fontId="6" fillId="0" borderId="46" xfId="0" applyFont="1" applyBorder="1" applyAlignment="1">
      <alignment horizontal="center" vertical="center"/>
    </xf>
    <xf numFmtId="0" fontId="6" fillId="0" borderId="40" xfId="0" applyFont="1" applyBorder="1" applyAlignment="1">
      <alignment horizontal="left" vertical="center" shrinkToFit="1"/>
    </xf>
    <xf numFmtId="0" fontId="6" fillId="0" borderId="41" xfId="0" applyFont="1" applyBorder="1" applyAlignment="1">
      <alignment horizontal="left" vertical="center" shrinkToFit="1"/>
    </xf>
    <xf numFmtId="0" fontId="6" fillId="0" borderId="42" xfId="0" applyFont="1" applyBorder="1" applyAlignment="1">
      <alignment horizontal="left" vertical="center" shrinkToFit="1"/>
    </xf>
    <xf numFmtId="0" fontId="6" fillId="0" borderId="40" xfId="0" applyFont="1" applyBorder="1" applyAlignment="1">
      <alignment horizontal="center" vertical="center"/>
    </xf>
    <xf numFmtId="0" fontId="6" fillId="0" borderId="41" xfId="0" applyFont="1" applyBorder="1" applyAlignment="1">
      <alignment horizontal="center" vertical="center"/>
    </xf>
    <xf numFmtId="0" fontId="6" fillId="0" borderId="42" xfId="0" applyFont="1" applyBorder="1" applyAlignment="1">
      <alignment horizontal="center" vertical="center"/>
    </xf>
    <xf numFmtId="0" fontId="6" fillId="0" borderId="40" xfId="0" applyFont="1" applyBorder="1" applyAlignment="1">
      <alignment vertical="center" shrinkToFit="1"/>
    </xf>
    <xf numFmtId="0" fontId="6" fillId="0" borderId="41" xfId="0" applyFont="1" applyBorder="1" applyAlignment="1">
      <alignment vertical="center" shrinkToFit="1"/>
    </xf>
    <xf numFmtId="0" fontId="6" fillId="0" borderId="42" xfId="0" applyFont="1" applyBorder="1" applyAlignment="1">
      <alignment vertical="center" shrinkToFit="1"/>
    </xf>
    <xf numFmtId="0" fontId="6" fillId="0" borderId="44" xfId="0" applyFont="1" applyBorder="1" applyAlignment="1">
      <alignment vertical="center" shrinkToFit="1"/>
    </xf>
    <xf numFmtId="0" fontId="6" fillId="0" borderId="45" xfId="0" applyFont="1" applyBorder="1" applyAlignment="1">
      <alignment vertical="center" shrinkToFit="1"/>
    </xf>
    <xf numFmtId="0" fontId="6" fillId="0" borderId="46" xfId="0" applyFont="1" applyBorder="1" applyAlignment="1">
      <alignment vertical="center" shrinkToFit="1"/>
    </xf>
    <xf numFmtId="0" fontId="6" fillId="0" borderId="37" xfId="0" applyFont="1" applyBorder="1" applyAlignment="1">
      <alignment horizontal="center" vertical="center" shrinkToFit="1"/>
    </xf>
    <xf numFmtId="0" fontId="6" fillId="0" borderId="39" xfId="0" applyFont="1" applyBorder="1" applyAlignment="1">
      <alignment horizontal="center" vertical="center" shrinkToFit="1"/>
    </xf>
    <xf numFmtId="0" fontId="6" fillId="0" borderId="38" xfId="0" applyFont="1" applyBorder="1" applyAlignment="1">
      <alignment horizontal="center" vertical="center" shrinkToFit="1"/>
    </xf>
    <xf numFmtId="0" fontId="6" fillId="0" borderId="5" xfId="0" applyFont="1" applyBorder="1" applyAlignment="1">
      <alignment vertical="center" shrinkToFit="1"/>
    </xf>
    <xf numFmtId="0" fontId="6" fillId="0" borderId="10" xfId="0" applyFont="1" applyBorder="1" applyAlignment="1">
      <alignment vertical="center" shrinkToFit="1"/>
    </xf>
    <xf numFmtId="0" fontId="6" fillId="0" borderId="44" xfId="0" applyFont="1" applyBorder="1" applyAlignment="1">
      <alignment horizontal="center" vertical="center" shrinkToFit="1"/>
    </xf>
    <xf numFmtId="0" fontId="6" fillId="0" borderId="45" xfId="0" applyFont="1" applyBorder="1" applyAlignment="1">
      <alignment horizontal="center" vertical="center" shrinkToFit="1"/>
    </xf>
    <xf numFmtId="0" fontId="6" fillId="0" borderId="46" xfId="0" applyFont="1" applyBorder="1" applyAlignment="1">
      <alignment horizontal="center" vertical="center" shrinkToFit="1"/>
    </xf>
    <xf numFmtId="0" fontId="6" fillId="0" borderId="19" xfId="0" applyFont="1" applyBorder="1" applyAlignment="1">
      <alignment horizontal="center" vertical="center" shrinkToFit="1"/>
    </xf>
    <xf numFmtId="0" fontId="6" fillId="0" borderId="20" xfId="0" applyFont="1" applyBorder="1" applyAlignment="1">
      <alignment horizontal="center" vertical="center" shrinkToFit="1"/>
    </xf>
    <xf numFmtId="0" fontId="6" fillId="0" borderId="18" xfId="0" applyFont="1" applyBorder="1" applyAlignment="1">
      <alignment horizontal="center" vertical="center" shrinkToFit="1"/>
    </xf>
    <xf numFmtId="0" fontId="6" fillId="0" borderId="7" xfId="0" applyFont="1" applyBorder="1" applyAlignment="1">
      <alignment horizontal="center" vertical="center"/>
    </xf>
    <xf numFmtId="0" fontId="6" fillId="0" borderId="8" xfId="0" applyFont="1" applyBorder="1" applyAlignment="1">
      <alignment horizontal="center" vertical="center"/>
    </xf>
    <xf numFmtId="0" fontId="6" fillId="0" borderId="9" xfId="0" applyFont="1" applyBorder="1" applyAlignment="1">
      <alignment horizontal="center" vertical="center"/>
    </xf>
    <xf numFmtId="0" fontId="17" fillId="0" borderId="48" xfId="0" applyFont="1" applyBorder="1" applyAlignment="1">
      <alignment vertical="center" wrapText="1"/>
    </xf>
    <xf numFmtId="0" fontId="17" fillId="0" borderId="49" xfId="0" applyFont="1" applyBorder="1" applyAlignment="1">
      <alignment vertical="center" wrapText="1"/>
    </xf>
    <xf numFmtId="0" fontId="6" fillId="0" borderId="39" xfId="0" applyFont="1" applyBorder="1" applyAlignment="1">
      <alignment horizontal="left" vertical="center" wrapText="1" shrinkToFit="1"/>
    </xf>
    <xf numFmtId="0" fontId="6" fillId="0" borderId="41" xfId="0" applyFont="1" applyBorder="1" applyAlignment="1">
      <alignment horizontal="left" vertical="center" wrapText="1" shrinkToFit="1"/>
    </xf>
    <xf numFmtId="0" fontId="6" fillId="0" borderId="6" xfId="0" applyFont="1" applyBorder="1" applyAlignment="1">
      <alignment horizontal="left" vertical="center" wrapText="1" shrinkToFit="1"/>
    </xf>
    <xf numFmtId="0" fontId="6" fillId="0" borderId="6" xfId="0" applyFont="1" applyBorder="1" applyAlignment="1">
      <alignment horizontal="left" vertical="center" shrinkToFit="1"/>
    </xf>
    <xf numFmtId="0" fontId="6" fillId="0" borderId="12" xfId="0" applyFont="1" applyBorder="1" applyAlignment="1">
      <alignment horizontal="left" vertical="center" shrinkToFit="1"/>
    </xf>
    <xf numFmtId="0" fontId="6" fillId="0" borderId="40" xfId="0" applyFont="1" applyBorder="1" applyAlignment="1">
      <alignment horizontal="center" vertical="center" shrinkToFit="1"/>
    </xf>
    <xf numFmtId="0" fontId="6" fillId="0" borderId="41" xfId="0" applyFont="1" applyBorder="1" applyAlignment="1">
      <alignment horizontal="center" vertical="center" shrinkToFit="1"/>
    </xf>
    <xf numFmtId="0" fontId="6" fillId="0" borderId="42" xfId="0" applyFont="1" applyBorder="1" applyAlignment="1">
      <alignment horizontal="center" vertical="center" shrinkToFit="1"/>
    </xf>
    <xf numFmtId="0" fontId="17" fillId="0" borderId="32" xfId="0" applyFont="1" applyBorder="1" applyAlignment="1">
      <alignment vertical="center" wrapText="1"/>
    </xf>
    <xf numFmtId="0" fontId="6" fillId="0" borderId="8" xfId="0" applyFont="1" applyBorder="1" applyAlignment="1">
      <alignment horizontal="left" vertical="center" wrapText="1" shrinkToFit="1"/>
    </xf>
    <xf numFmtId="0" fontId="6" fillId="0" borderId="8" xfId="0" applyFont="1" applyBorder="1" applyAlignment="1">
      <alignment horizontal="left" vertical="center" shrinkToFit="1"/>
    </xf>
    <xf numFmtId="0" fontId="6" fillId="0" borderId="9" xfId="0" applyFont="1" applyBorder="1" applyAlignment="1">
      <alignment horizontal="left" vertical="center" shrinkToFit="1"/>
    </xf>
    <xf numFmtId="0" fontId="6" fillId="0" borderId="22" xfId="0" applyFont="1" applyBorder="1" applyAlignment="1">
      <alignment horizontal="left" vertical="center" shrinkToFit="1"/>
    </xf>
    <xf numFmtId="0" fontId="6" fillId="0" borderId="21" xfId="0" applyFont="1" applyBorder="1" applyAlignment="1">
      <alignment horizontal="left" vertical="center" shrinkToFit="1"/>
    </xf>
    <xf numFmtId="0" fontId="6" fillId="0" borderId="7" xfId="0" applyFont="1" applyBorder="1" applyAlignment="1">
      <alignment vertical="center" shrinkToFit="1"/>
    </xf>
    <xf numFmtId="0" fontId="6" fillId="0" borderId="8" xfId="0" applyFont="1" applyBorder="1" applyAlignment="1">
      <alignment vertical="center" shrinkToFit="1"/>
    </xf>
    <xf numFmtId="0" fontId="6" fillId="0" borderId="9" xfId="0" applyFont="1" applyBorder="1" applyAlignment="1">
      <alignment vertical="center" shrinkToFit="1"/>
    </xf>
    <xf numFmtId="0" fontId="6" fillId="0" borderId="11" xfId="0" applyFont="1" applyBorder="1" applyAlignment="1">
      <alignment vertical="center" shrinkToFit="1"/>
    </xf>
    <xf numFmtId="0" fontId="6" fillId="0" borderId="6" xfId="0" applyFont="1" applyBorder="1" applyAlignment="1">
      <alignment vertical="center" shrinkToFit="1"/>
    </xf>
    <xf numFmtId="0" fontId="6" fillId="0" borderId="12" xfId="0" applyFont="1" applyBorder="1" applyAlignment="1">
      <alignment vertical="center" shrinkToFit="1"/>
    </xf>
    <xf numFmtId="0" fontId="6" fillId="0" borderId="4" xfId="0" applyFont="1" applyBorder="1" applyAlignment="1">
      <alignment vertical="center" shrinkToFit="1"/>
    </xf>
    <xf numFmtId="0" fontId="6" fillId="0" borderId="20" xfId="0" applyFont="1" applyBorder="1" applyAlignment="1">
      <alignment horizontal="left" vertical="center" wrapText="1" shrinkToFit="1"/>
    </xf>
    <xf numFmtId="0" fontId="6" fillId="0" borderId="39" xfId="0" applyFont="1" applyBorder="1" applyAlignment="1">
      <alignment vertical="center" wrapText="1" shrinkToFit="1"/>
    </xf>
    <xf numFmtId="0" fontId="6" fillId="0" borderId="6" xfId="0" applyFont="1" applyBorder="1" applyAlignment="1">
      <alignment vertical="center" wrapText="1" shrinkToFit="1"/>
    </xf>
    <xf numFmtId="0" fontId="6" fillId="0" borderId="19" xfId="0" applyFont="1" applyBorder="1" applyAlignment="1">
      <alignment vertical="center" wrapText="1"/>
    </xf>
    <xf numFmtId="0" fontId="6" fillId="0" borderId="20" xfId="0" applyFont="1" applyBorder="1" applyAlignment="1">
      <alignment vertical="center" wrapText="1"/>
    </xf>
    <xf numFmtId="0" fontId="6" fillId="0" borderId="18" xfId="0" applyFont="1" applyBorder="1" applyAlignment="1">
      <alignment vertical="center" wrapText="1"/>
    </xf>
    <xf numFmtId="0" fontId="6" fillId="0" borderId="39" xfId="0" applyFont="1" applyBorder="1" applyAlignment="1">
      <alignment vertical="center" wrapText="1"/>
    </xf>
    <xf numFmtId="0" fontId="6" fillId="0" borderId="38" xfId="0" applyFont="1" applyBorder="1" applyAlignment="1">
      <alignment vertical="center" wrapText="1"/>
    </xf>
    <xf numFmtId="0" fontId="6" fillId="0" borderId="6" xfId="0" applyFont="1" applyBorder="1" applyAlignment="1">
      <alignment vertical="center" wrapText="1"/>
    </xf>
    <xf numFmtId="0" fontId="6" fillId="0" borderId="12" xfId="0" applyFont="1" applyBorder="1" applyAlignment="1">
      <alignment vertical="center" wrapText="1"/>
    </xf>
    <xf numFmtId="0" fontId="6" fillId="0" borderId="8" xfId="0" applyFont="1" applyBorder="1" applyAlignment="1">
      <alignment horizontal="left" vertical="center" wrapText="1"/>
    </xf>
    <xf numFmtId="0" fontId="6" fillId="0" borderId="9" xfId="0" applyFont="1" applyBorder="1" applyAlignment="1">
      <alignment horizontal="left" vertical="center" wrapText="1"/>
    </xf>
    <xf numFmtId="0" fontId="6" fillId="0" borderId="20" xfId="0" applyFont="1" applyBorder="1" applyAlignment="1">
      <alignment horizontal="left" vertical="center" wrapText="1"/>
    </xf>
    <xf numFmtId="0" fontId="6" fillId="0" borderId="18" xfId="0" applyFont="1" applyBorder="1" applyAlignment="1">
      <alignment horizontal="left" vertical="center" wrapText="1"/>
    </xf>
    <xf numFmtId="0" fontId="6" fillId="0" borderId="7" xfId="0" applyFont="1" applyBorder="1" applyAlignment="1">
      <alignment horizontal="left" vertical="top" wrapText="1"/>
    </xf>
    <xf numFmtId="0" fontId="6" fillId="0" borderId="8" xfId="0" applyFont="1" applyBorder="1" applyAlignment="1">
      <alignment horizontal="left" vertical="top" wrapText="1"/>
    </xf>
    <xf numFmtId="0" fontId="6" fillId="0" borderId="9" xfId="0" applyFont="1" applyBorder="1" applyAlignment="1">
      <alignment horizontal="left" vertical="top" wrapText="1"/>
    </xf>
    <xf numFmtId="0" fontId="6" fillId="0" borderId="5" xfId="0" applyFont="1" applyBorder="1" applyAlignment="1">
      <alignment horizontal="left" vertical="top" wrapText="1"/>
    </xf>
    <xf numFmtId="0" fontId="6" fillId="0" borderId="0" xfId="0" applyFont="1" applyBorder="1" applyAlignment="1">
      <alignment horizontal="left" vertical="top" wrapText="1"/>
    </xf>
    <xf numFmtId="0" fontId="6" fillId="0" borderId="10" xfId="0" applyFont="1" applyBorder="1" applyAlignment="1">
      <alignment horizontal="left" vertical="top" wrapText="1"/>
    </xf>
    <xf numFmtId="0" fontId="6" fillId="0" borderId="0" xfId="0" applyFont="1" applyAlignment="1">
      <alignment horizontal="left" vertical="top" wrapText="1"/>
    </xf>
    <xf numFmtId="0" fontId="6" fillId="0" borderId="11" xfId="0" applyFont="1" applyBorder="1" applyAlignment="1">
      <alignment horizontal="left" vertical="top" wrapText="1"/>
    </xf>
    <xf numFmtId="0" fontId="6" fillId="0" borderId="6" xfId="0" applyFont="1" applyBorder="1" applyAlignment="1">
      <alignment horizontal="left" vertical="top" wrapText="1"/>
    </xf>
    <xf numFmtId="0" fontId="6" fillId="0" borderId="12" xfId="0" applyFont="1" applyBorder="1" applyAlignment="1">
      <alignment horizontal="left" vertical="top" wrapText="1"/>
    </xf>
    <xf numFmtId="0" fontId="6" fillId="0" borderId="22" xfId="0" applyFont="1" applyBorder="1" applyAlignment="1">
      <alignment horizontal="left" vertical="center" wrapText="1"/>
    </xf>
    <xf numFmtId="0" fontId="6" fillId="0" borderId="21" xfId="0" applyFont="1" applyBorder="1" applyAlignment="1">
      <alignment horizontal="left" vertical="center" wrapText="1"/>
    </xf>
    <xf numFmtId="0" fontId="6" fillId="0" borderId="39" xfId="0" applyFont="1" applyBorder="1" applyAlignment="1">
      <alignment horizontal="left" vertical="center" wrapText="1"/>
    </xf>
    <xf numFmtId="0" fontId="6" fillId="0" borderId="38" xfId="0" applyFont="1" applyBorder="1" applyAlignment="1">
      <alignment horizontal="left" vertical="center" wrapText="1"/>
    </xf>
    <xf numFmtId="0" fontId="6" fillId="0" borderId="6" xfId="0" applyFont="1" applyBorder="1" applyAlignment="1">
      <alignment horizontal="left" vertical="center" wrapText="1"/>
    </xf>
    <xf numFmtId="0" fontId="6" fillId="0" borderId="12" xfId="0" applyFont="1" applyBorder="1" applyAlignment="1">
      <alignment horizontal="left" vertical="center" wrapText="1"/>
    </xf>
    <xf numFmtId="0" fontId="14" fillId="0" borderId="2" xfId="2" applyFont="1" applyBorder="1" applyAlignment="1">
      <alignment vertical="center" shrinkToFit="1"/>
    </xf>
    <xf numFmtId="0" fontId="2" fillId="0" borderId="0" xfId="0" applyFont="1" applyAlignment="1">
      <alignment horizontal="right" vertical="center"/>
    </xf>
    <xf numFmtId="0" fontId="11" fillId="0" borderId="0" xfId="0" applyFont="1" applyAlignment="1">
      <alignment horizontal="center" vertical="center"/>
    </xf>
    <xf numFmtId="0" fontId="3" fillId="0" borderId="2" xfId="0" applyNumberFormat="1" applyFont="1" applyBorder="1" applyAlignment="1">
      <alignment horizontal="center" vertical="center" shrinkToFit="1"/>
    </xf>
    <xf numFmtId="0" fontId="3" fillId="0" borderId="4" xfId="0" applyNumberFormat="1" applyFont="1" applyBorder="1" applyAlignment="1">
      <alignment horizontal="center" vertical="center" shrinkToFit="1"/>
    </xf>
    <xf numFmtId="0" fontId="3" fillId="0" borderId="15" xfId="0" applyFont="1" applyBorder="1" applyAlignment="1">
      <alignment horizontal="center" vertical="center"/>
    </xf>
    <xf numFmtId="0" fontId="3" fillId="0" borderId="13" xfId="0" applyFont="1" applyBorder="1" applyAlignment="1">
      <alignment horizontal="center" vertical="center"/>
    </xf>
    <xf numFmtId="0" fontId="12" fillId="0" borderId="8" xfId="0" applyFont="1" applyBorder="1" applyAlignment="1">
      <alignment horizontal="center" vertical="center" wrapText="1"/>
    </xf>
    <xf numFmtId="0" fontId="12" fillId="0" borderId="6" xfId="0" applyFont="1" applyBorder="1" applyAlignment="1">
      <alignment horizontal="center" vertical="center"/>
    </xf>
    <xf numFmtId="0" fontId="12" fillId="0" borderId="7" xfId="0" applyFont="1" applyBorder="1" applyAlignment="1">
      <alignment horizontal="center" vertical="center" wrapText="1"/>
    </xf>
    <xf numFmtId="0" fontId="12" fillId="0" borderId="11" xfId="0" applyFont="1" applyBorder="1" applyAlignment="1">
      <alignment horizontal="center" vertical="center"/>
    </xf>
    <xf numFmtId="0" fontId="3" fillId="0" borderId="14" xfId="0" applyFont="1" applyBorder="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3" fillId="0" borderId="15" xfId="0" applyFont="1" applyBorder="1" applyAlignment="1">
      <alignment horizontal="center" vertical="center" wrapText="1"/>
    </xf>
    <xf numFmtId="0" fontId="13" fillId="0" borderId="13" xfId="0" applyFont="1" applyBorder="1" applyAlignment="1">
      <alignment horizontal="center" vertical="center"/>
    </xf>
    <xf numFmtId="0" fontId="12" fillId="0" borderId="9" xfId="0" applyFont="1" applyBorder="1" applyAlignment="1">
      <alignment horizontal="center" vertical="center"/>
    </xf>
    <xf numFmtId="0" fontId="12" fillId="0" borderId="12" xfId="0" applyFont="1" applyBorder="1" applyAlignment="1">
      <alignment horizontal="center" vertical="center"/>
    </xf>
    <xf numFmtId="0" fontId="6" fillId="0" borderId="16" xfId="0" applyFont="1" applyBorder="1" applyAlignment="1">
      <alignment vertical="top" wrapText="1"/>
    </xf>
    <xf numFmtId="0" fontId="6" fillId="0" borderId="22" xfId="0" applyFont="1" applyBorder="1" applyAlignment="1">
      <alignment vertical="top" wrapText="1"/>
    </xf>
    <xf numFmtId="0" fontId="6" fillId="0" borderId="21" xfId="0" applyFont="1" applyBorder="1" applyAlignment="1">
      <alignment vertical="top" wrapText="1"/>
    </xf>
    <xf numFmtId="0" fontId="6" fillId="0" borderId="5" xfId="0" applyFont="1" applyBorder="1" applyAlignment="1">
      <alignment vertical="top" wrapText="1"/>
    </xf>
    <xf numFmtId="0" fontId="6" fillId="0" borderId="0" xfId="0" applyFont="1" applyAlignment="1">
      <alignment vertical="top" wrapText="1"/>
    </xf>
    <xf numFmtId="0" fontId="6" fillId="0" borderId="10" xfId="0" applyFont="1" applyBorder="1" applyAlignment="1">
      <alignment vertical="top" wrapText="1"/>
    </xf>
    <xf numFmtId="0" fontId="6" fillId="0" borderId="11" xfId="0" applyFont="1" applyBorder="1" applyAlignment="1">
      <alignment vertical="top" wrapText="1"/>
    </xf>
    <xf numFmtId="0" fontId="6" fillId="0" borderId="6" xfId="0" applyFont="1" applyBorder="1" applyAlignment="1">
      <alignment vertical="top" wrapText="1"/>
    </xf>
    <xf numFmtId="0" fontId="6" fillId="0" borderId="12" xfId="0" applyFont="1" applyBorder="1" applyAlignment="1">
      <alignment vertical="top" wrapText="1"/>
    </xf>
    <xf numFmtId="0" fontId="6" fillId="0" borderId="7" xfId="0" applyFont="1" applyBorder="1" applyAlignment="1">
      <alignment vertical="top" wrapText="1" shrinkToFit="1"/>
    </xf>
    <xf numFmtId="0" fontId="6" fillId="0" borderId="8" xfId="0" applyFont="1" applyBorder="1" applyAlignment="1">
      <alignment vertical="top" wrapText="1" shrinkToFit="1"/>
    </xf>
    <xf numFmtId="0" fontId="6" fillId="0" borderId="8" xfId="0" applyFont="1" applyBorder="1" applyAlignment="1">
      <alignment vertical="top" shrinkToFit="1"/>
    </xf>
    <xf numFmtId="0" fontId="6" fillId="0" borderId="9" xfId="0" applyFont="1" applyBorder="1" applyAlignment="1">
      <alignment vertical="top" shrinkToFit="1"/>
    </xf>
    <xf numFmtId="0" fontId="6" fillId="0" borderId="5" xfId="0" applyFont="1" applyBorder="1" applyAlignment="1">
      <alignment vertical="top" shrinkToFit="1"/>
    </xf>
    <xf numFmtId="0" fontId="6" fillId="0" borderId="0" xfId="0" applyFont="1" applyAlignment="1">
      <alignment vertical="top" shrinkToFit="1"/>
    </xf>
    <xf numFmtId="0" fontId="6" fillId="0" borderId="10" xfId="0" applyFont="1" applyBorder="1" applyAlignment="1">
      <alignment vertical="top" shrinkToFit="1"/>
    </xf>
    <xf numFmtId="0" fontId="6" fillId="0" borderId="11" xfId="0" applyFont="1" applyBorder="1" applyAlignment="1">
      <alignment vertical="top" shrinkToFit="1"/>
    </xf>
    <xf numFmtId="0" fontId="6" fillId="0" borderId="6" xfId="0" applyFont="1" applyBorder="1" applyAlignment="1">
      <alignment vertical="top" shrinkToFit="1"/>
    </xf>
    <xf numFmtId="0" fontId="6" fillId="0" borderId="12" xfId="0" applyFont="1" applyBorder="1" applyAlignment="1">
      <alignment vertical="top" shrinkToFit="1"/>
    </xf>
    <xf numFmtId="0" fontId="6" fillId="0" borderId="9" xfId="0" applyFont="1" applyBorder="1" applyAlignment="1">
      <alignment vertical="top" wrapText="1" shrinkToFit="1"/>
    </xf>
    <xf numFmtId="0" fontId="6" fillId="0" borderId="5" xfId="0" applyFont="1" applyBorder="1" applyAlignment="1">
      <alignment vertical="top" wrapText="1" shrinkToFit="1"/>
    </xf>
    <xf numFmtId="0" fontId="6" fillId="0" borderId="0" xfId="0" applyFont="1" applyAlignment="1">
      <alignment vertical="top" wrapText="1" shrinkToFit="1"/>
    </xf>
    <xf numFmtId="0" fontId="6" fillId="0" borderId="10" xfId="0" applyFont="1" applyBorder="1" applyAlignment="1">
      <alignment vertical="top" wrapText="1" shrinkToFit="1"/>
    </xf>
    <xf numFmtId="0" fontId="6" fillId="0" borderId="11" xfId="0" applyFont="1" applyBorder="1" applyAlignment="1">
      <alignment vertical="top" wrapText="1" shrinkToFit="1"/>
    </xf>
    <xf numFmtId="0" fontId="6" fillId="0" borderId="6" xfId="0" applyFont="1" applyBorder="1" applyAlignment="1">
      <alignment vertical="top" wrapText="1" shrinkToFit="1"/>
    </xf>
    <xf numFmtId="0" fontId="6" fillId="0" borderId="12" xfId="0" applyFont="1" applyBorder="1" applyAlignment="1">
      <alignment vertical="top" wrapText="1" shrinkToFit="1"/>
    </xf>
    <xf numFmtId="0" fontId="6" fillId="0" borderId="6" xfId="0" applyFont="1" applyBorder="1">
      <alignment vertical="center"/>
    </xf>
    <xf numFmtId="0" fontId="6" fillId="0" borderId="17" xfId="0" applyFont="1" applyBorder="1">
      <alignment vertical="center"/>
    </xf>
    <xf numFmtId="0" fontId="17" fillId="0" borderId="18" xfId="0" applyFont="1" applyBorder="1">
      <alignment vertical="center"/>
    </xf>
    <xf numFmtId="0" fontId="6" fillId="0" borderId="19" xfId="0" applyFont="1" applyBorder="1" applyAlignment="1">
      <alignment vertical="top" wrapText="1" shrinkToFit="1"/>
    </xf>
    <xf numFmtId="0" fontId="6" fillId="0" borderId="20" xfId="0" applyFont="1" applyBorder="1" applyAlignment="1">
      <alignment vertical="top" wrapText="1" shrinkToFit="1"/>
    </xf>
    <xf numFmtId="0" fontId="6" fillId="0" borderId="18" xfId="0" applyFont="1" applyBorder="1" applyAlignment="1">
      <alignment vertical="top" wrapText="1" shrinkToFit="1"/>
    </xf>
    <xf numFmtId="0" fontId="6" fillId="0" borderId="17" xfId="0" applyFont="1" applyBorder="1" applyAlignment="1">
      <alignment vertical="center" wrapText="1"/>
    </xf>
    <xf numFmtId="0" fontId="6" fillId="0" borderId="11" xfId="0" applyFont="1" applyBorder="1" applyAlignment="1">
      <alignment vertical="center" wrapText="1"/>
    </xf>
    <xf numFmtId="0" fontId="14" fillId="0" borderId="2" xfId="2" applyFont="1" applyBorder="1" applyAlignment="1">
      <alignment horizontal="center" vertical="center" shrinkToFit="1"/>
    </xf>
    <xf numFmtId="0" fontId="14" fillId="0" borderId="3" xfId="2" applyFont="1" applyBorder="1" applyAlignment="1">
      <alignment horizontal="center" vertical="center" shrinkToFit="1"/>
    </xf>
    <xf numFmtId="0" fontId="14" fillId="0" borderId="4" xfId="2" applyFont="1" applyBorder="1" applyAlignment="1">
      <alignment horizontal="center" vertical="center" shrinkToFit="1"/>
    </xf>
    <xf numFmtId="0" fontId="3" fillId="0" borderId="0" xfId="0" applyFont="1" applyAlignment="1">
      <alignment horizontal="center" vertical="center"/>
    </xf>
    <xf numFmtId="0" fontId="3" fillId="0" borderId="7" xfId="0" applyFont="1" applyBorder="1" applyAlignment="1">
      <alignment vertical="top" shrinkToFit="1"/>
    </xf>
    <xf numFmtId="0" fontId="3" fillId="0" borderId="8" xfId="0" applyFont="1" applyBorder="1" applyAlignment="1">
      <alignment vertical="top" shrinkToFit="1"/>
    </xf>
    <xf numFmtId="0" fontId="3" fillId="0" borderId="9" xfId="0" applyFont="1" applyBorder="1" applyAlignment="1">
      <alignment vertical="top" shrinkToFit="1"/>
    </xf>
    <xf numFmtId="0" fontId="3" fillId="0" borderId="5" xfId="0" applyFont="1" applyBorder="1" applyAlignment="1">
      <alignment vertical="top" shrinkToFit="1"/>
    </xf>
    <xf numFmtId="0" fontId="3" fillId="0" borderId="0" xfId="0" applyFont="1" applyAlignment="1">
      <alignment vertical="top" shrinkToFit="1"/>
    </xf>
    <xf numFmtId="0" fontId="3" fillId="0" borderId="10" xfId="0" applyFont="1" applyBorder="1" applyAlignment="1">
      <alignment vertical="top" shrinkToFit="1"/>
    </xf>
    <xf numFmtId="0" fontId="3" fillId="0" borderId="11" xfId="0" applyFont="1" applyBorder="1" applyAlignment="1">
      <alignment vertical="top" shrinkToFit="1"/>
    </xf>
    <xf numFmtId="0" fontId="3" fillId="0" borderId="6" xfId="0" applyFont="1" applyBorder="1" applyAlignment="1">
      <alignment vertical="top" shrinkToFit="1"/>
    </xf>
    <xf numFmtId="0" fontId="3" fillId="0" borderId="12" xfId="0" applyFont="1" applyBorder="1" applyAlignment="1">
      <alignment vertical="top" shrinkToFit="1"/>
    </xf>
  </cellXfs>
  <cellStyles count="3">
    <cellStyle name="ハイパーリンク" xfId="2" builtinId="8"/>
    <cellStyle name="桁区切り" xfId="1" builtinId="6"/>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usernames" Target="revisions/userNam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revisionHeaders" Target="revisions/revisionHeader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revisions/_rels/revisionHeaders.xml.rels><?xml version="1.0" encoding="UTF-8" standalone="yes"?>
<Relationships xmlns="http://schemas.openxmlformats.org/package/2006/relationships"><Relationship Id="rId13" Type="http://schemas.openxmlformats.org/officeDocument/2006/relationships/revisionLog" Target="revisionLog13.xml"/><Relationship Id="rId18" Type="http://schemas.openxmlformats.org/officeDocument/2006/relationships/revisionLog" Target="revisionLog18.xml"/><Relationship Id="rId26" Type="http://schemas.openxmlformats.org/officeDocument/2006/relationships/revisionLog" Target="revisionLog26.xml"/><Relationship Id="rId39" Type="http://schemas.openxmlformats.org/officeDocument/2006/relationships/revisionLog" Target="revisionLog39.xml"/><Relationship Id="rId21" Type="http://schemas.openxmlformats.org/officeDocument/2006/relationships/revisionLog" Target="revisionLog21.xml"/><Relationship Id="rId34" Type="http://schemas.openxmlformats.org/officeDocument/2006/relationships/revisionLog" Target="revisionLog34.xml"/><Relationship Id="rId42" Type="http://schemas.openxmlformats.org/officeDocument/2006/relationships/revisionLog" Target="revisionLog42.xml"/><Relationship Id="rId47" Type="http://schemas.openxmlformats.org/officeDocument/2006/relationships/revisionLog" Target="revisionLog47.xml"/><Relationship Id="rId50" Type="http://schemas.openxmlformats.org/officeDocument/2006/relationships/revisionLog" Target="revisionLog50.xml"/><Relationship Id="rId55" Type="http://schemas.openxmlformats.org/officeDocument/2006/relationships/revisionLog" Target="revisionLog55.xml"/><Relationship Id="rId7" Type="http://schemas.openxmlformats.org/officeDocument/2006/relationships/revisionLog" Target="revisionLog7.xml"/><Relationship Id="rId2" Type="http://schemas.openxmlformats.org/officeDocument/2006/relationships/revisionLog" Target="revisionLog2.xml"/><Relationship Id="rId16" Type="http://schemas.openxmlformats.org/officeDocument/2006/relationships/revisionLog" Target="revisionLog16.xml"/><Relationship Id="rId29" Type="http://schemas.openxmlformats.org/officeDocument/2006/relationships/revisionLog" Target="revisionLog29.xml"/><Relationship Id="rId11" Type="http://schemas.openxmlformats.org/officeDocument/2006/relationships/revisionLog" Target="revisionLog11.xml"/><Relationship Id="rId24" Type="http://schemas.openxmlformats.org/officeDocument/2006/relationships/revisionLog" Target="revisionLog24.xml"/><Relationship Id="rId32" Type="http://schemas.openxmlformats.org/officeDocument/2006/relationships/revisionLog" Target="revisionLog32.xml"/><Relationship Id="rId37" Type="http://schemas.openxmlformats.org/officeDocument/2006/relationships/revisionLog" Target="revisionLog37.xml"/><Relationship Id="rId40" Type="http://schemas.openxmlformats.org/officeDocument/2006/relationships/revisionLog" Target="revisionLog40.xml"/><Relationship Id="rId45" Type="http://schemas.openxmlformats.org/officeDocument/2006/relationships/revisionLog" Target="revisionLog45.xml"/><Relationship Id="rId53" Type="http://schemas.openxmlformats.org/officeDocument/2006/relationships/revisionLog" Target="revisionLog53.xml"/><Relationship Id="rId5" Type="http://schemas.openxmlformats.org/officeDocument/2006/relationships/revisionLog" Target="revisionLog5.xml"/><Relationship Id="rId19" Type="http://schemas.openxmlformats.org/officeDocument/2006/relationships/revisionLog" Target="revisionLog19.xml"/><Relationship Id="rId4" Type="http://schemas.openxmlformats.org/officeDocument/2006/relationships/revisionLog" Target="revisionLog4.xml"/><Relationship Id="rId9" Type="http://schemas.openxmlformats.org/officeDocument/2006/relationships/revisionLog" Target="revisionLog9.xml"/><Relationship Id="rId14" Type="http://schemas.openxmlformats.org/officeDocument/2006/relationships/revisionLog" Target="revisionLog14.xml"/><Relationship Id="rId22" Type="http://schemas.openxmlformats.org/officeDocument/2006/relationships/revisionLog" Target="revisionLog22.xml"/><Relationship Id="rId27" Type="http://schemas.openxmlformats.org/officeDocument/2006/relationships/revisionLog" Target="revisionLog27.xml"/><Relationship Id="rId30" Type="http://schemas.openxmlformats.org/officeDocument/2006/relationships/revisionLog" Target="revisionLog30.xml"/><Relationship Id="rId35" Type="http://schemas.openxmlformats.org/officeDocument/2006/relationships/revisionLog" Target="revisionLog35.xml"/><Relationship Id="rId43" Type="http://schemas.openxmlformats.org/officeDocument/2006/relationships/revisionLog" Target="revisionLog43.xml"/><Relationship Id="rId48" Type="http://schemas.openxmlformats.org/officeDocument/2006/relationships/revisionLog" Target="revisionLog48.xml"/><Relationship Id="rId56" Type="http://schemas.openxmlformats.org/officeDocument/2006/relationships/revisionLog" Target="revisionLog56.xml"/><Relationship Id="rId8" Type="http://schemas.openxmlformats.org/officeDocument/2006/relationships/revisionLog" Target="revisionLog8.xml"/><Relationship Id="rId51" Type="http://schemas.openxmlformats.org/officeDocument/2006/relationships/revisionLog" Target="revisionLog51.xml"/><Relationship Id="rId3" Type="http://schemas.openxmlformats.org/officeDocument/2006/relationships/revisionLog" Target="revisionLog3.xml"/><Relationship Id="rId12" Type="http://schemas.openxmlformats.org/officeDocument/2006/relationships/revisionLog" Target="revisionLog12.xml"/><Relationship Id="rId17" Type="http://schemas.openxmlformats.org/officeDocument/2006/relationships/revisionLog" Target="revisionLog17.xml"/><Relationship Id="rId25" Type="http://schemas.openxmlformats.org/officeDocument/2006/relationships/revisionLog" Target="revisionLog25.xml"/><Relationship Id="rId33" Type="http://schemas.openxmlformats.org/officeDocument/2006/relationships/revisionLog" Target="revisionLog33.xml"/><Relationship Id="rId38" Type="http://schemas.openxmlformats.org/officeDocument/2006/relationships/revisionLog" Target="revisionLog38.xml"/><Relationship Id="rId46" Type="http://schemas.openxmlformats.org/officeDocument/2006/relationships/revisionLog" Target="revisionLog46.xml"/><Relationship Id="rId20" Type="http://schemas.openxmlformats.org/officeDocument/2006/relationships/revisionLog" Target="revisionLog20.xml"/><Relationship Id="rId41" Type="http://schemas.openxmlformats.org/officeDocument/2006/relationships/revisionLog" Target="revisionLog41.xml"/><Relationship Id="rId54" Type="http://schemas.openxmlformats.org/officeDocument/2006/relationships/revisionLog" Target="revisionLog54.xml"/><Relationship Id="rId1" Type="http://schemas.openxmlformats.org/officeDocument/2006/relationships/revisionLog" Target="revisionLog1.xml"/><Relationship Id="rId6" Type="http://schemas.openxmlformats.org/officeDocument/2006/relationships/revisionLog" Target="revisionLog6.xml"/><Relationship Id="rId15" Type="http://schemas.openxmlformats.org/officeDocument/2006/relationships/revisionLog" Target="revisionLog15.xml"/><Relationship Id="rId23" Type="http://schemas.openxmlformats.org/officeDocument/2006/relationships/revisionLog" Target="revisionLog23.xml"/><Relationship Id="rId28" Type="http://schemas.openxmlformats.org/officeDocument/2006/relationships/revisionLog" Target="revisionLog28.xml"/><Relationship Id="rId36" Type="http://schemas.openxmlformats.org/officeDocument/2006/relationships/revisionLog" Target="revisionLog36.xml"/><Relationship Id="rId49" Type="http://schemas.openxmlformats.org/officeDocument/2006/relationships/revisionLog" Target="revisionLog49.xml"/><Relationship Id="rId57" Type="http://schemas.openxmlformats.org/officeDocument/2006/relationships/revisionLog" Target="revisionLog57.xml"/><Relationship Id="rId10" Type="http://schemas.openxmlformats.org/officeDocument/2006/relationships/revisionLog" Target="revisionLog10.xml"/><Relationship Id="rId31" Type="http://schemas.openxmlformats.org/officeDocument/2006/relationships/revisionLog" Target="revisionLog31.xml"/><Relationship Id="rId44" Type="http://schemas.openxmlformats.org/officeDocument/2006/relationships/revisionLog" Target="revisionLog44.xml"/><Relationship Id="rId52" Type="http://schemas.openxmlformats.org/officeDocument/2006/relationships/revisionLog" Target="revisionLog52.xml"/></Relationships>
</file>

<file path=xl/revisions/revisionHeaders.xml><?xml version="1.0" encoding="utf-8"?>
<headers xmlns="http://schemas.openxmlformats.org/spreadsheetml/2006/main" xmlns:r="http://schemas.openxmlformats.org/officeDocument/2006/relationships" xmlns:mc="http://schemas.openxmlformats.org/markup-compatibility/2006" xmlns:x14ac="http://schemas.microsoft.com/office/spreadsheetml/2009/9/ac" mc:Ignorable="x14ac" guid="{75B41A8F-7C79-46B6-A1DC-811D64430B11}" diskRevisions="1" revisionId="296" version="57">
  <header guid="{98EE9A88-E60C-4619-A9A7-D1BC8D591FAB}" dateTime="2022-05-02T09:34:50" maxSheetId="8" userName="JADB020172K" r:id="rId1">
    <sheetIdMap count="7">
      <sheetId val="1"/>
      <sheetId val="2"/>
      <sheetId val="3"/>
      <sheetId val="4"/>
      <sheetId val="5"/>
      <sheetId val="6"/>
      <sheetId val="7"/>
    </sheetIdMap>
  </header>
  <header guid="{C7737CC1-64A2-4CE8-A1FD-76198A1EC865}" dateTime="2022-05-02T09:35:12" maxSheetId="8" userName="JADB020172K" r:id="rId2" minRId="1">
    <sheetIdMap count="7">
      <sheetId val="1"/>
      <sheetId val="2"/>
      <sheetId val="3"/>
      <sheetId val="4"/>
      <sheetId val="5"/>
      <sheetId val="6"/>
      <sheetId val="7"/>
    </sheetIdMap>
  </header>
  <header guid="{794B1C2B-43B7-48A3-88D4-5B528480A504}" dateTime="2022-05-02T09:36:27" maxSheetId="8" userName="JADB020172K" r:id="rId3" minRId="2">
    <sheetIdMap count="7">
      <sheetId val="1"/>
      <sheetId val="2"/>
      <sheetId val="3"/>
      <sheetId val="4"/>
      <sheetId val="5"/>
      <sheetId val="6"/>
      <sheetId val="7"/>
    </sheetIdMap>
    <reviewedList count="1">
      <reviewed rId="2"/>
    </reviewedList>
  </header>
  <header guid="{4D1929A4-8A01-4815-B644-5524E7C901EC}" dateTime="2022-05-02T11:14:30" maxSheetId="8" userName="JADB020172K" r:id="rId4" minRId="3" maxRId="4">
    <sheetIdMap count="7">
      <sheetId val="1"/>
      <sheetId val="2"/>
      <sheetId val="3"/>
      <sheetId val="4"/>
      <sheetId val="5"/>
      <sheetId val="6"/>
      <sheetId val="7"/>
    </sheetIdMap>
  </header>
  <header guid="{316E214B-C666-4C56-9642-8856E11D36F0}" dateTime="2022-05-02T11:16:25" maxSheetId="8" userName="JADB020172K" r:id="rId5" minRId="12">
    <sheetIdMap count="7">
      <sheetId val="1"/>
      <sheetId val="2"/>
      <sheetId val="3"/>
      <sheetId val="4"/>
      <sheetId val="5"/>
      <sheetId val="6"/>
      <sheetId val="7"/>
    </sheetIdMap>
  </header>
  <header guid="{19E6BC05-5348-4B2E-9C0F-FFB87243B7AC}" dateTime="2022-05-02T12:42:59" maxSheetId="8" userName="JADB020172K" r:id="rId6" minRId="20" maxRId="29">
    <sheetIdMap count="7">
      <sheetId val="1"/>
      <sheetId val="2"/>
      <sheetId val="3"/>
      <sheetId val="4"/>
      <sheetId val="5"/>
      <sheetId val="6"/>
      <sheetId val="7"/>
    </sheetIdMap>
    <reviewedList count="2">
      <reviewed rId="20"/>
      <reviewed rId="21"/>
    </reviewedList>
  </header>
  <header guid="{CF54D9ED-28AD-431F-ADAB-C898957587C0}" dateTime="2022-05-02T12:59:18" maxSheetId="8" userName="JADB020172K" r:id="rId7" minRId="37" maxRId="38">
    <sheetIdMap count="7">
      <sheetId val="1"/>
      <sheetId val="2"/>
      <sheetId val="3"/>
      <sheetId val="4"/>
      <sheetId val="5"/>
      <sheetId val="6"/>
      <sheetId val="7"/>
    </sheetIdMap>
  </header>
  <header guid="{EEA5A974-A59A-4295-8C31-070FD5615846}" dateTime="2022-05-02T13:37:27" maxSheetId="8" userName="JADB020172K" r:id="rId8">
    <sheetIdMap count="7">
      <sheetId val="1"/>
      <sheetId val="2"/>
      <sheetId val="3"/>
      <sheetId val="4"/>
      <sheetId val="5"/>
      <sheetId val="6"/>
      <sheetId val="7"/>
    </sheetIdMap>
  </header>
  <header guid="{70AADA11-EFF9-4231-9299-FBDF56D8E90B}" dateTime="2022-05-02T14:09:19" maxSheetId="8" userName="JADB020172K" r:id="rId9" minRId="46" maxRId="48">
    <sheetIdMap count="7">
      <sheetId val="1"/>
      <sheetId val="2"/>
      <sheetId val="3"/>
      <sheetId val="4"/>
      <sheetId val="5"/>
      <sheetId val="6"/>
      <sheetId val="7"/>
    </sheetIdMap>
  </header>
  <header guid="{B81CD99D-7914-4C9E-981A-A75FFDDF6DA8}" dateTime="2022-05-02T14:32:22" maxSheetId="8" userName="JADB020172K" r:id="rId10" minRId="56">
    <sheetIdMap count="7">
      <sheetId val="1"/>
      <sheetId val="2"/>
      <sheetId val="3"/>
      <sheetId val="4"/>
      <sheetId val="5"/>
      <sheetId val="6"/>
      <sheetId val="7"/>
    </sheetIdMap>
  </header>
  <header guid="{D18F94DE-B6EB-40EC-ADE1-8CDA8D6CFCE1}" dateTime="2022-05-02T14:42:11" maxSheetId="8" userName="JADB020172K" r:id="rId11" minRId="64">
    <sheetIdMap count="7">
      <sheetId val="1"/>
      <sheetId val="2"/>
      <sheetId val="3"/>
      <sheetId val="4"/>
      <sheetId val="5"/>
      <sheetId val="6"/>
      <sheetId val="7"/>
    </sheetIdMap>
  </header>
  <header guid="{9FC15410-0477-41E8-8EF6-6AC881E9AE99}" dateTime="2022-05-02T17:10:49" maxSheetId="8" userName="Rieko Hayashi" r:id="rId12" minRId="72">
    <sheetIdMap count="7">
      <sheetId val="1"/>
      <sheetId val="2"/>
      <sheetId val="3"/>
      <sheetId val="4"/>
      <sheetId val="5"/>
      <sheetId val="6"/>
      <sheetId val="7"/>
    </sheetIdMap>
  </header>
  <header guid="{81717730-5E40-47A1-88A3-3FF994F12379}" dateTime="2022-05-02T17:16:07" maxSheetId="8" userName="Rieko Hayashi" r:id="rId13" minRId="80" maxRId="82">
    <sheetIdMap count="7">
      <sheetId val="1"/>
      <sheetId val="2"/>
      <sheetId val="3"/>
      <sheetId val="4"/>
      <sheetId val="5"/>
      <sheetId val="6"/>
      <sheetId val="7"/>
    </sheetIdMap>
  </header>
  <header guid="{DB407C7A-A6A9-45D2-8838-48730AFD0E95}" dateTime="2022-05-02T17:16:45" maxSheetId="8" userName="Rieko Hayashi" r:id="rId14" minRId="83">
    <sheetIdMap count="7">
      <sheetId val="1"/>
      <sheetId val="2"/>
      <sheetId val="3"/>
      <sheetId val="4"/>
      <sheetId val="5"/>
      <sheetId val="6"/>
      <sheetId val="7"/>
    </sheetIdMap>
  </header>
  <header guid="{BFA1B8D3-726C-4858-8411-601A2C5CA4E3}" dateTime="2022-05-02T17:19:55" maxSheetId="8" userName="Rieko Hayashi" r:id="rId15" minRId="84" maxRId="102">
    <sheetIdMap count="7">
      <sheetId val="1"/>
      <sheetId val="2"/>
      <sheetId val="3"/>
      <sheetId val="4"/>
      <sheetId val="5"/>
      <sheetId val="6"/>
      <sheetId val="7"/>
    </sheetIdMap>
  </header>
  <header guid="{6CCE2BBD-A3F8-4912-9CB1-DE49094D6F34}" dateTime="2022-05-02T17:21:35" maxSheetId="8" userName="Rieko Hayashi" r:id="rId16" minRId="103" maxRId="111">
    <sheetIdMap count="7">
      <sheetId val="1"/>
      <sheetId val="2"/>
      <sheetId val="3"/>
      <sheetId val="4"/>
      <sheetId val="5"/>
      <sheetId val="6"/>
      <sheetId val="7"/>
    </sheetIdMap>
  </header>
  <header guid="{054C8D75-CE6A-4186-9E88-5C10BECFBD05}" dateTime="2022-05-02T17:22:02" maxSheetId="8" userName="Rieko Hayashi" r:id="rId17">
    <sheetIdMap count="7">
      <sheetId val="1"/>
      <sheetId val="2"/>
      <sheetId val="3"/>
      <sheetId val="4"/>
      <sheetId val="5"/>
      <sheetId val="6"/>
      <sheetId val="7"/>
    </sheetIdMap>
  </header>
  <header guid="{9B3E93BF-5897-44C4-BB6F-5E5E40829C81}" dateTime="2022-05-02T17:23:53" maxSheetId="8" userName="Rieko Hayashi" r:id="rId18" minRId="112">
    <sheetIdMap count="7">
      <sheetId val="1"/>
      <sheetId val="2"/>
      <sheetId val="3"/>
      <sheetId val="4"/>
      <sheetId val="5"/>
      <sheetId val="6"/>
      <sheetId val="7"/>
    </sheetIdMap>
  </header>
  <header guid="{96A82940-E748-40E4-9830-AC44AB6204A4}" dateTime="2022-05-02T17:24:35" maxSheetId="8" userName="Rieko Hayashi" r:id="rId19" minRId="113" maxRId="115">
    <sheetIdMap count="7">
      <sheetId val="1"/>
      <sheetId val="2"/>
      <sheetId val="3"/>
      <sheetId val="4"/>
      <sheetId val="5"/>
      <sheetId val="6"/>
      <sheetId val="7"/>
    </sheetIdMap>
  </header>
  <header guid="{F36E30AD-A597-418D-8F11-5FD98AA2F3AC}" dateTime="2022-05-02T17:26:20" maxSheetId="8" userName="Rieko Hayashi" r:id="rId20" minRId="116">
    <sheetIdMap count="7">
      <sheetId val="1"/>
      <sheetId val="2"/>
      <sheetId val="3"/>
      <sheetId val="4"/>
      <sheetId val="5"/>
      <sheetId val="6"/>
      <sheetId val="7"/>
    </sheetIdMap>
  </header>
  <header guid="{5C85A5ED-A632-4539-9DF8-E0F714377B94}" dateTime="2022-05-02T17:29:08" maxSheetId="8" userName="Rieko Hayashi" r:id="rId21" minRId="117">
    <sheetIdMap count="7">
      <sheetId val="1"/>
      <sheetId val="2"/>
      <sheetId val="3"/>
      <sheetId val="4"/>
      <sheetId val="5"/>
      <sheetId val="6"/>
      <sheetId val="7"/>
    </sheetIdMap>
  </header>
  <header guid="{828AD046-CB29-405A-A447-2194F00FC10A}" dateTime="2022-05-02T18:37:40" maxSheetId="8" userName="Rieko Hayashi" r:id="rId22" minRId="118" maxRId="123">
    <sheetIdMap count="7">
      <sheetId val="1"/>
      <sheetId val="2"/>
      <sheetId val="3"/>
      <sheetId val="4"/>
      <sheetId val="5"/>
      <sheetId val="6"/>
      <sheetId val="7"/>
    </sheetIdMap>
  </header>
  <header guid="{16351327-BE6F-49A8-A6E1-28542A79DB9C}" dateTime="2022-05-02T18:38:55" maxSheetId="8" userName="Rieko Hayashi" r:id="rId23" minRId="124" maxRId="195">
    <sheetIdMap count="7">
      <sheetId val="1"/>
      <sheetId val="2"/>
      <sheetId val="3"/>
      <sheetId val="4"/>
      <sheetId val="5"/>
      <sheetId val="6"/>
      <sheetId val="7"/>
    </sheetIdMap>
  </header>
  <header guid="{D82FA406-EC97-494E-92EB-D461D6FA055B}" dateTime="2022-05-02T18:42:07" maxSheetId="8" userName="Rieko Hayashi" r:id="rId24" minRId="196">
    <sheetIdMap count="7">
      <sheetId val="1"/>
      <sheetId val="2"/>
      <sheetId val="3"/>
      <sheetId val="4"/>
      <sheetId val="5"/>
      <sheetId val="6"/>
      <sheetId val="7"/>
    </sheetIdMap>
  </header>
  <header guid="{0967B935-D696-4339-B92A-D68038798E28}" dateTime="2022-05-07T12:24:27" maxSheetId="8" userName="Rieko YAMAMOTO" r:id="rId25" minRId="197">
    <sheetIdMap count="7">
      <sheetId val="1"/>
      <sheetId val="2"/>
      <sheetId val="3"/>
      <sheetId val="4"/>
      <sheetId val="5"/>
      <sheetId val="6"/>
      <sheetId val="7"/>
    </sheetIdMap>
  </header>
  <header guid="{6D925C1A-6162-4C43-BD69-76824E441295}" dateTime="2022-05-07T12:29:40" maxSheetId="8" userName="Rieko YAMAMOTO" r:id="rId26" minRId="205" maxRId="206">
    <sheetIdMap count="7">
      <sheetId val="1"/>
      <sheetId val="2"/>
      <sheetId val="3"/>
      <sheetId val="4"/>
      <sheetId val="5"/>
      <sheetId val="6"/>
      <sheetId val="7"/>
    </sheetIdMap>
  </header>
  <header guid="{ECEE1610-4BFF-415B-B7FA-2EC9AA09C98C}" dateTime="2022-05-07T12:40:16" maxSheetId="8" userName="Rieko YAMAMOTO" r:id="rId27" minRId="207">
    <sheetIdMap count="7">
      <sheetId val="1"/>
      <sheetId val="2"/>
      <sheetId val="3"/>
      <sheetId val="4"/>
      <sheetId val="5"/>
      <sheetId val="6"/>
      <sheetId val="7"/>
    </sheetIdMap>
  </header>
  <header guid="{AC19A4A4-C7D6-4146-A2CC-7A403F7941EF}" dateTime="2022-05-07T12:51:46" maxSheetId="8" userName="Rieko YAMAMOTO" r:id="rId28" minRId="208">
    <sheetIdMap count="7">
      <sheetId val="1"/>
      <sheetId val="2"/>
      <sheetId val="3"/>
      <sheetId val="4"/>
      <sheetId val="5"/>
      <sheetId val="6"/>
      <sheetId val="7"/>
    </sheetIdMap>
  </header>
  <header guid="{831DEA72-6FF8-4870-9802-61D280277110}" dateTime="2022-05-07T12:55:35" maxSheetId="8" userName="Rieko YAMAMOTO" r:id="rId29" minRId="209">
    <sheetIdMap count="7">
      <sheetId val="1"/>
      <sheetId val="2"/>
      <sheetId val="3"/>
      <sheetId val="4"/>
      <sheetId val="5"/>
      <sheetId val="6"/>
      <sheetId val="7"/>
    </sheetIdMap>
  </header>
  <header guid="{044D4A81-0110-4B95-ADCA-F29FB36F09B1}" dateTime="2022-05-07T12:57:14" maxSheetId="8" userName="Rieko YAMAMOTO" r:id="rId30" minRId="210">
    <sheetIdMap count="7">
      <sheetId val="1"/>
      <sheetId val="2"/>
      <sheetId val="3"/>
      <sheetId val="4"/>
      <sheetId val="5"/>
      <sheetId val="6"/>
      <sheetId val="7"/>
    </sheetIdMap>
  </header>
  <header guid="{090FF776-EC5F-412C-ACE0-1C3EBE1B686B}" dateTime="2022-05-07T13:28:34" maxSheetId="8" userName="Rieko YAMAMOTO" r:id="rId31" minRId="211" maxRId="212">
    <sheetIdMap count="7">
      <sheetId val="1"/>
      <sheetId val="2"/>
      <sheetId val="3"/>
      <sheetId val="4"/>
      <sheetId val="5"/>
      <sheetId val="6"/>
      <sheetId val="7"/>
    </sheetIdMap>
  </header>
  <header guid="{7BB4DC61-F0F9-49BC-A108-D6A92F20DFD0}" dateTime="2022-05-07T13:36:05" maxSheetId="8" userName="Rieko YAMAMOTO" r:id="rId32" minRId="213">
    <sheetIdMap count="7">
      <sheetId val="1"/>
      <sheetId val="2"/>
      <sheetId val="3"/>
      <sheetId val="4"/>
      <sheetId val="5"/>
      <sheetId val="6"/>
      <sheetId val="7"/>
    </sheetIdMap>
  </header>
  <header guid="{E268EF8F-9845-4DFF-A792-9D0F26A59C26}" dateTime="2022-05-07T18:58:49" maxSheetId="8" userName="Rieko YAMAMOTO" r:id="rId33" minRId="214">
    <sheetIdMap count="7">
      <sheetId val="1"/>
      <sheetId val="2"/>
      <sheetId val="3"/>
      <sheetId val="4"/>
      <sheetId val="5"/>
      <sheetId val="6"/>
      <sheetId val="7"/>
    </sheetIdMap>
  </header>
  <header guid="{494C38BA-6ABD-4743-8693-3395FB6DFC00}" dateTime="2022-05-09T08:34:39" maxSheetId="8" userName="Rieko Hayashi" r:id="rId34" minRId="215">
    <sheetIdMap count="7">
      <sheetId val="1"/>
      <sheetId val="2"/>
      <sheetId val="3"/>
      <sheetId val="4"/>
      <sheetId val="5"/>
      <sheetId val="6"/>
      <sheetId val="7"/>
    </sheetIdMap>
  </header>
  <header guid="{D9808E78-93E7-4952-A155-B8B33A8BC3E7}" dateTime="2022-05-09T08:35:21" maxSheetId="8" userName="Rieko Hayashi" r:id="rId35" minRId="223">
    <sheetIdMap count="7">
      <sheetId val="1"/>
      <sheetId val="2"/>
      <sheetId val="3"/>
      <sheetId val="4"/>
      <sheetId val="5"/>
      <sheetId val="6"/>
      <sheetId val="7"/>
    </sheetIdMap>
  </header>
  <header guid="{7464BE40-3FA4-4116-B446-FDF9F238AA70}" dateTime="2022-05-09T15:51:48" maxSheetId="8" userName="Rieko Hayashi" r:id="rId36" minRId="224" maxRId="225">
    <sheetIdMap count="7">
      <sheetId val="1"/>
      <sheetId val="2"/>
      <sheetId val="3"/>
      <sheetId val="4"/>
      <sheetId val="5"/>
      <sheetId val="6"/>
      <sheetId val="7"/>
    </sheetIdMap>
  </header>
  <header guid="{6AE94F3C-CBC8-475D-935D-2D75E1A7E0B9}" dateTime="2022-05-09T15:54:58" maxSheetId="8" userName="Rieko Hayashi" r:id="rId37" minRId="226" maxRId="227">
    <sheetIdMap count="7">
      <sheetId val="1"/>
      <sheetId val="2"/>
      <sheetId val="3"/>
      <sheetId val="4"/>
      <sheetId val="5"/>
      <sheetId val="6"/>
      <sheetId val="7"/>
    </sheetIdMap>
  </header>
  <header guid="{98EFF237-7CC9-4E0C-BFD9-04063ABD180B}" dateTime="2022-05-09T15:56:16" maxSheetId="8" userName="Rieko Hayashi" r:id="rId38">
    <sheetIdMap count="7">
      <sheetId val="1"/>
      <sheetId val="2"/>
      <sheetId val="3"/>
      <sheetId val="4"/>
      <sheetId val="5"/>
      <sheetId val="6"/>
      <sheetId val="7"/>
    </sheetIdMap>
  </header>
  <header guid="{DE648681-5BCF-4E4E-B071-2BC569B5D164}" dateTime="2022-05-09T15:57:02" maxSheetId="8" userName="Rieko Hayashi" r:id="rId39" minRId="228">
    <sheetIdMap count="7">
      <sheetId val="1"/>
      <sheetId val="2"/>
      <sheetId val="3"/>
      <sheetId val="4"/>
      <sheetId val="5"/>
      <sheetId val="6"/>
      <sheetId val="7"/>
    </sheetIdMap>
  </header>
  <header guid="{B98038B3-9B08-4240-B0B6-521DE18FA94B}" dateTime="2022-05-09T15:57:42" maxSheetId="8" userName="Rieko Hayashi" r:id="rId40">
    <sheetIdMap count="7">
      <sheetId val="1"/>
      <sheetId val="2"/>
      <sheetId val="3"/>
      <sheetId val="4"/>
      <sheetId val="5"/>
      <sheetId val="6"/>
      <sheetId val="7"/>
    </sheetIdMap>
  </header>
  <header guid="{EF07061C-A2FA-487A-8CCB-AC148709D449}" dateTime="2022-05-09T15:58:07" maxSheetId="8" userName="Rieko Hayashi" r:id="rId41">
    <sheetIdMap count="7">
      <sheetId val="1"/>
      <sheetId val="2"/>
      <sheetId val="3"/>
      <sheetId val="4"/>
      <sheetId val="5"/>
      <sheetId val="6"/>
      <sheetId val="7"/>
    </sheetIdMap>
  </header>
  <header guid="{23E07DDD-9831-4166-BD84-30D892AA38F6}" dateTime="2022-05-09T15:58:30" maxSheetId="8" userName="Rieko Hayashi" r:id="rId42">
    <sheetIdMap count="7">
      <sheetId val="1"/>
      <sheetId val="2"/>
      <sheetId val="3"/>
      <sheetId val="4"/>
      <sheetId val="5"/>
      <sheetId val="6"/>
      <sheetId val="7"/>
    </sheetIdMap>
  </header>
  <header guid="{A90EA627-E17B-4F06-BB33-7CB5FFED0DE1}" dateTime="2022-05-09T16:00:41" maxSheetId="8" userName="Rieko Hayashi" r:id="rId43">
    <sheetIdMap count="7">
      <sheetId val="1"/>
      <sheetId val="2"/>
      <sheetId val="3"/>
      <sheetId val="4"/>
      <sheetId val="5"/>
      <sheetId val="6"/>
      <sheetId val="7"/>
    </sheetIdMap>
  </header>
  <header guid="{59ADADAC-2CD0-4A83-A16A-D802CE36538C}" dateTime="2022-05-09T16:03:33" maxSheetId="8" userName="Rieko Hayashi" r:id="rId44">
    <sheetIdMap count="7">
      <sheetId val="1"/>
      <sheetId val="2"/>
      <sheetId val="3"/>
      <sheetId val="4"/>
      <sheetId val="5"/>
      <sheetId val="6"/>
      <sheetId val="7"/>
    </sheetIdMap>
  </header>
  <header guid="{73CACDA1-E2CE-47AA-87D1-16E4A319CE78}" dateTime="2022-05-09T16:03:51" maxSheetId="8" userName="Rieko Hayashi" r:id="rId45">
    <sheetIdMap count="7">
      <sheetId val="1"/>
      <sheetId val="2"/>
      <sheetId val="3"/>
      <sheetId val="4"/>
      <sheetId val="5"/>
      <sheetId val="6"/>
      <sheetId val="7"/>
    </sheetIdMap>
  </header>
  <header guid="{77CDE2AB-73D2-43BC-87FF-57D7D97FDFFC}" dateTime="2022-05-09T22:08:52" maxSheetId="8" userName="Rieko Hayashi" r:id="rId46">
    <sheetIdMap count="7">
      <sheetId val="1"/>
      <sheetId val="2"/>
      <sheetId val="3"/>
      <sheetId val="4"/>
      <sheetId val="5"/>
      <sheetId val="6"/>
      <sheetId val="7"/>
    </sheetIdMap>
  </header>
  <header guid="{A27921CD-BD51-4D62-AD11-FF301E4CC6C6}" dateTime="2022-05-12T12:30:31" maxSheetId="8" userName="Rieko Hayashi" r:id="rId47" minRId="243" maxRId="246">
    <sheetIdMap count="7">
      <sheetId val="1"/>
      <sheetId val="2"/>
      <sheetId val="3"/>
      <sheetId val="4"/>
      <sheetId val="5"/>
      <sheetId val="6"/>
      <sheetId val="7"/>
    </sheetIdMap>
  </header>
  <header guid="{12A48724-3595-4740-8834-155619A5655D}" dateTime="2022-05-12T12:56:51" maxSheetId="8" userName="Rieko Hayashi" r:id="rId48" minRId="247">
    <sheetIdMap count="7">
      <sheetId val="1"/>
      <sheetId val="2"/>
      <sheetId val="3"/>
      <sheetId val="4"/>
      <sheetId val="5"/>
      <sheetId val="6"/>
      <sheetId val="7"/>
    </sheetIdMap>
  </header>
  <header guid="{1B459CB8-234B-45B4-84A4-7D91EDDF935D}" dateTime="2022-05-12T15:34:31" maxSheetId="8" userName="Rieko Hayashi" r:id="rId49" minRId="255">
    <sheetIdMap count="7">
      <sheetId val="1"/>
      <sheetId val="2"/>
      <sheetId val="3"/>
      <sheetId val="4"/>
      <sheetId val="5"/>
      <sheetId val="6"/>
      <sheetId val="7"/>
    </sheetIdMap>
  </header>
  <header guid="{25CAAB8C-5CAF-4DF8-9E57-C7F6D845A43D}" dateTime="2022-05-12T15:37:25" maxSheetId="8" userName="Rieko Hayashi" r:id="rId50" minRId="256">
    <sheetIdMap count="7">
      <sheetId val="1"/>
      <sheetId val="2"/>
      <sheetId val="3"/>
      <sheetId val="4"/>
      <sheetId val="5"/>
      <sheetId val="6"/>
      <sheetId val="7"/>
    </sheetIdMap>
  </header>
  <header guid="{4FD4CCE8-B512-491A-8222-E0B329AFF0D6}" dateTime="2022-05-18T19:46:52" maxSheetId="8" userName="Rieko Hayashi" r:id="rId51" minRId="257">
    <sheetIdMap count="7">
      <sheetId val="1"/>
      <sheetId val="2"/>
      <sheetId val="3"/>
      <sheetId val="4"/>
      <sheetId val="5"/>
      <sheetId val="6"/>
      <sheetId val="7"/>
    </sheetIdMap>
  </header>
  <header guid="{D9F58CE1-2C04-449A-A8E2-BB8A6D2904A9}" dateTime="2022-05-18T19:47:33" maxSheetId="8" userName="Rieko Hayashi" r:id="rId52" minRId="265">
    <sheetIdMap count="7">
      <sheetId val="1"/>
      <sheetId val="2"/>
      <sheetId val="3"/>
      <sheetId val="4"/>
      <sheetId val="5"/>
      <sheetId val="6"/>
      <sheetId val="7"/>
    </sheetIdMap>
  </header>
  <header guid="{C489FE66-5B06-4BFD-92F2-24B94173271D}" dateTime="2022-05-18T19:48:12" maxSheetId="8" userName="Rieko Hayashi" r:id="rId53" minRId="266" maxRId="270">
    <sheetIdMap count="7">
      <sheetId val="1"/>
      <sheetId val="2"/>
      <sheetId val="3"/>
      <sheetId val="4"/>
      <sheetId val="5"/>
      <sheetId val="6"/>
      <sheetId val="7"/>
    </sheetIdMap>
  </header>
  <header guid="{236F5F4D-5B57-434F-985A-482A049542BD}" dateTime="2022-05-18T19:48:28" maxSheetId="8" userName="Rieko Hayashi" r:id="rId54" minRId="271" maxRId="276">
    <sheetIdMap count="7">
      <sheetId val="1"/>
      <sheetId val="2"/>
      <sheetId val="3"/>
      <sheetId val="4"/>
      <sheetId val="5"/>
      <sheetId val="6"/>
      <sheetId val="7"/>
    </sheetIdMap>
  </header>
  <header guid="{F1F52183-2E13-4931-B7CF-0F4B62B6871D}" dateTime="2022-05-18T19:48:37" maxSheetId="8" userName="Rieko Hayashi" r:id="rId55" minRId="277" maxRId="279">
    <sheetIdMap count="7">
      <sheetId val="1"/>
      <sheetId val="2"/>
      <sheetId val="3"/>
      <sheetId val="4"/>
      <sheetId val="5"/>
      <sheetId val="6"/>
      <sheetId val="7"/>
    </sheetIdMap>
  </header>
  <header guid="{0A85DBEC-5759-421A-B93B-801D29CD7EAF}" dateTime="2022-05-18T19:49:07" maxSheetId="8" userName="Rieko Hayashi" r:id="rId56" minRId="280" maxRId="289">
    <sheetIdMap count="7">
      <sheetId val="1"/>
      <sheetId val="2"/>
      <sheetId val="3"/>
      <sheetId val="4"/>
      <sheetId val="5"/>
      <sheetId val="6"/>
      <sheetId val="7"/>
    </sheetIdMap>
  </header>
  <header guid="{75B41A8F-7C79-46B6-A1DC-811D64430B11}" dateTime="2022-05-19T13:42:09" maxSheetId="8" userName="Rieko Hayashi" r:id="rId57">
    <sheetIdMap count="7">
      <sheetId val="1"/>
      <sheetId val="2"/>
      <sheetId val="3"/>
      <sheetId val="4"/>
      <sheetId val="5"/>
      <sheetId val="6"/>
      <sheetId val="7"/>
    </sheetIdMap>
  </header>
</headers>
</file>

<file path=xl/revisions/revisionLog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file>

<file path=xl/revisions/revisionLog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 sId="1">
    <oc r="A2" t="inlineStr">
      <is>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0"/>
      </is>
    </oc>
    <nc r="A2"/>
  </rcc>
</revisions>
</file>

<file path=xl/revisions/revisionLog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 ua="1" sId="1">
    <nc r="A2" t="inlineStr">
      <is>
        <t>数理・データサイエンス・AI教育プログラム認定制度（リテラシーレベル）　申請様式</t>
        <rPh sb="14" eb="16">
          <t>キョウイク</t>
        </rPh>
        <rPh sb="21" eb="23">
          <t>ニンテイ</t>
        </rPh>
        <rPh sb="23" eb="25">
          <t>セイド</t>
        </rPh>
        <rPh sb="36" eb="38">
          <t>シンセイ</t>
        </rPh>
        <rPh sb="38" eb="40">
          <t>ヨウシキ</t>
        </rPh>
        <phoneticPr fontId="0"/>
      </is>
    </nc>
  </rcc>
  <rcft rId="1" ua="1" sheetId="1"/>
</revisions>
</file>

<file path=xl/revisions/revisionLog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mt sheetId="2" cell="G69" guid="{00000000-0000-0000-0000-000000000000}" action="delete" alwaysShow="1" author="JADB020172K"/>
  <rcmt sheetId="2" cell="D79" guid="{00000000-0000-0000-0000-000000000000}" action="delete" alwaysShow="1" author="JADB020172K"/>
  <rcmt sheetId="2" cell="G70" guid="{00000000-0000-0000-0000-000000000000}" action="delete" alwaysShow="1" author="JADB020172K"/>
  <rcmt sheetId="1" cell="B20" guid="{00000000-0000-0000-0000-000000000000}" action="delete" alwaysShow="1" author="JADB020172K"/>
  <rcc rId="3" sId="2">
    <oc r="D86" t="inlineStr">
      <is>
        <t>・情報倫理（松本サリン事件を例に） / データ倫理：プライバシー保護、著作権「情報リテラシー（文系）」（5回目）
・ELSI(データジャーナリズム、福島原子力事故に関する低線量被曝のフェイクニュースを例に)「情報リテラシー（文系）」(10～11回目)
・データバイアス「情報リテラシー（文系）」（13回目）
・メディアの利活用における倫理「情報メディアとコミュニケーション」（4回目）
・データバイアス「図情報とコンピュータ」（3回目）</t>
        <rPh sb="39" eb="41">
          <t>ジョウホウ</t>
        </rPh>
        <rPh sb="47" eb="49">
          <t>ブンケイ</t>
        </rPh>
        <rPh sb="150" eb="152">
          <t>カイメ</t>
        </rPh>
        <rPh sb="170" eb="172">
          <t>ジョウホウ</t>
        </rPh>
        <rPh sb="188" eb="190">
          <t>カイメ</t>
        </rPh>
        <rPh sb="214" eb="216">
          <t>カイメ</t>
        </rPh>
        <phoneticPr fontId="0"/>
      </is>
    </oc>
    <nc r="D86" t="inlineStr">
      <is>
        <t>・データ倫理：プライバシー保護、著作権 / 情報倫理（松本サリン事件を例に） 「情報リテラシー（文系）」（5回目）
・ELSI(データジャーナリズム、福島原子力事故に関する低線量被曝のフェイクニュースを例に)「情報リテラシー（文系）」(10～11回目)
・データバイアス「情報リテラシー（文系）」（13回目）
・メディアの利活用における倫理「情報メディアとコミュニケーション」（4回目）
・データバイアス「図情報とコンピュータ」（3回目）</t>
        <rPh sb="40" eb="42">
          <t>ジョウホウ</t>
        </rPh>
        <rPh sb="48" eb="50">
          <t>ブンケイ</t>
        </rPh>
        <rPh sb="151" eb="153">
          <t>カイメ</t>
        </rPh>
        <rPh sb="171" eb="173">
          <t>ジョウホウ</t>
        </rPh>
        <rPh sb="189" eb="191">
          <t>カイメ</t>
        </rPh>
        <rPh sb="215" eb="217">
          <t>カイメ</t>
        </rPh>
        <phoneticPr fontId="0"/>
      </is>
    </nc>
  </rcc>
  <rcmt sheetId="2" cell="O4" guid="{00000000-0000-0000-0000-000000000000}" action="delete" alwaysShow="1" author="JADB020172K"/>
  <rcc rId="4" sId="2">
    <oc r="B6" t="inlineStr">
      <is>
        <t>「情報リテラシー（文系）」2単位、「情報メディアとコミュニケーション」2単位、「図情報とコンピュータ」2単位の合計6単位を取得すること。</t>
        <phoneticPr fontId="0"/>
      </is>
    </oc>
    <nc r="B6" t="inlineStr">
      <is>
        <t>○○学部「情報リテラシー（文系）」2単位、「情報メディアとコミュニケーション」2単位、「図情報とコンピュータ」2単位の合計6単位を取得すること。</t>
        <rPh sb="2" eb="4">
          <t>ガクブ</t>
        </rPh>
        <phoneticPr fontId="0"/>
      </is>
    </nc>
  </rcc>
  <rcmt sheetId="2" cell="D86" guid="{7C3E70A5-5DA2-454D-96A7-3279F0DEDF6B}" alwaysShow="1" author="JADB020172K" newLength="49"/>
  <rcv guid="{3F6F70B2-63B4-4C1B-8947-42666FB99B7C}" action="delete"/>
  <rdn rId="0" localSheetId="1" customView="1" name="Z_3F6F70B2_63B4_4C1B_8947_42666FB99B7C_.wvu.PrintArea" hidden="1" oldHidden="1">
    <formula>'様式１　大学等概要'!$A$1:$N$45</formula>
    <oldFormula>'様式１　大学等概要'!$A$1:$N$45</oldFormula>
  </rdn>
  <rdn rId="0" localSheetId="2" customView="1" name="Z_3F6F70B2_63B4_4C1B_8947_42666FB99B7C_.wvu.PrintArea" hidden="1" oldHidden="1">
    <formula>'様式２-１　プログラムを構成する授業科目'!$A$1:$Z$98</formula>
    <oldFormula>'様式２-１　プログラムを構成する授業科目'!$A$1:$Z$98</oldFormula>
  </rdn>
  <rdn rId="0" localSheetId="3" customView="1" name="Z_3F6F70B2_63B4_4C1B_8947_42666FB99B7C_.wvu.PrintArea" hidden="1" oldHidden="1">
    <formula>'様式２-２　プログラムを構成する授業科目'!$A$1:$Z$98</formula>
    <oldFormula>'様式２-２　プログラムを構成する授業科目'!$A$1:$Z$98</oldFormula>
  </rdn>
  <rdn rId="0" localSheetId="4" customView="1" name="Z_3F6F70B2_63B4_4C1B_8947_42666FB99B7C_.wvu.PrintArea" hidden="1" oldHidden="1">
    <formula>'様式３　履修者等数の実績'!$A$1:$R$30</formula>
    <oldFormula>'様式３　履修者等数の実績'!$A$1:$R$30</oldFormula>
  </rdn>
  <rdn rId="0" localSheetId="5" customView="1" name="Z_3F6F70B2_63B4_4C1B_8947_42666FB99B7C_.wvu.PrintArea" hidden="1" oldHidden="1">
    <formula>'様式４　教育の質・履修者数を向上させるための体制・計画'!$A$1:$J$130</formula>
    <oldFormula>'様式４　教育の質・履修者数を向上させるための体制・計画'!$A$1:$J$130</oldFormula>
  </rdn>
  <rdn rId="0" localSheetId="6" customView="1" name="Z_3F6F70B2_63B4_4C1B_8947_42666FB99B7C_.wvu.PrintArea" hidden="1" oldHidden="1">
    <formula>'様式５　自己点検・評価'!$A$1:$J$18</formula>
    <oldFormula>'様式５　自己点検・評価'!$A$1:$J$18</oldFormula>
  </rdn>
  <rdn rId="0" localSheetId="7" customView="1" name="Z_3F6F70B2_63B4_4C1B_8947_42666FB99B7C_.wvu.PrintArea" hidden="1" oldHidden="1">
    <formula>'様式６　特色ある取組'!$A$1:$F$124</formula>
    <oldFormula>'様式６　特色ある取組'!$A$1:$F$124</oldFormula>
  </rdn>
  <rcv guid="{3F6F70B2-63B4-4C1B-8947-42666FB99B7C}" action="add"/>
</revisions>
</file>

<file path=xl/revisions/revisionLog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 sId="2">
    <oc r="B6" t="inlineStr">
      <is>
        <t>○○学部「情報リテラシー（文系）」2単位、「情報メディアとコミュニケーション」2単位、「図情報とコンピュータ」2単位の合計6単位を取得すること。</t>
        <rPh sb="2" eb="4">
          <t>ガクブ</t>
        </rPh>
        <phoneticPr fontId="0"/>
      </is>
    </oc>
    <nc r="B6" t="inlineStr">
      <is>
        <t>「情報リテラシー（文系）」2単位、「情報メディアとコミュニケーション」2単位、「図情報とコンピュータ」2単位の合計6単位を取得すること。</t>
        <phoneticPr fontId="0"/>
      </is>
    </nc>
  </rcc>
  <rcv guid="{3F6F70B2-63B4-4C1B-8947-42666FB99B7C}" action="delete"/>
  <rdn rId="0" localSheetId="1" customView="1" name="Z_3F6F70B2_63B4_4C1B_8947_42666FB99B7C_.wvu.PrintArea" hidden="1" oldHidden="1">
    <formula>'様式１　大学等概要'!$A$1:$N$45</formula>
    <oldFormula>'様式１　大学等概要'!$A$1:$N$45</oldFormula>
  </rdn>
  <rdn rId="0" localSheetId="2" customView="1" name="Z_3F6F70B2_63B4_4C1B_8947_42666FB99B7C_.wvu.PrintArea" hidden="1" oldHidden="1">
    <formula>'様式２-１　プログラムを構成する授業科目'!$A$1:$Z$98</formula>
    <oldFormula>'様式２-１　プログラムを構成する授業科目'!$A$1:$Z$98</oldFormula>
  </rdn>
  <rdn rId="0" localSheetId="3" customView="1" name="Z_3F6F70B2_63B4_4C1B_8947_42666FB99B7C_.wvu.PrintArea" hidden="1" oldHidden="1">
    <formula>'様式２-２　プログラムを構成する授業科目'!$A$1:$Z$98</formula>
    <oldFormula>'様式２-２　プログラムを構成する授業科目'!$A$1:$Z$98</oldFormula>
  </rdn>
  <rdn rId="0" localSheetId="4" customView="1" name="Z_3F6F70B2_63B4_4C1B_8947_42666FB99B7C_.wvu.PrintArea" hidden="1" oldHidden="1">
    <formula>'様式３　履修者等数の実績'!$A$1:$R$30</formula>
    <oldFormula>'様式３　履修者等数の実績'!$A$1:$R$30</oldFormula>
  </rdn>
  <rdn rId="0" localSheetId="5" customView="1" name="Z_3F6F70B2_63B4_4C1B_8947_42666FB99B7C_.wvu.PrintArea" hidden="1" oldHidden="1">
    <formula>'様式４　教育の質・履修者数を向上させるための体制・計画'!$A$1:$J$130</formula>
    <oldFormula>'様式４　教育の質・履修者数を向上させるための体制・計画'!$A$1:$J$130</oldFormula>
  </rdn>
  <rdn rId="0" localSheetId="6" customView="1" name="Z_3F6F70B2_63B4_4C1B_8947_42666FB99B7C_.wvu.PrintArea" hidden="1" oldHidden="1">
    <formula>'様式５　自己点検・評価'!$A$1:$J$18</formula>
    <oldFormula>'様式５　自己点検・評価'!$A$1:$J$18</oldFormula>
  </rdn>
  <rdn rId="0" localSheetId="7" customView="1" name="Z_3F6F70B2_63B4_4C1B_8947_42666FB99B7C_.wvu.PrintArea" hidden="1" oldHidden="1">
    <formula>'様式６　特色ある取組'!$A$1:$F$124</formula>
    <oldFormula>'様式６　特色ある取組'!$A$1:$F$124</oldFormula>
  </rdn>
  <rcv guid="{3F6F70B2-63B4-4C1B-8947-42666FB99B7C}" action="add"/>
</revisions>
</file>

<file path=xl/revisions/revisionLog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 ua="1" sId="2">
    <nc r="D86" t="inlineStr">
      <is>
        <t>・情報倫理（松本サリン事件を例に） / データ倫理：プライバシー保護、著作権「情報リテラシー（文系）」（5回目）
・ELSI(データジャーナリズム、福島原子力事故に関する低線量被曝のフェイクニュースを例に)「情報リテラシー（文系）」(10～11回目)
・データバイアス「情報リテラシー（文系）」（13回目）
・メディアの利活用における倫理「情報メディアとコミュニケーション」（4回目）
・データバイアス「図情報とコンピュータ」（3回目）</t>
        <rPh sb="39" eb="41">
          <t>ジョウホウ</t>
        </rPh>
        <rPh sb="47" eb="49">
          <t>ブンケイ</t>
        </rPh>
        <rPh sb="150" eb="152">
          <t>カイメ</t>
        </rPh>
        <rPh sb="170" eb="172">
          <t>ジョウホウ</t>
        </rPh>
        <rPh sb="188" eb="190">
          <t>カイメ</t>
        </rPh>
        <rPh sb="214" eb="216">
          <t>カイメ</t>
        </rPh>
        <phoneticPr fontId="0"/>
      </is>
    </nc>
  </rcc>
  <rcft rId="3" ua="1" sheetId="2"/>
  <rcc rId="21" ua="1" sId="2">
    <nc r="B6" t="inlineStr">
      <is>
        <t>「情報リテラシー（文系）」2単位、「情報メディアとコミュニケーション」2単位、「図情報とコンピュータ」2単位の合計6単位を取得すること。</t>
      </is>
    </nc>
  </rcc>
  <rcft rId="12" ua="1" sheetId="2"/>
  <rcft rId="4" ua="1" sheetId="2"/>
  <rcc rId="22" sId="2">
    <oc r="B6" t="inlineStr">
      <is>
        <t>「情報リテラシー（文系）」2単位、「情報メディアとコミュニケーション」2単位、「図情報とコンピュータ」2単位の合計6単位を取得すること。</t>
      </is>
    </oc>
    <nc r="B6" t="inlineStr">
      <is>
        <r>
          <rPr>
            <sz val="12"/>
            <color rgb="FFFF0000"/>
            <rFont val="ＭＳ Ｐゴシック"/>
            <family val="3"/>
            <charset val="128"/>
          </rPr>
          <t>○○学部、○○学部、○○学部、○○学部の学部学生が、</t>
        </r>
        <r>
          <rPr>
            <sz val="12"/>
            <rFont val="ＭＳ Ｐゴシック"/>
            <family val="3"/>
            <charset val="128"/>
          </rPr>
          <t>「情報リテラシー（文系）」2単位、「情報メディアとコミュニケーション」2単位、「図情報とコンピュータ」2単位の合計6単位を取得すること。</t>
        </r>
        <rPh sb="2" eb="4">
          <t>ガクブ</t>
        </rPh>
        <rPh sb="7" eb="9">
          <t>ガクブ</t>
        </rPh>
        <rPh sb="12" eb="14">
          <t>ガクブ</t>
        </rPh>
        <rPh sb="17" eb="19">
          <t>ガクブ</t>
        </rPh>
        <rPh sb="20" eb="24">
          <t>ガクブガクセイ</t>
        </rPh>
        <phoneticPr fontId="2"/>
      </is>
    </nc>
  </rcc>
  <rcc rId="23" sId="3">
    <oc r="B6" t="inlineStr">
      <is>
        <t>「情報リテラシー（理系）」2単位、「情報科学入門」2単位の合計4単位を取得すること。</t>
        <phoneticPr fontId="0"/>
      </is>
    </oc>
    <nc r="B6" t="inlineStr">
      <is>
        <r>
          <rPr>
            <sz val="12"/>
            <color rgb="FFFF0000"/>
            <rFont val="ＭＳ Ｐゴシック"/>
            <family val="3"/>
            <charset val="128"/>
          </rPr>
          <t>○○学部、○○学部、○○学部、○○学部の学部学生が、</t>
        </r>
        <r>
          <rPr>
            <sz val="12"/>
            <rFont val="ＭＳ Ｐゴシック"/>
            <family val="3"/>
            <charset val="128"/>
          </rPr>
          <t>「情報リテラシー（理系）」2単位、「情報科学入門」2単位の合計4単位を取得すること。</t>
        </r>
        <phoneticPr fontId="0"/>
      </is>
    </nc>
  </rcc>
  <rfmt sheetId="2" sqref="B6:Z11">
    <dxf>
      <alignment wrapText="1" readingOrder="0"/>
    </dxf>
  </rfmt>
  <rfmt sheetId="3" sqref="L49" start="0" length="2147483647">
    <dxf>
      <font>
        <color rgb="FFFF0000"/>
      </font>
    </dxf>
  </rfmt>
  <rcc rId="24" sId="3">
    <nc r="B50" t="inlineStr">
      <is>
        <t>情報科学入門</t>
        <rPh sb="0" eb="6">
          <t>ジョウホウカガクニュウモン</t>
        </rPh>
        <phoneticPr fontId="0"/>
      </is>
    </nc>
  </rcc>
  <rcc rId="25" sId="3">
    <nc r="G50">
      <v>2</v>
    </nc>
  </rcc>
  <rcc rId="26" sId="3">
    <nc r="I50" t="inlineStr">
      <is>
        <t>一部開講</t>
      </is>
    </nc>
  </rcc>
  <rcc rId="27" sId="3">
    <nc r="L50" t="inlineStr">
      <is>
        <t>○</t>
        <phoneticPr fontId="0"/>
      </is>
    </nc>
  </rcc>
  <rcc rId="28" sId="3">
    <oc r="L49" t="inlineStr">
      <is>
        <t>○</t>
      </is>
    </oc>
    <nc r="L49"/>
  </rcc>
  <rcc rId="29" sId="3">
    <oc r="D86" t="inlineStr">
      <is>
        <t>・情報倫理「情報リテラシー（理系）」(1～2回目)
・データバイアス（PCR検査の性能を例に）（11回目）</t>
        <phoneticPr fontId="0"/>
      </is>
    </oc>
    <nc r="D86" t="inlineStr">
      <is>
        <r>
          <t>・データバイアス（PCR検査の性能を例に）</t>
        </r>
        <r>
          <rPr>
            <sz val="12"/>
            <color rgb="FFFF0000"/>
            <rFont val="ＭＳ Ｐゴシック"/>
            <family val="3"/>
            <charset val="128"/>
          </rPr>
          <t>「情報科学入門」</t>
        </r>
        <r>
          <rPr>
            <sz val="12"/>
            <rFont val="ＭＳ Ｐゴシック"/>
            <family val="3"/>
            <charset val="128"/>
          </rPr>
          <t>（11回目）</t>
        </r>
        <rPh sb="22" eb="26">
          <t>ジョウホウカガク</t>
        </rPh>
        <rPh sb="26" eb="28">
          <t>ニュウモン</t>
        </rPh>
        <phoneticPr fontId="0"/>
      </is>
    </nc>
  </rcc>
  <rcmt sheetId="3" cell="D86" guid="{6C43A4BF-1942-4FC0-8499-A7CF58008149}" alwaysShow="1" author="JADB020172K" oldLength="131" newLength="14"/>
  <rcv guid="{3F6F70B2-63B4-4C1B-8947-42666FB99B7C}" action="delete"/>
  <rdn rId="0" localSheetId="1" customView="1" name="Z_3F6F70B2_63B4_4C1B_8947_42666FB99B7C_.wvu.PrintArea" hidden="1" oldHidden="1">
    <formula>'様式１　大学等概要'!$A$1:$N$45</formula>
    <oldFormula>'様式１　大学等概要'!$A$1:$N$45</oldFormula>
  </rdn>
  <rdn rId="0" localSheetId="2" customView="1" name="Z_3F6F70B2_63B4_4C1B_8947_42666FB99B7C_.wvu.PrintArea" hidden="1" oldHidden="1">
    <formula>'様式２-１　プログラムを構成する授業科目'!$A$1:$Z$98</formula>
    <oldFormula>'様式２-１　プログラムを構成する授業科目'!$A$1:$Z$98</oldFormula>
  </rdn>
  <rdn rId="0" localSheetId="3" customView="1" name="Z_3F6F70B2_63B4_4C1B_8947_42666FB99B7C_.wvu.PrintArea" hidden="1" oldHidden="1">
    <formula>'様式２-２　プログラムを構成する授業科目'!$A$1:$Z$98</formula>
    <oldFormula>'様式２-２　プログラムを構成する授業科目'!$A$1:$Z$98</oldFormula>
  </rdn>
  <rdn rId="0" localSheetId="4" customView="1" name="Z_3F6F70B2_63B4_4C1B_8947_42666FB99B7C_.wvu.PrintArea" hidden="1" oldHidden="1">
    <formula>'様式３　履修者等数の実績'!$A$1:$R$30</formula>
    <oldFormula>'様式３　履修者等数の実績'!$A$1:$R$30</oldFormula>
  </rdn>
  <rdn rId="0" localSheetId="5" customView="1" name="Z_3F6F70B2_63B4_4C1B_8947_42666FB99B7C_.wvu.PrintArea" hidden="1" oldHidden="1">
    <formula>'様式４　教育の質・履修者数を向上させるための体制・計画'!$A$1:$J$130</formula>
    <oldFormula>'様式４　教育の質・履修者数を向上させるための体制・計画'!$A$1:$J$130</oldFormula>
  </rdn>
  <rdn rId="0" localSheetId="6" customView="1" name="Z_3F6F70B2_63B4_4C1B_8947_42666FB99B7C_.wvu.PrintArea" hidden="1" oldHidden="1">
    <formula>'様式５　自己点検・評価'!$A$1:$J$18</formula>
    <oldFormula>'様式５　自己点検・評価'!$A$1:$J$18</oldFormula>
  </rdn>
  <rdn rId="0" localSheetId="7" customView="1" name="Z_3F6F70B2_63B4_4C1B_8947_42666FB99B7C_.wvu.PrintArea" hidden="1" oldHidden="1">
    <formula>'様式６　特色ある取組'!$A$1:$F$124</formula>
    <oldFormula>'様式６　特色ある取組'!$A$1:$F$124</oldFormula>
  </rdn>
  <rcv guid="{3F6F70B2-63B4-4C1B-8947-42666FB99B7C}" action="add"/>
</revisions>
</file>

<file path=xl/revisions/revisionLog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37" sId="3">
    <oc r="D86" t="inlineStr">
      <is>
        <r>
          <t>・データバイアス（PCR検査の性能を例に）</t>
        </r>
        <r>
          <rPr>
            <sz val="12"/>
            <color rgb="FFFF0000"/>
            <rFont val="ＭＳ Ｐゴシック"/>
            <family val="3"/>
            <charset val="128"/>
          </rPr>
          <t>「情報科学入門」</t>
        </r>
        <r>
          <rPr>
            <sz val="12"/>
            <rFont val="ＭＳ Ｐゴシック"/>
            <family val="3"/>
            <charset val="128"/>
          </rPr>
          <t>（11回目）</t>
        </r>
        <rPh sb="22" eb="26">
          <t>ジョウホウカガク</t>
        </rPh>
        <rPh sb="26" eb="28">
          <t>ニュウモン</t>
        </rPh>
        <phoneticPr fontId="2"/>
      </is>
    </oc>
    <nc r="D86" t="inlineStr">
      <is>
        <t>・データバイアス（PCR検査の性能を例に）「情報科学入門」（11回目）</t>
        <rPh sb="22" eb="26">
          <t>ジョウホウカガク</t>
        </rPh>
        <rPh sb="26" eb="28">
          <t>ニュウモン</t>
        </rPh>
        <phoneticPr fontId="2"/>
      </is>
    </nc>
  </rcc>
  <rcmt sheetId="3" cell="T70" guid="{00000000-0000-0000-0000-000000000000}" action="delete" alwaysShow="1" author="JADB020172K"/>
  <rcc rId="38" sId="3">
    <oc r="N71" t="inlineStr">
      <is>
        <t>情報科学入門</t>
      </is>
    </oc>
    <nc r="N71" t="inlineStr">
      <is>
        <t>情報学入門</t>
        <rPh sb="0" eb="5">
          <t>ジョウホウガクニュウモン</t>
        </rPh>
        <phoneticPr fontId="0"/>
      </is>
    </nc>
  </rcc>
  <rcmt sheetId="3" cell="D88" guid="{99D264FB-40EC-40F0-8849-B9AD7763D664}" alwaysShow="1" author="JADB020172K" newLength="91"/>
  <rcv guid="{3F6F70B2-63B4-4C1B-8947-42666FB99B7C}" action="delete"/>
  <rdn rId="0" localSheetId="1" customView="1" name="Z_3F6F70B2_63B4_4C1B_8947_42666FB99B7C_.wvu.PrintArea" hidden="1" oldHidden="1">
    <formula>'様式１　大学等概要'!$A$1:$N$45</formula>
    <oldFormula>'様式１　大学等概要'!$A$1:$N$45</oldFormula>
  </rdn>
  <rdn rId="0" localSheetId="2" customView="1" name="Z_3F6F70B2_63B4_4C1B_8947_42666FB99B7C_.wvu.PrintArea" hidden="1" oldHidden="1">
    <formula>'様式２-１　プログラムを構成する授業科目'!$A$1:$Z$98</formula>
    <oldFormula>'様式２-１　プログラムを構成する授業科目'!$A$1:$Z$98</oldFormula>
  </rdn>
  <rdn rId="0" localSheetId="3" customView="1" name="Z_3F6F70B2_63B4_4C1B_8947_42666FB99B7C_.wvu.PrintArea" hidden="1" oldHidden="1">
    <formula>'様式２-２　プログラムを構成する授業科目'!$A$1:$Z$98</formula>
    <oldFormula>'様式２-２　プログラムを構成する授業科目'!$A$1:$Z$98</oldFormula>
  </rdn>
  <rdn rId="0" localSheetId="4" customView="1" name="Z_3F6F70B2_63B4_4C1B_8947_42666FB99B7C_.wvu.PrintArea" hidden="1" oldHidden="1">
    <formula>'様式３　履修者等数の実績'!$A$1:$R$30</formula>
    <oldFormula>'様式３　履修者等数の実績'!$A$1:$R$30</oldFormula>
  </rdn>
  <rdn rId="0" localSheetId="5" customView="1" name="Z_3F6F70B2_63B4_4C1B_8947_42666FB99B7C_.wvu.PrintArea" hidden="1" oldHidden="1">
    <formula>'様式４　教育の質・履修者数を向上させるための体制・計画'!$A$1:$J$130</formula>
    <oldFormula>'様式４　教育の質・履修者数を向上させるための体制・計画'!$A$1:$J$130</oldFormula>
  </rdn>
  <rdn rId="0" localSheetId="6" customView="1" name="Z_3F6F70B2_63B4_4C1B_8947_42666FB99B7C_.wvu.PrintArea" hidden="1" oldHidden="1">
    <formula>'様式５　自己点検・評価'!$A$1:$J$18</formula>
    <oldFormula>'様式５　自己点検・評価'!$A$1:$J$18</oldFormula>
  </rdn>
  <rdn rId="0" localSheetId="7" customView="1" name="Z_3F6F70B2_63B4_4C1B_8947_42666FB99B7C_.wvu.PrintArea" hidden="1" oldHidden="1">
    <formula>'様式６　特色ある取組'!$A$1:$F$124</formula>
    <oldFormula>'様式６　特色ある取組'!$A$1:$F$124</oldFormula>
  </rdn>
  <rcv guid="{3F6F70B2-63B4-4C1B-8947-42666FB99B7C}" action="add"/>
</revisions>
</file>

<file path=xl/revisions/revisionLog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mt sheetId="4" cell="D13" guid="{00000000-0000-0000-0000-000000000000}" action="delete" alwaysShow="1" author="JADB020172K"/>
</revisions>
</file>

<file path=xl/revisions/revisionLog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46" sId="5">
    <oc r="B5" t="inlineStr">
      <is>
        <t>名古屋大学教養教育院統括部部門及び部会細則</t>
      </is>
    </oc>
    <nc r="B5" t="inlineStr">
      <is>
        <t>名古屋大学教養教育院統括部部門及び部会細則</t>
        <phoneticPr fontId="0"/>
      </is>
    </nc>
  </rcc>
  <rcc rId="47" sId="5">
    <oc r="B15" t="inlineStr">
      <is>
        <t>大学院情報学研究科　教授　井手一郎（主査）
大学院教育発達科学研究科　教授　石井秀宗
大学院情報学研究科　教授　北栄輔
大学院情報学研究科附属価値創造研究センター　教授　武田浩一
大学院情報学研究科　准教授　出口大輔
大学院多元数理科学研究科　教授　大平徹
大学院多元数理科学研究科　教授　中島 誠
未来社会創造機構　教授　武田一哉
宇宙地球環境研究所　教授　三好由純
教養教育院教養教育推進室　特任講師　	HAMLITSCH Nathan Jesse
数理データ科学教育研究センター　准教授　駒水孝裕
（令和5年4月1日時点）</t>
        <rPh sb="177" eb="179">
          <t>キョウジュ</t>
        </rPh>
        <phoneticPr fontId="0"/>
      </is>
    </oc>
    <nc r="B15" t="inlineStr">
      <is>
        <t>大学院情報学研究科　教授　井手一郎（主査）
大学院教育発達科学研究科　教授　石井秀宗
大学院情報学研究科　教授　北栄輔
大学院情報学研究科附属価値創造研究センター　教授　武田浩一
大学院情報学研究科　准教授　出口大輔
大学院多元数理科学研究科　教授　大平徹
大学院多元数理科学研究科　准教授　中島 誠
未来社会創造機構　教授　武田一哉
宇宙地球環境研究所　教授　三好由純
教養教育院教養教育推進室　特任講師　	HAMLITSCH Nathan Jesse
数理データ科学教育研究センター　准教授　駒水孝裕
（令和5年4月1日時点）</t>
        <rPh sb="178" eb="180">
          <t>キョウジュ</t>
        </rPh>
        <phoneticPr fontId="0"/>
      </is>
    </nc>
  </rcc>
  <rcc rId="48" sId="6">
    <oc r="E7" t="inlineStr">
      <is>
        <t>教養教育院統括部に設置された部会において、プログラムの履修・取得状況の分析を実施している。全学向け教育学習支援システム NUCTの活用により、受講者ごとの課題への回答状況や講義教材ごとの視聴状況を把握している。全学教育科目として従来から開講している「情報リテラシー（文系）」等の情報科学に関する科目に加え、令和4年度から「特別講義（データ科学基礎）」を全学必修の科目として開講する。</t>
      </is>
    </oc>
    <nc r="E7" t="inlineStr">
      <is>
        <t>教養教育院統括部に設置された部会において、プログラムの履修・取得状況の分析を実施している。全学向け教育学習支援システム NUCTの活用により、受講者ごとの課題への回答状況や講義教材ごとの視聴状況を把握している。全学教育科目として従来から開講している「情報リテラシー（文系）」等の情報科学に関する科目に加え、令和4年度から「特別講義（データ科学基礎）」を全学必修の科目として開講する。</t>
        <phoneticPr fontId="0"/>
      </is>
    </nc>
  </rcc>
  <rcmt sheetId="4" cell="G10" guid="{926D8D9C-E4CC-411D-A8D0-973DCFDBF666}" alwaysShow="1" author="JADB020172K" newLength="170"/>
  <rcmt sheetId="5" cell="B5" guid="{1609C481-8FCC-4BD8-8954-163580FF9DA8}" alwaysShow="1" author="JADB020172K" newLength="37"/>
  <rcmt sheetId="6" cell="E13" guid="{B877F985-AD66-4843-9EED-E6D8EA19C5BD}" alwaysShow="1" author="JADB020172K" newLength="57"/>
  <rcv guid="{3F6F70B2-63B4-4C1B-8947-42666FB99B7C}" action="delete"/>
  <rdn rId="0" localSheetId="1" customView="1" name="Z_3F6F70B2_63B4_4C1B_8947_42666FB99B7C_.wvu.PrintArea" hidden="1" oldHidden="1">
    <formula>'様式１　大学等概要'!$A$1:$N$45</formula>
    <oldFormula>'様式１　大学等概要'!$A$1:$N$45</oldFormula>
  </rdn>
  <rdn rId="0" localSheetId="2" customView="1" name="Z_3F6F70B2_63B4_4C1B_8947_42666FB99B7C_.wvu.PrintArea" hidden="1" oldHidden="1">
    <formula>'様式２-１　プログラムを構成する授業科目'!$A$1:$Z$98</formula>
    <oldFormula>'様式２-１　プログラムを構成する授業科目'!$A$1:$Z$98</oldFormula>
  </rdn>
  <rdn rId="0" localSheetId="3" customView="1" name="Z_3F6F70B2_63B4_4C1B_8947_42666FB99B7C_.wvu.PrintArea" hidden="1" oldHidden="1">
    <formula>'様式２-２　プログラムを構成する授業科目'!$A$1:$Z$98</formula>
    <oldFormula>'様式２-２　プログラムを構成する授業科目'!$A$1:$Z$98</oldFormula>
  </rdn>
  <rdn rId="0" localSheetId="4" customView="1" name="Z_3F6F70B2_63B4_4C1B_8947_42666FB99B7C_.wvu.PrintArea" hidden="1" oldHidden="1">
    <formula>'様式３　履修者等数の実績'!$A$1:$R$30</formula>
    <oldFormula>'様式３　履修者等数の実績'!$A$1:$R$30</oldFormula>
  </rdn>
  <rdn rId="0" localSheetId="5" customView="1" name="Z_3F6F70B2_63B4_4C1B_8947_42666FB99B7C_.wvu.PrintArea" hidden="1" oldHidden="1">
    <formula>'様式４　教育の質・履修者数を向上させるための体制・計画'!$A$1:$J$130</formula>
    <oldFormula>'様式４　教育の質・履修者数を向上させるための体制・計画'!$A$1:$J$130</oldFormula>
  </rdn>
  <rdn rId="0" localSheetId="6" customView="1" name="Z_3F6F70B2_63B4_4C1B_8947_42666FB99B7C_.wvu.PrintArea" hidden="1" oldHidden="1">
    <formula>'様式５　自己点検・評価'!$A$1:$J$18</formula>
    <oldFormula>'様式５　自己点検・評価'!$A$1:$J$18</oldFormula>
  </rdn>
  <rdn rId="0" localSheetId="7" customView="1" name="Z_3F6F70B2_63B4_4C1B_8947_42666FB99B7C_.wvu.PrintArea" hidden="1" oldHidden="1">
    <formula>'様式６　特色ある取組'!$A$1:$F$124</formula>
    <oldFormula>'様式６　特色ある取組'!$A$1:$F$124</oldFormula>
  </rdn>
  <rcv guid="{3F6F70B2-63B4-4C1B-8947-42666FB99B7C}" action="add"/>
</revisions>
</file>

<file path=xl/revisions/revisionLog1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56" sId="1" numFmtId="4">
    <oc r="J20">
      <v>9566</v>
    </oc>
    <nc r="J20">
      <v>9565</v>
    </nc>
  </rcc>
  <rcmt sheetId="1" cell="J20" guid="{BBFD0C75-A7FF-4855-9927-462B93A35CD6}" alwaysShow="1" author="JADB020172K" newLength="48"/>
  <rcmt sheetId="4" cell="G10" guid="{B49F836B-0170-4335-87A5-660EB99FBBB6}" alwaysShow="1" author="JADB020172K" oldLength="170" newLength="23"/>
  <rcv guid="{3F6F70B2-63B4-4C1B-8947-42666FB99B7C}" action="delete"/>
  <rdn rId="0" localSheetId="1" customView="1" name="Z_3F6F70B2_63B4_4C1B_8947_42666FB99B7C_.wvu.PrintArea" hidden="1" oldHidden="1">
    <formula>'様式１　大学等概要'!$A$1:$N$45</formula>
    <oldFormula>'様式１　大学等概要'!$A$1:$N$45</oldFormula>
  </rdn>
  <rdn rId="0" localSheetId="2" customView="1" name="Z_3F6F70B2_63B4_4C1B_8947_42666FB99B7C_.wvu.PrintArea" hidden="1" oldHidden="1">
    <formula>'様式２-１　プログラムを構成する授業科目'!$A$1:$Z$98</formula>
    <oldFormula>'様式２-１　プログラムを構成する授業科目'!$A$1:$Z$98</oldFormula>
  </rdn>
  <rdn rId="0" localSheetId="3" customView="1" name="Z_3F6F70B2_63B4_4C1B_8947_42666FB99B7C_.wvu.PrintArea" hidden="1" oldHidden="1">
    <formula>'様式２-２　プログラムを構成する授業科目'!$A$1:$Z$98</formula>
    <oldFormula>'様式２-２　プログラムを構成する授業科目'!$A$1:$Z$98</oldFormula>
  </rdn>
  <rdn rId="0" localSheetId="4" customView="1" name="Z_3F6F70B2_63B4_4C1B_8947_42666FB99B7C_.wvu.PrintArea" hidden="1" oldHidden="1">
    <formula>'様式３　履修者等数の実績'!$A$1:$R$30</formula>
    <oldFormula>'様式３　履修者等数の実績'!$A$1:$R$30</oldFormula>
  </rdn>
  <rdn rId="0" localSheetId="5" customView="1" name="Z_3F6F70B2_63B4_4C1B_8947_42666FB99B7C_.wvu.PrintArea" hidden="1" oldHidden="1">
    <formula>'様式４　教育の質・履修者数を向上させるための体制・計画'!$A$1:$J$130</formula>
    <oldFormula>'様式４　教育の質・履修者数を向上させるための体制・計画'!$A$1:$J$130</oldFormula>
  </rdn>
  <rdn rId="0" localSheetId="6" customView="1" name="Z_3F6F70B2_63B4_4C1B_8947_42666FB99B7C_.wvu.PrintArea" hidden="1" oldHidden="1">
    <formula>'様式５　自己点検・評価'!$A$1:$J$18</formula>
    <oldFormula>'様式５　自己点検・評価'!$A$1:$J$18</oldFormula>
  </rdn>
  <rdn rId="0" localSheetId="7" customView="1" name="Z_3F6F70B2_63B4_4C1B_8947_42666FB99B7C_.wvu.PrintArea" hidden="1" oldHidden="1">
    <formula>'様式６　特色ある取組'!$A$1:$F$124</formula>
    <oldFormula>'様式６　特色ある取組'!$A$1:$F$124</oldFormula>
  </rdn>
  <rcv guid="{3F6F70B2-63B4-4C1B-8947-42666FB99B7C}" action="add"/>
</revisions>
</file>

<file path=xl/revisions/revisionLog1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64" sId="5">
    <oc r="B15" t="inlineStr">
      <is>
        <t>大学院情報学研究科　教授　井手一郎（主査）
大学院教育発達科学研究科　教授　石井秀宗
大学院情報学研究科　教授　北栄輔
大学院情報学研究科附属価値創造研究センター　教授　武田浩一
大学院情報学研究科　准教授　出口大輔
大学院多元数理科学研究科　教授　大平徹
大学院多元数理科学研究科　准教授　中島 誠
未来社会創造機構　教授　武田一哉
宇宙地球環境研究所　教授　三好由純
教養教育院教養教育推進室　特任講師　	HAMLITSCH Nathan Jesse
数理データ科学教育研究センター　准教授　駒水孝裕
（令和5年4月1日時点）</t>
        <rPh sb="178" eb="180">
          <t>キョウジュ</t>
        </rPh>
        <phoneticPr fontId="0"/>
      </is>
    </oc>
    <nc r="B15" t="inlineStr">
      <is>
        <r>
          <t>大学院情報学研究科　教授　井手一郎（主査）
大学院教育発達科学研究科　教授　石井秀宗
大学院情報学研究科　教授　北栄輔
大学院情報学研究科附属価値創造研究センター　教授　武田浩一
大学院情報学研究科　准教授　出口大輔
大学院多元数理科学研究科　教授　大平徹
大学院多元数理科学研究科　</t>
        </r>
        <r>
          <rPr>
            <sz val="12"/>
            <color rgb="FFFF0000"/>
            <rFont val="ＭＳ Ｐゴシック"/>
            <family val="3"/>
            <charset val="128"/>
          </rPr>
          <t>准</t>
        </r>
        <r>
          <rPr>
            <sz val="12"/>
            <rFont val="ＭＳ Ｐゴシック"/>
            <family val="3"/>
            <charset val="128"/>
          </rPr>
          <t>教授　中島 誠
未来社会創造機構　教授　武田一哉
宇宙地球環境研究所　教授　三好由純
教養教育院教養教育推進室　特任講師　	HAMLITSCH Nathan Jesse
数理データ科学教育研究センター　准教授　駒水孝裕
（令和5年4月1日時点）</t>
        </r>
        <rPh sb="178" eb="180">
          <t>キョウジュ</t>
        </rPh>
        <phoneticPr fontId="0"/>
      </is>
    </nc>
  </rcc>
  <rcv guid="{3F6F70B2-63B4-4C1B-8947-42666FB99B7C}" action="delete"/>
  <rdn rId="0" localSheetId="1" customView="1" name="Z_3F6F70B2_63B4_4C1B_8947_42666FB99B7C_.wvu.PrintArea" hidden="1" oldHidden="1">
    <formula>'様式１　大学等概要'!$A$1:$N$45</formula>
    <oldFormula>'様式１　大学等概要'!$A$1:$N$45</oldFormula>
  </rdn>
  <rdn rId="0" localSheetId="2" customView="1" name="Z_3F6F70B2_63B4_4C1B_8947_42666FB99B7C_.wvu.PrintArea" hidden="1" oldHidden="1">
    <formula>'様式２-１　プログラムを構成する授業科目'!$A$1:$Z$98</formula>
    <oldFormula>'様式２-１　プログラムを構成する授業科目'!$A$1:$Z$98</oldFormula>
  </rdn>
  <rdn rId="0" localSheetId="3" customView="1" name="Z_3F6F70B2_63B4_4C1B_8947_42666FB99B7C_.wvu.PrintArea" hidden="1" oldHidden="1">
    <formula>'様式２-２　プログラムを構成する授業科目'!$A$1:$Z$98</formula>
    <oldFormula>'様式２-２　プログラムを構成する授業科目'!$A$1:$Z$98</oldFormula>
  </rdn>
  <rdn rId="0" localSheetId="4" customView="1" name="Z_3F6F70B2_63B4_4C1B_8947_42666FB99B7C_.wvu.PrintArea" hidden="1" oldHidden="1">
    <formula>'様式３　履修者等数の実績'!$A$1:$R$30</formula>
    <oldFormula>'様式３　履修者等数の実績'!$A$1:$R$30</oldFormula>
  </rdn>
  <rdn rId="0" localSheetId="5" customView="1" name="Z_3F6F70B2_63B4_4C1B_8947_42666FB99B7C_.wvu.PrintArea" hidden="1" oldHidden="1">
    <formula>'様式４　教育の質・履修者数を向上させるための体制・計画'!$A$1:$J$130</formula>
    <oldFormula>'様式４　教育の質・履修者数を向上させるための体制・計画'!$A$1:$J$130</oldFormula>
  </rdn>
  <rdn rId="0" localSheetId="6" customView="1" name="Z_3F6F70B2_63B4_4C1B_8947_42666FB99B7C_.wvu.PrintArea" hidden="1" oldHidden="1">
    <formula>'様式５　自己点検・評価'!$A$1:$J$18</formula>
    <oldFormula>'様式５　自己点検・評価'!$A$1:$J$18</oldFormula>
  </rdn>
  <rdn rId="0" localSheetId="7" customView="1" name="Z_3F6F70B2_63B4_4C1B_8947_42666FB99B7C_.wvu.PrintArea" hidden="1" oldHidden="1">
    <formula>'様式６　特色ある取組'!$A$1:$F$124</formula>
    <oldFormula>'様式６　特色ある取組'!$A$1:$F$124</oldFormula>
  </rdn>
  <rcv guid="{3F6F70B2-63B4-4C1B-8947-42666FB99B7C}" action="add"/>
</revisions>
</file>

<file path=xl/revisions/revisionLog1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72" sId="1" numFmtId="4">
    <oc r="C26">
      <v>114</v>
    </oc>
    <nc r="C26">
      <v>113</v>
    </nc>
  </rcc>
  <rcmt sheetId="1" cell="C26" guid="{47F0136E-1D35-4D46-99B7-83C4CF8413CB}" alwaysShow="1" author="Rieko Hayashi" newLength="27"/>
  <rdn rId="0" localSheetId="1" customView="1" name="Z_F66F98FB_58AD_4588_B2BF_A96D7B6BA538_.wvu.PrintArea" hidden="1" oldHidden="1">
    <formula>'様式１　大学等概要'!$A$1:$N$45</formula>
  </rdn>
  <rdn rId="0" localSheetId="2" customView="1" name="Z_F66F98FB_58AD_4588_B2BF_A96D7B6BA538_.wvu.PrintArea" hidden="1" oldHidden="1">
    <formula>'様式２-１　プログラムを構成する授業科目'!$A$1:$Z$98</formula>
  </rdn>
  <rdn rId="0" localSheetId="3" customView="1" name="Z_F66F98FB_58AD_4588_B2BF_A96D7B6BA538_.wvu.PrintArea" hidden="1" oldHidden="1">
    <formula>'様式２-２　プログラムを構成する授業科目'!$A$1:$Z$98</formula>
  </rdn>
  <rdn rId="0" localSheetId="4" customView="1" name="Z_F66F98FB_58AD_4588_B2BF_A96D7B6BA538_.wvu.PrintArea" hidden="1" oldHidden="1">
    <formula>'様式３　履修者等数の実績'!$A$1:$R$30</formula>
  </rdn>
  <rdn rId="0" localSheetId="5" customView="1" name="Z_F66F98FB_58AD_4588_B2BF_A96D7B6BA538_.wvu.PrintArea" hidden="1" oldHidden="1">
    <formula>'様式４　教育の質・履修者数を向上させるための体制・計画'!$A$1:$J$130</formula>
  </rdn>
  <rdn rId="0" localSheetId="6" customView="1" name="Z_F66F98FB_58AD_4588_B2BF_A96D7B6BA538_.wvu.PrintArea" hidden="1" oldHidden="1">
    <formula>'様式５　自己点検・評価'!$A$1:$J$18</formula>
  </rdn>
  <rdn rId="0" localSheetId="7" customView="1" name="Z_F66F98FB_58AD_4588_B2BF_A96D7B6BA538_.wvu.PrintArea" hidden="1" oldHidden="1">
    <formula>'様式６　特色ある取組'!$A$1:$F$124</formula>
  </rdn>
  <rcv guid="{F66F98FB-58AD-4588-B2BF-A96D7B6BA538}" action="add"/>
</revisions>
</file>

<file path=xl/revisions/revisionLog1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0" sId="2">
    <oc r="B6" t="inlineStr">
      <is>
        <r>
          <rPr>
            <sz val="12"/>
            <color rgb="FFFF0000"/>
            <rFont val="ＭＳ Ｐゴシック"/>
            <family val="3"/>
            <charset val="128"/>
          </rPr>
          <t>○○学部、○○学部、○○学部、○○学部の学部学生が、</t>
        </r>
        <r>
          <rPr>
            <sz val="12"/>
            <rFont val="ＭＳ Ｐゴシック"/>
            <family val="3"/>
            <charset val="128"/>
          </rPr>
          <t>「情報リテラシー（文系）」2単位、「情報メディアとコミュニケーション」2単位、「図情報とコンピュータ」2単位の合計6単位を取得すること。</t>
        </r>
        <rPh sb="2" eb="4">
          <t>ガクブ</t>
        </rPh>
        <rPh sb="7" eb="9">
          <t>ガクブ</t>
        </rPh>
        <rPh sb="12" eb="14">
          <t>ガクブ</t>
        </rPh>
        <rPh sb="17" eb="19">
          <t>ガクブ</t>
        </rPh>
        <rPh sb="20" eb="24">
          <t>ガクブガクセイ</t>
        </rPh>
        <phoneticPr fontId="2"/>
      </is>
    </oc>
    <nc r="B6" t="inlineStr">
      <is>
        <r>
          <rPr>
            <sz val="12"/>
            <color rgb="FFFF0000"/>
            <rFont val="ＭＳ Ｐゴシック"/>
            <family val="3"/>
            <charset val="128"/>
          </rPr>
          <t>文学部、教育学部、法学部、経済学部の学部学生が、</t>
        </r>
        <r>
          <rPr>
            <sz val="12"/>
            <rFont val="ＭＳ Ｐゴシック"/>
            <family val="3"/>
            <charset val="128"/>
          </rPr>
          <t>「情報リテラシー（文系）」2単位、「情報メディアとコミュニケーション」2単位、「図情報とコンピュータ」2単位の合計6単位を取得すること。</t>
        </r>
        <rPh sb="0" eb="1">
          <t>ブン</t>
        </rPh>
        <rPh sb="1" eb="3">
          <t>ガクブ</t>
        </rPh>
        <rPh sb="4" eb="6">
          <t>キョウイク</t>
        </rPh>
        <rPh sb="6" eb="8">
          <t>ガクブ</t>
        </rPh>
        <rPh sb="9" eb="10">
          <t>ホウ</t>
        </rPh>
        <rPh sb="10" eb="12">
          <t>ガクブ</t>
        </rPh>
        <rPh sb="13" eb="15">
          <t>ケイザイ</t>
        </rPh>
        <rPh sb="15" eb="17">
          <t>ガクブ</t>
        </rPh>
        <rPh sb="18" eb="22">
          <t>ガクブガクセイ</t>
        </rPh>
        <phoneticPr fontId="2"/>
      </is>
    </nc>
  </rcc>
  <rcc rId="81" sId="3">
    <oc r="B6" t="inlineStr">
      <is>
        <r>
          <rPr>
            <sz val="12"/>
            <color rgb="FFFF0000"/>
            <rFont val="ＭＳ Ｐゴシック"/>
            <family val="3"/>
            <charset val="128"/>
          </rPr>
          <t>○○学部、○○学部、○○学部、○○学部の学部学生が、</t>
        </r>
        <r>
          <rPr>
            <sz val="12"/>
            <rFont val="ＭＳ Ｐゴシック"/>
            <family val="3"/>
            <charset val="128"/>
          </rPr>
          <t>「情報リテラシー（理系）」2単位、「情報科学入門」2単位の合計4単位を取得すること。</t>
        </r>
        <phoneticPr fontId="2"/>
      </is>
    </oc>
    <nc r="B6" t="inlineStr">
      <is>
        <r>
          <rPr>
            <sz val="12"/>
            <color rgb="FFFF0000"/>
            <rFont val="ＭＳ Ｐゴシック"/>
            <family val="3"/>
            <charset val="128"/>
          </rPr>
          <t>情報学部、理学部、医学部、工学部、農学部の学部学生が、</t>
        </r>
        <r>
          <rPr>
            <sz val="12"/>
            <rFont val="ＭＳ Ｐゴシック"/>
            <family val="3"/>
            <charset val="128"/>
          </rPr>
          <t>「情報リテラシー（理系）」2単位、「情報科学入門」2単位の合計4単位を取得すること。</t>
        </r>
        <rPh sb="0" eb="2">
          <t>ジョウホウ</t>
        </rPh>
        <rPh sb="5" eb="6">
          <t>リ</t>
        </rPh>
        <rPh sb="9" eb="10">
          <t>イ</t>
        </rPh>
        <rPh sb="13" eb="16">
          <t>コウガクブ</t>
        </rPh>
        <rPh sb="17" eb="20">
          <t>ノウガクブ</t>
        </rPh>
        <phoneticPr fontId="2"/>
      </is>
    </nc>
  </rcc>
  <rcc rId="82" sId="2">
    <oc r="D86" t="inlineStr">
      <is>
        <t>・情報倫理（松本サリン事件を例に） / データ倫理：プライバシー保護、著作権「情報リテラシー（文系）」（5回目）
・ELSI(データジャーナリズム、福島原子力事故に関する低線量被曝のフェイクニュースを例に)「情報リテラシー（文系）」(10～11回目)
・データバイアス「情報リテラシー（文系）」（13回目）
・メディアの利活用における倫理「情報メディアとコミュニケーション」（4回目）
・データバイアス「図情報とコンピュータ」（3回目）</t>
        <rPh sb="39" eb="41">
          <t>ジョウホウ</t>
        </rPh>
        <rPh sb="47" eb="49">
          <t>ブンケイ</t>
        </rPh>
        <rPh sb="150" eb="152">
          <t>カイメ</t>
        </rPh>
        <rPh sb="170" eb="172">
          <t>ジョウホウ</t>
        </rPh>
        <rPh sb="188" eb="190">
          <t>カイメ</t>
        </rPh>
        <rPh sb="214" eb="216">
          <t>カイメ</t>
        </rPh>
        <phoneticPr fontId="0"/>
      </is>
    </oc>
    <nc r="D86" t="inlineStr">
      <is>
        <t>・データ倫理：プライバシー保護、著作権 / 情報倫理（松本サリン事件を例に）「情報リテラシー（文系）」（5回目）
・ELSI(データジャーナリズム、福島原子力事故に関する低線量被曝のフェイクニュースを例に)「情報リテラシー（文系）」(10～11回目)
・データバイアス「情報リテラシー（文系）」（13回目）
・メディアの利活用における倫理「情報メディアとコミュニケーション」（4回目）
・データバイアス「図情報とコンピュータ」（3回目）</t>
        <rPh sb="39" eb="41">
          <t>ジョウホウ</t>
        </rPh>
        <rPh sb="47" eb="49">
          <t>ブンケイ</t>
        </rPh>
        <rPh sb="150" eb="152">
          <t>カイメ</t>
        </rPh>
        <rPh sb="170" eb="172">
          <t>ジョウホウ</t>
        </rPh>
        <rPh sb="188" eb="190">
          <t>カイメ</t>
        </rPh>
        <rPh sb="214" eb="216">
          <t>カイメ</t>
        </rPh>
        <phoneticPr fontId="0"/>
      </is>
    </nc>
  </rcc>
</revisions>
</file>

<file path=xl/revisions/revisionLog1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3" sId="3">
    <oc r="N71" t="inlineStr">
      <is>
        <t>情報学入門</t>
        <rPh sb="0" eb="5">
          <t>ジョウホウガクニュウモン</t>
        </rPh>
        <phoneticPr fontId="0"/>
      </is>
    </oc>
    <nc r="N71" t="inlineStr">
      <is>
        <t>情報科学入門</t>
        <rPh sb="0" eb="2">
          <t>ジョウホウ</t>
        </rPh>
        <rPh sb="2" eb="4">
          <t>カガク</t>
        </rPh>
        <rPh sb="4" eb="6">
          <t>ニュウモン</t>
        </rPh>
        <phoneticPr fontId="0"/>
      </is>
    </nc>
  </rcc>
</revisions>
</file>

<file path=xl/revisions/revisionLog1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84" sId="1">
    <oc r="E12" t="inlineStr">
      <is>
        <t>令和3</t>
      </is>
    </oc>
    <nc r="E12" t="inlineStr">
      <is>
        <t>令和2</t>
        <phoneticPr fontId="0"/>
      </is>
    </nc>
  </rcc>
  <rcc rId="85" sId="4" numFmtId="4">
    <nc r="G10">
      <v>0</v>
    </nc>
  </rcc>
  <rcc rId="86" sId="4" numFmtId="4">
    <nc r="G11">
      <v>0</v>
    </nc>
  </rcc>
  <rcc rId="87" sId="4" numFmtId="4">
    <nc r="G12">
      <v>0</v>
    </nc>
  </rcc>
  <rcc rId="88" sId="4" numFmtId="4">
    <nc r="G13">
      <v>0</v>
    </nc>
  </rcc>
  <rcc rId="89" sId="4" numFmtId="4">
    <nc r="G14">
      <v>0</v>
    </nc>
  </rcc>
  <rcc rId="90" sId="4" numFmtId="4">
    <nc r="G15">
      <v>0</v>
    </nc>
  </rcc>
  <rcc rId="91" sId="4" numFmtId="4">
    <nc r="G16">
      <v>0</v>
    </nc>
  </rcc>
  <rcc rId="92" sId="4" numFmtId="4">
    <nc r="G17">
      <v>0</v>
    </nc>
  </rcc>
  <rcc rId="93" sId="4" numFmtId="4">
    <nc r="G18">
      <v>0</v>
    </nc>
  </rcc>
  <rcc rId="94" sId="4" numFmtId="4">
    <nc r="H10">
      <v>0</v>
    </nc>
  </rcc>
  <rcc rId="95" sId="4" numFmtId="4">
    <nc r="H11">
      <v>0</v>
    </nc>
  </rcc>
  <rcc rId="96" sId="4" numFmtId="4">
    <nc r="H12">
      <v>0</v>
    </nc>
  </rcc>
  <rcc rId="97" sId="4" numFmtId="4">
    <nc r="H13">
      <v>0</v>
    </nc>
  </rcc>
  <rcc rId="98" sId="4" numFmtId="4">
    <nc r="H14">
      <v>0</v>
    </nc>
  </rcc>
  <rcc rId="99" sId="4" numFmtId="4">
    <nc r="H15">
      <v>0</v>
    </nc>
  </rcc>
  <rcc rId="100" sId="4" numFmtId="4">
    <nc r="H16">
      <v>0</v>
    </nc>
  </rcc>
  <rcc rId="101" sId="4" numFmtId="4">
    <nc r="H17">
      <v>0</v>
    </nc>
  </rcc>
  <rcc rId="102" sId="4" numFmtId="4">
    <nc r="H18">
      <v>0</v>
    </nc>
  </rcc>
</revisions>
</file>

<file path=xl/revisions/revisionLog1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03" sId="4" numFmtId="4">
    <oc r="E10">
      <v>152</v>
    </oc>
    <nc r="E10">
      <v>2</v>
    </nc>
  </rcc>
  <rcc rId="104" sId="4" numFmtId="4">
    <oc r="E11">
      <v>75</v>
    </oc>
    <nc r="E11">
      <v>0</v>
    </nc>
  </rcc>
  <rcc rId="105" sId="4" numFmtId="4">
    <oc r="E12">
      <v>158</v>
    </oc>
    <nc r="E12">
      <v>1</v>
    </nc>
  </rcc>
  <rcc rId="106" sId="4" numFmtId="4">
    <oc r="E13">
      <v>190</v>
    </oc>
    <nc r="E13">
      <v>0</v>
    </nc>
  </rcc>
  <rcc rId="107" sId="4" numFmtId="4">
    <oc r="E14">
      <v>48</v>
    </oc>
    <nc r="E14">
      <v>0</v>
    </nc>
  </rcc>
  <rcc rId="108" sId="4" numFmtId="4">
    <oc r="E15">
      <v>124</v>
    </oc>
    <nc r="E15">
      <v>3</v>
    </nc>
  </rcc>
  <rcc rId="109" sId="4" numFmtId="4">
    <oc r="E16">
      <v>79</v>
    </oc>
    <nc r="E16">
      <v>2</v>
    </nc>
  </rcc>
  <rcc rId="110" sId="4" numFmtId="4">
    <oc r="E17">
      <v>113</v>
    </oc>
    <nc r="E17">
      <v>1</v>
    </nc>
  </rcc>
  <rcc rId="111" sId="4" numFmtId="4">
    <oc r="E18">
      <v>20</v>
    </oc>
    <nc r="E18">
      <v>0</v>
    </nc>
  </rcc>
</revisions>
</file>

<file path=xl/revisions/revisionLog1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4" sqref="R30">
    <dxf>
      <numFmt numFmtId="177" formatCode="0.0%"/>
    </dxf>
  </rfmt>
  <rfmt sheetId="4" sqref="R30">
    <dxf>
      <numFmt numFmtId="14" formatCode="0.00%"/>
    </dxf>
  </rfmt>
  <rfmt sheetId="4" sqref="R30">
    <dxf>
      <numFmt numFmtId="177" formatCode="0.0%"/>
    </dxf>
  </rfmt>
</revisions>
</file>

<file path=xl/revisions/revisionLog1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2" sId="5">
    <oc r="B5" t="inlineStr">
      <is>
        <t>名古屋大学教養教育院統括部部門及び部会細則</t>
        <phoneticPr fontId="0"/>
      </is>
    </oc>
    <nc r="B5" t="inlineStr">
      <is>
        <t>名古屋大学教養教育院規程</t>
        <phoneticPr fontId="0"/>
      </is>
    </nc>
  </rcc>
  <rcmt sheetId="5" cell="B5" guid="{BF4219CD-6CD5-46DD-B21C-CC34A10FC576}" alwaysShow="1" author="JADB020172K" oldLength="37" newLength="57"/>
</revisions>
</file>

<file path=xl/revisions/revisionLog1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C28">
    <dxf>
      <numFmt numFmtId="177" formatCode="0.0%"/>
    </dxf>
  </rfmt>
  <rcc rId="113" sId="5" numFmtId="13">
    <oc r="F28">
      <v>0.36</v>
    </oc>
    <nc r="F28">
      <v>0.25</v>
    </nc>
  </rcc>
  <rcc rId="114" sId="5" numFmtId="13">
    <oc r="I28">
      <v>0.61</v>
    </oc>
    <nc r="I28">
      <v>0.5</v>
    </nc>
  </rcc>
  <rcc rId="115" sId="5" numFmtId="13">
    <oc r="C29">
      <v>0.86</v>
    </oc>
    <nc r="C29">
      <v>0.75</v>
    </nc>
  </rcc>
</revisions>
</file>

<file path=xl/revisions/revisionLog2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6" sId="6">
    <oc r="E13" t="inlineStr">
      <is>
        <t>各学部において、卒業時に就職先の調査を行っている。本プログラム開始は令和3年度であり、まだ卒業生が社会に出ていない状況だが、今後全学的な卒後調査の実施が予定されており、可能な範囲で活躍状況等の調査を実施する予定である。</t>
        <phoneticPr fontId="0"/>
      </is>
    </oc>
    <nc r="E13" t="inlineStr">
      <is>
        <t>各学部において、卒業時に就職先の調査を行っている。本プログラム開始は令和2年度であり、まだ卒業生が社会に出ていない状況だが、今後全学的な卒後調査の実施が予定されており、可能な範囲で活躍状況等の調査を実施する予定である。</t>
        <phoneticPr fontId="0"/>
      </is>
    </nc>
  </rcc>
  <rcmt sheetId="6" cell="E13" guid="{E4341DF6-DA75-4D65-B747-51A9422218B9}" alwaysShow="1" author="JADB020172K" oldLength="113" newLength="31"/>
</revisions>
</file>

<file path=xl/revisions/revisionLog2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7" sId="6">
    <oc r="E13" t="inlineStr">
      <is>
        <t>各学部において、卒業時に就職先の調査を行っている。本プログラム開始は令和2年度であり、まだ卒業生が社会に出ていない状況だが、今後全学的な卒後調査の実施が予定されており、可能な範囲で活躍状況等の調査を実施する予定である。</t>
        <phoneticPr fontId="0"/>
      </is>
    </oc>
    <nc r="E13" t="inlineStr">
      <is>
        <r>
          <t>各学部において、卒業時に就職先の調査を行っている。本プログラム開始は</t>
        </r>
        <r>
          <rPr>
            <sz val="12"/>
            <color rgb="FFFF0000"/>
            <rFont val="ＭＳ Ｐゴシック"/>
            <family val="3"/>
            <charset val="128"/>
          </rPr>
          <t>令和2年度</t>
        </r>
        <r>
          <rPr>
            <sz val="12"/>
            <rFont val="ＭＳ Ｐゴシック"/>
            <family val="3"/>
            <charset val="128"/>
          </rPr>
          <t>であり、</t>
        </r>
        <r>
          <rPr>
            <sz val="12"/>
            <color rgb="FFFF0000"/>
            <rFont val="ＭＳ Ｐゴシック"/>
            <family val="3"/>
            <charset val="128"/>
          </rPr>
          <t>卒業生が社会に出るのは令和6年度以降となる見込み</t>
        </r>
        <r>
          <rPr>
            <sz val="12"/>
            <rFont val="ＭＳ Ｐゴシック"/>
            <family val="3"/>
            <charset val="128"/>
          </rPr>
          <t>だが、今後全学的な卒後調査の実施が予定されており、可能な範囲で活躍状況等の調査を実施する予定である。</t>
        </r>
        <rPh sb="54" eb="56">
          <t>レイワ</t>
        </rPh>
        <rPh sb="57" eb="59">
          <t>ネンド</t>
        </rPh>
        <rPh sb="59" eb="61">
          <t>イコウ</t>
        </rPh>
        <rPh sb="64" eb="66">
          <t>ミコ</t>
        </rPh>
        <phoneticPr fontId="0"/>
      </is>
    </nc>
  </rcc>
</revisions>
</file>

<file path=xl/revisions/revisionLog2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18" sId="4" numFmtId="4">
    <oc r="G17">
      <v>0</v>
    </oc>
    <nc r="G17">
      <v>1</v>
    </nc>
  </rcc>
  <rcc rId="119" sId="4" numFmtId="4">
    <oc r="H17">
      <v>0</v>
    </oc>
    <nc r="H17">
      <v>1</v>
    </nc>
  </rcc>
  <rcc rId="120" sId="4" numFmtId="4">
    <oc r="G14">
      <v>0</v>
    </oc>
    <nc r="G14">
      <v>2</v>
    </nc>
  </rcc>
  <rcc rId="121" sId="4" numFmtId="4">
    <oc r="H14">
      <v>0</v>
    </oc>
    <nc r="H14">
      <v>2</v>
    </nc>
  </rcc>
  <rcc rId="122" sId="4" numFmtId="4">
    <oc r="G15">
      <v>0</v>
    </oc>
    <nc r="G15">
      <v>7</v>
    </nc>
  </rcc>
  <rcc rId="123" sId="4" numFmtId="4">
    <oc r="H15">
      <v>0</v>
    </oc>
    <nc r="H15">
      <v>6</v>
    </nc>
  </rcc>
</revisions>
</file>

<file path=xl/revisions/revisionLog2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24" sId="4" numFmtId="4">
    <nc r="I10">
      <v>0</v>
    </nc>
  </rcc>
  <rcc rId="125" sId="4" numFmtId="4">
    <nc r="J10">
      <v>0</v>
    </nc>
  </rcc>
  <rcc rId="126" sId="4" numFmtId="4">
    <nc r="I11">
      <v>0</v>
    </nc>
  </rcc>
  <rcc rId="127" sId="4" numFmtId="4">
    <nc r="J11">
      <v>0</v>
    </nc>
  </rcc>
  <rcc rId="128" sId="4" odxf="1" dxf="1" numFmtId="4">
    <nc r="K10">
      <v>0</v>
    </nc>
    <odxf>
      <border outline="0">
        <right style="hair">
          <color auto="1"/>
        </right>
      </border>
    </odxf>
    <ndxf>
      <border outline="0">
        <right/>
      </border>
    </ndxf>
  </rcc>
  <rcc rId="129" sId="4" odxf="1" dxf="1" numFmtId="4">
    <nc r="L10">
      <v>0</v>
    </nc>
    <odxf>
      <border outline="0">
        <left/>
      </border>
    </odxf>
    <ndxf>
      <border outline="0">
        <left style="hair">
          <color auto="1"/>
        </left>
      </border>
    </ndxf>
  </rcc>
  <rcc rId="130" sId="4" odxf="1" dxf="1" numFmtId="4">
    <nc r="K11">
      <v>0</v>
    </nc>
    <odxf>
      <border outline="0">
        <right style="hair">
          <color auto="1"/>
        </right>
      </border>
    </odxf>
    <ndxf>
      <border outline="0">
        <right/>
      </border>
    </ndxf>
  </rcc>
  <rcc rId="131" sId="4" odxf="1" dxf="1" numFmtId="4">
    <nc r="L11">
      <v>0</v>
    </nc>
    <odxf>
      <border outline="0">
        <left/>
      </border>
    </odxf>
    <ndxf>
      <border outline="0">
        <left style="hair">
          <color auto="1"/>
        </left>
      </border>
    </ndxf>
  </rcc>
  <rcc rId="132" sId="4" numFmtId="4">
    <nc r="M10">
      <v>0</v>
    </nc>
  </rcc>
  <rcc rId="133" sId="4" numFmtId="4">
    <nc r="N10">
      <v>0</v>
    </nc>
  </rcc>
  <rcc rId="134" sId="4" numFmtId="4">
    <nc r="M11">
      <v>0</v>
    </nc>
  </rcc>
  <rcc rId="135" sId="4" numFmtId="4">
    <nc r="N11">
      <v>0</v>
    </nc>
  </rcc>
  <rcc rId="136" sId="4" odxf="1" dxf="1" numFmtId="4">
    <nc r="O10">
      <v>0</v>
    </nc>
    <odxf>
      <border outline="0">
        <right style="hair">
          <color auto="1"/>
        </right>
      </border>
    </odxf>
    <ndxf>
      <border outline="0">
        <right/>
      </border>
    </ndxf>
  </rcc>
  <rcc rId="137" sId="4" odxf="1" dxf="1" numFmtId="4">
    <nc r="P10">
      <v>0</v>
    </nc>
    <odxf>
      <border outline="0">
        <left/>
      </border>
    </odxf>
    <ndxf>
      <border outline="0">
        <left style="hair">
          <color auto="1"/>
        </left>
      </border>
    </ndxf>
  </rcc>
  <rcc rId="138" sId="4" odxf="1" dxf="1" numFmtId="4">
    <nc r="O11">
      <v>0</v>
    </nc>
    <odxf>
      <border outline="0">
        <right style="hair">
          <color auto="1"/>
        </right>
      </border>
    </odxf>
    <ndxf>
      <border outline="0">
        <right/>
      </border>
    </ndxf>
  </rcc>
  <rcc rId="139" sId="4" odxf="1" dxf="1" numFmtId="4">
    <nc r="P11">
      <v>0</v>
    </nc>
    <odxf>
      <border outline="0">
        <left/>
      </border>
    </odxf>
    <ndxf>
      <border outline="0">
        <left style="hair">
          <color auto="1"/>
        </left>
      </border>
    </ndxf>
  </rcc>
  <rcc rId="140" sId="4" numFmtId="4">
    <nc r="I12">
      <v>0</v>
    </nc>
  </rcc>
  <rcc rId="141" sId="4" numFmtId="4">
    <nc r="J12">
      <v>0</v>
    </nc>
  </rcc>
  <rcc rId="142" sId="4" odxf="1" dxf="1" numFmtId="4">
    <nc r="K12">
      <v>0</v>
    </nc>
    <odxf>
      <border outline="0">
        <right style="hair">
          <color auto="1"/>
        </right>
      </border>
    </odxf>
    <ndxf>
      <border outline="0">
        <right/>
      </border>
    </ndxf>
  </rcc>
  <rcc rId="143" sId="4" odxf="1" dxf="1" numFmtId="4">
    <nc r="L12">
      <v>0</v>
    </nc>
    <odxf>
      <border outline="0">
        <left/>
      </border>
    </odxf>
    <ndxf>
      <border outline="0">
        <left style="hair">
          <color auto="1"/>
        </left>
      </border>
    </ndxf>
  </rcc>
  <rcc rId="144" sId="4" numFmtId="4">
    <nc r="M12">
      <v>0</v>
    </nc>
  </rcc>
  <rcc rId="145" sId="4" numFmtId="4">
    <nc r="N12">
      <v>0</v>
    </nc>
  </rcc>
  <rcc rId="146" sId="4" odxf="1" dxf="1" numFmtId="4">
    <nc r="O12">
      <v>0</v>
    </nc>
    <odxf>
      <border outline="0">
        <right style="hair">
          <color auto="1"/>
        </right>
      </border>
    </odxf>
    <ndxf>
      <border outline="0">
        <right/>
      </border>
    </ndxf>
  </rcc>
  <rcc rId="147" sId="4" odxf="1" dxf="1" numFmtId="4">
    <nc r="P12">
      <v>0</v>
    </nc>
    <odxf>
      <border outline="0">
        <left/>
      </border>
    </odxf>
    <ndxf>
      <border outline="0">
        <left style="hair">
          <color auto="1"/>
        </left>
      </border>
    </ndxf>
  </rcc>
  <rcc rId="148" sId="4" numFmtId="4">
    <nc r="I13">
      <v>0</v>
    </nc>
  </rcc>
  <rcc rId="149" sId="4" numFmtId="4">
    <nc r="J13">
      <v>0</v>
    </nc>
  </rcc>
  <rcc rId="150" sId="4" odxf="1" dxf="1" numFmtId="4">
    <nc r="K13">
      <v>0</v>
    </nc>
    <odxf>
      <border outline="0">
        <right style="hair">
          <color auto="1"/>
        </right>
      </border>
    </odxf>
    <ndxf>
      <border outline="0">
        <right/>
      </border>
    </ndxf>
  </rcc>
  <rcc rId="151" sId="4" odxf="1" dxf="1" numFmtId="4">
    <nc r="L13">
      <v>0</v>
    </nc>
    <odxf>
      <border outline="0">
        <left/>
      </border>
    </odxf>
    <ndxf>
      <border outline="0">
        <left style="hair">
          <color auto="1"/>
        </left>
      </border>
    </ndxf>
  </rcc>
  <rcc rId="152" sId="4" numFmtId="4">
    <nc r="M13">
      <v>0</v>
    </nc>
  </rcc>
  <rcc rId="153" sId="4" numFmtId="4">
    <nc r="N13">
      <v>0</v>
    </nc>
  </rcc>
  <rcc rId="154" sId="4" odxf="1" dxf="1" numFmtId="4">
    <nc r="O13">
      <v>0</v>
    </nc>
    <odxf>
      <border outline="0">
        <right style="hair">
          <color auto="1"/>
        </right>
      </border>
    </odxf>
    <ndxf>
      <border outline="0">
        <right/>
      </border>
    </ndxf>
  </rcc>
  <rcc rId="155" sId="4" odxf="1" dxf="1" numFmtId="4">
    <nc r="P13">
      <v>0</v>
    </nc>
    <odxf>
      <border outline="0">
        <left/>
      </border>
    </odxf>
    <ndxf>
      <border outline="0">
        <left style="hair">
          <color auto="1"/>
        </left>
      </border>
    </ndxf>
  </rcc>
  <rcc rId="156" sId="4" numFmtId="4">
    <nc r="I14">
      <v>0</v>
    </nc>
  </rcc>
  <rcc rId="157" sId="4" numFmtId="4">
    <nc r="J14">
      <v>0</v>
    </nc>
  </rcc>
  <rcc rId="158" sId="4" odxf="1" dxf="1" numFmtId="4">
    <nc r="K14">
      <v>0</v>
    </nc>
    <odxf>
      <border outline="0">
        <right style="hair">
          <color auto="1"/>
        </right>
      </border>
    </odxf>
    <ndxf>
      <border outline="0">
        <right/>
      </border>
    </ndxf>
  </rcc>
  <rcc rId="159" sId="4" odxf="1" dxf="1" numFmtId="4">
    <nc r="L14">
      <v>0</v>
    </nc>
    <odxf>
      <border outline="0">
        <left/>
      </border>
    </odxf>
    <ndxf>
      <border outline="0">
        <left style="hair">
          <color auto="1"/>
        </left>
      </border>
    </ndxf>
  </rcc>
  <rcc rId="160" sId="4" numFmtId="4">
    <nc r="M14">
      <v>0</v>
    </nc>
  </rcc>
  <rcc rId="161" sId="4" numFmtId="4">
    <nc r="N14">
      <v>0</v>
    </nc>
  </rcc>
  <rcc rId="162" sId="4" odxf="1" dxf="1" numFmtId="4">
    <nc r="O14">
      <v>0</v>
    </nc>
    <odxf>
      <border outline="0">
        <right style="hair">
          <color auto="1"/>
        </right>
      </border>
    </odxf>
    <ndxf>
      <border outline="0">
        <right/>
      </border>
    </ndxf>
  </rcc>
  <rcc rId="163" sId="4" odxf="1" dxf="1" numFmtId="4">
    <nc r="P14">
      <v>0</v>
    </nc>
    <odxf>
      <border outline="0">
        <left/>
      </border>
    </odxf>
    <ndxf>
      <border outline="0">
        <left style="hair">
          <color auto="1"/>
        </left>
      </border>
    </ndxf>
  </rcc>
  <rcc rId="164" sId="4" numFmtId="4">
    <nc r="I15">
      <v>0</v>
    </nc>
  </rcc>
  <rcc rId="165" sId="4" numFmtId="4">
    <nc r="J15">
      <v>0</v>
    </nc>
  </rcc>
  <rcc rId="166" sId="4" odxf="1" dxf="1" numFmtId="4">
    <nc r="K15">
      <v>0</v>
    </nc>
    <odxf>
      <border outline="0">
        <right style="hair">
          <color auto="1"/>
        </right>
      </border>
    </odxf>
    <ndxf>
      <border outline="0">
        <right/>
      </border>
    </ndxf>
  </rcc>
  <rcc rId="167" sId="4" odxf="1" dxf="1" numFmtId="4">
    <nc r="L15">
      <v>0</v>
    </nc>
    <odxf>
      <border outline="0">
        <left/>
      </border>
    </odxf>
    <ndxf>
      <border outline="0">
        <left style="hair">
          <color auto="1"/>
        </left>
      </border>
    </ndxf>
  </rcc>
  <rcc rId="168" sId="4" numFmtId="4">
    <nc r="M15">
      <v>0</v>
    </nc>
  </rcc>
  <rcc rId="169" sId="4" numFmtId="4">
    <nc r="N15">
      <v>0</v>
    </nc>
  </rcc>
  <rcc rId="170" sId="4" odxf="1" dxf="1" numFmtId="4">
    <nc r="O15">
      <v>0</v>
    </nc>
    <odxf>
      <border outline="0">
        <right style="hair">
          <color auto="1"/>
        </right>
      </border>
    </odxf>
    <ndxf>
      <border outline="0">
        <right/>
      </border>
    </ndxf>
  </rcc>
  <rcc rId="171" sId="4" odxf="1" dxf="1" numFmtId="4">
    <nc r="P15">
      <v>0</v>
    </nc>
    <odxf>
      <border outline="0">
        <left/>
      </border>
    </odxf>
    <ndxf>
      <border outline="0">
        <left style="hair">
          <color auto="1"/>
        </left>
      </border>
    </ndxf>
  </rcc>
  <rcc rId="172" sId="4" numFmtId="4">
    <nc r="I16">
      <v>0</v>
    </nc>
  </rcc>
  <rcc rId="173" sId="4" numFmtId="4">
    <nc r="J16">
      <v>0</v>
    </nc>
  </rcc>
  <rcc rId="174" sId="4" odxf="1" dxf="1" numFmtId="4">
    <nc r="K16">
      <v>0</v>
    </nc>
    <odxf>
      <border outline="0">
        <right style="hair">
          <color auto="1"/>
        </right>
      </border>
    </odxf>
    <ndxf>
      <border outline="0">
        <right/>
      </border>
    </ndxf>
  </rcc>
  <rcc rId="175" sId="4" odxf="1" dxf="1" numFmtId="4">
    <nc r="L16">
      <v>0</v>
    </nc>
    <odxf>
      <border outline="0">
        <left/>
      </border>
    </odxf>
    <ndxf>
      <border outline="0">
        <left style="hair">
          <color auto="1"/>
        </left>
      </border>
    </ndxf>
  </rcc>
  <rcc rId="176" sId="4" numFmtId="4">
    <nc r="M16">
      <v>0</v>
    </nc>
  </rcc>
  <rcc rId="177" sId="4" numFmtId="4">
    <nc r="N16">
      <v>0</v>
    </nc>
  </rcc>
  <rcc rId="178" sId="4" odxf="1" dxf="1" numFmtId="4">
    <nc r="O16">
      <v>0</v>
    </nc>
    <odxf>
      <border outline="0">
        <right style="hair">
          <color auto="1"/>
        </right>
      </border>
    </odxf>
    <ndxf>
      <border outline="0">
        <right/>
      </border>
    </ndxf>
  </rcc>
  <rcc rId="179" sId="4" odxf="1" dxf="1" numFmtId="4">
    <nc r="P16">
      <v>0</v>
    </nc>
    <odxf>
      <border outline="0">
        <left/>
      </border>
    </odxf>
    <ndxf>
      <border outline="0">
        <left style="hair">
          <color auto="1"/>
        </left>
      </border>
    </ndxf>
  </rcc>
  <rcc rId="180" sId="4" numFmtId="4">
    <nc r="I17">
      <v>0</v>
    </nc>
  </rcc>
  <rcc rId="181" sId="4" numFmtId="4">
    <nc r="J17">
      <v>0</v>
    </nc>
  </rcc>
  <rcc rId="182" sId="4" odxf="1" dxf="1" numFmtId="4">
    <nc r="K17">
      <v>0</v>
    </nc>
    <odxf>
      <border outline="0">
        <right style="hair">
          <color auto="1"/>
        </right>
      </border>
    </odxf>
    <ndxf>
      <border outline="0">
        <right/>
      </border>
    </ndxf>
  </rcc>
  <rcc rId="183" sId="4" odxf="1" dxf="1" numFmtId="4">
    <nc r="L17">
      <v>0</v>
    </nc>
    <odxf>
      <border outline="0">
        <left/>
      </border>
    </odxf>
    <ndxf>
      <border outline="0">
        <left style="hair">
          <color auto="1"/>
        </left>
      </border>
    </ndxf>
  </rcc>
  <rcc rId="184" sId="4" numFmtId="4">
    <nc r="M17">
      <v>0</v>
    </nc>
  </rcc>
  <rcc rId="185" sId="4" numFmtId="4">
    <nc r="N17">
      <v>0</v>
    </nc>
  </rcc>
  <rcc rId="186" sId="4" odxf="1" dxf="1" numFmtId="4">
    <nc r="O17">
      <v>0</v>
    </nc>
    <odxf>
      <border outline="0">
        <right style="hair">
          <color auto="1"/>
        </right>
      </border>
    </odxf>
    <ndxf>
      <border outline="0">
        <right/>
      </border>
    </ndxf>
  </rcc>
  <rcc rId="187" sId="4" odxf="1" dxf="1" numFmtId="4">
    <nc r="P17">
      <v>0</v>
    </nc>
    <odxf>
      <border outline="0">
        <left/>
      </border>
    </odxf>
    <ndxf>
      <border outline="0">
        <left style="hair">
          <color auto="1"/>
        </left>
      </border>
    </ndxf>
  </rcc>
  <rcc rId="188" sId="4" numFmtId="4">
    <nc r="I18">
      <v>0</v>
    </nc>
  </rcc>
  <rcc rId="189" sId="4" numFmtId="4">
    <nc r="J18">
      <v>0</v>
    </nc>
  </rcc>
  <rcc rId="190" sId="4" odxf="1" dxf="1" numFmtId="4">
    <nc r="K18">
      <v>0</v>
    </nc>
    <odxf>
      <border outline="0">
        <right style="hair">
          <color auto="1"/>
        </right>
      </border>
    </odxf>
    <ndxf>
      <border outline="0">
        <right/>
      </border>
    </ndxf>
  </rcc>
  <rcc rId="191" sId="4" odxf="1" dxf="1" numFmtId="4">
    <nc r="L18">
      <v>0</v>
    </nc>
    <odxf>
      <border outline="0">
        <left/>
      </border>
    </odxf>
    <ndxf>
      <border outline="0">
        <left style="hair">
          <color auto="1"/>
        </left>
      </border>
    </ndxf>
  </rcc>
  <rcc rId="192" sId="4" numFmtId="4">
    <nc r="M18">
      <v>0</v>
    </nc>
  </rcc>
  <rcc rId="193" sId="4" numFmtId="4">
    <nc r="N18">
      <v>0</v>
    </nc>
  </rcc>
  <rcc rId="194" sId="4" odxf="1" dxf="1" numFmtId="4">
    <nc r="O18">
      <v>0</v>
    </nc>
    <odxf>
      <border outline="0">
        <right style="hair">
          <color auto="1"/>
        </right>
      </border>
    </odxf>
    <ndxf>
      <border outline="0">
        <right/>
      </border>
    </ndxf>
  </rcc>
  <rcc rId="195" sId="4" odxf="1" dxf="1" numFmtId="4">
    <nc r="P18">
      <v>0</v>
    </nc>
    <odxf>
      <border outline="0">
        <left/>
      </border>
    </odxf>
    <ndxf>
      <border outline="0">
        <left style="hair">
          <color auto="1"/>
        </left>
      </border>
    </ndxf>
  </rcc>
</revisions>
</file>

<file path=xl/revisions/revisionLog2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6" sId="6">
    <oc r="E13" t="inlineStr">
      <is>
        <r>
          <t>各学部において、卒業時に就職先の調査を行っている。本プログラム開始は</t>
        </r>
        <r>
          <rPr>
            <sz val="12"/>
            <color rgb="FFFF0000"/>
            <rFont val="ＭＳ Ｐゴシック"/>
            <family val="3"/>
            <charset val="128"/>
          </rPr>
          <t>令和2年度</t>
        </r>
        <r>
          <rPr>
            <sz val="12"/>
            <rFont val="ＭＳ Ｐゴシック"/>
            <family val="3"/>
            <charset val="128"/>
          </rPr>
          <t>であり、</t>
        </r>
        <r>
          <rPr>
            <sz val="12"/>
            <color rgb="FFFF0000"/>
            <rFont val="ＭＳ Ｐゴシック"/>
            <family val="3"/>
            <charset val="128"/>
          </rPr>
          <t>卒業生が社会に出るのは令和6年度以降となる見込み</t>
        </r>
        <r>
          <rPr>
            <sz val="12"/>
            <rFont val="ＭＳ Ｐゴシック"/>
            <family val="3"/>
            <charset val="128"/>
          </rPr>
          <t>だが、今後全学的な卒後調査の実施が予定されており、可能な範囲で活躍状況等の調査を実施する予定である。</t>
        </r>
        <rPh sb="54" eb="56">
          <t>レイワ</t>
        </rPh>
        <rPh sb="57" eb="59">
          <t>ネンド</t>
        </rPh>
        <rPh sb="59" eb="61">
          <t>イコウ</t>
        </rPh>
        <rPh sb="64" eb="66">
          <t>ミコ</t>
        </rPh>
        <phoneticPr fontId="2"/>
      </is>
    </oc>
    <nc r="E13" t="inlineStr">
      <is>
        <r>
          <t>各学部において、卒業時に就職先の調査を行っている。本プログラム開始は</t>
        </r>
        <r>
          <rPr>
            <sz val="12"/>
            <color rgb="FFFF0000"/>
            <rFont val="ＭＳ Ｐゴシック"/>
            <family val="3"/>
            <charset val="128"/>
          </rPr>
          <t>令和2年度</t>
        </r>
        <r>
          <rPr>
            <sz val="12"/>
            <rFont val="ＭＳ Ｐゴシック"/>
            <family val="3"/>
            <charset val="128"/>
          </rPr>
          <t>であり、</t>
        </r>
        <r>
          <rPr>
            <sz val="12"/>
            <color rgb="FFFF0000"/>
            <rFont val="ＭＳ Ｐゴシック"/>
            <family val="3"/>
            <charset val="128"/>
          </rPr>
          <t>卒業生が社会に出るのは令和4年度以降となる見込み</t>
        </r>
        <r>
          <rPr>
            <sz val="12"/>
            <rFont val="ＭＳ Ｐゴシック"/>
            <family val="3"/>
            <charset val="128"/>
          </rPr>
          <t>だが、今後全学的な卒後調査の実施が予定されており、可能な範囲で活躍状況等の調査を実施する予定である。</t>
        </r>
        <rPh sb="54" eb="56">
          <t>レイワ</t>
        </rPh>
        <rPh sb="57" eb="59">
          <t>ネンド</t>
        </rPh>
        <rPh sb="59" eb="61">
          <t>イコウ</t>
        </rPh>
        <rPh sb="64" eb="66">
          <t>ミコ</t>
        </rPh>
        <phoneticPr fontId="2"/>
      </is>
    </nc>
  </rcc>
  <rcmt sheetId="4" cell="G10" guid="{0FC2EF2A-2589-484D-8FDC-EF902B3BA773}" alwaysShow="1" author="JADB020172K" oldLength="193" newLength="53"/>
</revisions>
</file>

<file path=xl/revisions/revisionLog2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197" sId="6">
    <oc r="E7" t="inlineStr">
      <is>
        <t>教養教育院統括部に設置された部会において、プログラムの履修・取得状況の分析を実施している。全学向け教育学習支援システム NUCTの活用により、受講者ごとの課題への回答状況や講義教材ごとの視聴状況を把握している。全学教育科目として従来から開講している「情報リテラシー（文系）」等の情報科学に関する科目に加え、令和4年度から「特別講義（データ科学基礎）」を全学必修の科目として開講する。</t>
        <phoneticPr fontId="0"/>
      </is>
    </oc>
    <nc r="E7" t="inlineStr">
      <is>
        <t>教養教育院統括部に設置された部会において、プログラムの履修・取得状況の分析を実施している。全学向け教育学習支援システム NUCTの活用により、受講者ごとの課題への回答状況を把握している。全学教育科目として従来から開講している「情報リテラシー（文系）」等の情報科学に関する科目に加え、令和4年度から「特別講義（データ科学基礎）」を全学必修の科目として開講する。</t>
        <phoneticPr fontId="0"/>
      </is>
    </nc>
  </rcc>
  <rfmt sheetId="5" sqref="B31:J44">
    <dxf>
      <alignment shrinkToFit="0"/>
    </dxf>
  </rfmt>
  <rfmt sheetId="5" sqref="B31:J44">
    <dxf>
      <alignment wrapText="1"/>
    </dxf>
  </rfmt>
  <rdn rId="0" localSheetId="1" customView="1" name="Z_AB72F774_B35A_46F0_BC4F_A888CB0430C3_.wvu.PrintArea" hidden="1" oldHidden="1">
    <formula>'様式１　大学等概要'!$A$1:$N$45</formula>
  </rdn>
  <rdn rId="0" localSheetId="2" customView="1" name="Z_AB72F774_B35A_46F0_BC4F_A888CB0430C3_.wvu.PrintArea" hidden="1" oldHidden="1">
    <formula>'様式２-１　プログラムを構成する授業科目'!$A$1:$Z$98</formula>
  </rdn>
  <rdn rId="0" localSheetId="3" customView="1" name="Z_AB72F774_B35A_46F0_BC4F_A888CB0430C3_.wvu.PrintArea" hidden="1" oldHidden="1">
    <formula>'様式２-２　プログラムを構成する授業科目'!$A$1:$Z$98</formula>
  </rdn>
  <rdn rId="0" localSheetId="4" customView="1" name="Z_AB72F774_B35A_46F0_BC4F_A888CB0430C3_.wvu.PrintArea" hidden="1" oldHidden="1">
    <formula>'様式３　履修者等数の実績'!$A$1:$R$30</formula>
  </rdn>
  <rdn rId="0" localSheetId="5" customView="1" name="Z_AB72F774_B35A_46F0_BC4F_A888CB0430C3_.wvu.PrintArea" hidden="1" oldHidden="1">
    <formula>'様式４　教育の質・履修者数を向上させるための体制・計画'!$A$1:$J$130</formula>
  </rdn>
  <rdn rId="0" localSheetId="6" customView="1" name="Z_AB72F774_B35A_46F0_BC4F_A888CB0430C3_.wvu.PrintArea" hidden="1" oldHidden="1">
    <formula>'様式５　自己点検・評価'!$A$1:$J$18</formula>
  </rdn>
  <rdn rId="0" localSheetId="7" customView="1" name="Z_AB72F774_B35A_46F0_BC4F_A888CB0430C3_.wvu.PrintArea" hidden="1" oldHidden="1">
    <formula>'様式６　特色ある取組'!$A$1:$F$124</formula>
  </rdn>
  <rcv guid="{AB72F774-B35A-46F0-BC4F-A888CB0430C3}" action="add"/>
</revisions>
</file>

<file path=xl/revisions/revisionLog2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5" sId="6">
    <oc r="E8" t="inlineStr">
      <is>
        <t>教養教育院において受講者に対して実施している学修確認調査(授業評価アンケート)の結果を分析することによって、学生の理解度を把握することができる。また、学生の所属・学年別での修了状況や、NUCT上で実施した小テストの講義テーマごとの合格状況を分析することにより、授業の難易度に問題が無いかを確認している。これらの分析結果は、数理データ科学教育研究センター教育専門委員会と共有し、本教育プログラムの評価・改善に活用している。</t>
      </is>
    </oc>
    <nc r="E8" t="inlineStr">
      <is>
        <t>教養教育院において受講者に対して実施している学修確認調査(授業評価アンケート)の結果を分析することによって、学生の理解度を把握することができる。また、学生の所属・学年別での修了状況や、NUCT上で実施した小テストの講義テーマごとの合格状況を分析することにより、授業の難易度に問題が無いかを確認している。これらの分析結果は、数理データ科学教育研究センター教育専門委員会と共有し、本教育プログラムの評価・改善に活用している。</t>
        <phoneticPr fontId="0"/>
      </is>
    </nc>
  </rcc>
  <rcc rId="206" sId="6">
    <oc r="E7" t="inlineStr">
      <is>
        <t>教養教育院統括部に設置された部会において、プログラムの履修・取得状況の分析を実施している。全学向け教育学習支援システム NUCTの活用により、受講者ごとの課題への回答状況を把握している。全学教育科目として従来から開講している「情報リテラシー（文系）」等の情報科学に関する科目に加え、令和4年度から「特別講義（データ科学基礎）」を全学必修の科目として開講する。</t>
        <phoneticPr fontId="0"/>
      </is>
    </oc>
    <nc r="E7" t="inlineStr">
      <is>
        <t>教養教育院統括部に設置された部会において、プログラムの履修・修得状況の分析を実施している。全学向け教育学習支援システム NUCTの活用により、受講者ごとの課題への回答状況を把握している。全学教育科目として従来から開講している「情報リテラシー（文系）」等の情報科学に関する科目に加え、令和4年度から「特別講義（データ科学基礎）」を全学必修の科目として開講する。</t>
        <rPh sb="30" eb="32">
          <t>シュウトク</t>
        </rPh>
        <phoneticPr fontId="0"/>
      </is>
    </nc>
  </rcc>
</revisions>
</file>

<file path=xl/revisions/revisionLog2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7" sId="6">
    <oc r="E8" t="inlineStr">
      <is>
        <t>教養教育院において受講者に対して実施している学修確認調査(授業評価アンケート)の結果を分析することによって、学生の理解度を把握することができる。また、学生の所属・学年別での修了状況や、NUCT上で実施した小テストの講義テーマごとの合格状況を分析することにより、授業の難易度に問題が無いかを確認している。これらの分析結果は、数理データ科学教育研究センター教育専門委員会と共有し、本教育プログラムの評価・改善に活用している。</t>
        <phoneticPr fontId="0"/>
      </is>
    </oc>
    <nc r="E8" t="inlineStr">
      <is>
        <t>教養教育院において受講者に対して実施している学修確認調査(授業評価アンケート)の結果を分析することによって、学生の理解度を把握することができる。また、学生の所属・学年別での修了状況や、NUCT上で実施した課題への回答状況を分析することにより、授業の難易度に問題が無いかを確認している。これらの分析結果は、数理データ科学教育研究センター教育専門委員会と共有し、本教育プログラムの評価・改善に活用している。</t>
        <rPh sb="102" eb="104">
          <t>カダイ</t>
        </rPh>
        <phoneticPr fontId="0"/>
      </is>
    </nc>
  </rcc>
</revisions>
</file>

<file path=xl/revisions/revisionLog2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8" sId="6">
    <oc r="E9" t="inlineStr">
      <is>
        <t>授業評価アンケートを通じて、学生の理解度を把握している。授業内容を理解できたかを問う設問において、3分の1の受講生が「あてはまる」、3分の2の受講生が「ややあてはまる」と回答し、「あまりあてはまらない」「あてはまらない」を選択した学生はいなかったことから、授業の難易度は適切であると考えられる。</t>
      </is>
    </oc>
    <nc r="E9" t="inlineStr">
      <is>
        <t>授業評価アンケートを通じて、学生の理解度を把握している。授業内容を理解できたかを問う設問において、93.4%の受講生が「あてはまる」または「ややあてはまる」と回答し、「あまりあてはまらない」「あてはまらない」を選択した学生はいなかったことから、授業の難易度は適切であると考えられる。</t>
        <phoneticPr fontId="0"/>
      </is>
    </nc>
  </rcc>
</revisions>
</file>

<file path=xl/revisions/revisionLog2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09" sId="6">
    <oc r="E9" t="inlineStr">
      <is>
        <t>授業評価アンケートを通じて、学生の理解度を把握している。授業内容を理解できたかを問う設問において、93.4%の受講生が「あてはまる」または「ややあてはまる」と回答し、「あまりあてはまらない」「あてはまらない」を選択した学生はいなかったことから、授業の難易度は適切であると考えられる。</t>
        <phoneticPr fontId="0"/>
      </is>
    </oc>
    <nc r="E9" t="inlineStr">
      <is>
        <t>授業評価アンケートを通じて、学生の理解度を把握している。授業内容を理解できたかを問う設問において、93.4%の受講生が「あてはまる」または「ややあてはまる」と回答したことから、授業の難易度は適切であると考えられる。また、令和4年度から当プログラムを構成する科目となる「データ科学基礎」についてもアンケートの分析を行い、</t>
        <rPh sb="110" eb="112">
          <t>レイワ</t>
        </rPh>
        <rPh sb="113" eb="115">
          <t>ネンド</t>
        </rPh>
        <phoneticPr fontId="0"/>
      </is>
    </nc>
  </rcc>
</revisions>
</file>

<file path=xl/revisions/revisionLog3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0" sId="6">
    <oc r="E9" t="inlineStr">
      <is>
        <t>授業評価アンケートを通じて、学生の理解度を把握している。授業内容を理解できたかを問う設問において、93.4%の受講生が「あてはまる」または「ややあてはまる」と回答したことから、授業の難易度は適切であると考えられる。また、令和4年度から当プログラムを構成する科目となる「データ科学基礎」についてもアンケートの分析を行い、</t>
        <rPh sb="110" eb="112">
          <t>レイワ</t>
        </rPh>
        <rPh sb="113" eb="115">
          <t>ネンド</t>
        </rPh>
        <phoneticPr fontId="0"/>
      </is>
    </oc>
    <nc r="E9" t="inlineStr">
      <is>
        <t>授業評価アンケートを通じて、学生の理解度を把握している。授業内容を理解できたかを問う設問において、93.4%の受講生が「あてはまる」または「ややあてはまる」と回答したことから、授業の難易度は適切であると考えられる。また、令和4年度から当プログラムを構成する科目となる「データ科学基礎」についても令和3年度のアンケート結果の分析を行い、100%の受講生が「あてはまる」または「ややあてはまる」と回答したことから、新カリキュラムにおいても学生が内容を十分に理解できていることを確認した。</t>
        <rPh sb="110" eb="112">
          <t>レイワ</t>
        </rPh>
        <rPh sb="113" eb="115">
          <t>ネンド</t>
        </rPh>
        <rPh sb="147" eb="149">
          <t>レイワ</t>
        </rPh>
        <rPh sb="150" eb="152">
          <t>ネンド</t>
        </rPh>
        <rPh sb="158" eb="160">
          <t>ケッカ</t>
        </rPh>
        <rPh sb="172" eb="175">
          <t>ジュコウセイ</t>
        </rPh>
        <rPh sb="205" eb="206">
          <t>シン</t>
        </rPh>
        <rPh sb="217" eb="219">
          <t>ガクセイ</t>
        </rPh>
        <rPh sb="220" eb="222">
          <t>ナイヨウ</t>
        </rPh>
        <rPh sb="223" eb="225">
          <t>ジュウブン</t>
        </rPh>
        <rPh sb="226" eb="228">
          <t>リカイ</t>
        </rPh>
        <rPh sb="236" eb="238">
          <t>カクニン</t>
        </rPh>
        <phoneticPr fontId="0"/>
      </is>
    </nc>
  </rcc>
</revisions>
</file>

<file path=xl/revisions/revisionLog3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1" sId="6">
    <oc r="E11" t="inlineStr">
      <is>
        <t>令和4年度から「データ科学基礎」を全学必修とすることが決定しており、履修者数、履修率の向上に向けて取り組んでいる。
また、教養教育院統括部に設置された部会において授業方法や教材の見直しを行うことで、教育の質の確保を図り、学生の修了率を向上させる。</t>
      </is>
    </oc>
    <nc r="E11" t="inlineStr">
      <is>
        <t>令和4年度から「データ科学基礎」を全学必修とすることが決定しており、履修者数、履修率の向上に向けて取り組んでいる。
また、教養教育院統括部に設置された部会において授業方法や教材の見直しを行うことで、教育の質の確保を図り、学生の修了率を向上させる。</t>
        <phoneticPr fontId="0"/>
      </is>
    </nc>
  </rcc>
  <rcc rId="212" sId="6">
    <oc r="E14" t="inlineStr">
      <is>
        <t>令和3年度に、監査法人トーマツに委託し、東海地域の企業7社（支社を含む）に対して大学の数理・データサイエンス・AI教育への期待、協業の希望等についてヒアリングを実施した。得られた意見は、今後の地域連携体制の構築や、カリキュラム・教材の改善の参考とする。</t>
      </is>
    </oc>
    <nc r="E14" t="inlineStr">
      <is>
        <t>令和3年度に、監査法人トーマツに委託し、東海地域の企業7社（支社を含む）に対して大学の数理・データサイエンス・AI教育への期待、協業の希望等についてヒアリングを実施した。得られた意見は、今後の地域連携体制の構築や、カリキュラム・教材の改善の参考とする。</t>
        <phoneticPr fontId="0"/>
      </is>
    </nc>
  </rcc>
</revisions>
</file>

<file path=xl/revisions/revisionLog3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3" sId="6">
    <oc r="E16" t="inlineStr">
      <is>
        <t>教養教育院統括部に設置された部会において、学生の修了状況や、課題の解答状況、授業評価アンケートの結果の分析を行い、「わかりやすさ」の観点から教材や授業実施方法の改善策を検討している。また、定期的に授業担当教員へのFDを行うことにより、授業の水準の維持・向上を図っている。</t>
        <rPh sb="30" eb="32">
          <t>カダイ</t>
        </rPh>
        <rPh sb="33" eb="35">
          <t>カイトウ</t>
        </rPh>
        <phoneticPr fontId="0"/>
      </is>
    </oc>
    <nc r="E16" t="inlineStr">
      <is>
        <t>教養教育院統括部に設置された部会において、学生の修了状況や、課題の解答状況、授業評価アンケートの結果の分析を行い、「分かりやすさ」の観点から教材や授業実施方法の改善策を検討している。また、定期的に授業担当教員へのFDを行うことにより、授業の水準の維持・向上を図っている。</t>
        <rPh sb="30" eb="32">
          <t>カダイ</t>
        </rPh>
        <rPh sb="33" eb="35">
          <t>カイトウ</t>
        </rPh>
        <rPh sb="58" eb="59">
          <t>ワ</t>
        </rPh>
        <phoneticPr fontId="0"/>
      </is>
    </nc>
  </rcc>
</revisions>
</file>

<file path=xl/revisions/revisionLog3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4" sId="2">
    <oc r="B93" t="inlineStr">
      <is>
        <t>社会の様々な場面で新しい価値を生み出す基盤となるデータ分析能力を身につけるために、その基礎的知識と汎用的な分析技能を獲得する。</t>
      </is>
    </oc>
    <nc r="B93" t="inlineStr">
      <is>
        <t>社会の様々な場面で新しい価値を生み出す基盤となるデータ分析能力を身につけるために、その基礎的知識と汎用的な分析技能を獲得する。</t>
        <phoneticPr fontId="0"/>
      </is>
    </nc>
  </rcc>
</revisions>
</file>

<file path=xl/revisions/revisionLog3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15" sId="3">
    <oc r="B98" t="inlineStr">
      <is>
        <t>https://www.mds.nagoya-u.ac.jp/literacy/</t>
        <phoneticPr fontId="0"/>
      </is>
    </oc>
    <nc r="B98" t="inlineStr">
      <is>
        <t>https://www.mds.nagoya-u.ac.jp/mda-program/</t>
        <phoneticPr fontId="0"/>
      </is>
    </nc>
  </rcc>
  <rcv guid="{F66F98FB-58AD-4588-B2BF-A96D7B6BA538}" action="delete"/>
  <rdn rId="0" localSheetId="1" customView="1" name="Z_F66F98FB_58AD_4588_B2BF_A96D7B6BA538_.wvu.PrintArea" hidden="1" oldHidden="1">
    <formula>'様式１　大学等概要'!$A$1:$N$45</formula>
    <oldFormula>'様式１　大学等概要'!$A$1:$N$45</oldFormula>
  </rdn>
  <rdn rId="0" localSheetId="2" customView="1" name="Z_F66F98FB_58AD_4588_B2BF_A96D7B6BA538_.wvu.PrintArea" hidden="1" oldHidden="1">
    <formula>'様式２-１　プログラムを構成する授業科目'!$A$1:$Z$98</formula>
    <oldFormula>'様式２-１　プログラムを構成する授業科目'!$A$1:$Z$98</oldFormula>
  </rdn>
  <rdn rId="0" localSheetId="3" customView="1" name="Z_F66F98FB_58AD_4588_B2BF_A96D7B6BA538_.wvu.PrintArea" hidden="1" oldHidden="1">
    <formula>'様式２-２　プログラムを構成する授業科目'!$A$1:$Z$98</formula>
    <oldFormula>'様式２-２　プログラムを構成する授業科目'!$A$1:$Z$98</oldFormula>
  </rdn>
  <rdn rId="0" localSheetId="4" customView="1" name="Z_F66F98FB_58AD_4588_B2BF_A96D7B6BA538_.wvu.PrintArea" hidden="1" oldHidden="1">
    <formula>'様式３　履修者等数の実績'!$A$1:$R$30</formula>
    <oldFormula>'様式３　履修者等数の実績'!$A$1:$R$30</oldFormula>
  </rdn>
  <rdn rId="0" localSheetId="5" customView="1" name="Z_F66F98FB_58AD_4588_B2BF_A96D7B6BA538_.wvu.PrintArea" hidden="1" oldHidden="1">
    <formula>'様式４　教育の質・履修者数を向上させるための体制・計画'!$A$1:$J$130</formula>
    <oldFormula>'様式４　教育の質・履修者数を向上させるための体制・計画'!$A$1:$J$130</oldFormula>
  </rdn>
  <rdn rId="0" localSheetId="6" customView="1" name="Z_F66F98FB_58AD_4588_B2BF_A96D7B6BA538_.wvu.PrintArea" hidden="1" oldHidden="1">
    <formula>'様式５　自己点検・評価'!$A$1:$J$18</formula>
    <oldFormula>'様式５　自己点検・評価'!$A$1:$J$18</oldFormula>
  </rdn>
  <rdn rId="0" localSheetId="7" customView="1" name="Z_F66F98FB_58AD_4588_B2BF_A96D7B6BA538_.wvu.PrintArea" hidden="1" oldHidden="1">
    <formula>'様式６　特色ある取組'!$A$1:$F$124</formula>
    <oldFormula>'様式６　特色ある取組'!$A$1:$F$124</oldFormula>
  </rdn>
  <rcv guid="{F66F98FB-58AD-4588-B2BF-A96D7B6BA538}" action="add"/>
</revisions>
</file>

<file path=xl/revisions/revisionLog3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3" sId="6">
    <oc r="G18" t="inlineStr">
      <is>
        <t>https://www.mds.nagoya-u.ac.jp/literacy</t>
      </is>
    </oc>
    <nc r="G18" t="inlineStr">
      <is>
        <t>https://www.mds.nagoya-u.ac.jp/mda-program/</t>
        <phoneticPr fontId="0"/>
      </is>
    </nc>
  </rcc>
  <rfmt sheetId="3" sqref="B98:Z98" start="0" length="2147483647">
    <dxf>
      <font>
        <color auto="1"/>
        <family val="3"/>
      </font>
    </dxf>
  </rfmt>
</revisions>
</file>

<file path=xl/revisions/revisionLog3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4" sId="4" numFmtId="4">
    <oc r="E14">
      <v>0</v>
    </oc>
    <nc r="E14">
      <v>2</v>
    </nc>
  </rcc>
  <rcc rId="225" sId="4" numFmtId="4">
    <oc r="F14">
      <v>0</v>
    </oc>
    <nc r="F14">
      <v>2</v>
    </nc>
  </rcc>
</revisions>
</file>

<file path=xl/revisions/revisionLog3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26" sId="3">
    <oc r="B6" t="inlineStr">
      <is>
        <r>
          <rPr>
            <sz val="12"/>
            <color rgb="FFFF0000"/>
            <rFont val="ＭＳ Ｐゴシック"/>
            <family val="3"/>
            <charset val="128"/>
          </rPr>
          <t>情報学部、理学部、医学部、工学部、農学部の学部学生が、</t>
        </r>
        <r>
          <rPr>
            <sz val="12"/>
            <rFont val="ＭＳ Ｐゴシック"/>
            <family val="3"/>
            <charset val="128"/>
          </rPr>
          <t>「情報リテラシー（理系）」2単位、「情報科学入門」2単位の合計4単位を取得すること。</t>
        </r>
        <rPh sb="0" eb="2">
          <t>ジョウホウ</t>
        </rPh>
        <rPh sb="5" eb="6">
          <t>リ</t>
        </rPh>
        <rPh sb="9" eb="10">
          <t>イ</t>
        </rPh>
        <rPh sb="13" eb="16">
          <t>コウガクブ</t>
        </rPh>
        <rPh sb="17" eb="20">
          <t>ノウガクブ</t>
        </rPh>
        <phoneticPr fontId="2"/>
      </is>
    </oc>
    <nc r="B6" t="inlineStr">
      <is>
        <r>
          <rPr>
            <sz val="12"/>
            <color rgb="FFFF0000"/>
            <rFont val="ＭＳ Ｐゴシック"/>
            <family val="3"/>
            <charset val="128"/>
          </rPr>
          <t>情報学部（自然情報学科、コンピュータ科学科）、理学部、医学部、工学部、農学部の学部学生が、</t>
        </r>
        <r>
          <rPr>
            <sz val="12"/>
            <rFont val="ＭＳ Ｐゴシック"/>
            <family val="3"/>
            <charset val="128"/>
          </rPr>
          <t>「情報リテラシー（理系）」2単位、「情報科学入門」2単位の合計4単位を取得すること。</t>
        </r>
        <rPh sb="0" eb="2">
          <t>ジョウホウ</t>
        </rPh>
        <rPh sb="23" eb="24">
          <t>リ</t>
        </rPh>
        <rPh sb="27" eb="28">
          <t>イ</t>
        </rPh>
        <rPh sb="31" eb="34">
          <t>コウガクブ</t>
        </rPh>
        <rPh sb="35" eb="38">
          <t>ノウガクブ</t>
        </rPh>
        <phoneticPr fontId="2"/>
      </is>
    </nc>
  </rcc>
  <rcc rId="227" sId="2">
    <oc r="B6" t="inlineStr">
      <is>
        <r>
          <rPr>
            <sz val="12"/>
            <color rgb="FFFF0000"/>
            <rFont val="ＭＳ Ｐゴシック"/>
            <family val="3"/>
            <charset val="128"/>
          </rPr>
          <t>文学部、教育学部、法学部、経済学部の学部学生が、</t>
        </r>
        <r>
          <rPr>
            <sz val="12"/>
            <rFont val="ＭＳ Ｐゴシック"/>
            <family val="3"/>
            <charset val="128"/>
          </rPr>
          <t>「情報リテラシー（文系）」2単位、「情報メディアとコミュニケーション」2単位、「図情報とコンピュータ」2単位の合計6単位を取得すること。</t>
        </r>
        <rPh sb="0" eb="1">
          <t>ブン</t>
        </rPh>
        <rPh sb="1" eb="3">
          <t>ガクブ</t>
        </rPh>
        <rPh sb="4" eb="6">
          <t>キョウイク</t>
        </rPh>
        <rPh sb="6" eb="8">
          <t>ガクブ</t>
        </rPh>
        <rPh sb="9" eb="10">
          <t>ホウ</t>
        </rPh>
        <rPh sb="10" eb="12">
          <t>ガクブ</t>
        </rPh>
        <rPh sb="13" eb="15">
          <t>ケイザイ</t>
        </rPh>
        <rPh sb="15" eb="17">
          <t>ガクブ</t>
        </rPh>
        <rPh sb="18" eb="22">
          <t>ガクブガクセイ</t>
        </rPh>
        <phoneticPr fontId="2"/>
      </is>
    </oc>
    <nc r="B6" t="inlineStr">
      <is>
        <r>
          <rPr>
            <sz val="12"/>
            <color rgb="FFFF0000"/>
            <rFont val="ＭＳ Ｐゴシック"/>
            <family val="3"/>
            <charset val="128"/>
          </rPr>
          <t>文学部、教育学部、法学部、経済学部、情報学部（人間・社会情報学科）の学部学生が、</t>
        </r>
        <r>
          <rPr>
            <sz val="12"/>
            <rFont val="ＭＳ Ｐゴシック"/>
            <family val="3"/>
            <charset val="128"/>
          </rPr>
          <t>「情報リテラシー（文系）」2単位、「情報メディアとコミュニケーション」2単位、「図情報とコンピュータ」2単位の合計6単位を取得すること。</t>
        </r>
        <rPh sb="0" eb="1">
          <t>ブン</t>
        </rPh>
        <rPh sb="1" eb="3">
          <t>ガクブ</t>
        </rPh>
        <rPh sb="4" eb="6">
          <t>キョウイク</t>
        </rPh>
        <rPh sb="6" eb="8">
          <t>ガクブ</t>
        </rPh>
        <rPh sb="9" eb="10">
          <t>ホウ</t>
        </rPh>
        <rPh sb="10" eb="12">
          <t>ガクブ</t>
        </rPh>
        <rPh sb="13" eb="15">
          <t>ケイザイ</t>
        </rPh>
        <rPh sb="15" eb="17">
          <t>ガクブ</t>
        </rPh>
        <rPh sb="18" eb="20">
          <t>ジョウホウ</t>
        </rPh>
        <rPh sb="20" eb="22">
          <t>ガクブ</t>
        </rPh>
        <rPh sb="34" eb="38">
          <t>ガクブガクセイ</t>
        </rPh>
        <phoneticPr fontId="2"/>
      </is>
    </nc>
  </rcc>
</revisions>
</file>

<file path=xl/revisions/revisionLog3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mt sheetId="4" cell="G10" guid="{00000000-0000-0000-0000-000000000000}" action="delete" alwaysShow="1" author="JADB020172K"/>
  <rcmt sheetId="1" cell="J20" guid="{00000000-0000-0000-0000-000000000000}" action="delete" alwaysShow="1" author="JADB020172K"/>
  <rcmt sheetId="1" cell="C26" guid="{00000000-0000-0000-0000-000000000000}" action="delete" alwaysShow="1" author="Rieko Hayashi"/>
</revisions>
</file>

<file path=xl/revisions/revisionLog3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mt sheetId="2" cell="B6" guid="{00000000-0000-0000-0000-000000000000}" action="delete" alwaysShow="1" author="JADB020172K"/>
  <rcmt sheetId="2" cell="D86" guid="{00000000-0000-0000-0000-000000000000}" action="delete" alwaysShow="1" author="JADB020172K"/>
  <rfmt sheetId="2" sqref="A1:XFD1048576" start="0" length="2147483647">
    <dxf>
      <font>
        <color auto="1"/>
        <family val="3"/>
      </font>
    </dxf>
  </rfmt>
  <rcc rId="228" sId="2">
    <oc r="B98" t="inlineStr">
      <is>
        <t>https://www.mds.nagoya-u.ac.jp/literacy/</t>
      </is>
    </oc>
    <nc r="B98" t="inlineStr">
      <is>
        <t>https://www.mds.nagoya-u.ac.jp/mda-program/</t>
        <phoneticPr fontId="0"/>
      </is>
    </nc>
  </rcc>
</revisions>
</file>

<file path=xl/revisions/revisionLog4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A1:XFD1048576" start="0" length="2147483647">
    <dxf>
      <font>
        <color auto="1"/>
        <family val="3"/>
      </font>
    </dxf>
  </rfmt>
  <rcmt sheetId="3" cell="T70" guid="{00000000-0000-0000-0000-000000000000}" action="delete" alwaysShow="1" author="JADB020172K"/>
  <rcmt sheetId="3" cell="D86" guid="{00000000-0000-0000-0000-000000000000}" action="delete" alwaysShow="1" author="JADB020172K"/>
  <rcmt sheetId="3" cell="D88" guid="{00000000-0000-0000-0000-000000000000}" action="delete" alwaysShow="1" author="JADB020172K"/>
</revisions>
</file>

<file path=xl/revisions/revisionLog4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5" sqref="A1:J2" start="0" length="2147483647">
    <dxf/>
  </rfmt>
  <rcmt sheetId="5" cell="B5" guid="{00000000-0000-0000-0000-000000000000}" action="delete" alwaysShow="1" author="JADB020172K"/>
  <rfmt sheetId="5" sqref="A1:XFD1048576" start="0" length="2147483647">
    <dxf>
      <font>
        <color auto="1"/>
      </font>
    </dxf>
  </rfmt>
</revisions>
</file>

<file path=xl/revisions/revisionLog4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6" sqref="A1:XFD1048576" start="0" length="2147483647">
    <dxf>
      <font>
        <color auto="1"/>
      </font>
    </dxf>
  </rfmt>
  <rcmt sheetId="6" cell="E13" guid="{00000000-0000-0000-0000-000000000000}" action="delete" alwaysShow="1" author="JADB020172K"/>
</revisions>
</file>

<file path=xl/revisions/revisionLog4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3" sqref="B6:Z11">
    <dxf>
      <alignment shrinkToFit="0"/>
    </dxf>
  </rfmt>
  <rfmt sheetId="3" sqref="B6:Z11">
    <dxf>
      <alignment wrapText="1"/>
    </dxf>
  </rfmt>
</revisions>
</file>

<file path=xl/revisions/revisionLog4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66F98FB-58AD-4588-B2BF-A96D7B6BA538}" action="delete"/>
  <rdn rId="0" localSheetId="1" customView="1" name="Z_F66F98FB_58AD_4588_B2BF_A96D7B6BA538_.wvu.PrintArea" hidden="1" oldHidden="1">
    <formula>'様式１　大学等概要'!$A$1:$N$45</formula>
    <oldFormula>'様式１　大学等概要'!$A$1:$N$45</oldFormula>
  </rdn>
  <rdn rId="0" localSheetId="2" customView="1" name="Z_F66F98FB_58AD_4588_B2BF_A96D7B6BA538_.wvu.PrintArea" hidden="1" oldHidden="1">
    <formula>'様式２-１　プログラムを構成する授業科目'!$A$1:$Z$98</formula>
    <oldFormula>'様式２-１　プログラムを構成する授業科目'!$A$1:$Z$98</oldFormula>
  </rdn>
  <rdn rId="0" localSheetId="3" customView="1" name="Z_F66F98FB_58AD_4588_B2BF_A96D7B6BA538_.wvu.PrintArea" hidden="1" oldHidden="1">
    <formula>'様式２-２　プログラムを構成する授業科目'!$A$1:$Z$98</formula>
    <oldFormula>'様式２-２　プログラムを構成する授業科目'!$A$1:$Z$98</oldFormula>
  </rdn>
  <rdn rId="0" localSheetId="4" customView="1" name="Z_F66F98FB_58AD_4588_B2BF_A96D7B6BA538_.wvu.PrintArea" hidden="1" oldHidden="1">
    <formula>'様式３　履修者等数の実績'!$A$1:$R$30</formula>
    <oldFormula>'様式３　履修者等数の実績'!$A$1:$R$30</oldFormula>
  </rdn>
  <rdn rId="0" localSheetId="5" customView="1" name="Z_F66F98FB_58AD_4588_B2BF_A96D7B6BA538_.wvu.PrintArea" hidden="1" oldHidden="1">
    <formula>'様式４　教育の質・履修者数を向上させるための体制・計画'!$A$1:$J$130</formula>
    <oldFormula>'様式４　教育の質・履修者数を向上させるための体制・計画'!$A$1:$J$130</oldFormula>
  </rdn>
  <rdn rId="0" localSheetId="6" customView="1" name="Z_F66F98FB_58AD_4588_B2BF_A96D7B6BA538_.wvu.PrintArea" hidden="1" oldHidden="1">
    <formula>'様式５　自己点検・評価'!$A$1:$J$18</formula>
    <oldFormula>'様式５　自己点検・評価'!$A$1:$J$18</oldFormula>
  </rdn>
  <rdn rId="0" localSheetId="7" customView="1" name="Z_F66F98FB_58AD_4588_B2BF_A96D7B6BA538_.wvu.PrintArea" hidden="1" oldHidden="1">
    <formula>'様式６　特色ある取組'!$A$1:$F$124</formula>
    <oldFormula>'様式６　特色ある取組'!$A$1:$F$124</oldFormula>
  </rdn>
  <rcv guid="{F66F98FB-58AD-4588-B2BF-A96D7B6BA538}" action="add"/>
</revisions>
</file>

<file path=xl/revisions/revisionLog4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66F98FB-58AD-4588-B2BF-A96D7B6BA538}" action="delete"/>
  <rdn rId="0" localSheetId="1" customView="1" name="Z_F66F98FB_58AD_4588_B2BF_A96D7B6BA538_.wvu.PrintArea" hidden="1" oldHidden="1">
    <formula>'様式１　大学等概要'!$A$1:$N$45</formula>
    <oldFormula>'様式１　大学等概要'!$A$1:$N$45</oldFormula>
  </rdn>
  <rdn rId="0" localSheetId="2" customView="1" name="Z_F66F98FB_58AD_4588_B2BF_A96D7B6BA538_.wvu.PrintArea" hidden="1" oldHidden="1">
    <formula>'様式２-１　プログラムを構成する授業科目'!$A$1:$Z$98</formula>
    <oldFormula>'様式２-１　プログラムを構成する授業科目'!$A$1:$Z$98</oldFormula>
  </rdn>
  <rdn rId="0" localSheetId="3" customView="1" name="Z_F66F98FB_58AD_4588_B2BF_A96D7B6BA538_.wvu.PrintArea" hidden="1" oldHidden="1">
    <formula>'様式２-２　プログラムを構成する授業科目'!$A$1:$Z$98</formula>
    <oldFormula>'様式２-２　プログラムを構成する授業科目'!$A$1:$Z$98</oldFormula>
  </rdn>
  <rdn rId="0" localSheetId="4" customView="1" name="Z_F66F98FB_58AD_4588_B2BF_A96D7B6BA538_.wvu.PrintArea" hidden="1" oldHidden="1">
    <formula>'様式３　履修者等数の実績'!$A$1:$R$30</formula>
    <oldFormula>'様式３　履修者等数の実績'!$A$1:$R$30</oldFormula>
  </rdn>
  <rdn rId="0" localSheetId="5" customView="1" name="Z_F66F98FB_58AD_4588_B2BF_A96D7B6BA538_.wvu.PrintArea" hidden="1" oldHidden="1">
    <formula>'様式４　教育の質・履修者数を向上させるための体制・計画'!$A$1:$J$130</formula>
    <oldFormula>'様式４　教育の質・履修者数を向上させるための体制・計画'!$A$1:$J$130</oldFormula>
  </rdn>
  <rdn rId="0" localSheetId="6" customView="1" name="Z_F66F98FB_58AD_4588_B2BF_A96D7B6BA538_.wvu.PrintArea" hidden="1" oldHidden="1">
    <formula>'様式５　自己点検・評価'!$A$1:$J$18</formula>
    <oldFormula>'様式５　自己点検・評価'!$A$1:$J$18</oldFormula>
  </rdn>
  <rdn rId="0" localSheetId="7" customView="1" name="Z_F66F98FB_58AD_4588_B2BF_A96D7B6BA538_.wvu.PrintArea" hidden="1" oldHidden="1">
    <formula>'様式６　特色ある取組'!$A$1:$F$124</formula>
    <oldFormula>'様式６　特色ある取組'!$A$1:$F$124</oldFormula>
  </rdn>
  <rcv guid="{F66F98FB-58AD-4588-B2BF-A96D7B6BA538}" action="add"/>
</revisions>
</file>

<file path=xl/revisions/revisionLog4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fmt sheetId="2" sqref="B27:F27" start="0" length="0">
    <dxf>
      <border>
        <bottom style="hair">
          <color indexed="64"/>
        </bottom>
      </border>
    </dxf>
  </rfmt>
  <rfmt sheetId="2" sqref="B27:F27" start="0" length="0">
    <dxf>
      <border>
        <bottom style="hair">
          <color indexed="64"/>
        </bottom>
      </border>
    </dxf>
  </rfmt>
  <rfmt sheetId="2" sqref="I27:K27" start="0" length="0">
    <dxf>
      <border>
        <bottom style="hair">
          <color indexed="64"/>
        </bottom>
      </border>
    </dxf>
  </rfmt>
  <rfmt sheetId="2" sqref="I27:K27" start="0" length="0">
    <dxf>
      <border>
        <bottom style="hair">
          <color indexed="64"/>
        </bottom>
      </border>
    </dxf>
  </rfmt>
  <rfmt sheetId="2" sqref="I38:K38" start="0" length="0">
    <dxf>
      <border>
        <bottom style="hair">
          <color indexed="64"/>
        </bottom>
      </border>
    </dxf>
  </rfmt>
  <rfmt sheetId="2" sqref="I38:K38" start="0" length="0">
    <dxf>
      <border>
        <bottom style="hair">
          <color indexed="64"/>
        </bottom>
      </border>
    </dxf>
  </rfmt>
  <rfmt sheetId="2" sqref="B38:F38" start="0" length="0">
    <dxf>
      <border>
        <bottom style="hair">
          <color indexed="64"/>
        </bottom>
      </border>
    </dxf>
  </rfmt>
  <rfmt sheetId="2" sqref="B38:F38" start="0" length="0">
    <dxf>
      <border>
        <bottom style="hair">
          <color indexed="64"/>
        </bottom>
      </border>
    </dxf>
  </rfmt>
  <rfmt sheetId="2" sqref="B60:E60" start="0" length="0">
    <dxf>
      <border>
        <bottom style="hair">
          <color indexed="64"/>
        </bottom>
      </border>
    </dxf>
  </rfmt>
  <rfmt sheetId="2" sqref="B60:E60" start="0" length="0">
    <dxf>
      <border>
        <bottom style="hair">
          <color indexed="64"/>
        </bottom>
      </border>
    </dxf>
  </rfmt>
  <rfmt sheetId="2" sqref="H60:J60" start="0" length="0">
    <dxf>
      <border>
        <bottom style="hair">
          <color indexed="64"/>
        </bottom>
      </border>
    </dxf>
  </rfmt>
  <rfmt sheetId="2" sqref="H60:J60" start="0" length="0">
    <dxf>
      <border>
        <bottom style="hair">
          <color indexed="64"/>
        </bottom>
      </border>
    </dxf>
  </rfmt>
  <rfmt sheetId="2" sqref="K61" start="0" length="0">
    <dxf>
      <border>
        <left style="thin">
          <color auto="1"/>
        </left>
        <right style="thin">
          <color auto="1"/>
        </right>
        <top style="hair">
          <color indexed="64"/>
        </top>
        <bottom style="hair">
          <color auto="1"/>
        </bottom>
      </border>
    </dxf>
  </rfmt>
  <rfmt sheetId="2" sqref="L61" start="0" length="0">
    <dxf>
      <border>
        <left style="thin">
          <color auto="1"/>
        </left>
        <right style="thin">
          <color auto="1"/>
        </right>
        <top style="hair">
          <color indexed="64"/>
        </top>
        <bottom style="hair">
          <color auto="1"/>
        </bottom>
      </border>
    </dxf>
  </rfmt>
  <rfmt sheetId="2" sqref="M60" start="0" length="0">
    <dxf>
      <border>
        <left style="thin">
          <color auto="1"/>
        </left>
        <right style="thin">
          <color auto="1"/>
        </right>
        <top style="thin">
          <color auto="1"/>
        </top>
        <bottom style="hair">
          <color indexed="64"/>
        </bottom>
      </border>
    </dxf>
  </rfmt>
  <rfmt sheetId="2" sqref="B70:F70" start="0" length="0">
    <dxf>
      <border>
        <bottom style="hair">
          <color indexed="64"/>
        </bottom>
      </border>
    </dxf>
  </rfmt>
  <rfmt sheetId="2" sqref="B70:F70" start="0" length="0">
    <dxf>
      <border>
        <bottom style="hair">
          <color indexed="64"/>
        </bottom>
      </border>
    </dxf>
  </rfmt>
  <rfmt sheetId="2" sqref="G70:M70" start="0" length="0">
    <dxf>
      <border>
        <bottom style="hair">
          <color indexed="64"/>
        </bottom>
      </border>
    </dxf>
  </rfmt>
  <rfmt sheetId="2" sqref="G70:M70" start="0" length="0">
    <dxf>
      <border>
        <bottom style="hair">
          <color indexed="64"/>
        </bottom>
      </border>
    </dxf>
  </rfmt>
  <rfmt sheetId="2" sqref="B72:F72" start="0" length="0">
    <dxf>
      <border>
        <top style="hair">
          <color indexed="64"/>
        </top>
      </border>
    </dxf>
  </rfmt>
  <rfmt sheetId="2" sqref="B72:F72" start="0" length="0">
    <dxf>
      <border>
        <top style="hair">
          <color indexed="64"/>
        </top>
      </border>
    </dxf>
  </rfmt>
</revisions>
</file>

<file path=xl/revisions/revisionLog4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3" sId="2">
    <nc r="B73" t="inlineStr">
      <is>
        <t>図情報とコンピュータ</t>
        <phoneticPr fontId="0"/>
      </is>
    </nc>
  </rcc>
  <rcc rId="244" sId="2">
    <nc r="B74" t="inlineStr">
      <is>
        <t>図情報とコンピュータ</t>
        <phoneticPr fontId="0"/>
      </is>
    </nc>
  </rcc>
  <rcc rId="245" sId="2">
    <nc r="G73" t="inlineStr">
      <is>
        <t>4‐4時系列データ解析</t>
      </is>
    </nc>
  </rcc>
  <rcc rId="246" sId="2">
    <nc r="G74" t="inlineStr">
      <is>
        <t>4‐8データ活用実践（教師あり学習）</t>
      </is>
    </nc>
  </rcc>
</revisions>
</file>

<file path=xl/revisions/revisionLog48.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47" sId="3">
    <oc r="D88" t="inlineStr">
      <is>
        <t>・データのばらつき（分散、標準偏差、偏差値）「情報科学入門」（2、3回目）
・データの分布(ヒストグラム)と代表値（平均値、中央値、最頻値）／代表値の性質の違い（実社会では平均値＝最頻値でないことが多い）／相関と因果（相関係数）／母集団と標本抽出（国勢調査、アンケート調査、全数調査、単純無作為抽出）「情報科学入門」（4回目）
・観測データに含まれる誤差の扱い／統計情報の正しい理解（誇張表現に惑わされない） 「情報科学入門」（5回目）
・感度と特異度「情報科学入門」（11回目）</t>
        <rPh sb="160" eb="162">
          <t>カイメ</t>
        </rPh>
        <rPh sb="215" eb="216">
          <t>カイ</t>
        </rPh>
        <rPh sb="216" eb="217">
          <t>メ</t>
        </rPh>
        <rPh sb="227" eb="233">
          <t>ジョウホウカガクニュウモン</t>
        </rPh>
        <rPh sb="237" eb="239">
          <t>カイメ</t>
        </rPh>
        <phoneticPr fontId="0"/>
      </is>
    </oc>
    <nc r="D88" t="inlineStr">
      <is>
        <t>・データのばらつき（分散、標準偏差、偏差値）「情報科学入門」（2、3回目）
・代表値の性質の違い（実社会では平均値＝最頻値でないことが多い）／相関と因果（相関係数）「情報科学入門」（4回目）
・データの分布(ヒストグラム)と代表値（平均値、中央値、最頻値）／母集団と標本抽出（国勢調査、アンケート調査、全数調査、単純無作為抽出）「情報科学入門」（4、11回目）
・観測データに含まれる誤差の扱い／統計情報の正しい理解（誇張表現に惑わされない） 「情報科学入門」（5回目）
・感度と特異度「情報科学入門」（11回目）</t>
        <rPh sb="92" eb="94">
          <t>カイメ</t>
        </rPh>
        <rPh sb="232" eb="233">
          <t>カイ</t>
        </rPh>
        <rPh sb="233" eb="234">
          <t>メ</t>
        </rPh>
        <rPh sb="244" eb="250">
          <t>ジョウホウカガクニュウモン</t>
        </rPh>
        <rPh sb="254" eb="256">
          <t>カイメ</t>
        </rPh>
        <phoneticPr fontId="0"/>
      </is>
    </nc>
  </rcc>
  <rcv guid="{F66F98FB-58AD-4588-B2BF-A96D7B6BA538}" action="delete"/>
  <rdn rId="0" localSheetId="1" customView="1" name="Z_F66F98FB_58AD_4588_B2BF_A96D7B6BA538_.wvu.PrintArea" hidden="1" oldHidden="1">
    <formula>'様式１　大学等概要'!$A$1:$N$45</formula>
    <oldFormula>'様式１　大学等概要'!$A$1:$N$45</oldFormula>
  </rdn>
  <rdn rId="0" localSheetId="2" customView="1" name="Z_F66F98FB_58AD_4588_B2BF_A96D7B6BA538_.wvu.PrintArea" hidden="1" oldHidden="1">
    <formula>'様式２-１　プログラムを構成する授業科目'!$A$1:$Z$98</formula>
    <oldFormula>'様式２-１　プログラムを構成する授業科目'!$A$1:$Z$98</oldFormula>
  </rdn>
  <rdn rId="0" localSheetId="3" customView="1" name="Z_F66F98FB_58AD_4588_B2BF_A96D7B6BA538_.wvu.PrintArea" hidden="1" oldHidden="1">
    <formula>'様式２-２　プログラムを構成する授業科目'!$A$1:$Z$98</formula>
    <oldFormula>'様式２-２　プログラムを構成する授業科目'!$A$1:$Z$98</oldFormula>
  </rdn>
  <rdn rId="0" localSheetId="4" customView="1" name="Z_F66F98FB_58AD_4588_B2BF_A96D7B6BA538_.wvu.PrintArea" hidden="1" oldHidden="1">
    <formula>'様式３　履修者等数の実績'!$A$1:$R$30</formula>
    <oldFormula>'様式３　履修者等数の実績'!$A$1:$R$30</oldFormula>
  </rdn>
  <rdn rId="0" localSheetId="5" customView="1" name="Z_F66F98FB_58AD_4588_B2BF_A96D7B6BA538_.wvu.PrintArea" hidden="1" oldHidden="1">
    <formula>'様式４　教育の質・履修者数を向上させるための体制・計画'!$A$1:$J$130</formula>
    <oldFormula>'様式４　教育の質・履修者数を向上させるための体制・計画'!$A$1:$J$130</oldFormula>
  </rdn>
  <rdn rId="0" localSheetId="6" customView="1" name="Z_F66F98FB_58AD_4588_B2BF_A96D7B6BA538_.wvu.PrintArea" hidden="1" oldHidden="1">
    <formula>'様式５　自己点検・評価'!$A$1:$J$18</formula>
    <oldFormula>'様式５　自己点検・評価'!$A$1:$J$18</oldFormula>
  </rdn>
  <rdn rId="0" localSheetId="7" customView="1" name="Z_F66F98FB_58AD_4588_B2BF_A96D7B6BA538_.wvu.PrintArea" hidden="1" oldHidden="1">
    <formula>'様式６　特色ある取組'!$A$1:$F$124</formula>
    <oldFormula>'様式６　特色ある取組'!$A$1:$F$124</oldFormula>
  </rdn>
  <rcv guid="{F66F98FB-58AD-4588-B2BF-A96D7B6BA538}" action="add"/>
</revisions>
</file>

<file path=xl/revisions/revisionLog49.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5" sId="5">
    <oc r="B15" t="inlineStr">
      <is>
        <t>大学院情報学研究科　教授　井手一郎（主査）
大学院教育発達科学研究科　教授　石井秀宗
大学院情報学研究科　教授　北栄輔
大学院情報学研究科附属価値創造研究センター　教授　武田浩一
大学院情報学研究科　准教授　出口大輔
大学院多元数理科学研究科　教授　大平徹
大学院多元数理科学研究科　准教授　中島 誠
未来社会創造機構　教授　武田一哉
宇宙地球環境研究所　教授　三好由純
教養教育院教養教育推進室　特任講師　	HAMLITSCH Nathan Jesse
数理データ科学教育研究センター　准教授　駒水孝裕
（令和5年4月1日時点）</t>
        <rPh sb="178" eb="180">
          <t>キョウジュ</t>
        </rPh>
        <phoneticPr fontId="0"/>
      </is>
    </oc>
    <nc r="B15" t="inlineStr">
      <is>
        <t>大学院情報学研究科　教授　井手一郎（主査）
大学院教育発達科学研究科　教授　石井秀宗
大学院情報学研究科　教授　北栄輔
大学院情報学研究科附属価値創造研究センター　教授　武田浩一
大学院情報学研究科　准教授　出口大輔
大学院多元数理科学研究科　教授　大平徹
大学院多元数理科学研究科　准教授　中島 誠
未来社会創造機構　教授　武田一哉
宇宙地球環境研究所　教授　三好由純
教養教育院教養教育推進室　特任講師　	HAMLITSCH Nathan Jesse
数理データ科学教育研究センター　准教授　駒水孝裕
（令和4年4月1日時点）</t>
        <rPh sb="178" eb="180">
          <t>キョウジュ</t>
        </rPh>
        <phoneticPr fontId="0"/>
      </is>
    </nc>
  </rcc>
</revisions>
</file>

<file path=xl/revisions/revisionLog50.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6" sId="5">
    <oc r="B15" t="inlineStr">
      <is>
        <t>大学院情報学研究科　教授　井手一郎（主査）
大学院教育発達科学研究科　教授　石井秀宗
大学院情報学研究科　教授　北栄輔
大学院情報学研究科附属価値創造研究センター　教授　武田浩一
大学院情報学研究科　准教授　出口大輔
大学院多元数理科学研究科　教授　大平徹
大学院多元数理科学研究科　准教授　中島 誠
未来社会創造機構　教授　武田一哉
宇宙地球環境研究所　教授　三好由純
教養教育院教養教育推進室　特任講師　	HAMLITSCH Nathan Jesse
数理データ科学教育研究センター　准教授　駒水孝裕
（令和4年4月1日時点）</t>
        <rPh sb="178" eb="180">
          <t>キョウジュ</t>
        </rPh>
        <phoneticPr fontId="0"/>
      </is>
    </oc>
    <nc r="B15" t="inlineStr">
      <is>
        <t>大学院情報学研究科　教授　井手一郎（主査）
大学院教育発達科学研究科　教授　石井秀宗
大学院情報学研究科　教授　北栄輔
大学院情報学研究科　教授　武田浩一
大学院情報学研究科　准教授　出口大輔
大学院多元数理科学研究科　教授　大平徹
大学院多元数理科学研究科　准教授　中島 誠
宇宙地球環境研究所　教授　三好由純
数理データ科学教育研究センター　准教授　駒水孝裕
未来社会創造機構　教授　武田一哉
教養教育院教養教育推進室　特任講師　	Nathan Hamlitsch
（令和4年4月1日時点）</t>
        <phoneticPr fontId="0"/>
      </is>
    </nc>
  </rcc>
</revisions>
</file>

<file path=xl/revisions/revisionLog51.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57" sId="5">
    <oc r="B15" t="inlineStr">
      <is>
        <t>大学院情報学研究科　教授　井手一郎（主査）
大学院教育発達科学研究科　教授　石井秀宗
大学院情報学研究科　教授　北栄輔
大学院情報学研究科　教授　武田浩一
大学院情報学研究科　准教授　出口大輔
大学院多元数理科学研究科　教授　大平徹
大学院多元数理科学研究科　准教授　中島 誠
宇宙地球環境研究所　教授　三好由純
数理データ科学教育研究センター　准教授　駒水孝裕
未来社会創造機構　教授　武田一哉
教養教育院教養教育推進室　特任講師　	Nathan Hamlitsch
（令和4年4月1日時点）</t>
        <phoneticPr fontId="0"/>
      </is>
    </oc>
    <nc r="B15" t="inlineStr">
      <is>
        <t>大学院情報学研究科　教授　井手一郎（主査）
大学院教育発達科学研究科　教授　石井秀宗
大学院情報学研究科　教授　北栄輔
大学院情報学研究科　教授　武田浩一
大学院情報学研究科　准教授　出口大輔
大学院多元数理科学研究科　教授　大平徹
大学院多元数理科学研究科　准教授　中島 誠
宇宙地球環境研究所　教授　三好由純
数理・データ科学教育研究センター　准教授　駒水孝裕
未来社会創造機構　教授　武田一哉
教養教育院教養教育推進室　特任講師　	Nathan Hamlitsch
（令和4年4月1日時点）</t>
        <phoneticPr fontId="0"/>
      </is>
    </nc>
  </rcc>
  <rcv guid="{F66F98FB-58AD-4588-B2BF-A96D7B6BA538}" action="delete"/>
  <rdn rId="0" localSheetId="1" customView="1" name="Z_F66F98FB_58AD_4588_B2BF_A96D7B6BA538_.wvu.PrintArea" hidden="1" oldHidden="1">
    <formula>'様式１　大学等概要'!$A$1:$N$45</formula>
    <oldFormula>'様式１　大学等概要'!$A$1:$N$45</oldFormula>
  </rdn>
  <rdn rId="0" localSheetId="2" customView="1" name="Z_F66F98FB_58AD_4588_B2BF_A96D7B6BA538_.wvu.PrintArea" hidden="1" oldHidden="1">
    <formula>'様式２-１　プログラムを構成する授業科目'!$A$1:$Z$98</formula>
    <oldFormula>'様式２-１　プログラムを構成する授業科目'!$A$1:$Z$98</oldFormula>
  </rdn>
  <rdn rId="0" localSheetId="3" customView="1" name="Z_F66F98FB_58AD_4588_B2BF_A96D7B6BA538_.wvu.PrintArea" hidden="1" oldHidden="1">
    <formula>'様式２-２　プログラムを構成する授業科目'!$A$1:$Z$98</formula>
    <oldFormula>'様式２-２　プログラムを構成する授業科目'!$A$1:$Z$98</oldFormula>
  </rdn>
  <rdn rId="0" localSheetId="4" customView="1" name="Z_F66F98FB_58AD_4588_B2BF_A96D7B6BA538_.wvu.PrintArea" hidden="1" oldHidden="1">
    <formula>'様式３　履修者等数の実績'!$A$1:$R$30</formula>
    <oldFormula>'様式３　履修者等数の実績'!$A$1:$R$30</oldFormula>
  </rdn>
  <rdn rId="0" localSheetId="5" customView="1" name="Z_F66F98FB_58AD_4588_B2BF_A96D7B6BA538_.wvu.PrintArea" hidden="1" oldHidden="1">
    <formula>'様式４　教育の質・履修者数を向上させるための体制・計画'!$A$1:$J$130</formula>
    <oldFormula>'様式４　教育の質・履修者数を向上させるための体制・計画'!$A$1:$J$130</oldFormula>
  </rdn>
  <rdn rId="0" localSheetId="6" customView="1" name="Z_F66F98FB_58AD_4588_B2BF_A96D7B6BA538_.wvu.PrintArea" hidden="1" oldHidden="1">
    <formula>'様式５　自己点検・評価'!$A$1:$J$18</formula>
    <oldFormula>'様式５　自己点検・評価'!$A$1:$J$18</oldFormula>
  </rdn>
  <rdn rId="0" localSheetId="7" customView="1" name="Z_F66F98FB_58AD_4588_B2BF_A96D7B6BA538_.wvu.PrintArea" hidden="1" oldHidden="1">
    <formula>'様式６　特色ある取組'!$A$1:$F$124</formula>
    <oldFormula>'様式６　特色ある取組'!$A$1:$F$124</oldFormula>
  </rdn>
  <rcv guid="{F66F98FB-58AD-4588-B2BF-A96D7B6BA538}" action="add"/>
</revisions>
</file>

<file path=xl/revisions/revisionLog52.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5" sId="6">
    <oc r="E8" t="inlineStr">
      <is>
        <t>教養教育院において受講者に対して実施している学修確認調査(授業評価アンケート)の結果を分析することによって、学生の理解度を把握することができる。また、学生の所属・学年別での修了状況や、NUCT上で実施した課題への回答状況を分析することにより、授業の難易度に問題が無いかを確認している。これらの分析結果は、数理データ科学教育研究センター教育専門委員会と共有し、本教育プログラムの評価・改善に活用している。</t>
        <rPh sb="102" eb="104">
          <t>カダイ</t>
        </rPh>
        <phoneticPr fontId="0"/>
      </is>
    </oc>
    <nc r="E8" t="inlineStr">
      <is>
        <t>教養教育院において受講者に対して実施している学修確認調査(授業評価アンケート)の結果を分析することによって、学生の理解度を把握することができる。また、学生の所属・学年別での修了状況や、NUCT上で実施した課題への回答状況を分析することにより、授業の難易度に問題が無いかを確認している。これらの分析結果は、数理・データ科学教育研究センター教育専門委員会と共有し、本教育プログラムの評価・改善に活用している。</t>
        <rPh sb="102" eb="104">
          <t>カダイ</t>
        </rPh>
        <phoneticPr fontId="0"/>
      </is>
    </nc>
  </rcc>
</revisions>
</file>

<file path=xl/revisions/revisionLog53.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66" sId="2">
    <nc r="H16" t="inlineStr">
      <is>
        <t>○</t>
      </is>
    </nc>
  </rcc>
  <rcc rId="267" sId="2">
    <nc r="H17" t="inlineStr">
      <is>
        <t>○</t>
      </is>
    </nc>
  </rcc>
  <rcc rId="268" sId="2">
    <nc r="H27" t="inlineStr">
      <is>
        <t>○</t>
      </is>
    </nc>
  </rcc>
  <rcc rId="269" sId="2">
    <nc r="H28" t="inlineStr">
      <is>
        <t>○</t>
      </is>
    </nc>
  </rcc>
  <rcc rId="270" sId="2">
    <nc r="H29" t="inlineStr">
      <is>
        <t>○</t>
      </is>
    </nc>
  </rcc>
</revisions>
</file>

<file path=xl/revisions/revisionLog54.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1" sId="2">
    <nc r="H38" t="inlineStr">
      <is>
        <t>○</t>
      </is>
    </nc>
  </rcc>
  <rcc rId="272" sId="2">
    <nc r="H39" t="inlineStr">
      <is>
        <t>○</t>
      </is>
    </nc>
  </rcc>
  <rcc rId="273" sId="2">
    <nc r="H40" t="inlineStr">
      <is>
        <t>○</t>
      </is>
    </nc>
  </rcc>
  <rcc rId="274" sId="2">
    <nc r="H49" t="inlineStr">
      <is>
        <t>○</t>
      </is>
    </nc>
  </rcc>
  <rcc rId="275" sId="2">
    <nc r="H50" t="inlineStr">
      <is>
        <t>○</t>
      </is>
    </nc>
  </rcc>
  <rcc rId="276" sId="2">
    <nc r="H51" t="inlineStr">
      <is>
        <t>○</t>
      </is>
    </nc>
  </rcc>
</revisions>
</file>

<file path=xl/revisions/revisionLog55.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77" sId="2">
    <nc r="G60" t="inlineStr">
      <is>
        <t>○</t>
      </is>
    </nc>
  </rcc>
  <rcc rId="278" sId="2">
    <nc r="G61" t="inlineStr">
      <is>
        <t>○</t>
      </is>
    </nc>
  </rcc>
  <rcc rId="279" sId="2">
    <nc r="G62" t="inlineStr">
      <is>
        <t>○</t>
      </is>
    </nc>
  </rcc>
</revisions>
</file>

<file path=xl/revisions/revisionLog56.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c rId="280" sId="3">
    <nc r="H16" t="inlineStr">
      <is>
        <t>○</t>
      </is>
    </nc>
  </rcc>
  <rcc rId="281" sId="3">
    <nc r="H17" t="inlineStr">
      <is>
        <t>○</t>
      </is>
    </nc>
  </rcc>
  <rcc rId="282" sId="3">
    <nc r="H27" t="inlineStr">
      <is>
        <t>○</t>
      </is>
    </nc>
  </rcc>
  <rcc rId="283" sId="3">
    <nc r="H28" t="inlineStr">
      <is>
        <t>○</t>
      </is>
    </nc>
  </rcc>
  <rcc rId="284" sId="3">
    <nc r="H38" t="inlineStr">
      <is>
        <t>○</t>
      </is>
    </nc>
  </rcc>
  <rcc rId="285" sId="3">
    <nc r="H39" t="inlineStr">
      <is>
        <t>○</t>
      </is>
    </nc>
  </rcc>
  <rcc rId="286" sId="3">
    <nc r="H49" t="inlineStr">
      <is>
        <t>○</t>
      </is>
    </nc>
  </rcc>
  <rcc rId="287" sId="3">
    <nc r="H50" t="inlineStr">
      <is>
        <t>○</t>
      </is>
    </nc>
  </rcc>
  <rcc rId="288" sId="3">
    <nc r="G60" t="inlineStr">
      <is>
        <t>○</t>
      </is>
    </nc>
  </rcc>
  <rcc rId="289" sId="3">
    <nc r="G61" t="inlineStr">
      <is>
        <t>○</t>
      </is>
    </nc>
  </rcc>
</revisions>
</file>

<file path=xl/revisions/revisionLog57.xml><?xml version="1.0" encoding="utf-8"?>
<revisions xmlns="http://schemas.openxmlformats.org/spreadsheetml/2006/main" xmlns:r="http://schemas.openxmlformats.org/officeDocument/2006/relationships" xmlns:mc="http://schemas.openxmlformats.org/markup-compatibility/2006" xmlns:x14ac="http://schemas.microsoft.com/office/spreadsheetml/2009/9/ac" mc:Ignorable="x14ac">
  <rcv guid="{F66F98FB-58AD-4588-B2BF-A96D7B6BA538}" action="delete"/>
  <rdn rId="0" localSheetId="1" customView="1" name="Z_F66F98FB_58AD_4588_B2BF_A96D7B6BA538_.wvu.PrintArea" hidden="1" oldHidden="1">
    <formula>'様式１　大学等概要'!$A$1:$N$45</formula>
    <oldFormula>'様式１　大学等概要'!$A$1:$N$45</oldFormula>
  </rdn>
  <rdn rId="0" localSheetId="2" customView="1" name="Z_F66F98FB_58AD_4588_B2BF_A96D7B6BA538_.wvu.PrintArea" hidden="1" oldHidden="1">
    <formula>'様式２-１　プログラムを構成する授業科目'!$A$1:$Z$98</formula>
    <oldFormula>'様式２-１　プログラムを構成する授業科目'!$A$1:$Z$98</oldFormula>
  </rdn>
  <rdn rId="0" localSheetId="3" customView="1" name="Z_F66F98FB_58AD_4588_B2BF_A96D7B6BA538_.wvu.PrintArea" hidden="1" oldHidden="1">
    <formula>'様式２-２　プログラムを構成する授業科目'!$A$1:$Z$98</formula>
    <oldFormula>'様式２-２　プログラムを構成する授業科目'!$A$1:$Z$98</oldFormula>
  </rdn>
  <rdn rId="0" localSheetId="4" customView="1" name="Z_F66F98FB_58AD_4588_B2BF_A96D7B6BA538_.wvu.PrintArea" hidden="1" oldHidden="1">
    <formula>'様式３　履修者等数の実績'!$A$1:$R$30</formula>
    <oldFormula>'様式３　履修者等数の実績'!$A$1:$R$30</oldFormula>
  </rdn>
  <rdn rId="0" localSheetId="5" customView="1" name="Z_F66F98FB_58AD_4588_B2BF_A96D7B6BA538_.wvu.PrintArea" hidden="1" oldHidden="1">
    <formula>'様式４　教育の質・履修者数を向上させるための体制・計画'!$A$1:$J$130</formula>
    <oldFormula>'様式４　教育の質・履修者数を向上させるための体制・計画'!$A$1:$J$130</oldFormula>
  </rdn>
  <rdn rId="0" localSheetId="6" customView="1" name="Z_F66F98FB_58AD_4588_B2BF_A96D7B6BA538_.wvu.PrintArea" hidden="1" oldHidden="1">
    <formula>'様式５　自己点検・評価'!$A$1:$J$18</formula>
    <oldFormula>'様式５　自己点検・評価'!$A$1:$J$18</oldFormula>
  </rdn>
  <rdn rId="0" localSheetId="7" customView="1" name="Z_F66F98FB_58AD_4588_B2BF_A96D7B6BA538_.wvu.PrintArea" hidden="1" oldHidden="1">
    <formula>'様式６　特色ある取組'!$A$1:$F$124</formula>
    <oldFormula>'様式６　特色ある取組'!$A$1:$F$124</oldFormula>
  </rdn>
  <rcv guid="{F66F98FB-58AD-4588-B2BF-A96D7B6BA538}" action="add"/>
</revisions>
</file>

<file path=xl/revisions/userNames.xml><?xml version="1.0" encoding="utf-8"?>
<users xmlns="http://schemas.openxmlformats.org/spreadsheetml/2006/main" xmlns:r="http://schemas.openxmlformats.org/officeDocument/2006/relationships" xmlns:mc="http://schemas.openxmlformats.org/markup-compatibility/2006" xmlns:x14ac="http://schemas.microsoft.com/office/spreadsheetml/2009/9/ac" mc:Ignorable="x14ac" count="3">
  <userInfo guid="{C7737CC1-64A2-4CE8-A1FD-76198A1EC865}" name="JADB020172K" id="-1806326333" dateTime="2022-05-02T09:34:50"/>
  <userInfo guid="{7BB4DC61-F0F9-49BC-A108-D6A92F20DFD0}" name="Rieko YAMAMOTO" id="-461253534" dateTime="2022-05-07T12:07:02"/>
  <userInfo guid="{E268EF8F-9845-4DFF-A792-9D0F26A59C26}" name="Rieko YAMAMOTO" id="-461270993" dateTime="2022-05-07T14:57:08"/>
</user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7.bin"/><Relationship Id="rId2" Type="http://schemas.openxmlformats.org/officeDocument/2006/relationships/printerSettings" Target="../printerSettings/printerSettings6.bin"/><Relationship Id="rId1" Type="http://schemas.openxmlformats.org/officeDocument/2006/relationships/printerSettings" Target="../printerSettings/printerSettings5.bin"/><Relationship Id="rId4" Type="http://schemas.openxmlformats.org/officeDocument/2006/relationships/printerSettings" Target="../printerSettings/printerSettings8.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11.bin"/><Relationship Id="rId2" Type="http://schemas.openxmlformats.org/officeDocument/2006/relationships/printerSettings" Target="../printerSettings/printerSettings10.bin"/><Relationship Id="rId1" Type="http://schemas.openxmlformats.org/officeDocument/2006/relationships/printerSettings" Target="../printerSettings/printerSettings9.bin"/><Relationship Id="rId5" Type="http://schemas.openxmlformats.org/officeDocument/2006/relationships/printerSettings" Target="../printerSettings/printerSettings12.bin"/><Relationship Id="rId4" Type="http://schemas.openxmlformats.org/officeDocument/2006/relationships/hyperlink" Target="https://www.mds.nagoya-u.ac.jp/literacy/" TargetMode="External"/></Relationships>
</file>

<file path=xl/worksheets/_rels/sheet4.xml.rels><?xml version="1.0" encoding="UTF-8" standalone="yes"?>
<Relationships xmlns="http://schemas.openxmlformats.org/package/2006/relationships"><Relationship Id="rId3" Type="http://schemas.openxmlformats.org/officeDocument/2006/relationships/printerSettings" Target="../printerSettings/printerSettings15.bin"/><Relationship Id="rId2" Type="http://schemas.openxmlformats.org/officeDocument/2006/relationships/printerSettings" Target="../printerSettings/printerSettings14.bin"/><Relationship Id="rId1" Type="http://schemas.openxmlformats.org/officeDocument/2006/relationships/printerSettings" Target="../printerSettings/printerSettings13.bin"/><Relationship Id="rId4" Type="http://schemas.openxmlformats.org/officeDocument/2006/relationships/printerSettings" Target="../printerSettings/printerSettings16.bin"/></Relationships>
</file>

<file path=xl/worksheets/_rels/sheet5.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printerSettings" Target="../printerSettings/printerSettings18.bin"/><Relationship Id="rId1" Type="http://schemas.openxmlformats.org/officeDocument/2006/relationships/printerSettings" Target="../printerSettings/printerSettings17.bin"/><Relationship Id="rId4" Type="http://schemas.openxmlformats.org/officeDocument/2006/relationships/printerSettings" Target="../printerSettings/printerSettings20.bin"/></Relationships>
</file>

<file path=xl/worksheets/_rels/sheet6.xml.rels><?xml version="1.0" encoding="UTF-8" standalone="yes"?>
<Relationships xmlns="http://schemas.openxmlformats.org/package/2006/relationships"><Relationship Id="rId3" Type="http://schemas.openxmlformats.org/officeDocument/2006/relationships/printerSettings" Target="../printerSettings/printerSettings23.bin"/><Relationship Id="rId2" Type="http://schemas.openxmlformats.org/officeDocument/2006/relationships/printerSettings" Target="../printerSettings/printerSettings22.bin"/><Relationship Id="rId1" Type="http://schemas.openxmlformats.org/officeDocument/2006/relationships/printerSettings" Target="../printerSettings/printerSettings21.bin"/><Relationship Id="rId4" Type="http://schemas.openxmlformats.org/officeDocument/2006/relationships/printerSettings" Target="../printerSettings/printerSettings24.bin"/></Relationships>
</file>

<file path=xl/worksheets/_rels/sheet7.xml.rels><?xml version="1.0" encoding="UTF-8" standalone="yes"?>
<Relationships xmlns="http://schemas.openxmlformats.org/package/2006/relationships"><Relationship Id="rId3" Type="http://schemas.openxmlformats.org/officeDocument/2006/relationships/printerSettings" Target="../printerSettings/printerSettings27.bin"/><Relationship Id="rId2" Type="http://schemas.openxmlformats.org/officeDocument/2006/relationships/printerSettings" Target="../printerSettings/printerSettings26.bin"/><Relationship Id="rId1" Type="http://schemas.openxmlformats.org/officeDocument/2006/relationships/printerSettings" Target="../printerSettings/printerSettings25.bin"/><Relationship Id="rId4"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45"/>
  <sheetViews>
    <sheetView tabSelected="1" view="pageBreakPreview" zoomScaleNormal="100" zoomScaleSheetLayoutView="100" workbookViewId="0">
      <selection activeCell="P26" sqref="P26"/>
    </sheetView>
  </sheetViews>
  <sheetFormatPr defaultColWidth="9" defaultRowHeight="18.75" customHeight="1" x14ac:dyDescent="0.2"/>
  <cols>
    <col min="1" max="1" width="3.36328125" style="7" customWidth="1"/>
    <col min="2" max="2" width="11.08984375" style="7" customWidth="1"/>
    <col min="3" max="8" width="6.6328125" style="7" customWidth="1"/>
    <col min="9" max="9" width="3.36328125" style="7" customWidth="1"/>
    <col min="10" max="10" width="10" style="7" customWidth="1"/>
    <col min="11" max="11" width="3.36328125" style="7" customWidth="1"/>
    <col min="12" max="12" width="7.7265625" style="7" customWidth="1"/>
    <col min="13" max="13" width="3.36328125" style="7" customWidth="1"/>
    <col min="14" max="14" width="4.453125" style="7" customWidth="1"/>
    <col min="15" max="15" width="9" style="23"/>
    <col min="16" max="16384" width="9" style="6"/>
  </cols>
  <sheetData>
    <row r="1" spans="1:15" ht="24" customHeight="1" x14ac:dyDescent="0.2">
      <c r="M1" s="134" t="s">
        <v>26</v>
      </c>
      <c r="N1" s="134"/>
    </row>
    <row r="2" spans="1:15" ht="24" customHeight="1" x14ac:dyDescent="0.2">
      <c r="A2" s="138" t="s">
        <v>227</v>
      </c>
      <c r="B2" s="138"/>
      <c r="C2" s="138"/>
      <c r="D2" s="138"/>
      <c r="E2" s="138"/>
      <c r="F2" s="138"/>
      <c r="G2" s="138"/>
      <c r="H2" s="138"/>
      <c r="I2" s="138"/>
      <c r="J2" s="138"/>
      <c r="K2" s="138"/>
      <c r="L2" s="138"/>
      <c r="M2" s="138"/>
      <c r="N2" s="138"/>
    </row>
    <row r="3" spans="1:15" ht="24" customHeight="1" x14ac:dyDescent="0.2"/>
    <row r="4" spans="1:15" ht="24" customHeight="1" x14ac:dyDescent="0.2">
      <c r="A4" s="7" t="s">
        <v>6</v>
      </c>
      <c r="B4" s="8" t="s">
        <v>17</v>
      </c>
      <c r="C4" s="124" t="s">
        <v>152</v>
      </c>
      <c r="D4" s="125"/>
      <c r="E4" s="125"/>
      <c r="F4" s="125"/>
      <c r="G4" s="125"/>
      <c r="H4" s="125"/>
      <c r="I4" s="125"/>
      <c r="J4" s="125"/>
      <c r="K4" s="125"/>
      <c r="L4" s="125"/>
      <c r="M4" s="125"/>
      <c r="N4" s="126"/>
      <c r="O4" s="23" t="str">
        <f>IF(C4="","入力してください","")</f>
        <v/>
      </c>
    </row>
    <row r="5" spans="1:15" ht="7.5" customHeight="1" x14ac:dyDescent="0.2">
      <c r="B5" s="8"/>
      <c r="C5" s="8"/>
      <c r="D5" s="8"/>
      <c r="E5" s="9"/>
      <c r="F5" s="26"/>
      <c r="G5" s="26"/>
      <c r="H5" s="26"/>
      <c r="I5" s="26"/>
      <c r="J5" s="26"/>
      <c r="K5" s="26"/>
      <c r="L5" s="26"/>
      <c r="M5" s="26"/>
      <c r="N5" s="26"/>
    </row>
    <row r="6" spans="1:15" ht="24" customHeight="1" x14ac:dyDescent="0.2">
      <c r="A6" s="7" t="s">
        <v>50</v>
      </c>
      <c r="B6" s="8" t="s">
        <v>51</v>
      </c>
      <c r="C6" s="8"/>
      <c r="D6" s="124" t="s">
        <v>153</v>
      </c>
      <c r="E6" s="125"/>
      <c r="F6" s="125"/>
      <c r="G6" s="125"/>
      <c r="H6" s="126"/>
      <c r="I6" s="10" t="s">
        <v>89</v>
      </c>
      <c r="J6" s="26" t="s">
        <v>90</v>
      </c>
      <c r="K6" s="124" t="s">
        <v>154</v>
      </c>
      <c r="L6" s="125"/>
      <c r="M6" s="125"/>
      <c r="N6" s="126"/>
      <c r="O6" s="23" t="str">
        <f>IF(D6="","入力してください","")</f>
        <v/>
      </c>
    </row>
    <row r="7" spans="1:15" ht="7.5" customHeight="1" x14ac:dyDescent="0.2">
      <c r="B7" s="8"/>
      <c r="C7" s="8"/>
      <c r="D7" s="8"/>
      <c r="E7" s="9"/>
      <c r="F7" s="26"/>
      <c r="G7" s="26"/>
      <c r="H7" s="26"/>
      <c r="I7" s="26"/>
      <c r="J7" s="26"/>
      <c r="K7" s="26"/>
      <c r="L7" s="26"/>
      <c r="M7" s="26"/>
      <c r="N7" s="26"/>
    </row>
    <row r="8" spans="1:15" ht="24" customHeight="1" x14ac:dyDescent="0.2">
      <c r="A8" s="7" t="s">
        <v>14</v>
      </c>
      <c r="B8" s="8" t="s">
        <v>47</v>
      </c>
      <c r="C8" s="124" t="s">
        <v>155</v>
      </c>
      <c r="D8" s="125"/>
      <c r="E8" s="125"/>
      <c r="F8" s="125"/>
      <c r="G8" s="125"/>
      <c r="H8" s="125"/>
      <c r="I8" s="125"/>
      <c r="J8" s="125"/>
      <c r="K8" s="125"/>
      <c r="L8" s="125"/>
      <c r="M8" s="125"/>
      <c r="N8" s="126"/>
      <c r="O8" s="23" t="str">
        <f>IF(C8="","入力してください","")</f>
        <v/>
      </c>
    </row>
    <row r="9" spans="1:15" ht="7.5" customHeight="1" x14ac:dyDescent="0.2">
      <c r="B9" s="8"/>
      <c r="C9" s="8"/>
      <c r="D9" s="8"/>
      <c r="E9" s="9"/>
      <c r="F9" s="26"/>
      <c r="G9" s="26"/>
      <c r="H9" s="26"/>
      <c r="I9" s="26"/>
      <c r="J9" s="26"/>
      <c r="K9" s="26"/>
      <c r="L9" s="26"/>
      <c r="M9" s="26"/>
      <c r="N9" s="26"/>
    </row>
    <row r="10" spans="1:15" ht="24" customHeight="1" x14ac:dyDescent="0.2">
      <c r="A10" s="7" t="s">
        <v>12</v>
      </c>
      <c r="B10" s="8" t="s">
        <v>88</v>
      </c>
      <c r="C10" s="8"/>
      <c r="D10" s="8"/>
      <c r="E10" s="124" t="s">
        <v>156</v>
      </c>
      <c r="F10" s="125"/>
      <c r="G10" s="125"/>
      <c r="H10" s="125"/>
      <c r="I10" s="125"/>
      <c r="J10" s="125"/>
      <c r="K10" s="125"/>
      <c r="L10" s="125"/>
      <c r="M10" s="125"/>
      <c r="N10" s="126"/>
      <c r="O10" s="23" t="str">
        <f>IF(E10="","入力してください","")</f>
        <v/>
      </c>
    </row>
    <row r="11" spans="1:15" ht="7.5" customHeight="1" x14ac:dyDescent="0.2">
      <c r="B11" s="9"/>
      <c r="C11" s="9"/>
      <c r="D11" s="9"/>
      <c r="E11" s="9"/>
      <c r="F11" s="26"/>
      <c r="G11" s="26"/>
      <c r="H11" s="26"/>
      <c r="I11" s="26"/>
      <c r="J11" s="26"/>
      <c r="K11" s="26"/>
      <c r="L11" s="26"/>
      <c r="M11" s="26"/>
      <c r="N11" s="26"/>
    </row>
    <row r="12" spans="1:15" ht="24" customHeight="1" x14ac:dyDescent="0.2">
      <c r="A12" s="7" t="s">
        <v>60</v>
      </c>
      <c r="B12" s="9" t="s">
        <v>61</v>
      </c>
      <c r="C12" s="9"/>
      <c r="D12" s="9"/>
      <c r="E12" s="139" t="s">
        <v>233</v>
      </c>
      <c r="F12" s="140"/>
      <c r="G12" s="10" t="s">
        <v>99</v>
      </c>
      <c r="H12" s="7" t="s">
        <v>100</v>
      </c>
      <c r="N12" s="91" t="s">
        <v>157</v>
      </c>
      <c r="O12" s="23" t="str">
        <f>IF(E12="","入力してください","")</f>
        <v/>
      </c>
    </row>
    <row r="13" spans="1:15" ht="7.5" customHeight="1" x14ac:dyDescent="0.2">
      <c r="B13" s="9"/>
      <c r="C13" s="9"/>
      <c r="D13" s="9"/>
      <c r="E13" s="9"/>
      <c r="F13" s="26"/>
      <c r="G13" s="26"/>
      <c r="H13" s="26"/>
      <c r="I13" s="26"/>
      <c r="J13" s="26"/>
      <c r="K13" s="26"/>
      <c r="L13" s="26"/>
      <c r="M13" s="26"/>
      <c r="N13" s="26"/>
    </row>
    <row r="14" spans="1:15" ht="24" customHeight="1" x14ac:dyDescent="0.2">
      <c r="A14" s="7" t="s">
        <v>55</v>
      </c>
      <c r="B14" s="7" t="s">
        <v>0</v>
      </c>
      <c r="C14" s="135" t="s">
        <v>5</v>
      </c>
      <c r="D14" s="136"/>
      <c r="E14" s="127">
        <v>2313</v>
      </c>
      <c r="F14" s="128"/>
      <c r="G14" s="11" t="s">
        <v>8</v>
      </c>
      <c r="I14" s="135" t="s">
        <v>9</v>
      </c>
      <c r="J14" s="136"/>
      <c r="K14" s="127">
        <v>1385</v>
      </c>
      <c r="L14" s="137"/>
      <c r="M14" s="128"/>
      <c r="N14" s="12" t="s">
        <v>8</v>
      </c>
      <c r="O14" s="23" t="str">
        <f>IF(OR(E14="",K14=""),"入力してください","")</f>
        <v/>
      </c>
    </row>
    <row r="15" spans="1:15" ht="7.5" customHeight="1" x14ac:dyDescent="0.2">
      <c r="F15" s="13"/>
      <c r="G15" s="13"/>
      <c r="H15" s="13"/>
      <c r="I15" s="13"/>
      <c r="J15" s="13"/>
      <c r="K15" s="13"/>
      <c r="L15" s="13"/>
      <c r="M15" s="12"/>
      <c r="N15" s="12"/>
    </row>
    <row r="16" spans="1:15" ht="24" customHeight="1" x14ac:dyDescent="0.2">
      <c r="A16" s="7" t="s">
        <v>62</v>
      </c>
      <c r="B16" s="7" t="s">
        <v>72</v>
      </c>
      <c r="F16" s="13"/>
      <c r="G16" s="13"/>
      <c r="H16" s="13"/>
      <c r="I16" s="13"/>
      <c r="J16" s="13"/>
      <c r="K16" s="141">
        <v>14</v>
      </c>
      <c r="L16" s="142"/>
      <c r="M16" s="143"/>
      <c r="N16" s="12" t="s">
        <v>53</v>
      </c>
      <c r="O16" s="23" t="str">
        <f>IF(K16="","入力してください","")</f>
        <v/>
      </c>
    </row>
    <row r="17" spans="1:15" ht="7.5" customHeight="1" x14ac:dyDescent="0.2">
      <c r="F17" s="13"/>
      <c r="G17" s="13"/>
      <c r="H17" s="13"/>
      <c r="I17" s="13"/>
      <c r="J17" s="13"/>
      <c r="K17" s="13"/>
      <c r="L17" s="13"/>
      <c r="M17" s="12"/>
      <c r="N17" s="12"/>
    </row>
    <row r="18" spans="1:15" ht="24" customHeight="1" x14ac:dyDescent="0.2">
      <c r="A18" s="7" t="s">
        <v>25</v>
      </c>
      <c r="B18" s="7" t="s">
        <v>81</v>
      </c>
      <c r="E18" s="127">
        <v>2107</v>
      </c>
      <c r="F18" s="128"/>
      <c r="G18" s="14" t="s">
        <v>22</v>
      </c>
      <c r="H18" s="13"/>
      <c r="K18" s="147"/>
      <c r="L18" s="147"/>
      <c r="M18" s="147"/>
      <c r="N18" s="147"/>
      <c r="O18" s="23" t="str">
        <f>IF(E18="","入力してください","")</f>
        <v/>
      </c>
    </row>
    <row r="19" spans="1:15" ht="7.5" customHeight="1" x14ac:dyDescent="0.2">
      <c r="E19" s="3"/>
      <c r="F19" s="13"/>
      <c r="G19" s="13"/>
      <c r="L19" s="25"/>
      <c r="M19" s="25"/>
      <c r="N19" s="15"/>
    </row>
    <row r="20" spans="1:15" ht="24" customHeight="1" x14ac:dyDescent="0.2">
      <c r="A20" s="7" t="s">
        <v>80</v>
      </c>
      <c r="B20" s="7" t="s">
        <v>82</v>
      </c>
      <c r="E20" s="3"/>
      <c r="F20" s="13"/>
      <c r="G20" s="13"/>
      <c r="H20" s="7" t="s">
        <v>54</v>
      </c>
      <c r="J20" s="144">
        <v>9565</v>
      </c>
      <c r="K20" s="145"/>
      <c r="L20" s="146"/>
      <c r="M20" s="25" t="s">
        <v>53</v>
      </c>
      <c r="N20" s="15"/>
      <c r="O20" s="23" t="str">
        <f>IF(J20="","入力してください","")</f>
        <v/>
      </c>
    </row>
    <row r="21" spans="1:15" ht="7.5" customHeight="1" x14ac:dyDescent="0.2">
      <c r="E21" s="3"/>
      <c r="F21" s="13"/>
      <c r="G21" s="13"/>
      <c r="L21" s="25"/>
      <c r="M21" s="25"/>
      <c r="N21" s="15"/>
    </row>
    <row r="22" spans="1:15" ht="24" customHeight="1" x14ac:dyDescent="0.2">
      <c r="B22" s="21" t="s">
        <v>18</v>
      </c>
      <c r="C22" s="127">
        <v>2240</v>
      </c>
      <c r="D22" s="128"/>
      <c r="E22" s="3" t="s">
        <v>23</v>
      </c>
      <c r="F22" s="13"/>
      <c r="G22" s="123" t="s">
        <v>19</v>
      </c>
      <c r="H22" s="123"/>
      <c r="I22" s="127">
        <v>2258</v>
      </c>
      <c r="J22" s="128"/>
      <c r="K22" s="10" t="s">
        <v>23</v>
      </c>
      <c r="M22" s="25"/>
      <c r="N22" s="15"/>
    </row>
    <row r="23" spans="1:15" ht="7.5" customHeight="1" x14ac:dyDescent="0.2">
      <c r="B23" s="21"/>
      <c r="C23" s="4"/>
      <c r="D23" s="4"/>
      <c r="E23" s="3"/>
      <c r="F23" s="13"/>
      <c r="G23" s="25"/>
      <c r="H23" s="25"/>
      <c r="I23" s="4"/>
      <c r="J23" s="4"/>
      <c r="K23" s="10"/>
      <c r="M23" s="25"/>
      <c r="N23" s="15"/>
    </row>
    <row r="24" spans="1:15" ht="24" customHeight="1" x14ac:dyDescent="0.2">
      <c r="B24" s="21" t="s">
        <v>20</v>
      </c>
      <c r="C24" s="127">
        <v>2280</v>
      </c>
      <c r="D24" s="128"/>
      <c r="E24" s="3" t="s">
        <v>23</v>
      </c>
      <c r="F24" s="13"/>
      <c r="G24" s="123" t="s">
        <v>21</v>
      </c>
      <c r="H24" s="123"/>
      <c r="I24" s="127">
        <v>2559</v>
      </c>
      <c r="J24" s="128"/>
      <c r="K24" s="10" t="s">
        <v>23</v>
      </c>
      <c r="M24" s="25"/>
      <c r="N24" s="15"/>
    </row>
    <row r="25" spans="1:15" ht="7.5" customHeight="1" x14ac:dyDescent="0.2">
      <c r="B25" s="21"/>
      <c r="C25" s="4"/>
      <c r="D25" s="4"/>
      <c r="E25" s="3"/>
      <c r="F25" s="13"/>
      <c r="G25" s="25"/>
      <c r="H25" s="25"/>
      <c r="I25" s="4"/>
      <c r="J25" s="4"/>
      <c r="K25" s="10"/>
      <c r="M25" s="25"/>
      <c r="N25" s="15"/>
    </row>
    <row r="26" spans="1:15" ht="24" customHeight="1" x14ac:dyDescent="0.2">
      <c r="B26" s="21" t="s">
        <v>48</v>
      </c>
      <c r="C26" s="127">
        <v>113</v>
      </c>
      <c r="D26" s="128"/>
      <c r="E26" s="3" t="s">
        <v>8</v>
      </c>
      <c r="F26" s="13"/>
      <c r="G26" s="123" t="s">
        <v>49</v>
      </c>
      <c r="H26" s="123"/>
      <c r="I26" s="127">
        <v>115</v>
      </c>
      <c r="J26" s="128"/>
      <c r="K26" s="10" t="s">
        <v>8</v>
      </c>
      <c r="M26" s="25"/>
      <c r="N26" s="15"/>
    </row>
    <row r="27" spans="1:15" ht="7.5" customHeight="1" x14ac:dyDescent="0.2">
      <c r="F27" s="13"/>
      <c r="G27" s="13"/>
      <c r="M27" s="16"/>
      <c r="N27" s="16"/>
    </row>
    <row r="28" spans="1:15" ht="24" customHeight="1" x14ac:dyDescent="0.2">
      <c r="A28" s="7" t="s">
        <v>52</v>
      </c>
      <c r="B28" s="8" t="s">
        <v>79</v>
      </c>
      <c r="C28" s="8"/>
      <c r="D28" s="8"/>
      <c r="E28" s="8"/>
      <c r="F28" s="10"/>
      <c r="G28" s="26"/>
      <c r="H28" s="26"/>
      <c r="I28" s="26"/>
      <c r="J28" s="17"/>
      <c r="K28" s="17"/>
      <c r="L28" s="17"/>
      <c r="M28" s="17"/>
      <c r="N28" s="17"/>
    </row>
    <row r="29" spans="1:15" s="7" customFormat="1" ht="24" customHeight="1" x14ac:dyDescent="0.2">
      <c r="B29" s="131" t="s">
        <v>78</v>
      </c>
      <c r="C29" s="131"/>
      <c r="D29" s="124" t="s">
        <v>158</v>
      </c>
      <c r="E29" s="125"/>
      <c r="F29" s="125"/>
      <c r="G29" s="132" t="s">
        <v>24</v>
      </c>
      <c r="H29" s="131"/>
      <c r="I29" s="133"/>
      <c r="J29" s="124" t="s">
        <v>160</v>
      </c>
      <c r="K29" s="125"/>
      <c r="L29" s="125"/>
      <c r="M29" s="125"/>
      <c r="N29" s="126"/>
      <c r="O29" s="23" t="str">
        <f>IF(OR(D29="",J29=""),"入力してください","")</f>
        <v/>
      </c>
    </row>
    <row r="30" spans="1:15" ht="7.5" customHeight="1" x14ac:dyDescent="0.2">
      <c r="F30" s="13"/>
      <c r="G30" s="13"/>
      <c r="M30" s="16"/>
      <c r="N30" s="16"/>
    </row>
    <row r="31" spans="1:15" ht="24" customHeight="1" x14ac:dyDescent="0.2">
      <c r="A31" s="7" t="s">
        <v>56</v>
      </c>
      <c r="B31" s="8" t="s">
        <v>84</v>
      </c>
      <c r="C31" s="8"/>
      <c r="D31" s="8"/>
      <c r="E31" s="8"/>
      <c r="F31" s="10"/>
      <c r="G31" s="17"/>
      <c r="H31" s="17"/>
      <c r="I31" s="17"/>
      <c r="J31" s="17"/>
      <c r="K31" s="17"/>
      <c r="L31" s="17"/>
      <c r="M31" s="17"/>
      <c r="N31" s="17"/>
    </row>
    <row r="32" spans="1:15" ht="24" customHeight="1" x14ac:dyDescent="0.2">
      <c r="B32" s="124" t="s">
        <v>162</v>
      </c>
      <c r="C32" s="125"/>
      <c r="D32" s="125"/>
      <c r="E32" s="125"/>
      <c r="F32" s="125"/>
      <c r="G32" s="125"/>
      <c r="H32" s="125"/>
      <c r="I32" s="125"/>
      <c r="J32" s="125"/>
      <c r="K32" s="125"/>
      <c r="L32" s="125"/>
      <c r="M32" s="125"/>
      <c r="N32" s="126"/>
      <c r="O32" s="23" t="str">
        <f>IF(B32="","入力してください","")</f>
        <v/>
      </c>
    </row>
    <row r="33" spans="1:15" ht="7.5" customHeight="1" x14ac:dyDescent="0.2">
      <c r="B33" s="5"/>
      <c r="C33" s="5"/>
      <c r="D33" s="5"/>
      <c r="E33" s="5"/>
      <c r="F33" s="5"/>
      <c r="G33" s="5"/>
      <c r="H33" s="5"/>
      <c r="I33" s="5"/>
      <c r="J33" s="5"/>
      <c r="K33" s="5"/>
      <c r="L33" s="5"/>
      <c r="M33" s="5"/>
      <c r="N33" s="5"/>
    </row>
    <row r="34" spans="1:15" s="7" customFormat="1" ht="24" customHeight="1" x14ac:dyDescent="0.2">
      <c r="B34" s="131" t="s">
        <v>78</v>
      </c>
      <c r="C34" s="131"/>
      <c r="D34" s="124" t="s">
        <v>159</v>
      </c>
      <c r="E34" s="125"/>
      <c r="F34" s="125"/>
      <c r="G34" s="132" t="s">
        <v>57</v>
      </c>
      <c r="H34" s="131"/>
      <c r="I34" s="133"/>
      <c r="J34" s="124" t="s">
        <v>161</v>
      </c>
      <c r="K34" s="125"/>
      <c r="L34" s="125"/>
      <c r="M34" s="125"/>
      <c r="N34" s="126"/>
      <c r="O34" s="23" t="str">
        <f>IF(OR(D34="",J34=""),"入力してください","")</f>
        <v/>
      </c>
    </row>
    <row r="35" spans="1:15" ht="7.5" customHeight="1" x14ac:dyDescent="0.2">
      <c r="F35" s="26"/>
      <c r="G35" s="26"/>
      <c r="H35" s="26"/>
      <c r="I35" s="26"/>
      <c r="J35" s="26"/>
      <c r="K35" s="26"/>
      <c r="L35" s="26"/>
      <c r="M35" s="26"/>
      <c r="N35" s="26"/>
    </row>
    <row r="36" spans="1:15" ht="24" customHeight="1" x14ac:dyDescent="0.2">
      <c r="A36" s="7" t="s">
        <v>63</v>
      </c>
      <c r="B36" s="7" t="s">
        <v>85</v>
      </c>
      <c r="M36" s="16"/>
      <c r="N36" s="16"/>
    </row>
    <row r="37" spans="1:15" ht="24" customHeight="1" x14ac:dyDescent="0.2">
      <c r="B37" s="124" t="s">
        <v>163</v>
      </c>
      <c r="C37" s="125"/>
      <c r="D37" s="125"/>
      <c r="E37" s="125"/>
      <c r="F37" s="125"/>
      <c r="G37" s="125"/>
      <c r="H37" s="125"/>
      <c r="I37" s="125"/>
      <c r="J37" s="125"/>
      <c r="K37" s="125"/>
      <c r="L37" s="125"/>
      <c r="M37" s="125"/>
      <c r="N37" s="126"/>
      <c r="O37" s="23" t="str">
        <f>IF(B37="","入力してください","")</f>
        <v/>
      </c>
    </row>
    <row r="38" spans="1:15" ht="7.5" customHeight="1" x14ac:dyDescent="0.2">
      <c r="F38" s="26"/>
      <c r="G38" s="26"/>
      <c r="H38" s="26"/>
      <c r="I38" s="26"/>
      <c r="J38" s="26"/>
      <c r="K38" s="26"/>
      <c r="L38" s="26"/>
      <c r="M38" s="26"/>
      <c r="N38" s="26"/>
    </row>
    <row r="39" spans="1:15" s="7" customFormat="1" ht="24" customHeight="1" x14ac:dyDescent="0.2">
      <c r="B39" s="131" t="s">
        <v>78</v>
      </c>
      <c r="C39" s="131"/>
      <c r="D39" s="124" t="s">
        <v>159</v>
      </c>
      <c r="E39" s="125"/>
      <c r="F39" s="125"/>
      <c r="G39" s="132" t="s">
        <v>57</v>
      </c>
      <c r="H39" s="131"/>
      <c r="I39" s="133"/>
      <c r="J39" s="124" t="s">
        <v>161</v>
      </c>
      <c r="K39" s="125"/>
      <c r="L39" s="125"/>
      <c r="M39" s="125"/>
      <c r="N39" s="126"/>
      <c r="O39" s="23" t="str">
        <f>IF(OR(D39="",J39=""),"入力してください","")</f>
        <v/>
      </c>
    </row>
    <row r="40" spans="1:15" ht="7.5" customHeight="1" x14ac:dyDescent="0.2">
      <c r="F40" s="26"/>
      <c r="G40" s="26"/>
      <c r="H40" s="26"/>
      <c r="I40" s="26"/>
      <c r="J40" s="26"/>
      <c r="K40" s="26"/>
      <c r="L40" s="26"/>
      <c r="M40" s="26"/>
      <c r="N40" s="26"/>
    </row>
    <row r="41" spans="1:15" ht="24" customHeight="1" x14ac:dyDescent="0.2">
      <c r="A41" s="7" t="s">
        <v>91</v>
      </c>
      <c r="B41" s="56" t="s">
        <v>71</v>
      </c>
      <c r="E41" s="57"/>
      <c r="F41" s="124" t="s">
        <v>164</v>
      </c>
      <c r="G41" s="125"/>
      <c r="H41" s="125"/>
      <c r="I41" s="125"/>
      <c r="J41" s="125"/>
      <c r="K41" s="125"/>
      <c r="L41" s="125"/>
      <c r="M41" s="125"/>
      <c r="N41" s="126"/>
      <c r="O41" s="23" t="str">
        <f>IF(F41="","入力してください","")</f>
        <v/>
      </c>
    </row>
    <row r="42" spans="1:15" ht="7.5" customHeight="1" x14ac:dyDescent="0.2">
      <c r="F42" s="26"/>
      <c r="G42" s="26"/>
      <c r="H42" s="26"/>
      <c r="I42" s="26"/>
      <c r="J42" s="26"/>
      <c r="K42" s="26"/>
      <c r="L42" s="26"/>
      <c r="M42" s="26"/>
      <c r="N42" s="26"/>
    </row>
    <row r="43" spans="1:15" ht="24" customHeight="1" x14ac:dyDescent="0.2">
      <c r="A43" s="7" t="s">
        <v>101</v>
      </c>
    </row>
    <row r="44" spans="1:15" ht="24" customHeight="1" x14ac:dyDescent="0.2">
      <c r="B44" s="22" t="s">
        <v>1</v>
      </c>
      <c r="C44" s="129" t="s">
        <v>165</v>
      </c>
      <c r="D44" s="130"/>
      <c r="E44" s="130"/>
      <c r="F44" s="130"/>
      <c r="G44" s="130"/>
      <c r="H44" s="130"/>
      <c r="I44" s="19" t="s">
        <v>2</v>
      </c>
      <c r="J44" s="20"/>
      <c r="K44" s="124" t="s">
        <v>167</v>
      </c>
      <c r="L44" s="125"/>
      <c r="M44" s="125"/>
      <c r="N44" s="126"/>
      <c r="O44" s="23" t="str">
        <f>IF(OR(C44="",K44=""),"入力してください","")</f>
        <v/>
      </c>
    </row>
    <row r="45" spans="1:15" ht="24" customHeight="1" x14ac:dyDescent="0.2">
      <c r="B45" s="18" t="s">
        <v>4</v>
      </c>
      <c r="C45" s="117" t="s">
        <v>166</v>
      </c>
      <c r="D45" s="118"/>
      <c r="E45" s="118"/>
      <c r="F45" s="118"/>
      <c r="G45" s="118"/>
      <c r="H45" s="119"/>
      <c r="I45" s="19" t="s">
        <v>3</v>
      </c>
      <c r="J45" s="20"/>
      <c r="K45" s="120" t="s">
        <v>168</v>
      </c>
      <c r="L45" s="121"/>
      <c r="M45" s="121"/>
      <c r="N45" s="122"/>
      <c r="O45" s="23" t="str">
        <f>IF(OR(C45="",K45=""),"入力してください","")</f>
        <v/>
      </c>
    </row>
  </sheetData>
  <customSheetViews>
    <customSheetView guid="{F66F98FB-58AD-4588-B2BF-A96D7B6BA538}" showPageBreaks="1" printArea="1" view="pageBreakPreview">
      <selection activeCell="P26" sqref="P26"/>
      <pageMargins left="0.78740157480314965" right="0.78740157480314965" top="0.78740157480314965" bottom="0.39370078740157483" header="0.31496062992125984" footer="0.31496062992125984"/>
      <printOptions horizontalCentered="1"/>
      <pageSetup paperSize="9" orientation="portrait" r:id="rId1"/>
    </customSheetView>
    <customSheetView guid="{AB72F774-B35A-46F0-BC4F-A888CB0430C3}" showPageBreaks="1" printArea="1" view="pageBreakPreview">
      <pageMargins left="0.78740157480314965" right="0.78740157480314965" top="0.78740157480314965" bottom="0.39370078740157483" header="0.31496062992125984" footer="0.31496062992125984"/>
      <printOptions horizontalCentered="1"/>
      <pageSetup paperSize="9" orientation="portrait" r:id="rId2"/>
    </customSheetView>
    <customSheetView guid="{3F6F70B2-63B4-4C1B-8947-42666FB99B7C}" showPageBreaks="1" printArea="1" view="pageBreakPreview">
      <selection activeCell="C8" sqref="C8:N8"/>
      <pageMargins left="0.78740157480314965" right="0.78740157480314965" top="0.78740157480314965" bottom="0.39370078740157483" header="0.31496062992125984" footer="0.31496062992125984"/>
      <printOptions horizontalCentered="1"/>
      <pageSetup paperSize="9" orientation="portrait" r:id="rId3"/>
    </customSheetView>
  </customSheetViews>
  <mergeCells count="44">
    <mergeCell ref="K16:M16"/>
    <mergeCell ref="J20:L20"/>
    <mergeCell ref="G22:H22"/>
    <mergeCell ref="B29:C29"/>
    <mergeCell ref="D29:F29"/>
    <mergeCell ref="G29:I29"/>
    <mergeCell ref="C26:D26"/>
    <mergeCell ref="I22:J22"/>
    <mergeCell ref="C22:D22"/>
    <mergeCell ref="K18:N18"/>
    <mergeCell ref="E18:F18"/>
    <mergeCell ref="J39:N39"/>
    <mergeCell ref="B32:N32"/>
    <mergeCell ref="B37:N37"/>
    <mergeCell ref="G26:H26"/>
    <mergeCell ref="I26:J26"/>
    <mergeCell ref="M1:N1"/>
    <mergeCell ref="C14:D14"/>
    <mergeCell ref="C8:N8"/>
    <mergeCell ref="K14:M14"/>
    <mergeCell ref="C4:N4"/>
    <mergeCell ref="A2:N2"/>
    <mergeCell ref="E14:F14"/>
    <mergeCell ref="I14:J14"/>
    <mergeCell ref="E10:N10"/>
    <mergeCell ref="K6:N6"/>
    <mergeCell ref="D6:H6"/>
    <mergeCell ref="E12:F12"/>
    <mergeCell ref="C45:H45"/>
    <mergeCell ref="K45:N45"/>
    <mergeCell ref="G24:H24"/>
    <mergeCell ref="K44:N44"/>
    <mergeCell ref="I24:J24"/>
    <mergeCell ref="C44:H44"/>
    <mergeCell ref="B34:C34"/>
    <mergeCell ref="J34:N34"/>
    <mergeCell ref="D34:F34"/>
    <mergeCell ref="G34:I34"/>
    <mergeCell ref="B39:C39"/>
    <mergeCell ref="D39:F39"/>
    <mergeCell ref="C24:D24"/>
    <mergeCell ref="G39:I39"/>
    <mergeCell ref="F41:N41"/>
    <mergeCell ref="J29:N29"/>
  </mergeCells>
  <phoneticPr fontId="1"/>
  <dataValidations count="3">
    <dataValidation type="list" allowBlank="1" showInputMessage="1" showErrorMessage="1" sqref="K6" xr:uid="{00000000-0002-0000-0000-000000000000}">
      <formula1>"国立大学, 公立大学, 私立大学, 短期大学, 高等専門学校, その他"</formula1>
    </dataValidation>
    <dataValidation type="list" allowBlank="1" showInputMessage="1" showErrorMessage="1" sqref="N12" xr:uid="{00000000-0002-0000-0000-000001000000}">
      <formula1>"有,無"</formula1>
    </dataValidation>
    <dataValidation type="list" allowBlank="1" showInputMessage="1" showErrorMessage="1" sqref="F41:N41" xr:uid="{00000000-0002-0000-0000-000002000000}">
      <formula1>"認定教育プログラム,認定教育プログラム+（プラス）,認定教育プログラムと認定教育プログラム+（プラス）"</formula1>
    </dataValidation>
  </dataValidations>
  <printOptions horizontalCentered="1"/>
  <pageMargins left="0.78740157480314965" right="0.78740157480314965" top="0.78740157480314965" bottom="0.39370078740157483" header="0.31496062992125984" footer="0.31496062992125984"/>
  <pageSetup paperSize="9" orientation="portrait"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Z98"/>
  <sheetViews>
    <sheetView showZeros="0" view="pageBreakPreview" topLeftCell="A76" zoomScale="85" zoomScaleNormal="100" zoomScaleSheetLayoutView="85" workbookViewId="0">
      <selection activeCell="B6" sqref="B6:Z11"/>
    </sheetView>
  </sheetViews>
  <sheetFormatPr defaultColWidth="9" defaultRowHeight="18.75" customHeight="1" x14ac:dyDescent="0.2"/>
  <cols>
    <col min="1" max="1" width="2.453125" style="7" customWidth="1"/>
    <col min="2" max="2" width="27.7265625" style="7" customWidth="1"/>
    <col min="3" max="13" width="3.36328125" style="7" customWidth="1"/>
    <col min="14" max="14" width="8.90625" style="7" customWidth="1"/>
    <col min="15" max="15" width="18.90625" style="7" customWidth="1"/>
    <col min="16" max="19" width="3.36328125" style="7" customWidth="1"/>
    <col min="20" max="20" width="3.453125" style="7" customWidth="1"/>
    <col min="21" max="26" width="3.36328125" style="7" customWidth="1"/>
    <col min="27" max="16384" width="9" style="7"/>
  </cols>
  <sheetData>
    <row r="1" spans="1:26" ht="15" customHeight="1" x14ac:dyDescent="0.2">
      <c r="W1" s="166" t="s">
        <v>182</v>
      </c>
      <c r="X1" s="166"/>
      <c r="Y1" s="166"/>
      <c r="Z1" s="166"/>
    </row>
    <row r="2" spans="1:26" ht="18" customHeight="1" x14ac:dyDescent="0.2">
      <c r="A2" s="167" t="s">
        <v>69</v>
      </c>
      <c r="B2" s="167"/>
      <c r="C2" s="167"/>
      <c r="D2" s="167"/>
      <c r="E2" s="167"/>
      <c r="F2" s="167"/>
      <c r="G2" s="167"/>
      <c r="H2" s="167"/>
      <c r="I2" s="167"/>
      <c r="J2" s="167"/>
      <c r="K2" s="167"/>
      <c r="L2" s="167"/>
      <c r="M2" s="167"/>
      <c r="N2" s="167"/>
      <c r="O2" s="167"/>
      <c r="P2" s="167"/>
      <c r="Q2" s="167"/>
      <c r="R2" s="167"/>
      <c r="S2" s="167"/>
      <c r="T2" s="167"/>
      <c r="U2" s="167"/>
      <c r="V2" s="167"/>
      <c r="W2" s="167"/>
      <c r="X2" s="167"/>
      <c r="Y2" s="167"/>
      <c r="Z2" s="167"/>
    </row>
    <row r="3" spans="1:26" ht="15" customHeight="1" x14ac:dyDescent="0.2">
      <c r="B3" s="21"/>
      <c r="C3" s="21"/>
      <c r="D3" s="21"/>
      <c r="E3" s="21"/>
      <c r="F3" s="21"/>
      <c r="G3" s="21"/>
      <c r="H3" s="21"/>
      <c r="I3" s="21"/>
      <c r="J3" s="21"/>
      <c r="K3" s="21"/>
      <c r="L3" s="21"/>
      <c r="M3" s="21"/>
      <c r="N3" s="21"/>
      <c r="O3" s="21"/>
      <c r="P3" s="21"/>
      <c r="Q3" s="21"/>
      <c r="R3" s="21"/>
      <c r="S3" s="21"/>
      <c r="T3" s="21"/>
      <c r="U3" s="21"/>
      <c r="V3" s="21"/>
      <c r="W3" s="21"/>
      <c r="X3" s="21"/>
      <c r="Y3" s="21"/>
      <c r="Z3" s="21"/>
    </row>
    <row r="4" spans="1:26" ht="18" customHeight="1" x14ac:dyDescent="0.2">
      <c r="A4" s="7" t="s">
        <v>102</v>
      </c>
      <c r="B4" s="21"/>
      <c r="C4" s="21"/>
      <c r="D4" s="21"/>
      <c r="E4" s="21"/>
      <c r="F4" s="21"/>
      <c r="G4" s="21"/>
      <c r="H4" s="8" t="s">
        <v>115</v>
      </c>
      <c r="I4" s="21"/>
      <c r="J4" s="21"/>
      <c r="K4" s="21"/>
      <c r="L4" s="21"/>
      <c r="M4" s="21"/>
      <c r="N4" s="21"/>
      <c r="O4" s="141" t="s">
        <v>169</v>
      </c>
      <c r="P4" s="142"/>
      <c r="Q4" s="142"/>
      <c r="R4" s="142"/>
      <c r="S4" s="142"/>
      <c r="T4" s="142"/>
      <c r="U4" s="142"/>
      <c r="V4" s="142"/>
      <c r="W4" s="142"/>
      <c r="X4" s="142"/>
      <c r="Y4" s="142"/>
      <c r="Z4" s="143"/>
    </row>
    <row r="5" spans="1:26" ht="6" customHeight="1" x14ac:dyDescent="0.2">
      <c r="B5" s="21"/>
      <c r="C5" s="21"/>
      <c r="D5" s="21"/>
      <c r="E5" s="21"/>
      <c r="F5" s="21"/>
      <c r="G5" s="21"/>
      <c r="H5" s="21"/>
      <c r="I5" s="21"/>
      <c r="J5" s="21"/>
      <c r="K5" s="21"/>
      <c r="L5" s="21"/>
      <c r="M5" s="21"/>
      <c r="N5" s="21"/>
      <c r="O5" s="9"/>
      <c r="P5" s="21"/>
      <c r="Q5" s="21"/>
      <c r="R5" s="21"/>
      <c r="S5" s="21"/>
      <c r="T5" s="21"/>
      <c r="U5" s="21"/>
      <c r="V5" s="21"/>
      <c r="W5" s="21"/>
      <c r="X5" s="21"/>
      <c r="Y5" s="21"/>
      <c r="Z5" s="21"/>
    </row>
    <row r="6" spans="1:26" ht="18" customHeight="1" x14ac:dyDescent="0.2">
      <c r="B6" s="168" t="s">
        <v>242</v>
      </c>
      <c r="C6" s="169"/>
      <c r="D6" s="169"/>
      <c r="E6" s="169"/>
      <c r="F6" s="169"/>
      <c r="G6" s="169"/>
      <c r="H6" s="169"/>
      <c r="I6" s="169"/>
      <c r="J6" s="169"/>
      <c r="K6" s="169"/>
      <c r="L6" s="169"/>
      <c r="M6" s="169"/>
      <c r="N6" s="169"/>
      <c r="O6" s="169"/>
      <c r="P6" s="169"/>
      <c r="Q6" s="169"/>
      <c r="R6" s="169"/>
      <c r="S6" s="169"/>
      <c r="T6" s="169"/>
      <c r="U6" s="169"/>
      <c r="V6" s="169"/>
      <c r="W6" s="169"/>
      <c r="X6" s="169"/>
      <c r="Y6" s="169"/>
      <c r="Z6" s="170"/>
    </row>
    <row r="7" spans="1:26" ht="18" customHeight="1" x14ac:dyDescent="0.2">
      <c r="B7" s="171"/>
      <c r="C7" s="172"/>
      <c r="D7" s="172"/>
      <c r="E7" s="172"/>
      <c r="F7" s="172"/>
      <c r="G7" s="172"/>
      <c r="H7" s="172"/>
      <c r="I7" s="172"/>
      <c r="J7" s="172"/>
      <c r="K7" s="172"/>
      <c r="L7" s="172"/>
      <c r="M7" s="172"/>
      <c r="N7" s="172"/>
      <c r="O7" s="172"/>
      <c r="P7" s="172"/>
      <c r="Q7" s="172"/>
      <c r="R7" s="172"/>
      <c r="S7" s="172"/>
      <c r="T7" s="172"/>
      <c r="U7" s="172"/>
      <c r="V7" s="172"/>
      <c r="W7" s="172"/>
      <c r="X7" s="172"/>
      <c r="Y7" s="172"/>
      <c r="Z7" s="173"/>
    </row>
    <row r="8" spans="1:26" ht="18" customHeight="1" x14ac:dyDescent="0.2">
      <c r="B8" s="171"/>
      <c r="C8" s="172"/>
      <c r="D8" s="172"/>
      <c r="E8" s="172"/>
      <c r="F8" s="172"/>
      <c r="G8" s="172"/>
      <c r="H8" s="172"/>
      <c r="I8" s="172"/>
      <c r="J8" s="172"/>
      <c r="K8" s="172"/>
      <c r="L8" s="172"/>
      <c r="M8" s="172"/>
      <c r="N8" s="172"/>
      <c r="O8" s="172"/>
      <c r="P8" s="172"/>
      <c r="Q8" s="172"/>
      <c r="R8" s="172"/>
      <c r="S8" s="172"/>
      <c r="T8" s="172"/>
      <c r="U8" s="172"/>
      <c r="V8" s="172"/>
      <c r="W8" s="172"/>
      <c r="X8" s="172"/>
      <c r="Y8" s="172"/>
      <c r="Z8" s="173"/>
    </row>
    <row r="9" spans="1:26" ht="18" customHeight="1" x14ac:dyDescent="0.2">
      <c r="B9" s="171"/>
      <c r="C9" s="172"/>
      <c r="D9" s="172"/>
      <c r="E9" s="172"/>
      <c r="F9" s="172"/>
      <c r="G9" s="172"/>
      <c r="H9" s="172"/>
      <c r="I9" s="172"/>
      <c r="J9" s="172"/>
      <c r="K9" s="172"/>
      <c r="L9" s="172"/>
      <c r="M9" s="172"/>
      <c r="N9" s="172"/>
      <c r="O9" s="172"/>
      <c r="P9" s="172"/>
      <c r="Q9" s="172"/>
      <c r="R9" s="172"/>
      <c r="S9" s="172"/>
      <c r="T9" s="172"/>
      <c r="U9" s="172"/>
      <c r="V9" s="172"/>
      <c r="W9" s="172"/>
      <c r="X9" s="172"/>
      <c r="Y9" s="172"/>
      <c r="Z9" s="173"/>
    </row>
    <row r="10" spans="1:26" ht="18" customHeight="1" x14ac:dyDescent="0.2">
      <c r="B10" s="171"/>
      <c r="C10" s="174"/>
      <c r="D10" s="174"/>
      <c r="E10" s="174"/>
      <c r="F10" s="174"/>
      <c r="G10" s="174"/>
      <c r="H10" s="174"/>
      <c r="I10" s="174"/>
      <c r="J10" s="174"/>
      <c r="K10" s="174"/>
      <c r="L10" s="174"/>
      <c r="M10" s="174"/>
      <c r="N10" s="174"/>
      <c r="O10" s="174"/>
      <c r="P10" s="174"/>
      <c r="Q10" s="174"/>
      <c r="R10" s="174"/>
      <c r="S10" s="174"/>
      <c r="T10" s="174"/>
      <c r="U10" s="174"/>
      <c r="V10" s="174"/>
      <c r="W10" s="174"/>
      <c r="X10" s="174"/>
      <c r="Y10" s="174"/>
      <c r="Z10" s="173"/>
    </row>
    <row r="11" spans="1:26" ht="18" customHeight="1" x14ac:dyDescent="0.2">
      <c r="B11" s="175"/>
      <c r="C11" s="176"/>
      <c r="D11" s="176"/>
      <c r="E11" s="176"/>
      <c r="F11" s="176"/>
      <c r="G11" s="176"/>
      <c r="H11" s="176"/>
      <c r="I11" s="176"/>
      <c r="J11" s="176"/>
      <c r="K11" s="176"/>
      <c r="L11" s="176"/>
      <c r="M11" s="176"/>
      <c r="N11" s="176"/>
      <c r="O11" s="176"/>
      <c r="P11" s="176"/>
      <c r="Q11" s="176"/>
      <c r="R11" s="176"/>
      <c r="S11" s="176"/>
      <c r="T11" s="176"/>
      <c r="U11" s="176"/>
      <c r="V11" s="176"/>
      <c r="W11" s="176"/>
      <c r="X11" s="176"/>
      <c r="Y11" s="176"/>
      <c r="Z11" s="177"/>
    </row>
    <row r="12" spans="1:26" ht="7.5" customHeight="1" x14ac:dyDescent="0.2">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ht="18" customHeight="1" x14ac:dyDescent="0.2">
      <c r="A13" s="178" t="s">
        <v>128</v>
      </c>
      <c r="B13" s="178"/>
      <c r="C13" s="178"/>
      <c r="D13" s="178"/>
      <c r="E13" s="178"/>
      <c r="F13" s="178"/>
      <c r="G13" s="178"/>
      <c r="H13" s="178"/>
      <c r="I13" s="178"/>
      <c r="J13" s="178"/>
      <c r="K13" s="178"/>
      <c r="L13" s="178"/>
      <c r="M13" s="178"/>
      <c r="N13" s="178"/>
      <c r="O13" s="178"/>
      <c r="P13" s="178"/>
      <c r="Q13" s="178"/>
      <c r="R13" s="178"/>
      <c r="S13" s="178"/>
      <c r="T13" s="178"/>
      <c r="U13" s="178"/>
      <c r="V13" s="178"/>
      <c r="W13" s="178"/>
      <c r="X13" s="178"/>
      <c r="Y13" s="178"/>
      <c r="Z13" s="178"/>
    </row>
    <row r="14" spans="1:26" ht="18" customHeight="1" x14ac:dyDescent="0.2">
      <c r="A14" s="178"/>
      <c r="B14" s="178"/>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row>
    <row r="15" spans="1:26" ht="18" customHeight="1" x14ac:dyDescent="0.2">
      <c r="B15" s="141" t="s">
        <v>103</v>
      </c>
      <c r="C15" s="142"/>
      <c r="D15" s="142"/>
      <c r="E15" s="142"/>
      <c r="F15" s="143"/>
      <c r="G15" s="22" t="s">
        <v>144</v>
      </c>
      <c r="H15" s="86" t="s">
        <v>143</v>
      </c>
      <c r="I15" s="142" t="s">
        <v>104</v>
      </c>
      <c r="J15" s="142"/>
      <c r="K15" s="142"/>
      <c r="L15" s="58" t="s">
        <v>107</v>
      </c>
      <c r="M15" s="58" t="s">
        <v>110</v>
      </c>
      <c r="N15" s="141" t="s">
        <v>103</v>
      </c>
      <c r="O15" s="142"/>
      <c r="P15" s="142"/>
      <c r="Q15" s="142"/>
      <c r="R15" s="142"/>
      <c r="S15" s="143"/>
      <c r="T15" s="22" t="s">
        <v>144</v>
      </c>
      <c r="U15" s="86" t="s">
        <v>143</v>
      </c>
      <c r="V15" s="142" t="s">
        <v>104</v>
      </c>
      <c r="W15" s="142"/>
      <c r="X15" s="142"/>
      <c r="Y15" s="58" t="s">
        <v>107</v>
      </c>
      <c r="Z15" s="58" t="s">
        <v>110</v>
      </c>
    </row>
    <row r="16" spans="1:26" ht="18" customHeight="1" x14ac:dyDescent="0.2">
      <c r="B16" s="148" t="s">
        <v>199</v>
      </c>
      <c r="C16" s="149"/>
      <c r="D16" s="149"/>
      <c r="E16" s="149"/>
      <c r="F16" s="150"/>
      <c r="G16" s="87">
        <v>2</v>
      </c>
      <c r="H16" s="87" t="s">
        <v>172</v>
      </c>
      <c r="I16" s="151" t="s">
        <v>202</v>
      </c>
      <c r="J16" s="152"/>
      <c r="K16" s="153"/>
      <c r="L16" s="87" t="s">
        <v>172</v>
      </c>
      <c r="M16" s="87"/>
      <c r="N16" s="154"/>
      <c r="O16" s="155"/>
      <c r="P16" s="155"/>
      <c r="Q16" s="155"/>
      <c r="R16" s="155"/>
      <c r="S16" s="156"/>
      <c r="T16" s="87"/>
      <c r="U16" s="87"/>
      <c r="V16" s="151"/>
      <c r="W16" s="152"/>
      <c r="X16" s="153"/>
      <c r="Y16" s="87"/>
      <c r="Z16" s="87"/>
    </row>
    <row r="17" spans="1:26" ht="18" customHeight="1" x14ac:dyDescent="0.2">
      <c r="B17" s="157" t="s">
        <v>200</v>
      </c>
      <c r="C17" s="158"/>
      <c r="D17" s="158"/>
      <c r="E17" s="158"/>
      <c r="F17" s="159"/>
      <c r="G17" s="88">
        <v>2</v>
      </c>
      <c r="H17" s="88" t="s">
        <v>172</v>
      </c>
      <c r="I17" s="160" t="s">
        <v>202</v>
      </c>
      <c r="J17" s="161"/>
      <c r="K17" s="162"/>
      <c r="L17" s="88" t="s">
        <v>172</v>
      </c>
      <c r="M17" s="88" t="s">
        <v>172</v>
      </c>
      <c r="N17" s="163"/>
      <c r="O17" s="164"/>
      <c r="P17" s="164"/>
      <c r="Q17" s="164"/>
      <c r="R17" s="164"/>
      <c r="S17" s="165"/>
      <c r="T17" s="88"/>
      <c r="U17" s="88"/>
      <c r="V17" s="160"/>
      <c r="W17" s="161"/>
      <c r="X17" s="162"/>
      <c r="Y17" s="88"/>
      <c r="Z17" s="88"/>
    </row>
    <row r="18" spans="1:26" ht="18" customHeight="1" x14ac:dyDescent="0.2">
      <c r="B18" s="157"/>
      <c r="C18" s="158"/>
      <c r="D18" s="158"/>
      <c r="E18" s="158"/>
      <c r="F18" s="159"/>
      <c r="G18" s="88"/>
      <c r="H18" s="88"/>
      <c r="I18" s="160"/>
      <c r="J18" s="161"/>
      <c r="K18" s="162"/>
      <c r="L18" s="88"/>
      <c r="M18" s="88"/>
      <c r="N18" s="163"/>
      <c r="O18" s="164"/>
      <c r="P18" s="164"/>
      <c r="Q18" s="164"/>
      <c r="R18" s="164"/>
      <c r="S18" s="165"/>
      <c r="T18" s="88"/>
      <c r="U18" s="88"/>
      <c r="V18" s="160"/>
      <c r="W18" s="161"/>
      <c r="X18" s="162"/>
      <c r="Y18" s="88"/>
      <c r="Z18" s="88"/>
    </row>
    <row r="19" spans="1:26" ht="18" customHeight="1" x14ac:dyDescent="0.2">
      <c r="B19" s="157"/>
      <c r="C19" s="158"/>
      <c r="D19" s="158"/>
      <c r="E19" s="158"/>
      <c r="F19" s="159"/>
      <c r="G19" s="88"/>
      <c r="H19" s="88"/>
      <c r="I19" s="160"/>
      <c r="J19" s="161"/>
      <c r="K19" s="162"/>
      <c r="L19" s="88"/>
      <c r="M19" s="88"/>
      <c r="N19" s="163"/>
      <c r="O19" s="164"/>
      <c r="P19" s="164"/>
      <c r="Q19" s="164"/>
      <c r="R19" s="164"/>
      <c r="S19" s="165"/>
      <c r="T19" s="88"/>
      <c r="U19" s="88"/>
      <c r="V19" s="160"/>
      <c r="W19" s="161"/>
      <c r="X19" s="162"/>
      <c r="Y19" s="88"/>
      <c r="Z19" s="88"/>
    </row>
    <row r="20" spans="1:26" ht="18" customHeight="1" x14ac:dyDescent="0.2">
      <c r="B20" s="157"/>
      <c r="C20" s="158"/>
      <c r="D20" s="158"/>
      <c r="E20" s="158"/>
      <c r="F20" s="159"/>
      <c r="G20" s="88"/>
      <c r="H20" s="88"/>
      <c r="I20" s="160"/>
      <c r="J20" s="161"/>
      <c r="K20" s="162"/>
      <c r="L20" s="88"/>
      <c r="M20" s="88"/>
      <c r="N20" s="163"/>
      <c r="O20" s="164"/>
      <c r="P20" s="164"/>
      <c r="Q20" s="164"/>
      <c r="R20" s="164"/>
      <c r="S20" s="165"/>
      <c r="T20" s="88"/>
      <c r="U20" s="88"/>
      <c r="V20" s="160"/>
      <c r="W20" s="161"/>
      <c r="X20" s="162"/>
      <c r="Y20" s="88"/>
      <c r="Z20" s="88"/>
    </row>
    <row r="21" spans="1:26" ht="18" customHeight="1" x14ac:dyDescent="0.2">
      <c r="A21" s="21"/>
      <c r="B21" s="157"/>
      <c r="C21" s="158"/>
      <c r="D21" s="158"/>
      <c r="E21" s="158"/>
      <c r="F21" s="159"/>
      <c r="G21" s="88"/>
      <c r="H21" s="88"/>
      <c r="I21" s="160"/>
      <c r="J21" s="161"/>
      <c r="K21" s="162"/>
      <c r="L21" s="88"/>
      <c r="M21" s="88"/>
      <c r="N21" s="163"/>
      <c r="O21" s="164"/>
      <c r="P21" s="164"/>
      <c r="Q21" s="164"/>
      <c r="R21" s="164"/>
      <c r="S21" s="165"/>
      <c r="T21" s="88"/>
      <c r="U21" s="88"/>
      <c r="V21" s="160"/>
      <c r="W21" s="161"/>
      <c r="X21" s="162"/>
      <c r="Y21" s="88"/>
      <c r="Z21" s="88"/>
    </row>
    <row r="22" spans="1:26" ht="18" customHeight="1" x14ac:dyDescent="0.2">
      <c r="A22" s="21"/>
      <c r="B22" s="185"/>
      <c r="C22" s="186"/>
      <c r="D22" s="186"/>
      <c r="E22" s="186"/>
      <c r="F22" s="187"/>
      <c r="G22" s="89"/>
      <c r="H22" s="89"/>
      <c r="I22" s="188"/>
      <c r="J22" s="189"/>
      <c r="K22" s="190"/>
      <c r="L22" s="92"/>
      <c r="M22" s="92"/>
      <c r="N22" s="191"/>
      <c r="O22" s="192"/>
      <c r="P22" s="192"/>
      <c r="Q22" s="192"/>
      <c r="R22" s="192"/>
      <c r="S22" s="193"/>
      <c r="T22" s="89"/>
      <c r="U22" s="89"/>
      <c r="V22" s="188"/>
      <c r="W22" s="189"/>
      <c r="X22" s="190"/>
      <c r="Y22" s="92"/>
      <c r="Z22" s="92"/>
    </row>
    <row r="23" spans="1:26" ht="7.5" customHeight="1" x14ac:dyDescent="0.2">
      <c r="A23" s="21"/>
      <c r="B23" s="59"/>
      <c r="C23" s="59"/>
      <c r="D23" s="21"/>
      <c r="E23" s="21"/>
      <c r="F23" s="21"/>
      <c r="G23" s="21"/>
      <c r="H23" s="21"/>
      <c r="I23" s="21"/>
      <c r="J23" s="21"/>
      <c r="K23" s="21"/>
      <c r="L23" s="59"/>
      <c r="M23" s="59"/>
      <c r="N23" s="59"/>
      <c r="O23" s="59"/>
      <c r="P23" s="59"/>
      <c r="Q23" s="59"/>
      <c r="R23" s="59"/>
      <c r="S23" s="59"/>
      <c r="T23" s="59"/>
      <c r="U23" s="59"/>
      <c r="V23" s="59"/>
      <c r="W23" s="59"/>
      <c r="X23" s="59"/>
      <c r="Y23" s="59"/>
      <c r="Z23" s="21"/>
    </row>
    <row r="24" spans="1:26" ht="18" customHeight="1" x14ac:dyDescent="0.2">
      <c r="A24" s="178" t="s">
        <v>129</v>
      </c>
      <c r="B24" s="178"/>
      <c r="C24" s="178"/>
      <c r="D24" s="178"/>
      <c r="E24" s="178"/>
      <c r="F24" s="178"/>
      <c r="G24" s="178"/>
      <c r="H24" s="178"/>
      <c r="I24" s="178"/>
      <c r="J24" s="178"/>
      <c r="K24" s="178"/>
      <c r="L24" s="178"/>
      <c r="M24" s="178"/>
      <c r="N24" s="178"/>
      <c r="O24" s="178"/>
      <c r="P24" s="178"/>
      <c r="Q24" s="178"/>
      <c r="R24" s="178"/>
      <c r="S24" s="178"/>
      <c r="T24" s="178"/>
      <c r="U24" s="178"/>
      <c r="V24" s="178"/>
      <c r="W24" s="178"/>
      <c r="X24" s="178"/>
      <c r="Y24" s="178"/>
      <c r="Z24" s="178"/>
    </row>
    <row r="25" spans="1:26" ht="18" customHeight="1" x14ac:dyDescent="0.2">
      <c r="A25" s="178"/>
      <c r="B25" s="178"/>
      <c r="C25" s="178"/>
      <c r="D25" s="178"/>
      <c r="E25" s="178"/>
      <c r="F25" s="178"/>
      <c r="G25" s="178"/>
      <c r="H25" s="178"/>
      <c r="I25" s="178"/>
      <c r="J25" s="178"/>
      <c r="K25" s="178"/>
      <c r="L25" s="178"/>
      <c r="M25" s="178"/>
      <c r="N25" s="178"/>
      <c r="O25" s="178"/>
      <c r="P25" s="178"/>
      <c r="Q25" s="178"/>
      <c r="R25" s="178"/>
      <c r="S25" s="178"/>
      <c r="T25" s="178"/>
      <c r="U25" s="178"/>
      <c r="V25" s="178"/>
      <c r="W25" s="178"/>
      <c r="X25" s="178"/>
      <c r="Y25" s="178"/>
      <c r="Z25" s="178"/>
    </row>
    <row r="26" spans="1:26" ht="18" customHeight="1" x14ac:dyDescent="0.2">
      <c r="B26" s="141" t="s">
        <v>103</v>
      </c>
      <c r="C26" s="142"/>
      <c r="D26" s="142"/>
      <c r="E26" s="142"/>
      <c r="F26" s="143"/>
      <c r="G26" s="22" t="s">
        <v>144</v>
      </c>
      <c r="H26" s="86" t="s">
        <v>143</v>
      </c>
      <c r="I26" s="142" t="s">
        <v>104</v>
      </c>
      <c r="J26" s="142"/>
      <c r="K26" s="142"/>
      <c r="L26" s="58" t="s">
        <v>130</v>
      </c>
      <c r="M26" s="58" t="s">
        <v>131</v>
      </c>
      <c r="N26" s="141" t="s">
        <v>103</v>
      </c>
      <c r="O26" s="142"/>
      <c r="P26" s="142"/>
      <c r="Q26" s="142"/>
      <c r="R26" s="142"/>
      <c r="S26" s="143"/>
      <c r="T26" s="22" t="s">
        <v>144</v>
      </c>
      <c r="U26" s="86" t="s">
        <v>143</v>
      </c>
      <c r="V26" s="142" t="s">
        <v>104</v>
      </c>
      <c r="W26" s="142"/>
      <c r="X26" s="142"/>
      <c r="Y26" s="58" t="s">
        <v>130</v>
      </c>
      <c r="Z26" s="58" t="s">
        <v>131</v>
      </c>
    </row>
    <row r="27" spans="1:26" ht="18" customHeight="1" x14ac:dyDescent="0.2">
      <c r="B27" s="148" t="s">
        <v>199</v>
      </c>
      <c r="C27" s="149"/>
      <c r="D27" s="149"/>
      <c r="E27" s="149"/>
      <c r="F27" s="150"/>
      <c r="G27" s="87">
        <v>2</v>
      </c>
      <c r="H27" s="87" t="s">
        <v>172</v>
      </c>
      <c r="I27" s="151" t="s">
        <v>202</v>
      </c>
      <c r="J27" s="152"/>
      <c r="K27" s="153"/>
      <c r="L27" s="87" t="s">
        <v>172</v>
      </c>
      <c r="M27" s="87"/>
      <c r="N27" s="154"/>
      <c r="O27" s="155"/>
      <c r="P27" s="155"/>
      <c r="Q27" s="155"/>
      <c r="R27" s="155"/>
      <c r="S27" s="156"/>
      <c r="T27" s="87"/>
      <c r="U27" s="87"/>
      <c r="V27" s="151"/>
      <c r="W27" s="152"/>
      <c r="X27" s="153"/>
      <c r="Y27" s="87"/>
      <c r="Z27" s="87"/>
    </row>
    <row r="28" spans="1:26" ht="18" customHeight="1" x14ac:dyDescent="0.2">
      <c r="B28" s="179" t="s">
        <v>200</v>
      </c>
      <c r="C28" s="180"/>
      <c r="D28" s="180"/>
      <c r="E28" s="180"/>
      <c r="F28" s="181"/>
      <c r="G28" s="88">
        <v>2</v>
      </c>
      <c r="H28" s="88" t="s">
        <v>172</v>
      </c>
      <c r="I28" s="182" t="s">
        <v>202</v>
      </c>
      <c r="J28" s="183"/>
      <c r="K28" s="184"/>
      <c r="L28" s="88" t="s">
        <v>172</v>
      </c>
      <c r="M28" s="88" t="s">
        <v>172</v>
      </c>
      <c r="N28" s="163"/>
      <c r="O28" s="164"/>
      <c r="P28" s="164"/>
      <c r="Q28" s="164"/>
      <c r="R28" s="164"/>
      <c r="S28" s="165"/>
      <c r="T28" s="88"/>
      <c r="U28" s="88"/>
      <c r="V28" s="160"/>
      <c r="W28" s="161"/>
      <c r="X28" s="162"/>
      <c r="Y28" s="88"/>
      <c r="Z28" s="88"/>
    </row>
    <row r="29" spans="1:26" ht="18" customHeight="1" x14ac:dyDescent="0.2">
      <c r="B29" s="157" t="s">
        <v>201</v>
      </c>
      <c r="C29" s="158"/>
      <c r="D29" s="158"/>
      <c r="E29" s="158"/>
      <c r="F29" s="159"/>
      <c r="G29" s="88">
        <v>2</v>
      </c>
      <c r="H29" s="88" t="s">
        <v>172</v>
      </c>
      <c r="I29" s="160" t="s">
        <v>203</v>
      </c>
      <c r="J29" s="161"/>
      <c r="K29" s="162"/>
      <c r="L29" s="88" t="s">
        <v>172</v>
      </c>
      <c r="M29" s="88" t="s">
        <v>172</v>
      </c>
      <c r="N29" s="163"/>
      <c r="O29" s="164"/>
      <c r="P29" s="164"/>
      <c r="Q29" s="164"/>
      <c r="R29" s="164"/>
      <c r="S29" s="165"/>
      <c r="T29" s="88"/>
      <c r="U29" s="88"/>
      <c r="V29" s="160"/>
      <c r="W29" s="161"/>
      <c r="X29" s="162"/>
      <c r="Y29" s="88"/>
      <c r="Z29" s="88"/>
    </row>
    <row r="30" spans="1:26" ht="18" customHeight="1" x14ac:dyDescent="0.2">
      <c r="B30" s="157"/>
      <c r="C30" s="158"/>
      <c r="D30" s="158"/>
      <c r="E30" s="158"/>
      <c r="F30" s="159"/>
      <c r="G30" s="88"/>
      <c r="H30" s="88"/>
      <c r="I30" s="160"/>
      <c r="J30" s="161"/>
      <c r="K30" s="162"/>
      <c r="L30" s="88"/>
      <c r="M30" s="88"/>
      <c r="N30" s="163"/>
      <c r="O30" s="164"/>
      <c r="P30" s="164"/>
      <c r="Q30" s="164"/>
      <c r="R30" s="164"/>
      <c r="S30" s="165"/>
      <c r="T30" s="88"/>
      <c r="U30" s="88"/>
      <c r="V30" s="160"/>
      <c r="W30" s="161"/>
      <c r="X30" s="162"/>
      <c r="Y30" s="88"/>
      <c r="Z30" s="88"/>
    </row>
    <row r="31" spans="1:26" ht="18" customHeight="1" x14ac:dyDescent="0.2">
      <c r="B31" s="157"/>
      <c r="C31" s="158"/>
      <c r="D31" s="158"/>
      <c r="E31" s="158"/>
      <c r="F31" s="159"/>
      <c r="G31" s="88"/>
      <c r="H31" s="88"/>
      <c r="I31" s="160"/>
      <c r="J31" s="161"/>
      <c r="K31" s="162"/>
      <c r="L31" s="88"/>
      <c r="M31" s="88"/>
      <c r="N31" s="163"/>
      <c r="O31" s="164"/>
      <c r="P31" s="164"/>
      <c r="Q31" s="164"/>
      <c r="R31" s="164"/>
      <c r="S31" s="165"/>
      <c r="T31" s="88"/>
      <c r="U31" s="88"/>
      <c r="V31" s="160"/>
      <c r="W31" s="161"/>
      <c r="X31" s="162"/>
      <c r="Y31" s="88"/>
      <c r="Z31" s="88"/>
    </row>
    <row r="32" spans="1:26" ht="18" customHeight="1" x14ac:dyDescent="0.2">
      <c r="B32" s="157"/>
      <c r="C32" s="158"/>
      <c r="D32" s="158"/>
      <c r="E32" s="158"/>
      <c r="F32" s="159"/>
      <c r="G32" s="88"/>
      <c r="H32" s="88"/>
      <c r="I32" s="160"/>
      <c r="J32" s="161"/>
      <c r="K32" s="162"/>
      <c r="L32" s="88"/>
      <c r="M32" s="88"/>
      <c r="N32" s="163"/>
      <c r="O32" s="164"/>
      <c r="P32" s="164"/>
      <c r="Q32" s="164"/>
      <c r="R32" s="164"/>
      <c r="S32" s="165"/>
      <c r="T32" s="88"/>
      <c r="U32" s="88"/>
      <c r="V32" s="160"/>
      <c r="W32" s="161"/>
      <c r="X32" s="162"/>
      <c r="Y32" s="88"/>
      <c r="Z32" s="88"/>
    </row>
    <row r="33" spans="1:26" ht="18" customHeight="1" x14ac:dyDescent="0.2">
      <c r="B33" s="185"/>
      <c r="C33" s="186"/>
      <c r="D33" s="186"/>
      <c r="E33" s="186"/>
      <c r="F33" s="187"/>
      <c r="G33" s="89"/>
      <c r="H33" s="89"/>
      <c r="I33" s="188"/>
      <c r="J33" s="189"/>
      <c r="K33" s="190"/>
      <c r="L33" s="92"/>
      <c r="M33" s="92"/>
      <c r="N33" s="191"/>
      <c r="O33" s="192"/>
      <c r="P33" s="192"/>
      <c r="Q33" s="192"/>
      <c r="R33" s="192"/>
      <c r="S33" s="193"/>
      <c r="T33" s="89"/>
      <c r="U33" s="89"/>
      <c r="V33" s="188"/>
      <c r="W33" s="189"/>
      <c r="X33" s="190"/>
      <c r="Y33" s="92"/>
      <c r="Z33" s="92"/>
    </row>
    <row r="34" spans="1:26" ht="7.5" customHeight="1" x14ac:dyDescent="0.2">
      <c r="A34" s="21"/>
      <c r="B34" s="59"/>
      <c r="C34" s="59"/>
      <c r="D34" s="21"/>
      <c r="E34" s="21"/>
      <c r="F34" s="21"/>
      <c r="G34" s="21"/>
      <c r="H34" s="21"/>
      <c r="I34" s="21"/>
      <c r="J34" s="21"/>
      <c r="K34" s="21"/>
      <c r="L34" s="59"/>
      <c r="M34" s="59"/>
      <c r="N34" s="59"/>
      <c r="O34" s="59"/>
      <c r="P34" s="59"/>
      <c r="Q34" s="59"/>
      <c r="R34" s="59"/>
      <c r="S34" s="59"/>
      <c r="T34" s="59"/>
      <c r="U34" s="59"/>
      <c r="V34" s="59"/>
      <c r="W34" s="59"/>
      <c r="X34" s="59"/>
      <c r="Y34" s="59"/>
      <c r="Z34" s="21"/>
    </row>
    <row r="35" spans="1:26" ht="18" customHeight="1" x14ac:dyDescent="0.2">
      <c r="A35" s="178" t="s">
        <v>132</v>
      </c>
      <c r="B35" s="178"/>
      <c r="C35" s="178"/>
      <c r="D35" s="178"/>
      <c r="E35" s="178"/>
      <c r="F35" s="178"/>
      <c r="G35" s="178"/>
      <c r="H35" s="178"/>
      <c r="I35" s="178"/>
      <c r="J35" s="178"/>
      <c r="K35" s="178"/>
      <c r="L35" s="178"/>
      <c r="M35" s="178"/>
      <c r="N35" s="178"/>
      <c r="O35" s="178"/>
      <c r="P35" s="178"/>
      <c r="Q35" s="178"/>
      <c r="R35" s="178"/>
      <c r="S35" s="178"/>
      <c r="T35" s="178"/>
      <c r="U35" s="178"/>
      <c r="V35" s="178"/>
      <c r="W35" s="178"/>
      <c r="X35" s="178"/>
      <c r="Y35" s="178"/>
      <c r="Z35" s="178"/>
    </row>
    <row r="36" spans="1:26" ht="18" customHeight="1" x14ac:dyDescent="0.2">
      <c r="A36" s="178"/>
      <c r="B36" s="178"/>
      <c r="C36" s="178"/>
      <c r="D36" s="178"/>
      <c r="E36" s="178"/>
      <c r="F36" s="178"/>
      <c r="G36" s="178"/>
      <c r="H36" s="178"/>
      <c r="I36" s="178"/>
      <c r="J36" s="178"/>
      <c r="K36" s="178"/>
      <c r="L36" s="178"/>
      <c r="M36" s="178"/>
      <c r="N36" s="178"/>
      <c r="O36" s="178"/>
      <c r="P36" s="178"/>
      <c r="Q36" s="178"/>
      <c r="R36" s="178"/>
      <c r="S36" s="178"/>
      <c r="T36" s="178"/>
      <c r="U36" s="178"/>
      <c r="V36" s="178"/>
      <c r="W36" s="178"/>
      <c r="X36" s="178"/>
      <c r="Y36" s="178"/>
      <c r="Z36" s="178"/>
    </row>
    <row r="37" spans="1:26" ht="18" customHeight="1" x14ac:dyDescent="0.2">
      <c r="B37" s="141" t="s">
        <v>103</v>
      </c>
      <c r="C37" s="142"/>
      <c r="D37" s="142"/>
      <c r="E37" s="142"/>
      <c r="F37" s="143"/>
      <c r="G37" s="22" t="s">
        <v>144</v>
      </c>
      <c r="H37" s="86" t="s">
        <v>143</v>
      </c>
      <c r="I37" s="141" t="s">
        <v>104</v>
      </c>
      <c r="J37" s="142"/>
      <c r="K37" s="143"/>
      <c r="L37" s="58" t="s">
        <v>133</v>
      </c>
      <c r="M37" s="58" t="s">
        <v>134</v>
      </c>
      <c r="N37" s="141" t="s">
        <v>103</v>
      </c>
      <c r="O37" s="142"/>
      <c r="P37" s="142"/>
      <c r="Q37" s="142"/>
      <c r="R37" s="142"/>
      <c r="S37" s="143"/>
      <c r="T37" s="22" t="s">
        <v>144</v>
      </c>
      <c r="U37" s="86" t="s">
        <v>143</v>
      </c>
      <c r="V37" s="141" t="s">
        <v>104</v>
      </c>
      <c r="W37" s="142"/>
      <c r="X37" s="143"/>
      <c r="Y37" s="58" t="s">
        <v>133</v>
      </c>
      <c r="Z37" s="58" t="s">
        <v>134</v>
      </c>
    </row>
    <row r="38" spans="1:26" ht="18" customHeight="1" x14ac:dyDescent="0.2">
      <c r="A38" s="21"/>
      <c r="B38" s="148" t="s">
        <v>221</v>
      </c>
      <c r="C38" s="149"/>
      <c r="D38" s="149"/>
      <c r="E38" s="149"/>
      <c r="F38" s="150"/>
      <c r="G38" s="87">
        <v>2</v>
      </c>
      <c r="H38" s="87" t="s">
        <v>172</v>
      </c>
      <c r="I38" s="151" t="s">
        <v>202</v>
      </c>
      <c r="J38" s="152"/>
      <c r="K38" s="153"/>
      <c r="L38" s="87"/>
      <c r="M38" s="87" t="s">
        <v>172</v>
      </c>
      <c r="N38" s="154"/>
      <c r="O38" s="155"/>
      <c r="P38" s="155"/>
      <c r="Q38" s="155"/>
      <c r="R38" s="155"/>
      <c r="S38" s="156"/>
      <c r="T38" s="87"/>
      <c r="U38" s="87"/>
      <c r="V38" s="151"/>
      <c r="W38" s="152"/>
      <c r="X38" s="153"/>
      <c r="Y38" s="87"/>
      <c r="Z38" s="87"/>
    </row>
    <row r="39" spans="1:26" ht="18" customHeight="1" x14ac:dyDescent="0.2">
      <c r="A39" s="21"/>
      <c r="B39" s="179" t="s">
        <v>200</v>
      </c>
      <c r="C39" s="180"/>
      <c r="D39" s="180"/>
      <c r="E39" s="180"/>
      <c r="F39" s="181"/>
      <c r="G39" s="88">
        <v>2</v>
      </c>
      <c r="H39" s="88" t="s">
        <v>172</v>
      </c>
      <c r="I39" s="182" t="s">
        <v>202</v>
      </c>
      <c r="J39" s="183"/>
      <c r="K39" s="184"/>
      <c r="L39" s="88" t="s">
        <v>172</v>
      </c>
      <c r="M39" s="88" t="s">
        <v>172</v>
      </c>
      <c r="N39" s="163"/>
      <c r="O39" s="164"/>
      <c r="P39" s="164"/>
      <c r="Q39" s="164"/>
      <c r="R39" s="164"/>
      <c r="S39" s="165"/>
      <c r="T39" s="88"/>
      <c r="U39" s="88"/>
      <c r="V39" s="160"/>
      <c r="W39" s="161"/>
      <c r="X39" s="162"/>
      <c r="Y39" s="88"/>
      <c r="Z39" s="88"/>
    </row>
    <row r="40" spans="1:26" ht="18" customHeight="1" x14ac:dyDescent="0.2">
      <c r="A40" s="21"/>
      <c r="B40" s="157" t="s">
        <v>201</v>
      </c>
      <c r="C40" s="158"/>
      <c r="D40" s="158"/>
      <c r="E40" s="158"/>
      <c r="F40" s="159"/>
      <c r="G40" s="88">
        <v>2</v>
      </c>
      <c r="H40" s="88" t="s">
        <v>172</v>
      </c>
      <c r="I40" s="160" t="s">
        <v>203</v>
      </c>
      <c r="J40" s="161"/>
      <c r="K40" s="162"/>
      <c r="L40" s="88" t="s">
        <v>172</v>
      </c>
      <c r="M40" s="88" t="s">
        <v>172</v>
      </c>
      <c r="N40" s="163"/>
      <c r="O40" s="164"/>
      <c r="P40" s="164"/>
      <c r="Q40" s="164"/>
      <c r="R40" s="164"/>
      <c r="S40" s="165"/>
      <c r="T40" s="88"/>
      <c r="U40" s="88"/>
      <c r="V40" s="160"/>
      <c r="W40" s="161"/>
      <c r="X40" s="162"/>
      <c r="Y40" s="88"/>
      <c r="Z40" s="88"/>
    </row>
    <row r="41" spans="1:26" ht="18" customHeight="1" x14ac:dyDescent="0.2">
      <c r="A41" s="21"/>
      <c r="B41" s="157"/>
      <c r="C41" s="158"/>
      <c r="D41" s="158"/>
      <c r="E41" s="158"/>
      <c r="F41" s="159"/>
      <c r="G41" s="88"/>
      <c r="H41" s="88"/>
      <c r="I41" s="160"/>
      <c r="J41" s="161"/>
      <c r="K41" s="162"/>
      <c r="L41" s="88"/>
      <c r="M41" s="88"/>
      <c r="N41" s="163"/>
      <c r="O41" s="164"/>
      <c r="P41" s="164"/>
      <c r="Q41" s="164"/>
      <c r="R41" s="164"/>
      <c r="S41" s="165"/>
      <c r="T41" s="88"/>
      <c r="U41" s="88"/>
      <c r="V41" s="160"/>
      <c r="W41" s="161"/>
      <c r="X41" s="162"/>
      <c r="Y41" s="88"/>
      <c r="Z41" s="88"/>
    </row>
    <row r="42" spans="1:26" ht="18" customHeight="1" x14ac:dyDescent="0.2">
      <c r="A42" s="21"/>
      <c r="B42" s="157"/>
      <c r="C42" s="158"/>
      <c r="D42" s="158"/>
      <c r="E42" s="158"/>
      <c r="F42" s="159"/>
      <c r="G42" s="88"/>
      <c r="H42" s="88"/>
      <c r="I42" s="160"/>
      <c r="J42" s="161"/>
      <c r="K42" s="162"/>
      <c r="L42" s="88"/>
      <c r="M42" s="88"/>
      <c r="N42" s="163"/>
      <c r="O42" s="164"/>
      <c r="P42" s="164"/>
      <c r="Q42" s="164"/>
      <c r="R42" s="164"/>
      <c r="S42" s="165"/>
      <c r="T42" s="88"/>
      <c r="U42" s="88"/>
      <c r="V42" s="160"/>
      <c r="W42" s="161"/>
      <c r="X42" s="162"/>
      <c r="Y42" s="88"/>
      <c r="Z42" s="88"/>
    </row>
    <row r="43" spans="1:26" ht="18" customHeight="1" x14ac:dyDescent="0.2">
      <c r="A43" s="21"/>
      <c r="B43" s="157"/>
      <c r="C43" s="158"/>
      <c r="D43" s="158"/>
      <c r="E43" s="158"/>
      <c r="F43" s="159"/>
      <c r="G43" s="88"/>
      <c r="H43" s="88"/>
      <c r="I43" s="160"/>
      <c r="J43" s="161"/>
      <c r="K43" s="162"/>
      <c r="L43" s="88"/>
      <c r="M43" s="88"/>
      <c r="N43" s="163"/>
      <c r="O43" s="164"/>
      <c r="P43" s="164"/>
      <c r="Q43" s="164"/>
      <c r="R43" s="164"/>
      <c r="S43" s="165"/>
      <c r="T43" s="88"/>
      <c r="U43" s="88"/>
      <c r="V43" s="160"/>
      <c r="W43" s="161"/>
      <c r="X43" s="162"/>
      <c r="Y43" s="88"/>
      <c r="Z43" s="88"/>
    </row>
    <row r="44" spans="1:26" ht="18" customHeight="1" x14ac:dyDescent="0.2">
      <c r="A44" s="21"/>
      <c r="B44" s="185"/>
      <c r="C44" s="186"/>
      <c r="D44" s="186"/>
      <c r="E44" s="186"/>
      <c r="F44" s="187"/>
      <c r="G44" s="89"/>
      <c r="H44" s="89"/>
      <c r="I44" s="188"/>
      <c r="J44" s="189"/>
      <c r="K44" s="190"/>
      <c r="L44" s="92"/>
      <c r="M44" s="92"/>
      <c r="N44" s="191"/>
      <c r="O44" s="192"/>
      <c r="P44" s="192"/>
      <c r="Q44" s="192"/>
      <c r="R44" s="192"/>
      <c r="S44" s="193"/>
      <c r="T44" s="89"/>
      <c r="U44" s="89"/>
      <c r="V44" s="188"/>
      <c r="W44" s="189"/>
      <c r="X44" s="190"/>
      <c r="Y44" s="92"/>
      <c r="Z44" s="92"/>
    </row>
    <row r="45" spans="1:26" ht="7.5" customHeight="1" x14ac:dyDescent="0.2">
      <c r="B45" s="113"/>
      <c r="C45" s="113"/>
      <c r="D45" s="113"/>
      <c r="E45" s="113"/>
      <c r="F45" s="113"/>
      <c r="G45" s="113"/>
      <c r="H45" s="113"/>
      <c r="I45" s="113"/>
      <c r="J45" s="113"/>
      <c r="K45" s="113"/>
      <c r="L45" s="113"/>
      <c r="M45" s="113"/>
      <c r="N45" s="113"/>
      <c r="O45" s="113"/>
      <c r="P45" s="113"/>
      <c r="Q45" s="113"/>
      <c r="R45" s="113"/>
      <c r="S45" s="113"/>
      <c r="T45" s="113"/>
      <c r="U45" s="113"/>
      <c r="V45" s="113"/>
      <c r="W45" s="113"/>
      <c r="X45" s="113"/>
      <c r="Y45" s="113"/>
    </row>
    <row r="46" spans="1:26" ht="18" customHeight="1" x14ac:dyDescent="0.2">
      <c r="A46" s="178" t="s">
        <v>135</v>
      </c>
      <c r="B46" s="178"/>
      <c r="C46" s="178"/>
      <c r="D46" s="178"/>
      <c r="E46" s="178"/>
      <c r="F46" s="178"/>
      <c r="G46" s="178"/>
      <c r="H46" s="178"/>
      <c r="I46" s="178"/>
      <c r="J46" s="178"/>
      <c r="K46" s="178"/>
      <c r="L46" s="178"/>
      <c r="M46" s="178"/>
      <c r="N46" s="178"/>
      <c r="O46" s="178"/>
      <c r="P46" s="178"/>
      <c r="Q46" s="178"/>
      <c r="R46" s="178"/>
      <c r="S46" s="178"/>
      <c r="T46" s="178"/>
      <c r="U46" s="178"/>
      <c r="V46" s="178"/>
      <c r="W46" s="178"/>
      <c r="X46" s="178"/>
      <c r="Y46" s="178"/>
      <c r="Z46" s="178"/>
    </row>
    <row r="47" spans="1:26" ht="18" customHeight="1" x14ac:dyDescent="0.2">
      <c r="A47" s="178"/>
      <c r="B47" s="178"/>
      <c r="C47" s="178"/>
      <c r="D47" s="178"/>
      <c r="E47" s="178"/>
      <c r="F47" s="178"/>
      <c r="G47" s="178"/>
      <c r="H47" s="178"/>
      <c r="I47" s="178"/>
      <c r="J47" s="178"/>
      <c r="K47" s="178"/>
      <c r="L47" s="178"/>
      <c r="M47" s="178"/>
      <c r="N47" s="178"/>
      <c r="O47" s="178"/>
      <c r="P47" s="178"/>
      <c r="Q47" s="178"/>
      <c r="R47" s="178"/>
      <c r="S47" s="178"/>
      <c r="T47" s="178"/>
      <c r="U47" s="178"/>
      <c r="V47" s="178"/>
      <c r="W47" s="178"/>
      <c r="X47" s="178"/>
      <c r="Y47" s="178"/>
      <c r="Z47" s="178"/>
    </row>
    <row r="48" spans="1:26" ht="18" customHeight="1" x14ac:dyDescent="0.2">
      <c r="B48" s="141" t="s">
        <v>103</v>
      </c>
      <c r="C48" s="142"/>
      <c r="D48" s="142"/>
      <c r="E48" s="142"/>
      <c r="F48" s="143"/>
      <c r="G48" s="22" t="s">
        <v>144</v>
      </c>
      <c r="H48" s="86" t="s">
        <v>143</v>
      </c>
      <c r="I48" s="141" t="s">
        <v>104</v>
      </c>
      <c r="J48" s="142"/>
      <c r="K48" s="143"/>
      <c r="L48" s="58" t="s">
        <v>109</v>
      </c>
      <c r="M48" s="58" t="s">
        <v>111</v>
      </c>
      <c r="N48" s="141" t="s">
        <v>103</v>
      </c>
      <c r="O48" s="142"/>
      <c r="P48" s="142"/>
      <c r="Q48" s="142"/>
      <c r="R48" s="142"/>
      <c r="S48" s="143"/>
      <c r="T48" s="22" t="s">
        <v>144</v>
      </c>
      <c r="U48" s="86" t="s">
        <v>143</v>
      </c>
      <c r="V48" s="141" t="s">
        <v>104</v>
      </c>
      <c r="W48" s="142"/>
      <c r="X48" s="143"/>
      <c r="Y48" s="58" t="s">
        <v>109</v>
      </c>
      <c r="Z48" s="58" t="s">
        <v>111</v>
      </c>
    </row>
    <row r="49" spans="1:26" ht="18" customHeight="1" x14ac:dyDescent="0.2">
      <c r="A49" s="21"/>
      <c r="B49" s="148" t="s">
        <v>199</v>
      </c>
      <c r="C49" s="149"/>
      <c r="D49" s="149"/>
      <c r="E49" s="149"/>
      <c r="F49" s="150"/>
      <c r="G49" s="87">
        <v>2</v>
      </c>
      <c r="H49" s="87" t="s">
        <v>172</v>
      </c>
      <c r="I49" s="151" t="s">
        <v>202</v>
      </c>
      <c r="J49" s="152"/>
      <c r="K49" s="153"/>
      <c r="L49" s="87" t="s">
        <v>172</v>
      </c>
      <c r="M49" s="87" t="s">
        <v>172</v>
      </c>
      <c r="N49" s="154"/>
      <c r="O49" s="155"/>
      <c r="P49" s="155"/>
      <c r="Q49" s="155"/>
      <c r="R49" s="155"/>
      <c r="S49" s="156"/>
      <c r="T49" s="87"/>
      <c r="U49" s="87"/>
      <c r="V49" s="151"/>
      <c r="W49" s="152"/>
      <c r="X49" s="153"/>
      <c r="Y49" s="87"/>
      <c r="Z49" s="87"/>
    </row>
    <row r="50" spans="1:26" ht="18" customHeight="1" x14ac:dyDescent="0.2">
      <c r="A50" s="21"/>
      <c r="B50" s="157" t="s">
        <v>200</v>
      </c>
      <c r="C50" s="158"/>
      <c r="D50" s="158"/>
      <c r="E50" s="158"/>
      <c r="F50" s="159"/>
      <c r="G50" s="88">
        <v>2</v>
      </c>
      <c r="H50" s="88" t="s">
        <v>172</v>
      </c>
      <c r="I50" s="160" t="s">
        <v>202</v>
      </c>
      <c r="J50" s="161"/>
      <c r="K50" s="162"/>
      <c r="L50" s="88" t="s">
        <v>172</v>
      </c>
      <c r="M50" s="88" t="s">
        <v>172</v>
      </c>
      <c r="N50" s="163"/>
      <c r="O50" s="164"/>
      <c r="P50" s="164"/>
      <c r="Q50" s="164"/>
      <c r="R50" s="164"/>
      <c r="S50" s="165"/>
      <c r="T50" s="88"/>
      <c r="U50" s="88"/>
      <c r="V50" s="160"/>
      <c r="W50" s="161"/>
      <c r="X50" s="162"/>
      <c r="Y50" s="88"/>
      <c r="Z50" s="88"/>
    </row>
    <row r="51" spans="1:26" ht="18" customHeight="1" x14ac:dyDescent="0.2">
      <c r="A51" s="21"/>
      <c r="B51" s="157" t="s">
        <v>201</v>
      </c>
      <c r="C51" s="158"/>
      <c r="D51" s="158"/>
      <c r="E51" s="158"/>
      <c r="F51" s="159"/>
      <c r="G51" s="88">
        <v>2</v>
      </c>
      <c r="H51" s="88" t="s">
        <v>172</v>
      </c>
      <c r="I51" s="160" t="s">
        <v>203</v>
      </c>
      <c r="J51" s="161"/>
      <c r="K51" s="162"/>
      <c r="L51" s="88" t="s">
        <v>172</v>
      </c>
      <c r="M51" s="88"/>
      <c r="N51" s="163"/>
      <c r="O51" s="164"/>
      <c r="P51" s="164"/>
      <c r="Q51" s="164"/>
      <c r="R51" s="164"/>
      <c r="S51" s="165"/>
      <c r="T51" s="88"/>
      <c r="U51" s="88"/>
      <c r="V51" s="160"/>
      <c r="W51" s="161"/>
      <c r="X51" s="162"/>
      <c r="Y51" s="88"/>
      <c r="Z51" s="88"/>
    </row>
    <row r="52" spans="1:26" ht="18" customHeight="1" x14ac:dyDescent="0.2">
      <c r="A52" s="21"/>
      <c r="B52" s="157"/>
      <c r="C52" s="158"/>
      <c r="D52" s="158"/>
      <c r="E52" s="158"/>
      <c r="F52" s="159"/>
      <c r="G52" s="88"/>
      <c r="H52" s="88"/>
      <c r="I52" s="160"/>
      <c r="J52" s="161"/>
      <c r="K52" s="162"/>
      <c r="L52" s="88"/>
      <c r="M52" s="88"/>
      <c r="N52" s="163"/>
      <c r="O52" s="164"/>
      <c r="P52" s="164"/>
      <c r="Q52" s="164"/>
      <c r="R52" s="164"/>
      <c r="S52" s="165"/>
      <c r="T52" s="88"/>
      <c r="U52" s="88"/>
      <c r="V52" s="160"/>
      <c r="W52" s="161"/>
      <c r="X52" s="162"/>
      <c r="Y52" s="88"/>
      <c r="Z52" s="88"/>
    </row>
    <row r="53" spans="1:26" ht="18" customHeight="1" x14ac:dyDescent="0.2">
      <c r="A53" s="21"/>
      <c r="B53" s="157"/>
      <c r="C53" s="158"/>
      <c r="D53" s="158"/>
      <c r="E53" s="158"/>
      <c r="F53" s="159"/>
      <c r="G53" s="88"/>
      <c r="H53" s="88"/>
      <c r="I53" s="160"/>
      <c r="J53" s="161"/>
      <c r="K53" s="162"/>
      <c r="L53" s="88"/>
      <c r="M53" s="88"/>
      <c r="N53" s="163"/>
      <c r="O53" s="164"/>
      <c r="P53" s="164"/>
      <c r="Q53" s="164"/>
      <c r="R53" s="164"/>
      <c r="S53" s="165"/>
      <c r="T53" s="88"/>
      <c r="U53" s="88"/>
      <c r="V53" s="160"/>
      <c r="W53" s="161"/>
      <c r="X53" s="162"/>
      <c r="Y53" s="88"/>
      <c r="Z53" s="88"/>
    </row>
    <row r="54" spans="1:26" ht="18" customHeight="1" x14ac:dyDescent="0.2">
      <c r="A54" s="21"/>
      <c r="B54" s="157"/>
      <c r="C54" s="158"/>
      <c r="D54" s="158"/>
      <c r="E54" s="158"/>
      <c r="F54" s="159"/>
      <c r="G54" s="88"/>
      <c r="H54" s="88"/>
      <c r="I54" s="160"/>
      <c r="J54" s="161"/>
      <c r="K54" s="162"/>
      <c r="L54" s="88"/>
      <c r="M54" s="88"/>
      <c r="N54" s="163"/>
      <c r="O54" s="164"/>
      <c r="P54" s="164"/>
      <c r="Q54" s="164"/>
      <c r="R54" s="164"/>
      <c r="S54" s="165"/>
      <c r="T54" s="88"/>
      <c r="U54" s="88"/>
      <c r="V54" s="160"/>
      <c r="W54" s="161"/>
      <c r="X54" s="162"/>
      <c r="Y54" s="88"/>
      <c r="Z54" s="88"/>
    </row>
    <row r="55" spans="1:26" ht="18" customHeight="1" x14ac:dyDescent="0.2">
      <c r="A55" s="21"/>
      <c r="B55" s="185"/>
      <c r="C55" s="186"/>
      <c r="D55" s="186"/>
      <c r="E55" s="186"/>
      <c r="F55" s="187"/>
      <c r="G55" s="89"/>
      <c r="H55" s="89"/>
      <c r="I55" s="188"/>
      <c r="J55" s="189"/>
      <c r="K55" s="190"/>
      <c r="L55" s="92"/>
      <c r="M55" s="92"/>
      <c r="N55" s="191"/>
      <c r="O55" s="192"/>
      <c r="P55" s="192"/>
      <c r="Q55" s="192"/>
      <c r="R55" s="192"/>
      <c r="S55" s="193"/>
      <c r="T55" s="89"/>
      <c r="U55" s="89"/>
      <c r="V55" s="188"/>
      <c r="W55" s="189"/>
      <c r="X55" s="190"/>
      <c r="Y55" s="92"/>
      <c r="Z55" s="92"/>
    </row>
    <row r="56" spans="1:26" ht="7.5" customHeight="1" x14ac:dyDescent="0.2">
      <c r="B56" s="113"/>
      <c r="C56" s="113"/>
      <c r="D56" s="113"/>
      <c r="E56" s="113"/>
      <c r="F56" s="113"/>
      <c r="G56" s="113"/>
      <c r="H56" s="113"/>
      <c r="I56" s="113"/>
      <c r="J56" s="113"/>
      <c r="K56" s="113"/>
      <c r="L56" s="113"/>
      <c r="M56" s="113"/>
      <c r="N56" s="113"/>
      <c r="O56" s="113"/>
      <c r="P56" s="113"/>
      <c r="Q56" s="113"/>
      <c r="R56" s="113"/>
      <c r="S56" s="113"/>
      <c r="T56" s="113"/>
      <c r="U56" s="113"/>
      <c r="V56" s="113"/>
      <c r="W56" s="113"/>
      <c r="X56" s="113"/>
      <c r="Y56" s="113"/>
    </row>
    <row r="57" spans="1:26" ht="18" customHeight="1" x14ac:dyDescent="0.2">
      <c r="A57" s="178" t="s">
        <v>136</v>
      </c>
      <c r="B57" s="178"/>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row>
    <row r="58" spans="1:26" ht="18" customHeight="1" x14ac:dyDescent="0.2">
      <c r="A58" s="178"/>
      <c r="B58" s="178"/>
      <c r="C58" s="178"/>
      <c r="D58" s="178"/>
      <c r="E58" s="178"/>
      <c r="F58" s="178"/>
      <c r="G58" s="178"/>
      <c r="H58" s="178"/>
      <c r="I58" s="178"/>
      <c r="J58" s="178"/>
      <c r="K58" s="178"/>
      <c r="L58" s="178"/>
      <c r="M58" s="178"/>
      <c r="N58" s="178"/>
      <c r="O58" s="178"/>
      <c r="P58" s="178"/>
      <c r="Q58" s="178"/>
      <c r="R58" s="178"/>
      <c r="S58" s="178"/>
      <c r="T58" s="178"/>
      <c r="U58" s="178"/>
      <c r="V58" s="178"/>
      <c r="W58" s="178"/>
      <c r="X58" s="178"/>
      <c r="Y58" s="178"/>
      <c r="Z58" s="178"/>
    </row>
    <row r="59" spans="1:26" ht="18" customHeight="1" x14ac:dyDescent="0.2">
      <c r="B59" s="141" t="s">
        <v>103</v>
      </c>
      <c r="C59" s="142"/>
      <c r="D59" s="142"/>
      <c r="E59" s="143"/>
      <c r="F59" s="22" t="s">
        <v>144</v>
      </c>
      <c r="G59" s="86" t="s">
        <v>143</v>
      </c>
      <c r="H59" s="81" t="s">
        <v>104</v>
      </c>
      <c r="I59" s="82"/>
      <c r="J59" s="83"/>
      <c r="K59" s="58" t="s">
        <v>108</v>
      </c>
      <c r="L59" s="58" t="s">
        <v>137</v>
      </c>
      <c r="M59" s="58" t="s">
        <v>138</v>
      </c>
      <c r="N59" s="141" t="s">
        <v>103</v>
      </c>
      <c r="O59" s="142"/>
      <c r="P59" s="142"/>
      <c r="Q59" s="142"/>
      <c r="R59" s="143"/>
      <c r="S59" s="22" t="s">
        <v>144</v>
      </c>
      <c r="T59" s="86" t="s">
        <v>143</v>
      </c>
      <c r="U59" s="81" t="s">
        <v>104</v>
      </c>
      <c r="V59" s="82"/>
      <c r="W59" s="83"/>
      <c r="X59" s="58" t="s">
        <v>108</v>
      </c>
      <c r="Y59" s="58" t="s">
        <v>137</v>
      </c>
      <c r="Z59" s="58" t="s">
        <v>138</v>
      </c>
    </row>
    <row r="60" spans="1:26" ht="18" customHeight="1" x14ac:dyDescent="0.2">
      <c r="A60" s="21"/>
      <c r="B60" s="154" t="s">
        <v>221</v>
      </c>
      <c r="C60" s="155"/>
      <c r="D60" s="155"/>
      <c r="E60" s="156"/>
      <c r="F60" s="87">
        <v>2</v>
      </c>
      <c r="G60" s="87" t="s">
        <v>172</v>
      </c>
      <c r="H60" s="151" t="s">
        <v>202</v>
      </c>
      <c r="I60" s="152"/>
      <c r="J60" s="153"/>
      <c r="K60" s="114" t="s">
        <v>172</v>
      </c>
      <c r="L60" s="114"/>
      <c r="M60" s="87" t="s">
        <v>172</v>
      </c>
      <c r="N60" s="154"/>
      <c r="O60" s="155"/>
      <c r="P60" s="155"/>
      <c r="Q60" s="155"/>
      <c r="R60" s="156"/>
      <c r="S60" s="87"/>
      <c r="T60" s="87"/>
      <c r="U60" s="151"/>
      <c r="V60" s="152"/>
      <c r="W60" s="153"/>
      <c r="X60" s="110"/>
      <c r="Y60" s="87"/>
      <c r="Z60" s="87"/>
    </row>
    <row r="61" spans="1:26" ht="18" customHeight="1" x14ac:dyDescent="0.2">
      <c r="A61" s="21"/>
      <c r="B61" s="194" t="s">
        <v>200</v>
      </c>
      <c r="C61" s="195"/>
      <c r="D61" s="195"/>
      <c r="E61" s="196"/>
      <c r="F61" s="88">
        <v>2</v>
      </c>
      <c r="G61" s="88" t="s">
        <v>172</v>
      </c>
      <c r="H61" s="182" t="s">
        <v>202</v>
      </c>
      <c r="I61" s="183"/>
      <c r="J61" s="184"/>
      <c r="K61" s="115"/>
      <c r="L61" s="88"/>
      <c r="M61" s="116" t="s">
        <v>172</v>
      </c>
      <c r="N61" s="163"/>
      <c r="O61" s="164"/>
      <c r="P61" s="164"/>
      <c r="Q61" s="164"/>
      <c r="R61" s="165"/>
      <c r="S61" s="88"/>
      <c r="T61" s="88"/>
      <c r="U61" s="160"/>
      <c r="V61" s="161"/>
      <c r="W61" s="162"/>
      <c r="X61" s="109"/>
      <c r="Y61" s="88"/>
      <c r="Z61" s="88"/>
    </row>
    <row r="62" spans="1:26" ht="18" customHeight="1" x14ac:dyDescent="0.2">
      <c r="A62" s="21"/>
      <c r="B62" s="163" t="s">
        <v>201</v>
      </c>
      <c r="C62" s="164"/>
      <c r="D62" s="164"/>
      <c r="E62" s="165"/>
      <c r="F62" s="88">
        <v>2</v>
      </c>
      <c r="G62" s="88" t="s">
        <v>172</v>
      </c>
      <c r="H62" s="160" t="s">
        <v>203</v>
      </c>
      <c r="I62" s="161"/>
      <c r="J62" s="162"/>
      <c r="K62" s="109" t="s">
        <v>172</v>
      </c>
      <c r="L62" s="88" t="s">
        <v>172</v>
      </c>
      <c r="M62" s="88" t="s">
        <v>172</v>
      </c>
      <c r="N62" s="163"/>
      <c r="O62" s="164"/>
      <c r="P62" s="164"/>
      <c r="Q62" s="164"/>
      <c r="R62" s="165"/>
      <c r="S62" s="88"/>
      <c r="T62" s="88"/>
      <c r="U62" s="160"/>
      <c r="V62" s="161"/>
      <c r="W62" s="162"/>
      <c r="X62" s="109"/>
      <c r="Y62" s="88"/>
      <c r="Z62" s="88"/>
    </row>
    <row r="63" spans="1:26" ht="18" customHeight="1" x14ac:dyDescent="0.2">
      <c r="A63" s="21"/>
      <c r="B63" s="163"/>
      <c r="C63" s="164"/>
      <c r="D63" s="164"/>
      <c r="E63" s="165"/>
      <c r="F63" s="88"/>
      <c r="G63" s="88"/>
      <c r="H63" s="160"/>
      <c r="I63" s="161"/>
      <c r="J63" s="162"/>
      <c r="K63" s="109"/>
      <c r="L63" s="88"/>
      <c r="M63" s="88"/>
      <c r="N63" s="163"/>
      <c r="O63" s="164"/>
      <c r="P63" s="164"/>
      <c r="Q63" s="164"/>
      <c r="R63" s="165"/>
      <c r="S63" s="88"/>
      <c r="T63" s="88"/>
      <c r="U63" s="160"/>
      <c r="V63" s="161"/>
      <c r="W63" s="162"/>
      <c r="X63" s="109"/>
      <c r="Y63" s="88"/>
      <c r="Z63" s="88"/>
    </row>
    <row r="64" spans="1:26" ht="18" customHeight="1" x14ac:dyDescent="0.2">
      <c r="A64" s="21"/>
      <c r="B64" s="163"/>
      <c r="C64" s="164"/>
      <c r="D64" s="164"/>
      <c r="E64" s="165"/>
      <c r="F64" s="88"/>
      <c r="G64" s="88"/>
      <c r="H64" s="160"/>
      <c r="I64" s="161"/>
      <c r="J64" s="162"/>
      <c r="K64" s="109"/>
      <c r="L64" s="88"/>
      <c r="M64" s="88"/>
      <c r="N64" s="163"/>
      <c r="O64" s="164"/>
      <c r="P64" s="164"/>
      <c r="Q64" s="164"/>
      <c r="R64" s="165"/>
      <c r="S64" s="88"/>
      <c r="T64" s="88"/>
      <c r="U64" s="160"/>
      <c r="V64" s="161"/>
      <c r="W64" s="162"/>
      <c r="X64" s="109"/>
      <c r="Y64" s="88"/>
      <c r="Z64" s="88"/>
    </row>
    <row r="65" spans="1:26" ht="18" customHeight="1" x14ac:dyDescent="0.2">
      <c r="A65" s="21"/>
      <c r="B65" s="163"/>
      <c r="C65" s="164"/>
      <c r="D65" s="164"/>
      <c r="E65" s="165"/>
      <c r="F65" s="88"/>
      <c r="G65" s="88"/>
      <c r="H65" s="160"/>
      <c r="I65" s="161"/>
      <c r="J65" s="162"/>
      <c r="K65" s="109"/>
      <c r="L65" s="88"/>
      <c r="M65" s="88"/>
      <c r="N65" s="163"/>
      <c r="O65" s="164"/>
      <c r="P65" s="164"/>
      <c r="Q65" s="164"/>
      <c r="R65" s="165"/>
      <c r="S65" s="88"/>
      <c r="T65" s="88"/>
      <c r="U65" s="160"/>
      <c r="V65" s="161"/>
      <c r="W65" s="162"/>
      <c r="X65" s="109"/>
      <c r="Y65" s="88"/>
      <c r="Z65" s="88"/>
    </row>
    <row r="66" spans="1:26" ht="18" customHeight="1" x14ac:dyDescent="0.2">
      <c r="A66" s="21"/>
      <c r="B66" s="191"/>
      <c r="C66" s="192"/>
      <c r="D66" s="192"/>
      <c r="E66" s="193"/>
      <c r="F66" s="89"/>
      <c r="G66" s="89"/>
      <c r="H66" s="188"/>
      <c r="I66" s="189"/>
      <c r="J66" s="190"/>
      <c r="K66" s="108"/>
      <c r="L66" s="92"/>
      <c r="M66" s="92"/>
      <c r="N66" s="191"/>
      <c r="O66" s="192"/>
      <c r="P66" s="192"/>
      <c r="Q66" s="192"/>
      <c r="R66" s="193"/>
      <c r="S66" s="89"/>
      <c r="T66" s="89"/>
      <c r="U66" s="188"/>
      <c r="V66" s="189"/>
      <c r="W66" s="190"/>
      <c r="X66" s="108"/>
      <c r="Y66" s="92"/>
      <c r="Z66" s="92"/>
    </row>
    <row r="67" spans="1:26" ht="7.5" customHeight="1" x14ac:dyDescent="0.2">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row>
    <row r="68" spans="1:26" ht="18" customHeight="1" x14ac:dyDescent="0.2">
      <c r="A68" s="7" t="s">
        <v>139</v>
      </c>
      <c r="L68" s="21"/>
      <c r="M68" s="21"/>
      <c r="N68" s="21"/>
      <c r="O68" s="21"/>
      <c r="P68" s="21"/>
      <c r="Q68" s="21"/>
      <c r="R68" s="21"/>
      <c r="S68" s="21"/>
      <c r="T68" s="21"/>
      <c r="U68" s="21"/>
      <c r="V68" s="21"/>
      <c r="W68" s="21"/>
      <c r="X68" s="21"/>
      <c r="Y68" s="21"/>
      <c r="Z68" s="21"/>
    </row>
    <row r="69" spans="1:26" ht="18" customHeight="1" x14ac:dyDescent="0.2">
      <c r="B69" s="141" t="s">
        <v>103</v>
      </c>
      <c r="C69" s="142"/>
      <c r="D69" s="142"/>
      <c r="E69" s="142"/>
      <c r="F69" s="143"/>
      <c r="G69" s="141" t="s">
        <v>149</v>
      </c>
      <c r="H69" s="142"/>
      <c r="I69" s="142"/>
      <c r="J69" s="142"/>
      <c r="K69" s="142"/>
      <c r="L69" s="142"/>
      <c r="M69" s="143"/>
      <c r="N69" s="208" t="s">
        <v>103</v>
      </c>
      <c r="O69" s="209"/>
      <c r="P69" s="209"/>
      <c r="Q69" s="209"/>
      <c r="R69" s="209"/>
      <c r="S69" s="210"/>
      <c r="T69" s="141" t="s">
        <v>149</v>
      </c>
      <c r="U69" s="142"/>
      <c r="V69" s="142"/>
      <c r="W69" s="142"/>
      <c r="X69" s="142"/>
      <c r="Y69" s="142"/>
      <c r="Z69" s="143"/>
    </row>
    <row r="70" spans="1:26" ht="18" customHeight="1" x14ac:dyDescent="0.2">
      <c r="A70" s="21"/>
      <c r="B70" s="154" t="s">
        <v>221</v>
      </c>
      <c r="C70" s="155"/>
      <c r="D70" s="155"/>
      <c r="E70" s="155"/>
      <c r="F70" s="156"/>
      <c r="G70" s="197" t="s">
        <v>174</v>
      </c>
      <c r="H70" s="198"/>
      <c r="I70" s="198"/>
      <c r="J70" s="198"/>
      <c r="K70" s="198"/>
      <c r="L70" s="198"/>
      <c r="M70" s="199"/>
      <c r="N70" s="154"/>
      <c r="O70" s="155"/>
      <c r="P70" s="155"/>
      <c r="Q70" s="155"/>
      <c r="R70" s="155"/>
      <c r="S70" s="156"/>
      <c r="T70" s="197"/>
      <c r="U70" s="198"/>
      <c r="V70" s="198"/>
      <c r="W70" s="198"/>
      <c r="X70" s="198"/>
      <c r="Y70" s="198"/>
      <c r="Z70" s="199"/>
    </row>
    <row r="71" spans="1:26" ht="18" customHeight="1" x14ac:dyDescent="0.2">
      <c r="A71" s="21"/>
      <c r="B71" s="200" t="s">
        <v>216</v>
      </c>
      <c r="C71" s="147"/>
      <c r="D71" s="147"/>
      <c r="E71" s="147"/>
      <c r="F71" s="201"/>
      <c r="G71" s="202" t="s">
        <v>173</v>
      </c>
      <c r="H71" s="203"/>
      <c r="I71" s="203"/>
      <c r="J71" s="203"/>
      <c r="K71" s="203"/>
      <c r="L71" s="203"/>
      <c r="M71" s="204"/>
      <c r="N71" s="163"/>
      <c r="O71" s="164"/>
      <c r="P71" s="164"/>
      <c r="Q71" s="164"/>
      <c r="R71" s="164"/>
      <c r="S71" s="165"/>
      <c r="T71" s="205"/>
      <c r="U71" s="206"/>
      <c r="V71" s="206"/>
      <c r="W71" s="206"/>
      <c r="X71" s="206"/>
      <c r="Y71" s="206"/>
      <c r="Z71" s="207"/>
    </row>
    <row r="72" spans="1:26" ht="18" customHeight="1" x14ac:dyDescent="0.2">
      <c r="A72" s="21"/>
      <c r="B72" s="163" t="s">
        <v>216</v>
      </c>
      <c r="C72" s="164"/>
      <c r="D72" s="164"/>
      <c r="E72" s="164"/>
      <c r="F72" s="165"/>
      <c r="G72" s="205" t="s">
        <v>175</v>
      </c>
      <c r="H72" s="206"/>
      <c r="I72" s="206"/>
      <c r="J72" s="206"/>
      <c r="K72" s="206"/>
      <c r="L72" s="206"/>
      <c r="M72" s="207"/>
      <c r="N72" s="163"/>
      <c r="O72" s="164"/>
      <c r="P72" s="164"/>
      <c r="Q72" s="164"/>
      <c r="R72" s="164"/>
      <c r="S72" s="165"/>
      <c r="T72" s="205"/>
      <c r="U72" s="206"/>
      <c r="V72" s="206"/>
      <c r="W72" s="206"/>
      <c r="X72" s="206"/>
      <c r="Y72" s="206"/>
      <c r="Z72" s="207"/>
    </row>
    <row r="73" spans="1:26" ht="18" customHeight="1" x14ac:dyDescent="0.2">
      <c r="A73" s="21"/>
      <c r="B73" s="163" t="s">
        <v>246</v>
      </c>
      <c r="C73" s="164"/>
      <c r="D73" s="164"/>
      <c r="E73" s="164"/>
      <c r="F73" s="165"/>
      <c r="G73" s="205" t="s">
        <v>176</v>
      </c>
      <c r="H73" s="206"/>
      <c r="I73" s="206"/>
      <c r="J73" s="206"/>
      <c r="K73" s="206"/>
      <c r="L73" s="206"/>
      <c r="M73" s="207"/>
      <c r="N73" s="163"/>
      <c r="O73" s="164"/>
      <c r="P73" s="164"/>
      <c r="Q73" s="164"/>
      <c r="R73" s="164"/>
      <c r="S73" s="165"/>
      <c r="T73" s="205"/>
      <c r="U73" s="206"/>
      <c r="V73" s="206"/>
      <c r="W73" s="206"/>
      <c r="X73" s="206"/>
      <c r="Y73" s="206"/>
      <c r="Z73" s="207"/>
    </row>
    <row r="74" spans="1:26" ht="18" customHeight="1" x14ac:dyDescent="0.2">
      <c r="A74" s="21"/>
      <c r="B74" s="163" t="s">
        <v>246</v>
      </c>
      <c r="C74" s="164"/>
      <c r="D74" s="164"/>
      <c r="E74" s="164"/>
      <c r="F74" s="165"/>
      <c r="G74" s="205" t="s">
        <v>179</v>
      </c>
      <c r="H74" s="206"/>
      <c r="I74" s="206"/>
      <c r="J74" s="206"/>
      <c r="K74" s="206"/>
      <c r="L74" s="206"/>
      <c r="M74" s="207"/>
      <c r="N74" s="163"/>
      <c r="O74" s="164"/>
      <c r="P74" s="164"/>
      <c r="Q74" s="164"/>
      <c r="R74" s="164"/>
      <c r="S74" s="165"/>
      <c r="T74" s="205"/>
      <c r="U74" s="206"/>
      <c r="V74" s="206"/>
      <c r="W74" s="206"/>
      <c r="X74" s="206"/>
      <c r="Y74" s="206"/>
      <c r="Z74" s="207"/>
    </row>
    <row r="75" spans="1:26" ht="18" customHeight="1" x14ac:dyDescent="0.2">
      <c r="A75" s="21"/>
      <c r="B75" s="163"/>
      <c r="C75" s="164"/>
      <c r="D75" s="164"/>
      <c r="E75" s="164"/>
      <c r="F75" s="165"/>
      <c r="G75" s="205"/>
      <c r="H75" s="206"/>
      <c r="I75" s="206"/>
      <c r="J75" s="206"/>
      <c r="K75" s="206"/>
      <c r="L75" s="206"/>
      <c r="M75" s="207"/>
      <c r="N75" s="163"/>
      <c r="O75" s="164"/>
      <c r="P75" s="164"/>
      <c r="Q75" s="164"/>
      <c r="R75" s="164"/>
      <c r="S75" s="165"/>
      <c r="T75" s="205"/>
      <c r="U75" s="206"/>
      <c r="V75" s="206"/>
      <c r="W75" s="206"/>
      <c r="X75" s="206"/>
      <c r="Y75" s="206"/>
      <c r="Z75" s="207"/>
    </row>
    <row r="76" spans="1:26" ht="18" customHeight="1" x14ac:dyDescent="0.2">
      <c r="A76" s="21"/>
      <c r="B76" s="191"/>
      <c r="C76" s="192"/>
      <c r="D76" s="192"/>
      <c r="E76" s="192"/>
      <c r="F76" s="193"/>
      <c r="G76" s="218"/>
      <c r="H76" s="219"/>
      <c r="I76" s="219"/>
      <c r="J76" s="219"/>
      <c r="K76" s="219"/>
      <c r="L76" s="219"/>
      <c r="M76" s="220"/>
      <c r="N76" s="191"/>
      <c r="O76" s="192"/>
      <c r="P76" s="192"/>
      <c r="Q76" s="192"/>
      <c r="R76" s="192"/>
      <c r="S76" s="193"/>
      <c r="T76" s="218"/>
      <c r="U76" s="219"/>
      <c r="V76" s="219"/>
      <c r="W76" s="219"/>
      <c r="X76" s="219"/>
      <c r="Y76" s="219"/>
      <c r="Z76" s="220"/>
    </row>
    <row r="77" spans="1:26" ht="18" customHeight="1" x14ac:dyDescent="0.2">
      <c r="A77" s="21"/>
      <c r="B77" s="106"/>
      <c r="C77" s="106"/>
      <c r="D77" s="106"/>
      <c r="E77" s="106"/>
      <c r="F77" s="106"/>
      <c r="G77" s="5"/>
      <c r="H77" s="5"/>
      <c r="I77" s="5"/>
      <c r="J77" s="5"/>
      <c r="K77" s="5"/>
      <c r="L77" s="5"/>
      <c r="M77" s="5"/>
      <c r="N77" s="106"/>
      <c r="O77" s="106"/>
      <c r="P77" s="106"/>
      <c r="Q77" s="106"/>
      <c r="R77" s="106"/>
      <c r="S77" s="106"/>
      <c r="T77" s="5"/>
      <c r="U77" s="5"/>
      <c r="V77" s="5"/>
      <c r="W77" s="5"/>
      <c r="X77" s="5"/>
      <c r="Y77" s="5"/>
      <c r="Z77" s="5"/>
    </row>
    <row r="78" spans="1:26" ht="18.75" customHeight="1" x14ac:dyDescent="0.2">
      <c r="A78" s="7" t="s">
        <v>145</v>
      </c>
    </row>
    <row r="79" spans="1:26" ht="18.75" customHeight="1" x14ac:dyDescent="0.2">
      <c r="B79" s="19" t="s">
        <v>105</v>
      </c>
      <c r="C79" s="20"/>
      <c r="D79" s="142" t="s">
        <v>106</v>
      </c>
      <c r="E79" s="142"/>
      <c r="F79" s="142"/>
      <c r="G79" s="142"/>
      <c r="H79" s="142"/>
      <c r="I79" s="142"/>
      <c r="J79" s="142"/>
      <c r="K79" s="142"/>
      <c r="L79" s="142"/>
      <c r="M79" s="142"/>
      <c r="N79" s="142"/>
      <c r="O79" s="142"/>
      <c r="P79" s="142"/>
      <c r="Q79" s="142"/>
      <c r="R79" s="142"/>
      <c r="S79" s="142"/>
      <c r="T79" s="142"/>
      <c r="U79" s="142"/>
      <c r="V79" s="142"/>
      <c r="W79" s="142"/>
      <c r="X79" s="142"/>
      <c r="Y79" s="142"/>
      <c r="Z79" s="143"/>
    </row>
    <row r="80" spans="1:26" ht="97" customHeight="1" x14ac:dyDescent="0.2">
      <c r="B80" s="211" t="s">
        <v>112</v>
      </c>
      <c r="C80" s="65" t="s">
        <v>107</v>
      </c>
      <c r="D80" s="222" t="s">
        <v>219</v>
      </c>
      <c r="E80" s="223"/>
      <c r="F80" s="223"/>
      <c r="G80" s="223"/>
      <c r="H80" s="223"/>
      <c r="I80" s="223"/>
      <c r="J80" s="223"/>
      <c r="K80" s="223"/>
      <c r="L80" s="223"/>
      <c r="M80" s="223"/>
      <c r="N80" s="223"/>
      <c r="O80" s="223"/>
      <c r="P80" s="223"/>
      <c r="Q80" s="223"/>
      <c r="R80" s="223"/>
      <c r="S80" s="223"/>
      <c r="T80" s="223"/>
      <c r="U80" s="223"/>
      <c r="V80" s="223"/>
      <c r="W80" s="223"/>
      <c r="X80" s="223"/>
      <c r="Y80" s="223"/>
      <c r="Z80" s="224"/>
    </row>
    <row r="81" spans="1:26" ht="78" customHeight="1" x14ac:dyDescent="0.2">
      <c r="B81" s="221"/>
      <c r="C81" s="84" t="s">
        <v>140</v>
      </c>
      <c r="D81" s="225" t="s">
        <v>214</v>
      </c>
      <c r="E81" s="225"/>
      <c r="F81" s="225"/>
      <c r="G81" s="225"/>
      <c r="H81" s="225"/>
      <c r="I81" s="225"/>
      <c r="J81" s="225"/>
      <c r="K81" s="225"/>
      <c r="L81" s="225"/>
      <c r="M81" s="225"/>
      <c r="N81" s="225"/>
      <c r="O81" s="225"/>
      <c r="P81" s="225"/>
      <c r="Q81" s="225"/>
      <c r="R81" s="225"/>
      <c r="S81" s="225"/>
      <c r="T81" s="225"/>
      <c r="U81" s="225"/>
      <c r="V81" s="225"/>
      <c r="W81" s="225"/>
      <c r="X81" s="225"/>
      <c r="Y81" s="225"/>
      <c r="Z81" s="226"/>
    </row>
    <row r="82" spans="1:26" ht="78" customHeight="1" x14ac:dyDescent="0.2">
      <c r="B82" s="211" t="s">
        <v>113</v>
      </c>
      <c r="C82" s="60" t="s">
        <v>130</v>
      </c>
      <c r="D82" s="213" t="s">
        <v>220</v>
      </c>
      <c r="E82" s="149"/>
      <c r="F82" s="149"/>
      <c r="G82" s="149"/>
      <c r="H82" s="149"/>
      <c r="I82" s="149"/>
      <c r="J82" s="149"/>
      <c r="K82" s="149"/>
      <c r="L82" s="149"/>
      <c r="M82" s="149"/>
      <c r="N82" s="149"/>
      <c r="O82" s="149"/>
      <c r="P82" s="149"/>
      <c r="Q82" s="149"/>
      <c r="R82" s="149"/>
      <c r="S82" s="149"/>
      <c r="T82" s="149"/>
      <c r="U82" s="149"/>
      <c r="V82" s="149"/>
      <c r="W82" s="149"/>
      <c r="X82" s="149"/>
      <c r="Y82" s="149"/>
      <c r="Z82" s="150"/>
    </row>
    <row r="83" spans="1:26" ht="78" customHeight="1" x14ac:dyDescent="0.2">
      <c r="B83" s="212"/>
      <c r="C83" s="85" t="s">
        <v>131</v>
      </c>
      <c r="D83" s="214" t="s">
        <v>215</v>
      </c>
      <c r="E83" s="186"/>
      <c r="F83" s="186"/>
      <c r="G83" s="186"/>
      <c r="H83" s="186"/>
      <c r="I83" s="186"/>
      <c r="J83" s="186"/>
      <c r="K83" s="186"/>
      <c r="L83" s="186"/>
      <c r="M83" s="186"/>
      <c r="N83" s="186"/>
      <c r="O83" s="186"/>
      <c r="P83" s="186"/>
      <c r="Q83" s="186"/>
      <c r="R83" s="186"/>
      <c r="S83" s="186"/>
      <c r="T83" s="186"/>
      <c r="U83" s="186"/>
      <c r="V83" s="186"/>
      <c r="W83" s="186"/>
      <c r="X83" s="186"/>
      <c r="Y83" s="186"/>
      <c r="Z83" s="187"/>
    </row>
    <row r="84" spans="1:26" ht="79" customHeight="1" x14ac:dyDescent="0.2">
      <c r="B84" s="211" t="s">
        <v>114</v>
      </c>
      <c r="C84" s="60" t="s">
        <v>133</v>
      </c>
      <c r="D84" s="213" t="s">
        <v>217</v>
      </c>
      <c r="E84" s="149"/>
      <c r="F84" s="149"/>
      <c r="G84" s="149"/>
      <c r="H84" s="149"/>
      <c r="I84" s="149"/>
      <c r="J84" s="149"/>
      <c r="K84" s="149"/>
      <c r="L84" s="149"/>
      <c r="M84" s="149"/>
      <c r="N84" s="149"/>
      <c r="O84" s="149"/>
      <c r="P84" s="149"/>
      <c r="Q84" s="149"/>
      <c r="R84" s="149"/>
      <c r="S84" s="149"/>
      <c r="T84" s="149"/>
      <c r="U84" s="149"/>
      <c r="V84" s="149"/>
      <c r="W84" s="149"/>
      <c r="X84" s="149"/>
      <c r="Y84" s="149"/>
      <c r="Z84" s="150"/>
    </row>
    <row r="85" spans="1:26" ht="86.15" customHeight="1" x14ac:dyDescent="0.2">
      <c r="B85" s="212"/>
      <c r="C85" s="62" t="s">
        <v>134</v>
      </c>
      <c r="D85" s="215" t="s">
        <v>223</v>
      </c>
      <c r="E85" s="216"/>
      <c r="F85" s="216"/>
      <c r="G85" s="216"/>
      <c r="H85" s="216"/>
      <c r="I85" s="216"/>
      <c r="J85" s="216"/>
      <c r="K85" s="216"/>
      <c r="L85" s="216"/>
      <c r="M85" s="216"/>
      <c r="N85" s="216"/>
      <c r="O85" s="216"/>
      <c r="P85" s="216"/>
      <c r="Q85" s="216"/>
      <c r="R85" s="216"/>
      <c r="S85" s="216"/>
      <c r="T85" s="216"/>
      <c r="U85" s="216"/>
      <c r="V85" s="216"/>
      <c r="W85" s="216"/>
      <c r="X85" s="216"/>
      <c r="Y85" s="216"/>
      <c r="Z85" s="217"/>
    </row>
    <row r="86" spans="1:26" ht="132.65" customHeight="1" x14ac:dyDescent="0.2">
      <c r="B86" s="211" t="s">
        <v>141</v>
      </c>
      <c r="C86" s="65" t="s">
        <v>109</v>
      </c>
      <c r="D86" s="222" t="s">
        <v>231</v>
      </c>
      <c r="E86" s="223"/>
      <c r="F86" s="223"/>
      <c r="G86" s="223"/>
      <c r="H86" s="223"/>
      <c r="I86" s="223"/>
      <c r="J86" s="223"/>
      <c r="K86" s="223"/>
      <c r="L86" s="223"/>
      <c r="M86" s="223"/>
      <c r="N86" s="223"/>
      <c r="O86" s="223"/>
      <c r="P86" s="223"/>
      <c r="Q86" s="223"/>
      <c r="R86" s="223"/>
      <c r="S86" s="223"/>
      <c r="T86" s="223"/>
      <c r="U86" s="223"/>
      <c r="V86" s="223"/>
      <c r="W86" s="223"/>
      <c r="X86" s="223"/>
      <c r="Y86" s="223"/>
      <c r="Z86" s="224"/>
    </row>
    <row r="87" spans="1:26" ht="89.5" customHeight="1" x14ac:dyDescent="0.2">
      <c r="B87" s="221"/>
      <c r="C87" s="61" t="s">
        <v>111</v>
      </c>
      <c r="D87" s="234" t="s">
        <v>224</v>
      </c>
      <c r="E87" s="158"/>
      <c r="F87" s="158"/>
      <c r="G87" s="158"/>
      <c r="H87" s="158"/>
      <c r="I87" s="158"/>
      <c r="J87" s="158"/>
      <c r="K87" s="158"/>
      <c r="L87" s="158"/>
      <c r="M87" s="158"/>
      <c r="N87" s="158"/>
      <c r="O87" s="158"/>
      <c r="P87" s="158"/>
      <c r="Q87" s="158"/>
      <c r="R87" s="158"/>
      <c r="S87" s="158"/>
      <c r="T87" s="158"/>
      <c r="U87" s="158"/>
      <c r="V87" s="158"/>
      <c r="W87" s="158"/>
      <c r="X87" s="158"/>
      <c r="Y87" s="158"/>
      <c r="Z87" s="159"/>
    </row>
    <row r="88" spans="1:26" ht="98.15" customHeight="1" x14ac:dyDescent="0.2">
      <c r="B88" s="211" t="s">
        <v>142</v>
      </c>
      <c r="C88" s="60" t="s">
        <v>108</v>
      </c>
      <c r="D88" s="235" t="s">
        <v>222</v>
      </c>
      <c r="E88" s="155"/>
      <c r="F88" s="155"/>
      <c r="G88" s="155"/>
      <c r="H88" s="155"/>
      <c r="I88" s="155"/>
      <c r="J88" s="155"/>
      <c r="K88" s="155"/>
      <c r="L88" s="155"/>
      <c r="M88" s="155"/>
      <c r="N88" s="155"/>
      <c r="O88" s="155"/>
      <c r="P88" s="155"/>
      <c r="Q88" s="155"/>
      <c r="R88" s="155"/>
      <c r="S88" s="155"/>
      <c r="T88" s="155"/>
      <c r="U88" s="155"/>
      <c r="V88" s="155"/>
      <c r="W88" s="155"/>
      <c r="X88" s="155"/>
      <c r="Y88" s="155"/>
      <c r="Z88" s="156"/>
    </row>
    <row r="89" spans="1:26" ht="66" customHeight="1" x14ac:dyDescent="0.2">
      <c r="B89" s="221"/>
      <c r="C89" s="61" t="s">
        <v>137</v>
      </c>
      <c r="D89" s="163" t="s">
        <v>218</v>
      </c>
      <c r="E89" s="164"/>
      <c r="F89" s="164"/>
      <c r="G89" s="164"/>
      <c r="H89" s="164"/>
      <c r="I89" s="164"/>
      <c r="J89" s="164"/>
      <c r="K89" s="164"/>
      <c r="L89" s="164"/>
      <c r="M89" s="164"/>
      <c r="N89" s="164"/>
      <c r="O89" s="164"/>
      <c r="P89" s="164"/>
      <c r="Q89" s="164"/>
      <c r="R89" s="164"/>
      <c r="S89" s="164"/>
      <c r="T89" s="164"/>
      <c r="U89" s="164"/>
      <c r="V89" s="164"/>
      <c r="W89" s="164"/>
      <c r="X89" s="164"/>
      <c r="Y89" s="164"/>
      <c r="Z89" s="165"/>
    </row>
    <row r="90" spans="1:26" ht="66" customHeight="1" x14ac:dyDescent="0.2">
      <c r="B90" s="212"/>
      <c r="C90" s="62" t="s">
        <v>138</v>
      </c>
      <c r="D90" s="236" t="s">
        <v>225</v>
      </c>
      <c r="E90" s="231"/>
      <c r="F90" s="231"/>
      <c r="G90" s="231"/>
      <c r="H90" s="231"/>
      <c r="I90" s="231"/>
      <c r="J90" s="231"/>
      <c r="K90" s="231"/>
      <c r="L90" s="231"/>
      <c r="M90" s="231"/>
      <c r="N90" s="231"/>
      <c r="O90" s="231"/>
      <c r="P90" s="231"/>
      <c r="Q90" s="231"/>
      <c r="R90" s="231"/>
      <c r="S90" s="231"/>
      <c r="T90" s="231"/>
      <c r="U90" s="231"/>
      <c r="V90" s="231"/>
      <c r="W90" s="231"/>
      <c r="X90" s="231"/>
      <c r="Y90" s="231"/>
      <c r="Z90" s="232"/>
    </row>
    <row r="91" spans="1:26" ht="6" customHeight="1" x14ac:dyDescent="0.2"/>
    <row r="92" spans="1:26" ht="18.75" customHeight="1" x14ac:dyDescent="0.2">
      <c r="A92" s="7" t="s">
        <v>146</v>
      </c>
    </row>
    <row r="93" spans="1:26" ht="18.75" customHeight="1" x14ac:dyDescent="0.2">
      <c r="B93" s="227" t="s">
        <v>240</v>
      </c>
      <c r="C93" s="228"/>
      <c r="D93" s="228"/>
      <c r="E93" s="228"/>
      <c r="F93" s="228"/>
      <c r="G93" s="228"/>
      <c r="H93" s="228"/>
      <c r="I93" s="228"/>
      <c r="J93" s="228"/>
      <c r="K93" s="228"/>
      <c r="L93" s="228"/>
      <c r="M93" s="228"/>
      <c r="N93" s="228"/>
      <c r="O93" s="228"/>
      <c r="P93" s="228"/>
      <c r="Q93" s="228"/>
      <c r="R93" s="228"/>
      <c r="S93" s="228"/>
      <c r="T93" s="228"/>
      <c r="U93" s="228"/>
      <c r="V93" s="228"/>
      <c r="W93" s="228"/>
      <c r="X93" s="228"/>
      <c r="Y93" s="228"/>
      <c r="Z93" s="229"/>
    </row>
    <row r="94" spans="1:26" ht="18.75" customHeight="1" x14ac:dyDescent="0.2">
      <c r="B94" s="200"/>
      <c r="C94" s="147"/>
      <c r="D94" s="147"/>
      <c r="E94" s="147"/>
      <c r="F94" s="147"/>
      <c r="G94" s="147"/>
      <c r="H94" s="147"/>
      <c r="I94" s="147"/>
      <c r="J94" s="147"/>
      <c r="K94" s="147"/>
      <c r="L94" s="147"/>
      <c r="M94" s="147"/>
      <c r="N94" s="147"/>
      <c r="O94" s="147"/>
      <c r="P94" s="147"/>
      <c r="Q94" s="147"/>
      <c r="R94" s="147"/>
      <c r="S94" s="147"/>
      <c r="T94" s="147"/>
      <c r="U94" s="147"/>
      <c r="V94" s="147"/>
      <c r="W94" s="147"/>
      <c r="X94" s="147"/>
      <c r="Y94" s="147"/>
      <c r="Z94" s="201"/>
    </row>
    <row r="95" spans="1:26" ht="18.75" customHeight="1" x14ac:dyDescent="0.2">
      <c r="B95" s="230"/>
      <c r="C95" s="231"/>
      <c r="D95" s="231"/>
      <c r="E95" s="231"/>
      <c r="F95" s="231"/>
      <c r="G95" s="231"/>
      <c r="H95" s="231"/>
      <c r="I95" s="231"/>
      <c r="J95" s="231"/>
      <c r="K95" s="231"/>
      <c r="L95" s="231"/>
      <c r="M95" s="231"/>
      <c r="N95" s="231"/>
      <c r="O95" s="231"/>
      <c r="P95" s="231"/>
      <c r="Q95" s="231"/>
      <c r="R95" s="231"/>
      <c r="S95" s="231"/>
      <c r="T95" s="231"/>
      <c r="U95" s="231"/>
      <c r="V95" s="231"/>
      <c r="W95" s="231"/>
      <c r="X95" s="231"/>
      <c r="Y95" s="231"/>
      <c r="Z95" s="232"/>
    </row>
    <row r="96" spans="1:26" ht="6" customHeight="1" x14ac:dyDescent="0.2"/>
    <row r="97" spans="1:26" ht="15" customHeight="1" x14ac:dyDescent="0.2">
      <c r="A97" s="7" t="s">
        <v>147</v>
      </c>
    </row>
    <row r="98" spans="1:26" ht="15" customHeight="1" x14ac:dyDescent="0.2">
      <c r="B98" s="129" t="s">
        <v>243</v>
      </c>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233"/>
    </row>
  </sheetData>
  <customSheetViews>
    <customSheetView guid="{F66F98FB-58AD-4588-B2BF-A96D7B6BA538}" scale="85" showPageBreaks="1" zeroValues="0" printArea="1" view="pageBreakPreview" topLeftCell="A76">
      <selection activeCell="B6" sqref="B6:Z11"/>
      <rowBreaks count="3" manualBreakCount="3">
        <brk id="34" max="25" man="1"/>
        <brk id="67" max="25" man="1"/>
        <brk id="83" max="25" man="1"/>
      </rowBreaks>
      <pageMargins left="0.78740157480314965" right="0.78740157480314965" top="0.59055118110236227" bottom="0.19685039370078741" header="0.31496062992125984" footer="0.19685039370078741"/>
      <printOptions horizontalCentered="1"/>
      <pageSetup paperSize="9" scale="98" orientation="landscape" r:id="rId1"/>
    </customSheetView>
    <customSheetView guid="{AB72F774-B35A-46F0-BC4F-A888CB0430C3}" scale="85" showPageBreaks="1" zeroValues="0" printArea="1" view="pageBreakPreview">
      <selection activeCell="B6" sqref="B6:Z11"/>
      <rowBreaks count="3" manualBreakCount="3">
        <brk id="34" max="25" man="1"/>
        <brk id="67" max="25" man="1"/>
        <brk id="83" max="25" man="1"/>
      </rowBreaks>
      <pageMargins left="0.78740157480314965" right="0.78740157480314965" top="0.59055118110236227" bottom="0.19685039370078741" header="0.31496062992125984" footer="0.19685039370078741"/>
      <printOptions horizontalCentered="1"/>
      <pageSetup paperSize="9" scale="98" orientation="landscape" r:id="rId2"/>
    </customSheetView>
    <customSheetView guid="{3F6F70B2-63B4-4C1B-8947-42666FB99B7C}" scale="85" showPageBreaks="1" zeroValues="0" printArea="1" view="pageBreakPreview">
      <selection activeCell="B6" sqref="B6:Z11"/>
      <rowBreaks count="3" manualBreakCount="3">
        <brk id="34" max="25" man="1"/>
        <brk id="67" max="25" man="1"/>
        <brk id="83" max="25" man="1"/>
      </rowBreaks>
      <pageMargins left="0.78740157480314965" right="0.78740157480314965" top="0.59055118110236227" bottom="0.19685039370078741" header="0.31496062992125984" footer="0.19685039370078741"/>
      <printOptions horizontalCentered="1"/>
      <pageSetup paperSize="9" scale="98" orientation="landscape" r:id="rId3"/>
    </customSheetView>
  </customSheetViews>
  <mergeCells count="218">
    <mergeCell ref="B93:Z95"/>
    <mergeCell ref="B98:Z98"/>
    <mergeCell ref="B86:B87"/>
    <mergeCell ref="D86:Z86"/>
    <mergeCell ref="D87:Z87"/>
    <mergeCell ref="B88:B90"/>
    <mergeCell ref="D88:Z88"/>
    <mergeCell ref="D89:Z89"/>
    <mergeCell ref="D90:Z90"/>
    <mergeCell ref="B82:B83"/>
    <mergeCell ref="D82:Z82"/>
    <mergeCell ref="D83:Z83"/>
    <mergeCell ref="B84:B85"/>
    <mergeCell ref="D84:Z84"/>
    <mergeCell ref="D85:Z85"/>
    <mergeCell ref="B76:F76"/>
    <mergeCell ref="G76:M76"/>
    <mergeCell ref="N76:S76"/>
    <mergeCell ref="T76:Z76"/>
    <mergeCell ref="D79:Z79"/>
    <mergeCell ref="B80:B81"/>
    <mergeCell ref="D80:Z80"/>
    <mergeCell ref="D81:Z81"/>
    <mergeCell ref="B74:F74"/>
    <mergeCell ref="G74:M74"/>
    <mergeCell ref="N74:S74"/>
    <mergeCell ref="T74:Z74"/>
    <mergeCell ref="B75:F75"/>
    <mergeCell ref="G75:M75"/>
    <mergeCell ref="N75:S75"/>
    <mergeCell ref="T75:Z75"/>
    <mergeCell ref="B72:F72"/>
    <mergeCell ref="G72:M72"/>
    <mergeCell ref="N72:S72"/>
    <mergeCell ref="T72:Z72"/>
    <mergeCell ref="B73:F73"/>
    <mergeCell ref="G73:M73"/>
    <mergeCell ref="N73:S73"/>
    <mergeCell ref="T73:Z73"/>
    <mergeCell ref="B70:F70"/>
    <mergeCell ref="G70:M70"/>
    <mergeCell ref="N70:S70"/>
    <mergeCell ref="T70:Z70"/>
    <mergeCell ref="B71:F71"/>
    <mergeCell ref="G71:M71"/>
    <mergeCell ref="N71:S71"/>
    <mergeCell ref="T71:Z71"/>
    <mergeCell ref="B66:E66"/>
    <mergeCell ref="H66:J66"/>
    <mergeCell ref="N66:R66"/>
    <mergeCell ref="U66:W66"/>
    <mergeCell ref="B69:F69"/>
    <mergeCell ref="G69:M69"/>
    <mergeCell ref="N69:S69"/>
    <mergeCell ref="T69:Z69"/>
    <mergeCell ref="B64:E64"/>
    <mergeCell ref="H64:J64"/>
    <mergeCell ref="N64:R64"/>
    <mergeCell ref="U64:W64"/>
    <mergeCell ref="B65:E65"/>
    <mergeCell ref="H65:J65"/>
    <mergeCell ref="N65:R65"/>
    <mergeCell ref="U65:W65"/>
    <mergeCell ref="B62:E62"/>
    <mergeCell ref="H62:J62"/>
    <mergeCell ref="N62:R62"/>
    <mergeCell ref="U62:W62"/>
    <mergeCell ref="B63:E63"/>
    <mergeCell ref="H63:J63"/>
    <mergeCell ref="N63:R63"/>
    <mergeCell ref="U63:W63"/>
    <mergeCell ref="B60:E60"/>
    <mergeCell ref="H60:J60"/>
    <mergeCell ref="N60:R60"/>
    <mergeCell ref="U60:W60"/>
    <mergeCell ref="B61:E61"/>
    <mergeCell ref="H61:J61"/>
    <mergeCell ref="N61:R61"/>
    <mergeCell ref="U61:W61"/>
    <mergeCell ref="B55:F55"/>
    <mergeCell ref="I55:K55"/>
    <mergeCell ref="N55:S55"/>
    <mergeCell ref="V55:X55"/>
    <mergeCell ref="A57:Z58"/>
    <mergeCell ref="B59:E59"/>
    <mergeCell ref="N59:R59"/>
    <mergeCell ref="B53:F53"/>
    <mergeCell ref="I53:K53"/>
    <mergeCell ref="N53:S53"/>
    <mergeCell ref="V53:X53"/>
    <mergeCell ref="B54:F54"/>
    <mergeCell ref="I54:K54"/>
    <mergeCell ref="N54:S54"/>
    <mergeCell ref="V54:X54"/>
    <mergeCell ref="B51:F51"/>
    <mergeCell ref="I51:K51"/>
    <mergeCell ref="N51:S51"/>
    <mergeCell ref="V51:X51"/>
    <mergeCell ref="B52:F52"/>
    <mergeCell ref="I52:K52"/>
    <mergeCell ref="N52:S52"/>
    <mergeCell ref="V52:X52"/>
    <mergeCell ref="B49:F49"/>
    <mergeCell ref="I49:K49"/>
    <mergeCell ref="N49:S49"/>
    <mergeCell ref="V49:X49"/>
    <mergeCell ref="B50:F50"/>
    <mergeCell ref="I50:K50"/>
    <mergeCell ref="N50:S50"/>
    <mergeCell ref="V50:X50"/>
    <mergeCell ref="B44:F44"/>
    <mergeCell ref="I44:K44"/>
    <mergeCell ref="N44:S44"/>
    <mergeCell ref="V44:X44"/>
    <mergeCell ref="A46:Z47"/>
    <mergeCell ref="B48:F48"/>
    <mergeCell ref="I48:K48"/>
    <mergeCell ref="N48:S48"/>
    <mergeCell ref="V48:X48"/>
    <mergeCell ref="B42:F42"/>
    <mergeCell ref="I42:K42"/>
    <mergeCell ref="N42:S42"/>
    <mergeCell ref="V42:X42"/>
    <mergeCell ref="B43:F43"/>
    <mergeCell ref="I43:K43"/>
    <mergeCell ref="N43:S43"/>
    <mergeCell ref="V43:X43"/>
    <mergeCell ref="B40:F40"/>
    <mergeCell ref="I40:K40"/>
    <mergeCell ref="N40:S40"/>
    <mergeCell ref="V40:X40"/>
    <mergeCell ref="B41:F41"/>
    <mergeCell ref="I41:K41"/>
    <mergeCell ref="N41:S41"/>
    <mergeCell ref="V41:X41"/>
    <mergeCell ref="B38:F38"/>
    <mergeCell ref="I38:K38"/>
    <mergeCell ref="N38:S38"/>
    <mergeCell ref="V38:X38"/>
    <mergeCell ref="B39:F39"/>
    <mergeCell ref="I39:K39"/>
    <mergeCell ref="N39:S39"/>
    <mergeCell ref="V39:X39"/>
    <mergeCell ref="B33:F33"/>
    <mergeCell ref="I33:K33"/>
    <mergeCell ref="N33:S33"/>
    <mergeCell ref="V33:X33"/>
    <mergeCell ref="A35:Z36"/>
    <mergeCell ref="B37:F37"/>
    <mergeCell ref="I37:K37"/>
    <mergeCell ref="N37:S37"/>
    <mergeCell ref="V37:X37"/>
    <mergeCell ref="B31:F31"/>
    <mergeCell ref="I31:K31"/>
    <mergeCell ref="N31:S31"/>
    <mergeCell ref="V31:X31"/>
    <mergeCell ref="B32:F32"/>
    <mergeCell ref="I32:K32"/>
    <mergeCell ref="N32:S32"/>
    <mergeCell ref="V32:X32"/>
    <mergeCell ref="B29:F29"/>
    <mergeCell ref="I29:K29"/>
    <mergeCell ref="N29:S29"/>
    <mergeCell ref="V29:X29"/>
    <mergeCell ref="B30:F30"/>
    <mergeCell ref="I30:K30"/>
    <mergeCell ref="N30:S30"/>
    <mergeCell ref="V30:X30"/>
    <mergeCell ref="B27:F27"/>
    <mergeCell ref="I27:K27"/>
    <mergeCell ref="N27:S27"/>
    <mergeCell ref="V27:X27"/>
    <mergeCell ref="B28:F28"/>
    <mergeCell ref="I28:K28"/>
    <mergeCell ref="N28:S28"/>
    <mergeCell ref="V28:X28"/>
    <mergeCell ref="B22:F22"/>
    <mergeCell ref="I22:K22"/>
    <mergeCell ref="N22:S22"/>
    <mergeCell ref="V22:X22"/>
    <mergeCell ref="A24:Z25"/>
    <mergeCell ref="B26:F26"/>
    <mergeCell ref="I26:K26"/>
    <mergeCell ref="N26:S26"/>
    <mergeCell ref="V26:X26"/>
    <mergeCell ref="B20:F20"/>
    <mergeCell ref="I20:K20"/>
    <mergeCell ref="N20:S20"/>
    <mergeCell ref="V20:X20"/>
    <mergeCell ref="B21:F21"/>
    <mergeCell ref="I21:K21"/>
    <mergeCell ref="N21:S21"/>
    <mergeCell ref="V21:X21"/>
    <mergeCell ref="B18:F18"/>
    <mergeCell ref="I18:K18"/>
    <mergeCell ref="N18:S18"/>
    <mergeCell ref="V18:X18"/>
    <mergeCell ref="B19:F19"/>
    <mergeCell ref="I19:K19"/>
    <mergeCell ref="N19:S19"/>
    <mergeCell ref="V19:X19"/>
    <mergeCell ref="B16:F16"/>
    <mergeCell ref="I16:K16"/>
    <mergeCell ref="N16:S16"/>
    <mergeCell ref="V16:X16"/>
    <mergeCell ref="B17:F17"/>
    <mergeCell ref="I17:K17"/>
    <mergeCell ref="N17:S17"/>
    <mergeCell ref="V17:X17"/>
    <mergeCell ref="W1:Z1"/>
    <mergeCell ref="A2:Z2"/>
    <mergeCell ref="O4:Z4"/>
    <mergeCell ref="B6:Z11"/>
    <mergeCell ref="A13:Z14"/>
    <mergeCell ref="B15:F15"/>
    <mergeCell ref="I15:K15"/>
    <mergeCell ref="N15:S15"/>
    <mergeCell ref="V15:X15"/>
  </mergeCells>
  <phoneticPr fontId="1"/>
  <dataValidations count="4">
    <dataValidation type="list" allowBlank="1" showInputMessage="1" showErrorMessage="1" sqref="H74:M77 U74:Z77 T70:T77 U70:Z71 G70:G77 H70:M72" xr:uid="{00000000-0002-0000-0100-000000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O4" xr:uid="{00000000-0002-0000-0100-000001000000}">
      <formula1>"学部・学科によって、修了要件は相違する,学部・学科によって、修了要件は相違しない"</formula1>
    </dataValidation>
    <dataValidation type="list" allowBlank="1" showInputMessage="1" showErrorMessage="1" sqref="Z23 Z34 D34:K34 D23:K23 V16:V22 I16:I22 V27:V33 I38:I44 V38:V44 I27:I33 V49:V55 I49:I55 U60:U66 H60:H66" xr:uid="{00000000-0002-0000-0100-000002000000}">
      <formula1>"全学開講,一部開講"</formula1>
    </dataValidation>
    <dataValidation type="list" allowBlank="1" showInputMessage="1" showErrorMessage="1" sqref="Y16:Z22 L16:M22 Y27:Z33 Y38:Z44 L49:M55 Y49:Z55 Y60:Z66 L38:M44 H16:H22 U16:U22 T60:T66 U27:U33 L27:M33 U38:U44 H49:H55 U49:U55 G60:G66 H27:H33 H38:H44 L60:M66 K60" xr:uid="{00000000-0002-0000-0100-000003000000}">
      <formula1>"○"</formula1>
    </dataValidation>
  </dataValidations>
  <printOptions horizontalCentered="1"/>
  <pageMargins left="0.78740157480314965" right="0.78740157480314965" top="0.59055118110236227" bottom="0.19685039370078741" header="0.31496062992125984" footer="0.19685039370078741"/>
  <pageSetup paperSize="9" scale="98" orientation="landscape" r:id="rId4"/>
  <rowBreaks count="3" manualBreakCount="3">
    <brk id="34" max="25" man="1"/>
    <brk id="67" max="25" man="1"/>
    <brk id="83" max="25"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98"/>
  <sheetViews>
    <sheetView showZeros="0" view="pageBreakPreview" zoomScale="70" zoomScaleNormal="100" zoomScaleSheetLayoutView="70" workbookViewId="0">
      <selection activeCell="AH32" sqref="AH32"/>
    </sheetView>
  </sheetViews>
  <sheetFormatPr defaultColWidth="9" defaultRowHeight="18.75" customHeight="1" x14ac:dyDescent="0.2"/>
  <cols>
    <col min="1" max="1" width="2.453125" style="7" customWidth="1"/>
    <col min="2" max="2" width="27.7265625" style="7" customWidth="1"/>
    <col min="3" max="13" width="3.36328125" style="7" customWidth="1"/>
    <col min="14" max="14" width="8.90625" style="7" customWidth="1"/>
    <col min="15" max="15" width="18.90625" style="7" customWidth="1"/>
    <col min="16" max="19" width="3.36328125" style="7" customWidth="1"/>
    <col min="20" max="20" width="3.453125" style="7" customWidth="1"/>
    <col min="21" max="26" width="3.36328125" style="7" customWidth="1"/>
    <col min="27" max="16384" width="9" style="7"/>
  </cols>
  <sheetData>
    <row r="1" spans="1:26" ht="15" customHeight="1" x14ac:dyDescent="0.2">
      <c r="W1" s="166" t="s">
        <v>181</v>
      </c>
      <c r="X1" s="166"/>
      <c r="Y1" s="166"/>
      <c r="Z1" s="166"/>
    </row>
    <row r="2" spans="1:26" ht="18" customHeight="1" x14ac:dyDescent="0.2">
      <c r="A2" s="167" t="s">
        <v>69</v>
      </c>
      <c r="B2" s="167"/>
      <c r="C2" s="167"/>
      <c r="D2" s="167"/>
      <c r="E2" s="167"/>
      <c r="F2" s="167"/>
      <c r="G2" s="167"/>
      <c r="H2" s="167"/>
      <c r="I2" s="167"/>
      <c r="J2" s="167"/>
      <c r="K2" s="167"/>
      <c r="L2" s="167"/>
      <c r="M2" s="167"/>
      <c r="N2" s="167"/>
      <c r="O2" s="167"/>
      <c r="P2" s="167"/>
      <c r="Q2" s="167"/>
      <c r="R2" s="167"/>
      <c r="S2" s="167"/>
      <c r="T2" s="167"/>
      <c r="U2" s="167"/>
      <c r="V2" s="167"/>
      <c r="W2" s="167"/>
      <c r="X2" s="167"/>
      <c r="Y2" s="167"/>
      <c r="Z2" s="167"/>
    </row>
    <row r="3" spans="1:26" ht="15" customHeight="1" x14ac:dyDescent="0.2">
      <c r="B3" s="21"/>
      <c r="C3" s="21"/>
      <c r="D3" s="21"/>
      <c r="E3" s="21"/>
      <c r="F3" s="21"/>
      <c r="G3" s="21"/>
      <c r="H3" s="21"/>
      <c r="I3" s="21"/>
      <c r="J3" s="21"/>
      <c r="K3" s="21"/>
      <c r="L3" s="21"/>
      <c r="M3" s="21"/>
      <c r="N3" s="21"/>
      <c r="O3" s="21"/>
      <c r="P3" s="21"/>
      <c r="Q3" s="21"/>
      <c r="R3" s="21"/>
      <c r="S3" s="21"/>
      <c r="T3" s="21"/>
      <c r="U3" s="21"/>
      <c r="V3" s="21"/>
      <c r="W3" s="21"/>
      <c r="X3" s="21"/>
      <c r="Y3" s="21"/>
      <c r="Z3" s="21"/>
    </row>
    <row r="4" spans="1:26" ht="18" customHeight="1" x14ac:dyDescent="0.2">
      <c r="A4" s="7" t="s">
        <v>102</v>
      </c>
      <c r="B4" s="21"/>
      <c r="C4" s="21"/>
      <c r="D4" s="21"/>
      <c r="E4" s="21"/>
      <c r="F4" s="21"/>
      <c r="G4" s="21"/>
      <c r="H4" s="8" t="s">
        <v>115</v>
      </c>
      <c r="I4" s="21"/>
      <c r="J4" s="21"/>
      <c r="K4" s="21"/>
      <c r="L4" s="21"/>
      <c r="M4" s="21"/>
      <c r="N4" s="21"/>
      <c r="O4" s="141" t="s">
        <v>169</v>
      </c>
      <c r="P4" s="142"/>
      <c r="Q4" s="142"/>
      <c r="R4" s="142"/>
      <c r="S4" s="142"/>
      <c r="T4" s="142"/>
      <c r="U4" s="142"/>
      <c r="V4" s="142"/>
      <c r="W4" s="142"/>
      <c r="X4" s="142"/>
      <c r="Y4" s="142"/>
      <c r="Z4" s="143"/>
    </row>
    <row r="5" spans="1:26" ht="6" customHeight="1" x14ac:dyDescent="0.2">
      <c r="B5" s="21"/>
      <c r="C5" s="21"/>
      <c r="D5" s="21"/>
      <c r="E5" s="21"/>
      <c r="F5" s="21"/>
      <c r="G5" s="21"/>
      <c r="H5" s="21"/>
      <c r="I5" s="21"/>
      <c r="J5" s="21"/>
      <c r="K5" s="21"/>
      <c r="L5" s="21"/>
      <c r="M5" s="21"/>
      <c r="N5" s="21"/>
      <c r="O5" s="9"/>
      <c r="P5" s="21"/>
      <c r="Q5" s="21"/>
      <c r="R5" s="21"/>
      <c r="S5" s="21"/>
      <c r="T5" s="21"/>
      <c r="U5" s="21"/>
      <c r="V5" s="21"/>
      <c r="W5" s="21"/>
      <c r="X5" s="21"/>
      <c r="Y5" s="21"/>
      <c r="Z5" s="21"/>
    </row>
    <row r="6" spans="1:26" ht="18" customHeight="1" x14ac:dyDescent="0.2">
      <c r="B6" s="248" t="s">
        <v>244</v>
      </c>
      <c r="C6" s="249"/>
      <c r="D6" s="249"/>
      <c r="E6" s="249"/>
      <c r="F6" s="249"/>
      <c r="G6" s="249"/>
      <c r="H6" s="249"/>
      <c r="I6" s="249"/>
      <c r="J6" s="249"/>
      <c r="K6" s="249"/>
      <c r="L6" s="249"/>
      <c r="M6" s="249"/>
      <c r="N6" s="249"/>
      <c r="O6" s="249"/>
      <c r="P6" s="249"/>
      <c r="Q6" s="249"/>
      <c r="R6" s="249"/>
      <c r="S6" s="249"/>
      <c r="T6" s="249"/>
      <c r="U6" s="249"/>
      <c r="V6" s="249"/>
      <c r="W6" s="249"/>
      <c r="X6" s="249"/>
      <c r="Y6" s="249"/>
      <c r="Z6" s="250"/>
    </row>
    <row r="7" spans="1:26" ht="18" customHeight="1" x14ac:dyDescent="0.2">
      <c r="B7" s="251"/>
      <c r="C7" s="252"/>
      <c r="D7" s="252"/>
      <c r="E7" s="252"/>
      <c r="F7" s="252"/>
      <c r="G7" s="252"/>
      <c r="H7" s="252"/>
      <c r="I7" s="252"/>
      <c r="J7" s="252"/>
      <c r="K7" s="252"/>
      <c r="L7" s="252"/>
      <c r="M7" s="252"/>
      <c r="N7" s="252"/>
      <c r="O7" s="252"/>
      <c r="P7" s="252"/>
      <c r="Q7" s="252"/>
      <c r="R7" s="252"/>
      <c r="S7" s="252"/>
      <c r="T7" s="252"/>
      <c r="U7" s="252"/>
      <c r="V7" s="252"/>
      <c r="W7" s="252"/>
      <c r="X7" s="252"/>
      <c r="Y7" s="252"/>
      <c r="Z7" s="253"/>
    </row>
    <row r="8" spans="1:26" ht="18" customHeight="1" x14ac:dyDescent="0.2">
      <c r="B8" s="251"/>
      <c r="C8" s="252"/>
      <c r="D8" s="252"/>
      <c r="E8" s="252"/>
      <c r="F8" s="252"/>
      <c r="G8" s="252"/>
      <c r="H8" s="252"/>
      <c r="I8" s="252"/>
      <c r="J8" s="252"/>
      <c r="K8" s="252"/>
      <c r="L8" s="252"/>
      <c r="M8" s="252"/>
      <c r="N8" s="252"/>
      <c r="O8" s="252"/>
      <c r="P8" s="252"/>
      <c r="Q8" s="252"/>
      <c r="R8" s="252"/>
      <c r="S8" s="252"/>
      <c r="T8" s="252"/>
      <c r="U8" s="252"/>
      <c r="V8" s="252"/>
      <c r="W8" s="252"/>
      <c r="X8" s="252"/>
      <c r="Y8" s="252"/>
      <c r="Z8" s="253"/>
    </row>
    <row r="9" spans="1:26" ht="18" customHeight="1" x14ac:dyDescent="0.2">
      <c r="B9" s="251"/>
      <c r="C9" s="252"/>
      <c r="D9" s="252"/>
      <c r="E9" s="252"/>
      <c r="F9" s="252"/>
      <c r="G9" s="252"/>
      <c r="H9" s="252"/>
      <c r="I9" s="252"/>
      <c r="J9" s="252"/>
      <c r="K9" s="252"/>
      <c r="L9" s="252"/>
      <c r="M9" s="252"/>
      <c r="N9" s="252"/>
      <c r="O9" s="252"/>
      <c r="P9" s="252"/>
      <c r="Q9" s="252"/>
      <c r="R9" s="252"/>
      <c r="S9" s="252"/>
      <c r="T9" s="252"/>
      <c r="U9" s="252"/>
      <c r="V9" s="252"/>
      <c r="W9" s="252"/>
      <c r="X9" s="252"/>
      <c r="Y9" s="252"/>
      <c r="Z9" s="253"/>
    </row>
    <row r="10" spans="1:26" ht="18" customHeight="1" x14ac:dyDescent="0.2">
      <c r="B10" s="251"/>
      <c r="C10" s="254"/>
      <c r="D10" s="254"/>
      <c r="E10" s="254"/>
      <c r="F10" s="254"/>
      <c r="G10" s="254"/>
      <c r="H10" s="254"/>
      <c r="I10" s="254"/>
      <c r="J10" s="254"/>
      <c r="K10" s="254"/>
      <c r="L10" s="254"/>
      <c r="M10" s="254"/>
      <c r="N10" s="254"/>
      <c r="O10" s="254"/>
      <c r="P10" s="254"/>
      <c r="Q10" s="254"/>
      <c r="R10" s="254"/>
      <c r="S10" s="254"/>
      <c r="T10" s="254"/>
      <c r="U10" s="254"/>
      <c r="V10" s="254"/>
      <c r="W10" s="254"/>
      <c r="X10" s="254"/>
      <c r="Y10" s="254"/>
      <c r="Z10" s="253"/>
    </row>
    <row r="11" spans="1:26" ht="18" customHeight="1" x14ac:dyDescent="0.2">
      <c r="B11" s="255"/>
      <c r="C11" s="256"/>
      <c r="D11" s="256"/>
      <c r="E11" s="256"/>
      <c r="F11" s="256"/>
      <c r="G11" s="256"/>
      <c r="H11" s="256"/>
      <c r="I11" s="256"/>
      <c r="J11" s="256"/>
      <c r="K11" s="256"/>
      <c r="L11" s="256"/>
      <c r="M11" s="256"/>
      <c r="N11" s="256"/>
      <c r="O11" s="256"/>
      <c r="P11" s="256"/>
      <c r="Q11" s="256"/>
      <c r="R11" s="256"/>
      <c r="S11" s="256"/>
      <c r="T11" s="256"/>
      <c r="U11" s="256"/>
      <c r="V11" s="256"/>
      <c r="W11" s="256"/>
      <c r="X11" s="256"/>
      <c r="Y11" s="256"/>
      <c r="Z11" s="257"/>
    </row>
    <row r="12" spans="1:26" ht="7.5" customHeight="1" x14ac:dyDescent="0.2">
      <c r="B12" s="21"/>
      <c r="C12" s="21"/>
      <c r="D12" s="21"/>
      <c r="E12" s="21"/>
      <c r="F12" s="21"/>
      <c r="G12" s="21"/>
      <c r="H12" s="21"/>
      <c r="I12" s="21"/>
      <c r="J12" s="21"/>
      <c r="K12" s="21"/>
      <c r="L12" s="21"/>
      <c r="M12" s="21"/>
      <c r="N12" s="21"/>
      <c r="O12" s="21"/>
      <c r="P12" s="21"/>
      <c r="Q12" s="21"/>
      <c r="R12" s="21"/>
      <c r="S12" s="21"/>
      <c r="T12" s="21"/>
      <c r="U12" s="21"/>
      <c r="V12" s="21"/>
      <c r="W12" s="21"/>
      <c r="X12" s="21"/>
      <c r="Y12" s="21"/>
      <c r="Z12" s="21"/>
    </row>
    <row r="13" spans="1:26" ht="18" customHeight="1" x14ac:dyDescent="0.2">
      <c r="A13" s="178" t="s">
        <v>128</v>
      </c>
      <c r="B13" s="178"/>
      <c r="C13" s="178"/>
      <c r="D13" s="178"/>
      <c r="E13" s="178"/>
      <c r="F13" s="178"/>
      <c r="G13" s="178"/>
      <c r="H13" s="178"/>
      <c r="I13" s="178"/>
      <c r="J13" s="178"/>
      <c r="K13" s="178"/>
      <c r="L13" s="178"/>
      <c r="M13" s="178"/>
      <c r="N13" s="178"/>
      <c r="O13" s="178"/>
      <c r="P13" s="178"/>
      <c r="Q13" s="178"/>
      <c r="R13" s="178"/>
      <c r="S13" s="178"/>
      <c r="T13" s="178"/>
      <c r="U13" s="178"/>
      <c r="V13" s="178"/>
      <c r="W13" s="178"/>
      <c r="X13" s="178"/>
      <c r="Y13" s="178"/>
      <c r="Z13" s="178"/>
    </row>
    <row r="14" spans="1:26" ht="18" customHeight="1" x14ac:dyDescent="0.2">
      <c r="A14" s="178"/>
      <c r="B14" s="178"/>
      <c r="C14" s="178"/>
      <c r="D14" s="178"/>
      <c r="E14" s="178"/>
      <c r="F14" s="178"/>
      <c r="G14" s="178"/>
      <c r="H14" s="178"/>
      <c r="I14" s="178"/>
      <c r="J14" s="178"/>
      <c r="K14" s="178"/>
      <c r="L14" s="178"/>
      <c r="M14" s="178"/>
      <c r="N14" s="178"/>
      <c r="O14" s="178"/>
      <c r="P14" s="178"/>
      <c r="Q14" s="178"/>
      <c r="R14" s="178"/>
      <c r="S14" s="178"/>
      <c r="T14" s="178"/>
      <c r="U14" s="178"/>
      <c r="V14" s="178"/>
      <c r="W14" s="178"/>
      <c r="X14" s="178"/>
      <c r="Y14" s="178"/>
      <c r="Z14" s="178"/>
    </row>
    <row r="15" spans="1:26" ht="18" customHeight="1" x14ac:dyDescent="0.2">
      <c r="B15" s="141" t="s">
        <v>103</v>
      </c>
      <c r="C15" s="142"/>
      <c r="D15" s="142"/>
      <c r="E15" s="142"/>
      <c r="F15" s="143"/>
      <c r="G15" s="22" t="s">
        <v>144</v>
      </c>
      <c r="H15" s="86" t="s">
        <v>143</v>
      </c>
      <c r="I15" s="142" t="s">
        <v>104</v>
      </c>
      <c r="J15" s="142"/>
      <c r="K15" s="142"/>
      <c r="L15" s="58" t="s">
        <v>107</v>
      </c>
      <c r="M15" s="58" t="s">
        <v>110</v>
      </c>
      <c r="N15" s="141" t="s">
        <v>103</v>
      </c>
      <c r="O15" s="142"/>
      <c r="P15" s="142"/>
      <c r="Q15" s="142"/>
      <c r="R15" s="142"/>
      <c r="S15" s="143"/>
      <c r="T15" s="22" t="s">
        <v>144</v>
      </c>
      <c r="U15" s="86" t="s">
        <v>143</v>
      </c>
      <c r="V15" s="142" t="s">
        <v>104</v>
      </c>
      <c r="W15" s="142"/>
      <c r="X15" s="142"/>
      <c r="Y15" s="58" t="s">
        <v>107</v>
      </c>
      <c r="Z15" s="58" t="s">
        <v>110</v>
      </c>
    </row>
    <row r="16" spans="1:26" ht="18" customHeight="1" x14ac:dyDescent="0.2">
      <c r="B16" s="148" t="s">
        <v>170</v>
      </c>
      <c r="C16" s="149"/>
      <c r="D16" s="149"/>
      <c r="E16" s="149"/>
      <c r="F16" s="150"/>
      <c r="G16" s="87">
        <v>2</v>
      </c>
      <c r="H16" s="87" t="s">
        <v>172</v>
      </c>
      <c r="I16" s="151" t="s">
        <v>202</v>
      </c>
      <c r="J16" s="152"/>
      <c r="K16" s="153"/>
      <c r="L16" s="87" t="s">
        <v>172</v>
      </c>
      <c r="M16" s="87" t="s">
        <v>172</v>
      </c>
      <c r="N16" s="154"/>
      <c r="O16" s="155"/>
      <c r="P16" s="155"/>
      <c r="Q16" s="155"/>
      <c r="R16" s="155"/>
      <c r="S16" s="156"/>
      <c r="T16" s="87"/>
      <c r="U16" s="87"/>
      <c r="V16" s="151"/>
      <c r="W16" s="152"/>
      <c r="X16" s="153"/>
      <c r="Y16" s="87"/>
      <c r="Z16" s="87"/>
    </row>
    <row r="17" spans="1:26" ht="18" customHeight="1" x14ac:dyDescent="0.2">
      <c r="B17" s="157" t="s">
        <v>171</v>
      </c>
      <c r="C17" s="158"/>
      <c r="D17" s="158"/>
      <c r="E17" s="158"/>
      <c r="F17" s="159"/>
      <c r="G17" s="88">
        <v>2</v>
      </c>
      <c r="H17" s="88" t="s">
        <v>172</v>
      </c>
      <c r="I17" s="160" t="s">
        <v>202</v>
      </c>
      <c r="J17" s="161"/>
      <c r="K17" s="162"/>
      <c r="L17" s="88" t="s">
        <v>172</v>
      </c>
      <c r="M17" s="88" t="s">
        <v>172</v>
      </c>
      <c r="N17" s="163"/>
      <c r="O17" s="164"/>
      <c r="P17" s="164"/>
      <c r="Q17" s="164"/>
      <c r="R17" s="164"/>
      <c r="S17" s="165"/>
      <c r="T17" s="88"/>
      <c r="U17" s="88"/>
      <c r="V17" s="160"/>
      <c r="W17" s="161"/>
      <c r="X17" s="162"/>
      <c r="Y17" s="88"/>
      <c r="Z17" s="88"/>
    </row>
    <row r="18" spans="1:26" ht="18" customHeight="1" x14ac:dyDescent="0.2">
      <c r="B18" s="157"/>
      <c r="C18" s="158"/>
      <c r="D18" s="158"/>
      <c r="E18" s="158"/>
      <c r="F18" s="159"/>
      <c r="G18" s="88"/>
      <c r="H18" s="88"/>
      <c r="I18" s="160"/>
      <c r="J18" s="161"/>
      <c r="K18" s="162"/>
      <c r="L18" s="88"/>
      <c r="M18" s="88"/>
      <c r="N18" s="163"/>
      <c r="O18" s="164"/>
      <c r="P18" s="164"/>
      <c r="Q18" s="164"/>
      <c r="R18" s="164"/>
      <c r="S18" s="165"/>
      <c r="T18" s="88"/>
      <c r="U18" s="88"/>
      <c r="V18" s="160"/>
      <c r="W18" s="161"/>
      <c r="X18" s="162"/>
      <c r="Y18" s="88"/>
      <c r="Z18" s="88"/>
    </row>
    <row r="19" spans="1:26" ht="18" customHeight="1" x14ac:dyDescent="0.2">
      <c r="B19" s="157"/>
      <c r="C19" s="158"/>
      <c r="D19" s="158"/>
      <c r="E19" s="158"/>
      <c r="F19" s="159"/>
      <c r="G19" s="88"/>
      <c r="H19" s="88"/>
      <c r="I19" s="160"/>
      <c r="J19" s="161"/>
      <c r="K19" s="162"/>
      <c r="L19" s="88"/>
      <c r="M19" s="88"/>
      <c r="N19" s="163"/>
      <c r="O19" s="164"/>
      <c r="P19" s="164"/>
      <c r="Q19" s="164"/>
      <c r="R19" s="164"/>
      <c r="S19" s="165"/>
      <c r="T19" s="88"/>
      <c r="U19" s="88"/>
      <c r="V19" s="160"/>
      <c r="W19" s="161"/>
      <c r="X19" s="162"/>
      <c r="Y19" s="88"/>
      <c r="Z19" s="88"/>
    </row>
    <row r="20" spans="1:26" ht="18" customHeight="1" x14ac:dyDescent="0.2">
      <c r="B20" s="157"/>
      <c r="C20" s="158"/>
      <c r="D20" s="158"/>
      <c r="E20" s="158"/>
      <c r="F20" s="159"/>
      <c r="G20" s="88"/>
      <c r="H20" s="88"/>
      <c r="I20" s="160"/>
      <c r="J20" s="161"/>
      <c r="K20" s="162"/>
      <c r="L20" s="88"/>
      <c r="M20" s="88"/>
      <c r="N20" s="163"/>
      <c r="O20" s="164"/>
      <c r="P20" s="164"/>
      <c r="Q20" s="164"/>
      <c r="R20" s="164"/>
      <c r="S20" s="165"/>
      <c r="T20" s="88"/>
      <c r="U20" s="88"/>
      <c r="V20" s="160"/>
      <c r="W20" s="161"/>
      <c r="X20" s="162"/>
      <c r="Y20" s="88"/>
      <c r="Z20" s="88"/>
    </row>
    <row r="21" spans="1:26" ht="18" customHeight="1" x14ac:dyDescent="0.2">
      <c r="A21" s="21"/>
      <c r="B21" s="157"/>
      <c r="C21" s="158"/>
      <c r="D21" s="158"/>
      <c r="E21" s="158"/>
      <c r="F21" s="159"/>
      <c r="G21" s="88"/>
      <c r="H21" s="88"/>
      <c r="I21" s="160"/>
      <c r="J21" s="161"/>
      <c r="K21" s="162"/>
      <c r="L21" s="88"/>
      <c r="M21" s="88"/>
      <c r="N21" s="163"/>
      <c r="O21" s="164"/>
      <c r="P21" s="164"/>
      <c r="Q21" s="164"/>
      <c r="R21" s="164"/>
      <c r="S21" s="165"/>
      <c r="T21" s="88"/>
      <c r="U21" s="88"/>
      <c r="V21" s="160"/>
      <c r="W21" s="161"/>
      <c r="X21" s="162"/>
      <c r="Y21" s="88"/>
      <c r="Z21" s="88"/>
    </row>
    <row r="22" spans="1:26" ht="18" customHeight="1" x14ac:dyDescent="0.2">
      <c r="A22" s="21"/>
      <c r="B22" s="185"/>
      <c r="C22" s="186"/>
      <c r="D22" s="186"/>
      <c r="E22" s="186"/>
      <c r="F22" s="187"/>
      <c r="G22" s="89"/>
      <c r="H22" s="89"/>
      <c r="I22" s="188"/>
      <c r="J22" s="189"/>
      <c r="K22" s="190"/>
      <c r="L22" s="92"/>
      <c r="M22" s="92"/>
      <c r="N22" s="191"/>
      <c r="O22" s="192"/>
      <c r="P22" s="192"/>
      <c r="Q22" s="192"/>
      <c r="R22" s="192"/>
      <c r="S22" s="193"/>
      <c r="T22" s="89"/>
      <c r="U22" s="89"/>
      <c r="V22" s="188"/>
      <c r="W22" s="189"/>
      <c r="X22" s="190"/>
      <c r="Y22" s="92"/>
      <c r="Z22" s="92"/>
    </row>
    <row r="23" spans="1:26" ht="7.5" customHeight="1" x14ac:dyDescent="0.2">
      <c r="A23" s="21"/>
      <c r="B23" s="59"/>
      <c r="C23" s="59"/>
      <c r="D23" s="21"/>
      <c r="E23" s="21"/>
      <c r="F23" s="21"/>
      <c r="G23" s="21"/>
      <c r="H23" s="21"/>
      <c r="I23" s="21"/>
      <c r="J23" s="21"/>
      <c r="K23" s="21"/>
      <c r="L23" s="59"/>
      <c r="M23" s="59"/>
      <c r="N23" s="59"/>
      <c r="O23" s="59"/>
      <c r="P23" s="59"/>
      <c r="Q23" s="59"/>
      <c r="R23" s="59"/>
      <c r="S23" s="59"/>
      <c r="T23" s="59"/>
      <c r="U23" s="59"/>
      <c r="V23" s="59"/>
      <c r="W23" s="59"/>
      <c r="X23" s="59"/>
      <c r="Y23" s="59"/>
      <c r="Z23" s="21"/>
    </row>
    <row r="24" spans="1:26" ht="18" customHeight="1" x14ac:dyDescent="0.2">
      <c r="A24" s="178" t="s">
        <v>129</v>
      </c>
      <c r="B24" s="178"/>
      <c r="C24" s="178"/>
      <c r="D24" s="178"/>
      <c r="E24" s="178"/>
      <c r="F24" s="178"/>
      <c r="G24" s="178"/>
      <c r="H24" s="178"/>
      <c r="I24" s="178"/>
      <c r="J24" s="178"/>
      <c r="K24" s="178"/>
      <c r="L24" s="178"/>
      <c r="M24" s="178"/>
      <c r="N24" s="178"/>
      <c r="O24" s="178"/>
      <c r="P24" s="178"/>
      <c r="Q24" s="178"/>
      <c r="R24" s="178"/>
      <c r="S24" s="178"/>
      <c r="T24" s="178"/>
      <c r="U24" s="178"/>
      <c r="V24" s="178"/>
      <c r="W24" s="178"/>
      <c r="X24" s="178"/>
      <c r="Y24" s="178"/>
      <c r="Z24" s="178"/>
    </row>
    <row r="25" spans="1:26" ht="18" customHeight="1" x14ac:dyDescent="0.2">
      <c r="A25" s="178"/>
      <c r="B25" s="178"/>
      <c r="C25" s="178"/>
      <c r="D25" s="178"/>
      <c r="E25" s="178"/>
      <c r="F25" s="178"/>
      <c r="G25" s="178"/>
      <c r="H25" s="178"/>
      <c r="I25" s="178"/>
      <c r="J25" s="178"/>
      <c r="K25" s="178"/>
      <c r="L25" s="178"/>
      <c r="M25" s="178"/>
      <c r="N25" s="178"/>
      <c r="O25" s="178"/>
      <c r="P25" s="178"/>
      <c r="Q25" s="178"/>
      <c r="R25" s="178"/>
      <c r="S25" s="178"/>
      <c r="T25" s="178"/>
      <c r="U25" s="178"/>
      <c r="V25" s="178"/>
      <c r="W25" s="178"/>
      <c r="X25" s="178"/>
      <c r="Y25" s="178"/>
      <c r="Z25" s="178"/>
    </row>
    <row r="26" spans="1:26" ht="18" customHeight="1" x14ac:dyDescent="0.2">
      <c r="B26" s="141" t="s">
        <v>103</v>
      </c>
      <c r="C26" s="142"/>
      <c r="D26" s="142"/>
      <c r="E26" s="142"/>
      <c r="F26" s="143"/>
      <c r="G26" s="22" t="s">
        <v>144</v>
      </c>
      <c r="H26" s="86" t="s">
        <v>143</v>
      </c>
      <c r="I26" s="142" t="s">
        <v>104</v>
      </c>
      <c r="J26" s="142"/>
      <c r="K26" s="142"/>
      <c r="L26" s="58" t="s">
        <v>130</v>
      </c>
      <c r="M26" s="58" t="s">
        <v>131</v>
      </c>
      <c r="N26" s="141" t="s">
        <v>103</v>
      </c>
      <c r="O26" s="142"/>
      <c r="P26" s="142"/>
      <c r="Q26" s="142"/>
      <c r="R26" s="142"/>
      <c r="S26" s="143"/>
      <c r="T26" s="22" t="s">
        <v>144</v>
      </c>
      <c r="U26" s="86" t="s">
        <v>143</v>
      </c>
      <c r="V26" s="142" t="s">
        <v>104</v>
      </c>
      <c r="W26" s="142"/>
      <c r="X26" s="142"/>
      <c r="Y26" s="58" t="s">
        <v>130</v>
      </c>
      <c r="Z26" s="58" t="s">
        <v>131</v>
      </c>
    </row>
    <row r="27" spans="1:26" ht="18" customHeight="1" x14ac:dyDescent="0.2">
      <c r="B27" s="148" t="s">
        <v>170</v>
      </c>
      <c r="C27" s="149"/>
      <c r="D27" s="149"/>
      <c r="E27" s="149"/>
      <c r="F27" s="150"/>
      <c r="G27" s="87">
        <v>2</v>
      </c>
      <c r="H27" s="87" t="s">
        <v>172</v>
      </c>
      <c r="I27" s="151" t="s">
        <v>202</v>
      </c>
      <c r="J27" s="152"/>
      <c r="K27" s="153"/>
      <c r="L27" s="87" t="s">
        <v>172</v>
      </c>
      <c r="M27" s="87"/>
      <c r="N27" s="154"/>
      <c r="O27" s="155"/>
      <c r="P27" s="155"/>
      <c r="Q27" s="155"/>
      <c r="R27" s="155"/>
      <c r="S27" s="156"/>
      <c r="T27" s="87"/>
      <c r="U27" s="87"/>
      <c r="V27" s="151"/>
      <c r="W27" s="152"/>
      <c r="X27" s="153"/>
      <c r="Y27" s="87"/>
      <c r="Z27" s="87"/>
    </row>
    <row r="28" spans="1:26" ht="18" customHeight="1" x14ac:dyDescent="0.2">
      <c r="B28" s="157" t="s">
        <v>171</v>
      </c>
      <c r="C28" s="158"/>
      <c r="D28" s="158"/>
      <c r="E28" s="158"/>
      <c r="F28" s="159"/>
      <c r="G28" s="88">
        <v>2</v>
      </c>
      <c r="H28" s="88" t="s">
        <v>172</v>
      </c>
      <c r="I28" s="160" t="s">
        <v>202</v>
      </c>
      <c r="J28" s="161"/>
      <c r="K28" s="162"/>
      <c r="L28" s="88" t="s">
        <v>172</v>
      </c>
      <c r="M28" s="88" t="s">
        <v>172</v>
      </c>
      <c r="N28" s="163"/>
      <c r="O28" s="164"/>
      <c r="P28" s="164"/>
      <c r="Q28" s="164"/>
      <c r="R28" s="164"/>
      <c r="S28" s="165"/>
      <c r="T28" s="88"/>
      <c r="U28" s="88"/>
      <c r="V28" s="160"/>
      <c r="W28" s="161"/>
      <c r="X28" s="162"/>
      <c r="Y28" s="88"/>
      <c r="Z28" s="88"/>
    </row>
    <row r="29" spans="1:26" ht="18" customHeight="1" x14ac:dyDescent="0.2">
      <c r="B29" s="157"/>
      <c r="C29" s="158"/>
      <c r="D29" s="158"/>
      <c r="E29" s="158"/>
      <c r="F29" s="159"/>
      <c r="G29" s="88"/>
      <c r="H29" s="88"/>
      <c r="I29" s="160"/>
      <c r="J29" s="161"/>
      <c r="K29" s="162"/>
      <c r="L29" s="88"/>
      <c r="M29" s="88"/>
      <c r="N29" s="163"/>
      <c r="O29" s="164"/>
      <c r="P29" s="164"/>
      <c r="Q29" s="164"/>
      <c r="R29" s="164"/>
      <c r="S29" s="165"/>
      <c r="T29" s="88"/>
      <c r="U29" s="88"/>
      <c r="V29" s="160"/>
      <c r="W29" s="161"/>
      <c r="X29" s="162"/>
      <c r="Y29" s="88"/>
      <c r="Z29" s="88"/>
    </row>
    <row r="30" spans="1:26" ht="18" customHeight="1" x14ac:dyDescent="0.2">
      <c r="B30" s="157"/>
      <c r="C30" s="158"/>
      <c r="D30" s="158"/>
      <c r="E30" s="158"/>
      <c r="F30" s="159"/>
      <c r="G30" s="88"/>
      <c r="H30" s="88"/>
      <c r="I30" s="160"/>
      <c r="J30" s="161"/>
      <c r="K30" s="162"/>
      <c r="L30" s="88"/>
      <c r="M30" s="88"/>
      <c r="N30" s="163"/>
      <c r="O30" s="164"/>
      <c r="P30" s="164"/>
      <c r="Q30" s="164"/>
      <c r="R30" s="164"/>
      <c r="S30" s="165"/>
      <c r="T30" s="88"/>
      <c r="U30" s="88"/>
      <c r="V30" s="160"/>
      <c r="W30" s="161"/>
      <c r="X30" s="162"/>
      <c r="Y30" s="88"/>
      <c r="Z30" s="88"/>
    </row>
    <row r="31" spans="1:26" ht="18" customHeight="1" x14ac:dyDescent="0.2">
      <c r="B31" s="157"/>
      <c r="C31" s="158"/>
      <c r="D31" s="158"/>
      <c r="E31" s="158"/>
      <c r="F31" s="159"/>
      <c r="G31" s="88"/>
      <c r="H31" s="88"/>
      <c r="I31" s="160"/>
      <c r="J31" s="161"/>
      <c r="K31" s="162"/>
      <c r="L31" s="88"/>
      <c r="M31" s="88"/>
      <c r="N31" s="163"/>
      <c r="O31" s="164"/>
      <c r="P31" s="164"/>
      <c r="Q31" s="164"/>
      <c r="R31" s="164"/>
      <c r="S31" s="165"/>
      <c r="T31" s="88"/>
      <c r="U31" s="88"/>
      <c r="V31" s="160"/>
      <c r="W31" s="161"/>
      <c r="X31" s="162"/>
      <c r="Y31" s="88"/>
      <c r="Z31" s="88"/>
    </row>
    <row r="32" spans="1:26" ht="18" customHeight="1" x14ac:dyDescent="0.2">
      <c r="B32" s="157"/>
      <c r="C32" s="158"/>
      <c r="D32" s="158"/>
      <c r="E32" s="158"/>
      <c r="F32" s="159"/>
      <c r="G32" s="88"/>
      <c r="H32" s="88"/>
      <c r="I32" s="160"/>
      <c r="J32" s="161"/>
      <c r="K32" s="162"/>
      <c r="L32" s="88"/>
      <c r="M32" s="88"/>
      <c r="N32" s="163"/>
      <c r="O32" s="164"/>
      <c r="P32" s="164"/>
      <c r="Q32" s="164"/>
      <c r="R32" s="164"/>
      <c r="S32" s="165"/>
      <c r="T32" s="88"/>
      <c r="U32" s="88"/>
      <c r="V32" s="160"/>
      <c r="W32" s="161"/>
      <c r="X32" s="162"/>
      <c r="Y32" s="88"/>
      <c r="Z32" s="88"/>
    </row>
    <row r="33" spans="1:26" ht="18" customHeight="1" x14ac:dyDescent="0.2">
      <c r="B33" s="185"/>
      <c r="C33" s="186"/>
      <c r="D33" s="186"/>
      <c r="E33" s="186"/>
      <c r="F33" s="187"/>
      <c r="G33" s="89"/>
      <c r="H33" s="89"/>
      <c r="I33" s="188"/>
      <c r="J33" s="189"/>
      <c r="K33" s="190"/>
      <c r="L33" s="92"/>
      <c r="M33" s="92"/>
      <c r="N33" s="191"/>
      <c r="O33" s="192"/>
      <c r="P33" s="192"/>
      <c r="Q33" s="192"/>
      <c r="R33" s="192"/>
      <c r="S33" s="193"/>
      <c r="T33" s="89"/>
      <c r="U33" s="89"/>
      <c r="V33" s="188"/>
      <c r="W33" s="189"/>
      <c r="X33" s="190"/>
      <c r="Y33" s="92"/>
      <c r="Z33" s="92"/>
    </row>
    <row r="34" spans="1:26" ht="7.5" customHeight="1" x14ac:dyDescent="0.2">
      <c r="A34" s="21"/>
      <c r="B34" s="59"/>
      <c r="C34" s="59"/>
      <c r="D34" s="21"/>
      <c r="E34" s="21"/>
      <c r="F34" s="21"/>
      <c r="G34" s="21"/>
      <c r="H34" s="21"/>
      <c r="I34" s="21"/>
      <c r="J34" s="21"/>
      <c r="K34" s="21"/>
      <c r="L34" s="59"/>
      <c r="M34" s="59"/>
      <c r="N34" s="59"/>
      <c r="O34" s="59"/>
      <c r="P34" s="59"/>
      <c r="Q34" s="59"/>
      <c r="R34" s="59"/>
      <c r="S34" s="59"/>
      <c r="T34" s="59"/>
      <c r="U34" s="59"/>
      <c r="V34" s="59"/>
      <c r="W34" s="59"/>
      <c r="X34" s="59"/>
      <c r="Y34" s="59"/>
      <c r="Z34" s="21"/>
    </row>
    <row r="35" spans="1:26" ht="18" customHeight="1" x14ac:dyDescent="0.2">
      <c r="A35" s="178" t="s">
        <v>132</v>
      </c>
      <c r="B35" s="178"/>
      <c r="C35" s="178"/>
      <c r="D35" s="178"/>
      <c r="E35" s="178"/>
      <c r="F35" s="178"/>
      <c r="G35" s="178"/>
      <c r="H35" s="178"/>
      <c r="I35" s="178"/>
      <c r="J35" s="178"/>
      <c r="K35" s="178"/>
      <c r="L35" s="178"/>
      <c r="M35" s="178"/>
      <c r="N35" s="178"/>
      <c r="O35" s="178"/>
      <c r="P35" s="178"/>
      <c r="Q35" s="178"/>
      <c r="R35" s="178"/>
      <c r="S35" s="178"/>
      <c r="T35" s="178"/>
      <c r="U35" s="178"/>
      <c r="V35" s="178"/>
      <c r="W35" s="178"/>
      <c r="X35" s="178"/>
      <c r="Y35" s="178"/>
      <c r="Z35" s="178"/>
    </row>
    <row r="36" spans="1:26" ht="18" customHeight="1" x14ac:dyDescent="0.2">
      <c r="A36" s="178"/>
      <c r="B36" s="178"/>
      <c r="C36" s="178"/>
      <c r="D36" s="178"/>
      <c r="E36" s="178"/>
      <c r="F36" s="178"/>
      <c r="G36" s="178"/>
      <c r="H36" s="178"/>
      <c r="I36" s="178"/>
      <c r="J36" s="178"/>
      <c r="K36" s="178"/>
      <c r="L36" s="178"/>
      <c r="M36" s="178"/>
      <c r="N36" s="178"/>
      <c r="O36" s="178"/>
      <c r="P36" s="178"/>
      <c r="Q36" s="178"/>
      <c r="R36" s="178"/>
      <c r="S36" s="178"/>
      <c r="T36" s="178"/>
      <c r="U36" s="178"/>
      <c r="V36" s="178"/>
      <c r="W36" s="178"/>
      <c r="X36" s="178"/>
      <c r="Y36" s="178"/>
      <c r="Z36" s="178"/>
    </row>
    <row r="37" spans="1:26" ht="18" customHeight="1" x14ac:dyDescent="0.2">
      <c r="B37" s="141" t="s">
        <v>103</v>
      </c>
      <c r="C37" s="142"/>
      <c r="D37" s="142"/>
      <c r="E37" s="142"/>
      <c r="F37" s="143"/>
      <c r="G37" s="22" t="s">
        <v>144</v>
      </c>
      <c r="H37" s="86" t="s">
        <v>143</v>
      </c>
      <c r="I37" s="141" t="s">
        <v>104</v>
      </c>
      <c r="J37" s="142"/>
      <c r="K37" s="143"/>
      <c r="L37" s="58" t="s">
        <v>133</v>
      </c>
      <c r="M37" s="58" t="s">
        <v>134</v>
      </c>
      <c r="N37" s="141" t="s">
        <v>103</v>
      </c>
      <c r="O37" s="142"/>
      <c r="P37" s="142"/>
      <c r="Q37" s="142"/>
      <c r="R37" s="142"/>
      <c r="S37" s="143"/>
      <c r="T37" s="22" t="s">
        <v>144</v>
      </c>
      <c r="U37" s="86" t="s">
        <v>143</v>
      </c>
      <c r="V37" s="141" t="s">
        <v>104</v>
      </c>
      <c r="W37" s="142"/>
      <c r="X37" s="143"/>
      <c r="Y37" s="58" t="s">
        <v>133</v>
      </c>
      <c r="Z37" s="58" t="s">
        <v>134</v>
      </c>
    </row>
    <row r="38" spans="1:26" ht="18" customHeight="1" x14ac:dyDescent="0.2">
      <c r="A38" s="21"/>
      <c r="B38" s="148" t="s">
        <v>170</v>
      </c>
      <c r="C38" s="149"/>
      <c r="D38" s="149"/>
      <c r="E38" s="149"/>
      <c r="F38" s="150"/>
      <c r="G38" s="87">
        <v>2</v>
      </c>
      <c r="H38" s="87" t="s">
        <v>172</v>
      </c>
      <c r="I38" s="151" t="s">
        <v>202</v>
      </c>
      <c r="J38" s="152"/>
      <c r="K38" s="153"/>
      <c r="L38" s="87" t="s">
        <v>172</v>
      </c>
      <c r="M38" s="87"/>
      <c r="N38" s="154"/>
      <c r="O38" s="155"/>
      <c r="P38" s="155"/>
      <c r="Q38" s="155"/>
      <c r="R38" s="155"/>
      <c r="S38" s="156"/>
      <c r="T38" s="87"/>
      <c r="U38" s="87"/>
      <c r="V38" s="151"/>
      <c r="W38" s="152"/>
      <c r="X38" s="153"/>
      <c r="Y38" s="87"/>
      <c r="Z38" s="87"/>
    </row>
    <row r="39" spans="1:26" ht="18" customHeight="1" x14ac:dyDescent="0.2">
      <c r="A39" s="21"/>
      <c r="B39" s="157" t="s">
        <v>171</v>
      </c>
      <c r="C39" s="158"/>
      <c r="D39" s="158"/>
      <c r="E39" s="158"/>
      <c r="F39" s="159"/>
      <c r="G39" s="88">
        <v>2</v>
      </c>
      <c r="H39" s="88" t="s">
        <v>172</v>
      </c>
      <c r="I39" s="160" t="s">
        <v>202</v>
      </c>
      <c r="J39" s="161"/>
      <c r="K39" s="162"/>
      <c r="L39" s="88" t="s">
        <v>172</v>
      </c>
      <c r="M39" s="88" t="s">
        <v>172</v>
      </c>
      <c r="N39" s="163"/>
      <c r="O39" s="164"/>
      <c r="P39" s="164"/>
      <c r="Q39" s="164"/>
      <c r="R39" s="164"/>
      <c r="S39" s="165"/>
      <c r="T39" s="88"/>
      <c r="U39" s="88"/>
      <c r="V39" s="160"/>
      <c r="W39" s="161"/>
      <c r="X39" s="162"/>
      <c r="Y39" s="88"/>
      <c r="Z39" s="88"/>
    </row>
    <row r="40" spans="1:26" ht="18" customHeight="1" x14ac:dyDescent="0.2">
      <c r="A40" s="21"/>
      <c r="B40" s="157"/>
      <c r="C40" s="158"/>
      <c r="D40" s="158"/>
      <c r="E40" s="158"/>
      <c r="F40" s="159"/>
      <c r="G40" s="88"/>
      <c r="H40" s="88"/>
      <c r="I40" s="160"/>
      <c r="J40" s="161"/>
      <c r="K40" s="162"/>
      <c r="L40" s="88"/>
      <c r="M40" s="88"/>
      <c r="N40" s="163"/>
      <c r="O40" s="164"/>
      <c r="P40" s="164"/>
      <c r="Q40" s="164"/>
      <c r="R40" s="164"/>
      <c r="S40" s="165"/>
      <c r="T40" s="88"/>
      <c r="U40" s="88"/>
      <c r="V40" s="160"/>
      <c r="W40" s="161"/>
      <c r="X40" s="162"/>
      <c r="Y40" s="88"/>
      <c r="Z40" s="88"/>
    </row>
    <row r="41" spans="1:26" ht="18" customHeight="1" x14ac:dyDescent="0.2">
      <c r="A41" s="21"/>
      <c r="B41" s="157"/>
      <c r="C41" s="158"/>
      <c r="D41" s="158"/>
      <c r="E41" s="158"/>
      <c r="F41" s="159"/>
      <c r="G41" s="88"/>
      <c r="H41" s="88"/>
      <c r="I41" s="160"/>
      <c r="J41" s="161"/>
      <c r="K41" s="162"/>
      <c r="L41" s="88"/>
      <c r="M41" s="88"/>
      <c r="N41" s="163"/>
      <c r="O41" s="164"/>
      <c r="P41" s="164"/>
      <c r="Q41" s="164"/>
      <c r="R41" s="164"/>
      <c r="S41" s="165"/>
      <c r="T41" s="88"/>
      <c r="U41" s="88"/>
      <c r="V41" s="160"/>
      <c r="W41" s="161"/>
      <c r="X41" s="162"/>
      <c r="Y41" s="88"/>
      <c r="Z41" s="88"/>
    </row>
    <row r="42" spans="1:26" ht="18" customHeight="1" x14ac:dyDescent="0.2">
      <c r="A42" s="21"/>
      <c r="B42" s="157"/>
      <c r="C42" s="158"/>
      <c r="D42" s="158"/>
      <c r="E42" s="158"/>
      <c r="F42" s="159"/>
      <c r="G42" s="88"/>
      <c r="H42" s="88"/>
      <c r="I42" s="160"/>
      <c r="J42" s="161"/>
      <c r="K42" s="162"/>
      <c r="L42" s="88"/>
      <c r="M42" s="88"/>
      <c r="N42" s="163"/>
      <c r="O42" s="164"/>
      <c r="P42" s="164"/>
      <c r="Q42" s="164"/>
      <c r="R42" s="164"/>
      <c r="S42" s="165"/>
      <c r="T42" s="88"/>
      <c r="U42" s="88"/>
      <c r="V42" s="160"/>
      <c r="W42" s="161"/>
      <c r="X42" s="162"/>
      <c r="Y42" s="88"/>
      <c r="Z42" s="88"/>
    </row>
    <row r="43" spans="1:26" ht="18" customHeight="1" x14ac:dyDescent="0.2">
      <c r="A43" s="21"/>
      <c r="B43" s="157"/>
      <c r="C43" s="158"/>
      <c r="D43" s="158"/>
      <c r="E43" s="158"/>
      <c r="F43" s="159"/>
      <c r="G43" s="88"/>
      <c r="H43" s="88"/>
      <c r="I43" s="160"/>
      <c r="J43" s="161"/>
      <c r="K43" s="162"/>
      <c r="L43" s="88"/>
      <c r="M43" s="88"/>
      <c r="N43" s="163"/>
      <c r="O43" s="164"/>
      <c r="P43" s="164"/>
      <c r="Q43" s="164"/>
      <c r="R43" s="164"/>
      <c r="S43" s="165"/>
      <c r="T43" s="88"/>
      <c r="U43" s="88"/>
      <c r="V43" s="160"/>
      <c r="W43" s="161"/>
      <c r="X43" s="162"/>
      <c r="Y43" s="88"/>
      <c r="Z43" s="88"/>
    </row>
    <row r="44" spans="1:26" ht="18" customHeight="1" x14ac:dyDescent="0.2">
      <c r="A44" s="21"/>
      <c r="B44" s="185"/>
      <c r="C44" s="186"/>
      <c r="D44" s="186"/>
      <c r="E44" s="186"/>
      <c r="F44" s="187"/>
      <c r="G44" s="89"/>
      <c r="H44" s="89"/>
      <c r="I44" s="188"/>
      <c r="J44" s="189"/>
      <c r="K44" s="190"/>
      <c r="L44" s="92"/>
      <c r="M44" s="92"/>
      <c r="N44" s="191"/>
      <c r="O44" s="192"/>
      <c r="P44" s="192"/>
      <c r="Q44" s="192"/>
      <c r="R44" s="192"/>
      <c r="S44" s="193"/>
      <c r="T44" s="89"/>
      <c r="U44" s="89"/>
      <c r="V44" s="188"/>
      <c r="W44" s="189"/>
      <c r="X44" s="190"/>
      <c r="Y44" s="92"/>
      <c r="Z44" s="92"/>
    </row>
    <row r="45" spans="1:26" ht="7.5" customHeight="1" x14ac:dyDescent="0.2">
      <c r="B45" s="113"/>
      <c r="C45" s="113"/>
      <c r="D45" s="113"/>
      <c r="E45" s="113"/>
      <c r="F45" s="113"/>
      <c r="G45" s="113"/>
      <c r="H45" s="113"/>
      <c r="I45" s="113"/>
      <c r="J45" s="113"/>
      <c r="K45" s="113"/>
      <c r="L45" s="113"/>
      <c r="M45" s="113"/>
      <c r="N45" s="113"/>
      <c r="O45" s="113"/>
      <c r="P45" s="113"/>
      <c r="Q45" s="113"/>
      <c r="R45" s="113"/>
      <c r="S45" s="113"/>
      <c r="T45" s="113"/>
      <c r="U45" s="113"/>
      <c r="V45" s="113"/>
      <c r="W45" s="113"/>
      <c r="X45" s="113"/>
      <c r="Y45" s="113"/>
    </row>
    <row r="46" spans="1:26" ht="18" customHeight="1" x14ac:dyDescent="0.2">
      <c r="A46" s="178" t="s">
        <v>135</v>
      </c>
      <c r="B46" s="178"/>
      <c r="C46" s="178"/>
      <c r="D46" s="178"/>
      <c r="E46" s="178"/>
      <c r="F46" s="178"/>
      <c r="G46" s="178"/>
      <c r="H46" s="178"/>
      <c r="I46" s="178"/>
      <c r="J46" s="178"/>
      <c r="K46" s="178"/>
      <c r="L46" s="178"/>
      <c r="M46" s="178"/>
      <c r="N46" s="178"/>
      <c r="O46" s="178"/>
      <c r="P46" s="178"/>
      <c r="Q46" s="178"/>
      <c r="R46" s="178"/>
      <c r="S46" s="178"/>
      <c r="T46" s="178"/>
      <c r="U46" s="178"/>
      <c r="V46" s="178"/>
      <c r="W46" s="178"/>
      <c r="X46" s="178"/>
      <c r="Y46" s="178"/>
      <c r="Z46" s="178"/>
    </row>
    <row r="47" spans="1:26" ht="18" customHeight="1" x14ac:dyDescent="0.2">
      <c r="A47" s="178"/>
      <c r="B47" s="178"/>
      <c r="C47" s="178"/>
      <c r="D47" s="178"/>
      <c r="E47" s="178"/>
      <c r="F47" s="178"/>
      <c r="G47" s="178"/>
      <c r="H47" s="178"/>
      <c r="I47" s="178"/>
      <c r="J47" s="178"/>
      <c r="K47" s="178"/>
      <c r="L47" s="178"/>
      <c r="M47" s="178"/>
      <c r="N47" s="178"/>
      <c r="O47" s="178"/>
      <c r="P47" s="178"/>
      <c r="Q47" s="178"/>
      <c r="R47" s="178"/>
      <c r="S47" s="178"/>
      <c r="T47" s="178"/>
      <c r="U47" s="178"/>
      <c r="V47" s="178"/>
      <c r="W47" s="178"/>
      <c r="X47" s="178"/>
      <c r="Y47" s="178"/>
      <c r="Z47" s="178"/>
    </row>
    <row r="48" spans="1:26" ht="18" customHeight="1" x14ac:dyDescent="0.2">
      <c r="B48" s="141" t="s">
        <v>103</v>
      </c>
      <c r="C48" s="142"/>
      <c r="D48" s="142"/>
      <c r="E48" s="142"/>
      <c r="F48" s="143"/>
      <c r="G48" s="22" t="s">
        <v>144</v>
      </c>
      <c r="H48" s="86" t="s">
        <v>143</v>
      </c>
      <c r="I48" s="141" t="s">
        <v>104</v>
      </c>
      <c r="J48" s="142"/>
      <c r="K48" s="143"/>
      <c r="L48" s="58" t="s">
        <v>109</v>
      </c>
      <c r="M48" s="58" t="s">
        <v>111</v>
      </c>
      <c r="N48" s="141" t="s">
        <v>103</v>
      </c>
      <c r="O48" s="142"/>
      <c r="P48" s="142"/>
      <c r="Q48" s="142"/>
      <c r="R48" s="142"/>
      <c r="S48" s="143"/>
      <c r="T48" s="22" t="s">
        <v>144</v>
      </c>
      <c r="U48" s="86" t="s">
        <v>143</v>
      </c>
      <c r="V48" s="141" t="s">
        <v>104</v>
      </c>
      <c r="W48" s="142"/>
      <c r="X48" s="143"/>
      <c r="Y48" s="58" t="s">
        <v>109</v>
      </c>
      <c r="Z48" s="58" t="s">
        <v>111</v>
      </c>
    </row>
    <row r="49" spans="1:26" ht="18" customHeight="1" x14ac:dyDescent="0.2">
      <c r="A49" s="21"/>
      <c r="B49" s="148" t="s">
        <v>170</v>
      </c>
      <c r="C49" s="149"/>
      <c r="D49" s="149"/>
      <c r="E49" s="149"/>
      <c r="F49" s="150"/>
      <c r="G49" s="87">
        <v>2</v>
      </c>
      <c r="H49" s="87" t="s">
        <v>172</v>
      </c>
      <c r="I49" s="151" t="s">
        <v>202</v>
      </c>
      <c r="J49" s="152"/>
      <c r="K49" s="153"/>
      <c r="L49" s="87"/>
      <c r="M49" s="87" t="s">
        <v>172</v>
      </c>
      <c r="N49" s="154"/>
      <c r="O49" s="155"/>
      <c r="P49" s="155"/>
      <c r="Q49" s="155"/>
      <c r="R49" s="155"/>
      <c r="S49" s="156"/>
      <c r="T49" s="87"/>
      <c r="U49" s="87"/>
      <c r="V49" s="151"/>
      <c r="W49" s="152"/>
      <c r="X49" s="153"/>
      <c r="Y49" s="87"/>
      <c r="Z49" s="87"/>
    </row>
    <row r="50" spans="1:26" ht="18" customHeight="1" x14ac:dyDescent="0.2">
      <c r="A50" s="21"/>
      <c r="B50" s="157" t="s">
        <v>228</v>
      </c>
      <c r="C50" s="158"/>
      <c r="D50" s="158"/>
      <c r="E50" s="158"/>
      <c r="F50" s="159"/>
      <c r="G50" s="88">
        <v>2</v>
      </c>
      <c r="H50" s="88" t="s">
        <v>172</v>
      </c>
      <c r="I50" s="160" t="s">
        <v>202</v>
      </c>
      <c r="J50" s="161"/>
      <c r="K50" s="162"/>
      <c r="L50" s="88" t="s">
        <v>229</v>
      </c>
      <c r="M50" s="88"/>
      <c r="N50" s="163"/>
      <c r="O50" s="164"/>
      <c r="P50" s="164"/>
      <c r="Q50" s="164"/>
      <c r="R50" s="164"/>
      <c r="S50" s="165"/>
      <c r="T50" s="88"/>
      <c r="U50" s="88"/>
      <c r="V50" s="160"/>
      <c r="W50" s="161"/>
      <c r="X50" s="162"/>
      <c r="Y50" s="88"/>
      <c r="Z50" s="88"/>
    </row>
    <row r="51" spans="1:26" ht="18" customHeight="1" x14ac:dyDescent="0.2">
      <c r="A51" s="21"/>
      <c r="B51" s="157"/>
      <c r="C51" s="158"/>
      <c r="D51" s="158"/>
      <c r="E51" s="158"/>
      <c r="F51" s="159"/>
      <c r="G51" s="88"/>
      <c r="H51" s="88"/>
      <c r="I51" s="160"/>
      <c r="J51" s="161"/>
      <c r="K51" s="162"/>
      <c r="L51" s="88"/>
      <c r="M51" s="88"/>
      <c r="N51" s="163"/>
      <c r="O51" s="164"/>
      <c r="P51" s="164"/>
      <c r="Q51" s="164"/>
      <c r="R51" s="164"/>
      <c r="S51" s="165"/>
      <c r="T51" s="88"/>
      <c r="U51" s="88"/>
      <c r="V51" s="160"/>
      <c r="W51" s="161"/>
      <c r="X51" s="162"/>
      <c r="Y51" s="88"/>
      <c r="Z51" s="88"/>
    </row>
    <row r="52" spans="1:26" ht="18" customHeight="1" x14ac:dyDescent="0.2">
      <c r="A52" s="21"/>
      <c r="B52" s="157"/>
      <c r="C52" s="158"/>
      <c r="D52" s="158"/>
      <c r="E52" s="158"/>
      <c r="F52" s="159"/>
      <c r="G52" s="88"/>
      <c r="H52" s="88"/>
      <c r="I52" s="160"/>
      <c r="J52" s="161"/>
      <c r="K52" s="162"/>
      <c r="L52" s="88"/>
      <c r="M52" s="88"/>
      <c r="N52" s="163"/>
      <c r="O52" s="164"/>
      <c r="P52" s="164"/>
      <c r="Q52" s="164"/>
      <c r="R52" s="164"/>
      <c r="S52" s="165"/>
      <c r="T52" s="88"/>
      <c r="U52" s="88"/>
      <c r="V52" s="160"/>
      <c r="W52" s="161"/>
      <c r="X52" s="162"/>
      <c r="Y52" s="88"/>
      <c r="Z52" s="88"/>
    </row>
    <row r="53" spans="1:26" ht="18" customHeight="1" x14ac:dyDescent="0.2">
      <c r="A53" s="21"/>
      <c r="B53" s="157"/>
      <c r="C53" s="158"/>
      <c r="D53" s="158"/>
      <c r="E53" s="158"/>
      <c r="F53" s="159"/>
      <c r="G53" s="88"/>
      <c r="H53" s="88"/>
      <c r="I53" s="160"/>
      <c r="J53" s="161"/>
      <c r="K53" s="162"/>
      <c r="L53" s="88"/>
      <c r="M53" s="88"/>
      <c r="N53" s="163"/>
      <c r="O53" s="164"/>
      <c r="P53" s="164"/>
      <c r="Q53" s="164"/>
      <c r="R53" s="164"/>
      <c r="S53" s="165"/>
      <c r="T53" s="88"/>
      <c r="U53" s="88"/>
      <c r="V53" s="160"/>
      <c r="W53" s="161"/>
      <c r="X53" s="162"/>
      <c r="Y53" s="88"/>
      <c r="Z53" s="88"/>
    </row>
    <row r="54" spans="1:26" ht="18" customHeight="1" x14ac:dyDescent="0.2">
      <c r="A54" s="21"/>
      <c r="B54" s="157"/>
      <c r="C54" s="158"/>
      <c r="D54" s="158"/>
      <c r="E54" s="158"/>
      <c r="F54" s="159"/>
      <c r="G54" s="88"/>
      <c r="H54" s="88"/>
      <c r="I54" s="160"/>
      <c r="J54" s="161"/>
      <c r="K54" s="162"/>
      <c r="L54" s="88"/>
      <c r="M54" s="88"/>
      <c r="N54" s="163"/>
      <c r="O54" s="164"/>
      <c r="P54" s="164"/>
      <c r="Q54" s="164"/>
      <c r="R54" s="164"/>
      <c r="S54" s="165"/>
      <c r="T54" s="88"/>
      <c r="U54" s="88"/>
      <c r="V54" s="160"/>
      <c r="W54" s="161"/>
      <c r="X54" s="162"/>
      <c r="Y54" s="88"/>
      <c r="Z54" s="88"/>
    </row>
    <row r="55" spans="1:26" ht="18" customHeight="1" x14ac:dyDescent="0.2">
      <c r="A55" s="21"/>
      <c r="B55" s="185"/>
      <c r="C55" s="186"/>
      <c r="D55" s="186"/>
      <c r="E55" s="186"/>
      <c r="F55" s="187"/>
      <c r="G55" s="89"/>
      <c r="H55" s="89"/>
      <c r="I55" s="188"/>
      <c r="J55" s="189"/>
      <c r="K55" s="190"/>
      <c r="L55" s="92"/>
      <c r="M55" s="92"/>
      <c r="N55" s="191"/>
      <c r="O55" s="192"/>
      <c r="P55" s="192"/>
      <c r="Q55" s="192"/>
      <c r="R55" s="192"/>
      <c r="S55" s="193"/>
      <c r="T55" s="89"/>
      <c r="U55" s="89"/>
      <c r="V55" s="188"/>
      <c r="W55" s="189"/>
      <c r="X55" s="190"/>
      <c r="Y55" s="92"/>
      <c r="Z55" s="92"/>
    </row>
    <row r="56" spans="1:26" ht="7.5" customHeight="1" x14ac:dyDescent="0.2">
      <c r="B56" s="113"/>
      <c r="C56" s="113"/>
      <c r="D56" s="113"/>
      <c r="E56" s="113"/>
      <c r="F56" s="113"/>
      <c r="G56" s="113"/>
      <c r="H56" s="113"/>
      <c r="I56" s="113"/>
      <c r="J56" s="113"/>
      <c r="K56" s="113"/>
      <c r="L56" s="113"/>
      <c r="M56" s="113"/>
      <c r="N56" s="113"/>
      <c r="O56" s="113"/>
      <c r="P56" s="113"/>
      <c r="Q56" s="113"/>
      <c r="R56" s="113"/>
      <c r="S56" s="113"/>
      <c r="T56" s="113"/>
      <c r="U56" s="113"/>
      <c r="V56" s="113"/>
      <c r="W56" s="113"/>
      <c r="X56" s="113"/>
      <c r="Y56" s="113"/>
    </row>
    <row r="57" spans="1:26" ht="18" customHeight="1" x14ac:dyDescent="0.2">
      <c r="A57" s="178" t="s">
        <v>136</v>
      </c>
      <c r="B57" s="178"/>
      <c r="C57" s="178"/>
      <c r="D57" s="178"/>
      <c r="E57" s="178"/>
      <c r="F57" s="178"/>
      <c r="G57" s="178"/>
      <c r="H57" s="178"/>
      <c r="I57" s="178"/>
      <c r="J57" s="178"/>
      <c r="K57" s="178"/>
      <c r="L57" s="178"/>
      <c r="M57" s="178"/>
      <c r="N57" s="178"/>
      <c r="O57" s="178"/>
      <c r="P57" s="178"/>
      <c r="Q57" s="178"/>
      <c r="R57" s="178"/>
      <c r="S57" s="178"/>
      <c r="T57" s="178"/>
      <c r="U57" s="178"/>
      <c r="V57" s="178"/>
      <c r="W57" s="178"/>
      <c r="X57" s="178"/>
      <c r="Y57" s="178"/>
      <c r="Z57" s="178"/>
    </row>
    <row r="58" spans="1:26" ht="18" customHeight="1" x14ac:dyDescent="0.2">
      <c r="A58" s="178"/>
      <c r="B58" s="178"/>
      <c r="C58" s="178"/>
      <c r="D58" s="178"/>
      <c r="E58" s="178"/>
      <c r="F58" s="178"/>
      <c r="G58" s="178"/>
      <c r="H58" s="178"/>
      <c r="I58" s="178"/>
      <c r="J58" s="178"/>
      <c r="K58" s="178"/>
      <c r="L58" s="178"/>
      <c r="M58" s="178"/>
      <c r="N58" s="178"/>
      <c r="O58" s="178"/>
      <c r="P58" s="178"/>
      <c r="Q58" s="178"/>
      <c r="R58" s="178"/>
      <c r="S58" s="178"/>
      <c r="T58" s="178"/>
      <c r="U58" s="178"/>
      <c r="V58" s="178"/>
      <c r="W58" s="178"/>
      <c r="X58" s="178"/>
      <c r="Y58" s="178"/>
      <c r="Z58" s="178"/>
    </row>
    <row r="59" spans="1:26" ht="18" customHeight="1" x14ac:dyDescent="0.2">
      <c r="B59" s="141" t="s">
        <v>103</v>
      </c>
      <c r="C59" s="142"/>
      <c r="D59" s="142"/>
      <c r="E59" s="143"/>
      <c r="F59" s="22" t="s">
        <v>144</v>
      </c>
      <c r="G59" s="86" t="s">
        <v>143</v>
      </c>
      <c r="H59" s="81" t="s">
        <v>104</v>
      </c>
      <c r="I59" s="82"/>
      <c r="J59" s="83"/>
      <c r="K59" s="58" t="s">
        <v>108</v>
      </c>
      <c r="L59" s="58" t="s">
        <v>137</v>
      </c>
      <c r="M59" s="58" t="s">
        <v>138</v>
      </c>
      <c r="N59" s="141" t="s">
        <v>103</v>
      </c>
      <c r="O59" s="142"/>
      <c r="P59" s="142"/>
      <c r="Q59" s="142"/>
      <c r="R59" s="143"/>
      <c r="S59" s="22" t="s">
        <v>144</v>
      </c>
      <c r="T59" s="86" t="s">
        <v>143</v>
      </c>
      <c r="U59" s="81" t="s">
        <v>104</v>
      </c>
      <c r="V59" s="82"/>
      <c r="W59" s="83"/>
      <c r="X59" s="58" t="s">
        <v>108</v>
      </c>
      <c r="Y59" s="58" t="s">
        <v>137</v>
      </c>
      <c r="Z59" s="58" t="s">
        <v>138</v>
      </c>
    </row>
    <row r="60" spans="1:26" ht="18" customHeight="1" x14ac:dyDescent="0.2">
      <c r="A60" s="21"/>
      <c r="B60" s="154" t="s">
        <v>170</v>
      </c>
      <c r="C60" s="155"/>
      <c r="D60" s="155"/>
      <c r="E60" s="156"/>
      <c r="F60" s="87">
        <v>2</v>
      </c>
      <c r="G60" s="87" t="s">
        <v>172</v>
      </c>
      <c r="H60" s="151" t="s">
        <v>202</v>
      </c>
      <c r="I60" s="152"/>
      <c r="J60" s="153"/>
      <c r="K60" s="110"/>
      <c r="L60" s="87" t="s">
        <v>172</v>
      </c>
      <c r="M60" s="87" t="s">
        <v>172</v>
      </c>
      <c r="N60" s="154"/>
      <c r="O60" s="155"/>
      <c r="P60" s="155"/>
      <c r="Q60" s="155"/>
      <c r="R60" s="156"/>
      <c r="S60" s="87"/>
      <c r="T60" s="87"/>
      <c r="U60" s="151"/>
      <c r="V60" s="152"/>
      <c r="W60" s="153"/>
      <c r="X60" s="110"/>
      <c r="Y60" s="87"/>
      <c r="Z60" s="87"/>
    </row>
    <row r="61" spans="1:26" ht="18" customHeight="1" x14ac:dyDescent="0.2">
      <c r="A61" s="21"/>
      <c r="B61" s="163" t="s">
        <v>171</v>
      </c>
      <c r="C61" s="164"/>
      <c r="D61" s="164"/>
      <c r="E61" s="165"/>
      <c r="F61" s="88">
        <v>2</v>
      </c>
      <c r="G61" s="88" t="s">
        <v>172</v>
      </c>
      <c r="H61" s="160" t="s">
        <v>202</v>
      </c>
      <c r="I61" s="161"/>
      <c r="J61" s="162"/>
      <c r="K61" s="109" t="s">
        <v>172</v>
      </c>
      <c r="L61" s="88" t="s">
        <v>172</v>
      </c>
      <c r="M61" s="88" t="s">
        <v>172</v>
      </c>
      <c r="N61" s="163"/>
      <c r="O61" s="164"/>
      <c r="P61" s="164"/>
      <c r="Q61" s="164"/>
      <c r="R61" s="165"/>
      <c r="S61" s="88"/>
      <c r="T61" s="88"/>
      <c r="U61" s="160"/>
      <c r="V61" s="161"/>
      <c r="W61" s="162"/>
      <c r="X61" s="109"/>
      <c r="Y61" s="88"/>
      <c r="Z61" s="88"/>
    </row>
    <row r="62" spans="1:26" ht="18" customHeight="1" x14ac:dyDescent="0.2">
      <c r="A62" s="21"/>
      <c r="B62" s="163"/>
      <c r="C62" s="164"/>
      <c r="D62" s="164"/>
      <c r="E62" s="165"/>
      <c r="F62" s="88"/>
      <c r="G62" s="88"/>
      <c r="H62" s="160"/>
      <c r="I62" s="161"/>
      <c r="J62" s="162"/>
      <c r="K62" s="109"/>
      <c r="L62" s="88"/>
      <c r="M62" s="88"/>
      <c r="N62" s="163"/>
      <c r="O62" s="164"/>
      <c r="P62" s="164"/>
      <c r="Q62" s="164"/>
      <c r="R62" s="165"/>
      <c r="S62" s="88"/>
      <c r="T62" s="88"/>
      <c r="U62" s="160"/>
      <c r="V62" s="161"/>
      <c r="W62" s="162"/>
      <c r="X62" s="109"/>
      <c r="Y62" s="88"/>
      <c r="Z62" s="88"/>
    </row>
    <row r="63" spans="1:26" ht="18" customHeight="1" x14ac:dyDescent="0.2">
      <c r="A63" s="21"/>
      <c r="B63" s="163"/>
      <c r="C63" s="164"/>
      <c r="D63" s="164"/>
      <c r="E63" s="165"/>
      <c r="F63" s="88"/>
      <c r="G63" s="88"/>
      <c r="H63" s="160"/>
      <c r="I63" s="161"/>
      <c r="J63" s="162"/>
      <c r="K63" s="109"/>
      <c r="L63" s="88"/>
      <c r="M63" s="88"/>
      <c r="N63" s="163"/>
      <c r="O63" s="164"/>
      <c r="P63" s="164"/>
      <c r="Q63" s="164"/>
      <c r="R63" s="165"/>
      <c r="S63" s="88"/>
      <c r="T63" s="88"/>
      <c r="U63" s="160"/>
      <c r="V63" s="161"/>
      <c r="W63" s="162"/>
      <c r="X63" s="109"/>
      <c r="Y63" s="88"/>
      <c r="Z63" s="88"/>
    </row>
    <row r="64" spans="1:26" ht="18" customHeight="1" x14ac:dyDescent="0.2">
      <c r="A64" s="21"/>
      <c r="B64" s="163"/>
      <c r="C64" s="164"/>
      <c r="D64" s="164"/>
      <c r="E64" s="165"/>
      <c r="F64" s="88"/>
      <c r="G64" s="88"/>
      <c r="H64" s="160"/>
      <c r="I64" s="161"/>
      <c r="J64" s="162"/>
      <c r="K64" s="109"/>
      <c r="L64" s="88"/>
      <c r="M64" s="88"/>
      <c r="N64" s="163"/>
      <c r="O64" s="164"/>
      <c r="P64" s="164"/>
      <c r="Q64" s="164"/>
      <c r="R64" s="165"/>
      <c r="S64" s="88"/>
      <c r="T64" s="88"/>
      <c r="U64" s="160"/>
      <c r="V64" s="161"/>
      <c r="W64" s="162"/>
      <c r="X64" s="109"/>
      <c r="Y64" s="88"/>
      <c r="Z64" s="88"/>
    </row>
    <row r="65" spans="1:26" ht="18" customHeight="1" x14ac:dyDescent="0.2">
      <c r="A65" s="21"/>
      <c r="B65" s="163"/>
      <c r="C65" s="164"/>
      <c r="D65" s="164"/>
      <c r="E65" s="165"/>
      <c r="F65" s="88"/>
      <c r="G65" s="88"/>
      <c r="H65" s="160"/>
      <c r="I65" s="161"/>
      <c r="J65" s="162"/>
      <c r="K65" s="109"/>
      <c r="L65" s="88"/>
      <c r="M65" s="88"/>
      <c r="N65" s="163"/>
      <c r="O65" s="164"/>
      <c r="P65" s="164"/>
      <c r="Q65" s="164"/>
      <c r="R65" s="165"/>
      <c r="S65" s="88"/>
      <c r="T65" s="88"/>
      <c r="U65" s="160"/>
      <c r="V65" s="161"/>
      <c r="W65" s="162"/>
      <c r="X65" s="109"/>
      <c r="Y65" s="88"/>
      <c r="Z65" s="88"/>
    </row>
    <row r="66" spans="1:26" ht="18" customHeight="1" x14ac:dyDescent="0.2">
      <c r="A66" s="21"/>
      <c r="B66" s="191"/>
      <c r="C66" s="192"/>
      <c r="D66" s="192"/>
      <c r="E66" s="193"/>
      <c r="F66" s="89"/>
      <c r="G66" s="89"/>
      <c r="H66" s="188"/>
      <c r="I66" s="189"/>
      <c r="J66" s="190"/>
      <c r="K66" s="108"/>
      <c r="L66" s="92"/>
      <c r="M66" s="92"/>
      <c r="N66" s="191"/>
      <c r="O66" s="192"/>
      <c r="P66" s="192"/>
      <c r="Q66" s="192"/>
      <c r="R66" s="193"/>
      <c r="S66" s="89"/>
      <c r="T66" s="89"/>
      <c r="U66" s="188"/>
      <c r="V66" s="189"/>
      <c r="W66" s="190"/>
      <c r="X66" s="108"/>
      <c r="Y66" s="92"/>
      <c r="Z66" s="92"/>
    </row>
    <row r="67" spans="1:26" ht="7.5" customHeight="1" x14ac:dyDescent="0.2">
      <c r="B67" s="113"/>
      <c r="C67" s="113"/>
      <c r="D67" s="113"/>
      <c r="E67" s="113"/>
      <c r="F67" s="113"/>
      <c r="G67" s="113"/>
      <c r="H67" s="113"/>
      <c r="I67" s="113"/>
      <c r="J67" s="113"/>
      <c r="K67" s="113"/>
      <c r="L67" s="113"/>
      <c r="M67" s="113"/>
      <c r="N67" s="113"/>
      <c r="O67" s="113"/>
      <c r="P67" s="113"/>
      <c r="Q67" s="113"/>
      <c r="R67" s="113"/>
      <c r="S67" s="113"/>
      <c r="T67" s="113"/>
      <c r="U67" s="113"/>
      <c r="V67" s="113"/>
      <c r="W67" s="113"/>
      <c r="X67" s="113"/>
      <c r="Y67" s="113"/>
    </row>
    <row r="68" spans="1:26" ht="18" customHeight="1" x14ac:dyDescent="0.2">
      <c r="A68" s="7" t="s">
        <v>139</v>
      </c>
      <c r="L68" s="21"/>
      <c r="M68" s="21"/>
      <c r="N68" s="21"/>
      <c r="O68" s="21"/>
      <c r="P68" s="21"/>
      <c r="Q68" s="21"/>
      <c r="R68" s="21"/>
      <c r="S68" s="21"/>
      <c r="T68" s="21"/>
      <c r="U68" s="21"/>
      <c r="V68" s="21"/>
      <c r="W68" s="21"/>
      <c r="X68" s="21"/>
      <c r="Y68" s="21"/>
      <c r="Z68" s="21"/>
    </row>
    <row r="69" spans="1:26" ht="18" customHeight="1" x14ac:dyDescent="0.2">
      <c r="B69" s="141" t="s">
        <v>103</v>
      </c>
      <c r="C69" s="142"/>
      <c r="D69" s="142"/>
      <c r="E69" s="142"/>
      <c r="F69" s="143"/>
      <c r="G69" s="141" t="s">
        <v>149</v>
      </c>
      <c r="H69" s="142"/>
      <c r="I69" s="142"/>
      <c r="J69" s="142"/>
      <c r="K69" s="142"/>
      <c r="L69" s="142"/>
      <c r="M69" s="143"/>
      <c r="N69" s="208" t="s">
        <v>103</v>
      </c>
      <c r="O69" s="209"/>
      <c r="P69" s="209"/>
      <c r="Q69" s="209"/>
      <c r="R69" s="209"/>
      <c r="S69" s="210"/>
      <c r="T69" s="141" t="s">
        <v>149</v>
      </c>
      <c r="U69" s="142"/>
      <c r="V69" s="142"/>
      <c r="W69" s="142"/>
      <c r="X69" s="142"/>
      <c r="Y69" s="142"/>
      <c r="Z69" s="143"/>
    </row>
    <row r="70" spans="1:26" ht="18" customHeight="1" x14ac:dyDescent="0.2">
      <c r="A70" s="21"/>
      <c r="B70" s="154" t="s">
        <v>170</v>
      </c>
      <c r="C70" s="155"/>
      <c r="D70" s="155"/>
      <c r="E70" s="155"/>
      <c r="F70" s="156"/>
      <c r="G70" s="197" t="s">
        <v>173</v>
      </c>
      <c r="H70" s="198"/>
      <c r="I70" s="198"/>
      <c r="J70" s="198"/>
      <c r="K70" s="198"/>
      <c r="L70" s="198"/>
      <c r="M70" s="199"/>
      <c r="N70" s="154" t="s">
        <v>180</v>
      </c>
      <c r="O70" s="155"/>
      <c r="P70" s="155"/>
      <c r="Q70" s="155"/>
      <c r="R70" s="155"/>
      <c r="S70" s="156"/>
      <c r="T70" s="197" t="s">
        <v>173</v>
      </c>
      <c r="U70" s="198"/>
      <c r="V70" s="198"/>
      <c r="W70" s="198"/>
      <c r="X70" s="198"/>
      <c r="Y70" s="198"/>
      <c r="Z70" s="199"/>
    </row>
    <row r="71" spans="1:26" ht="18" customHeight="1" x14ac:dyDescent="0.2">
      <c r="A71" s="21"/>
      <c r="B71" s="163" t="s">
        <v>170</v>
      </c>
      <c r="C71" s="164"/>
      <c r="D71" s="164"/>
      <c r="E71" s="164"/>
      <c r="F71" s="165"/>
      <c r="G71" s="205" t="s">
        <v>174</v>
      </c>
      <c r="H71" s="206"/>
      <c r="I71" s="206"/>
      <c r="J71" s="206"/>
      <c r="K71" s="206"/>
      <c r="L71" s="206"/>
      <c r="M71" s="207"/>
      <c r="N71" s="163" t="s">
        <v>232</v>
      </c>
      <c r="O71" s="164"/>
      <c r="P71" s="164"/>
      <c r="Q71" s="164"/>
      <c r="R71" s="164"/>
      <c r="S71" s="165"/>
      <c r="T71" s="205" t="s">
        <v>177</v>
      </c>
      <c r="U71" s="206"/>
      <c r="V71" s="206"/>
      <c r="W71" s="206"/>
      <c r="X71" s="206"/>
      <c r="Y71" s="206"/>
      <c r="Z71" s="207"/>
    </row>
    <row r="72" spans="1:26" ht="18" customHeight="1" x14ac:dyDescent="0.2">
      <c r="A72" s="21"/>
      <c r="B72" s="163" t="s">
        <v>170</v>
      </c>
      <c r="C72" s="164"/>
      <c r="D72" s="164"/>
      <c r="E72" s="164"/>
      <c r="F72" s="165"/>
      <c r="G72" s="205" t="s">
        <v>175</v>
      </c>
      <c r="H72" s="206"/>
      <c r="I72" s="206"/>
      <c r="J72" s="206"/>
      <c r="K72" s="206"/>
      <c r="L72" s="206"/>
      <c r="M72" s="207"/>
      <c r="N72" s="163"/>
      <c r="O72" s="164"/>
      <c r="P72" s="164"/>
      <c r="Q72" s="164"/>
      <c r="R72" s="164"/>
      <c r="S72" s="165"/>
      <c r="T72" s="205"/>
      <c r="U72" s="206"/>
      <c r="V72" s="206"/>
      <c r="W72" s="206"/>
      <c r="X72" s="206"/>
      <c r="Y72" s="206"/>
      <c r="Z72" s="207"/>
    </row>
    <row r="73" spans="1:26" ht="18" customHeight="1" x14ac:dyDescent="0.2">
      <c r="A73" s="21"/>
      <c r="B73" s="163" t="s">
        <v>170</v>
      </c>
      <c r="C73" s="164"/>
      <c r="D73" s="164"/>
      <c r="E73" s="164"/>
      <c r="F73" s="165"/>
      <c r="G73" s="205" t="s">
        <v>176</v>
      </c>
      <c r="H73" s="206"/>
      <c r="I73" s="206"/>
      <c r="J73" s="206"/>
      <c r="K73" s="206"/>
      <c r="L73" s="206"/>
      <c r="M73" s="207"/>
      <c r="N73" s="163"/>
      <c r="O73" s="164"/>
      <c r="P73" s="164"/>
      <c r="Q73" s="164"/>
      <c r="R73" s="164"/>
      <c r="S73" s="165"/>
      <c r="T73" s="205"/>
      <c r="U73" s="206"/>
      <c r="V73" s="206"/>
      <c r="W73" s="206"/>
      <c r="X73" s="206"/>
      <c r="Y73" s="206"/>
      <c r="Z73" s="207"/>
    </row>
    <row r="74" spans="1:26" ht="18" customHeight="1" x14ac:dyDescent="0.2">
      <c r="A74" s="21"/>
      <c r="B74" s="163" t="s">
        <v>170</v>
      </c>
      <c r="C74" s="164"/>
      <c r="D74" s="164"/>
      <c r="E74" s="164"/>
      <c r="F74" s="165"/>
      <c r="G74" s="205" t="s">
        <v>177</v>
      </c>
      <c r="H74" s="206"/>
      <c r="I74" s="206"/>
      <c r="J74" s="206"/>
      <c r="K74" s="206"/>
      <c r="L74" s="206"/>
      <c r="M74" s="207"/>
      <c r="N74" s="163"/>
      <c r="O74" s="164"/>
      <c r="P74" s="164"/>
      <c r="Q74" s="164"/>
      <c r="R74" s="164"/>
      <c r="S74" s="165"/>
      <c r="T74" s="205"/>
      <c r="U74" s="206"/>
      <c r="V74" s="206"/>
      <c r="W74" s="206"/>
      <c r="X74" s="206"/>
      <c r="Y74" s="206"/>
      <c r="Z74" s="207"/>
    </row>
    <row r="75" spans="1:26" ht="18" customHeight="1" x14ac:dyDescent="0.2">
      <c r="A75" s="21"/>
      <c r="B75" s="163" t="s">
        <v>170</v>
      </c>
      <c r="C75" s="164"/>
      <c r="D75" s="164"/>
      <c r="E75" s="164"/>
      <c r="F75" s="165"/>
      <c r="G75" s="205" t="s">
        <v>178</v>
      </c>
      <c r="H75" s="206"/>
      <c r="I75" s="206"/>
      <c r="J75" s="206"/>
      <c r="K75" s="206"/>
      <c r="L75" s="206"/>
      <c r="M75" s="207"/>
      <c r="N75" s="163"/>
      <c r="O75" s="164"/>
      <c r="P75" s="164"/>
      <c r="Q75" s="164"/>
      <c r="R75" s="164"/>
      <c r="S75" s="165"/>
      <c r="T75" s="205"/>
      <c r="U75" s="206"/>
      <c r="V75" s="206"/>
      <c r="W75" s="206"/>
      <c r="X75" s="206"/>
      <c r="Y75" s="206"/>
      <c r="Z75" s="207"/>
    </row>
    <row r="76" spans="1:26" ht="18" customHeight="1" x14ac:dyDescent="0.2">
      <c r="A76" s="21"/>
      <c r="B76" s="191" t="s">
        <v>170</v>
      </c>
      <c r="C76" s="192"/>
      <c r="D76" s="192"/>
      <c r="E76" s="192"/>
      <c r="F76" s="193"/>
      <c r="G76" s="218" t="s">
        <v>179</v>
      </c>
      <c r="H76" s="219"/>
      <c r="I76" s="219"/>
      <c r="J76" s="219"/>
      <c r="K76" s="219"/>
      <c r="L76" s="219"/>
      <c r="M76" s="220"/>
      <c r="N76" s="191"/>
      <c r="O76" s="192"/>
      <c r="P76" s="192"/>
      <c r="Q76" s="192"/>
      <c r="R76" s="192"/>
      <c r="S76" s="193"/>
      <c r="T76" s="218"/>
      <c r="U76" s="219"/>
      <c r="V76" s="219"/>
      <c r="W76" s="219"/>
      <c r="X76" s="219"/>
      <c r="Y76" s="219"/>
      <c r="Z76" s="220"/>
    </row>
    <row r="77" spans="1:26" ht="18" customHeight="1" x14ac:dyDescent="0.2">
      <c r="A77" s="21"/>
      <c r="B77" s="106"/>
      <c r="C77" s="106"/>
      <c r="D77" s="106"/>
      <c r="E77" s="106"/>
      <c r="F77" s="106"/>
      <c r="G77" s="5"/>
      <c r="H77" s="5"/>
      <c r="I77" s="5"/>
      <c r="J77" s="5"/>
      <c r="K77" s="5"/>
      <c r="L77" s="5"/>
      <c r="M77" s="5"/>
      <c r="N77" s="106"/>
      <c r="O77" s="106"/>
      <c r="P77" s="106"/>
      <c r="Q77" s="106"/>
      <c r="R77" s="106"/>
      <c r="S77" s="106"/>
      <c r="T77" s="5"/>
      <c r="U77" s="5"/>
      <c r="V77" s="5"/>
      <c r="W77" s="5"/>
      <c r="X77" s="5"/>
      <c r="Y77" s="5"/>
      <c r="Z77" s="5"/>
    </row>
    <row r="78" spans="1:26" ht="18.75" customHeight="1" x14ac:dyDescent="0.2">
      <c r="A78" s="7" t="s">
        <v>145</v>
      </c>
    </row>
    <row r="79" spans="1:26" ht="18.75" customHeight="1" x14ac:dyDescent="0.2">
      <c r="B79" s="19" t="s">
        <v>105</v>
      </c>
      <c r="C79" s="20"/>
      <c r="D79" s="142" t="s">
        <v>106</v>
      </c>
      <c r="E79" s="142"/>
      <c r="F79" s="142"/>
      <c r="G79" s="142"/>
      <c r="H79" s="142"/>
      <c r="I79" s="142"/>
      <c r="J79" s="142"/>
      <c r="K79" s="142"/>
      <c r="L79" s="142"/>
      <c r="M79" s="142"/>
      <c r="N79" s="142"/>
      <c r="O79" s="142"/>
      <c r="P79" s="142"/>
      <c r="Q79" s="142"/>
      <c r="R79" s="142"/>
      <c r="S79" s="142"/>
      <c r="T79" s="142"/>
      <c r="U79" s="142"/>
      <c r="V79" s="142"/>
      <c r="W79" s="142"/>
      <c r="X79" s="142"/>
      <c r="Y79" s="142"/>
      <c r="Z79" s="143"/>
    </row>
    <row r="80" spans="1:26" ht="78" customHeight="1" x14ac:dyDescent="0.2">
      <c r="B80" s="211" t="s">
        <v>112</v>
      </c>
      <c r="C80" s="65" t="s">
        <v>107</v>
      </c>
      <c r="D80" s="244" t="s">
        <v>211</v>
      </c>
      <c r="E80" s="244"/>
      <c r="F80" s="244"/>
      <c r="G80" s="244"/>
      <c r="H80" s="244"/>
      <c r="I80" s="244"/>
      <c r="J80" s="244"/>
      <c r="K80" s="244"/>
      <c r="L80" s="244"/>
      <c r="M80" s="244"/>
      <c r="N80" s="244"/>
      <c r="O80" s="244"/>
      <c r="P80" s="244"/>
      <c r="Q80" s="244"/>
      <c r="R80" s="244"/>
      <c r="S80" s="244"/>
      <c r="T80" s="244"/>
      <c r="U80" s="244"/>
      <c r="V80" s="244"/>
      <c r="W80" s="244"/>
      <c r="X80" s="244"/>
      <c r="Y80" s="244"/>
      <c r="Z80" s="245"/>
    </row>
    <row r="81" spans="1:26" ht="78" customHeight="1" x14ac:dyDescent="0.2">
      <c r="B81" s="221"/>
      <c r="C81" s="84" t="s">
        <v>140</v>
      </c>
      <c r="D81" s="258" t="s">
        <v>208</v>
      </c>
      <c r="E81" s="258"/>
      <c r="F81" s="258"/>
      <c r="G81" s="258"/>
      <c r="H81" s="258"/>
      <c r="I81" s="258"/>
      <c r="J81" s="258"/>
      <c r="K81" s="258"/>
      <c r="L81" s="258"/>
      <c r="M81" s="258"/>
      <c r="N81" s="258"/>
      <c r="O81" s="258"/>
      <c r="P81" s="258"/>
      <c r="Q81" s="258"/>
      <c r="R81" s="258"/>
      <c r="S81" s="258"/>
      <c r="T81" s="258"/>
      <c r="U81" s="258"/>
      <c r="V81" s="258"/>
      <c r="W81" s="258"/>
      <c r="X81" s="258"/>
      <c r="Y81" s="258"/>
      <c r="Z81" s="259"/>
    </row>
    <row r="82" spans="1:26" ht="78" customHeight="1" x14ac:dyDescent="0.2">
      <c r="B82" s="211" t="s">
        <v>113</v>
      </c>
      <c r="C82" s="60" t="s">
        <v>130</v>
      </c>
      <c r="D82" s="260" t="s">
        <v>204</v>
      </c>
      <c r="E82" s="260"/>
      <c r="F82" s="260"/>
      <c r="G82" s="260"/>
      <c r="H82" s="260"/>
      <c r="I82" s="260"/>
      <c r="J82" s="260"/>
      <c r="K82" s="260"/>
      <c r="L82" s="260"/>
      <c r="M82" s="260"/>
      <c r="N82" s="260"/>
      <c r="O82" s="260"/>
      <c r="P82" s="260"/>
      <c r="Q82" s="260"/>
      <c r="R82" s="260"/>
      <c r="S82" s="260"/>
      <c r="T82" s="260"/>
      <c r="U82" s="260"/>
      <c r="V82" s="260"/>
      <c r="W82" s="260"/>
      <c r="X82" s="260"/>
      <c r="Y82" s="260"/>
      <c r="Z82" s="261"/>
    </row>
    <row r="83" spans="1:26" ht="78" customHeight="1" x14ac:dyDescent="0.2">
      <c r="B83" s="212"/>
      <c r="C83" s="85" t="s">
        <v>131</v>
      </c>
      <c r="D83" s="260" t="s">
        <v>209</v>
      </c>
      <c r="E83" s="260"/>
      <c r="F83" s="260"/>
      <c r="G83" s="260"/>
      <c r="H83" s="260"/>
      <c r="I83" s="260"/>
      <c r="J83" s="260"/>
      <c r="K83" s="260"/>
      <c r="L83" s="260"/>
      <c r="M83" s="260"/>
      <c r="N83" s="260"/>
      <c r="O83" s="260"/>
      <c r="P83" s="260"/>
      <c r="Q83" s="260"/>
      <c r="R83" s="260"/>
      <c r="S83" s="260"/>
      <c r="T83" s="260"/>
      <c r="U83" s="260"/>
      <c r="V83" s="260"/>
      <c r="W83" s="260"/>
      <c r="X83" s="260"/>
      <c r="Y83" s="260"/>
      <c r="Z83" s="261"/>
    </row>
    <row r="84" spans="1:26" ht="108" customHeight="1" x14ac:dyDescent="0.2">
      <c r="B84" s="211" t="s">
        <v>114</v>
      </c>
      <c r="C84" s="60" t="s">
        <v>133</v>
      </c>
      <c r="D84" s="260" t="s">
        <v>205</v>
      </c>
      <c r="E84" s="260"/>
      <c r="F84" s="260"/>
      <c r="G84" s="260"/>
      <c r="H84" s="260"/>
      <c r="I84" s="260"/>
      <c r="J84" s="260"/>
      <c r="K84" s="260"/>
      <c r="L84" s="260"/>
      <c r="M84" s="260"/>
      <c r="N84" s="260"/>
      <c r="O84" s="260"/>
      <c r="P84" s="260"/>
      <c r="Q84" s="260"/>
      <c r="R84" s="260"/>
      <c r="S84" s="260"/>
      <c r="T84" s="260"/>
      <c r="U84" s="260"/>
      <c r="V84" s="260"/>
      <c r="W84" s="260"/>
      <c r="X84" s="260"/>
      <c r="Y84" s="260"/>
      <c r="Z84" s="261"/>
    </row>
    <row r="85" spans="1:26" ht="66" customHeight="1" x14ac:dyDescent="0.2">
      <c r="B85" s="212"/>
      <c r="C85" s="62" t="s">
        <v>134</v>
      </c>
      <c r="D85" s="262" t="s">
        <v>206</v>
      </c>
      <c r="E85" s="262"/>
      <c r="F85" s="262"/>
      <c r="G85" s="262"/>
      <c r="H85" s="262"/>
      <c r="I85" s="262"/>
      <c r="J85" s="262"/>
      <c r="K85" s="262"/>
      <c r="L85" s="262"/>
      <c r="M85" s="262"/>
      <c r="N85" s="262"/>
      <c r="O85" s="262"/>
      <c r="P85" s="262"/>
      <c r="Q85" s="262"/>
      <c r="R85" s="262"/>
      <c r="S85" s="262"/>
      <c r="T85" s="262"/>
      <c r="U85" s="262"/>
      <c r="V85" s="262"/>
      <c r="W85" s="262"/>
      <c r="X85" s="262"/>
      <c r="Y85" s="262"/>
      <c r="Z85" s="263"/>
    </row>
    <row r="86" spans="1:26" ht="54" customHeight="1" x14ac:dyDescent="0.2">
      <c r="B86" s="211" t="s">
        <v>141</v>
      </c>
      <c r="C86" s="65" t="s">
        <v>109</v>
      </c>
      <c r="D86" s="244" t="s">
        <v>230</v>
      </c>
      <c r="E86" s="244"/>
      <c r="F86" s="244"/>
      <c r="G86" s="244"/>
      <c r="H86" s="244"/>
      <c r="I86" s="244"/>
      <c r="J86" s="244"/>
      <c r="K86" s="244"/>
      <c r="L86" s="244"/>
      <c r="M86" s="244"/>
      <c r="N86" s="244"/>
      <c r="O86" s="244"/>
      <c r="P86" s="244"/>
      <c r="Q86" s="244"/>
      <c r="R86" s="244"/>
      <c r="S86" s="244"/>
      <c r="T86" s="244"/>
      <c r="U86" s="244"/>
      <c r="V86" s="244"/>
      <c r="W86" s="244"/>
      <c r="X86" s="244"/>
      <c r="Y86" s="244"/>
      <c r="Z86" s="245"/>
    </row>
    <row r="87" spans="1:26" ht="66" customHeight="1" x14ac:dyDescent="0.2">
      <c r="B87" s="221"/>
      <c r="C87" s="61" t="s">
        <v>111</v>
      </c>
      <c r="D87" s="246" t="s">
        <v>213</v>
      </c>
      <c r="E87" s="246"/>
      <c r="F87" s="246"/>
      <c r="G87" s="246"/>
      <c r="H87" s="246"/>
      <c r="I87" s="246"/>
      <c r="J87" s="246"/>
      <c r="K87" s="246"/>
      <c r="L87" s="246"/>
      <c r="M87" s="246"/>
      <c r="N87" s="246"/>
      <c r="O87" s="246"/>
      <c r="P87" s="246"/>
      <c r="Q87" s="246"/>
      <c r="R87" s="246"/>
      <c r="S87" s="246"/>
      <c r="T87" s="246"/>
      <c r="U87" s="246"/>
      <c r="V87" s="246"/>
      <c r="W87" s="246"/>
      <c r="X87" s="246"/>
      <c r="Y87" s="246"/>
      <c r="Z87" s="247"/>
    </row>
    <row r="88" spans="1:26" ht="135.75" customHeight="1" x14ac:dyDescent="0.2">
      <c r="B88" s="211" t="s">
        <v>142</v>
      </c>
      <c r="C88" s="60" t="s">
        <v>108</v>
      </c>
      <c r="D88" s="240" t="s">
        <v>247</v>
      </c>
      <c r="E88" s="240"/>
      <c r="F88" s="240"/>
      <c r="G88" s="240"/>
      <c r="H88" s="240"/>
      <c r="I88" s="240"/>
      <c r="J88" s="240"/>
      <c r="K88" s="240"/>
      <c r="L88" s="240"/>
      <c r="M88" s="240"/>
      <c r="N88" s="240"/>
      <c r="O88" s="240"/>
      <c r="P88" s="240"/>
      <c r="Q88" s="240"/>
      <c r="R88" s="240"/>
      <c r="S88" s="240"/>
      <c r="T88" s="240"/>
      <c r="U88" s="240"/>
      <c r="V88" s="240"/>
      <c r="W88" s="240"/>
      <c r="X88" s="240"/>
      <c r="Y88" s="240"/>
      <c r="Z88" s="241"/>
    </row>
    <row r="89" spans="1:26" ht="94.5" customHeight="1" x14ac:dyDescent="0.2">
      <c r="B89" s="221"/>
      <c r="C89" s="61" t="s">
        <v>137</v>
      </c>
      <c r="D89" s="237" t="s">
        <v>207</v>
      </c>
      <c r="E89" s="238"/>
      <c r="F89" s="238"/>
      <c r="G89" s="238"/>
      <c r="H89" s="238"/>
      <c r="I89" s="238"/>
      <c r="J89" s="238"/>
      <c r="K89" s="238"/>
      <c r="L89" s="238"/>
      <c r="M89" s="238"/>
      <c r="N89" s="238"/>
      <c r="O89" s="238"/>
      <c r="P89" s="238"/>
      <c r="Q89" s="238"/>
      <c r="R89" s="238"/>
      <c r="S89" s="238"/>
      <c r="T89" s="238"/>
      <c r="U89" s="238"/>
      <c r="V89" s="238"/>
      <c r="W89" s="238"/>
      <c r="X89" s="238"/>
      <c r="Y89" s="238"/>
      <c r="Z89" s="239"/>
    </row>
    <row r="90" spans="1:26" ht="94.5" customHeight="1" x14ac:dyDescent="0.2">
      <c r="B90" s="212"/>
      <c r="C90" s="62" t="s">
        <v>138</v>
      </c>
      <c r="D90" s="242" t="s">
        <v>210</v>
      </c>
      <c r="E90" s="242"/>
      <c r="F90" s="242"/>
      <c r="G90" s="242"/>
      <c r="H90" s="242"/>
      <c r="I90" s="242"/>
      <c r="J90" s="242"/>
      <c r="K90" s="242"/>
      <c r="L90" s="242"/>
      <c r="M90" s="242"/>
      <c r="N90" s="242"/>
      <c r="O90" s="242"/>
      <c r="P90" s="242"/>
      <c r="Q90" s="242"/>
      <c r="R90" s="242"/>
      <c r="S90" s="242"/>
      <c r="T90" s="242"/>
      <c r="U90" s="242"/>
      <c r="V90" s="242"/>
      <c r="W90" s="242"/>
      <c r="X90" s="242"/>
      <c r="Y90" s="242"/>
      <c r="Z90" s="243"/>
    </row>
    <row r="91" spans="1:26" ht="6" customHeight="1" x14ac:dyDescent="0.2"/>
    <row r="92" spans="1:26" ht="18.75" customHeight="1" x14ac:dyDescent="0.2">
      <c r="A92" s="7" t="s">
        <v>146</v>
      </c>
    </row>
    <row r="93" spans="1:26" ht="18.75" customHeight="1" x14ac:dyDescent="0.2">
      <c r="B93" s="227" t="s">
        <v>212</v>
      </c>
      <c r="C93" s="228"/>
      <c r="D93" s="228"/>
      <c r="E93" s="228"/>
      <c r="F93" s="228"/>
      <c r="G93" s="228"/>
      <c r="H93" s="228"/>
      <c r="I93" s="228"/>
      <c r="J93" s="228"/>
      <c r="K93" s="228"/>
      <c r="L93" s="228"/>
      <c r="M93" s="228"/>
      <c r="N93" s="228"/>
      <c r="O93" s="228"/>
      <c r="P93" s="228"/>
      <c r="Q93" s="228"/>
      <c r="R93" s="228"/>
      <c r="S93" s="228"/>
      <c r="T93" s="228"/>
      <c r="U93" s="228"/>
      <c r="V93" s="228"/>
      <c r="W93" s="228"/>
      <c r="X93" s="228"/>
      <c r="Y93" s="228"/>
      <c r="Z93" s="229"/>
    </row>
    <row r="94" spans="1:26" ht="18.75" customHeight="1" x14ac:dyDescent="0.2">
      <c r="B94" s="200"/>
      <c r="C94" s="147"/>
      <c r="D94" s="147"/>
      <c r="E94" s="147"/>
      <c r="F94" s="147"/>
      <c r="G94" s="147"/>
      <c r="H94" s="147"/>
      <c r="I94" s="147"/>
      <c r="J94" s="147"/>
      <c r="K94" s="147"/>
      <c r="L94" s="147"/>
      <c r="M94" s="147"/>
      <c r="N94" s="147"/>
      <c r="O94" s="147"/>
      <c r="P94" s="147"/>
      <c r="Q94" s="147"/>
      <c r="R94" s="147"/>
      <c r="S94" s="147"/>
      <c r="T94" s="147"/>
      <c r="U94" s="147"/>
      <c r="V94" s="147"/>
      <c r="W94" s="147"/>
      <c r="X94" s="147"/>
      <c r="Y94" s="147"/>
      <c r="Z94" s="201"/>
    </row>
    <row r="95" spans="1:26" ht="18.75" customHeight="1" x14ac:dyDescent="0.2">
      <c r="B95" s="230"/>
      <c r="C95" s="231"/>
      <c r="D95" s="231"/>
      <c r="E95" s="231"/>
      <c r="F95" s="231"/>
      <c r="G95" s="231"/>
      <c r="H95" s="231"/>
      <c r="I95" s="231"/>
      <c r="J95" s="231"/>
      <c r="K95" s="231"/>
      <c r="L95" s="231"/>
      <c r="M95" s="231"/>
      <c r="N95" s="231"/>
      <c r="O95" s="231"/>
      <c r="P95" s="231"/>
      <c r="Q95" s="231"/>
      <c r="R95" s="231"/>
      <c r="S95" s="231"/>
      <c r="T95" s="231"/>
      <c r="U95" s="231"/>
      <c r="V95" s="231"/>
      <c r="W95" s="231"/>
      <c r="X95" s="231"/>
      <c r="Y95" s="231"/>
      <c r="Z95" s="232"/>
    </row>
    <row r="96" spans="1:26" ht="6" customHeight="1" x14ac:dyDescent="0.2"/>
    <row r="97" spans="1:26" ht="15" customHeight="1" x14ac:dyDescent="0.2">
      <c r="A97" s="7" t="s">
        <v>147</v>
      </c>
    </row>
    <row r="98" spans="1:26" ht="15" customHeight="1" x14ac:dyDescent="0.2">
      <c r="B98" s="264" t="s">
        <v>241</v>
      </c>
      <c r="C98" s="130"/>
      <c r="D98" s="130"/>
      <c r="E98" s="130"/>
      <c r="F98" s="130"/>
      <c r="G98" s="130"/>
      <c r="H98" s="130"/>
      <c r="I98" s="130"/>
      <c r="J98" s="130"/>
      <c r="K98" s="130"/>
      <c r="L98" s="130"/>
      <c r="M98" s="130"/>
      <c r="N98" s="130"/>
      <c r="O98" s="130"/>
      <c r="P98" s="130"/>
      <c r="Q98" s="130"/>
      <c r="R98" s="130"/>
      <c r="S98" s="130"/>
      <c r="T98" s="130"/>
      <c r="U98" s="130"/>
      <c r="V98" s="130"/>
      <c r="W98" s="130"/>
      <c r="X98" s="130"/>
      <c r="Y98" s="130"/>
      <c r="Z98" s="233"/>
    </row>
  </sheetData>
  <customSheetViews>
    <customSheetView guid="{F66F98FB-58AD-4588-B2BF-A96D7B6BA538}" scale="70" showPageBreaks="1" zeroValues="0" printArea="1" view="pageBreakPreview">
      <selection activeCell="AH32" sqref="AH32"/>
      <rowBreaks count="3" manualBreakCount="3">
        <brk id="34" max="25" man="1"/>
        <brk id="67" max="25" man="1"/>
        <brk id="83" max="25" man="1"/>
      </rowBreaks>
      <pageMargins left="0.78740157480314965" right="0.78740157480314965" top="0.59055118110236227" bottom="0.19685039370078741" header="0.31496062992125984" footer="0.19685039370078741"/>
      <printOptions horizontalCentered="1"/>
      <pageSetup paperSize="9" scale="98" orientation="landscape" r:id="rId1"/>
    </customSheetView>
    <customSheetView guid="{AB72F774-B35A-46F0-BC4F-A888CB0430C3}" scale="70" showPageBreaks="1" zeroValues="0" printArea="1" view="pageBreakPreview">
      <selection activeCell="AI85" sqref="AI85"/>
      <rowBreaks count="3" manualBreakCount="3">
        <brk id="34" max="25" man="1"/>
        <brk id="67" max="25" man="1"/>
        <brk id="83" max="25" man="1"/>
      </rowBreaks>
      <pageMargins left="0.78740157480314965" right="0.78740157480314965" top="0.59055118110236227" bottom="0.19685039370078741" header="0.31496062992125984" footer="0.19685039370078741"/>
      <printOptions horizontalCentered="1"/>
      <pageSetup paperSize="9" scale="98" orientation="landscape" r:id="rId2"/>
    </customSheetView>
    <customSheetView guid="{3F6F70B2-63B4-4C1B-8947-42666FB99B7C}" scale="70" showPageBreaks="1" zeroValues="0" printArea="1" view="pageBreakPreview">
      <selection activeCell="AI85" sqref="AI85"/>
      <rowBreaks count="3" manualBreakCount="3">
        <brk id="34" max="25" man="1"/>
        <brk id="67" max="25" man="1"/>
        <brk id="83" max="25" man="1"/>
      </rowBreaks>
      <pageMargins left="0.78740157480314965" right="0.78740157480314965" top="0.59055118110236227" bottom="0.19685039370078741" header="0.31496062992125984" footer="0.19685039370078741"/>
      <printOptions horizontalCentered="1"/>
      <pageSetup paperSize="9" scale="98" orientation="landscape" r:id="rId3"/>
    </customSheetView>
  </customSheetViews>
  <mergeCells count="218">
    <mergeCell ref="N60:R60"/>
    <mergeCell ref="N61:R61"/>
    <mergeCell ref="N62:R62"/>
    <mergeCell ref="N63:R63"/>
    <mergeCell ref="N64:R64"/>
    <mergeCell ref="N65:R65"/>
    <mergeCell ref="N66:R66"/>
    <mergeCell ref="H64:J64"/>
    <mergeCell ref="H65:J65"/>
    <mergeCell ref="H66:J66"/>
    <mergeCell ref="N48:S48"/>
    <mergeCell ref="N49:S49"/>
    <mergeCell ref="N50:S50"/>
    <mergeCell ref="N51:S51"/>
    <mergeCell ref="N52:S52"/>
    <mergeCell ref="N53:S53"/>
    <mergeCell ref="N54:S54"/>
    <mergeCell ref="N55:S55"/>
    <mergeCell ref="B59:E59"/>
    <mergeCell ref="N59:R59"/>
    <mergeCell ref="B41:F41"/>
    <mergeCell ref="B42:F42"/>
    <mergeCell ref="B43:F43"/>
    <mergeCell ref="B44:F44"/>
    <mergeCell ref="N37:S37"/>
    <mergeCell ref="N38:S38"/>
    <mergeCell ref="N39:S39"/>
    <mergeCell ref="N40:S40"/>
    <mergeCell ref="N41:S41"/>
    <mergeCell ref="N42:S42"/>
    <mergeCell ref="N43:S43"/>
    <mergeCell ref="N44:S44"/>
    <mergeCell ref="I43:K43"/>
    <mergeCell ref="B29:F29"/>
    <mergeCell ref="B30:F30"/>
    <mergeCell ref="B31:F31"/>
    <mergeCell ref="B32:F32"/>
    <mergeCell ref="B33:F33"/>
    <mergeCell ref="N26:S26"/>
    <mergeCell ref="N27:S27"/>
    <mergeCell ref="N28:S28"/>
    <mergeCell ref="N29:S29"/>
    <mergeCell ref="N30:S30"/>
    <mergeCell ref="N31:S31"/>
    <mergeCell ref="N32:S32"/>
    <mergeCell ref="N33:S33"/>
    <mergeCell ref="W1:Z1"/>
    <mergeCell ref="B15:F15"/>
    <mergeCell ref="B16:F16"/>
    <mergeCell ref="B17:F17"/>
    <mergeCell ref="B18:F18"/>
    <mergeCell ref="B19:F19"/>
    <mergeCell ref="B20:F20"/>
    <mergeCell ref="B21:F21"/>
    <mergeCell ref="B22:F22"/>
    <mergeCell ref="N15:S15"/>
    <mergeCell ref="N16:S16"/>
    <mergeCell ref="N17:S17"/>
    <mergeCell ref="N18:S18"/>
    <mergeCell ref="N19:S19"/>
    <mergeCell ref="N20:S20"/>
    <mergeCell ref="N21:S21"/>
    <mergeCell ref="N22:S22"/>
    <mergeCell ref="I17:K17"/>
    <mergeCell ref="I20:K20"/>
    <mergeCell ref="I21:K21"/>
    <mergeCell ref="I22:K22"/>
    <mergeCell ref="B69:F69"/>
    <mergeCell ref="G69:M69"/>
    <mergeCell ref="N69:S69"/>
    <mergeCell ref="H60:J60"/>
    <mergeCell ref="H61:J61"/>
    <mergeCell ref="B93:Z95"/>
    <mergeCell ref="B98:Z98"/>
    <mergeCell ref="T76:Z76"/>
    <mergeCell ref="B71:F71"/>
    <mergeCell ref="G71:M71"/>
    <mergeCell ref="N71:S71"/>
    <mergeCell ref="T71:Z71"/>
    <mergeCell ref="B74:F74"/>
    <mergeCell ref="G74:M74"/>
    <mergeCell ref="N74:S74"/>
    <mergeCell ref="T74:Z74"/>
    <mergeCell ref="B72:F72"/>
    <mergeCell ref="B60:E60"/>
    <mergeCell ref="B61:E61"/>
    <mergeCell ref="B62:E62"/>
    <mergeCell ref="B63:E63"/>
    <mergeCell ref="B64:E64"/>
    <mergeCell ref="B65:E65"/>
    <mergeCell ref="B66:E66"/>
    <mergeCell ref="D81:Z81"/>
    <mergeCell ref="D82:Z82"/>
    <mergeCell ref="D85:Z85"/>
    <mergeCell ref="D83:Z83"/>
    <mergeCell ref="D84:Z84"/>
    <mergeCell ref="B75:F75"/>
    <mergeCell ref="G75:M75"/>
    <mergeCell ref="N75:S75"/>
    <mergeCell ref="T75:Z75"/>
    <mergeCell ref="B76:F76"/>
    <mergeCell ref="G76:M76"/>
    <mergeCell ref="N76:S76"/>
    <mergeCell ref="V43:X43"/>
    <mergeCell ref="I44:K44"/>
    <mergeCell ref="V44:X44"/>
    <mergeCell ref="I50:K50"/>
    <mergeCell ref="V50:X50"/>
    <mergeCell ref="B48:F48"/>
    <mergeCell ref="B49:F49"/>
    <mergeCell ref="B50:F50"/>
    <mergeCell ref="V32:X32"/>
    <mergeCell ref="V33:X33"/>
    <mergeCell ref="I42:K42"/>
    <mergeCell ref="V42:X42"/>
    <mergeCell ref="V37:X37"/>
    <mergeCell ref="I38:K38"/>
    <mergeCell ref="V38:X38"/>
    <mergeCell ref="I39:K39"/>
    <mergeCell ref="V39:X39"/>
    <mergeCell ref="I37:K37"/>
    <mergeCell ref="B37:F37"/>
    <mergeCell ref="B38:F38"/>
    <mergeCell ref="B39:F39"/>
    <mergeCell ref="B40:F40"/>
    <mergeCell ref="A46:Z47"/>
    <mergeCell ref="I48:K48"/>
    <mergeCell ref="A24:Z25"/>
    <mergeCell ref="A2:Z2"/>
    <mergeCell ref="B6:Z11"/>
    <mergeCell ref="A13:Z14"/>
    <mergeCell ref="I15:K15"/>
    <mergeCell ref="I16:K16"/>
    <mergeCell ref="V15:X15"/>
    <mergeCell ref="V16:X16"/>
    <mergeCell ref="O4:Z4"/>
    <mergeCell ref="V17:X17"/>
    <mergeCell ref="V20:X20"/>
    <mergeCell ref="V21:X21"/>
    <mergeCell ref="V22:X22"/>
    <mergeCell ref="I18:K18"/>
    <mergeCell ref="I19:K19"/>
    <mergeCell ref="V18:X18"/>
    <mergeCell ref="V19:X19"/>
    <mergeCell ref="V49:X49"/>
    <mergeCell ref="I51:K51"/>
    <mergeCell ref="V51:X51"/>
    <mergeCell ref="I52:K52"/>
    <mergeCell ref="V52:X52"/>
    <mergeCell ref="V55:X55"/>
    <mergeCell ref="A57:Z58"/>
    <mergeCell ref="I53:K53"/>
    <mergeCell ref="V53:X53"/>
    <mergeCell ref="I54:K54"/>
    <mergeCell ref="V54:X54"/>
    <mergeCell ref="I55:K55"/>
    <mergeCell ref="B51:F51"/>
    <mergeCell ref="B52:F52"/>
    <mergeCell ref="B53:F53"/>
    <mergeCell ref="B54:F54"/>
    <mergeCell ref="B55:F55"/>
    <mergeCell ref="U60:W60"/>
    <mergeCell ref="U61:W61"/>
    <mergeCell ref="U64:W64"/>
    <mergeCell ref="U65:W65"/>
    <mergeCell ref="U66:W66"/>
    <mergeCell ref="I29:K29"/>
    <mergeCell ref="I30:K30"/>
    <mergeCell ref="V29:X29"/>
    <mergeCell ref="V30:X30"/>
    <mergeCell ref="I40:K40"/>
    <mergeCell ref="I41:K41"/>
    <mergeCell ref="V40:X40"/>
    <mergeCell ref="A35:Z36"/>
    <mergeCell ref="V41:X41"/>
    <mergeCell ref="V31:X31"/>
    <mergeCell ref="I31:K31"/>
    <mergeCell ref="I32:K32"/>
    <mergeCell ref="I33:K33"/>
    <mergeCell ref="H62:J62"/>
    <mergeCell ref="H63:J63"/>
    <mergeCell ref="U62:W62"/>
    <mergeCell ref="U63:W63"/>
    <mergeCell ref="V48:X48"/>
    <mergeCell ref="I49:K49"/>
    <mergeCell ref="V26:X26"/>
    <mergeCell ref="V27:X27"/>
    <mergeCell ref="V28:X28"/>
    <mergeCell ref="I26:K26"/>
    <mergeCell ref="I27:K27"/>
    <mergeCell ref="I28:K28"/>
    <mergeCell ref="B26:F26"/>
    <mergeCell ref="B27:F27"/>
    <mergeCell ref="B28:F28"/>
    <mergeCell ref="N70:S70"/>
    <mergeCell ref="T70:Z70"/>
    <mergeCell ref="T69:Z69"/>
    <mergeCell ref="B70:F70"/>
    <mergeCell ref="G70:M70"/>
    <mergeCell ref="D89:Z89"/>
    <mergeCell ref="B73:F73"/>
    <mergeCell ref="G72:M72"/>
    <mergeCell ref="G73:M73"/>
    <mergeCell ref="N72:S72"/>
    <mergeCell ref="N73:S73"/>
    <mergeCell ref="T72:Z72"/>
    <mergeCell ref="T73:Z73"/>
    <mergeCell ref="B82:B83"/>
    <mergeCell ref="B84:B85"/>
    <mergeCell ref="B80:B81"/>
    <mergeCell ref="B88:B90"/>
    <mergeCell ref="D88:Z88"/>
    <mergeCell ref="D90:Z90"/>
    <mergeCell ref="B86:B87"/>
    <mergeCell ref="D86:Z86"/>
    <mergeCell ref="D87:Z87"/>
    <mergeCell ref="D79:Z79"/>
    <mergeCell ref="D80:Z80"/>
  </mergeCells>
  <phoneticPr fontId="1"/>
  <dataValidations count="4">
    <dataValidation type="list" allowBlank="1" showInputMessage="1" showErrorMessage="1" sqref="Y16:Z22 L16:M22 Y27:Z33 L27:M33 L38:M44 Y38:Z44 L49:M55 Y49:Z55 Y60:Z66 L60:M66 H16:H22 U16:U22 H27:H33 U27:U33 H38:H44 U38:U44 H49:H55 U49:U55 G60:G66 T60:T66" xr:uid="{00000000-0002-0000-0200-000000000000}">
      <formula1>"○"</formula1>
    </dataValidation>
    <dataValidation type="list" allowBlank="1" showInputMessage="1" showErrorMessage="1" sqref="Z23 Z34 D34:K34 D23:K23 V16:V22 I16:I22 V27:V33 I27:I33 V38:V44 I38:I44 V49:V55 I49:I55 U60:U66 H60:H66" xr:uid="{00000000-0002-0000-0200-000001000000}">
      <formula1>"全学開講,一部開講"</formula1>
    </dataValidation>
    <dataValidation type="list" allowBlank="1" showInputMessage="1" showErrorMessage="1" sqref="O4" xr:uid="{00000000-0002-0000-0200-000002000000}">
      <formula1>"学部・学科によって、修了要件は相違する,学部・学科によって、修了要件は相違しない"</formula1>
    </dataValidation>
    <dataValidation type="list" allowBlank="1" showInputMessage="1" showErrorMessage="1" sqref="H74:M77 G70:G77 H70:M71 T70:T77 U70:Z71 U74:Z77" xr:uid="{00000000-0002-0000-0200-000003000000}">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s>
  <hyperlinks>
    <hyperlink ref="B98" r:id="rId4" display="https://www.mds.nagoya-u.ac.jp/literacy/" xr:uid="{00000000-0004-0000-0200-000000000000}"/>
  </hyperlinks>
  <printOptions horizontalCentered="1"/>
  <pageMargins left="0.78740157480314965" right="0.78740157480314965" top="0.59055118110236227" bottom="0.19685039370078741" header="0.31496062992125984" footer="0.19685039370078741"/>
  <pageSetup paperSize="9" scale="98" orientation="landscape" r:id="rId5"/>
  <rowBreaks count="3" manualBreakCount="3">
    <brk id="34" max="25" man="1"/>
    <brk id="67" max="25" man="1"/>
    <brk id="83" max="25"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30"/>
  <sheetViews>
    <sheetView view="pageBreakPreview" zoomScaleNormal="100" zoomScaleSheetLayoutView="100" workbookViewId="0">
      <selection activeCell="M25" sqref="M25"/>
    </sheetView>
  </sheetViews>
  <sheetFormatPr defaultColWidth="9" defaultRowHeight="18.75" customHeight="1" x14ac:dyDescent="0.2"/>
  <cols>
    <col min="1" max="1" width="2.7265625" style="1" customWidth="1"/>
    <col min="2" max="2" width="30" style="1" customWidth="1"/>
    <col min="3" max="17" width="6.08984375" style="1" customWidth="1"/>
    <col min="18" max="18" width="6.6328125" style="1" customWidth="1"/>
    <col min="19" max="16384" width="9" style="1"/>
  </cols>
  <sheetData>
    <row r="1" spans="1:20" ht="18" customHeight="1" x14ac:dyDescent="0.2">
      <c r="B1" s="23"/>
      <c r="F1" s="265" t="s">
        <v>65</v>
      </c>
      <c r="G1" s="265"/>
      <c r="H1" s="265"/>
      <c r="I1" s="265"/>
      <c r="J1" s="265"/>
      <c r="K1" s="265"/>
      <c r="L1" s="265"/>
      <c r="M1" s="265"/>
      <c r="N1" s="265"/>
      <c r="O1" s="265"/>
      <c r="P1" s="265"/>
      <c r="Q1" s="265"/>
      <c r="R1" s="265"/>
    </row>
    <row r="2" spans="1:20" ht="18" customHeight="1" x14ac:dyDescent="0.2">
      <c r="A2" s="266" t="s">
        <v>92</v>
      </c>
      <c r="B2" s="266"/>
      <c r="C2" s="266"/>
      <c r="D2" s="266"/>
      <c r="E2" s="266"/>
      <c r="F2" s="266"/>
      <c r="G2" s="266"/>
      <c r="H2" s="266"/>
      <c r="I2" s="266"/>
      <c r="J2" s="266"/>
      <c r="K2" s="266"/>
      <c r="L2" s="266"/>
      <c r="M2" s="266"/>
      <c r="N2" s="266"/>
      <c r="O2" s="266"/>
      <c r="P2" s="266"/>
      <c r="Q2" s="266"/>
      <c r="R2" s="266"/>
      <c r="S2" s="2"/>
    </row>
    <row r="3" spans="1:20" ht="7.5" customHeight="1" x14ac:dyDescent="0.2">
      <c r="A3" s="27"/>
      <c r="B3" s="27"/>
      <c r="C3" s="27"/>
      <c r="D3" s="27"/>
      <c r="E3" s="27"/>
      <c r="F3" s="27"/>
      <c r="G3" s="27"/>
      <c r="H3" s="27"/>
      <c r="I3" s="27"/>
      <c r="J3" s="27"/>
      <c r="K3" s="27"/>
      <c r="L3" s="27"/>
      <c r="M3" s="27"/>
      <c r="N3" s="27"/>
      <c r="O3" s="27"/>
      <c r="P3" s="27"/>
      <c r="Q3" s="27"/>
      <c r="R3" s="27"/>
    </row>
    <row r="4" spans="1:20" ht="18" customHeight="1" x14ac:dyDescent="0.2">
      <c r="A4" s="2" t="s">
        <v>150</v>
      </c>
      <c r="B4" s="2"/>
      <c r="C4" s="267" t="str">
        <f>'様式１　大学等概要'!E12</f>
        <v>令和2</v>
      </c>
      <c r="D4" s="268"/>
      <c r="E4" s="27" t="s">
        <v>116</v>
      </c>
      <c r="F4" s="27"/>
      <c r="G4" s="27"/>
      <c r="H4" s="27"/>
      <c r="I4" s="27"/>
      <c r="J4" s="66"/>
      <c r="K4" s="27"/>
      <c r="L4" s="27"/>
      <c r="M4" s="90"/>
      <c r="N4" s="90"/>
      <c r="O4" s="90"/>
      <c r="P4" s="90"/>
      <c r="Q4" s="90"/>
      <c r="R4" s="90"/>
    </row>
    <row r="5" spans="1:20" ht="6" customHeight="1" x14ac:dyDescent="0.2">
      <c r="A5" s="27"/>
      <c r="B5" s="27"/>
      <c r="C5" s="27"/>
      <c r="D5" s="27"/>
      <c r="E5" s="27"/>
      <c r="F5" s="27"/>
      <c r="G5" s="27"/>
      <c r="H5" s="27"/>
      <c r="I5" s="27"/>
      <c r="J5" s="27"/>
      <c r="K5" s="27"/>
      <c r="L5" s="27"/>
      <c r="M5" s="27"/>
      <c r="N5" s="27"/>
      <c r="O5" s="27"/>
      <c r="P5" s="27"/>
      <c r="Q5" s="27"/>
      <c r="R5" s="27"/>
    </row>
    <row r="6" spans="1:20" ht="18" customHeight="1" x14ac:dyDescent="0.2">
      <c r="A6" s="2" t="s">
        <v>148</v>
      </c>
      <c r="B6" s="27"/>
      <c r="C6" s="27"/>
      <c r="D6" s="27"/>
      <c r="E6" s="27"/>
      <c r="F6" s="27"/>
      <c r="G6" s="27"/>
      <c r="H6" s="27"/>
      <c r="I6" s="27"/>
      <c r="J6" s="27"/>
      <c r="K6" s="27"/>
      <c r="L6" s="27"/>
      <c r="M6" s="27"/>
      <c r="N6" s="27"/>
      <c r="O6" s="27"/>
      <c r="P6" s="27"/>
      <c r="Q6" s="27"/>
      <c r="R6" s="27"/>
    </row>
    <row r="7" spans="1:20" ht="6" customHeight="1" x14ac:dyDescent="0.2">
      <c r="A7" s="2"/>
      <c r="B7" s="27"/>
      <c r="C7" s="27"/>
      <c r="D7" s="27"/>
      <c r="E7" s="27"/>
      <c r="F7" s="27"/>
      <c r="G7" s="27"/>
      <c r="H7" s="27"/>
      <c r="I7" s="27"/>
      <c r="J7" s="27"/>
      <c r="K7" s="27"/>
      <c r="L7" s="27"/>
      <c r="M7" s="27"/>
      <c r="N7" s="27"/>
      <c r="O7" s="27"/>
      <c r="P7" s="27"/>
      <c r="Q7" s="27"/>
      <c r="R7" s="27"/>
    </row>
    <row r="8" spans="1:20" ht="18" customHeight="1" x14ac:dyDescent="0.2">
      <c r="B8" s="269" t="s">
        <v>83</v>
      </c>
      <c r="C8" s="271" t="s">
        <v>87</v>
      </c>
      <c r="D8" s="273" t="s">
        <v>70</v>
      </c>
      <c r="E8" s="275" t="s">
        <v>93</v>
      </c>
      <c r="F8" s="275"/>
      <c r="G8" s="275" t="s">
        <v>94</v>
      </c>
      <c r="H8" s="275"/>
      <c r="I8" s="275" t="s">
        <v>95</v>
      </c>
      <c r="J8" s="275"/>
      <c r="K8" s="276" t="s">
        <v>96</v>
      </c>
      <c r="L8" s="277"/>
      <c r="M8" s="276" t="s">
        <v>97</v>
      </c>
      <c r="N8" s="277"/>
      <c r="O8" s="276" t="s">
        <v>98</v>
      </c>
      <c r="P8" s="277"/>
      <c r="Q8" s="278" t="s">
        <v>64</v>
      </c>
      <c r="R8" s="280" t="s">
        <v>58</v>
      </c>
      <c r="T8" s="24"/>
    </row>
    <row r="9" spans="1:20" ht="18" customHeight="1" x14ac:dyDescent="0.2">
      <c r="A9" s="2"/>
      <c r="B9" s="270"/>
      <c r="C9" s="272"/>
      <c r="D9" s="274"/>
      <c r="E9" s="28" t="s">
        <v>46</v>
      </c>
      <c r="F9" s="29" t="s">
        <v>45</v>
      </c>
      <c r="G9" s="30" t="s">
        <v>46</v>
      </c>
      <c r="H9" s="31" t="s">
        <v>45</v>
      </c>
      <c r="I9" s="28" t="s">
        <v>46</v>
      </c>
      <c r="J9" s="29" t="s">
        <v>45</v>
      </c>
      <c r="K9" s="30" t="s">
        <v>46</v>
      </c>
      <c r="L9" s="31" t="s">
        <v>45</v>
      </c>
      <c r="M9" s="28" t="s">
        <v>46</v>
      </c>
      <c r="N9" s="29" t="s">
        <v>45</v>
      </c>
      <c r="O9" s="30" t="s">
        <v>46</v>
      </c>
      <c r="P9" s="31" t="s">
        <v>45</v>
      </c>
      <c r="Q9" s="279"/>
      <c r="R9" s="281"/>
      <c r="T9" s="24"/>
    </row>
    <row r="10" spans="1:20" ht="18" customHeight="1" x14ac:dyDescent="0.2">
      <c r="A10" s="32"/>
      <c r="B10" s="67" t="s">
        <v>183</v>
      </c>
      <c r="C10" s="32">
        <v>125</v>
      </c>
      <c r="D10" s="33">
        <v>520</v>
      </c>
      <c r="E10" s="34">
        <v>2</v>
      </c>
      <c r="F10" s="35">
        <v>2</v>
      </c>
      <c r="G10" s="36">
        <v>0</v>
      </c>
      <c r="H10" s="37">
        <v>0</v>
      </c>
      <c r="I10" s="34">
        <v>0</v>
      </c>
      <c r="J10" s="35">
        <v>0</v>
      </c>
      <c r="K10" s="34">
        <v>0</v>
      </c>
      <c r="L10" s="35">
        <v>0</v>
      </c>
      <c r="M10" s="34">
        <v>0</v>
      </c>
      <c r="N10" s="35">
        <v>0</v>
      </c>
      <c r="O10" s="34">
        <v>0</v>
      </c>
      <c r="P10" s="35">
        <v>0</v>
      </c>
      <c r="Q10" s="38">
        <f>E10+G10+I10+K10+M10+O10</f>
        <v>2</v>
      </c>
      <c r="R10" s="39">
        <f>Q10/D10</f>
        <v>3.8461538461538464E-3</v>
      </c>
    </row>
    <row r="11" spans="1:20" ht="18" customHeight="1" x14ac:dyDescent="0.2">
      <c r="A11" s="32"/>
      <c r="B11" s="68" t="s">
        <v>184</v>
      </c>
      <c r="C11" s="48">
        <v>65</v>
      </c>
      <c r="D11" s="41">
        <v>280</v>
      </c>
      <c r="E11" s="42">
        <v>0</v>
      </c>
      <c r="F11" s="43">
        <v>0</v>
      </c>
      <c r="G11" s="44">
        <v>0</v>
      </c>
      <c r="H11" s="45">
        <v>0</v>
      </c>
      <c r="I11" s="42">
        <v>0</v>
      </c>
      <c r="J11" s="43">
        <v>0</v>
      </c>
      <c r="K11" s="42">
        <v>0</v>
      </c>
      <c r="L11" s="43">
        <v>0</v>
      </c>
      <c r="M11" s="42">
        <v>0</v>
      </c>
      <c r="N11" s="43">
        <v>0</v>
      </c>
      <c r="O11" s="42">
        <v>0</v>
      </c>
      <c r="P11" s="43">
        <v>0</v>
      </c>
      <c r="Q11" s="46">
        <f t="shared" ref="Q11:Q29" si="0">E11+G11+I11+K11+M11+O11</f>
        <v>0</v>
      </c>
      <c r="R11" s="47">
        <f t="shared" ref="R11:R29" si="1">Q11/D11</f>
        <v>0</v>
      </c>
    </row>
    <row r="12" spans="1:20" ht="18" customHeight="1" x14ac:dyDescent="0.2">
      <c r="A12" s="32"/>
      <c r="B12" s="68" t="s">
        <v>185</v>
      </c>
      <c r="C12" s="48">
        <v>150</v>
      </c>
      <c r="D12" s="41">
        <v>620</v>
      </c>
      <c r="E12" s="42">
        <v>1</v>
      </c>
      <c r="F12" s="43">
        <v>1</v>
      </c>
      <c r="G12" s="44">
        <v>0</v>
      </c>
      <c r="H12" s="45">
        <v>0</v>
      </c>
      <c r="I12" s="42">
        <v>0</v>
      </c>
      <c r="J12" s="43">
        <v>0</v>
      </c>
      <c r="K12" s="42">
        <v>0</v>
      </c>
      <c r="L12" s="43">
        <v>0</v>
      </c>
      <c r="M12" s="42">
        <v>0</v>
      </c>
      <c r="N12" s="43">
        <v>0</v>
      </c>
      <c r="O12" s="42">
        <v>0</v>
      </c>
      <c r="P12" s="43">
        <v>0</v>
      </c>
      <c r="Q12" s="46">
        <f t="shared" si="0"/>
        <v>1</v>
      </c>
      <c r="R12" s="47">
        <f t="shared" si="1"/>
        <v>1.6129032258064516E-3</v>
      </c>
    </row>
    <row r="13" spans="1:20" ht="18" customHeight="1" x14ac:dyDescent="0.2">
      <c r="A13" s="32"/>
      <c r="B13" s="68" t="s">
        <v>186</v>
      </c>
      <c r="C13" s="48">
        <v>205</v>
      </c>
      <c r="D13" s="41">
        <v>840</v>
      </c>
      <c r="E13" s="42">
        <v>0</v>
      </c>
      <c r="F13" s="43">
        <v>0</v>
      </c>
      <c r="G13" s="44">
        <v>0</v>
      </c>
      <c r="H13" s="45">
        <v>0</v>
      </c>
      <c r="I13" s="42">
        <v>0</v>
      </c>
      <c r="J13" s="43">
        <v>0</v>
      </c>
      <c r="K13" s="42">
        <v>0</v>
      </c>
      <c r="L13" s="43">
        <v>0</v>
      </c>
      <c r="M13" s="42">
        <v>0</v>
      </c>
      <c r="N13" s="43">
        <v>0</v>
      </c>
      <c r="O13" s="42">
        <v>0</v>
      </c>
      <c r="P13" s="43">
        <v>0</v>
      </c>
      <c r="Q13" s="46">
        <f t="shared" si="0"/>
        <v>0</v>
      </c>
      <c r="R13" s="47">
        <f t="shared" si="1"/>
        <v>0</v>
      </c>
    </row>
    <row r="14" spans="1:20" ht="18" customHeight="1" x14ac:dyDescent="0.2">
      <c r="A14" s="32"/>
      <c r="B14" s="68" t="s">
        <v>187</v>
      </c>
      <c r="C14" s="48">
        <v>135</v>
      </c>
      <c r="D14" s="41">
        <v>560</v>
      </c>
      <c r="E14" s="42">
        <v>2</v>
      </c>
      <c r="F14" s="43">
        <v>2</v>
      </c>
      <c r="G14" s="44">
        <v>2</v>
      </c>
      <c r="H14" s="45">
        <v>2</v>
      </c>
      <c r="I14" s="42">
        <v>0</v>
      </c>
      <c r="J14" s="43">
        <v>0</v>
      </c>
      <c r="K14" s="42">
        <v>0</v>
      </c>
      <c r="L14" s="43">
        <v>0</v>
      </c>
      <c r="M14" s="42">
        <v>0</v>
      </c>
      <c r="N14" s="43">
        <v>0</v>
      </c>
      <c r="O14" s="42">
        <v>0</v>
      </c>
      <c r="P14" s="43">
        <v>0</v>
      </c>
      <c r="Q14" s="46">
        <f t="shared" si="0"/>
        <v>4</v>
      </c>
      <c r="R14" s="47">
        <f t="shared" si="1"/>
        <v>7.1428571428571426E-3</v>
      </c>
    </row>
    <row r="15" spans="1:20" ht="18" customHeight="1" x14ac:dyDescent="0.2">
      <c r="A15" s="32"/>
      <c r="B15" s="68" t="s">
        <v>188</v>
      </c>
      <c r="C15" s="48">
        <v>270</v>
      </c>
      <c r="D15" s="41">
        <v>1080</v>
      </c>
      <c r="E15" s="42">
        <v>3</v>
      </c>
      <c r="F15" s="43">
        <v>2</v>
      </c>
      <c r="G15" s="44">
        <v>7</v>
      </c>
      <c r="H15" s="45">
        <v>6</v>
      </c>
      <c r="I15" s="42">
        <v>0</v>
      </c>
      <c r="J15" s="43">
        <v>0</v>
      </c>
      <c r="K15" s="42">
        <v>0</v>
      </c>
      <c r="L15" s="43">
        <v>0</v>
      </c>
      <c r="M15" s="42">
        <v>0</v>
      </c>
      <c r="N15" s="43">
        <v>0</v>
      </c>
      <c r="O15" s="42">
        <v>0</v>
      </c>
      <c r="P15" s="43">
        <v>0</v>
      </c>
      <c r="Q15" s="46">
        <f t="shared" si="0"/>
        <v>10</v>
      </c>
      <c r="R15" s="47">
        <f t="shared" si="1"/>
        <v>9.2592592592592587E-3</v>
      </c>
    </row>
    <row r="16" spans="1:20" ht="18" customHeight="1" x14ac:dyDescent="0.2">
      <c r="A16" s="32"/>
      <c r="B16" s="68" t="s">
        <v>189</v>
      </c>
      <c r="C16" s="48">
        <v>307</v>
      </c>
      <c r="D16" s="41">
        <v>1462</v>
      </c>
      <c r="E16" s="42">
        <v>2</v>
      </c>
      <c r="F16" s="43">
        <v>2</v>
      </c>
      <c r="G16" s="44">
        <v>0</v>
      </c>
      <c r="H16" s="45">
        <v>0</v>
      </c>
      <c r="I16" s="42">
        <v>0</v>
      </c>
      <c r="J16" s="43">
        <v>0</v>
      </c>
      <c r="K16" s="42">
        <v>0</v>
      </c>
      <c r="L16" s="43">
        <v>0</v>
      </c>
      <c r="M16" s="42">
        <v>0</v>
      </c>
      <c r="N16" s="43">
        <v>0</v>
      </c>
      <c r="O16" s="42">
        <v>0</v>
      </c>
      <c r="P16" s="43">
        <v>0</v>
      </c>
      <c r="Q16" s="46">
        <f t="shared" si="0"/>
        <v>2</v>
      </c>
      <c r="R16" s="47">
        <f t="shared" si="1"/>
        <v>1.3679890560875513E-3</v>
      </c>
    </row>
    <row r="17" spans="1:18" ht="18" customHeight="1" x14ac:dyDescent="0.2">
      <c r="A17" s="32"/>
      <c r="B17" s="68" t="s">
        <v>190</v>
      </c>
      <c r="C17" s="48">
        <v>680</v>
      </c>
      <c r="D17" s="41">
        <v>2720</v>
      </c>
      <c r="E17" s="42">
        <v>1</v>
      </c>
      <c r="F17" s="43">
        <v>1</v>
      </c>
      <c r="G17" s="44">
        <v>1</v>
      </c>
      <c r="H17" s="45">
        <v>1</v>
      </c>
      <c r="I17" s="42">
        <v>0</v>
      </c>
      <c r="J17" s="43">
        <v>0</v>
      </c>
      <c r="K17" s="42">
        <v>0</v>
      </c>
      <c r="L17" s="43">
        <v>0</v>
      </c>
      <c r="M17" s="42">
        <v>0</v>
      </c>
      <c r="N17" s="43">
        <v>0</v>
      </c>
      <c r="O17" s="42">
        <v>0</v>
      </c>
      <c r="P17" s="43">
        <v>0</v>
      </c>
      <c r="Q17" s="46">
        <f t="shared" si="0"/>
        <v>2</v>
      </c>
      <c r="R17" s="47">
        <f t="shared" si="1"/>
        <v>7.3529411764705881E-4</v>
      </c>
    </row>
    <row r="18" spans="1:18" ht="18" customHeight="1" x14ac:dyDescent="0.2">
      <c r="A18" s="32"/>
      <c r="B18" s="68" t="s">
        <v>191</v>
      </c>
      <c r="C18" s="48">
        <v>170</v>
      </c>
      <c r="D18" s="41">
        <v>680</v>
      </c>
      <c r="E18" s="42">
        <v>0</v>
      </c>
      <c r="F18" s="43">
        <v>0</v>
      </c>
      <c r="G18" s="44">
        <v>0</v>
      </c>
      <c r="H18" s="45">
        <v>0</v>
      </c>
      <c r="I18" s="42">
        <v>0</v>
      </c>
      <c r="J18" s="43">
        <v>0</v>
      </c>
      <c r="K18" s="42">
        <v>0</v>
      </c>
      <c r="L18" s="43">
        <v>0</v>
      </c>
      <c r="M18" s="42">
        <v>0</v>
      </c>
      <c r="N18" s="43">
        <v>0</v>
      </c>
      <c r="O18" s="42">
        <v>0</v>
      </c>
      <c r="P18" s="43">
        <v>0</v>
      </c>
      <c r="Q18" s="46">
        <f>E18+G18+I18+K18+M18+O18</f>
        <v>0</v>
      </c>
      <c r="R18" s="47">
        <f t="shared" si="1"/>
        <v>0</v>
      </c>
    </row>
    <row r="19" spans="1:18" ht="18" customHeight="1" x14ac:dyDescent="0.2">
      <c r="A19" s="32"/>
      <c r="B19" s="68"/>
      <c r="C19" s="48"/>
      <c r="D19" s="41"/>
      <c r="E19" s="42"/>
      <c r="F19" s="43"/>
      <c r="G19" s="44"/>
      <c r="H19" s="45"/>
      <c r="I19" s="42"/>
      <c r="J19" s="43"/>
      <c r="K19" s="44"/>
      <c r="L19" s="45"/>
      <c r="M19" s="42"/>
      <c r="N19" s="43"/>
      <c r="O19" s="44"/>
      <c r="P19" s="45"/>
      <c r="Q19" s="46">
        <f t="shared" si="0"/>
        <v>0</v>
      </c>
      <c r="R19" s="47" t="e">
        <f t="shared" si="1"/>
        <v>#DIV/0!</v>
      </c>
    </row>
    <row r="20" spans="1:18" ht="18" customHeight="1" x14ac:dyDescent="0.2">
      <c r="A20" s="32"/>
      <c r="B20" s="68"/>
      <c r="C20" s="48"/>
      <c r="D20" s="41"/>
      <c r="E20" s="42"/>
      <c r="F20" s="43"/>
      <c r="G20" s="44"/>
      <c r="H20" s="45"/>
      <c r="I20" s="42"/>
      <c r="J20" s="43"/>
      <c r="K20" s="44"/>
      <c r="L20" s="45"/>
      <c r="M20" s="42"/>
      <c r="N20" s="43"/>
      <c r="O20" s="44"/>
      <c r="P20" s="45"/>
      <c r="Q20" s="46">
        <f t="shared" si="0"/>
        <v>0</v>
      </c>
      <c r="R20" s="47" t="e">
        <f t="shared" si="1"/>
        <v>#DIV/0!</v>
      </c>
    </row>
    <row r="21" spans="1:18" ht="18" customHeight="1" x14ac:dyDescent="0.2">
      <c r="A21" s="32"/>
      <c r="B21" s="68"/>
      <c r="C21" s="48"/>
      <c r="D21" s="41"/>
      <c r="E21" s="42"/>
      <c r="F21" s="43"/>
      <c r="G21" s="44"/>
      <c r="H21" s="45"/>
      <c r="I21" s="42"/>
      <c r="J21" s="43"/>
      <c r="K21" s="44"/>
      <c r="L21" s="45"/>
      <c r="M21" s="42"/>
      <c r="N21" s="43"/>
      <c r="O21" s="44"/>
      <c r="P21" s="45"/>
      <c r="Q21" s="46">
        <f t="shared" si="0"/>
        <v>0</v>
      </c>
      <c r="R21" s="47" t="e">
        <f t="shared" si="1"/>
        <v>#DIV/0!</v>
      </c>
    </row>
    <row r="22" spans="1:18" ht="18" customHeight="1" x14ac:dyDescent="0.2">
      <c r="A22" s="32"/>
      <c r="B22" s="68"/>
      <c r="C22" s="48"/>
      <c r="D22" s="41"/>
      <c r="E22" s="42"/>
      <c r="F22" s="43"/>
      <c r="G22" s="44"/>
      <c r="H22" s="45"/>
      <c r="I22" s="42"/>
      <c r="J22" s="43"/>
      <c r="K22" s="44"/>
      <c r="L22" s="45"/>
      <c r="M22" s="42"/>
      <c r="N22" s="43"/>
      <c r="O22" s="44"/>
      <c r="P22" s="45"/>
      <c r="Q22" s="46">
        <f t="shared" si="0"/>
        <v>0</v>
      </c>
      <c r="R22" s="47" t="e">
        <f t="shared" si="1"/>
        <v>#DIV/0!</v>
      </c>
    </row>
    <row r="23" spans="1:18" ht="18" customHeight="1" x14ac:dyDescent="0.2">
      <c r="A23" s="32"/>
      <c r="B23" s="68"/>
      <c r="C23" s="48"/>
      <c r="D23" s="41"/>
      <c r="E23" s="42"/>
      <c r="F23" s="43"/>
      <c r="G23" s="44"/>
      <c r="H23" s="45"/>
      <c r="I23" s="42"/>
      <c r="J23" s="43"/>
      <c r="K23" s="44"/>
      <c r="L23" s="45"/>
      <c r="M23" s="42"/>
      <c r="N23" s="43"/>
      <c r="O23" s="44"/>
      <c r="P23" s="45"/>
      <c r="Q23" s="46">
        <f t="shared" si="0"/>
        <v>0</v>
      </c>
      <c r="R23" s="47" t="e">
        <f t="shared" si="1"/>
        <v>#DIV/0!</v>
      </c>
    </row>
    <row r="24" spans="1:18" ht="18" customHeight="1" x14ac:dyDescent="0.2">
      <c r="A24" s="32"/>
      <c r="B24" s="68"/>
      <c r="C24" s="48"/>
      <c r="D24" s="41"/>
      <c r="E24" s="42"/>
      <c r="F24" s="43"/>
      <c r="G24" s="44"/>
      <c r="H24" s="45"/>
      <c r="I24" s="42"/>
      <c r="J24" s="43"/>
      <c r="K24" s="44"/>
      <c r="L24" s="45"/>
      <c r="M24" s="42"/>
      <c r="N24" s="43"/>
      <c r="O24" s="44"/>
      <c r="P24" s="45"/>
      <c r="Q24" s="46">
        <f t="shared" si="0"/>
        <v>0</v>
      </c>
      <c r="R24" s="47" t="e">
        <f t="shared" si="1"/>
        <v>#DIV/0!</v>
      </c>
    </row>
    <row r="25" spans="1:18" ht="18" customHeight="1" x14ac:dyDescent="0.2">
      <c r="A25" s="32"/>
      <c r="B25" s="68"/>
      <c r="C25" s="48"/>
      <c r="D25" s="41"/>
      <c r="E25" s="42"/>
      <c r="F25" s="43"/>
      <c r="G25" s="44"/>
      <c r="H25" s="45"/>
      <c r="I25" s="42"/>
      <c r="J25" s="43"/>
      <c r="K25" s="44"/>
      <c r="L25" s="45"/>
      <c r="M25" s="42"/>
      <c r="N25" s="43"/>
      <c r="O25" s="44"/>
      <c r="P25" s="45"/>
      <c r="Q25" s="46">
        <f t="shared" si="0"/>
        <v>0</v>
      </c>
      <c r="R25" s="47" t="e">
        <f t="shared" si="1"/>
        <v>#DIV/0!</v>
      </c>
    </row>
    <row r="26" spans="1:18" ht="18" customHeight="1" x14ac:dyDescent="0.2">
      <c r="A26" s="32"/>
      <c r="B26" s="68"/>
      <c r="C26" s="48"/>
      <c r="D26" s="41"/>
      <c r="E26" s="42"/>
      <c r="F26" s="43"/>
      <c r="G26" s="44"/>
      <c r="H26" s="45"/>
      <c r="I26" s="42"/>
      <c r="J26" s="43"/>
      <c r="K26" s="44"/>
      <c r="L26" s="45"/>
      <c r="M26" s="42"/>
      <c r="N26" s="43"/>
      <c r="O26" s="44"/>
      <c r="P26" s="45"/>
      <c r="Q26" s="46">
        <f t="shared" si="0"/>
        <v>0</v>
      </c>
      <c r="R26" s="47" t="e">
        <f t="shared" si="1"/>
        <v>#DIV/0!</v>
      </c>
    </row>
    <row r="27" spans="1:18" ht="18" customHeight="1" x14ac:dyDescent="0.2">
      <c r="A27" s="32"/>
      <c r="B27" s="68"/>
      <c r="C27" s="40"/>
      <c r="D27" s="41"/>
      <c r="E27" s="42"/>
      <c r="F27" s="43"/>
      <c r="G27" s="44"/>
      <c r="H27" s="45"/>
      <c r="I27" s="42"/>
      <c r="J27" s="43"/>
      <c r="K27" s="44"/>
      <c r="L27" s="45"/>
      <c r="M27" s="42"/>
      <c r="N27" s="43"/>
      <c r="O27" s="44"/>
      <c r="P27" s="45"/>
      <c r="Q27" s="46">
        <f t="shared" si="0"/>
        <v>0</v>
      </c>
      <c r="R27" s="47" t="e">
        <f t="shared" si="1"/>
        <v>#DIV/0!</v>
      </c>
    </row>
    <row r="28" spans="1:18" ht="18" customHeight="1" x14ac:dyDescent="0.2">
      <c r="A28" s="32"/>
      <c r="B28" s="68"/>
      <c r="C28" s="40"/>
      <c r="D28" s="41"/>
      <c r="E28" s="42"/>
      <c r="F28" s="43"/>
      <c r="G28" s="44"/>
      <c r="H28" s="45"/>
      <c r="I28" s="42"/>
      <c r="J28" s="43"/>
      <c r="K28" s="44"/>
      <c r="L28" s="45"/>
      <c r="M28" s="42"/>
      <c r="N28" s="43"/>
      <c r="O28" s="44"/>
      <c r="P28" s="45"/>
      <c r="Q28" s="46">
        <f t="shared" si="0"/>
        <v>0</v>
      </c>
      <c r="R28" s="47" t="e">
        <f t="shared" si="1"/>
        <v>#DIV/0!</v>
      </c>
    </row>
    <row r="29" spans="1:18" ht="18" customHeight="1" thickBot="1" x14ac:dyDescent="0.25">
      <c r="A29" s="32"/>
      <c r="B29" s="69"/>
      <c r="C29" s="70"/>
      <c r="D29" s="33"/>
      <c r="E29" s="34"/>
      <c r="F29" s="35"/>
      <c r="G29" s="36"/>
      <c r="H29" s="37"/>
      <c r="I29" s="34"/>
      <c r="J29" s="35"/>
      <c r="K29" s="36"/>
      <c r="L29" s="37"/>
      <c r="M29" s="34"/>
      <c r="N29" s="35"/>
      <c r="O29" s="36"/>
      <c r="P29" s="37"/>
      <c r="Q29" s="49">
        <f t="shared" si="0"/>
        <v>0</v>
      </c>
      <c r="R29" s="39" t="e">
        <f t="shared" si="1"/>
        <v>#DIV/0!</v>
      </c>
    </row>
    <row r="30" spans="1:18" ht="18" customHeight="1" thickTop="1" x14ac:dyDescent="0.2">
      <c r="B30" s="71" t="s">
        <v>59</v>
      </c>
      <c r="C30" s="72">
        <f t="shared" ref="C30:Q30" si="2">SUM(C10:C29)</f>
        <v>2107</v>
      </c>
      <c r="D30" s="50">
        <f t="shared" si="2"/>
        <v>8762</v>
      </c>
      <c r="E30" s="51">
        <f t="shared" si="2"/>
        <v>11</v>
      </c>
      <c r="F30" s="52">
        <f t="shared" si="2"/>
        <v>10</v>
      </c>
      <c r="G30" s="53">
        <f t="shared" si="2"/>
        <v>10</v>
      </c>
      <c r="H30" s="54">
        <f t="shared" si="2"/>
        <v>9</v>
      </c>
      <c r="I30" s="51">
        <f t="shared" si="2"/>
        <v>0</v>
      </c>
      <c r="J30" s="52">
        <f t="shared" si="2"/>
        <v>0</v>
      </c>
      <c r="K30" s="53">
        <f t="shared" si="2"/>
        <v>0</v>
      </c>
      <c r="L30" s="54">
        <f t="shared" si="2"/>
        <v>0</v>
      </c>
      <c r="M30" s="51">
        <f t="shared" si="2"/>
        <v>0</v>
      </c>
      <c r="N30" s="52">
        <f t="shared" si="2"/>
        <v>0</v>
      </c>
      <c r="O30" s="53">
        <f t="shared" si="2"/>
        <v>0</v>
      </c>
      <c r="P30" s="54">
        <f t="shared" si="2"/>
        <v>0</v>
      </c>
      <c r="Q30" s="55">
        <f t="shared" si="2"/>
        <v>21</v>
      </c>
      <c r="R30" s="104">
        <f>Q30/D30</f>
        <v>2.3967130792056607E-3</v>
      </c>
    </row>
  </sheetData>
  <customSheetViews>
    <customSheetView guid="{F66F98FB-58AD-4588-B2BF-A96D7B6BA538}" showPageBreaks="1" printArea="1" view="pageBreakPreview">
      <selection activeCell="M25" sqref="M25"/>
      <pageMargins left="0.78740157480314965" right="0.78740157480314965" top="0.78740157480314965" bottom="0.59055118110236227" header="0.31496062992125984" footer="0.31496062992125984"/>
      <printOptions horizontalCentered="1"/>
      <pageSetup paperSize="9" orientation="landscape" r:id="rId1"/>
    </customSheetView>
    <customSheetView guid="{AB72F774-B35A-46F0-BC4F-A888CB0430C3}" showPageBreaks="1" printArea="1" view="pageBreakPreview">
      <selection activeCell="J24" sqref="J24"/>
      <pageMargins left="0.78740157480314965" right="0.78740157480314965" top="0.78740157480314965" bottom="0.59055118110236227" header="0.31496062992125984" footer="0.31496062992125984"/>
      <printOptions horizontalCentered="1"/>
      <pageSetup paperSize="9" orientation="landscape" r:id="rId2"/>
    </customSheetView>
    <customSheetView guid="{3F6F70B2-63B4-4C1B-8947-42666FB99B7C}" showPageBreaks="1" printArea="1" view="pageBreakPreview" topLeftCell="A4">
      <selection activeCell="M25" sqref="M25"/>
      <pageMargins left="0.78740157480314965" right="0.78740157480314965" top="0.78740157480314965" bottom="0.59055118110236227" header="0.31496062992125984" footer="0.31496062992125984"/>
      <printOptions horizontalCentered="1"/>
      <pageSetup paperSize="9" orientation="landscape" r:id="rId3"/>
    </customSheetView>
  </customSheetViews>
  <mergeCells count="14">
    <mergeCell ref="F1:R1"/>
    <mergeCell ref="A2:R2"/>
    <mergeCell ref="C4:D4"/>
    <mergeCell ref="B8:B9"/>
    <mergeCell ref="C8:C9"/>
    <mergeCell ref="D8:D9"/>
    <mergeCell ref="E8:F8"/>
    <mergeCell ref="G8:H8"/>
    <mergeCell ref="I8:J8"/>
    <mergeCell ref="K8:L8"/>
    <mergeCell ref="M8:N8"/>
    <mergeCell ref="O8:P8"/>
    <mergeCell ref="Q8:Q9"/>
    <mergeCell ref="R8:R9"/>
  </mergeCells>
  <phoneticPr fontId="1"/>
  <conditionalFormatting sqref="C4:D4">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orientation="landscape" r:id="rId4"/>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44"/>
  <sheetViews>
    <sheetView showZeros="0" view="pageBreakPreview" topLeftCell="A3" zoomScaleNormal="100" zoomScaleSheetLayoutView="100" workbookViewId="0">
      <selection activeCell="B26" sqref="B26"/>
    </sheetView>
  </sheetViews>
  <sheetFormatPr defaultColWidth="11.36328125" defaultRowHeight="18.75" customHeight="1" x14ac:dyDescent="0.2"/>
  <cols>
    <col min="1" max="1" width="2.7265625" style="101" customWidth="1"/>
    <col min="2" max="2" width="16.6328125" style="7" customWidth="1"/>
    <col min="3" max="3" width="8.90625" style="7" customWidth="1"/>
    <col min="4" max="4" width="2.26953125" style="7" customWidth="1"/>
    <col min="5" max="5" width="16.6328125" style="7" customWidth="1"/>
    <col min="6" max="6" width="8.90625" style="7" customWidth="1"/>
    <col min="7" max="7" width="2.26953125" style="7" customWidth="1"/>
    <col min="8" max="8" width="16.6328125" style="7" customWidth="1"/>
    <col min="9" max="9" width="8.90625" style="7" customWidth="1"/>
    <col min="10" max="10" width="2.26953125" style="7" customWidth="1"/>
    <col min="11" max="16384" width="11.36328125" style="7"/>
  </cols>
  <sheetData>
    <row r="1" spans="1:11" ht="18.75" customHeight="1" x14ac:dyDescent="0.2">
      <c r="A1" s="101" t="s">
        <v>117</v>
      </c>
      <c r="J1" s="107" t="s">
        <v>118</v>
      </c>
    </row>
    <row r="2" spans="1:11" ht="18.75" customHeight="1" x14ac:dyDescent="0.2">
      <c r="A2" s="167" t="s">
        <v>66</v>
      </c>
      <c r="B2" s="167"/>
      <c r="C2" s="167"/>
      <c r="D2" s="167"/>
      <c r="E2" s="167"/>
      <c r="F2" s="167"/>
      <c r="G2" s="167"/>
      <c r="H2" s="167"/>
      <c r="I2" s="167"/>
      <c r="J2" s="167"/>
    </row>
    <row r="3" spans="1:11" ht="7.5" customHeight="1" x14ac:dyDescent="0.2">
      <c r="B3" s="21"/>
      <c r="C3" s="21"/>
      <c r="D3" s="21"/>
      <c r="E3" s="21"/>
      <c r="F3" s="21"/>
      <c r="G3" s="21"/>
      <c r="H3" s="21"/>
      <c r="I3" s="21"/>
      <c r="J3" s="21"/>
    </row>
    <row r="4" spans="1:11" ht="18.75" customHeight="1" x14ac:dyDescent="0.2">
      <c r="A4" s="7" t="s">
        <v>6</v>
      </c>
      <c r="B4" s="7" t="s">
        <v>76</v>
      </c>
      <c r="I4" s="21"/>
      <c r="J4" s="21"/>
    </row>
    <row r="5" spans="1:11" ht="18.75" customHeight="1" x14ac:dyDescent="0.2">
      <c r="A5" s="7"/>
      <c r="B5" s="129" t="s">
        <v>234</v>
      </c>
      <c r="C5" s="130"/>
      <c r="D5" s="130"/>
      <c r="E5" s="130"/>
      <c r="F5" s="130"/>
      <c r="G5" s="130"/>
      <c r="H5" s="130"/>
      <c r="I5" s="130"/>
      <c r="J5" s="233"/>
      <c r="K5" s="7" t="str">
        <f>IF(B5="","入力してください","")</f>
        <v/>
      </c>
    </row>
    <row r="6" spans="1:11" ht="7.5" customHeight="1" x14ac:dyDescent="0.2">
      <c r="B6" s="21"/>
      <c r="C6" s="21"/>
      <c r="D6" s="21"/>
      <c r="E6" s="21"/>
      <c r="F6" s="21"/>
      <c r="G6" s="21"/>
      <c r="H6" s="21"/>
      <c r="I6" s="21"/>
      <c r="J6" s="21"/>
    </row>
    <row r="7" spans="1:11" ht="18.75" customHeight="1" x14ac:dyDescent="0.2">
      <c r="A7" s="7" t="s">
        <v>10</v>
      </c>
      <c r="B7" s="7" t="s">
        <v>41</v>
      </c>
      <c r="K7" s="8"/>
    </row>
    <row r="8" spans="1:11" ht="18.75" customHeight="1" x14ac:dyDescent="0.2">
      <c r="A8" s="113"/>
      <c r="B8" s="291" t="s">
        <v>192</v>
      </c>
      <c r="C8" s="292"/>
      <c r="D8" s="292"/>
      <c r="E8" s="292"/>
      <c r="F8" s="292"/>
      <c r="G8" s="292"/>
      <c r="H8" s="292"/>
      <c r="I8" s="293"/>
      <c r="J8" s="294"/>
      <c r="K8" s="7" t="str">
        <f>IF(B8="","入力してください","")</f>
        <v/>
      </c>
    </row>
    <row r="9" spans="1:11" ht="18.75" customHeight="1" x14ac:dyDescent="0.2">
      <c r="A9" s="113"/>
      <c r="B9" s="295"/>
      <c r="C9" s="296"/>
      <c r="D9" s="296"/>
      <c r="E9" s="296"/>
      <c r="F9" s="296"/>
      <c r="G9" s="296"/>
      <c r="H9" s="296"/>
      <c r="I9" s="296"/>
      <c r="J9" s="297"/>
    </row>
    <row r="10" spans="1:11" ht="18.75" customHeight="1" x14ac:dyDescent="0.2">
      <c r="A10" s="113"/>
      <c r="B10" s="295"/>
      <c r="C10" s="296"/>
      <c r="D10" s="296"/>
      <c r="E10" s="296"/>
      <c r="F10" s="296"/>
      <c r="G10" s="296"/>
      <c r="H10" s="296"/>
      <c r="I10" s="296"/>
      <c r="J10" s="297"/>
    </row>
    <row r="11" spans="1:11" ht="18.75" customHeight="1" x14ac:dyDescent="0.2">
      <c r="A11" s="113"/>
      <c r="B11" s="295"/>
      <c r="C11" s="296"/>
      <c r="D11" s="296"/>
      <c r="E11" s="296"/>
      <c r="F11" s="296"/>
      <c r="G11" s="296"/>
      <c r="H11" s="296"/>
      <c r="I11" s="296"/>
      <c r="J11" s="297"/>
    </row>
    <row r="12" spans="1:11" ht="18.75" customHeight="1" x14ac:dyDescent="0.2">
      <c r="A12" s="113"/>
      <c r="B12" s="298"/>
      <c r="C12" s="299"/>
      <c r="D12" s="299"/>
      <c r="E12" s="299"/>
      <c r="F12" s="299"/>
      <c r="G12" s="299"/>
      <c r="H12" s="299"/>
      <c r="I12" s="299"/>
      <c r="J12" s="300"/>
    </row>
    <row r="13" spans="1:11" ht="7.5" customHeight="1" x14ac:dyDescent="0.2">
      <c r="A13" s="113"/>
      <c r="B13" s="113"/>
      <c r="C13" s="113"/>
      <c r="D13" s="113"/>
      <c r="E13" s="113"/>
      <c r="F13" s="113"/>
      <c r="G13" s="113"/>
      <c r="H13" s="113"/>
      <c r="I13" s="113"/>
      <c r="J13" s="113"/>
    </row>
    <row r="14" spans="1:11" ht="18.75" customHeight="1" x14ac:dyDescent="0.2">
      <c r="A14" s="111" t="s">
        <v>11</v>
      </c>
      <c r="B14" s="111" t="s">
        <v>16</v>
      </c>
      <c r="C14" s="111"/>
      <c r="D14" s="111"/>
      <c r="E14" s="111"/>
      <c r="F14" s="111"/>
      <c r="G14" s="111"/>
      <c r="H14" s="111"/>
      <c r="I14" s="111"/>
      <c r="J14" s="111"/>
    </row>
    <row r="15" spans="1:11" ht="18.75" customHeight="1" x14ac:dyDescent="0.2">
      <c r="A15" s="113"/>
      <c r="B15" s="291" t="s">
        <v>248</v>
      </c>
      <c r="C15" s="292"/>
      <c r="D15" s="292"/>
      <c r="E15" s="292"/>
      <c r="F15" s="292"/>
      <c r="G15" s="292"/>
      <c r="H15" s="292"/>
      <c r="I15" s="293"/>
      <c r="J15" s="294"/>
      <c r="K15" s="7" t="str">
        <f>IF(B15="","入力してください","")</f>
        <v/>
      </c>
    </row>
    <row r="16" spans="1:11" ht="18.75" customHeight="1" x14ac:dyDescent="0.2">
      <c r="A16" s="113"/>
      <c r="B16" s="295"/>
      <c r="C16" s="296"/>
      <c r="D16" s="296"/>
      <c r="E16" s="296"/>
      <c r="F16" s="296"/>
      <c r="G16" s="296"/>
      <c r="H16" s="296"/>
      <c r="I16" s="296"/>
      <c r="J16" s="297"/>
    </row>
    <row r="17" spans="1:11" ht="18.75" customHeight="1" x14ac:dyDescent="0.2">
      <c r="A17" s="113"/>
      <c r="B17" s="295"/>
      <c r="C17" s="296"/>
      <c r="D17" s="296"/>
      <c r="E17" s="296"/>
      <c r="F17" s="296"/>
      <c r="G17" s="296"/>
      <c r="H17" s="296"/>
      <c r="I17" s="296"/>
      <c r="J17" s="297"/>
    </row>
    <row r="18" spans="1:11" ht="18.75" customHeight="1" x14ac:dyDescent="0.2">
      <c r="A18" s="113"/>
      <c r="B18" s="295"/>
      <c r="C18" s="296"/>
      <c r="D18" s="296"/>
      <c r="E18" s="296"/>
      <c r="F18" s="296"/>
      <c r="G18" s="296"/>
      <c r="H18" s="296"/>
      <c r="I18" s="296"/>
      <c r="J18" s="297"/>
    </row>
    <row r="19" spans="1:11" ht="18.75" customHeight="1" x14ac:dyDescent="0.2">
      <c r="A19" s="113"/>
      <c r="B19" s="295"/>
      <c r="C19" s="296"/>
      <c r="D19" s="296"/>
      <c r="E19" s="296"/>
      <c r="F19" s="296"/>
      <c r="G19" s="296"/>
      <c r="H19" s="296"/>
      <c r="I19" s="296"/>
      <c r="J19" s="297"/>
    </row>
    <row r="20" spans="1:11" ht="18.75" customHeight="1" x14ac:dyDescent="0.2">
      <c r="A20" s="113"/>
      <c r="B20" s="295"/>
      <c r="C20" s="296"/>
      <c r="D20" s="296"/>
      <c r="E20" s="296"/>
      <c r="F20" s="296"/>
      <c r="G20" s="296"/>
      <c r="H20" s="296"/>
      <c r="I20" s="296"/>
      <c r="J20" s="297"/>
    </row>
    <row r="21" spans="1:11" ht="18.75" customHeight="1" x14ac:dyDescent="0.2">
      <c r="A21" s="113"/>
      <c r="B21" s="295"/>
      <c r="C21" s="296"/>
      <c r="D21" s="296"/>
      <c r="E21" s="296"/>
      <c r="F21" s="296"/>
      <c r="G21" s="296"/>
      <c r="H21" s="296"/>
      <c r="I21" s="296"/>
      <c r="J21" s="297"/>
    </row>
    <row r="22" spans="1:11" ht="18.75" customHeight="1" x14ac:dyDescent="0.2">
      <c r="A22" s="113"/>
      <c r="B22" s="295"/>
      <c r="C22" s="296"/>
      <c r="D22" s="296"/>
      <c r="E22" s="296"/>
      <c r="F22" s="296"/>
      <c r="G22" s="296"/>
      <c r="H22" s="296"/>
      <c r="I22" s="296"/>
      <c r="J22" s="297"/>
    </row>
    <row r="23" spans="1:11" ht="18.75" customHeight="1" x14ac:dyDescent="0.2">
      <c r="A23" s="113"/>
      <c r="B23" s="295"/>
      <c r="C23" s="296"/>
      <c r="D23" s="296"/>
      <c r="E23" s="296"/>
      <c r="F23" s="296"/>
      <c r="G23" s="296"/>
      <c r="H23" s="296"/>
      <c r="I23" s="296"/>
      <c r="J23" s="297"/>
    </row>
    <row r="24" spans="1:11" ht="18.75" customHeight="1" x14ac:dyDescent="0.2">
      <c r="A24" s="113"/>
      <c r="B24" s="295"/>
      <c r="C24" s="296"/>
      <c r="D24" s="296"/>
      <c r="E24" s="296"/>
      <c r="F24" s="296"/>
      <c r="G24" s="296"/>
      <c r="H24" s="296"/>
      <c r="I24" s="296"/>
      <c r="J24" s="297"/>
    </row>
    <row r="25" spans="1:11" ht="18.75" customHeight="1" x14ac:dyDescent="0.2">
      <c r="A25" s="113"/>
      <c r="B25" s="298"/>
      <c r="C25" s="299"/>
      <c r="D25" s="299"/>
      <c r="E25" s="299"/>
      <c r="F25" s="299"/>
      <c r="G25" s="299"/>
      <c r="H25" s="299"/>
      <c r="I25" s="299"/>
      <c r="J25" s="300"/>
    </row>
    <row r="26" spans="1:11" ht="7.5" customHeight="1" x14ac:dyDescent="0.2">
      <c r="A26" s="93"/>
      <c r="B26" s="93"/>
      <c r="C26" s="93"/>
      <c r="D26" s="93"/>
      <c r="E26" s="93"/>
      <c r="F26" s="93"/>
      <c r="G26" s="93"/>
      <c r="H26" s="93"/>
      <c r="I26" s="93"/>
      <c r="J26" s="93"/>
    </row>
    <row r="27" spans="1:11" ht="18.75" customHeight="1" x14ac:dyDescent="0.2">
      <c r="A27" s="7" t="s">
        <v>14</v>
      </c>
      <c r="B27" s="7" t="s">
        <v>27</v>
      </c>
    </row>
    <row r="28" spans="1:11" s="21" customFormat="1" ht="18.75" customHeight="1" x14ac:dyDescent="0.2">
      <c r="B28" s="73" t="s">
        <v>119</v>
      </c>
      <c r="C28" s="105">
        <f>'様式３　履修者等数の実績'!R30</f>
        <v>2.3967130792056607E-3</v>
      </c>
      <c r="D28" s="75"/>
      <c r="E28" s="75" t="s">
        <v>120</v>
      </c>
      <c r="F28" s="74">
        <v>0.25</v>
      </c>
      <c r="G28" s="75"/>
      <c r="H28" s="75" t="s">
        <v>121</v>
      </c>
      <c r="I28" s="76">
        <v>0.5</v>
      </c>
      <c r="J28" s="77"/>
      <c r="K28" s="7"/>
    </row>
    <row r="29" spans="1:11" s="21" customFormat="1" ht="18.75" customHeight="1" x14ac:dyDescent="0.2">
      <c r="B29" s="63" t="s">
        <v>122</v>
      </c>
      <c r="C29" s="78">
        <v>0.75</v>
      </c>
      <c r="D29" s="64"/>
      <c r="E29" s="64" t="s">
        <v>123</v>
      </c>
      <c r="F29" s="78">
        <v>1</v>
      </c>
      <c r="G29" s="64"/>
      <c r="H29" s="64" t="s">
        <v>124</v>
      </c>
      <c r="I29" s="79">
        <f>'様式３　履修者等数の実績'!D30</f>
        <v>8762</v>
      </c>
      <c r="J29" s="80"/>
      <c r="K29" s="8"/>
    </row>
    <row r="30" spans="1:11" ht="18.75" customHeight="1" x14ac:dyDescent="0.2">
      <c r="A30" s="7"/>
      <c r="B30" s="205" t="s">
        <v>125</v>
      </c>
      <c r="C30" s="206"/>
      <c r="D30" s="206"/>
      <c r="E30" s="206"/>
      <c r="F30" s="206"/>
      <c r="G30" s="206"/>
      <c r="H30" s="206"/>
      <c r="I30" s="206"/>
      <c r="J30" s="207"/>
      <c r="K30" s="8"/>
    </row>
    <row r="31" spans="1:11" ht="18.75" customHeight="1" x14ac:dyDescent="0.2">
      <c r="A31" s="7"/>
      <c r="B31" s="282" t="s">
        <v>193</v>
      </c>
      <c r="C31" s="283"/>
      <c r="D31" s="283"/>
      <c r="E31" s="283"/>
      <c r="F31" s="283"/>
      <c r="G31" s="283"/>
      <c r="H31" s="283"/>
      <c r="I31" s="283"/>
      <c r="J31" s="284"/>
      <c r="K31" s="8" t="str">
        <f>IF(B31="","入力してください","")</f>
        <v/>
      </c>
    </row>
    <row r="32" spans="1:11" ht="18.75" customHeight="1" x14ac:dyDescent="0.2">
      <c r="A32" s="7"/>
      <c r="B32" s="285"/>
      <c r="C32" s="286"/>
      <c r="D32" s="286"/>
      <c r="E32" s="286"/>
      <c r="F32" s="286"/>
      <c r="G32" s="286"/>
      <c r="H32" s="286"/>
      <c r="I32" s="286"/>
      <c r="J32" s="287"/>
      <c r="K32" s="8"/>
    </row>
    <row r="33" spans="1:11" ht="16" customHeight="1" x14ac:dyDescent="0.2">
      <c r="A33" s="7"/>
      <c r="B33" s="285"/>
      <c r="C33" s="286"/>
      <c r="D33" s="286"/>
      <c r="E33" s="286"/>
      <c r="F33" s="286"/>
      <c r="G33" s="286"/>
      <c r="H33" s="286"/>
      <c r="I33" s="286"/>
      <c r="J33" s="287"/>
      <c r="K33" s="8"/>
    </row>
    <row r="34" spans="1:11" ht="16" customHeight="1" x14ac:dyDescent="0.2">
      <c r="A34" s="7"/>
      <c r="B34" s="285"/>
      <c r="C34" s="286"/>
      <c r="D34" s="286"/>
      <c r="E34" s="286"/>
      <c r="F34" s="286"/>
      <c r="G34" s="286"/>
      <c r="H34" s="286"/>
      <c r="I34" s="286"/>
      <c r="J34" s="287"/>
      <c r="K34" s="8"/>
    </row>
    <row r="35" spans="1:11" ht="16" customHeight="1" x14ac:dyDescent="0.2">
      <c r="A35" s="7"/>
      <c r="B35" s="285"/>
      <c r="C35" s="286"/>
      <c r="D35" s="286"/>
      <c r="E35" s="286"/>
      <c r="F35" s="286"/>
      <c r="G35" s="286"/>
      <c r="H35" s="286"/>
      <c r="I35" s="286"/>
      <c r="J35" s="287"/>
      <c r="K35" s="8"/>
    </row>
    <row r="36" spans="1:11" ht="16" customHeight="1" x14ac:dyDescent="0.2">
      <c r="A36" s="7"/>
      <c r="B36" s="285"/>
      <c r="C36" s="286"/>
      <c r="D36" s="286"/>
      <c r="E36" s="286"/>
      <c r="F36" s="286"/>
      <c r="G36" s="286"/>
      <c r="H36" s="286"/>
      <c r="I36" s="286"/>
      <c r="J36" s="287"/>
      <c r="K36" s="8"/>
    </row>
    <row r="37" spans="1:11" ht="16" customHeight="1" x14ac:dyDescent="0.2">
      <c r="A37" s="7"/>
      <c r="B37" s="285"/>
      <c r="C37" s="286"/>
      <c r="D37" s="286"/>
      <c r="E37" s="286"/>
      <c r="F37" s="286"/>
      <c r="G37" s="286"/>
      <c r="H37" s="286"/>
      <c r="I37" s="286"/>
      <c r="J37" s="287"/>
      <c r="K37" s="8"/>
    </row>
    <row r="38" spans="1:11" ht="16" customHeight="1" x14ac:dyDescent="0.2">
      <c r="A38" s="7"/>
      <c r="B38" s="285"/>
      <c r="C38" s="286"/>
      <c r="D38" s="286"/>
      <c r="E38" s="286"/>
      <c r="F38" s="286"/>
      <c r="G38" s="286"/>
      <c r="H38" s="286"/>
      <c r="I38" s="286"/>
      <c r="J38" s="287"/>
      <c r="K38" s="8"/>
    </row>
    <row r="39" spans="1:11" ht="16" customHeight="1" x14ac:dyDescent="0.2">
      <c r="A39" s="7"/>
      <c r="B39" s="285"/>
      <c r="C39" s="286"/>
      <c r="D39" s="286"/>
      <c r="E39" s="286"/>
      <c r="F39" s="286"/>
      <c r="G39" s="286"/>
      <c r="H39" s="286"/>
      <c r="I39" s="286"/>
      <c r="J39" s="287"/>
      <c r="K39" s="8"/>
    </row>
    <row r="40" spans="1:11" ht="16" customHeight="1" x14ac:dyDescent="0.2">
      <c r="A40" s="7"/>
      <c r="B40" s="285"/>
      <c r="C40" s="286"/>
      <c r="D40" s="286"/>
      <c r="E40" s="286"/>
      <c r="F40" s="286"/>
      <c r="G40" s="286"/>
      <c r="H40" s="286"/>
      <c r="I40" s="286"/>
      <c r="J40" s="287"/>
      <c r="K40" s="8"/>
    </row>
    <row r="41" spans="1:11" ht="16" customHeight="1" x14ac:dyDescent="0.2">
      <c r="A41" s="7"/>
      <c r="B41" s="285"/>
      <c r="C41" s="286"/>
      <c r="D41" s="286"/>
      <c r="E41" s="286"/>
      <c r="F41" s="286"/>
      <c r="G41" s="286"/>
      <c r="H41" s="286"/>
      <c r="I41" s="286"/>
      <c r="J41" s="287"/>
      <c r="K41" s="8"/>
    </row>
    <row r="42" spans="1:11" ht="16" customHeight="1" x14ac:dyDescent="0.2">
      <c r="A42" s="7"/>
      <c r="B42" s="285"/>
      <c r="C42" s="286"/>
      <c r="D42" s="286"/>
      <c r="E42" s="286"/>
      <c r="F42" s="286"/>
      <c r="G42" s="286"/>
      <c r="H42" s="286"/>
      <c r="I42" s="286"/>
      <c r="J42" s="287"/>
      <c r="K42" s="8"/>
    </row>
    <row r="43" spans="1:11" ht="16" customHeight="1" x14ac:dyDescent="0.2">
      <c r="A43" s="93"/>
      <c r="B43" s="285"/>
      <c r="C43" s="286"/>
      <c r="D43" s="286"/>
      <c r="E43" s="286"/>
      <c r="F43" s="286"/>
      <c r="G43" s="286"/>
      <c r="H43" s="286"/>
      <c r="I43" s="286"/>
      <c r="J43" s="287"/>
      <c r="K43" s="8"/>
    </row>
    <row r="44" spans="1:11" ht="18.75" customHeight="1" x14ac:dyDescent="0.2">
      <c r="A44" s="93"/>
      <c r="B44" s="288"/>
      <c r="C44" s="289"/>
      <c r="D44" s="289"/>
      <c r="E44" s="289"/>
      <c r="F44" s="289"/>
      <c r="G44" s="289"/>
      <c r="H44" s="289"/>
      <c r="I44" s="289"/>
      <c r="J44" s="290"/>
    </row>
    <row r="45" spans="1:11" ht="18.75" customHeight="1" x14ac:dyDescent="0.2">
      <c r="A45" s="111" t="s">
        <v>12</v>
      </c>
      <c r="B45" s="7" t="s">
        <v>67</v>
      </c>
      <c r="I45" s="111"/>
      <c r="J45" s="111"/>
    </row>
    <row r="46" spans="1:11" ht="18.75" customHeight="1" x14ac:dyDescent="0.2">
      <c r="A46" s="93"/>
      <c r="B46" s="291" t="s">
        <v>194</v>
      </c>
      <c r="C46" s="292"/>
      <c r="D46" s="292"/>
      <c r="E46" s="292"/>
      <c r="F46" s="292"/>
      <c r="G46" s="292"/>
      <c r="H46" s="292"/>
      <c r="I46" s="292"/>
      <c r="J46" s="301"/>
      <c r="K46" s="7" t="str">
        <f>IF(B46="","入力してください","")</f>
        <v/>
      </c>
    </row>
    <row r="47" spans="1:11" ht="18.75" customHeight="1" x14ac:dyDescent="0.2">
      <c r="A47" s="93"/>
      <c r="B47" s="302"/>
      <c r="C47" s="303"/>
      <c r="D47" s="303"/>
      <c r="E47" s="303"/>
      <c r="F47" s="303"/>
      <c r="G47" s="303"/>
      <c r="H47" s="303"/>
      <c r="I47" s="303"/>
      <c r="J47" s="304"/>
    </row>
    <row r="48" spans="1:11" ht="18.75" customHeight="1" x14ac:dyDescent="0.2">
      <c r="A48" s="93"/>
      <c r="B48" s="302"/>
      <c r="C48" s="303"/>
      <c r="D48" s="303"/>
      <c r="E48" s="303"/>
      <c r="F48" s="303"/>
      <c r="G48" s="303"/>
      <c r="H48" s="303"/>
      <c r="I48" s="303"/>
      <c r="J48" s="304"/>
    </row>
    <row r="49" spans="1:10" ht="18.75" customHeight="1" x14ac:dyDescent="0.2">
      <c r="A49" s="93"/>
      <c r="B49" s="302"/>
      <c r="C49" s="303"/>
      <c r="D49" s="303"/>
      <c r="E49" s="303"/>
      <c r="F49" s="303"/>
      <c r="G49" s="303"/>
      <c r="H49" s="303"/>
      <c r="I49" s="303"/>
      <c r="J49" s="304"/>
    </row>
    <row r="50" spans="1:10" ht="15" customHeight="1" x14ac:dyDescent="0.2">
      <c r="A50" s="93"/>
      <c r="B50" s="302"/>
      <c r="C50" s="303"/>
      <c r="D50" s="303"/>
      <c r="E50" s="303"/>
      <c r="F50" s="303"/>
      <c r="G50" s="303"/>
      <c r="H50" s="303"/>
      <c r="I50" s="303"/>
      <c r="J50" s="304"/>
    </row>
    <row r="51" spans="1:10" ht="15" customHeight="1" x14ac:dyDescent="0.2">
      <c r="A51" s="93"/>
      <c r="B51" s="302"/>
      <c r="C51" s="303"/>
      <c r="D51" s="303"/>
      <c r="E51" s="303"/>
      <c r="F51" s="303"/>
      <c r="G51" s="303"/>
      <c r="H51" s="303"/>
      <c r="I51" s="303"/>
      <c r="J51" s="304"/>
    </row>
    <row r="52" spans="1:10" ht="15" customHeight="1" x14ac:dyDescent="0.2">
      <c r="A52" s="93"/>
      <c r="B52" s="302"/>
      <c r="C52" s="303"/>
      <c r="D52" s="303"/>
      <c r="E52" s="303"/>
      <c r="F52" s="303"/>
      <c r="G52" s="303"/>
      <c r="H52" s="303"/>
      <c r="I52" s="303"/>
      <c r="J52" s="304"/>
    </row>
    <row r="53" spans="1:10" ht="15" customHeight="1" x14ac:dyDescent="0.2">
      <c r="A53" s="93"/>
      <c r="B53" s="302"/>
      <c r="C53" s="303"/>
      <c r="D53" s="303"/>
      <c r="E53" s="303"/>
      <c r="F53" s="303"/>
      <c r="G53" s="303"/>
      <c r="H53" s="303"/>
      <c r="I53" s="303"/>
      <c r="J53" s="304"/>
    </row>
    <row r="54" spans="1:10" ht="15" customHeight="1" x14ac:dyDescent="0.2">
      <c r="A54" s="93"/>
      <c r="B54" s="302"/>
      <c r="C54" s="303"/>
      <c r="D54" s="303"/>
      <c r="E54" s="303"/>
      <c r="F54" s="303"/>
      <c r="G54" s="303"/>
      <c r="H54" s="303"/>
      <c r="I54" s="303"/>
      <c r="J54" s="304"/>
    </row>
    <row r="55" spans="1:10" ht="15" customHeight="1" x14ac:dyDescent="0.2">
      <c r="A55" s="93"/>
      <c r="B55" s="302"/>
      <c r="C55" s="303"/>
      <c r="D55" s="303"/>
      <c r="E55" s="303"/>
      <c r="F55" s="303"/>
      <c r="G55" s="303"/>
      <c r="H55" s="303"/>
      <c r="I55" s="303"/>
      <c r="J55" s="304"/>
    </row>
    <row r="56" spans="1:10" ht="15" customHeight="1" x14ac:dyDescent="0.2">
      <c r="A56" s="93"/>
      <c r="B56" s="302"/>
      <c r="C56" s="303"/>
      <c r="D56" s="303"/>
      <c r="E56" s="303"/>
      <c r="F56" s="303"/>
      <c r="G56" s="303"/>
      <c r="H56" s="303"/>
      <c r="I56" s="303"/>
      <c r="J56" s="304"/>
    </row>
    <row r="57" spans="1:10" ht="15" customHeight="1" x14ac:dyDescent="0.2">
      <c r="A57" s="93"/>
      <c r="B57" s="302"/>
      <c r="C57" s="303"/>
      <c r="D57" s="303"/>
      <c r="E57" s="303"/>
      <c r="F57" s="303"/>
      <c r="G57" s="303"/>
      <c r="H57" s="303"/>
      <c r="I57" s="303"/>
      <c r="J57" s="304"/>
    </row>
    <row r="58" spans="1:10" ht="15" customHeight="1" x14ac:dyDescent="0.2">
      <c r="A58" s="93"/>
      <c r="B58" s="302"/>
      <c r="C58" s="303"/>
      <c r="D58" s="303"/>
      <c r="E58" s="303"/>
      <c r="F58" s="303"/>
      <c r="G58" s="303"/>
      <c r="H58" s="303"/>
      <c r="I58" s="303"/>
      <c r="J58" s="304"/>
    </row>
    <row r="59" spans="1:10" ht="15" customHeight="1" x14ac:dyDescent="0.2">
      <c r="A59" s="93"/>
      <c r="B59" s="302"/>
      <c r="C59" s="303"/>
      <c r="D59" s="303"/>
      <c r="E59" s="303"/>
      <c r="F59" s="303"/>
      <c r="G59" s="303"/>
      <c r="H59" s="303"/>
      <c r="I59" s="303"/>
      <c r="J59" s="304"/>
    </row>
    <row r="60" spans="1:10" ht="15" customHeight="1" x14ac:dyDescent="0.2">
      <c r="A60" s="93"/>
      <c r="B60" s="302"/>
      <c r="C60" s="303"/>
      <c r="D60" s="303"/>
      <c r="E60" s="303"/>
      <c r="F60" s="303"/>
      <c r="G60" s="303"/>
      <c r="H60" s="303"/>
      <c r="I60" s="303"/>
      <c r="J60" s="304"/>
    </row>
    <row r="61" spans="1:10" ht="15" customHeight="1" x14ac:dyDescent="0.2">
      <c r="A61" s="93"/>
      <c r="B61" s="302"/>
      <c r="C61" s="303"/>
      <c r="D61" s="303"/>
      <c r="E61" s="303"/>
      <c r="F61" s="303"/>
      <c r="G61" s="303"/>
      <c r="H61" s="303"/>
      <c r="I61" s="303"/>
      <c r="J61" s="304"/>
    </row>
    <row r="62" spans="1:10" ht="15" customHeight="1" x14ac:dyDescent="0.2">
      <c r="A62" s="93"/>
      <c r="B62" s="302"/>
      <c r="C62" s="303"/>
      <c r="D62" s="303"/>
      <c r="E62" s="303"/>
      <c r="F62" s="303"/>
      <c r="G62" s="303"/>
      <c r="H62" s="303"/>
      <c r="I62" s="303"/>
      <c r="J62" s="304"/>
    </row>
    <row r="63" spans="1:10" ht="15" customHeight="1" x14ac:dyDescent="0.2">
      <c r="A63" s="93"/>
      <c r="B63" s="302"/>
      <c r="C63" s="303"/>
      <c r="D63" s="303"/>
      <c r="E63" s="303"/>
      <c r="F63" s="303"/>
      <c r="G63" s="303"/>
      <c r="H63" s="303"/>
      <c r="I63" s="303"/>
      <c r="J63" s="304"/>
    </row>
    <row r="64" spans="1:10" ht="15" customHeight="1" x14ac:dyDescent="0.2">
      <c r="A64" s="93"/>
      <c r="B64" s="302"/>
      <c r="C64" s="303"/>
      <c r="D64" s="303"/>
      <c r="E64" s="303"/>
      <c r="F64" s="303"/>
      <c r="G64" s="303"/>
      <c r="H64" s="303"/>
      <c r="I64" s="303"/>
      <c r="J64" s="304"/>
    </row>
    <row r="65" spans="1:11" ht="15" customHeight="1" x14ac:dyDescent="0.2">
      <c r="A65" s="93"/>
      <c r="B65" s="302"/>
      <c r="C65" s="303"/>
      <c r="D65" s="303"/>
      <c r="E65" s="303"/>
      <c r="F65" s="303"/>
      <c r="G65" s="303"/>
      <c r="H65" s="303"/>
      <c r="I65" s="303"/>
      <c r="J65" s="304"/>
    </row>
    <row r="66" spans="1:11" ht="18.75" customHeight="1" x14ac:dyDescent="0.2">
      <c r="A66" s="93"/>
      <c r="B66" s="305"/>
      <c r="C66" s="306"/>
      <c r="D66" s="306"/>
      <c r="E66" s="306"/>
      <c r="F66" s="306"/>
      <c r="G66" s="306"/>
      <c r="H66" s="306"/>
      <c r="I66" s="306"/>
      <c r="J66" s="307"/>
    </row>
    <row r="67" spans="1:11" ht="7.5" customHeight="1" x14ac:dyDescent="0.2">
      <c r="A67" s="93"/>
      <c r="B67" s="93"/>
      <c r="C67" s="93"/>
      <c r="D67" s="93"/>
      <c r="E67" s="93"/>
      <c r="F67" s="93"/>
      <c r="G67" s="93"/>
      <c r="H67" s="93"/>
      <c r="I67" s="93"/>
      <c r="J67" s="93"/>
    </row>
    <row r="68" spans="1:11" ht="18.75" customHeight="1" x14ac:dyDescent="0.2">
      <c r="A68" s="7" t="s">
        <v>15</v>
      </c>
      <c r="B68" s="7" t="s">
        <v>75</v>
      </c>
    </row>
    <row r="69" spans="1:11" ht="18.75" customHeight="1" x14ac:dyDescent="0.2">
      <c r="A69" s="7"/>
      <c r="B69" s="291" t="s">
        <v>195</v>
      </c>
      <c r="C69" s="292"/>
      <c r="D69" s="292"/>
      <c r="E69" s="292"/>
      <c r="F69" s="292"/>
      <c r="G69" s="292"/>
      <c r="H69" s="292"/>
      <c r="I69" s="293"/>
      <c r="J69" s="294"/>
      <c r="K69" s="8" t="str">
        <f>IF(B69="","入力してください","")</f>
        <v/>
      </c>
    </row>
    <row r="70" spans="1:11" ht="18.75" customHeight="1" x14ac:dyDescent="0.2">
      <c r="A70" s="7"/>
      <c r="B70" s="295"/>
      <c r="C70" s="296"/>
      <c r="D70" s="296"/>
      <c r="E70" s="296"/>
      <c r="F70" s="296"/>
      <c r="G70" s="296"/>
      <c r="H70" s="296"/>
      <c r="I70" s="296"/>
      <c r="J70" s="297"/>
      <c r="K70" s="8"/>
    </row>
    <row r="71" spans="1:11" ht="18.75" customHeight="1" x14ac:dyDescent="0.2">
      <c r="A71" s="7"/>
      <c r="B71" s="295"/>
      <c r="C71" s="296"/>
      <c r="D71" s="296"/>
      <c r="E71" s="296"/>
      <c r="F71" s="296"/>
      <c r="G71" s="296"/>
      <c r="H71" s="296"/>
      <c r="I71" s="296"/>
      <c r="J71" s="297"/>
      <c r="K71" s="8"/>
    </row>
    <row r="72" spans="1:11" ht="13.5" customHeight="1" x14ac:dyDescent="0.2">
      <c r="A72" s="7"/>
      <c r="B72" s="295"/>
      <c r="C72" s="296"/>
      <c r="D72" s="296"/>
      <c r="E72" s="296"/>
      <c r="F72" s="296"/>
      <c r="G72" s="296"/>
      <c r="H72" s="296"/>
      <c r="I72" s="296"/>
      <c r="J72" s="297"/>
      <c r="K72" s="8"/>
    </row>
    <row r="73" spans="1:11" ht="13.5" customHeight="1" x14ac:dyDescent="0.2">
      <c r="A73" s="7"/>
      <c r="B73" s="295"/>
      <c r="C73" s="296"/>
      <c r="D73" s="296"/>
      <c r="E73" s="296"/>
      <c r="F73" s="296"/>
      <c r="G73" s="296"/>
      <c r="H73" s="296"/>
      <c r="I73" s="296"/>
      <c r="J73" s="297"/>
      <c r="K73" s="8"/>
    </row>
    <row r="74" spans="1:11" ht="13.5" customHeight="1" x14ac:dyDescent="0.2">
      <c r="A74" s="7"/>
      <c r="B74" s="295"/>
      <c r="C74" s="296"/>
      <c r="D74" s="296"/>
      <c r="E74" s="296"/>
      <c r="F74" s="296"/>
      <c r="G74" s="296"/>
      <c r="H74" s="296"/>
      <c r="I74" s="296"/>
      <c r="J74" s="297"/>
      <c r="K74" s="8"/>
    </row>
    <row r="75" spans="1:11" ht="13.5" customHeight="1" x14ac:dyDescent="0.2">
      <c r="A75" s="7"/>
      <c r="B75" s="295"/>
      <c r="C75" s="296"/>
      <c r="D75" s="296"/>
      <c r="E75" s="296"/>
      <c r="F75" s="296"/>
      <c r="G75" s="296"/>
      <c r="H75" s="296"/>
      <c r="I75" s="296"/>
      <c r="J75" s="297"/>
      <c r="K75" s="8"/>
    </row>
    <row r="76" spans="1:11" ht="13.5" customHeight="1" x14ac:dyDescent="0.2">
      <c r="A76" s="7"/>
      <c r="B76" s="295"/>
      <c r="C76" s="296"/>
      <c r="D76" s="296"/>
      <c r="E76" s="296"/>
      <c r="F76" s="296"/>
      <c r="G76" s="296"/>
      <c r="H76" s="296"/>
      <c r="I76" s="296"/>
      <c r="J76" s="297"/>
      <c r="K76" s="8"/>
    </row>
    <row r="77" spans="1:11" ht="13.5" customHeight="1" x14ac:dyDescent="0.2">
      <c r="A77" s="7"/>
      <c r="B77" s="295"/>
      <c r="C77" s="296"/>
      <c r="D77" s="296"/>
      <c r="E77" s="296"/>
      <c r="F77" s="296"/>
      <c r="G77" s="296"/>
      <c r="H77" s="296"/>
      <c r="I77" s="296"/>
      <c r="J77" s="297"/>
      <c r="K77" s="8"/>
    </row>
    <row r="78" spans="1:11" ht="13.5" customHeight="1" x14ac:dyDescent="0.2">
      <c r="A78" s="7"/>
      <c r="B78" s="295"/>
      <c r="C78" s="296"/>
      <c r="D78" s="296"/>
      <c r="E78" s="296"/>
      <c r="F78" s="296"/>
      <c r="G78" s="296"/>
      <c r="H78" s="296"/>
      <c r="I78" s="296"/>
      <c r="J78" s="297"/>
      <c r="K78" s="8"/>
    </row>
    <row r="79" spans="1:11" ht="13.5" customHeight="1" x14ac:dyDescent="0.2">
      <c r="A79" s="7"/>
      <c r="B79" s="295"/>
      <c r="C79" s="296"/>
      <c r="D79" s="296"/>
      <c r="E79" s="296"/>
      <c r="F79" s="296"/>
      <c r="G79" s="296"/>
      <c r="H79" s="296"/>
      <c r="I79" s="296"/>
      <c r="J79" s="297"/>
      <c r="K79" s="8"/>
    </row>
    <row r="80" spans="1:11" ht="13.5" customHeight="1" x14ac:dyDescent="0.2">
      <c r="A80" s="7"/>
      <c r="B80" s="295"/>
      <c r="C80" s="296"/>
      <c r="D80" s="296"/>
      <c r="E80" s="296"/>
      <c r="F80" s="296"/>
      <c r="G80" s="296"/>
      <c r="H80" s="296"/>
      <c r="I80" s="296"/>
      <c r="J80" s="297"/>
      <c r="K80" s="8"/>
    </row>
    <row r="81" spans="1:11" ht="13.5" customHeight="1" x14ac:dyDescent="0.2">
      <c r="A81" s="7"/>
      <c r="B81" s="295"/>
      <c r="C81" s="296"/>
      <c r="D81" s="296"/>
      <c r="E81" s="296"/>
      <c r="F81" s="296"/>
      <c r="G81" s="296"/>
      <c r="H81" s="296"/>
      <c r="I81" s="296"/>
      <c r="J81" s="297"/>
      <c r="K81" s="8"/>
    </row>
    <row r="82" spans="1:11" ht="13.5" customHeight="1" x14ac:dyDescent="0.2">
      <c r="A82" s="7"/>
      <c r="B82" s="295"/>
      <c r="C82" s="296"/>
      <c r="D82" s="296"/>
      <c r="E82" s="296"/>
      <c r="F82" s="296"/>
      <c r="G82" s="296"/>
      <c r="H82" s="296"/>
      <c r="I82" s="296"/>
      <c r="J82" s="297"/>
      <c r="K82" s="8"/>
    </row>
    <row r="83" spans="1:11" ht="13.5" customHeight="1" x14ac:dyDescent="0.2">
      <c r="A83" s="7"/>
      <c r="B83" s="295"/>
      <c r="C83" s="296"/>
      <c r="D83" s="296"/>
      <c r="E83" s="296"/>
      <c r="F83" s="296"/>
      <c r="G83" s="296"/>
      <c r="H83" s="296"/>
      <c r="I83" s="296"/>
      <c r="J83" s="297"/>
      <c r="K83" s="8"/>
    </row>
    <row r="84" spans="1:11" ht="13.5" customHeight="1" x14ac:dyDescent="0.2">
      <c r="A84" s="7"/>
      <c r="B84" s="295"/>
      <c r="C84" s="296"/>
      <c r="D84" s="296"/>
      <c r="E84" s="296"/>
      <c r="F84" s="296"/>
      <c r="G84" s="296"/>
      <c r="H84" s="296"/>
      <c r="I84" s="296"/>
      <c r="J84" s="297"/>
      <c r="K84" s="8"/>
    </row>
    <row r="85" spans="1:11" ht="13.5" customHeight="1" x14ac:dyDescent="0.2">
      <c r="A85" s="93"/>
      <c r="B85" s="295"/>
      <c r="C85" s="296"/>
      <c r="D85" s="296"/>
      <c r="E85" s="296"/>
      <c r="F85" s="296"/>
      <c r="G85" s="296"/>
      <c r="H85" s="296"/>
      <c r="I85" s="296"/>
      <c r="J85" s="297"/>
      <c r="K85" s="8"/>
    </row>
    <row r="86" spans="1:11" ht="18.75" customHeight="1" x14ac:dyDescent="0.2">
      <c r="A86" s="93"/>
      <c r="B86" s="298"/>
      <c r="C86" s="299"/>
      <c r="D86" s="299"/>
      <c r="E86" s="299"/>
      <c r="F86" s="299"/>
      <c r="G86" s="299"/>
      <c r="H86" s="299"/>
      <c r="I86" s="299"/>
      <c r="J86" s="300"/>
      <c r="K86" s="8"/>
    </row>
    <row r="87" spans="1:11" ht="7.5" customHeight="1" x14ac:dyDescent="0.2">
      <c r="A87" s="93"/>
      <c r="B87" s="93"/>
      <c r="C87" s="93"/>
      <c r="D87" s="93"/>
      <c r="E87" s="93"/>
      <c r="F87" s="93"/>
      <c r="G87" s="93"/>
      <c r="H87" s="93"/>
      <c r="I87" s="93"/>
      <c r="J87" s="93"/>
    </row>
    <row r="88" spans="1:11" ht="18.75" customHeight="1" x14ac:dyDescent="0.2">
      <c r="A88" s="7" t="s">
        <v>13</v>
      </c>
      <c r="B88" s="7" t="s">
        <v>29</v>
      </c>
    </row>
    <row r="89" spans="1:11" ht="18.75" customHeight="1" x14ac:dyDescent="0.2">
      <c r="A89" s="7"/>
      <c r="B89" s="291" t="s">
        <v>196</v>
      </c>
      <c r="C89" s="292"/>
      <c r="D89" s="292"/>
      <c r="E89" s="292"/>
      <c r="F89" s="292"/>
      <c r="G89" s="292"/>
      <c r="H89" s="292"/>
      <c r="I89" s="293"/>
      <c r="J89" s="294"/>
    </row>
    <row r="90" spans="1:11" ht="18.75" customHeight="1" x14ac:dyDescent="0.2">
      <c r="A90" s="7"/>
      <c r="B90" s="295"/>
      <c r="C90" s="296"/>
      <c r="D90" s="296"/>
      <c r="E90" s="296"/>
      <c r="F90" s="296"/>
      <c r="G90" s="296"/>
      <c r="H90" s="296"/>
      <c r="I90" s="296"/>
      <c r="J90" s="297"/>
      <c r="K90" s="8"/>
    </row>
    <row r="91" spans="1:11" ht="18.75" customHeight="1" x14ac:dyDescent="0.2">
      <c r="A91" s="7"/>
      <c r="B91" s="295"/>
      <c r="C91" s="296"/>
      <c r="D91" s="296"/>
      <c r="E91" s="296"/>
      <c r="F91" s="296"/>
      <c r="G91" s="296"/>
      <c r="H91" s="296"/>
      <c r="I91" s="296"/>
      <c r="J91" s="297"/>
      <c r="K91" s="8" t="str">
        <f>IF(B89="","入力してください","")</f>
        <v/>
      </c>
    </row>
    <row r="92" spans="1:11" ht="15" customHeight="1" x14ac:dyDescent="0.2">
      <c r="A92" s="7"/>
      <c r="B92" s="295"/>
      <c r="C92" s="296"/>
      <c r="D92" s="296"/>
      <c r="E92" s="296"/>
      <c r="F92" s="296"/>
      <c r="G92" s="296"/>
      <c r="H92" s="296"/>
      <c r="I92" s="296"/>
      <c r="J92" s="297"/>
      <c r="K92" s="8"/>
    </row>
    <row r="93" spans="1:11" ht="15" customHeight="1" x14ac:dyDescent="0.2">
      <c r="A93" s="7"/>
      <c r="B93" s="295"/>
      <c r="C93" s="296"/>
      <c r="D93" s="296"/>
      <c r="E93" s="296"/>
      <c r="F93" s="296"/>
      <c r="G93" s="296"/>
      <c r="H93" s="296"/>
      <c r="I93" s="296"/>
      <c r="J93" s="297"/>
      <c r="K93" s="8"/>
    </row>
    <row r="94" spans="1:11" ht="15" customHeight="1" x14ac:dyDescent="0.2">
      <c r="A94" s="7"/>
      <c r="B94" s="295"/>
      <c r="C94" s="296"/>
      <c r="D94" s="296"/>
      <c r="E94" s="296"/>
      <c r="F94" s="296"/>
      <c r="G94" s="296"/>
      <c r="H94" s="296"/>
      <c r="I94" s="296"/>
      <c r="J94" s="297"/>
      <c r="K94" s="8"/>
    </row>
    <row r="95" spans="1:11" ht="15" customHeight="1" x14ac:dyDescent="0.2">
      <c r="A95" s="7"/>
      <c r="B95" s="295"/>
      <c r="C95" s="296"/>
      <c r="D95" s="296"/>
      <c r="E95" s="296"/>
      <c r="F95" s="296"/>
      <c r="G95" s="296"/>
      <c r="H95" s="296"/>
      <c r="I95" s="296"/>
      <c r="J95" s="297"/>
      <c r="K95" s="8"/>
    </row>
    <row r="96" spans="1:11" ht="15" customHeight="1" x14ac:dyDescent="0.2">
      <c r="A96" s="7"/>
      <c r="B96" s="295"/>
      <c r="C96" s="296"/>
      <c r="D96" s="296"/>
      <c r="E96" s="296"/>
      <c r="F96" s="296"/>
      <c r="G96" s="296"/>
      <c r="H96" s="296"/>
      <c r="I96" s="296"/>
      <c r="J96" s="297"/>
      <c r="K96" s="8"/>
    </row>
    <row r="97" spans="1:11" ht="15" customHeight="1" x14ac:dyDescent="0.2">
      <c r="A97" s="7"/>
      <c r="B97" s="295"/>
      <c r="C97" s="296"/>
      <c r="D97" s="296"/>
      <c r="E97" s="296"/>
      <c r="F97" s="296"/>
      <c r="G97" s="296"/>
      <c r="H97" s="296"/>
      <c r="I97" s="296"/>
      <c r="J97" s="297"/>
      <c r="K97" s="8"/>
    </row>
    <row r="98" spans="1:11" ht="15" customHeight="1" x14ac:dyDescent="0.2">
      <c r="A98" s="7"/>
      <c r="B98" s="295"/>
      <c r="C98" s="296"/>
      <c r="D98" s="296"/>
      <c r="E98" s="296"/>
      <c r="F98" s="296"/>
      <c r="G98" s="296"/>
      <c r="H98" s="296"/>
      <c r="I98" s="296"/>
      <c r="J98" s="297"/>
      <c r="K98" s="8"/>
    </row>
    <row r="99" spans="1:11" ht="15" customHeight="1" x14ac:dyDescent="0.2">
      <c r="A99" s="7"/>
      <c r="B99" s="295"/>
      <c r="C99" s="296"/>
      <c r="D99" s="296"/>
      <c r="E99" s="296"/>
      <c r="F99" s="296"/>
      <c r="G99" s="296"/>
      <c r="H99" s="296"/>
      <c r="I99" s="296"/>
      <c r="J99" s="297"/>
      <c r="K99" s="8"/>
    </row>
    <row r="100" spans="1:11" ht="15" customHeight="1" x14ac:dyDescent="0.2">
      <c r="A100" s="7"/>
      <c r="B100" s="295"/>
      <c r="C100" s="296"/>
      <c r="D100" s="296"/>
      <c r="E100" s="296"/>
      <c r="F100" s="296"/>
      <c r="G100" s="296"/>
      <c r="H100" s="296"/>
      <c r="I100" s="296"/>
      <c r="J100" s="297"/>
      <c r="K100" s="8"/>
    </row>
    <row r="101" spans="1:11" ht="15" customHeight="1" x14ac:dyDescent="0.2">
      <c r="A101" s="7"/>
      <c r="B101" s="295"/>
      <c r="C101" s="296"/>
      <c r="D101" s="296"/>
      <c r="E101" s="296"/>
      <c r="F101" s="296"/>
      <c r="G101" s="296"/>
      <c r="H101" s="296"/>
      <c r="I101" s="296"/>
      <c r="J101" s="297"/>
      <c r="K101" s="8"/>
    </row>
    <row r="102" spans="1:11" ht="15" customHeight="1" x14ac:dyDescent="0.2">
      <c r="A102" s="7"/>
      <c r="B102" s="295"/>
      <c r="C102" s="296"/>
      <c r="D102" s="296"/>
      <c r="E102" s="296"/>
      <c r="F102" s="296"/>
      <c r="G102" s="296"/>
      <c r="H102" s="296"/>
      <c r="I102" s="296"/>
      <c r="J102" s="297"/>
      <c r="K102" s="8"/>
    </row>
    <row r="103" spans="1:11" ht="15" customHeight="1" x14ac:dyDescent="0.2">
      <c r="A103" s="7"/>
      <c r="B103" s="295"/>
      <c r="C103" s="296"/>
      <c r="D103" s="296"/>
      <c r="E103" s="296"/>
      <c r="F103" s="296"/>
      <c r="G103" s="296"/>
      <c r="H103" s="296"/>
      <c r="I103" s="296"/>
      <c r="J103" s="297"/>
      <c r="K103" s="8"/>
    </row>
    <row r="104" spans="1:11" ht="15" customHeight="1" x14ac:dyDescent="0.2">
      <c r="A104" s="7"/>
      <c r="B104" s="295"/>
      <c r="C104" s="296"/>
      <c r="D104" s="296"/>
      <c r="E104" s="296"/>
      <c r="F104" s="296"/>
      <c r="G104" s="296"/>
      <c r="H104" s="296"/>
      <c r="I104" s="296"/>
      <c r="J104" s="297"/>
      <c r="K104" s="8"/>
    </row>
    <row r="105" spans="1:11" ht="15" customHeight="1" x14ac:dyDescent="0.2">
      <c r="A105" s="7"/>
      <c r="B105" s="295"/>
      <c r="C105" s="296"/>
      <c r="D105" s="296"/>
      <c r="E105" s="296"/>
      <c r="F105" s="296"/>
      <c r="G105" s="296"/>
      <c r="H105" s="296"/>
      <c r="I105" s="296"/>
      <c r="J105" s="297"/>
      <c r="K105" s="8"/>
    </row>
    <row r="106" spans="1:11" ht="15" customHeight="1" x14ac:dyDescent="0.2">
      <c r="A106" s="7"/>
      <c r="B106" s="295"/>
      <c r="C106" s="296"/>
      <c r="D106" s="296"/>
      <c r="E106" s="296"/>
      <c r="F106" s="296"/>
      <c r="G106" s="296"/>
      <c r="H106" s="296"/>
      <c r="I106" s="296"/>
      <c r="J106" s="297"/>
      <c r="K106" s="8"/>
    </row>
    <row r="107" spans="1:11" ht="15" customHeight="1" x14ac:dyDescent="0.2">
      <c r="A107" s="93"/>
      <c r="B107" s="295"/>
      <c r="C107" s="296"/>
      <c r="D107" s="296"/>
      <c r="E107" s="296"/>
      <c r="F107" s="296"/>
      <c r="G107" s="296"/>
      <c r="H107" s="296"/>
      <c r="I107" s="296"/>
      <c r="J107" s="297"/>
      <c r="K107" s="8"/>
    </row>
    <row r="108" spans="1:11" ht="18.75" customHeight="1" x14ac:dyDescent="0.2">
      <c r="A108" s="93"/>
      <c r="B108" s="298"/>
      <c r="C108" s="299"/>
      <c r="D108" s="299"/>
      <c r="E108" s="299"/>
      <c r="F108" s="299"/>
      <c r="G108" s="299"/>
      <c r="H108" s="299"/>
      <c r="I108" s="299"/>
      <c r="J108" s="300"/>
      <c r="K108" s="8"/>
    </row>
    <row r="109" spans="1:11" ht="7.5" customHeight="1" x14ac:dyDescent="0.2">
      <c r="A109" s="93"/>
      <c r="B109" s="93"/>
      <c r="C109" s="93"/>
      <c r="D109" s="93"/>
      <c r="E109" s="93"/>
      <c r="F109" s="93"/>
      <c r="G109" s="93"/>
      <c r="H109" s="93"/>
      <c r="I109" s="93"/>
      <c r="J109" s="93"/>
    </row>
    <row r="110" spans="1:11" ht="18.75" customHeight="1" x14ac:dyDescent="0.2">
      <c r="A110" s="7" t="s">
        <v>55</v>
      </c>
      <c r="B110" s="308" t="s">
        <v>86</v>
      </c>
      <c r="C110" s="308"/>
      <c r="D110" s="308"/>
      <c r="E110" s="308"/>
      <c r="F110" s="308"/>
      <c r="G110" s="308"/>
      <c r="H110" s="308"/>
      <c r="I110" s="308"/>
      <c r="J110" s="308"/>
    </row>
    <row r="111" spans="1:11" ht="18.75" customHeight="1" x14ac:dyDescent="0.2">
      <c r="A111" s="93"/>
      <c r="B111" s="291" t="s">
        <v>197</v>
      </c>
      <c r="C111" s="292"/>
      <c r="D111" s="292"/>
      <c r="E111" s="292"/>
      <c r="F111" s="292"/>
      <c r="G111" s="292"/>
      <c r="H111" s="292"/>
      <c r="I111" s="293"/>
      <c r="J111" s="294"/>
    </row>
    <row r="112" spans="1:11" ht="18.75" customHeight="1" x14ac:dyDescent="0.2">
      <c r="A112" s="93"/>
      <c r="B112" s="295"/>
      <c r="C112" s="296"/>
      <c r="D112" s="296"/>
      <c r="E112" s="296"/>
      <c r="F112" s="296"/>
      <c r="G112" s="296"/>
      <c r="H112" s="296"/>
      <c r="I112" s="296"/>
      <c r="J112" s="297"/>
      <c r="K112" s="8"/>
    </row>
    <row r="113" spans="1:11" ht="18.75" customHeight="1" x14ac:dyDescent="0.2">
      <c r="A113" s="93"/>
      <c r="B113" s="295"/>
      <c r="C113" s="296"/>
      <c r="D113" s="296"/>
      <c r="E113" s="296"/>
      <c r="F113" s="296"/>
      <c r="G113" s="296"/>
      <c r="H113" s="296"/>
      <c r="I113" s="296"/>
      <c r="J113" s="297"/>
      <c r="K113" s="7" t="str">
        <f>IF(B111="","入力してください","")</f>
        <v/>
      </c>
    </row>
    <row r="114" spans="1:11" ht="11.5" customHeight="1" x14ac:dyDescent="0.2">
      <c r="A114" s="93"/>
      <c r="B114" s="295"/>
      <c r="C114" s="296"/>
      <c r="D114" s="296"/>
      <c r="E114" s="296"/>
      <c r="F114" s="296"/>
      <c r="G114" s="296"/>
      <c r="H114" s="296"/>
      <c r="I114" s="296"/>
      <c r="J114" s="297"/>
    </row>
    <row r="115" spans="1:11" ht="11.5" customHeight="1" x14ac:dyDescent="0.2">
      <c r="A115" s="93"/>
      <c r="B115" s="295"/>
      <c r="C115" s="296"/>
      <c r="D115" s="296"/>
      <c r="E115" s="296"/>
      <c r="F115" s="296"/>
      <c r="G115" s="296"/>
      <c r="H115" s="296"/>
      <c r="I115" s="296"/>
      <c r="J115" s="297"/>
    </row>
    <row r="116" spans="1:11" ht="11.5" customHeight="1" x14ac:dyDescent="0.2">
      <c r="A116" s="93"/>
      <c r="B116" s="295"/>
      <c r="C116" s="296"/>
      <c r="D116" s="296"/>
      <c r="E116" s="296"/>
      <c r="F116" s="296"/>
      <c r="G116" s="296"/>
      <c r="H116" s="296"/>
      <c r="I116" s="296"/>
      <c r="J116" s="297"/>
    </row>
    <row r="117" spans="1:11" ht="11.5" customHeight="1" x14ac:dyDescent="0.2">
      <c r="A117" s="93"/>
      <c r="B117" s="295"/>
      <c r="C117" s="296"/>
      <c r="D117" s="296"/>
      <c r="E117" s="296"/>
      <c r="F117" s="296"/>
      <c r="G117" s="296"/>
      <c r="H117" s="296"/>
      <c r="I117" s="296"/>
      <c r="J117" s="297"/>
    </row>
    <row r="118" spans="1:11" ht="11.5" customHeight="1" x14ac:dyDescent="0.2">
      <c r="A118" s="93"/>
      <c r="B118" s="295"/>
      <c r="C118" s="296"/>
      <c r="D118" s="296"/>
      <c r="E118" s="296"/>
      <c r="F118" s="296"/>
      <c r="G118" s="296"/>
      <c r="H118" s="296"/>
      <c r="I118" s="296"/>
      <c r="J118" s="297"/>
    </row>
    <row r="119" spans="1:11" ht="11.5" customHeight="1" x14ac:dyDescent="0.2">
      <c r="A119" s="93"/>
      <c r="B119" s="295"/>
      <c r="C119" s="296"/>
      <c r="D119" s="296"/>
      <c r="E119" s="296"/>
      <c r="F119" s="296"/>
      <c r="G119" s="296"/>
      <c r="H119" s="296"/>
      <c r="I119" s="296"/>
      <c r="J119" s="297"/>
    </row>
    <row r="120" spans="1:11" ht="11.5" customHeight="1" x14ac:dyDescent="0.2">
      <c r="A120" s="93"/>
      <c r="B120" s="295"/>
      <c r="C120" s="296"/>
      <c r="D120" s="296"/>
      <c r="E120" s="296"/>
      <c r="F120" s="296"/>
      <c r="G120" s="296"/>
      <c r="H120" s="296"/>
      <c r="I120" s="296"/>
      <c r="J120" s="297"/>
    </row>
    <row r="121" spans="1:11" ht="11.5" customHeight="1" x14ac:dyDescent="0.2">
      <c r="A121" s="93"/>
      <c r="B121" s="295"/>
      <c r="C121" s="296"/>
      <c r="D121" s="296"/>
      <c r="E121" s="296"/>
      <c r="F121" s="296"/>
      <c r="G121" s="296"/>
      <c r="H121" s="296"/>
      <c r="I121" s="296"/>
      <c r="J121" s="297"/>
    </row>
    <row r="122" spans="1:11" ht="11.5" customHeight="1" x14ac:dyDescent="0.2">
      <c r="A122" s="93"/>
      <c r="B122" s="295"/>
      <c r="C122" s="296"/>
      <c r="D122" s="296"/>
      <c r="E122" s="296"/>
      <c r="F122" s="296"/>
      <c r="G122" s="296"/>
      <c r="H122" s="296"/>
      <c r="I122" s="296"/>
      <c r="J122" s="297"/>
    </row>
    <row r="123" spans="1:11" ht="11.5" customHeight="1" x14ac:dyDescent="0.2">
      <c r="A123" s="93"/>
      <c r="B123" s="295"/>
      <c r="C123" s="296"/>
      <c r="D123" s="296"/>
      <c r="E123" s="296"/>
      <c r="F123" s="296"/>
      <c r="G123" s="296"/>
      <c r="H123" s="296"/>
      <c r="I123" s="296"/>
      <c r="J123" s="297"/>
    </row>
    <row r="124" spans="1:11" ht="11.5" customHeight="1" x14ac:dyDescent="0.2">
      <c r="A124" s="93"/>
      <c r="B124" s="295"/>
      <c r="C124" s="296"/>
      <c r="D124" s="296"/>
      <c r="E124" s="296"/>
      <c r="F124" s="296"/>
      <c r="G124" s="296"/>
      <c r="H124" s="296"/>
      <c r="I124" s="296"/>
      <c r="J124" s="297"/>
    </row>
    <row r="125" spans="1:11" ht="11.5" customHeight="1" x14ac:dyDescent="0.2">
      <c r="A125" s="93"/>
      <c r="B125" s="295"/>
      <c r="C125" s="296"/>
      <c r="D125" s="296"/>
      <c r="E125" s="296"/>
      <c r="F125" s="296"/>
      <c r="G125" s="296"/>
      <c r="H125" s="296"/>
      <c r="I125" s="296"/>
      <c r="J125" s="297"/>
    </row>
    <row r="126" spans="1:11" ht="11.5" customHeight="1" x14ac:dyDescent="0.2">
      <c r="A126" s="93"/>
      <c r="B126" s="295"/>
      <c r="C126" s="296"/>
      <c r="D126" s="296"/>
      <c r="E126" s="296"/>
      <c r="F126" s="296"/>
      <c r="G126" s="296"/>
      <c r="H126" s="296"/>
      <c r="I126" s="296"/>
      <c r="J126" s="297"/>
    </row>
    <row r="127" spans="1:11" ht="11.5" customHeight="1" x14ac:dyDescent="0.2">
      <c r="A127" s="93"/>
      <c r="B127" s="295"/>
      <c r="C127" s="296"/>
      <c r="D127" s="296"/>
      <c r="E127" s="296"/>
      <c r="F127" s="296"/>
      <c r="G127" s="296"/>
      <c r="H127" s="296"/>
      <c r="I127" s="296"/>
      <c r="J127" s="297"/>
    </row>
    <row r="128" spans="1:11" ht="11.5" customHeight="1" x14ac:dyDescent="0.2">
      <c r="A128" s="93"/>
      <c r="B128" s="295"/>
      <c r="C128" s="296"/>
      <c r="D128" s="296"/>
      <c r="E128" s="296"/>
      <c r="F128" s="296"/>
      <c r="G128" s="296"/>
      <c r="H128" s="296"/>
      <c r="I128" s="296"/>
      <c r="J128" s="297"/>
    </row>
    <row r="129" spans="1:10" ht="18.75" customHeight="1" x14ac:dyDescent="0.2">
      <c r="A129" s="93"/>
      <c r="B129" s="298"/>
      <c r="C129" s="299"/>
      <c r="D129" s="299"/>
      <c r="E129" s="299"/>
      <c r="F129" s="299"/>
      <c r="G129" s="299"/>
      <c r="H129" s="299"/>
      <c r="I129" s="299"/>
      <c r="J129" s="300"/>
    </row>
    <row r="130" spans="1:10" ht="7.5" customHeight="1" x14ac:dyDescent="0.2">
      <c r="A130" s="93"/>
      <c r="B130" s="102"/>
      <c r="C130" s="102"/>
      <c r="D130" s="102"/>
      <c r="E130" s="102"/>
      <c r="F130" s="102"/>
      <c r="G130" s="102"/>
      <c r="H130" s="102"/>
      <c r="I130" s="102"/>
      <c r="J130" s="102"/>
    </row>
    <row r="131" spans="1:10" ht="18.75" customHeight="1" x14ac:dyDescent="0.2">
      <c r="A131" s="93"/>
      <c r="B131" s="93"/>
      <c r="C131" s="93"/>
      <c r="D131" s="93"/>
      <c r="E131" s="93"/>
      <c r="F131" s="93"/>
      <c r="G131" s="93"/>
      <c r="H131" s="93"/>
      <c r="I131" s="93"/>
      <c r="J131" s="93"/>
    </row>
    <row r="132" spans="1:10" ht="18.75" customHeight="1" x14ac:dyDescent="0.2">
      <c r="A132" s="93"/>
      <c r="B132" s="93"/>
      <c r="C132" s="93"/>
      <c r="D132" s="93"/>
      <c r="E132" s="93"/>
      <c r="F132" s="93"/>
      <c r="G132" s="93"/>
      <c r="H132" s="93"/>
      <c r="I132" s="93"/>
      <c r="J132" s="93"/>
    </row>
    <row r="133" spans="1:10" ht="18.75" customHeight="1" x14ac:dyDescent="0.2">
      <c r="A133" s="93"/>
      <c r="B133" s="93"/>
      <c r="C133" s="93"/>
      <c r="D133" s="93"/>
      <c r="E133" s="93"/>
      <c r="F133" s="93"/>
      <c r="G133" s="93"/>
      <c r="H133" s="93"/>
      <c r="I133" s="93"/>
      <c r="J133" s="93"/>
    </row>
    <row r="134" spans="1:10" ht="18.75" customHeight="1" x14ac:dyDescent="0.2">
      <c r="A134" s="93"/>
      <c r="B134" s="93"/>
      <c r="C134" s="93"/>
      <c r="D134" s="93"/>
      <c r="E134" s="93"/>
      <c r="F134" s="93"/>
      <c r="G134" s="93"/>
      <c r="H134" s="93"/>
      <c r="I134" s="93"/>
      <c r="J134" s="93"/>
    </row>
    <row r="135" spans="1:10" ht="18.75" customHeight="1" x14ac:dyDescent="0.2">
      <c r="A135" s="93"/>
      <c r="B135" s="93"/>
      <c r="C135" s="93"/>
      <c r="D135" s="93"/>
      <c r="E135" s="93"/>
      <c r="F135" s="93"/>
      <c r="G135" s="93"/>
      <c r="H135" s="93"/>
      <c r="I135" s="93"/>
      <c r="J135" s="93"/>
    </row>
    <row r="136" spans="1:10" ht="18.75" customHeight="1" x14ac:dyDescent="0.2">
      <c r="A136" s="93"/>
      <c r="B136" s="93"/>
      <c r="C136" s="93"/>
      <c r="D136" s="93"/>
      <c r="E136" s="93"/>
      <c r="F136" s="93"/>
      <c r="G136" s="93"/>
      <c r="H136" s="93"/>
      <c r="I136" s="93"/>
      <c r="J136" s="93"/>
    </row>
    <row r="137" spans="1:10" ht="18.75" customHeight="1" x14ac:dyDescent="0.2">
      <c r="A137" s="93"/>
      <c r="B137" s="93"/>
      <c r="C137" s="93"/>
      <c r="D137" s="93"/>
      <c r="E137" s="93"/>
      <c r="F137" s="93"/>
      <c r="G137" s="93"/>
      <c r="H137" s="93"/>
      <c r="I137" s="93"/>
      <c r="J137" s="93"/>
    </row>
    <row r="138" spans="1:10" ht="18.75" customHeight="1" x14ac:dyDescent="0.2">
      <c r="A138" s="93"/>
      <c r="B138" s="93"/>
      <c r="C138" s="93"/>
      <c r="D138" s="93"/>
      <c r="E138" s="93"/>
      <c r="F138" s="93"/>
      <c r="G138" s="93"/>
      <c r="H138" s="93"/>
      <c r="I138" s="93"/>
      <c r="J138" s="93"/>
    </row>
    <row r="139" spans="1:10" ht="18.75" customHeight="1" x14ac:dyDescent="0.2">
      <c r="A139" s="93"/>
      <c r="B139" s="93"/>
      <c r="C139" s="93"/>
      <c r="D139" s="93"/>
      <c r="E139" s="93"/>
      <c r="F139" s="93"/>
      <c r="G139" s="93"/>
      <c r="H139" s="93"/>
      <c r="I139" s="93"/>
      <c r="J139" s="93"/>
    </row>
    <row r="140" spans="1:10" ht="18.75" customHeight="1" x14ac:dyDescent="0.2">
      <c r="A140" s="93"/>
      <c r="B140" s="93"/>
      <c r="C140" s="93"/>
      <c r="D140" s="93"/>
      <c r="E140" s="93"/>
      <c r="F140" s="93"/>
      <c r="G140" s="93"/>
      <c r="H140" s="93"/>
      <c r="I140" s="93"/>
      <c r="J140" s="93"/>
    </row>
    <row r="141" spans="1:10" ht="18.75" customHeight="1" x14ac:dyDescent="0.2">
      <c r="A141" s="93"/>
      <c r="B141" s="93"/>
      <c r="C141" s="93"/>
      <c r="D141" s="93"/>
      <c r="E141" s="93"/>
      <c r="F141" s="93"/>
      <c r="G141" s="93"/>
      <c r="H141" s="93"/>
      <c r="I141" s="93"/>
      <c r="J141" s="93"/>
    </row>
    <row r="142" spans="1:10" ht="18.75" customHeight="1" x14ac:dyDescent="0.2">
      <c r="A142" s="93"/>
      <c r="B142" s="93"/>
      <c r="C142" s="93"/>
      <c r="D142" s="93"/>
      <c r="E142" s="93"/>
      <c r="F142" s="93"/>
      <c r="G142" s="93"/>
      <c r="H142" s="93"/>
      <c r="I142" s="93"/>
      <c r="J142" s="93"/>
    </row>
    <row r="143" spans="1:10" ht="14" x14ac:dyDescent="0.2">
      <c r="A143" s="93"/>
      <c r="B143" s="93"/>
      <c r="C143" s="93"/>
      <c r="D143" s="93"/>
      <c r="E143" s="93"/>
      <c r="F143" s="93"/>
      <c r="G143" s="93"/>
      <c r="H143" s="93"/>
      <c r="I143" s="93"/>
      <c r="J143" s="93"/>
    </row>
    <row r="144" spans="1:10" ht="7.5" customHeight="1" x14ac:dyDescent="0.2">
      <c r="A144" s="103"/>
      <c r="B144" s="103"/>
      <c r="C144" s="103"/>
      <c r="D144" s="103"/>
      <c r="E144" s="103"/>
      <c r="F144" s="103"/>
      <c r="G144" s="103"/>
      <c r="H144" s="103"/>
      <c r="I144" s="103"/>
      <c r="J144" s="103"/>
    </row>
  </sheetData>
  <customSheetViews>
    <customSheetView guid="{F66F98FB-58AD-4588-B2BF-A96D7B6BA538}" showPageBreaks="1" zeroValues="0" printArea="1" view="pageBreakPreview" topLeftCell="A3">
      <selection activeCell="B26" sqref="B26"/>
      <rowBreaks count="2" manualBreakCount="2">
        <brk id="44" max="9" man="1"/>
        <brk id="87" max="9" man="1"/>
      </rowBreaks>
      <pageMargins left="0.78740157480314965" right="0.78740157480314965" top="0.78740157480314965" bottom="0.78740157480314965" header="0.31496062992125984" footer="0.31496062992125984"/>
      <printOptions horizontalCentered="1"/>
      <pageSetup paperSize="9" orientation="portrait" r:id="rId1"/>
    </customSheetView>
    <customSheetView guid="{AB72F774-B35A-46F0-BC4F-A888CB0430C3}" showPageBreaks="1" zeroValues="0" printArea="1" view="pageBreakPreview">
      <selection activeCell="B1" sqref="B1"/>
      <rowBreaks count="2" manualBreakCount="2">
        <brk id="44" max="9" man="1"/>
        <brk id="87" max="9" man="1"/>
      </rowBreaks>
      <pageMargins left="0.78740157480314965" right="0.78740157480314965" top="0.78740157480314965" bottom="0.78740157480314965" header="0.31496062992125984" footer="0.31496062992125984"/>
      <printOptions horizontalCentered="1"/>
      <pageSetup paperSize="9" orientation="portrait" r:id="rId2"/>
    </customSheetView>
    <customSheetView guid="{3F6F70B2-63B4-4C1B-8947-42666FB99B7C}" showPageBreaks="1" zeroValues="0" printArea="1" view="pageBreakPreview">
      <selection activeCell="N17" sqref="N17"/>
      <rowBreaks count="2" manualBreakCount="2">
        <brk id="44" max="9" man="1"/>
        <brk id="87" max="9" man="1"/>
      </rowBreaks>
      <pageMargins left="0.78740157480314965" right="0.78740157480314965" top="0.78740157480314965" bottom="0.78740157480314965" header="0.31496062992125984" footer="0.31496062992125984"/>
      <printOptions horizontalCentered="1"/>
      <pageSetup paperSize="9" orientation="portrait" r:id="rId3"/>
    </customSheetView>
  </customSheetViews>
  <mergeCells count="11">
    <mergeCell ref="B46:J66"/>
    <mergeCell ref="B69:J86"/>
    <mergeCell ref="B89:J108"/>
    <mergeCell ref="B110:J110"/>
    <mergeCell ref="B111:J129"/>
    <mergeCell ref="B31:J44"/>
    <mergeCell ref="A2:J2"/>
    <mergeCell ref="B5:J5"/>
    <mergeCell ref="B8:J12"/>
    <mergeCell ref="B15:J25"/>
    <mergeCell ref="B30:J30"/>
  </mergeCells>
  <phoneticPr fontId="1"/>
  <printOptions horizontalCentered="1"/>
  <pageMargins left="0.78740157480314965" right="0.78740157480314965" top="0.78740157480314965" bottom="0.78740157480314965" header="0.31496062992125984" footer="0.31496062992125984"/>
  <pageSetup paperSize="9" orientation="portrait" r:id="rId4"/>
  <rowBreaks count="2" manualBreakCount="2">
    <brk id="44" max="9" man="1"/>
    <brk id="87" max="9"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26"/>
  <sheetViews>
    <sheetView showZeros="0" view="pageBreakPreview" topLeftCell="A16" zoomScaleNormal="100" zoomScaleSheetLayoutView="100" workbookViewId="0">
      <selection activeCell="M13" sqref="M13"/>
    </sheetView>
  </sheetViews>
  <sheetFormatPr defaultColWidth="11.36328125" defaultRowHeight="22.5" customHeight="1" x14ac:dyDescent="0.2"/>
  <cols>
    <col min="1" max="3" width="2.7265625" style="7" customWidth="1"/>
    <col min="4" max="4" width="22.26953125" style="7" customWidth="1"/>
    <col min="5" max="5" width="21.6328125" style="7" customWidth="1"/>
    <col min="6" max="7" width="7.7265625" style="7" customWidth="1"/>
    <col min="8" max="8" width="33.36328125" style="7" customWidth="1"/>
    <col min="9" max="9" width="24.453125" style="7" customWidth="1"/>
    <col min="10" max="10" width="5.453125" style="7" customWidth="1"/>
    <col min="11" max="11" width="4.08984375" style="7" customWidth="1"/>
    <col min="12" max="16384" width="11.36328125" style="7"/>
  </cols>
  <sheetData>
    <row r="1" spans="1:11" ht="18.75" customHeight="1" x14ac:dyDescent="0.2">
      <c r="A1" s="7" t="s">
        <v>126</v>
      </c>
      <c r="J1" s="107" t="s">
        <v>77</v>
      </c>
    </row>
    <row r="2" spans="1:11" ht="18.75" customHeight="1" x14ac:dyDescent="0.2">
      <c r="A2" s="167" t="s">
        <v>44</v>
      </c>
      <c r="B2" s="167"/>
      <c r="C2" s="167"/>
      <c r="D2" s="167"/>
      <c r="E2" s="167"/>
      <c r="F2" s="167"/>
      <c r="G2" s="167"/>
      <c r="H2" s="167"/>
      <c r="I2" s="167"/>
      <c r="J2" s="167"/>
    </row>
    <row r="3" spans="1:11" ht="7.5" customHeight="1" x14ac:dyDescent="0.2">
      <c r="A3" s="112"/>
      <c r="B3" s="112"/>
      <c r="C3" s="112"/>
      <c r="D3" s="112"/>
      <c r="E3" s="112"/>
      <c r="F3" s="112"/>
      <c r="G3" s="112"/>
      <c r="H3" s="112"/>
      <c r="I3" s="112"/>
      <c r="J3" s="112"/>
    </row>
    <row r="4" spans="1:11" ht="18.75" customHeight="1" x14ac:dyDescent="0.2">
      <c r="A4" s="7" t="s">
        <v>6</v>
      </c>
      <c r="B4" s="7" t="s">
        <v>43</v>
      </c>
      <c r="C4" s="93"/>
      <c r="D4" s="93"/>
      <c r="E4" s="93"/>
      <c r="F4" s="93"/>
      <c r="G4" s="93"/>
      <c r="H4" s="93"/>
      <c r="I4" s="93"/>
      <c r="J4" s="93"/>
    </row>
    <row r="5" spans="1:11" ht="18.75" customHeight="1" x14ac:dyDescent="0.2">
      <c r="B5" s="141" t="s">
        <v>40</v>
      </c>
      <c r="C5" s="142"/>
      <c r="D5" s="143"/>
      <c r="E5" s="142" t="s">
        <v>42</v>
      </c>
      <c r="F5" s="142"/>
      <c r="G5" s="142"/>
      <c r="H5" s="142"/>
      <c r="I5" s="142"/>
      <c r="J5" s="143"/>
    </row>
    <row r="6" spans="1:11" ht="18.75" customHeight="1" x14ac:dyDescent="0.2">
      <c r="B6" s="11" t="s">
        <v>30</v>
      </c>
      <c r="C6" s="93"/>
      <c r="D6" s="94"/>
      <c r="I6" s="93"/>
      <c r="J6" s="94"/>
    </row>
    <row r="7" spans="1:11" ht="141" customHeight="1" x14ac:dyDescent="0.2">
      <c r="B7" s="95"/>
      <c r="C7" s="314" t="s">
        <v>31</v>
      </c>
      <c r="D7" s="239"/>
      <c r="E7" s="311" t="s">
        <v>235</v>
      </c>
      <c r="F7" s="312"/>
      <c r="G7" s="312"/>
      <c r="H7" s="312"/>
      <c r="I7" s="312"/>
      <c r="J7" s="313"/>
      <c r="K7" s="7" t="str">
        <f>IF(E7="","入力してください","")</f>
        <v/>
      </c>
    </row>
    <row r="8" spans="1:11" ht="141" customHeight="1" x14ac:dyDescent="0.2">
      <c r="B8" s="95"/>
      <c r="C8" s="309" t="s">
        <v>32</v>
      </c>
      <c r="D8" s="310"/>
      <c r="E8" s="311" t="s">
        <v>249</v>
      </c>
      <c r="F8" s="312"/>
      <c r="G8" s="312"/>
      <c r="H8" s="312"/>
      <c r="I8" s="312"/>
      <c r="J8" s="313"/>
      <c r="K8" s="7" t="str">
        <f>IF(E8="","入力してください","")</f>
        <v/>
      </c>
    </row>
    <row r="9" spans="1:11" ht="141" customHeight="1" x14ac:dyDescent="0.2">
      <c r="B9" s="95"/>
      <c r="C9" s="314" t="s">
        <v>33</v>
      </c>
      <c r="D9" s="239"/>
      <c r="E9" s="311" t="s">
        <v>236</v>
      </c>
      <c r="F9" s="312"/>
      <c r="G9" s="312"/>
      <c r="H9" s="312"/>
      <c r="I9" s="312"/>
      <c r="J9" s="313"/>
      <c r="K9" s="7" t="str">
        <f>IF(E9="","入力してください","")</f>
        <v/>
      </c>
    </row>
    <row r="10" spans="1:11" ht="141" customHeight="1" x14ac:dyDescent="0.2">
      <c r="B10" s="95"/>
      <c r="C10" s="314" t="s">
        <v>34</v>
      </c>
      <c r="D10" s="239"/>
      <c r="E10" s="311" t="s">
        <v>226</v>
      </c>
      <c r="F10" s="312"/>
      <c r="G10" s="312"/>
      <c r="H10" s="312"/>
      <c r="I10" s="312"/>
      <c r="J10" s="313"/>
      <c r="K10" s="7" t="str">
        <f t="shared" ref="K10:K14" si="0">IF(E10="","入力してください","")</f>
        <v/>
      </c>
    </row>
    <row r="11" spans="1:11" ht="172.5" customHeight="1" x14ac:dyDescent="0.2">
      <c r="B11" s="95"/>
      <c r="C11" s="314" t="s">
        <v>35</v>
      </c>
      <c r="D11" s="239"/>
      <c r="E11" s="311" t="s">
        <v>237</v>
      </c>
      <c r="F11" s="312"/>
      <c r="G11" s="312"/>
      <c r="H11" s="312"/>
      <c r="I11" s="312"/>
      <c r="J11" s="313"/>
      <c r="K11" s="7" t="str">
        <f t="shared" si="0"/>
        <v/>
      </c>
    </row>
    <row r="12" spans="1:11" ht="18.75" customHeight="1" x14ac:dyDescent="0.2">
      <c r="B12" s="96" t="s">
        <v>36</v>
      </c>
      <c r="C12" s="97"/>
      <c r="D12" s="98"/>
      <c r="E12" s="99"/>
      <c r="F12" s="99"/>
      <c r="G12" s="99"/>
      <c r="H12" s="99"/>
      <c r="I12" s="99"/>
      <c r="J12" s="100"/>
    </row>
    <row r="13" spans="1:11" ht="120.75" customHeight="1" x14ac:dyDescent="0.2">
      <c r="B13" s="95"/>
      <c r="C13" s="314" t="s">
        <v>37</v>
      </c>
      <c r="D13" s="239"/>
      <c r="E13" s="312" t="s">
        <v>245</v>
      </c>
      <c r="F13" s="312"/>
      <c r="G13" s="312"/>
      <c r="H13" s="312"/>
      <c r="I13" s="312"/>
      <c r="J13" s="313"/>
      <c r="K13" s="7" t="str">
        <f t="shared" si="0"/>
        <v/>
      </c>
    </row>
    <row r="14" spans="1:11" ht="120.75" customHeight="1" x14ac:dyDescent="0.2">
      <c r="B14" s="95"/>
      <c r="C14" s="314" t="s">
        <v>38</v>
      </c>
      <c r="D14" s="239"/>
      <c r="E14" s="312" t="s">
        <v>238</v>
      </c>
      <c r="F14" s="312"/>
      <c r="G14" s="312"/>
      <c r="H14" s="312"/>
      <c r="I14" s="312"/>
      <c r="J14" s="313"/>
      <c r="K14" s="7" t="str">
        <f t="shared" si="0"/>
        <v/>
      </c>
    </row>
    <row r="15" spans="1:11" ht="138.75" customHeight="1" x14ac:dyDescent="0.2">
      <c r="B15" s="237" t="s">
        <v>39</v>
      </c>
      <c r="C15" s="238"/>
      <c r="D15" s="239"/>
      <c r="E15" s="312" t="s">
        <v>198</v>
      </c>
      <c r="F15" s="312"/>
      <c r="G15" s="312"/>
      <c r="H15" s="312"/>
      <c r="I15" s="312"/>
      <c r="J15" s="313"/>
      <c r="K15" s="7" t="str">
        <f>IF(E15="","入力してください","")</f>
        <v/>
      </c>
    </row>
    <row r="16" spans="1:11" ht="138.75" customHeight="1" x14ac:dyDescent="0.2">
      <c r="B16" s="315" t="s">
        <v>68</v>
      </c>
      <c r="C16" s="242"/>
      <c r="D16" s="243"/>
      <c r="E16" s="306" t="s">
        <v>239</v>
      </c>
      <c r="F16" s="306"/>
      <c r="G16" s="306"/>
      <c r="H16" s="306"/>
      <c r="I16" s="306"/>
      <c r="J16" s="307"/>
      <c r="K16" s="7" t="str">
        <f>IF(E16="","入力してください","")</f>
        <v/>
      </c>
    </row>
    <row r="17" spans="1:11" ht="7.5" customHeight="1" x14ac:dyDescent="0.2">
      <c r="B17" s="93"/>
      <c r="C17" s="93"/>
      <c r="D17" s="93"/>
      <c r="E17" s="93"/>
      <c r="F17" s="93"/>
      <c r="G17" s="93"/>
      <c r="H17" s="93"/>
      <c r="I17" s="93"/>
      <c r="J17" s="93"/>
    </row>
    <row r="18" spans="1:11" ht="18.75" customHeight="1" x14ac:dyDescent="0.2">
      <c r="A18" s="7" t="s">
        <v>127</v>
      </c>
      <c r="C18" s="93"/>
      <c r="D18" s="93"/>
      <c r="E18" s="93"/>
      <c r="F18" s="111"/>
      <c r="G18" s="316" t="s">
        <v>241</v>
      </c>
      <c r="H18" s="317"/>
      <c r="I18" s="317"/>
      <c r="J18" s="318"/>
      <c r="K18" s="7" t="str">
        <f>IF(G18="","入力してください","")</f>
        <v/>
      </c>
    </row>
    <row r="19" spans="1:11" ht="22.5" customHeight="1" x14ac:dyDescent="0.2">
      <c r="B19" s="93"/>
      <c r="C19" s="93"/>
      <c r="D19" s="93"/>
      <c r="E19" s="93"/>
      <c r="F19" s="93"/>
      <c r="G19" s="93"/>
      <c r="H19" s="93"/>
      <c r="I19" s="93"/>
      <c r="J19" s="93"/>
    </row>
    <row r="20" spans="1:11" ht="22.5" customHeight="1" x14ac:dyDescent="0.2">
      <c r="B20" s="93"/>
      <c r="C20" s="93"/>
      <c r="D20" s="93"/>
      <c r="E20" s="93"/>
      <c r="F20" s="93"/>
      <c r="G20" s="93"/>
      <c r="H20" s="93"/>
      <c r="I20" s="93"/>
      <c r="J20" s="93"/>
    </row>
    <row r="21" spans="1:11" ht="22.5" customHeight="1" x14ac:dyDescent="0.2">
      <c r="B21" s="93"/>
      <c r="C21" s="93"/>
      <c r="D21" s="93"/>
      <c r="E21" s="93"/>
      <c r="F21" s="93"/>
      <c r="G21" s="93"/>
      <c r="H21" s="93"/>
      <c r="I21" s="93"/>
      <c r="J21" s="93"/>
    </row>
    <row r="22" spans="1:11" ht="22.5" customHeight="1" x14ac:dyDescent="0.2">
      <c r="B22" s="93"/>
      <c r="C22" s="93"/>
      <c r="D22" s="93"/>
      <c r="E22" s="93"/>
      <c r="F22" s="93"/>
      <c r="G22" s="93"/>
      <c r="H22" s="93"/>
      <c r="I22" s="93"/>
      <c r="J22" s="93"/>
    </row>
    <row r="23" spans="1:11" ht="22.5" customHeight="1" x14ac:dyDescent="0.2">
      <c r="B23" s="93"/>
      <c r="C23" s="93"/>
      <c r="D23" s="93"/>
      <c r="E23" s="93"/>
      <c r="F23" s="93"/>
      <c r="G23" s="93"/>
      <c r="H23" s="93"/>
      <c r="I23" s="93"/>
      <c r="J23" s="93"/>
    </row>
    <row r="24" spans="1:11" ht="22.5" customHeight="1" x14ac:dyDescent="0.2">
      <c r="B24" s="113"/>
      <c r="C24" s="113"/>
      <c r="D24" s="113"/>
      <c r="E24" s="113"/>
      <c r="F24" s="113"/>
      <c r="G24" s="113"/>
      <c r="H24" s="113"/>
      <c r="I24" s="113"/>
      <c r="J24" s="113"/>
    </row>
    <row r="25" spans="1:11" ht="22.5" customHeight="1" x14ac:dyDescent="0.2">
      <c r="B25" s="113"/>
      <c r="C25" s="113"/>
      <c r="D25" s="113"/>
      <c r="E25" s="113"/>
      <c r="F25" s="113"/>
      <c r="G25" s="113"/>
      <c r="H25" s="113"/>
      <c r="I25" s="113"/>
      <c r="J25" s="113"/>
    </row>
    <row r="26" spans="1:11" ht="22.5" customHeight="1" x14ac:dyDescent="0.2">
      <c r="B26" s="113"/>
      <c r="C26" s="113"/>
      <c r="D26" s="113"/>
      <c r="E26" s="113"/>
      <c r="F26" s="113"/>
      <c r="G26" s="113"/>
      <c r="H26" s="113"/>
      <c r="I26" s="113"/>
      <c r="J26" s="113"/>
    </row>
  </sheetData>
  <customSheetViews>
    <customSheetView guid="{F66F98FB-58AD-4588-B2BF-A96D7B6BA538}" showPageBreaks="1" zeroValues="0" printArea="1" view="pageBreakPreview" topLeftCell="A16">
      <selection activeCell="M13" sqref="M13"/>
      <pageMargins left="0.78740157480314965" right="0.78740157480314965" top="0.78740157480314965" bottom="0.78740157480314965" header="0.31496062992125984" footer="0.31496062992125984"/>
      <printOptions horizontalCentered="1"/>
      <pageSetup paperSize="9" orientation="landscape" r:id="rId1"/>
    </customSheetView>
    <customSheetView guid="{AB72F774-B35A-46F0-BC4F-A888CB0430C3}" showPageBreaks="1" zeroValues="0" printArea="1" view="pageBreakPreview" topLeftCell="E1">
      <selection activeCell="E6" sqref="E6"/>
      <pageMargins left="0.78740157480314965" right="0.78740157480314965" top="0.78740157480314965" bottom="0.78740157480314965" header="0.31496062992125984" footer="0.31496062992125984"/>
      <printOptions horizontalCentered="1"/>
      <pageSetup paperSize="9" orientation="landscape" r:id="rId2"/>
    </customSheetView>
    <customSheetView guid="{3F6F70B2-63B4-4C1B-8947-42666FB99B7C}" showPageBreaks="1" zeroValues="0" printArea="1" view="pageBreakPreview" topLeftCell="E10">
      <selection activeCell="M13" sqref="M13"/>
      <pageMargins left="0.78740157480314965" right="0.78740157480314965" top="0.78740157480314965" bottom="0.78740157480314965" header="0.31496062992125984" footer="0.31496062992125984"/>
      <printOptions horizontalCentered="1"/>
      <pageSetup paperSize="9" orientation="landscape" r:id="rId3"/>
    </customSheetView>
  </customSheetViews>
  <mergeCells count="22">
    <mergeCell ref="B16:D16"/>
    <mergeCell ref="E16:J16"/>
    <mergeCell ref="G18:J18"/>
    <mergeCell ref="C13:D13"/>
    <mergeCell ref="E13:J13"/>
    <mergeCell ref="C14:D14"/>
    <mergeCell ref="E14:J14"/>
    <mergeCell ref="B15:D15"/>
    <mergeCell ref="E15:J15"/>
    <mergeCell ref="C9:D9"/>
    <mergeCell ref="E9:J9"/>
    <mergeCell ref="C10:D10"/>
    <mergeCell ref="E10:J10"/>
    <mergeCell ref="C11:D11"/>
    <mergeCell ref="E11:J11"/>
    <mergeCell ref="C8:D8"/>
    <mergeCell ref="E8:J8"/>
    <mergeCell ref="A2:J2"/>
    <mergeCell ref="B5:D5"/>
    <mergeCell ref="E5:J5"/>
    <mergeCell ref="C7:D7"/>
    <mergeCell ref="E7:J7"/>
  </mergeCells>
  <phoneticPr fontId="1"/>
  <printOptions horizontalCentered="1"/>
  <pageMargins left="0.78740157480314965" right="0.78740157480314965" top="0.78740157480314965" bottom="0.78740157480314965" header="0.31496062992125984" footer="0.31496062992125984"/>
  <pageSetup paperSize="9" orientation="landscape"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24"/>
  <sheetViews>
    <sheetView showZeros="0" view="pageBreakPreview" zoomScaleNormal="100" zoomScaleSheetLayoutView="100" workbookViewId="0">
      <selection activeCell="B5" sqref="B5:F42"/>
    </sheetView>
  </sheetViews>
  <sheetFormatPr defaultColWidth="11.36328125" defaultRowHeight="18.75" customHeight="1" x14ac:dyDescent="0.2"/>
  <cols>
    <col min="1" max="1" width="3.36328125" style="1" customWidth="1"/>
    <col min="2" max="2" width="15.453125" style="1" customWidth="1"/>
    <col min="3" max="3" width="37.7265625" style="1" customWidth="1"/>
    <col min="4" max="4" width="1.08984375" style="1" customWidth="1"/>
    <col min="5" max="5" width="21.08984375" style="1" customWidth="1"/>
    <col min="6" max="6" width="7.7265625" style="1" customWidth="1"/>
    <col min="7" max="7" width="2.26953125" style="1" customWidth="1"/>
    <col min="8" max="8" width="2.08984375" style="1" customWidth="1"/>
    <col min="9" max="16384" width="11.36328125" style="1"/>
  </cols>
  <sheetData>
    <row r="1" spans="1:6" ht="18.75" customHeight="1" x14ac:dyDescent="0.2">
      <c r="E1" s="265" t="s">
        <v>7</v>
      </c>
      <c r="F1" s="265"/>
    </row>
    <row r="2" spans="1:6" ht="18.75" customHeight="1" x14ac:dyDescent="0.2">
      <c r="A2" s="319" t="s">
        <v>151</v>
      </c>
      <c r="B2" s="319"/>
      <c r="C2" s="319"/>
      <c r="D2" s="319"/>
      <c r="E2" s="319"/>
      <c r="F2" s="319"/>
    </row>
    <row r="3" spans="1:6" ht="7.5" customHeight="1" x14ac:dyDescent="0.2">
      <c r="A3" s="27"/>
      <c r="B3" s="27"/>
      <c r="C3" s="27"/>
      <c r="D3" s="27"/>
      <c r="E3" s="27"/>
      <c r="F3" s="27"/>
    </row>
    <row r="4" spans="1:6" ht="18.75" customHeight="1" x14ac:dyDescent="0.2">
      <c r="A4" s="27" t="s">
        <v>6</v>
      </c>
      <c r="B4" s="2" t="s">
        <v>28</v>
      </c>
      <c r="C4" s="27"/>
      <c r="D4" s="27"/>
      <c r="E4" s="27"/>
      <c r="F4" s="27"/>
    </row>
    <row r="5" spans="1:6" ht="18.75" customHeight="1" x14ac:dyDescent="0.2">
      <c r="A5" s="27"/>
      <c r="B5" s="320"/>
      <c r="C5" s="321"/>
      <c r="D5" s="321"/>
      <c r="E5" s="321"/>
      <c r="F5" s="322"/>
    </row>
    <row r="6" spans="1:6" ht="18.75" customHeight="1" x14ac:dyDescent="0.2">
      <c r="A6" s="27"/>
      <c r="B6" s="323"/>
      <c r="C6" s="324"/>
      <c r="D6" s="324"/>
      <c r="E6" s="324"/>
      <c r="F6" s="325"/>
    </row>
    <row r="7" spans="1:6" ht="18.75" customHeight="1" x14ac:dyDescent="0.2">
      <c r="A7" s="27"/>
      <c r="B7" s="323"/>
      <c r="C7" s="324"/>
      <c r="D7" s="324"/>
      <c r="E7" s="324"/>
      <c r="F7" s="325"/>
    </row>
    <row r="8" spans="1:6" ht="18.75" customHeight="1" x14ac:dyDescent="0.2">
      <c r="A8" s="27"/>
      <c r="B8" s="323"/>
      <c r="C8" s="324"/>
      <c r="D8" s="324"/>
      <c r="E8" s="324"/>
      <c r="F8" s="325"/>
    </row>
    <row r="9" spans="1:6" ht="18.75" customHeight="1" x14ac:dyDescent="0.2">
      <c r="A9" s="27"/>
      <c r="B9" s="323"/>
      <c r="C9" s="324"/>
      <c r="D9" s="324"/>
      <c r="E9" s="324"/>
      <c r="F9" s="325"/>
    </row>
    <row r="10" spans="1:6" ht="18.75" customHeight="1" x14ac:dyDescent="0.2">
      <c r="A10" s="27"/>
      <c r="B10" s="323"/>
      <c r="C10" s="324"/>
      <c r="D10" s="324"/>
      <c r="E10" s="324"/>
      <c r="F10" s="325"/>
    </row>
    <row r="11" spans="1:6" ht="18.75" customHeight="1" x14ac:dyDescent="0.2">
      <c r="A11" s="27"/>
      <c r="B11" s="323"/>
      <c r="C11" s="324"/>
      <c r="D11" s="324"/>
      <c r="E11" s="324"/>
      <c r="F11" s="325"/>
    </row>
    <row r="12" spans="1:6" ht="18.75" customHeight="1" x14ac:dyDescent="0.2">
      <c r="A12" s="27"/>
      <c r="B12" s="323"/>
      <c r="C12" s="324"/>
      <c r="D12" s="324"/>
      <c r="E12" s="324"/>
      <c r="F12" s="325"/>
    </row>
    <row r="13" spans="1:6" ht="18.75" customHeight="1" x14ac:dyDescent="0.2">
      <c r="A13" s="27"/>
      <c r="B13" s="323"/>
      <c r="C13" s="324"/>
      <c r="D13" s="324"/>
      <c r="E13" s="324"/>
      <c r="F13" s="325"/>
    </row>
    <row r="14" spans="1:6" ht="18.75" customHeight="1" x14ac:dyDescent="0.2">
      <c r="A14" s="27"/>
      <c r="B14" s="323"/>
      <c r="C14" s="324"/>
      <c r="D14" s="324"/>
      <c r="E14" s="324"/>
      <c r="F14" s="325"/>
    </row>
    <row r="15" spans="1:6" ht="18.75" customHeight="1" x14ac:dyDescent="0.2">
      <c r="A15" s="27"/>
      <c r="B15" s="323"/>
      <c r="C15" s="324"/>
      <c r="D15" s="324"/>
      <c r="E15" s="324"/>
      <c r="F15" s="325"/>
    </row>
    <row r="16" spans="1:6" ht="18.75" customHeight="1" x14ac:dyDescent="0.2">
      <c r="A16" s="27"/>
      <c r="B16" s="323"/>
      <c r="C16" s="324"/>
      <c r="D16" s="324"/>
      <c r="E16" s="324"/>
      <c r="F16" s="325"/>
    </row>
    <row r="17" spans="1:6" ht="18.75" customHeight="1" x14ac:dyDescent="0.2">
      <c r="A17" s="27"/>
      <c r="B17" s="323"/>
      <c r="C17" s="324"/>
      <c r="D17" s="324"/>
      <c r="E17" s="324"/>
      <c r="F17" s="325"/>
    </row>
    <row r="18" spans="1:6" ht="18.75" customHeight="1" x14ac:dyDescent="0.2">
      <c r="A18" s="27"/>
      <c r="B18" s="323"/>
      <c r="C18" s="324"/>
      <c r="D18" s="324"/>
      <c r="E18" s="324"/>
      <c r="F18" s="325"/>
    </row>
    <row r="19" spans="1:6" ht="18.75" customHeight="1" x14ac:dyDescent="0.2">
      <c r="A19" s="27"/>
      <c r="B19" s="323"/>
      <c r="C19" s="324"/>
      <c r="D19" s="324"/>
      <c r="E19" s="324"/>
      <c r="F19" s="325"/>
    </row>
    <row r="20" spans="1:6" ht="18.75" customHeight="1" x14ac:dyDescent="0.2">
      <c r="A20" s="27"/>
      <c r="B20" s="323"/>
      <c r="C20" s="324"/>
      <c r="D20" s="324"/>
      <c r="E20" s="324"/>
      <c r="F20" s="325"/>
    </row>
    <row r="21" spans="1:6" ht="18.75" customHeight="1" x14ac:dyDescent="0.2">
      <c r="A21" s="27"/>
      <c r="B21" s="323"/>
      <c r="C21" s="324"/>
      <c r="D21" s="324"/>
      <c r="E21" s="324"/>
      <c r="F21" s="325"/>
    </row>
    <row r="22" spans="1:6" ht="18.75" customHeight="1" x14ac:dyDescent="0.2">
      <c r="A22" s="27"/>
      <c r="B22" s="323"/>
      <c r="C22" s="324"/>
      <c r="D22" s="324"/>
      <c r="E22" s="324"/>
      <c r="F22" s="325"/>
    </row>
    <row r="23" spans="1:6" ht="18.75" customHeight="1" x14ac:dyDescent="0.2">
      <c r="A23" s="27"/>
      <c r="B23" s="323"/>
      <c r="C23" s="324"/>
      <c r="D23" s="324"/>
      <c r="E23" s="324"/>
      <c r="F23" s="325"/>
    </row>
    <row r="24" spans="1:6" ht="18.75" customHeight="1" x14ac:dyDescent="0.2">
      <c r="A24" s="27"/>
      <c r="B24" s="323"/>
      <c r="C24" s="324"/>
      <c r="D24" s="324"/>
      <c r="E24" s="324"/>
      <c r="F24" s="325"/>
    </row>
    <row r="25" spans="1:6" ht="18.75" customHeight="1" x14ac:dyDescent="0.2">
      <c r="A25" s="27"/>
      <c r="B25" s="323"/>
      <c r="C25" s="324"/>
      <c r="D25" s="324"/>
      <c r="E25" s="324"/>
      <c r="F25" s="325"/>
    </row>
    <row r="26" spans="1:6" ht="18.75" customHeight="1" x14ac:dyDescent="0.2">
      <c r="A26" s="27"/>
      <c r="B26" s="323"/>
      <c r="C26" s="324"/>
      <c r="D26" s="324"/>
      <c r="E26" s="324"/>
      <c r="F26" s="325"/>
    </row>
    <row r="27" spans="1:6" ht="18.75" customHeight="1" x14ac:dyDescent="0.2">
      <c r="A27" s="27"/>
      <c r="B27" s="323"/>
      <c r="C27" s="324"/>
      <c r="D27" s="324"/>
      <c r="E27" s="324"/>
      <c r="F27" s="325"/>
    </row>
    <row r="28" spans="1:6" ht="18.75" customHeight="1" x14ac:dyDescent="0.2">
      <c r="A28" s="27"/>
      <c r="B28" s="323"/>
      <c r="C28" s="324"/>
      <c r="D28" s="324"/>
      <c r="E28" s="324"/>
      <c r="F28" s="325"/>
    </row>
    <row r="29" spans="1:6" ht="18.75" customHeight="1" x14ac:dyDescent="0.2">
      <c r="A29" s="27"/>
      <c r="B29" s="323"/>
      <c r="C29" s="324"/>
      <c r="D29" s="324"/>
      <c r="E29" s="324"/>
      <c r="F29" s="325"/>
    </row>
    <row r="30" spans="1:6" ht="18.75" customHeight="1" x14ac:dyDescent="0.2">
      <c r="A30" s="27"/>
      <c r="B30" s="323"/>
      <c r="C30" s="324"/>
      <c r="D30" s="324"/>
      <c r="E30" s="324"/>
      <c r="F30" s="325"/>
    </row>
    <row r="31" spans="1:6" ht="18.75" customHeight="1" x14ac:dyDescent="0.2">
      <c r="A31" s="27"/>
      <c r="B31" s="323"/>
      <c r="C31" s="324"/>
      <c r="D31" s="324"/>
      <c r="E31" s="324"/>
      <c r="F31" s="325"/>
    </row>
    <row r="32" spans="1:6" ht="18.75" customHeight="1" x14ac:dyDescent="0.2">
      <c r="A32" s="27"/>
      <c r="B32" s="323"/>
      <c r="C32" s="324"/>
      <c r="D32" s="324"/>
      <c r="E32" s="324"/>
      <c r="F32" s="325"/>
    </row>
    <row r="33" spans="1:6" ht="18.75" customHeight="1" x14ac:dyDescent="0.2">
      <c r="A33" s="27"/>
      <c r="B33" s="323"/>
      <c r="C33" s="324"/>
      <c r="D33" s="324"/>
      <c r="E33" s="324"/>
      <c r="F33" s="325"/>
    </row>
    <row r="34" spans="1:6" ht="18.75" customHeight="1" x14ac:dyDescent="0.2">
      <c r="A34" s="27"/>
      <c r="B34" s="323"/>
      <c r="C34" s="324"/>
      <c r="D34" s="324"/>
      <c r="E34" s="324"/>
      <c r="F34" s="325"/>
    </row>
    <row r="35" spans="1:6" ht="18.75" customHeight="1" x14ac:dyDescent="0.2">
      <c r="A35" s="27"/>
      <c r="B35" s="323"/>
      <c r="C35" s="324"/>
      <c r="D35" s="324"/>
      <c r="E35" s="324"/>
      <c r="F35" s="325"/>
    </row>
    <row r="36" spans="1:6" ht="18.75" customHeight="1" x14ac:dyDescent="0.2">
      <c r="A36" s="27"/>
      <c r="B36" s="323"/>
      <c r="C36" s="324"/>
      <c r="D36" s="324"/>
      <c r="E36" s="324"/>
      <c r="F36" s="325"/>
    </row>
    <row r="37" spans="1:6" ht="18.75" customHeight="1" x14ac:dyDescent="0.2">
      <c r="A37" s="27"/>
      <c r="B37" s="323"/>
      <c r="C37" s="324"/>
      <c r="D37" s="324"/>
      <c r="E37" s="324"/>
      <c r="F37" s="325"/>
    </row>
    <row r="38" spans="1:6" ht="18.75" customHeight="1" x14ac:dyDescent="0.2">
      <c r="A38" s="27"/>
      <c r="B38" s="323"/>
      <c r="C38" s="324"/>
      <c r="D38" s="324"/>
      <c r="E38" s="324"/>
      <c r="F38" s="325"/>
    </row>
    <row r="39" spans="1:6" ht="18.75" customHeight="1" x14ac:dyDescent="0.2">
      <c r="A39" s="27"/>
      <c r="B39" s="323"/>
      <c r="C39" s="324"/>
      <c r="D39" s="324"/>
      <c r="E39" s="324"/>
      <c r="F39" s="325"/>
    </row>
    <row r="40" spans="1:6" ht="18.75" customHeight="1" x14ac:dyDescent="0.2">
      <c r="A40" s="27"/>
      <c r="B40" s="323"/>
      <c r="C40" s="324"/>
      <c r="D40" s="324"/>
      <c r="E40" s="324"/>
      <c r="F40" s="325"/>
    </row>
    <row r="41" spans="1:6" ht="18.75" customHeight="1" x14ac:dyDescent="0.2">
      <c r="A41" s="27"/>
      <c r="B41" s="323"/>
      <c r="C41" s="324"/>
      <c r="D41" s="324"/>
      <c r="E41" s="324"/>
      <c r="F41" s="325"/>
    </row>
    <row r="42" spans="1:6" ht="18.75" customHeight="1" x14ac:dyDescent="0.2">
      <c r="A42" s="27"/>
      <c r="B42" s="326"/>
      <c r="C42" s="327"/>
      <c r="D42" s="327"/>
      <c r="E42" s="327"/>
      <c r="F42" s="328"/>
    </row>
    <row r="43" spans="1:6" ht="18.75" customHeight="1" x14ac:dyDescent="0.2">
      <c r="A43" s="27" t="s">
        <v>10</v>
      </c>
      <c r="B43" s="2" t="s">
        <v>73</v>
      </c>
      <c r="C43" s="27"/>
      <c r="D43" s="27"/>
      <c r="E43" s="27"/>
      <c r="F43" s="27"/>
    </row>
    <row r="44" spans="1:6" ht="18.75" customHeight="1" x14ac:dyDescent="0.2">
      <c r="A44" s="27"/>
      <c r="B44" s="320"/>
      <c r="C44" s="321"/>
      <c r="D44" s="321"/>
      <c r="E44" s="321"/>
      <c r="F44" s="322"/>
    </row>
    <row r="45" spans="1:6" ht="18.75" customHeight="1" x14ac:dyDescent="0.2">
      <c r="A45" s="27"/>
      <c r="B45" s="323"/>
      <c r="C45" s="324"/>
      <c r="D45" s="324"/>
      <c r="E45" s="324"/>
      <c r="F45" s="325"/>
    </row>
    <row r="46" spans="1:6" ht="18.75" customHeight="1" x14ac:dyDescent="0.2">
      <c r="A46" s="27"/>
      <c r="B46" s="323"/>
      <c r="C46" s="324"/>
      <c r="D46" s="324"/>
      <c r="E46" s="324"/>
      <c r="F46" s="325"/>
    </row>
    <row r="47" spans="1:6" ht="18.75" customHeight="1" x14ac:dyDescent="0.2">
      <c r="A47" s="27"/>
      <c r="B47" s="323"/>
      <c r="C47" s="324"/>
      <c r="D47" s="324"/>
      <c r="E47" s="324"/>
      <c r="F47" s="325"/>
    </row>
    <row r="48" spans="1:6" ht="18.75" customHeight="1" x14ac:dyDescent="0.2">
      <c r="A48" s="27"/>
      <c r="B48" s="323"/>
      <c r="C48" s="324"/>
      <c r="D48" s="324"/>
      <c r="E48" s="324"/>
      <c r="F48" s="325"/>
    </row>
    <row r="49" spans="1:6" ht="18.75" customHeight="1" x14ac:dyDescent="0.2">
      <c r="A49" s="27"/>
      <c r="B49" s="323"/>
      <c r="C49" s="324"/>
      <c r="D49" s="324"/>
      <c r="E49" s="324"/>
      <c r="F49" s="325"/>
    </row>
    <row r="50" spans="1:6" ht="18.75" customHeight="1" x14ac:dyDescent="0.2">
      <c r="A50" s="27"/>
      <c r="B50" s="323"/>
      <c r="C50" s="324"/>
      <c r="D50" s="324"/>
      <c r="E50" s="324"/>
      <c r="F50" s="325"/>
    </row>
    <row r="51" spans="1:6" ht="18.75" customHeight="1" x14ac:dyDescent="0.2">
      <c r="A51" s="27"/>
      <c r="B51" s="323"/>
      <c r="C51" s="324"/>
      <c r="D51" s="324"/>
      <c r="E51" s="324"/>
      <c r="F51" s="325"/>
    </row>
    <row r="52" spans="1:6" ht="18.75" customHeight="1" x14ac:dyDescent="0.2">
      <c r="A52" s="27"/>
      <c r="B52" s="323"/>
      <c r="C52" s="324"/>
      <c r="D52" s="324"/>
      <c r="E52" s="324"/>
      <c r="F52" s="325"/>
    </row>
    <row r="53" spans="1:6" ht="18.75" customHeight="1" x14ac:dyDescent="0.2">
      <c r="A53" s="27"/>
      <c r="B53" s="323"/>
      <c r="C53" s="324"/>
      <c r="D53" s="324"/>
      <c r="E53" s="324"/>
      <c r="F53" s="325"/>
    </row>
    <row r="54" spans="1:6" ht="18.75" customHeight="1" x14ac:dyDescent="0.2">
      <c r="A54" s="27"/>
      <c r="B54" s="323"/>
      <c r="C54" s="324"/>
      <c r="D54" s="324"/>
      <c r="E54" s="324"/>
      <c r="F54" s="325"/>
    </row>
    <row r="55" spans="1:6" ht="18.75" customHeight="1" x14ac:dyDescent="0.2">
      <c r="A55" s="27"/>
      <c r="B55" s="323"/>
      <c r="C55" s="324"/>
      <c r="D55" s="324"/>
      <c r="E55" s="324"/>
      <c r="F55" s="325"/>
    </row>
    <row r="56" spans="1:6" ht="18.75" customHeight="1" x14ac:dyDescent="0.2">
      <c r="A56" s="27"/>
      <c r="B56" s="323"/>
      <c r="C56" s="324"/>
      <c r="D56" s="324"/>
      <c r="E56" s="324"/>
      <c r="F56" s="325"/>
    </row>
    <row r="57" spans="1:6" ht="18.75" customHeight="1" x14ac:dyDescent="0.2">
      <c r="A57" s="27"/>
      <c r="B57" s="323"/>
      <c r="C57" s="324"/>
      <c r="D57" s="324"/>
      <c r="E57" s="324"/>
      <c r="F57" s="325"/>
    </row>
    <row r="58" spans="1:6" ht="18.75" customHeight="1" x14ac:dyDescent="0.2">
      <c r="A58" s="27"/>
      <c r="B58" s="323"/>
      <c r="C58" s="324"/>
      <c r="D58" s="324"/>
      <c r="E58" s="324"/>
      <c r="F58" s="325"/>
    </row>
    <row r="59" spans="1:6" ht="18.75" customHeight="1" x14ac:dyDescent="0.2">
      <c r="A59" s="27"/>
      <c r="B59" s="323"/>
      <c r="C59" s="324"/>
      <c r="D59" s="324"/>
      <c r="E59" s="324"/>
      <c r="F59" s="325"/>
    </row>
    <row r="60" spans="1:6" ht="18.75" customHeight="1" x14ac:dyDescent="0.2">
      <c r="A60" s="27"/>
      <c r="B60" s="323"/>
      <c r="C60" s="324"/>
      <c r="D60" s="324"/>
      <c r="E60" s="324"/>
      <c r="F60" s="325"/>
    </row>
    <row r="61" spans="1:6" ht="18.75" customHeight="1" x14ac:dyDescent="0.2">
      <c r="A61" s="27"/>
      <c r="B61" s="323"/>
      <c r="C61" s="324"/>
      <c r="D61" s="324"/>
      <c r="E61" s="324"/>
      <c r="F61" s="325"/>
    </row>
    <row r="62" spans="1:6" ht="18.75" customHeight="1" x14ac:dyDescent="0.2">
      <c r="A62" s="27"/>
      <c r="B62" s="323"/>
      <c r="C62" s="324"/>
      <c r="D62" s="324"/>
      <c r="E62" s="324"/>
      <c r="F62" s="325"/>
    </row>
    <row r="63" spans="1:6" ht="18.75" customHeight="1" x14ac:dyDescent="0.2">
      <c r="A63" s="27"/>
      <c r="B63" s="323"/>
      <c r="C63" s="324"/>
      <c r="D63" s="324"/>
      <c r="E63" s="324"/>
      <c r="F63" s="325"/>
    </row>
    <row r="64" spans="1:6" ht="18.75" customHeight="1" x14ac:dyDescent="0.2">
      <c r="A64" s="27"/>
      <c r="B64" s="323"/>
      <c r="C64" s="324"/>
      <c r="D64" s="324"/>
      <c r="E64" s="324"/>
      <c r="F64" s="325"/>
    </row>
    <row r="65" spans="1:6" ht="18.75" customHeight="1" x14ac:dyDescent="0.2">
      <c r="A65" s="27"/>
      <c r="B65" s="323"/>
      <c r="C65" s="324"/>
      <c r="D65" s="324"/>
      <c r="E65" s="324"/>
      <c r="F65" s="325"/>
    </row>
    <row r="66" spans="1:6" ht="18.75" customHeight="1" x14ac:dyDescent="0.2">
      <c r="A66" s="27"/>
      <c r="B66" s="323"/>
      <c r="C66" s="324"/>
      <c r="D66" s="324"/>
      <c r="E66" s="324"/>
      <c r="F66" s="325"/>
    </row>
    <row r="67" spans="1:6" ht="18.75" customHeight="1" x14ac:dyDescent="0.2">
      <c r="A67" s="27"/>
      <c r="B67" s="323"/>
      <c r="C67" s="324"/>
      <c r="D67" s="324"/>
      <c r="E67" s="324"/>
      <c r="F67" s="325"/>
    </row>
    <row r="68" spans="1:6" ht="18.75" customHeight="1" x14ac:dyDescent="0.2">
      <c r="A68" s="27"/>
      <c r="B68" s="323"/>
      <c r="C68" s="324"/>
      <c r="D68" s="324"/>
      <c r="E68" s="324"/>
      <c r="F68" s="325"/>
    </row>
    <row r="69" spans="1:6" ht="18.75" customHeight="1" x14ac:dyDescent="0.2">
      <c r="A69" s="27"/>
      <c r="B69" s="323"/>
      <c r="C69" s="324"/>
      <c r="D69" s="324"/>
      <c r="E69" s="324"/>
      <c r="F69" s="325"/>
    </row>
    <row r="70" spans="1:6" ht="18.75" customHeight="1" x14ac:dyDescent="0.2">
      <c r="A70" s="27"/>
      <c r="B70" s="323"/>
      <c r="C70" s="324"/>
      <c r="D70" s="324"/>
      <c r="E70" s="324"/>
      <c r="F70" s="325"/>
    </row>
    <row r="71" spans="1:6" ht="18.75" customHeight="1" x14ac:dyDescent="0.2">
      <c r="A71" s="27"/>
      <c r="B71" s="323"/>
      <c r="C71" s="324"/>
      <c r="D71" s="324"/>
      <c r="E71" s="324"/>
      <c r="F71" s="325"/>
    </row>
    <row r="72" spans="1:6" ht="18.75" customHeight="1" x14ac:dyDescent="0.2">
      <c r="A72" s="27"/>
      <c r="B72" s="323"/>
      <c r="C72" s="324"/>
      <c r="D72" s="324"/>
      <c r="E72" s="324"/>
      <c r="F72" s="325"/>
    </row>
    <row r="73" spans="1:6" ht="18.75" customHeight="1" x14ac:dyDescent="0.2">
      <c r="A73" s="27"/>
      <c r="B73" s="323"/>
      <c r="C73" s="324"/>
      <c r="D73" s="324"/>
      <c r="E73" s="324"/>
      <c r="F73" s="325"/>
    </row>
    <row r="74" spans="1:6" ht="18.75" customHeight="1" x14ac:dyDescent="0.2">
      <c r="A74" s="27"/>
      <c r="B74" s="323"/>
      <c r="C74" s="324"/>
      <c r="D74" s="324"/>
      <c r="E74" s="324"/>
      <c r="F74" s="325"/>
    </row>
    <row r="75" spans="1:6" ht="18.75" customHeight="1" x14ac:dyDescent="0.2">
      <c r="A75" s="27"/>
      <c r="B75" s="323"/>
      <c r="C75" s="324"/>
      <c r="D75" s="324"/>
      <c r="E75" s="324"/>
      <c r="F75" s="325"/>
    </row>
    <row r="76" spans="1:6" ht="18.75" customHeight="1" x14ac:dyDescent="0.2">
      <c r="A76" s="27"/>
      <c r="B76" s="323"/>
      <c r="C76" s="324"/>
      <c r="D76" s="324"/>
      <c r="E76" s="324"/>
      <c r="F76" s="325"/>
    </row>
    <row r="77" spans="1:6" ht="18.75" customHeight="1" x14ac:dyDescent="0.2">
      <c r="A77" s="27"/>
      <c r="B77" s="323"/>
      <c r="C77" s="324"/>
      <c r="D77" s="324"/>
      <c r="E77" s="324"/>
      <c r="F77" s="325"/>
    </row>
    <row r="78" spans="1:6" ht="18.75" customHeight="1" x14ac:dyDescent="0.2">
      <c r="A78" s="27"/>
      <c r="B78" s="323"/>
      <c r="C78" s="324"/>
      <c r="D78" s="324"/>
      <c r="E78" s="324"/>
      <c r="F78" s="325"/>
    </row>
    <row r="79" spans="1:6" ht="18.75" customHeight="1" x14ac:dyDescent="0.2">
      <c r="A79" s="27"/>
      <c r="B79" s="323"/>
      <c r="C79" s="324"/>
      <c r="D79" s="324"/>
      <c r="E79" s="324"/>
      <c r="F79" s="325"/>
    </row>
    <row r="80" spans="1:6" ht="18.75" customHeight="1" x14ac:dyDescent="0.2">
      <c r="A80" s="27"/>
      <c r="B80" s="323"/>
      <c r="C80" s="324"/>
      <c r="D80" s="324"/>
      <c r="E80" s="324"/>
      <c r="F80" s="325"/>
    </row>
    <row r="81" spans="1:6" ht="18.75" customHeight="1" x14ac:dyDescent="0.2">
      <c r="A81" s="27"/>
      <c r="B81" s="323"/>
      <c r="C81" s="324"/>
      <c r="D81" s="324"/>
      <c r="E81" s="324"/>
      <c r="F81" s="325"/>
    </row>
    <row r="82" spans="1:6" ht="18.75" customHeight="1" x14ac:dyDescent="0.2">
      <c r="A82" s="27"/>
      <c r="B82" s="323"/>
      <c r="C82" s="324"/>
      <c r="D82" s="324"/>
      <c r="E82" s="324"/>
      <c r="F82" s="325"/>
    </row>
    <row r="83" spans="1:6" ht="18.75" customHeight="1" x14ac:dyDescent="0.2">
      <c r="A83" s="27"/>
      <c r="B83" s="326"/>
      <c r="C83" s="327"/>
      <c r="D83" s="327"/>
      <c r="E83" s="327"/>
      <c r="F83" s="328"/>
    </row>
    <row r="84" spans="1:6" ht="18.75" customHeight="1" x14ac:dyDescent="0.2">
      <c r="A84" s="2" t="s">
        <v>11</v>
      </c>
      <c r="B84" s="2" t="s">
        <v>74</v>
      </c>
      <c r="C84" s="2"/>
      <c r="D84" s="2"/>
      <c r="E84" s="2"/>
      <c r="F84" s="2"/>
    </row>
    <row r="85" spans="1:6" ht="18.75" customHeight="1" x14ac:dyDescent="0.2">
      <c r="A85" s="27"/>
      <c r="B85" s="320"/>
      <c r="C85" s="321"/>
      <c r="D85" s="321"/>
      <c r="E85" s="321"/>
      <c r="F85" s="322"/>
    </row>
    <row r="86" spans="1:6" ht="18.75" customHeight="1" x14ac:dyDescent="0.2">
      <c r="A86" s="27"/>
      <c r="B86" s="323"/>
      <c r="C86" s="324"/>
      <c r="D86" s="324"/>
      <c r="E86" s="324"/>
      <c r="F86" s="325"/>
    </row>
    <row r="87" spans="1:6" ht="18.75" customHeight="1" x14ac:dyDescent="0.2">
      <c r="A87" s="27"/>
      <c r="B87" s="323"/>
      <c r="C87" s="324"/>
      <c r="D87" s="324"/>
      <c r="E87" s="324"/>
      <c r="F87" s="325"/>
    </row>
    <row r="88" spans="1:6" ht="18.75" customHeight="1" x14ac:dyDescent="0.2">
      <c r="A88" s="27"/>
      <c r="B88" s="323"/>
      <c r="C88" s="324"/>
      <c r="D88" s="324"/>
      <c r="E88" s="324"/>
      <c r="F88" s="325"/>
    </row>
    <row r="89" spans="1:6" ht="18.75" customHeight="1" x14ac:dyDescent="0.2">
      <c r="A89" s="27"/>
      <c r="B89" s="323"/>
      <c r="C89" s="324"/>
      <c r="D89" s="324"/>
      <c r="E89" s="324"/>
      <c r="F89" s="325"/>
    </row>
    <row r="90" spans="1:6" ht="18.75" customHeight="1" x14ac:dyDescent="0.2">
      <c r="A90" s="27"/>
      <c r="B90" s="323"/>
      <c r="C90" s="324"/>
      <c r="D90" s="324"/>
      <c r="E90" s="324"/>
      <c r="F90" s="325"/>
    </row>
    <row r="91" spans="1:6" ht="18.75" customHeight="1" x14ac:dyDescent="0.2">
      <c r="A91" s="27"/>
      <c r="B91" s="323"/>
      <c r="C91" s="324"/>
      <c r="D91" s="324"/>
      <c r="E91" s="324"/>
      <c r="F91" s="325"/>
    </row>
    <row r="92" spans="1:6" ht="18.75" customHeight="1" x14ac:dyDescent="0.2">
      <c r="A92" s="27"/>
      <c r="B92" s="323"/>
      <c r="C92" s="324"/>
      <c r="D92" s="324"/>
      <c r="E92" s="324"/>
      <c r="F92" s="325"/>
    </row>
    <row r="93" spans="1:6" ht="18.75" customHeight="1" x14ac:dyDescent="0.2">
      <c r="A93" s="27"/>
      <c r="B93" s="323"/>
      <c r="C93" s="324"/>
      <c r="D93" s="324"/>
      <c r="E93" s="324"/>
      <c r="F93" s="325"/>
    </row>
    <row r="94" spans="1:6" ht="18.75" customHeight="1" x14ac:dyDescent="0.2">
      <c r="A94" s="27"/>
      <c r="B94" s="323"/>
      <c r="C94" s="324"/>
      <c r="D94" s="324"/>
      <c r="E94" s="324"/>
      <c r="F94" s="325"/>
    </row>
    <row r="95" spans="1:6" ht="18.75" customHeight="1" x14ac:dyDescent="0.2">
      <c r="A95" s="27"/>
      <c r="B95" s="323"/>
      <c r="C95" s="324"/>
      <c r="D95" s="324"/>
      <c r="E95" s="324"/>
      <c r="F95" s="325"/>
    </row>
    <row r="96" spans="1:6" ht="18.75" customHeight="1" x14ac:dyDescent="0.2">
      <c r="A96" s="27"/>
      <c r="B96" s="323"/>
      <c r="C96" s="324"/>
      <c r="D96" s="324"/>
      <c r="E96" s="324"/>
      <c r="F96" s="325"/>
    </row>
    <row r="97" spans="1:6" ht="18.75" customHeight="1" x14ac:dyDescent="0.2">
      <c r="A97" s="27"/>
      <c r="B97" s="323"/>
      <c r="C97" s="324"/>
      <c r="D97" s="324"/>
      <c r="E97" s="324"/>
      <c r="F97" s="325"/>
    </row>
    <row r="98" spans="1:6" ht="18.75" customHeight="1" x14ac:dyDescent="0.2">
      <c r="A98" s="27"/>
      <c r="B98" s="323"/>
      <c r="C98" s="324"/>
      <c r="D98" s="324"/>
      <c r="E98" s="324"/>
      <c r="F98" s="325"/>
    </row>
    <row r="99" spans="1:6" ht="18.75" customHeight="1" x14ac:dyDescent="0.2">
      <c r="A99" s="27"/>
      <c r="B99" s="323"/>
      <c r="C99" s="324"/>
      <c r="D99" s="324"/>
      <c r="E99" s="324"/>
      <c r="F99" s="325"/>
    </row>
    <row r="100" spans="1:6" ht="18.75" customHeight="1" x14ac:dyDescent="0.2">
      <c r="A100" s="27"/>
      <c r="B100" s="323"/>
      <c r="C100" s="324"/>
      <c r="D100" s="324"/>
      <c r="E100" s="324"/>
      <c r="F100" s="325"/>
    </row>
    <row r="101" spans="1:6" ht="18.75" customHeight="1" x14ac:dyDescent="0.2">
      <c r="A101" s="27"/>
      <c r="B101" s="323"/>
      <c r="C101" s="324"/>
      <c r="D101" s="324"/>
      <c r="E101" s="324"/>
      <c r="F101" s="325"/>
    </row>
    <row r="102" spans="1:6" ht="18.75" customHeight="1" x14ac:dyDescent="0.2">
      <c r="A102" s="27"/>
      <c r="B102" s="323"/>
      <c r="C102" s="324"/>
      <c r="D102" s="324"/>
      <c r="E102" s="324"/>
      <c r="F102" s="325"/>
    </row>
    <row r="103" spans="1:6" ht="18.75" customHeight="1" x14ac:dyDescent="0.2">
      <c r="A103" s="27"/>
      <c r="B103" s="323"/>
      <c r="C103" s="324"/>
      <c r="D103" s="324"/>
      <c r="E103" s="324"/>
      <c r="F103" s="325"/>
    </row>
    <row r="104" spans="1:6" ht="18.75" customHeight="1" x14ac:dyDescent="0.2">
      <c r="A104" s="27"/>
      <c r="B104" s="323"/>
      <c r="C104" s="324"/>
      <c r="D104" s="324"/>
      <c r="E104" s="324"/>
      <c r="F104" s="325"/>
    </row>
    <row r="105" spans="1:6" ht="18.75" customHeight="1" x14ac:dyDescent="0.2">
      <c r="A105" s="27"/>
      <c r="B105" s="323"/>
      <c r="C105" s="324"/>
      <c r="D105" s="324"/>
      <c r="E105" s="324"/>
      <c r="F105" s="325"/>
    </row>
    <row r="106" spans="1:6" ht="18.75" customHeight="1" x14ac:dyDescent="0.2">
      <c r="A106" s="27"/>
      <c r="B106" s="323"/>
      <c r="C106" s="324"/>
      <c r="D106" s="324"/>
      <c r="E106" s="324"/>
      <c r="F106" s="325"/>
    </row>
    <row r="107" spans="1:6" ht="18.75" customHeight="1" x14ac:dyDescent="0.2">
      <c r="A107" s="27"/>
      <c r="B107" s="323"/>
      <c r="C107" s="324"/>
      <c r="D107" s="324"/>
      <c r="E107" s="324"/>
      <c r="F107" s="325"/>
    </row>
    <row r="108" spans="1:6" ht="18.75" customHeight="1" x14ac:dyDescent="0.2">
      <c r="A108" s="27"/>
      <c r="B108" s="323"/>
      <c r="C108" s="324"/>
      <c r="D108" s="324"/>
      <c r="E108" s="324"/>
      <c r="F108" s="325"/>
    </row>
    <row r="109" spans="1:6" ht="18.75" customHeight="1" x14ac:dyDescent="0.2">
      <c r="A109" s="27"/>
      <c r="B109" s="323"/>
      <c r="C109" s="324"/>
      <c r="D109" s="324"/>
      <c r="E109" s="324"/>
      <c r="F109" s="325"/>
    </row>
    <row r="110" spans="1:6" ht="18.75" customHeight="1" x14ac:dyDescent="0.2">
      <c r="A110" s="27"/>
      <c r="B110" s="323"/>
      <c r="C110" s="324"/>
      <c r="D110" s="324"/>
      <c r="E110" s="324"/>
      <c r="F110" s="325"/>
    </row>
    <row r="111" spans="1:6" ht="18.75" customHeight="1" x14ac:dyDescent="0.2">
      <c r="A111" s="27"/>
      <c r="B111" s="323"/>
      <c r="C111" s="324"/>
      <c r="D111" s="324"/>
      <c r="E111" s="324"/>
      <c r="F111" s="325"/>
    </row>
    <row r="112" spans="1:6" ht="18.75" customHeight="1" x14ac:dyDescent="0.2">
      <c r="A112" s="27"/>
      <c r="B112" s="323"/>
      <c r="C112" s="324"/>
      <c r="D112" s="324"/>
      <c r="E112" s="324"/>
      <c r="F112" s="325"/>
    </row>
    <row r="113" spans="1:6" ht="18.75" customHeight="1" x14ac:dyDescent="0.2">
      <c r="A113" s="27"/>
      <c r="B113" s="323"/>
      <c r="C113" s="324"/>
      <c r="D113" s="324"/>
      <c r="E113" s="324"/>
      <c r="F113" s="325"/>
    </row>
    <row r="114" spans="1:6" ht="18.75" customHeight="1" x14ac:dyDescent="0.2">
      <c r="A114" s="27"/>
      <c r="B114" s="323"/>
      <c r="C114" s="324"/>
      <c r="D114" s="324"/>
      <c r="E114" s="324"/>
      <c r="F114" s="325"/>
    </row>
    <row r="115" spans="1:6" ht="18.75" customHeight="1" x14ac:dyDescent="0.2">
      <c r="A115" s="27"/>
      <c r="B115" s="323"/>
      <c r="C115" s="324"/>
      <c r="D115" s="324"/>
      <c r="E115" s="324"/>
      <c r="F115" s="325"/>
    </row>
    <row r="116" spans="1:6" ht="18.75" customHeight="1" x14ac:dyDescent="0.2">
      <c r="A116" s="27"/>
      <c r="B116" s="323"/>
      <c r="C116" s="324"/>
      <c r="D116" s="324"/>
      <c r="E116" s="324"/>
      <c r="F116" s="325"/>
    </row>
    <row r="117" spans="1:6" ht="18.75" customHeight="1" x14ac:dyDescent="0.2">
      <c r="A117" s="27"/>
      <c r="B117" s="323"/>
      <c r="C117" s="324"/>
      <c r="D117" s="324"/>
      <c r="E117" s="324"/>
      <c r="F117" s="325"/>
    </row>
    <row r="118" spans="1:6" ht="18.75" customHeight="1" x14ac:dyDescent="0.2">
      <c r="A118" s="27"/>
      <c r="B118" s="323"/>
      <c r="C118" s="324"/>
      <c r="D118" s="324"/>
      <c r="E118" s="324"/>
      <c r="F118" s="325"/>
    </row>
    <row r="119" spans="1:6" ht="18.75" customHeight="1" x14ac:dyDescent="0.2">
      <c r="A119" s="27"/>
      <c r="B119" s="323"/>
      <c r="C119" s="324"/>
      <c r="D119" s="324"/>
      <c r="E119" s="324"/>
      <c r="F119" s="325"/>
    </row>
    <row r="120" spans="1:6" ht="18.75" customHeight="1" x14ac:dyDescent="0.2">
      <c r="A120" s="27"/>
      <c r="B120" s="323"/>
      <c r="C120" s="324"/>
      <c r="D120" s="324"/>
      <c r="E120" s="324"/>
      <c r="F120" s="325"/>
    </row>
    <row r="121" spans="1:6" ht="18.75" customHeight="1" x14ac:dyDescent="0.2">
      <c r="A121" s="27"/>
      <c r="B121" s="323"/>
      <c r="C121" s="324"/>
      <c r="D121" s="324"/>
      <c r="E121" s="324"/>
      <c r="F121" s="325"/>
    </row>
    <row r="122" spans="1:6" ht="18.75" customHeight="1" x14ac:dyDescent="0.2">
      <c r="A122" s="27"/>
      <c r="B122" s="323"/>
      <c r="C122" s="324"/>
      <c r="D122" s="324"/>
      <c r="E122" s="324"/>
      <c r="F122" s="325"/>
    </row>
    <row r="123" spans="1:6" ht="18.75" customHeight="1" x14ac:dyDescent="0.2">
      <c r="A123" s="27"/>
      <c r="B123" s="323"/>
      <c r="C123" s="324"/>
      <c r="D123" s="324"/>
      <c r="E123" s="324"/>
      <c r="F123" s="325"/>
    </row>
    <row r="124" spans="1:6" ht="18.75" customHeight="1" x14ac:dyDescent="0.2">
      <c r="A124" s="27"/>
      <c r="B124" s="326"/>
      <c r="C124" s="327"/>
      <c r="D124" s="327"/>
      <c r="E124" s="327"/>
      <c r="F124" s="328"/>
    </row>
  </sheetData>
  <customSheetViews>
    <customSheetView guid="{F66F98FB-58AD-4588-B2BF-A96D7B6BA538}" showPageBreaks="1" zeroValues="0" printArea="1" state="hidden" view="pageBreakPreview">
      <selection activeCell="B5" sqref="B5:F42"/>
      <rowBreaks count="2" manualBreakCount="2">
        <brk id="42" max="5" man="1"/>
        <brk id="83" max="5" man="1"/>
      </rowBreaks>
      <pageMargins left="0.78740157480314965" right="0.78740157480314965" top="0.78740157480314965" bottom="0.78740157480314965" header="0.31496062992125984" footer="0.31496062992125984"/>
      <printOptions horizontalCentered="1"/>
      <pageSetup paperSize="9" orientation="portrait" r:id="rId1"/>
    </customSheetView>
    <customSheetView guid="{AB72F774-B35A-46F0-BC4F-A888CB0430C3}" showPageBreaks="1" zeroValues="0" printArea="1" view="pageBreakPreview">
      <selection activeCell="B5" sqref="B5:F42"/>
      <rowBreaks count="2" manualBreakCount="2">
        <brk id="42" max="5" man="1"/>
        <brk id="83" max="5" man="1"/>
      </rowBreaks>
      <pageMargins left="0.78740157480314965" right="0.78740157480314965" top="0.78740157480314965" bottom="0.78740157480314965" header="0.31496062992125984" footer="0.31496062992125984"/>
      <printOptions horizontalCentered="1"/>
      <pageSetup paperSize="9" orientation="portrait" r:id="rId2"/>
    </customSheetView>
    <customSheetView guid="{3F6F70B2-63B4-4C1B-8947-42666FB99B7C}" showPageBreaks="1" zeroValues="0" printArea="1" view="pageBreakPreview">
      <selection activeCell="B5" sqref="B5:F42"/>
      <rowBreaks count="2" manualBreakCount="2">
        <brk id="42" max="5" man="1"/>
        <brk id="83" max="5" man="1"/>
      </rowBreaks>
      <pageMargins left="0.78740157480314965" right="0.78740157480314965" top="0.78740157480314965" bottom="0.78740157480314965" header="0.31496062992125984" footer="0.31496062992125984"/>
      <printOptions horizontalCentered="1"/>
      <pageSetup paperSize="9" orientation="portrait" r:id="rId3"/>
    </customSheetView>
  </customSheetViews>
  <mergeCells count="5">
    <mergeCell ref="E1:F1"/>
    <mergeCell ref="A2:F2"/>
    <mergeCell ref="B5:F42"/>
    <mergeCell ref="B44:F83"/>
    <mergeCell ref="B85:F124"/>
  </mergeCells>
  <phoneticPr fontId="1"/>
  <printOptions horizontalCentered="1"/>
  <pageMargins left="0.78740157480314965" right="0.78740157480314965" top="0.78740157480314965" bottom="0.78740157480314965" header="0.31496062992125984" footer="0.31496062992125984"/>
  <pageSetup paperSize="9" orientation="portrait" r:id="rId4"/>
  <rowBreaks count="2" manualBreakCount="2">
    <brk id="42" max="5" man="1"/>
    <brk id="83" max="5"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7</vt:i4>
      </vt:variant>
      <vt:variant>
        <vt:lpstr>名前付き一覧</vt:lpstr>
      </vt:variant>
      <vt:variant>
        <vt:i4>7</vt:i4>
      </vt:variant>
    </vt:vector>
  </HeadingPairs>
  <TitlesOfParts>
    <vt:vector size="14" baseType="lpstr">
      <vt:lpstr>様式１　大学等概要</vt:lpstr>
      <vt:lpstr>様式２-１　プログラムを構成する授業科目</vt:lpstr>
      <vt:lpstr>様式２-２　プログラムを構成する授業科目</vt:lpstr>
      <vt:lpstr>様式３　履修者等数の実績</vt:lpstr>
      <vt:lpstr>様式４　教育の質・履修者数を向上させるための体制・計画</vt:lpstr>
      <vt:lpstr>様式５　自己点検・評価</vt:lpstr>
      <vt:lpstr>様式６　特色ある取組</vt:lpstr>
      <vt:lpstr>'様式１　大学等概要'!Print_Area</vt:lpstr>
      <vt:lpstr>'様式２-１　プログラムを構成する授業科目'!Print_Area</vt:lpstr>
      <vt:lpstr>'様式２-２　プログラムを構成する授業科目'!Print_Area</vt:lpstr>
      <vt:lpstr>'様式３　履修者等数の実績'!Print_Area</vt:lpstr>
      <vt:lpstr>'様式４　教育の質・履修者数を向上させるための体制・計画'!Print_Area</vt:lpstr>
      <vt:lpstr>'様式５　自己点検・評価'!Print_Area</vt:lpstr>
      <vt:lpstr>'様式６　特色ある取組'!Print_Area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Rieko Hayashi</cp:lastModifiedBy>
  <cp:lastPrinted>2022-05-18T10:50:38Z</cp:lastPrinted>
  <dcterms:created xsi:type="dcterms:W3CDTF">2011-06-14T05:32:50Z</dcterms:created>
  <dcterms:modified xsi:type="dcterms:W3CDTF">2022-05-19T04:42:10Z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