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7"/>
  <workbookPr defaultThemeVersion="124226"/>
  <mc:AlternateContent xmlns:mc="http://schemas.openxmlformats.org/markup-compatibility/2006">
    <mc:Choice Requires="x15">
      <x15ac:absPath xmlns:x15ac="http://schemas.microsoft.com/office/spreadsheetml/2010/11/ac" url="C:\Users\M-sakai01\Desktop\数理申請\提出new\再々提出20220715URL変更\"/>
    </mc:Choice>
  </mc:AlternateContent>
  <xr:revisionPtr revIDLastSave="0" documentId="8_{60E6B282-718C-4D6F-8700-A25F8CA47DC5}" xr6:coauthVersionLast="36" xr6:coauthVersionMax="36" xr10:uidLastSave="{00000000-0000-0000-0000-000000000000}"/>
  <bookViews>
    <workbookView xWindow="0" yWindow="15" windowWidth="17295" windowHeight="10890" tabRatio="885" activeTab="4"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教育の質・履修者数を向上させるための体制・計画'!$A$1:$J$131</definedName>
    <definedName name="_xlnm.Print_Area" localSheetId="4">'様式５　自己点検・評価'!$A$1:$J$18</definedName>
  </definedNames>
  <calcPr calcId="191029"/>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R22" i="40"/>
  <c r="Q22" i="40"/>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R10" i="40" s="1"/>
  <c r="Q30" i="40" l="1"/>
  <c r="R30" i="40" s="1"/>
  <c r="C28" i="41" s="1"/>
</calcChain>
</file>

<file path=xl/sharedStrings.xml><?xml version="1.0" encoding="utf-8"?>
<sst xmlns="http://schemas.openxmlformats.org/spreadsheetml/2006/main" count="335" uniqueCount="215">
  <si>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</si>
  <si>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</si>
  <si>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</si>
  <si>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</si>
  <si>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</si>
  <si>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</si>
  <si>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</si>
  <si>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</si>
  <si>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</si>
  <si>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</si>
  <si>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</si>
  <si>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</si>
  <si>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</si>
  <si>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</si>
  <si>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</si>
  <si>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</si>
  <si>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</si>
  <si>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</si>
  <si>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</si>
  <si>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</si>
  <si>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</si>
  <si>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</si>
  <si>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</si>
  <si>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</si>
  <si>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</si>
  <si>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</si>
  <si>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</si>
  <si>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</si>
  <si>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</si>
  <si>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</si>
  <si>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</si>
  <si>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</si>
  <si>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</si>
  <si>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</si>
  <si>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</si>
  <si>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</si>
  <si>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</si>
  <si>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</si>
  <si>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</si>
  <si>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</si>
  <si>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</si>
  <si>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</si>
  <si>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</si>
  <si>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</si>
  <si>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</si>
  <si>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</si>
  <si>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</si>
  <si>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</si>
  <si>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</si>
  <si>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</si>
  <si>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</si>
  <si>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</si>
  <si>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</si>
  <si>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</si>
  <si>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</si>
  <si>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</si>
  <si>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</si>
  <si>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</si>
  <si>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</si>
  <si>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</si>
  <si>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</si>
  <si>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</si>
  <si>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</si>
  <si>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</si>
  <si>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</si>
  <si>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</si>
  <si>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</si>
  <si>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</si>
  <si>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</si>
  <si>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</si>
  <si>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</si>
  <si>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</si>
  <si>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</si>
  <si>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</si>
  <si>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</si>
  <si>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</si>
  <si>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</si>
  <si>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</si>
  <si>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</si>
  <si>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</si>
  <si>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</si>
  <si>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</si>
  <si>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</si>
  <si>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</si>
  <si>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</si>
  <si>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</si>
  <si>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</si>
  <si>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</si>
  <si>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</si>
  <si>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</si>
  <si>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</si>
  <si>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</si>
  <si>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</si>
  <si>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</si>
  <si>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</si>
  <si>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</si>
  <si>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</si>
  <si>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</si>
  <si>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</si>
  <si>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</si>
  <si>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</si>
  <si>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</si>
  <si>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</si>
  <si>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</si>
  <si>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</si>
  <si>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</si>
  <si>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</si>
  <si>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</si>
  <si>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</si>
  <si>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</si>
  <si>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</si>
  <si>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</si>
  <si>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</si>
  <si>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</si>
  <si>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</si>
  <si>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</si>
  <si>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</si>
  <si>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</si>
  <si>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</si>
  <si>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</si>
  <si>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</si>
  <si>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</si>
  <si>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</si>
  <si>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</si>
  <si>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</si>
  <si>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</si>
  <si>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</si>
  <si>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</si>
  <si>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</si>
  <si>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</si>
  <si>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</si>
  <si>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</si>
  <si>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</si>
  <si>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</si>
  <si>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</si>
  <si>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</si>
  <si>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</si>
  <si>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</si>
  <si>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</si>
  <si>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</si>
  <si>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</si>
  <si>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</si>
  <si>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</si>
  <si>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</si>
  <si>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</si>
  <si>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</si>
  <si>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</si>
  <si>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</si>
  <si>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日本医科大学</t>
    <rPh sb="0" eb="6">
      <t>ニホンイカダイガク</t>
    </rPh>
    <phoneticPr fontId="1"/>
  </si>
  <si>
    <t>学部・学科によって、修了要件は相違しない</t>
  </si>
  <si>
    <t>藤崎弘士</t>
    <rPh sb="0" eb="4">
      <t>フジサキヒロシ</t>
    </rPh>
    <phoneticPr fontId="1"/>
  </si>
  <si>
    <t>数理・データサイエンス・AI教育センター　センター長</t>
    <rPh sb="25" eb="26">
      <t>チョウ</t>
    </rPh>
    <phoneticPr fontId="1"/>
  </si>
  <si>
    <t>認定教育プログラム</t>
  </si>
  <si>
    <t>委員長</t>
    <rPh sb="0" eb="3">
      <t>イインチョウ</t>
    </rPh>
    <phoneticPr fontId="1"/>
  </si>
  <si>
    <t>数理データサイエンスAI教育プログラム</t>
    <rPh sb="0" eb="2">
      <t>スウリ</t>
    </rPh>
    <rPh sb="12" eb="14">
      <t>キョウイク</t>
    </rPh>
    <phoneticPr fontId="1"/>
  </si>
  <si>
    <t>○</t>
  </si>
  <si>
    <t>全学開講</t>
  </si>
  <si>
    <t>〇</t>
    <phoneticPr fontId="1"/>
  </si>
  <si>
    <t>4-1統計および数理基礎</t>
  </si>
  <si>
    <t>4‐3データ構造とプログラミング基礎</t>
  </si>
  <si>
    <t>以下のような知識や能力を習得できる：(1) データ思考がなぜ重要なのかを説明できる。(2) Society5.0 という言葉について説明ができる。(3) AI の歴史（第1 次、第2 次、第3 次）について説明ができる。(4) カーツワイルのシンギュラリティについて説明ができる。(5) データにはどのような種類があるか、1 次、2 次データとは何か説明できる。(5) Python の簡単なプログラミングができる。(6) データを用いたシミュレーションについて説明ができる。(7) 画像処理や音声処理の仕組みについて説明ができる。(8) ビッグデータについて説明ができる。(9) データサイエンスのサイクルについて説明ができる。(10) データAI の利活用領域について具体例を挙げて説明ができる。(11) データAI の最新動向について説明ができる。(12) 人工知能と医療・医学との関係について説明ができる。(13) 人工知能に関する総合的な議論、発表ができる。</t>
  </si>
  <si>
    <t>新井宏枝</t>
    <rPh sb="0" eb="2">
      <t>アライ</t>
    </rPh>
    <rPh sb="2" eb="4">
      <t>ヒロエ</t>
    </rPh>
    <phoneticPr fontId="1"/>
  </si>
  <si>
    <t>学校法人日本医科大学</t>
    <rPh sb="0" eb="2">
      <t>ガッコウ</t>
    </rPh>
    <rPh sb="2" eb="4">
      <t>ホウジン</t>
    </rPh>
    <rPh sb="4" eb="10">
      <t>ニホンイカダイガク</t>
    </rPh>
    <phoneticPr fontId="1"/>
  </si>
  <si>
    <t>私立大学</t>
  </si>
  <si>
    <t>無</t>
  </si>
  <si>
    <t>武蔵境校舎事務室</t>
    <rPh sb="0" eb="8">
      <t>ムサシサカイコウシャジムシツ</t>
    </rPh>
    <phoneticPr fontId="1"/>
  </si>
  <si>
    <t>0422-34-3394</t>
    <phoneticPr fontId="1"/>
  </si>
  <si>
    <t>musashisakai-jimu@nms.ac.jp</t>
    <phoneticPr fontId="1"/>
  </si>
  <si>
    <t>数理・データサイエンス・AI教育センター</t>
    <phoneticPr fontId="1"/>
  </si>
  <si>
    <t>センター長</t>
    <rPh sb="4" eb="5">
      <t>チョウ</t>
    </rPh>
    <phoneticPr fontId="1"/>
  </si>
  <si>
    <t xml:space="preserve">・人工知能とは何か、Society 5.0 、 データ駆動型社会　「物理学（ユニット③人工知能概論）」（1回目）
・AI の非連続的進化（カーツワイルのシンギュラリティ）　「物理学（ユニット③人工知能概論）」（2回目）
</t>
    <rPh sb="1" eb="5">
      <t>ジンコウチノウ</t>
    </rPh>
    <rPh sb="7" eb="8">
      <t>ナニ</t>
    </rPh>
    <rPh sb="62" eb="63">
      <t>ヒ</t>
    </rPh>
    <phoneticPr fontId="1"/>
  </si>
  <si>
    <t xml:space="preserve">・自動運転、自動翻訳、AI兵器、AIと芸術　「物理学（ユニット③人工知能概論）」（11回目）
</t>
    <rPh sb="1" eb="5">
      <t>ジドウウンテン</t>
    </rPh>
    <rPh sb="6" eb="10">
      <t>ジドウホンヤク</t>
    </rPh>
    <rPh sb="13" eb="15">
      <t>ヘイキ</t>
    </rPh>
    <rPh sb="19" eb="21">
      <t>ゲイジュツ</t>
    </rPh>
    <phoneticPr fontId="1"/>
  </si>
  <si>
    <t xml:space="preserve">・1次データ、2次データ、オープンデータ、構造化データ　「物理学（ユニット③人工知能概論）」（3回目）
</t>
    <rPh sb="2" eb="3">
      <t>ジ</t>
    </rPh>
    <rPh sb="8" eb="9">
      <t>ジ</t>
    </rPh>
    <rPh sb="21" eb="23">
      <t>コウゾウ</t>
    </rPh>
    <rPh sb="23" eb="24">
      <t>カ</t>
    </rPh>
    <rPh sb="29" eb="32">
      <t>ブツリガク</t>
    </rPh>
    <rPh sb="38" eb="40">
      <t>ジンコウ</t>
    </rPh>
    <rPh sb="40" eb="42">
      <t>チノウ</t>
    </rPh>
    <rPh sb="42" eb="44">
      <t>ガイロン</t>
    </rPh>
    <phoneticPr fontId="1"/>
  </si>
  <si>
    <t>・総務省の統計データ、生命科学のデータベース、医療データ　「物理学（ユニット③人工知能概論）」（3回目）
・スポーツのデータ、企業のもつデータ、研究データ　「物理学（ユニット③人工知能概論）」（7回目）</t>
    <rPh sb="1" eb="4">
      <t>ソウムショウ</t>
    </rPh>
    <rPh sb="5" eb="7">
      <t>トウケイ</t>
    </rPh>
    <rPh sb="11" eb="15">
      <t>セイメイカガク</t>
    </rPh>
    <rPh sb="23" eb="25">
      <t>イリョウ</t>
    </rPh>
    <rPh sb="30" eb="33">
      <t>ブツリガク</t>
    </rPh>
    <rPh sb="39" eb="41">
      <t>ジンコウ</t>
    </rPh>
    <rPh sb="41" eb="43">
      <t>チノウ</t>
    </rPh>
    <rPh sb="43" eb="45">
      <t>ガイロン</t>
    </rPh>
    <rPh sb="63" eb="65">
      <t>キギョウ</t>
    </rPh>
    <rPh sb="72" eb="74">
      <t>ケンキュウ</t>
    </rPh>
    <phoneticPr fontId="1"/>
  </si>
  <si>
    <t>・人体データと有限要素法による解析　「物理学（ユニット③人工知能概論）」（4回目）
・CT画像データの解析　「物理学（ユニット③人工知能概論）」（6回目）
・前立腺がんデータの解析　「物理学（ユニット③人工知能概論）」（8回目）</t>
    <rPh sb="1" eb="3">
      <t>ジンタイ</t>
    </rPh>
    <rPh sb="7" eb="11">
      <t>ユウゲンヨウソ</t>
    </rPh>
    <rPh sb="11" eb="12">
      <t>ホウ</t>
    </rPh>
    <rPh sb="15" eb="17">
      <t>カイセキ</t>
    </rPh>
    <rPh sb="45" eb="47">
      <t>ガゾウ</t>
    </rPh>
    <rPh sb="51" eb="53">
      <t>カイセキ</t>
    </rPh>
    <rPh sb="79" eb="82">
      <t>ゼンリツセン</t>
    </rPh>
    <rPh sb="88" eb="90">
      <t>カイセキ</t>
    </rPh>
    <phoneticPr fontId="1"/>
  </si>
  <si>
    <t>医学部医学科</t>
    <rPh sb="0" eb="3">
      <t>イガクブ</t>
    </rPh>
    <rPh sb="3" eb="6">
      <t>イガッカ</t>
    </rPh>
    <phoneticPr fontId="1"/>
  </si>
  <si>
    <t>本学は医学部医学科のみの単科大学であり、このプログラムは全学生必修の科目としている。</t>
    <rPh sb="0" eb="2">
      <t>ホンガク</t>
    </rPh>
    <rPh sb="3" eb="5">
      <t>イガク</t>
    </rPh>
    <rPh sb="5" eb="6">
      <t>ブ</t>
    </rPh>
    <rPh sb="6" eb="9">
      <t>イガクカ</t>
    </rPh>
    <rPh sb="12" eb="15">
      <t>タンカダイ</t>
    </rPh>
    <rPh sb="15" eb="16">
      <t>ガク</t>
    </rPh>
    <rPh sb="28" eb="29">
      <t>ゼン</t>
    </rPh>
    <rPh sb="29" eb="31">
      <t>ガクセイ</t>
    </rPh>
    <rPh sb="31" eb="33">
      <t>ヒッシュウ</t>
    </rPh>
    <rPh sb="34" eb="36">
      <t>カモク</t>
    </rPh>
    <phoneticPr fontId="1"/>
  </si>
  <si>
    <t>授業時間内外で学習指導、質問を受け付ける具体的な仕組み</t>
    <rPh sb="0" eb="2">
      <t>ジュギョウ</t>
    </rPh>
    <rPh sb="2" eb="4">
      <t>ジカン</t>
    </rPh>
    <rPh sb="4" eb="6">
      <t>ナイガイ</t>
    </rPh>
    <rPh sb="7" eb="9">
      <t>ガクシュウ</t>
    </rPh>
    <rPh sb="9" eb="11">
      <t>シドウ</t>
    </rPh>
    <rPh sb="12" eb="14">
      <t>シツモン</t>
    </rPh>
    <rPh sb="15" eb="16">
      <t>ウ</t>
    </rPh>
    <rPh sb="17" eb="18">
      <t>ツ</t>
    </rPh>
    <rPh sb="20" eb="23">
      <t>グタイテキ</t>
    </rPh>
    <rPh sb="24" eb="26">
      <t>シク</t>
    </rPh>
    <phoneticPr fontId="1"/>
  </si>
  <si>
    <t>日常の例や時事ネタなどを取り上げることで分かりやすさを心がけ、数式を使わない直感的な理解をさせるようにした。また人工知能に関連する YouTube の動画などを見せて、議論の導入として使った。バッハのような音楽を自動生成するサイト、写真を漫画風にするアプリ、文章を自動生成するAIノベリストなど、容易にアクセスできる人工知能の最新技術を紹介し、体験させた。</t>
    <rPh sb="0" eb="2">
      <t>ニチジョウ</t>
    </rPh>
    <rPh sb="3" eb="4">
      <t>レイ</t>
    </rPh>
    <rPh sb="5" eb="7">
      <t>ジジ</t>
    </rPh>
    <rPh sb="12" eb="13">
      <t>ト</t>
    </rPh>
    <rPh sb="14" eb="15">
      <t>ア</t>
    </rPh>
    <rPh sb="20" eb="21">
      <t>ワ</t>
    </rPh>
    <rPh sb="27" eb="28">
      <t>ココロ</t>
    </rPh>
    <rPh sb="31" eb="33">
      <t>スウシキ</t>
    </rPh>
    <rPh sb="34" eb="35">
      <t>ツカ</t>
    </rPh>
    <rPh sb="38" eb="41">
      <t>チョッカンテキ</t>
    </rPh>
    <rPh sb="42" eb="44">
      <t>リカイ</t>
    </rPh>
    <rPh sb="56" eb="60">
      <t>ジンコウチノウ</t>
    </rPh>
    <rPh sb="61" eb="63">
      <t>カンレン</t>
    </rPh>
    <rPh sb="75" eb="77">
      <t>ドウガ</t>
    </rPh>
    <rPh sb="80" eb="81">
      <t>ミ</t>
    </rPh>
    <rPh sb="84" eb="86">
      <t>ギロン</t>
    </rPh>
    <rPh sb="87" eb="89">
      <t>ドウニュウ</t>
    </rPh>
    <rPh sb="92" eb="93">
      <t>ツカ</t>
    </rPh>
    <rPh sb="103" eb="105">
      <t>オンガク</t>
    </rPh>
    <rPh sb="106" eb="110">
      <t>ジドウセイセイ</t>
    </rPh>
    <rPh sb="116" eb="118">
      <t>シャシン</t>
    </rPh>
    <rPh sb="148" eb="150">
      <t>ヨウイ</t>
    </rPh>
    <rPh sb="158" eb="162">
      <t>ジンコウチノウ</t>
    </rPh>
    <rPh sb="163" eb="167">
      <t>サイシンギジュツ</t>
    </rPh>
    <rPh sb="168" eb="170">
      <t>ショウカイ</t>
    </rPh>
    <rPh sb="172" eb="174">
      <t>タイケン</t>
    </rPh>
    <phoneticPr fontId="1"/>
  </si>
  <si>
    <t>本学の数理データサイエンスAI教育プログラムを構成する、物理学（ユニット②物理学実験、ユニット③人工知能概論）、数学（ユニット①数学、ユニット②コンピュータリテラシー）をすべて修了すること。</t>
    <rPh sb="0" eb="2">
      <t>ホンガク</t>
    </rPh>
    <rPh sb="3" eb="5">
      <t>スウリ</t>
    </rPh>
    <rPh sb="15" eb="17">
      <t>キョウイク</t>
    </rPh>
    <rPh sb="23" eb="25">
      <t>コウセイ</t>
    </rPh>
    <rPh sb="28" eb="31">
      <t>ブツリガク</t>
    </rPh>
    <rPh sb="37" eb="40">
      <t>ブツリガク</t>
    </rPh>
    <rPh sb="40" eb="42">
      <t>ジッケン</t>
    </rPh>
    <rPh sb="48" eb="54">
      <t>ジンコウチノウガイロン</t>
    </rPh>
    <rPh sb="56" eb="58">
      <t>スウガク</t>
    </rPh>
    <rPh sb="64" eb="66">
      <t>スウガク</t>
    </rPh>
    <rPh sb="88" eb="90">
      <t>シュウリョウ</t>
    </rPh>
    <phoneticPr fontId="1"/>
  </si>
  <si>
    <t>物理学（ユニット③人工知能概論）</t>
    <rPh sb="0" eb="3">
      <t>ブツリガク</t>
    </rPh>
    <rPh sb="9" eb="15">
      <t>ジンコウチノウガイロン</t>
    </rPh>
    <phoneticPr fontId="1"/>
  </si>
  <si>
    <t>物理学（ユニット③人工知能概論）</t>
    <rPh sb="0" eb="3">
      <t>ブツリガク</t>
    </rPh>
    <rPh sb="9" eb="11">
      <t>ジンコウ</t>
    </rPh>
    <rPh sb="11" eb="13">
      <t>チノウ</t>
    </rPh>
    <rPh sb="13" eb="15">
      <t>ガイロン</t>
    </rPh>
    <phoneticPr fontId="1"/>
  </si>
  <si>
    <t>数学（ユニット②コンピュータリテラシー）</t>
    <rPh sb="0" eb="2">
      <t>スウガク</t>
    </rPh>
    <phoneticPr fontId="1"/>
  </si>
  <si>
    <t>数学（ユニット②コンピュータリテラシー）</t>
    <phoneticPr fontId="1"/>
  </si>
  <si>
    <t>数学（ユニット①数学）</t>
    <rPh sb="0" eb="2">
      <t>スウガク</t>
    </rPh>
    <rPh sb="8" eb="10">
      <t>スウガク</t>
    </rPh>
    <phoneticPr fontId="1"/>
  </si>
  <si>
    <t>物理学（ユニット②物理学実験）</t>
    <rPh sb="0" eb="3">
      <t>ブツリガク</t>
    </rPh>
    <rPh sb="9" eb="14">
      <t>ブツリガクジッケン</t>
    </rPh>
    <phoneticPr fontId="1"/>
  </si>
  <si>
    <t>日本医科大学　数理・データサイエンス・AI教育センター運営細則</t>
    <rPh sb="0" eb="6">
      <t>ニホンイカダイガク</t>
    </rPh>
    <rPh sb="27" eb="29">
      <t>ウンエイ</t>
    </rPh>
    <rPh sb="29" eb="31">
      <t>サイソク</t>
    </rPh>
    <phoneticPr fontId="1"/>
  </si>
  <si>
    <t>令和3年度より第1学年を対象に本教育プログラムを開始したが、休学者をのぞく学生129名が履修し、128名がプログラムを修了した。</t>
    <rPh sb="0" eb="2">
      <t>レイワ</t>
    </rPh>
    <rPh sb="3" eb="5">
      <t>ネンド</t>
    </rPh>
    <rPh sb="15" eb="16">
      <t>ホン</t>
    </rPh>
    <rPh sb="16" eb="18">
      <t>キョウイク</t>
    </rPh>
    <rPh sb="24" eb="26">
      <t>カイシ</t>
    </rPh>
    <rPh sb="30" eb="32">
      <t>キュウガク</t>
    </rPh>
    <rPh sb="32" eb="33">
      <t>シャ</t>
    </rPh>
    <rPh sb="37" eb="39">
      <t>ガクセイ</t>
    </rPh>
    <rPh sb="42" eb="43">
      <t>メイ</t>
    </rPh>
    <rPh sb="44" eb="46">
      <t>リシュウ</t>
    </rPh>
    <rPh sb="51" eb="52">
      <t>メイ</t>
    </rPh>
    <rPh sb="59" eb="61">
      <t>シュウリョウ</t>
    </rPh>
    <phoneticPr fontId="1"/>
  </si>
  <si>
    <t>本学での本教育プログラムは必修科目となっているが、受講者全員に授業評価アンケートを実施しており、後輩学生がより興味を持ち理解を深められるよう、その評価を活用している。</t>
    <rPh sb="0" eb="2">
      <t>ホンガク</t>
    </rPh>
    <rPh sb="4" eb="5">
      <t>ホン</t>
    </rPh>
    <rPh sb="5" eb="7">
      <t>キョウイク</t>
    </rPh>
    <rPh sb="13" eb="15">
      <t>ヒッシュウ</t>
    </rPh>
    <rPh sb="15" eb="17">
      <t>カモク</t>
    </rPh>
    <rPh sb="25" eb="28">
      <t>ジュコウシャ</t>
    </rPh>
    <rPh sb="28" eb="30">
      <t>ゼンイン</t>
    </rPh>
    <rPh sb="31" eb="33">
      <t>ジュギョウ</t>
    </rPh>
    <rPh sb="33" eb="35">
      <t>ヒョウカ</t>
    </rPh>
    <rPh sb="41" eb="43">
      <t>ジッシ</t>
    </rPh>
    <rPh sb="48" eb="50">
      <t>コウハイ</t>
    </rPh>
    <rPh sb="50" eb="52">
      <t>ガクセイ</t>
    </rPh>
    <rPh sb="55" eb="57">
      <t>キョウミ</t>
    </rPh>
    <rPh sb="58" eb="59">
      <t>モ</t>
    </rPh>
    <rPh sb="60" eb="62">
      <t>リカイ</t>
    </rPh>
    <rPh sb="63" eb="64">
      <t>フカ</t>
    </rPh>
    <rPh sb="73" eb="75">
      <t>ヒョウカ</t>
    </rPh>
    <rPh sb="76" eb="78">
      <t>カツヨウ</t>
    </rPh>
    <phoneticPr fontId="1"/>
  </si>
  <si>
    <t>医学部の学生ということもあり、深層学習などに関してはある程度踏み込んだ数学的な説明を行った。医療に関わる生の実データを使うことで、データをさまざまな角度から扱う必然性・切実性にも触れた。また本学の臨床科で医師として治療の観点からAIを使っている方に講演してもらい、医学とAIの関連の重要性に関する現場の感覚を伝えた。</t>
    <rPh sb="0" eb="3">
      <t>イガクブ</t>
    </rPh>
    <rPh sb="4" eb="6">
      <t>ガクセイ</t>
    </rPh>
    <rPh sb="15" eb="19">
      <t>シンソウガクシュウ</t>
    </rPh>
    <rPh sb="22" eb="23">
      <t>カン</t>
    </rPh>
    <rPh sb="28" eb="30">
      <t>テイド</t>
    </rPh>
    <rPh sb="30" eb="31">
      <t>フ</t>
    </rPh>
    <rPh sb="32" eb="33">
      <t>コ</t>
    </rPh>
    <rPh sb="35" eb="38">
      <t>スウガクテキ</t>
    </rPh>
    <rPh sb="39" eb="41">
      <t>セツメイ</t>
    </rPh>
    <rPh sb="42" eb="43">
      <t>オコナ</t>
    </rPh>
    <rPh sb="46" eb="48">
      <t>イリョウ</t>
    </rPh>
    <rPh sb="49" eb="50">
      <t>カカ</t>
    </rPh>
    <rPh sb="52" eb="53">
      <t>ナマ</t>
    </rPh>
    <rPh sb="54" eb="55">
      <t>ジツ</t>
    </rPh>
    <rPh sb="59" eb="60">
      <t>ツカ</t>
    </rPh>
    <rPh sb="74" eb="76">
      <t>カクド</t>
    </rPh>
    <rPh sb="78" eb="79">
      <t>アツカ</t>
    </rPh>
    <rPh sb="80" eb="83">
      <t>ヒツゼンセイ</t>
    </rPh>
    <rPh sb="95" eb="97">
      <t>ホンガク</t>
    </rPh>
    <rPh sb="98" eb="100">
      <t>リンショウ</t>
    </rPh>
    <rPh sb="100" eb="101">
      <t>カ</t>
    </rPh>
    <rPh sb="102" eb="104">
      <t>イシ</t>
    </rPh>
    <rPh sb="107" eb="109">
      <t>チリョウ</t>
    </rPh>
    <rPh sb="110" eb="112">
      <t>カンテン</t>
    </rPh>
    <rPh sb="117" eb="118">
      <t>ツカ</t>
    </rPh>
    <rPh sb="122" eb="123">
      <t>カタ</t>
    </rPh>
    <rPh sb="124" eb="126">
      <t>コウエン</t>
    </rPh>
    <rPh sb="132" eb="134">
      <t>イガク</t>
    </rPh>
    <rPh sb="138" eb="140">
      <t>カンレン</t>
    </rPh>
    <rPh sb="141" eb="144">
      <t>ジュウヨウセイ</t>
    </rPh>
    <rPh sb="145" eb="146">
      <t>カン</t>
    </rPh>
    <rPh sb="148" eb="150">
      <t>ゲンバ</t>
    </rPh>
    <rPh sb="151" eb="153">
      <t>カンカク</t>
    </rPh>
    <rPh sb="154" eb="155">
      <t>ツタ</t>
    </rPh>
    <phoneticPr fontId="1"/>
  </si>
  <si>
    <t>本学は医学部医学科のみの単科大学であり、このプログラムは１年次の必修科目としている。
令和3年度から本プログラムを導入し、5年後の令和8年度には、在学生は全員履修した状況となる予定である。</t>
    <rPh sb="0" eb="2">
      <t>ホンガク</t>
    </rPh>
    <rPh sb="3" eb="6">
      <t>イガクブ</t>
    </rPh>
    <rPh sb="6" eb="9">
      <t>イガクカ</t>
    </rPh>
    <rPh sb="12" eb="15">
      <t>タンカダイ</t>
    </rPh>
    <rPh sb="15" eb="16">
      <t>ガク</t>
    </rPh>
    <rPh sb="29" eb="31">
      <t>ネンジ</t>
    </rPh>
    <rPh sb="31" eb="32">
      <t>ネンジ</t>
    </rPh>
    <rPh sb="32" eb="34">
      <t>ヒッシュウ</t>
    </rPh>
    <rPh sb="34" eb="36">
      <t>カモク</t>
    </rPh>
    <rPh sb="43" eb="45">
      <t>レイワ</t>
    </rPh>
    <rPh sb="46" eb="48">
      <t>ネンド</t>
    </rPh>
    <rPh sb="50" eb="51">
      <t>ホン</t>
    </rPh>
    <rPh sb="57" eb="59">
      <t>ドウニュウ</t>
    </rPh>
    <rPh sb="62" eb="64">
      <t>ネンゴ</t>
    </rPh>
    <rPh sb="65" eb="67">
      <t>レイワ</t>
    </rPh>
    <rPh sb="68" eb="70">
      <t>ネンド</t>
    </rPh>
    <rPh sb="73" eb="76">
      <t>ザイガクセイ</t>
    </rPh>
    <rPh sb="77" eb="79">
      <t>ゼンイン</t>
    </rPh>
    <rPh sb="79" eb="81">
      <t>リシュウ</t>
    </rPh>
    <rPh sb="83" eb="85">
      <t>ジョウキョウ</t>
    </rPh>
    <rPh sb="88" eb="90">
      <t>ヨテイ</t>
    </rPh>
    <phoneticPr fontId="1"/>
  </si>
  <si>
    <t>本学は医学部医学科のみの単科大学であり、このプログラムは全学生必修の科目としている。
必修科目は、入学後ガイダンスで周知している。
また該当授業科目のシラバスに「数理・データサイエンス・ＡＩ（リテラシーレベル）モデルカリキュラム」に則した授業内容であることを記載している。</t>
    <rPh sb="43" eb="45">
      <t>ヒッシュウ</t>
    </rPh>
    <rPh sb="45" eb="47">
      <t>カモク</t>
    </rPh>
    <rPh sb="49" eb="52">
      <t>ニュウガクゴ</t>
    </rPh>
    <rPh sb="58" eb="60">
      <t>シュウチ</t>
    </rPh>
    <rPh sb="68" eb="70">
      <t>ガイトウ</t>
    </rPh>
    <rPh sb="70" eb="72">
      <t>ジュギョウ</t>
    </rPh>
    <rPh sb="72" eb="74">
      <t>カモク</t>
    </rPh>
    <rPh sb="81" eb="83">
      <t>スウリ</t>
    </rPh>
    <rPh sb="116" eb="117">
      <t>ソク</t>
    </rPh>
    <rPh sb="119" eb="121">
      <t>ジュギョウ</t>
    </rPh>
    <rPh sb="121" eb="123">
      <t>ナイヨウ</t>
    </rPh>
    <rPh sb="129" eb="131">
      <t>キサイ</t>
    </rPh>
    <phoneticPr fontId="1"/>
  </si>
  <si>
    <t>本教育プログラムの授業では、学修支援システム（LMS）を活用し、事前に講義資料を配信し予習できるようにしている。
また、当日の講義も収録し、繰り返し閲覧するなど、学生の理解度に応じ自己学習ができる環境を整えている。</t>
    <rPh sb="0" eb="1">
      <t>ホン</t>
    </rPh>
    <rPh sb="1" eb="3">
      <t>キョウイク</t>
    </rPh>
    <rPh sb="9" eb="11">
      <t>ジュギョウ</t>
    </rPh>
    <rPh sb="14" eb="16">
      <t>ガクシュウ</t>
    </rPh>
    <rPh sb="16" eb="18">
      <t>シエン</t>
    </rPh>
    <rPh sb="28" eb="30">
      <t>カツヨウ</t>
    </rPh>
    <rPh sb="31" eb="33">
      <t>ジゼン</t>
    </rPh>
    <rPh sb="34" eb="38">
      <t>コウギシリョウ</t>
    </rPh>
    <rPh sb="39" eb="41">
      <t>ハイシン</t>
    </rPh>
    <rPh sb="42" eb="44">
      <t>ヨシュウ</t>
    </rPh>
    <rPh sb="59" eb="61">
      <t>トウジツ</t>
    </rPh>
    <rPh sb="62" eb="64">
      <t>コウギ</t>
    </rPh>
    <rPh sb="65" eb="67">
      <t>シュウロク</t>
    </rPh>
    <rPh sb="69" eb="70">
      <t>ク</t>
    </rPh>
    <rPh sb="71" eb="72">
      <t>カエ</t>
    </rPh>
    <rPh sb="73" eb="75">
      <t>エツラン</t>
    </rPh>
    <rPh sb="80" eb="82">
      <t>ガクセイ</t>
    </rPh>
    <rPh sb="83" eb="86">
      <t>リカイド</t>
    </rPh>
    <rPh sb="87" eb="88">
      <t>オウ</t>
    </rPh>
    <rPh sb="89" eb="93">
      <t>ジコガクシュウ</t>
    </rPh>
    <rPh sb="97" eb="99">
      <t>カンキョウ</t>
    </rPh>
    <rPh sb="100" eb="101">
      <t>トトノ</t>
    </rPh>
    <phoneticPr fontId="1"/>
  </si>
  <si>
    <t xml:space="preserve">学修支援システム（LMS）を利用して授業時間外でも講義収録動画や資料を閲覧し、学習できるシステムを構築している。
またLMS上で講義後に課題やレポート提出を行い、履修進捗状況を確認している。
学生からの質問については、授業時間以外では、LMS掲示板での質疑応答、担当教員へのメール、オフィスアワーを設けるなどし、広く受け付けている。
コロナ禍においては、対面授業を受けられない学生に対しても、LMSを活用してe-learningを実施、受講後にポストテストを行うなどして、習熟度を測る取り組みを行っている。
</t>
  </si>
  <si>
    <t>各授業では、毎回課題やレポート提出を課した。なかでも「人工知能概論」では授業のまとめとして、人工知能に関する動画を作成させたが、その成果物の評価から、数理・データサイエンスAI教育リテラシーについて、一定の理解に達したものと考えている。
特に医学部ということもあり、医学と人工知能に関するやや専門的な講義を行ったり、プログラミングを教える際にも医療データなどを交えて説明を行った。将来、学生が医師、医学者になったときに役立つ医学医療と人工知能の関わりについても、基本的な知識、考え方は身に付いたと考える。</t>
    <phoneticPr fontId="1"/>
  </si>
  <si>
    <t>本学は医学部医学科のみの単科大学であり、本教育プログラムにおける授業科目はすべて、令和３年度より１年次の必修科目としている。
そのため、5年後の令和8年度には、すべての在学生が履修した状態となる予定である。
また、本教育プログラムを専門に取り組む数理・データサイエンス・AI教育センターでは、本学ならではの医学教育・医学研究に取り組む教員を講師に招くなどし、最新の情報を取り入れる取り組みを行っている。</t>
    <phoneticPr fontId="1"/>
  </si>
  <si>
    <t>第１学年の履修が終了したばかりで、卒後の進路は数年後になるが、就職先の医療機関へ卒後アンケート調査等を実施する予定である。</t>
    <rPh sb="0" eb="1">
      <t>ダイ</t>
    </rPh>
    <rPh sb="2" eb="4">
      <t>ガクネン</t>
    </rPh>
    <rPh sb="5" eb="7">
      <t>リシュウ</t>
    </rPh>
    <rPh sb="8" eb="10">
      <t>シュウリョウ</t>
    </rPh>
    <rPh sb="17" eb="18">
      <t>ソツ</t>
    </rPh>
    <rPh sb="18" eb="19">
      <t>ゴ</t>
    </rPh>
    <rPh sb="20" eb="22">
      <t>シンロ</t>
    </rPh>
    <rPh sb="23" eb="26">
      <t>スウネンゴ</t>
    </rPh>
    <rPh sb="31" eb="33">
      <t>シュウショク</t>
    </rPh>
    <rPh sb="33" eb="34">
      <t>サキ</t>
    </rPh>
    <rPh sb="35" eb="37">
      <t>イリョウ</t>
    </rPh>
    <rPh sb="37" eb="39">
      <t>キカン</t>
    </rPh>
    <rPh sb="40" eb="42">
      <t>ソツゴ</t>
    </rPh>
    <rPh sb="47" eb="49">
      <t>チョウサ</t>
    </rPh>
    <rPh sb="49" eb="50">
      <t>ナド</t>
    </rPh>
    <rPh sb="51" eb="53">
      <t>ジッシ</t>
    </rPh>
    <rPh sb="55" eb="57">
      <t>ヨテイ</t>
    </rPh>
    <phoneticPr fontId="1"/>
  </si>
  <si>
    <t>・コンピュータと情報セキュリティ　「数学（コンピュータリテラシー）」（1～3回目）
・AI倫理　「人工知能概論」（11回目）</t>
    <rPh sb="8" eb="10">
      <t>ジョウホウ</t>
    </rPh>
    <rPh sb="18" eb="20">
      <t>スウガク</t>
    </rPh>
    <rPh sb="45" eb="47">
      <t>リンリ</t>
    </rPh>
    <phoneticPr fontId="1"/>
  </si>
  <si>
    <t>・コンピュータと情報セキュリティ　「数学（ユニット②コンピュータリテラシー）」（1～3回目）
・情報検索と情報の信頼性　「数学（ユニット②コンピュータリテラシー）」（4～6回目）　</t>
    <rPh sb="8" eb="10">
      <t>ジョウホウ</t>
    </rPh>
    <rPh sb="18" eb="20">
      <t>スウガク</t>
    </rPh>
    <phoneticPr fontId="1"/>
  </si>
  <si>
    <t>・テキスト情報処理、ワープロソフトの基本操作　「数学（ユニット②コンピュータリテラシー）」（4～6回目）
・python を用いた乳がんデータ、脳波データの解析　「物理学（ユニット③人工知能概論）」（5回目）</t>
    <phoneticPr fontId="1"/>
  </si>
  <si>
    <t>・アナログ情報とディジタル情報、プレゼンテーションソフトの基本操作　「数学（ユニット②コンピュータリテラシー）」（7～9回目）
・人工知能に関するまとめ動画作成　「数学（ユニット②コンピュータリテラシー）」（12回目）</t>
    <rPh sb="65" eb="69">
      <t>ジンコウチノウ</t>
    </rPh>
    <rPh sb="70" eb="71">
      <t>カン</t>
    </rPh>
    <rPh sb="76" eb="78">
      <t>ドウガ</t>
    </rPh>
    <rPh sb="78" eb="80">
      <t>サクセイ</t>
    </rPh>
    <phoneticPr fontId="1"/>
  </si>
  <si>
    <t>・数値データ処理、表計算ソフトの基本操作I　「数学（ユニット②コンピュータリテラシー）」（7～9回目）
・数値データ処理、表計算ソフトの基本操作II　「数学（ユニット②コンピュータリテラシー）」（10～12回目）</t>
    <rPh sb="23" eb="25">
      <t>スウガク</t>
    </rPh>
    <rPh sb="53" eb="55">
      <t>スウチ</t>
    </rPh>
    <rPh sb="58" eb="60">
      <t>ショリ</t>
    </rPh>
    <rPh sb="61" eb="64">
      <t>ヒョウケイサン</t>
    </rPh>
    <rPh sb="68" eb="70">
      <t>キホン</t>
    </rPh>
    <rPh sb="70" eb="72">
      <t>ソウサ</t>
    </rPh>
    <phoneticPr fontId="1"/>
  </si>
  <si>
    <r>
      <t xml:space="preserve">数理・データサイエンス・AI教育センター長　　　　　　　　（物理学 教授）　藤崎弘士
数理・データサイエンス・AI教育センター 副センター長　（数学 　 教授）　中澤秀夫
物理学 　　　　　 　　 准教授     菊地浩人
数学 　　　　　　　　　 講師     　 貝塚公一
医学教育センター    助教　      早坂明哲
武蔵境校舎事務室　事務室長　新井宏枝
</t>
    </r>
    <r>
      <rPr>
        <sz val="12"/>
        <color rgb="FFFF0000"/>
        <rFont val="ＭＳ Ｐゴシック"/>
        <family val="3"/>
        <charset val="128"/>
        <scheme val="minor"/>
      </rPr>
      <t xml:space="preserve">
</t>
    </r>
    <r>
      <rPr>
        <sz val="12"/>
        <color theme="1"/>
        <rFont val="ＭＳ Ｐゴシック"/>
        <family val="3"/>
        <charset val="128"/>
        <scheme val="minor"/>
      </rPr>
      <t xml:space="preserve">
</t>
    </r>
    <rPh sb="20" eb="21">
      <t>チョウ</t>
    </rPh>
    <rPh sb="30" eb="33">
      <t>ブツリガク</t>
    </rPh>
    <rPh sb="34" eb="36">
      <t>キョウジュ</t>
    </rPh>
    <rPh sb="64" eb="65">
      <t>フク</t>
    </rPh>
    <rPh sb="69" eb="70">
      <t>チョウ</t>
    </rPh>
    <rPh sb="72" eb="74">
      <t>スウガク</t>
    </rPh>
    <rPh sb="77" eb="79">
      <t>キョウジュ</t>
    </rPh>
    <rPh sb="86" eb="89">
      <t>ブツリガク</t>
    </rPh>
    <rPh sb="99" eb="102">
      <t>ジュンキョウジュ</t>
    </rPh>
    <rPh sb="112" eb="114">
      <t>スウガク</t>
    </rPh>
    <rPh sb="125" eb="127">
      <t>コウシ</t>
    </rPh>
    <rPh sb="139" eb="143">
      <t>イガクキョウイク</t>
    </rPh>
    <rPh sb="151" eb="153">
      <t>ジョキョウ</t>
    </rPh>
    <rPh sb="165" eb="168">
      <t>ムサシサカイ</t>
    </rPh>
    <rPh sb="168" eb="170">
      <t>コウシャ</t>
    </rPh>
    <rPh sb="170" eb="173">
      <t>ジムシツ</t>
    </rPh>
    <rPh sb="174" eb="178">
      <t>ジムシツチョウ</t>
    </rPh>
    <rPh sb="179" eb="181">
      <t>アライ</t>
    </rPh>
    <rPh sb="181" eb="183">
      <t>ヒロエ</t>
    </rPh>
    <phoneticPr fontId="1"/>
  </si>
  <si>
    <t>・python を用いた乳がんデータ、脳波データの解析　「物理学（ユニット③人工知能概論）」（5回目）
・深層学習に関わる解説　「物理学（ユニット③人工知能概論）」（9～10回目）</t>
    <rPh sb="9" eb="10">
      <t>モチ</t>
    </rPh>
    <rPh sb="12" eb="13">
      <t>ニュウ</t>
    </rPh>
    <rPh sb="19" eb="21">
      <t>ノウハ</t>
    </rPh>
    <rPh sb="25" eb="27">
      <t>カイセキ</t>
    </rPh>
    <rPh sb="53" eb="57">
      <t>シンソウガクシュウ</t>
    </rPh>
    <rPh sb="58" eb="59">
      <t>カカ</t>
    </rPh>
    <rPh sb="61" eb="63">
      <t>カイセツ</t>
    </rPh>
    <phoneticPr fontId="1"/>
  </si>
  <si>
    <t>授業の最後に受講者全員に授業評価アンケートを実施している。授業ごとに課している課題やレポートを行うことで講義の振り返りができたなど、リテラシーレベルの理解度には十分到達しているものと考える。
一方で、プログラミングに関わる部分では、時間の都合上説明が足りず、理解が十分でなかった学生もおり、医学に関連する例題を活用するなど、学生の興味を引き出す工夫を引き続き行う必要がある。</t>
    <phoneticPr fontId="1"/>
  </si>
  <si>
    <t>https://sites.google.com/nms.ac.jp/ai-edu/</t>
  </si>
  <si>
    <t>※単位数はプログラムを構成する物理学（ユニット②③）として</t>
    <rPh sb="1" eb="3">
      <t>タンイ</t>
    </rPh>
    <rPh sb="3" eb="4">
      <t>スウ</t>
    </rPh>
    <rPh sb="11" eb="13">
      <t>コウセイ</t>
    </rPh>
    <rPh sb="15" eb="18">
      <t>ブツリガク</t>
    </rPh>
    <phoneticPr fontId="1"/>
  </si>
  <si>
    <t>※単位数はプログラムを構成する数学（ユニット①②）として</t>
    <rPh sb="1" eb="3">
      <t>タンイ</t>
    </rPh>
    <rPh sb="3" eb="4">
      <t>スウ</t>
    </rPh>
    <rPh sb="11" eb="13">
      <t>コウセイ</t>
    </rPh>
    <rPh sb="15" eb="17">
      <t>スウガク</t>
    </rPh>
    <phoneticPr fontId="1"/>
  </si>
  <si>
    <t>※単位数はプログラムを構成する物理学（ユニット②③）として</t>
    <phoneticPr fontId="1"/>
  </si>
  <si>
    <t>※単位数はプログラムを構成する数学（ユニット①②）として</t>
    <phoneticPr fontId="1"/>
  </si>
  <si>
    <t>医療の分野においても、データサイエンスやAI（人工知能）の知識は、今や欠かすことのできないものとなっているため、統計やコンピューターの基礎学習に加え、データサイエンスの必要性、最新のAI研究などを学ぶ必要がある。
数理・データサイエンス・AI教育センターは、教育方法について研究するとともに、その実践を通じて本学の「数理・データサイエンス・AI教育」を推進することを目的として、設置した。
カリキュラム策定、それに基づく教育を施行し、受講する学生のサポートを行い、最終的に修了要件を満たしているかの判断を行う。また別に設置される評価委員会と連携し、教育の質を向上させるためのカリキュラム改定や授業内容の選別なども併せて行う。
初年次での授業に加え、医学部高学年や大学院でのプログラム拡充・改善を図る。</t>
    <rPh sb="270" eb="272">
      <t>レンケイ</t>
    </rPh>
    <phoneticPr fontId="1"/>
  </si>
  <si>
    <t>医学に関連する各産業界へのニーズにこたえることのできる人材の育成を目指し、本学と共同研究を行っている企業や大学と意見交換を行い、数理・データサイエンス・AI教育センターにて共同研究にて用いられる実際のデータを授業に活用するなど、プログラムの改善を図っている。
また、数理・データサイエンス・AI教育プログラム評価委員会にて授業内容の評価を行っている。医師としてAIに取り組む教員を講師に招へいすることに加え、医工連携推進のため、産業界側の視点を学べるよう、企業の方に講演を依頼することも検討する。
現在の医学教育はアウトカム基盤型になっていることから、本教育プログラムにおいても、アウトカムを明確にし、評価を連動させる必要がある。次年度からはアウトカム明確化とその目標達成に努めることする。
リテラシー教育を通じて日本を牽引する人材育成を目指し、学生の自主性を尊重した授業内容になるよう取り組む。</t>
    <rPh sb="86" eb="88">
      <t>キョウドウ</t>
    </rPh>
    <rPh sb="88" eb="90">
      <t>ケンキュウ</t>
    </rPh>
    <rPh sb="92" eb="93">
      <t>モチ</t>
    </rPh>
    <rPh sb="97" eb="99">
      <t>ジッサイ</t>
    </rPh>
    <rPh sb="104" eb="106">
      <t>ジュギョウ</t>
    </rPh>
    <rPh sb="107" eb="109">
      <t>カツヨウ</t>
    </rPh>
    <rPh sb="120" eb="122">
      <t>カイゼン</t>
    </rPh>
    <rPh sb="123" eb="124">
      <t>ハカ</t>
    </rPh>
    <rPh sb="161" eb="163">
      <t>ジュギョウ</t>
    </rPh>
    <rPh sb="163" eb="165">
      <t>ナイヨウ</t>
    </rPh>
    <rPh sb="166" eb="168">
      <t>ヒョウカ</t>
    </rPh>
    <rPh sb="169" eb="170">
      <t>オコナ</t>
    </rPh>
    <rPh sb="175" eb="177">
      <t>イシ</t>
    </rPh>
    <rPh sb="183" eb="184">
      <t>ト</t>
    </rPh>
    <rPh sb="185" eb="186">
      <t>ク</t>
    </rPh>
    <rPh sb="193" eb="194">
      <t>ショウ</t>
    </rPh>
    <rPh sb="201" eb="202">
      <t>クワ</t>
    </rPh>
    <rPh sb="214" eb="216">
      <t>サンギョウ</t>
    </rPh>
    <rPh sb="216" eb="217">
      <t>カイ</t>
    </rPh>
    <rPh sb="219" eb="221">
      <t>シテン</t>
    </rPh>
    <rPh sb="222" eb="223">
      <t>マナ</t>
    </rPh>
    <rPh sb="228" eb="230">
      <t>キギョウ</t>
    </rPh>
    <rPh sb="231" eb="232">
      <t>カタ</t>
    </rPh>
    <rPh sb="233" eb="235">
      <t>コウエン</t>
    </rPh>
    <rPh sb="236" eb="238">
      <t>イライ</t>
    </rPh>
    <rPh sb="243" eb="245">
      <t>ケントウ</t>
    </rPh>
    <rPh sb="276" eb="277">
      <t>ホン</t>
    </rPh>
    <rPh sb="277" eb="279">
      <t>キョウイク</t>
    </rPh>
    <rPh sb="296" eb="298">
      <t>メイカク</t>
    </rPh>
    <rPh sb="309" eb="311">
      <t>ヒツヨウ</t>
    </rPh>
    <rPh sb="332" eb="334">
      <t>モクヒョウ</t>
    </rPh>
    <rPh sb="334" eb="336">
      <t>タッセイ</t>
    </rPh>
    <rPh sb="337" eb="338">
      <t>ツト</t>
    </rPh>
    <rPh sb="351" eb="353">
      <t>キョウイク</t>
    </rPh>
    <rPh sb="354" eb="355">
      <t>ツウ</t>
    </rPh>
    <rPh sb="357" eb="359">
      <t>ニホン</t>
    </rPh>
    <rPh sb="360" eb="362">
      <t>ケンイン</t>
    </rPh>
    <rPh sb="364" eb="366">
      <t>ジンザイ</t>
    </rPh>
    <rPh sb="366" eb="368">
      <t>イクセイ</t>
    </rPh>
    <rPh sb="369" eb="371">
      <t>メザ</t>
    </rPh>
    <rPh sb="373" eb="375">
      <t>ガクセイ</t>
    </rPh>
    <rPh sb="376" eb="379">
      <t>ジシュセイ</t>
    </rPh>
    <rPh sb="380" eb="382">
      <t>ソンチョウ</t>
    </rPh>
    <rPh sb="384" eb="388">
      <t>ジュギョウナイヨウ</t>
    </rPh>
    <rPh sb="393" eb="394">
      <t>ト</t>
    </rPh>
    <rPh sb="395" eb="396">
      <t>ク</t>
    </rPh>
    <phoneticPr fontId="1"/>
  </si>
  <si>
    <t>数理・データサイエンス・AI教育プログラム評価小委員会</t>
    <rPh sb="21" eb="23">
      <t>ヒョウカ</t>
    </rPh>
    <rPh sb="23" eb="24">
      <t>ショウ</t>
    </rPh>
    <rPh sb="24" eb="26">
      <t>イイン</t>
    </rPh>
    <rPh sb="26" eb="27">
      <t>カイ</t>
    </rPh>
    <phoneticPr fontId="1"/>
  </si>
  <si>
    <t>東京都文京区千駄木1-1-5</t>
    <rPh sb="0" eb="3">
      <t>トウキョウト</t>
    </rPh>
    <rPh sb="3" eb="6">
      <t>ブンキョウク</t>
    </rPh>
    <rPh sb="6" eb="9">
      <t>センダギ</t>
    </rPh>
    <phoneticPr fontId="1"/>
  </si>
  <si>
    <t>https://drive.google.com/file/d/1I7Kc8MryxZWwJmumxCJapkPQWISXQ0yI/view</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</si>
</sst>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3"/>
      <charset val="128"/>
      <scheme val="minor"/>
    </font>
    <font>
      <sz val="7"/>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5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9" xfId="0"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43" xfId="0" applyFont="1" applyBorder="1" applyAlignment="1">
      <alignment horizontal="center"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horizontal="center" vertical="center"/>
    </xf>
    <xf numFmtId="0" fontId="8" fillId="0" borderId="38" xfId="0" applyFont="1" applyBorder="1" applyAlignment="1">
      <alignment horizontal="center" vertical="center"/>
    </xf>
    <xf numFmtId="0" fontId="25" fillId="0" borderId="11" xfId="0" applyFont="1" applyBorder="1" applyAlignment="1">
      <alignment horizontal="center" vertical="center"/>
    </xf>
    <xf numFmtId="0" fontId="25" fillId="0" borderId="29" xfId="0" applyFont="1" applyBorder="1" applyAlignment="1">
      <alignment horizontal="center" vertical="center" wrapText="1"/>
    </xf>
    <xf numFmtId="0" fontId="25" fillId="0" borderId="30" xfId="0" applyFont="1" applyBorder="1" applyAlignment="1">
      <alignment horizontal="center" vertical="center"/>
    </xf>
    <xf numFmtId="0" fontId="25" fillId="0" borderId="12" xfId="0" applyFont="1" applyBorder="1" applyAlignment="1">
      <alignment horizontal="center" vertical="center" wrapText="1"/>
    </xf>
    <xf numFmtId="0" fontId="8" fillId="0" borderId="14" xfId="0" applyFont="1" applyBorder="1" applyAlignment="1">
      <alignment horizontal="left" vertical="center" shrinkToFit="1"/>
    </xf>
    <xf numFmtId="0" fontId="8" fillId="0" borderId="5" xfId="0" applyFont="1" applyBorder="1" applyAlignment="1">
      <alignment vertical="center" shrinkToFit="1"/>
    </xf>
    <xf numFmtId="176" fontId="8" fillId="0" borderId="5" xfId="0" applyNumberFormat="1" applyFont="1" applyBorder="1" applyAlignment="1">
      <alignment vertical="center" shrinkToFit="1"/>
    </xf>
    <xf numFmtId="176" fontId="8" fillId="0" borderId="31" xfId="0" applyNumberFormat="1" applyFont="1" applyBorder="1" applyAlignment="1">
      <alignment vertical="center" shrinkToFit="1"/>
    </xf>
    <xf numFmtId="176" fontId="8" fillId="0" borderId="32" xfId="0" applyNumberFormat="1" applyFont="1" applyBorder="1" applyAlignment="1">
      <alignment vertical="center" shrinkToFit="1"/>
    </xf>
    <xf numFmtId="176" fontId="8" fillId="0" borderId="10" xfId="0" applyNumberFormat="1" applyFont="1" applyBorder="1" applyAlignment="1">
      <alignment vertical="center" shrinkToFit="1"/>
    </xf>
    <xf numFmtId="0" fontId="8" fillId="0" borderId="23" xfId="0" applyFont="1" applyBorder="1" applyAlignment="1">
      <alignment horizontal="left" vertical="center" shrinkToFit="1"/>
    </xf>
    <xf numFmtId="176" fontId="8" fillId="0" borderId="19" xfId="0" applyNumberFormat="1" applyFont="1" applyBorder="1" applyAlignment="1">
      <alignment vertical="center" shrinkToFit="1"/>
    </xf>
    <xf numFmtId="176" fontId="8" fillId="0" borderId="33"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18" xfId="0" applyNumberFormat="1" applyFont="1" applyBorder="1" applyAlignment="1">
      <alignment vertical="center" shrinkToFit="1"/>
    </xf>
    <xf numFmtId="9" fontId="8" fillId="0" borderId="8" xfId="0" applyNumberFormat="1" applyFont="1" applyBorder="1" applyAlignment="1">
      <alignment horizontal="center" vertical="center" shrinkToFit="1"/>
    </xf>
    <xf numFmtId="9" fontId="8" fillId="0" borderId="45" xfId="0" applyNumberFormat="1"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2" borderId="2" xfId="0" applyNumberFormat="1" applyFont="1" applyFill="1" applyBorder="1" applyAlignment="1">
      <alignment horizontal="center" vertical="center" shrinkToFit="1"/>
    </xf>
    <xf numFmtId="176" fontId="8" fillId="2" borderId="3" xfId="0" applyNumberFormat="1" applyFont="1" applyFill="1" applyBorder="1" applyAlignment="1">
      <alignment horizontal="center" vertical="center" shrinkToFit="1"/>
    </xf>
    <xf numFmtId="176" fontId="8" fillId="2" borderId="4" xfId="0" applyNumberFormat="1" applyFont="1" applyFill="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24" fillId="0" borderId="19" xfId="0" applyFont="1" applyBorder="1" applyAlignment="1">
      <alignment horizontal="left" vertical="center" shrinkToFit="1"/>
    </xf>
    <xf numFmtId="0" fontId="24" fillId="0" borderId="20" xfId="0" applyFont="1" applyBorder="1" applyAlignment="1">
      <alignment horizontal="left" vertical="center" shrinkToFit="1"/>
    </xf>
    <xf numFmtId="0" fontId="24" fillId="0" borderId="1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20"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4" fillId="0" borderId="19" xfId="0" applyFont="1" applyBorder="1" applyAlignment="1">
      <alignment vertical="center" shrinkToFit="1"/>
    </xf>
    <xf numFmtId="0" fontId="24" fillId="0" borderId="20" xfId="0" applyFont="1" applyBorder="1" applyAlignment="1">
      <alignment vertical="center" shrinkToFit="1"/>
    </xf>
    <xf numFmtId="0" fontId="24" fillId="0" borderId="18" xfId="0" applyFont="1" applyBorder="1" applyAlignment="1">
      <alignment vertical="center" shrinkToFit="1"/>
    </xf>
    <xf numFmtId="0" fontId="21" fillId="0" borderId="8" xfId="0" applyFont="1" applyBorder="1" applyAlignment="1">
      <alignment horizontal="left" vertical="center" wrapText="1" shrinkToFit="1"/>
    </xf>
    <xf numFmtId="0" fontId="22" fillId="0" borderId="8" xfId="0" applyFont="1" applyBorder="1" applyAlignment="1">
      <alignment horizontal="left" vertical="center" shrinkToFit="1"/>
    </xf>
    <xf numFmtId="0" fontId="22" fillId="0" borderId="9" xfId="0" applyFont="1" applyBorder="1" applyAlignment="1">
      <alignment horizontal="left" vertical="center" shrinkToFit="1"/>
    </xf>
    <xf numFmtId="0" fontId="22" fillId="0" borderId="8" xfId="0" applyFont="1" applyBorder="1" applyAlignment="1">
      <alignment horizontal="left" vertical="center" wrapText="1" shrinkToFit="1"/>
    </xf>
    <xf numFmtId="0" fontId="21" fillId="0" borderId="39" xfId="0" applyFont="1" applyBorder="1" applyAlignment="1">
      <alignment horizontal="left" vertical="center" wrapText="1" shrinkToFit="1"/>
    </xf>
    <xf numFmtId="0" fontId="22" fillId="0" borderId="38" xfId="0" applyFont="1" applyBorder="1" applyAlignment="1">
      <alignment horizontal="left" vertical="center" wrapText="1" shrinkToFit="1"/>
    </xf>
    <xf numFmtId="0" fontId="8" fillId="0" borderId="0" xfId="0" applyFont="1" applyAlignment="1">
      <alignment vertical="center" wrapText="1"/>
    </xf>
    <xf numFmtId="0" fontId="19"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Border="1" applyAlignment="1">
      <alignment horizontal="left" vertical="top" wrapText="1" shrinkToFit="1"/>
    </xf>
    <xf numFmtId="0" fontId="8" fillId="0" borderId="10"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22" fillId="0" borderId="2" xfId="0" applyFont="1" applyBorder="1" applyAlignment="1">
      <alignment horizontal="left" vertical="center" wrapText="1" shrinkToFit="1"/>
    </xf>
    <xf numFmtId="0" fontId="22" fillId="0" borderId="3" xfId="0" applyFont="1" applyBorder="1" applyAlignment="1">
      <alignment horizontal="left" vertical="center" shrinkToFit="1"/>
    </xf>
    <xf numFmtId="0" fontId="22" fillId="0" borderId="4" xfId="0" applyFont="1" applyBorder="1" applyAlignment="1">
      <alignment horizontal="left" vertical="center" shrinkToFit="1"/>
    </xf>
    <xf numFmtId="0" fontId="22" fillId="0" borderId="32" xfId="0" applyFont="1" applyBorder="1" applyAlignment="1">
      <alignment vertical="center" wrapTex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8" fillId="0" borderId="2" xfId="0" applyNumberFormat="1" applyFont="1" applyBorder="1" applyAlignment="1">
      <alignment horizontal="center" vertical="center" shrinkToFit="1"/>
    </xf>
    <xf numFmtId="0" fontId="8" fillId="0" borderId="4" xfId="0" applyNumberFormat="1" applyFont="1" applyBorder="1" applyAlignment="1">
      <alignment horizontal="center" vertical="center" shrinkToFit="1"/>
    </xf>
    <xf numFmtId="0" fontId="8" fillId="0" borderId="15" xfId="0" applyFont="1" applyBorder="1" applyAlignment="1">
      <alignment horizontal="center" vertical="center"/>
    </xf>
    <xf numFmtId="0" fontId="8" fillId="0" borderId="13" xfId="0" applyFont="1" applyBorder="1" applyAlignment="1">
      <alignment horizontal="center" vertical="center"/>
    </xf>
    <xf numFmtId="0" fontId="24" fillId="0" borderId="8" xfId="0" applyFont="1" applyBorder="1" applyAlignment="1">
      <alignment horizontal="center" vertical="center" wrapText="1"/>
    </xf>
    <xf numFmtId="0" fontId="24" fillId="0" borderId="6" xfId="0" applyFont="1" applyBorder="1" applyAlignment="1">
      <alignment horizontal="center" vertical="center"/>
    </xf>
    <xf numFmtId="0" fontId="24" fillId="0" borderId="7" xfId="0" applyFont="1" applyBorder="1" applyAlignment="1">
      <alignment horizontal="center" vertical="center" wrapText="1"/>
    </xf>
    <xf numFmtId="0" fontId="24" fillId="0" borderId="11" xfId="0" applyFont="1" applyBorder="1" applyAlignment="1">
      <alignment horizontal="center" vertical="center"/>
    </xf>
    <xf numFmtId="0" fontId="8" fillId="0" borderId="14"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10" fillId="0" borderId="8"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lignment vertical="center"/>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4" xfId="0" applyFont="1" applyBorder="1" applyAlignment="1">
      <alignment vertical="center" shrinkToFit="1"/>
    </xf>
    <xf numFmtId="0" fontId="24" fillId="2" borderId="7" xfId="0" applyFont="1" applyFill="1" applyBorder="1" applyAlignment="1">
      <alignment vertical="top" wrapText="1" shrinkToFit="1"/>
    </xf>
    <xf numFmtId="0" fontId="11" fillId="2" borderId="8" xfId="0" applyFont="1" applyFill="1" applyBorder="1" applyAlignment="1">
      <alignment vertical="top" wrapText="1" shrinkToFit="1"/>
    </xf>
    <xf numFmtId="0" fontId="11" fillId="2" borderId="8" xfId="0" applyFont="1" applyFill="1" applyBorder="1" applyAlignment="1">
      <alignment vertical="top" shrinkToFit="1"/>
    </xf>
    <xf numFmtId="0" fontId="11" fillId="2" borderId="9" xfId="0" applyFont="1" applyFill="1" applyBorder="1" applyAlignment="1">
      <alignment vertical="top" shrinkToFit="1"/>
    </xf>
    <xf numFmtId="0" fontId="11" fillId="2" borderId="5" xfId="0" applyFont="1" applyFill="1" applyBorder="1" applyAlignment="1">
      <alignment vertical="top" shrinkToFit="1"/>
    </xf>
    <xf numFmtId="0" fontId="11" fillId="2" borderId="0" xfId="0" applyFont="1" applyFill="1" applyAlignment="1">
      <alignment vertical="top" shrinkToFit="1"/>
    </xf>
    <xf numFmtId="0" fontId="11" fillId="2" borderId="10" xfId="0" applyFont="1" applyFill="1" applyBorder="1" applyAlignment="1">
      <alignment vertical="top" shrinkToFit="1"/>
    </xf>
    <xf numFmtId="0" fontId="11" fillId="2" borderId="11" xfId="0" applyFont="1" applyFill="1" applyBorder="1" applyAlignment="1">
      <alignment vertical="top" shrinkToFit="1"/>
    </xf>
    <xf numFmtId="0" fontId="11" fillId="2" borderId="6" xfId="0" applyFont="1" applyFill="1" applyBorder="1" applyAlignment="1">
      <alignment vertical="top" shrinkToFit="1"/>
    </xf>
    <xf numFmtId="0" fontId="11" fillId="2" borderId="12" xfId="0" applyFont="1" applyFill="1" applyBorder="1" applyAlignment="1">
      <alignment vertical="top" shrinkToFit="1"/>
    </xf>
    <xf numFmtId="0" fontId="3" fillId="0" borderId="7" xfId="0" applyFont="1" applyBorder="1" applyAlignment="1">
      <alignment vertical="top" wrapText="1" shrinkToFit="1"/>
    </xf>
    <xf numFmtId="0" fontId="11" fillId="0" borderId="8"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7" fillId="0" borderId="2" xfId="2" applyFill="1" applyBorder="1" applyAlignment="1">
      <alignment horizontal="center" vertical="center" shrinkToFit="1"/>
    </xf>
    <xf numFmtId="0" fontId="12" fillId="0" borderId="3" xfId="2" applyFont="1" applyFill="1" applyBorder="1" applyAlignment="1">
      <alignment horizontal="center" vertical="center" shrinkToFit="1"/>
    </xf>
    <xf numFmtId="0" fontId="12" fillId="0" borderId="4" xfId="2" applyFont="1" applyFill="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2" borderId="20" xfId="0" applyFont="1" applyFill="1" applyBorder="1" applyAlignment="1">
      <alignment vertical="top" wrapText="1" shrinkToFit="1"/>
    </xf>
    <xf numFmtId="0" fontId="11" fillId="2" borderId="20" xfId="0" applyFont="1" applyFill="1" applyBorder="1" applyAlignment="1">
      <alignment vertical="top" wrapText="1" shrinkToFit="1"/>
    </xf>
    <xf numFmtId="0" fontId="11" fillId="2" borderId="18" xfId="0" applyFont="1" applyFill="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17" xfId="0" applyFont="1" applyFill="1" applyBorder="1" applyAlignment="1">
      <alignment vertical="center" wrapText="1"/>
    </xf>
    <xf numFmtId="0" fontId="2" fillId="0" borderId="18" xfId="0" applyFont="1" applyFill="1" applyBorder="1" applyAlignment="1">
      <alignment vertical="center" wrapText="1"/>
    </xf>
    <xf numFmtId="0" fontId="8" fillId="0" borderId="19" xfId="0" applyFont="1" applyFill="1" applyBorder="1" applyAlignment="1">
      <alignment vertical="top" wrapText="1" shrinkToFit="1"/>
    </xf>
    <xf numFmtId="0" fontId="8" fillId="0" borderId="20" xfId="0" applyFont="1" applyFill="1" applyBorder="1" applyAlignment="1">
      <alignment vertical="top" wrapText="1" shrinkToFit="1"/>
    </xf>
    <xf numFmtId="0" fontId="8" fillId="0" borderId="18" xfId="0" applyFont="1" applyFill="1" applyBorder="1" applyAlignment="1">
      <alignment vertical="top" wrapText="1" shrinkToFi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FF00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usashisakai-jimu@nms.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ites.google.com/nms.ac.jp/ai-edu/"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drive.google.com/file/d/1I7Kc8MryxZWwJmumxCJapkPQWISXQ0yI/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P10" sqref="P10"/>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55" t="s">
        <v>25</v>
      </c>
      <c r="N1" s="155"/>
    </row>
    <row r="2" spans="1:15" ht="24" customHeight="1" x14ac:dyDescent="0.15">
      <c r="A2" s="161" t="s">
        <v>82</v>
      </c>
      <c r="B2" s="161"/>
      <c r="C2" s="161"/>
      <c r="D2" s="161"/>
      <c r="E2" s="161"/>
      <c r="F2" s="161"/>
      <c r="G2" s="161"/>
      <c r="H2" s="161"/>
      <c r="I2" s="161"/>
      <c r="J2" s="161"/>
      <c r="K2" s="161"/>
      <c r="L2" s="161"/>
      <c r="M2" s="161"/>
      <c r="N2" s="161"/>
    </row>
    <row r="3" spans="1:15" ht="24" customHeight="1" x14ac:dyDescent="0.15"/>
    <row r="4" spans="1:15" ht="24" customHeight="1" x14ac:dyDescent="0.15">
      <c r="A4" s="14" t="s">
        <v>6</v>
      </c>
      <c r="B4" s="15" t="s">
        <v>16</v>
      </c>
      <c r="C4" s="147" t="s">
        <v>148</v>
      </c>
      <c r="D4" s="148"/>
      <c r="E4" s="148"/>
      <c r="F4" s="148"/>
      <c r="G4" s="148"/>
      <c r="H4" s="148"/>
      <c r="I4" s="148"/>
      <c r="J4" s="148"/>
      <c r="K4" s="148"/>
      <c r="L4" s="148"/>
      <c r="M4" s="148"/>
      <c r="N4" s="154"/>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47" t="s">
        <v>162</v>
      </c>
      <c r="E6" s="148"/>
      <c r="F6" s="148"/>
      <c r="G6" s="148"/>
      <c r="H6" s="154"/>
      <c r="I6" s="17" t="s">
        <v>85</v>
      </c>
      <c r="J6" s="37" t="s">
        <v>86</v>
      </c>
      <c r="K6" s="147" t="s">
        <v>163</v>
      </c>
      <c r="L6" s="148"/>
      <c r="M6" s="148"/>
      <c r="N6" s="154"/>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47" t="s">
        <v>213</v>
      </c>
      <c r="D8" s="148"/>
      <c r="E8" s="148"/>
      <c r="F8" s="148"/>
      <c r="G8" s="148"/>
      <c r="H8" s="148"/>
      <c r="I8" s="148"/>
      <c r="J8" s="148"/>
      <c r="K8" s="148"/>
      <c r="L8" s="148"/>
      <c r="M8" s="148"/>
      <c r="N8" s="154"/>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84</v>
      </c>
      <c r="C10" s="15"/>
      <c r="D10" s="15"/>
      <c r="E10" s="147" t="s">
        <v>154</v>
      </c>
      <c r="F10" s="148"/>
      <c r="G10" s="148"/>
      <c r="H10" s="148"/>
      <c r="I10" s="148"/>
      <c r="J10" s="148"/>
      <c r="K10" s="148"/>
      <c r="L10" s="148"/>
      <c r="M10" s="148"/>
      <c r="N10" s="154"/>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62">
        <v>2021</v>
      </c>
      <c r="F12" s="163"/>
      <c r="G12" s="17" t="s">
        <v>95</v>
      </c>
      <c r="H12" s="14" t="s">
        <v>96</v>
      </c>
      <c r="N12" s="114" t="s">
        <v>164</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56" t="s">
        <v>5</v>
      </c>
      <c r="D14" s="157"/>
      <c r="E14" s="158">
        <v>1068</v>
      </c>
      <c r="F14" s="160"/>
      <c r="G14" s="18" t="s">
        <v>7</v>
      </c>
      <c r="I14" s="156" t="s">
        <v>8</v>
      </c>
      <c r="J14" s="157"/>
      <c r="K14" s="158">
        <v>305</v>
      </c>
      <c r="L14" s="159"/>
      <c r="M14" s="160"/>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39">
        <v>8</v>
      </c>
      <c r="L16" s="140"/>
      <c r="M16" s="141"/>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51">
        <v>126</v>
      </c>
      <c r="F18" s="152"/>
      <c r="G18" s="21" t="s">
        <v>21</v>
      </c>
      <c r="H18" s="20"/>
      <c r="K18" s="153"/>
      <c r="L18" s="153"/>
      <c r="M18" s="153"/>
      <c r="N18" s="153"/>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42">
        <v>741</v>
      </c>
      <c r="K20" s="143"/>
      <c r="L20" s="144"/>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51">
        <v>131</v>
      </c>
      <c r="D22" s="152"/>
      <c r="E22" s="10" t="s">
        <v>22</v>
      </c>
      <c r="F22" s="20"/>
      <c r="G22" s="145" t="s">
        <v>18</v>
      </c>
      <c r="H22" s="145"/>
      <c r="I22" s="151">
        <v>125</v>
      </c>
      <c r="J22" s="152"/>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51">
        <v>124</v>
      </c>
      <c r="D24" s="152"/>
      <c r="E24" s="10" t="s">
        <v>22</v>
      </c>
      <c r="F24" s="20"/>
      <c r="G24" s="145" t="s">
        <v>20</v>
      </c>
      <c r="H24" s="145"/>
      <c r="I24" s="151">
        <v>130</v>
      </c>
      <c r="J24" s="152"/>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51">
        <v>118</v>
      </c>
      <c r="D26" s="152"/>
      <c r="E26" s="10" t="s">
        <v>7</v>
      </c>
      <c r="F26" s="20"/>
      <c r="G26" s="145" t="s">
        <v>47</v>
      </c>
      <c r="H26" s="145"/>
      <c r="I26" s="151">
        <v>113</v>
      </c>
      <c r="J26" s="152"/>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46" t="s">
        <v>74</v>
      </c>
      <c r="C29" s="146"/>
      <c r="D29" s="147" t="s">
        <v>150</v>
      </c>
      <c r="E29" s="148"/>
      <c r="F29" s="148"/>
      <c r="G29" s="149" t="s">
        <v>23</v>
      </c>
      <c r="H29" s="146"/>
      <c r="I29" s="150"/>
      <c r="J29" s="147" t="s">
        <v>151</v>
      </c>
      <c r="K29" s="148"/>
      <c r="L29" s="148"/>
      <c r="M29" s="148"/>
      <c r="N29" s="154"/>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47" t="s">
        <v>168</v>
      </c>
      <c r="C32" s="148"/>
      <c r="D32" s="148"/>
      <c r="E32" s="148"/>
      <c r="F32" s="148"/>
      <c r="G32" s="148"/>
      <c r="H32" s="148"/>
      <c r="I32" s="148"/>
      <c r="J32" s="148"/>
      <c r="K32" s="148"/>
      <c r="L32" s="148"/>
      <c r="M32" s="148"/>
      <c r="N32" s="154"/>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46" t="s">
        <v>74</v>
      </c>
      <c r="C34" s="146"/>
      <c r="D34" s="147" t="s">
        <v>150</v>
      </c>
      <c r="E34" s="148"/>
      <c r="F34" s="148"/>
      <c r="G34" s="149" t="s">
        <v>55</v>
      </c>
      <c r="H34" s="146"/>
      <c r="I34" s="150"/>
      <c r="J34" s="147" t="s">
        <v>169</v>
      </c>
      <c r="K34" s="148"/>
      <c r="L34" s="148"/>
      <c r="M34" s="148"/>
      <c r="N34" s="154"/>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47" t="s">
        <v>212</v>
      </c>
      <c r="C37" s="148"/>
      <c r="D37" s="148"/>
      <c r="E37" s="148"/>
      <c r="F37" s="148"/>
      <c r="G37" s="148"/>
      <c r="H37" s="148"/>
      <c r="I37" s="148"/>
      <c r="J37" s="148"/>
      <c r="K37" s="148"/>
      <c r="L37" s="148"/>
      <c r="M37" s="148"/>
      <c r="N37" s="154"/>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46" t="s">
        <v>74</v>
      </c>
      <c r="C39" s="146"/>
      <c r="D39" s="147" t="s">
        <v>150</v>
      </c>
      <c r="E39" s="148"/>
      <c r="F39" s="148"/>
      <c r="G39" s="149" t="s">
        <v>55</v>
      </c>
      <c r="H39" s="146"/>
      <c r="I39" s="150"/>
      <c r="J39" s="147" t="s">
        <v>153</v>
      </c>
      <c r="K39" s="148"/>
      <c r="L39" s="148"/>
      <c r="M39" s="148"/>
      <c r="N39" s="154"/>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87</v>
      </c>
      <c r="B41" s="73" t="s">
        <v>69</v>
      </c>
      <c r="E41" s="74"/>
      <c r="F41" s="147" t="s">
        <v>152</v>
      </c>
      <c r="G41" s="148"/>
      <c r="H41" s="148"/>
      <c r="I41" s="148"/>
      <c r="J41" s="148"/>
      <c r="K41" s="148"/>
      <c r="L41" s="148"/>
      <c r="M41" s="148"/>
      <c r="N41" s="154"/>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97</v>
      </c>
    </row>
    <row r="44" spans="1:15" ht="24" customHeight="1" x14ac:dyDescent="0.15">
      <c r="B44" s="30" t="s">
        <v>1</v>
      </c>
      <c r="C44" s="170" t="s">
        <v>165</v>
      </c>
      <c r="D44" s="171"/>
      <c r="E44" s="171"/>
      <c r="F44" s="171"/>
      <c r="G44" s="171"/>
      <c r="H44" s="171"/>
      <c r="I44" s="26" t="s">
        <v>2</v>
      </c>
      <c r="J44" s="27"/>
      <c r="K44" s="147" t="s">
        <v>161</v>
      </c>
      <c r="L44" s="148"/>
      <c r="M44" s="148"/>
      <c r="N44" s="154"/>
      <c r="O44" s="31" t="str">
        <f>IF(OR(C44="",K44=""),"入力してください","")</f>
        <v/>
      </c>
    </row>
    <row r="45" spans="1:15" ht="24" customHeight="1" x14ac:dyDescent="0.15">
      <c r="B45" s="25" t="s">
        <v>4</v>
      </c>
      <c r="C45" s="164" t="s">
        <v>167</v>
      </c>
      <c r="D45" s="165"/>
      <c r="E45" s="165"/>
      <c r="F45" s="165"/>
      <c r="G45" s="165"/>
      <c r="H45" s="166"/>
      <c r="I45" s="26" t="s">
        <v>3</v>
      </c>
      <c r="J45" s="27"/>
      <c r="K45" s="167" t="s">
        <v>166</v>
      </c>
      <c r="L45" s="168"/>
      <c r="M45" s="168"/>
      <c r="N45" s="169"/>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6F4CB723-79BC-4051-B056-58B77CB10314}"/>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85" zoomScaleNormal="100" zoomScaleSheetLayoutView="100" workbookViewId="0">
      <selection activeCell="B98" sqref="B98:Z98"/>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93" t="s">
        <v>112</v>
      </c>
      <c r="X1" s="193"/>
      <c r="Y1" s="193"/>
      <c r="Z1" s="193"/>
    </row>
    <row r="2" spans="1:26" ht="18" customHeight="1" x14ac:dyDescent="0.15">
      <c r="A2" s="231" t="s">
        <v>67</v>
      </c>
      <c r="B2" s="231"/>
      <c r="C2" s="231"/>
      <c r="D2" s="231"/>
      <c r="E2" s="231"/>
      <c r="F2" s="231"/>
      <c r="G2" s="231"/>
      <c r="H2" s="231"/>
      <c r="I2" s="231"/>
      <c r="J2" s="231"/>
      <c r="K2" s="231"/>
      <c r="L2" s="231"/>
      <c r="M2" s="231"/>
      <c r="N2" s="231"/>
      <c r="O2" s="231"/>
      <c r="P2" s="231"/>
      <c r="Q2" s="231"/>
      <c r="R2" s="231"/>
      <c r="S2" s="231"/>
      <c r="T2" s="231"/>
      <c r="U2" s="231"/>
      <c r="V2" s="231"/>
      <c r="W2" s="231"/>
      <c r="X2" s="231"/>
      <c r="Y2" s="231"/>
      <c r="Z2" s="231"/>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98</v>
      </c>
      <c r="B4" s="29"/>
      <c r="C4" s="29"/>
      <c r="D4" s="29"/>
      <c r="E4" s="29"/>
      <c r="F4" s="29"/>
      <c r="G4" s="29"/>
      <c r="H4" s="15" t="s">
        <v>111</v>
      </c>
      <c r="I4" s="29"/>
      <c r="J4" s="29"/>
      <c r="K4" s="29"/>
      <c r="L4" s="29"/>
      <c r="M4" s="29"/>
      <c r="N4" s="29"/>
      <c r="O4" s="139" t="s">
        <v>149</v>
      </c>
      <c r="P4" s="140"/>
      <c r="Q4" s="140"/>
      <c r="R4" s="140"/>
      <c r="S4" s="140"/>
      <c r="T4" s="140"/>
      <c r="U4" s="140"/>
      <c r="V4" s="140"/>
      <c r="W4" s="140"/>
      <c r="X4" s="140"/>
      <c r="Y4" s="140"/>
      <c r="Z4" s="141"/>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32" t="s">
        <v>179</v>
      </c>
      <c r="C6" s="233"/>
      <c r="D6" s="233"/>
      <c r="E6" s="233"/>
      <c r="F6" s="233"/>
      <c r="G6" s="233"/>
      <c r="H6" s="233"/>
      <c r="I6" s="233"/>
      <c r="J6" s="233"/>
      <c r="K6" s="233"/>
      <c r="L6" s="233"/>
      <c r="M6" s="233"/>
      <c r="N6" s="233"/>
      <c r="O6" s="233"/>
      <c r="P6" s="233"/>
      <c r="Q6" s="233"/>
      <c r="R6" s="233"/>
      <c r="S6" s="233"/>
      <c r="T6" s="233"/>
      <c r="U6" s="233"/>
      <c r="V6" s="233"/>
      <c r="W6" s="233"/>
      <c r="X6" s="233"/>
      <c r="Y6" s="233"/>
      <c r="Z6" s="234"/>
    </row>
    <row r="7" spans="1:26" ht="18" customHeight="1" x14ac:dyDescent="0.15">
      <c r="B7" s="235"/>
      <c r="C7" s="236"/>
      <c r="D7" s="236"/>
      <c r="E7" s="236"/>
      <c r="F7" s="236"/>
      <c r="G7" s="236"/>
      <c r="H7" s="236"/>
      <c r="I7" s="236"/>
      <c r="J7" s="236"/>
      <c r="K7" s="236"/>
      <c r="L7" s="236"/>
      <c r="M7" s="236"/>
      <c r="N7" s="236"/>
      <c r="O7" s="236"/>
      <c r="P7" s="236"/>
      <c r="Q7" s="236"/>
      <c r="R7" s="236"/>
      <c r="S7" s="236"/>
      <c r="T7" s="236"/>
      <c r="U7" s="236"/>
      <c r="V7" s="236"/>
      <c r="W7" s="236"/>
      <c r="X7" s="236"/>
      <c r="Y7" s="236"/>
      <c r="Z7" s="237"/>
    </row>
    <row r="8" spans="1:26" ht="18" customHeight="1" x14ac:dyDescent="0.15">
      <c r="B8" s="235"/>
      <c r="C8" s="236"/>
      <c r="D8" s="236"/>
      <c r="E8" s="236"/>
      <c r="F8" s="236"/>
      <c r="G8" s="236"/>
      <c r="H8" s="236"/>
      <c r="I8" s="236"/>
      <c r="J8" s="236"/>
      <c r="K8" s="236"/>
      <c r="L8" s="236"/>
      <c r="M8" s="236"/>
      <c r="N8" s="236"/>
      <c r="O8" s="236"/>
      <c r="P8" s="236"/>
      <c r="Q8" s="236"/>
      <c r="R8" s="236"/>
      <c r="S8" s="236"/>
      <c r="T8" s="236"/>
      <c r="U8" s="236"/>
      <c r="V8" s="236"/>
      <c r="W8" s="236"/>
      <c r="X8" s="236"/>
      <c r="Y8" s="236"/>
      <c r="Z8" s="237"/>
    </row>
    <row r="9" spans="1:26" ht="18" customHeight="1" x14ac:dyDescent="0.15">
      <c r="B9" s="235"/>
      <c r="C9" s="236"/>
      <c r="D9" s="236"/>
      <c r="E9" s="236"/>
      <c r="F9" s="236"/>
      <c r="G9" s="236"/>
      <c r="H9" s="236"/>
      <c r="I9" s="236"/>
      <c r="J9" s="236"/>
      <c r="K9" s="236"/>
      <c r="L9" s="236"/>
      <c r="M9" s="236"/>
      <c r="N9" s="236"/>
      <c r="O9" s="236"/>
      <c r="P9" s="236"/>
      <c r="Q9" s="236"/>
      <c r="R9" s="236"/>
      <c r="S9" s="236"/>
      <c r="T9" s="236"/>
      <c r="U9" s="236"/>
      <c r="V9" s="236"/>
      <c r="W9" s="236"/>
      <c r="X9" s="236"/>
      <c r="Y9" s="236"/>
      <c r="Z9" s="237"/>
    </row>
    <row r="10" spans="1:26" ht="18" customHeight="1" x14ac:dyDescent="0.15">
      <c r="B10" s="235"/>
      <c r="C10" s="238"/>
      <c r="D10" s="238"/>
      <c r="E10" s="238"/>
      <c r="F10" s="238"/>
      <c r="G10" s="238"/>
      <c r="H10" s="238"/>
      <c r="I10" s="238"/>
      <c r="J10" s="238"/>
      <c r="K10" s="238"/>
      <c r="L10" s="238"/>
      <c r="M10" s="238"/>
      <c r="N10" s="238"/>
      <c r="O10" s="238"/>
      <c r="P10" s="238"/>
      <c r="Q10" s="238"/>
      <c r="R10" s="238"/>
      <c r="S10" s="238"/>
      <c r="T10" s="238"/>
      <c r="U10" s="238"/>
      <c r="V10" s="238"/>
      <c r="W10" s="238"/>
      <c r="X10" s="238"/>
      <c r="Y10" s="238"/>
      <c r="Z10" s="237"/>
    </row>
    <row r="11" spans="1:26" ht="18" customHeight="1" x14ac:dyDescent="0.15">
      <c r="B11" s="239"/>
      <c r="C11" s="240"/>
      <c r="D11" s="240"/>
      <c r="E11" s="240"/>
      <c r="F11" s="240"/>
      <c r="G11" s="240"/>
      <c r="H11" s="240"/>
      <c r="I11" s="240"/>
      <c r="J11" s="240"/>
      <c r="K11" s="240"/>
      <c r="L11" s="240"/>
      <c r="M11" s="240"/>
      <c r="N11" s="240"/>
      <c r="O11" s="240"/>
      <c r="P11" s="240"/>
      <c r="Q11" s="240"/>
      <c r="R11" s="240"/>
      <c r="S11" s="240"/>
      <c r="T11" s="240"/>
      <c r="U11" s="240"/>
      <c r="V11" s="240"/>
      <c r="W11" s="240"/>
      <c r="X11" s="240"/>
      <c r="Y11" s="240"/>
      <c r="Z11" s="241"/>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30" t="s">
        <v>125</v>
      </c>
      <c r="B13" s="230"/>
      <c r="C13" s="230"/>
      <c r="D13" s="230"/>
      <c r="E13" s="230"/>
      <c r="F13" s="230"/>
      <c r="G13" s="230"/>
      <c r="H13" s="230"/>
      <c r="I13" s="230"/>
      <c r="J13" s="230"/>
      <c r="K13" s="230"/>
      <c r="L13" s="230"/>
      <c r="M13" s="230"/>
      <c r="N13" s="230"/>
      <c r="O13" s="230"/>
      <c r="P13" s="230"/>
      <c r="Q13" s="230"/>
      <c r="R13" s="230"/>
      <c r="S13" s="230"/>
      <c r="T13" s="230"/>
      <c r="U13" s="230"/>
      <c r="V13" s="230"/>
      <c r="W13" s="230"/>
      <c r="X13" s="230"/>
      <c r="Y13" s="230"/>
      <c r="Z13" s="230"/>
    </row>
    <row r="14" spans="1:26" ht="18" customHeight="1" x14ac:dyDescent="0.15">
      <c r="A14" s="230"/>
      <c r="B14" s="230"/>
      <c r="C14" s="230"/>
      <c r="D14" s="230"/>
      <c r="E14" s="230"/>
      <c r="F14" s="230"/>
      <c r="G14" s="230"/>
      <c r="H14" s="230"/>
      <c r="I14" s="230"/>
      <c r="J14" s="230"/>
      <c r="K14" s="230"/>
      <c r="L14" s="230"/>
      <c r="M14" s="230"/>
      <c r="N14" s="230"/>
      <c r="O14" s="230"/>
      <c r="P14" s="230"/>
      <c r="Q14" s="230"/>
      <c r="R14" s="230"/>
      <c r="S14" s="230"/>
      <c r="T14" s="230"/>
      <c r="U14" s="230"/>
      <c r="V14" s="230"/>
      <c r="W14" s="230"/>
      <c r="X14" s="230"/>
      <c r="Y14" s="230"/>
      <c r="Z14" s="230"/>
    </row>
    <row r="15" spans="1:26" ht="18" customHeight="1" x14ac:dyDescent="0.15">
      <c r="A15" s="14"/>
      <c r="B15" s="139" t="s">
        <v>99</v>
      </c>
      <c r="C15" s="140"/>
      <c r="D15" s="140"/>
      <c r="E15" s="140"/>
      <c r="F15" s="141"/>
      <c r="G15" s="30" t="s">
        <v>141</v>
      </c>
      <c r="H15" s="109" t="s">
        <v>140</v>
      </c>
      <c r="I15" s="140" t="s">
        <v>100</v>
      </c>
      <c r="J15" s="140"/>
      <c r="K15" s="140"/>
      <c r="L15" s="75" t="s">
        <v>103</v>
      </c>
      <c r="M15" s="75" t="s">
        <v>106</v>
      </c>
      <c r="N15" s="139" t="s">
        <v>99</v>
      </c>
      <c r="O15" s="140"/>
      <c r="P15" s="140"/>
      <c r="Q15" s="140"/>
      <c r="R15" s="140"/>
      <c r="S15" s="141"/>
      <c r="T15" s="30" t="s">
        <v>141</v>
      </c>
      <c r="U15" s="109" t="s">
        <v>140</v>
      </c>
      <c r="V15" s="140" t="s">
        <v>100</v>
      </c>
      <c r="W15" s="140"/>
      <c r="X15" s="140"/>
      <c r="Y15" s="75" t="s">
        <v>103</v>
      </c>
      <c r="Z15" s="75" t="s">
        <v>106</v>
      </c>
    </row>
    <row r="16" spans="1:26" ht="18" customHeight="1" x14ac:dyDescent="0.15">
      <c r="A16" s="14"/>
      <c r="B16" s="194" t="s">
        <v>180</v>
      </c>
      <c r="C16" s="195"/>
      <c r="D16" s="195"/>
      <c r="E16" s="195"/>
      <c r="F16" s="196"/>
      <c r="G16" s="110">
        <v>2</v>
      </c>
      <c r="H16" s="110" t="s">
        <v>155</v>
      </c>
      <c r="I16" s="203" t="s">
        <v>156</v>
      </c>
      <c r="J16" s="204"/>
      <c r="K16" s="205"/>
      <c r="L16" s="110" t="s">
        <v>155</v>
      </c>
      <c r="M16" s="110" t="s">
        <v>155</v>
      </c>
      <c r="N16" s="190"/>
      <c r="O16" s="191"/>
      <c r="P16" s="191"/>
      <c r="Q16" s="191"/>
      <c r="R16" s="191"/>
      <c r="S16" s="192"/>
      <c r="T16" s="110"/>
      <c r="U16" s="110"/>
      <c r="V16" s="203"/>
      <c r="W16" s="204"/>
      <c r="X16" s="205"/>
      <c r="Y16" s="110"/>
      <c r="Z16" s="110"/>
    </row>
    <row r="17" spans="1:26" ht="18" customHeight="1" x14ac:dyDescent="0.15">
      <c r="A17" s="14"/>
      <c r="B17" s="197" t="s">
        <v>206</v>
      </c>
      <c r="C17" s="198"/>
      <c r="D17" s="198"/>
      <c r="E17" s="198"/>
      <c r="F17" s="199"/>
      <c r="G17" s="111"/>
      <c r="H17" s="111"/>
      <c r="I17" s="184"/>
      <c r="J17" s="185"/>
      <c r="K17" s="186"/>
      <c r="L17" s="111"/>
      <c r="M17" s="111"/>
      <c r="N17" s="178"/>
      <c r="O17" s="179"/>
      <c r="P17" s="179"/>
      <c r="Q17" s="179"/>
      <c r="R17" s="179"/>
      <c r="S17" s="180"/>
      <c r="T17" s="111"/>
      <c r="U17" s="111"/>
      <c r="V17" s="184"/>
      <c r="W17" s="185"/>
      <c r="X17" s="186"/>
      <c r="Y17" s="111"/>
      <c r="Z17" s="111"/>
    </row>
    <row r="18" spans="1:26" ht="18" customHeight="1" x14ac:dyDescent="0.15">
      <c r="A18" s="14"/>
      <c r="B18" s="172"/>
      <c r="C18" s="173"/>
      <c r="D18" s="173"/>
      <c r="E18" s="173"/>
      <c r="F18" s="174"/>
      <c r="G18" s="111"/>
      <c r="H18" s="111"/>
      <c r="I18" s="184"/>
      <c r="J18" s="185"/>
      <c r="K18" s="186"/>
      <c r="L18" s="111"/>
      <c r="M18" s="111"/>
      <c r="N18" s="178"/>
      <c r="O18" s="179"/>
      <c r="P18" s="179"/>
      <c r="Q18" s="179"/>
      <c r="R18" s="179"/>
      <c r="S18" s="180"/>
      <c r="T18" s="111"/>
      <c r="U18" s="111"/>
      <c r="V18" s="184"/>
      <c r="W18" s="185"/>
      <c r="X18" s="186"/>
      <c r="Y18" s="111"/>
      <c r="Z18" s="111"/>
    </row>
    <row r="19" spans="1:26" ht="18" customHeight="1" x14ac:dyDescent="0.15">
      <c r="A19" s="14"/>
      <c r="B19" s="172"/>
      <c r="C19" s="173"/>
      <c r="D19" s="173"/>
      <c r="E19" s="173"/>
      <c r="F19" s="174"/>
      <c r="G19" s="111"/>
      <c r="H19" s="111"/>
      <c r="I19" s="184"/>
      <c r="J19" s="185"/>
      <c r="K19" s="186"/>
      <c r="L19" s="111"/>
      <c r="M19" s="111"/>
      <c r="N19" s="178"/>
      <c r="O19" s="179"/>
      <c r="P19" s="179"/>
      <c r="Q19" s="179"/>
      <c r="R19" s="179"/>
      <c r="S19" s="180"/>
      <c r="T19" s="111"/>
      <c r="U19" s="111"/>
      <c r="V19" s="184"/>
      <c r="W19" s="185"/>
      <c r="X19" s="186"/>
      <c r="Y19" s="111"/>
      <c r="Z19" s="111"/>
    </row>
    <row r="20" spans="1:26" ht="18" customHeight="1" x14ac:dyDescent="0.15">
      <c r="A20" s="14"/>
      <c r="B20" s="172"/>
      <c r="C20" s="173"/>
      <c r="D20" s="173"/>
      <c r="E20" s="173"/>
      <c r="F20" s="174"/>
      <c r="G20" s="111"/>
      <c r="H20" s="111"/>
      <c r="I20" s="184"/>
      <c r="J20" s="185"/>
      <c r="K20" s="186"/>
      <c r="L20" s="111"/>
      <c r="M20" s="111"/>
      <c r="N20" s="178"/>
      <c r="O20" s="179"/>
      <c r="P20" s="179"/>
      <c r="Q20" s="179"/>
      <c r="R20" s="179"/>
      <c r="S20" s="180"/>
      <c r="T20" s="111"/>
      <c r="U20" s="111"/>
      <c r="V20" s="184"/>
      <c r="W20" s="185"/>
      <c r="X20" s="186"/>
      <c r="Y20" s="111"/>
      <c r="Z20" s="111"/>
    </row>
    <row r="21" spans="1:26" ht="18" customHeight="1" x14ac:dyDescent="0.15">
      <c r="A21" s="29"/>
      <c r="B21" s="172"/>
      <c r="C21" s="173"/>
      <c r="D21" s="173"/>
      <c r="E21" s="173"/>
      <c r="F21" s="174"/>
      <c r="G21" s="111"/>
      <c r="H21" s="111"/>
      <c r="I21" s="184"/>
      <c r="J21" s="185"/>
      <c r="K21" s="186"/>
      <c r="L21" s="111"/>
      <c r="M21" s="111"/>
      <c r="N21" s="178"/>
      <c r="O21" s="179"/>
      <c r="P21" s="179"/>
      <c r="Q21" s="179"/>
      <c r="R21" s="179"/>
      <c r="S21" s="180"/>
      <c r="T21" s="111"/>
      <c r="U21" s="111"/>
      <c r="V21" s="184"/>
      <c r="W21" s="185"/>
      <c r="X21" s="186"/>
      <c r="Y21" s="111"/>
      <c r="Z21" s="111"/>
    </row>
    <row r="22" spans="1:26" ht="18" customHeight="1" x14ac:dyDescent="0.15">
      <c r="A22" s="29"/>
      <c r="B22" s="175"/>
      <c r="C22" s="176"/>
      <c r="D22" s="176"/>
      <c r="E22" s="176"/>
      <c r="F22" s="177"/>
      <c r="G22" s="112"/>
      <c r="H22" s="112"/>
      <c r="I22" s="187"/>
      <c r="J22" s="188"/>
      <c r="K22" s="189"/>
      <c r="L22" s="117"/>
      <c r="M22" s="117"/>
      <c r="N22" s="181"/>
      <c r="O22" s="182"/>
      <c r="P22" s="182"/>
      <c r="Q22" s="182"/>
      <c r="R22" s="182"/>
      <c r="S22" s="183"/>
      <c r="T22" s="112"/>
      <c r="U22" s="112"/>
      <c r="V22" s="187"/>
      <c r="W22" s="188"/>
      <c r="X22" s="189"/>
      <c r="Y22" s="117"/>
      <c r="Z22" s="117"/>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30" t="s">
        <v>126</v>
      </c>
      <c r="B24" s="230"/>
      <c r="C24" s="230"/>
      <c r="D24" s="230"/>
      <c r="E24" s="230"/>
      <c r="F24" s="230"/>
      <c r="G24" s="230"/>
      <c r="H24" s="230"/>
      <c r="I24" s="230"/>
      <c r="J24" s="230"/>
      <c r="K24" s="230"/>
      <c r="L24" s="230"/>
      <c r="M24" s="230"/>
      <c r="N24" s="230"/>
      <c r="O24" s="230"/>
      <c r="P24" s="230"/>
      <c r="Q24" s="230"/>
      <c r="R24" s="230"/>
      <c r="S24" s="230"/>
      <c r="T24" s="230"/>
      <c r="U24" s="230"/>
      <c r="V24" s="230"/>
      <c r="W24" s="230"/>
      <c r="X24" s="230"/>
      <c r="Y24" s="230"/>
      <c r="Z24" s="230"/>
    </row>
    <row r="25" spans="1:26" ht="18" customHeight="1" x14ac:dyDescent="0.15">
      <c r="A25" s="230"/>
      <c r="B25" s="230"/>
      <c r="C25" s="230"/>
      <c r="D25" s="230"/>
      <c r="E25" s="230"/>
      <c r="F25" s="230"/>
      <c r="G25" s="230"/>
      <c r="H25" s="230"/>
      <c r="I25" s="230"/>
      <c r="J25" s="230"/>
      <c r="K25" s="230"/>
      <c r="L25" s="230"/>
      <c r="M25" s="230"/>
      <c r="N25" s="230"/>
      <c r="O25" s="230"/>
      <c r="P25" s="230"/>
      <c r="Q25" s="230"/>
      <c r="R25" s="230"/>
      <c r="S25" s="230"/>
      <c r="T25" s="230"/>
      <c r="U25" s="230"/>
      <c r="V25" s="230"/>
      <c r="W25" s="230"/>
      <c r="X25" s="230"/>
      <c r="Y25" s="230"/>
      <c r="Z25" s="230"/>
    </row>
    <row r="26" spans="1:26" ht="18" customHeight="1" x14ac:dyDescent="0.15">
      <c r="A26" s="14"/>
      <c r="B26" s="139" t="s">
        <v>99</v>
      </c>
      <c r="C26" s="140"/>
      <c r="D26" s="140"/>
      <c r="E26" s="140"/>
      <c r="F26" s="141"/>
      <c r="G26" s="30" t="s">
        <v>141</v>
      </c>
      <c r="H26" s="109" t="s">
        <v>140</v>
      </c>
      <c r="I26" s="140" t="s">
        <v>100</v>
      </c>
      <c r="J26" s="140"/>
      <c r="K26" s="140"/>
      <c r="L26" s="75" t="s">
        <v>127</v>
      </c>
      <c r="M26" s="75" t="s">
        <v>128</v>
      </c>
      <c r="N26" s="139" t="s">
        <v>99</v>
      </c>
      <c r="O26" s="140"/>
      <c r="P26" s="140"/>
      <c r="Q26" s="140"/>
      <c r="R26" s="140"/>
      <c r="S26" s="141"/>
      <c r="T26" s="30" t="s">
        <v>141</v>
      </c>
      <c r="U26" s="109" t="s">
        <v>140</v>
      </c>
      <c r="V26" s="140" t="s">
        <v>100</v>
      </c>
      <c r="W26" s="140"/>
      <c r="X26" s="140"/>
      <c r="Y26" s="75" t="s">
        <v>127</v>
      </c>
      <c r="Z26" s="75" t="s">
        <v>128</v>
      </c>
    </row>
    <row r="27" spans="1:26" ht="18" customHeight="1" x14ac:dyDescent="0.15">
      <c r="A27" s="14"/>
      <c r="B27" s="194" t="s">
        <v>181</v>
      </c>
      <c r="C27" s="195"/>
      <c r="D27" s="195"/>
      <c r="E27" s="195"/>
      <c r="F27" s="196"/>
      <c r="G27" s="110">
        <v>2</v>
      </c>
      <c r="H27" s="110" t="s">
        <v>155</v>
      </c>
      <c r="I27" s="203" t="s">
        <v>156</v>
      </c>
      <c r="J27" s="204"/>
      <c r="K27" s="205"/>
      <c r="L27" s="110" t="s">
        <v>155</v>
      </c>
      <c r="M27" s="110" t="s">
        <v>155</v>
      </c>
      <c r="N27" s="190"/>
      <c r="O27" s="191"/>
      <c r="P27" s="191"/>
      <c r="Q27" s="191"/>
      <c r="R27" s="191"/>
      <c r="S27" s="192"/>
      <c r="T27" s="110"/>
      <c r="U27" s="110"/>
      <c r="V27" s="203"/>
      <c r="W27" s="204"/>
      <c r="X27" s="205"/>
      <c r="Y27" s="110"/>
      <c r="Z27" s="110"/>
    </row>
    <row r="28" spans="1:26" ht="18" customHeight="1" x14ac:dyDescent="0.15">
      <c r="A28" s="14"/>
      <c r="B28" s="197" t="s">
        <v>206</v>
      </c>
      <c r="C28" s="198"/>
      <c r="D28" s="198"/>
      <c r="E28" s="198"/>
      <c r="F28" s="199"/>
      <c r="G28" s="111"/>
      <c r="H28" s="111"/>
      <c r="I28" s="184"/>
      <c r="J28" s="185"/>
      <c r="K28" s="186"/>
      <c r="L28" s="111"/>
      <c r="M28" s="111"/>
      <c r="N28" s="178"/>
      <c r="O28" s="179"/>
      <c r="P28" s="179"/>
      <c r="Q28" s="179"/>
      <c r="R28" s="179"/>
      <c r="S28" s="180"/>
      <c r="T28" s="111"/>
      <c r="U28" s="111"/>
      <c r="V28" s="184"/>
      <c r="W28" s="185"/>
      <c r="X28" s="186"/>
      <c r="Y28" s="111"/>
      <c r="Z28" s="111"/>
    </row>
    <row r="29" spans="1:26" ht="18" customHeight="1" x14ac:dyDescent="0.15">
      <c r="A29" s="14"/>
      <c r="B29" s="172"/>
      <c r="C29" s="173"/>
      <c r="D29" s="173"/>
      <c r="E29" s="173"/>
      <c r="F29" s="174"/>
      <c r="G29" s="111"/>
      <c r="H29" s="111"/>
      <c r="I29" s="184"/>
      <c r="J29" s="185"/>
      <c r="K29" s="186"/>
      <c r="L29" s="111"/>
      <c r="M29" s="111"/>
      <c r="N29" s="178"/>
      <c r="O29" s="179"/>
      <c r="P29" s="179"/>
      <c r="Q29" s="179"/>
      <c r="R29" s="179"/>
      <c r="S29" s="180"/>
      <c r="T29" s="111"/>
      <c r="U29" s="111"/>
      <c r="V29" s="184"/>
      <c r="W29" s="185"/>
      <c r="X29" s="186"/>
      <c r="Y29" s="111"/>
      <c r="Z29" s="111"/>
    </row>
    <row r="30" spans="1:26" ht="18" customHeight="1" x14ac:dyDescent="0.15">
      <c r="A30" s="14"/>
      <c r="B30" s="172"/>
      <c r="C30" s="173"/>
      <c r="D30" s="173"/>
      <c r="E30" s="173"/>
      <c r="F30" s="174"/>
      <c r="G30" s="111"/>
      <c r="H30" s="111"/>
      <c r="I30" s="184"/>
      <c r="J30" s="185"/>
      <c r="K30" s="186"/>
      <c r="L30" s="111"/>
      <c r="M30" s="111"/>
      <c r="N30" s="178"/>
      <c r="O30" s="179"/>
      <c r="P30" s="179"/>
      <c r="Q30" s="179"/>
      <c r="R30" s="179"/>
      <c r="S30" s="180"/>
      <c r="T30" s="111"/>
      <c r="U30" s="111"/>
      <c r="V30" s="184"/>
      <c r="W30" s="185"/>
      <c r="X30" s="186"/>
      <c r="Y30" s="111"/>
      <c r="Z30" s="111"/>
    </row>
    <row r="31" spans="1:26" ht="18" customHeight="1" x14ac:dyDescent="0.15">
      <c r="A31" s="14"/>
      <c r="B31" s="172"/>
      <c r="C31" s="173"/>
      <c r="D31" s="173"/>
      <c r="E31" s="173"/>
      <c r="F31" s="174"/>
      <c r="G31" s="111"/>
      <c r="H31" s="111"/>
      <c r="I31" s="184"/>
      <c r="J31" s="185"/>
      <c r="K31" s="186"/>
      <c r="L31" s="111"/>
      <c r="M31" s="111"/>
      <c r="N31" s="178"/>
      <c r="O31" s="179"/>
      <c r="P31" s="179"/>
      <c r="Q31" s="179"/>
      <c r="R31" s="179"/>
      <c r="S31" s="180"/>
      <c r="T31" s="111"/>
      <c r="U31" s="111"/>
      <c r="V31" s="184"/>
      <c r="W31" s="185"/>
      <c r="X31" s="186"/>
      <c r="Y31" s="111"/>
      <c r="Z31" s="111"/>
    </row>
    <row r="32" spans="1:26" ht="18" customHeight="1" x14ac:dyDescent="0.15">
      <c r="A32" s="14"/>
      <c r="B32" s="172"/>
      <c r="C32" s="173"/>
      <c r="D32" s="173"/>
      <c r="E32" s="173"/>
      <c r="F32" s="174"/>
      <c r="G32" s="111"/>
      <c r="H32" s="111"/>
      <c r="I32" s="184"/>
      <c r="J32" s="185"/>
      <c r="K32" s="186"/>
      <c r="L32" s="111"/>
      <c r="M32" s="111"/>
      <c r="N32" s="178"/>
      <c r="O32" s="179"/>
      <c r="P32" s="179"/>
      <c r="Q32" s="179"/>
      <c r="R32" s="179"/>
      <c r="S32" s="180"/>
      <c r="T32" s="111"/>
      <c r="U32" s="111"/>
      <c r="V32" s="184"/>
      <c r="W32" s="185"/>
      <c r="X32" s="186"/>
      <c r="Y32" s="111"/>
      <c r="Z32" s="111"/>
    </row>
    <row r="33" spans="1:26" ht="18" customHeight="1" x14ac:dyDescent="0.15">
      <c r="A33" s="14"/>
      <c r="B33" s="175"/>
      <c r="C33" s="176"/>
      <c r="D33" s="176"/>
      <c r="E33" s="176"/>
      <c r="F33" s="177"/>
      <c r="G33" s="112"/>
      <c r="H33" s="112"/>
      <c r="I33" s="187"/>
      <c r="J33" s="188"/>
      <c r="K33" s="189"/>
      <c r="L33" s="117"/>
      <c r="M33" s="117"/>
      <c r="N33" s="181"/>
      <c r="O33" s="182"/>
      <c r="P33" s="182"/>
      <c r="Q33" s="182"/>
      <c r="R33" s="182"/>
      <c r="S33" s="183"/>
      <c r="T33" s="112"/>
      <c r="U33" s="112"/>
      <c r="V33" s="187"/>
      <c r="W33" s="188"/>
      <c r="X33" s="189"/>
      <c r="Y33" s="117"/>
      <c r="Z33" s="117"/>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30" t="s">
        <v>129</v>
      </c>
      <c r="B35" s="230"/>
      <c r="C35" s="230"/>
      <c r="D35" s="230"/>
      <c r="E35" s="230"/>
      <c r="F35" s="230"/>
      <c r="G35" s="230"/>
      <c r="H35" s="230"/>
      <c r="I35" s="230"/>
      <c r="J35" s="230"/>
      <c r="K35" s="230"/>
      <c r="L35" s="230"/>
      <c r="M35" s="230"/>
      <c r="N35" s="230"/>
      <c r="O35" s="230"/>
      <c r="P35" s="230"/>
      <c r="Q35" s="230"/>
      <c r="R35" s="230"/>
      <c r="S35" s="230"/>
      <c r="T35" s="230"/>
      <c r="U35" s="230"/>
      <c r="V35" s="230"/>
      <c r="W35" s="230"/>
      <c r="X35" s="230"/>
      <c r="Y35" s="230"/>
      <c r="Z35" s="230"/>
    </row>
    <row r="36" spans="1:26" ht="18" customHeight="1" x14ac:dyDescent="0.15">
      <c r="A36" s="230"/>
      <c r="B36" s="230"/>
      <c r="C36" s="230"/>
      <c r="D36" s="230"/>
      <c r="E36" s="230"/>
      <c r="F36" s="230"/>
      <c r="G36" s="230"/>
      <c r="H36" s="230"/>
      <c r="I36" s="230"/>
      <c r="J36" s="230"/>
      <c r="K36" s="230"/>
      <c r="L36" s="230"/>
      <c r="M36" s="230"/>
      <c r="N36" s="230"/>
      <c r="O36" s="230"/>
      <c r="P36" s="230"/>
      <c r="Q36" s="230"/>
      <c r="R36" s="230"/>
      <c r="S36" s="230"/>
      <c r="T36" s="230"/>
      <c r="U36" s="230"/>
      <c r="V36" s="230"/>
      <c r="W36" s="230"/>
      <c r="X36" s="230"/>
      <c r="Y36" s="230"/>
      <c r="Z36" s="230"/>
    </row>
    <row r="37" spans="1:26" ht="18" customHeight="1" x14ac:dyDescent="0.15">
      <c r="A37" s="14"/>
      <c r="B37" s="139" t="s">
        <v>99</v>
      </c>
      <c r="C37" s="140"/>
      <c r="D37" s="140"/>
      <c r="E37" s="140"/>
      <c r="F37" s="141"/>
      <c r="G37" s="30" t="s">
        <v>141</v>
      </c>
      <c r="H37" s="109" t="s">
        <v>140</v>
      </c>
      <c r="I37" s="139" t="s">
        <v>100</v>
      </c>
      <c r="J37" s="140"/>
      <c r="K37" s="141"/>
      <c r="L37" s="75" t="s">
        <v>130</v>
      </c>
      <c r="M37" s="75" t="s">
        <v>131</v>
      </c>
      <c r="N37" s="139" t="s">
        <v>99</v>
      </c>
      <c r="O37" s="140"/>
      <c r="P37" s="140"/>
      <c r="Q37" s="140"/>
      <c r="R37" s="140"/>
      <c r="S37" s="141"/>
      <c r="T37" s="30" t="s">
        <v>141</v>
      </c>
      <c r="U37" s="109" t="s">
        <v>140</v>
      </c>
      <c r="V37" s="139" t="s">
        <v>100</v>
      </c>
      <c r="W37" s="140"/>
      <c r="X37" s="141"/>
      <c r="Y37" s="75" t="s">
        <v>130</v>
      </c>
      <c r="Z37" s="75" t="s">
        <v>131</v>
      </c>
    </row>
    <row r="38" spans="1:26" ht="18" customHeight="1" x14ac:dyDescent="0.15">
      <c r="A38" s="29"/>
      <c r="B38" s="194" t="s">
        <v>181</v>
      </c>
      <c r="C38" s="195"/>
      <c r="D38" s="195"/>
      <c r="E38" s="195"/>
      <c r="F38" s="196"/>
      <c r="G38" s="110">
        <v>2</v>
      </c>
      <c r="H38" s="110" t="s">
        <v>155</v>
      </c>
      <c r="I38" s="203" t="s">
        <v>156</v>
      </c>
      <c r="J38" s="204"/>
      <c r="K38" s="205"/>
      <c r="L38" s="110" t="s">
        <v>155</v>
      </c>
      <c r="M38" s="110" t="s">
        <v>155</v>
      </c>
      <c r="N38" s="190"/>
      <c r="O38" s="191"/>
      <c r="P38" s="191"/>
      <c r="Q38" s="191"/>
      <c r="R38" s="191"/>
      <c r="S38" s="192"/>
      <c r="T38" s="110"/>
      <c r="U38" s="110"/>
      <c r="V38" s="203"/>
      <c r="W38" s="204"/>
      <c r="X38" s="205"/>
      <c r="Y38" s="110"/>
      <c r="Z38" s="110"/>
    </row>
    <row r="39" spans="1:26" ht="18" customHeight="1" x14ac:dyDescent="0.15">
      <c r="A39" s="29"/>
      <c r="B39" s="197" t="s">
        <v>206</v>
      </c>
      <c r="C39" s="198"/>
      <c r="D39" s="198"/>
      <c r="E39" s="198"/>
      <c r="F39" s="199"/>
      <c r="G39" s="111"/>
      <c r="H39" s="111"/>
      <c r="I39" s="184"/>
      <c r="J39" s="185"/>
      <c r="K39" s="186"/>
      <c r="L39" s="111"/>
      <c r="M39" s="111"/>
      <c r="N39" s="178"/>
      <c r="O39" s="179"/>
      <c r="P39" s="179"/>
      <c r="Q39" s="179"/>
      <c r="R39" s="179"/>
      <c r="S39" s="180"/>
      <c r="T39" s="111"/>
      <c r="U39" s="111"/>
      <c r="V39" s="184"/>
      <c r="W39" s="185"/>
      <c r="X39" s="186"/>
      <c r="Y39" s="111"/>
      <c r="Z39" s="111"/>
    </row>
    <row r="40" spans="1:26" ht="18" customHeight="1" x14ac:dyDescent="0.15">
      <c r="A40" s="29"/>
      <c r="B40" s="172"/>
      <c r="C40" s="173"/>
      <c r="D40" s="173"/>
      <c r="E40" s="173"/>
      <c r="F40" s="174"/>
      <c r="G40" s="111"/>
      <c r="H40" s="111"/>
      <c r="I40" s="184"/>
      <c r="J40" s="185"/>
      <c r="K40" s="186"/>
      <c r="L40" s="111"/>
      <c r="M40" s="111"/>
      <c r="N40" s="178"/>
      <c r="O40" s="179"/>
      <c r="P40" s="179"/>
      <c r="Q40" s="179"/>
      <c r="R40" s="179"/>
      <c r="S40" s="180"/>
      <c r="T40" s="111"/>
      <c r="U40" s="111"/>
      <c r="V40" s="184"/>
      <c r="W40" s="185"/>
      <c r="X40" s="186"/>
      <c r="Y40" s="111"/>
      <c r="Z40" s="111"/>
    </row>
    <row r="41" spans="1:26" ht="18" customHeight="1" x14ac:dyDescent="0.15">
      <c r="A41" s="29"/>
      <c r="B41" s="172"/>
      <c r="C41" s="173"/>
      <c r="D41" s="173"/>
      <c r="E41" s="173"/>
      <c r="F41" s="174"/>
      <c r="G41" s="111"/>
      <c r="H41" s="111"/>
      <c r="I41" s="184"/>
      <c r="J41" s="185"/>
      <c r="K41" s="186"/>
      <c r="L41" s="111"/>
      <c r="M41" s="111"/>
      <c r="N41" s="178"/>
      <c r="O41" s="179"/>
      <c r="P41" s="179"/>
      <c r="Q41" s="179"/>
      <c r="R41" s="179"/>
      <c r="S41" s="180"/>
      <c r="T41" s="111"/>
      <c r="U41" s="111"/>
      <c r="V41" s="184"/>
      <c r="W41" s="185"/>
      <c r="X41" s="186"/>
      <c r="Y41" s="111"/>
      <c r="Z41" s="111"/>
    </row>
    <row r="42" spans="1:26" ht="18" customHeight="1" x14ac:dyDescent="0.15">
      <c r="A42" s="29"/>
      <c r="B42" s="172"/>
      <c r="C42" s="173"/>
      <c r="D42" s="173"/>
      <c r="E42" s="173"/>
      <c r="F42" s="174"/>
      <c r="G42" s="111"/>
      <c r="H42" s="111"/>
      <c r="I42" s="184"/>
      <c r="J42" s="185"/>
      <c r="K42" s="186"/>
      <c r="L42" s="111"/>
      <c r="M42" s="111"/>
      <c r="N42" s="178"/>
      <c r="O42" s="179"/>
      <c r="P42" s="179"/>
      <c r="Q42" s="179"/>
      <c r="R42" s="179"/>
      <c r="S42" s="180"/>
      <c r="T42" s="111"/>
      <c r="U42" s="111"/>
      <c r="V42" s="184"/>
      <c r="W42" s="185"/>
      <c r="X42" s="186"/>
      <c r="Y42" s="111"/>
      <c r="Z42" s="111"/>
    </row>
    <row r="43" spans="1:26" ht="18" customHeight="1" x14ac:dyDescent="0.15">
      <c r="A43" s="29"/>
      <c r="B43" s="172"/>
      <c r="C43" s="173"/>
      <c r="D43" s="173"/>
      <c r="E43" s="173"/>
      <c r="F43" s="174"/>
      <c r="G43" s="111"/>
      <c r="H43" s="111"/>
      <c r="I43" s="184"/>
      <c r="J43" s="185"/>
      <c r="K43" s="186"/>
      <c r="L43" s="111"/>
      <c r="M43" s="111"/>
      <c r="N43" s="178"/>
      <c r="O43" s="179"/>
      <c r="P43" s="179"/>
      <c r="Q43" s="179"/>
      <c r="R43" s="179"/>
      <c r="S43" s="180"/>
      <c r="T43" s="111"/>
      <c r="U43" s="111"/>
      <c r="V43" s="184"/>
      <c r="W43" s="185"/>
      <c r="X43" s="186"/>
      <c r="Y43" s="111"/>
      <c r="Z43" s="111"/>
    </row>
    <row r="44" spans="1:26" ht="18" customHeight="1" x14ac:dyDescent="0.15">
      <c r="A44" s="29"/>
      <c r="B44" s="175"/>
      <c r="C44" s="176"/>
      <c r="D44" s="176"/>
      <c r="E44" s="176"/>
      <c r="F44" s="177"/>
      <c r="G44" s="112"/>
      <c r="H44" s="112"/>
      <c r="I44" s="187"/>
      <c r="J44" s="188"/>
      <c r="K44" s="189"/>
      <c r="L44" s="117"/>
      <c r="M44" s="117"/>
      <c r="N44" s="181"/>
      <c r="O44" s="182"/>
      <c r="P44" s="182"/>
      <c r="Q44" s="182"/>
      <c r="R44" s="182"/>
      <c r="S44" s="183"/>
      <c r="T44" s="112"/>
      <c r="U44" s="112"/>
      <c r="V44" s="187"/>
      <c r="W44" s="188"/>
      <c r="X44" s="189"/>
      <c r="Y44" s="117"/>
      <c r="Z44" s="117"/>
    </row>
    <row r="45" spans="1:26" ht="7.5" customHeight="1" x14ac:dyDescent="0.15">
      <c r="A45" s="14"/>
      <c r="B45" s="77"/>
      <c r="C45" s="77"/>
      <c r="D45" s="77"/>
      <c r="E45" s="77"/>
      <c r="F45" s="77"/>
      <c r="G45" s="77"/>
      <c r="H45" s="77"/>
      <c r="I45" s="77"/>
      <c r="J45" s="77"/>
      <c r="K45" s="77"/>
      <c r="L45" s="77"/>
      <c r="M45" s="77"/>
      <c r="N45" s="77"/>
      <c r="O45" s="77"/>
      <c r="P45" s="77"/>
      <c r="Q45" s="77"/>
      <c r="R45" s="77"/>
      <c r="S45" s="77"/>
      <c r="T45" s="77"/>
      <c r="U45" s="77"/>
      <c r="V45" s="77"/>
      <c r="W45" s="77"/>
      <c r="X45" s="77"/>
      <c r="Y45" s="77"/>
      <c r="Z45" s="14"/>
    </row>
    <row r="46" spans="1:26" ht="18" customHeight="1" x14ac:dyDescent="0.15">
      <c r="A46" s="230" t="s">
        <v>132</v>
      </c>
      <c r="B46" s="230"/>
      <c r="C46" s="230"/>
      <c r="D46" s="230"/>
      <c r="E46" s="230"/>
      <c r="F46" s="230"/>
      <c r="G46" s="230"/>
      <c r="H46" s="230"/>
      <c r="I46" s="230"/>
      <c r="J46" s="230"/>
      <c r="K46" s="230"/>
      <c r="L46" s="230"/>
      <c r="M46" s="230"/>
      <c r="N46" s="230"/>
      <c r="O46" s="230"/>
      <c r="P46" s="230"/>
      <c r="Q46" s="230"/>
      <c r="R46" s="230"/>
      <c r="S46" s="230"/>
      <c r="T46" s="230"/>
      <c r="U46" s="230"/>
      <c r="V46" s="230"/>
      <c r="W46" s="230"/>
      <c r="X46" s="230"/>
      <c r="Y46" s="230"/>
      <c r="Z46" s="230"/>
    </row>
    <row r="47" spans="1:26" ht="18" customHeight="1" x14ac:dyDescent="0.15">
      <c r="A47" s="230"/>
      <c r="B47" s="230"/>
      <c r="C47" s="230"/>
      <c r="D47" s="230"/>
      <c r="E47" s="230"/>
      <c r="F47" s="230"/>
      <c r="G47" s="230"/>
      <c r="H47" s="230"/>
      <c r="I47" s="230"/>
      <c r="J47" s="230"/>
      <c r="K47" s="230"/>
      <c r="L47" s="230"/>
      <c r="M47" s="230"/>
      <c r="N47" s="230"/>
      <c r="O47" s="230"/>
      <c r="P47" s="230"/>
      <c r="Q47" s="230"/>
      <c r="R47" s="230"/>
      <c r="S47" s="230"/>
      <c r="T47" s="230"/>
      <c r="U47" s="230"/>
      <c r="V47" s="230"/>
      <c r="W47" s="230"/>
      <c r="X47" s="230"/>
      <c r="Y47" s="230"/>
      <c r="Z47" s="230"/>
    </row>
    <row r="48" spans="1:26" ht="18" customHeight="1" x14ac:dyDescent="0.15">
      <c r="A48" s="14"/>
      <c r="B48" s="139" t="s">
        <v>99</v>
      </c>
      <c r="C48" s="140"/>
      <c r="D48" s="140"/>
      <c r="E48" s="140"/>
      <c r="F48" s="141"/>
      <c r="G48" s="30" t="s">
        <v>141</v>
      </c>
      <c r="H48" s="109" t="s">
        <v>140</v>
      </c>
      <c r="I48" s="139" t="s">
        <v>100</v>
      </c>
      <c r="J48" s="140"/>
      <c r="K48" s="141"/>
      <c r="L48" s="75" t="s">
        <v>105</v>
      </c>
      <c r="M48" s="75" t="s">
        <v>107</v>
      </c>
      <c r="N48" s="139" t="s">
        <v>99</v>
      </c>
      <c r="O48" s="140"/>
      <c r="P48" s="140"/>
      <c r="Q48" s="140"/>
      <c r="R48" s="140"/>
      <c r="S48" s="141"/>
      <c r="T48" s="30" t="s">
        <v>141</v>
      </c>
      <c r="U48" s="109" t="s">
        <v>140</v>
      </c>
      <c r="V48" s="139" t="s">
        <v>100</v>
      </c>
      <c r="W48" s="140"/>
      <c r="X48" s="141"/>
      <c r="Y48" s="75" t="s">
        <v>105</v>
      </c>
      <c r="Z48" s="75" t="s">
        <v>107</v>
      </c>
    </row>
    <row r="49" spans="1:26" ht="18" customHeight="1" x14ac:dyDescent="0.15">
      <c r="A49" s="29"/>
      <c r="B49" s="194" t="s">
        <v>181</v>
      </c>
      <c r="C49" s="195"/>
      <c r="D49" s="195"/>
      <c r="E49" s="195"/>
      <c r="F49" s="196"/>
      <c r="G49" s="110">
        <v>2</v>
      </c>
      <c r="H49" s="110" t="s">
        <v>155</v>
      </c>
      <c r="I49" s="203" t="s">
        <v>156</v>
      </c>
      <c r="J49" s="204"/>
      <c r="K49" s="205"/>
      <c r="L49" s="110" t="s">
        <v>155</v>
      </c>
      <c r="M49" s="110" t="s">
        <v>155</v>
      </c>
      <c r="N49" s="190"/>
      <c r="O49" s="191"/>
      <c r="P49" s="191"/>
      <c r="Q49" s="191"/>
      <c r="R49" s="191"/>
      <c r="S49" s="192"/>
      <c r="T49" s="110"/>
      <c r="U49" s="110"/>
      <c r="V49" s="203"/>
      <c r="W49" s="204"/>
      <c r="X49" s="205"/>
      <c r="Y49" s="110"/>
      <c r="Z49" s="110"/>
    </row>
    <row r="50" spans="1:26" ht="18" customHeight="1" x14ac:dyDescent="0.15">
      <c r="A50" s="29"/>
      <c r="B50" s="172" t="s">
        <v>182</v>
      </c>
      <c r="C50" s="173"/>
      <c r="D50" s="173"/>
      <c r="E50" s="173"/>
      <c r="F50" s="174"/>
      <c r="G50" s="111">
        <v>4</v>
      </c>
      <c r="H50" s="111" t="s">
        <v>155</v>
      </c>
      <c r="I50" s="184" t="s">
        <v>156</v>
      </c>
      <c r="J50" s="185"/>
      <c r="K50" s="186"/>
      <c r="L50" s="111" t="s">
        <v>155</v>
      </c>
      <c r="M50" s="111" t="s">
        <v>155</v>
      </c>
      <c r="N50" s="178"/>
      <c r="O50" s="179"/>
      <c r="P50" s="179"/>
      <c r="Q50" s="179"/>
      <c r="R50" s="179"/>
      <c r="S50" s="180"/>
      <c r="T50" s="111"/>
      <c r="U50" s="111"/>
      <c r="V50" s="184"/>
      <c r="W50" s="185"/>
      <c r="X50" s="186"/>
      <c r="Y50" s="111"/>
      <c r="Z50" s="111"/>
    </row>
    <row r="51" spans="1:26" ht="18" customHeight="1" x14ac:dyDescent="0.15">
      <c r="A51" s="29"/>
      <c r="B51" s="197" t="s">
        <v>206</v>
      </c>
      <c r="C51" s="198"/>
      <c r="D51" s="198"/>
      <c r="E51" s="198"/>
      <c r="F51" s="199"/>
      <c r="G51" s="111"/>
      <c r="H51" s="111"/>
      <c r="I51" s="184"/>
      <c r="J51" s="185"/>
      <c r="K51" s="186"/>
      <c r="L51" s="111"/>
      <c r="M51" s="111"/>
      <c r="N51" s="178"/>
      <c r="O51" s="179"/>
      <c r="P51" s="179"/>
      <c r="Q51" s="179"/>
      <c r="R51" s="179"/>
      <c r="S51" s="180"/>
      <c r="T51" s="111"/>
      <c r="U51" s="111"/>
      <c r="V51" s="184"/>
      <c r="W51" s="185"/>
      <c r="X51" s="186"/>
      <c r="Y51" s="111"/>
      <c r="Z51" s="111"/>
    </row>
    <row r="52" spans="1:26" ht="18" customHeight="1" x14ac:dyDescent="0.15">
      <c r="A52" s="29"/>
      <c r="B52" s="197" t="s">
        <v>207</v>
      </c>
      <c r="C52" s="198"/>
      <c r="D52" s="198"/>
      <c r="E52" s="198"/>
      <c r="F52" s="199"/>
      <c r="G52" s="111"/>
      <c r="H52" s="111"/>
      <c r="I52" s="184"/>
      <c r="J52" s="185"/>
      <c r="K52" s="186"/>
      <c r="L52" s="111"/>
      <c r="M52" s="111"/>
      <c r="N52" s="178"/>
      <c r="O52" s="179"/>
      <c r="P52" s="179"/>
      <c r="Q52" s="179"/>
      <c r="R52" s="179"/>
      <c r="S52" s="180"/>
      <c r="T52" s="111"/>
      <c r="U52" s="111"/>
      <c r="V52" s="184"/>
      <c r="W52" s="185"/>
      <c r="X52" s="186"/>
      <c r="Y52" s="111"/>
      <c r="Z52" s="111"/>
    </row>
    <row r="53" spans="1:26" ht="18" customHeight="1" x14ac:dyDescent="0.15">
      <c r="A53" s="29"/>
      <c r="B53" s="172"/>
      <c r="C53" s="173"/>
      <c r="D53" s="173"/>
      <c r="E53" s="173"/>
      <c r="F53" s="174"/>
      <c r="G53" s="111"/>
      <c r="H53" s="111"/>
      <c r="I53" s="184"/>
      <c r="J53" s="185"/>
      <c r="K53" s="186"/>
      <c r="L53" s="111"/>
      <c r="M53" s="111"/>
      <c r="N53" s="178"/>
      <c r="O53" s="179"/>
      <c r="P53" s="179"/>
      <c r="Q53" s="179"/>
      <c r="R53" s="179"/>
      <c r="S53" s="180"/>
      <c r="T53" s="111"/>
      <c r="U53" s="111"/>
      <c r="V53" s="184"/>
      <c r="W53" s="185"/>
      <c r="X53" s="186"/>
      <c r="Y53" s="111"/>
      <c r="Z53" s="111"/>
    </row>
    <row r="54" spans="1:26" ht="18" customHeight="1" x14ac:dyDescent="0.15">
      <c r="A54" s="29"/>
      <c r="B54" s="172"/>
      <c r="C54" s="173"/>
      <c r="D54" s="173"/>
      <c r="E54" s="173"/>
      <c r="F54" s="174"/>
      <c r="G54" s="111"/>
      <c r="H54" s="111"/>
      <c r="I54" s="184"/>
      <c r="J54" s="185"/>
      <c r="K54" s="186"/>
      <c r="L54" s="111"/>
      <c r="M54" s="111"/>
      <c r="N54" s="178"/>
      <c r="O54" s="179"/>
      <c r="P54" s="179"/>
      <c r="Q54" s="179"/>
      <c r="R54" s="179"/>
      <c r="S54" s="180"/>
      <c r="T54" s="111"/>
      <c r="U54" s="111"/>
      <c r="V54" s="184"/>
      <c r="W54" s="185"/>
      <c r="X54" s="186"/>
      <c r="Y54" s="111"/>
      <c r="Z54" s="111"/>
    </row>
    <row r="55" spans="1:26" ht="18" customHeight="1" x14ac:dyDescent="0.15">
      <c r="A55" s="29"/>
      <c r="B55" s="175"/>
      <c r="C55" s="176"/>
      <c r="D55" s="176"/>
      <c r="E55" s="176"/>
      <c r="F55" s="177"/>
      <c r="G55" s="112"/>
      <c r="H55" s="112"/>
      <c r="I55" s="187"/>
      <c r="J55" s="188"/>
      <c r="K55" s="189"/>
      <c r="L55" s="117"/>
      <c r="M55" s="117"/>
      <c r="N55" s="181"/>
      <c r="O55" s="182"/>
      <c r="P55" s="182"/>
      <c r="Q55" s="182"/>
      <c r="R55" s="182"/>
      <c r="S55" s="183"/>
      <c r="T55" s="112"/>
      <c r="U55" s="112"/>
      <c r="V55" s="187"/>
      <c r="W55" s="188"/>
      <c r="X55" s="189"/>
      <c r="Y55" s="117"/>
      <c r="Z55" s="117"/>
    </row>
    <row r="56" spans="1:26" ht="7.5" customHeight="1" x14ac:dyDescent="0.15">
      <c r="A56" s="14"/>
      <c r="B56" s="77"/>
      <c r="C56" s="77"/>
      <c r="D56" s="77"/>
      <c r="E56" s="77"/>
      <c r="F56" s="77"/>
      <c r="G56" s="77"/>
      <c r="H56" s="77"/>
      <c r="I56" s="77"/>
      <c r="J56" s="77"/>
      <c r="K56" s="77"/>
      <c r="L56" s="77"/>
      <c r="M56" s="77"/>
      <c r="N56" s="77"/>
      <c r="O56" s="77"/>
      <c r="P56" s="77"/>
      <c r="Q56" s="77"/>
      <c r="R56" s="77"/>
      <c r="S56" s="77"/>
      <c r="T56" s="77"/>
      <c r="U56" s="77"/>
      <c r="V56" s="77"/>
      <c r="W56" s="77"/>
      <c r="X56" s="77"/>
      <c r="Y56" s="77"/>
      <c r="Z56" s="14"/>
    </row>
    <row r="57" spans="1:26" ht="18" customHeight="1" x14ac:dyDescent="0.15">
      <c r="A57" s="230" t="s">
        <v>133</v>
      </c>
      <c r="B57" s="230"/>
      <c r="C57" s="230"/>
      <c r="D57" s="230"/>
      <c r="E57" s="230"/>
      <c r="F57" s="230"/>
      <c r="G57" s="230"/>
      <c r="H57" s="230"/>
      <c r="I57" s="230"/>
      <c r="J57" s="230"/>
      <c r="K57" s="230"/>
      <c r="L57" s="230"/>
      <c r="M57" s="230"/>
      <c r="N57" s="230"/>
      <c r="O57" s="230"/>
      <c r="P57" s="230"/>
      <c r="Q57" s="230"/>
      <c r="R57" s="230"/>
      <c r="S57" s="230"/>
      <c r="T57" s="230"/>
      <c r="U57" s="230"/>
      <c r="V57" s="230"/>
      <c r="W57" s="230"/>
      <c r="X57" s="230"/>
      <c r="Y57" s="230"/>
      <c r="Z57" s="230"/>
    </row>
    <row r="58" spans="1:26" ht="18" customHeight="1" x14ac:dyDescent="0.15">
      <c r="A58" s="230"/>
      <c r="B58" s="230"/>
      <c r="C58" s="230"/>
      <c r="D58" s="230"/>
      <c r="E58" s="230"/>
      <c r="F58" s="230"/>
      <c r="G58" s="230"/>
      <c r="H58" s="230"/>
      <c r="I58" s="230"/>
      <c r="J58" s="230"/>
      <c r="K58" s="230"/>
      <c r="L58" s="230"/>
      <c r="M58" s="230"/>
      <c r="N58" s="230"/>
      <c r="O58" s="230"/>
      <c r="P58" s="230"/>
      <c r="Q58" s="230"/>
      <c r="R58" s="230"/>
      <c r="S58" s="230"/>
      <c r="T58" s="230"/>
      <c r="U58" s="230"/>
      <c r="V58" s="230"/>
      <c r="W58" s="230"/>
      <c r="X58" s="230"/>
      <c r="Y58" s="230"/>
      <c r="Z58" s="230"/>
    </row>
    <row r="59" spans="1:26" ht="18" customHeight="1" x14ac:dyDescent="0.15">
      <c r="A59" s="14"/>
      <c r="B59" s="139" t="s">
        <v>99</v>
      </c>
      <c r="C59" s="140"/>
      <c r="D59" s="140"/>
      <c r="E59" s="141"/>
      <c r="F59" s="30" t="s">
        <v>141</v>
      </c>
      <c r="G59" s="109" t="s">
        <v>140</v>
      </c>
      <c r="H59" s="104" t="s">
        <v>100</v>
      </c>
      <c r="I59" s="105"/>
      <c r="J59" s="106"/>
      <c r="K59" s="75" t="s">
        <v>104</v>
      </c>
      <c r="L59" s="75" t="s">
        <v>134</v>
      </c>
      <c r="M59" s="75" t="s">
        <v>135</v>
      </c>
      <c r="N59" s="139" t="s">
        <v>99</v>
      </c>
      <c r="O59" s="140"/>
      <c r="P59" s="140"/>
      <c r="Q59" s="140"/>
      <c r="R59" s="141"/>
      <c r="S59" s="30" t="s">
        <v>141</v>
      </c>
      <c r="T59" s="109" t="s">
        <v>140</v>
      </c>
      <c r="U59" s="104" t="s">
        <v>100</v>
      </c>
      <c r="V59" s="105"/>
      <c r="W59" s="106"/>
      <c r="X59" s="75" t="s">
        <v>104</v>
      </c>
      <c r="Y59" s="75" t="s">
        <v>134</v>
      </c>
      <c r="Z59" s="75" t="s">
        <v>135</v>
      </c>
    </row>
    <row r="60" spans="1:26" ht="18" customHeight="1" x14ac:dyDescent="0.15">
      <c r="A60" s="29"/>
      <c r="B60" s="190" t="s">
        <v>181</v>
      </c>
      <c r="C60" s="191"/>
      <c r="D60" s="191"/>
      <c r="E60" s="192"/>
      <c r="F60" s="110">
        <v>2</v>
      </c>
      <c r="G60" s="110" t="s">
        <v>155</v>
      </c>
      <c r="H60" s="203" t="s">
        <v>156</v>
      </c>
      <c r="I60" s="204"/>
      <c r="J60" s="205"/>
      <c r="K60" s="121" t="s">
        <v>157</v>
      </c>
      <c r="L60" s="110" t="s">
        <v>155</v>
      </c>
      <c r="M60" s="110" t="s">
        <v>155</v>
      </c>
      <c r="N60" s="190"/>
      <c r="O60" s="191"/>
      <c r="P60" s="191"/>
      <c r="Q60" s="191"/>
      <c r="R60" s="192"/>
      <c r="S60" s="110"/>
      <c r="T60" s="110"/>
      <c r="U60" s="203"/>
      <c r="V60" s="204"/>
      <c r="W60" s="205"/>
      <c r="X60" s="121"/>
      <c r="Y60" s="110"/>
      <c r="Z60" s="110"/>
    </row>
    <row r="61" spans="1:26" ht="18" customHeight="1" x14ac:dyDescent="0.15">
      <c r="A61" s="29"/>
      <c r="B61" s="178" t="s">
        <v>183</v>
      </c>
      <c r="C61" s="179"/>
      <c r="D61" s="179"/>
      <c r="E61" s="180"/>
      <c r="F61" s="111">
        <v>4</v>
      </c>
      <c r="G61" s="111" t="s">
        <v>155</v>
      </c>
      <c r="H61" s="184" t="s">
        <v>156</v>
      </c>
      <c r="I61" s="185"/>
      <c r="J61" s="186"/>
      <c r="K61" s="111" t="s">
        <v>155</v>
      </c>
      <c r="L61" s="111" t="s">
        <v>155</v>
      </c>
      <c r="M61" s="111" t="s">
        <v>155</v>
      </c>
      <c r="N61" s="178"/>
      <c r="O61" s="179"/>
      <c r="P61" s="179"/>
      <c r="Q61" s="179"/>
      <c r="R61" s="180"/>
      <c r="S61" s="111"/>
      <c r="T61" s="111"/>
      <c r="U61" s="184"/>
      <c r="V61" s="185"/>
      <c r="W61" s="186"/>
      <c r="X61" s="120"/>
      <c r="Y61" s="111"/>
      <c r="Z61" s="111"/>
    </row>
    <row r="62" spans="1:26" ht="18" customHeight="1" x14ac:dyDescent="0.15">
      <c r="A62" s="29"/>
      <c r="B62" s="221" t="s">
        <v>208</v>
      </c>
      <c r="C62" s="222"/>
      <c r="D62" s="222"/>
      <c r="E62" s="223"/>
      <c r="F62" s="111"/>
      <c r="G62" s="111"/>
      <c r="H62" s="184"/>
      <c r="I62" s="185"/>
      <c r="J62" s="186"/>
      <c r="K62" s="120"/>
      <c r="L62" s="111"/>
      <c r="M62" s="111"/>
      <c r="N62" s="178"/>
      <c r="O62" s="179"/>
      <c r="P62" s="179"/>
      <c r="Q62" s="179"/>
      <c r="R62" s="180"/>
      <c r="S62" s="111"/>
      <c r="T62" s="111"/>
      <c r="U62" s="184"/>
      <c r="V62" s="185"/>
      <c r="W62" s="186"/>
      <c r="X62" s="120"/>
      <c r="Y62" s="111"/>
      <c r="Z62" s="111"/>
    </row>
    <row r="63" spans="1:26" ht="18" customHeight="1" x14ac:dyDescent="0.15">
      <c r="A63" s="29"/>
      <c r="B63" s="221" t="s">
        <v>209</v>
      </c>
      <c r="C63" s="222"/>
      <c r="D63" s="222"/>
      <c r="E63" s="223"/>
      <c r="F63" s="111"/>
      <c r="G63" s="111"/>
      <c r="H63" s="184"/>
      <c r="I63" s="185"/>
      <c r="J63" s="186"/>
      <c r="K63" s="120"/>
      <c r="L63" s="111"/>
      <c r="M63" s="111"/>
      <c r="N63" s="178"/>
      <c r="O63" s="179"/>
      <c r="P63" s="179"/>
      <c r="Q63" s="179"/>
      <c r="R63" s="180"/>
      <c r="S63" s="111"/>
      <c r="T63" s="111"/>
      <c r="U63" s="184"/>
      <c r="V63" s="185"/>
      <c r="W63" s="186"/>
      <c r="X63" s="120"/>
      <c r="Y63" s="111"/>
      <c r="Z63" s="111"/>
    </row>
    <row r="64" spans="1:26" ht="18" customHeight="1" x14ac:dyDescent="0.15">
      <c r="A64" s="29"/>
      <c r="B64" s="178"/>
      <c r="C64" s="179"/>
      <c r="D64" s="179"/>
      <c r="E64" s="180"/>
      <c r="F64" s="111"/>
      <c r="G64" s="111"/>
      <c r="H64" s="184"/>
      <c r="I64" s="185"/>
      <c r="J64" s="186"/>
      <c r="K64" s="120"/>
      <c r="L64" s="111"/>
      <c r="M64" s="111"/>
      <c r="N64" s="178"/>
      <c r="O64" s="179"/>
      <c r="P64" s="179"/>
      <c r="Q64" s="179"/>
      <c r="R64" s="180"/>
      <c r="S64" s="111"/>
      <c r="T64" s="111"/>
      <c r="U64" s="184"/>
      <c r="V64" s="185"/>
      <c r="W64" s="186"/>
      <c r="X64" s="120"/>
      <c r="Y64" s="111"/>
      <c r="Z64" s="111"/>
    </row>
    <row r="65" spans="1:26" ht="18" customHeight="1" x14ac:dyDescent="0.15">
      <c r="A65" s="29"/>
      <c r="B65" s="178"/>
      <c r="C65" s="179"/>
      <c r="D65" s="179"/>
      <c r="E65" s="180"/>
      <c r="F65" s="111"/>
      <c r="G65" s="111"/>
      <c r="H65" s="184"/>
      <c r="I65" s="185"/>
      <c r="J65" s="186"/>
      <c r="K65" s="115"/>
      <c r="L65" s="111"/>
      <c r="M65" s="111"/>
      <c r="N65" s="178"/>
      <c r="O65" s="179"/>
      <c r="P65" s="179"/>
      <c r="Q65" s="179"/>
      <c r="R65" s="180"/>
      <c r="S65" s="111"/>
      <c r="T65" s="111"/>
      <c r="U65" s="184"/>
      <c r="V65" s="185"/>
      <c r="W65" s="186"/>
      <c r="X65" s="115"/>
      <c r="Y65" s="111"/>
      <c r="Z65" s="111"/>
    </row>
    <row r="66" spans="1:26" ht="18" customHeight="1" x14ac:dyDescent="0.15">
      <c r="A66" s="29"/>
      <c r="B66" s="181"/>
      <c r="C66" s="182"/>
      <c r="D66" s="182"/>
      <c r="E66" s="183"/>
      <c r="F66" s="112"/>
      <c r="G66" s="112"/>
      <c r="H66" s="187"/>
      <c r="I66" s="188"/>
      <c r="J66" s="189"/>
      <c r="K66" s="116"/>
      <c r="L66" s="117"/>
      <c r="M66" s="117"/>
      <c r="N66" s="181"/>
      <c r="O66" s="182"/>
      <c r="P66" s="182"/>
      <c r="Q66" s="182"/>
      <c r="R66" s="183"/>
      <c r="S66" s="112"/>
      <c r="T66" s="112"/>
      <c r="U66" s="187"/>
      <c r="V66" s="188"/>
      <c r="W66" s="189"/>
      <c r="X66" s="116"/>
      <c r="Y66" s="117"/>
      <c r="Z66" s="117"/>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39" t="s">
        <v>99</v>
      </c>
      <c r="C69" s="140"/>
      <c r="D69" s="140"/>
      <c r="E69" s="140"/>
      <c r="F69" s="141"/>
      <c r="G69" s="139" t="s">
        <v>146</v>
      </c>
      <c r="H69" s="140"/>
      <c r="I69" s="140"/>
      <c r="J69" s="140"/>
      <c r="K69" s="140"/>
      <c r="L69" s="140"/>
      <c r="M69" s="141"/>
      <c r="N69" s="200" t="s">
        <v>99</v>
      </c>
      <c r="O69" s="201"/>
      <c r="P69" s="201"/>
      <c r="Q69" s="201"/>
      <c r="R69" s="201"/>
      <c r="S69" s="202"/>
      <c r="T69" s="139" t="s">
        <v>146</v>
      </c>
      <c r="U69" s="140"/>
      <c r="V69" s="140"/>
      <c r="W69" s="140"/>
      <c r="X69" s="140"/>
      <c r="Y69" s="140"/>
      <c r="Z69" s="141"/>
    </row>
    <row r="70" spans="1:26" ht="18" customHeight="1" x14ac:dyDescent="0.15">
      <c r="A70" s="29"/>
      <c r="B70" s="190" t="s">
        <v>184</v>
      </c>
      <c r="C70" s="191"/>
      <c r="D70" s="191"/>
      <c r="E70" s="191"/>
      <c r="F70" s="192"/>
      <c r="G70" s="245" t="s">
        <v>158</v>
      </c>
      <c r="H70" s="246"/>
      <c r="I70" s="246"/>
      <c r="J70" s="246"/>
      <c r="K70" s="246"/>
      <c r="L70" s="246"/>
      <c r="M70" s="247"/>
      <c r="N70" s="190"/>
      <c r="O70" s="191"/>
      <c r="P70" s="191"/>
      <c r="Q70" s="191"/>
      <c r="R70" s="191"/>
      <c r="S70" s="192"/>
      <c r="T70" s="245"/>
      <c r="U70" s="246"/>
      <c r="V70" s="246"/>
      <c r="W70" s="246"/>
      <c r="X70" s="246"/>
      <c r="Y70" s="246"/>
      <c r="Z70" s="247"/>
    </row>
    <row r="71" spans="1:26" ht="18" customHeight="1" x14ac:dyDescent="0.15">
      <c r="A71" s="29"/>
      <c r="B71" s="178" t="s">
        <v>185</v>
      </c>
      <c r="C71" s="179"/>
      <c r="D71" s="179"/>
      <c r="E71" s="179"/>
      <c r="F71" s="180"/>
      <c r="G71" s="218" t="s">
        <v>159</v>
      </c>
      <c r="H71" s="219"/>
      <c r="I71" s="219"/>
      <c r="J71" s="219"/>
      <c r="K71" s="219"/>
      <c r="L71" s="219"/>
      <c r="M71" s="220"/>
      <c r="N71" s="178"/>
      <c r="O71" s="179"/>
      <c r="P71" s="179"/>
      <c r="Q71" s="179"/>
      <c r="R71" s="179"/>
      <c r="S71" s="180"/>
      <c r="T71" s="218"/>
      <c r="U71" s="219"/>
      <c r="V71" s="219"/>
      <c r="W71" s="219"/>
      <c r="X71" s="219"/>
      <c r="Y71" s="219"/>
      <c r="Z71" s="220"/>
    </row>
    <row r="72" spans="1:26" ht="18" customHeight="1" x14ac:dyDescent="0.15">
      <c r="A72" s="29"/>
      <c r="B72" s="178"/>
      <c r="C72" s="179"/>
      <c r="D72" s="179"/>
      <c r="E72" s="179"/>
      <c r="F72" s="180"/>
      <c r="G72" s="218"/>
      <c r="H72" s="219"/>
      <c r="I72" s="219"/>
      <c r="J72" s="219"/>
      <c r="K72" s="219"/>
      <c r="L72" s="219"/>
      <c r="M72" s="220"/>
      <c r="N72" s="178"/>
      <c r="O72" s="179"/>
      <c r="P72" s="179"/>
      <c r="Q72" s="179"/>
      <c r="R72" s="179"/>
      <c r="S72" s="180"/>
      <c r="T72" s="218"/>
      <c r="U72" s="219"/>
      <c r="V72" s="219"/>
      <c r="W72" s="219"/>
      <c r="X72" s="219"/>
      <c r="Y72" s="219"/>
      <c r="Z72" s="220"/>
    </row>
    <row r="73" spans="1:26" ht="18" customHeight="1" x14ac:dyDescent="0.15">
      <c r="A73" s="29"/>
      <c r="B73" s="178"/>
      <c r="C73" s="179"/>
      <c r="D73" s="179"/>
      <c r="E73" s="179"/>
      <c r="F73" s="180"/>
      <c r="G73" s="218"/>
      <c r="H73" s="219"/>
      <c r="I73" s="219"/>
      <c r="J73" s="219"/>
      <c r="K73" s="219"/>
      <c r="L73" s="219"/>
      <c r="M73" s="220"/>
      <c r="N73" s="178"/>
      <c r="O73" s="179"/>
      <c r="P73" s="179"/>
      <c r="Q73" s="179"/>
      <c r="R73" s="179"/>
      <c r="S73" s="180"/>
      <c r="T73" s="218"/>
      <c r="U73" s="219"/>
      <c r="V73" s="219"/>
      <c r="W73" s="219"/>
      <c r="X73" s="219"/>
      <c r="Y73" s="219"/>
      <c r="Z73" s="220"/>
    </row>
    <row r="74" spans="1:26" ht="18" customHeight="1" x14ac:dyDescent="0.15">
      <c r="A74" s="29"/>
      <c r="B74" s="178"/>
      <c r="C74" s="179"/>
      <c r="D74" s="179"/>
      <c r="E74" s="179"/>
      <c r="F74" s="180"/>
      <c r="G74" s="218"/>
      <c r="H74" s="219"/>
      <c r="I74" s="219"/>
      <c r="J74" s="219"/>
      <c r="K74" s="219"/>
      <c r="L74" s="219"/>
      <c r="M74" s="220"/>
      <c r="N74" s="178"/>
      <c r="O74" s="179"/>
      <c r="P74" s="179"/>
      <c r="Q74" s="179"/>
      <c r="R74" s="179"/>
      <c r="S74" s="180"/>
      <c r="T74" s="218"/>
      <c r="U74" s="219"/>
      <c r="V74" s="219"/>
      <c r="W74" s="219"/>
      <c r="X74" s="219"/>
      <c r="Y74" s="219"/>
      <c r="Z74" s="220"/>
    </row>
    <row r="75" spans="1:26" ht="18" customHeight="1" x14ac:dyDescent="0.15">
      <c r="A75" s="29"/>
      <c r="B75" s="178"/>
      <c r="C75" s="179"/>
      <c r="D75" s="179"/>
      <c r="E75" s="179"/>
      <c r="F75" s="180"/>
      <c r="G75" s="218"/>
      <c r="H75" s="219"/>
      <c r="I75" s="219"/>
      <c r="J75" s="219"/>
      <c r="K75" s="219"/>
      <c r="L75" s="219"/>
      <c r="M75" s="220"/>
      <c r="N75" s="178"/>
      <c r="O75" s="179"/>
      <c r="P75" s="179"/>
      <c r="Q75" s="179"/>
      <c r="R75" s="179"/>
      <c r="S75" s="180"/>
      <c r="T75" s="218"/>
      <c r="U75" s="219"/>
      <c r="V75" s="219"/>
      <c r="W75" s="219"/>
      <c r="X75" s="219"/>
      <c r="Y75" s="219"/>
      <c r="Z75" s="220"/>
    </row>
    <row r="76" spans="1:26" ht="18" customHeight="1" x14ac:dyDescent="0.15">
      <c r="A76" s="29"/>
      <c r="B76" s="181"/>
      <c r="C76" s="182"/>
      <c r="D76" s="182"/>
      <c r="E76" s="182"/>
      <c r="F76" s="183"/>
      <c r="G76" s="215"/>
      <c r="H76" s="216"/>
      <c r="I76" s="216"/>
      <c r="J76" s="216"/>
      <c r="K76" s="216"/>
      <c r="L76" s="216"/>
      <c r="M76" s="217"/>
      <c r="N76" s="181"/>
      <c r="O76" s="182"/>
      <c r="P76" s="182"/>
      <c r="Q76" s="182"/>
      <c r="R76" s="182"/>
      <c r="S76" s="183"/>
      <c r="T76" s="215"/>
      <c r="U76" s="216"/>
      <c r="V76" s="216"/>
      <c r="W76" s="216"/>
      <c r="X76" s="216"/>
      <c r="Y76" s="216"/>
      <c r="Z76" s="217"/>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142</v>
      </c>
    </row>
    <row r="79" spans="1:26" ht="18.75" customHeight="1" x14ac:dyDescent="0.15">
      <c r="B79" s="78" t="s">
        <v>101</v>
      </c>
      <c r="C79" s="79"/>
      <c r="D79" s="256" t="s">
        <v>102</v>
      </c>
      <c r="E79" s="256"/>
      <c r="F79" s="256"/>
      <c r="G79" s="256"/>
      <c r="H79" s="256"/>
      <c r="I79" s="256"/>
      <c r="J79" s="256"/>
      <c r="K79" s="256"/>
      <c r="L79" s="256"/>
      <c r="M79" s="256"/>
      <c r="N79" s="256"/>
      <c r="O79" s="256"/>
      <c r="P79" s="256"/>
      <c r="Q79" s="256"/>
      <c r="R79" s="256"/>
      <c r="S79" s="256"/>
      <c r="T79" s="256"/>
      <c r="U79" s="256"/>
      <c r="V79" s="256"/>
      <c r="W79" s="256"/>
      <c r="X79" s="256"/>
      <c r="Y79" s="256"/>
      <c r="Z79" s="257"/>
    </row>
    <row r="80" spans="1:26" ht="78" customHeight="1" x14ac:dyDescent="0.15">
      <c r="B80" s="250" t="s">
        <v>108</v>
      </c>
      <c r="C80" s="85" t="s">
        <v>103</v>
      </c>
      <c r="D80" s="224" t="s">
        <v>170</v>
      </c>
      <c r="E80" s="225"/>
      <c r="F80" s="225"/>
      <c r="G80" s="225"/>
      <c r="H80" s="225"/>
      <c r="I80" s="225"/>
      <c r="J80" s="225"/>
      <c r="K80" s="225"/>
      <c r="L80" s="225"/>
      <c r="M80" s="225"/>
      <c r="N80" s="225"/>
      <c r="O80" s="225"/>
      <c r="P80" s="225"/>
      <c r="Q80" s="225"/>
      <c r="R80" s="225"/>
      <c r="S80" s="225"/>
      <c r="T80" s="225"/>
      <c r="U80" s="225"/>
      <c r="V80" s="225"/>
      <c r="W80" s="225"/>
      <c r="X80" s="225"/>
      <c r="Y80" s="225"/>
      <c r="Z80" s="226"/>
    </row>
    <row r="81" spans="1:26" ht="78" customHeight="1" x14ac:dyDescent="0.15">
      <c r="B81" s="251"/>
      <c r="C81" s="107" t="s">
        <v>137</v>
      </c>
      <c r="D81" s="224" t="s">
        <v>171</v>
      </c>
      <c r="E81" s="225"/>
      <c r="F81" s="225"/>
      <c r="G81" s="225"/>
      <c r="H81" s="225"/>
      <c r="I81" s="225"/>
      <c r="J81" s="225"/>
      <c r="K81" s="225"/>
      <c r="L81" s="225"/>
      <c r="M81" s="225"/>
      <c r="N81" s="225"/>
      <c r="O81" s="225"/>
      <c r="P81" s="225"/>
      <c r="Q81" s="225"/>
      <c r="R81" s="225"/>
      <c r="S81" s="225"/>
      <c r="T81" s="225"/>
      <c r="U81" s="225"/>
      <c r="V81" s="225"/>
      <c r="W81" s="225"/>
      <c r="X81" s="225"/>
      <c r="Y81" s="225"/>
      <c r="Z81" s="226"/>
    </row>
    <row r="82" spans="1:26" ht="78" customHeight="1" x14ac:dyDescent="0.15">
      <c r="B82" s="248" t="s">
        <v>109</v>
      </c>
      <c r="C82" s="80" t="s">
        <v>127</v>
      </c>
      <c r="D82" s="224" t="s">
        <v>172</v>
      </c>
      <c r="E82" s="225"/>
      <c r="F82" s="225"/>
      <c r="G82" s="225"/>
      <c r="H82" s="225"/>
      <c r="I82" s="225"/>
      <c r="J82" s="225"/>
      <c r="K82" s="225"/>
      <c r="L82" s="225"/>
      <c r="M82" s="225"/>
      <c r="N82" s="225"/>
      <c r="O82" s="225"/>
      <c r="P82" s="225"/>
      <c r="Q82" s="225"/>
      <c r="R82" s="225"/>
      <c r="S82" s="225"/>
      <c r="T82" s="225"/>
      <c r="U82" s="225"/>
      <c r="V82" s="225"/>
      <c r="W82" s="225"/>
      <c r="X82" s="225"/>
      <c r="Y82" s="225"/>
      <c r="Z82" s="226"/>
    </row>
    <row r="83" spans="1:26" ht="78" customHeight="1" x14ac:dyDescent="0.15">
      <c r="B83" s="249"/>
      <c r="C83" s="108" t="s">
        <v>128</v>
      </c>
      <c r="D83" s="224" t="s">
        <v>173</v>
      </c>
      <c r="E83" s="225"/>
      <c r="F83" s="225"/>
      <c r="G83" s="225"/>
      <c r="H83" s="225"/>
      <c r="I83" s="225"/>
      <c r="J83" s="225"/>
      <c r="K83" s="225"/>
      <c r="L83" s="225"/>
      <c r="M83" s="225"/>
      <c r="N83" s="225"/>
      <c r="O83" s="225"/>
      <c r="P83" s="225"/>
      <c r="Q83" s="225"/>
      <c r="R83" s="225"/>
      <c r="S83" s="225"/>
      <c r="T83" s="225"/>
      <c r="U83" s="225"/>
      <c r="V83" s="225"/>
      <c r="W83" s="225"/>
      <c r="X83" s="225"/>
      <c r="Y83" s="225"/>
      <c r="Z83" s="226"/>
    </row>
    <row r="84" spans="1:26" ht="66" customHeight="1" x14ac:dyDescent="0.15">
      <c r="B84" s="248" t="s">
        <v>110</v>
      </c>
      <c r="C84" s="80" t="s">
        <v>130</v>
      </c>
      <c r="D84" s="228" t="s">
        <v>203</v>
      </c>
      <c r="E84" s="228"/>
      <c r="F84" s="228"/>
      <c r="G84" s="228"/>
      <c r="H84" s="228"/>
      <c r="I84" s="228"/>
      <c r="J84" s="228"/>
      <c r="K84" s="228"/>
      <c r="L84" s="228"/>
      <c r="M84" s="228"/>
      <c r="N84" s="228"/>
      <c r="O84" s="228"/>
      <c r="P84" s="228"/>
      <c r="Q84" s="228"/>
      <c r="R84" s="228"/>
      <c r="S84" s="228"/>
      <c r="T84" s="228"/>
      <c r="U84" s="228"/>
      <c r="V84" s="228"/>
      <c r="W84" s="228"/>
      <c r="X84" s="228"/>
      <c r="Y84" s="228"/>
      <c r="Z84" s="229"/>
    </row>
    <row r="85" spans="1:26" ht="66" customHeight="1" x14ac:dyDescent="0.15">
      <c r="B85" s="249"/>
      <c r="C85" s="82" t="s">
        <v>131</v>
      </c>
      <c r="D85" s="227" t="s">
        <v>174</v>
      </c>
      <c r="E85" s="225"/>
      <c r="F85" s="225"/>
      <c r="G85" s="225"/>
      <c r="H85" s="225"/>
      <c r="I85" s="225"/>
      <c r="J85" s="225"/>
      <c r="K85" s="225"/>
      <c r="L85" s="225"/>
      <c r="M85" s="225"/>
      <c r="N85" s="225"/>
      <c r="O85" s="225"/>
      <c r="P85" s="225"/>
      <c r="Q85" s="225"/>
      <c r="R85" s="225"/>
      <c r="S85" s="225"/>
      <c r="T85" s="225"/>
      <c r="U85" s="225"/>
      <c r="V85" s="225"/>
      <c r="W85" s="225"/>
      <c r="X85" s="225"/>
      <c r="Y85" s="225"/>
      <c r="Z85" s="226"/>
    </row>
    <row r="86" spans="1:26" ht="66" customHeight="1" x14ac:dyDescent="0.15">
      <c r="B86" s="250" t="s">
        <v>138</v>
      </c>
      <c r="C86" s="85" t="s">
        <v>105</v>
      </c>
      <c r="D86" s="227" t="s">
        <v>197</v>
      </c>
      <c r="E86" s="225"/>
      <c r="F86" s="225"/>
      <c r="G86" s="225"/>
      <c r="H86" s="225"/>
      <c r="I86" s="225"/>
      <c r="J86" s="225"/>
      <c r="K86" s="225"/>
      <c r="L86" s="225"/>
      <c r="M86" s="225"/>
      <c r="N86" s="225"/>
      <c r="O86" s="225"/>
      <c r="P86" s="225"/>
      <c r="Q86" s="225"/>
      <c r="R86" s="225"/>
      <c r="S86" s="225"/>
      <c r="T86" s="225"/>
      <c r="U86" s="225"/>
      <c r="V86" s="225"/>
      <c r="W86" s="225"/>
      <c r="X86" s="225"/>
      <c r="Y86" s="225"/>
      <c r="Z86" s="226"/>
    </row>
    <row r="87" spans="1:26" ht="66" customHeight="1" x14ac:dyDescent="0.15">
      <c r="B87" s="255"/>
      <c r="C87" s="81" t="s">
        <v>107</v>
      </c>
      <c r="D87" s="227" t="s">
        <v>198</v>
      </c>
      <c r="E87" s="225"/>
      <c r="F87" s="225"/>
      <c r="G87" s="225"/>
      <c r="H87" s="225"/>
      <c r="I87" s="225"/>
      <c r="J87" s="225"/>
      <c r="K87" s="225"/>
      <c r="L87" s="225"/>
      <c r="M87" s="225"/>
      <c r="N87" s="225"/>
      <c r="O87" s="225"/>
      <c r="P87" s="225"/>
      <c r="Q87" s="225"/>
      <c r="R87" s="225"/>
      <c r="S87" s="225"/>
      <c r="T87" s="225"/>
      <c r="U87" s="225"/>
      <c r="V87" s="225"/>
      <c r="W87" s="225"/>
      <c r="X87" s="225"/>
      <c r="Y87" s="225"/>
      <c r="Z87" s="226"/>
    </row>
    <row r="88" spans="1:26" ht="66" customHeight="1" x14ac:dyDescent="0.15">
      <c r="B88" s="250" t="s">
        <v>139</v>
      </c>
      <c r="C88" s="80" t="s">
        <v>104</v>
      </c>
      <c r="D88" s="227" t="s">
        <v>199</v>
      </c>
      <c r="E88" s="225"/>
      <c r="F88" s="225"/>
      <c r="G88" s="225"/>
      <c r="H88" s="225"/>
      <c r="I88" s="225"/>
      <c r="J88" s="225"/>
      <c r="K88" s="225"/>
      <c r="L88" s="225"/>
      <c r="M88" s="225"/>
      <c r="N88" s="225"/>
      <c r="O88" s="225"/>
      <c r="P88" s="225"/>
      <c r="Q88" s="225"/>
      <c r="R88" s="225"/>
      <c r="S88" s="225"/>
      <c r="T88" s="225"/>
      <c r="U88" s="225"/>
      <c r="V88" s="225"/>
      <c r="W88" s="225"/>
      <c r="X88" s="225"/>
      <c r="Y88" s="225"/>
      <c r="Z88" s="226"/>
    </row>
    <row r="89" spans="1:26" ht="66" customHeight="1" x14ac:dyDescent="0.15">
      <c r="B89" s="251"/>
      <c r="C89" s="81" t="s">
        <v>134</v>
      </c>
      <c r="D89" s="227" t="s">
        <v>200</v>
      </c>
      <c r="E89" s="225"/>
      <c r="F89" s="225"/>
      <c r="G89" s="225"/>
      <c r="H89" s="225"/>
      <c r="I89" s="225"/>
      <c r="J89" s="225"/>
      <c r="K89" s="225"/>
      <c r="L89" s="225"/>
      <c r="M89" s="225"/>
      <c r="N89" s="225"/>
      <c r="O89" s="225"/>
      <c r="P89" s="225"/>
      <c r="Q89" s="225"/>
      <c r="R89" s="225"/>
      <c r="S89" s="225"/>
      <c r="T89" s="225"/>
      <c r="U89" s="225"/>
      <c r="V89" s="225"/>
      <c r="W89" s="225"/>
      <c r="X89" s="225"/>
      <c r="Y89" s="225"/>
      <c r="Z89" s="226"/>
    </row>
    <row r="90" spans="1:26" ht="66" customHeight="1" x14ac:dyDescent="0.15">
      <c r="B90" s="249"/>
      <c r="C90" s="82" t="s">
        <v>135</v>
      </c>
      <c r="D90" s="252" t="s">
        <v>201</v>
      </c>
      <c r="E90" s="253"/>
      <c r="F90" s="253"/>
      <c r="G90" s="253"/>
      <c r="H90" s="253"/>
      <c r="I90" s="253"/>
      <c r="J90" s="253"/>
      <c r="K90" s="253"/>
      <c r="L90" s="253"/>
      <c r="M90" s="253"/>
      <c r="N90" s="253"/>
      <c r="O90" s="253"/>
      <c r="P90" s="253"/>
      <c r="Q90" s="253"/>
      <c r="R90" s="253"/>
      <c r="S90" s="253"/>
      <c r="T90" s="253"/>
      <c r="U90" s="253"/>
      <c r="V90" s="253"/>
      <c r="W90" s="253"/>
      <c r="X90" s="253"/>
      <c r="Y90" s="253"/>
      <c r="Z90" s="254"/>
    </row>
    <row r="91" spans="1:26" ht="6" customHeight="1" x14ac:dyDescent="0.15"/>
    <row r="92" spans="1:26" ht="18.75" customHeight="1" x14ac:dyDescent="0.15">
      <c r="A92" s="13" t="s">
        <v>143</v>
      </c>
    </row>
    <row r="93" spans="1:26" ht="18.75" customHeight="1" x14ac:dyDescent="0.15">
      <c r="B93" s="206" t="s">
        <v>160</v>
      </c>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8"/>
    </row>
    <row r="94" spans="1:26" ht="18.75" customHeight="1" x14ac:dyDescent="0.15">
      <c r="B94" s="209"/>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1"/>
    </row>
    <row r="95" spans="1:26" ht="18.75" customHeight="1" x14ac:dyDescent="0.15">
      <c r="B95" s="212"/>
      <c r="C95" s="213"/>
      <c r="D95" s="213"/>
      <c r="E95" s="213"/>
      <c r="F95" s="213"/>
      <c r="G95" s="213"/>
      <c r="H95" s="213"/>
      <c r="I95" s="213"/>
      <c r="J95" s="213"/>
      <c r="K95" s="213"/>
      <c r="L95" s="213"/>
      <c r="M95" s="213"/>
      <c r="N95" s="213"/>
      <c r="O95" s="213"/>
      <c r="P95" s="213"/>
      <c r="Q95" s="213"/>
      <c r="R95" s="213"/>
      <c r="S95" s="213"/>
      <c r="T95" s="213"/>
      <c r="U95" s="213"/>
      <c r="V95" s="213"/>
      <c r="W95" s="213"/>
      <c r="X95" s="213"/>
      <c r="Y95" s="213"/>
      <c r="Z95" s="214"/>
    </row>
    <row r="96" spans="1:26" ht="6" customHeight="1" x14ac:dyDescent="0.15"/>
    <row r="97" spans="1:26" ht="15" customHeight="1" x14ac:dyDescent="0.15">
      <c r="A97" s="13" t="s">
        <v>144</v>
      </c>
    </row>
    <row r="98" spans="1:26" ht="15" customHeight="1" x14ac:dyDescent="0.15">
      <c r="B98" s="242" t="s">
        <v>205</v>
      </c>
      <c r="C98" s="243"/>
      <c r="D98" s="243"/>
      <c r="E98" s="243"/>
      <c r="F98" s="243"/>
      <c r="G98" s="243"/>
      <c r="H98" s="243"/>
      <c r="I98" s="243"/>
      <c r="J98" s="243"/>
      <c r="K98" s="243"/>
      <c r="L98" s="243"/>
      <c r="M98" s="243"/>
      <c r="N98" s="243"/>
      <c r="O98" s="243"/>
      <c r="P98" s="243"/>
      <c r="Q98" s="243"/>
      <c r="R98" s="243"/>
      <c r="S98" s="243"/>
      <c r="T98" s="243"/>
      <c r="U98" s="243"/>
      <c r="V98" s="243"/>
      <c r="W98" s="243"/>
      <c r="X98" s="243"/>
      <c r="Y98" s="243"/>
      <c r="Z98" s="244"/>
    </row>
  </sheetData>
  <mergeCells count="218">
    <mergeCell ref="B98:Z9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U64:W64"/>
    <mergeCell ref="U65:W65"/>
    <mergeCell ref="U66:W66"/>
    <mergeCell ref="I29:K29"/>
    <mergeCell ref="I30:K30"/>
    <mergeCell ref="V29:X29"/>
    <mergeCell ref="V30:X30"/>
    <mergeCell ref="I40:K40"/>
    <mergeCell ref="I41:K41"/>
    <mergeCell ref="V40:X40"/>
    <mergeCell ref="A35:Z36"/>
    <mergeCell ref="V41:X41"/>
    <mergeCell ref="U63:W63"/>
    <mergeCell ref="V48:X48"/>
    <mergeCell ref="I49:K49"/>
    <mergeCell ref="V49:X49"/>
    <mergeCell ref="I51:K51"/>
    <mergeCell ref="V51:X51"/>
    <mergeCell ref="I52:K52"/>
    <mergeCell ref="V52:X52"/>
    <mergeCell ref="V55:X55"/>
    <mergeCell ref="A57:Z58"/>
    <mergeCell ref="I53:K53"/>
    <mergeCell ref="V53:X53"/>
    <mergeCell ref="V26:X26"/>
    <mergeCell ref="V27:X27"/>
    <mergeCell ref="V28:X28"/>
    <mergeCell ref="I26:K26"/>
    <mergeCell ref="I27:K27"/>
    <mergeCell ref="I28:K28"/>
    <mergeCell ref="B26:F26"/>
    <mergeCell ref="B27:F27"/>
    <mergeCell ref="B28:F28"/>
    <mergeCell ref="V54:X54"/>
    <mergeCell ref="I55:K55"/>
    <mergeCell ref="B51:F51"/>
    <mergeCell ref="B52:F52"/>
    <mergeCell ref="U60:W60"/>
    <mergeCell ref="U61:W61"/>
    <mergeCell ref="V43:X43"/>
    <mergeCell ref="I44:K44"/>
    <mergeCell ref="V44:X44"/>
    <mergeCell ref="I50:K50"/>
    <mergeCell ref="B48:F48"/>
    <mergeCell ref="B49:F49"/>
    <mergeCell ref="B50:F50"/>
    <mergeCell ref="N49:S49"/>
    <mergeCell ref="N50:S50"/>
    <mergeCell ref="N51:S51"/>
    <mergeCell ref="N52:S52"/>
    <mergeCell ref="N53:S53"/>
    <mergeCell ref="N54:S54"/>
    <mergeCell ref="N55:S55"/>
    <mergeCell ref="B59:E59"/>
    <mergeCell ref="N59:R59"/>
    <mergeCell ref="B53:F53"/>
    <mergeCell ref="V31:X31"/>
    <mergeCell ref="I31:K31"/>
    <mergeCell ref="I32:K32"/>
    <mergeCell ref="I33:K33"/>
    <mergeCell ref="H62:J62"/>
    <mergeCell ref="U62:W62"/>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50:X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D81:Z81"/>
    <mergeCell ref="D82:Z82"/>
    <mergeCell ref="D85:Z85"/>
    <mergeCell ref="D83:Z83"/>
    <mergeCell ref="D84:Z84"/>
    <mergeCell ref="B75:F75"/>
    <mergeCell ref="G75:M75"/>
    <mergeCell ref="N75:S75"/>
    <mergeCell ref="T75:Z75"/>
    <mergeCell ref="B76:F76"/>
    <mergeCell ref="G76:M76"/>
    <mergeCell ref="N76:S76"/>
    <mergeCell ref="D80:Z80"/>
    <mergeCell ref="B69:F69"/>
    <mergeCell ref="G69:M69"/>
    <mergeCell ref="N69:S69"/>
    <mergeCell ref="H60:J60"/>
    <mergeCell ref="H61:J61"/>
    <mergeCell ref="B93:Z95"/>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N60:R60"/>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54:F54"/>
    <mergeCell ref="B55:F55"/>
    <mergeCell ref="N61:R61"/>
    <mergeCell ref="N62:R62"/>
    <mergeCell ref="N63:R63"/>
    <mergeCell ref="N64:R64"/>
    <mergeCell ref="N65:R65"/>
    <mergeCell ref="N66:R66"/>
    <mergeCell ref="H64:J64"/>
    <mergeCell ref="H65:J65"/>
    <mergeCell ref="H66:J66"/>
    <mergeCell ref="H63:J63"/>
    <mergeCell ref="I54:K54"/>
  </mergeCells>
  <phoneticPr fontId="1"/>
  <dataValidations count="4">
    <dataValidation type="list" allowBlank="1" showInputMessage="1" showErrorMessage="1" sqref="Y16:Z22 L16:M22 Y27:Z33 H27:H33 H38:H44 Y38:Z44 H49:H55 Y49:Z55 Y60:Z66 H16:H22 U16:U22 T60:T66 U27:U33 L27:M33 U38:U44 L38:M44 U49:U55 L49:M55 G60:G66 M60:M66 L60 L62:L66 K61:L61" xr:uid="{4C0986EB-3601-4249-85F7-B678A400A117}">
      <formula1>"○"</formula1>
    </dataValidation>
    <dataValidation type="list" allowBlank="1" showInputMessage="1" showErrorMessage="1" sqref="Z23 Z34 D34:K34 D23:K23 V16:V22 I16:I22 V27:V33 I49:I55 V38:V44 I27:I33 V49:V55 I38:I44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62E73CA7-2430-4FD9-9429-307856128199}"/>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N22" sqref="N22"/>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8" t="s">
        <v>63</v>
      </c>
      <c r="G1" s="258"/>
      <c r="H1" s="258"/>
      <c r="I1" s="258"/>
      <c r="J1" s="258"/>
      <c r="K1" s="258"/>
      <c r="L1" s="258"/>
      <c r="M1" s="258"/>
      <c r="N1" s="258"/>
      <c r="O1" s="258"/>
      <c r="P1" s="258"/>
      <c r="Q1" s="258"/>
      <c r="R1" s="258"/>
    </row>
    <row r="2" spans="1:20" ht="18" customHeight="1" x14ac:dyDescent="0.15">
      <c r="A2" s="259" t="s">
        <v>88</v>
      </c>
      <c r="B2" s="259"/>
      <c r="C2" s="259"/>
      <c r="D2" s="259"/>
      <c r="E2" s="259"/>
      <c r="F2" s="259"/>
      <c r="G2" s="259"/>
      <c r="H2" s="259"/>
      <c r="I2" s="259"/>
      <c r="J2" s="259"/>
      <c r="K2" s="259"/>
      <c r="L2" s="259"/>
      <c r="M2" s="259"/>
      <c r="N2" s="259"/>
      <c r="O2" s="259"/>
      <c r="P2" s="259"/>
      <c r="Q2" s="259"/>
      <c r="R2" s="259"/>
      <c r="S2" s="4"/>
    </row>
    <row r="3" spans="1:20" ht="7.5" customHeight="1" x14ac:dyDescent="0.15">
      <c r="A3" s="38"/>
      <c r="B3" s="29"/>
      <c r="C3" s="29"/>
      <c r="D3" s="29"/>
      <c r="E3" s="29"/>
      <c r="F3" s="29"/>
      <c r="G3" s="29"/>
      <c r="H3" s="29"/>
      <c r="I3" s="38"/>
      <c r="J3" s="38"/>
      <c r="K3" s="38"/>
      <c r="L3" s="38"/>
      <c r="M3" s="38"/>
      <c r="N3" s="38"/>
      <c r="O3" s="38"/>
      <c r="P3" s="38"/>
      <c r="Q3" s="38"/>
      <c r="R3" s="38"/>
    </row>
    <row r="4" spans="1:20" ht="18" customHeight="1" x14ac:dyDescent="0.15">
      <c r="A4" s="4" t="s">
        <v>147</v>
      </c>
      <c r="B4" s="14"/>
      <c r="C4" s="260">
        <f>'様式１　大学等概要'!E12</f>
        <v>2021</v>
      </c>
      <c r="D4" s="261"/>
      <c r="E4" s="29" t="s">
        <v>113</v>
      </c>
      <c r="F4" s="29"/>
      <c r="G4" s="29"/>
      <c r="H4" s="29"/>
      <c r="I4" s="38"/>
      <c r="J4" s="86"/>
      <c r="K4" s="38"/>
      <c r="L4" s="38"/>
      <c r="M4" s="113"/>
      <c r="N4" s="113"/>
      <c r="O4" s="113"/>
      <c r="P4" s="113"/>
      <c r="Q4" s="113"/>
      <c r="R4" s="113"/>
    </row>
    <row r="5" spans="1:20" ht="6" customHeight="1" x14ac:dyDescent="0.15">
      <c r="A5" s="38"/>
      <c r="B5" s="29"/>
      <c r="C5" s="29"/>
      <c r="D5" s="29"/>
      <c r="E5" s="29"/>
      <c r="F5" s="29"/>
      <c r="G5" s="29"/>
      <c r="H5" s="29"/>
      <c r="I5" s="38"/>
      <c r="J5" s="38"/>
      <c r="K5" s="38"/>
      <c r="L5" s="38"/>
      <c r="M5" s="38"/>
      <c r="N5" s="38"/>
      <c r="O5" s="38"/>
      <c r="P5" s="38"/>
      <c r="Q5" s="38"/>
      <c r="R5" s="38"/>
    </row>
    <row r="6" spans="1:20" ht="18" customHeight="1" x14ac:dyDescent="0.15">
      <c r="A6" s="4" t="s">
        <v>145</v>
      </c>
      <c r="B6" s="29"/>
      <c r="C6" s="29"/>
      <c r="D6" s="29"/>
      <c r="E6" s="29"/>
      <c r="F6" s="29"/>
      <c r="G6" s="29"/>
      <c r="H6" s="29"/>
      <c r="I6" s="38"/>
      <c r="J6" s="38"/>
      <c r="K6" s="38"/>
      <c r="L6" s="38"/>
      <c r="M6" s="38"/>
      <c r="N6" s="38"/>
      <c r="O6" s="38"/>
      <c r="P6" s="38"/>
      <c r="Q6" s="38"/>
      <c r="R6" s="38"/>
    </row>
    <row r="7" spans="1:20" ht="6" customHeight="1" x14ac:dyDescent="0.15">
      <c r="A7" s="4"/>
      <c r="B7" s="29"/>
      <c r="C7" s="29"/>
      <c r="D7" s="29"/>
      <c r="E7" s="29"/>
      <c r="F7" s="29"/>
      <c r="G7" s="29"/>
      <c r="H7" s="29"/>
      <c r="I7" s="38"/>
      <c r="J7" s="38"/>
      <c r="K7" s="38"/>
      <c r="L7" s="38"/>
      <c r="M7" s="38"/>
      <c r="N7" s="38"/>
      <c r="O7" s="38"/>
      <c r="P7" s="38"/>
      <c r="Q7" s="38"/>
      <c r="R7" s="38"/>
    </row>
    <row r="8" spans="1:20" ht="18" customHeight="1" x14ac:dyDescent="0.15">
      <c r="B8" s="262" t="s">
        <v>79</v>
      </c>
      <c r="C8" s="264" t="s">
        <v>83</v>
      </c>
      <c r="D8" s="266" t="s">
        <v>68</v>
      </c>
      <c r="E8" s="268" t="s">
        <v>89</v>
      </c>
      <c r="F8" s="268"/>
      <c r="G8" s="268" t="s">
        <v>90</v>
      </c>
      <c r="H8" s="268"/>
      <c r="I8" s="269" t="s">
        <v>91</v>
      </c>
      <c r="J8" s="269"/>
      <c r="K8" s="270" t="s">
        <v>92</v>
      </c>
      <c r="L8" s="271"/>
      <c r="M8" s="270" t="s">
        <v>93</v>
      </c>
      <c r="N8" s="271"/>
      <c r="O8" s="270" t="s">
        <v>94</v>
      </c>
      <c r="P8" s="271"/>
      <c r="Q8" s="272" t="s">
        <v>62</v>
      </c>
      <c r="R8" s="274" t="s">
        <v>56</v>
      </c>
      <c r="T8" s="34"/>
    </row>
    <row r="9" spans="1:20" ht="18" customHeight="1" x14ac:dyDescent="0.15">
      <c r="A9" s="4"/>
      <c r="B9" s="263"/>
      <c r="C9" s="265"/>
      <c r="D9" s="267"/>
      <c r="E9" s="122" t="s">
        <v>44</v>
      </c>
      <c r="F9" s="123" t="s">
        <v>43</v>
      </c>
      <c r="G9" s="124" t="s">
        <v>44</v>
      </c>
      <c r="H9" s="125" t="s">
        <v>43</v>
      </c>
      <c r="I9" s="43" t="s">
        <v>44</v>
      </c>
      <c r="J9" s="44" t="s">
        <v>43</v>
      </c>
      <c r="K9" s="45" t="s">
        <v>44</v>
      </c>
      <c r="L9" s="46" t="s">
        <v>43</v>
      </c>
      <c r="M9" s="43" t="s">
        <v>44</v>
      </c>
      <c r="N9" s="44" t="s">
        <v>43</v>
      </c>
      <c r="O9" s="45" t="s">
        <v>44</v>
      </c>
      <c r="P9" s="46" t="s">
        <v>43</v>
      </c>
      <c r="Q9" s="273"/>
      <c r="R9" s="275"/>
      <c r="T9" s="34"/>
    </row>
    <row r="10" spans="1:20" ht="18" customHeight="1" x14ac:dyDescent="0.15">
      <c r="A10" s="47"/>
      <c r="B10" s="126" t="s">
        <v>175</v>
      </c>
      <c r="C10" s="76">
        <v>126</v>
      </c>
      <c r="D10" s="127">
        <v>728</v>
      </c>
      <c r="E10" s="128">
        <v>129</v>
      </c>
      <c r="F10" s="129">
        <v>128</v>
      </c>
      <c r="G10" s="130"/>
      <c r="H10" s="131"/>
      <c r="I10" s="49"/>
      <c r="J10" s="50"/>
      <c r="K10" s="51"/>
      <c r="L10" s="52"/>
      <c r="M10" s="49"/>
      <c r="N10" s="50"/>
      <c r="O10" s="51"/>
      <c r="P10" s="52"/>
      <c r="Q10" s="53">
        <f>E10+G10+I10+K10+M10+O10</f>
        <v>129</v>
      </c>
      <c r="R10" s="54">
        <f>Q10/D10</f>
        <v>0.17719780219780221</v>
      </c>
    </row>
    <row r="11" spans="1:20" ht="18" customHeight="1" x14ac:dyDescent="0.15">
      <c r="A11" s="47"/>
      <c r="B11" s="132"/>
      <c r="C11" s="119"/>
      <c r="D11" s="118"/>
      <c r="E11" s="133"/>
      <c r="F11" s="134"/>
      <c r="G11" s="135"/>
      <c r="H11" s="136"/>
      <c r="I11" s="57"/>
      <c r="J11" s="58"/>
      <c r="K11" s="59"/>
      <c r="L11" s="60"/>
      <c r="M11" s="57"/>
      <c r="N11" s="58"/>
      <c r="O11" s="59"/>
      <c r="P11" s="60"/>
      <c r="Q11" s="61">
        <f t="shared" ref="Q11:Q29" si="0">E11+G11+I11+K11+M11+O11</f>
        <v>0</v>
      </c>
      <c r="R11" s="62" t="e">
        <f t="shared" ref="R11:R29" si="1">Q11/D11</f>
        <v>#DIV/0!</v>
      </c>
    </row>
    <row r="12" spans="1:20" ht="18" customHeight="1" x14ac:dyDescent="0.15">
      <c r="A12" s="47"/>
      <c r="B12" s="132"/>
      <c r="C12" s="119"/>
      <c r="D12" s="118"/>
      <c r="E12" s="133"/>
      <c r="F12" s="134"/>
      <c r="G12" s="135"/>
      <c r="H12" s="136"/>
      <c r="I12" s="57"/>
      <c r="J12" s="58"/>
      <c r="K12" s="59"/>
      <c r="L12" s="60"/>
      <c r="M12" s="57"/>
      <c r="N12" s="58"/>
      <c r="O12" s="59"/>
      <c r="P12" s="60"/>
      <c r="Q12" s="61">
        <f t="shared" si="0"/>
        <v>0</v>
      </c>
      <c r="R12" s="62" t="e">
        <f t="shared" si="1"/>
        <v>#DIV/0!</v>
      </c>
    </row>
    <row r="13" spans="1:20" ht="18" customHeight="1" x14ac:dyDescent="0.15">
      <c r="A13" s="47"/>
      <c r="B13" s="132"/>
      <c r="C13" s="119"/>
      <c r="D13" s="118"/>
      <c r="E13" s="133"/>
      <c r="F13" s="134"/>
      <c r="G13" s="135"/>
      <c r="H13" s="136"/>
      <c r="I13" s="57"/>
      <c r="J13" s="58"/>
      <c r="K13" s="59"/>
      <c r="L13" s="60"/>
      <c r="M13" s="57"/>
      <c r="N13" s="58"/>
      <c r="O13" s="59"/>
      <c r="P13" s="60"/>
      <c r="Q13" s="61">
        <f t="shared" si="0"/>
        <v>0</v>
      </c>
      <c r="R13" s="62" t="e">
        <f t="shared" si="1"/>
        <v>#DIV/0!</v>
      </c>
    </row>
    <row r="14" spans="1:20" ht="18" customHeight="1" x14ac:dyDescent="0.15">
      <c r="A14" s="47"/>
      <c r="B14" s="132"/>
      <c r="C14" s="119"/>
      <c r="D14" s="118"/>
      <c r="E14" s="133"/>
      <c r="F14" s="134"/>
      <c r="G14" s="135"/>
      <c r="H14" s="136"/>
      <c r="I14" s="57"/>
      <c r="J14" s="58"/>
      <c r="K14" s="59"/>
      <c r="L14" s="60"/>
      <c r="M14" s="57"/>
      <c r="N14" s="58"/>
      <c r="O14" s="59"/>
      <c r="P14" s="60"/>
      <c r="Q14" s="61">
        <f t="shared" si="0"/>
        <v>0</v>
      </c>
      <c r="R14" s="62" t="e">
        <f t="shared" si="1"/>
        <v>#DIV/0!</v>
      </c>
    </row>
    <row r="15" spans="1:20" ht="18" customHeight="1" x14ac:dyDescent="0.15">
      <c r="A15" s="47"/>
      <c r="B15" s="132"/>
      <c r="C15" s="119"/>
      <c r="D15" s="118"/>
      <c r="E15" s="133"/>
      <c r="F15" s="134"/>
      <c r="G15" s="135"/>
      <c r="H15" s="136"/>
      <c r="I15" s="57"/>
      <c r="J15" s="58"/>
      <c r="K15" s="59"/>
      <c r="L15" s="60"/>
      <c r="M15" s="57"/>
      <c r="N15" s="58"/>
      <c r="O15" s="59"/>
      <c r="P15" s="60"/>
      <c r="Q15" s="61">
        <f t="shared" si="0"/>
        <v>0</v>
      </c>
      <c r="R15" s="62" t="e">
        <f t="shared" si="1"/>
        <v>#DIV/0!</v>
      </c>
    </row>
    <row r="16" spans="1:20" ht="18" customHeight="1" x14ac:dyDescent="0.15">
      <c r="A16" s="47"/>
      <c r="B16" s="132"/>
      <c r="C16" s="119"/>
      <c r="D16" s="118"/>
      <c r="E16" s="133"/>
      <c r="F16" s="134"/>
      <c r="G16" s="135"/>
      <c r="H16" s="136"/>
      <c r="I16" s="57"/>
      <c r="J16" s="58"/>
      <c r="K16" s="59"/>
      <c r="L16" s="60"/>
      <c r="M16" s="57"/>
      <c r="N16" s="58"/>
      <c r="O16" s="59"/>
      <c r="P16" s="60"/>
      <c r="Q16" s="61">
        <f t="shared" si="0"/>
        <v>0</v>
      </c>
      <c r="R16" s="62" t="e">
        <f t="shared" si="1"/>
        <v>#DIV/0!</v>
      </c>
    </row>
    <row r="17" spans="1:18" ht="18" customHeight="1" x14ac:dyDescent="0.15">
      <c r="A17" s="47"/>
      <c r="B17" s="87"/>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7"/>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7"/>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7"/>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7"/>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7"/>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7"/>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7"/>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7"/>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7"/>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7"/>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7"/>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8"/>
      <c r="C29" s="89"/>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0" t="s">
        <v>57</v>
      </c>
      <c r="C30" s="91">
        <f t="shared" ref="C30:Q30" si="2">SUM(C10:C29)</f>
        <v>126</v>
      </c>
      <c r="D30" s="65">
        <f t="shared" si="2"/>
        <v>728</v>
      </c>
      <c r="E30" s="66">
        <f t="shared" si="2"/>
        <v>129</v>
      </c>
      <c r="F30" s="67">
        <f t="shared" si="2"/>
        <v>128</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129</v>
      </c>
      <c r="R30" s="71">
        <f>Q30/D30</f>
        <v>0.17719780219780221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28" zoomScaleNormal="100" zoomScaleSheetLayoutView="100" workbookViewId="0">
      <selection activeCell="B69" sqref="B69:J86"/>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41" t="s">
        <v>115</v>
      </c>
    </row>
    <row r="2" spans="1:11" ht="18.75" customHeight="1" x14ac:dyDescent="0.15">
      <c r="A2" s="259" t="s">
        <v>64</v>
      </c>
      <c r="B2" s="259"/>
      <c r="C2" s="259"/>
      <c r="D2" s="259"/>
      <c r="E2" s="259"/>
      <c r="F2" s="259"/>
      <c r="G2" s="259"/>
      <c r="H2" s="259"/>
      <c r="I2" s="259"/>
      <c r="J2" s="259"/>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170" t="s">
        <v>186</v>
      </c>
      <c r="C5" s="171"/>
      <c r="D5" s="171"/>
      <c r="E5" s="171"/>
      <c r="F5" s="171"/>
      <c r="G5" s="171"/>
      <c r="H5" s="171"/>
      <c r="I5" s="171"/>
      <c r="J5" s="306"/>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2"/>
      <c r="B8" s="307" t="s">
        <v>210</v>
      </c>
      <c r="C8" s="308"/>
      <c r="D8" s="308"/>
      <c r="E8" s="308"/>
      <c r="F8" s="308"/>
      <c r="G8" s="308"/>
      <c r="H8" s="308"/>
      <c r="I8" s="309"/>
      <c r="J8" s="310"/>
      <c r="K8" s="31" t="str">
        <f>IF(B8="","入力してください","")</f>
        <v/>
      </c>
    </row>
    <row r="9" spans="1:11" s="4" customFormat="1" ht="18.75" customHeight="1" x14ac:dyDescent="0.15">
      <c r="A9" s="92"/>
      <c r="B9" s="311"/>
      <c r="C9" s="312"/>
      <c r="D9" s="312"/>
      <c r="E9" s="312"/>
      <c r="F9" s="312"/>
      <c r="G9" s="312"/>
      <c r="H9" s="312"/>
      <c r="I9" s="312"/>
      <c r="J9" s="313"/>
      <c r="K9" s="31"/>
    </row>
    <row r="10" spans="1:11" s="4" customFormat="1" ht="18.75" customHeight="1" x14ac:dyDescent="0.15">
      <c r="A10" s="92"/>
      <c r="B10" s="311"/>
      <c r="C10" s="312"/>
      <c r="D10" s="312"/>
      <c r="E10" s="312"/>
      <c r="F10" s="312"/>
      <c r="G10" s="312"/>
      <c r="H10" s="312"/>
      <c r="I10" s="312"/>
      <c r="J10" s="313"/>
      <c r="K10" s="31"/>
    </row>
    <row r="11" spans="1:11" s="4" customFormat="1" ht="18.75" customHeight="1" x14ac:dyDescent="0.15">
      <c r="A11" s="92"/>
      <c r="B11" s="311"/>
      <c r="C11" s="312"/>
      <c r="D11" s="312"/>
      <c r="E11" s="312"/>
      <c r="F11" s="312"/>
      <c r="G11" s="312"/>
      <c r="H11" s="312"/>
      <c r="I11" s="312"/>
      <c r="J11" s="313"/>
      <c r="K11" s="31"/>
    </row>
    <row r="12" spans="1:11" s="4" customFormat="1" ht="26.25" customHeight="1" x14ac:dyDescent="0.15">
      <c r="A12" s="92"/>
      <c r="B12" s="314"/>
      <c r="C12" s="315"/>
      <c r="D12" s="315"/>
      <c r="E12" s="315"/>
      <c r="F12" s="315"/>
      <c r="G12" s="315"/>
      <c r="H12" s="315"/>
      <c r="I12" s="315"/>
      <c r="J12" s="316"/>
      <c r="K12" s="31"/>
    </row>
    <row r="13" spans="1:11" s="4" customFormat="1" ht="7.5" customHeight="1" x14ac:dyDescent="0.15">
      <c r="A13" s="92"/>
      <c r="B13" s="92"/>
      <c r="C13" s="92"/>
      <c r="D13" s="92"/>
      <c r="E13" s="92"/>
      <c r="F13" s="92"/>
      <c r="G13" s="92"/>
      <c r="H13" s="92"/>
      <c r="I13" s="92"/>
      <c r="J13" s="92"/>
      <c r="K13" s="31"/>
    </row>
    <row r="14" spans="1:11" s="4" customFormat="1" ht="18.75" customHeight="1" x14ac:dyDescent="0.15">
      <c r="A14" s="93" t="s">
        <v>10</v>
      </c>
      <c r="B14" s="93" t="s">
        <v>15</v>
      </c>
      <c r="C14" s="93"/>
      <c r="D14" s="93"/>
      <c r="E14" s="93"/>
      <c r="F14" s="93"/>
      <c r="G14" s="93"/>
      <c r="H14" s="93"/>
      <c r="I14" s="93"/>
      <c r="J14" s="93"/>
      <c r="K14" s="31"/>
    </row>
    <row r="15" spans="1:11" s="4" customFormat="1" ht="18.75" customHeight="1" x14ac:dyDescent="0.15">
      <c r="A15" s="92"/>
      <c r="B15" s="317" t="s">
        <v>202</v>
      </c>
      <c r="C15" s="318"/>
      <c r="D15" s="318"/>
      <c r="E15" s="318"/>
      <c r="F15" s="318"/>
      <c r="G15" s="318"/>
      <c r="H15" s="318"/>
      <c r="I15" s="319"/>
      <c r="J15" s="320"/>
      <c r="K15" s="31" t="str">
        <f>IF(B15="","入力してください","")</f>
        <v/>
      </c>
    </row>
    <row r="16" spans="1:11" s="4" customFormat="1" ht="18.75" customHeight="1" x14ac:dyDescent="0.15">
      <c r="A16" s="92"/>
      <c r="B16" s="321"/>
      <c r="C16" s="322"/>
      <c r="D16" s="322"/>
      <c r="E16" s="322"/>
      <c r="F16" s="322"/>
      <c r="G16" s="322"/>
      <c r="H16" s="322"/>
      <c r="I16" s="322"/>
      <c r="J16" s="323"/>
      <c r="K16" s="31"/>
    </row>
    <row r="17" spans="1:11" s="4" customFormat="1" ht="18.75" customHeight="1" x14ac:dyDescent="0.15">
      <c r="A17" s="92"/>
      <c r="B17" s="321"/>
      <c r="C17" s="322"/>
      <c r="D17" s="322"/>
      <c r="E17" s="322"/>
      <c r="F17" s="322"/>
      <c r="G17" s="322"/>
      <c r="H17" s="322"/>
      <c r="I17" s="322"/>
      <c r="J17" s="323"/>
      <c r="K17" s="31"/>
    </row>
    <row r="18" spans="1:11" s="4" customFormat="1" ht="18.75" customHeight="1" x14ac:dyDescent="0.15">
      <c r="A18" s="92"/>
      <c r="B18" s="321"/>
      <c r="C18" s="322"/>
      <c r="D18" s="322"/>
      <c r="E18" s="322"/>
      <c r="F18" s="322"/>
      <c r="G18" s="322"/>
      <c r="H18" s="322"/>
      <c r="I18" s="322"/>
      <c r="J18" s="323"/>
      <c r="K18" s="31"/>
    </row>
    <row r="19" spans="1:11" s="4" customFormat="1" ht="18.75" customHeight="1" x14ac:dyDescent="0.15">
      <c r="A19" s="92"/>
      <c r="B19" s="321"/>
      <c r="C19" s="322"/>
      <c r="D19" s="322"/>
      <c r="E19" s="322"/>
      <c r="F19" s="322"/>
      <c r="G19" s="322"/>
      <c r="H19" s="322"/>
      <c r="I19" s="322"/>
      <c r="J19" s="323"/>
      <c r="K19" s="31"/>
    </row>
    <row r="20" spans="1:11" s="4" customFormat="1" ht="18.75" customHeight="1" x14ac:dyDescent="0.15">
      <c r="A20" s="92"/>
      <c r="B20" s="321"/>
      <c r="C20" s="322"/>
      <c r="D20" s="322"/>
      <c r="E20" s="322"/>
      <c r="F20" s="322"/>
      <c r="G20" s="322"/>
      <c r="H20" s="322"/>
      <c r="I20" s="322"/>
      <c r="J20" s="323"/>
      <c r="K20" s="31"/>
    </row>
    <row r="21" spans="1:11" s="4" customFormat="1" ht="18.75" customHeight="1" x14ac:dyDescent="0.15">
      <c r="A21" s="92"/>
      <c r="B21" s="321"/>
      <c r="C21" s="322"/>
      <c r="D21" s="322"/>
      <c r="E21" s="322"/>
      <c r="F21" s="322"/>
      <c r="G21" s="322"/>
      <c r="H21" s="322"/>
      <c r="I21" s="322"/>
      <c r="J21" s="323"/>
      <c r="K21" s="31"/>
    </row>
    <row r="22" spans="1:11" s="4" customFormat="1" ht="18.75" customHeight="1" x14ac:dyDescent="0.15">
      <c r="A22" s="92"/>
      <c r="B22" s="321"/>
      <c r="C22" s="322"/>
      <c r="D22" s="322"/>
      <c r="E22" s="322"/>
      <c r="F22" s="322"/>
      <c r="G22" s="322"/>
      <c r="H22" s="322"/>
      <c r="I22" s="322"/>
      <c r="J22" s="323"/>
      <c r="K22" s="31"/>
    </row>
    <row r="23" spans="1:11" s="4" customFormat="1" ht="18.75" customHeight="1" x14ac:dyDescent="0.15">
      <c r="A23" s="92"/>
      <c r="B23" s="321"/>
      <c r="C23" s="322"/>
      <c r="D23" s="322"/>
      <c r="E23" s="322"/>
      <c r="F23" s="322"/>
      <c r="G23" s="322"/>
      <c r="H23" s="322"/>
      <c r="I23" s="322"/>
      <c r="J23" s="323"/>
      <c r="K23" s="31"/>
    </row>
    <row r="24" spans="1:11" s="4" customFormat="1" ht="18.75" customHeight="1" x14ac:dyDescent="0.15">
      <c r="A24" s="92"/>
      <c r="B24" s="321"/>
      <c r="C24" s="322"/>
      <c r="D24" s="322"/>
      <c r="E24" s="322"/>
      <c r="F24" s="322"/>
      <c r="G24" s="322"/>
      <c r="H24" s="322"/>
      <c r="I24" s="322"/>
      <c r="J24" s="323"/>
      <c r="K24" s="31"/>
    </row>
    <row r="25" spans="1:11" s="4" customFormat="1" ht="18.75" customHeight="1" x14ac:dyDescent="0.15">
      <c r="A25" s="92"/>
      <c r="B25" s="324"/>
      <c r="C25" s="325"/>
      <c r="D25" s="325"/>
      <c r="E25" s="325"/>
      <c r="F25" s="325"/>
      <c r="G25" s="325"/>
      <c r="H25" s="325"/>
      <c r="I25" s="325"/>
      <c r="J25" s="326"/>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4" t="s">
        <v>116</v>
      </c>
      <c r="C28" s="95">
        <f>'様式３　履修者等数の実績'!R30</f>
        <v>0.17719780219780221</v>
      </c>
      <c r="D28" s="96"/>
      <c r="E28" s="96" t="s">
        <v>117</v>
      </c>
      <c r="F28" s="95">
        <v>0.33</v>
      </c>
      <c r="G28" s="96"/>
      <c r="H28" s="96" t="s">
        <v>118</v>
      </c>
      <c r="I28" s="137">
        <v>0.5</v>
      </c>
      <c r="J28" s="97"/>
      <c r="K28" s="31"/>
    </row>
    <row r="29" spans="1:11" s="29" customFormat="1" ht="18.75" customHeight="1" x14ac:dyDescent="0.15">
      <c r="B29" s="83" t="s">
        <v>119</v>
      </c>
      <c r="C29" s="138">
        <v>0.67</v>
      </c>
      <c r="D29" s="84"/>
      <c r="E29" s="84" t="s">
        <v>120</v>
      </c>
      <c r="F29" s="138">
        <v>0.83</v>
      </c>
      <c r="G29" s="84"/>
      <c r="H29" s="84" t="s">
        <v>121</v>
      </c>
      <c r="I29" s="98">
        <f>'様式３　履修者等数の実績'!D30</f>
        <v>728</v>
      </c>
      <c r="J29" s="99"/>
      <c r="K29" s="35"/>
    </row>
    <row r="30" spans="1:11" s="4" customFormat="1" ht="18.75" customHeight="1" x14ac:dyDescent="0.15">
      <c r="A30" s="1"/>
      <c r="B30" s="218" t="s">
        <v>122</v>
      </c>
      <c r="C30" s="219"/>
      <c r="D30" s="219"/>
      <c r="E30" s="219"/>
      <c r="F30" s="219"/>
      <c r="G30" s="219"/>
      <c r="H30" s="219"/>
      <c r="I30" s="219"/>
      <c r="J30" s="220"/>
      <c r="K30" s="35"/>
    </row>
    <row r="31" spans="1:11" s="4" customFormat="1" ht="18.75" customHeight="1" x14ac:dyDescent="0.15">
      <c r="A31" s="1"/>
      <c r="B31" s="303" t="s">
        <v>190</v>
      </c>
      <c r="C31" s="304"/>
      <c r="D31" s="304"/>
      <c r="E31" s="304"/>
      <c r="F31" s="304"/>
      <c r="G31" s="304"/>
      <c r="H31" s="304"/>
      <c r="I31" s="304"/>
      <c r="J31" s="305"/>
      <c r="K31" s="35" t="str">
        <f>IF(B31="","入力してください","")</f>
        <v/>
      </c>
    </row>
    <row r="32" spans="1:11" s="4" customFormat="1" ht="18.75" customHeight="1" x14ac:dyDescent="0.15">
      <c r="A32" s="1"/>
      <c r="B32" s="297"/>
      <c r="C32" s="298"/>
      <c r="D32" s="298"/>
      <c r="E32" s="298"/>
      <c r="F32" s="298"/>
      <c r="G32" s="298"/>
      <c r="H32" s="298"/>
      <c r="I32" s="298"/>
      <c r="J32" s="299"/>
      <c r="K32" s="35"/>
    </row>
    <row r="33" spans="1:11" s="4" customFormat="1" ht="18.75" customHeight="1" x14ac:dyDescent="0.15">
      <c r="A33" s="1"/>
      <c r="B33" s="297"/>
      <c r="C33" s="298"/>
      <c r="D33" s="298"/>
      <c r="E33" s="298"/>
      <c r="F33" s="298"/>
      <c r="G33" s="298"/>
      <c r="H33" s="298"/>
      <c r="I33" s="298"/>
      <c r="J33" s="299"/>
      <c r="K33" s="35"/>
    </row>
    <row r="34" spans="1:11" s="4" customFormat="1" ht="18.75" customHeight="1" x14ac:dyDescent="0.15">
      <c r="A34" s="1"/>
      <c r="B34" s="297"/>
      <c r="C34" s="298"/>
      <c r="D34" s="298"/>
      <c r="E34" s="298"/>
      <c r="F34" s="298"/>
      <c r="G34" s="298"/>
      <c r="H34" s="298"/>
      <c r="I34" s="298"/>
      <c r="J34" s="299"/>
      <c r="K34" s="35"/>
    </row>
    <row r="35" spans="1:11" s="4" customFormat="1" ht="18.75" customHeight="1" x14ac:dyDescent="0.15">
      <c r="A35" s="1"/>
      <c r="B35" s="297"/>
      <c r="C35" s="298"/>
      <c r="D35" s="298"/>
      <c r="E35" s="298"/>
      <c r="F35" s="298"/>
      <c r="G35" s="298"/>
      <c r="H35" s="298"/>
      <c r="I35" s="298"/>
      <c r="J35" s="299"/>
      <c r="K35" s="35"/>
    </row>
    <row r="36" spans="1:11" s="4" customFormat="1" ht="18.75" customHeight="1" x14ac:dyDescent="0.15">
      <c r="A36" s="1"/>
      <c r="B36" s="297"/>
      <c r="C36" s="298"/>
      <c r="D36" s="298"/>
      <c r="E36" s="298"/>
      <c r="F36" s="298"/>
      <c r="G36" s="298"/>
      <c r="H36" s="298"/>
      <c r="I36" s="298"/>
      <c r="J36" s="299"/>
      <c r="K36" s="35"/>
    </row>
    <row r="37" spans="1:11" s="4" customFormat="1" ht="18.75" customHeight="1" x14ac:dyDescent="0.15">
      <c r="A37" s="1"/>
      <c r="B37" s="297"/>
      <c r="C37" s="298"/>
      <c r="D37" s="298"/>
      <c r="E37" s="298"/>
      <c r="F37" s="298"/>
      <c r="G37" s="298"/>
      <c r="H37" s="298"/>
      <c r="I37" s="298"/>
      <c r="J37" s="299"/>
      <c r="K37" s="35"/>
    </row>
    <row r="38" spans="1:11" s="4" customFormat="1" ht="18.75" customHeight="1" x14ac:dyDescent="0.15">
      <c r="A38" s="1"/>
      <c r="B38" s="297"/>
      <c r="C38" s="298"/>
      <c r="D38" s="298"/>
      <c r="E38" s="298"/>
      <c r="F38" s="298"/>
      <c r="G38" s="298"/>
      <c r="H38" s="298"/>
      <c r="I38" s="298"/>
      <c r="J38" s="299"/>
      <c r="K38" s="35"/>
    </row>
    <row r="39" spans="1:11" s="4" customFormat="1" ht="18.75" customHeight="1" x14ac:dyDescent="0.15">
      <c r="A39" s="1"/>
      <c r="B39" s="297"/>
      <c r="C39" s="298"/>
      <c r="D39" s="298"/>
      <c r="E39" s="298"/>
      <c r="F39" s="298"/>
      <c r="G39" s="298"/>
      <c r="H39" s="298"/>
      <c r="I39" s="298"/>
      <c r="J39" s="299"/>
      <c r="K39" s="35"/>
    </row>
    <row r="40" spans="1:11" s="4" customFormat="1" ht="18.75" customHeight="1" x14ac:dyDescent="0.15">
      <c r="A40" s="1"/>
      <c r="B40" s="297"/>
      <c r="C40" s="298"/>
      <c r="D40" s="298"/>
      <c r="E40" s="298"/>
      <c r="F40" s="298"/>
      <c r="G40" s="298"/>
      <c r="H40" s="298"/>
      <c r="I40" s="298"/>
      <c r="J40" s="299"/>
      <c r="K40" s="35"/>
    </row>
    <row r="41" spans="1:11" s="4" customFormat="1" ht="18.75" customHeight="1" x14ac:dyDescent="0.15">
      <c r="A41" s="1"/>
      <c r="B41" s="297"/>
      <c r="C41" s="298"/>
      <c r="D41" s="298"/>
      <c r="E41" s="298"/>
      <c r="F41" s="298"/>
      <c r="G41" s="298"/>
      <c r="H41" s="298"/>
      <c r="I41" s="298"/>
      <c r="J41" s="299"/>
      <c r="K41" s="35"/>
    </row>
    <row r="42" spans="1:11" s="4" customFormat="1" ht="18.75" customHeight="1" x14ac:dyDescent="0.15">
      <c r="A42" s="1"/>
      <c r="B42" s="297"/>
      <c r="C42" s="298"/>
      <c r="D42" s="298"/>
      <c r="E42" s="298"/>
      <c r="F42" s="298"/>
      <c r="G42" s="298"/>
      <c r="H42" s="298"/>
      <c r="I42" s="298"/>
      <c r="J42" s="299"/>
      <c r="K42" s="35"/>
    </row>
    <row r="43" spans="1:11" ht="18.75" customHeight="1" x14ac:dyDescent="0.15">
      <c r="A43" s="39"/>
      <c r="B43" s="297"/>
      <c r="C43" s="298"/>
      <c r="D43" s="298"/>
      <c r="E43" s="298"/>
      <c r="F43" s="298"/>
      <c r="G43" s="298"/>
      <c r="H43" s="298"/>
      <c r="I43" s="298"/>
      <c r="J43" s="299"/>
      <c r="K43" s="35"/>
    </row>
    <row r="44" spans="1:11" ht="18.75" customHeight="1" x14ac:dyDescent="0.15">
      <c r="A44" s="39"/>
      <c r="B44" s="300"/>
      <c r="C44" s="301"/>
      <c r="D44" s="301"/>
      <c r="E44" s="301"/>
      <c r="F44" s="301"/>
      <c r="G44" s="301"/>
      <c r="H44" s="301"/>
      <c r="I44" s="301"/>
      <c r="J44" s="302"/>
    </row>
    <row r="45" spans="1:11" s="4" customFormat="1" ht="18.75" customHeight="1" x14ac:dyDescent="0.15">
      <c r="A45" s="100" t="s">
        <v>11</v>
      </c>
      <c r="B45" s="1" t="s">
        <v>65</v>
      </c>
      <c r="C45" s="1"/>
      <c r="D45" s="1"/>
      <c r="E45" s="1"/>
      <c r="F45" s="1"/>
      <c r="G45" s="1"/>
      <c r="H45" s="1"/>
      <c r="I45" s="100"/>
      <c r="J45" s="100"/>
      <c r="K45" s="31"/>
    </row>
    <row r="46" spans="1:11" ht="18.75" customHeight="1" x14ac:dyDescent="0.15">
      <c r="A46" s="39"/>
      <c r="B46" s="276" t="s">
        <v>176</v>
      </c>
      <c r="C46" s="277"/>
      <c r="D46" s="277"/>
      <c r="E46" s="277"/>
      <c r="F46" s="277"/>
      <c r="G46" s="277"/>
      <c r="H46" s="277"/>
      <c r="I46" s="277"/>
      <c r="J46" s="278"/>
      <c r="K46" s="31" t="str">
        <f>IF(B46="","入力してください","")</f>
        <v/>
      </c>
    </row>
    <row r="47" spans="1:11" ht="18.75" customHeight="1" x14ac:dyDescent="0.15">
      <c r="A47" s="39"/>
      <c r="B47" s="279"/>
      <c r="C47" s="280"/>
      <c r="D47" s="280"/>
      <c r="E47" s="280"/>
      <c r="F47" s="280"/>
      <c r="G47" s="280"/>
      <c r="H47" s="280"/>
      <c r="I47" s="280"/>
      <c r="J47" s="281"/>
    </row>
    <row r="48" spans="1:11" ht="18.75" customHeight="1" x14ac:dyDescent="0.15">
      <c r="A48" s="39"/>
      <c r="B48" s="279"/>
      <c r="C48" s="280"/>
      <c r="D48" s="280"/>
      <c r="E48" s="280"/>
      <c r="F48" s="280"/>
      <c r="G48" s="280"/>
      <c r="H48" s="280"/>
      <c r="I48" s="280"/>
      <c r="J48" s="281"/>
    </row>
    <row r="49" spans="1:10" ht="18.75" customHeight="1" x14ac:dyDescent="0.15">
      <c r="A49" s="39"/>
      <c r="B49" s="279"/>
      <c r="C49" s="280"/>
      <c r="D49" s="280"/>
      <c r="E49" s="280"/>
      <c r="F49" s="280"/>
      <c r="G49" s="280"/>
      <c r="H49" s="280"/>
      <c r="I49" s="280"/>
      <c r="J49" s="281"/>
    </row>
    <row r="50" spans="1:10" ht="18.75" customHeight="1" x14ac:dyDescent="0.15">
      <c r="A50" s="39"/>
      <c r="B50" s="279"/>
      <c r="C50" s="280"/>
      <c r="D50" s="280"/>
      <c r="E50" s="280"/>
      <c r="F50" s="280"/>
      <c r="G50" s="280"/>
      <c r="H50" s="280"/>
      <c r="I50" s="280"/>
      <c r="J50" s="281"/>
    </row>
    <row r="51" spans="1:10" ht="18.75" customHeight="1" x14ac:dyDescent="0.15">
      <c r="A51" s="39"/>
      <c r="B51" s="279"/>
      <c r="C51" s="280"/>
      <c r="D51" s="280"/>
      <c r="E51" s="280"/>
      <c r="F51" s="280"/>
      <c r="G51" s="280"/>
      <c r="H51" s="280"/>
      <c r="I51" s="280"/>
      <c r="J51" s="281"/>
    </row>
    <row r="52" spans="1:10" ht="18.75" customHeight="1" x14ac:dyDescent="0.15">
      <c r="A52" s="39"/>
      <c r="B52" s="279"/>
      <c r="C52" s="280"/>
      <c r="D52" s="280"/>
      <c r="E52" s="280"/>
      <c r="F52" s="280"/>
      <c r="G52" s="280"/>
      <c r="H52" s="280"/>
      <c r="I52" s="280"/>
      <c r="J52" s="281"/>
    </row>
    <row r="53" spans="1:10" ht="18.75" customHeight="1" x14ac:dyDescent="0.15">
      <c r="A53" s="39"/>
      <c r="B53" s="279"/>
      <c r="C53" s="280"/>
      <c r="D53" s="280"/>
      <c r="E53" s="280"/>
      <c r="F53" s="280"/>
      <c r="G53" s="280"/>
      <c r="H53" s="280"/>
      <c r="I53" s="280"/>
      <c r="J53" s="281"/>
    </row>
    <row r="54" spans="1:10" ht="18.75" customHeight="1" x14ac:dyDescent="0.15">
      <c r="A54" s="39"/>
      <c r="B54" s="279"/>
      <c r="C54" s="280"/>
      <c r="D54" s="280"/>
      <c r="E54" s="280"/>
      <c r="F54" s="280"/>
      <c r="G54" s="280"/>
      <c r="H54" s="280"/>
      <c r="I54" s="280"/>
      <c r="J54" s="281"/>
    </row>
    <row r="55" spans="1:10" ht="18.75" customHeight="1" x14ac:dyDescent="0.15">
      <c r="A55" s="39"/>
      <c r="B55" s="279"/>
      <c r="C55" s="280"/>
      <c r="D55" s="280"/>
      <c r="E55" s="280"/>
      <c r="F55" s="280"/>
      <c r="G55" s="280"/>
      <c r="H55" s="280"/>
      <c r="I55" s="280"/>
      <c r="J55" s="281"/>
    </row>
    <row r="56" spans="1:10" ht="18.75" customHeight="1" x14ac:dyDescent="0.15">
      <c r="A56" s="39"/>
      <c r="B56" s="279"/>
      <c r="C56" s="280"/>
      <c r="D56" s="280"/>
      <c r="E56" s="280"/>
      <c r="F56" s="280"/>
      <c r="G56" s="280"/>
      <c r="H56" s="280"/>
      <c r="I56" s="280"/>
      <c r="J56" s="281"/>
    </row>
    <row r="57" spans="1:10" ht="18.75" customHeight="1" x14ac:dyDescent="0.15">
      <c r="A57" s="39"/>
      <c r="B57" s="279"/>
      <c r="C57" s="280"/>
      <c r="D57" s="280"/>
      <c r="E57" s="280"/>
      <c r="F57" s="280"/>
      <c r="G57" s="280"/>
      <c r="H57" s="280"/>
      <c r="I57" s="280"/>
      <c r="J57" s="281"/>
    </row>
    <row r="58" spans="1:10" ht="18.75" customHeight="1" x14ac:dyDescent="0.15">
      <c r="A58" s="39"/>
      <c r="B58" s="279"/>
      <c r="C58" s="280"/>
      <c r="D58" s="280"/>
      <c r="E58" s="280"/>
      <c r="F58" s="280"/>
      <c r="G58" s="280"/>
      <c r="H58" s="280"/>
      <c r="I58" s="280"/>
      <c r="J58" s="281"/>
    </row>
    <row r="59" spans="1:10" ht="18.75" customHeight="1" x14ac:dyDescent="0.15">
      <c r="A59" s="39"/>
      <c r="B59" s="279"/>
      <c r="C59" s="280"/>
      <c r="D59" s="280"/>
      <c r="E59" s="280"/>
      <c r="F59" s="280"/>
      <c r="G59" s="280"/>
      <c r="H59" s="280"/>
      <c r="I59" s="280"/>
      <c r="J59" s="281"/>
    </row>
    <row r="60" spans="1:10" ht="18.75" customHeight="1" x14ac:dyDescent="0.15">
      <c r="A60" s="39"/>
      <c r="B60" s="279"/>
      <c r="C60" s="280"/>
      <c r="D60" s="280"/>
      <c r="E60" s="280"/>
      <c r="F60" s="280"/>
      <c r="G60" s="280"/>
      <c r="H60" s="280"/>
      <c r="I60" s="280"/>
      <c r="J60" s="281"/>
    </row>
    <row r="61" spans="1:10" ht="18.75" customHeight="1" x14ac:dyDescent="0.15">
      <c r="A61" s="39"/>
      <c r="B61" s="279"/>
      <c r="C61" s="280"/>
      <c r="D61" s="280"/>
      <c r="E61" s="280"/>
      <c r="F61" s="280"/>
      <c r="G61" s="280"/>
      <c r="H61" s="280"/>
      <c r="I61" s="280"/>
      <c r="J61" s="281"/>
    </row>
    <row r="62" spans="1:10" ht="18.75" customHeight="1" x14ac:dyDescent="0.15">
      <c r="A62" s="39"/>
      <c r="B62" s="279"/>
      <c r="C62" s="280"/>
      <c r="D62" s="280"/>
      <c r="E62" s="280"/>
      <c r="F62" s="280"/>
      <c r="G62" s="280"/>
      <c r="H62" s="280"/>
      <c r="I62" s="280"/>
      <c r="J62" s="281"/>
    </row>
    <row r="63" spans="1:10" ht="18.75" customHeight="1" x14ac:dyDescent="0.15">
      <c r="A63" s="39"/>
      <c r="B63" s="279"/>
      <c r="C63" s="280"/>
      <c r="D63" s="280"/>
      <c r="E63" s="280"/>
      <c r="F63" s="280"/>
      <c r="G63" s="280"/>
      <c r="H63" s="280"/>
      <c r="I63" s="280"/>
      <c r="J63" s="281"/>
    </row>
    <row r="64" spans="1:10" ht="18.75" customHeight="1" x14ac:dyDescent="0.15">
      <c r="A64" s="39"/>
      <c r="B64" s="279"/>
      <c r="C64" s="280"/>
      <c r="D64" s="280"/>
      <c r="E64" s="280"/>
      <c r="F64" s="280"/>
      <c r="G64" s="280"/>
      <c r="H64" s="280"/>
      <c r="I64" s="280"/>
      <c r="J64" s="281"/>
    </row>
    <row r="65" spans="1:11" ht="18.75" customHeight="1" x14ac:dyDescent="0.15">
      <c r="A65" s="39"/>
      <c r="B65" s="279"/>
      <c r="C65" s="280"/>
      <c r="D65" s="280"/>
      <c r="E65" s="280"/>
      <c r="F65" s="280"/>
      <c r="G65" s="280"/>
      <c r="H65" s="280"/>
      <c r="I65" s="280"/>
      <c r="J65" s="281"/>
    </row>
    <row r="66" spans="1:11" ht="18.75" customHeight="1" x14ac:dyDescent="0.15">
      <c r="A66" s="39"/>
      <c r="B66" s="282"/>
      <c r="C66" s="283"/>
      <c r="D66" s="283"/>
      <c r="E66" s="283"/>
      <c r="F66" s="283"/>
      <c r="G66" s="283"/>
      <c r="H66" s="283"/>
      <c r="I66" s="283"/>
      <c r="J66" s="284"/>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76" t="s">
        <v>191</v>
      </c>
      <c r="C69" s="285"/>
      <c r="D69" s="285"/>
      <c r="E69" s="285"/>
      <c r="F69" s="285"/>
      <c r="G69" s="285"/>
      <c r="H69" s="285"/>
      <c r="I69" s="286"/>
      <c r="J69" s="287"/>
      <c r="K69" s="35" t="str">
        <f>IF(B69="","入力してください","")</f>
        <v/>
      </c>
    </row>
    <row r="70" spans="1:11" s="4" customFormat="1" ht="18.75" customHeight="1" x14ac:dyDescent="0.15">
      <c r="A70" s="1"/>
      <c r="B70" s="288"/>
      <c r="C70" s="289"/>
      <c r="D70" s="289"/>
      <c r="E70" s="289"/>
      <c r="F70" s="289"/>
      <c r="G70" s="289"/>
      <c r="H70" s="289"/>
      <c r="I70" s="289"/>
      <c r="J70" s="290"/>
      <c r="K70" s="35"/>
    </row>
    <row r="71" spans="1:11" s="4" customFormat="1" ht="18.75" customHeight="1" x14ac:dyDescent="0.15">
      <c r="A71" s="1"/>
      <c r="B71" s="288"/>
      <c r="C71" s="289"/>
      <c r="D71" s="289"/>
      <c r="E71" s="289"/>
      <c r="F71" s="289"/>
      <c r="G71" s="289"/>
      <c r="H71" s="289"/>
      <c r="I71" s="289"/>
      <c r="J71" s="290"/>
      <c r="K71" s="35"/>
    </row>
    <row r="72" spans="1:11" s="4" customFormat="1" ht="18.75" customHeight="1" x14ac:dyDescent="0.15">
      <c r="A72" s="1"/>
      <c r="B72" s="288"/>
      <c r="C72" s="289"/>
      <c r="D72" s="289"/>
      <c r="E72" s="289"/>
      <c r="F72" s="289"/>
      <c r="G72" s="289"/>
      <c r="H72" s="289"/>
      <c r="I72" s="289"/>
      <c r="J72" s="290"/>
      <c r="K72" s="35"/>
    </row>
    <row r="73" spans="1:11" s="4" customFormat="1" ht="18.75" customHeight="1" x14ac:dyDescent="0.15">
      <c r="A73" s="1"/>
      <c r="B73" s="288"/>
      <c r="C73" s="289"/>
      <c r="D73" s="289"/>
      <c r="E73" s="289"/>
      <c r="F73" s="289"/>
      <c r="G73" s="289"/>
      <c r="H73" s="289"/>
      <c r="I73" s="289"/>
      <c r="J73" s="290"/>
      <c r="K73" s="35"/>
    </row>
    <row r="74" spans="1:11" s="4" customFormat="1" ht="18.75" customHeight="1" x14ac:dyDescent="0.15">
      <c r="A74" s="1"/>
      <c r="B74" s="288"/>
      <c r="C74" s="289"/>
      <c r="D74" s="289"/>
      <c r="E74" s="289"/>
      <c r="F74" s="289"/>
      <c r="G74" s="289"/>
      <c r="H74" s="289"/>
      <c r="I74" s="289"/>
      <c r="J74" s="290"/>
      <c r="K74" s="35"/>
    </row>
    <row r="75" spans="1:11" s="4" customFormat="1" ht="18.75" customHeight="1" x14ac:dyDescent="0.15">
      <c r="A75" s="1"/>
      <c r="B75" s="288"/>
      <c r="C75" s="289"/>
      <c r="D75" s="289"/>
      <c r="E75" s="289"/>
      <c r="F75" s="289"/>
      <c r="G75" s="289"/>
      <c r="H75" s="289"/>
      <c r="I75" s="289"/>
      <c r="J75" s="290"/>
      <c r="K75" s="35"/>
    </row>
    <row r="76" spans="1:11" s="4" customFormat="1" ht="18.75" customHeight="1" x14ac:dyDescent="0.15">
      <c r="A76" s="1"/>
      <c r="B76" s="288"/>
      <c r="C76" s="289"/>
      <c r="D76" s="289"/>
      <c r="E76" s="289"/>
      <c r="F76" s="289"/>
      <c r="G76" s="289"/>
      <c r="H76" s="289"/>
      <c r="I76" s="289"/>
      <c r="J76" s="290"/>
      <c r="K76" s="35"/>
    </row>
    <row r="77" spans="1:11" s="4" customFormat="1" ht="18.75" customHeight="1" x14ac:dyDescent="0.15">
      <c r="A77" s="1"/>
      <c r="B77" s="288"/>
      <c r="C77" s="289"/>
      <c r="D77" s="289"/>
      <c r="E77" s="289"/>
      <c r="F77" s="289"/>
      <c r="G77" s="289"/>
      <c r="H77" s="289"/>
      <c r="I77" s="289"/>
      <c r="J77" s="290"/>
      <c r="K77" s="35"/>
    </row>
    <row r="78" spans="1:11" s="4" customFormat="1" ht="18.75" customHeight="1" x14ac:dyDescent="0.15">
      <c r="A78" s="1"/>
      <c r="B78" s="288"/>
      <c r="C78" s="289"/>
      <c r="D78" s="289"/>
      <c r="E78" s="289"/>
      <c r="F78" s="289"/>
      <c r="G78" s="289"/>
      <c r="H78" s="289"/>
      <c r="I78" s="289"/>
      <c r="J78" s="290"/>
      <c r="K78" s="35"/>
    </row>
    <row r="79" spans="1:11" s="4" customFormat="1" ht="18.75" customHeight="1" x14ac:dyDescent="0.15">
      <c r="A79" s="1"/>
      <c r="B79" s="288"/>
      <c r="C79" s="289"/>
      <c r="D79" s="289"/>
      <c r="E79" s="289"/>
      <c r="F79" s="289"/>
      <c r="G79" s="289"/>
      <c r="H79" s="289"/>
      <c r="I79" s="289"/>
      <c r="J79" s="290"/>
      <c r="K79" s="35"/>
    </row>
    <row r="80" spans="1:11" s="4" customFormat="1" ht="18.75" customHeight="1" x14ac:dyDescent="0.15">
      <c r="A80" s="1"/>
      <c r="B80" s="288"/>
      <c r="C80" s="289"/>
      <c r="D80" s="289"/>
      <c r="E80" s="289"/>
      <c r="F80" s="289"/>
      <c r="G80" s="289"/>
      <c r="H80" s="289"/>
      <c r="I80" s="289"/>
      <c r="J80" s="290"/>
      <c r="K80" s="35"/>
    </row>
    <row r="81" spans="1:11" s="4" customFormat="1" ht="18.75" customHeight="1" x14ac:dyDescent="0.15">
      <c r="A81" s="1"/>
      <c r="B81" s="288"/>
      <c r="C81" s="289"/>
      <c r="D81" s="289"/>
      <c r="E81" s="289"/>
      <c r="F81" s="289"/>
      <c r="G81" s="289"/>
      <c r="H81" s="289"/>
      <c r="I81" s="289"/>
      <c r="J81" s="290"/>
      <c r="K81" s="35"/>
    </row>
    <row r="82" spans="1:11" s="4" customFormat="1" ht="18.75" customHeight="1" x14ac:dyDescent="0.15">
      <c r="A82" s="1"/>
      <c r="B82" s="288"/>
      <c r="C82" s="289"/>
      <c r="D82" s="289"/>
      <c r="E82" s="289"/>
      <c r="F82" s="289"/>
      <c r="G82" s="289"/>
      <c r="H82" s="289"/>
      <c r="I82" s="289"/>
      <c r="J82" s="290"/>
      <c r="K82" s="35"/>
    </row>
    <row r="83" spans="1:11" s="4" customFormat="1" ht="18.75" customHeight="1" x14ac:dyDescent="0.15">
      <c r="A83" s="1"/>
      <c r="B83" s="288"/>
      <c r="C83" s="289"/>
      <c r="D83" s="289"/>
      <c r="E83" s="289"/>
      <c r="F83" s="289"/>
      <c r="G83" s="289"/>
      <c r="H83" s="289"/>
      <c r="I83" s="289"/>
      <c r="J83" s="290"/>
      <c r="K83" s="35"/>
    </row>
    <row r="84" spans="1:11" s="4" customFormat="1" ht="18.75" customHeight="1" x14ac:dyDescent="0.15">
      <c r="A84" s="1"/>
      <c r="B84" s="288"/>
      <c r="C84" s="289"/>
      <c r="D84" s="289"/>
      <c r="E84" s="289"/>
      <c r="F84" s="289"/>
      <c r="G84" s="289"/>
      <c r="H84" s="289"/>
      <c r="I84" s="289"/>
      <c r="J84" s="290"/>
      <c r="K84" s="35"/>
    </row>
    <row r="85" spans="1:11" ht="18.75" customHeight="1" x14ac:dyDescent="0.15">
      <c r="A85" s="39"/>
      <c r="B85" s="288"/>
      <c r="C85" s="289"/>
      <c r="D85" s="289"/>
      <c r="E85" s="289"/>
      <c r="F85" s="289"/>
      <c r="G85" s="289"/>
      <c r="H85" s="289"/>
      <c r="I85" s="289"/>
      <c r="J85" s="290"/>
      <c r="K85" s="35"/>
    </row>
    <row r="86" spans="1:11" ht="18.75" customHeight="1" x14ac:dyDescent="0.15">
      <c r="A86" s="39"/>
      <c r="B86" s="291"/>
      <c r="C86" s="292"/>
      <c r="D86" s="292"/>
      <c r="E86" s="292"/>
      <c r="F86" s="292"/>
      <c r="G86" s="292"/>
      <c r="H86" s="292"/>
      <c r="I86" s="292"/>
      <c r="J86" s="293"/>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76" t="s">
        <v>192</v>
      </c>
      <c r="C89" s="285"/>
      <c r="D89" s="285"/>
      <c r="E89" s="285"/>
      <c r="F89" s="285"/>
      <c r="G89" s="285"/>
      <c r="H89" s="285"/>
      <c r="I89" s="286"/>
      <c r="J89" s="287"/>
      <c r="K89" s="31"/>
    </row>
    <row r="90" spans="1:11" s="4" customFormat="1" ht="18.75" customHeight="1" x14ac:dyDescent="0.15">
      <c r="A90" s="1"/>
      <c r="B90" s="288"/>
      <c r="C90" s="289"/>
      <c r="D90" s="289"/>
      <c r="E90" s="289"/>
      <c r="F90" s="289"/>
      <c r="G90" s="289"/>
      <c r="H90" s="289"/>
      <c r="I90" s="289"/>
      <c r="J90" s="290"/>
      <c r="K90" s="35"/>
    </row>
    <row r="91" spans="1:11" s="4" customFormat="1" ht="18.75" customHeight="1" x14ac:dyDescent="0.15">
      <c r="A91" s="1"/>
      <c r="B91" s="288"/>
      <c r="C91" s="289"/>
      <c r="D91" s="289"/>
      <c r="E91" s="289"/>
      <c r="F91" s="289"/>
      <c r="G91" s="289"/>
      <c r="H91" s="289"/>
      <c r="I91" s="289"/>
      <c r="J91" s="290"/>
      <c r="K91" s="35" t="str">
        <f>IF(B89="","入力してください","")</f>
        <v/>
      </c>
    </row>
    <row r="92" spans="1:11" s="4" customFormat="1" ht="18.75" customHeight="1" x14ac:dyDescent="0.15">
      <c r="A92" s="1"/>
      <c r="B92" s="288"/>
      <c r="C92" s="289"/>
      <c r="D92" s="289"/>
      <c r="E92" s="289"/>
      <c r="F92" s="289"/>
      <c r="G92" s="289"/>
      <c r="H92" s="289"/>
      <c r="I92" s="289"/>
      <c r="J92" s="290"/>
      <c r="K92" s="35"/>
    </row>
    <row r="93" spans="1:11" s="4" customFormat="1" ht="18.75" customHeight="1" x14ac:dyDescent="0.15">
      <c r="A93" s="1"/>
      <c r="B93" s="288"/>
      <c r="C93" s="289"/>
      <c r="D93" s="289"/>
      <c r="E93" s="289"/>
      <c r="F93" s="289"/>
      <c r="G93" s="289"/>
      <c r="H93" s="289"/>
      <c r="I93" s="289"/>
      <c r="J93" s="290"/>
      <c r="K93" s="35"/>
    </row>
    <row r="94" spans="1:11" s="4" customFormat="1" ht="18.75" customHeight="1" x14ac:dyDescent="0.15">
      <c r="A94" s="1"/>
      <c r="B94" s="288"/>
      <c r="C94" s="289"/>
      <c r="D94" s="289"/>
      <c r="E94" s="289"/>
      <c r="F94" s="289"/>
      <c r="G94" s="289"/>
      <c r="H94" s="289"/>
      <c r="I94" s="289"/>
      <c r="J94" s="290"/>
      <c r="K94" s="35"/>
    </row>
    <row r="95" spans="1:11" s="4" customFormat="1" ht="18.75" customHeight="1" x14ac:dyDescent="0.15">
      <c r="A95" s="1"/>
      <c r="B95" s="288"/>
      <c r="C95" s="289"/>
      <c r="D95" s="289"/>
      <c r="E95" s="289"/>
      <c r="F95" s="289"/>
      <c r="G95" s="289"/>
      <c r="H95" s="289"/>
      <c r="I95" s="289"/>
      <c r="J95" s="290"/>
      <c r="K95" s="35"/>
    </row>
    <row r="96" spans="1:11" s="4" customFormat="1" ht="18.75" customHeight="1" x14ac:dyDescent="0.15">
      <c r="A96" s="1"/>
      <c r="B96" s="288"/>
      <c r="C96" s="289"/>
      <c r="D96" s="289"/>
      <c r="E96" s="289"/>
      <c r="F96" s="289"/>
      <c r="G96" s="289"/>
      <c r="H96" s="289"/>
      <c r="I96" s="289"/>
      <c r="J96" s="290"/>
      <c r="K96" s="35"/>
    </row>
    <row r="97" spans="1:11" s="4" customFormat="1" ht="18.75" customHeight="1" x14ac:dyDescent="0.15">
      <c r="A97" s="1"/>
      <c r="B97" s="288"/>
      <c r="C97" s="289"/>
      <c r="D97" s="289"/>
      <c r="E97" s="289"/>
      <c r="F97" s="289"/>
      <c r="G97" s="289"/>
      <c r="H97" s="289"/>
      <c r="I97" s="289"/>
      <c r="J97" s="290"/>
      <c r="K97" s="35"/>
    </row>
    <row r="98" spans="1:11" s="4" customFormat="1" ht="18.75" customHeight="1" x14ac:dyDescent="0.15">
      <c r="A98" s="1"/>
      <c r="B98" s="288"/>
      <c r="C98" s="289"/>
      <c r="D98" s="289"/>
      <c r="E98" s="289"/>
      <c r="F98" s="289"/>
      <c r="G98" s="289"/>
      <c r="H98" s="289"/>
      <c r="I98" s="289"/>
      <c r="J98" s="290"/>
      <c r="K98" s="35"/>
    </row>
    <row r="99" spans="1:11" s="4" customFormat="1" ht="18.75" customHeight="1" x14ac:dyDescent="0.15">
      <c r="A99" s="1"/>
      <c r="B99" s="288"/>
      <c r="C99" s="289"/>
      <c r="D99" s="289"/>
      <c r="E99" s="289"/>
      <c r="F99" s="289"/>
      <c r="G99" s="289"/>
      <c r="H99" s="289"/>
      <c r="I99" s="289"/>
      <c r="J99" s="290"/>
      <c r="K99" s="35"/>
    </row>
    <row r="100" spans="1:11" s="4" customFormat="1" ht="18.75" customHeight="1" x14ac:dyDescent="0.15">
      <c r="A100" s="1"/>
      <c r="B100" s="288"/>
      <c r="C100" s="289"/>
      <c r="D100" s="289"/>
      <c r="E100" s="289"/>
      <c r="F100" s="289"/>
      <c r="G100" s="289"/>
      <c r="H100" s="289"/>
      <c r="I100" s="289"/>
      <c r="J100" s="290"/>
      <c r="K100" s="35"/>
    </row>
    <row r="101" spans="1:11" s="4" customFormat="1" ht="18.75" customHeight="1" x14ac:dyDescent="0.15">
      <c r="A101" s="1"/>
      <c r="B101" s="288"/>
      <c r="C101" s="289"/>
      <c r="D101" s="289"/>
      <c r="E101" s="289"/>
      <c r="F101" s="289"/>
      <c r="G101" s="289"/>
      <c r="H101" s="289"/>
      <c r="I101" s="289"/>
      <c r="J101" s="290"/>
      <c r="K101" s="35"/>
    </row>
    <row r="102" spans="1:11" s="4" customFormat="1" ht="18.75" customHeight="1" x14ac:dyDescent="0.15">
      <c r="A102" s="1"/>
      <c r="B102" s="288"/>
      <c r="C102" s="289"/>
      <c r="D102" s="289"/>
      <c r="E102" s="289"/>
      <c r="F102" s="289"/>
      <c r="G102" s="289"/>
      <c r="H102" s="289"/>
      <c r="I102" s="289"/>
      <c r="J102" s="290"/>
      <c r="K102" s="35"/>
    </row>
    <row r="103" spans="1:11" s="4" customFormat="1" ht="18.75" customHeight="1" x14ac:dyDescent="0.15">
      <c r="A103" s="1"/>
      <c r="B103" s="288"/>
      <c r="C103" s="289"/>
      <c r="D103" s="289"/>
      <c r="E103" s="289"/>
      <c r="F103" s="289"/>
      <c r="G103" s="289"/>
      <c r="H103" s="289"/>
      <c r="I103" s="289"/>
      <c r="J103" s="290"/>
      <c r="K103" s="35"/>
    </row>
    <row r="104" spans="1:11" s="4" customFormat="1" ht="18.75" customHeight="1" x14ac:dyDescent="0.15">
      <c r="A104" s="1"/>
      <c r="B104" s="288"/>
      <c r="C104" s="289"/>
      <c r="D104" s="289"/>
      <c r="E104" s="289"/>
      <c r="F104" s="289"/>
      <c r="G104" s="289"/>
      <c r="H104" s="289"/>
      <c r="I104" s="289"/>
      <c r="J104" s="290"/>
      <c r="K104" s="35"/>
    </row>
    <row r="105" spans="1:11" s="4" customFormat="1" ht="18.75" customHeight="1" x14ac:dyDescent="0.15">
      <c r="A105" s="1"/>
      <c r="B105" s="288"/>
      <c r="C105" s="289"/>
      <c r="D105" s="289"/>
      <c r="E105" s="289"/>
      <c r="F105" s="289"/>
      <c r="G105" s="289"/>
      <c r="H105" s="289"/>
      <c r="I105" s="289"/>
      <c r="J105" s="290"/>
      <c r="K105" s="35"/>
    </row>
    <row r="106" spans="1:11" s="4" customFormat="1" ht="18.75" customHeight="1" x14ac:dyDescent="0.15">
      <c r="A106" s="1"/>
      <c r="B106" s="288"/>
      <c r="C106" s="289"/>
      <c r="D106" s="289"/>
      <c r="E106" s="289"/>
      <c r="F106" s="289"/>
      <c r="G106" s="289"/>
      <c r="H106" s="289"/>
      <c r="I106" s="289"/>
      <c r="J106" s="290"/>
      <c r="K106" s="35"/>
    </row>
    <row r="107" spans="1:11" ht="18.75" customHeight="1" x14ac:dyDescent="0.15">
      <c r="A107" s="39"/>
      <c r="B107" s="288"/>
      <c r="C107" s="289"/>
      <c r="D107" s="289"/>
      <c r="E107" s="289"/>
      <c r="F107" s="289"/>
      <c r="G107" s="289"/>
      <c r="H107" s="289"/>
      <c r="I107" s="289"/>
      <c r="J107" s="290"/>
      <c r="K107" s="35"/>
    </row>
    <row r="108" spans="1:11" ht="18.75" customHeight="1" x14ac:dyDescent="0.15">
      <c r="A108" s="39"/>
      <c r="B108" s="291"/>
      <c r="C108" s="292"/>
      <c r="D108" s="292"/>
      <c r="E108" s="292"/>
      <c r="F108" s="292"/>
      <c r="G108" s="292"/>
      <c r="H108" s="292"/>
      <c r="I108" s="292"/>
      <c r="J108" s="293"/>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294" t="s">
        <v>177</v>
      </c>
      <c r="C110" s="294"/>
      <c r="D110" s="294"/>
      <c r="E110" s="294"/>
      <c r="F110" s="294"/>
      <c r="G110" s="294"/>
      <c r="H110" s="294"/>
      <c r="I110" s="294"/>
      <c r="J110" s="294"/>
      <c r="K110" s="31"/>
    </row>
    <row r="111" spans="1:11" ht="18.75" customHeight="1" x14ac:dyDescent="0.15">
      <c r="A111" s="39"/>
      <c r="B111" s="276" t="s">
        <v>193</v>
      </c>
      <c r="C111" s="277"/>
      <c r="D111" s="277"/>
      <c r="E111" s="277"/>
      <c r="F111" s="277"/>
      <c r="G111" s="277"/>
      <c r="H111" s="277"/>
      <c r="I111" s="295"/>
      <c r="J111" s="296"/>
    </row>
    <row r="112" spans="1:11" ht="18.75" customHeight="1" x14ac:dyDescent="0.15">
      <c r="A112" s="39"/>
      <c r="B112" s="297"/>
      <c r="C112" s="298"/>
      <c r="D112" s="298"/>
      <c r="E112" s="298"/>
      <c r="F112" s="298"/>
      <c r="G112" s="298"/>
      <c r="H112" s="298"/>
      <c r="I112" s="298"/>
      <c r="J112" s="299"/>
      <c r="K112" s="35"/>
    </row>
    <row r="113" spans="1:11" ht="18.75" customHeight="1" x14ac:dyDescent="0.15">
      <c r="A113" s="39"/>
      <c r="B113" s="297"/>
      <c r="C113" s="298"/>
      <c r="D113" s="298"/>
      <c r="E113" s="298"/>
      <c r="F113" s="298"/>
      <c r="G113" s="298"/>
      <c r="H113" s="298"/>
      <c r="I113" s="298"/>
      <c r="J113" s="299"/>
      <c r="K113" s="31" t="str">
        <f>IF(B111="","入力してください","")</f>
        <v/>
      </c>
    </row>
    <row r="114" spans="1:11" ht="18.75" customHeight="1" x14ac:dyDescent="0.15">
      <c r="A114" s="39"/>
      <c r="B114" s="297"/>
      <c r="C114" s="298"/>
      <c r="D114" s="298"/>
      <c r="E114" s="298"/>
      <c r="F114" s="298"/>
      <c r="G114" s="298"/>
      <c r="H114" s="298"/>
      <c r="I114" s="298"/>
      <c r="J114" s="299"/>
    </row>
    <row r="115" spans="1:11" ht="18.75" customHeight="1" x14ac:dyDescent="0.15">
      <c r="A115" s="39"/>
      <c r="B115" s="297"/>
      <c r="C115" s="298"/>
      <c r="D115" s="298"/>
      <c r="E115" s="298"/>
      <c r="F115" s="298"/>
      <c r="G115" s="298"/>
      <c r="H115" s="298"/>
      <c r="I115" s="298"/>
      <c r="J115" s="299"/>
    </row>
    <row r="116" spans="1:11" ht="18.75" customHeight="1" x14ac:dyDescent="0.15">
      <c r="A116" s="39"/>
      <c r="B116" s="297"/>
      <c r="C116" s="298"/>
      <c r="D116" s="298"/>
      <c r="E116" s="298"/>
      <c r="F116" s="298"/>
      <c r="G116" s="298"/>
      <c r="H116" s="298"/>
      <c r="I116" s="298"/>
      <c r="J116" s="299"/>
    </row>
    <row r="117" spans="1:11" ht="18.75" customHeight="1" x14ac:dyDescent="0.15">
      <c r="A117" s="39"/>
      <c r="B117" s="297"/>
      <c r="C117" s="298"/>
      <c r="D117" s="298"/>
      <c r="E117" s="298"/>
      <c r="F117" s="298"/>
      <c r="G117" s="298"/>
      <c r="H117" s="298"/>
      <c r="I117" s="298"/>
      <c r="J117" s="299"/>
    </row>
    <row r="118" spans="1:11" ht="18.75" customHeight="1" x14ac:dyDescent="0.15">
      <c r="A118" s="39"/>
      <c r="B118" s="297"/>
      <c r="C118" s="298"/>
      <c r="D118" s="298"/>
      <c r="E118" s="298"/>
      <c r="F118" s="298"/>
      <c r="G118" s="298"/>
      <c r="H118" s="298"/>
      <c r="I118" s="298"/>
      <c r="J118" s="299"/>
    </row>
    <row r="119" spans="1:11" ht="18.75" customHeight="1" x14ac:dyDescent="0.15">
      <c r="A119" s="39"/>
      <c r="B119" s="297"/>
      <c r="C119" s="298"/>
      <c r="D119" s="298"/>
      <c r="E119" s="298"/>
      <c r="F119" s="298"/>
      <c r="G119" s="298"/>
      <c r="H119" s="298"/>
      <c r="I119" s="298"/>
      <c r="J119" s="299"/>
    </row>
    <row r="120" spans="1:11" ht="18.75" customHeight="1" x14ac:dyDescent="0.15">
      <c r="A120" s="39"/>
      <c r="B120" s="297"/>
      <c r="C120" s="298"/>
      <c r="D120" s="298"/>
      <c r="E120" s="298"/>
      <c r="F120" s="298"/>
      <c r="G120" s="298"/>
      <c r="H120" s="298"/>
      <c r="I120" s="298"/>
      <c r="J120" s="299"/>
    </row>
    <row r="121" spans="1:11" ht="18.75" customHeight="1" x14ac:dyDescent="0.15">
      <c r="A121" s="39"/>
      <c r="B121" s="297"/>
      <c r="C121" s="298"/>
      <c r="D121" s="298"/>
      <c r="E121" s="298"/>
      <c r="F121" s="298"/>
      <c r="G121" s="298"/>
      <c r="H121" s="298"/>
      <c r="I121" s="298"/>
      <c r="J121" s="299"/>
    </row>
    <row r="122" spans="1:11" ht="18.75" customHeight="1" x14ac:dyDescent="0.15">
      <c r="A122" s="39"/>
      <c r="B122" s="297"/>
      <c r="C122" s="298"/>
      <c r="D122" s="298"/>
      <c r="E122" s="298"/>
      <c r="F122" s="298"/>
      <c r="G122" s="298"/>
      <c r="H122" s="298"/>
      <c r="I122" s="298"/>
      <c r="J122" s="299"/>
    </row>
    <row r="123" spans="1:11" ht="18.75" customHeight="1" x14ac:dyDescent="0.15">
      <c r="A123" s="39"/>
      <c r="B123" s="297"/>
      <c r="C123" s="298"/>
      <c r="D123" s="298"/>
      <c r="E123" s="298"/>
      <c r="F123" s="298"/>
      <c r="G123" s="298"/>
      <c r="H123" s="298"/>
      <c r="I123" s="298"/>
      <c r="J123" s="299"/>
    </row>
    <row r="124" spans="1:11" ht="18.75" customHeight="1" x14ac:dyDescent="0.15">
      <c r="A124" s="39"/>
      <c r="B124" s="297"/>
      <c r="C124" s="298"/>
      <c r="D124" s="298"/>
      <c r="E124" s="298"/>
      <c r="F124" s="298"/>
      <c r="G124" s="298"/>
      <c r="H124" s="298"/>
      <c r="I124" s="298"/>
      <c r="J124" s="299"/>
    </row>
    <row r="125" spans="1:11" ht="18.75" customHeight="1" x14ac:dyDescent="0.15">
      <c r="A125" s="39"/>
      <c r="B125" s="297"/>
      <c r="C125" s="298"/>
      <c r="D125" s="298"/>
      <c r="E125" s="298"/>
      <c r="F125" s="298"/>
      <c r="G125" s="298"/>
      <c r="H125" s="298"/>
      <c r="I125" s="298"/>
      <c r="J125" s="299"/>
    </row>
    <row r="126" spans="1:11" ht="18.75" customHeight="1" x14ac:dyDescent="0.15">
      <c r="A126" s="39"/>
      <c r="B126" s="297"/>
      <c r="C126" s="298"/>
      <c r="D126" s="298"/>
      <c r="E126" s="298"/>
      <c r="F126" s="298"/>
      <c r="G126" s="298"/>
      <c r="H126" s="298"/>
      <c r="I126" s="298"/>
      <c r="J126" s="299"/>
    </row>
    <row r="127" spans="1:11" ht="18.75" customHeight="1" x14ac:dyDescent="0.15">
      <c r="A127" s="39"/>
      <c r="B127" s="297"/>
      <c r="C127" s="298"/>
      <c r="D127" s="298"/>
      <c r="E127" s="298"/>
      <c r="F127" s="298"/>
      <c r="G127" s="298"/>
      <c r="H127" s="298"/>
      <c r="I127" s="298"/>
      <c r="J127" s="299"/>
    </row>
    <row r="128" spans="1:11" ht="18.75" customHeight="1" x14ac:dyDescent="0.15">
      <c r="A128" s="39"/>
      <c r="B128" s="297"/>
      <c r="C128" s="298"/>
      <c r="D128" s="298"/>
      <c r="E128" s="298"/>
      <c r="F128" s="298"/>
      <c r="G128" s="298"/>
      <c r="H128" s="298"/>
      <c r="I128" s="298"/>
      <c r="J128" s="299"/>
    </row>
    <row r="129" spans="1:10" ht="18.75" customHeight="1" x14ac:dyDescent="0.15">
      <c r="A129" s="39"/>
      <c r="B129" s="300"/>
      <c r="C129" s="301"/>
      <c r="D129" s="301"/>
      <c r="E129" s="301"/>
      <c r="F129" s="301"/>
      <c r="G129" s="301"/>
      <c r="H129" s="301"/>
      <c r="I129" s="301"/>
      <c r="J129" s="302"/>
    </row>
    <row r="130" spans="1:10" ht="7.5" customHeight="1" x14ac:dyDescent="0.15">
      <c r="A130" s="39"/>
      <c r="B130" s="101"/>
      <c r="C130" s="101"/>
      <c r="D130" s="101"/>
      <c r="E130" s="101"/>
      <c r="F130" s="101"/>
      <c r="G130" s="101"/>
      <c r="H130" s="101"/>
      <c r="I130" s="101"/>
      <c r="J130" s="101"/>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2"/>
      <c r="B144" s="102"/>
      <c r="C144" s="102"/>
      <c r="D144" s="102"/>
      <c r="E144" s="102"/>
      <c r="F144" s="102"/>
      <c r="G144" s="102"/>
      <c r="H144" s="102"/>
      <c r="I144" s="102"/>
      <c r="J144" s="102"/>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tabSelected="1" view="pageBreakPreview" topLeftCell="A16" zoomScale="69" zoomScaleNormal="100" zoomScaleSheetLayoutView="69" workbookViewId="0">
      <selection activeCell="G18" sqref="G18:J18"/>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41" t="s">
        <v>73</v>
      </c>
    </row>
    <row r="2" spans="1:11" ht="18.75" customHeight="1" x14ac:dyDescent="0.15">
      <c r="A2" s="259" t="s">
        <v>42</v>
      </c>
      <c r="B2" s="259"/>
      <c r="C2" s="259"/>
      <c r="D2" s="259"/>
      <c r="E2" s="259"/>
      <c r="F2" s="259"/>
      <c r="G2" s="259"/>
      <c r="H2" s="259"/>
      <c r="I2" s="259"/>
      <c r="J2" s="259"/>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50" t="s">
        <v>38</v>
      </c>
      <c r="C5" s="351"/>
      <c r="D5" s="352"/>
      <c r="E5" s="353" t="s">
        <v>40</v>
      </c>
      <c r="F5" s="353"/>
      <c r="G5" s="353"/>
      <c r="H5" s="353"/>
      <c r="I5" s="353"/>
      <c r="J5" s="354"/>
    </row>
    <row r="6" spans="1:11" ht="18.75" customHeight="1" x14ac:dyDescent="0.15">
      <c r="B6" s="3" t="s">
        <v>28</v>
      </c>
      <c r="C6" s="39"/>
      <c r="D6" s="7"/>
      <c r="I6" s="40"/>
      <c r="J6" s="5"/>
    </row>
    <row r="7" spans="1:11" ht="207" customHeight="1" x14ac:dyDescent="0.15">
      <c r="B7" s="6"/>
      <c r="C7" s="335" t="s">
        <v>29</v>
      </c>
      <c r="D7" s="336"/>
      <c r="E7" s="347" t="s">
        <v>187</v>
      </c>
      <c r="F7" s="330"/>
      <c r="G7" s="330"/>
      <c r="H7" s="330"/>
      <c r="I7" s="330"/>
      <c r="J7" s="331"/>
      <c r="K7" s="31" t="str">
        <f>IF(E7="","入力してください","")</f>
        <v/>
      </c>
    </row>
    <row r="8" spans="1:11" ht="207" customHeight="1" x14ac:dyDescent="0.15">
      <c r="B8" s="6"/>
      <c r="C8" s="348" t="s">
        <v>30</v>
      </c>
      <c r="D8" s="349"/>
      <c r="E8" s="347" t="s">
        <v>194</v>
      </c>
      <c r="F8" s="330"/>
      <c r="G8" s="330"/>
      <c r="H8" s="330"/>
      <c r="I8" s="330"/>
      <c r="J8" s="331"/>
      <c r="K8" s="31" t="str">
        <f>IF(E8="","入力してください","")</f>
        <v/>
      </c>
    </row>
    <row r="9" spans="1:11" ht="172.5" customHeight="1" x14ac:dyDescent="0.15">
      <c r="B9" s="6"/>
      <c r="C9" s="342" t="s">
        <v>31</v>
      </c>
      <c r="D9" s="343"/>
      <c r="E9" s="344" t="s">
        <v>204</v>
      </c>
      <c r="F9" s="345"/>
      <c r="G9" s="345"/>
      <c r="H9" s="345"/>
      <c r="I9" s="345"/>
      <c r="J9" s="346"/>
      <c r="K9" s="31" t="str">
        <f>IF(E9="","入力してください","")</f>
        <v/>
      </c>
    </row>
    <row r="10" spans="1:11" ht="172.5" customHeight="1" x14ac:dyDescent="0.15">
      <c r="B10" s="6"/>
      <c r="C10" s="335" t="s">
        <v>32</v>
      </c>
      <c r="D10" s="336"/>
      <c r="E10" s="347" t="s">
        <v>188</v>
      </c>
      <c r="F10" s="330"/>
      <c r="G10" s="330"/>
      <c r="H10" s="330"/>
      <c r="I10" s="330"/>
      <c r="J10" s="331"/>
      <c r="K10" s="31" t="str">
        <f t="shared" ref="K10:K14" si="0">IF(E10="","入力してください","")</f>
        <v/>
      </c>
    </row>
    <row r="11" spans="1:11" ht="172.5" customHeight="1" x14ac:dyDescent="0.15">
      <c r="B11" s="6"/>
      <c r="C11" s="335" t="s">
        <v>33</v>
      </c>
      <c r="D11" s="336"/>
      <c r="E11" s="347" t="s">
        <v>195</v>
      </c>
      <c r="F11" s="330"/>
      <c r="G11" s="330"/>
      <c r="H11" s="330"/>
      <c r="I11" s="330"/>
      <c r="J11" s="331"/>
      <c r="K11" s="31" t="str">
        <f t="shared" si="0"/>
        <v/>
      </c>
    </row>
    <row r="12" spans="1:11" ht="18.75" customHeight="1" x14ac:dyDescent="0.15">
      <c r="B12" s="9" t="s">
        <v>34</v>
      </c>
      <c r="C12" s="28"/>
      <c r="D12" s="8"/>
      <c r="E12" s="32"/>
      <c r="F12" s="32"/>
      <c r="G12" s="32"/>
      <c r="H12" s="32"/>
      <c r="I12" s="32"/>
      <c r="J12" s="33"/>
    </row>
    <row r="13" spans="1:11" ht="244.15" customHeight="1" x14ac:dyDescent="0.15">
      <c r="B13" s="6"/>
      <c r="C13" s="335" t="s">
        <v>35</v>
      </c>
      <c r="D13" s="336"/>
      <c r="E13" s="330" t="s">
        <v>196</v>
      </c>
      <c r="F13" s="330"/>
      <c r="G13" s="330"/>
      <c r="H13" s="330"/>
      <c r="I13" s="330"/>
      <c r="J13" s="331"/>
      <c r="K13" s="31" t="str">
        <f t="shared" si="0"/>
        <v/>
      </c>
    </row>
    <row r="14" spans="1:11" ht="255" customHeight="1" x14ac:dyDescent="0.15">
      <c r="B14" s="6"/>
      <c r="C14" s="335" t="s">
        <v>36</v>
      </c>
      <c r="D14" s="336"/>
      <c r="E14" s="337" t="s">
        <v>211</v>
      </c>
      <c r="F14" s="338"/>
      <c r="G14" s="338"/>
      <c r="H14" s="338"/>
      <c r="I14" s="338"/>
      <c r="J14" s="339"/>
      <c r="K14" s="31" t="str">
        <f t="shared" si="0"/>
        <v/>
      </c>
    </row>
    <row r="15" spans="1:11" ht="243" customHeight="1" x14ac:dyDescent="0.15">
      <c r="B15" s="340" t="s">
        <v>37</v>
      </c>
      <c r="C15" s="341"/>
      <c r="D15" s="336"/>
      <c r="E15" s="330" t="s">
        <v>178</v>
      </c>
      <c r="F15" s="330"/>
      <c r="G15" s="330"/>
      <c r="H15" s="330"/>
      <c r="I15" s="330"/>
      <c r="J15" s="331"/>
      <c r="K15" s="31" t="str">
        <f>IF(E15="","入力してください","")</f>
        <v/>
      </c>
    </row>
    <row r="16" spans="1:11" ht="243" customHeight="1" x14ac:dyDescent="0.15">
      <c r="A16" s="31"/>
      <c r="B16" s="327" t="s">
        <v>66</v>
      </c>
      <c r="C16" s="328"/>
      <c r="D16" s="329"/>
      <c r="E16" s="330" t="s">
        <v>189</v>
      </c>
      <c r="F16" s="330"/>
      <c r="G16" s="330"/>
      <c r="H16" s="330"/>
      <c r="I16" s="330"/>
      <c r="J16" s="331"/>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124</v>
      </c>
      <c r="B18" s="4"/>
      <c r="C18" s="39"/>
      <c r="D18" s="39"/>
      <c r="E18" s="40"/>
      <c r="F18" s="93"/>
      <c r="G18" s="332" t="s">
        <v>214</v>
      </c>
      <c r="H18" s="333"/>
      <c r="I18" s="333"/>
      <c r="J18" s="334"/>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3"/>
      <c r="C24" s="103"/>
      <c r="D24" s="103"/>
      <c r="E24" s="103"/>
      <c r="F24" s="103"/>
      <c r="G24" s="103"/>
      <c r="H24" s="103"/>
      <c r="I24" s="103"/>
      <c r="J24" s="103"/>
    </row>
    <row r="25" spans="1:11" ht="22.5" customHeight="1" x14ac:dyDescent="0.15">
      <c r="B25" s="103"/>
      <c r="C25" s="103"/>
      <c r="D25" s="103"/>
      <c r="E25" s="103"/>
      <c r="F25" s="103"/>
      <c r="G25" s="103"/>
      <c r="H25" s="103"/>
      <c r="I25" s="103"/>
      <c r="J25" s="103"/>
    </row>
    <row r="26" spans="1:11" ht="22.5" customHeight="1" x14ac:dyDescent="0.15">
      <c r="B26" s="103"/>
      <c r="C26" s="103"/>
      <c r="D26" s="103"/>
      <c r="E26" s="103"/>
      <c r="F26" s="103"/>
      <c r="G26" s="103"/>
      <c r="H26" s="103"/>
      <c r="I26" s="103"/>
      <c r="J26" s="103"/>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61CDC1C8-75AF-4893-A9E6-7193630282DE}"/>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M-sakai01</cp:lastModifiedBy>
  <cp:lastPrinted>2022-05-20T06:01:17Z</cp:lastPrinted>
  <dcterms:created xsi:type="dcterms:W3CDTF">2011-06-14T05:32:50Z</dcterms:created>
  <dcterms:modified xsi:type="dcterms:W3CDTF">2022-07-15T00:15:29Z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