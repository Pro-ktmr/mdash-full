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92.168.130.10\学務課共有\学務係\11_機構・文科省関係\08_数理・データサイエンス･AI\R404提出用書類\申請書(提出用)\04_提出後修正依頼2\"/>
    </mc:Choice>
  </mc:AlternateContent>
  <bookViews>
    <workbookView xWindow="0" yWindow="0" windowWidth="38400" windowHeight="16830" tabRatio="885" activeTab="2"/>
  </bookViews>
  <sheets>
    <sheet name="様式１　大学等概要" sheetId="8" r:id="rId1"/>
    <sheet name="様式２－１　プログラムを構成する授業科目" sheetId="39" r:id="rId2"/>
    <sheet name="様式２－２　プログラムを構成する授業科目" sheetId="45" r:id="rId3"/>
    <sheet name="様式３　履修者等数の実績" sheetId="40" r:id="rId4"/>
    <sheet name="様式４　教育の質・履修者数を向上させるための体制・計画" sheetId="41" r:id="rId5"/>
    <sheet name="様式５　自己点検・評価" sheetId="42" r:id="rId6"/>
  </sheets>
  <definedNames>
    <definedName name="_xlnm._FilterDatabase" localSheetId="1" hidden="1">'様式２－１　プログラムを構成する授業科目'!#REF!</definedName>
    <definedName name="_xlnm._FilterDatabase" localSheetId="2" hidden="1">'様式２－２　プログラムを構成する授業科目'!#REF!</definedName>
    <definedName name="_xlnm._FilterDatabase" localSheetId="3" hidden="1">'様式３　履修者等数の実績'!#REF!</definedName>
    <definedName name="_xlnm.Print_Area" localSheetId="0">'様式１　大学等概要'!$A$1:$N$45</definedName>
    <definedName name="_xlnm.Print_Area" localSheetId="1">'様式２－１　プログラムを構成する授業科目'!$A$1:$Z$94</definedName>
    <definedName name="_xlnm.Print_Area" localSheetId="2">'様式２－２　プログラムを構成する授業科目'!$A$1:$Z$94</definedName>
    <definedName name="_xlnm.Print_Area" localSheetId="3">'様式３　履修者等数の実績'!$A$1:$R$30</definedName>
    <definedName name="_xlnm.Print_Area" localSheetId="4">'様式４　教育の質・履修者数を向上させるための体制・計画'!$A$1:$J$62</definedName>
    <definedName name="_xlnm.Print_Area" localSheetId="5">'様式５　自己点検・評価'!$A$1:$J$18</definedName>
  </definedNames>
  <calcPr calcId="191029"/>
</workbook>
</file>

<file path=xl/calcChain.xml><?xml version="1.0" encoding="utf-8"?>
<calcChain xmlns="http://schemas.openxmlformats.org/spreadsheetml/2006/main">
  <c r="K5" i="41" l="1"/>
  <c r="K18" i="42" l="1"/>
  <c r="K16" i="42"/>
  <c r="K15" i="42"/>
  <c r="K9" i="42"/>
  <c r="K8" i="42"/>
  <c r="K7" i="42"/>
  <c r="K59" i="41"/>
  <c r="K52" i="41"/>
  <c r="K44" i="41"/>
  <c r="K38" i="41"/>
  <c r="K31" i="41"/>
  <c r="K15" i="41"/>
  <c r="K8"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R22" i="40"/>
  <c r="Q22" i="40"/>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10" i="40"/>
  <c r="R10" i="40" s="1"/>
  <c r="Q30" i="40" l="1"/>
  <c r="R30" i="40" s="1"/>
  <c r="C28" i="41" s="1"/>
</calcChain>
</file>

<file path=xl/sharedStrings.xml><?xml version="1.0" encoding="utf-8"?>
<sst xmlns="http://schemas.openxmlformats.org/spreadsheetml/2006/main" count="481" uniqueCount="223">
  <si>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</si>
  <si>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</si>
  <si>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</si>
  <si>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</si>
  <si>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香川高等専門学校</t>
    <rPh sb="0" eb="8">
      <t>カガワコウトウセンモンガッコウ</t>
    </rPh>
    <phoneticPr fontId="1"/>
  </si>
  <si>
    <t>②</t>
    <phoneticPr fontId="1"/>
  </si>
  <si>
    <t>大学等の設置者</t>
  </si>
  <si>
    <t>独立行政法人国立高等専門学校機構</t>
    <phoneticPr fontId="1"/>
  </si>
  <si>
    <t>③</t>
  </si>
  <si>
    <t>設置形態</t>
    <phoneticPr fontId="1"/>
  </si>
  <si>
    <t>高等専門学校</t>
  </si>
  <si>
    <t>④</t>
    <phoneticPr fontId="1"/>
  </si>
  <si>
    <t>所在地</t>
    <phoneticPr fontId="1"/>
  </si>
  <si>
    <t>香川県高松市勅使町３５５</t>
    <phoneticPr fontId="1"/>
  </si>
  <si>
    <t>⑤</t>
    <phoneticPr fontId="1"/>
  </si>
  <si>
    <t>申請するプログラム名称</t>
    <rPh sb="0" eb="2">
      <t>シンセイ</t>
    </rPh>
    <rPh sb="9" eb="11">
      <t>メイショウ</t>
    </rPh>
    <phoneticPr fontId="1"/>
  </si>
  <si>
    <t>香川高等専門学校　数理・データサイエンス・AI教育プログラム</t>
    <phoneticPr fontId="1"/>
  </si>
  <si>
    <t>⑥</t>
    <phoneticPr fontId="1"/>
  </si>
  <si>
    <t>プログラムの開設年度</t>
    <rPh sb="6" eb="8">
      <t>カイセツ</t>
    </rPh>
    <rPh sb="8" eb="10">
      <t>ネンド</t>
    </rPh>
    <phoneticPr fontId="1"/>
  </si>
  <si>
    <t>令和2年度</t>
    <phoneticPr fontId="1"/>
  </si>
  <si>
    <t>年度</t>
    <rPh sb="0" eb="2">
      <t>ネンド</t>
    </rPh>
    <phoneticPr fontId="1"/>
  </si>
  <si>
    <t>⑦応用基礎レベルの申請の有無</t>
    <phoneticPr fontId="1"/>
  </si>
  <si>
    <t>無</t>
  </si>
  <si>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</si>
  <si>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</si>
  <si>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</si>
  <si>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</si>
  <si>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</si>
  <si>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</si>
  <si>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</si>
  <si>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</si>
  <si>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</si>
  <si>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</si>
  <si>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</si>
  <si>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</si>
  <si>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</si>
  <si>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</si>
  <si>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</si>
  <si>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</si>
  <si>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</si>
  <si>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</si>
  <si>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</si>
  <si>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</si>
  <si>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</si>
  <si>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</si>
  <si>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田中　正夫</t>
    <rPh sb="0" eb="2">
      <t>タナカ</t>
    </rPh>
    <rPh sb="3" eb="5">
      <t>マサオ</t>
    </rPh>
    <phoneticPr fontId="1"/>
  </si>
  <si>
    <t>（役職名）</t>
    <rPh sb="1" eb="4">
      <t>ヤクショクメイ</t>
    </rPh>
    <phoneticPr fontId="1"/>
  </si>
  <si>
    <t>校長</t>
    <rPh sb="0" eb="2">
      <t>コウチョウ</t>
    </rPh>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</si>
  <si>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</si>
  <si>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</si>
  <si>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教務委員会</t>
    <rPh sb="0" eb="5">
      <t>キョウムイインカイ</t>
    </rPh>
    <phoneticPr fontId="1"/>
  </si>
  <si>
    <t>小島　隆史</t>
    <rPh sb="0" eb="2">
      <t>コジマ</t>
    </rPh>
    <rPh sb="3" eb="5">
      <t>タカフミ</t>
    </rPh>
    <phoneticPr fontId="1"/>
  </si>
  <si>
    <t>教務主事</t>
    <rPh sb="0" eb="4">
      <t>キョウムシュジ</t>
    </rPh>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</si>
  <si>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</si>
  <si>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</si>
  <si>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外部評価委員会</t>
    <rPh sb="0" eb="4">
      <t>ガイブヒョウカ</t>
    </rPh>
    <rPh sb="4" eb="7">
      <t>イインカイ</t>
    </rPh>
    <phoneticPr fontId="1"/>
  </si>
  <si>
    <t>⑮</t>
    <phoneticPr fontId="1"/>
  </si>
  <si>
    <t>申請する認定プログラム</t>
    <rPh sb="0" eb="2">
      <t>シンセイ</t>
    </rPh>
    <rPh sb="4" eb="6">
      <t>ニンテイ</t>
    </rPh>
    <phoneticPr fontId="1"/>
  </si>
  <si>
    <t>認定教育プログラム</t>
  </si>
  <si>
    <t>連絡先</t>
  </si>
  <si>
    <t>所属部署名</t>
    <rPh sb="0" eb="2">
      <t>ショゾク</t>
    </rPh>
    <rPh sb="2" eb="4">
      <t>ブショ</t>
    </rPh>
    <rPh sb="4" eb="5">
      <t>メイ</t>
    </rPh>
    <phoneticPr fontId="1"/>
  </si>
  <si>
    <t>学務課</t>
    <rPh sb="0" eb="3">
      <t>ガクムカ</t>
    </rPh>
    <phoneticPr fontId="1"/>
  </si>
  <si>
    <t>担当者名</t>
    <rPh sb="0" eb="2">
      <t>タントウ</t>
    </rPh>
    <rPh sb="2" eb="3">
      <t>シャ</t>
    </rPh>
    <rPh sb="3" eb="4">
      <t>メイ</t>
    </rPh>
    <phoneticPr fontId="1"/>
  </si>
  <si>
    <t>樋口　涼子</t>
    <rPh sb="0" eb="2">
      <t>ヒグチ</t>
    </rPh>
    <rPh sb="3" eb="5">
      <t>リョウコ</t>
    </rPh>
    <phoneticPr fontId="1"/>
  </si>
  <si>
    <t>E-mail</t>
  </si>
  <si>
    <t>gakumu@t.kagawa-nct.ac.jp</t>
    <phoneticPr fontId="1"/>
  </si>
  <si>
    <t>電話番号</t>
  </si>
  <si>
    <t>087-869-3832</t>
    <phoneticPr fontId="1"/>
  </si>
  <si>
    <t>様式２－１</t>
    <phoneticPr fontId="1"/>
  </si>
  <si>
    <t>プログラムを構成する授業科目について</t>
    <phoneticPr fontId="1"/>
  </si>
  <si>
    <t>①具体的な修了要件</t>
    <phoneticPr fontId="1"/>
  </si>
  <si>
    <t>②教育プログラムの修了要件</t>
    <phoneticPr fontId="1"/>
  </si>
  <si>
    <t>学部・学科によって、修了要件は相違する</t>
  </si>
  <si>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</si>
  <si>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</si>
  <si>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</si>
  <si>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</si>
  <si>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</si>
  <si>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</si>
  <si>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</si>
  <si>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工学リテラシー</t>
    <rPh sb="0" eb="2">
      <t>コウガク</t>
    </rPh>
    <phoneticPr fontId="1"/>
  </si>
  <si>
    <t>○</t>
  </si>
  <si>
    <t>一部開講</t>
  </si>
  <si>
    <t>社会Ⅱ</t>
    <rPh sb="0" eb="2">
      <t>シャカイ</t>
    </rPh>
    <phoneticPr fontId="1"/>
  </si>
  <si>
    <t>全学開講</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</si>
  <si>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</si>
  <si>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</si>
  <si>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</si>
  <si>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</si>
  <si>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</si>
  <si>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</si>
  <si>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応用数学Ⅰ</t>
    <rPh sb="0" eb="4">
      <t>オウヨウスウガク</t>
    </rPh>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</si>
  <si>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</si>
  <si>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</si>
  <si>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</si>
  <si>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</si>
  <si>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</si>
  <si>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</si>
  <si>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</si>
  <si>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t>
    <phoneticPr fontId="1"/>
  </si>
  <si>
    <t>〇</t>
    <phoneticPr fontId="1"/>
  </si>
  <si>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</si>
  <si>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</si>
  <si>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</si>
  <si>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</si>
  <si>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</si>
  <si>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</si>
  <si>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・情報社会の特徴と問題　「工学リテラシー」（前期１３回目）
・インターネットの仕組みと様々なサービス　「工学リテラシー」（後期１回目）
・科学技術の発達と生命「社会Ⅱ」（前期４回目）
・情報化の進展と生活　「社会Ⅱ」（前期５回目）</t>
    <rPh sb="1" eb="5">
      <t>ジョウホウシャカイ</t>
    </rPh>
    <rPh sb="6" eb="8">
      <t>トクチョウ</t>
    </rPh>
    <rPh sb="9" eb="11">
      <t>モンダイ</t>
    </rPh>
    <rPh sb="13" eb="15">
      <t>コウガク</t>
    </rPh>
    <rPh sb="22" eb="24">
      <t>ゼンキ</t>
    </rPh>
    <rPh sb="26" eb="28">
      <t>カイメ</t>
    </rPh>
    <rPh sb="39" eb="41">
      <t>シク</t>
    </rPh>
    <rPh sb="43" eb="45">
      <t>サマザマ</t>
    </rPh>
    <rPh sb="52" eb="54">
      <t>コウガク</t>
    </rPh>
    <rPh sb="61" eb="63">
      <t>コウキ</t>
    </rPh>
    <rPh sb="64" eb="66">
      <t>カイメ</t>
    </rPh>
    <rPh sb="80" eb="82">
      <t>シャカイ</t>
    </rPh>
    <rPh sb="85" eb="87">
      <t>ゼンキ</t>
    </rPh>
    <rPh sb="88" eb="90">
      <t>カイメ</t>
    </rPh>
    <rPh sb="104" eb="106">
      <t>シャカイ</t>
    </rPh>
    <rPh sb="109" eb="111">
      <t>ゼンキ</t>
    </rPh>
    <rPh sb="112" eb="114">
      <t>カイメ</t>
    </rPh>
    <phoneticPr fontId="1"/>
  </si>
  <si>
    <t>1-6</t>
    <phoneticPr fontId="1"/>
  </si>
  <si>
    <t>・社会における情報システム　「工学リテラシー」（後期２回目）</t>
    <phoneticPr fontId="1"/>
  </si>
  <si>
    <t>（２）「社会で活用されているデータ」や「データの活用領域」は非常に広範囲であって、日常生活や社会の課題を解決する有用なツールになり得るもの</t>
    <phoneticPr fontId="1"/>
  </si>
  <si>
    <t>・実験データの取り扱い　「工学リテラシー」（前期４回目）
・社会における情報システム　「工学リテラシー」（後期２回目）</t>
    <rPh sb="1" eb="3">
      <t>ジッケン</t>
    </rPh>
    <rPh sb="7" eb="8">
      <t>ト</t>
    </rPh>
    <rPh sb="9" eb="10">
      <t>アツカ</t>
    </rPh>
    <rPh sb="13" eb="15">
      <t>コウガク</t>
    </rPh>
    <rPh sb="22" eb="24">
      <t>ゼンキ</t>
    </rPh>
    <rPh sb="25" eb="27">
      <t>カイメ</t>
    </rPh>
    <phoneticPr fontId="1"/>
  </si>
  <si>
    <t>・社会における情報システム　「工学リテラシー」（後期２回目）
・情報社会と技術者　「工学リテラシー」（後期５回目）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</si>
  <si>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</si>
  <si>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・実験データの取り扱い　「工学リテラシー」（前期４回目）
・社会における情報システム　「工学リテラシー」（後期２回目）
・データの整理　「応用数学Ⅰ」（前期１４回目）
・データの相関　「応用数学Ⅰ」（前期１５回目）</t>
    <rPh sb="1" eb="3">
      <t>ジッケン</t>
    </rPh>
    <rPh sb="7" eb="8">
      <t>ト</t>
    </rPh>
    <rPh sb="9" eb="10">
      <t>アツカ</t>
    </rPh>
    <rPh sb="13" eb="15">
      <t>コウガク</t>
    </rPh>
    <rPh sb="22" eb="24">
      <t>ゼンキ</t>
    </rPh>
    <rPh sb="25" eb="27">
      <t>カイメ</t>
    </rPh>
    <rPh sb="65" eb="67">
      <t>セイリ</t>
    </rPh>
    <rPh sb="69" eb="73">
      <t>オウヨウスウガク</t>
    </rPh>
    <rPh sb="76" eb="78">
      <t>ゼンキ</t>
    </rPh>
    <rPh sb="100" eb="102">
      <t>ゼンキ</t>
    </rPh>
    <phoneticPr fontId="1"/>
  </si>
  <si>
    <t>・実験データの取り扱い　「工学リテラシー」（前期４回目）
・社会における情報システム　「工学リテラシー」（後期２回目）
・情報社会と技術者　「工学リテラシー」（後期５回目）</t>
    <phoneticPr fontId="1"/>
  </si>
  <si>
    <t>（４）活用に当たっての様々な留意事項（ELSI、個人情報、データ倫理、ＡＩ社会原則等）を考慮し、情報セキュリティや情報漏洩等、データを守る上での留意事項への理解をする</t>
    <phoneticPr fontId="1"/>
  </si>
  <si>
    <t>・情報社会と個人　「工学リテラシー」（後期３回目）
・セキュリティ対策　「工学リテラシー」（後期４回目）
・情報社会と技術者　「工学リテラシー」（後期５回目）</t>
    <rPh sb="1" eb="5">
      <t>ジョウホウシャカイ</t>
    </rPh>
    <rPh sb="6" eb="8">
      <t>コジン</t>
    </rPh>
    <rPh sb="10" eb="12">
      <t>コウガク</t>
    </rPh>
    <rPh sb="19" eb="21">
      <t>コウキ</t>
    </rPh>
    <rPh sb="22" eb="24">
      <t>カイメ</t>
    </rPh>
    <rPh sb="33" eb="35">
      <t>タイサク</t>
    </rPh>
    <rPh sb="37" eb="39">
      <t>コウガク</t>
    </rPh>
    <rPh sb="46" eb="48">
      <t>コウキ</t>
    </rPh>
    <rPh sb="49" eb="51">
      <t>カイメ</t>
    </rPh>
    <rPh sb="54" eb="58">
      <t>ジョウホウシャカイ</t>
    </rPh>
    <rPh sb="59" eb="62">
      <t>ギジュツシャ</t>
    </rPh>
    <rPh sb="73" eb="75">
      <t>コウキ</t>
    </rPh>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</si>
  <si>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</si>
  <si>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・実験データの取り扱い　「工学リテラシー」（前期４回目）
・データの整理　「応用数学Ⅰ」（前期１４回目）
・データの相関　「応用数学Ⅰ」（前期１５回目）</t>
    <rPh sb="1" eb="3">
      <t>ジッケン</t>
    </rPh>
    <rPh sb="7" eb="8">
      <t>ト</t>
    </rPh>
    <rPh sb="9" eb="10">
      <t>アツカ</t>
    </rPh>
    <rPh sb="13" eb="15">
      <t>コウガク</t>
    </rPh>
    <rPh sb="22" eb="24">
      <t>ゼンキ</t>
    </rPh>
    <rPh sb="25" eb="27">
      <t>カイメ</t>
    </rPh>
    <phoneticPr fontId="1"/>
  </si>
  <si>
    <t>・実験データの取り扱い　「工学リテラシー」（前期４回目）
・確率統計の基礎　「応用数学Ⅰ」（前期７～１５回目，後期１～１５回目）</t>
    <rPh sb="1" eb="3">
      <t>ジッケン</t>
    </rPh>
    <rPh sb="7" eb="8">
      <t>ト</t>
    </rPh>
    <rPh sb="9" eb="10">
      <t>アツカ</t>
    </rPh>
    <rPh sb="13" eb="15">
      <t>コウガク</t>
    </rPh>
    <rPh sb="22" eb="24">
      <t>ゼンキ</t>
    </rPh>
    <rPh sb="25" eb="27">
      <t>カイメ</t>
    </rPh>
    <rPh sb="30" eb="34">
      <t>カクリツトウケイ</t>
    </rPh>
    <rPh sb="35" eb="37">
      <t>キソ</t>
    </rPh>
    <rPh sb="46" eb="48">
      <t>ゼンキ</t>
    </rPh>
    <rPh sb="55" eb="57">
      <t>コウキ</t>
    </rPh>
    <rPh sb="61" eb="63">
      <t>カイメ</t>
    </rPh>
    <phoneticPr fontId="1"/>
  </si>
  <si>
    <t>⑩プログラムの学修成果（学生等が身に付けられる能力等）</t>
    <phoneticPr fontId="1"/>
  </si>
  <si>
    <t>今後のデジタル社会において必要となる数理・データサイエンス・AIの基礎的素養を身につけ，その知識とスキルを自身の専門分野等において活用できる。</t>
    <phoneticPr fontId="1"/>
  </si>
  <si>
    <t>⑪プログラムの授業内容等を公表しているアドレス</t>
    <phoneticPr fontId="1"/>
  </si>
  <si>
    <t>https://www.kagawa-nct.ac.jp/school_affairs/suuri_datascience_ai/suuri_hyousi.pdf</t>
    <phoneticPr fontId="1"/>
  </si>
  <si>
    <t>様式２－２</t>
    <phoneticPr fontId="1"/>
  </si>
  <si>
    <t>確率統計</t>
    <rPh sb="0" eb="4">
      <t>カクリツトウケイ</t>
    </rPh>
    <phoneticPr fontId="1"/>
  </si>
  <si>
    <t>全学開講</t>
    <phoneticPr fontId="1"/>
  </si>
  <si>
    <t>情報処理Ⅰ</t>
    <rPh sb="0" eb="2">
      <t>ジョウホウ</t>
    </rPh>
    <rPh sb="2" eb="4">
      <t>ショリ</t>
    </rPh>
    <phoneticPr fontId="1"/>
  </si>
  <si>
    <t>情報処理Ⅱ</t>
    <rPh sb="0" eb="4">
      <t>ジョウホウショリ</t>
    </rPh>
    <phoneticPr fontId="1"/>
  </si>
  <si>
    <t xml:space="preserve">・環境問題「社会Ⅱ」（前期２回目）
・資源・エネルギー問題「社会Ⅱ」（前期３回目）
・生命倫理「社会Ⅱ」（前期４回目）
</t>
    <rPh sb="6" eb="8">
      <t>シャカイ</t>
    </rPh>
    <rPh sb="11" eb="13">
      <t>ゼンキ</t>
    </rPh>
    <rPh sb="14" eb="16">
      <t>カイメ</t>
    </rPh>
    <phoneticPr fontId="1"/>
  </si>
  <si>
    <t xml:space="preserve">・高度情報社会「社会Ⅱ」（前期５回目）
・事例研究（１）「社会Ⅱ」（前期６回目）
・事例研究（２）「社会Ⅱ」（前期７回目）
</t>
  </si>
  <si>
    <t xml:space="preserve">・高度情報社会「社会Ⅱ」（前期５回目）
・事例研究（１）「社会Ⅱ」（前期６回目）
・事例研究（２）「社会Ⅱ」（前期７回目）
</t>
  </si>
  <si>
    <t xml:space="preserve">・経済とは「社会Ⅱ」（後期９回目）
・市場経済のしくみ「社会Ⅱ」（後期１０回目）
・受給曲線「社会Ⅱ」（後期１１回目）
</t>
    <rPh sb="33" eb="35">
      <t>コウキ</t>
    </rPh>
    <phoneticPr fontId="1"/>
  </si>
  <si>
    <t xml:space="preserve">・度数分布「確率統計」（前期９回目）
・点推定「確率統計」（後期１２回目）
・母平均の区間推定「確率統計」（後期１３回目）
</t>
    <rPh sb="1" eb="2">
      <t>ド</t>
    </rPh>
    <rPh sb="12" eb="13">
      <t>ゼン</t>
    </rPh>
    <rPh sb="24" eb="28">
      <t>カクリツトウケイ</t>
    </rPh>
    <rPh sb="30" eb="32">
      <t>コウキ</t>
    </rPh>
    <rPh sb="34" eb="35">
      <t>カイ</t>
    </rPh>
    <rPh sb="35" eb="36">
      <t>メ</t>
    </rPh>
    <phoneticPr fontId="1"/>
  </si>
  <si>
    <t>・点推定「確率統計」（後期１２回目）
・母平均の区間推定「確率統計」（後期１３回目）
・母平均の検定「確率統計」（後期１４回目）</t>
    <phoneticPr fontId="1"/>
  </si>
  <si>
    <t>・高度情報社会「社会Ⅱ」（前期５回目）
・情報セキュリティの基礎「情報処理Ⅰ」（前期１回目）</t>
    <rPh sb="40" eb="42">
      <t>ゼンキ</t>
    </rPh>
    <rPh sb="43" eb="45">
      <t>カイメ</t>
    </rPh>
    <phoneticPr fontId="1"/>
  </si>
  <si>
    <t>・高度情報社会「社会Ⅱ」（前期５回目）
・情報セキュリティの基礎「情報処理Ⅰ」（前期１回目）</t>
    <phoneticPr fontId="1"/>
  </si>
  <si>
    <t xml:space="preserve">・度数分布「確率統計」（前期９回目）
・ヒストグラムと度数折れ線「確率統計」（前期１０回目）
・代表値「確率統計」（前期１１回目）
・散布度「確率統計」（前期１２回目）
・相関「確率統計」（前期１３回目）
</t>
    <rPh sb="67" eb="69">
      <t>サンプ</t>
    </rPh>
    <rPh sb="69" eb="70">
      <t>ド</t>
    </rPh>
    <phoneticPr fontId="1"/>
  </si>
  <si>
    <t xml:space="preserve">・ヒストグラムと度数折れ線「確率統計」（前期１０回目）
・代表値「確率統計」（前期１１回目）
・散布度「確率統計」（前期１２回目）
</t>
    <phoneticPr fontId="1"/>
  </si>
  <si>
    <t>・ヒストグラムと度数折れ線「確率統計」（前期１０回目）
・Python によるプログラミング「情報処理Ⅱ」（前期１回目～後期１５回目）</t>
    <rPh sb="57" eb="59">
      <t>カイメ</t>
    </rPh>
    <rPh sb="60" eb="62">
      <t>コウキ</t>
    </rPh>
    <phoneticPr fontId="1"/>
  </si>
  <si>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</si>
  <si>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</si>
  <si>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</si>
  <si>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</si>
  <si>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</si>
  <si>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</si>
  <si>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</si>
  <si>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</si>
  <si>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</si>
  <si>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</si>
  <si>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</si>
  <si>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</si>
  <si>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</si>
  <si>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</si>
  <si>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</si>
  <si>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</si>
  <si>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</si>
  <si>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機械工学科</t>
    <rPh sb="0" eb="5">
      <t>キカイコウガッカ</t>
    </rPh>
    <phoneticPr fontId="2"/>
  </si>
  <si>
    <t>電気情報工学科</t>
    <rPh sb="0" eb="7">
      <t>デンキジョウホウコウガッカ</t>
    </rPh>
    <phoneticPr fontId="2"/>
  </si>
  <si>
    <t>機械電子工学科</t>
    <rPh sb="0" eb="4">
      <t>キカイデンシ</t>
    </rPh>
    <rPh sb="4" eb="7">
      <t>コウガッカ</t>
    </rPh>
    <phoneticPr fontId="2"/>
  </si>
  <si>
    <t>建設環境工学科</t>
    <rPh sb="0" eb="7">
      <t>ケンセツカンキョウコウガッカ</t>
    </rPh>
    <phoneticPr fontId="2"/>
  </si>
  <si>
    <t>通信ネットワーク工学科</t>
    <rPh sb="0" eb="2">
      <t>ツウシン</t>
    </rPh>
    <rPh sb="8" eb="11">
      <t>コウガッカ</t>
    </rPh>
    <phoneticPr fontId="2"/>
  </si>
  <si>
    <t>電子システム工学科</t>
    <rPh sb="0" eb="2">
      <t>デンシ</t>
    </rPh>
    <rPh sb="6" eb="9">
      <t>コウガッカ</t>
    </rPh>
    <phoneticPr fontId="2"/>
  </si>
  <si>
    <t>情報工学科</t>
    <rPh sb="0" eb="5">
      <t>ジョウホウコウガッカ</t>
    </rPh>
    <phoneticPr fontId="2"/>
  </si>
  <si>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</si>
  <si>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</si>
  <si>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</si>
  <si>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</si>
  <si>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</si>
  <si>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香川高等専門学校教務委員会規程</t>
    <phoneticPr fontId="1"/>
  </si>
  <si>
    <t>体制の目的</t>
    <rPh sb="0" eb="2">
      <t>タイセイ</t>
    </rPh>
    <rPh sb="3" eb="5">
      <t>モクテキ</t>
    </rPh>
    <phoneticPr fontId="1"/>
  </si>
  <si>
    <t>教育課程の編成及び改廃，授業時間の編成，学生の履修，学業成績の評価，教務に係る学校行事，教育の改善等，教務に関することを審議するために教務委員会を設置している。</t>
  </si>
  <si>
    <t>③</t>
    <phoneticPr fontId="1"/>
  </si>
  <si>
    <t>具体的な構成員</t>
    <rPh sb="0" eb="3">
      <t>グタイテキ</t>
    </rPh>
    <rPh sb="4" eb="7">
      <t>コウセイイン</t>
    </rPh>
    <phoneticPr fontId="1"/>
  </si>
  <si>
    <t>教務主事　小島隆史（高松キャンパス），南　貴之（詫間キャンパス）
教務副主事　山本雅史（高松キャンパス），正本利行（詫間キャンパス）
一般教育科長　中瀬巳紀生（高松キャンパス），有馬弘智（詫間キャンパス）
機械工学科長　吉永慎一
電気情報工学科長　辻　正敏
機械電子工学科長　正箱信一郎
建設環境工学科長　宮崎耕輔
通信ネットワーク工学科長　井上忠照
電子システム工学科　矢木正和
情報工学科長　德永修一
学務課長　三谷雅惠（高松キャンパス）
学生課長　塩入英次（詫間キャンパス）
その他委員長が必要と認めた教員</t>
    <rPh sb="5" eb="9">
      <t>コジマタカフミ</t>
    </rPh>
    <rPh sb="10" eb="12">
      <t>タカマツ</t>
    </rPh>
    <rPh sb="19" eb="20">
      <t>ミナミ</t>
    </rPh>
    <rPh sb="21" eb="23">
      <t>タカユキ</t>
    </rPh>
    <rPh sb="24" eb="26">
      <t>タクマ</t>
    </rPh>
    <rPh sb="39" eb="41">
      <t>ヤマモト</t>
    </rPh>
    <rPh sb="41" eb="43">
      <t>マサシ</t>
    </rPh>
    <rPh sb="44" eb="46">
      <t>タカマツ</t>
    </rPh>
    <rPh sb="53" eb="55">
      <t>ショウホン</t>
    </rPh>
    <rPh sb="55" eb="57">
      <t>トシユキ</t>
    </rPh>
    <rPh sb="58" eb="60">
      <t>タクマ</t>
    </rPh>
    <rPh sb="74" eb="76">
      <t>ナカセ</t>
    </rPh>
    <rPh sb="89" eb="91">
      <t>アリマ</t>
    </rPh>
    <rPh sb="91" eb="92">
      <t>ヒロ</t>
    </rPh>
    <rPh sb="94" eb="96">
      <t>タクマ</t>
    </rPh>
    <rPh sb="103" eb="109">
      <t>キカイコウガッカチョウ</t>
    </rPh>
    <rPh sb="110" eb="112">
      <t>ヨシナガ</t>
    </rPh>
    <rPh sb="112" eb="114">
      <t>シンイチ</t>
    </rPh>
    <rPh sb="115" eb="119">
      <t>デンキジョウホウ</t>
    </rPh>
    <rPh sb="119" eb="123">
      <t>コウガッカチョウ</t>
    </rPh>
    <rPh sb="124" eb="125">
      <t>ツジ</t>
    </rPh>
    <rPh sb="126" eb="128">
      <t>マサトシ</t>
    </rPh>
    <rPh sb="129" eb="133">
      <t>キカイデンシ</t>
    </rPh>
    <rPh sb="133" eb="137">
      <t>コウガッカチョウ</t>
    </rPh>
    <rPh sb="138" eb="140">
      <t>ショウバコ</t>
    </rPh>
    <rPh sb="140" eb="143">
      <t>シンイチロウ</t>
    </rPh>
    <rPh sb="144" eb="148">
      <t>ケンセツカンキョウ</t>
    </rPh>
    <rPh sb="148" eb="152">
      <t>コウガッカチョウ</t>
    </rPh>
    <rPh sb="153" eb="155">
      <t>ミヤザキ</t>
    </rPh>
    <rPh sb="155" eb="157">
      <t>コウスケ</t>
    </rPh>
    <rPh sb="158" eb="160">
      <t>ツウシン</t>
    </rPh>
    <rPh sb="166" eb="170">
      <t>コウガッカチョウ</t>
    </rPh>
    <rPh sb="171" eb="173">
      <t>イノウエ</t>
    </rPh>
    <rPh sb="173" eb="175">
      <t>タダテル</t>
    </rPh>
    <rPh sb="176" eb="178">
      <t>デンシ</t>
    </rPh>
    <rPh sb="182" eb="185">
      <t>コウガッカ</t>
    </rPh>
    <rPh sb="186" eb="188">
      <t>ヤギ</t>
    </rPh>
    <rPh sb="188" eb="190">
      <t>マサカズ</t>
    </rPh>
    <rPh sb="191" eb="196">
      <t>ジョウホウコウガッカ</t>
    </rPh>
    <rPh sb="196" eb="197">
      <t>チョウ</t>
    </rPh>
    <rPh sb="198" eb="200">
      <t>トクナガ</t>
    </rPh>
    <rPh sb="200" eb="202">
      <t>シュウイチ</t>
    </rPh>
    <rPh sb="208" eb="210">
      <t>ミタニ</t>
    </rPh>
    <rPh sb="227" eb="229">
      <t>シオイリ</t>
    </rPh>
    <rPh sb="229" eb="231">
      <t>エイジ</t>
    </rPh>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</si>
  <si>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</si>
  <si>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</si>
  <si>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</si>
  <si>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</si>
  <si>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</si>
  <si>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</si>
  <si>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</si>
  <si>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</si>
  <si>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xml:space="preserve">令和２年度　168名（12％）　※高松キャンパスの1年生
令和３年度　459名（33％）　※高松キャンパスの1，2年生および詫間キャンパスの2年生
令和４年度　739名（53％）　※高松キャンパスの1，2，3年生および詫間キャンパスの2，3年生
３年生までの必修科目で構成しているため、令和７年度には全学生が履修する見込である。
</t>
    <rPh sb="125" eb="127">
      <t>ネンセイ</t>
    </rPh>
    <rPh sb="130" eb="134">
      <t>ヒッシュウカモク</t>
    </rPh>
    <rPh sb="135" eb="137">
      <t>コウセイ</t>
    </rPh>
    <rPh sb="144" eb="146">
      <t>レイワ</t>
    </rPh>
    <rPh sb="147" eb="149">
      <t>ネンド</t>
    </rPh>
    <rPh sb="151" eb="154">
      <t>ゼンガクセイ</t>
    </rPh>
    <rPh sb="155" eb="157">
      <t>リシュウ</t>
    </rPh>
    <rPh sb="159" eb="161">
      <t>ミコミ</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</si>
  <si>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</si>
  <si>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本教育プログラムを構成する科目は，すべて1年生～3年生における各キャンパスの学科共通必修科目としているため，3年生までに全員が履修する。</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</si>
  <si>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</si>
  <si>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⑦</t>
    <phoneticPr fontId="1"/>
  </si>
  <si>
    <t>できる限り多くの学生が履修・修得できるようなサポート体制</t>
    <rPh sb="26" eb="28">
      <t>タイセイ</t>
    </rPh>
    <phoneticPr fontId="1"/>
  </si>
  <si>
    <t>1年生～3年生の各キャンパスにおけるプログラム所定科目は，すべて必修科目のため3年生までに全員が履修する。仮に不合格になっても追認試験制度により4年生までに修得するようサポートする。</t>
    <phoneticPr fontId="1"/>
  </si>
  <si>
    <t>授業時間内外で学習指導、質問を受け付ける具体的な仕組み</t>
    <rPh sb="20" eb="23">
      <t>グタイテキ</t>
    </rPh>
    <phoneticPr fontId="1"/>
  </si>
  <si>
    <t>すべての学生がMicrosoft Teamsを活用しているため，担当教員にオンラインで質問や相談ができる環境となっている。また，教員のオフィスアワーなどを利用して対面で質問することもできる。</t>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</si>
  <si>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</si>
  <si>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</si>
  <si>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</si>
  <si>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</si>
  <si>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</si>
  <si>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</si>
  <si>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</si>
  <si>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</si>
  <si>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 xml:space="preserve">本教育プログラムを構成する科目は，高松キャンパスにおいて1年生～3年生の科目，詫間キャンパスにおいて2年生～3年生の科目となっており，すべての科目が各キャンパスの学科共通必修科目となっている。このため，プログラムを構成する全科目を，本校の学生全員が3年生までに履修する。
たとえ履修したプログラム構成科目を不合格となって進級しても，追認試験制度により4年生までには修得することとなる。
</t>
    <rPh sb="0" eb="1">
      <t>ホン</t>
    </rPh>
    <rPh sb="1" eb="3">
      <t>キョウイク</t>
    </rPh>
    <rPh sb="9" eb="11">
      <t>コウセイ</t>
    </rPh>
    <rPh sb="13" eb="15">
      <t>カモク</t>
    </rPh>
    <rPh sb="17" eb="19">
      <t>タカマツ</t>
    </rPh>
    <rPh sb="29" eb="31">
      <t>ネンセイ</t>
    </rPh>
    <rPh sb="33" eb="35">
      <t>ネンセイ</t>
    </rPh>
    <rPh sb="36" eb="38">
      <t>カモク</t>
    </rPh>
    <rPh sb="39" eb="41">
      <t>タクマ</t>
    </rPh>
    <rPh sb="51" eb="53">
      <t>ネンセイ</t>
    </rPh>
    <rPh sb="55" eb="57">
      <t>ネンセイ</t>
    </rPh>
    <rPh sb="58" eb="60">
      <t>カモク</t>
    </rPh>
    <rPh sb="71" eb="73">
      <t>カモク</t>
    </rPh>
    <rPh sb="74" eb="75">
      <t>カク</t>
    </rPh>
    <rPh sb="81" eb="83">
      <t>ガッカ</t>
    </rPh>
    <rPh sb="83" eb="85">
      <t>キョウツウ</t>
    </rPh>
    <rPh sb="85" eb="89">
      <t>ヒッシュウカモク</t>
    </rPh>
    <rPh sb="107" eb="109">
      <t>コウセイ</t>
    </rPh>
    <rPh sb="111" eb="114">
      <t>ゼンカモク</t>
    </rPh>
    <rPh sb="116" eb="118">
      <t>ホンコウ</t>
    </rPh>
    <rPh sb="119" eb="123">
      <t>ガクセイゼンイン</t>
    </rPh>
    <rPh sb="125" eb="127">
      <t>ネンセイ</t>
    </rPh>
    <rPh sb="130" eb="132">
      <t>リシュウ</t>
    </rPh>
    <rPh sb="139" eb="141">
      <t>リシュウ</t>
    </rPh>
    <rPh sb="148" eb="152">
      <t>コウセイカモク</t>
    </rPh>
    <rPh sb="153" eb="156">
      <t>フゴウカク</t>
    </rPh>
    <rPh sb="160" eb="162">
      <t>シンキュウ</t>
    </rPh>
    <rPh sb="166" eb="172">
      <t>ツイニンシケンセイド</t>
    </rPh>
    <rPh sb="176" eb="178">
      <t>ネンセイ</t>
    </rPh>
    <rPh sb="182" eb="184">
      <t>シュウトク</t>
    </rPh>
    <phoneticPr fontId="1"/>
  </si>
  <si>
    <t>学修成果</t>
    <rPh sb="0" eb="2">
      <t>ガクシュウ</t>
    </rPh>
    <rPh sb="2" eb="4">
      <t>セイカ</t>
    </rPh>
    <phoneticPr fontId="1"/>
  </si>
  <si>
    <t>本教育プログラムを構成する各科目の成績評価およびプログラム修了後に実施する理解度アンケートにより学習成果を確認し，その結果を本教育プログラムの評価・改善に活用する．</t>
    <rPh sb="0" eb="1">
      <t>ホン</t>
    </rPh>
    <rPh sb="1" eb="3">
      <t>キョウイク</t>
    </rPh>
    <rPh sb="9" eb="11">
      <t>コウセイ</t>
    </rPh>
    <rPh sb="13" eb="14">
      <t>カク</t>
    </rPh>
    <rPh sb="14" eb="16">
      <t>カモク</t>
    </rPh>
    <rPh sb="17" eb="19">
      <t>セイセキ</t>
    </rPh>
    <rPh sb="19" eb="21">
      <t>ヒョウカ</t>
    </rPh>
    <rPh sb="29" eb="31">
      <t>シュウリョウ</t>
    </rPh>
    <rPh sb="31" eb="32">
      <t>ゴ</t>
    </rPh>
    <rPh sb="33" eb="35">
      <t>ジッシ</t>
    </rPh>
    <rPh sb="37" eb="40">
      <t>リカイド</t>
    </rPh>
    <rPh sb="48" eb="50">
      <t>ガクシュウ</t>
    </rPh>
    <rPh sb="50" eb="52">
      <t>セイカ</t>
    </rPh>
    <rPh sb="53" eb="55">
      <t>カクニン</t>
    </rPh>
    <rPh sb="59" eb="61">
      <t>ケッカ</t>
    </rPh>
    <rPh sb="62" eb="65">
      <t>ホンキョウイク</t>
    </rPh>
    <rPh sb="71" eb="73">
      <t>ヒョウカ</t>
    </rPh>
    <rPh sb="74" eb="76">
      <t>カイゼン</t>
    </rPh>
    <rPh sb="77" eb="79">
      <t>カツヨウ</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</si>
  <si>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</si>
  <si>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本教育プログラムを構成する各科目の授業評価アンケートおよびプログラム修了後に実施する理解度アンケートにより学習成果を確認し，その結果を本教育プログラムの評価・改善に活用する．</t>
    <rPh sb="0" eb="1">
      <t>ホン</t>
    </rPh>
    <rPh sb="1" eb="3">
      <t>キョウイク</t>
    </rPh>
    <rPh sb="9" eb="11">
      <t>コウセイ</t>
    </rPh>
    <rPh sb="13" eb="14">
      <t>カク</t>
    </rPh>
    <rPh sb="14" eb="16">
      <t>カモク</t>
    </rPh>
    <rPh sb="17" eb="21">
      <t>ジュギョウヒョウカ</t>
    </rPh>
    <rPh sb="34" eb="36">
      <t>シュウリョウ</t>
    </rPh>
    <rPh sb="36" eb="37">
      <t>ゴ</t>
    </rPh>
    <rPh sb="38" eb="40">
      <t>ジッシ</t>
    </rPh>
    <rPh sb="42" eb="45">
      <t>リカイド</t>
    </rPh>
    <rPh sb="53" eb="55">
      <t>ガクシュウ</t>
    </rPh>
    <rPh sb="55" eb="57">
      <t>セイカ</t>
    </rPh>
    <rPh sb="58" eb="60">
      <t>カクニン</t>
    </rPh>
    <rPh sb="64" eb="66">
      <t>ケッカ</t>
    </rPh>
    <rPh sb="67" eb="70">
      <t>ホンキョウイク</t>
    </rPh>
    <rPh sb="76" eb="78">
      <t>ヒョウカ</t>
    </rPh>
    <rPh sb="79" eb="81">
      <t>カイゼン</t>
    </rPh>
    <rPh sb="82" eb="84">
      <t>カツヨウ</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</si>
  <si>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</si>
  <si>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本教育プログラムを構成する科目の授業評価アンケート結果は，本校Webページにて公開されているため，後輩等の他の学生も閲覧することができる。
また，すべて各キャンパスの学科共通必修科目のため3年生までに全員が履修する。</t>
    <rPh sb="0" eb="1">
      <t>ホン</t>
    </rPh>
    <rPh sb="1" eb="3">
      <t>キョウイク</t>
    </rPh>
    <rPh sb="9" eb="11">
      <t>コウセイ</t>
    </rPh>
    <rPh sb="13" eb="15">
      <t>カモク</t>
    </rPh>
    <rPh sb="14" eb="15">
      <t>キョウカ</t>
    </rPh>
    <rPh sb="16" eb="20">
      <t>ジュギョウヒョウカ</t>
    </rPh>
    <rPh sb="25" eb="27">
      <t>ケッカ</t>
    </rPh>
    <rPh sb="29" eb="31">
      <t>ホンコウ</t>
    </rPh>
    <rPh sb="39" eb="41">
      <t>コウカイ</t>
    </rPh>
    <rPh sb="49" eb="52">
      <t>コウハイトウ</t>
    </rPh>
    <rPh sb="53" eb="54">
      <t>タ</t>
    </rPh>
    <rPh sb="55" eb="57">
      <t>ガクセイ</t>
    </rPh>
    <rPh sb="58" eb="60">
      <t>エツラン</t>
    </rPh>
    <rPh sb="76" eb="77">
      <t>カク</t>
    </rPh>
    <rPh sb="83" eb="85">
      <t>ガッカ</t>
    </rPh>
    <rPh sb="85" eb="87">
      <t>キョウツウ</t>
    </rPh>
    <rPh sb="87" eb="89">
      <t>ヒッシュウ</t>
    </rPh>
    <rPh sb="89" eb="91">
      <t>カモク</t>
    </rPh>
    <rPh sb="95" eb="97">
      <t>ネンセイ</t>
    </rPh>
    <rPh sb="100" eb="102">
      <t>ゼンイン</t>
    </rPh>
    <rPh sb="103" eb="105">
      <t>リシュウ</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</si>
  <si>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</si>
  <si>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すべて各キャンパスの学科共通必修科目のため全員が履修する。</t>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</si>
  <si>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</si>
  <si>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</si>
  <si>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 xml:space="preserve">令和4年3月時点で本教育プログラムを修了した学生はいない。
</t>
    <rPh sb="0" eb="2">
      <t>レイワ</t>
    </rPh>
    <rPh sb="3" eb="4">
      <t>ネン</t>
    </rPh>
    <rPh sb="5" eb="6">
      <t>ガツ</t>
    </rPh>
    <rPh sb="6" eb="8">
      <t>ジテン</t>
    </rPh>
    <rPh sb="9" eb="10">
      <t>ホン</t>
    </rPh>
    <rPh sb="10" eb="12">
      <t>キョウイク</t>
    </rPh>
    <rPh sb="18" eb="20">
      <t>シュウリョウ</t>
    </rPh>
    <rPh sb="22" eb="24">
      <t>ガクセイ</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</si>
  <si>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</si>
  <si>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 xml:space="preserve">令和3年度外部評価委員会にて本教育プログラムの申請について説明し，意見を求めた。
数理・データサイエンス・AIの基礎を学んだ学生は産業界からの期待も大きく，ニーズも非常に高いことを改めて認識した。委員からは，AIというと万能のように思われているが，数理・データサイエンスの基礎をきちんと学習してのAIであるなどの意見があった。また，デジタルトランスフォーメーション（DX）にもつながるため，銀行等でも理系の学生の採用を増やしたいとの意見があった。
</t>
    <rPh sb="0" eb="2">
      <t>レイワ</t>
    </rPh>
    <rPh sb="3" eb="5">
      <t>ネンド</t>
    </rPh>
    <rPh sb="5" eb="12">
      <t>ガイブヒョウカイインカイ</t>
    </rPh>
    <rPh sb="14" eb="17">
      <t>ホンキョウイク</t>
    </rPh>
    <rPh sb="23" eb="25">
      <t>シンセイ</t>
    </rPh>
    <rPh sb="29" eb="31">
      <t>セツメイ</t>
    </rPh>
    <rPh sb="33" eb="35">
      <t>イケン</t>
    </rPh>
    <rPh sb="36" eb="37">
      <t>モト</t>
    </rPh>
    <rPh sb="41" eb="43">
      <t>スウリ</t>
    </rPh>
    <rPh sb="56" eb="58">
      <t>キソ</t>
    </rPh>
    <rPh sb="59" eb="60">
      <t>マナ</t>
    </rPh>
    <rPh sb="62" eb="64">
      <t>ガクセイ</t>
    </rPh>
    <rPh sb="65" eb="68">
      <t>サンギョウカイ</t>
    </rPh>
    <rPh sb="71" eb="73">
      <t>キタイ</t>
    </rPh>
    <rPh sb="74" eb="75">
      <t>オオ</t>
    </rPh>
    <rPh sb="82" eb="84">
      <t>ヒジョウ</t>
    </rPh>
    <rPh sb="85" eb="86">
      <t>タカ</t>
    </rPh>
    <rPh sb="90" eb="91">
      <t>アラタ</t>
    </rPh>
    <rPh sb="93" eb="95">
      <t>ニンシキ</t>
    </rPh>
    <rPh sb="98" eb="100">
      <t>イイン</t>
    </rPh>
    <rPh sb="110" eb="112">
      <t>バンノウ</t>
    </rPh>
    <rPh sb="116" eb="117">
      <t>オモ</t>
    </rPh>
    <rPh sb="124" eb="126">
      <t>スウリ</t>
    </rPh>
    <rPh sb="136" eb="138">
      <t>キソ</t>
    </rPh>
    <rPh sb="143" eb="145">
      <t>ガクシュウ</t>
    </rPh>
    <rPh sb="156" eb="158">
      <t>イケン</t>
    </rPh>
    <rPh sb="195" eb="198">
      <t>ギンコウトウ</t>
    </rPh>
    <rPh sb="200" eb="202">
      <t>リケイ</t>
    </rPh>
    <rPh sb="203" eb="205">
      <t>ガクセイ</t>
    </rPh>
    <rPh sb="206" eb="208">
      <t>サイヨウ</t>
    </rPh>
    <rPh sb="209" eb="210">
      <t>フ</t>
    </rPh>
    <rPh sb="216" eb="218">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</si>
  <si>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</si>
  <si>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本教育プログラムを構成する科目において，数理・データサイエンス・AIが実社会でどのように活用をされているかを説明するなど，学生に興味を持たせる授業内容とし，学ぶ意義を伝えていく。</t>
    <rPh sb="20" eb="22">
      <t>スウリ</t>
    </rPh>
    <rPh sb="35" eb="38">
      <t>ジッシャカイ</t>
    </rPh>
    <rPh sb="54" eb="56">
      <t>セツメイ</t>
    </rPh>
    <rPh sb="61" eb="63">
      <t>ガクセイ</t>
    </rPh>
    <rPh sb="64" eb="66">
      <t>キョウミ</t>
    </rPh>
    <rPh sb="67" eb="68">
      <t>モ</t>
    </rPh>
    <rPh sb="71" eb="75">
      <t>ジュギョウナイヨウ</t>
    </rPh>
    <rPh sb="78" eb="79">
      <t>マナ</t>
    </rPh>
    <rPh sb="80" eb="82">
      <t>イギ</t>
    </rPh>
    <rPh sb="83" eb="84">
      <t>ツタ</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</si>
  <si>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</si>
  <si>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プログラム終了後に実施する理解度アンケートにより学習成果を確認するとともに，学生による授業評価アンケートにおいて授業の分かりやすさを確認し，授業内容および実施方法の改善に活用する．</t>
    <rPh sb="38" eb="40">
      <t>ガクセイ</t>
    </rPh>
    <rPh sb="43" eb="47">
      <t>ジュギョウヒョウカ</t>
    </rPh>
    <rPh sb="56" eb="58">
      <t>ジュギョウ</t>
    </rPh>
    <rPh sb="59" eb="60">
      <t>ワ</t>
    </rPh>
    <rPh sb="66" eb="68">
      <t>カクニン</t>
    </rPh>
    <rPh sb="70" eb="72">
      <t>ジュギョウ</t>
    </rPh>
    <rPh sb="72" eb="74">
      <t>ナイヨウ</t>
    </rPh>
    <rPh sb="77" eb="81">
      <t>ジッシホウホウ</t>
    </rPh>
    <rPh sb="82" eb="84">
      <t>カイゼン</t>
    </rPh>
    <rPh sb="85" eb="87">
      <t>カツヨウ</t>
    </rPh>
    <phoneticPr fontId="1"/>
  </si>
  <si>
    <t>②自己点検・評価体制における意見等を公表しているアドレス</t>
    <phoneticPr fontId="1"/>
  </si>
  <si>
    <t>https://www.kagawa-nct.ac.jp/school_affairs/suuri_datascience_ai/suuri_hyouka.pdf</t>
    <phoneticPr fontId="1"/>
  </si>
  <si>
    <t>機械工学科，電気情報工学科，機械電子工学科，建設環境工学科（高松キャンパス）では，プログラムを構成する工学リテラシー，社会Ⅱ，応用数学Ⅰの３科目をすべて修得していること。</t>
    <rPh sb="30" eb="32">
      <t>タカマツ</t>
    </rPh>
    <rPh sb="51" eb="53">
      <t>コウガク</t>
    </rPh>
    <rPh sb="59" eb="61">
      <t>シャカイ</t>
    </rPh>
    <rPh sb="63" eb="65">
      <t>オウヨウ</t>
    </rPh>
    <rPh sb="65" eb="67">
      <t>スウガク</t>
    </rPh>
    <rPh sb="70" eb="72">
      <t>カモク</t>
    </rPh>
    <phoneticPr fontId="1"/>
  </si>
  <si>
    <t>通信ネットワーク工学科，電子システム工学科，情報工学科（詫間キャンパス）では，プログラムを構成する社会Ⅱ，確率統計，情報処理Ⅰ，情報処理Ⅱの４科目をすべて修得していること。</t>
    <rPh sb="0" eb="2">
      <t>ツウシン</t>
    </rPh>
    <rPh sb="28" eb="30">
      <t>タクマ</t>
    </rPh>
    <rPh sb="49" eb="51">
      <t>シャカイ</t>
    </rPh>
    <rPh sb="53" eb="55">
      <t>カクリツ</t>
    </rPh>
    <rPh sb="55" eb="57">
      <t>トウケイ</t>
    </rPh>
    <rPh sb="58" eb="60">
      <t>ジョウホウ</t>
    </rPh>
    <rPh sb="60" eb="62">
      <t>ショリ</t>
    </rPh>
    <rPh sb="64" eb="66">
      <t>ジョウホウ</t>
    </rPh>
    <rPh sb="66" eb="68">
      <t>ショリ</t>
    </rPh>
    <rPh sb="71" eb="73">
      <t>カモク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</si>
</sst>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9"/>
      <name val="ＭＳ Ｐゴシック"/>
      <family val="2"/>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292">
    <xf numFmtId="0" fontId="0" fillId="0" borderId="0" xfId="0">
      <alignment vertical="center"/>
    </xf>
    <xf numFmtId="0" fontId="2"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10" xfId="0" applyFont="1" applyBorder="1" applyAlignment="1">
      <alignment vertical="top" wrapText="1"/>
    </xf>
    <xf numFmtId="176" fontId="8" fillId="0" borderId="0" xfId="0" applyNumberFormat="1" applyFont="1">
      <alignment vertical="center"/>
    </xf>
    <xf numFmtId="176" fontId="8" fillId="0" borderId="3" xfId="0" applyNumberFormat="1" applyFont="1" applyBorder="1" applyAlignment="1">
      <alignment vertical="center" shrinkToFit="1"/>
    </xf>
    <xf numFmtId="0" fontId="8" fillId="0" borderId="0" xfId="0" applyFont="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horizontal="left" vertical="center"/>
    </xf>
    <xf numFmtId="0" fontId="8" fillId="0" borderId="5" xfId="0" applyFont="1" applyBorder="1">
      <alignment vertical="center"/>
    </xf>
    <xf numFmtId="176" fontId="8" fillId="0" borderId="0" xfId="0" applyNumberFormat="1" applyFont="1" applyAlignment="1">
      <alignment vertical="center" wrapText="1"/>
    </xf>
    <xf numFmtId="176" fontId="8" fillId="0" borderId="5" xfId="0" applyNumberFormat="1" applyFont="1" applyBorder="1">
      <alignment vertical="center"/>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1" fillId="0" borderId="0" xfId="0" applyFont="1">
      <alignment vertical="center"/>
    </xf>
    <xf numFmtId="0" fontId="8" fillId="0" borderId="0" xfId="0" applyFont="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3" fillId="0" borderId="0" xfId="0" applyFont="1" applyAlignment="1">
      <alignment horizontal="center" vertical="center"/>
    </xf>
    <xf numFmtId="0" fontId="15" fillId="0" borderId="11" xfId="0" applyFont="1" applyBorder="1" applyAlignment="1">
      <alignment horizontal="center" vertical="center"/>
    </xf>
    <xf numFmtId="0" fontId="15" fillId="0" borderId="29" xfId="0" applyFont="1" applyBorder="1" applyAlignment="1">
      <alignment horizontal="center" vertical="center" wrapText="1"/>
    </xf>
    <xf numFmtId="0" fontId="15" fillId="0" borderId="30" xfId="0" applyFont="1" applyBorder="1" applyAlignment="1">
      <alignment horizontal="center" vertical="center"/>
    </xf>
    <xf numFmtId="0" fontId="15"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10" xfId="0" applyFont="1" applyBorder="1" applyAlignment="1">
      <alignment vertical="center" shrinkToFit="1"/>
    </xf>
    <xf numFmtId="49" fontId="17" fillId="0" borderId="1" xfId="0" applyNumberFormat="1" applyFont="1" applyBorder="1" applyAlignment="1">
      <alignment horizontal="center" vertical="center"/>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7" fillId="0" borderId="47" xfId="0" applyNumberFormat="1" applyFont="1" applyBorder="1" applyAlignment="1">
      <alignment horizontal="center" vertical="center"/>
    </xf>
    <xf numFmtId="49" fontId="17" fillId="0" borderId="33" xfId="0" applyNumberFormat="1" applyFont="1" applyBorder="1" applyAlignment="1">
      <alignment horizontal="center" vertical="center"/>
    </xf>
    <xf numFmtId="49" fontId="17"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7"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0" fontId="8" fillId="0" borderId="9" xfId="0"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top" wrapText="1"/>
    </xf>
    <xf numFmtId="0" fontId="8" fillId="0" borderId="3" xfId="0" applyFont="1" applyBorder="1">
      <alignment vertical="center"/>
    </xf>
    <xf numFmtId="49" fontId="17" fillId="0" borderId="52" xfId="0" applyNumberFormat="1" applyFont="1" applyBorder="1" applyAlignment="1">
      <alignment horizontal="center" vertical="center"/>
    </xf>
    <xf numFmtId="49" fontId="17" fillId="0" borderId="29" xfId="0" applyNumberFormat="1" applyFont="1" applyBorder="1" applyAlignment="1">
      <alignment horizontal="center" vertical="center"/>
    </xf>
    <xf numFmtId="0" fontId="20"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0" borderId="46" xfId="0" applyFont="1" applyBorder="1" applyAlignment="1">
      <alignment horizontal="center" vertical="center"/>
    </xf>
    <xf numFmtId="0" fontId="8" fillId="0" borderId="14" xfId="0" applyFont="1" applyBorder="1" applyAlignment="1">
      <alignment horizontal="center" vertical="center"/>
    </xf>
    <xf numFmtId="0" fontId="8" fillId="0" borderId="0" xfId="0" applyFont="1" applyAlignment="1">
      <alignment horizontal="right" vertical="center"/>
    </xf>
    <xf numFmtId="0" fontId="8" fillId="0" borderId="0" xfId="0" applyFont="1" applyAlignment="1">
      <alignment vertical="center" wrapText="1"/>
    </xf>
    <xf numFmtId="0" fontId="21" fillId="0" borderId="0" xfId="0" applyFont="1">
      <alignment vertical="center"/>
    </xf>
    <xf numFmtId="0" fontId="17" fillId="0" borderId="0" xfId="0" applyFont="1" applyAlignment="1">
      <alignment vertical="top" wrapText="1"/>
    </xf>
    <xf numFmtId="0" fontId="17" fillId="0" borderId="0" xfId="0" applyFont="1" applyAlignment="1">
      <alignment vertical="top" shrinkToFit="1"/>
    </xf>
    <xf numFmtId="0" fontId="17" fillId="0" borderId="0" xfId="0" applyFont="1" applyAlignment="1">
      <alignment vertical="center" wrapText="1"/>
    </xf>
    <xf numFmtId="0" fontId="21" fillId="0" borderId="5" xfId="0" applyFont="1" applyBorder="1" applyAlignment="1">
      <alignment vertical="top" wrapText="1"/>
    </xf>
    <xf numFmtId="0" fontId="8" fillId="0" borderId="16" xfId="0" applyFont="1" applyBorder="1">
      <alignment vertical="center"/>
    </xf>
    <xf numFmtId="0" fontId="17" fillId="0" borderId="20" xfId="0" applyFont="1" applyBorder="1" applyAlignment="1">
      <alignment vertical="top" wrapText="1"/>
    </xf>
    <xf numFmtId="0" fontId="17" fillId="0" borderId="18" xfId="0" applyFont="1" applyBorder="1" applyAlignment="1">
      <alignment vertical="top" wrapText="1"/>
    </xf>
    <xf numFmtId="0" fontId="17" fillId="0" borderId="20" xfId="0" applyFont="1" applyBorder="1" applyAlignment="1">
      <alignment vertical="top" shrinkToFit="1"/>
    </xf>
    <xf numFmtId="0" fontId="17" fillId="0" borderId="18" xfId="0" applyFont="1" applyBorder="1" applyAlignment="1">
      <alignment vertical="top"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9" fontId="8" fillId="0" borderId="8" xfId="0" applyNumberFormat="1" applyFont="1" applyBorder="1" applyAlignment="1">
      <alignment horizontal="center" vertical="center" shrinkToFit="1"/>
    </xf>
    <xf numFmtId="9" fontId="8" fillId="0" borderId="45" xfId="0" applyNumberFormat="1" applyFont="1" applyBorder="1" applyAlignment="1">
      <alignment horizontal="center" vertical="center" shrinkToFit="1"/>
    </xf>
    <xf numFmtId="0" fontId="8" fillId="0" borderId="5" xfId="0" applyFont="1" applyBorder="1" applyAlignment="1">
      <alignment vertical="center" shrinkToFit="1"/>
    </xf>
    <xf numFmtId="176" fontId="8" fillId="0" borderId="5" xfId="0" applyNumberFormat="1" applyFont="1" applyBorder="1" applyAlignment="1">
      <alignment vertical="center" shrinkToFit="1"/>
    </xf>
    <xf numFmtId="176" fontId="8" fillId="0" borderId="31" xfId="0" applyNumberFormat="1" applyFont="1" applyBorder="1" applyAlignment="1">
      <alignment vertical="center" shrinkToFit="1"/>
    </xf>
    <xf numFmtId="176" fontId="8" fillId="0" borderId="32" xfId="0" applyNumberFormat="1" applyFont="1" applyBorder="1" applyAlignment="1">
      <alignment vertical="center" shrinkToFit="1"/>
    </xf>
    <xf numFmtId="176" fontId="8" fillId="0" borderId="10" xfId="0" applyNumberFormat="1" applyFont="1" applyBorder="1" applyAlignment="1">
      <alignment vertical="center" shrinkToFit="1"/>
    </xf>
    <xf numFmtId="176" fontId="8" fillId="0" borderId="19" xfId="0" applyNumberFormat="1" applyFont="1" applyBorder="1" applyAlignment="1">
      <alignment vertical="center" shrinkToFit="1"/>
    </xf>
    <xf numFmtId="176" fontId="8" fillId="0" borderId="33" xfId="0" applyNumberFormat="1" applyFont="1" applyBorder="1" applyAlignment="1">
      <alignment vertical="center" shrinkToFit="1"/>
    </xf>
    <xf numFmtId="176" fontId="8" fillId="0" borderId="34" xfId="0" applyNumberFormat="1" applyFont="1" applyBorder="1" applyAlignment="1">
      <alignment vertical="center" shrinkToFit="1"/>
    </xf>
    <xf numFmtId="176" fontId="8" fillId="0" borderId="18" xfId="0" applyNumberFormat="1" applyFont="1" applyBorder="1" applyAlignment="1">
      <alignment vertical="center" shrinkToFit="1"/>
    </xf>
    <xf numFmtId="49" fontId="19"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2" fillId="0" borderId="0" xfId="0" applyFont="1" applyAlignment="1">
      <alignment horizontal="center" vertical="center"/>
    </xf>
    <xf numFmtId="0" fontId="8" fillId="0" borderId="2" xfId="0" applyFont="1" applyBorder="1" applyAlignment="1">
      <alignment horizontal="center" vertical="center"/>
    </xf>
    <xf numFmtId="0" fontId="8" fillId="0" borderId="4" xfId="0" applyFont="1" applyBorder="1" applyAlignment="1">
      <alignment horizontal="center" vertical="center"/>
    </xf>
    <xf numFmtId="0" fontId="8" fillId="0" borderId="3"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19" fillId="0" borderId="48" xfId="0" applyFont="1" applyBorder="1" applyAlignment="1">
      <alignment vertical="center" wrapText="1"/>
    </xf>
    <xf numFmtId="0" fontId="19" fillId="0" borderId="49" xfId="0" applyFont="1" applyBorder="1" applyAlignment="1">
      <alignment vertical="center" wrapText="1"/>
    </xf>
    <xf numFmtId="0" fontId="18" fillId="0" borderId="48" xfId="0" applyFont="1" applyBorder="1" applyAlignment="1">
      <alignment vertical="center" wrapText="1"/>
    </xf>
    <xf numFmtId="0" fontId="18" fillId="0" borderId="32" xfId="0" applyFont="1" applyBorder="1" applyAlignment="1">
      <alignment vertical="center" wrapText="1"/>
    </xf>
    <xf numFmtId="0" fontId="19" fillId="0" borderId="32" xfId="0" applyFont="1" applyBorder="1" applyAlignment="1">
      <alignment vertical="center" wrapText="1"/>
    </xf>
    <xf numFmtId="0" fontId="9" fillId="0" borderId="2" xfId="0" applyFont="1" applyBorder="1" applyAlignment="1">
      <alignment horizontal="left" vertical="center" wrapText="1" shrinkToFit="1"/>
    </xf>
    <xf numFmtId="0" fontId="9" fillId="0" borderId="3" xfId="0" applyFont="1" applyBorder="1" applyAlignment="1">
      <alignment horizontal="left" vertical="center" wrapText="1" shrinkToFit="1"/>
    </xf>
    <xf numFmtId="0" fontId="9" fillId="0" borderId="4" xfId="0" applyFont="1" applyBorder="1" applyAlignment="1">
      <alignment horizontal="left" vertical="center" wrapText="1"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8" xfId="0" applyFont="1" applyBorder="1" applyAlignment="1">
      <alignment horizontal="left" vertical="center" wrapText="1" shrinkToFit="1"/>
    </xf>
    <xf numFmtId="0" fontId="8" fillId="0" borderId="8" xfId="0" applyFont="1" applyBorder="1" applyAlignment="1">
      <alignment horizontal="left" vertical="center" shrinkToFit="1"/>
    </xf>
    <xf numFmtId="0" fontId="8" fillId="0" borderId="9" xfId="0" applyFont="1" applyBorder="1" applyAlignment="1">
      <alignment horizontal="left" vertical="center"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vertical="center" wrapTex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16" fillId="0" borderId="0" xfId="0" applyFont="1" applyAlignment="1">
      <alignment horizontal="center" vertical="center"/>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wrapText="1" shrinkToFit="1"/>
    </xf>
    <xf numFmtId="0" fontId="9" fillId="0" borderId="9" xfId="0" applyFont="1" applyBorder="1" applyAlignment="1">
      <alignment vertical="center" wrapText="1" shrinkToFit="1"/>
    </xf>
    <xf numFmtId="0" fontId="9" fillId="0" borderId="5" xfId="0" applyFont="1" applyBorder="1" applyAlignment="1">
      <alignment vertical="center" wrapText="1" shrinkToFit="1"/>
    </xf>
    <xf numFmtId="0" fontId="9" fillId="0" borderId="0" xfId="0" applyFont="1" applyAlignment="1">
      <alignment vertical="center" wrapText="1" shrinkToFit="1"/>
    </xf>
    <xf numFmtId="0" fontId="9" fillId="0" borderId="10" xfId="0" applyFont="1" applyBorder="1" applyAlignment="1">
      <alignment vertical="center" wrapText="1" shrinkToFit="1"/>
    </xf>
    <xf numFmtId="0" fontId="9" fillId="0" borderId="11" xfId="0" applyFont="1" applyBorder="1" applyAlignment="1">
      <alignment vertical="center" wrapText="1" shrinkToFit="1"/>
    </xf>
    <xf numFmtId="0" fontId="9" fillId="0" borderId="6" xfId="0" applyFont="1" applyBorder="1" applyAlignment="1">
      <alignment vertical="center" wrapText="1" shrinkToFit="1"/>
    </xf>
    <xf numFmtId="0" fontId="9" fillId="0" borderId="12" xfId="0" applyFont="1" applyBorder="1" applyAlignment="1">
      <alignment vertical="center" wrapText="1" shrinkToFi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9" fillId="0" borderId="0" xfId="0" applyFont="1" applyAlignment="1">
      <alignment horizontal="center" vertical="center"/>
    </xf>
    <xf numFmtId="0" fontId="9" fillId="0" borderId="22" xfId="0" applyFont="1" applyBorder="1" applyAlignment="1">
      <alignment horizontal="left" vertical="center" wrapText="1" shrinkToFit="1"/>
    </xf>
    <xf numFmtId="0" fontId="2" fillId="0" borderId="0" xfId="0" applyFont="1" applyAlignment="1">
      <alignment horizontal="right" vertical="center"/>
    </xf>
    <xf numFmtId="0" fontId="13" fillId="0" borderId="0" xfId="0" applyFont="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4" fillId="0" borderId="8" xfId="0" applyFont="1" applyBorder="1" applyAlignment="1">
      <alignment horizontal="center" vertical="center" wrapText="1"/>
    </xf>
    <xf numFmtId="0" fontId="14" fillId="0" borderId="6" xfId="0" applyFont="1" applyBorder="1" applyAlignment="1">
      <alignment horizontal="center" vertical="center"/>
    </xf>
    <xf numFmtId="0" fontId="14" fillId="0" borderId="7" xfId="0" applyFont="1" applyBorder="1" applyAlignment="1">
      <alignment horizontal="center" vertical="center" wrapText="1"/>
    </xf>
    <xf numFmtId="0" fontId="14"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5" fillId="0" borderId="15" xfId="0" applyFont="1" applyBorder="1" applyAlignment="1">
      <alignment horizontal="center" vertical="center" wrapText="1"/>
    </xf>
    <xf numFmtId="0" fontId="15" fillId="0" borderId="13" xfId="0" applyFont="1" applyBorder="1" applyAlignment="1">
      <alignment horizontal="center" vertical="center"/>
    </xf>
    <xf numFmtId="0" fontId="14" fillId="0" borderId="9" xfId="0" applyFont="1" applyBorder="1" applyAlignment="1">
      <alignment horizontal="center" vertical="center"/>
    </xf>
    <xf numFmtId="0" fontId="14" fillId="0" borderId="12" xfId="0" applyFont="1" applyBorder="1" applyAlignment="1">
      <alignment horizontal="center" vertical="center"/>
    </xf>
    <xf numFmtId="0" fontId="8" fillId="0" borderId="16" xfId="0" applyFont="1" applyBorder="1" applyAlignment="1">
      <alignment vertical="top" wrapText="1" shrinkToFit="1"/>
    </xf>
    <xf numFmtId="0" fontId="8" fillId="0" borderId="22" xfId="0" applyFont="1" applyBorder="1" applyAlignment="1">
      <alignment vertical="top" wrapText="1" shrinkToFit="1"/>
    </xf>
    <xf numFmtId="0" fontId="8" fillId="0" borderId="21"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9" xfId="0" applyFont="1" applyBorder="1" applyAlignment="1">
      <alignment vertical="top" wrapText="1" shrinkToFit="1"/>
    </xf>
    <xf numFmtId="0" fontId="8" fillId="0" borderId="6" xfId="0" applyFont="1" applyBorder="1" applyAlignment="1">
      <alignment vertical="center"/>
    </xf>
    <xf numFmtId="0" fontId="8" fillId="0" borderId="17" xfId="0" applyFont="1" applyBorder="1" applyAlignment="1">
      <alignment vertical="center"/>
    </xf>
    <xf numFmtId="0" fontId="19" fillId="0" borderId="18" xfId="0" applyFont="1" applyBorder="1" applyAlignment="1">
      <alignment vertical="center"/>
    </xf>
    <xf numFmtId="0" fontId="8" fillId="0" borderId="19"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9" fillId="0" borderId="17" xfId="0" applyFont="1" applyBorder="1" applyAlignment="1">
      <alignment vertical="center" wrapText="1"/>
    </xf>
    <xf numFmtId="0" fontId="8" fillId="0" borderId="18" xfId="0" applyFont="1" applyBorder="1" applyAlignment="1">
      <alignment vertical="center" wrapText="1"/>
    </xf>
    <xf numFmtId="0" fontId="8" fillId="0" borderId="11" xfId="0" applyFont="1" applyBorder="1" applyAlignment="1">
      <alignment vertical="center" wrapText="1"/>
    </xf>
    <xf numFmtId="0" fontId="8" fillId="0" borderId="6" xfId="0" applyFont="1" applyBorder="1" applyAlignment="1">
      <alignment vertical="center" wrapText="1"/>
    </xf>
    <xf numFmtId="0" fontId="8" fillId="0" borderId="12" xfId="0" applyFont="1" applyBorder="1" applyAlignment="1">
      <alignment vertical="center" wrapText="1"/>
    </xf>
    <xf numFmtId="0" fontId="19" fillId="0" borderId="2" xfId="2" applyFont="1" applyBorder="1" applyAlignment="1">
      <alignment horizontal="center" vertical="center" shrinkToFit="1"/>
    </xf>
    <xf numFmtId="0" fontId="19" fillId="0" borderId="3" xfId="2" applyFont="1" applyBorder="1" applyAlignment="1">
      <alignment horizontal="center" vertical="center" shrinkToFit="1"/>
    </xf>
    <xf numFmtId="0" fontId="19" fillId="0" borderId="4" xfId="2" applyFont="1" applyBorder="1" applyAlignment="1">
      <alignment horizontal="center" vertical="center" shrinkToFit="1"/>
    </xf>
    <xf numFmtId="0" fontId="8" fillId="0" borderId="19" xfId="0" applyFont="1" applyBorder="1" applyAlignment="1">
      <alignment vertical="center" wrapText="1"/>
    </xf>
    <xf numFmtId="0" fontId="8" fillId="0" borderId="20" xfId="0" applyFont="1" applyBorder="1" applyAlignment="1">
      <alignment vertical="center" wrapText="1"/>
    </xf>
    <xf numFmtId="0" fontId="8" fillId="0" borderId="7" xfId="0" applyFont="1" applyBorder="1" applyAlignment="1">
      <alignment horizontal="left" vertical="top" wrapText="1" shrinkToFit="1"/>
    </xf>
    <xf numFmtId="0" fontId="8" fillId="0" borderId="8" xfId="0" applyFont="1" applyBorder="1" applyAlignment="1">
      <alignment horizontal="left" vertical="top" wrapText="1" shrinkToFit="1"/>
    </xf>
    <xf numFmtId="0" fontId="8" fillId="0" borderId="9" xfId="0" applyFont="1" applyBorder="1" applyAlignment="1">
      <alignment horizontal="left" vertical="top" wrapText="1" shrinkToFit="1"/>
    </xf>
    <xf numFmtId="0" fontId="8" fillId="0" borderId="5" xfId="0" applyFont="1" applyBorder="1" applyAlignment="1">
      <alignment horizontal="left" vertical="top" wrapText="1" shrinkToFit="1"/>
    </xf>
    <xf numFmtId="0" fontId="8" fillId="0" borderId="0" xfId="0" applyFont="1" applyAlignment="1">
      <alignment horizontal="left" vertical="top" wrapText="1" shrinkToFit="1"/>
    </xf>
    <xf numFmtId="0" fontId="8" fillId="0" borderId="10" xfId="0" applyFont="1" applyBorder="1" applyAlignment="1">
      <alignment horizontal="left" vertical="top" wrapText="1" shrinkToFit="1"/>
    </xf>
    <xf numFmtId="0" fontId="8" fillId="0" borderId="11" xfId="0" applyFont="1" applyBorder="1" applyAlignment="1">
      <alignment horizontal="left" vertical="top" wrapText="1" shrinkToFit="1"/>
    </xf>
    <xf numFmtId="0" fontId="8" fillId="0" borderId="6" xfId="0" applyFont="1" applyBorder="1" applyAlignment="1">
      <alignment horizontal="left" vertical="top" wrapText="1" shrinkToFit="1"/>
    </xf>
    <xf numFmtId="0" fontId="8" fillId="0" borderId="12" xfId="0" applyFont="1" applyBorder="1" applyAlignment="1">
      <alignment horizontal="left" vertical="top" wrapText="1"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view="pageBreakPreview" zoomScaleNormal="100" zoomScaleSheetLayoutView="100" workbookViewId="0">
      <selection activeCell="P24" sqref="P24"/>
    </sheetView>
  </sheetViews>
  <sheetFormatPr defaultColWidth="9" defaultRowHeight="18.75" customHeight="1" x14ac:dyDescent="0.2"/>
  <cols>
    <col min="1" max="1" width="3.36328125" style="10" customWidth="1"/>
    <col min="2" max="2" width="11.08984375" style="10" customWidth="1"/>
    <col min="3" max="8" width="6.6328125" style="10" customWidth="1"/>
    <col min="9" max="9" width="3.36328125" style="10" customWidth="1"/>
    <col min="10" max="10" width="10" style="10" customWidth="1"/>
    <col min="11" max="11" width="3.36328125" style="10" customWidth="1"/>
    <col min="12" max="12" width="7.7265625" style="10" customWidth="1"/>
    <col min="13" max="13" width="3.36328125" style="10" customWidth="1"/>
    <col min="14" max="14" width="4.453125" style="10" customWidth="1"/>
    <col min="15" max="15" width="9" style="22"/>
    <col min="16" max="16384" width="9" style="9"/>
  </cols>
  <sheetData>
    <row r="1" spans="1:15" ht="24" customHeight="1" x14ac:dyDescent="0.2">
      <c r="M1" s="140" t="s">
        <v>0</v>
      </c>
      <c r="N1" s="140"/>
    </row>
    <row r="2" spans="1:15" ht="24" customHeight="1" x14ac:dyDescent="0.2">
      <c r="A2" s="143" t="s">
        <v>1</v>
      </c>
      <c r="B2" s="143"/>
      <c r="C2" s="143"/>
      <c r="D2" s="143"/>
      <c r="E2" s="143"/>
      <c r="F2" s="143"/>
      <c r="G2" s="143"/>
      <c r="H2" s="143"/>
      <c r="I2" s="143"/>
      <c r="J2" s="143"/>
      <c r="K2" s="143"/>
      <c r="L2" s="143"/>
      <c r="M2" s="143"/>
      <c r="N2" s="143"/>
    </row>
    <row r="3" spans="1:15" ht="24" customHeight="1" x14ac:dyDescent="0.2"/>
    <row r="4" spans="1:15" ht="24" customHeight="1" x14ac:dyDescent="0.2">
      <c r="A4" s="10" t="s">
        <v>2</v>
      </c>
      <c r="B4" s="10" t="s">
        <v>3</v>
      </c>
      <c r="C4" s="130" t="s">
        <v>4</v>
      </c>
      <c r="D4" s="131"/>
      <c r="E4" s="131"/>
      <c r="F4" s="131"/>
      <c r="G4" s="131"/>
      <c r="H4" s="131"/>
      <c r="I4" s="131"/>
      <c r="J4" s="131"/>
      <c r="K4" s="131"/>
      <c r="L4" s="131"/>
      <c r="M4" s="131"/>
      <c r="N4" s="132"/>
      <c r="O4" s="22" t="str">
        <f>IF(C4="","入力してください","")</f>
        <v/>
      </c>
    </row>
    <row r="5" spans="1:15" ht="7.5" customHeight="1" x14ac:dyDescent="0.2">
      <c r="E5" s="11"/>
      <c r="F5" s="24"/>
      <c r="G5" s="24"/>
      <c r="H5" s="24"/>
      <c r="I5" s="24"/>
      <c r="J5" s="24"/>
      <c r="K5" s="24"/>
      <c r="L5" s="24"/>
      <c r="M5" s="24"/>
      <c r="N5" s="24"/>
    </row>
    <row r="6" spans="1:15" ht="24" customHeight="1" x14ac:dyDescent="0.2">
      <c r="A6" s="10" t="s">
        <v>5</v>
      </c>
      <c r="B6" s="10" t="s">
        <v>6</v>
      </c>
      <c r="D6" s="130" t="s">
        <v>7</v>
      </c>
      <c r="E6" s="131"/>
      <c r="F6" s="131"/>
      <c r="G6" s="131"/>
      <c r="H6" s="132"/>
      <c r="I6" s="10" t="s">
        <v>8</v>
      </c>
      <c r="J6" s="24" t="s">
        <v>9</v>
      </c>
      <c r="K6" s="130" t="s">
        <v>10</v>
      </c>
      <c r="L6" s="131"/>
      <c r="M6" s="131"/>
      <c r="N6" s="132"/>
      <c r="O6" s="22" t="str">
        <f>IF(D6="","入力してください","")</f>
        <v/>
      </c>
    </row>
    <row r="7" spans="1:15" ht="7.5" customHeight="1" x14ac:dyDescent="0.2">
      <c r="E7" s="11"/>
      <c r="F7" s="24"/>
      <c r="G7" s="24"/>
      <c r="H7" s="24"/>
      <c r="I7" s="24"/>
      <c r="J7" s="24"/>
      <c r="K7" s="24"/>
      <c r="L7" s="24"/>
      <c r="M7" s="24"/>
      <c r="N7" s="24"/>
    </row>
    <row r="8" spans="1:15" ht="24" customHeight="1" x14ac:dyDescent="0.2">
      <c r="A8" s="10" t="s">
        <v>11</v>
      </c>
      <c r="B8" s="10" t="s">
        <v>12</v>
      </c>
      <c r="C8" s="130" t="s">
        <v>13</v>
      </c>
      <c r="D8" s="131"/>
      <c r="E8" s="131"/>
      <c r="F8" s="131"/>
      <c r="G8" s="131"/>
      <c r="H8" s="131"/>
      <c r="I8" s="131"/>
      <c r="J8" s="131"/>
      <c r="K8" s="131"/>
      <c r="L8" s="131"/>
      <c r="M8" s="131"/>
      <c r="N8" s="132"/>
      <c r="O8" s="22" t="str">
        <f>IF(C8="","入力してください","")</f>
        <v/>
      </c>
    </row>
    <row r="9" spans="1:15" ht="7.5" customHeight="1" x14ac:dyDescent="0.2">
      <c r="E9" s="11"/>
      <c r="F9" s="24"/>
      <c r="G9" s="24"/>
      <c r="H9" s="24"/>
      <c r="I9" s="24"/>
      <c r="J9" s="24"/>
      <c r="K9" s="24"/>
      <c r="L9" s="24"/>
      <c r="M9" s="24"/>
      <c r="N9" s="24"/>
    </row>
    <row r="10" spans="1:15" ht="24" customHeight="1" x14ac:dyDescent="0.2">
      <c r="A10" s="10" t="s">
        <v>14</v>
      </c>
      <c r="B10" s="10" t="s">
        <v>15</v>
      </c>
      <c r="E10" s="130" t="s">
        <v>16</v>
      </c>
      <c r="F10" s="131"/>
      <c r="G10" s="131"/>
      <c r="H10" s="131"/>
      <c r="I10" s="131"/>
      <c r="J10" s="131"/>
      <c r="K10" s="131"/>
      <c r="L10" s="131"/>
      <c r="M10" s="131"/>
      <c r="N10" s="132"/>
      <c r="O10" s="22" t="str">
        <f>IF(E10="","入力してください","")</f>
        <v/>
      </c>
    </row>
    <row r="11" spans="1:15" ht="7.5" customHeight="1" x14ac:dyDescent="0.2">
      <c r="B11" s="11"/>
      <c r="C11" s="11"/>
      <c r="D11" s="11"/>
      <c r="E11" s="11"/>
      <c r="F11" s="24"/>
      <c r="G11" s="24"/>
      <c r="H11" s="24"/>
      <c r="I11" s="24"/>
      <c r="J11" s="24"/>
      <c r="K11" s="24"/>
      <c r="L11" s="24"/>
      <c r="M11" s="24"/>
      <c r="N11" s="24"/>
    </row>
    <row r="12" spans="1:15" ht="24" customHeight="1" x14ac:dyDescent="0.2">
      <c r="A12" s="10" t="s">
        <v>17</v>
      </c>
      <c r="B12" s="11" t="s">
        <v>18</v>
      </c>
      <c r="C12" s="11"/>
      <c r="D12" s="11"/>
      <c r="E12" s="144" t="s">
        <v>19</v>
      </c>
      <c r="F12" s="145"/>
      <c r="G12" s="10" t="s">
        <v>20</v>
      </c>
      <c r="H12" s="10" t="s">
        <v>21</v>
      </c>
      <c r="N12" s="91" t="s">
        <v>22</v>
      </c>
      <c r="O12" s="22" t="str">
        <f>IF(E12="","入力してください","")</f>
        <v/>
      </c>
    </row>
    <row r="13" spans="1:15" ht="7.5" customHeight="1" x14ac:dyDescent="0.2">
      <c r="B13" s="11"/>
      <c r="C13" s="11"/>
      <c r="D13" s="11"/>
      <c r="E13" s="11"/>
      <c r="F13" s="24"/>
      <c r="G13" s="24"/>
      <c r="H13" s="24"/>
      <c r="I13" s="24"/>
      <c r="J13" s="24"/>
      <c r="K13" s="24"/>
      <c r="L13" s="24"/>
      <c r="M13" s="24"/>
      <c r="N13" s="24"/>
    </row>
    <row r="14" spans="1:15" ht="24" customHeight="1" x14ac:dyDescent="0.2">
      <c r="A14" s="10" t="s">
        <v>23</v>
      </c>
      <c r="B14" s="10" t="s">
        <v>24</v>
      </c>
      <c r="C14" s="140" t="s">
        <v>25</v>
      </c>
      <c r="D14" s="141"/>
      <c r="E14" s="133">
        <v>105</v>
      </c>
      <c r="F14" s="134"/>
      <c r="G14" s="12" t="s">
        <v>26</v>
      </c>
      <c r="I14" s="140" t="s">
        <v>27</v>
      </c>
      <c r="J14" s="141"/>
      <c r="K14" s="133">
        <v>39</v>
      </c>
      <c r="L14" s="142"/>
      <c r="M14" s="134"/>
      <c r="N14" s="13" t="s">
        <v>26</v>
      </c>
      <c r="O14" s="22" t="str">
        <f>IF(OR(E14="",K14=""),"入力してください","")</f>
        <v/>
      </c>
    </row>
    <row r="15" spans="1:15" ht="7.5" customHeight="1" x14ac:dyDescent="0.2">
      <c r="M15" s="13"/>
      <c r="N15" s="13"/>
    </row>
    <row r="16" spans="1:15" ht="24" customHeight="1" x14ac:dyDescent="0.2">
      <c r="A16" s="10" t="s">
        <v>28</v>
      </c>
      <c r="B16" s="10" t="s">
        <v>29</v>
      </c>
      <c r="K16" s="144">
        <v>27</v>
      </c>
      <c r="L16" s="146"/>
      <c r="M16" s="145"/>
      <c r="N16" s="13" t="s">
        <v>26</v>
      </c>
      <c r="O16" s="22" t="str">
        <f>IF(K16="","入力してください","")</f>
        <v/>
      </c>
    </row>
    <row r="17" spans="1:15" ht="7.5" customHeight="1" x14ac:dyDescent="0.2">
      <c r="M17" s="13"/>
      <c r="N17" s="13"/>
    </row>
    <row r="18" spans="1:15" ht="24" customHeight="1" x14ac:dyDescent="0.2">
      <c r="A18" s="10" t="s">
        <v>30</v>
      </c>
      <c r="B18" s="10" t="s">
        <v>31</v>
      </c>
      <c r="E18" s="133">
        <v>280</v>
      </c>
      <c r="F18" s="134"/>
      <c r="G18" s="14" t="s">
        <v>32</v>
      </c>
      <c r="K18" s="150"/>
      <c r="L18" s="150"/>
      <c r="M18" s="150"/>
      <c r="N18" s="150"/>
      <c r="O18" s="22" t="str">
        <f>IF(E18="","入力してください","")</f>
        <v/>
      </c>
    </row>
    <row r="19" spans="1:15" ht="7.5" customHeight="1" x14ac:dyDescent="0.2">
      <c r="E19" s="6"/>
      <c r="L19" s="20"/>
      <c r="M19" s="20"/>
      <c r="N19" s="13"/>
    </row>
    <row r="20" spans="1:15" ht="24" customHeight="1" x14ac:dyDescent="0.2">
      <c r="A20" s="10" t="s">
        <v>33</v>
      </c>
      <c r="B20" s="10" t="s">
        <v>34</v>
      </c>
      <c r="E20" s="6"/>
      <c r="H20" s="10" t="s">
        <v>35</v>
      </c>
      <c r="J20" s="147">
        <v>1443</v>
      </c>
      <c r="K20" s="148"/>
      <c r="L20" s="149"/>
      <c r="M20" s="20" t="s">
        <v>26</v>
      </c>
      <c r="N20" s="13"/>
      <c r="O20" s="22" t="str">
        <f>IF(J20="","入力してください","")</f>
        <v/>
      </c>
    </row>
    <row r="21" spans="1:15" ht="7.5" customHeight="1" x14ac:dyDescent="0.2">
      <c r="E21" s="6"/>
      <c r="L21" s="20"/>
      <c r="M21" s="20"/>
      <c r="N21" s="13"/>
    </row>
    <row r="22" spans="1:15" ht="24" customHeight="1" x14ac:dyDescent="0.2">
      <c r="B22" s="20" t="s">
        <v>36</v>
      </c>
      <c r="C22" s="133">
        <v>297</v>
      </c>
      <c r="D22" s="134"/>
      <c r="E22" s="6" t="s">
        <v>26</v>
      </c>
      <c r="G22" s="129" t="s">
        <v>37</v>
      </c>
      <c r="H22" s="129"/>
      <c r="I22" s="133">
        <v>287</v>
      </c>
      <c r="J22" s="134"/>
      <c r="K22" s="10" t="s">
        <v>26</v>
      </c>
      <c r="M22" s="20"/>
      <c r="N22" s="13"/>
    </row>
    <row r="23" spans="1:15" ht="7.5" customHeight="1" x14ac:dyDescent="0.2">
      <c r="B23" s="20"/>
      <c r="C23" s="7"/>
      <c r="D23" s="7"/>
      <c r="E23" s="6"/>
      <c r="G23" s="20"/>
      <c r="H23" s="20"/>
      <c r="I23" s="7"/>
      <c r="J23" s="7"/>
      <c r="M23" s="20"/>
      <c r="N23" s="13"/>
    </row>
    <row r="24" spans="1:15" ht="24" customHeight="1" x14ac:dyDescent="0.2">
      <c r="B24" s="20" t="s">
        <v>38</v>
      </c>
      <c r="C24" s="133">
        <v>302</v>
      </c>
      <c r="D24" s="134"/>
      <c r="E24" s="6" t="s">
        <v>26</v>
      </c>
      <c r="G24" s="129" t="s">
        <v>39</v>
      </c>
      <c r="H24" s="129"/>
      <c r="I24" s="133">
        <v>295</v>
      </c>
      <c r="J24" s="134"/>
      <c r="K24" s="10" t="s">
        <v>26</v>
      </c>
      <c r="M24" s="20"/>
      <c r="N24" s="13"/>
    </row>
    <row r="25" spans="1:15" ht="7.5" customHeight="1" x14ac:dyDescent="0.2">
      <c r="B25" s="20"/>
      <c r="C25" s="7"/>
      <c r="D25" s="7"/>
      <c r="E25" s="6"/>
      <c r="G25" s="20"/>
      <c r="H25" s="20"/>
      <c r="I25" s="7"/>
      <c r="J25" s="7"/>
      <c r="M25" s="20"/>
      <c r="N25" s="13"/>
    </row>
    <row r="26" spans="1:15" ht="24" customHeight="1" x14ac:dyDescent="0.2">
      <c r="B26" s="20" t="s">
        <v>40</v>
      </c>
      <c r="C26" s="133">
        <v>262</v>
      </c>
      <c r="D26" s="134"/>
      <c r="E26" s="6" t="s">
        <v>26</v>
      </c>
      <c r="G26" s="129" t="s">
        <v>41</v>
      </c>
      <c r="H26" s="129"/>
      <c r="I26" s="133"/>
      <c r="J26" s="134"/>
      <c r="K26" s="10" t="s">
        <v>26</v>
      </c>
      <c r="M26" s="20"/>
      <c r="N26" s="13"/>
    </row>
    <row r="27" spans="1:15" ht="7.5" customHeight="1" x14ac:dyDescent="0.2">
      <c r="M27" s="15"/>
      <c r="N27" s="15"/>
    </row>
    <row r="28" spans="1:15" ht="24" customHeight="1" x14ac:dyDescent="0.2">
      <c r="A28" s="10" t="s">
        <v>42</v>
      </c>
      <c r="B28" s="10" t="s">
        <v>43</v>
      </c>
      <c r="G28" s="24"/>
      <c r="H28" s="24"/>
      <c r="I28" s="24"/>
      <c r="J28" s="16"/>
      <c r="K28" s="16"/>
      <c r="L28" s="16"/>
      <c r="M28" s="16"/>
      <c r="N28" s="16"/>
    </row>
    <row r="29" spans="1:15" s="10" customFormat="1" ht="24" customHeight="1" x14ac:dyDescent="0.2">
      <c r="B29" s="137" t="s">
        <v>44</v>
      </c>
      <c r="C29" s="137"/>
      <c r="D29" s="130" t="s">
        <v>45</v>
      </c>
      <c r="E29" s="131"/>
      <c r="F29" s="131"/>
      <c r="G29" s="138" t="s">
        <v>46</v>
      </c>
      <c r="H29" s="137"/>
      <c r="I29" s="139"/>
      <c r="J29" s="130" t="s">
        <v>47</v>
      </c>
      <c r="K29" s="131"/>
      <c r="L29" s="131"/>
      <c r="M29" s="131"/>
      <c r="N29" s="132"/>
      <c r="O29" s="22" t="str">
        <f>IF(OR(D29="",J29=""),"入力してください","")</f>
        <v/>
      </c>
    </row>
    <row r="30" spans="1:15" ht="7.5" customHeight="1" x14ac:dyDescent="0.2">
      <c r="M30" s="15"/>
      <c r="N30" s="15"/>
    </row>
    <row r="31" spans="1:15" ht="24" customHeight="1" x14ac:dyDescent="0.2">
      <c r="A31" s="10" t="s">
        <v>48</v>
      </c>
      <c r="B31" s="10" t="s">
        <v>49</v>
      </c>
      <c r="G31" s="16"/>
      <c r="H31" s="16"/>
      <c r="I31" s="16"/>
      <c r="J31" s="16"/>
      <c r="K31" s="16"/>
      <c r="L31" s="16"/>
      <c r="M31" s="16"/>
      <c r="N31" s="16"/>
    </row>
    <row r="32" spans="1:15" ht="24" customHeight="1" x14ac:dyDescent="0.2">
      <c r="B32" s="130" t="s">
        <v>50</v>
      </c>
      <c r="C32" s="131"/>
      <c r="D32" s="131"/>
      <c r="E32" s="131"/>
      <c r="F32" s="131"/>
      <c r="G32" s="131"/>
      <c r="H32" s="131"/>
      <c r="I32" s="131"/>
      <c r="J32" s="131"/>
      <c r="K32" s="131"/>
      <c r="L32" s="131"/>
      <c r="M32" s="131"/>
      <c r="N32" s="132"/>
      <c r="O32" s="22" t="str">
        <f>IF(B32="","入力してください","")</f>
        <v/>
      </c>
    </row>
    <row r="33" spans="1:15" ht="7.5" customHeight="1" x14ac:dyDescent="0.2">
      <c r="B33" s="8"/>
      <c r="C33" s="8"/>
      <c r="D33" s="8"/>
      <c r="E33" s="8"/>
      <c r="F33" s="8"/>
      <c r="G33" s="8"/>
      <c r="H33" s="8"/>
      <c r="I33" s="8"/>
      <c r="J33" s="8"/>
      <c r="K33" s="8"/>
      <c r="L33" s="8"/>
      <c r="M33" s="8"/>
      <c r="N33" s="8"/>
    </row>
    <row r="34" spans="1:15" s="10" customFormat="1" ht="24" customHeight="1" x14ac:dyDescent="0.2">
      <c r="B34" s="137" t="s">
        <v>44</v>
      </c>
      <c r="C34" s="137"/>
      <c r="D34" s="130" t="s">
        <v>51</v>
      </c>
      <c r="E34" s="131"/>
      <c r="F34" s="131"/>
      <c r="G34" s="138" t="s">
        <v>46</v>
      </c>
      <c r="H34" s="137"/>
      <c r="I34" s="139"/>
      <c r="J34" s="130" t="s">
        <v>52</v>
      </c>
      <c r="K34" s="131"/>
      <c r="L34" s="131"/>
      <c r="M34" s="131"/>
      <c r="N34" s="132"/>
      <c r="O34" s="22" t="str">
        <f>IF(OR(D34="",J34=""),"入力してください","")</f>
        <v/>
      </c>
    </row>
    <row r="35" spans="1:15" ht="7.5" customHeight="1" x14ac:dyDescent="0.2">
      <c r="F35" s="24"/>
      <c r="G35" s="24"/>
      <c r="H35" s="24"/>
      <c r="I35" s="24"/>
      <c r="J35" s="24"/>
      <c r="K35" s="24"/>
      <c r="L35" s="24"/>
      <c r="M35" s="24"/>
      <c r="N35" s="24"/>
    </row>
    <row r="36" spans="1:15" ht="24" customHeight="1" x14ac:dyDescent="0.2">
      <c r="A36" s="10" t="s">
        <v>53</v>
      </c>
      <c r="B36" s="10" t="s">
        <v>54</v>
      </c>
      <c r="M36" s="15"/>
      <c r="N36" s="15"/>
    </row>
    <row r="37" spans="1:15" ht="24" customHeight="1" x14ac:dyDescent="0.2">
      <c r="B37" s="130" t="s">
        <v>55</v>
      </c>
      <c r="C37" s="131"/>
      <c r="D37" s="131"/>
      <c r="E37" s="131"/>
      <c r="F37" s="131"/>
      <c r="G37" s="131"/>
      <c r="H37" s="131"/>
      <c r="I37" s="131"/>
      <c r="J37" s="131"/>
      <c r="K37" s="131"/>
      <c r="L37" s="131"/>
      <c r="M37" s="131"/>
      <c r="N37" s="132"/>
      <c r="O37" s="22" t="str">
        <f>IF(B37="","入力してください","")</f>
        <v/>
      </c>
    </row>
    <row r="38" spans="1:15" ht="7.5" customHeight="1" x14ac:dyDescent="0.2">
      <c r="F38" s="24"/>
      <c r="G38" s="24"/>
      <c r="H38" s="24"/>
      <c r="I38" s="24"/>
      <c r="J38" s="24"/>
      <c r="K38" s="24"/>
      <c r="L38" s="24"/>
      <c r="M38" s="24"/>
      <c r="N38" s="24"/>
    </row>
    <row r="39" spans="1:15" s="10" customFormat="1" ht="24" customHeight="1" x14ac:dyDescent="0.2">
      <c r="B39" s="137" t="s">
        <v>44</v>
      </c>
      <c r="C39" s="137"/>
      <c r="D39" s="130" t="s">
        <v>45</v>
      </c>
      <c r="E39" s="131"/>
      <c r="F39" s="131"/>
      <c r="G39" s="138" t="s">
        <v>46</v>
      </c>
      <c r="H39" s="137"/>
      <c r="I39" s="139"/>
      <c r="J39" s="130" t="s">
        <v>47</v>
      </c>
      <c r="K39" s="131"/>
      <c r="L39" s="131"/>
      <c r="M39" s="131"/>
      <c r="N39" s="132"/>
      <c r="O39" s="22" t="str">
        <f>IF(OR(D39="",J39=""),"入力してください","")</f>
        <v/>
      </c>
    </row>
    <row r="40" spans="1:15" ht="7.5" customHeight="1" x14ac:dyDescent="0.2">
      <c r="F40" s="24"/>
      <c r="G40" s="24"/>
      <c r="H40" s="24"/>
      <c r="I40" s="24"/>
      <c r="J40" s="24"/>
      <c r="K40" s="24"/>
      <c r="L40" s="24"/>
      <c r="M40" s="24"/>
      <c r="N40" s="24"/>
    </row>
    <row r="41" spans="1:15" ht="24" customHeight="1" x14ac:dyDescent="0.2">
      <c r="A41" s="10" t="s">
        <v>56</v>
      </c>
      <c r="B41" s="10" t="s">
        <v>57</v>
      </c>
      <c r="E41" s="59"/>
      <c r="F41" s="130" t="s">
        <v>58</v>
      </c>
      <c r="G41" s="131"/>
      <c r="H41" s="131"/>
      <c r="I41" s="131"/>
      <c r="J41" s="131"/>
      <c r="K41" s="131"/>
      <c r="L41" s="131"/>
      <c r="M41" s="131"/>
      <c r="N41" s="132"/>
      <c r="O41" s="22" t="str">
        <f>IF(F41="","入力してください","")</f>
        <v/>
      </c>
    </row>
    <row r="42" spans="1:15" ht="7.5" customHeight="1" x14ac:dyDescent="0.2">
      <c r="F42" s="24"/>
      <c r="G42" s="24"/>
      <c r="H42" s="24"/>
      <c r="I42" s="24"/>
      <c r="J42" s="24"/>
      <c r="K42" s="24"/>
      <c r="L42" s="24"/>
      <c r="M42" s="24"/>
      <c r="N42" s="24"/>
    </row>
    <row r="43" spans="1:15" ht="24" customHeight="1" x14ac:dyDescent="0.2">
      <c r="A43" s="10" t="s">
        <v>59</v>
      </c>
    </row>
    <row r="44" spans="1:15" ht="24" customHeight="1" x14ac:dyDescent="0.2">
      <c r="B44" s="21" t="s">
        <v>60</v>
      </c>
      <c r="C44" s="135" t="s">
        <v>61</v>
      </c>
      <c r="D44" s="136"/>
      <c r="E44" s="136"/>
      <c r="F44" s="136"/>
      <c r="G44" s="136"/>
      <c r="H44" s="136"/>
      <c r="I44" s="18" t="s">
        <v>62</v>
      </c>
      <c r="J44" s="19"/>
      <c r="K44" s="130" t="s">
        <v>63</v>
      </c>
      <c r="L44" s="131"/>
      <c r="M44" s="131"/>
      <c r="N44" s="132"/>
      <c r="O44" s="22" t="str">
        <f>IF(OR(C44="",K44=""),"入力してください","")</f>
        <v/>
      </c>
    </row>
    <row r="45" spans="1:15" ht="24" customHeight="1" x14ac:dyDescent="0.2">
      <c r="B45" s="17" t="s">
        <v>64</v>
      </c>
      <c r="C45" s="123" t="s">
        <v>65</v>
      </c>
      <c r="D45" s="124"/>
      <c r="E45" s="124"/>
      <c r="F45" s="124"/>
      <c r="G45" s="124"/>
      <c r="H45" s="125"/>
      <c r="I45" s="18" t="s">
        <v>66</v>
      </c>
      <c r="J45" s="19"/>
      <c r="K45" s="126" t="s">
        <v>67</v>
      </c>
      <c r="L45" s="127"/>
      <c r="M45" s="127"/>
      <c r="N45" s="128"/>
      <c r="O45" s="22"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4"/>
  <sheetViews>
    <sheetView showZeros="0" view="pageBreakPreview" zoomScaleNormal="100" zoomScaleSheetLayoutView="100" workbookViewId="0">
      <selection activeCell="B6" sqref="B6:Z11"/>
    </sheetView>
  </sheetViews>
  <sheetFormatPr defaultColWidth="9" defaultRowHeight="18.75" customHeight="1" x14ac:dyDescent="0.2"/>
  <cols>
    <col min="1" max="1" width="2.453125" style="9" customWidth="1"/>
    <col min="2" max="2" width="27.7265625" style="9" customWidth="1"/>
    <col min="3" max="13" width="3.36328125" style="9" customWidth="1"/>
    <col min="14" max="14" width="8.90625" style="9" customWidth="1"/>
    <col min="15" max="15" width="18.90625" style="9" customWidth="1"/>
    <col min="16" max="19" width="3.36328125" style="9" customWidth="1"/>
    <col min="20" max="20" width="3.453125" style="9" customWidth="1"/>
    <col min="21" max="26" width="3.36328125" style="9" customWidth="1"/>
    <col min="27" max="16384" width="9" style="9"/>
  </cols>
  <sheetData>
    <row r="1" spans="1:26" ht="15" customHeight="1" x14ac:dyDescent="0.2">
      <c r="W1" s="222" t="s">
        <v>68</v>
      </c>
      <c r="X1" s="222"/>
      <c r="Y1" s="222"/>
      <c r="Z1" s="222"/>
    </row>
    <row r="2" spans="1:26" ht="18" customHeight="1" x14ac:dyDescent="0.2">
      <c r="A2" s="200" t="s">
        <v>69</v>
      </c>
      <c r="B2" s="200"/>
      <c r="C2" s="200"/>
      <c r="D2" s="200"/>
      <c r="E2" s="200"/>
      <c r="F2" s="200"/>
      <c r="G2" s="200"/>
      <c r="H2" s="200"/>
      <c r="I2" s="200"/>
      <c r="J2" s="200"/>
      <c r="K2" s="200"/>
      <c r="L2" s="200"/>
      <c r="M2" s="200"/>
      <c r="N2" s="200"/>
      <c r="O2" s="200"/>
      <c r="P2" s="200"/>
      <c r="Q2" s="200"/>
      <c r="R2" s="200"/>
      <c r="S2" s="200"/>
      <c r="T2" s="200"/>
      <c r="U2" s="200"/>
      <c r="V2" s="200"/>
      <c r="W2" s="200"/>
      <c r="X2" s="200"/>
      <c r="Y2" s="200"/>
      <c r="Z2" s="200"/>
    </row>
    <row r="3" spans="1:26" ht="15" customHeight="1" x14ac:dyDescent="0.2">
      <c r="B3" s="20"/>
      <c r="C3" s="20"/>
      <c r="D3" s="20"/>
      <c r="E3" s="20"/>
      <c r="F3" s="20"/>
      <c r="G3" s="20"/>
      <c r="H3" s="20"/>
      <c r="I3" s="20"/>
      <c r="J3" s="20"/>
      <c r="K3" s="20"/>
      <c r="L3" s="20"/>
      <c r="M3" s="20"/>
      <c r="N3" s="20"/>
      <c r="O3" s="20"/>
      <c r="P3" s="20"/>
      <c r="Q3" s="20"/>
      <c r="R3" s="20"/>
      <c r="S3" s="20"/>
      <c r="T3" s="20"/>
      <c r="U3" s="20"/>
      <c r="V3" s="20"/>
      <c r="W3" s="20"/>
      <c r="X3" s="20"/>
      <c r="Y3" s="20"/>
      <c r="Z3" s="20"/>
    </row>
    <row r="4" spans="1:26" ht="18" customHeight="1" x14ac:dyDescent="0.2">
      <c r="A4" s="9" t="s">
        <v>70</v>
      </c>
      <c r="B4" s="20"/>
      <c r="C4" s="20"/>
      <c r="D4" s="20"/>
      <c r="E4" s="20"/>
      <c r="F4" s="20"/>
      <c r="G4" s="20"/>
      <c r="H4" s="10" t="s">
        <v>71</v>
      </c>
      <c r="I4" s="20"/>
      <c r="J4" s="20"/>
      <c r="K4" s="20"/>
      <c r="L4" s="20"/>
      <c r="M4" s="20"/>
      <c r="N4" s="20"/>
      <c r="O4" s="144" t="s">
        <v>72</v>
      </c>
      <c r="P4" s="146"/>
      <c r="Q4" s="146"/>
      <c r="R4" s="146"/>
      <c r="S4" s="146"/>
      <c r="T4" s="146"/>
      <c r="U4" s="146"/>
      <c r="V4" s="146"/>
      <c r="W4" s="146"/>
      <c r="X4" s="146"/>
      <c r="Y4" s="146"/>
      <c r="Z4" s="145"/>
    </row>
    <row r="5" spans="1:26" ht="6" customHeight="1" x14ac:dyDescent="0.2">
      <c r="B5" s="20"/>
      <c r="C5" s="20"/>
      <c r="D5" s="20"/>
      <c r="E5" s="20"/>
      <c r="F5" s="20"/>
      <c r="G5" s="20"/>
      <c r="H5" s="20"/>
      <c r="I5" s="20"/>
      <c r="J5" s="20"/>
      <c r="K5" s="20"/>
      <c r="L5" s="20"/>
      <c r="M5" s="20"/>
      <c r="N5" s="20"/>
      <c r="O5" s="11"/>
      <c r="P5" s="20"/>
      <c r="Q5" s="20"/>
      <c r="R5" s="20"/>
      <c r="S5" s="20"/>
      <c r="T5" s="20"/>
      <c r="U5" s="20"/>
      <c r="V5" s="20"/>
      <c r="W5" s="20"/>
      <c r="X5" s="20"/>
      <c r="Y5" s="20"/>
      <c r="Z5" s="20"/>
    </row>
    <row r="6" spans="1:26" ht="18" customHeight="1" x14ac:dyDescent="0.2">
      <c r="B6" s="283" t="s">
        <v>221</v>
      </c>
      <c r="C6" s="284"/>
      <c r="D6" s="284"/>
      <c r="E6" s="284"/>
      <c r="F6" s="284"/>
      <c r="G6" s="284"/>
      <c r="H6" s="284"/>
      <c r="I6" s="284"/>
      <c r="J6" s="284"/>
      <c r="K6" s="284"/>
      <c r="L6" s="284"/>
      <c r="M6" s="284"/>
      <c r="N6" s="284"/>
      <c r="O6" s="284"/>
      <c r="P6" s="284"/>
      <c r="Q6" s="284"/>
      <c r="R6" s="284"/>
      <c r="S6" s="284"/>
      <c r="T6" s="284"/>
      <c r="U6" s="284"/>
      <c r="V6" s="284"/>
      <c r="W6" s="284"/>
      <c r="X6" s="284"/>
      <c r="Y6" s="284"/>
      <c r="Z6" s="285"/>
    </row>
    <row r="7" spans="1:26" ht="18" customHeight="1" x14ac:dyDescent="0.2">
      <c r="B7" s="286"/>
      <c r="C7" s="287"/>
      <c r="D7" s="287"/>
      <c r="E7" s="287"/>
      <c r="F7" s="287"/>
      <c r="G7" s="287"/>
      <c r="H7" s="287"/>
      <c r="I7" s="287"/>
      <c r="J7" s="287"/>
      <c r="K7" s="287"/>
      <c r="L7" s="287"/>
      <c r="M7" s="287"/>
      <c r="N7" s="287"/>
      <c r="O7" s="287"/>
      <c r="P7" s="287"/>
      <c r="Q7" s="287"/>
      <c r="R7" s="287"/>
      <c r="S7" s="287"/>
      <c r="T7" s="287"/>
      <c r="U7" s="287"/>
      <c r="V7" s="287"/>
      <c r="W7" s="287"/>
      <c r="X7" s="287"/>
      <c r="Y7" s="287"/>
      <c r="Z7" s="288"/>
    </row>
    <row r="8" spans="1:26" ht="18" customHeight="1" x14ac:dyDescent="0.2">
      <c r="B8" s="286"/>
      <c r="C8" s="287"/>
      <c r="D8" s="287"/>
      <c r="E8" s="287"/>
      <c r="F8" s="287"/>
      <c r="G8" s="287"/>
      <c r="H8" s="287"/>
      <c r="I8" s="287"/>
      <c r="J8" s="287"/>
      <c r="K8" s="287"/>
      <c r="L8" s="287"/>
      <c r="M8" s="287"/>
      <c r="N8" s="287"/>
      <c r="O8" s="287"/>
      <c r="P8" s="287"/>
      <c r="Q8" s="287"/>
      <c r="R8" s="287"/>
      <c r="S8" s="287"/>
      <c r="T8" s="287"/>
      <c r="U8" s="287"/>
      <c r="V8" s="287"/>
      <c r="W8" s="287"/>
      <c r="X8" s="287"/>
      <c r="Y8" s="287"/>
      <c r="Z8" s="288"/>
    </row>
    <row r="9" spans="1:26" ht="18" customHeight="1" x14ac:dyDescent="0.2">
      <c r="B9" s="286"/>
      <c r="C9" s="287"/>
      <c r="D9" s="287"/>
      <c r="E9" s="287"/>
      <c r="F9" s="287"/>
      <c r="G9" s="287"/>
      <c r="H9" s="287"/>
      <c r="I9" s="287"/>
      <c r="J9" s="287"/>
      <c r="K9" s="287"/>
      <c r="L9" s="287"/>
      <c r="M9" s="287"/>
      <c r="N9" s="287"/>
      <c r="O9" s="287"/>
      <c r="P9" s="287"/>
      <c r="Q9" s="287"/>
      <c r="R9" s="287"/>
      <c r="S9" s="287"/>
      <c r="T9" s="287"/>
      <c r="U9" s="287"/>
      <c r="V9" s="287"/>
      <c r="W9" s="287"/>
      <c r="X9" s="287"/>
      <c r="Y9" s="287"/>
      <c r="Z9" s="288"/>
    </row>
    <row r="10" spans="1:26" ht="18" customHeight="1" x14ac:dyDescent="0.2">
      <c r="B10" s="286"/>
      <c r="C10" s="287"/>
      <c r="D10" s="287"/>
      <c r="E10" s="287"/>
      <c r="F10" s="287"/>
      <c r="G10" s="287"/>
      <c r="H10" s="287"/>
      <c r="I10" s="287"/>
      <c r="J10" s="287"/>
      <c r="K10" s="287"/>
      <c r="L10" s="287"/>
      <c r="M10" s="287"/>
      <c r="N10" s="287"/>
      <c r="O10" s="287"/>
      <c r="P10" s="287"/>
      <c r="Q10" s="287"/>
      <c r="R10" s="287"/>
      <c r="S10" s="287"/>
      <c r="T10" s="287"/>
      <c r="U10" s="287"/>
      <c r="V10" s="287"/>
      <c r="W10" s="287"/>
      <c r="X10" s="287"/>
      <c r="Y10" s="287"/>
      <c r="Z10" s="288"/>
    </row>
    <row r="11" spans="1:26" ht="18" customHeight="1" x14ac:dyDescent="0.2">
      <c r="B11" s="289"/>
      <c r="C11" s="290"/>
      <c r="D11" s="290"/>
      <c r="E11" s="290"/>
      <c r="F11" s="290"/>
      <c r="G11" s="290"/>
      <c r="H11" s="290"/>
      <c r="I11" s="290"/>
      <c r="J11" s="290"/>
      <c r="K11" s="290"/>
      <c r="L11" s="290"/>
      <c r="M11" s="290"/>
      <c r="N11" s="290"/>
      <c r="O11" s="290"/>
      <c r="P11" s="290"/>
      <c r="Q11" s="290"/>
      <c r="R11" s="290"/>
      <c r="S11" s="290"/>
      <c r="T11" s="290"/>
      <c r="U11" s="290"/>
      <c r="V11" s="290"/>
      <c r="W11" s="290"/>
      <c r="X11" s="290"/>
      <c r="Y11" s="290"/>
      <c r="Z11" s="291"/>
    </row>
    <row r="12" spans="1:26" ht="7.5" customHeight="1" x14ac:dyDescent="0.2">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18" customHeight="1" x14ac:dyDescent="0.2">
      <c r="A13" s="196" t="s">
        <v>73</v>
      </c>
      <c r="B13" s="196"/>
      <c r="C13" s="196"/>
      <c r="D13" s="196"/>
      <c r="E13" s="196"/>
      <c r="F13" s="196"/>
      <c r="G13" s="196"/>
      <c r="H13" s="196"/>
      <c r="I13" s="196"/>
      <c r="J13" s="196"/>
      <c r="K13" s="196"/>
      <c r="L13" s="196"/>
      <c r="M13" s="196"/>
      <c r="N13" s="196"/>
      <c r="O13" s="196"/>
      <c r="P13" s="196"/>
      <c r="Q13" s="196"/>
      <c r="R13" s="196"/>
      <c r="S13" s="196"/>
      <c r="T13" s="196"/>
      <c r="U13" s="196"/>
      <c r="V13" s="196"/>
      <c r="W13" s="196"/>
      <c r="X13" s="196"/>
      <c r="Y13" s="196"/>
      <c r="Z13" s="196"/>
    </row>
    <row r="14" spans="1:26" ht="18" customHeight="1" x14ac:dyDescent="0.2">
      <c r="A14" s="196"/>
      <c r="B14" s="196"/>
      <c r="C14" s="196"/>
      <c r="D14" s="196"/>
      <c r="E14" s="196"/>
      <c r="F14" s="196"/>
      <c r="G14" s="196"/>
      <c r="H14" s="196"/>
      <c r="I14" s="196"/>
      <c r="J14" s="196"/>
      <c r="K14" s="196"/>
      <c r="L14" s="196"/>
      <c r="M14" s="196"/>
      <c r="N14" s="196"/>
      <c r="O14" s="196"/>
      <c r="P14" s="196"/>
      <c r="Q14" s="196"/>
      <c r="R14" s="196"/>
      <c r="S14" s="196"/>
      <c r="T14" s="196"/>
      <c r="U14" s="196"/>
      <c r="V14" s="196"/>
      <c r="W14" s="196"/>
      <c r="X14" s="196"/>
      <c r="Y14" s="196"/>
      <c r="Z14" s="196"/>
    </row>
    <row r="15" spans="1:26" ht="18" customHeight="1" x14ac:dyDescent="0.2">
      <c r="A15" s="10"/>
      <c r="B15" s="144" t="s">
        <v>74</v>
      </c>
      <c r="C15" s="146"/>
      <c r="D15" s="146"/>
      <c r="E15" s="146"/>
      <c r="F15" s="145"/>
      <c r="G15" s="21" t="s">
        <v>75</v>
      </c>
      <c r="H15" s="87" t="s">
        <v>76</v>
      </c>
      <c r="I15" s="146" t="s">
        <v>77</v>
      </c>
      <c r="J15" s="146"/>
      <c r="K15" s="146"/>
      <c r="L15" s="60" t="s">
        <v>78</v>
      </c>
      <c r="M15" s="60" t="s">
        <v>79</v>
      </c>
      <c r="N15" s="144" t="s">
        <v>74</v>
      </c>
      <c r="O15" s="146"/>
      <c r="P15" s="146"/>
      <c r="Q15" s="146"/>
      <c r="R15" s="146"/>
      <c r="S15" s="145"/>
      <c r="T15" s="21" t="s">
        <v>75</v>
      </c>
      <c r="U15" s="87" t="s">
        <v>76</v>
      </c>
      <c r="V15" s="146" t="s">
        <v>77</v>
      </c>
      <c r="W15" s="146"/>
      <c r="X15" s="146"/>
      <c r="Y15" s="60" t="s">
        <v>78</v>
      </c>
      <c r="Z15" s="60" t="s">
        <v>79</v>
      </c>
    </row>
    <row r="16" spans="1:26" ht="18" customHeight="1" x14ac:dyDescent="0.2">
      <c r="A16" s="10"/>
      <c r="B16" s="187" t="s">
        <v>80</v>
      </c>
      <c r="C16" s="188"/>
      <c r="D16" s="188"/>
      <c r="E16" s="188"/>
      <c r="F16" s="189"/>
      <c r="G16" s="88">
        <v>2</v>
      </c>
      <c r="H16" s="88" t="s">
        <v>81</v>
      </c>
      <c r="I16" s="181" t="s">
        <v>82</v>
      </c>
      <c r="J16" s="182"/>
      <c r="K16" s="183"/>
      <c r="L16" s="88" t="s">
        <v>81</v>
      </c>
      <c r="M16" s="88" t="s">
        <v>81</v>
      </c>
      <c r="N16" s="151"/>
      <c r="O16" s="152"/>
      <c r="P16" s="152"/>
      <c r="Q16" s="152"/>
      <c r="R16" s="152"/>
      <c r="S16" s="153"/>
      <c r="T16" s="88"/>
      <c r="U16" s="88"/>
      <c r="V16" s="181"/>
      <c r="W16" s="182"/>
      <c r="X16" s="183"/>
      <c r="Y16" s="88"/>
      <c r="Z16" s="88"/>
    </row>
    <row r="17" spans="1:26" ht="18" customHeight="1" x14ac:dyDescent="0.2">
      <c r="A17" s="10"/>
      <c r="B17" s="190" t="s">
        <v>83</v>
      </c>
      <c r="C17" s="191"/>
      <c r="D17" s="191"/>
      <c r="E17" s="191"/>
      <c r="F17" s="192"/>
      <c r="G17" s="89">
        <v>2</v>
      </c>
      <c r="H17" s="89" t="s">
        <v>81</v>
      </c>
      <c r="I17" s="184" t="s">
        <v>84</v>
      </c>
      <c r="J17" s="185"/>
      <c r="K17" s="186"/>
      <c r="L17" s="89" t="s">
        <v>81</v>
      </c>
      <c r="M17" s="89"/>
      <c r="N17" s="175"/>
      <c r="O17" s="176"/>
      <c r="P17" s="176"/>
      <c r="Q17" s="176"/>
      <c r="R17" s="176"/>
      <c r="S17" s="177"/>
      <c r="T17" s="89"/>
      <c r="U17" s="89"/>
      <c r="V17" s="184"/>
      <c r="W17" s="185"/>
      <c r="X17" s="186"/>
      <c r="Y17" s="89"/>
      <c r="Z17" s="89"/>
    </row>
    <row r="18" spans="1:26" ht="18" customHeight="1" x14ac:dyDescent="0.2">
      <c r="A18" s="10"/>
      <c r="B18" s="190"/>
      <c r="C18" s="191"/>
      <c r="D18" s="191"/>
      <c r="E18" s="191"/>
      <c r="F18" s="192"/>
      <c r="G18" s="89"/>
      <c r="H18" s="89"/>
      <c r="I18" s="184"/>
      <c r="J18" s="185"/>
      <c r="K18" s="186"/>
      <c r="L18" s="89"/>
      <c r="M18" s="89"/>
      <c r="N18" s="175"/>
      <c r="O18" s="176"/>
      <c r="P18" s="176"/>
      <c r="Q18" s="176"/>
      <c r="R18" s="176"/>
      <c r="S18" s="177"/>
      <c r="T18" s="89"/>
      <c r="U18" s="89"/>
      <c r="V18" s="184"/>
      <c r="W18" s="185"/>
      <c r="X18" s="186"/>
      <c r="Y18" s="89"/>
      <c r="Z18" s="89"/>
    </row>
    <row r="19" spans="1:26" ht="18" customHeight="1" x14ac:dyDescent="0.2">
      <c r="A19" s="10"/>
      <c r="B19" s="190"/>
      <c r="C19" s="191"/>
      <c r="D19" s="191"/>
      <c r="E19" s="191"/>
      <c r="F19" s="192"/>
      <c r="G19" s="89"/>
      <c r="H19" s="89"/>
      <c r="I19" s="184"/>
      <c r="J19" s="185"/>
      <c r="K19" s="186"/>
      <c r="L19" s="89"/>
      <c r="M19" s="89"/>
      <c r="N19" s="175"/>
      <c r="O19" s="176"/>
      <c r="P19" s="176"/>
      <c r="Q19" s="176"/>
      <c r="R19" s="176"/>
      <c r="S19" s="177"/>
      <c r="T19" s="89"/>
      <c r="U19" s="89"/>
      <c r="V19" s="184"/>
      <c r="W19" s="185"/>
      <c r="X19" s="186"/>
      <c r="Y19" s="89"/>
      <c r="Z19" s="89"/>
    </row>
    <row r="20" spans="1:26" ht="18" customHeight="1" x14ac:dyDescent="0.2">
      <c r="A20" s="10"/>
      <c r="B20" s="190"/>
      <c r="C20" s="191"/>
      <c r="D20" s="191"/>
      <c r="E20" s="191"/>
      <c r="F20" s="192"/>
      <c r="G20" s="89"/>
      <c r="H20" s="89"/>
      <c r="I20" s="184"/>
      <c r="J20" s="185"/>
      <c r="K20" s="186"/>
      <c r="L20" s="89"/>
      <c r="M20" s="89"/>
      <c r="N20" s="175"/>
      <c r="O20" s="176"/>
      <c r="P20" s="176"/>
      <c r="Q20" s="176"/>
      <c r="R20" s="176"/>
      <c r="S20" s="177"/>
      <c r="T20" s="89"/>
      <c r="U20" s="89"/>
      <c r="V20" s="184"/>
      <c r="W20" s="185"/>
      <c r="X20" s="186"/>
      <c r="Y20" s="89"/>
      <c r="Z20" s="89"/>
    </row>
    <row r="21" spans="1:26" ht="18" customHeight="1" x14ac:dyDescent="0.2">
      <c r="A21" s="20"/>
      <c r="B21" s="190"/>
      <c r="C21" s="191"/>
      <c r="D21" s="191"/>
      <c r="E21" s="191"/>
      <c r="F21" s="192"/>
      <c r="G21" s="89"/>
      <c r="H21" s="89"/>
      <c r="I21" s="184"/>
      <c r="J21" s="185"/>
      <c r="K21" s="186"/>
      <c r="L21" s="89"/>
      <c r="M21" s="89"/>
      <c r="N21" s="175"/>
      <c r="O21" s="176"/>
      <c r="P21" s="176"/>
      <c r="Q21" s="176"/>
      <c r="R21" s="176"/>
      <c r="S21" s="177"/>
      <c r="T21" s="89"/>
      <c r="U21" s="89"/>
      <c r="V21" s="184"/>
      <c r="W21" s="185"/>
      <c r="X21" s="186"/>
      <c r="Y21" s="89"/>
      <c r="Z21" s="89"/>
    </row>
    <row r="22" spans="1:26" ht="18" customHeight="1" x14ac:dyDescent="0.2">
      <c r="A22" s="20"/>
      <c r="B22" s="197"/>
      <c r="C22" s="198"/>
      <c r="D22" s="198"/>
      <c r="E22" s="198"/>
      <c r="F22" s="199"/>
      <c r="G22" s="90"/>
      <c r="H22" s="90"/>
      <c r="I22" s="193"/>
      <c r="J22" s="194"/>
      <c r="K22" s="195"/>
      <c r="L22" s="95"/>
      <c r="M22" s="95"/>
      <c r="N22" s="201"/>
      <c r="O22" s="202"/>
      <c r="P22" s="202"/>
      <c r="Q22" s="202"/>
      <c r="R22" s="202"/>
      <c r="S22" s="203"/>
      <c r="T22" s="90"/>
      <c r="U22" s="90"/>
      <c r="V22" s="193"/>
      <c r="W22" s="194"/>
      <c r="X22" s="195"/>
      <c r="Y22" s="95"/>
      <c r="Z22" s="95"/>
    </row>
    <row r="23" spans="1:26" ht="7.5" customHeight="1" x14ac:dyDescent="0.2">
      <c r="A23" s="20"/>
      <c r="B23" s="24"/>
      <c r="C23" s="24"/>
      <c r="D23" s="20"/>
      <c r="E23" s="20"/>
      <c r="F23" s="20"/>
      <c r="G23" s="20"/>
      <c r="H23" s="20"/>
      <c r="I23" s="20"/>
      <c r="J23" s="20"/>
      <c r="K23" s="20"/>
      <c r="L23" s="24"/>
      <c r="M23" s="24"/>
      <c r="N23" s="24"/>
      <c r="O23" s="24"/>
      <c r="P23" s="24"/>
      <c r="Q23" s="24"/>
      <c r="R23" s="24"/>
      <c r="S23" s="24"/>
      <c r="T23" s="24"/>
      <c r="U23" s="24"/>
      <c r="V23" s="24"/>
      <c r="W23" s="24"/>
      <c r="X23" s="24"/>
      <c r="Y23" s="24"/>
      <c r="Z23" s="20"/>
    </row>
    <row r="24" spans="1:26" ht="18" customHeight="1" x14ac:dyDescent="0.2">
      <c r="A24" s="196" t="s">
        <v>85</v>
      </c>
      <c r="B24" s="196"/>
      <c r="C24" s="196"/>
      <c r="D24" s="196"/>
      <c r="E24" s="196"/>
      <c r="F24" s="196"/>
      <c r="G24" s="196"/>
      <c r="H24" s="196"/>
      <c r="I24" s="196"/>
      <c r="J24" s="196"/>
      <c r="K24" s="196"/>
      <c r="L24" s="196"/>
      <c r="M24" s="196"/>
      <c r="N24" s="196"/>
      <c r="O24" s="196"/>
      <c r="P24" s="196"/>
      <c r="Q24" s="196"/>
      <c r="R24" s="196"/>
      <c r="S24" s="196"/>
      <c r="T24" s="196"/>
      <c r="U24" s="196"/>
      <c r="V24" s="196"/>
      <c r="W24" s="196"/>
      <c r="X24" s="196"/>
      <c r="Y24" s="196"/>
      <c r="Z24" s="196"/>
    </row>
    <row r="25" spans="1:26" ht="18" customHeight="1" x14ac:dyDescent="0.2">
      <c r="A25" s="196"/>
      <c r="B25" s="196"/>
      <c r="C25" s="196"/>
      <c r="D25" s="196"/>
      <c r="E25" s="196"/>
      <c r="F25" s="196"/>
      <c r="G25" s="196"/>
      <c r="H25" s="196"/>
      <c r="I25" s="196"/>
      <c r="J25" s="196"/>
      <c r="K25" s="196"/>
      <c r="L25" s="196"/>
      <c r="M25" s="196"/>
      <c r="N25" s="196"/>
      <c r="O25" s="196"/>
      <c r="P25" s="196"/>
      <c r="Q25" s="196"/>
      <c r="R25" s="196"/>
      <c r="S25" s="196"/>
      <c r="T25" s="196"/>
      <c r="U25" s="196"/>
      <c r="V25" s="196"/>
      <c r="W25" s="196"/>
      <c r="X25" s="196"/>
      <c r="Y25" s="196"/>
      <c r="Z25" s="196"/>
    </row>
    <row r="26" spans="1:26" ht="18" customHeight="1" x14ac:dyDescent="0.2">
      <c r="A26" s="10"/>
      <c r="B26" s="144" t="s">
        <v>74</v>
      </c>
      <c r="C26" s="146"/>
      <c r="D26" s="146"/>
      <c r="E26" s="146"/>
      <c r="F26" s="145"/>
      <c r="G26" s="21" t="s">
        <v>75</v>
      </c>
      <c r="H26" s="87" t="s">
        <v>76</v>
      </c>
      <c r="I26" s="146" t="s">
        <v>77</v>
      </c>
      <c r="J26" s="146"/>
      <c r="K26" s="146"/>
      <c r="L26" s="60" t="s">
        <v>86</v>
      </c>
      <c r="M26" s="60" t="s">
        <v>87</v>
      </c>
      <c r="N26" s="144" t="s">
        <v>74</v>
      </c>
      <c r="O26" s="146"/>
      <c r="P26" s="146"/>
      <c r="Q26" s="146"/>
      <c r="R26" s="146"/>
      <c r="S26" s="145"/>
      <c r="T26" s="21" t="s">
        <v>75</v>
      </c>
      <c r="U26" s="87" t="s">
        <v>76</v>
      </c>
      <c r="V26" s="146" t="s">
        <v>77</v>
      </c>
      <c r="W26" s="146"/>
      <c r="X26" s="146"/>
      <c r="Y26" s="60" t="s">
        <v>86</v>
      </c>
      <c r="Z26" s="60" t="s">
        <v>87</v>
      </c>
    </row>
    <row r="27" spans="1:26" ht="18" customHeight="1" x14ac:dyDescent="0.2">
      <c r="A27" s="10"/>
      <c r="B27" s="187" t="s">
        <v>80</v>
      </c>
      <c r="C27" s="188"/>
      <c r="D27" s="188"/>
      <c r="E27" s="188"/>
      <c r="F27" s="189"/>
      <c r="G27" s="88">
        <v>2</v>
      </c>
      <c r="H27" s="88" t="s">
        <v>81</v>
      </c>
      <c r="I27" s="181" t="s">
        <v>82</v>
      </c>
      <c r="J27" s="182"/>
      <c r="K27" s="183"/>
      <c r="L27" s="88" t="s">
        <v>81</v>
      </c>
      <c r="M27" s="88" t="s">
        <v>81</v>
      </c>
      <c r="N27" s="151"/>
      <c r="O27" s="152"/>
      <c r="P27" s="152"/>
      <c r="Q27" s="152"/>
      <c r="R27" s="152"/>
      <c r="S27" s="153"/>
      <c r="T27" s="88"/>
      <c r="U27" s="88"/>
      <c r="V27" s="181"/>
      <c r="W27" s="182"/>
      <c r="X27" s="183"/>
      <c r="Y27" s="88"/>
      <c r="Z27" s="88"/>
    </row>
    <row r="28" spans="1:26" ht="18" customHeight="1" x14ac:dyDescent="0.2">
      <c r="A28" s="10"/>
      <c r="B28" s="190"/>
      <c r="C28" s="191"/>
      <c r="D28" s="191"/>
      <c r="E28" s="191"/>
      <c r="F28" s="192"/>
      <c r="G28" s="89"/>
      <c r="H28" s="89"/>
      <c r="I28" s="184"/>
      <c r="J28" s="185"/>
      <c r="K28" s="186"/>
      <c r="L28" s="89"/>
      <c r="M28" s="89"/>
      <c r="N28" s="175"/>
      <c r="O28" s="176"/>
      <c r="P28" s="176"/>
      <c r="Q28" s="176"/>
      <c r="R28" s="176"/>
      <c r="S28" s="177"/>
      <c r="T28" s="89"/>
      <c r="U28" s="89"/>
      <c r="V28" s="184"/>
      <c r="W28" s="185"/>
      <c r="X28" s="186"/>
      <c r="Y28" s="89"/>
      <c r="Z28" s="89"/>
    </row>
    <row r="29" spans="1:26" ht="18" customHeight="1" x14ac:dyDescent="0.2">
      <c r="A29" s="10"/>
      <c r="B29" s="190"/>
      <c r="C29" s="191"/>
      <c r="D29" s="191"/>
      <c r="E29" s="191"/>
      <c r="F29" s="192"/>
      <c r="G29" s="89"/>
      <c r="H29" s="89"/>
      <c r="I29" s="184"/>
      <c r="J29" s="185"/>
      <c r="K29" s="186"/>
      <c r="L29" s="89"/>
      <c r="M29" s="89"/>
      <c r="N29" s="175"/>
      <c r="O29" s="176"/>
      <c r="P29" s="176"/>
      <c r="Q29" s="176"/>
      <c r="R29" s="176"/>
      <c r="S29" s="177"/>
      <c r="T29" s="89"/>
      <c r="U29" s="89"/>
      <c r="V29" s="184"/>
      <c r="W29" s="185"/>
      <c r="X29" s="186"/>
      <c r="Y29" s="89"/>
      <c r="Z29" s="89"/>
    </row>
    <row r="30" spans="1:26" ht="18" customHeight="1" x14ac:dyDescent="0.2">
      <c r="A30" s="10"/>
      <c r="B30" s="190"/>
      <c r="C30" s="191"/>
      <c r="D30" s="191"/>
      <c r="E30" s="191"/>
      <c r="F30" s="192"/>
      <c r="G30" s="89"/>
      <c r="H30" s="89"/>
      <c r="I30" s="184"/>
      <c r="J30" s="185"/>
      <c r="K30" s="186"/>
      <c r="L30" s="89"/>
      <c r="M30" s="89"/>
      <c r="N30" s="175"/>
      <c r="O30" s="176"/>
      <c r="P30" s="176"/>
      <c r="Q30" s="176"/>
      <c r="R30" s="176"/>
      <c r="S30" s="177"/>
      <c r="T30" s="89"/>
      <c r="U30" s="89"/>
      <c r="V30" s="184"/>
      <c r="W30" s="185"/>
      <c r="X30" s="186"/>
      <c r="Y30" s="89"/>
      <c r="Z30" s="89"/>
    </row>
    <row r="31" spans="1:26" ht="18" customHeight="1" x14ac:dyDescent="0.2">
      <c r="A31" s="10"/>
      <c r="B31" s="190"/>
      <c r="C31" s="191"/>
      <c r="D31" s="191"/>
      <c r="E31" s="191"/>
      <c r="F31" s="192"/>
      <c r="G31" s="89"/>
      <c r="H31" s="89"/>
      <c r="I31" s="184"/>
      <c r="J31" s="185"/>
      <c r="K31" s="186"/>
      <c r="L31" s="89"/>
      <c r="M31" s="89"/>
      <c r="N31" s="175"/>
      <c r="O31" s="176"/>
      <c r="P31" s="176"/>
      <c r="Q31" s="176"/>
      <c r="R31" s="176"/>
      <c r="S31" s="177"/>
      <c r="T31" s="89"/>
      <c r="U31" s="89"/>
      <c r="V31" s="184"/>
      <c r="W31" s="185"/>
      <c r="X31" s="186"/>
      <c r="Y31" s="89"/>
      <c r="Z31" s="89"/>
    </row>
    <row r="32" spans="1:26" ht="18" customHeight="1" x14ac:dyDescent="0.2">
      <c r="A32" s="10"/>
      <c r="B32" s="190"/>
      <c r="C32" s="191"/>
      <c r="D32" s="191"/>
      <c r="E32" s="191"/>
      <c r="F32" s="192"/>
      <c r="G32" s="89"/>
      <c r="H32" s="89"/>
      <c r="I32" s="184"/>
      <c r="J32" s="185"/>
      <c r="K32" s="186"/>
      <c r="L32" s="89"/>
      <c r="M32" s="89"/>
      <c r="N32" s="175"/>
      <c r="O32" s="176"/>
      <c r="P32" s="176"/>
      <c r="Q32" s="176"/>
      <c r="R32" s="176"/>
      <c r="S32" s="177"/>
      <c r="T32" s="89"/>
      <c r="U32" s="89"/>
      <c r="V32" s="184"/>
      <c r="W32" s="185"/>
      <c r="X32" s="186"/>
      <c r="Y32" s="89"/>
      <c r="Z32" s="89"/>
    </row>
    <row r="33" spans="1:26" ht="18" customHeight="1" x14ac:dyDescent="0.2">
      <c r="A33" s="10"/>
      <c r="B33" s="197"/>
      <c r="C33" s="198"/>
      <c r="D33" s="198"/>
      <c r="E33" s="198"/>
      <c r="F33" s="199"/>
      <c r="G33" s="90"/>
      <c r="H33" s="90"/>
      <c r="I33" s="193"/>
      <c r="J33" s="194"/>
      <c r="K33" s="195"/>
      <c r="L33" s="95"/>
      <c r="M33" s="95"/>
      <c r="N33" s="201"/>
      <c r="O33" s="202"/>
      <c r="P33" s="202"/>
      <c r="Q33" s="202"/>
      <c r="R33" s="202"/>
      <c r="S33" s="203"/>
      <c r="T33" s="90"/>
      <c r="U33" s="90"/>
      <c r="V33" s="193"/>
      <c r="W33" s="194"/>
      <c r="X33" s="195"/>
      <c r="Y33" s="95"/>
      <c r="Z33" s="95"/>
    </row>
    <row r="34" spans="1:26" ht="7.5" customHeight="1" x14ac:dyDescent="0.2">
      <c r="A34" s="20"/>
      <c r="B34" s="24"/>
      <c r="C34" s="24"/>
      <c r="D34" s="20"/>
      <c r="E34" s="20"/>
      <c r="F34" s="20"/>
      <c r="G34" s="20"/>
      <c r="H34" s="20"/>
      <c r="I34" s="20"/>
      <c r="J34" s="20"/>
      <c r="K34" s="20"/>
      <c r="L34" s="24"/>
      <c r="M34" s="24"/>
      <c r="N34" s="24"/>
      <c r="O34" s="24"/>
      <c r="P34" s="24"/>
      <c r="Q34" s="24"/>
      <c r="R34" s="24"/>
      <c r="S34" s="24"/>
      <c r="T34" s="24"/>
      <c r="U34" s="24"/>
      <c r="V34" s="24"/>
      <c r="W34" s="24"/>
      <c r="X34" s="24"/>
      <c r="Y34" s="24"/>
      <c r="Z34" s="20"/>
    </row>
    <row r="35" spans="1:26" ht="18" customHeight="1" x14ac:dyDescent="0.2">
      <c r="A35" s="196" t="s">
        <v>88</v>
      </c>
      <c r="B35" s="196"/>
      <c r="C35" s="196"/>
      <c r="D35" s="196"/>
      <c r="E35" s="196"/>
      <c r="F35" s="196"/>
      <c r="G35" s="196"/>
      <c r="H35" s="196"/>
      <c r="I35" s="196"/>
      <c r="J35" s="196"/>
      <c r="K35" s="196"/>
      <c r="L35" s="196"/>
      <c r="M35" s="196"/>
      <c r="N35" s="196"/>
      <c r="O35" s="196"/>
      <c r="P35" s="196"/>
      <c r="Q35" s="196"/>
      <c r="R35" s="196"/>
      <c r="S35" s="196"/>
      <c r="T35" s="196"/>
      <c r="U35" s="196"/>
      <c r="V35" s="196"/>
      <c r="W35" s="196"/>
      <c r="X35" s="196"/>
      <c r="Y35" s="196"/>
      <c r="Z35" s="196"/>
    </row>
    <row r="36" spans="1:26" ht="18" customHeight="1" x14ac:dyDescent="0.2">
      <c r="A36" s="196"/>
      <c r="B36" s="196"/>
      <c r="C36" s="196"/>
      <c r="D36" s="196"/>
      <c r="E36" s="196"/>
      <c r="F36" s="196"/>
      <c r="G36" s="196"/>
      <c r="H36" s="196"/>
      <c r="I36" s="196"/>
      <c r="J36" s="196"/>
      <c r="K36" s="196"/>
      <c r="L36" s="196"/>
      <c r="M36" s="196"/>
      <c r="N36" s="196"/>
      <c r="O36" s="196"/>
      <c r="P36" s="196"/>
      <c r="Q36" s="196"/>
      <c r="R36" s="196"/>
      <c r="S36" s="196"/>
      <c r="T36" s="196"/>
      <c r="U36" s="196"/>
      <c r="V36" s="196"/>
      <c r="W36" s="196"/>
      <c r="X36" s="196"/>
      <c r="Y36" s="196"/>
      <c r="Z36" s="196"/>
    </row>
    <row r="37" spans="1:26" ht="18" customHeight="1" x14ac:dyDescent="0.2">
      <c r="A37" s="10"/>
      <c r="B37" s="144" t="s">
        <v>74</v>
      </c>
      <c r="C37" s="146"/>
      <c r="D37" s="146"/>
      <c r="E37" s="146"/>
      <c r="F37" s="145"/>
      <c r="G37" s="21" t="s">
        <v>75</v>
      </c>
      <c r="H37" s="87" t="s">
        <v>76</v>
      </c>
      <c r="I37" s="144" t="s">
        <v>77</v>
      </c>
      <c r="J37" s="146"/>
      <c r="K37" s="145"/>
      <c r="L37" s="60" t="s">
        <v>89</v>
      </c>
      <c r="M37" s="60" t="s">
        <v>90</v>
      </c>
      <c r="N37" s="144" t="s">
        <v>74</v>
      </c>
      <c r="O37" s="146"/>
      <c r="P37" s="146"/>
      <c r="Q37" s="146"/>
      <c r="R37" s="146"/>
      <c r="S37" s="145"/>
      <c r="T37" s="21" t="s">
        <v>75</v>
      </c>
      <c r="U37" s="87" t="s">
        <v>76</v>
      </c>
      <c r="V37" s="144" t="s">
        <v>77</v>
      </c>
      <c r="W37" s="146"/>
      <c r="X37" s="145"/>
      <c r="Y37" s="60" t="s">
        <v>89</v>
      </c>
      <c r="Z37" s="60" t="s">
        <v>90</v>
      </c>
    </row>
    <row r="38" spans="1:26" ht="18" customHeight="1" x14ac:dyDescent="0.2">
      <c r="A38" s="20"/>
      <c r="B38" s="187" t="s">
        <v>80</v>
      </c>
      <c r="C38" s="188"/>
      <c r="D38" s="188"/>
      <c r="E38" s="188"/>
      <c r="F38" s="189"/>
      <c r="G38" s="88">
        <v>2</v>
      </c>
      <c r="H38" s="88" t="s">
        <v>81</v>
      </c>
      <c r="I38" s="181" t="s">
        <v>82</v>
      </c>
      <c r="J38" s="182"/>
      <c r="K38" s="183"/>
      <c r="L38" s="88" t="s">
        <v>81</v>
      </c>
      <c r="M38" s="88" t="s">
        <v>81</v>
      </c>
      <c r="N38" s="151"/>
      <c r="O38" s="152"/>
      <c r="P38" s="152"/>
      <c r="Q38" s="152"/>
      <c r="R38" s="152"/>
      <c r="S38" s="153"/>
      <c r="T38" s="88"/>
      <c r="U38" s="88"/>
      <c r="V38" s="181"/>
      <c r="W38" s="182"/>
      <c r="X38" s="183"/>
      <c r="Y38" s="88"/>
      <c r="Z38" s="88"/>
    </row>
    <row r="39" spans="1:26" ht="18" customHeight="1" x14ac:dyDescent="0.2">
      <c r="A39" s="20"/>
      <c r="B39" s="190" t="s">
        <v>91</v>
      </c>
      <c r="C39" s="191"/>
      <c r="D39" s="191"/>
      <c r="E39" s="191"/>
      <c r="F39" s="192"/>
      <c r="G39" s="89">
        <v>2</v>
      </c>
      <c r="H39" s="89" t="s">
        <v>81</v>
      </c>
      <c r="I39" s="184" t="s">
        <v>82</v>
      </c>
      <c r="J39" s="185"/>
      <c r="K39" s="186"/>
      <c r="L39" s="89" t="s">
        <v>81</v>
      </c>
      <c r="M39" s="89"/>
      <c r="N39" s="175"/>
      <c r="O39" s="176"/>
      <c r="P39" s="176"/>
      <c r="Q39" s="176"/>
      <c r="R39" s="176"/>
      <c r="S39" s="177"/>
      <c r="T39" s="89"/>
      <c r="U39" s="89"/>
      <c r="V39" s="184"/>
      <c r="W39" s="185"/>
      <c r="X39" s="186"/>
      <c r="Y39" s="89"/>
      <c r="Z39" s="89"/>
    </row>
    <row r="40" spans="1:26" ht="18" customHeight="1" x14ac:dyDescent="0.2">
      <c r="A40" s="20"/>
      <c r="B40" s="190"/>
      <c r="C40" s="191"/>
      <c r="D40" s="191"/>
      <c r="E40" s="191"/>
      <c r="F40" s="192"/>
      <c r="G40" s="89"/>
      <c r="H40" s="89"/>
      <c r="I40" s="184"/>
      <c r="J40" s="185"/>
      <c r="K40" s="186"/>
      <c r="L40" s="89"/>
      <c r="M40" s="89"/>
      <c r="N40" s="175"/>
      <c r="O40" s="176"/>
      <c r="P40" s="176"/>
      <c r="Q40" s="176"/>
      <c r="R40" s="176"/>
      <c r="S40" s="177"/>
      <c r="T40" s="89"/>
      <c r="U40" s="89"/>
      <c r="V40" s="184"/>
      <c r="W40" s="185"/>
      <c r="X40" s="186"/>
      <c r="Y40" s="89"/>
      <c r="Z40" s="89"/>
    </row>
    <row r="41" spans="1:26" ht="18" customHeight="1" x14ac:dyDescent="0.2">
      <c r="A41" s="20"/>
      <c r="B41" s="190"/>
      <c r="C41" s="191"/>
      <c r="D41" s="191"/>
      <c r="E41" s="191"/>
      <c r="F41" s="192"/>
      <c r="G41" s="89"/>
      <c r="H41" s="89"/>
      <c r="I41" s="184"/>
      <c r="J41" s="185"/>
      <c r="K41" s="186"/>
      <c r="L41" s="89"/>
      <c r="M41" s="89"/>
      <c r="N41" s="175"/>
      <c r="O41" s="176"/>
      <c r="P41" s="176"/>
      <c r="Q41" s="176"/>
      <c r="R41" s="176"/>
      <c r="S41" s="177"/>
      <c r="T41" s="89"/>
      <c r="U41" s="89"/>
      <c r="V41" s="184"/>
      <c r="W41" s="185"/>
      <c r="X41" s="186"/>
      <c r="Y41" s="89"/>
      <c r="Z41" s="89"/>
    </row>
    <row r="42" spans="1:26" ht="18" customHeight="1" x14ac:dyDescent="0.2">
      <c r="A42" s="20"/>
      <c r="B42" s="190"/>
      <c r="C42" s="191"/>
      <c r="D42" s="191"/>
      <c r="E42" s="191"/>
      <c r="F42" s="192"/>
      <c r="G42" s="89"/>
      <c r="H42" s="89"/>
      <c r="I42" s="184"/>
      <c r="J42" s="185"/>
      <c r="K42" s="186"/>
      <c r="L42" s="89"/>
      <c r="M42" s="89"/>
      <c r="N42" s="175"/>
      <c r="O42" s="176"/>
      <c r="P42" s="176"/>
      <c r="Q42" s="176"/>
      <c r="R42" s="176"/>
      <c r="S42" s="177"/>
      <c r="T42" s="89"/>
      <c r="U42" s="89"/>
      <c r="V42" s="184"/>
      <c r="W42" s="185"/>
      <c r="X42" s="186"/>
      <c r="Y42" s="89"/>
      <c r="Z42" s="89"/>
    </row>
    <row r="43" spans="1:26" ht="18" customHeight="1" x14ac:dyDescent="0.2">
      <c r="A43" s="20"/>
      <c r="B43" s="190"/>
      <c r="C43" s="191"/>
      <c r="D43" s="191"/>
      <c r="E43" s="191"/>
      <c r="F43" s="192"/>
      <c r="G43" s="89"/>
      <c r="H43" s="89"/>
      <c r="I43" s="184"/>
      <c r="J43" s="185"/>
      <c r="K43" s="186"/>
      <c r="L43" s="89"/>
      <c r="M43" s="89"/>
      <c r="N43" s="175"/>
      <c r="O43" s="176"/>
      <c r="P43" s="176"/>
      <c r="Q43" s="176"/>
      <c r="R43" s="176"/>
      <c r="S43" s="177"/>
      <c r="T43" s="89"/>
      <c r="U43" s="89"/>
      <c r="V43" s="184"/>
      <c r="W43" s="185"/>
      <c r="X43" s="186"/>
      <c r="Y43" s="89"/>
      <c r="Z43" s="89"/>
    </row>
    <row r="44" spans="1:26" ht="18" customHeight="1" x14ac:dyDescent="0.2">
      <c r="A44" s="20"/>
      <c r="B44" s="197"/>
      <c r="C44" s="198"/>
      <c r="D44" s="198"/>
      <c r="E44" s="198"/>
      <c r="F44" s="199"/>
      <c r="G44" s="90"/>
      <c r="H44" s="90"/>
      <c r="I44" s="193"/>
      <c r="J44" s="194"/>
      <c r="K44" s="195"/>
      <c r="L44" s="95"/>
      <c r="M44" s="95"/>
      <c r="N44" s="201"/>
      <c r="O44" s="202"/>
      <c r="P44" s="202"/>
      <c r="Q44" s="202"/>
      <c r="R44" s="202"/>
      <c r="S44" s="203"/>
      <c r="T44" s="90"/>
      <c r="U44" s="90"/>
      <c r="V44" s="193"/>
      <c r="W44" s="194"/>
      <c r="X44" s="195"/>
      <c r="Y44" s="95"/>
      <c r="Z44" s="95"/>
    </row>
    <row r="45" spans="1:26" ht="7.5" customHeight="1" x14ac:dyDescent="0.2">
      <c r="B45" s="61"/>
      <c r="C45" s="61"/>
      <c r="D45" s="61"/>
      <c r="E45" s="61"/>
      <c r="F45" s="61"/>
      <c r="G45" s="61"/>
      <c r="H45" s="61"/>
      <c r="I45" s="61"/>
      <c r="J45" s="61"/>
      <c r="K45" s="61"/>
      <c r="L45" s="61"/>
      <c r="M45" s="61"/>
      <c r="N45" s="61"/>
      <c r="O45" s="61"/>
      <c r="P45" s="61"/>
      <c r="Q45" s="61"/>
      <c r="R45" s="61"/>
      <c r="S45" s="61"/>
      <c r="T45" s="61"/>
      <c r="U45" s="61"/>
      <c r="V45" s="61"/>
      <c r="W45" s="61"/>
      <c r="X45" s="61"/>
      <c r="Y45" s="61"/>
    </row>
    <row r="46" spans="1:26" ht="18" customHeight="1" x14ac:dyDescent="0.2">
      <c r="A46" s="196" t="s">
        <v>92</v>
      </c>
      <c r="B46" s="196"/>
      <c r="C46" s="196"/>
      <c r="D46" s="196"/>
      <c r="E46" s="196"/>
      <c r="F46" s="196"/>
      <c r="G46" s="196"/>
      <c r="H46" s="196"/>
      <c r="I46" s="196"/>
      <c r="J46" s="196"/>
      <c r="K46" s="196"/>
      <c r="L46" s="196"/>
      <c r="M46" s="196"/>
      <c r="N46" s="196"/>
      <c r="O46" s="196"/>
      <c r="P46" s="196"/>
      <c r="Q46" s="196"/>
      <c r="R46" s="196"/>
      <c r="S46" s="196"/>
      <c r="T46" s="196"/>
      <c r="U46" s="196"/>
      <c r="V46" s="196"/>
      <c r="W46" s="196"/>
      <c r="X46" s="196"/>
      <c r="Y46" s="196"/>
      <c r="Z46" s="196"/>
    </row>
    <row r="47" spans="1:26" ht="18" customHeight="1" x14ac:dyDescent="0.2">
      <c r="A47" s="196"/>
      <c r="B47" s="196"/>
      <c r="C47" s="196"/>
      <c r="D47" s="196"/>
      <c r="E47" s="196"/>
      <c r="F47" s="196"/>
      <c r="G47" s="196"/>
      <c r="H47" s="196"/>
      <c r="I47" s="196"/>
      <c r="J47" s="196"/>
      <c r="K47" s="196"/>
      <c r="L47" s="196"/>
      <c r="M47" s="196"/>
      <c r="N47" s="196"/>
      <c r="O47" s="196"/>
      <c r="P47" s="196"/>
      <c r="Q47" s="196"/>
      <c r="R47" s="196"/>
      <c r="S47" s="196"/>
      <c r="T47" s="196"/>
      <c r="U47" s="196"/>
      <c r="V47" s="196"/>
      <c r="W47" s="196"/>
      <c r="X47" s="196"/>
      <c r="Y47" s="196"/>
      <c r="Z47" s="196"/>
    </row>
    <row r="48" spans="1:26" ht="18" customHeight="1" x14ac:dyDescent="0.2">
      <c r="A48" s="10"/>
      <c r="B48" s="144" t="s">
        <v>74</v>
      </c>
      <c r="C48" s="146"/>
      <c r="D48" s="146"/>
      <c r="E48" s="146"/>
      <c r="F48" s="145"/>
      <c r="G48" s="21" t="s">
        <v>75</v>
      </c>
      <c r="H48" s="87" t="s">
        <v>76</v>
      </c>
      <c r="I48" s="144" t="s">
        <v>77</v>
      </c>
      <c r="J48" s="146"/>
      <c r="K48" s="145"/>
      <c r="L48" s="60" t="s">
        <v>93</v>
      </c>
      <c r="M48" s="60" t="s">
        <v>94</v>
      </c>
      <c r="N48" s="144" t="s">
        <v>74</v>
      </c>
      <c r="O48" s="146"/>
      <c r="P48" s="146"/>
      <c r="Q48" s="146"/>
      <c r="R48" s="146"/>
      <c r="S48" s="145"/>
      <c r="T48" s="21" t="s">
        <v>75</v>
      </c>
      <c r="U48" s="87" t="s">
        <v>76</v>
      </c>
      <c r="V48" s="144" t="s">
        <v>77</v>
      </c>
      <c r="W48" s="146"/>
      <c r="X48" s="145"/>
      <c r="Y48" s="60" t="s">
        <v>93</v>
      </c>
      <c r="Z48" s="60" t="s">
        <v>94</v>
      </c>
    </row>
    <row r="49" spans="1:26" ht="18" customHeight="1" x14ac:dyDescent="0.2">
      <c r="A49" s="20"/>
      <c r="B49" s="187" t="s">
        <v>80</v>
      </c>
      <c r="C49" s="188"/>
      <c r="D49" s="188"/>
      <c r="E49" s="188"/>
      <c r="F49" s="189"/>
      <c r="G49" s="88">
        <v>2</v>
      </c>
      <c r="H49" s="88" t="s">
        <v>81</v>
      </c>
      <c r="I49" s="181" t="s">
        <v>82</v>
      </c>
      <c r="J49" s="182"/>
      <c r="K49" s="183"/>
      <c r="L49" s="88" t="s">
        <v>81</v>
      </c>
      <c r="M49" s="88" t="s">
        <v>81</v>
      </c>
      <c r="N49" s="151"/>
      <c r="O49" s="152"/>
      <c r="P49" s="152"/>
      <c r="Q49" s="152"/>
      <c r="R49" s="152"/>
      <c r="S49" s="153"/>
      <c r="T49" s="88"/>
      <c r="U49" s="88"/>
      <c r="V49" s="181"/>
      <c r="W49" s="182"/>
      <c r="X49" s="183"/>
      <c r="Y49" s="88"/>
      <c r="Z49" s="88"/>
    </row>
    <row r="50" spans="1:26" ht="18" customHeight="1" x14ac:dyDescent="0.2">
      <c r="A50" s="20"/>
      <c r="B50" s="190"/>
      <c r="C50" s="191"/>
      <c r="D50" s="191"/>
      <c r="E50" s="191"/>
      <c r="F50" s="192"/>
      <c r="G50" s="89"/>
      <c r="H50" s="89"/>
      <c r="I50" s="184"/>
      <c r="J50" s="185"/>
      <c r="K50" s="186"/>
      <c r="L50" s="89"/>
      <c r="M50" s="89"/>
      <c r="N50" s="175"/>
      <c r="O50" s="176"/>
      <c r="P50" s="176"/>
      <c r="Q50" s="176"/>
      <c r="R50" s="176"/>
      <c r="S50" s="177"/>
      <c r="T50" s="89"/>
      <c r="U50" s="89"/>
      <c r="V50" s="184"/>
      <c r="W50" s="185"/>
      <c r="X50" s="186"/>
      <c r="Y50" s="89"/>
      <c r="Z50" s="89"/>
    </row>
    <row r="51" spans="1:26" ht="18" customHeight="1" x14ac:dyDescent="0.2">
      <c r="A51" s="20"/>
      <c r="B51" s="190"/>
      <c r="C51" s="191"/>
      <c r="D51" s="191"/>
      <c r="E51" s="191"/>
      <c r="F51" s="192"/>
      <c r="G51" s="89"/>
      <c r="H51" s="89"/>
      <c r="I51" s="184"/>
      <c r="J51" s="185"/>
      <c r="K51" s="186"/>
      <c r="L51" s="89"/>
      <c r="M51" s="89"/>
      <c r="N51" s="175"/>
      <c r="O51" s="176"/>
      <c r="P51" s="176"/>
      <c r="Q51" s="176"/>
      <c r="R51" s="176"/>
      <c r="S51" s="177"/>
      <c r="T51" s="89"/>
      <c r="U51" s="89"/>
      <c r="V51" s="184"/>
      <c r="W51" s="185"/>
      <c r="X51" s="186"/>
      <c r="Y51" s="89"/>
      <c r="Z51" s="89"/>
    </row>
    <row r="52" spans="1:26" ht="18" customHeight="1" x14ac:dyDescent="0.2">
      <c r="A52" s="20"/>
      <c r="B52" s="190"/>
      <c r="C52" s="191"/>
      <c r="D52" s="191"/>
      <c r="E52" s="191"/>
      <c r="F52" s="192"/>
      <c r="G52" s="89"/>
      <c r="H52" s="89"/>
      <c r="I52" s="184"/>
      <c r="J52" s="185"/>
      <c r="K52" s="186"/>
      <c r="L52" s="89"/>
      <c r="M52" s="89"/>
      <c r="N52" s="175"/>
      <c r="O52" s="176"/>
      <c r="P52" s="176"/>
      <c r="Q52" s="176"/>
      <c r="R52" s="176"/>
      <c r="S52" s="177"/>
      <c r="T52" s="89"/>
      <c r="U52" s="89"/>
      <c r="V52" s="184"/>
      <c r="W52" s="185"/>
      <c r="X52" s="186"/>
      <c r="Y52" s="89"/>
      <c r="Z52" s="89"/>
    </row>
    <row r="53" spans="1:26" ht="18" customHeight="1" x14ac:dyDescent="0.2">
      <c r="A53" s="20"/>
      <c r="B53" s="190"/>
      <c r="C53" s="191"/>
      <c r="D53" s="191"/>
      <c r="E53" s="191"/>
      <c r="F53" s="192"/>
      <c r="G53" s="89"/>
      <c r="H53" s="89"/>
      <c r="I53" s="184"/>
      <c r="J53" s="185"/>
      <c r="K53" s="186"/>
      <c r="L53" s="89"/>
      <c r="M53" s="89"/>
      <c r="N53" s="175"/>
      <c r="O53" s="176"/>
      <c r="P53" s="176"/>
      <c r="Q53" s="176"/>
      <c r="R53" s="176"/>
      <c r="S53" s="177"/>
      <c r="T53" s="89"/>
      <c r="U53" s="89"/>
      <c r="V53" s="184"/>
      <c r="W53" s="185"/>
      <c r="X53" s="186"/>
      <c r="Y53" s="89"/>
      <c r="Z53" s="89"/>
    </row>
    <row r="54" spans="1:26" ht="18" customHeight="1" x14ac:dyDescent="0.2">
      <c r="A54" s="20"/>
      <c r="B54" s="190"/>
      <c r="C54" s="191"/>
      <c r="D54" s="191"/>
      <c r="E54" s="191"/>
      <c r="F54" s="192"/>
      <c r="G54" s="89"/>
      <c r="H54" s="89"/>
      <c r="I54" s="184"/>
      <c r="J54" s="185"/>
      <c r="K54" s="186"/>
      <c r="L54" s="89"/>
      <c r="M54" s="89"/>
      <c r="N54" s="175"/>
      <c r="O54" s="176"/>
      <c r="P54" s="176"/>
      <c r="Q54" s="176"/>
      <c r="R54" s="176"/>
      <c r="S54" s="177"/>
      <c r="T54" s="89"/>
      <c r="U54" s="89"/>
      <c r="V54" s="184"/>
      <c r="W54" s="185"/>
      <c r="X54" s="186"/>
      <c r="Y54" s="89"/>
      <c r="Z54" s="89"/>
    </row>
    <row r="55" spans="1:26" ht="18" customHeight="1" x14ac:dyDescent="0.2">
      <c r="A55" s="20"/>
      <c r="B55" s="197"/>
      <c r="C55" s="198"/>
      <c r="D55" s="198"/>
      <c r="E55" s="198"/>
      <c r="F55" s="199"/>
      <c r="G55" s="90"/>
      <c r="H55" s="90"/>
      <c r="I55" s="193"/>
      <c r="J55" s="194"/>
      <c r="K55" s="195"/>
      <c r="L55" s="95"/>
      <c r="M55" s="95"/>
      <c r="N55" s="201"/>
      <c r="O55" s="202"/>
      <c r="P55" s="202"/>
      <c r="Q55" s="202"/>
      <c r="R55" s="202"/>
      <c r="S55" s="203"/>
      <c r="T55" s="90"/>
      <c r="U55" s="90"/>
      <c r="V55" s="193"/>
      <c r="W55" s="194"/>
      <c r="X55" s="195"/>
      <c r="Y55" s="95"/>
      <c r="Z55" s="95"/>
    </row>
    <row r="56" spans="1:26" ht="7.5" customHeight="1" x14ac:dyDescent="0.2">
      <c r="B56" s="61"/>
      <c r="C56" s="61"/>
      <c r="D56" s="61"/>
      <c r="E56" s="61"/>
      <c r="F56" s="61"/>
      <c r="G56" s="61"/>
      <c r="H56" s="61"/>
      <c r="I56" s="61"/>
      <c r="J56" s="61"/>
      <c r="K56" s="61"/>
      <c r="L56" s="61"/>
      <c r="M56" s="61"/>
      <c r="N56" s="61"/>
      <c r="O56" s="61"/>
      <c r="P56" s="61"/>
      <c r="Q56" s="61"/>
      <c r="R56" s="61"/>
      <c r="S56" s="61"/>
      <c r="T56" s="61"/>
      <c r="U56" s="61"/>
      <c r="V56" s="61"/>
      <c r="W56" s="61"/>
      <c r="X56" s="61"/>
      <c r="Y56" s="61"/>
    </row>
    <row r="57" spans="1:26" ht="18" customHeight="1" x14ac:dyDescent="0.2">
      <c r="A57" s="196" t="s">
        <v>95</v>
      </c>
      <c r="B57" s="196"/>
      <c r="C57" s="196"/>
      <c r="D57" s="196"/>
      <c r="E57" s="196"/>
      <c r="F57" s="196"/>
      <c r="G57" s="196"/>
      <c r="H57" s="196"/>
      <c r="I57" s="196"/>
      <c r="J57" s="196"/>
      <c r="K57" s="196"/>
      <c r="L57" s="196"/>
      <c r="M57" s="196"/>
      <c r="N57" s="196"/>
      <c r="O57" s="196"/>
      <c r="P57" s="196"/>
      <c r="Q57" s="196"/>
      <c r="R57" s="196"/>
      <c r="S57" s="196"/>
      <c r="T57" s="196"/>
      <c r="U57" s="196"/>
      <c r="V57" s="196"/>
      <c r="W57" s="196"/>
      <c r="X57" s="196"/>
      <c r="Y57" s="196"/>
      <c r="Z57" s="196"/>
    </row>
    <row r="58" spans="1:26" ht="18" customHeight="1" x14ac:dyDescent="0.2">
      <c r="A58" s="196"/>
      <c r="B58" s="196"/>
      <c r="C58" s="196"/>
      <c r="D58" s="196"/>
      <c r="E58" s="196"/>
      <c r="F58" s="196"/>
      <c r="G58" s="196"/>
      <c r="H58" s="196"/>
      <c r="I58" s="196"/>
      <c r="J58" s="196"/>
      <c r="K58" s="196"/>
      <c r="L58" s="196"/>
      <c r="M58" s="196"/>
      <c r="N58" s="196"/>
      <c r="O58" s="196"/>
      <c r="P58" s="196"/>
      <c r="Q58" s="196"/>
      <c r="R58" s="196"/>
      <c r="S58" s="196"/>
      <c r="T58" s="196"/>
      <c r="U58" s="196"/>
      <c r="V58" s="196"/>
      <c r="W58" s="196"/>
      <c r="X58" s="196"/>
      <c r="Y58" s="196"/>
      <c r="Z58" s="196"/>
    </row>
    <row r="59" spans="1:26" ht="18" customHeight="1" x14ac:dyDescent="0.2">
      <c r="A59" s="10"/>
      <c r="B59" s="144" t="s">
        <v>74</v>
      </c>
      <c r="C59" s="146"/>
      <c r="D59" s="146"/>
      <c r="E59" s="145"/>
      <c r="F59" s="21" t="s">
        <v>75</v>
      </c>
      <c r="G59" s="87" t="s">
        <v>76</v>
      </c>
      <c r="H59" s="18" t="s">
        <v>77</v>
      </c>
      <c r="I59" s="84"/>
      <c r="J59" s="19"/>
      <c r="K59" s="60" t="s">
        <v>96</v>
      </c>
      <c r="L59" s="60" t="s">
        <v>97</v>
      </c>
      <c r="M59" s="60" t="s">
        <v>98</v>
      </c>
      <c r="N59" s="144" t="s">
        <v>74</v>
      </c>
      <c r="O59" s="146"/>
      <c r="P59" s="146"/>
      <c r="Q59" s="146"/>
      <c r="R59" s="145"/>
      <c r="S59" s="21" t="s">
        <v>75</v>
      </c>
      <c r="T59" s="87" t="s">
        <v>76</v>
      </c>
      <c r="U59" s="18" t="s">
        <v>77</v>
      </c>
      <c r="V59" s="84"/>
      <c r="W59" s="19"/>
      <c r="X59" s="60" t="s">
        <v>96</v>
      </c>
      <c r="Y59" s="60" t="s">
        <v>97</v>
      </c>
      <c r="Z59" s="60" t="s">
        <v>98</v>
      </c>
    </row>
    <row r="60" spans="1:26" ht="18" customHeight="1" x14ac:dyDescent="0.2">
      <c r="A60" s="20"/>
      <c r="B60" s="151" t="s">
        <v>80</v>
      </c>
      <c r="C60" s="152"/>
      <c r="D60" s="152"/>
      <c r="E60" s="153"/>
      <c r="F60" s="88">
        <v>2</v>
      </c>
      <c r="G60" s="88" t="s">
        <v>81</v>
      </c>
      <c r="H60" s="181" t="s">
        <v>82</v>
      </c>
      <c r="I60" s="182"/>
      <c r="J60" s="183"/>
      <c r="K60" s="94" t="s">
        <v>99</v>
      </c>
      <c r="L60" s="88" t="s">
        <v>81</v>
      </c>
      <c r="M60" s="88" t="s">
        <v>81</v>
      </c>
      <c r="N60" s="151"/>
      <c r="O60" s="152"/>
      <c r="P60" s="152"/>
      <c r="Q60" s="152"/>
      <c r="R60" s="153"/>
      <c r="S60" s="88"/>
      <c r="T60" s="88"/>
      <c r="U60" s="181"/>
      <c r="V60" s="182"/>
      <c r="W60" s="183"/>
      <c r="X60" s="94"/>
      <c r="Y60" s="88"/>
      <c r="Z60" s="88"/>
    </row>
    <row r="61" spans="1:26" ht="18" customHeight="1" x14ac:dyDescent="0.2">
      <c r="A61" s="20"/>
      <c r="B61" s="175" t="s">
        <v>91</v>
      </c>
      <c r="C61" s="176"/>
      <c r="D61" s="176"/>
      <c r="E61" s="177"/>
      <c r="F61" s="89">
        <v>2</v>
      </c>
      <c r="G61" s="89" t="s">
        <v>81</v>
      </c>
      <c r="H61" s="184" t="s">
        <v>82</v>
      </c>
      <c r="I61" s="185"/>
      <c r="J61" s="186"/>
      <c r="K61" s="92" t="s">
        <v>100</v>
      </c>
      <c r="L61" s="89" t="s">
        <v>81</v>
      </c>
      <c r="M61" s="89" t="s">
        <v>81</v>
      </c>
      <c r="N61" s="175"/>
      <c r="O61" s="176"/>
      <c r="P61" s="176"/>
      <c r="Q61" s="176"/>
      <c r="R61" s="177"/>
      <c r="S61" s="89"/>
      <c r="T61" s="89"/>
      <c r="U61" s="184"/>
      <c r="V61" s="185"/>
      <c r="W61" s="186"/>
      <c r="X61" s="92"/>
      <c r="Y61" s="89"/>
      <c r="Z61" s="89"/>
    </row>
    <row r="62" spans="1:26" ht="18" customHeight="1" x14ac:dyDescent="0.2">
      <c r="A62" s="20"/>
      <c r="B62" s="175"/>
      <c r="C62" s="176"/>
      <c r="D62" s="176"/>
      <c r="E62" s="177"/>
      <c r="F62" s="89"/>
      <c r="G62" s="89"/>
      <c r="H62" s="184"/>
      <c r="I62" s="185"/>
      <c r="J62" s="186"/>
      <c r="K62" s="92"/>
      <c r="L62" s="89"/>
      <c r="M62" s="89"/>
      <c r="N62" s="175"/>
      <c r="O62" s="176"/>
      <c r="P62" s="176"/>
      <c r="Q62" s="176"/>
      <c r="R62" s="177"/>
      <c r="S62" s="89"/>
      <c r="T62" s="89"/>
      <c r="U62" s="184"/>
      <c r="V62" s="185"/>
      <c r="W62" s="186"/>
      <c r="X62" s="92"/>
      <c r="Y62" s="89"/>
      <c r="Z62" s="89"/>
    </row>
    <row r="63" spans="1:26" ht="18" customHeight="1" x14ac:dyDescent="0.2">
      <c r="A63" s="20"/>
      <c r="B63" s="175"/>
      <c r="C63" s="176"/>
      <c r="D63" s="176"/>
      <c r="E63" s="177"/>
      <c r="F63" s="89"/>
      <c r="G63" s="89"/>
      <c r="H63" s="184"/>
      <c r="I63" s="185"/>
      <c r="J63" s="186"/>
      <c r="K63" s="92"/>
      <c r="L63" s="89"/>
      <c r="M63" s="89"/>
      <c r="N63" s="175"/>
      <c r="O63" s="176"/>
      <c r="P63" s="176"/>
      <c r="Q63" s="176"/>
      <c r="R63" s="177"/>
      <c r="S63" s="89"/>
      <c r="T63" s="89"/>
      <c r="U63" s="184"/>
      <c r="V63" s="185"/>
      <c r="W63" s="186"/>
      <c r="X63" s="92"/>
      <c r="Y63" s="89"/>
      <c r="Z63" s="89"/>
    </row>
    <row r="64" spans="1:26" ht="18" customHeight="1" x14ac:dyDescent="0.2">
      <c r="A64" s="20"/>
      <c r="B64" s="175"/>
      <c r="C64" s="176"/>
      <c r="D64" s="176"/>
      <c r="E64" s="177"/>
      <c r="F64" s="89"/>
      <c r="G64" s="89"/>
      <c r="H64" s="184"/>
      <c r="I64" s="185"/>
      <c r="J64" s="186"/>
      <c r="K64" s="92"/>
      <c r="L64" s="89"/>
      <c r="M64" s="89"/>
      <c r="N64" s="175"/>
      <c r="O64" s="176"/>
      <c r="P64" s="176"/>
      <c r="Q64" s="176"/>
      <c r="R64" s="177"/>
      <c r="S64" s="89"/>
      <c r="T64" s="89"/>
      <c r="U64" s="184"/>
      <c r="V64" s="185"/>
      <c r="W64" s="186"/>
      <c r="X64" s="92"/>
      <c r="Y64" s="89"/>
      <c r="Z64" s="89"/>
    </row>
    <row r="65" spans="1:26" ht="18" customHeight="1" x14ac:dyDescent="0.2">
      <c r="A65" s="20"/>
      <c r="B65" s="175"/>
      <c r="C65" s="176"/>
      <c r="D65" s="176"/>
      <c r="E65" s="177"/>
      <c r="F65" s="89"/>
      <c r="G65" s="89"/>
      <c r="H65" s="184"/>
      <c r="I65" s="185"/>
      <c r="J65" s="186"/>
      <c r="K65" s="92"/>
      <c r="L65" s="89"/>
      <c r="M65" s="89"/>
      <c r="N65" s="175"/>
      <c r="O65" s="176"/>
      <c r="P65" s="176"/>
      <c r="Q65" s="176"/>
      <c r="R65" s="177"/>
      <c r="S65" s="89"/>
      <c r="T65" s="89"/>
      <c r="U65" s="184"/>
      <c r="V65" s="185"/>
      <c r="W65" s="186"/>
      <c r="X65" s="92"/>
      <c r="Y65" s="89"/>
      <c r="Z65" s="89"/>
    </row>
    <row r="66" spans="1:26" ht="18" customHeight="1" x14ac:dyDescent="0.2">
      <c r="A66" s="20"/>
      <c r="B66" s="201"/>
      <c r="C66" s="202"/>
      <c r="D66" s="202"/>
      <c r="E66" s="203"/>
      <c r="F66" s="90"/>
      <c r="G66" s="90"/>
      <c r="H66" s="193"/>
      <c r="I66" s="194"/>
      <c r="J66" s="195"/>
      <c r="K66" s="93"/>
      <c r="L66" s="95"/>
      <c r="M66" s="95"/>
      <c r="N66" s="201"/>
      <c r="O66" s="202"/>
      <c r="P66" s="202"/>
      <c r="Q66" s="202"/>
      <c r="R66" s="203"/>
      <c r="S66" s="90"/>
      <c r="T66" s="90"/>
      <c r="U66" s="193"/>
      <c r="V66" s="194"/>
      <c r="W66" s="195"/>
      <c r="X66" s="93"/>
      <c r="Y66" s="95"/>
      <c r="Z66" s="95"/>
    </row>
    <row r="67" spans="1:26" ht="7.5" customHeight="1" x14ac:dyDescent="0.2">
      <c r="B67" s="61"/>
      <c r="C67" s="61"/>
      <c r="D67" s="61"/>
      <c r="E67" s="61"/>
      <c r="F67" s="61"/>
      <c r="G67" s="61"/>
      <c r="H67" s="61"/>
      <c r="I67" s="61"/>
      <c r="J67" s="61"/>
      <c r="K67" s="61"/>
      <c r="L67" s="61"/>
      <c r="M67" s="61"/>
      <c r="N67" s="61"/>
      <c r="O67" s="61"/>
      <c r="P67" s="61"/>
      <c r="Q67" s="61"/>
      <c r="R67" s="61"/>
      <c r="S67" s="61"/>
      <c r="T67" s="61"/>
      <c r="U67" s="61"/>
      <c r="V67" s="61"/>
      <c r="W67" s="61"/>
      <c r="X67" s="61"/>
      <c r="Y67" s="61"/>
    </row>
    <row r="68" spans="1:26" ht="18" customHeight="1" x14ac:dyDescent="0.2">
      <c r="A68" s="10" t="s">
        <v>101</v>
      </c>
      <c r="B68" s="10"/>
      <c r="C68" s="10"/>
      <c r="D68" s="10"/>
      <c r="E68" s="10"/>
      <c r="F68" s="10"/>
      <c r="G68" s="10"/>
      <c r="H68" s="10"/>
      <c r="I68" s="10"/>
      <c r="J68" s="10"/>
      <c r="K68" s="10"/>
      <c r="L68" s="20"/>
      <c r="M68" s="20"/>
      <c r="N68" s="20"/>
      <c r="O68" s="20"/>
      <c r="P68" s="20"/>
      <c r="Q68" s="20"/>
      <c r="R68" s="20"/>
      <c r="S68" s="20"/>
      <c r="T68" s="20"/>
      <c r="U68" s="20"/>
      <c r="V68" s="20"/>
      <c r="W68" s="20"/>
      <c r="X68" s="20"/>
      <c r="Y68" s="20"/>
      <c r="Z68" s="20"/>
    </row>
    <row r="69" spans="1:26" ht="18" customHeight="1" x14ac:dyDescent="0.2">
      <c r="A69" s="10"/>
      <c r="B69" s="144" t="s">
        <v>74</v>
      </c>
      <c r="C69" s="146"/>
      <c r="D69" s="146"/>
      <c r="E69" s="146"/>
      <c r="F69" s="145"/>
      <c r="G69" s="144" t="s">
        <v>102</v>
      </c>
      <c r="H69" s="146"/>
      <c r="I69" s="146"/>
      <c r="J69" s="146"/>
      <c r="K69" s="146"/>
      <c r="L69" s="146"/>
      <c r="M69" s="145"/>
      <c r="N69" s="204" t="s">
        <v>74</v>
      </c>
      <c r="O69" s="205"/>
      <c r="P69" s="205"/>
      <c r="Q69" s="205"/>
      <c r="R69" s="205"/>
      <c r="S69" s="206"/>
      <c r="T69" s="144" t="s">
        <v>102</v>
      </c>
      <c r="U69" s="146"/>
      <c r="V69" s="146"/>
      <c r="W69" s="146"/>
      <c r="X69" s="146"/>
      <c r="Y69" s="146"/>
      <c r="Z69" s="145"/>
    </row>
    <row r="70" spans="1:26" ht="18" customHeight="1" x14ac:dyDescent="0.2">
      <c r="A70" s="20"/>
      <c r="B70" s="151"/>
      <c r="C70" s="152"/>
      <c r="D70" s="152"/>
      <c r="E70" s="152"/>
      <c r="F70" s="153"/>
      <c r="G70" s="154"/>
      <c r="H70" s="155"/>
      <c r="I70" s="155"/>
      <c r="J70" s="155"/>
      <c r="K70" s="155"/>
      <c r="L70" s="155"/>
      <c r="M70" s="156"/>
      <c r="N70" s="151"/>
      <c r="O70" s="152"/>
      <c r="P70" s="152"/>
      <c r="Q70" s="152"/>
      <c r="R70" s="152"/>
      <c r="S70" s="153"/>
      <c r="T70" s="154"/>
      <c r="U70" s="155"/>
      <c r="V70" s="155"/>
      <c r="W70" s="155"/>
      <c r="X70" s="155"/>
      <c r="Y70" s="155"/>
      <c r="Z70" s="156"/>
    </row>
    <row r="71" spans="1:26" ht="18" customHeight="1" x14ac:dyDescent="0.2">
      <c r="A71" s="20"/>
      <c r="B71" s="175"/>
      <c r="C71" s="176"/>
      <c r="D71" s="176"/>
      <c r="E71" s="176"/>
      <c r="F71" s="177"/>
      <c r="G71" s="178"/>
      <c r="H71" s="179"/>
      <c r="I71" s="179"/>
      <c r="J71" s="179"/>
      <c r="K71" s="179"/>
      <c r="L71" s="179"/>
      <c r="M71" s="180"/>
      <c r="N71" s="175"/>
      <c r="O71" s="176"/>
      <c r="P71" s="176"/>
      <c r="Q71" s="176"/>
      <c r="R71" s="176"/>
      <c r="S71" s="177"/>
      <c r="T71" s="178"/>
      <c r="U71" s="179"/>
      <c r="V71" s="179"/>
      <c r="W71" s="179"/>
      <c r="X71" s="179"/>
      <c r="Y71" s="179"/>
      <c r="Z71" s="180"/>
    </row>
    <row r="72" spans="1:26" ht="18" customHeight="1" x14ac:dyDescent="0.2">
      <c r="A72" s="20"/>
      <c r="B72" s="201"/>
      <c r="C72" s="202"/>
      <c r="D72" s="202"/>
      <c r="E72" s="202"/>
      <c r="F72" s="203"/>
      <c r="G72" s="219"/>
      <c r="H72" s="220"/>
      <c r="I72" s="220"/>
      <c r="J72" s="220"/>
      <c r="K72" s="220"/>
      <c r="L72" s="220"/>
      <c r="M72" s="221"/>
      <c r="N72" s="201"/>
      <c r="O72" s="202"/>
      <c r="P72" s="202"/>
      <c r="Q72" s="202"/>
      <c r="R72" s="202"/>
      <c r="S72" s="203"/>
      <c r="T72" s="219"/>
      <c r="U72" s="220"/>
      <c r="V72" s="220"/>
      <c r="W72" s="220"/>
      <c r="X72" s="220"/>
      <c r="Y72" s="220"/>
      <c r="Z72" s="221"/>
    </row>
    <row r="73" spans="1:26" ht="18" customHeight="1" x14ac:dyDescent="0.2">
      <c r="A73" s="20"/>
      <c r="B73" s="24"/>
      <c r="C73" s="24"/>
      <c r="D73" s="24"/>
      <c r="E73" s="24"/>
      <c r="F73" s="24"/>
      <c r="G73" s="8"/>
      <c r="H73" s="8"/>
      <c r="I73" s="8"/>
      <c r="J73" s="8"/>
      <c r="K73" s="8"/>
      <c r="L73" s="8"/>
      <c r="M73" s="8"/>
      <c r="N73" s="24"/>
      <c r="O73" s="24"/>
      <c r="P73" s="24"/>
      <c r="Q73" s="24"/>
      <c r="R73" s="24"/>
      <c r="S73" s="24"/>
      <c r="T73" s="8"/>
      <c r="U73" s="8"/>
      <c r="V73" s="8"/>
      <c r="W73" s="8"/>
      <c r="X73" s="8"/>
      <c r="Y73" s="8"/>
      <c r="Z73" s="8"/>
    </row>
    <row r="74" spans="1:26" ht="18.75" customHeight="1" x14ac:dyDescent="0.2">
      <c r="A74" s="9" t="s">
        <v>103</v>
      </c>
    </row>
    <row r="75" spans="1:26" ht="18.75" customHeight="1" x14ac:dyDescent="0.2">
      <c r="B75" s="62" t="s">
        <v>104</v>
      </c>
      <c r="C75" s="63"/>
      <c r="D75" s="168" t="s">
        <v>105</v>
      </c>
      <c r="E75" s="168"/>
      <c r="F75" s="168"/>
      <c r="G75" s="168"/>
      <c r="H75" s="168"/>
      <c r="I75" s="168"/>
      <c r="J75" s="168"/>
      <c r="K75" s="168"/>
      <c r="L75" s="168"/>
      <c r="M75" s="168"/>
      <c r="N75" s="168"/>
      <c r="O75" s="168"/>
      <c r="P75" s="168"/>
      <c r="Q75" s="168"/>
      <c r="R75" s="168"/>
      <c r="S75" s="168"/>
      <c r="T75" s="168"/>
      <c r="U75" s="168"/>
      <c r="V75" s="168"/>
      <c r="W75" s="168"/>
      <c r="X75" s="168"/>
      <c r="Y75" s="168"/>
      <c r="Z75" s="169"/>
    </row>
    <row r="76" spans="1:26" ht="78" customHeight="1" x14ac:dyDescent="0.2">
      <c r="B76" s="162" t="s">
        <v>106</v>
      </c>
      <c r="C76" s="69" t="s">
        <v>78</v>
      </c>
      <c r="D76" s="170" t="s">
        <v>107</v>
      </c>
      <c r="E76" s="171"/>
      <c r="F76" s="171"/>
      <c r="G76" s="171"/>
      <c r="H76" s="171"/>
      <c r="I76" s="171"/>
      <c r="J76" s="171"/>
      <c r="K76" s="171"/>
      <c r="L76" s="171"/>
      <c r="M76" s="171"/>
      <c r="N76" s="171"/>
      <c r="O76" s="171"/>
      <c r="P76" s="171"/>
      <c r="Q76" s="171"/>
      <c r="R76" s="171"/>
      <c r="S76" s="171"/>
      <c r="T76" s="171"/>
      <c r="U76" s="171"/>
      <c r="V76" s="171"/>
      <c r="W76" s="171"/>
      <c r="X76" s="171"/>
      <c r="Y76" s="171"/>
      <c r="Z76" s="172"/>
    </row>
    <row r="77" spans="1:26" ht="78" customHeight="1" x14ac:dyDescent="0.2">
      <c r="B77" s="163"/>
      <c r="C77" s="85" t="s">
        <v>108</v>
      </c>
      <c r="D77" s="173" t="s">
        <v>109</v>
      </c>
      <c r="E77" s="173"/>
      <c r="F77" s="173"/>
      <c r="G77" s="173"/>
      <c r="H77" s="173"/>
      <c r="I77" s="173"/>
      <c r="J77" s="173"/>
      <c r="K77" s="173"/>
      <c r="L77" s="173"/>
      <c r="M77" s="173"/>
      <c r="N77" s="173"/>
      <c r="O77" s="173"/>
      <c r="P77" s="173"/>
      <c r="Q77" s="173"/>
      <c r="R77" s="173"/>
      <c r="S77" s="173"/>
      <c r="T77" s="173"/>
      <c r="U77" s="173"/>
      <c r="V77" s="173"/>
      <c r="W77" s="173"/>
      <c r="X77" s="173"/>
      <c r="Y77" s="173"/>
      <c r="Z77" s="174"/>
    </row>
    <row r="78" spans="1:26" ht="78" customHeight="1" x14ac:dyDescent="0.2">
      <c r="B78" s="160" t="s">
        <v>110</v>
      </c>
      <c r="C78" s="64" t="s">
        <v>86</v>
      </c>
      <c r="D78" s="157" t="s">
        <v>111</v>
      </c>
      <c r="E78" s="158"/>
      <c r="F78" s="158"/>
      <c r="G78" s="158"/>
      <c r="H78" s="158"/>
      <c r="I78" s="158"/>
      <c r="J78" s="158"/>
      <c r="K78" s="158"/>
      <c r="L78" s="158"/>
      <c r="M78" s="158"/>
      <c r="N78" s="158"/>
      <c r="O78" s="158"/>
      <c r="P78" s="158"/>
      <c r="Q78" s="158"/>
      <c r="R78" s="158"/>
      <c r="S78" s="158"/>
      <c r="T78" s="158"/>
      <c r="U78" s="158"/>
      <c r="V78" s="158"/>
      <c r="W78" s="158"/>
      <c r="X78" s="158"/>
      <c r="Y78" s="158"/>
      <c r="Z78" s="159"/>
    </row>
    <row r="79" spans="1:26" ht="78" customHeight="1" x14ac:dyDescent="0.2">
      <c r="B79" s="161"/>
      <c r="C79" s="86" t="s">
        <v>87</v>
      </c>
      <c r="D79" s="165" t="s">
        <v>112</v>
      </c>
      <c r="E79" s="166"/>
      <c r="F79" s="166"/>
      <c r="G79" s="166"/>
      <c r="H79" s="166"/>
      <c r="I79" s="166"/>
      <c r="J79" s="166"/>
      <c r="K79" s="166"/>
      <c r="L79" s="166"/>
      <c r="M79" s="166"/>
      <c r="N79" s="166"/>
      <c r="O79" s="166"/>
      <c r="P79" s="166"/>
      <c r="Q79" s="166"/>
      <c r="R79" s="166"/>
      <c r="S79" s="166"/>
      <c r="T79" s="166"/>
      <c r="U79" s="166"/>
      <c r="V79" s="166"/>
      <c r="W79" s="166"/>
      <c r="X79" s="166"/>
      <c r="Y79" s="166"/>
      <c r="Z79" s="167"/>
    </row>
    <row r="80" spans="1:26" ht="81.75" customHeight="1" x14ac:dyDescent="0.2">
      <c r="B80" s="160" t="s">
        <v>113</v>
      </c>
      <c r="C80" s="64" t="s">
        <v>89</v>
      </c>
      <c r="D80" s="165" t="s">
        <v>114</v>
      </c>
      <c r="E80" s="166"/>
      <c r="F80" s="166"/>
      <c r="G80" s="166"/>
      <c r="H80" s="166"/>
      <c r="I80" s="166"/>
      <c r="J80" s="166"/>
      <c r="K80" s="166"/>
      <c r="L80" s="166"/>
      <c r="M80" s="166"/>
      <c r="N80" s="166"/>
      <c r="O80" s="166"/>
      <c r="P80" s="166"/>
      <c r="Q80" s="166"/>
      <c r="R80" s="166"/>
      <c r="S80" s="166"/>
      <c r="T80" s="166"/>
      <c r="U80" s="166"/>
      <c r="V80" s="166"/>
      <c r="W80" s="166"/>
      <c r="X80" s="166"/>
      <c r="Y80" s="166"/>
      <c r="Z80" s="167"/>
    </row>
    <row r="81" spans="1:26" ht="66" customHeight="1" x14ac:dyDescent="0.2">
      <c r="B81" s="161"/>
      <c r="C81" s="66" t="s">
        <v>90</v>
      </c>
      <c r="D81" s="165" t="s">
        <v>115</v>
      </c>
      <c r="E81" s="166"/>
      <c r="F81" s="166"/>
      <c r="G81" s="166"/>
      <c r="H81" s="166"/>
      <c r="I81" s="166"/>
      <c r="J81" s="166"/>
      <c r="K81" s="166"/>
      <c r="L81" s="166"/>
      <c r="M81" s="166"/>
      <c r="N81" s="166"/>
      <c r="O81" s="166"/>
      <c r="P81" s="166"/>
      <c r="Q81" s="166"/>
      <c r="R81" s="166"/>
      <c r="S81" s="166"/>
      <c r="T81" s="166"/>
      <c r="U81" s="166"/>
      <c r="V81" s="166"/>
      <c r="W81" s="166"/>
      <c r="X81" s="166"/>
      <c r="Y81" s="166"/>
      <c r="Z81" s="167"/>
    </row>
    <row r="82" spans="1:26" ht="66" customHeight="1" x14ac:dyDescent="0.2">
      <c r="B82" s="162" t="s">
        <v>116</v>
      </c>
      <c r="C82" s="69" t="s">
        <v>93</v>
      </c>
      <c r="D82" s="165" t="s">
        <v>117</v>
      </c>
      <c r="E82" s="166"/>
      <c r="F82" s="166"/>
      <c r="G82" s="166"/>
      <c r="H82" s="166"/>
      <c r="I82" s="166"/>
      <c r="J82" s="166"/>
      <c r="K82" s="166"/>
      <c r="L82" s="166"/>
      <c r="M82" s="166"/>
      <c r="N82" s="166"/>
      <c r="O82" s="166"/>
      <c r="P82" s="166"/>
      <c r="Q82" s="166"/>
      <c r="R82" s="166"/>
      <c r="S82" s="166"/>
      <c r="T82" s="166"/>
      <c r="U82" s="166"/>
      <c r="V82" s="166"/>
      <c r="W82" s="166"/>
      <c r="X82" s="166"/>
      <c r="Y82" s="166"/>
      <c r="Z82" s="167"/>
    </row>
    <row r="83" spans="1:26" ht="66" customHeight="1" x14ac:dyDescent="0.2">
      <c r="B83" s="164"/>
      <c r="C83" s="65" t="s">
        <v>94</v>
      </c>
      <c r="D83" s="165" t="s">
        <v>117</v>
      </c>
      <c r="E83" s="166"/>
      <c r="F83" s="166"/>
      <c r="G83" s="166"/>
      <c r="H83" s="166"/>
      <c r="I83" s="166"/>
      <c r="J83" s="166"/>
      <c r="K83" s="166"/>
      <c r="L83" s="166"/>
      <c r="M83" s="166"/>
      <c r="N83" s="166"/>
      <c r="O83" s="166"/>
      <c r="P83" s="166"/>
      <c r="Q83" s="166"/>
      <c r="R83" s="166"/>
      <c r="S83" s="166"/>
      <c r="T83" s="166"/>
      <c r="U83" s="166"/>
      <c r="V83" s="166"/>
      <c r="W83" s="166"/>
      <c r="X83" s="166"/>
      <c r="Y83" s="166"/>
      <c r="Z83" s="167"/>
    </row>
    <row r="84" spans="1:26" ht="66" customHeight="1" x14ac:dyDescent="0.2">
      <c r="B84" s="162" t="s">
        <v>118</v>
      </c>
      <c r="C84" s="64" t="s">
        <v>96</v>
      </c>
      <c r="D84" s="157" t="s">
        <v>119</v>
      </c>
      <c r="E84" s="158"/>
      <c r="F84" s="158"/>
      <c r="G84" s="158"/>
      <c r="H84" s="158"/>
      <c r="I84" s="158"/>
      <c r="J84" s="158"/>
      <c r="K84" s="158"/>
      <c r="L84" s="158"/>
      <c r="M84" s="158"/>
      <c r="N84" s="158"/>
      <c r="O84" s="158"/>
      <c r="P84" s="158"/>
      <c r="Q84" s="158"/>
      <c r="R84" s="158"/>
      <c r="S84" s="158"/>
      <c r="T84" s="158"/>
      <c r="U84" s="158"/>
      <c r="V84" s="158"/>
      <c r="W84" s="158"/>
      <c r="X84" s="158"/>
      <c r="Y84" s="158"/>
      <c r="Z84" s="159"/>
    </row>
    <row r="85" spans="1:26" ht="66" customHeight="1" x14ac:dyDescent="0.2">
      <c r="B85" s="163"/>
      <c r="C85" s="65" t="s">
        <v>97</v>
      </c>
      <c r="D85" s="157" t="s">
        <v>120</v>
      </c>
      <c r="E85" s="158"/>
      <c r="F85" s="158"/>
      <c r="G85" s="158"/>
      <c r="H85" s="158"/>
      <c r="I85" s="158"/>
      <c r="J85" s="158"/>
      <c r="K85" s="158"/>
      <c r="L85" s="158"/>
      <c r="M85" s="158"/>
      <c r="N85" s="158"/>
      <c r="O85" s="158"/>
      <c r="P85" s="158"/>
      <c r="Q85" s="158"/>
      <c r="R85" s="158"/>
      <c r="S85" s="158"/>
      <c r="T85" s="158"/>
      <c r="U85" s="158"/>
      <c r="V85" s="158"/>
      <c r="W85" s="158"/>
      <c r="X85" s="158"/>
      <c r="Y85" s="158"/>
      <c r="Z85" s="159"/>
    </row>
    <row r="86" spans="1:26" ht="66" customHeight="1" x14ac:dyDescent="0.2">
      <c r="B86" s="161"/>
      <c r="C86" s="66" t="s">
        <v>98</v>
      </c>
      <c r="D86" s="157" t="s">
        <v>120</v>
      </c>
      <c r="E86" s="158"/>
      <c r="F86" s="158"/>
      <c r="G86" s="158"/>
      <c r="H86" s="158"/>
      <c r="I86" s="158"/>
      <c r="J86" s="158"/>
      <c r="K86" s="158"/>
      <c r="L86" s="158"/>
      <c r="M86" s="158"/>
      <c r="N86" s="158"/>
      <c r="O86" s="158"/>
      <c r="P86" s="158"/>
      <c r="Q86" s="158"/>
      <c r="R86" s="158"/>
      <c r="S86" s="158"/>
      <c r="T86" s="158"/>
      <c r="U86" s="158"/>
      <c r="V86" s="158"/>
      <c r="W86" s="158"/>
      <c r="X86" s="158"/>
      <c r="Y86" s="158"/>
      <c r="Z86" s="159"/>
    </row>
    <row r="87" spans="1:26" ht="6" customHeight="1" x14ac:dyDescent="0.2"/>
    <row r="88" spans="1:26" ht="18.75" customHeight="1" x14ac:dyDescent="0.2">
      <c r="A88" s="9" t="s">
        <v>121</v>
      </c>
    </row>
    <row r="89" spans="1:26" ht="14.15" customHeight="1" x14ac:dyDescent="0.2">
      <c r="B89" s="207" t="s">
        <v>122</v>
      </c>
      <c r="C89" s="208"/>
      <c r="D89" s="208"/>
      <c r="E89" s="208"/>
      <c r="F89" s="208"/>
      <c r="G89" s="208"/>
      <c r="H89" s="208"/>
      <c r="I89" s="208"/>
      <c r="J89" s="208"/>
      <c r="K89" s="208"/>
      <c r="L89" s="208"/>
      <c r="M89" s="208"/>
      <c r="N89" s="208"/>
      <c r="O89" s="208"/>
      <c r="P89" s="208"/>
      <c r="Q89" s="208"/>
      <c r="R89" s="208"/>
      <c r="S89" s="208"/>
      <c r="T89" s="208"/>
      <c r="U89" s="208"/>
      <c r="V89" s="208"/>
      <c r="W89" s="208"/>
      <c r="X89" s="208"/>
      <c r="Y89" s="208"/>
      <c r="Z89" s="209"/>
    </row>
    <row r="90" spans="1:26" ht="14.15" customHeight="1" x14ac:dyDescent="0.2">
      <c r="B90" s="210"/>
      <c r="C90" s="211"/>
      <c r="D90" s="211"/>
      <c r="E90" s="211"/>
      <c r="F90" s="211"/>
      <c r="G90" s="211"/>
      <c r="H90" s="211"/>
      <c r="I90" s="211"/>
      <c r="J90" s="211"/>
      <c r="K90" s="211"/>
      <c r="L90" s="211"/>
      <c r="M90" s="211"/>
      <c r="N90" s="211"/>
      <c r="O90" s="211"/>
      <c r="P90" s="211"/>
      <c r="Q90" s="211"/>
      <c r="R90" s="211"/>
      <c r="S90" s="211"/>
      <c r="T90" s="211"/>
      <c r="U90" s="211"/>
      <c r="V90" s="211"/>
      <c r="W90" s="211"/>
      <c r="X90" s="211"/>
      <c r="Y90" s="211"/>
      <c r="Z90" s="212"/>
    </row>
    <row r="91" spans="1:26" ht="14.15" customHeight="1" x14ac:dyDescent="0.2">
      <c r="B91" s="213"/>
      <c r="C91" s="214"/>
      <c r="D91" s="214"/>
      <c r="E91" s="214"/>
      <c r="F91" s="214"/>
      <c r="G91" s="214"/>
      <c r="H91" s="214"/>
      <c r="I91" s="214"/>
      <c r="J91" s="214"/>
      <c r="K91" s="214"/>
      <c r="L91" s="214"/>
      <c r="M91" s="214"/>
      <c r="N91" s="214"/>
      <c r="O91" s="214"/>
      <c r="P91" s="214"/>
      <c r="Q91" s="214"/>
      <c r="R91" s="214"/>
      <c r="S91" s="214"/>
      <c r="T91" s="214"/>
      <c r="U91" s="214"/>
      <c r="V91" s="214"/>
      <c r="W91" s="214"/>
      <c r="X91" s="214"/>
      <c r="Y91" s="214"/>
      <c r="Z91" s="215"/>
    </row>
    <row r="92" spans="1:26" ht="6" customHeight="1" x14ac:dyDescent="0.2"/>
    <row r="93" spans="1:26" ht="15" customHeight="1" x14ac:dyDescent="0.2">
      <c r="A93" s="9" t="s">
        <v>123</v>
      </c>
    </row>
    <row r="94" spans="1:26" ht="15" customHeight="1" x14ac:dyDescent="0.2">
      <c r="B94" s="216" t="s">
        <v>124</v>
      </c>
      <c r="C94" s="217"/>
      <c r="D94" s="217"/>
      <c r="E94" s="217"/>
      <c r="F94" s="217"/>
      <c r="G94" s="217"/>
      <c r="H94" s="217"/>
      <c r="I94" s="217"/>
      <c r="J94" s="217"/>
      <c r="K94" s="217"/>
      <c r="L94" s="217"/>
      <c r="M94" s="217"/>
      <c r="N94" s="217"/>
      <c r="O94" s="217"/>
      <c r="P94" s="217"/>
      <c r="Q94" s="217"/>
      <c r="R94" s="217"/>
      <c r="S94" s="217"/>
      <c r="T94" s="217"/>
      <c r="U94" s="217"/>
      <c r="V94" s="217"/>
      <c r="W94" s="217"/>
      <c r="X94" s="217"/>
      <c r="Y94" s="217"/>
      <c r="Z94" s="218"/>
    </row>
  </sheetData>
  <mergeCells count="202">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37:F37"/>
    <mergeCell ref="B38:F38"/>
    <mergeCell ref="B39:F39"/>
    <mergeCell ref="B40:F40"/>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89:Z91"/>
    <mergeCell ref="B94:Z94"/>
    <mergeCell ref="T72:Z72"/>
    <mergeCell ref="B60:E60"/>
    <mergeCell ref="B61:E61"/>
    <mergeCell ref="B62:E62"/>
    <mergeCell ref="B63:E63"/>
    <mergeCell ref="B64:E64"/>
    <mergeCell ref="B65:E65"/>
    <mergeCell ref="B66:E66"/>
    <mergeCell ref="N60:R60"/>
    <mergeCell ref="N61:R61"/>
    <mergeCell ref="N62:R62"/>
    <mergeCell ref="N63:R63"/>
    <mergeCell ref="N64:R64"/>
    <mergeCell ref="N65:R65"/>
    <mergeCell ref="N66:R66"/>
    <mergeCell ref="H64:J64"/>
    <mergeCell ref="H65:J65"/>
    <mergeCell ref="H66:J66"/>
    <mergeCell ref="N71:S71"/>
    <mergeCell ref="T71:Z71"/>
    <mergeCell ref="B72:F72"/>
    <mergeCell ref="G72:M72"/>
    <mergeCell ref="N72:S72"/>
    <mergeCell ref="B69:F69"/>
    <mergeCell ref="G69:M69"/>
    <mergeCell ref="N69:S69"/>
    <mergeCell ref="H60:J60"/>
    <mergeCell ref="H61:J61"/>
    <mergeCell ref="V43:X43"/>
    <mergeCell ref="I44:K44"/>
    <mergeCell ref="V44:X44"/>
    <mergeCell ref="I50:K50"/>
    <mergeCell ref="V50:X50"/>
    <mergeCell ref="B48:F48"/>
    <mergeCell ref="B49:F49"/>
    <mergeCell ref="B50:F50"/>
    <mergeCell ref="A46:Z47"/>
    <mergeCell ref="I48:K48"/>
    <mergeCell ref="V49:X49"/>
    <mergeCell ref="I51:K51"/>
    <mergeCell ref="V51:X51"/>
    <mergeCell ref="I52:K52"/>
    <mergeCell ref="V52:X52"/>
    <mergeCell ref="V55:X55"/>
    <mergeCell ref="A57:Z58"/>
    <mergeCell ref="I53:K53"/>
    <mergeCell ref="V32:X32"/>
    <mergeCell ref="V33:X33"/>
    <mergeCell ref="I42:K42"/>
    <mergeCell ref="V42:X42"/>
    <mergeCell ref="V37:X37"/>
    <mergeCell ref="I38:K38"/>
    <mergeCell ref="V38:X38"/>
    <mergeCell ref="I39:K39"/>
    <mergeCell ref="V39:X39"/>
    <mergeCell ref="I37:K37"/>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5:Z85"/>
    <mergeCell ref="B78:B79"/>
    <mergeCell ref="B80:B81"/>
    <mergeCell ref="B76:B77"/>
    <mergeCell ref="B84:B86"/>
    <mergeCell ref="D84:Z84"/>
    <mergeCell ref="D86:Z86"/>
    <mergeCell ref="B82:B83"/>
    <mergeCell ref="D82:Z82"/>
    <mergeCell ref="D83:Z83"/>
    <mergeCell ref="D75:Z75"/>
    <mergeCell ref="D76:Z76"/>
    <mergeCell ref="D77:Z77"/>
    <mergeCell ref="D78:Z78"/>
    <mergeCell ref="D81:Z81"/>
    <mergeCell ref="D79:Z79"/>
    <mergeCell ref="D80:Z80"/>
    <mergeCell ref="B71:F71"/>
    <mergeCell ref="G71:M71"/>
  </mergeCells>
  <phoneticPr fontId="1"/>
  <dataValidations count="4">
    <dataValidation type="list" allowBlank="1" showInputMessage="1" showErrorMessage="1" sqref="Y16:Z22 L16:M22 Y27:Z33 L27:M33 L38:M44 Y38:Z44 L49:M55 Y49:Z55 Y60:Z66 L60:M66 H16:H22 U16:U22 H27:H33 U27:U33 H38:H44 U38:U44 H49:H55 U49:U55 G60:G66 T60:T66">
      <formula1>"○"</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T70:Z73 G70:M73">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1"/>
  <rowBreaks count="3" manualBreakCount="3">
    <brk id="34" max="25" man="1"/>
    <brk id="67" max="25" man="1"/>
    <brk id="79"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4"/>
  <sheetViews>
    <sheetView showZeros="0" tabSelected="1" view="pageBreakPreview" zoomScaleNormal="100" zoomScaleSheetLayoutView="100" workbookViewId="0">
      <selection activeCell="AC13" sqref="AC13"/>
    </sheetView>
  </sheetViews>
  <sheetFormatPr defaultColWidth="9" defaultRowHeight="18.75" customHeight="1" x14ac:dyDescent="0.2"/>
  <cols>
    <col min="1" max="1" width="2.453125" style="9" customWidth="1"/>
    <col min="2" max="2" width="27.7265625" style="9" customWidth="1"/>
    <col min="3" max="13" width="3.36328125" style="9" customWidth="1"/>
    <col min="14" max="14" width="8.90625" style="9" customWidth="1"/>
    <col min="15" max="15" width="18.90625" style="9" customWidth="1"/>
    <col min="16" max="19" width="3.36328125" style="9" customWidth="1"/>
    <col min="20" max="20" width="3.453125" style="9" customWidth="1"/>
    <col min="21" max="26" width="3.36328125" style="9" customWidth="1"/>
    <col min="27" max="16384" width="9" style="9"/>
  </cols>
  <sheetData>
    <row r="1" spans="1:26" ht="15" customHeight="1" x14ac:dyDescent="0.2">
      <c r="W1" s="222" t="s">
        <v>125</v>
      </c>
      <c r="X1" s="222"/>
      <c r="Y1" s="222"/>
      <c r="Z1" s="222"/>
    </row>
    <row r="2" spans="1:26" ht="18" customHeight="1" x14ac:dyDescent="0.2">
      <c r="A2" s="200" t="s">
        <v>69</v>
      </c>
      <c r="B2" s="200"/>
      <c r="C2" s="200"/>
      <c r="D2" s="200"/>
      <c r="E2" s="200"/>
      <c r="F2" s="200"/>
      <c r="G2" s="200"/>
      <c r="H2" s="200"/>
      <c r="I2" s="200"/>
      <c r="J2" s="200"/>
      <c r="K2" s="200"/>
      <c r="L2" s="200"/>
      <c r="M2" s="200"/>
      <c r="N2" s="200"/>
      <c r="O2" s="200"/>
      <c r="P2" s="200"/>
      <c r="Q2" s="200"/>
      <c r="R2" s="200"/>
      <c r="S2" s="200"/>
      <c r="T2" s="200"/>
      <c r="U2" s="200"/>
      <c r="V2" s="200"/>
      <c r="W2" s="200"/>
      <c r="X2" s="200"/>
      <c r="Y2" s="200"/>
      <c r="Z2" s="200"/>
    </row>
    <row r="3" spans="1:26" ht="15" customHeight="1" x14ac:dyDescent="0.2">
      <c r="B3" s="20"/>
      <c r="C3" s="20"/>
      <c r="D3" s="20"/>
      <c r="E3" s="20"/>
      <c r="F3" s="20"/>
      <c r="G3" s="20"/>
      <c r="H3" s="20"/>
      <c r="I3" s="20"/>
      <c r="J3" s="20"/>
      <c r="K3" s="20"/>
      <c r="L3" s="20"/>
      <c r="M3" s="20"/>
      <c r="N3" s="20"/>
      <c r="O3" s="20"/>
      <c r="P3" s="20"/>
      <c r="Q3" s="20"/>
      <c r="R3" s="20"/>
      <c r="S3" s="20"/>
      <c r="T3" s="20"/>
      <c r="U3" s="20"/>
      <c r="V3" s="20"/>
      <c r="W3" s="20"/>
      <c r="X3" s="20"/>
      <c r="Y3" s="20"/>
      <c r="Z3" s="20"/>
    </row>
    <row r="4" spans="1:26" ht="18" customHeight="1" x14ac:dyDescent="0.2">
      <c r="A4" s="9" t="s">
        <v>70</v>
      </c>
      <c r="B4" s="20"/>
      <c r="C4" s="20"/>
      <c r="D4" s="20"/>
      <c r="E4" s="20"/>
      <c r="F4" s="20"/>
      <c r="G4" s="20"/>
      <c r="H4" s="10" t="s">
        <v>71</v>
      </c>
      <c r="I4" s="20"/>
      <c r="J4" s="20"/>
      <c r="K4" s="20"/>
      <c r="L4" s="20"/>
      <c r="M4" s="20"/>
      <c r="N4" s="20"/>
      <c r="O4" s="144" t="s">
        <v>72</v>
      </c>
      <c r="P4" s="146"/>
      <c r="Q4" s="146"/>
      <c r="R4" s="146"/>
      <c r="S4" s="146"/>
      <c r="T4" s="146"/>
      <c r="U4" s="146"/>
      <c r="V4" s="146"/>
      <c r="W4" s="146"/>
      <c r="X4" s="146"/>
      <c r="Y4" s="146"/>
      <c r="Z4" s="145"/>
    </row>
    <row r="5" spans="1:26" ht="6" customHeight="1" x14ac:dyDescent="0.2">
      <c r="B5" s="20"/>
      <c r="C5" s="20"/>
      <c r="D5" s="20"/>
      <c r="E5" s="20"/>
      <c r="F5" s="20"/>
      <c r="G5" s="20"/>
      <c r="H5" s="20"/>
      <c r="I5" s="20"/>
      <c r="J5" s="20"/>
      <c r="K5" s="20"/>
      <c r="L5" s="20"/>
      <c r="M5" s="20"/>
      <c r="N5" s="20"/>
      <c r="O5" s="11"/>
      <c r="P5" s="20"/>
      <c r="Q5" s="20"/>
      <c r="R5" s="20"/>
      <c r="S5" s="20"/>
      <c r="T5" s="20"/>
      <c r="U5" s="20"/>
      <c r="V5" s="20"/>
      <c r="W5" s="20"/>
      <c r="X5" s="20"/>
      <c r="Y5" s="20"/>
      <c r="Z5" s="20"/>
    </row>
    <row r="6" spans="1:26" ht="18" customHeight="1" x14ac:dyDescent="0.2">
      <c r="B6" s="283" t="s">
        <v>222</v>
      </c>
      <c r="C6" s="284"/>
      <c r="D6" s="284"/>
      <c r="E6" s="284"/>
      <c r="F6" s="284"/>
      <c r="G6" s="284"/>
      <c r="H6" s="284"/>
      <c r="I6" s="284"/>
      <c r="J6" s="284"/>
      <c r="K6" s="284"/>
      <c r="L6" s="284"/>
      <c r="M6" s="284"/>
      <c r="N6" s="284"/>
      <c r="O6" s="284"/>
      <c r="P6" s="284"/>
      <c r="Q6" s="284"/>
      <c r="R6" s="284"/>
      <c r="S6" s="284"/>
      <c r="T6" s="284"/>
      <c r="U6" s="284"/>
      <c r="V6" s="284"/>
      <c r="W6" s="284"/>
      <c r="X6" s="284"/>
      <c r="Y6" s="284"/>
      <c r="Z6" s="285"/>
    </row>
    <row r="7" spans="1:26" ht="18" customHeight="1" x14ac:dyDescent="0.2">
      <c r="B7" s="286"/>
      <c r="C7" s="287"/>
      <c r="D7" s="287"/>
      <c r="E7" s="287"/>
      <c r="F7" s="287"/>
      <c r="G7" s="287"/>
      <c r="H7" s="287"/>
      <c r="I7" s="287"/>
      <c r="J7" s="287"/>
      <c r="K7" s="287"/>
      <c r="L7" s="287"/>
      <c r="M7" s="287"/>
      <c r="N7" s="287"/>
      <c r="O7" s="287"/>
      <c r="P7" s="287"/>
      <c r="Q7" s="287"/>
      <c r="R7" s="287"/>
      <c r="S7" s="287"/>
      <c r="T7" s="287"/>
      <c r="U7" s="287"/>
      <c r="V7" s="287"/>
      <c r="W7" s="287"/>
      <c r="X7" s="287"/>
      <c r="Y7" s="287"/>
      <c r="Z7" s="288"/>
    </row>
    <row r="8" spans="1:26" ht="18" customHeight="1" x14ac:dyDescent="0.2">
      <c r="B8" s="286"/>
      <c r="C8" s="287"/>
      <c r="D8" s="287"/>
      <c r="E8" s="287"/>
      <c r="F8" s="287"/>
      <c r="G8" s="287"/>
      <c r="H8" s="287"/>
      <c r="I8" s="287"/>
      <c r="J8" s="287"/>
      <c r="K8" s="287"/>
      <c r="L8" s="287"/>
      <c r="M8" s="287"/>
      <c r="N8" s="287"/>
      <c r="O8" s="287"/>
      <c r="P8" s="287"/>
      <c r="Q8" s="287"/>
      <c r="R8" s="287"/>
      <c r="S8" s="287"/>
      <c r="T8" s="287"/>
      <c r="U8" s="287"/>
      <c r="V8" s="287"/>
      <c r="W8" s="287"/>
      <c r="X8" s="287"/>
      <c r="Y8" s="287"/>
      <c r="Z8" s="288"/>
    </row>
    <row r="9" spans="1:26" ht="18" customHeight="1" x14ac:dyDescent="0.2">
      <c r="B9" s="286"/>
      <c r="C9" s="287"/>
      <c r="D9" s="287"/>
      <c r="E9" s="287"/>
      <c r="F9" s="287"/>
      <c r="G9" s="287"/>
      <c r="H9" s="287"/>
      <c r="I9" s="287"/>
      <c r="J9" s="287"/>
      <c r="K9" s="287"/>
      <c r="L9" s="287"/>
      <c r="M9" s="287"/>
      <c r="N9" s="287"/>
      <c r="O9" s="287"/>
      <c r="P9" s="287"/>
      <c r="Q9" s="287"/>
      <c r="R9" s="287"/>
      <c r="S9" s="287"/>
      <c r="T9" s="287"/>
      <c r="U9" s="287"/>
      <c r="V9" s="287"/>
      <c r="W9" s="287"/>
      <c r="X9" s="287"/>
      <c r="Y9" s="287"/>
      <c r="Z9" s="288"/>
    </row>
    <row r="10" spans="1:26" ht="18" customHeight="1" x14ac:dyDescent="0.2">
      <c r="B10" s="286"/>
      <c r="C10" s="287"/>
      <c r="D10" s="287"/>
      <c r="E10" s="287"/>
      <c r="F10" s="287"/>
      <c r="G10" s="287"/>
      <c r="H10" s="287"/>
      <c r="I10" s="287"/>
      <c r="J10" s="287"/>
      <c r="K10" s="287"/>
      <c r="L10" s="287"/>
      <c r="M10" s="287"/>
      <c r="N10" s="287"/>
      <c r="O10" s="287"/>
      <c r="P10" s="287"/>
      <c r="Q10" s="287"/>
      <c r="R10" s="287"/>
      <c r="S10" s="287"/>
      <c r="T10" s="287"/>
      <c r="U10" s="287"/>
      <c r="V10" s="287"/>
      <c r="W10" s="287"/>
      <c r="X10" s="287"/>
      <c r="Y10" s="287"/>
      <c r="Z10" s="288"/>
    </row>
    <row r="11" spans="1:26" ht="18" customHeight="1" x14ac:dyDescent="0.2">
      <c r="B11" s="289"/>
      <c r="C11" s="290"/>
      <c r="D11" s="290"/>
      <c r="E11" s="290"/>
      <c r="F11" s="290"/>
      <c r="G11" s="290"/>
      <c r="H11" s="290"/>
      <c r="I11" s="290"/>
      <c r="J11" s="290"/>
      <c r="K11" s="290"/>
      <c r="L11" s="290"/>
      <c r="M11" s="290"/>
      <c r="N11" s="290"/>
      <c r="O11" s="290"/>
      <c r="P11" s="290"/>
      <c r="Q11" s="290"/>
      <c r="R11" s="290"/>
      <c r="S11" s="290"/>
      <c r="T11" s="290"/>
      <c r="U11" s="290"/>
      <c r="V11" s="290"/>
      <c r="W11" s="290"/>
      <c r="X11" s="290"/>
      <c r="Y11" s="290"/>
      <c r="Z11" s="291"/>
    </row>
    <row r="12" spans="1:26" ht="7.5" customHeight="1" x14ac:dyDescent="0.2">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18" customHeight="1" x14ac:dyDescent="0.2">
      <c r="A13" s="196" t="s">
        <v>73</v>
      </c>
      <c r="B13" s="196"/>
      <c r="C13" s="196"/>
      <c r="D13" s="196"/>
      <c r="E13" s="196"/>
      <c r="F13" s="196"/>
      <c r="G13" s="196"/>
      <c r="H13" s="196"/>
      <c r="I13" s="196"/>
      <c r="J13" s="196"/>
      <c r="K13" s="196"/>
      <c r="L13" s="196"/>
      <c r="M13" s="196"/>
      <c r="N13" s="196"/>
      <c r="O13" s="196"/>
      <c r="P13" s="196"/>
      <c r="Q13" s="196"/>
      <c r="R13" s="196"/>
      <c r="S13" s="196"/>
      <c r="T13" s="196"/>
      <c r="U13" s="196"/>
      <c r="V13" s="196"/>
      <c r="W13" s="196"/>
      <c r="X13" s="196"/>
      <c r="Y13" s="196"/>
      <c r="Z13" s="196"/>
    </row>
    <row r="14" spans="1:26" ht="18" customHeight="1" x14ac:dyDescent="0.2">
      <c r="A14" s="196"/>
      <c r="B14" s="196"/>
      <c r="C14" s="196"/>
      <c r="D14" s="196"/>
      <c r="E14" s="196"/>
      <c r="F14" s="196"/>
      <c r="G14" s="196"/>
      <c r="H14" s="196"/>
      <c r="I14" s="196"/>
      <c r="J14" s="196"/>
      <c r="K14" s="196"/>
      <c r="L14" s="196"/>
      <c r="M14" s="196"/>
      <c r="N14" s="196"/>
      <c r="O14" s="196"/>
      <c r="P14" s="196"/>
      <c r="Q14" s="196"/>
      <c r="R14" s="196"/>
      <c r="S14" s="196"/>
      <c r="T14" s="196"/>
      <c r="U14" s="196"/>
      <c r="V14" s="196"/>
      <c r="W14" s="196"/>
      <c r="X14" s="196"/>
      <c r="Y14" s="196"/>
      <c r="Z14" s="196"/>
    </row>
    <row r="15" spans="1:26" ht="18" customHeight="1" x14ac:dyDescent="0.2">
      <c r="A15" s="10"/>
      <c r="B15" s="144" t="s">
        <v>74</v>
      </c>
      <c r="C15" s="146"/>
      <c r="D15" s="146"/>
      <c r="E15" s="146"/>
      <c r="F15" s="145"/>
      <c r="G15" s="21" t="s">
        <v>75</v>
      </c>
      <c r="H15" s="87" t="s">
        <v>76</v>
      </c>
      <c r="I15" s="146" t="s">
        <v>77</v>
      </c>
      <c r="J15" s="146"/>
      <c r="K15" s="146"/>
      <c r="L15" s="60" t="s">
        <v>78</v>
      </c>
      <c r="M15" s="60" t="s">
        <v>79</v>
      </c>
      <c r="N15" s="144" t="s">
        <v>74</v>
      </c>
      <c r="O15" s="146"/>
      <c r="P15" s="146"/>
      <c r="Q15" s="146"/>
      <c r="R15" s="146"/>
      <c r="S15" s="145"/>
      <c r="T15" s="21" t="s">
        <v>75</v>
      </c>
      <c r="U15" s="87" t="s">
        <v>76</v>
      </c>
      <c r="V15" s="146" t="s">
        <v>77</v>
      </c>
      <c r="W15" s="146"/>
      <c r="X15" s="146"/>
      <c r="Y15" s="60" t="s">
        <v>78</v>
      </c>
      <c r="Z15" s="60" t="s">
        <v>79</v>
      </c>
    </row>
    <row r="16" spans="1:26" ht="18" customHeight="1" x14ac:dyDescent="0.2">
      <c r="A16" s="10"/>
      <c r="B16" s="187" t="s">
        <v>83</v>
      </c>
      <c r="C16" s="188"/>
      <c r="D16" s="188"/>
      <c r="E16" s="188"/>
      <c r="F16" s="189"/>
      <c r="G16" s="88">
        <v>2</v>
      </c>
      <c r="H16" s="88" t="s">
        <v>81</v>
      </c>
      <c r="I16" s="181" t="s">
        <v>84</v>
      </c>
      <c r="J16" s="182"/>
      <c r="K16" s="183"/>
      <c r="L16" s="88" t="s">
        <v>81</v>
      </c>
      <c r="M16" s="88" t="s">
        <v>81</v>
      </c>
      <c r="N16" s="151"/>
      <c r="O16" s="152"/>
      <c r="P16" s="152"/>
      <c r="Q16" s="152"/>
      <c r="R16" s="152"/>
      <c r="S16" s="153"/>
      <c r="T16" s="88"/>
      <c r="U16" s="88"/>
      <c r="V16" s="181"/>
      <c r="W16" s="182"/>
      <c r="X16" s="183"/>
      <c r="Y16" s="88"/>
      <c r="Z16" s="88"/>
    </row>
    <row r="17" spans="1:26" ht="18" customHeight="1" x14ac:dyDescent="0.2">
      <c r="A17" s="10"/>
      <c r="B17" s="190"/>
      <c r="C17" s="191"/>
      <c r="D17" s="191"/>
      <c r="E17" s="191"/>
      <c r="F17" s="192"/>
      <c r="G17" s="89"/>
      <c r="H17" s="89"/>
      <c r="I17" s="184"/>
      <c r="J17" s="185"/>
      <c r="K17" s="186"/>
      <c r="L17" s="89"/>
      <c r="M17" s="89"/>
      <c r="N17" s="175"/>
      <c r="O17" s="176"/>
      <c r="P17" s="176"/>
      <c r="Q17" s="176"/>
      <c r="R17" s="176"/>
      <c r="S17" s="177"/>
      <c r="T17" s="89"/>
      <c r="U17" s="89"/>
      <c r="V17" s="184"/>
      <c r="W17" s="185"/>
      <c r="X17" s="186"/>
      <c r="Y17" s="89"/>
      <c r="Z17" s="89"/>
    </row>
    <row r="18" spans="1:26" ht="18" customHeight="1" x14ac:dyDescent="0.2">
      <c r="A18" s="10"/>
      <c r="B18" s="190"/>
      <c r="C18" s="191"/>
      <c r="D18" s="191"/>
      <c r="E18" s="191"/>
      <c r="F18" s="192"/>
      <c r="G18" s="89"/>
      <c r="H18" s="89"/>
      <c r="I18" s="184"/>
      <c r="J18" s="185"/>
      <c r="K18" s="186"/>
      <c r="L18" s="89"/>
      <c r="M18" s="89"/>
      <c r="N18" s="175"/>
      <c r="O18" s="176"/>
      <c r="P18" s="176"/>
      <c r="Q18" s="176"/>
      <c r="R18" s="176"/>
      <c r="S18" s="177"/>
      <c r="T18" s="89"/>
      <c r="U18" s="89"/>
      <c r="V18" s="184"/>
      <c r="W18" s="185"/>
      <c r="X18" s="186"/>
      <c r="Y18" s="89"/>
      <c r="Z18" s="89"/>
    </row>
    <row r="19" spans="1:26" ht="18" customHeight="1" x14ac:dyDescent="0.2">
      <c r="A19" s="10"/>
      <c r="B19" s="190"/>
      <c r="C19" s="191"/>
      <c r="D19" s="191"/>
      <c r="E19" s="191"/>
      <c r="F19" s="192"/>
      <c r="G19" s="89"/>
      <c r="H19" s="89"/>
      <c r="I19" s="184"/>
      <c r="J19" s="185"/>
      <c r="K19" s="186"/>
      <c r="L19" s="89"/>
      <c r="M19" s="89"/>
      <c r="N19" s="175"/>
      <c r="O19" s="176"/>
      <c r="P19" s="176"/>
      <c r="Q19" s="176"/>
      <c r="R19" s="176"/>
      <c r="S19" s="177"/>
      <c r="T19" s="89"/>
      <c r="U19" s="89"/>
      <c r="V19" s="184"/>
      <c r="W19" s="185"/>
      <c r="X19" s="186"/>
      <c r="Y19" s="89"/>
      <c r="Z19" s="89"/>
    </row>
    <row r="20" spans="1:26" ht="18" customHeight="1" x14ac:dyDescent="0.2">
      <c r="A20" s="10"/>
      <c r="B20" s="190"/>
      <c r="C20" s="191"/>
      <c r="D20" s="191"/>
      <c r="E20" s="191"/>
      <c r="F20" s="192"/>
      <c r="G20" s="89"/>
      <c r="H20" s="89"/>
      <c r="I20" s="184"/>
      <c r="J20" s="185"/>
      <c r="K20" s="186"/>
      <c r="L20" s="89"/>
      <c r="M20" s="89"/>
      <c r="N20" s="175"/>
      <c r="O20" s="176"/>
      <c r="P20" s="176"/>
      <c r="Q20" s="176"/>
      <c r="R20" s="176"/>
      <c r="S20" s="177"/>
      <c r="T20" s="89"/>
      <c r="U20" s="89"/>
      <c r="V20" s="184"/>
      <c r="W20" s="185"/>
      <c r="X20" s="186"/>
      <c r="Y20" s="89"/>
      <c r="Z20" s="89"/>
    </row>
    <row r="21" spans="1:26" ht="18" customHeight="1" x14ac:dyDescent="0.2">
      <c r="A21" s="20"/>
      <c r="B21" s="190"/>
      <c r="C21" s="191"/>
      <c r="D21" s="191"/>
      <c r="E21" s="191"/>
      <c r="F21" s="192"/>
      <c r="G21" s="89"/>
      <c r="H21" s="89"/>
      <c r="I21" s="184"/>
      <c r="J21" s="185"/>
      <c r="K21" s="186"/>
      <c r="L21" s="89"/>
      <c r="M21" s="89"/>
      <c r="N21" s="175"/>
      <c r="O21" s="176"/>
      <c r="P21" s="176"/>
      <c r="Q21" s="176"/>
      <c r="R21" s="176"/>
      <c r="S21" s="177"/>
      <c r="T21" s="89"/>
      <c r="U21" s="89"/>
      <c r="V21" s="184"/>
      <c r="W21" s="185"/>
      <c r="X21" s="186"/>
      <c r="Y21" s="89"/>
      <c r="Z21" s="89"/>
    </row>
    <row r="22" spans="1:26" ht="18" customHeight="1" x14ac:dyDescent="0.2">
      <c r="A22" s="20"/>
      <c r="B22" s="197"/>
      <c r="C22" s="198"/>
      <c r="D22" s="198"/>
      <c r="E22" s="198"/>
      <c r="F22" s="199"/>
      <c r="G22" s="90"/>
      <c r="H22" s="90"/>
      <c r="I22" s="193"/>
      <c r="J22" s="194"/>
      <c r="K22" s="195"/>
      <c r="L22" s="95"/>
      <c r="M22" s="95"/>
      <c r="N22" s="201"/>
      <c r="O22" s="202"/>
      <c r="P22" s="202"/>
      <c r="Q22" s="202"/>
      <c r="R22" s="202"/>
      <c r="S22" s="203"/>
      <c r="T22" s="90"/>
      <c r="U22" s="90"/>
      <c r="V22" s="193"/>
      <c r="W22" s="194"/>
      <c r="X22" s="195"/>
      <c r="Y22" s="95"/>
      <c r="Z22" s="95"/>
    </row>
    <row r="23" spans="1:26" ht="7.5" customHeight="1" x14ac:dyDescent="0.2">
      <c r="A23" s="20"/>
      <c r="B23" s="24"/>
      <c r="C23" s="24"/>
      <c r="D23" s="20"/>
      <c r="E23" s="20"/>
      <c r="F23" s="20"/>
      <c r="G23" s="20"/>
      <c r="H23" s="20"/>
      <c r="I23" s="20"/>
      <c r="J23" s="20"/>
      <c r="K23" s="20"/>
      <c r="L23" s="24"/>
      <c r="M23" s="24"/>
      <c r="N23" s="24"/>
      <c r="O23" s="24"/>
      <c r="P23" s="24"/>
      <c r="Q23" s="24"/>
      <c r="R23" s="24"/>
      <c r="S23" s="24"/>
      <c r="T23" s="24"/>
      <c r="U23" s="24"/>
      <c r="V23" s="24"/>
      <c r="W23" s="24"/>
      <c r="X23" s="24"/>
      <c r="Y23" s="24"/>
      <c r="Z23" s="20"/>
    </row>
    <row r="24" spans="1:26" ht="18" customHeight="1" x14ac:dyDescent="0.2">
      <c r="A24" s="196" t="s">
        <v>85</v>
      </c>
      <c r="B24" s="196"/>
      <c r="C24" s="196"/>
      <c r="D24" s="196"/>
      <c r="E24" s="196"/>
      <c r="F24" s="196"/>
      <c r="G24" s="196"/>
      <c r="H24" s="196"/>
      <c r="I24" s="196"/>
      <c r="J24" s="196"/>
      <c r="K24" s="196"/>
      <c r="L24" s="196"/>
      <c r="M24" s="196"/>
      <c r="N24" s="196"/>
      <c r="O24" s="196"/>
      <c r="P24" s="196"/>
      <c r="Q24" s="196"/>
      <c r="R24" s="196"/>
      <c r="S24" s="196"/>
      <c r="T24" s="196"/>
      <c r="U24" s="196"/>
      <c r="V24" s="196"/>
      <c r="W24" s="196"/>
      <c r="X24" s="196"/>
      <c r="Y24" s="196"/>
      <c r="Z24" s="196"/>
    </row>
    <row r="25" spans="1:26" ht="18" customHeight="1" x14ac:dyDescent="0.2">
      <c r="A25" s="196"/>
      <c r="B25" s="196"/>
      <c r="C25" s="196"/>
      <c r="D25" s="196"/>
      <c r="E25" s="196"/>
      <c r="F25" s="196"/>
      <c r="G25" s="196"/>
      <c r="H25" s="196"/>
      <c r="I25" s="196"/>
      <c r="J25" s="196"/>
      <c r="K25" s="196"/>
      <c r="L25" s="196"/>
      <c r="M25" s="196"/>
      <c r="N25" s="196"/>
      <c r="O25" s="196"/>
      <c r="P25" s="196"/>
      <c r="Q25" s="196"/>
      <c r="R25" s="196"/>
      <c r="S25" s="196"/>
      <c r="T25" s="196"/>
      <c r="U25" s="196"/>
      <c r="V25" s="196"/>
      <c r="W25" s="196"/>
      <c r="X25" s="196"/>
      <c r="Y25" s="196"/>
      <c r="Z25" s="196"/>
    </row>
    <row r="26" spans="1:26" ht="18" customHeight="1" x14ac:dyDescent="0.2">
      <c r="A26" s="10"/>
      <c r="B26" s="144" t="s">
        <v>74</v>
      </c>
      <c r="C26" s="146"/>
      <c r="D26" s="146"/>
      <c r="E26" s="146"/>
      <c r="F26" s="145"/>
      <c r="G26" s="21" t="s">
        <v>75</v>
      </c>
      <c r="H26" s="87" t="s">
        <v>76</v>
      </c>
      <c r="I26" s="146" t="s">
        <v>77</v>
      </c>
      <c r="J26" s="146"/>
      <c r="K26" s="146"/>
      <c r="L26" s="60" t="s">
        <v>86</v>
      </c>
      <c r="M26" s="60" t="s">
        <v>87</v>
      </c>
      <c r="N26" s="144" t="s">
        <v>74</v>
      </c>
      <c r="O26" s="146"/>
      <c r="P26" s="146"/>
      <c r="Q26" s="146"/>
      <c r="R26" s="146"/>
      <c r="S26" s="145"/>
      <c r="T26" s="21" t="s">
        <v>75</v>
      </c>
      <c r="U26" s="87" t="s">
        <v>76</v>
      </c>
      <c r="V26" s="146" t="s">
        <v>77</v>
      </c>
      <c r="W26" s="146"/>
      <c r="X26" s="146"/>
      <c r="Y26" s="60" t="s">
        <v>86</v>
      </c>
      <c r="Z26" s="60" t="s">
        <v>87</v>
      </c>
    </row>
    <row r="27" spans="1:26" ht="18" customHeight="1" x14ac:dyDescent="0.2">
      <c r="A27" s="10"/>
      <c r="B27" s="187" t="s">
        <v>83</v>
      </c>
      <c r="C27" s="188"/>
      <c r="D27" s="188"/>
      <c r="E27" s="188"/>
      <c r="F27" s="189"/>
      <c r="G27" s="88">
        <v>2</v>
      </c>
      <c r="H27" s="88" t="s">
        <v>81</v>
      </c>
      <c r="I27" s="181" t="s">
        <v>84</v>
      </c>
      <c r="J27" s="182"/>
      <c r="K27" s="183"/>
      <c r="L27" s="88" t="s">
        <v>81</v>
      </c>
      <c r="M27" s="88" t="s">
        <v>81</v>
      </c>
      <c r="N27" s="151"/>
      <c r="O27" s="152"/>
      <c r="P27" s="152"/>
      <c r="Q27" s="152"/>
      <c r="R27" s="152"/>
      <c r="S27" s="153"/>
      <c r="T27" s="88"/>
      <c r="U27" s="88"/>
      <c r="V27" s="181"/>
      <c r="W27" s="182"/>
      <c r="X27" s="183"/>
      <c r="Y27" s="88"/>
      <c r="Z27" s="88"/>
    </row>
    <row r="28" spans="1:26" ht="18" customHeight="1" x14ac:dyDescent="0.2">
      <c r="A28" s="10"/>
      <c r="B28" s="190"/>
      <c r="C28" s="191"/>
      <c r="D28" s="191"/>
      <c r="E28" s="191"/>
      <c r="F28" s="192"/>
      <c r="G28" s="89"/>
      <c r="H28" s="89"/>
      <c r="I28" s="184"/>
      <c r="J28" s="185"/>
      <c r="K28" s="186"/>
      <c r="L28" s="89"/>
      <c r="M28" s="89"/>
      <c r="N28" s="175"/>
      <c r="O28" s="176"/>
      <c r="P28" s="176"/>
      <c r="Q28" s="176"/>
      <c r="R28" s="176"/>
      <c r="S28" s="177"/>
      <c r="T28" s="89"/>
      <c r="U28" s="89"/>
      <c r="V28" s="184"/>
      <c r="W28" s="185"/>
      <c r="X28" s="186"/>
      <c r="Y28" s="89"/>
      <c r="Z28" s="89"/>
    </row>
    <row r="29" spans="1:26" ht="18" customHeight="1" x14ac:dyDescent="0.2">
      <c r="A29" s="10"/>
      <c r="B29" s="190"/>
      <c r="C29" s="191"/>
      <c r="D29" s="191"/>
      <c r="E29" s="191"/>
      <c r="F29" s="192"/>
      <c r="G29" s="89"/>
      <c r="H29" s="89"/>
      <c r="I29" s="184"/>
      <c r="J29" s="185"/>
      <c r="K29" s="186"/>
      <c r="L29" s="89"/>
      <c r="M29" s="89"/>
      <c r="N29" s="175"/>
      <c r="O29" s="176"/>
      <c r="P29" s="176"/>
      <c r="Q29" s="176"/>
      <c r="R29" s="176"/>
      <c r="S29" s="177"/>
      <c r="T29" s="89"/>
      <c r="U29" s="89"/>
      <c r="V29" s="184"/>
      <c r="W29" s="185"/>
      <c r="X29" s="186"/>
      <c r="Y29" s="89"/>
      <c r="Z29" s="89"/>
    </row>
    <row r="30" spans="1:26" ht="18" customHeight="1" x14ac:dyDescent="0.2">
      <c r="A30" s="10"/>
      <c r="B30" s="190"/>
      <c r="C30" s="191"/>
      <c r="D30" s="191"/>
      <c r="E30" s="191"/>
      <c r="F30" s="192"/>
      <c r="G30" s="89"/>
      <c r="H30" s="89"/>
      <c r="I30" s="184"/>
      <c r="J30" s="185"/>
      <c r="K30" s="186"/>
      <c r="L30" s="89"/>
      <c r="M30" s="89"/>
      <c r="N30" s="175"/>
      <c r="O30" s="176"/>
      <c r="P30" s="176"/>
      <c r="Q30" s="176"/>
      <c r="R30" s="176"/>
      <c r="S30" s="177"/>
      <c r="T30" s="89"/>
      <c r="U30" s="89"/>
      <c r="V30" s="184"/>
      <c r="W30" s="185"/>
      <c r="X30" s="186"/>
      <c r="Y30" s="89"/>
      <c r="Z30" s="89"/>
    </row>
    <row r="31" spans="1:26" ht="18" customHeight="1" x14ac:dyDescent="0.2">
      <c r="A31" s="10"/>
      <c r="B31" s="190"/>
      <c r="C31" s="191"/>
      <c r="D31" s="191"/>
      <c r="E31" s="191"/>
      <c r="F31" s="192"/>
      <c r="G31" s="89"/>
      <c r="H31" s="89"/>
      <c r="I31" s="184"/>
      <c r="J31" s="185"/>
      <c r="K31" s="186"/>
      <c r="L31" s="89"/>
      <c r="M31" s="89"/>
      <c r="N31" s="175"/>
      <c r="O31" s="176"/>
      <c r="P31" s="176"/>
      <c r="Q31" s="176"/>
      <c r="R31" s="176"/>
      <c r="S31" s="177"/>
      <c r="T31" s="89"/>
      <c r="U31" s="89"/>
      <c r="V31" s="184"/>
      <c r="W31" s="185"/>
      <c r="X31" s="186"/>
      <c r="Y31" s="89"/>
      <c r="Z31" s="89"/>
    </row>
    <row r="32" spans="1:26" ht="18" customHeight="1" x14ac:dyDescent="0.2">
      <c r="A32" s="10"/>
      <c r="B32" s="190"/>
      <c r="C32" s="191"/>
      <c r="D32" s="191"/>
      <c r="E32" s="191"/>
      <c r="F32" s="192"/>
      <c r="G32" s="89"/>
      <c r="H32" s="89"/>
      <c r="I32" s="184"/>
      <c r="J32" s="185"/>
      <c r="K32" s="186"/>
      <c r="L32" s="89"/>
      <c r="M32" s="89"/>
      <c r="N32" s="175"/>
      <c r="O32" s="176"/>
      <c r="P32" s="176"/>
      <c r="Q32" s="176"/>
      <c r="R32" s="176"/>
      <c r="S32" s="177"/>
      <c r="T32" s="89"/>
      <c r="U32" s="89"/>
      <c r="V32" s="184"/>
      <c r="W32" s="185"/>
      <c r="X32" s="186"/>
      <c r="Y32" s="89"/>
      <c r="Z32" s="89"/>
    </row>
    <row r="33" spans="1:26" ht="18" customHeight="1" x14ac:dyDescent="0.2">
      <c r="A33" s="10"/>
      <c r="B33" s="197"/>
      <c r="C33" s="198"/>
      <c r="D33" s="198"/>
      <c r="E33" s="198"/>
      <c r="F33" s="199"/>
      <c r="G33" s="90"/>
      <c r="H33" s="90"/>
      <c r="I33" s="193"/>
      <c r="J33" s="194"/>
      <c r="K33" s="195"/>
      <c r="L33" s="95"/>
      <c r="M33" s="95"/>
      <c r="N33" s="201"/>
      <c r="O33" s="202"/>
      <c r="P33" s="202"/>
      <c r="Q33" s="202"/>
      <c r="R33" s="202"/>
      <c r="S33" s="203"/>
      <c r="T33" s="90"/>
      <c r="U33" s="90"/>
      <c r="V33" s="193"/>
      <c r="W33" s="194"/>
      <c r="X33" s="195"/>
      <c r="Y33" s="95"/>
      <c r="Z33" s="95"/>
    </row>
    <row r="34" spans="1:26" ht="7.5" customHeight="1" x14ac:dyDescent="0.2">
      <c r="A34" s="20"/>
      <c r="B34" s="24"/>
      <c r="C34" s="24"/>
      <c r="D34" s="20"/>
      <c r="E34" s="20"/>
      <c r="F34" s="20"/>
      <c r="G34" s="20"/>
      <c r="H34" s="20"/>
      <c r="I34" s="20"/>
      <c r="J34" s="20"/>
      <c r="K34" s="20"/>
      <c r="L34" s="24"/>
      <c r="M34" s="24"/>
      <c r="N34" s="24"/>
      <c r="O34" s="24"/>
      <c r="P34" s="24"/>
      <c r="Q34" s="24"/>
      <c r="R34" s="24"/>
      <c r="S34" s="24"/>
      <c r="T34" s="24"/>
      <c r="U34" s="24"/>
      <c r="V34" s="24"/>
      <c r="W34" s="24"/>
      <c r="X34" s="24"/>
      <c r="Y34" s="24"/>
      <c r="Z34" s="20"/>
    </row>
    <row r="35" spans="1:26" ht="18" customHeight="1" x14ac:dyDescent="0.2">
      <c r="A35" s="196" t="s">
        <v>88</v>
      </c>
      <c r="B35" s="196"/>
      <c r="C35" s="196"/>
      <c r="D35" s="196"/>
      <c r="E35" s="196"/>
      <c r="F35" s="196"/>
      <c r="G35" s="196"/>
      <c r="H35" s="196"/>
      <c r="I35" s="196"/>
      <c r="J35" s="196"/>
      <c r="K35" s="196"/>
      <c r="L35" s="196"/>
      <c r="M35" s="196"/>
      <c r="N35" s="196"/>
      <c r="O35" s="196"/>
      <c r="P35" s="196"/>
      <c r="Q35" s="196"/>
      <c r="R35" s="196"/>
      <c r="S35" s="196"/>
      <c r="T35" s="196"/>
      <c r="U35" s="196"/>
      <c r="V35" s="196"/>
      <c r="W35" s="196"/>
      <c r="X35" s="196"/>
      <c r="Y35" s="196"/>
      <c r="Z35" s="196"/>
    </row>
    <row r="36" spans="1:26" ht="18" customHeight="1" x14ac:dyDescent="0.2">
      <c r="A36" s="196"/>
      <c r="B36" s="196"/>
      <c r="C36" s="196"/>
      <c r="D36" s="196"/>
      <c r="E36" s="196"/>
      <c r="F36" s="196"/>
      <c r="G36" s="196"/>
      <c r="H36" s="196"/>
      <c r="I36" s="196"/>
      <c r="J36" s="196"/>
      <c r="K36" s="196"/>
      <c r="L36" s="196"/>
      <c r="M36" s="196"/>
      <c r="N36" s="196"/>
      <c r="O36" s="196"/>
      <c r="P36" s="196"/>
      <c r="Q36" s="196"/>
      <c r="R36" s="196"/>
      <c r="S36" s="196"/>
      <c r="T36" s="196"/>
      <c r="U36" s="196"/>
      <c r="V36" s="196"/>
      <c r="W36" s="196"/>
      <c r="X36" s="196"/>
      <c r="Y36" s="196"/>
      <c r="Z36" s="196"/>
    </row>
    <row r="37" spans="1:26" ht="18" customHeight="1" x14ac:dyDescent="0.2">
      <c r="A37" s="10"/>
      <c r="B37" s="144" t="s">
        <v>74</v>
      </c>
      <c r="C37" s="146"/>
      <c r="D37" s="146"/>
      <c r="E37" s="146"/>
      <c r="F37" s="145"/>
      <c r="G37" s="21" t="s">
        <v>75</v>
      </c>
      <c r="H37" s="87" t="s">
        <v>76</v>
      </c>
      <c r="I37" s="144" t="s">
        <v>77</v>
      </c>
      <c r="J37" s="146"/>
      <c r="K37" s="145"/>
      <c r="L37" s="60" t="s">
        <v>89</v>
      </c>
      <c r="M37" s="60" t="s">
        <v>90</v>
      </c>
      <c r="N37" s="144" t="s">
        <v>74</v>
      </c>
      <c r="O37" s="146"/>
      <c r="P37" s="146"/>
      <c r="Q37" s="146"/>
      <c r="R37" s="146"/>
      <c r="S37" s="145"/>
      <c r="T37" s="21" t="s">
        <v>75</v>
      </c>
      <c r="U37" s="87" t="s">
        <v>76</v>
      </c>
      <c r="V37" s="144" t="s">
        <v>77</v>
      </c>
      <c r="W37" s="146"/>
      <c r="X37" s="145"/>
      <c r="Y37" s="60" t="s">
        <v>89</v>
      </c>
      <c r="Z37" s="60" t="s">
        <v>90</v>
      </c>
    </row>
    <row r="38" spans="1:26" ht="18" customHeight="1" x14ac:dyDescent="0.2">
      <c r="A38" s="20"/>
      <c r="B38" s="187" t="s">
        <v>126</v>
      </c>
      <c r="C38" s="188"/>
      <c r="D38" s="188"/>
      <c r="E38" s="188"/>
      <c r="F38" s="189"/>
      <c r="G38" s="88">
        <v>2</v>
      </c>
      <c r="H38" s="88" t="s">
        <v>81</v>
      </c>
      <c r="I38" s="181" t="s">
        <v>82</v>
      </c>
      <c r="J38" s="182"/>
      <c r="K38" s="183"/>
      <c r="L38" s="88" t="s">
        <v>81</v>
      </c>
      <c r="M38" s="88" t="s">
        <v>81</v>
      </c>
      <c r="N38" s="151"/>
      <c r="O38" s="152"/>
      <c r="P38" s="152"/>
      <c r="Q38" s="152"/>
      <c r="R38" s="152"/>
      <c r="S38" s="153"/>
      <c r="T38" s="88"/>
      <c r="U38" s="88"/>
      <c r="V38" s="181"/>
      <c r="W38" s="182"/>
      <c r="X38" s="183"/>
      <c r="Y38" s="88"/>
      <c r="Z38" s="88"/>
    </row>
    <row r="39" spans="1:26" ht="18" customHeight="1" x14ac:dyDescent="0.2">
      <c r="A39" s="20"/>
      <c r="B39" s="190"/>
      <c r="C39" s="191"/>
      <c r="D39" s="191"/>
      <c r="E39" s="191"/>
      <c r="F39" s="192"/>
      <c r="G39" s="89"/>
      <c r="H39" s="89"/>
      <c r="I39" s="184"/>
      <c r="J39" s="185"/>
      <c r="K39" s="186"/>
      <c r="L39" s="89"/>
      <c r="M39" s="89"/>
      <c r="N39" s="175"/>
      <c r="O39" s="176"/>
      <c r="P39" s="176"/>
      <c r="Q39" s="176"/>
      <c r="R39" s="176"/>
      <c r="S39" s="177"/>
      <c r="T39" s="89"/>
      <c r="U39" s="89"/>
      <c r="V39" s="184"/>
      <c r="W39" s="185"/>
      <c r="X39" s="186"/>
      <c r="Y39" s="89"/>
      <c r="Z39" s="89"/>
    </row>
    <row r="40" spans="1:26" ht="18" customHeight="1" x14ac:dyDescent="0.2">
      <c r="A40" s="20"/>
      <c r="B40" s="190"/>
      <c r="C40" s="191"/>
      <c r="D40" s="191"/>
      <c r="E40" s="191"/>
      <c r="F40" s="192"/>
      <c r="G40" s="89"/>
      <c r="H40" s="89"/>
      <c r="I40" s="184"/>
      <c r="J40" s="185"/>
      <c r="K40" s="186"/>
      <c r="L40" s="89"/>
      <c r="M40" s="89"/>
      <c r="N40" s="175"/>
      <c r="O40" s="176"/>
      <c r="P40" s="176"/>
      <c r="Q40" s="176"/>
      <c r="R40" s="176"/>
      <c r="S40" s="177"/>
      <c r="T40" s="89"/>
      <c r="U40" s="89"/>
      <c r="V40" s="184"/>
      <c r="W40" s="185"/>
      <c r="X40" s="186"/>
      <c r="Y40" s="89"/>
      <c r="Z40" s="89"/>
    </row>
    <row r="41" spans="1:26" ht="18" customHeight="1" x14ac:dyDescent="0.2">
      <c r="A41" s="20"/>
      <c r="B41" s="190"/>
      <c r="C41" s="191"/>
      <c r="D41" s="191"/>
      <c r="E41" s="191"/>
      <c r="F41" s="192"/>
      <c r="G41" s="89"/>
      <c r="H41" s="89"/>
      <c r="I41" s="184"/>
      <c r="J41" s="185"/>
      <c r="K41" s="186"/>
      <c r="L41" s="89"/>
      <c r="M41" s="89"/>
      <c r="N41" s="175"/>
      <c r="O41" s="176"/>
      <c r="P41" s="176"/>
      <c r="Q41" s="176"/>
      <c r="R41" s="176"/>
      <c r="S41" s="177"/>
      <c r="T41" s="89"/>
      <c r="U41" s="89"/>
      <c r="V41" s="184"/>
      <c r="W41" s="185"/>
      <c r="X41" s="186"/>
      <c r="Y41" s="89"/>
      <c r="Z41" s="89"/>
    </row>
    <row r="42" spans="1:26" ht="18" customHeight="1" x14ac:dyDescent="0.2">
      <c r="A42" s="20"/>
      <c r="B42" s="190"/>
      <c r="C42" s="191"/>
      <c r="D42" s="191"/>
      <c r="E42" s="191"/>
      <c r="F42" s="192"/>
      <c r="G42" s="89"/>
      <c r="H42" s="89"/>
      <c r="I42" s="184"/>
      <c r="J42" s="185"/>
      <c r="K42" s="186"/>
      <c r="L42" s="89"/>
      <c r="M42" s="89"/>
      <c r="N42" s="175"/>
      <c r="O42" s="176"/>
      <c r="P42" s="176"/>
      <c r="Q42" s="176"/>
      <c r="R42" s="176"/>
      <c r="S42" s="177"/>
      <c r="T42" s="89"/>
      <c r="U42" s="89"/>
      <c r="V42" s="184"/>
      <c r="W42" s="185"/>
      <c r="X42" s="186"/>
      <c r="Y42" s="89"/>
      <c r="Z42" s="89"/>
    </row>
    <row r="43" spans="1:26" ht="18" customHeight="1" x14ac:dyDescent="0.2">
      <c r="A43" s="20"/>
      <c r="B43" s="190"/>
      <c r="C43" s="191"/>
      <c r="D43" s="191"/>
      <c r="E43" s="191"/>
      <c r="F43" s="192"/>
      <c r="G43" s="89"/>
      <c r="H43" s="89"/>
      <c r="I43" s="184"/>
      <c r="J43" s="185"/>
      <c r="K43" s="186"/>
      <c r="L43" s="89"/>
      <c r="M43" s="89"/>
      <c r="N43" s="175"/>
      <c r="O43" s="176"/>
      <c r="P43" s="176"/>
      <c r="Q43" s="176"/>
      <c r="R43" s="176"/>
      <c r="S43" s="177"/>
      <c r="T43" s="89"/>
      <c r="U43" s="89"/>
      <c r="V43" s="184"/>
      <c r="W43" s="185"/>
      <c r="X43" s="186"/>
      <c r="Y43" s="89"/>
      <c r="Z43" s="89"/>
    </row>
    <row r="44" spans="1:26" ht="18" customHeight="1" x14ac:dyDescent="0.2">
      <c r="A44" s="20"/>
      <c r="B44" s="197"/>
      <c r="C44" s="198"/>
      <c r="D44" s="198"/>
      <c r="E44" s="198"/>
      <c r="F44" s="199"/>
      <c r="G44" s="90"/>
      <c r="H44" s="90"/>
      <c r="I44" s="193"/>
      <c r="J44" s="194"/>
      <c r="K44" s="195"/>
      <c r="L44" s="95"/>
      <c r="M44" s="95"/>
      <c r="N44" s="201"/>
      <c r="O44" s="202"/>
      <c r="P44" s="202"/>
      <c r="Q44" s="202"/>
      <c r="R44" s="202"/>
      <c r="S44" s="203"/>
      <c r="T44" s="90"/>
      <c r="U44" s="90"/>
      <c r="V44" s="193"/>
      <c r="W44" s="194"/>
      <c r="X44" s="195"/>
      <c r="Y44" s="95"/>
      <c r="Z44" s="95"/>
    </row>
    <row r="45" spans="1:26" ht="7.5" customHeight="1" x14ac:dyDescent="0.2">
      <c r="B45" s="61"/>
      <c r="C45" s="61"/>
      <c r="D45" s="61"/>
      <c r="E45" s="61"/>
      <c r="F45" s="61"/>
      <c r="G45" s="61"/>
      <c r="H45" s="61"/>
      <c r="I45" s="61"/>
      <c r="J45" s="61"/>
      <c r="K45" s="61"/>
      <c r="L45" s="61"/>
      <c r="M45" s="61"/>
      <c r="N45" s="61"/>
      <c r="O45" s="61"/>
      <c r="P45" s="61"/>
      <c r="Q45" s="61"/>
      <c r="R45" s="61"/>
      <c r="S45" s="61"/>
      <c r="T45" s="61"/>
      <c r="U45" s="61"/>
      <c r="V45" s="61"/>
      <c r="W45" s="61"/>
      <c r="X45" s="61"/>
      <c r="Y45" s="61"/>
    </row>
    <row r="46" spans="1:26" ht="18" customHeight="1" x14ac:dyDescent="0.2">
      <c r="A46" s="196" t="s">
        <v>92</v>
      </c>
      <c r="B46" s="196"/>
      <c r="C46" s="196"/>
      <c r="D46" s="196"/>
      <c r="E46" s="196"/>
      <c r="F46" s="196"/>
      <c r="G46" s="196"/>
      <c r="H46" s="196"/>
      <c r="I46" s="196"/>
      <c r="J46" s="196"/>
      <c r="K46" s="196"/>
      <c r="L46" s="196"/>
      <c r="M46" s="196"/>
      <c r="N46" s="196"/>
      <c r="O46" s="196"/>
      <c r="P46" s="196"/>
      <c r="Q46" s="196"/>
      <c r="R46" s="196"/>
      <c r="S46" s="196"/>
      <c r="T46" s="196"/>
      <c r="U46" s="196"/>
      <c r="V46" s="196"/>
      <c r="W46" s="196"/>
      <c r="X46" s="196"/>
      <c r="Y46" s="196"/>
      <c r="Z46" s="196"/>
    </row>
    <row r="47" spans="1:26" ht="18" customHeight="1" x14ac:dyDescent="0.2">
      <c r="A47" s="196"/>
      <c r="B47" s="196"/>
      <c r="C47" s="196"/>
      <c r="D47" s="196"/>
      <c r="E47" s="196"/>
      <c r="F47" s="196"/>
      <c r="G47" s="196"/>
      <c r="H47" s="196"/>
      <c r="I47" s="196"/>
      <c r="J47" s="196"/>
      <c r="K47" s="196"/>
      <c r="L47" s="196"/>
      <c r="M47" s="196"/>
      <c r="N47" s="196"/>
      <c r="O47" s="196"/>
      <c r="P47" s="196"/>
      <c r="Q47" s="196"/>
      <c r="R47" s="196"/>
      <c r="S47" s="196"/>
      <c r="T47" s="196"/>
      <c r="U47" s="196"/>
      <c r="V47" s="196"/>
      <c r="W47" s="196"/>
      <c r="X47" s="196"/>
      <c r="Y47" s="196"/>
      <c r="Z47" s="196"/>
    </row>
    <row r="48" spans="1:26" ht="18" customHeight="1" x14ac:dyDescent="0.2">
      <c r="A48" s="10"/>
      <c r="B48" s="144" t="s">
        <v>74</v>
      </c>
      <c r="C48" s="146"/>
      <c r="D48" s="146"/>
      <c r="E48" s="146"/>
      <c r="F48" s="145"/>
      <c r="G48" s="21" t="s">
        <v>75</v>
      </c>
      <c r="H48" s="87" t="s">
        <v>76</v>
      </c>
      <c r="I48" s="144" t="s">
        <v>77</v>
      </c>
      <c r="J48" s="146"/>
      <c r="K48" s="145"/>
      <c r="L48" s="60" t="s">
        <v>93</v>
      </c>
      <c r="M48" s="60" t="s">
        <v>94</v>
      </c>
      <c r="N48" s="144" t="s">
        <v>74</v>
      </c>
      <c r="O48" s="146"/>
      <c r="P48" s="146"/>
      <c r="Q48" s="146"/>
      <c r="R48" s="146"/>
      <c r="S48" s="145"/>
      <c r="T48" s="21" t="s">
        <v>75</v>
      </c>
      <c r="U48" s="87" t="s">
        <v>76</v>
      </c>
      <c r="V48" s="144" t="s">
        <v>77</v>
      </c>
      <c r="W48" s="146"/>
      <c r="X48" s="145"/>
      <c r="Y48" s="60" t="s">
        <v>93</v>
      </c>
      <c r="Z48" s="60" t="s">
        <v>94</v>
      </c>
    </row>
    <row r="49" spans="1:26" ht="18" customHeight="1" x14ac:dyDescent="0.2">
      <c r="A49" s="20"/>
      <c r="B49" s="187" t="s">
        <v>83</v>
      </c>
      <c r="C49" s="188"/>
      <c r="D49" s="188"/>
      <c r="E49" s="188"/>
      <c r="F49" s="189"/>
      <c r="G49" s="88">
        <v>2</v>
      </c>
      <c r="H49" s="88" t="s">
        <v>81</v>
      </c>
      <c r="I49" s="181" t="s">
        <v>127</v>
      </c>
      <c r="J49" s="182"/>
      <c r="K49" s="183"/>
      <c r="L49" s="88" t="s">
        <v>81</v>
      </c>
      <c r="M49" s="88" t="s">
        <v>81</v>
      </c>
      <c r="N49" s="151"/>
      <c r="O49" s="152"/>
      <c r="P49" s="152"/>
      <c r="Q49" s="152"/>
      <c r="R49" s="152"/>
      <c r="S49" s="153"/>
      <c r="T49" s="88"/>
      <c r="U49" s="88"/>
      <c r="V49" s="181"/>
      <c r="W49" s="182"/>
      <c r="X49" s="183"/>
      <c r="Y49" s="88"/>
      <c r="Z49" s="88"/>
    </row>
    <row r="50" spans="1:26" ht="18" customHeight="1" x14ac:dyDescent="0.2">
      <c r="A50" s="20"/>
      <c r="B50" s="190" t="s">
        <v>128</v>
      </c>
      <c r="C50" s="191"/>
      <c r="D50" s="191"/>
      <c r="E50" s="191"/>
      <c r="F50" s="192"/>
      <c r="G50" s="89">
        <v>2</v>
      </c>
      <c r="H50" s="89" t="s">
        <v>81</v>
      </c>
      <c r="I50" s="184" t="s">
        <v>82</v>
      </c>
      <c r="J50" s="185"/>
      <c r="K50" s="186"/>
      <c r="L50" s="89" t="s">
        <v>81</v>
      </c>
      <c r="M50" s="89" t="s">
        <v>81</v>
      </c>
      <c r="N50" s="175"/>
      <c r="O50" s="176"/>
      <c r="P50" s="176"/>
      <c r="Q50" s="176"/>
      <c r="R50" s="176"/>
      <c r="S50" s="177"/>
      <c r="T50" s="89"/>
      <c r="U50" s="89"/>
      <c r="V50" s="184"/>
      <c r="W50" s="185"/>
      <c r="X50" s="186"/>
      <c r="Y50" s="89"/>
      <c r="Z50" s="89"/>
    </row>
    <row r="51" spans="1:26" ht="18" customHeight="1" x14ac:dyDescent="0.2">
      <c r="A51" s="20"/>
      <c r="B51" s="190"/>
      <c r="C51" s="191"/>
      <c r="D51" s="191"/>
      <c r="E51" s="191"/>
      <c r="F51" s="192"/>
      <c r="G51" s="89"/>
      <c r="H51" s="89"/>
      <c r="I51" s="184"/>
      <c r="J51" s="185"/>
      <c r="K51" s="186"/>
      <c r="L51" s="89"/>
      <c r="M51" s="89"/>
      <c r="N51" s="175"/>
      <c r="O51" s="176"/>
      <c r="P51" s="176"/>
      <c r="Q51" s="176"/>
      <c r="R51" s="176"/>
      <c r="S51" s="177"/>
      <c r="T51" s="89"/>
      <c r="U51" s="89"/>
      <c r="V51" s="184"/>
      <c r="W51" s="185"/>
      <c r="X51" s="186"/>
      <c r="Y51" s="89"/>
      <c r="Z51" s="89"/>
    </row>
    <row r="52" spans="1:26" ht="18" customHeight="1" x14ac:dyDescent="0.2">
      <c r="A52" s="20"/>
      <c r="B52" s="190"/>
      <c r="C52" s="191"/>
      <c r="D52" s="191"/>
      <c r="E52" s="191"/>
      <c r="F52" s="192"/>
      <c r="G52" s="89"/>
      <c r="H52" s="89"/>
      <c r="I52" s="184"/>
      <c r="J52" s="185"/>
      <c r="K52" s="186"/>
      <c r="L52" s="89"/>
      <c r="M52" s="89"/>
      <c r="N52" s="175"/>
      <c r="O52" s="176"/>
      <c r="P52" s="176"/>
      <c r="Q52" s="176"/>
      <c r="R52" s="176"/>
      <c r="S52" s="177"/>
      <c r="T52" s="89"/>
      <c r="U52" s="89"/>
      <c r="V52" s="184"/>
      <c r="W52" s="185"/>
      <c r="X52" s="186"/>
      <c r="Y52" s="89"/>
      <c r="Z52" s="89"/>
    </row>
    <row r="53" spans="1:26" ht="18" customHeight="1" x14ac:dyDescent="0.2">
      <c r="A53" s="20"/>
      <c r="B53" s="190"/>
      <c r="C53" s="191"/>
      <c r="D53" s="191"/>
      <c r="E53" s="191"/>
      <c r="F53" s="192"/>
      <c r="G53" s="89"/>
      <c r="H53" s="89"/>
      <c r="I53" s="184"/>
      <c r="J53" s="185"/>
      <c r="K53" s="186"/>
      <c r="L53" s="89"/>
      <c r="M53" s="89"/>
      <c r="N53" s="175"/>
      <c r="O53" s="176"/>
      <c r="P53" s="176"/>
      <c r="Q53" s="176"/>
      <c r="R53" s="176"/>
      <c r="S53" s="177"/>
      <c r="T53" s="89"/>
      <c r="U53" s="89"/>
      <c r="V53" s="184"/>
      <c r="W53" s="185"/>
      <c r="X53" s="186"/>
      <c r="Y53" s="89"/>
      <c r="Z53" s="89"/>
    </row>
    <row r="54" spans="1:26" ht="18" customHeight="1" x14ac:dyDescent="0.2">
      <c r="A54" s="20"/>
      <c r="B54" s="190"/>
      <c r="C54" s="191"/>
      <c r="D54" s="191"/>
      <c r="E54" s="191"/>
      <c r="F54" s="192"/>
      <c r="G54" s="89"/>
      <c r="H54" s="89"/>
      <c r="I54" s="184"/>
      <c r="J54" s="185"/>
      <c r="K54" s="186"/>
      <c r="L54" s="89"/>
      <c r="M54" s="89"/>
      <c r="N54" s="175"/>
      <c r="O54" s="176"/>
      <c r="P54" s="176"/>
      <c r="Q54" s="176"/>
      <c r="R54" s="176"/>
      <c r="S54" s="177"/>
      <c r="T54" s="89"/>
      <c r="U54" s="89"/>
      <c r="V54" s="184"/>
      <c r="W54" s="185"/>
      <c r="X54" s="186"/>
      <c r="Y54" s="89"/>
      <c r="Z54" s="89"/>
    </row>
    <row r="55" spans="1:26" ht="18" customHeight="1" x14ac:dyDescent="0.2">
      <c r="A55" s="20"/>
      <c r="B55" s="197"/>
      <c r="C55" s="198"/>
      <c r="D55" s="198"/>
      <c r="E55" s="198"/>
      <c r="F55" s="199"/>
      <c r="G55" s="90"/>
      <c r="H55" s="90"/>
      <c r="I55" s="193"/>
      <c r="J55" s="194"/>
      <c r="K55" s="195"/>
      <c r="L55" s="95"/>
      <c r="M55" s="95"/>
      <c r="N55" s="201"/>
      <c r="O55" s="202"/>
      <c r="P55" s="202"/>
      <c r="Q55" s="202"/>
      <c r="R55" s="202"/>
      <c r="S55" s="203"/>
      <c r="T55" s="90"/>
      <c r="U55" s="90"/>
      <c r="V55" s="193"/>
      <c r="W55" s="194"/>
      <c r="X55" s="195"/>
      <c r="Y55" s="95"/>
      <c r="Z55" s="95"/>
    </row>
    <row r="56" spans="1:26" ht="7.5" customHeight="1" x14ac:dyDescent="0.2">
      <c r="B56" s="61"/>
      <c r="C56" s="61"/>
      <c r="D56" s="61"/>
      <c r="E56" s="61"/>
      <c r="F56" s="61"/>
      <c r="G56" s="61"/>
      <c r="H56" s="61"/>
      <c r="I56" s="61"/>
      <c r="J56" s="61"/>
      <c r="K56" s="61"/>
      <c r="L56" s="61"/>
      <c r="M56" s="61"/>
      <c r="N56" s="61"/>
      <c r="O56" s="61"/>
      <c r="P56" s="61"/>
      <c r="Q56" s="61"/>
      <c r="R56" s="61"/>
      <c r="S56" s="61"/>
      <c r="T56" s="61"/>
      <c r="U56" s="61"/>
      <c r="V56" s="61"/>
      <c r="W56" s="61"/>
      <c r="X56" s="61"/>
      <c r="Y56" s="61"/>
    </row>
    <row r="57" spans="1:26" ht="18" customHeight="1" x14ac:dyDescent="0.2">
      <c r="A57" s="196" t="s">
        <v>95</v>
      </c>
      <c r="B57" s="196"/>
      <c r="C57" s="196"/>
      <c r="D57" s="196"/>
      <c r="E57" s="196"/>
      <c r="F57" s="196"/>
      <c r="G57" s="196"/>
      <c r="H57" s="196"/>
      <c r="I57" s="196"/>
      <c r="J57" s="196"/>
      <c r="K57" s="196"/>
      <c r="L57" s="196"/>
      <c r="M57" s="196"/>
      <c r="N57" s="196"/>
      <c r="O57" s="196"/>
      <c r="P57" s="196"/>
      <c r="Q57" s="196"/>
      <c r="R57" s="196"/>
      <c r="S57" s="196"/>
      <c r="T57" s="196"/>
      <c r="U57" s="196"/>
      <c r="V57" s="196"/>
      <c r="W57" s="196"/>
      <c r="X57" s="196"/>
      <c r="Y57" s="196"/>
      <c r="Z57" s="196"/>
    </row>
    <row r="58" spans="1:26" ht="18" customHeight="1" x14ac:dyDescent="0.2">
      <c r="A58" s="196"/>
      <c r="B58" s="196"/>
      <c r="C58" s="196"/>
      <c r="D58" s="196"/>
      <c r="E58" s="196"/>
      <c r="F58" s="196"/>
      <c r="G58" s="196"/>
      <c r="H58" s="196"/>
      <c r="I58" s="196"/>
      <c r="J58" s="196"/>
      <c r="K58" s="196"/>
      <c r="L58" s="196"/>
      <c r="M58" s="196"/>
      <c r="N58" s="196"/>
      <c r="O58" s="196"/>
      <c r="P58" s="196"/>
      <c r="Q58" s="196"/>
      <c r="R58" s="196"/>
      <c r="S58" s="196"/>
      <c r="T58" s="196"/>
      <c r="U58" s="196"/>
      <c r="V58" s="196"/>
      <c r="W58" s="196"/>
      <c r="X58" s="196"/>
      <c r="Y58" s="196"/>
      <c r="Z58" s="196"/>
    </row>
    <row r="59" spans="1:26" ht="18" customHeight="1" x14ac:dyDescent="0.2">
      <c r="A59" s="10"/>
      <c r="B59" s="144" t="s">
        <v>74</v>
      </c>
      <c r="C59" s="146"/>
      <c r="D59" s="146"/>
      <c r="E59" s="145"/>
      <c r="F59" s="21" t="s">
        <v>75</v>
      </c>
      <c r="G59" s="87" t="s">
        <v>76</v>
      </c>
      <c r="H59" s="18" t="s">
        <v>77</v>
      </c>
      <c r="I59" s="84"/>
      <c r="J59" s="19"/>
      <c r="K59" s="60" t="s">
        <v>96</v>
      </c>
      <c r="L59" s="60" t="s">
        <v>97</v>
      </c>
      <c r="M59" s="60" t="s">
        <v>98</v>
      </c>
      <c r="N59" s="144" t="s">
        <v>74</v>
      </c>
      <c r="O59" s="146"/>
      <c r="P59" s="146"/>
      <c r="Q59" s="146"/>
      <c r="R59" s="145"/>
      <c r="S59" s="21" t="s">
        <v>75</v>
      </c>
      <c r="T59" s="87" t="s">
        <v>76</v>
      </c>
      <c r="U59" s="18" t="s">
        <v>77</v>
      </c>
      <c r="V59" s="84"/>
      <c r="W59" s="19"/>
      <c r="X59" s="60" t="s">
        <v>96</v>
      </c>
      <c r="Y59" s="60" t="s">
        <v>97</v>
      </c>
      <c r="Z59" s="60" t="s">
        <v>98</v>
      </c>
    </row>
    <row r="60" spans="1:26" ht="18" customHeight="1" x14ac:dyDescent="0.2">
      <c r="A60" s="20"/>
      <c r="B60" s="151" t="s">
        <v>126</v>
      </c>
      <c r="C60" s="152"/>
      <c r="D60" s="152"/>
      <c r="E60" s="153"/>
      <c r="F60" s="88">
        <v>2</v>
      </c>
      <c r="G60" s="88" t="s">
        <v>81</v>
      </c>
      <c r="H60" s="181" t="s">
        <v>82</v>
      </c>
      <c r="I60" s="182"/>
      <c r="J60" s="183"/>
      <c r="K60" s="97" t="s">
        <v>99</v>
      </c>
      <c r="L60" s="88" t="s">
        <v>81</v>
      </c>
      <c r="M60" s="88" t="s">
        <v>81</v>
      </c>
      <c r="N60" s="151"/>
      <c r="O60" s="152"/>
      <c r="P60" s="152"/>
      <c r="Q60" s="152"/>
      <c r="R60" s="153"/>
      <c r="S60" s="88"/>
      <c r="T60" s="88"/>
      <c r="U60" s="181"/>
      <c r="V60" s="182"/>
      <c r="W60" s="183"/>
      <c r="X60" s="94"/>
      <c r="Y60" s="88"/>
      <c r="Z60" s="88"/>
    </row>
    <row r="61" spans="1:26" ht="18" customHeight="1" x14ac:dyDescent="0.2">
      <c r="A61" s="20"/>
      <c r="B61" s="175" t="s">
        <v>129</v>
      </c>
      <c r="C61" s="176"/>
      <c r="D61" s="176"/>
      <c r="E61" s="177"/>
      <c r="F61" s="89">
        <v>2</v>
      </c>
      <c r="G61" s="89" t="s">
        <v>81</v>
      </c>
      <c r="H61" s="184" t="s">
        <v>82</v>
      </c>
      <c r="I61" s="185"/>
      <c r="J61" s="186"/>
      <c r="K61" s="96"/>
      <c r="L61" s="89"/>
      <c r="M61" s="89" t="s">
        <v>81</v>
      </c>
      <c r="N61" s="175"/>
      <c r="O61" s="176"/>
      <c r="P61" s="176"/>
      <c r="Q61" s="176"/>
      <c r="R61" s="177"/>
      <c r="S61" s="89"/>
      <c r="T61" s="89"/>
      <c r="U61" s="184"/>
      <c r="V61" s="185"/>
      <c r="W61" s="186"/>
      <c r="X61" s="92"/>
      <c r="Y61" s="89"/>
      <c r="Z61" s="89"/>
    </row>
    <row r="62" spans="1:26" ht="18" customHeight="1" x14ac:dyDescent="0.2">
      <c r="A62" s="20"/>
      <c r="B62" s="175"/>
      <c r="C62" s="176"/>
      <c r="D62" s="176"/>
      <c r="E62" s="177"/>
      <c r="F62" s="89"/>
      <c r="G62" s="89"/>
      <c r="H62" s="184"/>
      <c r="I62" s="185"/>
      <c r="J62" s="186"/>
      <c r="K62" s="92"/>
      <c r="L62" s="89"/>
      <c r="M62" s="89"/>
      <c r="N62" s="175"/>
      <c r="O62" s="176"/>
      <c r="P62" s="176"/>
      <c r="Q62" s="176"/>
      <c r="R62" s="177"/>
      <c r="S62" s="89"/>
      <c r="T62" s="89"/>
      <c r="U62" s="184"/>
      <c r="V62" s="185"/>
      <c r="W62" s="186"/>
      <c r="X62" s="92"/>
      <c r="Y62" s="89"/>
      <c r="Z62" s="89"/>
    </row>
    <row r="63" spans="1:26" ht="18" customHeight="1" x14ac:dyDescent="0.2">
      <c r="A63" s="20"/>
      <c r="B63" s="175"/>
      <c r="C63" s="176"/>
      <c r="D63" s="176"/>
      <c r="E63" s="177"/>
      <c r="F63" s="89"/>
      <c r="G63" s="89"/>
      <c r="H63" s="184"/>
      <c r="I63" s="185"/>
      <c r="J63" s="186"/>
      <c r="K63" s="92"/>
      <c r="L63" s="89"/>
      <c r="M63" s="89"/>
      <c r="N63" s="175"/>
      <c r="O63" s="176"/>
      <c r="P63" s="176"/>
      <c r="Q63" s="176"/>
      <c r="R63" s="177"/>
      <c r="S63" s="89"/>
      <c r="T63" s="89"/>
      <c r="U63" s="184"/>
      <c r="V63" s="185"/>
      <c r="W63" s="186"/>
      <c r="X63" s="92"/>
      <c r="Y63" s="89"/>
      <c r="Z63" s="89"/>
    </row>
    <row r="64" spans="1:26" ht="18" customHeight="1" x14ac:dyDescent="0.2">
      <c r="A64" s="20"/>
      <c r="B64" s="175"/>
      <c r="C64" s="176"/>
      <c r="D64" s="176"/>
      <c r="E64" s="177"/>
      <c r="F64" s="89"/>
      <c r="G64" s="89"/>
      <c r="H64" s="184"/>
      <c r="I64" s="185"/>
      <c r="J64" s="186"/>
      <c r="K64" s="92"/>
      <c r="L64" s="89"/>
      <c r="M64" s="89"/>
      <c r="N64" s="175"/>
      <c r="O64" s="176"/>
      <c r="P64" s="176"/>
      <c r="Q64" s="176"/>
      <c r="R64" s="177"/>
      <c r="S64" s="89"/>
      <c r="T64" s="89"/>
      <c r="U64" s="184"/>
      <c r="V64" s="185"/>
      <c r="W64" s="186"/>
      <c r="X64" s="92"/>
      <c r="Y64" s="89"/>
      <c r="Z64" s="89"/>
    </row>
    <row r="65" spans="1:26" ht="18" customHeight="1" x14ac:dyDescent="0.2">
      <c r="A65" s="20"/>
      <c r="B65" s="175"/>
      <c r="C65" s="176"/>
      <c r="D65" s="176"/>
      <c r="E65" s="177"/>
      <c r="F65" s="89"/>
      <c r="G65" s="89"/>
      <c r="H65" s="184"/>
      <c r="I65" s="185"/>
      <c r="J65" s="186"/>
      <c r="K65" s="92"/>
      <c r="L65" s="89"/>
      <c r="M65" s="89"/>
      <c r="N65" s="175"/>
      <c r="O65" s="176"/>
      <c r="P65" s="176"/>
      <c r="Q65" s="176"/>
      <c r="R65" s="177"/>
      <c r="S65" s="89"/>
      <c r="T65" s="89"/>
      <c r="U65" s="184"/>
      <c r="V65" s="185"/>
      <c r="W65" s="186"/>
      <c r="X65" s="92"/>
      <c r="Y65" s="89"/>
      <c r="Z65" s="89"/>
    </row>
    <row r="66" spans="1:26" ht="18" customHeight="1" x14ac:dyDescent="0.2">
      <c r="A66" s="20"/>
      <c r="B66" s="201"/>
      <c r="C66" s="202"/>
      <c r="D66" s="202"/>
      <c r="E66" s="203"/>
      <c r="F66" s="90"/>
      <c r="G66" s="90"/>
      <c r="H66" s="193"/>
      <c r="I66" s="194"/>
      <c r="J66" s="195"/>
      <c r="K66" s="93"/>
      <c r="L66" s="95"/>
      <c r="M66" s="95"/>
      <c r="N66" s="201"/>
      <c r="O66" s="202"/>
      <c r="P66" s="202"/>
      <c r="Q66" s="202"/>
      <c r="R66" s="203"/>
      <c r="S66" s="90"/>
      <c r="T66" s="90"/>
      <c r="U66" s="193"/>
      <c r="V66" s="194"/>
      <c r="W66" s="195"/>
      <c r="X66" s="93"/>
      <c r="Y66" s="95"/>
      <c r="Z66" s="95"/>
    </row>
    <row r="67" spans="1:26" ht="7.5" customHeight="1" x14ac:dyDescent="0.2">
      <c r="B67" s="61"/>
      <c r="C67" s="61"/>
      <c r="D67" s="61"/>
      <c r="E67" s="61"/>
      <c r="F67" s="61"/>
      <c r="G67" s="61"/>
      <c r="H67" s="61"/>
      <c r="I67" s="61"/>
      <c r="J67" s="61"/>
      <c r="K67" s="61"/>
      <c r="L67" s="61"/>
      <c r="M67" s="61"/>
      <c r="N67" s="61"/>
      <c r="O67" s="61"/>
      <c r="P67" s="61"/>
      <c r="Q67" s="61"/>
      <c r="R67" s="61"/>
      <c r="S67" s="61"/>
      <c r="T67" s="61"/>
      <c r="U67" s="61"/>
      <c r="V67" s="61"/>
      <c r="W67" s="61"/>
      <c r="X67" s="61"/>
      <c r="Y67" s="61"/>
    </row>
    <row r="68" spans="1:26" ht="18" customHeight="1" x14ac:dyDescent="0.2">
      <c r="A68" s="10" t="s">
        <v>101</v>
      </c>
      <c r="B68" s="10"/>
      <c r="C68" s="10"/>
      <c r="D68" s="10"/>
      <c r="E68" s="10"/>
      <c r="F68" s="10"/>
      <c r="G68" s="10"/>
      <c r="H68" s="10"/>
      <c r="I68" s="10"/>
      <c r="J68" s="10"/>
      <c r="K68" s="10"/>
      <c r="L68" s="20"/>
      <c r="M68" s="20"/>
      <c r="N68" s="20"/>
      <c r="O68" s="20"/>
      <c r="P68" s="20"/>
      <c r="Q68" s="20"/>
      <c r="R68" s="20"/>
      <c r="S68" s="20"/>
      <c r="T68" s="20"/>
      <c r="U68" s="20"/>
      <c r="V68" s="20"/>
      <c r="W68" s="20"/>
      <c r="X68" s="20"/>
      <c r="Y68" s="20"/>
      <c r="Z68" s="20"/>
    </row>
    <row r="69" spans="1:26" ht="18" customHeight="1" x14ac:dyDescent="0.2">
      <c r="A69" s="10"/>
      <c r="B69" s="144" t="s">
        <v>74</v>
      </c>
      <c r="C69" s="146"/>
      <c r="D69" s="146"/>
      <c r="E69" s="146"/>
      <c r="F69" s="145"/>
      <c r="G69" s="144" t="s">
        <v>102</v>
      </c>
      <c r="H69" s="146"/>
      <c r="I69" s="146"/>
      <c r="J69" s="146"/>
      <c r="K69" s="146"/>
      <c r="L69" s="146"/>
      <c r="M69" s="145"/>
      <c r="N69" s="204" t="s">
        <v>74</v>
      </c>
      <c r="O69" s="205"/>
      <c r="P69" s="205"/>
      <c r="Q69" s="205"/>
      <c r="R69" s="205"/>
      <c r="S69" s="206"/>
      <c r="T69" s="144" t="s">
        <v>102</v>
      </c>
      <c r="U69" s="146"/>
      <c r="V69" s="146"/>
      <c r="W69" s="146"/>
      <c r="X69" s="146"/>
      <c r="Y69" s="146"/>
      <c r="Z69" s="145"/>
    </row>
    <row r="70" spans="1:26" ht="18" customHeight="1" x14ac:dyDescent="0.2">
      <c r="A70" s="20"/>
      <c r="B70" s="151"/>
      <c r="C70" s="152"/>
      <c r="D70" s="152"/>
      <c r="E70" s="152"/>
      <c r="F70" s="153"/>
      <c r="G70" s="154"/>
      <c r="H70" s="155"/>
      <c r="I70" s="155"/>
      <c r="J70" s="155"/>
      <c r="K70" s="155"/>
      <c r="L70" s="155"/>
      <c r="M70" s="156"/>
      <c r="N70" s="151"/>
      <c r="O70" s="152"/>
      <c r="P70" s="152"/>
      <c r="Q70" s="152"/>
      <c r="R70" s="152"/>
      <c r="S70" s="153"/>
      <c r="T70" s="154"/>
      <c r="U70" s="155"/>
      <c r="V70" s="155"/>
      <c r="W70" s="155"/>
      <c r="X70" s="155"/>
      <c r="Y70" s="155"/>
      <c r="Z70" s="156"/>
    </row>
    <row r="71" spans="1:26" ht="18" customHeight="1" x14ac:dyDescent="0.2">
      <c r="A71" s="20"/>
      <c r="B71" s="175"/>
      <c r="C71" s="176"/>
      <c r="D71" s="176"/>
      <c r="E71" s="176"/>
      <c r="F71" s="177"/>
      <c r="G71" s="178"/>
      <c r="H71" s="179"/>
      <c r="I71" s="179"/>
      <c r="J71" s="179"/>
      <c r="K71" s="179"/>
      <c r="L71" s="179"/>
      <c r="M71" s="180"/>
      <c r="N71" s="175"/>
      <c r="O71" s="176"/>
      <c r="P71" s="176"/>
      <c r="Q71" s="176"/>
      <c r="R71" s="176"/>
      <c r="S71" s="177"/>
      <c r="T71" s="178"/>
      <c r="U71" s="179"/>
      <c r="V71" s="179"/>
      <c r="W71" s="179"/>
      <c r="X71" s="179"/>
      <c r="Y71" s="179"/>
      <c r="Z71" s="180"/>
    </row>
    <row r="72" spans="1:26" ht="18" customHeight="1" x14ac:dyDescent="0.2">
      <c r="A72" s="20"/>
      <c r="B72" s="201"/>
      <c r="C72" s="202"/>
      <c r="D72" s="202"/>
      <c r="E72" s="202"/>
      <c r="F72" s="203"/>
      <c r="G72" s="219"/>
      <c r="H72" s="220"/>
      <c r="I72" s="220"/>
      <c r="J72" s="220"/>
      <c r="K72" s="220"/>
      <c r="L72" s="220"/>
      <c r="M72" s="221"/>
      <c r="N72" s="201"/>
      <c r="O72" s="202"/>
      <c r="P72" s="202"/>
      <c r="Q72" s="202"/>
      <c r="R72" s="202"/>
      <c r="S72" s="203"/>
      <c r="T72" s="219"/>
      <c r="U72" s="220"/>
      <c r="V72" s="220"/>
      <c r="W72" s="220"/>
      <c r="X72" s="220"/>
      <c r="Y72" s="220"/>
      <c r="Z72" s="221"/>
    </row>
    <row r="73" spans="1:26" ht="18" customHeight="1" x14ac:dyDescent="0.2">
      <c r="A73" s="20"/>
      <c r="B73" s="24"/>
      <c r="C73" s="24"/>
      <c r="D73" s="24"/>
      <c r="E73" s="24"/>
      <c r="F73" s="24"/>
      <c r="G73" s="8"/>
      <c r="H73" s="8"/>
      <c r="I73" s="8"/>
      <c r="J73" s="8"/>
      <c r="K73" s="8"/>
      <c r="L73" s="8"/>
      <c r="M73" s="8"/>
      <c r="N73" s="24"/>
      <c r="O73" s="24"/>
      <c r="P73" s="24"/>
      <c r="Q73" s="24"/>
      <c r="R73" s="24"/>
      <c r="S73" s="24"/>
      <c r="T73" s="8"/>
      <c r="U73" s="8"/>
      <c r="V73" s="8"/>
      <c r="W73" s="8"/>
      <c r="X73" s="8"/>
      <c r="Y73" s="8"/>
      <c r="Z73" s="8"/>
    </row>
    <row r="74" spans="1:26" ht="18.75" customHeight="1" x14ac:dyDescent="0.2">
      <c r="A74" s="9" t="s">
        <v>103</v>
      </c>
    </row>
    <row r="75" spans="1:26" ht="18.75" customHeight="1" x14ac:dyDescent="0.2">
      <c r="B75" s="62" t="s">
        <v>104</v>
      </c>
      <c r="C75" s="63"/>
      <c r="D75" s="168" t="s">
        <v>105</v>
      </c>
      <c r="E75" s="168"/>
      <c r="F75" s="168"/>
      <c r="G75" s="168"/>
      <c r="H75" s="168"/>
      <c r="I75" s="168"/>
      <c r="J75" s="168"/>
      <c r="K75" s="168"/>
      <c r="L75" s="168"/>
      <c r="M75" s="168"/>
      <c r="N75" s="168"/>
      <c r="O75" s="168"/>
      <c r="P75" s="168"/>
      <c r="Q75" s="168"/>
      <c r="R75" s="168"/>
      <c r="S75" s="168"/>
      <c r="T75" s="168"/>
      <c r="U75" s="168"/>
      <c r="V75" s="168"/>
      <c r="W75" s="168"/>
      <c r="X75" s="168"/>
      <c r="Y75" s="168"/>
      <c r="Z75" s="169"/>
    </row>
    <row r="76" spans="1:26" ht="78" customHeight="1" x14ac:dyDescent="0.2">
      <c r="B76" s="162" t="s">
        <v>106</v>
      </c>
      <c r="C76" s="69" t="s">
        <v>78</v>
      </c>
      <c r="D76" s="170" t="s">
        <v>130</v>
      </c>
      <c r="E76" s="171"/>
      <c r="F76" s="171"/>
      <c r="G76" s="171"/>
      <c r="H76" s="171"/>
      <c r="I76" s="171"/>
      <c r="J76" s="171"/>
      <c r="K76" s="171"/>
      <c r="L76" s="171"/>
      <c r="M76" s="171"/>
      <c r="N76" s="171"/>
      <c r="O76" s="171"/>
      <c r="P76" s="171"/>
      <c r="Q76" s="171"/>
      <c r="R76" s="171"/>
      <c r="S76" s="171"/>
      <c r="T76" s="171"/>
      <c r="U76" s="171"/>
      <c r="V76" s="171"/>
      <c r="W76" s="171"/>
      <c r="X76" s="171"/>
      <c r="Y76" s="171"/>
      <c r="Z76" s="172"/>
    </row>
    <row r="77" spans="1:26" ht="78" customHeight="1" x14ac:dyDescent="0.2">
      <c r="B77" s="163"/>
      <c r="C77" s="85" t="s">
        <v>108</v>
      </c>
      <c r="D77" s="223" t="s">
        <v>131</v>
      </c>
      <c r="E77" s="173"/>
      <c r="F77" s="173"/>
      <c r="G77" s="173"/>
      <c r="H77" s="173"/>
      <c r="I77" s="173"/>
      <c r="J77" s="173"/>
      <c r="K77" s="173"/>
      <c r="L77" s="173"/>
      <c r="M77" s="173"/>
      <c r="N77" s="173"/>
      <c r="O77" s="173"/>
      <c r="P77" s="173"/>
      <c r="Q77" s="173"/>
      <c r="R77" s="173"/>
      <c r="S77" s="173"/>
      <c r="T77" s="173"/>
      <c r="U77" s="173"/>
      <c r="V77" s="173"/>
      <c r="W77" s="173"/>
      <c r="X77" s="173"/>
      <c r="Y77" s="173"/>
      <c r="Z77" s="174"/>
    </row>
    <row r="78" spans="1:26" ht="78" customHeight="1" x14ac:dyDescent="0.2">
      <c r="B78" s="160" t="s">
        <v>110</v>
      </c>
      <c r="C78" s="64" t="s">
        <v>86</v>
      </c>
      <c r="D78" s="157" t="s">
        <v>132</v>
      </c>
      <c r="E78" s="158"/>
      <c r="F78" s="158"/>
      <c r="G78" s="158"/>
      <c r="H78" s="158"/>
      <c r="I78" s="158"/>
      <c r="J78" s="158"/>
      <c r="K78" s="158"/>
      <c r="L78" s="158"/>
      <c r="M78" s="158"/>
      <c r="N78" s="158"/>
      <c r="O78" s="158"/>
      <c r="P78" s="158"/>
      <c r="Q78" s="158"/>
      <c r="R78" s="158"/>
      <c r="S78" s="158"/>
      <c r="T78" s="158"/>
      <c r="U78" s="158"/>
      <c r="V78" s="158"/>
      <c r="W78" s="158"/>
      <c r="X78" s="158"/>
      <c r="Y78" s="158"/>
      <c r="Z78" s="159"/>
    </row>
    <row r="79" spans="1:26" ht="78" customHeight="1" x14ac:dyDescent="0.2">
      <c r="B79" s="161"/>
      <c r="C79" s="86" t="s">
        <v>87</v>
      </c>
      <c r="D79" s="165" t="s">
        <v>133</v>
      </c>
      <c r="E79" s="166"/>
      <c r="F79" s="166"/>
      <c r="G79" s="166"/>
      <c r="H79" s="166"/>
      <c r="I79" s="166"/>
      <c r="J79" s="166"/>
      <c r="K79" s="166"/>
      <c r="L79" s="166"/>
      <c r="M79" s="166"/>
      <c r="N79" s="166"/>
      <c r="O79" s="166"/>
      <c r="P79" s="166"/>
      <c r="Q79" s="166"/>
      <c r="R79" s="166"/>
      <c r="S79" s="166"/>
      <c r="T79" s="166"/>
      <c r="U79" s="166"/>
      <c r="V79" s="166"/>
      <c r="W79" s="166"/>
      <c r="X79" s="166"/>
      <c r="Y79" s="166"/>
      <c r="Z79" s="167"/>
    </row>
    <row r="80" spans="1:26" ht="66" customHeight="1" x14ac:dyDescent="0.2">
      <c r="B80" s="160" t="s">
        <v>113</v>
      </c>
      <c r="C80" s="64" t="s">
        <v>89</v>
      </c>
      <c r="D80" s="165" t="s">
        <v>134</v>
      </c>
      <c r="E80" s="166"/>
      <c r="F80" s="166"/>
      <c r="G80" s="166"/>
      <c r="H80" s="166"/>
      <c r="I80" s="166"/>
      <c r="J80" s="166"/>
      <c r="K80" s="166"/>
      <c r="L80" s="166"/>
      <c r="M80" s="166"/>
      <c r="N80" s="166"/>
      <c r="O80" s="166"/>
      <c r="P80" s="166"/>
      <c r="Q80" s="166"/>
      <c r="R80" s="166"/>
      <c r="S80" s="166"/>
      <c r="T80" s="166"/>
      <c r="U80" s="166"/>
      <c r="V80" s="166"/>
      <c r="W80" s="166"/>
      <c r="X80" s="166"/>
      <c r="Y80" s="166"/>
      <c r="Z80" s="167"/>
    </row>
    <row r="81" spans="1:26" ht="66" customHeight="1" x14ac:dyDescent="0.2">
      <c r="B81" s="161"/>
      <c r="C81" s="66" t="s">
        <v>90</v>
      </c>
      <c r="D81" s="165" t="s">
        <v>135</v>
      </c>
      <c r="E81" s="166"/>
      <c r="F81" s="166"/>
      <c r="G81" s="166"/>
      <c r="H81" s="166"/>
      <c r="I81" s="166"/>
      <c r="J81" s="166"/>
      <c r="K81" s="166"/>
      <c r="L81" s="166"/>
      <c r="M81" s="166"/>
      <c r="N81" s="166"/>
      <c r="O81" s="166"/>
      <c r="P81" s="166"/>
      <c r="Q81" s="166"/>
      <c r="R81" s="166"/>
      <c r="S81" s="166"/>
      <c r="T81" s="166"/>
      <c r="U81" s="166"/>
      <c r="V81" s="166"/>
      <c r="W81" s="166"/>
      <c r="X81" s="166"/>
      <c r="Y81" s="166"/>
      <c r="Z81" s="167"/>
    </row>
    <row r="82" spans="1:26" ht="66" customHeight="1" x14ac:dyDescent="0.2">
      <c r="B82" s="162" t="s">
        <v>116</v>
      </c>
      <c r="C82" s="69" t="s">
        <v>93</v>
      </c>
      <c r="D82" s="165" t="s">
        <v>136</v>
      </c>
      <c r="E82" s="166"/>
      <c r="F82" s="166"/>
      <c r="G82" s="166"/>
      <c r="H82" s="166"/>
      <c r="I82" s="166"/>
      <c r="J82" s="166"/>
      <c r="K82" s="166"/>
      <c r="L82" s="166"/>
      <c r="M82" s="166"/>
      <c r="N82" s="166"/>
      <c r="O82" s="166"/>
      <c r="P82" s="166"/>
      <c r="Q82" s="166"/>
      <c r="R82" s="166"/>
      <c r="S82" s="166"/>
      <c r="T82" s="166"/>
      <c r="U82" s="166"/>
      <c r="V82" s="166"/>
      <c r="W82" s="166"/>
      <c r="X82" s="166"/>
      <c r="Y82" s="166"/>
      <c r="Z82" s="167"/>
    </row>
    <row r="83" spans="1:26" ht="66" customHeight="1" x14ac:dyDescent="0.2">
      <c r="B83" s="164"/>
      <c r="C83" s="65" t="s">
        <v>94</v>
      </c>
      <c r="D83" s="165" t="s">
        <v>137</v>
      </c>
      <c r="E83" s="166"/>
      <c r="F83" s="166"/>
      <c r="G83" s="166"/>
      <c r="H83" s="166"/>
      <c r="I83" s="166"/>
      <c r="J83" s="166"/>
      <c r="K83" s="166"/>
      <c r="L83" s="166"/>
      <c r="M83" s="166"/>
      <c r="N83" s="166"/>
      <c r="O83" s="166"/>
      <c r="P83" s="166"/>
      <c r="Q83" s="166"/>
      <c r="R83" s="166"/>
      <c r="S83" s="166"/>
      <c r="T83" s="166"/>
      <c r="U83" s="166"/>
      <c r="V83" s="166"/>
      <c r="W83" s="166"/>
      <c r="X83" s="166"/>
      <c r="Y83" s="166"/>
      <c r="Z83" s="167"/>
    </row>
    <row r="84" spans="1:26" ht="89.25" customHeight="1" x14ac:dyDescent="0.2">
      <c r="B84" s="162" t="s">
        <v>118</v>
      </c>
      <c r="C84" s="64" t="s">
        <v>96</v>
      </c>
      <c r="D84" s="157" t="s">
        <v>138</v>
      </c>
      <c r="E84" s="158"/>
      <c r="F84" s="158"/>
      <c r="G84" s="158"/>
      <c r="H84" s="158"/>
      <c r="I84" s="158"/>
      <c r="J84" s="158"/>
      <c r="K84" s="158"/>
      <c r="L84" s="158"/>
      <c r="M84" s="158"/>
      <c r="N84" s="158"/>
      <c r="O84" s="158"/>
      <c r="P84" s="158"/>
      <c r="Q84" s="158"/>
      <c r="R84" s="158"/>
      <c r="S84" s="158"/>
      <c r="T84" s="158"/>
      <c r="U84" s="158"/>
      <c r="V84" s="158"/>
      <c r="W84" s="158"/>
      <c r="X84" s="158"/>
      <c r="Y84" s="158"/>
      <c r="Z84" s="159"/>
    </row>
    <row r="85" spans="1:26" ht="66" customHeight="1" x14ac:dyDescent="0.2">
      <c r="B85" s="163"/>
      <c r="C85" s="65" t="s">
        <v>97</v>
      </c>
      <c r="D85" s="157" t="s">
        <v>139</v>
      </c>
      <c r="E85" s="158"/>
      <c r="F85" s="158"/>
      <c r="G85" s="158"/>
      <c r="H85" s="158"/>
      <c r="I85" s="158"/>
      <c r="J85" s="158"/>
      <c r="K85" s="158"/>
      <c r="L85" s="158"/>
      <c r="M85" s="158"/>
      <c r="N85" s="158"/>
      <c r="O85" s="158"/>
      <c r="P85" s="158"/>
      <c r="Q85" s="158"/>
      <c r="R85" s="158"/>
      <c r="S85" s="158"/>
      <c r="T85" s="158"/>
      <c r="U85" s="158"/>
      <c r="V85" s="158"/>
      <c r="W85" s="158"/>
      <c r="X85" s="158"/>
      <c r="Y85" s="158"/>
      <c r="Z85" s="159"/>
    </row>
    <row r="86" spans="1:26" ht="66" customHeight="1" x14ac:dyDescent="0.2">
      <c r="B86" s="161"/>
      <c r="C86" s="66" t="s">
        <v>98</v>
      </c>
      <c r="D86" s="157" t="s">
        <v>140</v>
      </c>
      <c r="E86" s="158"/>
      <c r="F86" s="158"/>
      <c r="G86" s="158"/>
      <c r="H86" s="158"/>
      <c r="I86" s="158"/>
      <c r="J86" s="158"/>
      <c r="K86" s="158"/>
      <c r="L86" s="158"/>
      <c r="M86" s="158"/>
      <c r="N86" s="158"/>
      <c r="O86" s="158"/>
      <c r="P86" s="158"/>
      <c r="Q86" s="158"/>
      <c r="R86" s="158"/>
      <c r="S86" s="158"/>
      <c r="T86" s="158"/>
      <c r="U86" s="158"/>
      <c r="V86" s="158"/>
      <c r="W86" s="158"/>
      <c r="X86" s="158"/>
      <c r="Y86" s="158"/>
      <c r="Z86" s="159"/>
    </row>
    <row r="87" spans="1:26" ht="6" customHeight="1" x14ac:dyDescent="0.2"/>
    <row r="88" spans="1:26" ht="18.75" customHeight="1" x14ac:dyDescent="0.2">
      <c r="A88" s="9" t="s">
        <v>121</v>
      </c>
    </row>
    <row r="89" spans="1:26" ht="18.75" customHeight="1" x14ac:dyDescent="0.2">
      <c r="B89" s="207" t="s">
        <v>122</v>
      </c>
      <c r="C89" s="208"/>
      <c r="D89" s="208"/>
      <c r="E89" s="208"/>
      <c r="F89" s="208"/>
      <c r="G89" s="208"/>
      <c r="H89" s="208"/>
      <c r="I89" s="208"/>
      <c r="J89" s="208"/>
      <c r="K89" s="208"/>
      <c r="L89" s="208"/>
      <c r="M89" s="208"/>
      <c r="N89" s="208"/>
      <c r="O89" s="208"/>
      <c r="P89" s="208"/>
      <c r="Q89" s="208"/>
      <c r="R89" s="208"/>
      <c r="S89" s="208"/>
      <c r="T89" s="208"/>
      <c r="U89" s="208"/>
      <c r="V89" s="208"/>
      <c r="W89" s="208"/>
      <c r="X89" s="208"/>
      <c r="Y89" s="208"/>
      <c r="Z89" s="209"/>
    </row>
    <row r="90" spans="1:26" ht="18.75" customHeight="1" x14ac:dyDescent="0.2">
      <c r="B90" s="210"/>
      <c r="C90" s="211"/>
      <c r="D90" s="211"/>
      <c r="E90" s="211"/>
      <c r="F90" s="211"/>
      <c r="G90" s="211"/>
      <c r="H90" s="211"/>
      <c r="I90" s="211"/>
      <c r="J90" s="211"/>
      <c r="K90" s="211"/>
      <c r="L90" s="211"/>
      <c r="M90" s="211"/>
      <c r="N90" s="211"/>
      <c r="O90" s="211"/>
      <c r="P90" s="211"/>
      <c r="Q90" s="211"/>
      <c r="R90" s="211"/>
      <c r="S90" s="211"/>
      <c r="T90" s="211"/>
      <c r="U90" s="211"/>
      <c r="V90" s="211"/>
      <c r="W90" s="211"/>
      <c r="X90" s="211"/>
      <c r="Y90" s="211"/>
      <c r="Z90" s="212"/>
    </row>
    <row r="91" spans="1:26" ht="18.75" customHeight="1" x14ac:dyDescent="0.2">
      <c r="B91" s="213"/>
      <c r="C91" s="214"/>
      <c r="D91" s="214"/>
      <c r="E91" s="214"/>
      <c r="F91" s="214"/>
      <c r="G91" s="214"/>
      <c r="H91" s="214"/>
      <c r="I91" s="214"/>
      <c r="J91" s="214"/>
      <c r="K91" s="214"/>
      <c r="L91" s="214"/>
      <c r="M91" s="214"/>
      <c r="N91" s="214"/>
      <c r="O91" s="214"/>
      <c r="P91" s="214"/>
      <c r="Q91" s="214"/>
      <c r="R91" s="214"/>
      <c r="S91" s="214"/>
      <c r="T91" s="214"/>
      <c r="U91" s="214"/>
      <c r="V91" s="214"/>
      <c r="W91" s="214"/>
      <c r="X91" s="214"/>
      <c r="Y91" s="214"/>
      <c r="Z91" s="215"/>
    </row>
    <row r="92" spans="1:26" ht="6" customHeight="1" x14ac:dyDescent="0.2"/>
    <row r="93" spans="1:26" ht="15" customHeight="1" x14ac:dyDescent="0.2">
      <c r="A93" s="9" t="s">
        <v>123</v>
      </c>
    </row>
    <row r="94" spans="1:26" ht="15" customHeight="1" x14ac:dyDescent="0.2">
      <c r="B94" s="216" t="s">
        <v>124</v>
      </c>
      <c r="C94" s="217"/>
      <c r="D94" s="217"/>
      <c r="E94" s="217"/>
      <c r="F94" s="217"/>
      <c r="G94" s="217"/>
      <c r="H94" s="217"/>
      <c r="I94" s="217"/>
      <c r="J94" s="217"/>
      <c r="K94" s="217"/>
      <c r="L94" s="217"/>
      <c r="M94" s="217"/>
      <c r="N94" s="217"/>
      <c r="O94" s="217"/>
      <c r="P94" s="217"/>
      <c r="Q94" s="217"/>
      <c r="R94" s="217"/>
      <c r="S94" s="217"/>
      <c r="T94" s="217"/>
      <c r="U94" s="217"/>
      <c r="V94" s="217"/>
      <c r="W94" s="217"/>
      <c r="X94" s="217"/>
      <c r="Y94" s="217"/>
      <c r="Z94" s="218"/>
    </row>
  </sheetData>
  <mergeCells count="202">
    <mergeCell ref="B89:Z91"/>
    <mergeCell ref="B94:Z94"/>
    <mergeCell ref="B82:B83"/>
    <mergeCell ref="D82:Z82"/>
    <mergeCell ref="D83:Z83"/>
    <mergeCell ref="B84:B86"/>
    <mergeCell ref="D84:Z84"/>
    <mergeCell ref="D85:Z85"/>
    <mergeCell ref="D86:Z86"/>
    <mergeCell ref="B80:B81"/>
    <mergeCell ref="D80:Z80"/>
    <mergeCell ref="D81:Z81"/>
    <mergeCell ref="B71:F71"/>
    <mergeCell ref="G71:M71"/>
    <mergeCell ref="N71:S71"/>
    <mergeCell ref="T71:Z71"/>
    <mergeCell ref="B72:F72"/>
    <mergeCell ref="G72:M72"/>
    <mergeCell ref="N72:S72"/>
    <mergeCell ref="T72:Z72"/>
    <mergeCell ref="D75:Z75"/>
    <mergeCell ref="B76:B77"/>
    <mergeCell ref="D76:Z76"/>
    <mergeCell ref="D77:Z77"/>
    <mergeCell ref="B78:B79"/>
    <mergeCell ref="D78:Z78"/>
    <mergeCell ref="D79:Z79"/>
    <mergeCell ref="B66:E66"/>
    <mergeCell ref="H66:J66"/>
    <mergeCell ref="N66:R66"/>
    <mergeCell ref="U66:W66"/>
    <mergeCell ref="B69:F69"/>
    <mergeCell ref="G69:M69"/>
    <mergeCell ref="N69:S69"/>
    <mergeCell ref="T69:Z69"/>
    <mergeCell ref="B70:F70"/>
    <mergeCell ref="G70:M70"/>
    <mergeCell ref="N70:S70"/>
    <mergeCell ref="T70:Z70"/>
    <mergeCell ref="B63:E63"/>
    <mergeCell ref="H63:J63"/>
    <mergeCell ref="N63:R63"/>
    <mergeCell ref="U63:W63"/>
    <mergeCell ref="B64:E64"/>
    <mergeCell ref="H64:J64"/>
    <mergeCell ref="N64:R64"/>
    <mergeCell ref="U64:W64"/>
    <mergeCell ref="B65:E65"/>
    <mergeCell ref="H65:J65"/>
    <mergeCell ref="N65:R65"/>
    <mergeCell ref="U65:W65"/>
    <mergeCell ref="A57:Z58"/>
    <mergeCell ref="B59:E59"/>
    <mergeCell ref="N59:R59"/>
    <mergeCell ref="B60:E60"/>
    <mergeCell ref="H60:J60"/>
    <mergeCell ref="N60:R60"/>
    <mergeCell ref="U60:W60"/>
    <mergeCell ref="B62:E62"/>
    <mergeCell ref="H62:J62"/>
    <mergeCell ref="N62:R62"/>
    <mergeCell ref="U62:W62"/>
    <mergeCell ref="B61:E61"/>
    <mergeCell ref="H61:J61"/>
    <mergeCell ref="N61:R61"/>
    <mergeCell ref="U61:W61"/>
    <mergeCell ref="B51:F51"/>
    <mergeCell ref="I51:K51"/>
    <mergeCell ref="N51:S51"/>
    <mergeCell ref="V51:X51"/>
    <mergeCell ref="B52:F52"/>
    <mergeCell ref="I52:K52"/>
    <mergeCell ref="N52:S52"/>
    <mergeCell ref="V52:X52"/>
    <mergeCell ref="B53:F53"/>
    <mergeCell ref="I53:K53"/>
    <mergeCell ref="N53:S53"/>
    <mergeCell ref="V53:X53"/>
    <mergeCell ref="B54:F54"/>
    <mergeCell ref="I54:K54"/>
    <mergeCell ref="N54:S54"/>
    <mergeCell ref="V54:X54"/>
    <mergeCell ref="B55:F55"/>
    <mergeCell ref="I55:K55"/>
    <mergeCell ref="N55:S55"/>
    <mergeCell ref="V55:X55"/>
    <mergeCell ref="B44:F44"/>
    <mergeCell ref="I44:K44"/>
    <mergeCell ref="N44:S44"/>
    <mergeCell ref="V44:X44"/>
    <mergeCell ref="A46:Z47"/>
    <mergeCell ref="B48:F48"/>
    <mergeCell ref="I48:K48"/>
    <mergeCell ref="N48:S48"/>
    <mergeCell ref="V48:X48"/>
    <mergeCell ref="B49:F49"/>
    <mergeCell ref="I49:K49"/>
    <mergeCell ref="N49:S49"/>
    <mergeCell ref="V49:X49"/>
    <mergeCell ref="B50:F50"/>
    <mergeCell ref="I50:K50"/>
    <mergeCell ref="N50:S50"/>
    <mergeCell ref="V50:X50"/>
    <mergeCell ref="B40:F40"/>
    <mergeCell ref="I40:K40"/>
    <mergeCell ref="N40:S40"/>
    <mergeCell ref="V40:X40"/>
    <mergeCell ref="B41:F41"/>
    <mergeCell ref="I41:K41"/>
    <mergeCell ref="N41:S41"/>
    <mergeCell ref="V41:X41"/>
    <mergeCell ref="B42:F42"/>
    <mergeCell ref="I42:K42"/>
    <mergeCell ref="N42:S42"/>
    <mergeCell ref="V42:X42"/>
    <mergeCell ref="B43:F43"/>
    <mergeCell ref="I43:K43"/>
    <mergeCell ref="N43:S43"/>
    <mergeCell ref="V43:X43"/>
    <mergeCell ref="B33:F33"/>
    <mergeCell ref="I33:K33"/>
    <mergeCell ref="N33:S33"/>
    <mergeCell ref="V33:X33"/>
    <mergeCell ref="A35:Z36"/>
    <mergeCell ref="B37:F37"/>
    <mergeCell ref="I37:K37"/>
    <mergeCell ref="N37:S37"/>
    <mergeCell ref="V37:X37"/>
    <mergeCell ref="B38:F38"/>
    <mergeCell ref="I38:K38"/>
    <mergeCell ref="N38:S38"/>
    <mergeCell ref="V38:X38"/>
    <mergeCell ref="B39:F39"/>
    <mergeCell ref="I39:K39"/>
    <mergeCell ref="N39:S39"/>
    <mergeCell ref="V39:X39"/>
    <mergeCell ref="B29:F29"/>
    <mergeCell ref="I29:K29"/>
    <mergeCell ref="N29:S29"/>
    <mergeCell ref="V29:X29"/>
    <mergeCell ref="B30:F30"/>
    <mergeCell ref="I30:K30"/>
    <mergeCell ref="N30:S30"/>
    <mergeCell ref="V30:X30"/>
    <mergeCell ref="B31:F31"/>
    <mergeCell ref="I31:K31"/>
    <mergeCell ref="N31:S31"/>
    <mergeCell ref="V31:X31"/>
    <mergeCell ref="B32:F32"/>
    <mergeCell ref="I32:K32"/>
    <mergeCell ref="N32:S32"/>
    <mergeCell ref="V32:X32"/>
    <mergeCell ref="B22:F22"/>
    <mergeCell ref="I22:K22"/>
    <mergeCell ref="N22:S22"/>
    <mergeCell ref="V22:X22"/>
    <mergeCell ref="A24:Z25"/>
    <mergeCell ref="B26:F26"/>
    <mergeCell ref="I26:K26"/>
    <mergeCell ref="N26:S26"/>
    <mergeCell ref="V26:X26"/>
    <mergeCell ref="B27:F27"/>
    <mergeCell ref="I27:K27"/>
    <mergeCell ref="N27:S27"/>
    <mergeCell ref="V27:X27"/>
    <mergeCell ref="B28:F28"/>
    <mergeCell ref="I28:K28"/>
    <mergeCell ref="N28:S28"/>
    <mergeCell ref="V28:X28"/>
    <mergeCell ref="B18:F18"/>
    <mergeCell ref="I18:K18"/>
    <mergeCell ref="N18:S18"/>
    <mergeCell ref="V18:X18"/>
    <mergeCell ref="B19:F19"/>
    <mergeCell ref="I19:K19"/>
    <mergeCell ref="N19:S19"/>
    <mergeCell ref="V19:X19"/>
    <mergeCell ref="B20:F20"/>
    <mergeCell ref="I20:K20"/>
    <mergeCell ref="N20:S20"/>
    <mergeCell ref="V20:X20"/>
    <mergeCell ref="B21:F21"/>
    <mergeCell ref="I21:K21"/>
    <mergeCell ref="N21:S21"/>
    <mergeCell ref="V21:X21"/>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Y16:Z22 L16:M22 Y27:Z33 Y38:Z44 L49:M55 Y49:Z55 Y60:Z66 L60:M66 T60:T66 U16:U22 H16:H22 U27:U33 L27:M33 U38:U44 H49:H55 U49:U55 G60:G66 H27:H33 H38:H44 L38:M44">
      <formula1>"○"</formula1>
    </dataValidation>
    <dataValidation type="list" allowBlank="1" showInputMessage="1" showErrorMessage="1" sqref="Z23 Z34 D34:K34 D23:K23 V16:V22 H60:H66 V27:V33 I16:I22 V38:V44 I27:I33 V49:V55 I49:I55 U60:U66 I38:I44">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T70:Z73 G70:M73">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89" orientation="landscape" r:id="rId1"/>
  <rowBreaks count="3" manualBreakCount="3">
    <brk id="34" max="25" man="1"/>
    <brk id="67" max="25" man="1"/>
    <brk id="81"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zoomScaleNormal="100" zoomScaleSheetLayoutView="100" workbookViewId="0">
      <selection activeCell="F20" sqref="F20"/>
    </sheetView>
  </sheetViews>
  <sheetFormatPr defaultColWidth="9" defaultRowHeight="18.75" customHeight="1" x14ac:dyDescent="0.2"/>
  <cols>
    <col min="1" max="1" width="2.7265625" style="1" customWidth="1"/>
    <col min="2" max="2" width="30" style="1" customWidth="1"/>
    <col min="3" max="17" width="6.08984375" style="1" customWidth="1"/>
    <col min="18" max="18" width="6.6328125" style="1" customWidth="1"/>
    <col min="19" max="16384" width="9" style="1"/>
  </cols>
  <sheetData>
    <row r="1" spans="1:20" ht="18" customHeight="1" x14ac:dyDescent="0.2">
      <c r="F1" s="224" t="s">
        <v>141</v>
      </c>
      <c r="G1" s="224"/>
      <c r="H1" s="224"/>
      <c r="I1" s="224"/>
      <c r="J1" s="224"/>
      <c r="K1" s="224"/>
      <c r="L1" s="224"/>
      <c r="M1" s="224"/>
      <c r="N1" s="224"/>
      <c r="O1" s="224"/>
      <c r="P1" s="224"/>
      <c r="Q1" s="224"/>
      <c r="R1" s="224"/>
    </row>
    <row r="2" spans="1:20" ht="18" customHeight="1" x14ac:dyDescent="0.2">
      <c r="A2" s="225" t="s">
        <v>142</v>
      </c>
      <c r="B2" s="225"/>
      <c r="C2" s="225"/>
      <c r="D2" s="225"/>
      <c r="E2" s="225"/>
      <c r="F2" s="225"/>
      <c r="G2" s="225"/>
      <c r="H2" s="225"/>
      <c r="I2" s="225"/>
      <c r="J2" s="225"/>
      <c r="K2" s="225"/>
      <c r="L2" s="225"/>
      <c r="M2" s="225"/>
      <c r="N2" s="225"/>
      <c r="O2" s="225"/>
      <c r="P2" s="225"/>
      <c r="Q2" s="225"/>
      <c r="R2" s="225"/>
      <c r="S2" s="3"/>
    </row>
    <row r="3" spans="1:20" ht="7.5" customHeight="1" x14ac:dyDescent="0.2">
      <c r="A3" s="25"/>
      <c r="B3" s="25"/>
      <c r="C3" s="25"/>
      <c r="D3" s="25"/>
      <c r="E3" s="25"/>
      <c r="F3" s="25"/>
      <c r="G3" s="25"/>
      <c r="H3" s="25"/>
      <c r="I3" s="25"/>
      <c r="J3" s="25"/>
      <c r="K3" s="25"/>
      <c r="L3" s="25"/>
      <c r="M3" s="25"/>
      <c r="N3" s="25"/>
      <c r="O3" s="25"/>
      <c r="P3" s="25"/>
      <c r="Q3" s="25"/>
      <c r="R3" s="25"/>
    </row>
    <row r="4" spans="1:20" ht="18" customHeight="1" x14ac:dyDescent="0.2">
      <c r="A4" s="3" t="s">
        <v>143</v>
      </c>
      <c r="B4" s="3"/>
      <c r="C4" s="226" t="str">
        <f>'様式１　大学等概要'!E12</f>
        <v>令和2年度</v>
      </c>
      <c r="D4" s="227"/>
      <c r="E4" s="25" t="s">
        <v>20</v>
      </c>
      <c r="F4" s="25"/>
      <c r="G4" s="25"/>
      <c r="H4" s="25"/>
      <c r="I4" s="25"/>
      <c r="J4" s="70"/>
      <c r="K4" s="25"/>
      <c r="L4" s="25"/>
      <c r="M4" s="34"/>
      <c r="N4" s="34"/>
      <c r="O4" s="34"/>
      <c r="P4" s="34"/>
      <c r="Q4" s="34"/>
      <c r="R4" s="34"/>
    </row>
    <row r="5" spans="1:20" ht="6" customHeight="1" x14ac:dyDescent="0.2">
      <c r="A5" s="25"/>
      <c r="B5" s="25"/>
      <c r="C5" s="25"/>
      <c r="D5" s="25"/>
      <c r="E5" s="25"/>
      <c r="F5" s="25"/>
      <c r="G5" s="25"/>
      <c r="H5" s="25"/>
      <c r="I5" s="25"/>
      <c r="J5" s="25"/>
      <c r="K5" s="25"/>
      <c r="L5" s="25"/>
      <c r="M5" s="25"/>
      <c r="N5" s="25"/>
      <c r="O5" s="25"/>
      <c r="P5" s="25"/>
      <c r="Q5" s="25"/>
      <c r="R5" s="25"/>
    </row>
    <row r="6" spans="1:20" ht="18" customHeight="1" x14ac:dyDescent="0.2">
      <c r="A6" s="3" t="s">
        <v>144</v>
      </c>
      <c r="B6" s="25"/>
      <c r="C6" s="25"/>
      <c r="D6" s="25"/>
      <c r="E6" s="25"/>
      <c r="F6" s="25"/>
      <c r="G6" s="25"/>
      <c r="H6" s="25"/>
      <c r="I6" s="25"/>
      <c r="J6" s="25"/>
      <c r="K6" s="25"/>
      <c r="L6" s="25"/>
      <c r="M6" s="25"/>
      <c r="N6" s="25"/>
      <c r="O6" s="25"/>
      <c r="P6" s="25"/>
      <c r="Q6" s="25"/>
      <c r="R6" s="25"/>
    </row>
    <row r="7" spans="1:20" ht="6" customHeight="1" x14ac:dyDescent="0.2">
      <c r="A7" s="3"/>
      <c r="B7" s="25"/>
      <c r="C7" s="25"/>
      <c r="D7" s="25"/>
      <c r="E7" s="25"/>
      <c r="F7" s="25"/>
      <c r="G7" s="25"/>
      <c r="H7" s="25"/>
      <c r="I7" s="25"/>
      <c r="J7" s="25"/>
      <c r="K7" s="25"/>
      <c r="L7" s="25"/>
      <c r="M7" s="25"/>
      <c r="N7" s="25"/>
      <c r="O7" s="25"/>
      <c r="P7" s="25"/>
      <c r="Q7" s="25"/>
      <c r="R7" s="25"/>
    </row>
    <row r="8" spans="1:20" ht="18" customHeight="1" x14ac:dyDescent="0.2">
      <c r="B8" s="228" t="s">
        <v>145</v>
      </c>
      <c r="C8" s="230" t="s">
        <v>146</v>
      </c>
      <c r="D8" s="232" t="s">
        <v>147</v>
      </c>
      <c r="E8" s="234" t="s">
        <v>148</v>
      </c>
      <c r="F8" s="234"/>
      <c r="G8" s="234" t="s">
        <v>149</v>
      </c>
      <c r="H8" s="234"/>
      <c r="I8" s="234" t="s">
        <v>150</v>
      </c>
      <c r="J8" s="234"/>
      <c r="K8" s="235" t="s">
        <v>151</v>
      </c>
      <c r="L8" s="236"/>
      <c r="M8" s="235" t="s">
        <v>152</v>
      </c>
      <c r="N8" s="236"/>
      <c r="O8" s="235" t="s">
        <v>153</v>
      </c>
      <c r="P8" s="236"/>
      <c r="Q8" s="237" t="s">
        <v>154</v>
      </c>
      <c r="R8" s="239" t="s">
        <v>155</v>
      </c>
      <c r="T8" s="23"/>
    </row>
    <row r="9" spans="1:20" ht="18" customHeight="1" x14ac:dyDescent="0.2">
      <c r="A9" s="3"/>
      <c r="B9" s="229"/>
      <c r="C9" s="231"/>
      <c r="D9" s="233"/>
      <c r="E9" s="30" t="s">
        <v>156</v>
      </c>
      <c r="F9" s="31" t="s">
        <v>157</v>
      </c>
      <c r="G9" s="32" t="s">
        <v>156</v>
      </c>
      <c r="H9" s="33" t="s">
        <v>157</v>
      </c>
      <c r="I9" s="30" t="s">
        <v>156</v>
      </c>
      <c r="J9" s="31" t="s">
        <v>157</v>
      </c>
      <c r="K9" s="32" t="s">
        <v>156</v>
      </c>
      <c r="L9" s="33" t="s">
        <v>157</v>
      </c>
      <c r="M9" s="30" t="s">
        <v>156</v>
      </c>
      <c r="N9" s="31" t="s">
        <v>157</v>
      </c>
      <c r="O9" s="32" t="s">
        <v>156</v>
      </c>
      <c r="P9" s="33" t="s">
        <v>157</v>
      </c>
      <c r="Q9" s="238"/>
      <c r="R9" s="240"/>
      <c r="T9" s="23"/>
    </row>
    <row r="10" spans="1:20" ht="18" customHeight="1" x14ac:dyDescent="0.2">
      <c r="A10" s="34"/>
      <c r="B10" s="71" t="s">
        <v>158</v>
      </c>
      <c r="C10" s="24">
        <v>40</v>
      </c>
      <c r="D10" s="114">
        <v>200</v>
      </c>
      <c r="E10" s="115">
        <v>41</v>
      </c>
      <c r="F10" s="116">
        <v>0</v>
      </c>
      <c r="G10" s="117">
        <v>42</v>
      </c>
      <c r="H10" s="118">
        <v>0</v>
      </c>
      <c r="I10" s="115">
        <v>0</v>
      </c>
      <c r="J10" s="116">
        <v>0</v>
      </c>
      <c r="K10" s="117">
        <v>0</v>
      </c>
      <c r="L10" s="118">
        <v>0</v>
      </c>
      <c r="M10" s="115">
        <v>0</v>
      </c>
      <c r="N10" s="116">
        <v>0</v>
      </c>
      <c r="O10" s="117">
        <v>0</v>
      </c>
      <c r="P10" s="118">
        <v>0</v>
      </c>
      <c r="Q10" s="40">
        <f>E10+G10+I10+K10+M10+O10</f>
        <v>83</v>
      </c>
      <c r="R10" s="41">
        <f>Q10/D10</f>
        <v>0.41499999999999998</v>
      </c>
    </row>
    <row r="11" spans="1:20" ht="18" customHeight="1" x14ac:dyDescent="0.2">
      <c r="A11" s="34"/>
      <c r="B11" s="72" t="s">
        <v>159</v>
      </c>
      <c r="C11" s="111">
        <v>40</v>
      </c>
      <c r="D11" s="110">
        <v>200</v>
      </c>
      <c r="E11" s="119">
        <v>42</v>
      </c>
      <c r="F11" s="120">
        <v>0</v>
      </c>
      <c r="G11" s="121">
        <v>42</v>
      </c>
      <c r="H11" s="122">
        <v>0</v>
      </c>
      <c r="I11" s="119">
        <v>0</v>
      </c>
      <c r="J11" s="120">
        <v>0</v>
      </c>
      <c r="K11" s="121">
        <v>0</v>
      </c>
      <c r="L11" s="122">
        <v>0</v>
      </c>
      <c r="M11" s="119">
        <v>0</v>
      </c>
      <c r="N11" s="120">
        <v>0</v>
      </c>
      <c r="O11" s="121">
        <v>0</v>
      </c>
      <c r="P11" s="122">
        <v>0</v>
      </c>
      <c r="Q11" s="48">
        <f t="shared" ref="Q11:Q29" si="0">E11+G11+I11+K11+M11+O11</f>
        <v>84</v>
      </c>
      <c r="R11" s="49">
        <f t="shared" ref="R11:R29" si="1">Q11/D11</f>
        <v>0.42</v>
      </c>
    </row>
    <row r="12" spans="1:20" ht="18" customHeight="1" x14ac:dyDescent="0.2">
      <c r="A12" s="34"/>
      <c r="B12" s="72" t="s">
        <v>160</v>
      </c>
      <c r="C12" s="111">
        <v>40</v>
      </c>
      <c r="D12" s="110">
        <v>200</v>
      </c>
      <c r="E12" s="119">
        <v>42</v>
      </c>
      <c r="F12" s="120">
        <v>0</v>
      </c>
      <c r="G12" s="121">
        <v>42</v>
      </c>
      <c r="H12" s="122">
        <v>0</v>
      </c>
      <c r="I12" s="119">
        <v>0</v>
      </c>
      <c r="J12" s="120">
        <v>0</v>
      </c>
      <c r="K12" s="121">
        <v>0</v>
      </c>
      <c r="L12" s="122">
        <v>0</v>
      </c>
      <c r="M12" s="119">
        <v>0</v>
      </c>
      <c r="N12" s="120">
        <v>0</v>
      </c>
      <c r="O12" s="121">
        <v>0</v>
      </c>
      <c r="P12" s="122">
        <v>0</v>
      </c>
      <c r="Q12" s="48">
        <f t="shared" si="0"/>
        <v>84</v>
      </c>
      <c r="R12" s="49">
        <f t="shared" si="1"/>
        <v>0.42</v>
      </c>
    </row>
    <row r="13" spans="1:20" ht="18" customHeight="1" x14ac:dyDescent="0.2">
      <c r="A13" s="34"/>
      <c r="B13" s="72" t="s">
        <v>161</v>
      </c>
      <c r="C13" s="111">
        <v>40</v>
      </c>
      <c r="D13" s="110">
        <v>200</v>
      </c>
      <c r="E13" s="119">
        <v>40</v>
      </c>
      <c r="F13" s="120">
        <v>0</v>
      </c>
      <c r="G13" s="121">
        <v>42</v>
      </c>
      <c r="H13" s="122">
        <v>0</v>
      </c>
      <c r="I13" s="119">
        <v>0</v>
      </c>
      <c r="J13" s="120">
        <v>0</v>
      </c>
      <c r="K13" s="121">
        <v>0</v>
      </c>
      <c r="L13" s="122">
        <v>0</v>
      </c>
      <c r="M13" s="119">
        <v>0</v>
      </c>
      <c r="N13" s="120">
        <v>0</v>
      </c>
      <c r="O13" s="121">
        <v>0</v>
      </c>
      <c r="P13" s="122">
        <v>0</v>
      </c>
      <c r="Q13" s="48">
        <f t="shared" si="0"/>
        <v>82</v>
      </c>
      <c r="R13" s="49">
        <f t="shared" si="1"/>
        <v>0.41</v>
      </c>
    </row>
    <row r="14" spans="1:20" ht="18" customHeight="1" x14ac:dyDescent="0.2">
      <c r="A14" s="34"/>
      <c r="B14" s="72" t="s">
        <v>162</v>
      </c>
      <c r="C14" s="111">
        <v>40</v>
      </c>
      <c r="D14" s="110">
        <v>200</v>
      </c>
      <c r="E14" s="119">
        <v>40</v>
      </c>
      <c r="F14" s="120">
        <v>0</v>
      </c>
      <c r="G14" s="121">
        <v>0</v>
      </c>
      <c r="H14" s="122">
        <v>0</v>
      </c>
      <c r="I14" s="119">
        <v>0</v>
      </c>
      <c r="J14" s="120">
        <v>0</v>
      </c>
      <c r="K14" s="121">
        <v>0</v>
      </c>
      <c r="L14" s="122">
        <v>0</v>
      </c>
      <c r="M14" s="119">
        <v>0</v>
      </c>
      <c r="N14" s="120">
        <v>0</v>
      </c>
      <c r="O14" s="121">
        <v>0</v>
      </c>
      <c r="P14" s="122">
        <v>0</v>
      </c>
      <c r="Q14" s="48">
        <f t="shared" si="0"/>
        <v>40</v>
      </c>
      <c r="R14" s="49">
        <f t="shared" si="1"/>
        <v>0.2</v>
      </c>
    </row>
    <row r="15" spans="1:20" ht="18" customHeight="1" x14ac:dyDescent="0.2">
      <c r="A15" s="34"/>
      <c r="B15" s="72" t="s">
        <v>163</v>
      </c>
      <c r="C15" s="111">
        <v>40</v>
      </c>
      <c r="D15" s="110">
        <v>200</v>
      </c>
      <c r="E15" s="119">
        <v>43</v>
      </c>
      <c r="F15" s="120">
        <v>0</v>
      </c>
      <c r="G15" s="121">
        <v>0</v>
      </c>
      <c r="H15" s="122">
        <v>0</v>
      </c>
      <c r="I15" s="119">
        <v>0</v>
      </c>
      <c r="J15" s="120">
        <v>0</v>
      </c>
      <c r="K15" s="121">
        <v>0</v>
      </c>
      <c r="L15" s="122">
        <v>0</v>
      </c>
      <c r="M15" s="119">
        <v>0</v>
      </c>
      <c r="N15" s="120">
        <v>0</v>
      </c>
      <c r="O15" s="121">
        <v>0</v>
      </c>
      <c r="P15" s="122">
        <v>0</v>
      </c>
      <c r="Q15" s="48">
        <f t="shared" si="0"/>
        <v>43</v>
      </c>
      <c r="R15" s="49">
        <f t="shared" si="1"/>
        <v>0.215</v>
      </c>
    </row>
    <row r="16" spans="1:20" ht="18" customHeight="1" x14ac:dyDescent="0.2">
      <c r="A16" s="34"/>
      <c r="B16" s="72" t="s">
        <v>164</v>
      </c>
      <c r="C16" s="111">
        <v>40</v>
      </c>
      <c r="D16" s="110">
        <v>200</v>
      </c>
      <c r="E16" s="119">
        <v>43</v>
      </c>
      <c r="F16" s="120">
        <v>0</v>
      </c>
      <c r="G16" s="121">
        <v>0</v>
      </c>
      <c r="H16" s="122">
        <v>0</v>
      </c>
      <c r="I16" s="119">
        <v>0</v>
      </c>
      <c r="J16" s="120">
        <v>0</v>
      </c>
      <c r="K16" s="121">
        <v>0</v>
      </c>
      <c r="L16" s="122">
        <v>0</v>
      </c>
      <c r="M16" s="119">
        <v>0</v>
      </c>
      <c r="N16" s="120">
        <v>0</v>
      </c>
      <c r="O16" s="121">
        <v>0</v>
      </c>
      <c r="P16" s="122">
        <v>0</v>
      </c>
      <c r="Q16" s="48">
        <f t="shared" si="0"/>
        <v>43</v>
      </c>
      <c r="R16" s="49">
        <f t="shared" si="1"/>
        <v>0.215</v>
      </c>
    </row>
    <row r="17" spans="1:18" ht="18" customHeight="1" x14ac:dyDescent="0.2">
      <c r="A17" s="34"/>
      <c r="B17" s="72"/>
      <c r="C17" s="50"/>
      <c r="D17" s="43"/>
      <c r="E17" s="44"/>
      <c r="F17" s="45"/>
      <c r="G17" s="46"/>
      <c r="H17" s="47"/>
      <c r="I17" s="44"/>
      <c r="J17" s="45"/>
      <c r="K17" s="46"/>
      <c r="L17" s="47"/>
      <c r="M17" s="44"/>
      <c r="N17" s="45"/>
      <c r="O17" s="46"/>
      <c r="P17" s="47"/>
      <c r="Q17" s="48">
        <f t="shared" si="0"/>
        <v>0</v>
      </c>
      <c r="R17" s="49" t="e">
        <f t="shared" si="1"/>
        <v>#DIV/0!</v>
      </c>
    </row>
    <row r="18" spans="1:18" ht="18" customHeight="1" x14ac:dyDescent="0.2">
      <c r="A18" s="34"/>
      <c r="B18" s="72"/>
      <c r="C18" s="50"/>
      <c r="D18" s="43"/>
      <c r="E18" s="44"/>
      <c r="F18" s="45"/>
      <c r="G18" s="46"/>
      <c r="H18" s="47"/>
      <c r="I18" s="44"/>
      <c r="J18" s="45"/>
      <c r="K18" s="46"/>
      <c r="L18" s="47"/>
      <c r="M18" s="44"/>
      <c r="N18" s="45"/>
      <c r="O18" s="46"/>
      <c r="P18" s="47"/>
      <c r="Q18" s="48">
        <f>E18+G18+I18+K18+M18+O18</f>
        <v>0</v>
      </c>
      <c r="R18" s="49" t="e">
        <f t="shared" si="1"/>
        <v>#DIV/0!</v>
      </c>
    </row>
    <row r="19" spans="1:18" ht="18" customHeight="1" x14ac:dyDescent="0.2">
      <c r="A19" s="34"/>
      <c r="B19" s="72"/>
      <c r="C19" s="50"/>
      <c r="D19" s="43"/>
      <c r="E19" s="44"/>
      <c r="F19" s="45"/>
      <c r="G19" s="46"/>
      <c r="H19" s="47"/>
      <c r="I19" s="44"/>
      <c r="J19" s="45"/>
      <c r="K19" s="46"/>
      <c r="L19" s="47"/>
      <c r="M19" s="44"/>
      <c r="N19" s="45"/>
      <c r="O19" s="46"/>
      <c r="P19" s="47"/>
      <c r="Q19" s="48">
        <f t="shared" si="0"/>
        <v>0</v>
      </c>
      <c r="R19" s="49" t="e">
        <f t="shared" si="1"/>
        <v>#DIV/0!</v>
      </c>
    </row>
    <row r="20" spans="1:18" ht="18" customHeight="1" x14ac:dyDescent="0.2">
      <c r="A20" s="34"/>
      <c r="B20" s="72"/>
      <c r="C20" s="50"/>
      <c r="D20" s="43"/>
      <c r="E20" s="44"/>
      <c r="F20" s="45"/>
      <c r="G20" s="46"/>
      <c r="H20" s="47"/>
      <c r="I20" s="44"/>
      <c r="J20" s="45"/>
      <c r="K20" s="46"/>
      <c r="L20" s="47"/>
      <c r="M20" s="44"/>
      <c r="N20" s="45"/>
      <c r="O20" s="46"/>
      <c r="P20" s="47"/>
      <c r="Q20" s="48">
        <f t="shared" si="0"/>
        <v>0</v>
      </c>
      <c r="R20" s="49" t="e">
        <f t="shared" si="1"/>
        <v>#DIV/0!</v>
      </c>
    </row>
    <row r="21" spans="1:18" ht="18" customHeight="1" x14ac:dyDescent="0.2">
      <c r="A21" s="34"/>
      <c r="B21" s="72"/>
      <c r="C21" s="50"/>
      <c r="D21" s="43"/>
      <c r="E21" s="44"/>
      <c r="F21" s="45"/>
      <c r="G21" s="46"/>
      <c r="H21" s="47"/>
      <c r="I21" s="44"/>
      <c r="J21" s="45"/>
      <c r="K21" s="46"/>
      <c r="L21" s="47"/>
      <c r="M21" s="44"/>
      <c r="N21" s="45"/>
      <c r="O21" s="46"/>
      <c r="P21" s="47"/>
      <c r="Q21" s="48">
        <f t="shared" si="0"/>
        <v>0</v>
      </c>
      <c r="R21" s="49" t="e">
        <f t="shared" si="1"/>
        <v>#DIV/0!</v>
      </c>
    </row>
    <row r="22" spans="1:18" ht="18" customHeight="1" x14ac:dyDescent="0.2">
      <c r="A22" s="34"/>
      <c r="B22" s="72"/>
      <c r="C22" s="50"/>
      <c r="D22" s="43"/>
      <c r="E22" s="44"/>
      <c r="F22" s="45"/>
      <c r="G22" s="46"/>
      <c r="H22" s="47"/>
      <c r="I22" s="44"/>
      <c r="J22" s="45"/>
      <c r="K22" s="46"/>
      <c r="L22" s="47"/>
      <c r="M22" s="44"/>
      <c r="N22" s="45"/>
      <c r="O22" s="46"/>
      <c r="P22" s="47"/>
      <c r="Q22" s="48">
        <f t="shared" si="0"/>
        <v>0</v>
      </c>
      <c r="R22" s="49" t="e">
        <f t="shared" si="1"/>
        <v>#DIV/0!</v>
      </c>
    </row>
    <row r="23" spans="1:18" ht="18" customHeight="1" x14ac:dyDescent="0.2">
      <c r="A23" s="34"/>
      <c r="B23" s="72"/>
      <c r="C23" s="50"/>
      <c r="D23" s="43"/>
      <c r="E23" s="44"/>
      <c r="F23" s="45"/>
      <c r="G23" s="46"/>
      <c r="H23" s="47"/>
      <c r="I23" s="44"/>
      <c r="J23" s="45"/>
      <c r="K23" s="46"/>
      <c r="L23" s="47"/>
      <c r="M23" s="44"/>
      <c r="N23" s="45"/>
      <c r="O23" s="46"/>
      <c r="P23" s="47"/>
      <c r="Q23" s="48">
        <f t="shared" si="0"/>
        <v>0</v>
      </c>
      <c r="R23" s="49" t="e">
        <f t="shared" si="1"/>
        <v>#DIV/0!</v>
      </c>
    </row>
    <row r="24" spans="1:18" ht="18" customHeight="1" x14ac:dyDescent="0.2">
      <c r="A24" s="34"/>
      <c r="B24" s="72"/>
      <c r="C24" s="50"/>
      <c r="D24" s="43"/>
      <c r="E24" s="44"/>
      <c r="F24" s="45"/>
      <c r="G24" s="46"/>
      <c r="H24" s="47"/>
      <c r="I24" s="44"/>
      <c r="J24" s="45"/>
      <c r="K24" s="46"/>
      <c r="L24" s="47"/>
      <c r="M24" s="44"/>
      <c r="N24" s="45"/>
      <c r="O24" s="46"/>
      <c r="P24" s="47"/>
      <c r="Q24" s="48">
        <f t="shared" si="0"/>
        <v>0</v>
      </c>
      <c r="R24" s="49" t="e">
        <f t="shared" si="1"/>
        <v>#DIV/0!</v>
      </c>
    </row>
    <row r="25" spans="1:18" ht="18" customHeight="1" x14ac:dyDescent="0.2">
      <c r="A25" s="34"/>
      <c r="B25" s="72"/>
      <c r="C25" s="50"/>
      <c r="D25" s="43"/>
      <c r="E25" s="44"/>
      <c r="F25" s="45"/>
      <c r="G25" s="46"/>
      <c r="H25" s="47"/>
      <c r="I25" s="44"/>
      <c r="J25" s="45"/>
      <c r="K25" s="46"/>
      <c r="L25" s="47"/>
      <c r="M25" s="44"/>
      <c r="N25" s="45"/>
      <c r="O25" s="46"/>
      <c r="P25" s="47"/>
      <c r="Q25" s="48">
        <f t="shared" si="0"/>
        <v>0</v>
      </c>
      <c r="R25" s="49" t="e">
        <f t="shared" si="1"/>
        <v>#DIV/0!</v>
      </c>
    </row>
    <row r="26" spans="1:18" ht="18" customHeight="1" x14ac:dyDescent="0.2">
      <c r="A26" s="34"/>
      <c r="B26" s="72"/>
      <c r="C26" s="50"/>
      <c r="D26" s="43"/>
      <c r="E26" s="44"/>
      <c r="F26" s="45"/>
      <c r="G26" s="46"/>
      <c r="H26" s="47"/>
      <c r="I26" s="44"/>
      <c r="J26" s="45"/>
      <c r="K26" s="46"/>
      <c r="L26" s="47"/>
      <c r="M26" s="44"/>
      <c r="N26" s="45"/>
      <c r="O26" s="46"/>
      <c r="P26" s="47"/>
      <c r="Q26" s="48">
        <f t="shared" si="0"/>
        <v>0</v>
      </c>
      <c r="R26" s="49" t="e">
        <f t="shared" si="1"/>
        <v>#DIV/0!</v>
      </c>
    </row>
    <row r="27" spans="1:18" ht="18" customHeight="1" x14ac:dyDescent="0.2">
      <c r="A27" s="34"/>
      <c r="B27" s="72"/>
      <c r="C27" s="42"/>
      <c r="D27" s="43"/>
      <c r="E27" s="44"/>
      <c r="F27" s="45"/>
      <c r="G27" s="46"/>
      <c r="H27" s="47"/>
      <c r="I27" s="44"/>
      <c r="J27" s="45"/>
      <c r="K27" s="46"/>
      <c r="L27" s="47"/>
      <c r="M27" s="44"/>
      <c r="N27" s="45"/>
      <c r="O27" s="46"/>
      <c r="P27" s="47"/>
      <c r="Q27" s="48">
        <f t="shared" si="0"/>
        <v>0</v>
      </c>
      <c r="R27" s="49" t="e">
        <f t="shared" si="1"/>
        <v>#DIV/0!</v>
      </c>
    </row>
    <row r="28" spans="1:18" ht="18" customHeight="1" x14ac:dyDescent="0.2">
      <c r="A28" s="34"/>
      <c r="B28" s="72"/>
      <c r="C28" s="42"/>
      <c r="D28" s="43"/>
      <c r="E28" s="44"/>
      <c r="F28" s="45"/>
      <c r="G28" s="46"/>
      <c r="H28" s="47"/>
      <c r="I28" s="44"/>
      <c r="J28" s="45"/>
      <c r="K28" s="46"/>
      <c r="L28" s="47"/>
      <c r="M28" s="44"/>
      <c r="N28" s="45"/>
      <c r="O28" s="46"/>
      <c r="P28" s="47"/>
      <c r="Q28" s="48">
        <f t="shared" si="0"/>
        <v>0</v>
      </c>
      <c r="R28" s="49" t="e">
        <f t="shared" si="1"/>
        <v>#DIV/0!</v>
      </c>
    </row>
    <row r="29" spans="1:18" ht="18" customHeight="1" thickBot="1" x14ac:dyDescent="0.25">
      <c r="A29" s="34"/>
      <c r="B29" s="73"/>
      <c r="C29" s="74"/>
      <c r="D29" s="35"/>
      <c r="E29" s="36"/>
      <c r="F29" s="37"/>
      <c r="G29" s="38"/>
      <c r="H29" s="39"/>
      <c r="I29" s="36"/>
      <c r="J29" s="37"/>
      <c r="K29" s="38"/>
      <c r="L29" s="39"/>
      <c r="M29" s="36"/>
      <c r="N29" s="37"/>
      <c r="O29" s="38"/>
      <c r="P29" s="39"/>
      <c r="Q29" s="51">
        <f t="shared" si="0"/>
        <v>0</v>
      </c>
      <c r="R29" s="41" t="e">
        <f t="shared" si="1"/>
        <v>#DIV/0!</v>
      </c>
    </row>
    <row r="30" spans="1:18" ht="18" customHeight="1" thickTop="1" x14ac:dyDescent="0.2">
      <c r="B30" s="75" t="s">
        <v>165</v>
      </c>
      <c r="C30" s="76">
        <f t="shared" ref="C30:Q30" si="2">SUM(C10:C29)</f>
        <v>280</v>
      </c>
      <c r="D30" s="52">
        <f t="shared" si="2"/>
        <v>1400</v>
      </c>
      <c r="E30" s="53">
        <f t="shared" si="2"/>
        <v>291</v>
      </c>
      <c r="F30" s="54">
        <f t="shared" si="2"/>
        <v>0</v>
      </c>
      <c r="G30" s="55">
        <f t="shared" si="2"/>
        <v>168</v>
      </c>
      <c r="H30" s="56">
        <f t="shared" si="2"/>
        <v>0</v>
      </c>
      <c r="I30" s="53">
        <f t="shared" si="2"/>
        <v>0</v>
      </c>
      <c r="J30" s="54">
        <f t="shared" si="2"/>
        <v>0</v>
      </c>
      <c r="K30" s="55">
        <f t="shared" si="2"/>
        <v>0</v>
      </c>
      <c r="L30" s="56">
        <f t="shared" si="2"/>
        <v>0</v>
      </c>
      <c r="M30" s="53">
        <f t="shared" si="2"/>
        <v>0</v>
      </c>
      <c r="N30" s="54">
        <f t="shared" si="2"/>
        <v>0</v>
      </c>
      <c r="O30" s="55">
        <f t="shared" si="2"/>
        <v>0</v>
      </c>
      <c r="P30" s="56">
        <f t="shared" si="2"/>
        <v>0</v>
      </c>
      <c r="Q30" s="57">
        <f t="shared" si="2"/>
        <v>459</v>
      </c>
      <c r="R30" s="58">
        <f>Q30/D30</f>
        <v>0.32785714285714285</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6"/>
  <sheetViews>
    <sheetView showZeros="0" view="pageBreakPreview" topLeftCell="A7" zoomScaleNormal="100" zoomScaleSheetLayoutView="100" workbookViewId="0">
      <selection activeCell="B8" sqref="B8:J12"/>
    </sheetView>
  </sheetViews>
  <sheetFormatPr defaultColWidth="11.36328125" defaultRowHeight="18.75" customHeight="1" x14ac:dyDescent="0.2"/>
  <cols>
    <col min="1" max="1" width="2.7265625" style="100" customWidth="1"/>
    <col min="2" max="2" width="16.6328125" style="10" customWidth="1"/>
    <col min="3" max="3" width="8.90625" style="10" customWidth="1"/>
    <col min="4" max="4" width="2.26953125" style="10" customWidth="1"/>
    <col min="5" max="5" width="16.6328125" style="10" customWidth="1"/>
    <col min="6" max="6" width="8.90625" style="10" customWidth="1"/>
    <col min="7" max="7" width="2.26953125" style="10" customWidth="1"/>
    <col min="8" max="8" width="16.6328125" style="10" customWidth="1"/>
    <col min="9" max="9" width="8.90625" style="10" customWidth="1"/>
    <col min="10" max="10" width="2.26953125" style="10" customWidth="1"/>
    <col min="11" max="16384" width="11.36328125" style="10"/>
  </cols>
  <sheetData>
    <row r="1" spans="1:11" ht="18.75" customHeight="1" x14ac:dyDescent="0.2">
      <c r="A1" s="100" t="s">
        <v>166</v>
      </c>
      <c r="J1" s="98" t="s">
        <v>167</v>
      </c>
    </row>
    <row r="2" spans="1:11" ht="18.75" customHeight="1" x14ac:dyDescent="0.2">
      <c r="A2" s="200" t="s">
        <v>168</v>
      </c>
      <c r="B2" s="200"/>
      <c r="C2" s="200"/>
      <c r="D2" s="200"/>
      <c r="E2" s="200"/>
      <c r="F2" s="200"/>
      <c r="G2" s="200"/>
      <c r="H2" s="200"/>
      <c r="I2" s="200"/>
      <c r="J2" s="200"/>
    </row>
    <row r="3" spans="1:11" ht="7.5" customHeight="1" x14ac:dyDescent="0.2">
      <c r="B3" s="20"/>
      <c r="C3" s="20"/>
      <c r="D3" s="20"/>
      <c r="E3" s="20"/>
      <c r="F3" s="20"/>
      <c r="G3" s="20"/>
      <c r="H3" s="20"/>
      <c r="I3" s="20"/>
      <c r="J3" s="20"/>
    </row>
    <row r="4" spans="1:11" ht="18.75" customHeight="1" x14ac:dyDescent="0.2">
      <c r="A4" s="10" t="s">
        <v>2</v>
      </c>
      <c r="B4" s="10" t="s">
        <v>169</v>
      </c>
      <c r="I4" s="20"/>
      <c r="J4" s="20"/>
    </row>
    <row r="5" spans="1:11" ht="18.75" customHeight="1" x14ac:dyDescent="0.2">
      <c r="A5" s="10"/>
      <c r="B5" s="135" t="s">
        <v>170</v>
      </c>
      <c r="C5" s="136"/>
      <c r="D5" s="136"/>
      <c r="E5" s="136"/>
      <c r="F5" s="136"/>
      <c r="G5" s="136"/>
      <c r="H5" s="136"/>
      <c r="I5" s="136"/>
      <c r="J5" s="250"/>
      <c r="K5" s="10" t="str">
        <f>IF(B5="","入力してください","")</f>
        <v/>
      </c>
    </row>
    <row r="6" spans="1:11" ht="7.5" customHeight="1" x14ac:dyDescent="0.2">
      <c r="B6" s="20"/>
      <c r="C6" s="20"/>
      <c r="D6" s="20"/>
      <c r="E6" s="20"/>
      <c r="F6" s="20"/>
      <c r="G6" s="20"/>
      <c r="H6" s="20"/>
      <c r="I6" s="20"/>
      <c r="J6" s="20"/>
    </row>
    <row r="7" spans="1:11" ht="18.75" customHeight="1" x14ac:dyDescent="0.2">
      <c r="A7" s="10" t="s">
        <v>5</v>
      </c>
      <c r="B7" s="10" t="s">
        <v>171</v>
      </c>
    </row>
    <row r="8" spans="1:11" ht="18.75" customHeight="1" x14ac:dyDescent="0.2">
      <c r="A8" s="61"/>
      <c r="B8" s="251" t="s">
        <v>172</v>
      </c>
      <c r="C8" s="252"/>
      <c r="D8" s="252"/>
      <c r="E8" s="252"/>
      <c r="F8" s="252"/>
      <c r="G8" s="252"/>
      <c r="H8" s="252"/>
      <c r="I8" s="253"/>
      <c r="J8" s="254"/>
      <c r="K8" s="10" t="str">
        <f>IF(B8="","入力してください","")</f>
        <v/>
      </c>
    </row>
    <row r="9" spans="1:11" ht="18.75" customHeight="1" x14ac:dyDescent="0.2">
      <c r="A9" s="61"/>
      <c r="B9" s="255"/>
      <c r="C9" s="256"/>
      <c r="D9" s="256"/>
      <c r="E9" s="256"/>
      <c r="F9" s="256"/>
      <c r="G9" s="256"/>
      <c r="H9" s="256"/>
      <c r="I9" s="256"/>
      <c r="J9" s="257"/>
    </row>
    <row r="10" spans="1:11" ht="18.75" customHeight="1" x14ac:dyDescent="0.2">
      <c r="A10" s="61"/>
      <c r="B10" s="255"/>
      <c r="C10" s="256"/>
      <c r="D10" s="256"/>
      <c r="E10" s="256"/>
      <c r="F10" s="256"/>
      <c r="G10" s="256"/>
      <c r="H10" s="256"/>
      <c r="I10" s="256"/>
      <c r="J10" s="257"/>
    </row>
    <row r="11" spans="1:11" ht="18.75" customHeight="1" x14ac:dyDescent="0.2">
      <c r="A11" s="61"/>
      <c r="B11" s="255"/>
      <c r="C11" s="256"/>
      <c r="D11" s="256"/>
      <c r="E11" s="256"/>
      <c r="F11" s="256"/>
      <c r="G11" s="256"/>
      <c r="H11" s="256"/>
      <c r="I11" s="256"/>
      <c r="J11" s="257"/>
    </row>
    <row r="12" spans="1:11" ht="18.75" customHeight="1" x14ac:dyDescent="0.2">
      <c r="A12" s="61"/>
      <c r="B12" s="258"/>
      <c r="C12" s="259"/>
      <c r="D12" s="259"/>
      <c r="E12" s="259"/>
      <c r="F12" s="259"/>
      <c r="G12" s="259"/>
      <c r="H12" s="259"/>
      <c r="I12" s="259"/>
      <c r="J12" s="260"/>
    </row>
    <row r="13" spans="1:11" ht="7.5" customHeight="1" x14ac:dyDescent="0.2">
      <c r="A13" s="61"/>
      <c r="B13" s="61"/>
      <c r="C13" s="61"/>
      <c r="D13" s="61"/>
      <c r="E13" s="61"/>
      <c r="F13" s="61"/>
      <c r="G13" s="61"/>
      <c r="H13" s="61"/>
      <c r="I13" s="61"/>
      <c r="J13" s="61"/>
    </row>
    <row r="14" spans="1:11" ht="18.75" customHeight="1" x14ac:dyDescent="0.2">
      <c r="A14" s="99" t="s">
        <v>173</v>
      </c>
      <c r="B14" s="99" t="s">
        <v>174</v>
      </c>
      <c r="C14" s="99"/>
      <c r="D14" s="99"/>
      <c r="E14" s="99"/>
      <c r="F14" s="99"/>
      <c r="G14" s="99"/>
      <c r="H14" s="99"/>
      <c r="I14" s="99"/>
      <c r="J14" s="99"/>
    </row>
    <row r="15" spans="1:11" ht="18.75" customHeight="1" x14ac:dyDescent="0.2">
      <c r="A15" s="61"/>
      <c r="B15" s="251" t="s">
        <v>175</v>
      </c>
      <c r="C15" s="252"/>
      <c r="D15" s="252"/>
      <c r="E15" s="252"/>
      <c r="F15" s="252"/>
      <c r="G15" s="252"/>
      <c r="H15" s="252"/>
      <c r="I15" s="253"/>
      <c r="J15" s="254"/>
      <c r="K15" s="10" t="str">
        <f>IF(B15="","入力してください","")</f>
        <v/>
      </c>
    </row>
    <row r="16" spans="1:11" ht="18.75" customHeight="1" x14ac:dyDescent="0.2">
      <c r="A16" s="61"/>
      <c r="B16" s="255"/>
      <c r="C16" s="256"/>
      <c r="D16" s="256"/>
      <c r="E16" s="256"/>
      <c r="F16" s="256"/>
      <c r="G16" s="256"/>
      <c r="H16" s="256"/>
      <c r="I16" s="256"/>
      <c r="J16" s="257"/>
    </row>
    <row r="17" spans="1:11" ht="18.75" customHeight="1" x14ac:dyDescent="0.2">
      <c r="A17" s="61"/>
      <c r="B17" s="255"/>
      <c r="C17" s="256"/>
      <c r="D17" s="256"/>
      <c r="E17" s="256"/>
      <c r="F17" s="256"/>
      <c r="G17" s="256"/>
      <c r="H17" s="256"/>
      <c r="I17" s="256"/>
      <c r="J17" s="257"/>
    </row>
    <row r="18" spans="1:11" ht="18.75" customHeight="1" x14ac:dyDescent="0.2">
      <c r="A18" s="61"/>
      <c r="B18" s="255"/>
      <c r="C18" s="256"/>
      <c r="D18" s="256"/>
      <c r="E18" s="256"/>
      <c r="F18" s="256"/>
      <c r="G18" s="256"/>
      <c r="H18" s="256"/>
      <c r="I18" s="256"/>
      <c r="J18" s="257"/>
    </row>
    <row r="19" spans="1:11" ht="18.75" customHeight="1" x14ac:dyDescent="0.2">
      <c r="A19" s="61"/>
      <c r="B19" s="255"/>
      <c r="C19" s="256"/>
      <c r="D19" s="256"/>
      <c r="E19" s="256"/>
      <c r="F19" s="256"/>
      <c r="G19" s="256"/>
      <c r="H19" s="256"/>
      <c r="I19" s="256"/>
      <c r="J19" s="257"/>
    </row>
    <row r="20" spans="1:11" ht="18.75" customHeight="1" x14ac:dyDescent="0.2">
      <c r="A20" s="61"/>
      <c r="B20" s="255"/>
      <c r="C20" s="256"/>
      <c r="D20" s="256"/>
      <c r="E20" s="256"/>
      <c r="F20" s="256"/>
      <c r="G20" s="256"/>
      <c r="H20" s="256"/>
      <c r="I20" s="256"/>
      <c r="J20" s="257"/>
    </row>
    <row r="21" spans="1:11" ht="18.75" customHeight="1" x14ac:dyDescent="0.2">
      <c r="A21" s="61"/>
      <c r="B21" s="255"/>
      <c r="C21" s="256"/>
      <c r="D21" s="256"/>
      <c r="E21" s="256"/>
      <c r="F21" s="256"/>
      <c r="G21" s="256"/>
      <c r="H21" s="256"/>
      <c r="I21" s="256"/>
      <c r="J21" s="257"/>
    </row>
    <row r="22" spans="1:11" ht="18.75" customHeight="1" x14ac:dyDescent="0.2">
      <c r="A22" s="61"/>
      <c r="B22" s="255"/>
      <c r="C22" s="256"/>
      <c r="D22" s="256"/>
      <c r="E22" s="256"/>
      <c r="F22" s="256"/>
      <c r="G22" s="256"/>
      <c r="H22" s="256"/>
      <c r="I22" s="256"/>
      <c r="J22" s="257"/>
    </row>
    <row r="23" spans="1:11" ht="18.75" customHeight="1" x14ac:dyDescent="0.2">
      <c r="A23" s="61"/>
      <c r="B23" s="255"/>
      <c r="C23" s="256"/>
      <c r="D23" s="256"/>
      <c r="E23" s="256"/>
      <c r="F23" s="256"/>
      <c r="G23" s="256"/>
      <c r="H23" s="256"/>
      <c r="I23" s="256"/>
      <c r="J23" s="257"/>
    </row>
    <row r="24" spans="1:11" ht="18.75" customHeight="1" x14ac:dyDescent="0.2">
      <c r="A24" s="61"/>
      <c r="B24" s="255"/>
      <c r="C24" s="256"/>
      <c r="D24" s="256"/>
      <c r="E24" s="256"/>
      <c r="F24" s="256"/>
      <c r="G24" s="256"/>
      <c r="H24" s="256"/>
      <c r="I24" s="256"/>
      <c r="J24" s="257"/>
    </row>
    <row r="25" spans="1:11" ht="18.75" customHeight="1" x14ac:dyDescent="0.2">
      <c r="A25" s="61"/>
      <c r="B25" s="258"/>
      <c r="C25" s="259"/>
      <c r="D25" s="259"/>
      <c r="E25" s="259"/>
      <c r="F25" s="259"/>
      <c r="G25" s="259"/>
      <c r="H25" s="259"/>
      <c r="I25" s="259"/>
      <c r="J25" s="260"/>
    </row>
    <row r="26" spans="1:11" ht="7.5" customHeight="1" x14ac:dyDescent="0.2">
      <c r="A26" s="101"/>
      <c r="B26" s="101"/>
      <c r="C26" s="101"/>
      <c r="D26" s="101"/>
      <c r="E26" s="101"/>
      <c r="F26" s="101"/>
      <c r="G26" s="101"/>
      <c r="H26" s="101"/>
      <c r="I26" s="101"/>
      <c r="J26" s="101"/>
    </row>
    <row r="27" spans="1:11" ht="18.75" customHeight="1" x14ac:dyDescent="0.2">
      <c r="A27" s="10" t="s">
        <v>11</v>
      </c>
      <c r="B27" s="10" t="s">
        <v>176</v>
      </c>
    </row>
    <row r="28" spans="1:11" s="20" customFormat="1" ht="18.75" customHeight="1" x14ac:dyDescent="0.2">
      <c r="B28" s="77" t="s">
        <v>177</v>
      </c>
      <c r="C28" s="78">
        <f>'様式３　履修者等数の実績'!R30</f>
        <v>0.32785714285714285</v>
      </c>
      <c r="D28" s="79"/>
      <c r="E28" s="79" t="s">
        <v>178</v>
      </c>
      <c r="F28" s="78">
        <v>0.53</v>
      </c>
      <c r="G28" s="79"/>
      <c r="H28" s="79" t="s">
        <v>179</v>
      </c>
      <c r="I28" s="112">
        <v>0.73</v>
      </c>
      <c r="J28" s="80"/>
      <c r="K28" s="10"/>
    </row>
    <row r="29" spans="1:11" s="20" customFormat="1" ht="18.75" customHeight="1" x14ac:dyDescent="0.2">
      <c r="B29" s="67" t="s">
        <v>180</v>
      </c>
      <c r="C29" s="113">
        <v>0.93</v>
      </c>
      <c r="D29" s="68"/>
      <c r="E29" s="68" t="s">
        <v>181</v>
      </c>
      <c r="F29" s="113">
        <v>1</v>
      </c>
      <c r="G29" s="68"/>
      <c r="H29" s="68" t="s">
        <v>182</v>
      </c>
      <c r="I29" s="81">
        <f>'様式３　履修者等数の実績'!D30</f>
        <v>1400</v>
      </c>
      <c r="J29" s="82"/>
      <c r="K29" s="10"/>
    </row>
    <row r="30" spans="1:11" ht="18.75" customHeight="1" x14ac:dyDescent="0.2">
      <c r="A30" s="10"/>
      <c r="B30" s="178" t="s">
        <v>183</v>
      </c>
      <c r="C30" s="179"/>
      <c r="D30" s="179"/>
      <c r="E30" s="179"/>
      <c r="F30" s="179"/>
      <c r="G30" s="179"/>
      <c r="H30" s="179"/>
      <c r="I30" s="179"/>
      <c r="J30" s="180"/>
    </row>
    <row r="31" spans="1:11" ht="18.75" customHeight="1" x14ac:dyDescent="0.2">
      <c r="A31" s="10"/>
      <c r="B31" s="241" t="s">
        <v>184</v>
      </c>
      <c r="C31" s="242"/>
      <c r="D31" s="242"/>
      <c r="E31" s="242"/>
      <c r="F31" s="242"/>
      <c r="G31" s="242"/>
      <c r="H31" s="242"/>
      <c r="I31" s="242"/>
      <c r="J31" s="243"/>
      <c r="K31" s="10" t="str">
        <f>IF(B31="","入力してください","")</f>
        <v/>
      </c>
    </row>
    <row r="32" spans="1:11" ht="18.75" customHeight="1" x14ac:dyDescent="0.2">
      <c r="A32" s="10"/>
      <c r="B32" s="244"/>
      <c r="C32" s="245"/>
      <c r="D32" s="245"/>
      <c r="E32" s="245"/>
      <c r="F32" s="245"/>
      <c r="G32" s="245"/>
      <c r="H32" s="245"/>
      <c r="I32" s="245"/>
      <c r="J32" s="246"/>
    </row>
    <row r="33" spans="1:11" ht="18.75" customHeight="1" x14ac:dyDescent="0.2">
      <c r="A33" s="10"/>
      <c r="B33" s="244"/>
      <c r="C33" s="245"/>
      <c r="D33" s="245"/>
      <c r="E33" s="245"/>
      <c r="F33" s="245"/>
      <c r="G33" s="245"/>
      <c r="H33" s="245"/>
      <c r="I33" s="245"/>
      <c r="J33" s="246"/>
    </row>
    <row r="34" spans="1:11" ht="18.75" customHeight="1" x14ac:dyDescent="0.2">
      <c r="A34" s="10"/>
      <c r="B34" s="244"/>
      <c r="C34" s="245"/>
      <c r="D34" s="245"/>
      <c r="E34" s="245"/>
      <c r="F34" s="245"/>
      <c r="G34" s="245"/>
      <c r="H34" s="245"/>
      <c r="I34" s="245"/>
      <c r="J34" s="246"/>
    </row>
    <row r="35" spans="1:11" ht="18.75" customHeight="1" x14ac:dyDescent="0.2">
      <c r="A35" s="101"/>
      <c r="B35" s="244"/>
      <c r="C35" s="245"/>
      <c r="D35" s="245"/>
      <c r="E35" s="245"/>
      <c r="F35" s="245"/>
      <c r="G35" s="245"/>
      <c r="H35" s="245"/>
      <c r="I35" s="245"/>
      <c r="J35" s="246"/>
    </row>
    <row r="36" spans="1:11" ht="18.75" customHeight="1" x14ac:dyDescent="0.2">
      <c r="A36" s="101"/>
      <c r="B36" s="247"/>
      <c r="C36" s="248"/>
      <c r="D36" s="248"/>
      <c r="E36" s="248"/>
      <c r="F36" s="248"/>
      <c r="G36" s="248"/>
      <c r="H36" s="248"/>
      <c r="I36" s="248"/>
      <c r="J36" s="249"/>
    </row>
    <row r="37" spans="1:11" ht="18.75" customHeight="1" x14ac:dyDescent="0.2">
      <c r="A37" s="99" t="s">
        <v>14</v>
      </c>
      <c r="B37" s="10" t="s">
        <v>185</v>
      </c>
      <c r="I37" s="99"/>
      <c r="J37" s="99"/>
    </row>
    <row r="38" spans="1:11" ht="18.75" customHeight="1" x14ac:dyDescent="0.2">
      <c r="A38" s="101"/>
      <c r="B38" s="251" t="s">
        <v>186</v>
      </c>
      <c r="C38" s="252"/>
      <c r="D38" s="252"/>
      <c r="E38" s="252"/>
      <c r="F38" s="252"/>
      <c r="G38" s="252"/>
      <c r="H38" s="252"/>
      <c r="I38" s="252"/>
      <c r="J38" s="261"/>
      <c r="K38" s="10" t="str">
        <f>IF(B38="","入力してください","")</f>
        <v/>
      </c>
    </row>
    <row r="39" spans="1:11" ht="18.75" customHeight="1" x14ac:dyDescent="0.2">
      <c r="A39" s="101"/>
      <c r="B39" s="244"/>
      <c r="C39" s="245"/>
      <c r="D39" s="245"/>
      <c r="E39" s="245"/>
      <c r="F39" s="245"/>
      <c r="G39" s="245"/>
      <c r="H39" s="245"/>
      <c r="I39" s="245"/>
      <c r="J39" s="246"/>
    </row>
    <row r="40" spans="1:11" ht="18.75" customHeight="1" x14ac:dyDescent="0.2">
      <c r="A40" s="101"/>
      <c r="B40" s="244"/>
      <c r="C40" s="245"/>
      <c r="D40" s="245"/>
      <c r="E40" s="245"/>
      <c r="F40" s="245"/>
      <c r="G40" s="245"/>
      <c r="H40" s="245"/>
      <c r="I40" s="245"/>
      <c r="J40" s="246"/>
    </row>
    <row r="41" spans="1:11" ht="18.75" customHeight="1" x14ac:dyDescent="0.2">
      <c r="A41" s="101"/>
      <c r="B41" s="247"/>
      <c r="C41" s="248"/>
      <c r="D41" s="248"/>
      <c r="E41" s="248"/>
      <c r="F41" s="248"/>
      <c r="G41" s="248"/>
      <c r="H41" s="248"/>
      <c r="I41" s="248"/>
      <c r="J41" s="249"/>
    </row>
    <row r="42" spans="1:11" ht="7.5" customHeight="1" x14ac:dyDescent="0.2">
      <c r="A42" s="101"/>
      <c r="B42" s="101"/>
      <c r="C42" s="101"/>
      <c r="D42" s="101"/>
      <c r="E42" s="101"/>
      <c r="F42" s="101"/>
      <c r="G42" s="101"/>
      <c r="H42" s="101"/>
      <c r="I42" s="101"/>
      <c r="J42" s="101"/>
    </row>
    <row r="43" spans="1:11" ht="18.75" customHeight="1" x14ac:dyDescent="0.2">
      <c r="A43" s="10" t="s">
        <v>17</v>
      </c>
      <c r="B43" s="10" t="s">
        <v>187</v>
      </c>
    </row>
    <row r="44" spans="1:11" ht="18.75" customHeight="1" x14ac:dyDescent="0.2">
      <c r="A44" s="10"/>
      <c r="B44" s="251" t="s">
        <v>186</v>
      </c>
      <c r="C44" s="252"/>
      <c r="D44" s="252"/>
      <c r="E44" s="252"/>
      <c r="F44" s="252"/>
      <c r="G44" s="252"/>
      <c r="H44" s="252"/>
      <c r="I44" s="253"/>
      <c r="J44" s="254"/>
      <c r="K44" s="10" t="str">
        <f>IF(B44="","入力してください","")</f>
        <v/>
      </c>
    </row>
    <row r="45" spans="1:11" ht="18.75" customHeight="1" x14ac:dyDescent="0.2">
      <c r="A45" s="10"/>
      <c r="B45" s="255"/>
      <c r="C45" s="256"/>
      <c r="D45" s="256"/>
      <c r="E45" s="256"/>
      <c r="F45" s="256"/>
      <c r="G45" s="256"/>
      <c r="H45" s="256"/>
      <c r="I45" s="256"/>
      <c r="J45" s="257"/>
    </row>
    <row r="46" spans="1:11" ht="18.75" customHeight="1" x14ac:dyDescent="0.2">
      <c r="A46" s="10"/>
      <c r="B46" s="255"/>
      <c r="C46" s="256"/>
      <c r="D46" s="256"/>
      <c r="E46" s="256"/>
      <c r="F46" s="256"/>
      <c r="G46" s="256"/>
      <c r="H46" s="256"/>
      <c r="I46" s="256"/>
      <c r="J46" s="257"/>
    </row>
    <row r="47" spans="1:11" ht="18.75" customHeight="1" x14ac:dyDescent="0.2">
      <c r="A47" s="101"/>
      <c r="B47" s="258"/>
      <c r="C47" s="259"/>
      <c r="D47" s="259"/>
      <c r="E47" s="259"/>
      <c r="F47" s="259"/>
      <c r="G47" s="259"/>
      <c r="H47" s="259"/>
      <c r="I47" s="259"/>
      <c r="J47" s="260"/>
    </row>
    <row r="48" spans="1:11" ht="7.5" customHeight="1" x14ac:dyDescent="0.2">
      <c r="A48" s="101"/>
      <c r="B48" s="101"/>
      <c r="C48" s="101"/>
      <c r="D48" s="101"/>
      <c r="E48" s="101"/>
      <c r="F48" s="101"/>
      <c r="G48" s="101"/>
      <c r="H48" s="101"/>
      <c r="I48" s="101"/>
      <c r="J48" s="101"/>
    </row>
    <row r="49" spans="1:11" ht="18.75" customHeight="1" x14ac:dyDescent="0.2">
      <c r="A49" s="10" t="s">
        <v>188</v>
      </c>
      <c r="B49" s="10" t="s">
        <v>189</v>
      </c>
    </row>
    <row r="50" spans="1:11" ht="18.75" customHeight="1" x14ac:dyDescent="0.2">
      <c r="A50" s="10"/>
      <c r="B50" s="251" t="s">
        <v>190</v>
      </c>
      <c r="C50" s="252"/>
      <c r="D50" s="252"/>
      <c r="E50" s="252"/>
      <c r="F50" s="252"/>
      <c r="G50" s="252"/>
      <c r="H50" s="252"/>
      <c r="I50" s="253"/>
      <c r="J50" s="254"/>
    </row>
    <row r="51" spans="1:11" ht="18.75" customHeight="1" x14ac:dyDescent="0.2">
      <c r="A51" s="10"/>
      <c r="B51" s="255"/>
      <c r="C51" s="256"/>
      <c r="D51" s="256"/>
      <c r="E51" s="256"/>
      <c r="F51" s="256"/>
      <c r="G51" s="256"/>
      <c r="H51" s="256"/>
      <c r="I51" s="256"/>
      <c r="J51" s="257"/>
    </row>
    <row r="52" spans="1:11" ht="18.75" customHeight="1" x14ac:dyDescent="0.2">
      <c r="A52" s="10"/>
      <c r="B52" s="255"/>
      <c r="C52" s="256"/>
      <c r="D52" s="256"/>
      <c r="E52" s="256"/>
      <c r="F52" s="256"/>
      <c r="G52" s="256"/>
      <c r="H52" s="256"/>
      <c r="I52" s="256"/>
      <c r="J52" s="257"/>
      <c r="K52" s="10" t="str">
        <f>IF(B50="","入力してください","")</f>
        <v/>
      </c>
    </row>
    <row r="53" spans="1:11" ht="18.75" customHeight="1" x14ac:dyDescent="0.2">
      <c r="A53" s="101"/>
      <c r="B53" s="255"/>
      <c r="C53" s="256"/>
      <c r="D53" s="256"/>
      <c r="E53" s="256"/>
      <c r="F53" s="256"/>
      <c r="G53" s="256"/>
      <c r="H53" s="256"/>
      <c r="I53" s="256"/>
      <c r="J53" s="257"/>
    </row>
    <row r="54" spans="1:11" ht="18.75" customHeight="1" x14ac:dyDescent="0.2">
      <c r="A54" s="101"/>
      <c r="B54" s="258"/>
      <c r="C54" s="259"/>
      <c r="D54" s="259"/>
      <c r="E54" s="259"/>
      <c r="F54" s="259"/>
      <c r="G54" s="259"/>
      <c r="H54" s="259"/>
      <c r="I54" s="259"/>
      <c r="J54" s="260"/>
    </row>
    <row r="55" spans="1:11" ht="7.5" customHeight="1" x14ac:dyDescent="0.2">
      <c r="A55" s="101"/>
      <c r="B55" s="101"/>
      <c r="C55" s="101"/>
      <c r="D55" s="101"/>
      <c r="E55" s="101"/>
      <c r="F55" s="101"/>
      <c r="G55" s="101"/>
      <c r="H55" s="101"/>
      <c r="I55" s="101"/>
      <c r="J55" s="101"/>
    </row>
    <row r="56" spans="1:11" ht="18.75" customHeight="1" x14ac:dyDescent="0.2">
      <c r="A56" s="10" t="s">
        <v>23</v>
      </c>
      <c r="B56" s="262" t="s">
        <v>191</v>
      </c>
      <c r="C56" s="262"/>
      <c r="D56" s="262"/>
      <c r="E56" s="262"/>
      <c r="F56" s="262"/>
      <c r="G56" s="262"/>
      <c r="H56" s="262"/>
      <c r="I56" s="262"/>
      <c r="J56" s="262"/>
    </row>
    <row r="57" spans="1:11" ht="18.75" customHeight="1" x14ac:dyDescent="0.2">
      <c r="A57" s="101"/>
      <c r="B57" s="251" t="s">
        <v>192</v>
      </c>
      <c r="C57" s="252"/>
      <c r="D57" s="252"/>
      <c r="E57" s="252"/>
      <c r="F57" s="252"/>
      <c r="G57" s="252"/>
      <c r="H57" s="252"/>
      <c r="I57" s="253"/>
      <c r="J57" s="254"/>
    </row>
    <row r="58" spans="1:11" ht="18.75" customHeight="1" x14ac:dyDescent="0.2">
      <c r="A58" s="101"/>
      <c r="B58" s="255"/>
      <c r="C58" s="256"/>
      <c r="D58" s="256"/>
      <c r="E58" s="256"/>
      <c r="F58" s="256"/>
      <c r="G58" s="256"/>
      <c r="H58" s="256"/>
      <c r="I58" s="256"/>
      <c r="J58" s="257"/>
    </row>
    <row r="59" spans="1:11" ht="18.75" customHeight="1" x14ac:dyDescent="0.2">
      <c r="A59" s="101"/>
      <c r="B59" s="255"/>
      <c r="C59" s="256"/>
      <c r="D59" s="256"/>
      <c r="E59" s="256"/>
      <c r="F59" s="256"/>
      <c r="G59" s="256"/>
      <c r="H59" s="256"/>
      <c r="I59" s="256"/>
      <c r="J59" s="257"/>
      <c r="K59" s="10" t="str">
        <f>IF(B57="","入力してください","")</f>
        <v/>
      </c>
    </row>
    <row r="60" spans="1:11" ht="18.75" customHeight="1" x14ac:dyDescent="0.2">
      <c r="A60" s="101"/>
      <c r="B60" s="255"/>
      <c r="C60" s="256"/>
      <c r="D60" s="256"/>
      <c r="E60" s="256"/>
      <c r="F60" s="256"/>
      <c r="G60" s="256"/>
      <c r="H60" s="256"/>
      <c r="I60" s="256"/>
      <c r="J60" s="257"/>
    </row>
    <row r="61" spans="1:11" ht="18.75" customHeight="1" x14ac:dyDescent="0.2">
      <c r="A61" s="101"/>
      <c r="B61" s="258"/>
      <c r="C61" s="259"/>
      <c r="D61" s="259"/>
      <c r="E61" s="259"/>
      <c r="F61" s="259"/>
      <c r="G61" s="259"/>
      <c r="H61" s="259"/>
      <c r="I61" s="259"/>
      <c r="J61" s="260"/>
    </row>
    <row r="62" spans="1:11" ht="7.5" customHeight="1" x14ac:dyDescent="0.2">
      <c r="A62" s="101"/>
      <c r="B62" s="102"/>
      <c r="C62" s="102"/>
      <c r="D62" s="102"/>
      <c r="E62" s="102"/>
      <c r="F62" s="102"/>
      <c r="G62" s="102"/>
      <c r="H62" s="102"/>
      <c r="I62" s="102"/>
      <c r="J62" s="102"/>
    </row>
    <row r="63" spans="1:11" ht="18.75" customHeight="1" x14ac:dyDescent="0.2">
      <c r="A63" s="101"/>
      <c r="B63" s="101"/>
      <c r="C63" s="101"/>
      <c r="D63" s="101"/>
      <c r="E63" s="101"/>
      <c r="F63" s="101"/>
      <c r="G63" s="101"/>
      <c r="H63" s="101"/>
      <c r="I63" s="101"/>
      <c r="J63" s="101"/>
    </row>
    <row r="64" spans="1:11" ht="18.75" customHeight="1" x14ac:dyDescent="0.2">
      <c r="A64" s="101"/>
      <c r="B64" s="101"/>
      <c r="C64" s="101"/>
      <c r="D64" s="101"/>
      <c r="E64" s="101"/>
      <c r="F64" s="101"/>
      <c r="G64" s="101"/>
      <c r="H64" s="101"/>
      <c r="I64" s="101"/>
      <c r="J64" s="101"/>
    </row>
    <row r="65" spans="1:10" ht="18.75" customHeight="1" x14ac:dyDescent="0.2">
      <c r="A65" s="101"/>
      <c r="B65" s="101"/>
      <c r="C65" s="101"/>
      <c r="D65" s="101"/>
      <c r="E65" s="101"/>
      <c r="F65" s="101"/>
      <c r="G65" s="101"/>
      <c r="H65" s="101"/>
      <c r="I65" s="101"/>
      <c r="J65" s="101"/>
    </row>
    <row r="66" spans="1:10" ht="18.75" customHeight="1" x14ac:dyDescent="0.2">
      <c r="A66" s="101"/>
      <c r="B66" s="101"/>
      <c r="C66" s="101"/>
      <c r="D66" s="101"/>
      <c r="E66" s="101"/>
      <c r="F66" s="101"/>
      <c r="G66" s="101"/>
      <c r="H66" s="101"/>
      <c r="I66" s="101"/>
      <c r="J66" s="101"/>
    </row>
    <row r="67" spans="1:10" ht="18.75" customHeight="1" x14ac:dyDescent="0.2">
      <c r="A67" s="101"/>
      <c r="B67" s="101"/>
      <c r="C67" s="101"/>
      <c r="D67" s="101"/>
      <c r="E67" s="101"/>
      <c r="F67" s="101"/>
      <c r="G67" s="101"/>
      <c r="H67" s="101"/>
      <c r="I67" s="101"/>
      <c r="J67" s="101"/>
    </row>
    <row r="68" spans="1:10" ht="18.75" customHeight="1" x14ac:dyDescent="0.2">
      <c r="A68" s="101"/>
      <c r="B68" s="101"/>
      <c r="C68" s="101"/>
      <c r="D68" s="101"/>
      <c r="E68" s="101"/>
      <c r="F68" s="101"/>
      <c r="G68" s="101"/>
      <c r="H68" s="101"/>
      <c r="I68" s="101"/>
      <c r="J68" s="101"/>
    </row>
    <row r="69" spans="1:10" ht="18.75" customHeight="1" x14ac:dyDescent="0.2">
      <c r="A69" s="101"/>
      <c r="B69" s="101"/>
      <c r="C69" s="101"/>
      <c r="D69" s="101"/>
      <c r="E69" s="101"/>
      <c r="F69" s="101"/>
      <c r="G69" s="101"/>
      <c r="H69" s="101"/>
      <c r="I69" s="101"/>
      <c r="J69" s="101"/>
    </row>
    <row r="70" spans="1:10" ht="18.75" customHeight="1" x14ac:dyDescent="0.2">
      <c r="A70" s="101"/>
      <c r="B70" s="101"/>
      <c r="C70" s="101"/>
      <c r="D70" s="101"/>
      <c r="E70" s="101"/>
      <c r="F70" s="101"/>
      <c r="G70" s="101"/>
      <c r="H70" s="101"/>
      <c r="I70" s="101"/>
      <c r="J70" s="101"/>
    </row>
    <row r="71" spans="1:10" ht="18.75" customHeight="1" x14ac:dyDescent="0.2">
      <c r="A71" s="101"/>
      <c r="B71" s="101"/>
      <c r="C71" s="101"/>
      <c r="D71" s="101"/>
      <c r="E71" s="101"/>
      <c r="F71" s="101"/>
      <c r="G71" s="101"/>
      <c r="H71" s="101"/>
      <c r="I71" s="101"/>
      <c r="J71" s="101"/>
    </row>
    <row r="72" spans="1:10" ht="18.75" customHeight="1" x14ac:dyDescent="0.2">
      <c r="A72" s="101"/>
      <c r="B72" s="101"/>
      <c r="C72" s="101"/>
      <c r="D72" s="101"/>
      <c r="E72" s="101"/>
      <c r="F72" s="101"/>
      <c r="G72" s="101"/>
      <c r="H72" s="101"/>
      <c r="I72" s="101"/>
      <c r="J72" s="101"/>
    </row>
    <row r="73" spans="1:10" ht="18.75" customHeight="1" x14ac:dyDescent="0.2">
      <c r="A73" s="101"/>
      <c r="B73" s="101"/>
      <c r="C73" s="101"/>
      <c r="D73" s="101"/>
      <c r="E73" s="101"/>
      <c r="F73" s="101"/>
      <c r="G73" s="101"/>
      <c r="H73" s="101"/>
      <c r="I73" s="101"/>
      <c r="J73" s="101"/>
    </row>
    <row r="74" spans="1:10" ht="18.75" customHeight="1" x14ac:dyDescent="0.2">
      <c r="A74" s="101"/>
      <c r="B74" s="101"/>
      <c r="C74" s="101"/>
      <c r="D74" s="101"/>
      <c r="E74" s="101"/>
      <c r="F74" s="101"/>
      <c r="G74" s="101"/>
      <c r="H74" s="101"/>
      <c r="I74" s="101"/>
      <c r="J74" s="101"/>
    </row>
    <row r="75" spans="1:10" ht="14" x14ac:dyDescent="0.2">
      <c r="A75" s="101"/>
      <c r="B75" s="101"/>
      <c r="C75" s="101"/>
      <c r="D75" s="101"/>
      <c r="E75" s="101"/>
      <c r="F75" s="101"/>
      <c r="G75" s="101"/>
      <c r="H75" s="101"/>
      <c r="I75" s="101"/>
      <c r="J75" s="101"/>
    </row>
    <row r="76" spans="1:10" ht="7.5" customHeight="1" x14ac:dyDescent="0.2">
      <c r="A76" s="103"/>
      <c r="B76" s="103"/>
      <c r="C76" s="103"/>
      <c r="D76" s="103"/>
      <c r="E76" s="103"/>
      <c r="F76" s="103"/>
      <c r="G76" s="103"/>
      <c r="H76" s="103"/>
      <c r="I76" s="103"/>
      <c r="J76" s="103"/>
    </row>
  </sheetData>
  <mergeCells count="11">
    <mergeCell ref="B38:J41"/>
    <mergeCell ref="B44:J47"/>
    <mergeCell ref="B50:J54"/>
    <mergeCell ref="B56:J56"/>
    <mergeCell ref="B57:J61"/>
    <mergeCell ref="B31:J36"/>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1" manualBreakCount="1">
    <brk id="36"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topLeftCell="A10" zoomScaleNormal="100" zoomScaleSheetLayoutView="100" workbookViewId="0">
      <selection activeCell="M22" sqref="M22"/>
    </sheetView>
  </sheetViews>
  <sheetFormatPr defaultColWidth="11.36328125" defaultRowHeight="22.5" customHeight="1" x14ac:dyDescent="0.2"/>
  <cols>
    <col min="1" max="3" width="2.7265625" style="1" customWidth="1"/>
    <col min="4" max="4" width="22.26953125" style="1" customWidth="1"/>
    <col min="5" max="5" width="21.6328125" style="1" customWidth="1"/>
    <col min="6" max="7" width="7.7265625" style="1" customWidth="1"/>
    <col min="8" max="8" width="33.36328125" style="1" customWidth="1"/>
    <col min="9" max="9" width="24.453125" style="1" customWidth="1"/>
    <col min="10" max="10" width="5.453125" style="1" customWidth="1"/>
    <col min="11" max="11" width="4.08984375" style="22" customWidth="1"/>
    <col min="12" max="16384" width="11.36328125" style="1"/>
  </cols>
  <sheetData>
    <row r="1" spans="1:11" ht="18.75" customHeight="1" x14ac:dyDescent="0.2">
      <c r="A1" s="1" t="s">
        <v>193</v>
      </c>
      <c r="J1" s="28" t="s">
        <v>194</v>
      </c>
    </row>
    <row r="2" spans="1:11" ht="18.75" customHeight="1" x14ac:dyDescent="0.2">
      <c r="A2" s="225" t="s">
        <v>195</v>
      </c>
      <c r="B2" s="225"/>
      <c r="C2" s="225"/>
      <c r="D2" s="225"/>
      <c r="E2" s="225"/>
      <c r="F2" s="225"/>
      <c r="G2" s="225"/>
      <c r="H2" s="225"/>
      <c r="I2" s="225"/>
      <c r="J2" s="225"/>
    </row>
    <row r="3" spans="1:11" ht="7.5" customHeight="1" x14ac:dyDescent="0.2">
      <c r="A3" s="29"/>
      <c r="B3" s="29"/>
      <c r="C3" s="29"/>
      <c r="D3" s="29"/>
      <c r="E3" s="29"/>
      <c r="F3" s="29"/>
      <c r="G3" s="29"/>
      <c r="H3" s="29"/>
      <c r="I3" s="29"/>
      <c r="J3" s="29"/>
    </row>
    <row r="4" spans="1:11" ht="18.75" customHeight="1" x14ac:dyDescent="0.2">
      <c r="A4" s="1" t="s">
        <v>2</v>
      </c>
      <c r="B4" s="3" t="s">
        <v>196</v>
      </c>
      <c r="C4" s="26"/>
      <c r="D4" s="26"/>
      <c r="E4" s="27"/>
      <c r="F4" s="27"/>
      <c r="G4" s="27"/>
      <c r="H4" s="27"/>
      <c r="I4" s="27"/>
      <c r="J4" s="27"/>
    </row>
    <row r="5" spans="1:11" ht="18.75" customHeight="1" x14ac:dyDescent="0.2">
      <c r="B5" s="268" t="s">
        <v>197</v>
      </c>
      <c r="C5" s="269"/>
      <c r="D5" s="270"/>
      <c r="E5" s="271" t="s">
        <v>198</v>
      </c>
      <c r="F5" s="271"/>
      <c r="G5" s="271"/>
      <c r="H5" s="271"/>
      <c r="I5" s="271"/>
      <c r="J5" s="272"/>
    </row>
    <row r="6" spans="1:11" ht="18.75" customHeight="1" x14ac:dyDescent="0.2">
      <c r="B6" s="2" t="s">
        <v>199</v>
      </c>
      <c r="C6" s="26"/>
      <c r="D6" s="5"/>
      <c r="I6" s="27"/>
      <c r="J6" s="4"/>
    </row>
    <row r="7" spans="1:11" ht="106.5" customHeight="1" x14ac:dyDescent="0.2">
      <c r="B7" s="104"/>
      <c r="C7" s="273" t="s">
        <v>200</v>
      </c>
      <c r="D7" s="274"/>
      <c r="E7" s="265" t="s">
        <v>201</v>
      </c>
      <c r="F7" s="266"/>
      <c r="G7" s="266"/>
      <c r="H7" s="266"/>
      <c r="I7" s="266"/>
      <c r="J7" s="267"/>
      <c r="K7" s="22" t="str">
        <f>IF(E7="","入力してください","")</f>
        <v/>
      </c>
    </row>
    <row r="8" spans="1:11" ht="86.15" customHeight="1" x14ac:dyDescent="0.2">
      <c r="B8" s="104"/>
      <c r="C8" s="263" t="s">
        <v>202</v>
      </c>
      <c r="D8" s="264"/>
      <c r="E8" s="265" t="s">
        <v>203</v>
      </c>
      <c r="F8" s="266"/>
      <c r="G8" s="266"/>
      <c r="H8" s="266"/>
      <c r="I8" s="266"/>
      <c r="J8" s="267"/>
      <c r="K8" s="22" t="str">
        <f>IF(E8="","入力してください","")</f>
        <v/>
      </c>
    </row>
    <row r="9" spans="1:11" ht="91" customHeight="1" x14ac:dyDescent="0.2">
      <c r="B9" s="104"/>
      <c r="C9" s="273" t="s">
        <v>204</v>
      </c>
      <c r="D9" s="274"/>
      <c r="E9" s="265" t="s">
        <v>205</v>
      </c>
      <c r="F9" s="266"/>
      <c r="G9" s="266"/>
      <c r="H9" s="266"/>
      <c r="I9" s="266"/>
      <c r="J9" s="267"/>
      <c r="K9" s="22" t="str">
        <f>IF(E9="","入力してください","")</f>
        <v/>
      </c>
    </row>
    <row r="10" spans="1:11" ht="87" customHeight="1" x14ac:dyDescent="0.2">
      <c r="B10" s="104"/>
      <c r="C10" s="273" t="s">
        <v>206</v>
      </c>
      <c r="D10" s="274"/>
      <c r="E10" s="265" t="s">
        <v>207</v>
      </c>
      <c r="F10" s="266"/>
      <c r="G10" s="266"/>
      <c r="H10" s="266"/>
      <c r="I10" s="266"/>
      <c r="J10" s="267"/>
      <c r="K10" s="22" t="str">
        <f t="shared" ref="K10:K14" si="0">IF(E10="","入力してください","")</f>
        <v/>
      </c>
    </row>
    <row r="11" spans="1:11" ht="66" customHeight="1" x14ac:dyDescent="0.2">
      <c r="B11" s="104"/>
      <c r="C11" s="273" t="s">
        <v>208</v>
      </c>
      <c r="D11" s="274"/>
      <c r="E11" s="265" t="s">
        <v>209</v>
      </c>
      <c r="F11" s="266"/>
      <c r="G11" s="266"/>
      <c r="H11" s="266"/>
      <c r="I11" s="266"/>
      <c r="J11" s="267"/>
      <c r="K11" s="22" t="str">
        <f t="shared" si="0"/>
        <v/>
      </c>
    </row>
    <row r="12" spans="1:11" ht="18.75" customHeight="1" x14ac:dyDescent="0.2">
      <c r="B12" s="105" t="s">
        <v>210</v>
      </c>
      <c r="C12" s="106"/>
      <c r="D12" s="107"/>
      <c r="E12" s="108"/>
      <c r="F12" s="108"/>
      <c r="G12" s="108"/>
      <c r="H12" s="108"/>
      <c r="I12" s="108"/>
      <c r="J12" s="109"/>
    </row>
    <row r="13" spans="1:11" ht="85" customHeight="1" x14ac:dyDescent="0.2">
      <c r="B13" s="104"/>
      <c r="C13" s="273" t="s">
        <v>211</v>
      </c>
      <c r="D13" s="274"/>
      <c r="E13" s="266" t="s">
        <v>212</v>
      </c>
      <c r="F13" s="266"/>
      <c r="G13" s="266"/>
      <c r="H13" s="266"/>
      <c r="I13" s="266"/>
      <c r="J13" s="267"/>
      <c r="K13" s="22" t="str">
        <f t="shared" si="0"/>
        <v/>
      </c>
    </row>
    <row r="14" spans="1:11" ht="116.15" customHeight="1" x14ac:dyDescent="0.2">
      <c r="B14" s="104"/>
      <c r="C14" s="273" t="s">
        <v>213</v>
      </c>
      <c r="D14" s="274"/>
      <c r="E14" s="266" t="s">
        <v>214</v>
      </c>
      <c r="F14" s="266"/>
      <c r="G14" s="266"/>
      <c r="H14" s="266"/>
      <c r="I14" s="266"/>
      <c r="J14" s="267"/>
      <c r="K14" s="22" t="str">
        <f t="shared" si="0"/>
        <v/>
      </c>
    </row>
    <row r="15" spans="1:11" ht="89.5" customHeight="1" x14ac:dyDescent="0.2">
      <c r="B15" s="281" t="s">
        <v>215</v>
      </c>
      <c r="C15" s="282"/>
      <c r="D15" s="274"/>
      <c r="E15" s="265" t="s">
        <v>216</v>
      </c>
      <c r="F15" s="266"/>
      <c r="G15" s="266"/>
      <c r="H15" s="266"/>
      <c r="I15" s="266"/>
      <c r="J15" s="267"/>
      <c r="K15" s="22" t="str">
        <f>IF(E15="","入力してください","")</f>
        <v/>
      </c>
    </row>
    <row r="16" spans="1:11" ht="86.5" customHeight="1" x14ac:dyDescent="0.2">
      <c r="A16" s="22"/>
      <c r="B16" s="275" t="s">
        <v>217</v>
      </c>
      <c r="C16" s="276"/>
      <c r="D16" s="277"/>
      <c r="E16" s="265" t="s">
        <v>218</v>
      </c>
      <c r="F16" s="266"/>
      <c r="G16" s="266"/>
      <c r="H16" s="266"/>
      <c r="I16" s="266"/>
      <c r="J16" s="267"/>
      <c r="K16" s="22" t="str">
        <f>IF(E16="","入力してください","")</f>
        <v/>
      </c>
    </row>
    <row r="17" spans="1:11" ht="7.5" customHeight="1" x14ac:dyDescent="0.2">
      <c r="B17" s="101"/>
      <c r="C17" s="101"/>
      <c r="D17" s="101"/>
      <c r="E17" s="101"/>
      <c r="F17" s="101"/>
      <c r="G17" s="101"/>
      <c r="H17" s="101"/>
      <c r="I17" s="101"/>
      <c r="J17" s="101"/>
    </row>
    <row r="18" spans="1:11" ht="18.75" customHeight="1" x14ac:dyDescent="0.2">
      <c r="A18" s="1" t="s">
        <v>219</v>
      </c>
      <c r="B18" s="10"/>
      <c r="C18" s="101"/>
      <c r="D18" s="101"/>
      <c r="E18" s="101"/>
      <c r="F18" s="99"/>
      <c r="G18" s="278" t="s">
        <v>220</v>
      </c>
      <c r="H18" s="279"/>
      <c r="I18" s="279"/>
      <c r="J18" s="280"/>
      <c r="K18" s="22" t="str">
        <f>IF(G18="","入力してください","")</f>
        <v/>
      </c>
    </row>
    <row r="19" spans="1:11" ht="22.5" customHeight="1" x14ac:dyDescent="0.2">
      <c r="B19" s="101"/>
      <c r="C19" s="101"/>
      <c r="D19" s="101"/>
      <c r="E19" s="101"/>
      <c r="F19" s="101"/>
      <c r="G19" s="101"/>
      <c r="H19" s="101"/>
      <c r="I19" s="101"/>
      <c r="J19" s="101"/>
    </row>
    <row r="20" spans="1:11" ht="22.5" customHeight="1" x14ac:dyDescent="0.2">
      <c r="B20" s="26"/>
      <c r="C20" s="26"/>
      <c r="D20" s="26"/>
      <c r="E20" s="27"/>
      <c r="F20" s="27"/>
      <c r="G20" s="27"/>
      <c r="H20" s="27"/>
      <c r="I20" s="27"/>
      <c r="J20" s="27"/>
    </row>
    <row r="21" spans="1:11" ht="22.5" customHeight="1" x14ac:dyDescent="0.2">
      <c r="B21" s="26"/>
      <c r="C21" s="26"/>
      <c r="D21" s="26"/>
      <c r="E21" s="27"/>
      <c r="F21" s="27"/>
      <c r="G21" s="27"/>
      <c r="H21" s="27"/>
      <c r="I21" s="27"/>
      <c r="J21" s="27"/>
    </row>
    <row r="22" spans="1:11" ht="22.5" customHeight="1" x14ac:dyDescent="0.2">
      <c r="B22" s="26"/>
      <c r="C22" s="26"/>
      <c r="D22" s="26"/>
      <c r="E22" s="27"/>
      <c r="F22" s="27"/>
      <c r="G22" s="27"/>
      <c r="H22" s="27"/>
      <c r="I22" s="27"/>
      <c r="J22" s="27"/>
    </row>
    <row r="23" spans="1:11" ht="22.5" customHeight="1" x14ac:dyDescent="0.2">
      <c r="B23" s="26"/>
      <c r="C23" s="26"/>
      <c r="D23" s="26"/>
      <c r="E23" s="27"/>
      <c r="F23" s="27"/>
      <c r="G23" s="27"/>
      <c r="H23" s="27"/>
      <c r="I23" s="27"/>
      <c r="J23" s="27"/>
    </row>
    <row r="24" spans="1:11" ht="22.5" customHeight="1" x14ac:dyDescent="0.2">
      <c r="B24" s="83"/>
      <c r="C24" s="83"/>
      <c r="D24" s="83"/>
      <c r="E24" s="83"/>
      <c r="F24" s="83"/>
      <c r="G24" s="83"/>
      <c r="H24" s="83"/>
      <c r="I24" s="83"/>
      <c r="J24" s="83"/>
    </row>
    <row r="25" spans="1:11" ht="22.5" customHeight="1" x14ac:dyDescent="0.2">
      <c r="B25" s="83"/>
      <c r="C25" s="83"/>
      <c r="D25" s="83"/>
      <c r="E25" s="83"/>
      <c r="F25" s="83"/>
      <c r="G25" s="83"/>
      <c r="H25" s="83"/>
      <c r="I25" s="83"/>
      <c r="J25" s="83"/>
    </row>
    <row r="26" spans="1:11" ht="22.5" customHeight="1" x14ac:dyDescent="0.2">
      <c r="B26" s="83"/>
      <c r="C26" s="83"/>
      <c r="D26" s="83"/>
      <c r="E26" s="83"/>
      <c r="F26" s="83"/>
      <c r="G26" s="83"/>
      <c r="H26" s="83"/>
      <c r="I26" s="83"/>
      <c r="J26" s="83"/>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printOptions horizontalCentered="1"/>
  <pageMargins left="0.78740157480314965" right="0.78740157480314965" top="0.78740157480314965" bottom="0.78740157480314965" header="0.31496062992125984" footer="0.31496062992125984"/>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42B1F7C67218194CACB4776E8315C648" ma:contentTypeVersion="13" ma:contentTypeDescription="新しいドキュメントを作成します。" ma:contentTypeScope="" ma:versionID="5f7e848ff3f0935dd698476db30aa9aa">
  <xsd:schema xmlns:xsd="http://www.w3.org/2001/XMLSchema" xmlns:xs="http://www.w3.org/2001/XMLSchema" xmlns:p="http://schemas.microsoft.com/office/2006/metadata/properties" xmlns:ns3="d8bada5c-c091-4c50-b692-ca1531d81dae" xmlns:ns4="4f2a0018-13b6-42d1-a717-1a6fb697ab7d" targetNamespace="http://schemas.microsoft.com/office/2006/metadata/properties" ma:root="true" ma:fieldsID="6a0ac21180f8ce1c72c6bf030a1ceb9f" ns3:_="" ns4:_="">
    <xsd:import namespace="d8bada5c-c091-4c50-b692-ca1531d81dae"/>
    <xsd:import namespace="4f2a0018-13b6-42d1-a717-1a6fb697ab7d"/>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AutoKeyPoints" minOccurs="0"/>
                <xsd:element ref="ns4:MediaServiceKeyPoints" minOccurs="0"/>
                <xsd:element ref="ns4:MediaServiceGenerationTime" minOccurs="0"/>
                <xsd:element ref="ns4:MediaServiceEventHashCode"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bada5c-c091-4c50-b692-ca1531d81dae" elementFormDefault="qualified">
    <xsd:import namespace="http://schemas.microsoft.com/office/2006/documentManagement/types"/>
    <xsd:import namespace="http://schemas.microsoft.com/office/infopath/2007/PartnerControls"/>
    <xsd:element name="SharedWithUsers" ma:index="8" nillable="true" ma:displayName="共有相手"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有相手の詳細情報" ma:description="" ma:internalName="SharedWithDetails" ma:readOnly="true">
      <xsd:simpleType>
        <xsd:restriction base="dms:Note">
          <xsd:maxLength value="255"/>
        </xsd:restriction>
      </xsd:simpleType>
    </xsd:element>
    <xsd:element name="SharingHintHash" ma:index="10" nillable="true" ma:displayName="共有のヒントのハッシュ" ma:description=""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2a0018-13b6-42d1-a717-1a6fb697ab7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MediaServiceAutoTags"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2A93339-8961-4EBD-8CDF-50A583F44B0E}">
  <ds:schemaRefs>
    <ds:schemaRef ds:uri="http://schemas.microsoft.com/sharepoint/v3/contenttype/forms"/>
  </ds:schemaRefs>
</ds:datastoreItem>
</file>

<file path=customXml/itemProps2.xml><?xml version="1.0" encoding="utf-8"?>
<ds:datastoreItem xmlns:ds="http://schemas.openxmlformats.org/officeDocument/2006/customXml" ds:itemID="{84211716-D327-441D-BE63-6F5867784C3A}">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36559A62-2695-4ECE-AB51-01E5E0F0BB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bada5c-c091-4c50-b692-ca1531d81dae"/>
    <ds:schemaRef ds:uri="4f2a0018-13b6-42d1-a717-1a6fb697ab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様式２－１　プログラムを構成する授業科目</vt:lpstr>
      <vt:lpstr>様式２－２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'様式２－１　プログラムを構成する授業科目'!Print_Area</vt:lpstr>
      <vt:lpstr>'様式２－２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gakumu303</cp:lastModifiedBy>
  <cp:revision/>
  <dcterms:created xsi:type="dcterms:W3CDTF">2011-06-14T05:32:50Z</dcterms:created>
  <dcterms:modified xsi:type="dcterms:W3CDTF">2022-06-15T08:01:48Z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0x01010042B1F7C67218194CACB4776E8315C648</vt:lpwstr>
  </property>
</Properties>
</file>