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33.85.83.150\共有フォルダ\07 履修・成績\708_数理・データサイエンス・AI教育プログラム\01申請\20_申請　再々再々修正\"/>
    </mc:Choice>
  </mc:AlternateContent>
  <bookViews>
    <workbookView xWindow="0" yWindow="0" windowWidth="25200" windowHeight="11730" tabRatio="885"/>
  </bookViews>
  <sheets>
    <sheet name="様式１　大学等概要" sheetId="8" r:id="rId1"/>
    <sheet name="様式２-1　プログラムを構成する授業科目" sheetId="47" r:id="rId2"/>
    <sheet name="様式２-2　プログラムを構成する授業科目" sheetId="46" r:id="rId3"/>
    <sheet name="様式２-3　プログラムを構成する授業科目" sheetId="45" r:id="rId4"/>
    <sheet name="様式２-4　プログラムを構成する授業科目" sheetId="44" r:id="rId5"/>
    <sheet name="様式２-5　プログラムを構成する授業科目" sheetId="39" r:id="rId6"/>
    <sheet name="様式３　履修者等数の実績" sheetId="40" r:id="rId7"/>
    <sheet name="様式４　教育の質・履修者数を向上させるための体制・計画" sheetId="41" r:id="rId8"/>
    <sheet name="様式５　自己点検・評価" sheetId="42" r:id="rId9"/>
  </sheets>
  <externalReferences>
    <externalReference r:id="rId10"/>
  </externalReferences>
  <definedNames>
    <definedName name="_xlnm._FilterDatabase" localSheetId="1" hidden="1">'様式２-1　プログラムを構成する授業科目'!#REF!</definedName>
    <definedName name="_xlnm._FilterDatabase" localSheetId="2" hidden="1">'様式２-2　プログラムを構成する授業科目'!#REF!</definedName>
    <definedName name="_xlnm._FilterDatabase" localSheetId="3" hidden="1">'様式２-3　プログラムを構成する授業科目'!#REF!</definedName>
    <definedName name="_xlnm._FilterDatabase" localSheetId="4" hidden="1">'様式２-4　プログラムを構成する授業科目'!#REF!</definedName>
    <definedName name="_xlnm._FilterDatabase" localSheetId="5" hidden="1">'様式２-5　プログラムを構成する授業科目'!#REF!</definedName>
    <definedName name="_xlnm._FilterDatabase" localSheetId="6" hidden="1">'様式３　履修者等数の実績'!#REF!</definedName>
    <definedName name="_xlnm.Print_Area" localSheetId="0">'様式１　大学等概要'!$A$1:$N$45</definedName>
    <definedName name="_xlnm.Print_Area" localSheetId="1">'様式２-1　プログラムを構成する授業科目'!$A$1:$Z$98</definedName>
    <definedName name="_xlnm.Print_Area" localSheetId="2">'様式２-2　プログラムを構成する授業科目'!$A$1:$Z$98</definedName>
    <definedName name="_xlnm.Print_Area" localSheetId="3">'様式２-3　プログラムを構成する授業科目'!$A$1:$Z$98</definedName>
    <definedName name="_xlnm.Print_Area" localSheetId="4">'様式２-4　プログラムを構成する授業科目'!$A$1:$Z$98</definedName>
    <definedName name="_xlnm.Print_Area" localSheetId="5">'様式２-5　プログラムを構成する授業科目'!$A$1:$Z$98</definedName>
    <definedName name="_xlnm.Print_Area" localSheetId="6">'様式３　履修者等数の実績'!$A$1:$R$30</definedName>
    <definedName name="_xlnm.Print_Area" localSheetId="7">'様式４　教育の質・履修者数を向上させるための体制・計画'!$A$1:$J$130</definedName>
    <definedName name="_xlnm.Print_Area" localSheetId="8">'様式５　自己点検・評価'!$A$1:$J$18</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3" i="41" l="1"/>
  <c r="K91" i="41"/>
  <c r="K69" i="41"/>
  <c r="K46" i="41"/>
  <c r="K31" i="41"/>
  <c r="I29" i="41"/>
  <c r="C28" i="41"/>
  <c r="K15" i="41"/>
  <c r="K8" i="41"/>
  <c r="K5" i="41"/>
  <c r="K18" i="42" l="1"/>
  <c r="K16" i="42"/>
  <c r="K15" i="42"/>
  <c r="K14" i="42"/>
  <c r="K13" i="42"/>
  <c r="K11" i="42"/>
  <c r="K10" i="42"/>
  <c r="K9" i="42"/>
  <c r="K8" i="42"/>
  <c r="K7" i="42"/>
  <c r="C4" i="40" l="1"/>
  <c r="O45" i="8"/>
  <c r="O44" i="8"/>
  <c r="O41" i="8"/>
  <c r="O39" i="8"/>
  <c r="O37" i="8"/>
  <c r="O34" i="8"/>
  <c r="O32" i="8"/>
  <c r="O29" i="8"/>
  <c r="O20" i="8"/>
  <c r="O18" i="8"/>
  <c r="O16" i="8"/>
  <c r="O14" i="8"/>
  <c r="O12" i="8"/>
  <c r="O10" i="8"/>
  <c r="O6" i="8"/>
  <c r="O8" i="8"/>
  <c r="O4" i="8"/>
  <c r="P30" i="40" l="1"/>
  <c r="O30" i="40"/>
  <c r="N30" i="40"/>
  <c r="M30" i="40"/>
  <c r="L30" i="40"/>
  <c r="K30" i="40"/>
  <c r="J30" i="40"/>
  <c r="I30" i="40"/>
  <c r="H30" i="40"/>
  <c r="G30" i="40"/>
  <c r="F30" i="40"/>
  <c r="E30" i="40"/>
  <c r="D30" i="40"/>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Q14" i="40"/>
  <c r="R14" i="40" s="1"/>
  <c r="Q13" i="40"/>
  <c r="R13" i="40" s="1"/>
  <c r="Q12" i="40"/>
  <c r="R12" i="40" s="1"/>
  <c r="Q11" i="40"/>
  <c r="R11" i="40" s="1"/>
  <c r="Q10" i="40"/>
  <c r="Q30" i="40" l="1"/>
  <c r="R30" i="40" s="1"/>
  <c r="R10" i="40"/>
</calcChain>
</file>

<file path=xl/sharedStrings.xml><?xml version="1.0" encoding="utf-8"?>
<sst xmlns="http://schemas.openxmlformats.org/spreadsheetml/2006/main" count="971" uniqueCount="384">
  <si>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</si>
  <si>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</si>
  <si>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</si>
  <si>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</si>
  <si>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</si>
  <si>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</si>
  <si>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</si>
  <si>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</si>
  <si>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</si>
  <si>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⑤</t>
    <phoneticPr fontId="1"/>
  </si>
  <si>
    <t>④</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</si>
  <si>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</si>
  <si>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</si>
  <si>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</si>
  <si>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</si>
  <si>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</si>
  <si>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</si>
  <si>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</si>
  <si>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</si>
  <si>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</si>
  <si>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</si>
  <si>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</si>
  <si>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</si>
  <si>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</si>
  <si>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</si>
  <si>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</si>
  <si>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</si>
  <si>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</si>
  <si>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</si>
  <si>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</si>
  <si>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</si>
  <si>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</si>
  <si>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</si>
  <si>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</si>
  <si>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</si>
  <si>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</si>
  <si>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</si>
  <si>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</si>
  <si>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</si>
  <si>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</si>
  <si>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</si>
  <si>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</si>
  <si>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</si>
  <si>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</si>
  <si>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</si>
  <si>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</si>
  <si>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</si>
  <si>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</si>
  <si>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</si>
  <si>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</si>
  <si>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</si>
  <si>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</si>
  <si>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</si>
  <si>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</si>
  <si>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</si>
  <si>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</si>
  <si>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</si>
  <si>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</si>
  <si>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</si>
  <si>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</si>
  <si>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</si>
  <si>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</si>
  <si>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</si>
  <si>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</si>
  <si>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</si>
  <si>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</si>
  <si>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</si>
  <si>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</si>
  <si>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</si>
  <si>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</si>
  <si>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</si>
  <si>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</si>
  <si>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</si>
  <si>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</si>
  <si>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</si>
  <si>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</si>
  <si>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</si>
  <si>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</si>
  <si>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</si>
  <si>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</si>
  <si>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</si>
  <si>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</si>
  <si>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</si>
  <si>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</si>
  <si>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</si>
  <si>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</si>
  <si>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</si>
  <si>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</si>
  <si>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</si>
  <si>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</si>
  <si>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</si>
  <si>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</si>
  <si>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</si>
  <si>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</si>
  <si>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授業科目</t>
    <rPh sb="0" eb="2">
      <t>ジュギョウ</t>
    </rPh>
    <rPh sb="2" eb="4">
      <t>カモク</t>
    </rPh>
    <phoneticPr fontId="1"/>
  </si>
  <si>
    <t>開講状況</t>
    <phoneticPr fontId="1"/>
  </si>
  <si>
    <t>講義内容</t>
    <rPh sb="0" eb="2">
      <t>コウギ</t>
    </rPh>
    <rPh sb="2" eb="4">
      <t>ナイヨウ</t>
    </rPh>
    <phoneticPr fontId="1"/>
  </si>
  <si>
    <t>1-1</t>
    <phoneticPr fontId="1"/>
  </si>
  <si>
    <t>2-1</t>
    <phoneticPr fontId="1"/>
  </si>
  <si>
    <t>3-1</t>
    <phoneticPr fontId="1"/>
  </si>
  <si>
    <t>1-6</t>
  </si>
  <si>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</si>
  <si>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</si>
  <si>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</si>
  <si>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</si>
  <si>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</si>
  <si>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</si>
  <si>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</si>
  <si>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</si>
  <si>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</si>
  <si>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</si>
  <si>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</si>
  <si>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</si>
  <si>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</si>
  <si>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</si>
  <si>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</si>
  <si>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</si>
  <si>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</si>
  <si>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</si>
  <si>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⑧選択「４．オプション」の内容を含む授業科目</t>
    <rPh sb="13" eb="15">
      <t>ナイヨウ</t>
    </rPh>
    <rPh sb="16" eb="17">
      <t>フク</t>
    </rPh>
    <rPh sb="18" eb="20">
      <t>ジュギョウ</t>
    </rPh>
    <rPh sb="20" eb="22">
      <t>カモク</t>
    </rPh>
    <phoneticPr fontId="1"/>
  </si>
  <si>
    <t>必修</t>
    <rPh sb="0" eb="2">
      <t>ヒッシュウ</t>
    </rPh>
    <phoneticPr fontId="1"/>
  </si>
  <si>
    <t>単位数</t>
    <rPh sb="0" eb="3">
      <t>タンイスウ</t>
    </rPh>
    <phoneticPr fontId="1"/>
  </si>
  <si>
    <t>⑩プログラムの学修成果（学生等が身に付けられる能力等）</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</si>
  <si>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</si>
  <si>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</si>
  <si>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</si>
  <si>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豊田工業高等専門学校</t>
    <rPh sb="0" eb="10">
      <t>トヨタコウギョウコウトウセンモンガッコウ</t>
    </rPh>
    <phoneticPr fontId="1"/>
  </si>
  <si>
    <t>独立行政法人国立高等専門学校機構</t>
    <rPh sb="0" eb="6">
      <t>ドクリツギョウセイホウジン</t>
    </rPh>
    <rPh sb="6" eb="16">
      <t>コクリツコウトウセンモンガッコウキコウ</t>
    </rPh>
    <phoneticPr fontId="1"/>
  </si>
  <si>
    <t>高等専門学校</t>
  </si>
  <si>
    <t>愛知県豊田市栄生町２－１</t>
    <rPh sb="0" eb="3">
      <t>アイチケン</t>
    </rPh>
    <rPh sb="3" eb="6">
      <t>トヨタシ</t>
    </rPh>
    <rPh sb="6" eb="9">
      <t>エイセイチョウ</t>
    </rPh>
    <phoneticPr fontId="1"/>
  </si>
  <si>
    <t>豊田工業高等専門学校　数理・データサイエンス・AI教育プログラム</t>
    <rPh sb="0" eb="10">
      <t>トヨタコウギョウコウトウセンモンガッコウ</t>
    </rPh>
    <rPh sb="11" eb="13">
      <t>スウリ</t>
    </rPh>
    <rPh sb="25" eb="27">
      <t>キョウイク</t>
    </rPh>
    <phoneticPr fontId="1"/>
  </si>
  <si>
    <t>無</t>
  </si>
  <si>
    <t>校長</t>
    <rPh sb="0" eb="2">
      <t>コウチョウ</t>
    </rPh>
    <phoneticPr fontId="1"/>
  </si>
  <si>
    <t>教務委員会</t>
    <rPh sb="0" eb="5">
      <t>キョウムイインカイ</t>
    </rPh>
    <phoneticPr fontId="1"/>
  </si>
  <si>
    <t>安藤　浩哉</t>
    <rPh sb="0" eb="2">
      <t>アンドウ</t>
    </rPh>
    <rPh sb="3" eb="4">
      <t>ヒロ</t>
    </rPh>
    <rPh sb="4" eb="5">
      <t>ヤ</t>
    </rPh>
    <phoneticPr fontId="1"/>
  </si>
  <si>
    <t>教務主事</t>
    <rPh sb="0" eb="4">
      <t>キョウムシュジ</t>
    </rPh>
    <phoneticPr fontId="1"/>
  </si>
  <si>
    <t>自己点検・評価・将来計画委員会</t>
    <rPh sb="0" eb="4">
      <t>ジコテンケン</t>
    </rPh>
    <rPh sb="5" eb="7">
      <t>ヒョウカ</t>
    </rPh>
    <rPh sb="8" eb="12">
      <t>ショウライケイカク</t>
    </rPh>
    <rPh sb="12" eb="15">
      <t>イインカイ</t>
    </rPh>
    <phoneticPr fontId="1"/>
  </si>
  <si>
    <t>認定教育プログラム</t>
  </si>
  <si>
    <t>学生課教務係</t>
    <rPh sb="0" eb="3">
      <t>ガクセイカ</t>
    </rPh>
    <rPh sb="3" eb="6">
      <t>キョウムガカリ</t>
    </rPh>
    <phoneticPr fontId="1"/>
  </si>
  <si>
    <t>金子美智子</t>
    <rPh sb="0" eb="5">
      <t>カネコミチコ</t>
    </rPh>
    <phoneticPr fontId="1"/>
  </si>
  <si>
    <t>kyoumu@toyota-ct.ac.jp</t>
    <phoneticPr fontId="1"/>
  </si>
  <si>
    <t>0565-36-5914</t>
    <phoneticPr fontId="1"/>
  </si>
  <si>
    <t>①具体的な修了要件</t>
    <phoneticPr fontId="1"/>
  </si>
  <si>
    <t>学部・学科によって、修了要件は相違する</t>
  </si>
  <si>
    <t>全学開講</t>
  </si>
  <si>
    <t>○</t>
  </si>
  <si>
    <t>開講状況</t>
    <phoneticPr fontId="1"/>
  </si>
  <si>
    <t>1-2</t>
    <phoneticPr fontId="1"/>
  </si>
  <si>
    <t>1-3</t>
    <phoneticPr fontId="1"/>
  </si>
  <si>
    <t>1-2</t>
    <phoneticPr fontId="1"/>
  </si>
  <si>
    <t>1-4</t>
    <phoneticPr fontId="1"/>
  </si>
  <si>
    <t>開講状況</t>
    <phoneticPr fontId="1"/>
  </si>
  <si>
    <t>1-4</t>
    <phoneticPr fontId="1"/>
  </si>
  <si>
    <t>情報基礎</t>
  </si>
  <si>
    <t>3-2</t>
    <phoneticPr fontId="1"/>
  </si>
  <si>
    <t>3-2</t>
    <phoneticPr fontId="1"/>
  </si>
  <si>
    <t>工学基礎演習</t>
  </si>
  <si>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</si>
  <si>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</si>
  <si>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</si>
  <si>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</si>
  <si>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2-1</t>
    <phoneticPr fontId="1"/>
  </si>
  <si>
    <t>2-2</t>
    <phoneticPr fontId="1"/>
  </si>
  <si>
    <t>工学実験A</t>
  </si>
  <si>
    <t>4-1統計および数理基礎</t>
  </si>
  <si>
    <t>⑨プログラムを構成する授業の内容</t>
    <phoneticPr fontId="1"/>
  </si>
  <si>
    <t>授業に含まれている内容・要素</t>
    <phoneticPr fontId="1"/>
  </si>
  <si>
    <t>（１）現在進行中の社会変化（第４次産業革命、Society 5.0、データ駆動型社会等）に深く寄与しているものであり、それが自らの生活と密接に結びついている</t>
    <phoneticPr fontId="1"/>
  </si>
  <si>
    <t>1-1</t>
    <phoneticPr fontId="1"/>
  </si>
  <si>
    <t>1-6</t>
    <phoneticPr fontId="1"/>
  </si>
  <si>
    <t>（２）「社会で活用されているデータ」や「データの活用領域」は非常に広範囲であって、日常生活や社会の課題を解決する有用なツールになり得るもの</t>
    <phoneticPr fontId="1"/>
  </si>
  <si>
    <t>1-2</t>
    <phoneticPr fontId="1"/>
  </si>
  <si>
    <t>1-3</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</si>
  <si>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</si>
  <si>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1-5</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</si>
  <si>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</si>
  <si>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</si>
  <si>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2-3</t>
    <phoneticPr fontId="1"/>
  </si>
  <si>
    <t>⑩プログラムの学修成果（学生等が身に付けられる能力等）</t>
    <phoneticPr fontId="1"/>
  </si>
  <si>
    <t>⑪プログラムの授業内容等を公表しているアドレス</t>
    <phoneticPr fontId="1"/>
  </si>
  <si>
    <t>1-1</t>
    <phoneticPr fontId="1"/>
  </si>
  <si>
    <t>情報基礎</t>
    <rPh sb="0" eb="2">
      <t>ジョウホウ</t>
    </rPh>
    <rPh sb="2" eb="4">
      <t>キソ</t>
    </rPh>
    <phoneticPr fontId="1"/>
  </si>
  <si>
    <t>1-3</t>
    <phoneticPr fontId="1"/>
  </si>
  <si>
    <t>確率</t>
    <rPh sb="0" eb="2">
      <t>カクリツ</t>
    </rPh>
    <phoneticPr fontId="1"/>
  </si>
  <si>
    <t>1-5</t>
    <phoneticPr fontId="1"/>
  </si>
  <si>
    <t>3-1</t>
    <phoneticPr fontId="1"/>
  </si>
  <si>
    <t>3-1</t>
    <phoneticPr fontId="1"/>
  </si>
  <si>
    <t>現代社会A</t>
    <rPh sb="0" eb="4">
      <t>ゲンダイシャカイ</t>
    </rPh>
    <phoneticPr fontId="1"/>
  </si>
  <si>
    <t>2-1</t>
    <phoneticPr fontId="1"/>
  </si>
  <si>
    <t>2-2</t>
    <phoneticPr fontId="1"/>
  </si>
  <si>
    <t>2-1</t>
    <phoneticPr fontId="1"/>
  </si>
  <si>
    <t>物理実験</t>
    <rPh sb="0" eb="2">
      <t>ブツリ</t>
    </rPh>
    <rPh sb="2" eb="4">
      <t>ジッケン</t>
    </rPh>
    <phoneticPr fontId="1"/>
  </si>
  <si>
    <t>（１）現在進行中の社会変化（第４次産業革命、Society 5.0、データ駆動型社会等）に深く寄与しているものであり、それが自らの生活と密接に結びついている</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</si>
  <si>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</si>
  <si>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</si>
  <si>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2-2</t>
    <phoneticPr fontId="1"/>
  </si>
  <si>
    <t>コンピュータリテラシ</t>
    <phoneticPr fontId="1"/>
  </si>
  <si>
    <t>情報技術概論</t>
    <rPh sb="0" eb="4">
      <t>ジョウホウギジュツ</t>
    </rPh>
    <rPh sb="4" eb="6">
      <t>ガイロン</t>
    </rPh>
    <phoneticPr fontId="1"/>
  </si>
  <si>
    <t>情報基礎</t>
    <rPh sb="0" eb="4">
      <t>ジョウホウキソ</t>
    </rPh>
    <phoneticPr fontId="1"/>
  </si>
  <si>
    <t>コンピュータリテラシ</t>
    <phoneticPr fontId="1"/>
  </si>
  <si>
    <t>情報工学ゼミⅠ</t>
    <rPh sb="0" eb="4">
      <t>ジョウホウコウガク</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</si>
  <si>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</si>
  <si>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t>
    <phoneticPr fontId="1"/>
  </si>
  <si>
    <t>○</t>
    <phoneticPr fontId="1"/>
  </si>
  <si>
    <t>工学実験ⅠA</t>
    <rPh sb="0" eb="4">
      <t>コウガクジッケン</t>
    </rPh>
    <phoneticPr fontId="1"/>
  </si>
  <si>
    <t>⑨プログラムを構成する授業の内容</t>
    <phoneticPr fontId="1"/>
  </si>
  <si>
    <t>授業に含まれている内容・要素</t>
    <phoneticPr fontId="1"/>
  </si>
  <si>
    <t>（１）現在進行中の社会変化（第４次産業革命、Society 5.0、データ駆動型社会等）に深く寄与しているものであり、それが自らの生活と密接に結びついている</t>
    <phoneticPr fontId="1"/>
  </si>
  <si>
    <t>1-1</t>
    <phoneticPr fontId="1"/>
  </si>
  <si>
    <t>・データサイエンスやAIによる現代社会の変化に関する調査，資料の作成，発表「コンピュータリテラシ」（13, 14, 15回目）</t>
    <rPh sb="60" eb="62">
      <t>カイメ</t>
    </rPh>
    <phoneticPr fontId="1"/>
  </si>
  <si>
    <t>1-6</t>
    <phoneticPr fontId="1"/>
  </si>
  <si>
    <t>・データサイエンスやAIによる現代社会の変化に関する調査，資料の作成，発表「コンピュータリテラシ」（13, 14, 15回目）</t>
    <phoneticPr fontId="1"/>
  </si>
  <si>
    <t>（２）「社会で活用されているデータ」や「データの活用領域」は非常に広範囲であって、日常生活や社会の課題を解決する有用なツールになり得るもの</t>
    <phoneticPr fontId="1"/>
  </si>
  <si>
    <t>1-2</t>
    <phoneticPr fontId="1"/>
  </si>
  <si>
    <t>1-3</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</si>
  <si>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</si>
  <si>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1-4</t>
    <phoneticPr fontId="1"/>
  </si>
  <si>
    <t>・各適用領域のデータを用いたExcel演習「コンピュータリテラシ」（10回目）</t>
    <rPh sb="36" eb="38">
      <t>カイメ</t>
    </rPh>
    <phoneticPr fontId="1"/>
  </si>
  <si>
    <t>1-5</t>
    <phoneticPr fontId="1"/>
  </si>
  <si>
    <t>・現代の情報科社会にいたる経緯「情報基礎」（1回目）</t>
    <rPh sb="16" eb="20">
      <t>ジョウホウキソ</t>
    </rPh>
    <rPh sb="23" eb="25">
      <t>カイメ</t>
    </rPh>
    <phoneticPr fontId="1"/>
  </si>
  <si>
    <t>（４）活用に当たっての様々な留意事項（ELSI、個人情報、データ倫理、ＡＩ社会原則等）を考慮し、情報セキュリティや情報漏洩等、データを守る上での留意事項への理解をする</t>
    <phoneticPr fontId="1"/>
  </si>
  <si>
    <t>3-2</t>
    <phoneticPr fontId="1"/>
  </si>
  <si>
    <t>・クラウドの仕組み，電子メールの送信方法「コンピュータリテラシ」（1, 2回目）</t>
    <rPh sb="37" eb="39">
      <t>カイメ</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</si>
  <si>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</si>
  <si>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2-3</t>
    <phoneticPr fontId="1"/>
  </si>
  <si>
    <t>⑩プログラムの学修成果（学生等が身に付けられる能力等）</t>
    <phoneticPr fontId="1"/>
  </si>
  <si>
    <t>⑪プログラムの授業内容等を公表しているアドレス</t>
    <phoneticPr fontId="1"/>
  </si>
  <si>
    <t>①具体的な修了要件</t>
    <phoneticPr fontId="1"/>
  </si>
  <si>
    <t>1-1</t>
    <phoneticPr fontId="1"/>
  </si>
  <si>
    <t>開講状況</t>
    <phoneticPr fontId="1"/>
  </si>
  <si>
    <t>1-3</t>
    <phoneticPr fontId="1"/>
  </si>
  <si>
    <t>1-5</t>
    <phoneticPr fontId="1"/>
  </si>
  <si>
    <t>2-3</t>
    <phoneticPr fontId="1"/>
  </si>
  <si>
    <t>3-1</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</si>
  <si>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</si>
  <si>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⑪プログラムの授業内容等を公表しているアドレス</t>
    <phoneticPr fontId="1"/>
  </si>
  <si>
    <t>4‐8データ活用実践（教師あり学習）</t>
  </si>
  <si>
    <t xml:space="preserve">情報基礎				</t>
  </si>
  <si>
    <t>4‐2アルゴリズム基礎</t>
  </si>
  <si>
    <t>4‐3データ構造とプログラミング基礎</t>
  </si>
  <si>
    <t>4‐4時系列データ解析</t>
  </si>
  <si>
    <t>4‐5テキスト解析</t>
  </si>
  <si>
    <t>4‐6画像解析</t>
  </si>
  <si>
    <t>4‐7データハンドリング</t>
  </si>
  <si>
    <t>⑨プログラムを構成する授業の内容</t>
    <phoneticPr fontId="1"/>
  </si>
  <si>
    <t>1-6</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</si>
  <si>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</si>
  <si>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様式２－１</t>
    <phoneticPr fontId="1"/>
  </si>
  <si>
    <t>様式２－３</t>
    <phoneticPr fontId="1"/>
  </si>
  <si>
    <t>様式２－４</t>
    <phoneticPr fontId="1"/>
  </si>
  <si>
    <t>様式２－５</t>
    <phoneticPr fontId="1"/>
  </si>
  <si>
    <t>確率</t>
    <phoneticPr fontId="1"/>
  </si>
  <si>
    <t>現代社会A</t>
  </si>
  <si>
    <t>物理実験</t>
    <rPh sb="0" eb="4">
      <t>ブツリジッケン</t>
    </rPh>
    <phoneticPr fontId="1"/>
  </si>
  <si>
    <t>○</t>
    <phoneticPr fontId="1"/>
  </si>
  <si>
    <t>現代社会A</t>
    <phoneticPr fontId="1"/>
  </si>
  <si>
    <t>確率</t>
    <phoneticPr fontId="1"/>
  </si>
  <si>
    <t>現代社会A</t>
    <phoneticPr fontId="1"/>
  </si>
  <si>
    <t>機械工学科</t>
    <rPh sb="0" eb="5">
      <t>キカイコウガッカ</t>
    </rPh>
    <phoneticPr fontId="1"/>
  </si>
  <si>
    <t>電気・電子システム工学科</t>
    <rPh sb="0" eb="2">
      <t>デンキ</t>
    </rPh>
    <rPh sb="3" eb="5">
      <t>デンシ</t>
    </rPh>
    <rPh sb="9" eb="12">
      <t>コウガッカ</t>
    </rPh>
    <phoneticPr fontId="1"/>
  </si>
  <si>
    <t>情報工学科</t>
    <rPh sb="0" eb="5">
      <t>ジョウホウコウガッカ</t>
    </rPh>
    <phoneticPr fontId="1"/>
  </si>
  <si>
    <t>環境都市工学科</t>
    <rPh sb="0" eb="7">
      <t>カンキョウトシコウガッカ</t>
    </rPh>
    <phoneticPr fontId="1"/>
  </si>
  <si>
    <t>建築学科</t>
    <rPh sb="0" eb="4">
      <t>ケンチクガッカ</t>
    </rPh>
    <phoneticPr fontId="1"/>
  </si>
  <si>
    <t>プログラムを構成する授業科目について</t>
    <phoneticPr fontId="1"/>
  </si>
  <si>
    <t>①具体的な修了要件</t>
    <phoneticPr fontId="1"/>
  </si>
  <si>
    <t>②教育プログラムの修了要件</t>
    <phoneticPr fontId="1"/>
  </si>
  <si>
    <t>開講状況</t>
    <phoneticPr fontId="1"/>
  </si>
  <si>
    <t>1-1</t>
    <phoneticPr fontId="1"/>
  </si>
  <si>
    <t>1-2</t>
    <phoneticPr fontId="1"/>
  </si>
  <si>
    <t>1-3</t>
    <phoneticPr fontId="1"/>
  </si>
  <si>
    <t>1-4</t>
    <phoneticPr fontId="1"/>
  </si>
  <si>
    <t>1-5</t>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</si>
  <si>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</si>
  <si>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</si>
  <si>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</si>
  <si>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</si>
  <si>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</si>
  <si>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</si>
  <si>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⑨プログラムを構成する授業の内容</t>
    <phoneticPr fontId="1"/>
  </si>
  <si>
    <t>授業に含まれている内容・要素</t>
    <phoneticPr fontId="1"/>
  </si>
  <si>
    <t>（１）現在進行中の社会変化（第４次産業革命、Society 5.0、データ駆動型社会等）に深く寄与しているものであり、それが自らの生活と密接に結びついている</t>
    <phoneticPr fontId="1"/>
  </si>
  <si>
    <t>1-1</t>
    <phoneticPr fontId="1"/>
  </si>
  <si>
    <t>・情報化社会の功罪の「罪」の方、情報モラルテストと宣誓書「情報基礎」(4回目)</t>
    <rPh sb="29" eb="31">
      <t>ジョウホウ</t>
    </rPh>
    <rPh sb="31" eb="33">
      <t>キソ</t>
    </rPh>
    <rPh sb="36" eb="38">
      <t>カイメ</t>
    </rPh>
    <phoneticPr fontId="1"/>
  </si>
  <si>
    <t>1-6</t>
    <phoneticPr fontId="1"/>
  </si>
  <si>
    <t>・情報化社会の功罪の「罪」の方、情報モラルテストと宣誓書「情報基礎」(4回目)</t>
    <phoneticPr fontId="1"/>
  </si>
  <si>
    <t>（２）「社会で活用されているデータ」や「データの活用領域」は非常に広範囲であって、日常生活や社会の課題を解決する有用なツールになり得るもの</t>
    <phoneticPr fontId="1"/>
  </si>
  <si>
    <t>1-2</t>
    <phoneticPr fontId="1"/>
  </si>
  <si>
    <t>・平均値と分散・標準偏差「確率」(13回目)</t>
    <rPh sb="13" eb="15">
      <t>カクリツ</t>
    </rPh>
    <rPh sb="19" eb="21">
      <t>カイメ</t>
    </rPh>
    <phoneticPr fontId="1"/>
  </si>
  <si>
    <t>1-3</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</si>
  <si>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</si>
  <si>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1-4</t>
    <phoneticPr fontId="1"/>
  </si>
  <si>
    <t>1-5</t>
    <phoneticPr fontId="1"/>
  </si>
  <si>
    <t>（４）活用に当たっての様々な留意事項（ELSI、個人情報、データ倫理、ＡＩ社会原則等）を考慮し、情報セキュリティや情報漏洩等、データを守る上での留意事項への理解をする</t>
    <phoneticPr fontId="1"/>
  </si>
  <si>
    <t>3-1</t>
    <phoneticPr fontId="1"/>
  </si>
  <si>
    <t>・ネットワークの基礎、情報セキュリティ「情報基礎」(3回目)
・高度情報社会：高度情報社会の課題、情報リテラシー「現代社会A」(7回目)</t>
    <rPh sb="20" eb="22">
      <t>ジョウホウ</t>
    </rPh>
    <rPh sb="22" eb="24">
      <t>キソ</t>
    </rPh>
    <rPh sb="27" eb="29">
      <t>カイメ</t>
    </rPh>
    <rPh sb="32" eb="34">
      <t>コウド</t>
    </rPh>
    <rPh sb="34" eb="38">
      <t>ジョウホウシャカイ</t>
    </rPh>
    <rPh sb="39" eb="45">
      <t>コウドジョウホウシャカイ</t>
    </rPh>
    <rPh sb="46" eb="48">
      <t>カダイ</t>
    </rPh>
    <rPh sb="49" eb="51">
      <t>ジョウホウ</t>
    </rPh>
    <rPh sb="57" eb="61">
      <t>ゲンダイシャカイ</t>
    </rPh>
    <rPh sb="65" eb="67">
      <t>カイメ</t>
    </rPh>
    <phoneticPr fontId="1"/>
  </si>
  <si>
    <t>3-2</t>
    <phoneticPr fontId="1"/>
  </si>
  <si>
    <t>・ネットワークの基礎、情報セキュリティ「情報基礎」(3回目)</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</si>
  <si>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</si>
  <si>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</si>
  <si>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・表計算ソフトの基礎「情報基礎」(9～12回目)
・平均値と分散・標準偏差「確率」(13回目)
・実験データの取得、有効桁数の評価「物理実験」(2, 4, 6, 9, 11, 13回目)</t>
    <rPh sb="11" eb="13">
      <t>ジョウホウ</t>
    </rPh>
    <rPh sb="13" eb="15">
      <t>キソ</t>
    </rPh>
    <rPh sb="21" eb="23">
      <t>カイメ</t>
    </rPh>
    <rPh sb="38" eb="40">
      <t>カクリツ</t>
    </rPh>
    <rPh sb="44" eb="46">
      <t>カイメ</t>
    </rPh>
    <rPh sb="49" eb="51">
      <t>ジッケン</t>
    </rPh>
    <rPh sb="55" eb="57">
      <t>シュトク</t>
    </rPh>
    <rPh sb="58" eb="62">
      <t>ユウコウケタスウ</t>
    </rPh>
    <rPh sb="63" eb="65">
      <t>ヒョウカ</t>
    </rPh>
    <rPh sb="66" eb="68">
      <t>ブツリ</t>
    </rPh>
    <rPh sb="68" eb="70">
      <t>ジッケン</t>
    </rPh>
    <rPh sb="90" eb="92">
      <t>カイメ</t>
    </rPh>
    <phoneticPr fontId="1"/>
  </si>
  <si>
    <t>2-2</t>
    <phoneticPr fontId="1"/>
  </si>
  <si>
    <t>・表やグラフを用いた整理、誤差解析「物理実験」(3, 5, 7, 10, 12, 14回目)</t>
    <rPh sb="1" eb="2">
      <t>ヒョウ</t>
    </rPh>
    <rPh sb="7" eb="8">
      <t>モチ</t>
    </rPh>
    <rPh sb="10" eb="12">
      <t>セイリ</t>
    </rPh>
    <rPh sb="13" eb="15">
      <t>ゴサ</t>
    </rPh>
    <rPh sb="15" eb="17">
      <t>カイセキ</t>
    </rPh>
    <rPh sb="18" eb="20">
      <t>ブツリ</t>
    </rPh>
    <rPh sb="20" eb="22">
      <t>ジッケン</t>
    </rPh>
    <rPh sb="43" eb="45">
      <t>カイメ</t>
    </rPh>
    <phoneticPr fontId="1"/>
  </si>
  <si>
    <t>2-3</t>
    <phoneticPr fontId="1"/>
  </si>
  <si>
    <t>・表計算ソフトの基礎「情報基礎」(9～12回目)
・考察、レポート作成「物理実験」(3, 5, 7, 10, 12, 14回目)</t>
    <rPh sb="11" eb="13">
      <t>ジョウホウ</t>
    </rPh>
    <rPh sb="13" eb="15">
      <t>キソ</t>
    </rPh>
    <rPh sb="21" eb="23">
      <t>カイメ</t>
    </rPh>
    <rPh sb="26" eb="28">
      <t>コウサツ</t>
    </rPh>
    <rPh sb="33" eb="35">
      <t>サクセイ</t>
    </rPh>
    <rPh sb="36" eb="38">
      <t>ブツリ</t>
    </rPh>
    <rPh sb="38" eb="40">
      <t>ジッケン</t>
    </rPh>
    <rPh sb="61" eb="63">
      <t>カイメ</t>
    </rPh>
    <phoneticPr fontId="1"/>
  </si>
  <si>
    <t>⑩プログラムの学修成果（学生等が身に付けられる能力等）</t>
    <phoneticPr fontId="1"/>
  </si>
  <si>
    <t>⑪プログラムの授業内容等を公表しているアドレス</t>
    <phoneticPr fontId="1"/>
  </si>
  <si>
    <t>・実験データの取得およびレポート作成「工学実験A」（1～15回目）
・考察，レポート作成「物理実験」（3, 5, 7, 10, 12,14回目)</t>
    <rPh sb="45" eb="49">
      <t>ブツリジッケン</t>
    </rPh>
    <rPh sb="69" eb="71">
      <t>カイメ</t>
    </rPh>
    <phoneticPr fontId="1"/>
  </si>
  <si>
    <t>様式２－２</t>
    <phoneticPr fontId="1"/>
  </si>
  <si>
    <t>・2進数による表現「情報技術概論」（2回目）
・文字コード「情報技術概論」（6回目）
・マルチメディアデータの表現「情報技術概論」（12回目）
・インターネットの仕組み「情報技術概論」（14回目）
・平均値と分散・標準偏差「確率」（13）</t>
    <rPh sb="10" eb="14">
      <t>ジョウホウギジュツ</t>
    </rPh>
    <rPh sb="14" eb="16">
      <t>ガイロン</t>
    </rPh>
    <rPh sb="19" eb="21">
      <t>カイメ</t>
    </rPh>
    <rPh sb="112" eb="114">
      <t>カクリツ</t>
    </rPh>
    <phoneticPr fontId="1"/>
  </si>
  <si>
    <t>・情報の信頼性「情報基礎」（6回目）
・個人情報保護法と著作権法「情報基礎」（11回目）
・インターネット上のトラブルと犯罪「情報基礎」（12回目）
・情報セキュリティ技術「情報基礎」（14回目）
・高度情報社会：高度情報社会の課題、情報リテラシー「現代社会A」（7回目）</t>
    <rPh sb="8" eb="12">
      <t>ジョウホウキソ</t>
    </rPh>
    <rPh sb="15" eb="17">
      <t>カイメ</t>
    </rPh>
    <rPh sb="41" eb="43">
      <t>カイメ</t>
    </rPh>
    <rPh sb="71" eb="73">
      <t>カイメ</t>
    </rPh>
    <rPh sb="95" eb="97">
      <t>カイメ</t>
    </rPh>
    <rPh sb="125" eb="129">
      <t>ゲンダイシャカイ</t>
    </rPh>
    <rPh sb="133" eb="135">
      <t>カイメ</t>
    </rPh>
    <phoneticPr fontId="1"/>
  </si>
  <si>
    <t>・測定機器の使い方「工学実験ⅠA」（1, 4回目）
・アナログセンサを用いた測定実験「工学実験ⅠA」（11回目）
・マイコンを用いた電子回路実験「工学実験ⅠA」（3回目）
・各適用領域のデータを用いたExcel演習「コンピュータリテラシ」（10回目）
・表やグラフを用いた整理，誤差解析「物理実験」（3, 5, 7, 10, 12,14回目)</t>
    <rPh sb="144" eb="148">
      <t>ブツリジッケン</t>
    </rPh>
    <rPh sb="168" eb="170">
      <t>カイメ</t>
    </rPh>
    <phoneticPr fontId="1"/>
  </si>
  <si>
    <t>・測定機器の使い方「工学実験ⅠA」（1, 4回目）
・アナログセンサを用いた測定実験「工学実験ⅠA」（11回目）
・マイコンを用いた電子回路実験「工学実験ⅠA」（3回目）
・各適用領域のデータを用いたExcel演習「コンピュータリテラシ」（10回目）
・実験データの取得，有効桁数の評価「物理実験」（2, 4, 6, 9, 11, 13回目)</t>
    <rPh sb="10" eb="14">
      <t>コウガクジッケン</t>
    </rPh>
    <rPh sb="22" eb="24">
      <t>カイメ</t>
    </rPh>
    <rPh sb="43" eb="47">
      <t>コウガクジッケン</t>
    </rPh>
    <rPh sb="53" eb="55">
      <t>カイメ</t>
    </rPh>
    <rPh sb="73" eb="78">
      <t>コウガクジッケンイチ</t>
    </rPh>
    <rPh sb="82" eb="84">
      <t>カイメ</t>
    </rPh>
    <rPh sb="144" eb="148">
      <t>ブツリジッケン</t>
    </rPh>
    <rPh sb="168" eb="170">
      <t>カイメ</t>
    </rPh>
    <phoneticPr fontId="1"/>
  </si>
  <si>
    <t>・測定機器の使い方「工学実験ⅠA」（1, 4回目）
・アナログセンサを用いた測定実験「工学実験ⅠA」（11回目）
・マイコンを用いた電子回路実験「工学実験ⅠA」（3回目）
・各適用領域のデータを用いたExcel演習「コンピュータリテラシ」（10回目）
・考察，レポート作成「物理実験」（3, 5, 7, 10, 12,14回目)</t>
    <rPh sb="137" eb="141">
      <t>ブツリジッケン</t>
    </rPh>
    <rPh sb="161" eb="163">
      <t>カイメ</t>
    </rPh>
    <phoneticPr fontId="1"/>
  </si>
  <si>
    <t>情報基礎</t>
    <phoneticPr fontId="1"/>
  </si>
  <si>
    <t>情報基礎</t>
    <phoneticPr fontId="1"/>
  </si>
  <si>
    <t>・個人情報，情報セキュリティ，情報倫理，情報リテラシー，情報モラル，ネットワーク「情報基礎」（1回目，3〜6回目）</t>
    <phoneticPr fontId="1"/>
  </si>
  <si>
    <t>・SNS，ネットワーク，ICT活用とコミュニケーション技術「情報基礎」（1〜3回目，13〜15回目）</t>
    <phoneticPr fontId="1"/>
  </si>
  <si>
    <t>・個人情報，情報セキュリティ，情報倫理，情報リテラシー，情報モラル，ネットワーク「情報基礎」（1回目，3〜6回目）																						
・高度情報社会：高度情報社会の課題、情報リテラシー「現代社会A」（7回目）</t>
    <rPh sb="106" eb="110">
      <t>ゲンダイシャカイ</t>
    </rPh>
    <rPh sb="114" eb="116">
      <t>カイメ</t>
    </rPh>
    <phoneticPr fontId="1"/>
  </si>
  <si>
    <t xml:space="preserve">・個人情報，情報セキュリティ，情報倫理，情報リテラシー，情報モラル，ネットワーク「情報基礎」（1回目，3〜6回目）																						</t>
    <phoneticPr fontId="1"/>
  </si>
  <si>
    <t>・情報リテラシー／モラル「情報基礎」（１回目）
・SNSの注意点、電子メールの書き方「情報基礎」（2回目）
・ネットワークの基礎、情報セキュリティ「情報基礎」（3回目）</t>
    <rPh sb="13" eb="17">
      <t>ジョウホウキソ</t>
    </rPh>
    <rPh sb="20" eb="22">
      <t>カイメ</t>
    </rPh>
    <rPh sb="43" eb="47">
      <t>ジョウホウキソ</t>
    </rPh>
    <rPh sb="50" eb="52">
      <t>カイメ</t>
    </rPh>
    <rPh sb="74" eb="78">
      <t>ジョウホウキソ</t>
    </rPh>
    <rPh sb="81" eb="83">
      <t>カイメ</t>
    </rPh>
    <phoneticPr fontId="1"/>
  </si>
  <si>
    <t>・情報リテラシー／モラル「情報基礎」（1回目）
・SNSの注意点、電子メールの書き方「情報基礎」（2回目）
・ネットワークの基礎、情報セキュリティ「情報基礎」（3回目）</t>
    <rPh sb="13" eb="17">
      <t>ジョウホウキソ</t>
    </rPh>
    <rPh sb="20" eb="22">
      <t>カイメ</t>
    </rPh>
    <rPh sb="43" eb="47">
      <t>ジョウホウキソ</t>
    </rPh>
    <rPh sb="50" eb="52">
      <t>カイメ</t>
    </rPh>
    <rPh sb="74" eb="78">
      <t>ジョウホウキソ</t>
    </rPh>
    <rPh sb="81" eb="83">
      <t>カイメ</t>
    </rPh>
    <phoneticPr fontId="1"/>
  </si>
  <si>
    <t>・情報リテラシー／モラル「情報基礎」（1回目）
・SNSの注意点、電子メールの書き方「情報基礎」（2回目）
・ネットワークの基礎、情報セキュリティ「情報基礎」（3回目）
・平均値と分散・標準偏差「確率」（13回目）</t>
    <rPh sb="13" eb="17">
      <t>ジョウホウキソ</t>
    </rPh>
    <rPh sb="20" eb="22">
      <t>カイメ</t>
    </rPh>
    <rPh sb="43" eb="47">
      <t>ジョウホウキソ</t>
    </rPh>
    <rPh sb="50" eb="52">
      <t>カイメ</t>
    </rPh>
    <rPh sb="74" eb="78">
      <t>ジョウホウキソ</t>
    </rPh>
    <rPh sb="81" eb="83">
      <t>カイメ</t>
    </rPh>
    <rPh sb="98" eb="100">
      <t>カクリツ</t>
    </rPh>
    <rPh sb="104" eb="106">
      <t>カイメ</t>
    </rPh>
    <phoneticPr fontId="1"/>
  </si>
  <si>
    <t>・情報リテラシー／モラル「情報基礎」（1回目）
・SNSの注意点、電子メールの書き方「情報基礎」（2回目）
・ネットワークの基礎、情報セキュリティ「情報基礎」（3回目）
・平均値と分散・標準偏差「確率」（13回目）</t>
    <rPh sb="13" eb="17">
      <t>ジョウホウキソ</t>
    </rPh>
    <rPh sb="20" eb="22">
      <t>カイメ</t>
    </rPh>
    <rPh sb="43" eb="47">
      <t>ジョウホウキソ</t>
    </rPh>
    <rPh sb="50" eb="52">
      <t>カイメ</t>
    </rPh>
    <phoneticPr fontId="1"/>
  </si>
  <si>
    <t>・情報化社会の功罪「情報基礎」（4回目）</t>
    <rPh sb="10" eb="14">
      <t>ジョウホウキソ</t>
    </rPh>
    <rPh sb="17" eb="19">
      <t>カイメ</t>
    </rPh>
    <phoneticPr fontId="1"/>
  </si>
  <si>
    <t>・ネットワークの基礎、情報セキュリティ「情報基礎」（3回目）
・高度情報社会：高度情報社会の課題、情報リテラシー「現代社会A」（7回目）</t>
    <rPh sb="20" eb="24">
      <t>ジョウホウキソ</t>
    </rPh>
    <rPh sb="27" eb="29">
      <t>カイメ</t>
    </rPh>
    <rPh sb="57" eb="61">
      <t>ゲンダイシャカイ</t>
    </rPh>
    <rPh sb="65" eb="67">
      <t>カイメ</t>
    </rPh>
    <phoneticPr fontId="1"/>
  </si>
  <si>
    <t>・ネットワークの基礎、情報セキュリティ「情報基礎」（3回目）</t>
    <phoneticPr fontId="1"/>
  </si>
  <si>
    <t>・実データ等を用いたデータ作成演習「情報基礎」（8～10回目）
・実験データの取得，有効桁数の評価「物理実験」（2, 4, 6, 9, 11, 13回目)</t>
    <rPh sb="18" eb="22">
      <t>ジョウホウキソ</t>
    </rPh>
    <rPh sb="28" eb="30">
      <t>カイメ</t>
    </rPh>
    <rPh sb="50" eb="54">
      <t>ブツリジッケン</t>
    </rPh>
    <rPh sb="74" eb="76">
      <t>カイメ</t>
    </rPh>
    <phoneticPr fontId="1"/>
  </si>
  <si>
    <t>・実データ等を用いたデータ作成演習「情報基礎」（8～10回目）
・表やグラフを用いた整理，誤差解析「物理実験」（3, 5, 7, 10, 12,14回目)</t>
    <rPh sb="18" eb="22">
      <t>ジョウホウキソ</t>
    </rPh>
    <rPh sb="28" eb="30">
      <t>カイメ</t>
    </rPh>
    <rPh sb="50" eb="54">
      <t>ブツリジッケン</t>
    </rPh>
    <rPh sb="74" eb="76">
      <t>カイメ</t>
    </rPh>
    <phoneticPr fontId="1"/>
  </si>
  <si>
    <t>・実データ等を用いたデータ作成演習「情報基礎」（8～10回目）
・考察，レポート作成「物理実験」（3, 5, 7, 10, 12,14回目)</t>
    <rPh sb="18" eb="22">
      <t>ジョウホウキソ</t>
    </rPh>
    <rPh sb="28" eb="30">
      <t>カイメ</t>
    </rPh>
    <rPh sb="43" eb="47">
      <t>ブツリジッケン</t>
    </rPh>
    <rPh sb="67" eb="69">
      <t>カイメ</t>
    </rPh>
    <phoneticPr fontId="1"/>
  </si>
  <si>
    <t>①</t>
    <phoneticPr fontId="1"/>
  </si>
  <si>
    <t>教務委員会規程</t>
  </si>
  <si>
    <t>①</t>
    <phoneticPr fontId="1"/>
  </si>
  <si>
    <t>　豊田工業高等専門学校の本科及び専攻科の正課教育の運営を円滑にするために、豊田工業高等専門学校教務委員会を置く。教務委員会は数理・データサイエンス・AI教育プログラムを含む全学のカリキュラムや単位/成績を認定など全学科の教務に関する事項を掌握しており、教務委員会で本教育プログラムの質の向上や履修者数・履修率の向上に関する事項を取り扱う。</t>
  </si>
  <si>
    <t>　本校では，令和3年度の新入生から新カリキュラムが導入されており，数理・データサイエンス・AIの基礎的な事項を学生に修得させるように計画している。各年度の履修者数の目標を以下の通りとする。（（　）内は履修率）
令和3年度　213名（21％）
令和4年度　400名（40％）
令和5年度　600名（60％）
令和6年度　800名（80％）
令和7年度　1000名（100％）
　令和7年度には履修率がほぼ100％となり，それ以降も履修率がほぼ100%となる見込みである。なお，新カリキュラムが第5学年まで進行する令和7年度には約200名の修了生が認定され，それ以降も毎年200名の修了生が認定される見込みである。</t>
  </si>
  <si>
    <t>　５つの専門学科（機械工学科、電気・電子システム工学科、情報工学科、環境都市工学科、建築学科）の学生が専門性を活かしつつプログラムを履修できるように、各学科ごとに教育プログラムが構成されている。各学科とも学年ごとに40名定員のクラス制であり，クラスごとに時間割があるため学科に関係なく希望する学生全員が受講可能となるような体制が構築できている。</t>
  </si>
  <si>
    <t>　新カリキュラムへの移行にともない全学科の教育プログラムの全ての科目が必履修科目で構成されるようになっている。また、少人数教育（40名定員1クラスの担任制）という高専の特徴を活かし、各学科の教員が学生の専門性に対応した教材を用いて講義を行い、学生の履修・修得を支援している。</t>
  </si>
  <si>
    <t>　授業時間内外で、教員が学生に学習指導したり、教員が学生から質問を受け付けたりする具体的な仕組みとして、教員ごとに学習指導、質問を受け付けが可能な時間（オフィスアワー）を学生に公開し、対面や遠隔（学生や教員の個々に割り当てられたアカウントを利用したMicrosoftのTeams）で個別に学生をサポートする体制を構築している。</t>
  </si>
  <si>
    <t>　各学科で，数理・データサイエンス・AI分野を含む情報教育の強化を行っており，卒業時には各専門学科において、自らの専門分野においてデータ活用ができる素養を備えたエンジニアを育成するカリキュラムとなっている。教育プログラムを構成する科目の成績や前期末と後期末に実施される授業評価アンケート結果を分析することによって、授業内容に関する学生の学習状況を把握することができ、その結果を教務委員会、教育改善推進室が連携し、教育プログラムを含めたカリキュラムの評価・改善に活用している。</t>
  </si>
  <si>
    <t>　本教育プログラム受講者である学生全員に対して授業改善のためのアンケートを実施しており、学生の理解度を把握している。また授業アンケートを授業担当教員にフィードバックを行い、教員自らによる授業改善に活用している。令和3年度のアンケートでは学生の理解度は4点満点中3.11で概ね良好である。</t>
  </si>
  <si>
    <t>　新カリキュラムへ移行するのにともない全学生が教育プログラム履修者となるため、履修を促すための特別な推奨を特に行っていない。ただし、授業アンケートを通じて授業における学生の興味関心の確認は絶えず行っている。</t>
  </si>
  <si>
    <t>　令和3年度の入学生から導入されている新カリキュラムへ移行すると全学科の教育プログラムの全ての科目が必履修科目で構成されるようになっている。したがって，令和3年度の段階の履修率は約20%であるが，新カリキュラムが学年進行するにしたがって，履修率は毎年20%ずつ増加して令和7年度には100%になる予定である。</t>
  </si>
  <si>
    <t>　教育プログラム修了者の進路、活躍状況、企業等の評価 　卒業生を対象としたアンケートを定期的に実施し，本教育プログラムを修了した卒業生の学習目標達成度や満足度を把握しており，これらは上昇傾向にある。また，修了者の進路（就職先・進学先）を学校として把握しており，教育プログラムの成果を点検する一助としている。
　外部有識者
　・　大学，高等専門学校等教育機関の教員又は経験者
　　　(名古屋大学大学院工学研究科長)
　・　豊田市の教育関係者（豊田市小中学校長会長-前回不参加）　
　・　豊田市の関係者（豊田市教育長）
　・　地域産業界等の関係者（小島プレス常務執行役員）
　・　本校の支援団体等の関係者等（同窓会会長、教育後援会会長）
　・　その他校長が必要と認めたもの
を評価委員とする（運営諮問委員委員会）を（隔年）開催して、卒業生の活躍や企業での評価を確認している。</t>
    <phoneticPr fontId="1"/>
  </si>
  <si>
    <t>　授業改善のためのアンケートでは、「授業目標・異議」「興味」「学生の取り組み」という質問項目を設けて、「学ぶ楽しさ」「学ぶことの意義」を毎年確認している。令和３年度の当該科目では、「授業目標・異議」が4点満点中3.61、「興味」が4点満点中3.43、「学生の取り組み」4点満点中3.45という評価が得られており、学ぶことの意義を認識しながら学生が履修していることが分かる。</t>
  </si>
  <si>
    <t>　授業の内容・水準を維持・向上しつつ，より「分かりやすい」授業にするために，授業改善のためのアンケート結果に基づいて各科目の担当教員が対応策を考える取り組みが毎年おこなわれている。アンケートには、「分かりやすさ」に関する質問項目があり，令和３年度の当該科目では4点満点中3.16という評価が得られており，分かりやすい授業が行われていることが分かる。</t>
  </si>
  <si>
    <t>　令和2年度には、「高度情報化社会になっていきこれまで情報技術とかかわりが少なかった産業にも影響を与えるようになる。このような視点で地域連携，産官学の連携について考えていく必要がある。」などの意見をいただいており、数理・データサイエンス・AIに関する、教育プログラムへの反映を検討している。</t>
    <rPh sb="12" eb="14">
      <t>ジョウホウ</t>
    </rPh>
    <phoneticPr fontId="1"/>
  </si>
  <si>
    <t>　新カリキュラムへの移行にともない全学科の教育プログラムの全ての科目が必履修科目で構成されるようになっており，令和3年度以降に入学する全ての学生全員が履修する。修得状況については学生の進級状況を把握することにより確認することができる。40名が1クラスのクラス担任制をとっており，修得状況が芳しくない学生に対しては、教員のオフィスアワーを活用してフォローできる体制がある。
　プログラムの履修の実績としては、令和3年度の入学生が当該プログラムの科目を概ね履修・修得できている状況であり、1年次入学者に対する履修率は100%，修得率は99.06％である。</t>
    <phoneticPr fontId="1"/>
  </si>
  <si>
    <t>田川　智彦</t>
    <rPh sb="0" eb="2">
      <t>タガワ</t>
    </rPh>
    <rPh sb="3" eb="5">
      <t>トモヒコ</t>
    </rPh>
    <phoneticPr fontId="1"/>
  </si>
  <si>
    <t>•生活に結びつき現在進行中の社会変化に深く寄与しているものに気づく能力
•社会の広範囲のデータやその活用領域が社会の課題を解決するのに役立てられることを理解する能力
•様々なデータを様々な適用領域の知見と組み合わせることで価値が生まれることを理解する能力
•データ利活用時とデータ保存時の留意事項を理解する能力
•データを読む・説明する・扱う能力</t>
    <phoneticPr fontId="1"/>
  </si>
  <si>
    <t>②自己点検・評価体制における意見等を公表しているアドレス</t>
    <phoneticPr fontId="1"/>
  </si>
  <si>
    <t>https://www.toyota-ct.ac.jp/mdash/</t>
    <phoneticPr fontId="1"/>
  </si>
  <si>
    <t>電気・電子システム工学科に所属する学生において、以下の科目を修得していること。
（令和３年度以降入学者対象）現代社会Ａ、物理実験、確率、情報基礎</t>
    <rPh sb="0" eb="2">
      <t>デンキ</t>
    </rPh>
    <rPh sb="3" eb="5">
      <t>デンシ</t>
    </rPh>
    <rPh sb="68" eb="72">
      <t>ジョウホウキソ</t>
    </rPh>
    <phoneticPr fontId="1"/>
  </si>
  <si>
    <t xml:space="preserve">情報工学科に所属する学生において、以下の科目を修得していること。 
（令和３年度以降入学者対象）現代社会Ａ、物理実験、確率、コンピュータリテラシ、情報技術概論、情報基礎、情報工学ゼミⅠ、工学実験ⅠＡ
</t>
    <rPh sb="0" eb="2">
      <t>ジョウホウ</t>
    </rPh>
    <rPh sb="93" eb="94">
      <t>コウ</t>
    </rPh>
    <phoneticPr fontId="1"/>
  </si>
  <si>
    <t xml:space="preserve">建築学科に所属する学生において、以下の科目を修得していること。
（令和３年度以降入学者対象）現代社会Ａ、物理実験、確率、情報基礎							
							</t>
    <phoneticPr fontId="1"/>
  </si>
  <si>
    <t>プログラムを改善・進化させるための体制を定める規則名称</t>
    <phoneticPr fontId="1"/>
  </si>
  <si>
    <t>②</t>
    <phoneticPr fontId="1"/>
  </si>
  <si>
    <t>③</t>
    <phoneticPr fontId="1"/>
  </si>
  <si>
    <t>　教務委員会は次の教職員を委員として組織する。
（１）教務主事　情報工学科　教授　安藤浩哉
（２）教務主事補　一般学科　教授　北野孝志、一般学科　教授　今　徳義、機械工学科　准教授　小谷　明、電気・電子システム工学科　助教　野中俊宏、情報工学科　教授　早坂太一、環境都市工学科　教授　川西直樹、建築学科　准教授　竹下純治
（３）専攻科長　電気・電子システム工学科　教授　塚本武彦
（４）専攻科長補佐のうち専攻科長が指名した者若干名　情報工学科　教授　稲垣　宏
（５）各学科から選出された教員１名，ただし，一般学科は２名とする
　　　一般学科　教授　勝谷浩明、一般学科　准教授　京極俊明、機械工学科　講師　淺井一仁、電気・電子システム工学科　教授　犬塚勝美、情報工学科　准教授　村田匡輝、環境都市工学科　准教授　田中貴幸、建築学科　准教授　亀屋惠三子
（６）学生課長　山口範明
（７）学生課課長補佐（教務・情報担当）　小山恭史
（８）教務係長　金子美智子</t>
    <rPh sb="32" eb="37">
      <t>ジョウホウコウガッカ</t>
    </rPh>
    <rPh sb="38" eb="40">
      <t>キョウジュ</t>
    </rPh>
    <rPh sb="55" eb="59">
      <t>イッパンガッカ</t>
    </rPh>
    <rPh sb="60" eb="62">
      <t>キョウジュ</t>
    </rPh>
    <rPh sb="68" eb="72">
      <t>イッパンガッカ</t>
    </rPh>
    <rPh sb="73" eb="75">
      <t>キョウジュ</t>
    </rPh>
    <rPh sb="81" eb="86">
      <t>キカイコウガッカ</t>
    </rPh>
    <rPh sb="87" eb="90">
      <t>ジュンキョウジュ</t>
    </rPh>
    <rPh sb="96" eb="98">
      <t>デンキ</t>
    </rPh>
    <rPh sb="99" eb="101">
      <t>デンシ</t>
    </rPh>
    <rPh sb="105" eb="108">
      <t>コウガッカ</t>
    </rPh>
    <rPh sb="109" eb="111">
      <t>ジョキョウ</t>
    </rPh>
    <rPh sb="117" eb="122">
      <t>ジョウホウコウガッカ</t>
    </rPh>
    <rPh sb="123" eb="125">
      <t>キョウジュ</t>
    </rPh>
    <rPh sb="131" eb="138">
      <t>カンキョウトシコウガッカ</t>
    </rPh>
    <rPh sb="139" eb="141">
      <t>キョウジュ</t>
    </rPh>
    <rPh sb="147" eb="151">
      <t>ケンチクガッカ</t>
    </rPh>
    <rPh sb="152" eb="153">
      <t>ジュン</t>
    </rPh>
    <rPh sb="153" eb="155">
      <t>キョウジュ</t>
    </rPh>
    <rPh sb="169" eb="171">
      <t>デンキ</t>
    </rPh>
    <rPh sb="172" eb="181">
      <t>デンシシステムコウガッカ</t>
    </rPh>
    <rPh sb="182" eb="184">
      <t>キョウジュ</t>
    </rPh>
    <rPh sb="216" eb="221">
      <t>ジョウホウコウガッカ</t>
    </rPh>
    <rPh sb="222" eb="224">
      <t>キョウジュ</t>
    </rPh>
    <rPh sb="266" eb="270">
      <t>イッパンガッカ</t>
    </rPh>
    <rPh sb="271" eb="273">
      <t>キョウジュ</t>
    </rPh>
    <rPh sb="279" eb="283">
      <t>イッパンガッカ</t>
    </rPh>
    <rPh sb="284" eb="285">
      <t>ジュン</t>
    </rPh>
    <rPh sb="285" eb="287">
      <t>キョウジュ</t>
    </rPh>
    <rPh sb="293" eb="298">
      <t>キカイコウガッカ</t>
    </rPh>
    <rPh sb="299" eb="301">
      <t>コウシ</t>
    </rPh>
    <rPh sb="307" eb="309">
      <t>デンキ</t>
    </rPh>
    <rPh sb="310" eb="319">
      <t>デンシシステムコウガッカ</t>
    </rPh>
    <rPh sb="328" eb="333">
      <t>ジョウホウコウガッカ</t>
    </rPh>
    <rPh sb="334" eb="337">
      <t>ジュンキョウジュ</t>
    </rPh>
    <rPh sb="343" eb="350">
      <t>カンキョウトシコウガッカ</t>
    </rPh>
    <rPh sb="351" eb="354">
      <t>ジュンキョウジュ</t>
    </rPh>
    <rPh sb="360" eb="364">
      <t>ケンチクガッカ</t>
    </rPh>
    <rPh sb="365" eb="368">
      <t>ジュンキョウジュ</t>
    </rPh>
    <phoneticPr fontId="1"/>
  </si>
  <si>
    <t>④</t>
    <phoneticPr fontId="1"/>
  </si>
  <si>
    <t>⑤</t>
    <phoneticPr fontId="1"/>
  </si>
  <si>
    <t>⑥</t>
    <phoneticPr fontId="1"/>
  </si>
  <si>
    <t>　新カリキュラムへの移行にともない全学科の教育プログラムの全ての科目が必履修科目で構成されるようになっている。教育プログラムについてはホームページ(https://www.toyota-ct.ac.jp/mdash)に掲載し、ホームルームなどで学生に周知をおこなう。</t>
    <phoneticPr fontId="1"/>
  </si>
  <si>
    <t>⑦</t>
    <phoneticPr fontId="1"/>
  </si>
  <si>
    <t>⑧</t>
    <phoneticPr fontId="1"/>
  </si>
  <si>
    <t>・個人情報，情報セキュリティー，ネットワーク「情報基礎」（1〜6回目）
・平均値と分散・標準偏差「確率」（13回目）</t>
    <rPh sb="49" eb="51">
      <t>カクリツ</t>
    </rPh>
    <rPh sb="55" eb="57">
      <t>カイメ</t>
    </rPh>
    <phoneticPr fontId="1"/>
  </si>
  <si>
    <t>・SNS, ネットワーク「情報基礎」（1〜3回目）</t>
    <phoneticPr fontId="1"/>
  </si>
  <si>
    <t>・実験データの取得，有効桁数の評価「物理実験」（2, 4, 6, 9, 11, 13回目)</t>
    <rPh sb="18" eb="22">
      <t>ブツリジッケン</t>
    </rPh>
    <rPh sb="42" eb="44">
      <t>カイメ</t>
    </rPh>
    <phoneticPr fontId="1"/>
  </si>
  <si>
    <t>・表やグラフを用いた整理，誤差解析「物理実験」（3, 5, 7, 10, 12,14回目)</t>
    <rPh sb="18" eb="22">
      <t>ブツリジッケン</t>
    </rPh>
    <rPh sb="42" eb="44">
      <t>カイメ</t>
    </rPh>
    <phoneticPr fontId="1"/>
  </si>
  <si>
    <t>・考察，レポート作成「物理実験」（3, 5, 7, 10, 12,14回目)</t>
    <rPh sb="11" eb="15">
      <t>ブツリジッケン</t>
    </rPh>
    <rPh sb="35" eb="37">
      <t>カイメ</t>
    </rPh>
    <phoneticPr fontId="1"/>
  </si>
  <si>
    <t>・高度情報社会：高度情報社会の課題、情報リテラシー「現代社会A」(7回目)</t>
    <phoneticPr fontId="1"/>
  </si>
  <si>
    <t>・情報リテラシー/モラル「情報基礎」（1回目）
・SNSの注意点「情報基礎」（2回目）
・電子メールの書き方「情報基礎」（2回目）
・ネットワークの基礎「情報基礎」（3回目）
・情報セキュリティ「情報基礎」（3回目）
・技術者倫理「工学基礎演習」（2回目）</t>
    <phoneticPr fontId="1"/>
  </si>
  <si>
    <t>・実験データの取得およびレポート作成「工学実験A」（1～15回目）
・実験データの取得，有効桁数の評価「物理実験」（2, 4, 6, 9, 11, 13回目)</t>
    <rPh sb="52" eb="56">
      <t>ブツリジッケン</t>
    </rPh>
    <rPh sb="76" eb="78">
      <t>カイメ</t>
    </rPh>
    <phoneticPr fontId="1"/>
  </si>
  <si>
    <t>・実験データの取得およびレポート作成「工学実験A」（1～15回目）
・表やグラフを用いた整理，誤差解析「物理実験」（3, 5, 7, 10, 12，14回目)</t>
    <rPh sb="52" eb="56">
      <t>ブツリジッケン</t>
    </rPh>
    <rPh sb="76" eb="78">
      <t>カイメ</t>
    </rPh>
    <phoneticPr fontId="1"/>
  </si>
  <si>
    <t>メカトロニクス特論</t>
    <rPh sb="7" eb="9">
      <t>トクロン</t>
    </rPh>
    <phoneticPr fontId="1"/>
  </si>
  <si>
    <t>https://www.toyota-ct.ac.jp/mdash/</t>
    <phoneticPr fontId="1"/>
  </si>
  <si>
    <t>https://www.toyota-ct.ac.jp/mdash/</t>
    <phoneticPr fontId="1"/>
  </si>
  <si>
    <t>情報処理論</t>
    <rPh sb="4" eb="5">
      <t>ロン</t>
    </rPh>
    <phoneticPr fontId="1"/>
  </si>
  <si>
    <t>設計製図基礎</t>
    <rPh sb="0" eb="6">
      <t>セッケイセイズキソ</t>
    </rPh>
    <phoneticPr fontId="1"/>
  </si>
  <si>
    <t>環境都市工学科に所属する学生において、以下の科目を修得していること。 
（令和３年度以降入学者対象）現代社会Ａ、物理実験、確率、情報基礎、設計製図基礎、情報処理論</t>
    <phoneticPr fontId="1"/>
  </si>
  <si>
    <t>機械工学科に所属する学生において、以下の科目を修得していること。
（令和３年度以降入学者対象）現代社会Ａ、物理実験、確率、情報基礎、工学基礎演習、工学実験Ａ、メカトロニクス特論</t>
    <rPh sb="34" eb="36">
      <t>レイワ</t>
    </rPh>
    <rPh sb="37" eb="39">
      <t>ネンド</t>
    </rPh>
    <rPh sb="39" eb="41">
      <t>イコウ</t>
    </rPh>
    <rPh sb="41" eb="44">
      <t>ニュウガクシャ</t>
    </rPh>
    <rPh sb="44" eb="46">
      <t>タイショウ</t>
    </rPh>
    <rPh sb="47" eb="49">
      <t>ゲンダイ</t>
    </rPh>
    <rPh sb="86" eb="88">
      <t>トクロン</t>
    </rPh>
    <phoneticPr fontId="1"/>
  </si>
  <si>
    <t>・機械工学を含めた身近なデジタル技術「メカトロニクス特論」（13，15回目）</t>
    <phoneticPr fontId="1"/>
  </si>
  <si>
    <t>・機械工学を含めた身近なデジタル技術「メカトロニクス特論」（13，15回目）
・平均値と分散・標準偏差「確率」（13回目）</t>
    <rPh sb="52" eb="54">
      <t>カクリツ</t>
    </rPh>
    <rPh sb="58" eb="60">
      <t>カイメ</t>
    </rPh>
    <phoneticPr fontId="1"/>
  </si>
  <si>
    <t>・SNSの注意点「情報基礎」（2回目）
・電子メールの書き方「情報基礎」（2回目）
・ネットワークの基礎「情報基礎」（3回目）
・機械工学を含めた身近なデジタル技術「メカトロニクス特論」（13，15回目）</t>
    <phoneticPr fontId="1"/>
  </si>
  <si>
    <t>・CAD操作，CAD活用＠「設計製図基礎」（6〜15回目）</t>
    <rPh sb="14" eb="16">
      <t>セッケイ</t>
    </rPh>
    <rPh sb="18" eb="20">
      <t>キソ</t>
    </rPh>
    <phoneticPr fontId="1"/>
  </si>
  <si>
    <t>・プログラミング，土木／環境分野の数値計算，アルゴリズム構築「情報処理論」（4〜5回目，8〜15回目）</t>
    <rPh sb="35" eb="36">
      <t>ロン</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</si>
</sst>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26">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rgb="FF000000"/>
      <name val="ＭＳ Ｐゴシック"/>
      <family val="3"/>
      <charset val="128"/>
      <scheme val="minor"/>
    </font>
    <font>
      <sz val="12"/>
      <color rgb="FF000000"/>
      <name val="ＭＳ Ｐゴシック"/>
      <family val="2"/>
      <charset val="128"/>
      <scheme val="minor"/>
    </font>
    <font>
      <u/>
      <sz val="11"/>
      <name val="ＭＳ Ｐゴシック"/>
      <family val="2"/>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470">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20" xfId="0" applyFont="1" applyBorder="1" applyAlignment="1">
      <alignment vertical="top" shrinkToFit="1"/>
    </xf>
    <xf numFmtId="0" fontId="11" fillId="0" borderId="18" xfId="0" applyFont="1" applyBorder="1" applyAlignment="1">
      <alignment vertical="top" shrinkToFit="1"/>
    </xf>
    <xf numFmtId="0" fontId="12" fillId="0" borderId="0" xfId="0" applyFo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3" xfId="0" applyFont="1" applyBorder="1">
      <alignment vertical="center"/>
    </xf>
    <xf numFmtId="0" fontId="8" fillId="0" borderId="0" xfId="0" applyFont="1" applyAlignment="1">
      <alignment horizontal="center" vertical="center" shrinkToFit="1"/>
    </xf>
    <xf numFmtId="0" fontId="8" fillId="0" borderId="14" xfId="0" applyFont="1" applyBorder="1" applyAlignment="1">
      <alignment vertical="center" shrinkToFit="1"/>
    </xf>
    <xf numFmtId="0" fontId="8" fillId="0" borderId="23" xfId="0" applyFont="1" applyBorder="1" applyAlignment="1">
      <alignment vertical="center" shrinkToFit="1"/>
    </xf>
    <xf numFmtId="0" fontId="8" fillId="0" borderId="43" xfId="0" applyFont="1" applyBorder="1" applyAlignment="1">
      <alignment vertical="center" shrinkToFit="1"/>
    </xf>
    <xf numFmtId="0" fontId="8" fillId="0" borderId="42" xfId="0" applyFont="1" applyBorder="1" applyAlignment="1">
      <alignment horizontal="center" vertical="center"/>
    </xf>
    <xf numFmtId="0" fontId="8" fillId="0" borderId="18" xfId="0" applyFont="1" applyBorder="1" applyAlignment="1">
      <alignment horizontal="center" vertical="center"/>
    </xf>
    <xf numFmtId="0" fontId="8" fillId="0" borderId="38" xfId="0" applyFont="1" applyBorder="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0" xfId="0" applyFont="1" applyAlignment="1">
      <alignment horizontal="center" vertical="center"/>
    </xf>
    <xf numFmtId="0" fontId="2" fillId="0" borderId="0" xfId="0" applyFont="1" applyFill="1">
      <alignment vertical="center"/>
    </xf>
    <xf numFmtId="0" fontId="2" fillId="0" borderId="0" xfId="0" applyFont="1" applyAlignment="1">
      <alignment horizontal="right" vertical="center"/>
    </xf>
    <xf numFmtId="0" fontId="9" fillId="0" borderId="0" xfId="0" applyFont="1" applyFill="1">
      <alignment vertical="center"/>
    </xf>
    <xf numFmtId="0" fontId="8" fillId="0" borderId="0" xfId="0" applyFont="1" applyFill="1" applyAlignment="1">
      <alignment horizontal="center" vertical="center"/>
    </xf>
    <xf numFmtId="0" fontId="8" fillId="0" borderId="1" xfId="0" applyFont="1" applyFill="1" applyBorder="1" applyAlignment="1">
      <alignment vertical="center" shrinkToFit="1"/>
    </xf>
    <xf numFmtId="0" fontId="22" fillId="0" borderId="4" xfId="0" applyFont="1" applyFill="1" applyBorder="1" applyAlignment="1">
      <alignment horizontal="center" vertical="center" shrinkToFit="1"/>
    </xf>
    <xf numFmtId="49" fontId="19" fillId="0" borderId="1" xfId="0" applyNumberFormat="1" applyFont="1" applyFill="1" applyBorder="1" applyAlignment="1">
      <alignment horizontal="center" vertical="center"/>
    </xf>
    <xf numFmtId="0" fontId="8" fillId="0" borderId="14" xfId="0" applyFont="1" applyFill="1" applyBorder="1" applyAlignment="1">
      <alignment horizontal="center" vertical="center" shrinkToFit="1"/>
    </xf>
    <xf numFmtId="0" fontId="8" fillId="0" borderId="23" xfId="0" applyFont="1" applyFill="1" applyBorder="1" applyAlignment="1">
      <alignment horizontal="center" vertical="center" shrinkToFit="1"/>
    </xf>
    <xf numFmtId="0" fontId="8" fillId="0" borderId="13" xfId="0" applyFont="1" applyFill="1" applyBorder="1" applyAlignment="1">
      <alignment horizontal="center" vertical="center" shrinkToFit="1"/>
    </xf>
    <xf numFmtId="0" fontId="8" fillId="0" borderId="43" xfId="0" applyFont="1" applyFill="1" applyBorder="1" applyAlignment="1">
      <alignment horizontal="center" vertical="center" shrinkToFit="1"/>
    </xf>
    <xf numFmtId="0" fontId="8" fillId="0" borderId="0" xfId="0" applyFont="1" applyFill="1" applyAlignment="1">
      <alignment vertical="center" shrinkToFit="1"/>
    </xf>
    <xf numFmtId="0" fontId="8" fillId="0" borderId="0" xfId="0" applyFont="1" applyFill="1" applyAlignment="1">
      <alignment vertical="top" wrapText="1"/>
    </xf>
    <xf numFmtId="0" fontId="8" fillId="0" borderId="15" xfId="0" applyFont="1" applyFill="1" applyBorder="1" applyAlignment="1">
      <alignment horizontal="center" vertical="center" shrinkToFit="1"/>
    </xf>
    <xf numFmtId="0" fontId="8" fillId="0" borderId="2" xfId="0" applyFont="1" applyFill="1" applyBorder="1">
      <alignment vertical="center"/>
    </xf>
    <xf numFmtId="0" fontId="8" fillId="0" borderId="3" xfId="0" applyFont="1" applyFill="1" applyBorder="1">
      <alignment vertical="center"/>
    </xf>
    <xf numFmtId="0" fontId="8" fillId="0" borderId="4" xfId="0" applyFont="1" applyFill="1" applyBorder="1">
      <alignment vertical="center"/>
    </xf>
    <xf numFmtId="0" fontId="8" fillId="0" borderId="0" xfId="0" applyFont="1" applyFill="1" applyAlignment="1">
      <alignment horizontal="center" vertical="center" shrinkToFit="1"/>
    </xf>
    <xf numFmtId="0" fontId="9" fillId="0" borderId="2" xfId="0" applyFont="1" applyFill="1" applyBorder="1">
      <alignment vertical="center"/>
    </xf>
    <xf numFmtId="0" fontId="9" fillId="0" borderId="4" xfId="0" applyFont="1" applyFill="1" applyBorder="1">
      <alignment vertical="center"/>
    </xf>
    <xf numFmtId="49" fontId="19" fillId="0" borderId="51" xfId="0" applyNumberFormat="1" applyFont="1" applyFill="1" applyBorder="1" applyAlignment="1">
      <alignment horizontal="center" vertical="center"/>
    </xf>
    <xf numFmtId="49" fontId="19" fillId="0" borderId="52" xfId="0" applyNumberFormat="1" applyFont="1" applyFill="1" applyBorder="1" applyAlignment="1">
      <alignment horizontal="center" vertical="center"/>
    </xf>
    <xf numFmtId="49" fontId="19" fillId="0" borderId="47" xfId="0" applyNumberFormat="1" applyFont="1" applyFill="1" applyBorder="1" applyAlignment="1">
      <alignment horizontal="center" vertical="center"/>
    </xf>
    <xf numFmtId="49" fontId="19" fillId="0" borderId="29" xfId="0" applyNumberFormat="1" applyFont="1" applyFill="1" applyBorder="1" applyAlignment="1">
      <alignment horizontal="center" vertical="center"/>
    </xf>
    <xf numFmtId="49" fontId="19" fillId="0" borderId="50" xfId="0" applyNumberFormat="1" applyFont="1" applyFill="1" applyBorder="1" applyAlignment="1">
      <alignment horizontal="center" vertical="center"/>
    </xf>
    <xf numFmtId="49" fontId="19" fillId="0" borderId="33" xfId="0" applyNumberFormat="1" applyFont="1" applyFill="1" applyBorder="1" applyAlignment="1">
      <alignment horizontal="center" vertical="center"/>
    </xf>
    <xf numFmtId="0" fontId="8" fillId="0" borderId="42" xfId="0" applyFont="1" applyFill="1" applyBorder="1" applyAlignment="1">
      <alignment horizontal="center" vertical="center"/>
    </xf>
    <xf numFmtId="0" fontId="8" fillId="0" borderId="18" xfId="0" applyFont="1" applyFill="1" applyBorder="1" applyAlignment="1">
      <alignment horizontal="center" vertical="center"/>
    </xf>
    <xf numFmtId="0" fontId="8" fillId="0" borderId="38" xfId="0" applyFont="1" applyFill="1" applyBorder="1" applyAlignment="1">
      <alignment horizontal="center" vertical="center"/>
    </xf>
    <xf numFmtId="49" fontId="17"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9" fillId="0" borderId="0" xfId="0" applyFont="1" applyAlignment="1">
      <alignment horizontal="center" vertical="center"/>
    </xf>
    <xf numFmtId="0" fontId="18" fillId="0" borderId="0" xfId="0" applyFont="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21" fillId="0" borderId="48" xfId="0" applyFont="1" applyBorder="1" applyAlignment="1">
      <alignment vertical="center" wrapText="1"/>
    </xf>
    <xf numFmtId="0" fontId="21" fillId="0" borderId="49" xfId="0" applyFont="1" applyBorder="1" applyAlignment="1">
      <alignment vertical="center" wrapTex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1" fillId="0" borderId="32" xfId="0" applyFont="1" applyBorder="1" applyAlignment="1">
      <alignment vertical="center" wrapTex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9" fillId="0" borderId="6" xfId="0" applyFont="1" applyBorder="1" applyAlignment="1">
      <alignment vertical="center" wrapText="1" shrinkToFit="1"/>
    </xf>
    <xf numFmtId="0" fontId="3" fillId="0" borderId="7" xfId="0" applyFont="1" applyBorder="1" applyAlignment="1">
      <alignment horizontal="left" vertical="top" wrapText="1" shrinkToFit="1"/>
    </xf>
    <xf numFmtId="0" fontId="3" fillId="0" borderId="8" xfId="0" applyFont="1" applyBorder="1" applyAlignment="1">
      <alignment horizontal="left" vertical="top" shrinkToFit="1"/>
    </xf>
    <xf numFmtId="0" fontId="3" fillId="0" borderId="9" xfId="0" applyFont="1" applyBorder="1" applyAlignment="1">
      <alignment horizontal="left" vertical="top" shrinkToFit="1"/>
    </xf>
    <xf numFmtId="0" fontId="3" fillId="0" borderId="5" xfId="0" applyFont="1" applyBorder="1" applyAlignment="1">
      <alignment horizontal="left" vertical="top" shrinkToFit="1"/>
    </xf>
    <xf numFmtId="0" fontId="3" fillId="0" borderId="0" xfId="0" applyFont="1" applyAlignment="1">
      <alignment horizontal="left" vertical="top" shrinkToFit="1"/>
    </xf>
    <xf numFmtId="0" fontId="3" fillId="0" borderId="10" xfId="0" applyFont="1" applyBorder="1" applyAlignment="1">
      <alignment horizontal="left" vertical="top" shrinkToFit="1"/>
    </xf>
    <xf numFmtId="0" fontId="3" fillId="0" borderId="11" xfId="0" applyFont="1" applyBorder="1" applyAlignment="1">
      <alignment horizontal="left" vertical="top" shrinkToFit="1"/>
    </xf>
    <xf numFmtId="0" fontId="3" fillId="0" borderId="6" xfId="0" applyFont="1" applyBorder="1" applyAlignment="1">
      <alignment horizontal="left" vertical="top" shrinkToFit="1"/>
    </xf>
    <xf numFmtId="0" fontId="3" fillId="0" borderId="12" xfId="0" applyFont="1" applyBorder="1" applyAlignment="1">
      <alignment horizontal="left" vertical="top"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8"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8" fillId="0" borderId="37" xfId="0" applyFont="1" applyFill="1" applyBorder="1" applyAlignment="1">
      <alignment horizontal="left" vertical="center" shrinkToFit="1"/>
    </xf>
    <xf numFmtId="0" fontId="8" fillId="0" borderId="39" xfId="0" applyFont="1" applyFill="1" applyBorder="1" applyAlignment="1">
      <alignment horizontal="left" vertical="center" shrinkToFit="1"/>
    </xf>
    <xf numFmtId="0" fontId="8" fillId="0" borderId="38" xfId="0" applyFont="1" applyFill="1" applyBorder="1" applyAlignment="1">
      <alignment horizontal="left" vertical="center" shrinkToFit="1"/>
    </xf>
    <xf numFmtId="0" fontId="8" fillId="0" borderId="37" xfId="0" applyFont="1" applyFill="1" applyBorder="1" applyAlignment="1">
      <alignment horizontal="center" vertical="center"/>
    </xf>
    <xf numFmtId="0" fontId="8" fillId="0" borderId="39" xfId="0" applyFont="1" applyFill="1" applyBorder="1" applyAlignment="1">
      <alignment horizontal="center" vertical="center"/>
    </xf>
    <xf numFmtId="0" fontId="8" fillId="0" borderId="38" xfId="0" applyFont="1" applyFill="1" applyBorder="1" applyAlignment="1">
      <alignment horizontal="center" vertical="center"/>
    </xf>
    <xf numFmtId="0" fontId="8" fillId="0" borderId="37" xfId="0" applyFont="1" applyFill="1" applyBorder="1" applyAlignment="1">
      <alignment vertical="center" shrinkToFit="1"/>
    </xf>
    <xf numFmtId="0" fontId="8" fillId="0" borderId="39" xfId="0" applyFont="1" applyFill="1" applyBorder="1" applyAlignment="1">
      <alignment vertical="center" shrinkToFit="1"/>
    </xf>
    <xf numFmtId="0" fontId="8" fillId="0" borderId="38" xfId="0" applyFont="1" applyFill="1" applyBorder="1" applyAlignment="1">
      <alignment vertical="center" shrinkToFit="1"/>
    </xf>
    <xf numFmtId="0" fontId="8" fillId="0" borderId="19" xfId="0" applyFont="1" applyFill="1" applyBorder="1" applyAlignment="1">
      <alignment horizontal="left" vertical="center" shrinkToFit="1"/>
    </xf>
    <xf numFmtId="0" fontId="8" fillId="0" borderId="20" xfId="0" applyFont="1" applyFill="1" applyBorder="1" applyAlignment="1">
      <alignment horizontal="left" vertical="center" shrinkToFit="1"/>
    </xf>
    <xf numFmtId="0" fontId="8" fillId="0" borderId="18" xfId="0" applyFont="1" applyFill="1" applyBorder="1" applyAlignment="1">
      <alignment horizontal="left" vertical="center" shrinkToFit="1"/>
    </xf>
    <xf numFmtId="0" fontId="8" fillId="0" borderId="19" xfId="0" applyFont="1" applyFill="1" applyBorder="1" applyAlignment="1">
      <alignment horizontal="center" vertical="center"/>
    </xf>
    <xf numFmtId="0" fontId="8" fillId="0" borderId="20" xfId="0" applyFont="1" applyFill="1" applyBorder="1" applyAlignment="1">
      <alignment horizontal="center" vertical="center"/>
    </xf>
    <xf numFmtId="0" fontId="8" fillId="0" borderId="18" xfId="0" applyFont="1" applyFill="1" applyBorder="1" applyAlignment="1">
      <alignment horizontal="center" vertical="center"/>
    </xf>
    <xf numFmtId="0" fontId="8" fillId="0" borderId="19" xfId="0" applyFont="1" applyFill="1" applyBorder="1" applyAlignment="1">
      <alignment vertical="center" shrinkToFit="1"/>
    </xf>
    <xf numFmtId="0" fontId="8" fillId="0" borderId="20" xfId="0" applyFont="1" applyFill="1" applyBorder="1" applyAlignment="1">
      <alignment vertical="center" shrinkToFit="1"/>
    </xf>
    <xf numFmtId="0" fontId="8" fillId="0" borderId="18" xfId="0" applyFont="1" applyFill="1" applyBorder="1" applyAlignment="1">
      <alignment vertical="center" shrinkToFit="1"/>
    </xf>
    <xf numFmtId="0" fontId="8" fillId="0" borderId="0" xfId="0" applyFont="1" applyFill="1" applyAlignment="1">
      <alignment vertical="center" wrapText="1"/>
    </xf>
    <xf numFmtId="0" fontId="8" fillId="0" borderId="40" xfId="0" applyFont="1" applyFill="1" applyBorder="1" applyAlignment="1">
      <alignment horizontal="left" vertical="center" shrinkToFit="1"/>
    </xf>
    <xf numFmtId="0" fontId="8" fillId="0" borderId="41" xfId="0" applyFont="1" applyFill="1" applyBorder="1" applyAlignment="1">
      <alignment horizontal="left" vertical="center" shrinkToFit="1"/>
    </xf>
    <xf numFmtId="0" fontId="8" fillId="0" borderId="42" xfId="0" applyFont="1" applyFill="1" applyBorder="1" applyAlignment="1">
      <alignment horizontal="left" vertical="center" shrinkToFit="1"/>
    </xf>
    <xf numFmtId="0" fontId="8" fillId="0" borderId="40" xfId="0" applyFont="1" applyFill="1" applyBorder="1" applyAlignment="1">
      <alignment horizontal="center" vertical="center"/>
    </xf>
    <xf numFmtId="0" fontId="8" fillId="0" borderId="41" xfId="0" applyFont="1" applyFill="1" applyBorder="1" applyAlignment="1">
      <alignment horizontal="center" vertical="center"/>
    </xf>
    <xf numFmtId="0" fontId="8" fillId="0" borderId="42" xfId="0" applyFont="1" applyFill="1" applyBorder="1" applyAlignment="1">
      <alignment horizontal="center" vertical="center"/>
    </xf>
    <xf numFmtId="0" fontId="8" fillId="0" borderId="40" xfId="0" applyFont="1" applyFill="1" applyBorder="1" applyAlignment="1">
      <alignment vertical="center" shrinkToFit="1"/>
    </xf>
    <xf numFmtId="0" fontId="8" fillId="0" borderId="41" xfId="0" applyFont="1" applyFill="1" applyBorder="1" applyAlignment="1">
      <alignment vertical="center" shrinkToFit="1"/>
    </xf>
    <xf numFmtId="0" fontId="8" fillId="0" borderId="42" xfId="0" applyFont="1" applyFill="1" applyBorder="1" applyAlignment="1">
      <alignment vertical="center" shrinkToFit="1"/>
    </xf>
    <xf numFmtId="0" fontId="8" fillId="0" borderId="7" xfId="0" applyFont="1" applyFill="1" applyBorder="1" applyAlignment="1">
      <alignment horizontal="left" vertical="center" shrinkToFit="1"/>
    </xf>
    <xf numFmtId="0" fontId="8" fillId="0" borderId="8" xfId="0" applyFont="1" applyFill="1" applyBorder="1" applyAlignment="1">
      <alignment horizontal="left" vertical="center" shrinkToFit="1"/>
    </xf>
    <xf numFmtId="0" fontId="8" fillId="0" borderId="9" xfId="0" applyFont="1" applyFill="1" applyBorder="1" applyAlignment="1">
      <alignment horizontal="left" vertical="center" shrinkToFit="1"/>
    </xf>
    <xf numFmtId="0" fontId="8" fillId="0" borderId="7"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9" xfId="0" applyFont="1" applyFill="1" applyBorder="1" applyAlignment="1">
      <alignment horizontal="center" vertical="center"/>
    </xf>
    <xf numFmtId="0" fontId="8" fillId="0" borderId="37" xfId="0" applyFont="1" applyFill="1" applyBorder="1" applyAlignment="1">
      <alignment horizontal="center" vertical="center" shrinkToFit="1"/>
    </xf>
    <xf numFmtId="0" fontId="8" fillId="0" borderId="39" xfId="0" applyFont="1" applyFill="1" applyBorder="1" applyAlignment="1">
      <alignment horizontal="center" vertical="center" shrinkToFit="1"/>
    </xf>
    <xf numFmtId="0" fontId="8" fillId="0" borderId="38" xfId="0" applyFont="1" applyFill="1" applyBorder="1" applyAlignment="1">
      <alignment horizontal="center" vertical="center" shrinkToFit="1"/>
    </xf>
    <xf numFmtId="0" fontId="8" fillId="0" borderId="19" xfId="0" applyFont="1" applyFill="1" applyBorder="1" applyAlignment="1">
      <alignment horizontal="center" vertical="center" shrinkToFit="1"/>
    </xf>
    <xf numFmtId="0" fontId="8" fillId="0" borderId="20" xfId="0" applyFont="1" applyFill="1" applyBorder="1" applyAlignment="1">
      <alignment horizontal="center" vertical="center" shrinkToFit="1"/>
    </xf>
    <xf numFmtId="0" fontId="8" fillId="0" borderId="18" xfId="0" applyFont="1" applyFill="1" applyBorder="1" applyAlignment="1">
      <alignment horizontal="center" vertical="center" shrinkToFit="1"/>
    </xf>
    <xf numFmtId="0" fontId="21" fillId="0" borderId="48" xfId="0" applyFont="1" applyFill="1" applyBorder="1" applyAlignment="1">
      <alignment vertical="center" wrapText="1"/>
    </xf>
    <xf numFmtId="0" fontId="21" fillId="0" borderId="49" xfId="0" applyFont="1" applyFill="1" applyBorder="1" applyAlignment="1">
      <alignment vertical="center" wrapText="1"/>
    </xf>
    <xf numFmtId="0" fontId="9" fillId="0" borderId="8" xfId="0" applyFont="1" applyFill="1" applyBorder="1" applyAlignment="1">
      <alignment horizontal="left" vertical="center" wrapText="1" shrinkToFit="1"/>
    </xf>
    <xf numFmtId="0" fontId="9" fillId="0" borderId="8" xfId="0" applyFont="1" applyFill="1" applyBorder="1" applyAlignment="1">
      <alignment horizontal="left" vertical="center" shrinkToFit="1"/>
    </xf>
    <xf numFmtId="0" fontId="9" fillId="0" borderId="9" xfId="0" applyFont="1" applyFill="1" applyBorder="1" applyAlignment="1">
      <alignment horizontal="left" vertical="center" shrinkToFit="1"/>
    </xf>
    <xf numFmtId="0" fontId="9" fillId="0" borderId="2" xfId="0" applyFont="1" applyFill="1" applyBorder="1" applyAlignment="1">
      <alignment horizontal="left" vertical="center" wrapText="1" shrinkToFit="1"/>
    </xf>
    <xf numFmtId="0" fontId="9" fillId="0" borderId="3" xfId="0" applyFont="1" applyFill="1" applyBorder="1" applyAlignment="1">
      <alignment horizontal="left" vertical="center" shrinkToFit="1"/>
    </xf>
    <xf numFmtId="0" fontId="9" fillId="0" borderId="4" xfId="0" applyFont="1" applyFill="1" applyBorder="1" applyAlignment="1">
      <alignment horizontal="left" vertical="center" shrinkToFit="1"/>
    </xf>
    <xf numFmtId="0" fontId="8" fillId="0" borderId="40" xfId="0" applyFont="1" applyFill="1" applyBorder="1" applyAlignment="1">
      <alignment horizontal="center" vertical="center" shrinkToFit="1"/>
    </xf>
    <xf numFmtId="0" fontId="8" fillId="0" borderId="41" xfId="0" applyFont="1" applyFill="1" applyBorder="1" applyAlignment="1">
      <alignment horizontal="center" vertical="center" shrinkToFit="1"/>
    </xf>
    <xf numFmtId="0" fontId="8" fillId="0" borderId="42" xfId="0" applyFont="1" applyFill="1" applyBorder="1" applyAlignment="1">
      <alignment horizontal="center" vertical="center" shrinkToFit="1"/>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20" fillId="0" borderId="48" xfId="0" applyFont="1" applyFill="1" applyBorder="1" applyAlignment="1">
      <alignment vertical="center" wrapText="1"/>
    </xf>
    <xf numFmtId="0" fontId="20" fillId="0" borderId="32" xfId="0" applyFont="1" applyFill="1" applyBorder="1" applyAlignment="1">
      <alignment vertical="center" wrapText="1"/>
    </xf>
    <xf numFmtId="0" fontId="21" fillId="0" borderId="32" xfId="0" applyFont="1" applyFill="1" applyBorder="1" applyAlignment="1">
      <alignment vertical="center" wrapText="1"/>
    </xf>
    <xf numFmtId="0" fontId="9" fillId="0" borderId="20" xfId="0" applyFont="1" applyFill="1" applyBorder="1" applyAlignment="1">
      <alignment horizontal="left" vertical="center" shrinkToFit="1"/>
    </xf>
    <xf numFmtId="0" fontId="9" fillId="0" borderId="18" xfId="0" applyFont="1" applyFill="1" applyBorder="1" applyAlignment="1">
      <alignment horizontal="left" vertical="center" shrinkToFit="1"/>
    </xf>
    <xf numFmtId="0" fontId="9" fillId="0" borderId="39" xfId="0" applyFont="1" applyFill="1" applyBorder="1" applyAlignment="1">
      <alignment vertical="center" wrapText="1" shrinkToFit="1"/>
    </xf>
    <xf numFmtId="0" fontId="9" fillId="0" borderId="39" xfId="0" applyFont="1" applyFill="1" applyBorder="1" applyAlignment="1">
      <alignment vertical="center" shrinkToFit="1"/>
    </xf>
    <xf numFmtId="0" fontId="9" fillId="0" borderId="38" xfId="0" applyFont="1" applyFill="1" applyBorder="1" applyAlignment="1">
      <alignment vertical="center" shrinkToFit="1"/>
    </xf>
    <xf numFmtId="0" fontId="9" fillId="0" borderId="6" xfId="0" applyFont="1" applyFill="1" applyBorder="1" applyAlignment="1">
      <alignment vertical="center" wrapText="1" shrinkToFit="1"/>
    </xf>
    <xf numFmtId="0" fontId="9" fillId="0" borderId="6" xfId="0" applyFont="1" applyFill="1" applyBorder="1" applyAlignment="1">
      <alignment vertical="center" shrinkToFit="1"/>
    </xf>
    <xf numFmtId="0" fontId="9" fillId="0" borderId="12" xfId="0" applyFont="1" applyFill="1" applyBorder="1" applyAlignment="1">
      <alignment vertical="center" shrinkToFit="1"/>
    </xf>
    <xf numFmtId="0" fontId="23" fillId="0" borderId="7" xfId="0" applyFont="1" applyBorder="1" applyAlignment="1">
      <alignment horizontal="left" vertical="top" wrapText="1" shrinkToFit="1"/>
    </xf>
    <xf numFmtId="0" fontId="23" fillId="0" borderId="8" xfId="0" applyFont="1" applyBorder="1" applyAlignment="1">
      <alignment horizontal="left" vertical="top" shrinkToFit="1"/>
    </xf>
    <xf numFmtId="0" fontId="23" fillId="0" borderId="9" xfId="0" applyFont="1" applyBorder="1" applyAlignment="1">
      <alignment horizontal="left" vertical="top" shrinkToFit="1"/>
    </xf>
    <xf numFmtId="0" fontId="23" fillId="0" borderId="5" xfId="0" applyFont="1" applyBorder="1" applyAlignment="1">
      <alignment horizontal="left" vertical="top" shrinkToFit="1"/>
    </xf>
    <xf numFmtId="0" fontId="23" fillId="0" borderId="0" xfId="0" applyFont="1" applyAlignment="1">
      <alignment horizontal="left" vertical="top" shrinkToFit="1"/>
    </xf>
    <xf numFmtId="0" fontId="23" fillId="0" borderId="10" xfId="0" applyFont="1" applyBorder="1" applyAlignment="1">
      <alignment horizontal="left" vertical="top" shrinkToFit="1"/>
    </xf>
    <xf numFmtId="0" fontId="23" fillId="0" borderId="11" xfId="0" applyFont="1" applyBorder="1" applyAlignment="1">
      <alignment horizontal="left" vertical="top" shrinkToFit="1"/>
    </xf>
    <xf numFmtId="0" fontId="23" fillId="0" borderId="6" xfId="0" applyFont="1" applyBorder="1" applyAlignment="1">
      <alignment horizontal="left" vertical="top" shrinkToFit="1"/>
    </xf>
    <xf numFmtId="0" fontId="23" fillId="0" borderId="12" xfId="0" applyFont="1" applyBorder="1" applyAlignment="1">
      <alignment horizontal="left" vertical="top" shrinkToFit="1"/>
    </xf>
    <xf numFmtId="0" fontId="9" fillId="0" borderId="22" xfId="0" applyFont="1" applyBorder="1" applyAlignment="1">
      <alignment horizontal="left" vertical="center" wrapText="1" shrinkToFit="1"/>
    </xf>
    <xf numFmtId="0" fontId="8" fillId="0" borderId="19" xfId="0" applyFont="1" applyBorder="1" applyAlignment="1">
      <alignment vertical="center" wrapText="1" shrinkToFit="1"/>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23" fillId="0" borderId="16" xfId="0" applyFont="1" applyBorder="1" applyAlignment="1">
      <alignment vertical="top" wrapText="1" shrinkToFit="1"/>
    </xf>
    <xf numFmtId="0" fontId="23" fillId="0" borderId="22" xfId="0" applyFont="1" applyBorder="1" applyAlignment="1">
      <alignment vertical="top" wrapText="1" shrinkToFit="1"/>
    </xf>
    <xf numFmtId="0" fontId="23" fillId="0" borderId="21" xfId="0" applyFont="1" applyBorder="1" applyAlignment="1">
      <alignment vertical="top" wrapText="1" shrinkToFit="1"/>
    </xf>
    <xf numFmtId="0" fontId="23" fillId="0" borderId="5" xfId="0" applyFont="1" applyBorder="1" applyAlignment="1">
      <alignment vertical="top" wrapText="1" shrinkToFit="1"/>
    </xf>
    <xf numFmtId="0" fontId="23" fillId="0" borderId="0" xfId="0" applyFont="1" applyAlignment="1">
      <alignment vertical="top" wrapText="1" shrinkToFit="1"/>
    </xf>
    <xf numFmtId="0" fontId="23" fillId="0" borderId="10" xfId="0" applyFont="1" applyBorder="1" applyAlignment="1">
      <alignment vertical="top" wrapText="1" shrinkToFit="1"/>
    </xf>
    <xf numFmtId="0" fontId="23" fillId="0" borderId="11" xfId="0" applyFont="1" applyBorder="1" applyAlignment="1">
      <alignment vertical="top" wrapText="1" shrinkToFit="1"/>
    </xf>
    <xf numFmtId="0" fontId="23" fillId="0" borderId="6" xfId="0" applyFont="1" applyBorder="1" applyAlignment="1">
      <alignment vertical="top" wrapText="1" shrinkToFit="1"/>
    </xf>
    <xf numFmtId="0" fontId="23" fillId="0" borderId="12" xfId="0" applyFont="1" applyBorder="1" applyAlignment="1">
      <alignment vertical="top" wrapText="1" shrinkToFit="1"/>
    </xf>
    <xf numFmtId="0" fontId="23" fillId="0" borderId="2" xfId="0" applyFont="1" applyBorder="1" applyAlignment="1">
      <alignment vertical="center" shrinkToFit="1"/>
    </xf>
    <xf numFmtId="0" fontId="23" fillId="0" borderId="3" xfId="0" applyFont="1" applyBorder="1" applyAlignment="1">
      <alignment vertical="center" shrinkToFit="1"/>
    </xf>
    <xf numFmtId="0" fontId="23" fillId="0" borderId="4" xfId="0" applyFont="1" applyBorder="1" applyAlignment="1">
      <alignment vertical="center" shrinkToFit="1"/>
    </xf>
    <xf numFmtId="0" fontId="23" fillId="0" borderId="7" xfId="0" applyFont="1" applyBorder="1" applyAlignment="1">
      <alignment vertical="top" wrapText="1" shrinkToFit="1"/>
    </xf>
    <xf numFmtId="0" fontId="23" fillId="0" borderId="8" xfId="0" applyFont="1" applyBorder="1" applyAlignment="1">
      <alignment vertical="top" wrapText="1" shrinkToFit="1"/>
    </xf>
    <xf numFmtId="0" fontId="23" fillId="0" borderId="8" xfId="0" applyFont="1" applyBorder="1" applyAlignment="1">
      <alignment vertical="top" shrinkToFit="1"/>
    </xf>
    <xf numFmtId="0" fontId="23" fillId="0" borderId="9" xfId="0" applyFont="1" applyBorder="1" applyAlignment="1">
      <alignment vertical="top" shrinkToFit="1"/>
    </xf>
    <xf numFmtId="0" fontId="23" fillId="0" borderId="5" xfId="0" applyFont="1" applyBorder="1" applyAlignment="1">
      <alignment vertical="top" shrinkToFit="1"/>
    </xf>
    <xf numFmtId="0" fontId="23" fillId="0" borderId="0" xfId="0" applyFont="1" applyAlignment="1">
      <alignment vertical="top" shrinkToFit="1"/>
    </xf>
    <xf numFmtId="0" fontId="23" fillId="0" borderId="10" xfId="0" applyFont="1" applyBorder="1" applyAlignment="1">
      <alignment vertical="top" shrinkToFit="1"/>
    </xf>
    <xf numFmtId="0" fontId="23" fillId="0" borderId="11" xfId="0" applyFont="1" applyBorder="1" applyAlignment="1">
      <alignment vertical="top" shrinkToFit="1"/>
    </xf>
    <xf numFmtId="0" fontId="23" fillId="0" borderId="6" xfId="0" applyFont="1" applyBorder="1" applyAlignment="1">
      <alignment vertical="top" shrinkToFit="1"/>
    </xf>
    <xf numFmtId="0" fontId="23" fillId="0" borderId="12" xfId="0" applyFont="1" applyBorder="1" applyAlignment="1">
      <alignment vertical="top" shrinkToFit="1"/>
    </xf>
    <xf numFmtId="0" fontId="24" fillId="0" borderId="7" xfId="0" applyFont="1" applyBorder="1" applyAlignment="1">
      <alignment vertical="top" wrapText="1" shrinkToFit="1"/>
    </xf>
    <xf numFmtId="0" fontId="24" fillId="0" borderId="8" xfId="0" applyFont="1" applyBorder="1" applyAlignment="1">
      <alignment vertical="top" wrapText="1" shrinkToFit="1"/>
    </xf>
    <xf numFmtId="0" fontId="23" fillId="0" borderId="9" xfId="0" applyFont="1" applyBorder="1" applyAlignment="1">
      <alignment vertical="top" wrapText="1" shrinkToFit="1"/>
    </xf>
    <xf numFmtId="0" fontId="2"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3" fillId="0" borderId="19" xfId="0" applyFont="1" applyBorder="1" applyAlignment="1">
      <alignment vertical="top" wrapText="1" shrinkToFit="1"/>
    </xf>
    <xf numFmtId="0" fontId="23" fillId="0" borderId="20" xfId="0" applyFont="1" applyBorder="1" applyAlignment="1">
      <alignment vertical="top" wrapText="1" shrinkToFit="1"/>
    </xf>
    <xf numFmtId="0" fontId="23" fillId="0" borderId="1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5" fillId="0" borderId="2" xfId="2" applyFont="1" applyBorder="1" applyAlignment="1">
      <alignment horizontal="center" vertical="center" shrinkToFit="1"/>
    </xf>
    <xf numFmtId="0" fontId="17" fillId="0" borderId="3" xfId="2" applyFont="1" applyBorder="1" applyAlignment="1">
      <alignment horizontal="center" vertical="center" shrinkToFit="1"/>
    </xf>
    <xf numFmtId="0" fontId="17"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3" fillId="0" borderId="7" xfId="0" applyFont="1" applyFill="1" applyBorder="1" applyAlignment="1">
      <alignment horizontal="left" vertical="top" wrapText="1" shrinkToFit="1"/>
    </xf>
    <xf numFmtId="0" fontId="3" fillId="0" borderId="8" xfId="0" applyFont="1" applyFill="1" applyBorder="1" applyAlignment="1">
      <alignment horizontal="left" vertical="top" shrinkToFit="1"/>
    </xf>
    <xf numFmtId="0" fontId="3" fillId="0" borderId="9" xfId="0" applyFont="1" applyFill="1" applyBorder="1" applyAlignment="1">
      <alignment horizontal="left" vertical="top" shrinkToFit="1"/>
    </xf>
    <xf numFmtId="0" fontId="3" fillId="0" borderId="5" xfId="0" applyFont="1" applyFill="1" applyBorder="1" applyAlignment="1">
      <alignment horizontal="left" vertical="top" shrinkToFit="1"/>
    </xf>
    <xf numFmtId="0" fontId="3" fillId="0" borderId="0" xfId="0" applyFont="1" applyFill="1" applyAlignment="1">
      <alignment horizontal="left" vertical="top" shrinkToFit="1"/>
    </xf>
    <xf numFmtId="0" fontId="3" fillId="0" borderId="10" xfId="0" applyFont="1" applyFill="1" applyBorder="1" applyAlignment="1">
      <alignment horizontal="left" vertical="top" shrinkToFit="1"/>
    </xf>
    <xf numFmtId="0" fontId="3" fillId="0" borderId="11" xfId="0" applyFont="1" applyFill="1" applyBorder="1" applyAlignment="1">
      <alignment horizontal="left" vertical="top" shrinkToFit="1"/>
    </xf>
    <xf numFmtId="0" fontId="3" fillId="0" borderId="6" xfId="0" applyFont="1" applyFill="1" applyBorder="1" applyAlignment="1">
      <alignment horizontal="left" vertical="top" shrinkToFit="1"/>
    </xf>
    <xf numFmtId="0" fontId="3" fillId="0" borderId="12" xfId="0" applyFont="1" applyFill="1" applyBorder="1" applyAlignment="1">
      <alignment horizontal="left" vertical="top" shrinkToFit="1"/>
    </xf>
    <xf numFmtId="0" fontId="9" fillId="0" borderId="39" xfId="0" applyFont="1" applyFill="1" applyBorder="1" applyAlignment="1">
      <alignment horizontal="left" vertical="center" shrinkToFit="1"/>
    </xf>
    <xf numFmtId="0" fontId="9" fillId="0" borderId="38" xfId="0" applyFont="1" applyFill="1" applyBorder="1" applyAlignment="1">
      <alignment horizontal="left" vertical="center" shrinkToFit="1"/>
    </xf>
    <xf numFmtId="0" fontId="9" fillId="0" borderId="6" xfId="0" applyFont="1" applyFill="1" applyBorder="1" applyAlignment="1">
      <alignment horizontal="left" vertical="center" shrinkToFit="1"/>
    </xf>
    <xf numFmtId="0" fontId="9" fillId="0" borderId="12" xfId="0" applyFont="1" applyFill="1" applyBorder="1" applyAlignment="1">
      <alignment horizontal="left" vertical="center" shrinkToFit="1"/>
    </xf>
    <xf numFmtId="0" fontId="9" fillId="0" borderId="7" xfId="0" applyFont="1" applyFill="1" applyBorder="1" applyAlignment="1">
      <alignment vertical="center" wrapText="1" shrinkToFit="1"/>
    </xf>
    <xf numFmtId="0" fontId="9" fillId="0" borderId="8" xfId="0" applyFont="1" applyFill="1" applyBorder="1" applyAlignment="1">
      <alignment vertical="center" shrinkToFit="1"/>
    </xf>
    <xf numFmtId="0" fontId="9" fillId="0" borderId="9" xfId="0" applyFont="1" applyFill="1" applyBorder="1" applyAlignment="1">
      <alignment vertical="center" shrinkToFit="1"/>
    </xf>
    <xf numFmtId="0" fontId="9" fillId="0" borderId="5" xfId="0" applyFont="1" applyFill="1" applyBorder="1" applyAlignment="1">
      <alignment vertical="center" shrinkToFit="1"/>
    </xf>
    <xf numFmtId="0" fontId="9" fillId="0" borderId="0" xfId="0" applyFont="1" applyFill="1" applyAlignment="1">
      <alignment vertical="center" shrinkToFit="1"/>
    </xf>
    <xf numFmtId="0" fontId="9" fillId="0" borderId="10" xfId="0" applyFont="1" applyFill="1" applyBorder="1" applyAlignment="1">
      <alignment vertical="center" shrinkToFit="1"/>
    </xf>
    <xf numFmtId="0" fontId="9" fillId="0" borderId="11" xfId="0" applyFont="1" applyFill="1" applyBorder="1" applyAlignment="1">
      <alignment vertical="center" shrinkToFit="1"/>
    </xf>
    <xf numFmtId="0" fontId="7" fillId="0" borderId="2" xfId="2" applyFill="1" applyBorder="1" applyAlignment="1">
      <alignment vertical="center" shrinkToFit="1"/>
    </xf>
    <xf numFmtId="0" fontId="9" fillId="0" borderId="3" xfId="0" applyFont="1" applyFill="1" applyBorder="1" applyAlignment="1">
      <alignment vertical="center" shrinkToFit="1"/>
    </xf>
    <xf numFmtId="0" fontId="9" fillId="0" borderId="4" xfId="0" applyFont="1" applyFill="1" applyBorder="1" applyAlignment="1">
      <alignment vertical="center" shrinkToFit="1"/>
    </xf>
    <xf numFmtId="0" fontId="23" fillId="0" borderId="7" xfId="0" applyFont="1" applyFill="1" applyBorder="1" applyAlignment="1">
      <alignment horizontal="left" vertical="top" wrapText="1" shrinkToFit="1"/>
    </xf>
    <xf numFmtId="0" fontId="23" fillId="0" borderId="8" xfId="0" applyFont="1" applyFill="1" applyBorder="1" applyAlignment="1">
      <alignment horizontal="left" vertical="top" shrinkToFit="1"/>
    </xf>
    <xf numFmtId="0" fontId="23" fillId="0" borderId="9" xfId="0" applyFont="1" applyFill="1" applyBorder="1" applyAlignment="1">
      <alignment horizontal="left" vertical="top" shrinkToFit="1"/>
    </xf>
    <xf numFmtId="0" fontId="23" fillId="0" borderId="5" xfId="0" applyFont="1" applyFill="1" applyBorder="1" applyAlignment="1">
      <alignment horizontal="left" vertical="top" shrinkToFit="1"/>
    </xf>
    <xf numFmtId="0" fontId="23" fillId="0" borderId="0" xfId="0" applyFont="1" applyFill="1" applyAlignment="1">
      <alignment horizontal="left" vertical="top" shrinkToFit="1"/>
    </xf>
    <xf numFmtId="0" fontId="23" fillId="0" borderId="10" xfId="0" applyFont="1" applyFill="1" applyBorder="1" applyAlignment="1">
      <alignment horizontal="left" vertical="top" shrinkToFit="1"/>
    </xf>
    <xf numFmtId="0" fontId="23" fillId="0" borderId="11" xfId="0" applyFont="1" applyFill="1" applyBorder="1" applyAlignment="1">
      <alignment horizontal="left" vertical="top" shrinkToFit="1"/>
    </xf>
    <xf numFmtId="0" fontId="23" fillId="0" borderId="6" xfId="0" applyFont="1" applyFill="1" applyBorder="1" applyAlignment="1">
      <alignment horizontal="left" vertical="top" shrinkToFit="1"/>
    </xf>
    <xf numFmtId="0" fontId="23" fillId="0" borderId="12" xfId="0" applyFont="1" applyFill="1" applyBorder="1" applyAlignment="1">
      <alignment horizontal="left" vertical="top" shrinkToFit="1"/>
    </xf>
    <xf numFmtId="0" fontId="9" fillId="0" borderId="22" xfId="0" applyFont="1" applyFill="1" applyBorder="1" applyAlignment="1">
      <alignment horizontal="left" vertical="center" shrinkToFit="1"/>
    </xf>
    <xf numFmtId="0" fontId="9" fillId="0" borderId="21" xfId="0" applyFont="1" applyFill="1" applyBorder="1" applyAlignment="1">
      <alignment horizontal="left" vertical="center" shrinkToFit="1"/>
    </xf>
    <xf numFmtId="0" fontId="9" fillId="0" borderId="40" xfId="0" applyFont="1" applyFill="1" applyBorder="1" applyAlignment="1">
      <alignment horizontal="left" vertical="center" shrinkToFit="1"/>
    </xf>
    <xf numFmtId="0" fontId="9" fillId="0" borderId="41" xfId="0" applyFont="1" applyFill="1" applyBorder="1" applyAlignment="1">
      <alignment horizontal="left" vertical="center" shrinkToFit="1"/>
    </xf>
    <xf numFmtId="0" fontId="9" fillId="0" borderId="42" xfId="0" applyFont="1" applyFill="1" applyBorder="1" applyAlignment="1">
      <alignment horizontal="left" vertical="center" shrinkToFit="1"/>
    </xf>
    <xf numFmtId="0" fontId="9" fillId="0" borderId="39" xfId="0" applyFont="1" applyFill="1" applyBorder="1" applyAlignment="1">
      <alignment horizontal="left" vertical="center" wrapText="1" shrinkToFit="1"/>
    </xf>
    <xf numFmtId="0" fontId="9" fillId="0" borderId="6" xfId="0" applyFont="1" applyFill="1" applyBorder="1" applyAlignment="1">
      <alignment horizontal="left" vertical="center" wrapText="1" shrinkToFit="1"/>
    </xf>
    <xf numFmtId="0" fontId="9" fillId="0" borderId="20" xfId="0" applyFont="1" applyFill="1" applyBorder="1" applyAlignment="1">
      <alignment horizontal="left" vertical="center" wrapText="1" shrinkToFit="1"/>
    </xf>
    <xf numFmtId="0" fontId="9" fillId="0" borderId="19" xfId="0" applyFont="1" applyFill="1" applyBorder="1" applyAlignment="1">
      <alignment vertical="center" wrapText="1" shrinkToFit="1"/>
    </xf>
    <xf numFmtId="0" fontId="9" fillId="0" borderId="20" xfId="0" applyFont="1" applyFill="1" applyBorder="1" applyAlignment="1">
      <alignment vertical="center" shrinkToFit="1"/>
    </xf>
    <xf numFmtId="0" fontId="9" fillId="0" borderId="18" xfId="0" applyFont="1" applyFill="1" applyBorder="1" applyAlignment="1">
      <alignment vertical="center" shrinkToFit="1"/>
    </xf>
    <xf numFmtId="0" fontId="7" fillId="0" borderId="2" xfId="3" applyFill="1" applyBorder="1" applyAlignment="1">
      <alignment vertical="center" shrinkToFit="1"/>
    </xf>
    <xf numFmtId="0" fontId="7" fillId="0" borderId="3" xfId="3" applyFill="1" applyBorder="1" applyAlignment="1">
      <alignment vertical="center" shrinkToFit="1"/>
    </xf>
    <xf numFmtId="0" fontId="7" fillId="0" borderId="4" xfId="3" applyFill="1" applyBorder="1" applyAlignment="1">
      <alignment vertical="center" shrinkToFit="1"/>
    </xf>
  </cellXfs>
  <cellStyles count="4">
    <cellStyle name="Hyperlink" xfId="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youmukk\Downloads\&#65288;&#35914;&#30000;&#39640;&#23554;&#65289;&#30003;&#35531;&#27096;&#2433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様式１　大学等概要"/>
      <sheetName val="様式２-1　プログラムを構成する授業科目"/>
      <sheetName val="様式２-2　プログラムを構成する授業科目"/>
      <sheetName val="様式２-3　プログラムを構成する授業科目"/>
      <sheetName val="様式２-4　プログラムを構成する授業科目"/>
      <sheetName val="様式２-5　プログラムを構成する授業科目"/>
      <sheetName val="様式３　履修者等数の実績"/>
      <sheetName val="様式４　教育の質・履修者数を向上させるための体制・計画"/>
      <sheetName val="様式５　自己点検・評価"/>
      <sheetName val="様式６　特色ある取組"/>
    </sheetNames>
    <sheetDataSet>
      <sheetData sheetId="0"/>
      <sheetData sheetId="1"/>
      <sheetData sheetId="2"/>
      <sheetData sheetId="3"/>
      <sheetData sheetId="4"/>
      <sheetData sheetId="5"/>
      <sheetData sheetId="6">
        <row r="30">
          <cell r="D30">
            <v>1000</v>
          </cell>
          <cell r="R30">
            <v>0.21299999999999999</v>
          </cell>
        </row>
      </sheetData>
      <sheetData sheetId="7"/>
      <sheetData sheetId="8"/>
      <sheetData sheetId="9"/>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election activeCell="K15" sqref="K15"/>
    </sheetView>
  </sheetViews>
  <sheetFormatPr defaultColWidth="9" defaultRowHeight="18.75" customHeight="1"/>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c r="M1" s="177" t="s">
        <v>21</v>
      </c>
      <c r="N1" s="177"/>
    </row>
    <row r="2" spans="1:15" ht="24" customHeight="1">
      <c r="A2" s="181" t="s">
        <v>78</v>
      </c>
      <c r="B2" s="181"/>
      <c r="C2" s="181"/>
      <c r="D2" s="181"/>
      <c r="E2" s="181"/>
      <c r="F2" s="181"/>
      <c r="G2" s="181"/>
      <c r="H2" s="181"/>
      <c r="I2" s="181"/>
      <c r="J2" s="181"/>
      <c r="K2" s="181"/>
      <c r="L2" s="181"/>
      <c r="M2" s="181"/>
      <c r="N2" s="181"/>
    </row>
    <row r="3" spans="1:15" ht="24" customHeight="1"/>
    <row r="4" spans="1:15" ht="24" customHeight="1">
      <c r="A4" s="14" t="s">
        <v>6</v>
      </c>
      <c r="B4" s="15" t="s">
        <v>12</v>
      </c>
      <c r="C4" s="167" t="s">
        <v>126</v>
      </c>
      <c r="D4" s="168"/>
      <c r="E4" s="168"/>
      <c r="F4" s="168"/>
      <c r="G4" s="168"/>
      <c r="H4" s="168"/>
      <c r="I4" s="168"/>
      <c r="J4" s="168"/>
      <c r="K4" s="168"/>
      <c r="L4" s="168"/>
      <c r="M4" s="168"/>
      <c r="N4" s="169"/>
      <c r="O4" s="31" t="str">
        <f>IF(C4="","入力してください","")</f>
        <v/>
      </c>
    </row>
    <row r="5" spans="1:15" ht="7.5" customHeight="1">
      <c r="B5" s="15"/>
      <c r="C5" s="15"/>
      <c r="D5" s="15"/>
      <c r="E5" s="16"/>
      <c r="F5" s="36"/>
      <c r="G5" s="36"/>
      <c r="H5" s="36"/>
      <c r="I5" s="36"/>
      <c r="J5" s="36"/>
      <c r="K5" s="36"/>
      <c r="L5" s="36"/>
      <c r="M5" s="36"/>
      <c r="N5" s="36"/>
    </row>
    <row r="6" spans="1:15" ht="24" customHeight="1">
      <c r="A6" s="14" t="s">
        <v>44</v>
      </c>
      <c r="B6" s="15" t="s">
        <v>45</v>
      </c>
      <c r="C6" s="15"/>
      <c r="D6" s="167" t="s">
        <v>127</v>
      </c>
      <c r="E6" s="168"/>
      <c r="F6" s="168"/>
      <c r="G6" s="168"/>
      <c r="H6" s="169"/>
      <c r="I6" s="17" t="s">
        <v>81</v>
      </c>
      <c r="J6" s="36" t="s">
        <v>82</v>
      </c>
      <c r="K6" s="167" t="s">
        <v>128</v>
      </c>
      <c r="L6" s="168"/>
      <c r="M6" s="168"/>
      <c r="N6" s="169"/>
      <c r="O6" s="31" t="str">
        <f>IF(D6="","入力してください","")</f>
        <v/>
      </c>
    </row>
    <row r="7" spans="1:15" ht="7.5" customHeight="1">
      <c r="B7" s="15"/>
      <c r="C7" s="15"/>
      <c r="D7" s="15"/>
      <c r="E7" s="16"/>
      <c r="F7" s="36"/>
      <c r="G7" s="36"/>
      <c r="H7" s="36"/>
      <c r="I7" s="36"/>
      <c r="J7" s="36"/>
      <c r="K7" s="36"/>
      <c r="L7" s="36"/>
      <c r="M7" s="36"/>
      <c r="N7" s="36"/>
    </row>
    <row r="8" spans="1:15" ht="24" customHeight="1">
      <c r="A8" s="14" t="s">
        <v>10</v>
      </c>
      <c r="B8" s="15" t="s">
        <v>41</v>
      </c>
      <c r="C8" s="167" t="s">
        <v>129</v>
      </c>
      <c r="D8" s="168"/>
      <c r="E8" s="168"/>
      <c r="F8" s="168"/>
      <c r="G8" s="168"/>
      <c r="H8" s="168"/>
      <c r="I8" s="168"/>
      <c r="J8" s="168"/>
      <c r="K8" s="168"/>
      <c r="L8" s="168"/>
      <c r="M8" s="168"/>
      <c r="N8" s="169"/>
      <c r="O8" s="31" t="str">
        <f>IF(C8="","入力してください","")</f>
        <v/>
      </c>
    </row>
    <row r="9" spans="1:15" ht="7.5" customHeight="1">
      <c r="B9" s="15"/>
      <c r="C9" s="15"/>
      <c r="D9" s="15"/>
      <c r="E9" s="16"/>
      <c r="F9" s="36"/>
      <c r="G9" s="36"/>
      <c r="H9" s="36"/>
      <c r="I9" s="36"/>
      <c r="J9" s="36"/>
      <c r="K9" s="36"/>
      <c r="L9" s="36"/>
      <c r="M9" s="36"/>
      <c r="N9" s="36"/>
    </row>
    <row r="10" spans="1:15" ht="24" customHeight="1">
      <c r="A10" s="14" t="s">
        <v>9</v>
      </c>
      <c r="B10" s="15" t="s">
        <v>80</v>
      </c>
      <c r="C10" s="15"/>
      <c r="D10" s="15"/>
      <c r="E10" s="167" t="s">
        <v>130</v>
      </c>
      <c r="F10" s="168"/>
      <c r="G10" s="168"/>
      <c r="H10" s="168"/>
      <c r="I10" s="168"/>
      <c r="J10" s="168"/>
      <c r="K10" s="168"/>
      <c r="L10" s="168"/>
      <c r="M10" s="168"/>
      <c r="N10" s="169"/>
      <c r="O10" s="31" t="str">
        <f>IF(E10="","入力してください","")</f>
        <v/>
      </c>
    </row>
    <row r="11" spans="1:15" ht="7.5" customHeight="1">
      <c r="B11" s="16"/>
      <c r="C11" s="16"/>
      <c r="D11" s="16"/>
      <c r="E11" s="16"/>
      <c r="F11" s="36"/>
      <c r="G11" s="36"/>
      <c r="H11" s="36"/>
      <c r="I11" s="36"/>
      <c r="J11" s="36"/>
      <c r="K11" s="36"/>
      <c r="L11" s="36"/>
      <c r="M11" s="36"/>
      <c r="N11" s="36"/>
    </row>
    <row r="12" spans="1:15" ht="24" customHeight="1">
      <c r="A12" s="14" t="s">
        <v>54</v>
      </c>
      <c r="B12" s="16" t="s">
        <v>55</v>
      </c>
      <c r="C12" s="16"/>
      <c r="D12" s="16"/>
      <c r="E12" s="182">
        <v>2021</v>
      </c>
      <c r="F12" s="183"/>
      <c r="G12" s="17" t="s">
        <v>91</v>
      </c>
      <c r="H12" s="14" t="s">
        <v>92</v>
      </c>
      <c r="N12" s="113" t="s">
        <v>131</v>
      </c>
      <c r="O12" s="31" t="str">
        <f>IF(E12="","入力してください","")</f>
        <v/>
      </c>
    </row>
    <row r="13" spans="1:15" ht="7.5" customHeight="1">
      <c r="B13" s="16"/>
      <c r="C13" s="16"/>
      <c r="D13" s="16"/>
      <c r="E13" s="16"/>
      <c r="F13" s="36"/>
      <c r="G13" s="36"/>
      <c r="H13" s="36"/>
      <c r="I13" s="36"/>
      <c r="J13" s="36"/>
      <c r="K13" s="36"/>
      <c r="L13" s="36"/>
      <c r="M13" s="36"/>
      <c r="N13" s="36"/>
    </row>
    <row r="14" spans="1:15" ht="24" customHeight="1">
      <c r="A14" s="14" t="s">
        <v>49</v>
      </c>
      <c r="B14" s="14" t="s">
        <v>0</v>
      </c>
      <c r="C14" s="178" t="s">
        <v>5</v>
      </c>
      <c r="D14" s="179"/>
      <c r="E14" s="170">
        <v>74</v>
      </c>
      <c r="F14" s="171"/>
      <c r="G14" s="18" t="s">
        <v>7</v>
      </c>
      <c r="I14" s="178" t="s">
        <v>8</v>
      </c>
      <c r="J14" s="179"/>
      <c r="K14" s="170">
        <v>49</v>
      </c>
      <c r="L14" s="180"/>
      <c r="M14" s="171"/>
      <c r="N14" s="19" t="s">
        <v>7</v>
      </c>
      <c r="O14" s="31" t="str">
        <f>IF(OR(E14="",K14=""),"入力してください","")</f>
        <v/>
      </c>
    </row>
    <row r="15" spans="1:15" ht="7.5" customHeight="1">
      <c r="F15" s="20"/>
      <c r="G15" s="20"/>
      <c r="H15" s="20"/>
      <c r="I15" s="20"/>
      <c r="J15" s="20"/>
      <c r="K15" s="20"/>
      <c r="L15" s="20"/>
      <c r="M15" s="19"/>
      <c r="N15" s="19"/>
    </row>
    <row r="16" spans="1:15" ht="24" customHeight="1">
      <c r="A16" s="14" t="s">
        <v>56</v>
      </c>
      <c r="B16" s="14" t="s">
        <v>66</v>
      </c>
      <c r="F16" s="20"/>
      <c r="G16" s="20"/>
      <c r="H16" s="20"/>
      <c r="I16" s="20"/>
      <c r="J16" s="20"/>
      <c r="K16" s="184">
        <v>34</v>
      </c>
      <c r="L16" s="185"/>
      <c r="M16" s="186"/>
      <c r="N16" s="19" t="s">
        <v>47</v>
      </c>
      <c r="O16" s="31" t="str">
        <f>IF(K16="","入力してください","")</f>
        <v/>
      </c>
    </row>
    <row r="17" spans="1:15" ht="7.5" customHeight="1">
      <c r="F17" s="20"/>
      <c r="G17" s="20"/>
      <c r="H17" s="20"/>
      <c r="I17" s="20"/>
      <c r="J17" s="20"/>
      <c r="K17" s="20"/>
      <c r="L17" s="20"/>
      <c r="M17" s="19"/>
      <c r="N17" s="19"/>
    </row>
    <row r="18" spans="1:15" ht="24" customHeight="1">
      <c r="A18" s="14" t="s">
        <v>20</v>
      </c>
      <c r="B18" s="14" t="s">
        <v>72</v>
      </c>
      <c r="E18" s="170">
        <v>200</v>
      </c>
      <c r="F18" s="171"/>
      <c r="G18" s="21" t="s">
        <v>17</v>
      </c>
      <c r="H18" s="20"/>
      <c r="K18" s="190"/>
      <c r="L18" s="190"/>
      <c r="M18" s="190"/>
      <c r="N18" s="190"/>
      <c r="O18" s="31" t="str">
        <f>IF(E18="","入力してください","")</f>
        <v/>
      </c>
    </row>
    <row r="19" spans="1:15" ht="7.5" customHeight="1">
      <c r="E19" s="10"/>
      <c r="F19" s="20"/>
      <c r="G19" s="20"/>
      <c r="L19" s="35"/>
      <c r="M19" s="35"/>
      <c r="N19" s="22"/>
    </row>
    <row r="20" spans="1:15" ht="24" customHeight="1">
      <c r="A20" s="14" t="s">
        <v>71</v>
      </c>
      <c r="B20" s="14" t="s">
        <v>73</v>
      </c>
      <c r="E20" s="10"/>
      <c r="F20" s="20"/>
      <c r="G20" s="20"/>
      <c r="H20" s="14" t="s">
        <v>48</v>
      </c>
      <c r="J20" s="187">
        <v>1128</v>
      </c>
      <c r="K20" s="188"/>
      <c r="L20" s="189"/>
      <c r="M20" s="35" t="s">
        <v>47</v>
      </c>
      <c r="N20" s="22"/>
      <c r="O20" s="31" t="str">
        <f>IF(J20="","入力してください","")</f>
        <v/>
      </c>
    </row>
    <row r="21" spans="1:15" ht="7.5" customHeight="1">
      <c r="E21" s="10"/>
      <c r="F21" s="20"/>
      <c r="G21" s="20"/>
      <c r="L21" s="35"/>
      <c r="M21" s="35"/>
      <c r="N21" s="22"/>
    </row>
    <row r="22" spans="1:15" ht="24" customHeight="1">
      <c r="B22" s="29" t="s">
        <v>13</v>
      </c>
      <c r="C22" s="170">
        <v>213</v>
      </c>
      <c r="D22" s="171"/>
      <c r="E22" s="10" t="s">
        <v>18</v>
      </c>
      <c r="F22" s="20"/>
      <c r="G22" s="166" t="s">
        <v>14</v>
      </c>
      <c r="H22" s="166"/>
      <c r="I22" s="170">
        <v>223</v>
      </c>
      <c r="J22" s="171"/>
      <c r="K22" s="17" t="s">
        <v>18</v>
      </c>
      <c r="M22" s="35"/>
      <c r="N22" s="22"/>
    </row>
    <row r="23" spans="1:15" ht="7.5" customHeight="1">
      <c r="B23" s="29"/>
      <c r="C23" s="11"/>
      <c r="D23" s="11"/>
      <c r="E23" s="10"/>
      <c r="F23" s="20"/>
      <c r="G23" s="35"/>
      <c r="H23" s="35"/>
      <c r="I23" s="11"/>
      <c r="J23" s="11"/>
      <c r="K23" s="17"/>
      <c r="M23" s="35"/>
      <c r="N23" s="22"/>
    </row>
    <row r="24" spans="1:15" ht="24" customHeight="1">
      <c r="B24" s="29" t="s">
        <v>15</v>
      </c>
      <c r="C24" s="170">
        <v>226</v>
      </c>
      <c r="D24" s="171"/>
      <c r="E24" s="10" t="s">
        <v>18</v>
      </c>
      <c r="F24" s="20"/>
      <c r="G24" s="166" t="s">
        <v>16</v>
      </c>
      <c r="H24" s="166"/>
      <c r="I24" s="170">
        <v>265</v>
      </c>
      <c r="J24" s="171"/>
      <c r="K24" s="17" t="s">
        <v>18</v>
      </c>
      <c r="M24" s="35"/>
      <c r="N24" s="22"/>
    </row>
    <row r="25" spans="1:15" ht="7.5" customHeight="1">
      <c r="B25" s="29"/>
      <c r="C25" s="11"/>
      <c r="D25" s="11"/>
      <c r="E25" s="10"/>
      <c r="F25" s="20"/>
      <c r="G25" s="35"/>
      <c r="H25" s="35"/>
      <c r="I25" s="11"/>
      <c r="J25" s="11"/>
      <c r="K25" s="17"/>
      <c r="M25" s="35"/>
      <c r="N25" s="22"/>
    </row>
    <row r="26" spans="1:15" ht="24" customHeight="1">
      <c r="B26" s="29" t="s">
        <v>42</v>
      </c>
      <c r="C26" s="170">
        <v>201</v>
      </c>
      <c r="D26" s="171"/>
      <c r="E26" s="10" t="s">
        <v>7</v>
      </c>
      <c r="F26" s="20"/>
      <c r="G26" s="166" t="s">
        <v>43</v>
      </c>
      <c r="H26" s="166"/>
      <c r="I26" s="170"/>
      <c r="J26" s="171"/>
      <c r="K26" s="17" t="s">
        <v>7</v>
      </c>
      <c r="M26" s="35"/>
      <c r="N26" s="22"/>
    </row>
    <row r="27" spans="1:15" ht="7.5" customHeight="1">
      <c r="F27" s="20"/>
      <c r="G27" s="20"/>
      <c r="M27" s="23"/>
      <c r="N27" s="23"/>
    </row>
    <row r="28" spans="1:15" ht="24" customHeight="1">
      <c r="A28" s="14" t="s">
        <v>46</v>
      </c>
      <c r="B28" s="15" t="s">
        <v>70</v>
      </c>
      <c r="C28" s="15"/>
      <c r="D28" s="15"/>
      <c r="E28" s="15"/>
      <c r="F28" s="17"/>
      <c r="G28" s="36"/>
      <c r="H28" s="36"/>
      <c r="I28" s="36"/>
      <c r="J28" s="24"/>
      <c r="K28" s="24"/>
      <c r="L28" s="24"/>
      <c r="M28" s="24"/>
      <c r="N28" s="24"/>
    </row>
    <row r="29" spans="1:15" s="14" customFormat="1" ht="24" customHeight="1">
      <c r="B29" s="174" t="s">
        <v>69</v>
      </c>
      <c r="C29" s="174"/>
      <c r="D29" s="167" t="s">
        <v>346</v>
      </c>
      <c r="E29" s="168"/>
      <c r="F29" s="168"/>
      <c r="G29" s="175" t="s">
        <v>19</v>
      </c>
      <c r="H29" s="174"/>
      <c r="I29" s="176"/>
      <c r="J29" s="167" t="s">
        <v>132</v>
      </c>
      <c r="K29" s="168"/>
      <c r="L29" s="168"/>
      <c r="M29" s="168"/>
      <c r="N29" s="169"/>
      <c r="O29" s="31" t="str">
        <f>IF(OR(D29="",J29=""),"入力してください","")</f>
        <v/>
      </c>
    </row>
    <row r="30" spans="1:15" ht="7.5" customHeight="1">
      <c r="F30" s="20"/>
      <c r="G30" s="20"/>
      <c r="M30" s="23"/>
      <c r="N30" s="23"/>
    </row>
    <row r="31" spans="1:15" ht="24" customHeight="1">
      <c r="A31" s="14" t="s">
        <v>50</v>
      </c>
      <c r="B31" s="15" t="s">
        <v>75</v>
      </c>
      <c r="C31" s="15"/>
      <c r="D31" s="15"/>
      <c r="E31" s="15"/>
      <c r="F31" s="17"/>
      <c r="G31" s="24"/>
      <c r="H31" s="24"/>
      <c r="I31" s="24"/>
      <c r="J31" s="24"/>
      <c r="K31" s="24"/>
      <c r="L31" s="24"/>
      <c r="M31" s="24"/>
      <c r="N31" s="24"/>
    </row>
    <row r="32" spans="1:15" ht="24" customHeight="1">
      <c r="B32" s="167" t="s">
        <v>133</v>
      </c>
      <c r="C32" s="168"/>
      <c r="D32" s="168"/>
      <c r="E32" s="168"/>
      <c r="F32" s="168"/>
      <c r="G32" s="168"/>
      <c r="H32" s="168"/>
      <c r="I32" s="168"/>
      <c r="J32" s="168"/>
      <c r="K32" s="168"/>
      <c r="L32" s="168"/>
      <c r="M32" s="168"/>
      <c r="N32" s="169"/>
      <c r="O32" s="31" t="str">
        <f>IF(B32="","入力してください","")</f>
        <v/>
      </c>
    </row>
    <row r="33" spans="1:15" ht="7.5" customHeight="1">
      <c r="B33" s="12"/>
      <c r="C33" s="12"/>
      <c r="D33" s="12"/>
      <c r="E33" s="12"/>
      <c r="F33" s="12"/>
      <c r="G33" s="12"/>
      <c r="H33" s="12"/>
      <c r="I33" s="12"/>
      <c r="J33" s="12"/>
      <c r="K33" s="12"/>
      <c r="L33" s="12"/>
      <c r="M33" s="12"/>
      <c r="N33" s="12"/>
    </row>
    <row r="34" spans="1:15" s="14" customFormat="1" ht="24" customHeight="1">
      <c r="B34" s="174" t="s">
        <v>69</v>
      </c>
      <c r="C34" s="174"/>
      <c r="D34" s="167" t="s">
        <v>134</v>
      </c>
      <c r="E34" s="168"/>
      <c r="F34" s="168"/>
      <c r="G34" s="175" t="s">
        <v>51</v>
      </c>
      <c r="H34" s="174"/>
      <c r="I34" s="176"/>
      <c r="J34" s="167" t="s">
        <v>135</v>
      </c>
      <c r="K34" s="168"/>
      <c r="L34" s="168"/>
      <c r="M34" s="168"/>
      <c r="N34" s="169"/>
      <c r="O34" s="31" t="str">
        <f>IF(OR(D34="",J34=""),"入力してください","")</f>
        <v/>
      </c>
    </row>
    <row r="35" spans="1:15" ht="7.5" customHeight="1">
      <c r="F35" s="36"/>
      <c r="G35" s="36"/>
      <c r="H35" s="36"/>
      <c r="I35" s="36"/>
      <c r="J35" s="36"/>
      <c r="K35" s="36"/>
      <c r="L35" s="36"/>
      <c r="M35" s="36"/>
      <c r="N35" s="36"/>
    </row>
    <row r="36" spans="1:15" ht="24" customHeight="1">
      <c r="A36" s="14" t="s">
        <v>57</v>
      </c>
      <c r="B36" s="14" t="s">
        <v>76</v>
      </c>
      <c r="M36" s="23"/>
      <c r="N36" s="23"/>
    </row>
    <row r="37" spans="1:15" ht="24" customHeight="1">
      <c r="B37" s="167" t="s">
        <v>136</v>
      </c>
      <c r="C37" s="168"/>
      <c r="D37" s="168"/>
      <c r="E37" s="168"/>
      <c r="F37" s="168"/>
      <c r="G37" s="168"/>
      <c r="H37" s="168"/>
      <c r="I37" s="168"/>
      <c r="J37" s="168"/>
      <c r="K37" s="168"/>
      <c r="L37" s="168"/>
      <c r="M37" s="168"/>
      <c r="N37" s="169"/>
      <c r="O37" s="31" t="str">
        <f>IF(B37="","入力してください","")</f>
        <v/>
      </c>
    </row>
    <row r="38" spans="1:15" ht="7.5" customHeight="1">
      <c r="F38" s="36"/>
      <c r="G38" s="36"/>
      <c r="H38" s="36"/>
      <c r="I38" s="36"/>
      <c r="J38" s="36"/>
      <c r="K38" s="36"/>
      <c r="L38" s="36"/>
      <c r="M38" s="36"/>
      <c r="N38" s="36"/>
    </row>
    <row r="39" spans="1:15" s="14" customFormat="1" ht="24" customHeight="1">
      <c r="B39" s="174" t="s">
        <v>69</v>
      </c>
      <c r="C39" s="174"/>
      <c r="D39" s="167" t="s">
        <v>346</v>
      </c>
      <c r="E39" s="168"/>
      <c r="F39" s="168"/>
      <c r="G39" s="175" t="s">
        <v>51</v>
      </c>
      <c r="H39" s="174"/>
      <c r="I39" s="176"/>
      <c r="J39" s="167" t="s">
        <v>132</v>
      </c>
      <c r="K39" s="168"/>
      <c r="L39" s="168"/>
      <c r="M39" s="168"/>
      <c r="N39" s="169"/>
      <c r="O39" s="31" t="str">
        <f>IF(OR(D39="",J39=""),"入力してください","")</f>
        <v/>
      </c>
    </row>
    <row r="40" spans="1:15" ht="7.5" customHeight="1">
      <c r="F40" s="36"/>
      <c r="G40" s="36"/>
      <c r="H40" s="36"/>
      <c r="I40" s="36"/>
      <c r="J40" s="36"/>
      <c r="K40" s="36"/>
      <c r="L40" s="36"/>
      <c r="M40" s="36"/>
      <c r="N40" s="36"/>
    </row>
    <row r="41" spans="1:15" ht="24" customHeight="1">
      <c r="A41" s="14" t="s">
        <v>83</v>
      </c>
      <c r="B41" s="69" t="s">
        <v>65</v>
      </c>
      <c r="E41" s="70"/>
      <c r="F41" s="167" t="s">
        <v>137</v>
      </c>
      <c r="G41" s="168"/>
      <c r="H41" s="168"/>
      <c r="I41" s="168"/>
      <c r="J41" s="168"/>
      <c r="K41" s="168"/>
      <c r="L41" s="168"/>
      <c r="M41" s="168"/>
      <c r="N41" s="169"/>
      <c r="O41" s="31" t="str">
        <f>IF(F41="","入力してください","")</f>
        <v/>
      </c>
    </row>
    <row r="42" spans="1:15" ht="7.5" customHeight="1">
      <c r="F42" s="36"/>
      <c r="G42" s="36"/>
      <c r="H42" s="36"/>
      <c r="I42" s="36"/>
      <c r="J42" s="36"/>
      <c r="K42" s="36"/>
      <c r="L42" s="36"/>
      <c r="M42" s="36"/>
      <c r="N42" s="36"/>
    </row>
    <row r="43" spans="1:15" ht="24" customHeight="1">
      <c r="A43" s="14" t="s">
        <v>93</v>
      </c>
    </row>
    <row r="44" spans="1:15" ht="24" customHeight="1">
      <c r="B44" s="30" t="s">
        <v>1</v>
      </c>
      <c r="C44" s="172" t="s">
        <v>138</v>
      </c>
      <c r="D44" s="173"/>
      <c r="E44" s="173"/>
      <c r="F44" s="173"/>
      <c r="G44" s="173"/>
      <c r="H44" s="173"/>
      <c r="I44" s="26" t="s">
        <v>2</v>
      </c>
      <c r="J44" s="27"/>
      <c r="K44" s="167" t="s">
        <v>139</v>
      </c>
      <c r="L44" s="168"/>
      <c r="M44" s="168"/>
      <c r="N44" s="169"/>
      <c r="O44" s="31" t="str">
        <f>IF(OR(C44="",K44=""),"入力してください","")</f>
        <v/>
      </c>
    </row>
    <row r="45" spans="1:15" ht="24" customHeight="1">
      <c r="B45" s="25" t="s">
        <v>4</v>
      </c>
      <c r="C45" s="160" t="s">
        <v>140</v>
      </c>
      <c r="D45" s="161"/>
      <c r="E45" s="161"/>
      <c r="F45" s="161"/>
      <c r="G45" s="161"/>
      <c r="H45" s="162"/>
      <c r="I45" s="26" t="s">
        <v>3</v>
      </c>
      <c r="J45" s="27"/>
      <c r="K45" s="163" t="s">
        <v>141</v>
      </c>
      <c r="L45" s="164"/>
      <c r="M45" s="164"/>
      <c r="N45" s="165"/>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showZeros="0" view="pageBreakPreview" topLeftCell="A92" zoomScaleNormal="100" zoomScaleSheetLayoutView="100" workbookViewId="0">
      <selection activeCell="I97" sqref="I97"/>
    </sheetView>
  </sheetViews>
  <sheetFormatPr defaultColWidth="9" defaultRowHeight="18.75" customHeight="1"/>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206" t="s">
        <v>247</v>
      </c>
      <c r="X1" s="206"/>
      <c r="Y1" s="206"/>
      <c r="Z1" s="206"/>
    </row>
    <row r="2" spans="1:26" ht="18" customHeight="1">
      <c r="A2" s="207" t="s">
        <v>63</v>
      </c>
      <c r="B2" s="207"/>
      <c r="C2" s="207"/>
      <c r="D2" s="207"/>
      <c r="E2" s="207"/>
      <c r="F2" s="207"/>
      <c r="G2" s="207"/>
      <c r="H2" s="207"/>
      <c r="I2" s="207"/>
      <c r="J2" s="207"/>
      <c r="K2" s="207"/>
      <c r="L2" s="207"/>
      <c r="M2" s="207"/>
      <c r="N2" s="207"/>
      <c r="O2" s="207"/>
      <c r="P2" s="207"/>
      <c r="Q2" s="207"/>
      <c r="R2" s="207"/>
      <c r="S2" s="207"/>
      <c r="T2" s="207"/>
      <c r="U2" s="207"/>
      <c r="V2" s="207"/>
      <c r="W2" s="207"/>
      <c r="X2" s="207"/>
      <c r="Y2" s="207"/>
      <c r="Z2" s="207"/>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142</v>
      </c>
      <c r="B4" s="29"/>
      <c r="C4" s="29"/>
      <c r="D4" s="29"/>
      <c r="E4" s="29"/>
      <c r="F4" s="29"/>
      <c r="G4" s="29"/>
      <c r="H4" s="14" t="s">
        <v>101</v>
      </c>
      <c r="I4" s="29"/>
      <c r="J4" s="29"/>
      <c r="K4" s="29"/>
      <c r="L4" s="29"/>
      <c r="M4" s="29"/>
      <c r="N4" s="29"/>
      <c r="O4" s="208" t="s">
        <v>143</v>
      </c>
      <c r="P4" s="209"/>
      <c r="Q4" s="209"/>
      <c r="R4" s="209"/>
      <c r="S4" s="209"/>
      <c r="T4" s="209"/>
      <c r="U4" s="209"/>
      <c r="V4" s="209"/>
      <c r="W4" s="209"/>
      <c r="X4" s="209"/>
      <c r="Y4" s="209"/>
      <c r="Z4" s="210"/>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A6" s="133"/>
      <c r="B6" s="447" t="s">
        <v>378</v>
      </c>
      <c r="C6" s="448"/>
      <c r="D6" s="448"/>
      <c r="E6" s="448"/>
      <c r="F6" s="448"/>
      <c r="G6" s="448"/>
      <c r="H6" s="448"/>
      <c r="I6" s="448"/>
      <c r="J6" s="448"/>
      <c r="K6" s="448"/>
      <c r="L6" s="448"/>
      <c r="M6" s="448"/>
      <c r="N6" s="448"/>
      <c r="O6" s="448"/>
      <c r="P6" s="448"/>
      <c r="Q6" s="448"/>
      <c r="R6" s="448"/>
      <c r="S6" s="448"/>
      <c r="T6" s="448"/>
      <c r="U6" s="448"/>
      <c r="V6" s="448"/>
      <c r="W6" s="448"/>
      <c r="X6" s="448"/>
      <c r="Y6" s="448"/>
      <c r="Z6" s="449"/>
    </row>
    <row r="7" spans="1:26" ht="18" customHeight="1">
      <c r="A7" s="133"/>
      <c r="B7" s="450"/>
      <c r="C7" s="451"/>
      <c r="D7" s="451"/>
      <c r="E7" s="451"/>
      <c r="F7" s="451"/>
      <c r="G7" s="451"/>
      <c r="H7" s="451"/>
      <c r="I7" s="451"/>
      <c r="J7" s="451"/>
      <c r="K7" s="451"/>
      <c r="L7" s="451"/>
      <c r="M7" s="451"/>
      <c r="N7" s="451"/>
      <c r="O7" s="451"/>
      <c r="P7" s="451"/>
      <c r="Q7" s="451"/>
      <c r="R7" s="451"/>
      <c r="S7" s="451"/>
      <c r="T7" s="451"/>
      <c r="U7" s="451"/>
      <c r="V7" s="451"/>
      <c r="W7" s="451"/>
      <c r="X7" s="451"/>
      <c r="Y7" s="451"/>
      <c r="Z7" s="452"/>
    </row>
    <row r="8" spans="1:26" ht="18" customHeight="1">
      <c r="A8" s="133"/>
      <c r="B8" s="450"/>
      <c r="C8" s="451"/>
      <c r="D8" s="451"/>
      <c r="E8" s="451"/>
      <c r="F8" s="451"/>
      <c r="G8" s="451"/>
      <c r="H8" s="451"/>
      <c r="I8" s="451"/>
      <c r="J8" s="451"/>
      <c r="K8" s="451"/>
      <c r="L8" s="451"/>
      <c r="M8" s="451"/>
      <c r="N8" s="451"/>
      <c r="O8" s="451"/>
      <c r="P8" s="451"/>
      <c r="Q8" s="451"/>
      <c r="R8" s="451"/>
      <c r="S8" s="451"/>
      <c r="T8" s="451"/>
      <c r="U8" s="451"/>
      <c r="V8" s="451"/>
      <c r="W8" s="451"/>
      <c r="X8" s="451"/>
      <c r="Y8" s="451"/>
      <c r="Z8" s="452"/>
    </row>
    <row r="9" spans="1:26" ht="18" customHeight="1">
      <c r="A9" s="133"/>
      <c r="B9" s="450"/>
      <c r="C9" s="451"/>
      <c r="D9" s="451"/>
      <c r="E9" s="451"/>
      <c r="F9" s="451"/>
      <c r="G9" s="451"/>
      <c r="H9" s="451"/>
      <c r="I9" s="451"/>
      <c r="J9" s="451"/>
      <c r="K9" s="451"/>
      <c r="L9" s="451"/>
      <c r="M9" s="451"/>
      <c r="N9" s="451"/>
      <c r="O9" s="451"/>
      <c r="P9" s="451"/>
      <c r="Q9" s="451"/>
      <c r="R9" s="451"/>
      <c r="S9" s="451"/>
      <c r="T9" s="451"/>
      <c r="U9" s="451"/>
      <c r="V9" s="451"/>
      <c r="W9" s="451"/>
      <c r="X9" s="451"/>
      <c r="Y9" s="451"/>
      <c r="Z9" s="452"/>
    </row>
    <row r="10" spans="1:26" ht="18" customHeight="1">
      <c r="A10" s="133"/>
      <c r="B10" s="450"/>
      <c r="C10" s="451"/>
      <c r="D10" s="451"/>
      <c r="E10" s="451"/>
      <c r="F10" s="451"/>
      <c r="G10" s="451"/>
      <c r="H10" s="451"/>
      <c r="I10" s="451"/>
      <c r="J10" s="451"/>
      <c r="K10" s="451"/>
      <c r="L10" s="451"/>
      <c r="M10" s="451"/>
      <c r="N10" s="451"/>
      <c r="O10" s="451"/>
      <c r="P10" s="451"/>
      <c r="Q10" s="451"/>
      <c r="R10" s="451"/>
      <c r="S10" s="451"/>
      <c r="T10" s="451"/>
      <c r="U10" s="451"/>
      <c r="V10" s="451"/>
      <c r="W10" s="451"/>
      <c r="X10" s="451"/>
      <c r="Y10" s="451"/>
      <c r="Z10" s="452"/>
    </row>
    <row r="11" spans="1:26" ht="18" customHeight="1">
      <c r="A11" s="133"/>
      <c r="B11" s="453"/>
      <c r="C11" s="454"/>
      <c r="D11" s="454"/>
      <c r="E11" s="454"/>
      <c r="F11" s="454"/>
      <c r="G11" s="454"/>
      <c r="H11" s="454"/>
      <c r="I11" s="454"/>
      <c r="J11" s="454"/>
      <c r="K11" s="454"/>
      <c r="L11" s="454"/>
      <c r="M11" s="454"/>
      <c r="N11" s="454"/>
      <c r="O11" s="454"/>
      <c r="P11" s="454"/>
      <c r="Q11" s="454"/>
      <c r="R11" s="454"/>
      <c r="S11" s="454"/>
      <c r="T11" s="454"/>
      <c r="U11" s="454"/>
      <c r="V11" s="454"/>
      <c r="W11" s="454"/>
      <c r="X11" s="454"/>
      <c r="Y11" s="454"/>
      <c r="Z11" s="455"/>
    </row>
    <row r="12" spans="1:26" ht="7.5" customHeight="1">
      <c r="A12" s="133"/>
      <c r="B12" s="134"/>
      <c r="C12" s="134"/>
      <c r="D12" s="134"/>
      <c r="E12" s="134"/>
      <c r="F12" s="134"/>
      <c r="G12" s="134"/>
      <c r="H12" s="134"/>
      <c r="I12" s="134"/>
      <c r="J12" s="134"/>
      <c r="K12" s="134"/>
      <c r="L12" s="134"/>
      <c r="M12" s="134"/>
      <c r="N12" s="134"/>
      <c r="O12" s="134"/>
      <c r="P12" s="134"/>
      <c r="Q12" s="134"/>
      <c r="R12" s="134"/>
      <c r="S12" s="134"/>
      <c r="T12" s="134"/>
      <c r="U12" s="134"/>
      <c r="V12" s="134"/>
      <c r="W12" s="134"/>
      <c r="X12" s="134"/>
      <c r="Y12" s="134"/>
      <c r="Z12" s="134"/>
    </row>
    <row r="13" spans="1:26" ht="18" customHeight="1">
      <c r="A13" s="301" t="s">
        <v>113</v>
      </c>
      <c r="B13" s="301"/>
      <c r="C13" s="301"/>
      <c r="D13" s="301"/>
      <c r="E13" s="301"/>
      <c r="F13" s="301"/>
      <c r="G13" s="301"/>
      <c r="H13" s="301"/>
      <c r="I13" s="301"/>
      <c r="J13" s="301"/>
      <c r="K13" s="301"/>
      <c r="L13" s="301"/>
      <c r="M13" s="301"/>
      <c r="N13" s="301"/>
      <c r="O13" s="301"/>
      <c r="P13" s="301"/>
      <c r="Q13" s="301"/>
      <c r="R13" s="301"/>
      <c r="S13" s="301"/>
      <c r="T13" s="301"/>
      <c r="U13" s="301"/>
      <c r="V13" s="301"/>
      <c r="W13" s="301"/>
      <c r="X13" s="301"/>
      <c r="Y13" s="301"/>
      <c r="Z13" s="301"/>
    </row>
    <row r="14" spans="1:26" ht="18" customHeight="1">
      <c r="A14" s="301"/>
      <c r="B14" s="301"/>
      <c r="C14" s="301"/>
      <c r="D14" s="301"/>
      <c r="E14" s="301"/>
      <c r="F14" s="301"/>
      <c r="G14" s="301"/>
      <c r="H14" s="301"/>
      <c r="I14" s="301"/>
      <c r="J14" s="301"/>
      <c r="K14" s="301"/>
      <c r="L14" s="301"/>
      <c r="M14" s="301"/>
      <c r="N14" s="301"/>
      <c r="O14" s="301"/>
      <c r="P14" s="301"/>
      <c r="Q14" s="301"/>
      <c r="R14" s="301"/>
      <c r="S14" s="301"/>
      <c r="T14" s="301"/>
      <c r="U14" s="301"/>
      <c r="V14" s="301"/>
      <c r="W14" s="301"/>
      <c r="X14" s="301"/>
      <c r="Y14" s="301"/>
      <c r="Z14" s="301"/>
    </row>
    <row r="15" spans="1:26" ht="18" customHeight="1">
      <c r="A15" s="69"/>
      <c r="B15" s="184" t="s">
        <v>94</v>
      </c>
      <c r="C15" s="185"/>
      <c r="D15" s="185"/>
      <c r="E15" s="185"/>
      <c r="F15" s="186"/>
      <c r="G15" s="135" t="s">
        <v>121</v>
      </c>
      <c r="H15" s="136" t="s">
        <v>120</v>
      </c>
      <c r="I15" s="185" t="s">
        <v>95</v>
      </c>
      <c r="J15" s="185"/>
      <c r="K15" s="185"/>
      <c r="L15" s="137" t="s">
        <v>97</v>
      </c>
      <c r="M15" s="137" t="s">
        <v>100</v>
      </c>
      <c r="N15" s="184" t="s">
        <v>94</v>
      </c>
      <c r="O15" s="185"/>
      <c r="P15" s="185"/>
      <c r="Q15" s="185"/>
      <c r="R15" s="185"/>
      <c r="S15" s="186"/>
      <c r="T15" s="135" t="s">
        <v>121</v>
      </c>
      <c r="U15" s="136" t="s">
        <v>120</v>
      </c>
      <c r="V15" s="185" t="s">
        <v>95</v>
      </c>
      <c r="W15" s="185"/>
      <c r="X15" s="185"/>
      <c r="Y15" s="137" t="s">
        <v>97</v>
      </c>
      <c r="Z15" s="137" t="s">
        <v>100</v>
      </c>
    </row>
    <row r="16" spans="1:26" ht="18" customHeight="1">
      <c r="A16" s="69"/>
      <c r="B16" s="283" t="s">
        <v>372</v>
      </c>
      <c r="C16" s="284"/>
      <c r="D16" s="284"/>
      <c r="E16" s="284"/>
      <c r="F16" s="285"/>
      <c r="G16" s="138">
        <v>2</v>
      </c>
      <c r="H16" s="138"/>
      <c r="I16" s="286" t="s">
        <v>144</v>
      </c>
      <c r="J16" s="287"/>
      <c r="K16" s="288"/>
      <c r="L16" s="138" t="s">
        <v>145</v>
      </c>
      <c r="M16" s="138" t="s">
        <v>145</v>
      </c>
      <c r="N16" s="289"/>
      <c r="O16" s="290"/>
      <c r="P16" s="290"/>
      <c r="Q16" s="290"/>
      <c r="R16" s="290"/>
      <c r="S16" s="291"/>
      <c r="T16" s="138"/>
      <c r="U16" s="138"/>
      <c r="V16" s="286"/>
      <c r="W16" s="287"/>
      <c r="X16" s="288"/>
      <c r="Y16" s="138"/>
      <c r="Z16" s="138"/>
    </row>
    <row r="17" spans="1:26" ht="18" customHeight="1">
      <c r="A17" s="69"/>
      <c r="B17" s="292"/>
      <c r="C17" s="293"/>
      <c r="D17" s="293"/>
      <c r="E17" s="293"/>
      <c r="F17" s="294"/>
      <c r="G17" s="139"/>
      <c r="H17" s="139"/>
      <c r="I17" s="295"/>
      <c r="J17" s="296"/>
      <c r="K17" s="297"/>
      <c r="L17" s="139"/>
      <c r="M17" s="139"/>
      <c r="N17" s="298"/>
      <c r="O17" s="299"/>
      <c r="P17" s="299"/>
      <c r="Q17" s="299"/>
      <c r="R17" s="299"/>
      <c r="S17" s="300"/>
      <c r="T17" s="139"/>
      <c r="U17" s="139"/>
      <c r="V17" s="295"/>
      <c r="W17" s="296"/>
      <c r="X17" s="297"/>
      <c r="Y17" s="139"/>
      <c r="Z17" s="139"/>
    </row>
    <row r="18" spans="1:26" ht="18" customHeight="1">
      <c r="A18" s="69"/>
      <c r="B18" s="292"/>
      <c r="C18" s="293"/>
      <c r="D18" s="293"/>
      <c r="E18" s="293"/>
      <c r="F18" s="294"/>
      <c r="G18" s="139"/>
      <c r="H18" s="139"/>
      <c r="I18" s="295"/>
      <c r="J18" s="296"/>
      <c r="K18" s="297"/>
      <c r="L18" s="139"/>
      <c r="M18" s="139"/>
      <c r="N18" s="298"/>
      <c r="O18" s="299"/>
      <c r="P18" s="299"/>
      <c r="Q18" s="299"/>
      <c r="R18" s="299"/>
      <c r="S18" s="300"/>
      <c r="T18" s="139"/>
      <c r="U18" s="139"/>
      <c r="V18" s="295"/>
      <c r="W18" s="296"/>
      <c r="X18" s="297"/>
      <c r="Y18" s="139"/>
      <c r="Z18" s="139"/>
    </row>
    <row r="19" spans="1:26" ht="18" customHeight="1">
      <c r="A19" s="69"/>
      <c r="B19" s="292"/>
      <c r="C19" s="293"/>
      <c r="D19" s="293"/>
      <c r="E19" s="293"/>
      <c r="F19" s="294"/>
      <c r="G19" s="139"/>
      <c r="H19" s="139"/>
      <c r="I19" s="295"/>
      <c r="J19" s="296"/>
      <c r="K19" s="297"/>
      <c r="L19" s="139"/>
      <c r="M19" s="139"/>
      <c r="N19" s="298"/>
      <c r="O19" s="299"/>
      <c r="P19" s="299"/>
      <c r="Q19" s="299"/>
      <c r="R19" s="299"/>
      <c r="S19" s="300"/>
      <c r="T19" s="139"/>
      <c r="U19" s="139"/>
      <c r="V19" s="295"/>
      <c r="W19" s="296"/>
      <c r="X19" s="297"/>
      <c r="Y19" s="139"/>
      <c r="Z19" s="139"/>
    </row>
    <row r="20" spans="1:26" ht="18" customHeight="1">
      <c r="A20" s="69"/>
      <c r="B20" s="292"/>
      <c r="C20" s="293"/>
      <c r="D20" s="293"/>
      <c r="E20" s="293"/>
      <c r="F20" s="294"/>
      <c r="G20" s="139"/>
      <c r="H20" s="139"/>
      <c r="I20" s="295"/>
      <c r="J20" s="296"/>
      <c r="K20" s="297"/>
      <c r="L20" s="139"/>
      <c r="M20" s="139"/>
      <c r="N20" s="298"/>
      <c r="O20" s="299"/>
      <c r="P20" s="299"/>
      <c r="Q20" s="299"/>
      <c r="R20" s="299"/>
      <c r="S20" s="300"/>
      <c r="T20" s="139"/>
      <c r="U20" s="139"/>
      <c r="V20" s="295"/>
      <c r="W20" s="296"/>
      <c r="X20" s="297"/>
      <c r="Y20" s="139"/>
      <c r="Z20" s="139"/>
    </row>
    <row r="21" spans="1:26" ht="18" customHeight="1">
      <c r="A21" s="134"/>
      <c r="B21" s="292"/>
      <c r="C21" s="293"/>
      <c r="D21" s="293"/>
      <c r="E21" s="293"/>
      <c r="F21" s="294"/>
      <c r="G21" s="139"/>
      <c r="H21" s="139"/>
      <c r="I21" s="295"/>
      <c r="J21" s="296"/>
      <c r="K21" s="297"/>
      <c r="L21" s="139"/>
      <c r="M21" s="139"/>
      <c r="N21" s="298"/>
      <c r="O21" s="299"/>
      <c r="P21" s="299"/>
      <c r="Q21" s="299"/>
      <c r="R21" s="299"/>
      <c r="S21" s="300"/>
      <c r="T21" s="139"/>
      <c r="U21" s="139"/>
      <c r="V21" s="295"/>
      <c r="W21" s="296"/>
      <c r="X21" s="297"/>
      <c r="Y21" s="139"/>
      <c r="Z21" s="139"/>
    </row>
    <row r="22" spans="1:26" ht="18" customHeight="1">
      <c r="A22" s="134"/>
      <c r="B22" s="302"/>
      <c r="C22" s="303"/>
      <c r="D22" s="303"/>
      <c r="E22" s="303"/>
      <c r="F22" s="304"/>
      <c r="G22" s="140"/>
      <c r="H22" s="140"/>
      <c r="I22" s="305"/>
      <c r="J22" s="306"/>
      <c r="K22" s="307"/>
      <c r="L22" s="141"/>
      <c r="M22" s="141"/>
      <c r="N22" s="308"/>
      <c r="O22" s="309"/>
      <c r="P22" s="309"/>
      <c r="Q22" s="309"/>
      <c r="R22" s="309"/>
      <c r="S22" s="310"/>
      <c r="T22" s="140"/>
      <c r="U22" s="140"/>
      <c r="V22" s="305"/>
      <c r="W22" s="306"/>
      <c r="X22" s="307"/>
      <c r="Y22" s="141"/>
      <c r="Z22" s="141"/>
    </row>
    <row r="23" spans="1:26" ht="7.5" customHeight="1">
      <c r="A23" s="134"/>
      <c r="B23" s="142"/>
      <c r="C23" s="142"/>
      <c r="D23" s="134"/>
      <c r="E23" s="134"/>
      <c r="F23" s="134"/>
      <c r="G23" s="134"/>
      <c r="H23" s="134"/>
      <c r="I23" s="134"/>
      <c r="J23" s="134"/>
      <c r="K23" s="134"/>
      <c r="L23" s="142"/>
      <c r="M23" s="142"/>
      <c r="N23" s="142"/>
      <c r="O23" s="142"/>
      <c r="P23" s="142"/>
      <c r="Q23" s="142"/>
      <c r="R23" s="142"/>
      <c r="S23" s="142"/>
      <c r="T23" s="142"/>
      <c r="U23" s="142"/>
      <c r="V23" s="142"/>
      <c r="W23" s="142"/>
      <c r="X23" s="142"/>
      <c r="Y23" s="142"/>
      <c r="Z23" s="134"/>
    </row>
    <row r="24" spans="1:26" ht="18" customHeight="1">
      <c r="A24" s="301" t="s">
        <v>114</v>
      </c>
      <c r="B24" s="301"/>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row>
    <row r="25" spans="1:26" ht="18" customHeight="1">
      <c r="A25" s="301"/>
      <c r="B25" s="301"/>
      <c r="C25" s="301"/>
      <c r="D25" s="301"/>
      <c r="E25" s="301"/>
      <c r="F25" s="301"/>
      <c r="G25" s="301"/>
      <c r="H25" s="301"/>
      <c r="I25" s="301"/>
      <c r="J25" s="301"/>
      <c r="K25" s="301"/>
      <c r="L25" s="301"/>
      <c r="M25" s="301"/>
      <c r="N25" s="301"/>
      <c r="O25" s="301"/>
      <c r="P25" s="301"/>
      <c r="Q25" s="301"/>
      <c r="R25" s="301"/>
      <c r="S25" s="301"/>
      <c r="T25" s="301"/>
      <c r="U25" s="301"/>
      <c r="V25" s="301"/>
      <c r="W25" s="301"/>
      <c r="X25" s="301"/>
      <c r="Y25" s="301"/>
      <c r="Z25" s="301"/>
    </row>
    <row r="26" spans="1:26" ht="18" customHeight="1">
      <c r="A26" s="69"/>
      <c r="B26" s="184" t="s">
        <v>94</v>
      </c>
      <c r="C26" s="185"/>
      <c r="D26" s="185"/>
      <c r="E26" s="185"/>
      <c r="F26" s="186"/>
      <c r="G26" s="135" t="s">
        <v>121</v>
      </c>
      <c r="H26" s="136" t="s">
        <v>120</v>
      </c>
      <c r="I26" s="185" t="s">
        <v>146</v>
      </c>
      <c r="J26" s="185"/>
      <c r="K26" s="185"/>
      <c r="L26" s="137" t="s">
        <v>147</v>
      </c>
      <c r="M26" s="137" t="s">
        <v>148</v>
      </c>
      <c r="N26" s="184" t="s">
        <v>94</v>
      </c>
      <c r="O26" s="185"/>
      <c r="P26" s="185"/>
      <c r="Q26" s="185"/>
      <c r="R26" s="185"/>
      <c r="S26" s="186"/>
      <c r="T26" s="135" t="s">
        <v>121</v>
      </c>
      <c r="U26" s="136" t="s">
        <v>120</v>
      </c>
      <c r="V26" s="185" t="s">
        <v>95</v>
      </c>
      <c r="W26" s="185"/>
      <c r="X26" s="185"/>
      <c r="Y26" s="137" t="s">
        <v>149</v>
      </c>
      <c r="Z26" s="137" t="s">
        <v>148</v>
      </c>
    </row>
    <row r="27" spans="1:26" ht="18" customHeight="1">
      <c r="A27" s="69"/>
      <c r="B27" s="283" t="s">
        <v>372</v>
      </c>
      <c r="C27" s="284"/>
      <c r="D27" s="284"/>
      <c r="E27" s="284"/>
      <c r="F27" s="285"/>
      <c r="G27" s="138">
        <v>2</v>
      </c>
      <c r="H27" s="138"/>
      <c r="I27" s="286" t="s">
        <v>144</v>
      </c>
      <c r="J27" s="287"/>
      <c r="K27" s="288"/>
      <c r="L27" s="138" t="s">
        <v>145</v>
      </c>
      <c r="M27" s="138" t="s">
        <v>145</v>
      </c>
      <c r="N27" s="289"/>
      <c r="O27" s="290"/>
      <c r="P27" s="290"/>
      <c r="Q27" s="290"/>
      <c r="R27" s="290"/>
      <c r="S27" s="291"/>
      <c r="T27" s="138"/>
      <c r="U27" s="138"/>
      <c r="V27" s="286"/>
      <c r="W27" s="287"/>
      <c r="X27" s="288"/>
      <c r="Y27" s="138"/>
      <c r="Z27" s="138"/>
    </row>
    <row r="28" spans="1:26" ht="18" customHeight="1">
      <c r="A28" s="69"/>
      <c r="B28" s="292" t="s">
        <v>251</v>
      </c>
      <c r="C28" s="293"/>
      <c r="D28" s="293"/>
      <c r="E28" s="293"/>
      <c r="F28" s="294"/>
      <c r="G28" s="139">
        <v>1</v>
      </c>
      <c r="H28" s="139" t="s">
        <v>145</v>
      </c>
      <c r="I28" s="295" t="s">
        <v>144</v>
      </c>
      <c r="J28" s="296"/>
      <c r="K28" s="297"/>
      <c r="L28" s="139" t="s">
        <v>145</v>
      </c>
      <c r="M28" s="139"/>
      <c r="N28" s="298"/>
      <c r="O28" s="299"/>
      <c r="P28" s="299"/>
      <c r="Q28" s="299"/>
      <c r="R28" s="299"/>
      <c r="S28" s="300"/>
      <c r="T28" s="139"/>
      <c r="U28" s="139"/>
      <c r="V28" s="295"/>
      <c r="W28" s="296"/>
      <c r="X28" s="297"/>
      <c r="Y28" s="139"/>
      <c r="Z28" s="139"/>
    </row>
    <row r="29" spans="1:26" ht="18" customHeight="1">
      <c r="A29" s="69"/>
      <c r="B29" s="292"/>
      <c r="C29" s="293"/>
      <c r="D29" s="293"/>
      <c r="E29" s="293"/>
      <c r="F29" s="294"/>
      <c r="G29" s="139"/>
      <c r="H29" s="139"/>
      <c r="I29" s="295"/>
      <c r="J29" s="296"/>
      <c r="K29" s="297"/>
      <c r="L29" s="139"/>
      <c r="M29" s="139"/>
      <c r="N29" s="298"/>
      <c r="O29" s="299"/>
      <c r="P29" s="299"/>
      <c r="Q29" s="299"/>
      <c r="R29" s="299"/>
      <c r="S29" s="300"/>
      <c r="T29" s="139"/>
      <c r="U29" s="139"/>
      <c r="V29" s="295"/>
      <c r="W29" s="296"/>
      <c r="X29" s="297"/>
      <c r="Y29" s="139"/>
      <c r="Z29" s="139"/>
    </row>
    <row r="30" spans="1:26" ht="18" customHeight="1">
      <c r="A30" s="69"/>
      <c r="B30" s="292"/>
      <c r="C30" s="293"/>
      <c r="D30" s="293"/>
      <c r="E30" s="293"/>
      <c r="F30" s="294"/>
      <c r="G30" s="139"/>
      <c r="H30" s="139"/>
      <c r="I30" s="295"/>
      <c r="J30" s="296"/>
      <c r="K30" s="297"/>
      <c r="L30" s="139"/>
      <c r="M30" s="139"/>
      <c r="N30" s="298"/>
      <c r="O30" s="299"/>
      <c r="P30" s="299"/>
      <c r="Q30" s="299"/>
      <c r="R30" s="299"/>
      <c r="S30" s="300"/>
      <c r="T30" s="139"/>
      <c r="U30" s="139"/>
      <c r="V30" s="295"/>
      <c r="W30" s="296"/>
      <c r="X30" s="297"/>
      <c r="Y30" s="139"/>
      <c r="Z30" s="139"/>
    </row>
    <row r="31" spans="1:26" ht="18" customHeight="1">
      <c r="A31" s="69"/>
      <c r="B31" s="292"/>
      <c r="C31" s="293"/>
      <c r="D31" s="293"/>
      <c r="E31" s="293"/>
      <c r="F31" s="294"/>
      <c r="G31" s="139"/>
      <c r="H31" s="139"/>
      <c r="I31" s="295"/>
      <c r="J31" s="296"/>
      <c r="K31" s="297"/>
      <c r="L31" s="139"/>
      <c r="M31" s="139"/>
      <c r="N31" s="298"/>
      <c r="O31" s="299"/>
      <c r="P31" s="299"/>
      <c r="Q31" s="299"/>
      <c r="R31" s="299"/>
      <c r="S31" s="300"/>
      <c r="T31" s="139"/>
      <c r="U31" s="139"/>
      <c r="V31" s="295"/>
      <c r="W31" s="296"/>
      <c r="X31" s="297"/>
      <c r="Y31" s="139"/>
      <c r="Z31" s="139"/>
    </row>
    <row r="32" spans="1:26" ht="18" customHeight="1">
      <c r="A32" s="69"/>
      <c r="B32" s="292"/>
      <c r="C32" s="293"/>
      <c r="D32" s="293"/>
      <c r="E32" s="293"/>
      <c r="F32" s="294"/>
      <c r="G32" s="139"/>
      <c r="H32" s="139"/>
      <c r="I32" s="295"/>
      <c r="J32" s="296"/>
      <c r="K32" s="297"/>
      <c r="L32" s="139"/>
      <c r="M32" s="139"/>
      <c r="N32" s="298"/>
      <c r="O32" s="299"/>
      <c r="P32" s="299"/>
      <c r="Q32" s="299"/>
      <c r="R32" s="299"/>
      <c r="S32" s="300"/>
      <c r="T32" s="139"/>
      <c r="U32" s="139"/>
      <c r="V32" s="295"/>
      <c r="W32" s="296"/>
      <c r="X32" s="297"/>
      <c r="Y32" s="139"/>
      <c r="Z32" s="139"/>
    </row>
    <row r="33" spans="1:26" ht="18" customHeight="1">
      <c r="A33" s="69"/>
      <c r="B33" s="302"/>
      <c r="C33" s="303"/>
      <c r="D33" s="303"/>
      <c r="E33" s="303"/>
      <c r="F33" s="304"/>
      <c r="G33" s="140"/>
      <c r="H33" s="140"/>
      <c r="I33" s="305"/>
      <c r="J33" s="306"/>
      <c r="K33" s="307"/>
      <c r="L33" s="141"/>
      <c r="M33" s="141"/>
      <c r="N33" s="308"/>
      <c r="O33" s="309"/>
      <c r="P33" s="309"/>
      <c r="Q33" s="309"/>
      <c r="R33" s="309"/>
      <c r="S33" s="310"/>
      <c r="T33" s="140"/>
      <c r="U33" s="140"/>
      <c r="V33" s="305"/>
      <c r="W33" s="306"/>
      <c r="X33" s="307"/>
      <c r="Y33" s="141"/>
      <c r="Z33" s="141"/>
    </row>
    <row r="34" spans="1:26" ht="7.5" customHeight="1">
      <c r="A34" s="134"/>
      <c r="B34" s="142"/>
      <c r="C34" s="142"/>
      <c r="D34" s="134"/>
      <c r="E34" s="134"/>
      <c r="F34" s="134"/>
      <c r="G34" s="134"/>
      <c r="H34" s="134"/>
      <c r="I34" s="134"/>
      <c r="J34" s="134"/>
      <c r="K34" s="134"/>
      <c r="L34" s="142"/>
      <c r="M34" s="142"/>
      <c r="N34" s="142"/>
      <c r="O34" s="142"/>
      <c r="P34" s="142"/>
      <c r="Q34" s="142"/>
      <c r="R34" s="142"/>
      <c r="S34" s="142"/>
      <c r="T34" s="142"/>
      <c r="U34" s="142"/>
      <c r="V34" s="142"/>
      <c r="W34" s="142"/>
      <c r="X34" s="142"/>
      <c r="Y34" s="142"/>
      <c r="Z34" s="134"/>
    </row>
    <row r="35" spans="1:26" ht="18" customHeight="1">
      <c r="A35" s="301" t="s">
        <v>115</v>
      </c>
      <c r="B35" s="301"/>
      <c r="C35" s="301"/>
      <c r="D35" s="301"/>
      <c r="E35" s="301"/>
      <c r="F35" s="301"/>
      <c r="G35" s="301"/>
      <c r="H35" s="301"/>
      <c r="I35" s="301"/>
      <c r="J35" s="301"/>
      <c r="K35" s="301"/>
      <c r="L35" s="301"/>
      <c r="M35" s="301"/>
      <c r="N35" s="301"/>
      <c r="O35" s="301"/>
      <c r="P35" s="301"/>
      <c r="Q35" s="301"/>
      <c r="R35" s="301"/>
      <c r="S35" s="301"/>
      <c r="T35" s="301"/>
      <c r="U35" s="301"/>
      <c r="V35" s="301"/>
      <c r="W35" s="301"/>
      <c r="X35" s="301"/>
      <c r="Y35" s="301"/>
      <c r="Z35" s="301"/>
    </row>
    <row r="36" spans="1:26" ht="18" customHeight="1">
      <c r="A36" s="301"/>
      <c r="B36" s="301"/>
      <c r="C36" s="301"/>
      <c r="D36" s="301"/>
      <c r="E36" s="301"/>
      <c r="F36" s="301"/>
      <c r="G36" s="301"/>
      <c r="H36" s="301"/>
      <c r="I36" s="301"/>
      <c r="J36" s="301"/>
      <c r="K36" s="301"/>
      <c r="L36" s="301"/>
      <c r="M36" s="301"/>
      <c r="N36" s="301"/>
      <c r="O36" s="301"/>
      <c r="P36" s="301"/>
      <c r="Q36" s="301"/>
      <c r="R36" s="301"/>
      <c r="S36" s="301"/>
      <c r="T36" s="301"/>
      <c r="U36" s="301"/>
      <c r="V36" s="301"/>
      <c r="W36" s="301"/>
      <c r="X36" s="301"/>
      <c r="Y36" s="301"/>
      <c r="Z36" s="301"/>
    </row>
    <row r="37" spans="1:26" ht="18" customHeight="1">
      <c r="A37" s="69"/>
      <c r="B37" s="184" t="s">
        <v>94</v>
      </c>
      <c r="C37" s="185"/>
      <c r="D37" s="185"/>
      <c r="E37" s="185"/>
      <c r="F37" s="186"/>
      <c r="G37" s="135" t="s">
        <v>121</v>
      </c>
      <c r="H37" s="136" t="s">
        <v>120</v>
      </c>
      <c r="I37" s="184" t="s">
        <v>146</v>
      </c>
      <c r="J37" s="185"/>
      <c r="K37" s="186"/>
      <c r="L37" s="137" t="s">
        <v>150</v>
      </c>
      <c r="M37" s="137" t="s">
        <v>116</v>
      </c>
      <c r="N37" s="184" t="s">
        <v>94</v>
      </c>
      <c r="O37" s="185"/>
      <c r="P37" s="185"/>
      <c r="Q37" s="185"/>
      <c r="R37" s="185"/>
      <c r="S37" s="186"/>
      <c r="T37" s="135" t="s">
        <v>121</v>
      </c>
      <c r="U37" s="136" t="s">
        <v>120</v>
      </c>
      <c r="V37" s="184" t="s">
        <v>151</v>
      </c>
      <c r="W37" s="185"/>
      <c r="X37" s="186"/>
      <c r="Y37" s="137" t="s">
        <v>152</v>
      </c>
      <c r="Z37" s="137" t="s">
        <v>116</v>
      </c>
    </row>
    <row r="38" spans="1:26" ht="18" customHeight="1">
      <c r="A38" s="134"/>
      <c r="B38" s="283" t="s">
        <v>153</v>
      </c>
      <c r="C38" s="284"/>
      <c r="D38" s="284"/>
      <c r="E38" s="284"/>
      <c r="F38" s="285"/>
      <c r="G38" s="138">
        <v>1</v>
      </c>
      <c r="H38" s="138" t="s">
        <v>145</v>
      </c>
      <c r="I38" s="286" t="s">
        <v>144</v>
      </c>
      <c r="J38" s="287"/>
      <c r="K38" s="288"/>
      <c r="L38" s="138" t="s">
        <v>145</v>
      </c>
      <c r="M38" s="138"/>
      <c r="N38" s="289"/>
      <c r="O38" s="290"/>
      <c r="P38" s="290"/>
      <c r="Q38" s="290"/>
      <c r="R38" s="290"/>
      <c r="S38" s="291"/>
      <c r="T38" s="138"/>
      <c r="U38" s="138"/>
      <c r="V38" s="286"/>
      <c r="W38" s="287"/>
      <c r="X38" s="288"/>
      <c r="Y38" s="138"/>
      <c r="Z38" s="138"/>
    </row>
    <row r="39" spans="1:26" ht="18" customHeight="1">
      <c r="A39" s="134"/>
      <c r="B39" s="292" t="s">
        <v>372</v>
      </c>
      <c r="C39" s="293"/>
      <c r="D39" s="293"/>
      <c r="E39" s="293"/>
      <c r="F39" s="294"/>
      <c r="G39" s="139">
        <v>2</v>
      </c>
      <c r="H39" s="139"/>
      <c r="I39" s="295" t="s">
        <v>144</v>
      </c>
      <c r="J39" s="296"/>
      <c r="K39" s="297"/>
      <c r="L39" s="139" t="s">
        <v>145</v>
      </c>
      <c r="M39" s="139" t="s">
        <v>145</v>
      </c>
      <c r="N39" s="298"/>
      <c r="O39" s="299"/>
      <c r="P39" s="299"/>
      <c r="Q39" s="299"/>
      <c r="R39" s="299"/>
      <c r="S39" s="300"/>
      <c r="T39" s="139"/>
      <c r="U39" s="139"/>
      <c r="V39" s="295"/>
      <c r="W39" s="296"/>
      <c r="X39" s="297"/>
      <c r="Y39" s="139"/>
      <c r="Z39" s="139"/>
    </row>
    <row r="40" spans="1:26" ht="18" customHeight="1">
      <c r="A40" s="134"/>
      <c r="B40" s="292"/>
      <c r="C40" s="293"/>
      <c r="D40" s="293"/>
      <c r="E40" s="293"/>
      <c r="F40" s="294"/>
      <c r="G40" s="139"/>
      <c r="H40" s="139"/>
      <c r="I40" s="295"/>
      <c r="J40" s="296"/>
      <c r="K40" s="297"/>
      <c r="L40" s="139"/>
      <c r="M40" s="139"/>
      <c r="N40" s="298"/>
      <c r="O40" s="299"/>
      <c r="P40" s="299"/>
      <c r="Q40" s="299"/>
      <c r="R40" s="299"/>
      <c r="S40" s="300"/>
      <c r="T40" s="139"/>
      <c r="U40" s="139"/>
      <c r="V40" s="295"/>
      <c r="W40" s="296"/>
      <c r="X40" s="297"/>
      <c r="Y40" s="139"/>
      <c r="Z40" s="139"/>
    </row>
    <row r="41" spans="1:26" ht="18" customHeight="1">
      <c r="A41" s="134"/>
      <c r="B41" s="292"/>
      <c r="C41" s="293"/>
      <c r="D41" s="293"/>
      <c r="E41" s="293"/>
      <c r="F41" s="294"/>
      <c r="G41" s="139"/>
      <c r="H41" s="139"/>
      <c r="I41" s="295"/>
      <c r="J41" s="296"/>
      <c r="K41" s="297"/>
      <c r="L41" s="139"/>
      <c r="M41" s="139"/>
      <c r="N41" s="298"/>
      <c r="O41" s="299"/>
      <c r="P41" s="299"/>
      <c r="Q41" s="299"/>
      <c r="R41" s="299"/>
      <c r="S41" s="300"/>
      <c r="T41" s="139"/>
      <c r="U41" s="139"/>
      <c r="V41" s="295"/>
      <c r="W41" s="296"/>
      <c r="X41" s="297"/>
      <c r="Y41" s="139"/>
      <c r="Z41" s="139"/>
    </row>
    <row r="42" spans="1:26" ht="18" customHeight="1">
      <c r="A42" s="134"/>
      <c r="B42" s="292"/>
      <c r="C42" s="293"/>
      <c r="D42" s="293"/>
      <c r="E42" s="293"/>
      <c r="F42" s="294"/>
      <c r="G42" s="139"/>
      <c r="H42" s="139"/>
      <c r="I42" s="295"/>
      <c r="J42" s="296"/>
      <c r="K42" s="297"/>
      <c r="L42" s="139"/>
      <c r="M42" s="139"/>
      <c r="N42" s="298"/>
      <c r="O42" s="299"/>
      <c r="P42" s="299"/>
      <c r="Q42" s="299"/>
      <c r="R42" s="299"/>
      <c r="S42" s="300"/>
      <c r="T42" s="139"/>
      <c r="U42" s="139"/>
      <c r="V42" s="295"/>
      <c r="W42" s="296"/>
      <c r="X42" s="297"/>
      <c r="Y42" s="139"/>
      <c r="Z42" s="139"/>
    </row>
    <row r="43" spans="1:26" ht="18" customHeight="1">
      <c r="A43" s="134"/>
      <c r="B43" s="292"/>
      <c r="C43" s="293"/>
      <c r="D43" s="293"/>
      <c r="E43" s="293"/>
      <c r="F43" s="294"/>
      <c r="G43" s="139"/>
      <c r="H43" s="139"/>
      <c r="I43" s="295"/>
      <c r="J43" s="296"/>
      <c r="K43" s="297"/>
      <c r="L43" s="139"/>
      <c r="M43" s="139"/>
      <c r="N43" s="298"/>
      <c r="O43" s="299"/>
      <c r="P43" s="299"/>
      <c r="Q43" s="299"/>
      <c r="R43" s="299"/>
      <c r="S43" s="300"/>
      <c r="T43" s="139"/>
      <c r="U43" s="139"/>
      <c r="V43" s="295"/>
      <c r="W43" s="296"/>
      <c r="X43" s="297"/>
      <c r="Y43" s="139"/>
      <c r="Z43" s="139"/>
    </row>
    <row r="44" spans="1:26" ht="18" customHeight="1">
      <c r="A44" s="134"/>
      <c r="B44" s="302"/>
      <c r="C44" s="303"/>
      <c r="D44" s="303"/>
      <c r="E44" s="303"/>
      <c r="F44" s="304"/>
      <c r="G44" s="140"/>
      <c r="H44" s="140"/>
      <c r="I44" s="305"/>
      <c r="J44" s="306"/>
      <c r="K44" s="307"/>
      <c r="L44" s="141"/>
      <c r="M44" s="141"/>
      <c r="N44" s="308"/>
      <c r="O44" s="309"/>
      <c r="P44" s="309"/>
      <c r="Q44" s="309"/>
      <c r="R44" s="309"/>
      <c r="S44" s="310"/>
      <c r="T44" s="140"/>
      <c r="U44" s="140"/>
      <c r="V44" s="305"/>
      <c r="W44" s="306"/>
      <c r="X44" s="307"/>
      <c r="Y44" s="141"/>
      <c r="Z44" s="141"/>
    </row>
    <row r="45" spans="1:26" ht="7.5" customHeight="1">
      <c r="A45" s="133"/>
      <c r="B45" s="143"/>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33"/>
    </row>
    <row r="46" spans="1:26" ht="18" customHeight="1">
      <c r="A46" s="301" t="s">
        <v>117</v>
      </c>
      <c r="B46" s="301"/>
      <c r="C46" s="301"/>
      <c r="D46" s="301"/>
      <c r="E46" s="301"/>
      <c r="F46" s="301"/>
      <c r="G46" s="301"/>
      <c r="H46" s="301"/>
      <c r="I46" s="301"/>
      <c r="J46" s="301"/>
      <c r="K46" s="301"/>
      <c r="L46" s="301"/>
      <c r="M46" s="301"/>
      <c r="N46" s="301"/>
      <c r="O46" s="301"/>
      <c r="P46" s="301"/>
      <c r="Q46" s="301"/>
      <c r="R46" s="301"/>
      <c r="S46" s="301"/>
      <c r="T46" s="301"/>
      <c r="U46" s="301"/>
      <c r="V46" s="301"/>
      <c r="W46" s="301"/>
      <c r="X46" s="301"/>
      <c r="Y46" s="301"/>
      <c r="Z46" s="301"/>
    </row>
    <row r="47" spans="1:26" ht="18" customHeight="1">
      <c r="A47" s="301"/>
      <c r="B47" s="301"/>
      <c r="C47" s="301"/>
      <c r="D47" s="301"/>
      <c r="E47" s="301"/>
      <c r="F47" s="301"/>
      <c r="G47" s="301"/>
      <c r="H47" s="301"/>
      <c r="I47" s="301"/>
      <c r="J47" s="301"/>
      <c r="K47" s="301"/>
      <c r="L47" s="301"/>
      <c r="M47" s="301"/>
      <c r="N47" s="301"/>
      <c r="O47" s="301"/>
      <c r="P47" s="301"/>
      <c r="Q47" s="301"/>
      <c r="R47" s="301"/>
      <c r="S47" s="301"/>
      <c r="T47" s="301"/>
      <c r="U47" s="301"/>
      <c r="V47" s="301"/>
      <c r="W47" s="301"/>
      <c r="X47" s="301"/>
      <c r="Y47" s="301"/>
      <c r="Z47" s="301"/>
    </row>
    <row r="48" spans="1:26" ht="18" customHeight="1">
      <c r="A48" s="69"/>
      <c r="B48" s="184" t="s">
        <v>94</v>
      </c>
      <c r="C48" s="185"/>
      <c r="D48" s="185"/>
      <c r="E48" s="185"/>
      <c r="F48" s="186"/>
      <c r="G48" s="135" t="s">
        <v>121</v>
      </c>
      <c r="H48" s="136" t="s">
        <v>120</v>
      </c>
      <c r="I48" s="184" t="s">
        <v>151</v>
      </c>
      <c r="J48" s="185"/>
      <c r="K48" s="186"/>
      <c r="L48" s="137" t="s">
        <v>99</v>
      </c>
      <c r="M48" s="137" t="s">
        <v>154</v>
      </c>
      <c r="N48" s="184" t="s">
        <v>94</v>
      </c>
      <c r="O48" s="185"/>
      <c r="P48" s="185"/>
      <c r="Q48" s="185"/>
      <c r="R48" s="185"/>
      <c r="S48" s="186"/>
      <c r="T48" s="135" t="s">
        <v>121</v>
      </c>
      <c r="U48" s="136" t="s">
        <v>120</v>
      </c>
      <c r="V48" s="184" t="s">
        <v>146</v>
      </c>
      <c r="W48" s="185"/>
      <c r="X48" s="186"/>
      <c r="Y48" s="137" t="s">
        <v>99</v>
      </c>
      <c r="Z48" s="137" t="s">
        <v>155</v>
      </c>
    </row>
    <row r="49" spans="1:26" ht="18" customHeight="1">
      <c r="A49" s="134"/>
      <c r="B49" s="283" t="s">
        <v>153</v>
      </c>
      <c r="C49" s="284"/>
      <c r="D49" s="284"/>
      <c r="E49" s="284"/>
      <c r="F49" s="285"/>
      <c r="G49" s="138">
        <v>1</v>
      </c>
      <c r="H49" s="138" t="s">
        <v>145</v>
      </c>
      <c r="I49" s="286" t="s">
        <v>144</v>
      </c>
      <c r="J49" s="287"/>
      <c r="K49" s="288"/>
      <c r="L49" s="138"/>
      <c r="M49" s="138" t="s">
        <v>145</v>
      </c>
      <c r="N49" s="289"/>
      <c r="O49" s="290"/>
      <c r="P49" s="290"/>
      <c r="Q49" s="290"/>
      <c r="R49" s="290"/>
      <c r="S49" s="291"/>
      <c r="T49" s="138"/>
      <c r="U49" s="138"/>
      <c r="V49" s="286"/>
      <c r="W49" s="287"/>
      <c r="X49" s="288"/>
      <c r="Y49" s="138"/>
      <c r="Z49" s="138"/>
    </row>
    <row r="50" spans="1:26" ht="18" customHeight="1">
      <c r="A50" s="134"/>
      <c r="B50" s="292" t="s">
        <v>156</v>
      </c>
      <c r="C50" s="293"/>
      <c r="D50" s="293"/>
      <c r="E50" s="293"/>
      <c r="F50" s="294"/>
      <c r="G50" s="139">
        <v>2</v>
      </c>
      <c r="H50" s="139" t="s">
        <v>145</v>
      </c>
      <c r="I50" s="295" t="s">
        <v>144</v>
      </c>
      <c r="J50" s="296"/>
      <c r="K50" s="297"/>
      <c r="L50" s="139"/>
      <c r="M50" s="139" t="s">
        <v>145</v>
      </c>
      <c r="N50" s="298"/>
      <c r="O50" s="299"/>
      <c r="P50" s="299"/>
      <c r="Q50" s="299"/>
      <c r="R50" s="299"/>
      <c r="S50" s="300"/>
      <c r="T50" s="139"/>
      <c r="U50" s="139"/>
      <c r="V50" s="295"/>
      <c r="W50" s="296"/>
      <c r="X50" s="297"/>
      <c r="Y50" s="139"/>
      <c r="Z50" s="139"/>
    </row>
    <row r="51" spans="1:26" ht="18" customHeight="1">
      <c r="A51" s="134"/>
      <c r="B51" s="292" t="s">
        <v>252</v>
      </c>
      <c r="C51" s="293"/>
      <c r="D51" s="293"/>
      <c r="E51" s="293"/>
      <c r="F51" s="294"/>
      <c r="G51" s="139">
        <v>1</v>
      </c>
      <c r="H51" s="139" t="s">
        <v>145</v>
      </c>
      <c r="I51" s="295" t="s">
        <v>144</v>
      </c>
      <c r="J51" s="296"/>
      <c r="K51" s="297"/>
      <c r="L51" s="139" t="s">
        <v>145</v>
      </c>
      <c r="M51" s="139"/>
      <c r="N51" s="298"/>
      <c r="O51" s="299"/>
      <c r="P51" s="299"/>
      <c r="Q51" s="299"/>
      <c r="R51" s="299"/>
      <c r="S51" s="300"/>
      <c r="T51" s="139"/>
      <c r="U51" s="139"/>
      <c r="V51" s="295"/>
      <c r="W51" s="296"/>
      <c r="X51" s="297"/>
      <c r="Y51" s="139"/>
      <c r="Z51" s="139"/>
    </row>
    <row r="52" spans="1:26" ht="18" customHeight="1">
      <c r="A52" s="134"/>
      <c r="B52" s="292"/>
      <c r="C52" s="293"/>
      <c r="D52" s="293"/>
      <c r="E52" s="293"/>
      <c r="F52" s="294"/>
      <c r="G52" s="139"/>
      <c r="H52" s="139"/>
      <c r="I52" s="295"/>
      <c r="J52" s="296"/>
      <c r="K52" s="297"/>
      <c r="L52" s="139"/>
      <c r="M52" s="139"/>
      <c r="N52" s="298"/>
      <c r="O52" s="299"/>
      <c r="P52" s="299"/>
      <c r="Q52" s="299"/>
      <c r="R52" s="299"/>
      <c r="S52" s="300"/>
      <c r="T52" s="139"/>
      <c r="U52" s="139"/>
      <c r="V52" s="295"/>
      <c r="W52" s="296"/>
      <c r="X52" s="297"/>
      <c r="Y52" s="139"/>
      <c r="Z52" s="139"/>
    </row>
    <row r="53" spans="1:26" ht="18" customHeight="1">
      <c r="A53" s="134"/>
      <c r="B53" s="292"/>
      <c r="C53" s="293"/>
      <c r="D53" s="293"/>
      <c r="E53" s="293"/>
      <c r="F53" s="294"/>
      <c r="G53" s="139"/>
      <c r="H53" s="139"/>
      <c r="I53" s="295"/>
      <c r="J53" s="296"/>
      <c r="K53" s="297"/>
      <c r="L53" s="139"/>
      <c r="M53" s="139"/>
      <c r="N53" s="298"/>
      <c r="O53" s="299"/>
      <c r="P53" s="299"/>
      <c r="Q53" s="299"/>
      <c r="R53" s="299"/>
      <c r="S53" s="300"/>
      <c r="T53" s="139"/>
      <c r="U53" s="139"/>
      <c r="V53" s="295"/>
      <c r="W53" s="296"/>
      <c r="X53" s="297"/>
      <c r="Y53" s="139"/>
      <c r="Z53" s="139"/>
    </row>
    <row r="54" spans="1:26" ht="18" customHeight="1">
      <c r="A54" s="134"/>
      <c r="B54" s="292"/>
      <c r="C54" s="293"/>
      <c r="D54" s="293"/>
      <c r="E54" s="293"/>
      <c r="F54" s="294"/>
      <c r="G54" s="139"/>
      <c r="H54" s="139"/>
      <c r="I54" s="295"/>
      <c r="J54" s="296"/>
      <c r="K54" s="297"/>
      <c r="L54" s="139"/>
      <c r="M54" s="139"/>
      <c r="N54" s="298"/>
      <c r="O54" s="299"/>
      <c r="P54" s="299"/>
      <c r="Q54" s="299"/>
      <c r="R54" s="299"/>
      <c r="S54" s="300"/>
      <c r="T54" s="139"/>
      <c r="U54" s="139"/>
      <c r="V54" s="295"/>
      <c r="W54" s="296"/>
      <c r="X54" s="297"/>
      <c r="Y54" s="139"/>
      <c r="Z54" s="139"/>
    </row>
    <row r="55" spans="1:26" ht="18" customHeight="1">
      <c r="A55" s="134"/>
      <c r="B55" s="302"/>
      <c r="C55" s="303"/>
      <c r="D55" s="303"/>
      <c r="E55" s="303"/>
      <c r="F55" s="304"/>
      <c r="G55" s="140"/>
      <c r="H55" s="140"/>
      <c r="I55" s="305"/>
      <c r="J55" s="306"/>
      <c r="K55" s="307"/>
      <c r="L55" s="141"/>
      <c r="M55" s="141"/>
      <c r="N55" s="308"/>
      <c r="O55" s="309"/>
      <c r="P55" s="309"/>
      <c r="Q55" s="309"/>
      <c r="R55" s="309"/>
      <c r="S55" s="310"/>
      <c r="T55" s="140"/>
      <c r="U55" s="140"/>
      <c r="V55" s="305"/>
      <c r="W55" s="306"/>
      <c r="X55" s="307"/>
      <c r="Y55" s="141"/>
      <c r="Z55" s="141"/>
    </row>
    <row r="56" spans="1:26" ht="7.5" customHeight="1">
      <c r="A56" s="13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33"/>
    </row>
    <row r="57" spans="1:26" ht="18" customHeight="1">
      <c r="A57" s="301" t="s">
        <v>157</v>
      </c>
      <c r="B57" s="301"/>
      <c r="C57" s="301"/>
      <c r="D57" s="301"/>
      <c r="E57" s="301"/>
      <c r="F57" s="301"/>
      <c r="G57" s="301"/>
      <c r="H57" s="301"/>
      <c r="I57" s="301"/>
      <c r="J57" s="301"/>
      <c r="K57" s="301"/>
      <c r="L57" s="301"/>
      <c r="M57" s="301"/>
      <c r="N57" s="301"/>
      <c r="O57" s="301"/>
      <c r="P57" s="301"/>
      <c r="Q57" s="301"/>
      <c r="R57" s="301"/>
      <c r="S57" s="301"/>
      <c r="T57" s="301"/>
      <c r="U57" s="301"/>
      <c r="V57" s="301"/>
      <c r="W57" s="301"/>
      <c r="X57" s="301"/>
      <c r="Y57" s="301"/>
      <c r="Z57" s="301"/>
    </row>
    <row r="58" spans="1:26" ht="18" customHeight="1">
      <c r="A58" s="301"/>
      <c r="B58" s="301"/>
      <c r="C58" s="301"/>
      <c r="D58" s="301"/>
      <c r="E58" s="301"/>
      <c r="F58" s="301"/>
      <c r="G58" s="301"/>
      <c r="H58" s="301"/>
      <c r="I58" s="301"/>
      <c r="J58" s="301"/>
      <c r="K58" s="301"/>
      <c r="L58" s="301"/>
      <c r="M58" s="301"/>
      <c r="N58" s="301"/>
      <c r="O58" s="301"/>
      <c r="P58" s="301"/>
      <c r="Q58" s="301"/>
      <c r="R58" s="301"/>
      <c r="S58" s="301"/>
      <c r="T58" s="301"/>
      <c r="U58" s="301"/>
      <c r="V58" s="301"/>
      <c r="W58" s="301"/>
      <c r="X58" s="301"/>
      <c r="Y58" s="301"/>
      <c r="Z58" s="301"/>
    </row>
    <row r="59" spans="1:26" ht="18" customHeight="1">
      <c r="A59" s="69"/>
      <c r="B59" s="184" t="s">
        <v>94</v>
      </c>
      <c r="C59" s="185"/>
      <c r="D59" s="185"/>
      <c r="E59" s="186"/>
      <c r="F59" s="135" t="s">
        <v>121</v>
      </c>
      <c r="G59" s="136" t="s">
        <v>120</v>
      </c>
      <c r="H59" s="145" t="s">
        <v>146</v>
      </c>
      <c r="I59" s="146"/>
      <c r="J59" s="147"/>
      <c r="K59" s="137" t="s">
        <v>158</v>
      </c>
      <c r="L59" s="137" t="s">
        <v>159</v>
      </c>
      <c r="M59" s="137" t="s">
        <v>160</v>
      </c>
      <c r="N59" s="184" t="s">
        <v>94</v>
      </c>
      <c r="O59" s="185"/>
      <c r="P59" s="185"/>
      <c r="Q59" s="185"/>
      <c r="R59" s="186"/>
      <c r="S59" s="135" t="s">
        <v>121</v>
      </c>
      <c r="T59" s="136" t="s">
        <v>120</v>
      </c>
      <c r="U59" s="145" t="s">
        <v>146</v>
      </c>
      <c r="V59" s="146"/>
      <c r="W59" s="147"/>
      <c r="X59" s="137" t="s">
        <v>161</v>
      </c>
      <c r="Y59" s="137" t="s">
        <v>162</v>
      </c>
      <c r="Z59" s="137" t="s">
        <v>160</v>
      </c>
    </row>
    <row r="60" spans="1:26" ht="18" customHeight="1">
      <c r="A60" s="134"/>
      <c r="B60" s="289" t="s">
        <v>163</v>
      </c>
      <c r="C60" s="290"/>
      <c r="D60" s="290"/>
      <c r="E60" s="291"/>
      <c r="F60" s="138">
        <v>2</v>
      </c>
      <c r="G60" s="138" t="s">
        <v>145</v>
      </c>
      <c r="H60" s="286" t="s">
        <v>144</v>
      </c>
      <c r="I60" s="287"/>
      <c r="J60" s="288"/>
      <c r="K60" s="138" t="s">
        <v>145</v>
      </c>
      <c r="L60" s="138" t="s">
        <v>145</v>
      </c>
      <c r="M60" s="138" t="s">
        <v>145</v>
      </c>
      <c r="N60" s="289"/>
      <c r="O60" s="290"/>
      <c r="P60" s="290"/>
      <c r="Q60" s="290"/>
      <c r="R60" s="291"/>
      <c r="S60" s="138"/>
      <c r="T60" s="138"/>
      <c r="U60" s="286"/>
      <c r="V60" s="287"/>
      <c r="W60" s="288"/>
      <c r="X60" s="159"/>
      <c r="Y60" s="138"/>
      <c r="Z60" s="138"/>
    </row>
    <row r="61" spans="1:26" ht="18" customHeight="1">
      <c r="A61" s="134"/>
      <c r="B61" s="298" t="s">
        <v>253</v>
      </c>
      <c r="C61" s="299"/>
      <c r="D61" s="299"/>
      <c r="E61" s="300"/>
      <c r="F61" s="139">
        <v>1</v>
      </c>
      <c r="G61" s="139" t="s">
        <v>145</v>
      </c>
      <c r="H61" s="295" t="s">
        <v>144</v>
      </c>
      <c r="I61" s="296"/>
      <c r="J61" s="297"/>
      <c r="K61" s="158" t="s">
        <v>202</v>
      </c>
      <c r="L61" s="139" t="s">
        <v>145</v>
      </c>
      <c r="M61" s="139" t="s">
        <v>145</v>
      </c>
      <c r="N61" s="298"/>
      <c r="O61" s="299"/>
      <c r="P61" s="299"/>
      <c r="Q61" s="299"/>
      <c r="R61" s="300"/>
      <c r="S61" s="139"/>
      <c r="T61" s="139"/>
      <c r="U61" s="295"/>
      <c r="V61" s="296"/>
      <c r="W61" s="297"/>
      <c r="X61" s="158"/>
      <c r="Y61" s="139"/>
      <c r="Z61" s="139"/>
    </row>
    <row r="62" spans="1:26" ht="18" customHeight="1">
      <c r="A62" s="134"/>
      <c r="B62" s="298"/>
      <c r="C62" s="299"/>
      <c r="D62" s="299"/>
      <c r="E62" s="300"/>
      <c r="F62" s="139"/>
      <c r="G62" s="139"/>
      <c r="H62" s="295"/>
      <c r="I62" s="296"/>
      <c r="J62" s="297"/>
      <c r="K62" s="158"/>
      <c r="L62" s="139"/>
      <c r="M62" s="139"/>
      <c r="N62" s="298"/>
      <c r="O62" s="299"/>
      <c r="P62" s="299"/>
      <c r="Q62" s="299"/>
      <c r="R62" s="300"/>
      <c r="S62" s="139"/>
      <c r="T62" s="139"/>
      <c r="U62" s="295"/>
      <c r="V62" s="296"/>
      <c r="W62" s="297"/>
      <c r="X62" s="158"/>
      <c r="Y62" s="139"/>
      <c r="Z62" s="139"/>
    </row>
    <row r="63" spans="1:26" ht="18" customHeight="1">
      <c r="A63" s="134"/>
      <c r="B63" s="298"/>
      <c r="C63" s="299"/>
      <c r="D63" s="299"/>
      <c r="E63" s="300"/>
      <c r="F63" s="139"/>
      <c r="G63" s="139"/>
      <c r="H63" s="295"/>
      <c r="I63" s="296"/>
      <c r="J63" s="297"/>
      <c r="K63" s="158"/>
      <c r="L63" s="139"/>
      <c r="M63" s="139"/>
      <c r="N63" s="298"/>
      <c r="O63" s="299"/>
      <c r="P63" s="299"/>
      <c r="Q63" s="299"/>
      <c r="R63" s="300"/>
      <c r="S63" s="139"/>
      <c r="T63" s="139"/>
      <c r="U63" s="295"/>
      <c r="V63" s="296"/>
      <c r="W63" s="297"/>
      <c r="X63" s="158"/>
      <c r="Y63" s="139"/>
      <c r="Z63" s="139"/>
    </row>
    <row r="64" spans="1:26" ht="18" customHeight="1">
      <c r="A64" s="134"/>
      <c r="B64" s="298"/>
      <c r="C64" s="299"/>
      <c r="D64" s="299"/>
      <c r="E64" s="300"/>
      <c r="F64" s="139"/>
      <c r="G64" s="139"/>
      <c r="H64" s="295"/>
      <c r="I64" s="296"/>
      <c r="J64" s="297"/>
      <c r="K64" s="158"/>
      <c r="L64" s="139"/>
      <c r="M64" s="139"/>
      <c r="N64" s="298"/>
      <c r="O64" s="299"/>
      <c r="P64" s="299"/>
      <c r="Q64" s="299"/>
      <c r="R64" s="300"/>
      <c r="S64" s="139"/>
      <c r="T64" s="139"/>
      <c r="U64" s="295"/>
      <c r="V64" s="296"/>
      <c r="W64" s="297"/>
      <c r="X64" s="158"/>
      <c r="Y64" s="139"/>
      <c r="Z64" s="139"/>
    </row>
    <row r="65" spans="1:26" ht="18" customHeight="1">
      <c r="A65" s="134"/>
      <c r="B65" s="298"/>
      <c r="C65" s="299"/>
      <c r="D65" s="299"/>
      <c r="E65" s="300"/>
      <c r="F65" s="139"/>
      <c r="G65" s="139"/>
      <c r="H65" s="295"/>
      <c r="I65" s="296"/>
      <c r="J65" s="297"/>
      <c r="K65" s="158"/>
      <c r="L65" s="139"/>
      <c r="M65" s="139"/>
      <c r="N65" s="298"/>
      <c r="O65" s="299"/>
      <c r="P65" s="299"/>
      <c r="Q65" s="299"/>
      <c r="R65" s="300"/>
      <c r="S65" s="139"/>
      <c r="T65" s="139"/>
      <c r="U65" s="295"/>
      <c r="V65" s="296"/>
      <c r="W65" s="297"/>
      <c r="X65" s="158"/>
      <c r="Y65" s="139"/>
      <c r="Z65" s="139"/>
    </row>
    <row r="66" spans="1:26" ht="18" customHeight="1">
      <c r="A66" s="134"/>
      <c r="B66" s="308"/>
      <c r="C66" s="309"/>
      <c r="D66" s="309"/>
      <c r="E66" s="310"/>
      <c r="F66" s="140"/>
      <c r="G66" s="140"/>
      <c r="H66" s="305"/>
      <c r="I66" s="306"/>
      <c r="J66" s="307"/>
      <c r="K66" s="157"/>
      <c r="L66" s="141"/>
      <c r="M66" s="141"/>
      <c r="N66" s="308"/>
      <c r="O66" s="309"/>
      <c r="P66" s="309"/>
      <c r="Q66" s="309"/>
      <c r="R66" s="310"/>
      <c r="S66" s="140"/>
      <c r="T66" s="140"/>
      <c r="U66" s="305"/>
      <c r="V66" s="306"/>
      <c r="W66" s="307"/>
      <c r="X66" s="157"/>
      <c r="Y66" s="141"/>
      <c r="Z66" s="141"/>
    </row>
    <row r="67" spans="1:26" ht="7.5" customHeight="1">
      <c r="A67" s="13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33"/>
    </row>
    <row r="68" spans="1:26" ht="18" customHeight="1">
      <c r="A68" s="69" t="s">
        <v>119</v>
      </c>
      <c r="B68" s="69"/>
      <c r="C68" s="69"/>
      <c r="D68" s="69"/>
      <c r="E68" s="69"/>
      <c r="F68" s="69"/>
      <c r="G68" s="69"/>
      <c r="H68" s="69"/>
      <c r="I68" s="69"/>
      <c r="J68" s="69"/>
      <c r="K68" s="69"/>
      <c r="L68" s="134"/>
      <c r="M68" s="134"/>
      <c r="N68" s="134"/>
      <c r="O68" s="134"/>
      <c r="P68" s="134"/>
      <c r="Q68" s="134"/>
      <c r="R68" s="134"/>
      <c r="S68" s="134"/>
      <c r="T68" s="134"/>
      <c r="U68" s="134"/>
      <c r="V68" s="134"/>
      <c r="W68" s="134"/>
      <c r="X68" s="134"/>
      <c r="Y68" s="134"/>
      <c r="Z68" s="134"/>
    </row>
    <row r="69" spans="1:26" ht="18" customHeight="1">
      <c r="A69" s="69"/>
      <c r="B69" s="184" t="s">
        <v>94</v>
      </c>
      <c r="C69" s="185"/>
      <c r="D69" s="185"/>
      <c r="E69" s="185"/>
      <c r="F69" s="186"/>
      <c r="G69" s="184" t="s">
        <v>124</v>
      </c>
      <c r="H69" s="185"/>
      <c r="I69" s="185"/>
      <c r="J69" s="185"/>
      <c r="K69" s="185"/>
      <c r="L69" s="185"/>
      <c r="M69" s="186"/>
      <c r="N69" s="314" t="s">
        <v>94</v>
      </c>
      <c r="O69" s="315"/>
      <c r="P69" s="315"/>
      <c r="Q69" s="315"/>
      <c r="R69" s="315"/>
      <c r="S69" s="316"/>
      <c r="T69" s="184" t="s">
        <v>124</v>
      </c>
      <c r="U69" s="185"/>
      <c r="V69" s="185"/>
      <c r="W69" s="185"/>
      <c r="X69" s="185"/>
      <c r="Y69" s="185"/>
      <c r="Z69" s="186"/>
    </row>
    <row r="70" spans="1:26" ht="18" customHeight="1">
      <c r="A70" s="134"/>
      <c r="B70" s="289"/>
      <c r="C70" s="290"/>
      <c r="D70" s="290"/>
      <c r="E70" s="290"/>
      <c r="F70" s="291"/>
      <c r="G70" s="317"/>
      <c r="H70" s="318"/>
      <c r="I70" s="318"/>
      <c r="J70" s="318"/>
      <c r="K70" s="318"/>
      <c r="L70" s="318"/>
      <c r="M70" s="319"/>
      <c r="N70" s="289"/>
      <c r="O70" s="290"/>
      <c r="P70" s="290"/>
      <c r="Q70" s="290"/>
      <c r="R70" s="290"/>
      <c r="S70" s="291"/>
      <c r="T70" s="317"/>
      <c r="U70" s="318"/>
      <c r="V70" s="318"/>
      <c r="W70" s="318"/>
      <c r="X70" s="318"/>
      <c r="Y70" s="318"/>
      <c r="Z70" s="319"/>
    </row>
    <row r="71" spans="1:26" ht="18" customHeight="1">
      <c r="A71" s="134"/>
      <c r="B71" s="298"/>
      <c r="C71" s="299"/>
      <c r="D71" s="299"/>
      <c r="E71" s="299"/>
      <c r="F71" s="300"/>
      <c r="G71" s="320"/>
      <c r="H71" s="321"/>
      <c r="I71" s="321"/>
      <c r="J71" s="321"/>
      <c r="K71" s="321"/>
      <c r="L71" s="321"/>
      <c r="M71" s="322"/>
      <c r="N71" s="298"/>
      <c r="O71" s="299"/>
      <c r="P71" s="299"/>
      <c r="Q71" s="299"/>
      <c r="R71" s="299"/>
      <c r="S71" s="300"/>
      <c r="T71" s="320"/>
      <c r="U71" s="321"/>
      <c r="V71" s="321"/>
      <c r="W71" s="321"/>
      <c r="X71" s="321"/>
      <c r="Y71" s="321"/>
      <c r="Z71" s="322"/>
    </row>
    <row r="72" spans="1:26" ht="18" customHeight="1">
      <c r="A72" s="134"/>
      <c r="B72" s="298"/>
      <c r="C72" s="299"/>
      <c r="D72" s="299"/>
      <c r="E72" s="299"/>
      <c r="F72" s="300"/>
      <c r="G72" s="320"/>
      <c r="H72" s="321"/>
      <c r="I72" s="321"/>
      <c r="J72" s="321"/>
      <c r="K72" s="321"/>
      <c r="L72" s="321"/>
      <c r="M72" s="322"/>
      <c r="N72" s="298"/>
      <c r="O72" s="299"/>
      <c r="P72" s="299"/>
      <c r="Q72" s="299"/>
      <c r="R72" s="299"/>
      <c r="S72" s="300"/>
      <c r="T72" s="320"/>
      <c r="U72" s="321"/>
      <c r="V72" s="321"/>
      <c r="W72" s="321"/>
      <c r="X72" s="321"/>
      <c r="Y72" s="321"/>
      <c r="Z72" s="322"/>
    </row>
    <row r="73" spans="1:26" ht="18" customHeight="1">
      <c r="A73" s="134"/>
      <c r="B73" s="298"/>
      <c r="C73" s="299"/>
      <c r="D73" s="299"/>
      <c r="E73" s="299"/>
      <c r="F73" s="300"/>
      <c r="G73" s="320"/>
      <c r="H73" s="321"/>
      <c r="I73" s="321"/>
      <c r="J73" s="321"/>
      <c r="K73" s="321"/>
      <c r="L73" s="321"/>
      <c r="M73" s="322"/>
      <c r="N73" s="298"/>
      <c r="O73" s="299"/>
      <c r="P73" s="299"/>
      <c r="Q73" s="299"/>
      <c r="R73" s="299"/>
      <c r="S73" s="300"/>
      <c r="T73" s="320"/>
      <c r="U73" s="321"/>
      <c r="V73" s="321"/>
      <c r="W73" s="321"/>
      <c r="X73" s="321"/>
      <c r="Y73" s="321"/>
      <c r="Z73" s="322"/>
    </row>
    <row r="74" spans="1:26" ht="18" customHeight="1">
      <c r="A74" s="134"/>
      <c r="B74" s="298"/>
      <c r="C74" s="299"/>
      <c r="D74" s="299"/>
      <c r="E74" s="299"/>
      <c r="F74" s="300"/>
      <c r="G74" s="320"/>
      <c r="H74" s="321"/>
      <c r="I74" s="321"/>
      <c r="J74" s="321"/>
      <c r="K74" s="321"/>
      <c r="L74" s="321"/>
      <c r="M74" s="322"/>
      <c r="N74" s="298"/>
      <c r="O74" s="299"/>
      <c r="P74" s="299"/>
      <c r="Q74" s="299"/>
      <c r="R74" s="299"/>
      <c r="S74" s="300"/>
      <c r="T74" s="320"/>
      <c r="U74" s="321"/>
      <c r="V74" s="321"/>
      <c r="W74" s="321"/>
      <c r="X74" s="321"/>
      <c r="Y74" s="321"/>
      <c r="Z74" s="322"/>
    </row>
    <row r="75" spans="1:26" ht="18" customHeight="1">
      <c r="A75" s="134"/>
      <c r="B75" s="298"/>
      <c r="C75" s="299"/>
      <c r="D75" s="299"/>
      <c r="E75" s="299"/>
      <c r="F75" s="300"/>
      <c r="G75" s="320"/>
      <c r="H75" s="321"/>
      <c r="I75" s="321"/>
      <c r="J75" s="321"/>
      <c r="K75" s="321"/>
      <c r="L75" s="321"/>
      <c r="M75" s="322"/>
      <c r="N75" s="298"/>
      <c r="O75" s="299"/>
      <c r="P75" s="299"/>
      <c r="Q75" s="299"/>
      <c r="R75" s="299"/>
      <c r="S75" s="300"/>
      <c r="T75" s="320"/>
      <c r="U75" s="321"/>
      <c r="V75" s="321"/>
      <c r="W75" s="321"/>
      <c r="X75" s="321"/>
      <c r="Y75" s="321"/>
      <c r="Z75" s="322"/>
    </row>
    <row r="76" spans="1:26" ht="18" customHeight="1">
      <c r="A76" s="134"/>
      <c r="B76" s="308"/>
      <c r="C76" s="309"/>
      <c r="D76" s="309"/>
      <c r="E76" s="309"/>
      <c r="F76" s="310"/>
      <c r="G76" s="331"/>
      <c r="H76" s="332"/>
      <c r="I76" s="332"/>
      <c r="J76" s="332"/>
      <c r="K76" s="332"/>
      <c r="L76" s="332"/>
      <c r="M76" s="333"/>
      <c r="N76" s="308"/>
      <c r="O76" s="309"/>
      <c r="P76" s="309"/>
      <c r="Q76" s="309"/>
      <c r="R76" s="309"/>
      <c r="S76" s="310"/>
      <c r="T76" s="331"/>
      <c r="U76" s="332"/>
      <c r="V76" s="332"/>
      <c r="W76" s="332"/>
      <c r="X76" s="332"/>
      <c r="Y76" s="332"/>
      <c r="Z76" s="333"/>
    </row>
    <row r="77" spans="1:26" ht="18" customHeight="1">
      <c r="A77" s="134"/>
      <c r="B77" s="142"/>
      <c r="C77" s="142"/>
      <c r="D77" s="142"/>
      <c r="E77" s="142"/>
      <c r="F77" s="142"/>
      <c r="G77" s="148"/>
      <c r="H77" s="148"/>
      <c r="I77" s="148"/>
      <c r="J77" s="148"/>
      <c r="K77" s="148"/>
      <c r="L77" s="148"/>
      <c r="M77" s="148"/>
      <c r="N77" s="142"/>
      <c r="O77" s="142"/>
      <c r="P77" s="142"/>
      <c r="Q77" s="142"/>
      <c r="R77" s="142"/>
      <c r="S77" s="142"/>
      <c r="T77" s="148"/>
      <c r="U77" s="148"/>
      <c r="V77" s="148"/>
      <c r="W77" s="148"/>
      <c r="X77" s="148"/>
      <c r="Y77" s="148"/>
      <c r="Z77" s="148"/>
    </row>
    <row r="78" spans="1:26" ht="18.75" customHeight="1">
      <c r="A78" s="133" t="s">
        <v>165</v>
      </c>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row>
    <row r="79" spans="1:26" ht="18.75" customHeight="1">
      <c r="A79" s="133"/>
      <c r="B79" s="149" t="s">
        <v>166</v>
      </c>
      <c r="C79" s="150"/>
      <c r="D79" s="334" t="s">
        <v>96</v>
      </c>
      <c r="E79" s="334"/>
      <c r="F79" s="334"/>
      <c r="G79" s="334"/>
      <c r="H79" s="334"/>
      <c r="I79" s="334"/>
      <c r="J79" s="334"/>
      <c r="K79" s="334"/>
      <c r="L79" s="334"/>
      <c r="M79" s="334"/>
      <c r="N79" s="334"/>
      <c r="O79" s="334"/>
      <c r="P79" s="334"/>
      <c r="Q79" s="334"/>
      <c r="R79" s="334"/>
      <c r="S79" s="334"/>
      <c r="T79" s="334"/>
      <c r="U79" s="334"/>
      <c r="V79" s="334"/>
      <c r="W79" s="334"/>
      <c r="X79" s="334"/>
      <c r="Y79" s="334"/>
      <c r="Z79" s="335"/>
    </row>
    <row r="80" spans="1:26" ht="78" customHeight="1">
      <c r="A80" s="133"/>
      <c r="B80" s="336" t="s">
        <v>167</v>
      </c>
      <c r="C80" s="151" t="s">
        <v>168</v>
      </c>
      <c r="D80" s="326" t="s">
        <v>379</v>
      </c>
      <c r="E80" s="326"/>
      <c r="F80" s="326"/>
      <c r="G80" s="326"/>
      <c r="H80" s="326"/>
      <c r="I80" s="326"/>
      <c r="J80" s="326"/>
      <c r="K80" s="326"/>
      <c r="L80" s="326"/>
      <c r="M80" s="326"/>
      <c r="N80" s="326"/>
      <c r="O80" s="326"/>
      <c r="P80" s="326"/>
      <c r="Q80" s="326"/>
      <c r="R80" s="326"/>
      <c r="S80" s="326"/>
      <c r="T80" s="326"/>
      <c r="U80" s="326"/>
      <c r="V80" s="326"/>
      <c r="W80" s="326"/>
      <c r="X80" s="326"/>
      <c r="Y80" s="326"/>
      <c r="Z80" s="327"/>
    </row>
    <row r="81" spans="1:26" ht="78" customHeight="1">
      <c r="A81" s="133"/>
      <c r="B81" s="337"/>
      <c r="C81" s="152" t="s">
        <v>169</v>
      </c>
      <c r="D81" s="456" t="s">
        <v>379</v>
      </c>
      <c r="E81" s="456"/>
      <c r="F81" s="456"/>
      <c r="G81" s="456"/>
      <c r="H81" s="456"/>
      <c r="I81" s="456"/>
      <c r="J81" s="456"/>
      <c r="K81" s="456"/>
      <c r="L81" s="456"/>
      <c r="M81" s="456"/>
      <c r="N81" s="456"/>
      <c r="O81" s="456"/>
      <c r="P81" s="456"/>
      <c r="Q81" s="456"/>
      <c r="R81" s="456"/>
      <c r="S81" s="456"/>
      <c r="T81" s="456"/>
      <c r="U81" s="456"/>
      <c r="V81" s="456"/>
      <c r="W81" s="456"/>
      <c r="X81" s="456"/>
      <c r="Y81" s="456"/>
      <c r="Z81" s="457"/>
    </row>
    <row r="82" spans="1:26" ht="78" customHeight="1">
      <c r="A82" s="133"/>
      <c r="B82" s="323" t="s">
        <v>170</v>
      </c>
      <c r="C82" s="153" t="s">
        <v>171</v>
      </c>
      <c r="D82" s="325" t="s">
        <v>380</v>
      </c>
      <c r="E82" s="326"/>
      <c r="F82" s="326"/>
      <c r="G82" s="326"/>
      <c r="H82" s="326"/>
      <c r="I82" s="326"/>
      <c r="J82" s="326"/>
      <c r="K82" s="326"/>
      <c r="L82" s="326"/>
      <c r="M82" s="326"/>
      <c r="N82" s="326"/>
      <c r="O82" s="326"/>
      <c r="P82" s="326"/>
      <c r="Q82" s="326"/>
      <c r="R82" s="326"/>
      <c r="S82" s="326"/>
      <c r="T82" s="326"/>
      <c r="U82" s="326"/>
      <c r="V82" s="326"/>
      <c r="W82" s="326"/>
      <c r="X82" s="326"/>
      <c r="Y82" s="326"/>
      <c r="Z82" s="327"/>
    </row>
    <row r="83" spans="1:26" ht="78" customHeight="1">
      <c r="A83" s="133"/>
      <c r="B83" s="324"/>
      <c r="C83" s="154" t="s">
        <v>172</v>
      </c>
      <c r="D83" s="458" t="s">
        <v>379</v>
      </c>
      <c r="E83" s="459"/>
      <c r="F83" s="459"/>
      <c r="G83" s="459"/>
      <c r="H83" s="459"/>
      <c r="I83" s="459"/>
      <c r="J83" s="459"/>
      <c r="K83" s="459"/>
      <c r="L83" s="459"/>
      <c r="M83" s="459"/>
      <c r="N83" s="459"/>
      <c r="O83" s="459"/>
      <c r="P83" s="459"/>
      <c r="Q83" s="459"/>
      <c r="R83" s="459"/>
      <c r="S83" s="459"/>
      <c r="T83" s="459"/>
      <c r="U83" s="459"/>
      <c r="V83" s="459"/>
      <c r="W83" s="459"/>
      <c r="X83" s="459"/>
      <c r="Y83" s="459"/>
      <c r="Z83" s="460"/>
    </row>
    <row r="84" spans="1:26" ht="69" customHeight="1">
      <c r="A84" s="133"/>
      <c r="B84" s="323" t="s">
        <v>173</v>
      </c>
      <c r="C84" s="153" t="s">
        <v>150</v>
      </c>
      <c r="D84" s="461" t="s">
        <v>381</v>
      </c>
      <c r="E84" s="433"/>
      <c r="F84" s="433"/>
      <c r="G84" s="433"/>
      <c r="H84" s="433"/>
      <c r="I84" s="433"/>
      <c r="J84" s="433"/>
      <c r="K84" s="433"/>
      <c r="L84" s="433"/>
      <c r="M84" s="433"/>
      <c r="N84" s="433"/>
      <c r="O84" s="433"/>
      <c r="P84" s="433"/>
      <c r="Q84" s="433"/>
      <c r="R84" s="433"/>
      <c r="S84" s="433"/>
      <c r="T84" s="433"/>
      <c r="U84" s="433"/>
      <c r="V84" s="433"/>
      <c r="W84" s="433"/>
      <c r="X84" s="433"/>
      <c r="Y84" s="433"/>
      <c r="Z84" s="434"/>
    </row>
    <row r="85" spans="1:26" ht="50.25" customHeight="1">
      <c r="A85" s="133"/>
      <c r="B85" s="324"/>
      <c r="C85" s="155" t="s">
        <v>174</v>
      </c>
      <c r="D85" s="462" t="s">
        <v>379</v>
      </c>
      <c r="E85" s="435"/>
      <c r="F85" s="435"/>
      <c r="G85" s="435"/>
      <c r="H85" s="435"/>
      <c r="I85" s="435"/>
      <c r="J85" s="435"/>
      <c r="K85" s="435"/>
      <c r="L85" s="435"/>
      <c r="M85" s="435"/>
      <c r="N85" s="435"/>
      <c r="O85" s="435"/>
      <c r="P85" s="435"/>
      <c r="Q85" s="435"/>
      <c r="R85" s="435"/>
      <c r="S85" s="435"/>
      <c r="T85" s="435"/>
      <c r="U85" s="435"/>
      <c r="V85" s="435"/>
      <c r="W85" s="435"/>
      <c r="X85" s="435"/>
      <c r="Y85" s="435"/>
      <c r="Z85" s="436"/>
    </row>
    <row r="86" spans="1:26" ht="43.5" customHeight="1">
      <c r="A86" s="133"/>
      <c r="B86" s="336" t="s">
        <v>175</v>
      </c>
      <c r="C86" s="151" t="s">
        <v>99</v>
      </c>
      <c r="D86" s="326" t="s">
        <v>368</v>
      </c>
      <c r="E86" s="326"/>
      <c r="F86" s="326"/>
      <c r="G86" s="326"/>
      <c r="H86" s="326"/>
      <c r="I86" s="326"/>
      <c r="J86" s="326"/>
      <c r="K86" s="326"/>
      <c r="L86" s="326"/>
      <c r="M86" s="326"/>
      <c r="N86" s="326"/>
      <c r="O86" s="326"/>
      <c r="P86" s="326"/>
      <c r="Q86" s="326"/>
      <c r="R86" s="326"/>
      <c r="S86" s="326"/>
      <c r="T86" s="326"/>
      <c r="U86" s="326"/>
      <c r="V86" s="326"/>
      <c r="W86" s="326"/>
      <c r="X86" s="326"/>
      <c r="Y86" s="326"/>
      <c r="Z86" s="327"/>
    </row>
    <row r="87" spans="1:26" ht="96" customHeight="1">
      <c r="A87" s="133"/>
      <c r="B87" s="338"/>
      <c r="C87" s="156" t="s">
        <v>155</v>
      </c>
      <c r="D87" s="463" t="s">
        <v>369</v>
      </c>
      <c r="E87" s="339"/>
      <c r="F87" s="339"/>
      <c r="G87" s="339"/>
      <c r="H87" s="339"/>
      <c r="I87" s="339"/>
      <c r="J87" s="339"/>
      <c r="K87" s="339"/>
      <c r="L87" s="339"/>
      <c r="M87" s="339"/>
      <c r="N87" s="339"/>
      <c r="O87" s="339"/>
      <c r="P87" s="339"/>
      <c r="Q87" s="339"/>
      <c r="R87" s="339"/>
      <c r="S87" s="339"/>
      <c r="T87" s="339"/>
      <c r="U87" s="339"/>
      <c r="V87" s="339"/>
      <c r="W87" s="339"/>
      <c r="X87" s="339"/>
      <c r="Y87" s="339"/>
      <c r="Z87" s="340"/>
    </row>
    <row r="88" spans="1:26" ht="53.25" customHeight="1">
      <c r="A88" s="133"/>
      <c r="B88" s="336" t="s">
        <v>176</v>
      </c>
      <c r="C88" s="153" t="s">
        <v>158</v>
      </c>
      <c r="D88" s="341" t="s">
        <v>370</v>
      </c>
      <c r="E88" s="342"/>
      <c r="F88" s="342"/>
      <c r="G88" s="342"/>
      <c r="H88" s="342"/>
      <c r="I88" s="342"/>
      <c r="J88" s="342"/>
      <c r="K88" s="342"/>
      <c r="L88" s="342"/>
      <c r="M88" s="342"/>
      <c r="N88" s="342"/>
      <c r="O88" s="342"/>
      <c r="P88" s="342"/>
      <c r="Q88" s="342"/>
      <c r="R88" s="342"/>
      <c r="S88" s="342"/>
      <c r="T88" s="342"/>
      <c r="U88" s="342"/>
      <c r="V88" s="342"/>
      <c r="W88" s="342"/>
      <c r="X88" s="342"/>
      <c r="Y88" s="342"/>
      <c r="Z88" s="343"/>
    </row>
    <row r="89" spans="1:26" ht="53.25" customHeight="1">
      <c r="A89" s="133"/>
      <c r="B89" s="337"/>
      <c r="C89" s="156" t="s">
        <v>159</v>
      </c>
      <c r="D89" s="464" t="s">
        <v>371</v>
      </c>
      <c r="E89" s="465"/>
      <c r="F89" s="465"/>
      <c r="G89" s="465"/>
      <c r="H89" s="465"/>
      <c r="I89" s="465"/>
      <c r="J89" s="465"/>
      <c r="K89" s="465"/>
      <c r="L89" s="465"/>
      <c r="M89" s="465"/>
      <c r="N89" s="465"/>
      <c r="O89" s="465"/>
      <c r="P89" s="465"/>
      <c r="Q89" s="465"/>
      <c r="R89" s="465"/>
      <c r="S89" s="465"/>
      <c r="T89" s="465"/>
      <c r="U89" s="465"/>
      <c r="V89" s="465"/>
      <c r="W89" s="465"/>
      <c r="X89" s="465"/>
      <c r="Y89" s="465"/>
      <c r="Z89" s="466"/>
    </row>
    <row r="90" spans="1:26" ht="53.25" customHeight="1">
      <c r="A90" s="133"/>
      <c r="B90" s="324"/>
      <c r="C90" s="155" t="s">
        <v>177</v>
      </c>
      <c r="D90" s="344" t="s">
        <v>306</v>
      </c>
      <c r="E90" s="345"/>
      <c r="F90" s="345"/>
      <c r="G90" s="345"/>
      <c r="H90" s="345"/>
      <c r="I90" s="345"/>
      <c r="J90" s="345"/>
      <c r="K90" s="345"/>
      <c r="L90" s="345"/>
      <c r="M90" s="345"/>
      <c r="N90" s="345"/>
      <c r="O90" s="345"/>
      <c r="P90" s="345"/>
      <c r="Q90" s="345"/>
      <c r="R90" s="345"/>
      <c r="S90" s="345"/>
      <c r="T90" s="345"/>
      <c r="U90" s="345"/>
      <c r="V90" s="345"/>
      <c r="W90" s="345"/>
      <c r="X90" s="345"/>
      <c r="Y90" s="345"/>
      <c r="Z90" s="346"/>
    </row>
    <row r="91" spans="1:26" ht="6" customHeight="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row>
    <row r="92" spans="1:26" ht="18.75" customHeight="1">
      <c r="A92" s="133" t="s">
        <v>178</v>
      </c>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row>
    <row r="93" spans="1:26" ht="27" customHeight="1">
      <c r="A93" s="133"/>
      <c r="B93" s="437" t="s">
        <v>347</v>
      </c>
      <c r="C93" s="438"/>
      <c r="D93" s="438"/>
      <c r="E93" s="438"/>
      <c r="F93" s="438"/>
      <c r="G93" s="438"/>
      <c r="H93" s="438"/>
      <c r="I93" s="438"/>
      <c r="J93" s="438"/>
      <c r="K93" s="438"/>
      <c r="L93" s="438"/>
      <c r="M93" s="438"/>
      <c r="N93" s="438"/>
      <c r="O93" s="438"/>
      <c r="P93" s="438"/>
      <c r="Q93" s="438"/>
      <c r="R93" s="438"/>
      <c r="S93" s="438"/>
      <c r="T93" s="438"/>
      <c r="U93" s="438"/>
      <c r="V93" s="438"/>
      <c r="W93" s="438"/>
      <c r="X93" s="438"/>
      <c r="Y93" s="438"/>
      <c r="Z93" s="439"/>
    </row>
    <row r="94" spans="1:26" ht="25.5" customHeight="1">
      <c r="A94" s="133"/>
      <c r="B94" s="440"/>
      <c r="C94" s="441"/>
      <c r="D94" s="441"/>
      <c r="E94" s="441"/>
      <c r="F94" s="441"/>
      <c r="G94" s="441"/>
      <c r="H94" s="441"/>
      <c r="I94" s="441"/>
      <c r="J94" s="441"/>
      <c r="K94" s="441"/>
      <c r="L94" s="441"/>
      <c r="M94" s="441"/>
      <c r="N94" s="441"/>
      <c r="O94" s="441"/>
      <c r="P94" s="441"/>
      <c r="Q94" s="441"/>
      <c r="R94" s="441"/>
      <c r="S94" s="441"/>
      <c r="T94" s="441"/>
      <c r="U94" s="441"/>
      <c r="V94" s="441"/>
      <c r="W94" s="441"/>
      <c r="X94" s="441"/>
      <c r="Y94" s="441"/>
      <c r="Z94" s="442"/>
    </row>
    <row r="95" spans="1:26" ht="35.25" customHeight="1">
      <c r="A95" s="133"/>
      <c r="B95" s="443"/>
      <c r="C95" s="345"/>
      <c r="D95" s="345"/>
      <c r="E95" s="345"/>
      <c r="F95" s="345"/>
      <c r="G95" s="345"/>
      <c r="H95" s="345"/>
      <c r="I95" s="345"/>
      <c r="J95" s="345"/>
      <c r="K95" s="345"/>
      <c r="L95" s="345"/>
      <c r="M95" s="345"/>
      <c r="N95" s="345"/>
      <c r="O95" s="345"/>
      <c r="P95" s="345"/>
      <c r="Q95" s="345"/>
      <c r="R95" s="345"/>
      <c r="S95" s="345"/>
      <c r="T95" s="345"/>
      <c r="U95" s="345"/>
      <c r="V95" s="345"/>
      <c r="W95" s="345"/>
      <c r="X95" s="345"/>
      <c r="Y95" s="345"/>
      <c r="Z95" s="346"/>
    </row>
    <row r="96" spans="1:26" ht="6" customHeight="1">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row>
    <row r="97" spans="1:26" ht="15" customHeight="1">
      <c r="A97" s="133" t="s">
        <v>179</v>
      </c>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row>
    <row r="98" spans="1:26" ht="15" customHeight="1">
      <c r="A98" s="133"/>
      <c r="B98" s="467" t="s">
        <v>349</v>
      </c>
      <c r="C98" s="468"/>
      <c r="D98" s="468"/>
      <c r="E98" s="468"/>
      <c r="F98" s="468"/>
      <c r="G98" s="468"/>
      <c r="H98" s="468"/>
      <c r="I98" s="468"/>
      <c r="J98" s="468"/>
      <c r="K98" s="468"/>
      <c r="L98" s="468"/>
      <c r="M98" s="468"/>
      <c r="N98" s="468"/>
      <c r="O98" s="468"/>
      <c r="P98" s="468"/>
      <c r="Q98" s="468"/>
      <c r="R98" s="468"/>
      <c r="S98" s="468"/>
      <c r="T98" s="468"/>
      <c r="U98" s="468"/>
      <c r="V98" s="468"/>
      <c r="W98" s="468"/>
      <c r="X98" s="468"/>
      <c r="Y98" s="468"/>
      <c r="Z98" s="469"/>
    </row>
    <row r="99" spans="1:26" ht="18.75" customHeight="1">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row>
    <row r="100" spans="1:26" ht="18.75" customHeight="1">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L16:M22 Y27:Z33 L38:M44 Y38:Z44 Y49:Z55 Y60:Z66 H16:H22 U16:U22 L61:M66 U27:U33 H38:H44 U38:U44 U49:U55 T60:T66 L27:M33 L49:M55 H27:H33 H49:H55 G60:G66 K60:M60">
      <formula1>"○"</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8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92" zoomScaleNormal="100" zoomScaleSheetLayoutView="100" workbookViewId="0">
      <selection activeCell="B93" sqref="B93:Z95"/>
    </sheetView>
  </sheetViews>
  <sheetFormatPr defaultColWidth="9" defaultRowHeight="18.75" customHeight="1"/>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206" t="s">
        <v>307</v>
      </c>
      <c r="X1" s="206"/>
      <c r="Y1" s="206"/>
      <c r="Z1" s="206"/>
    </row>
    <row r="2" spans="1:26" ht="18" customHeight="1">
      <c r="A2" s="207" t="s">
        <v>263</v>
      </c>
      <c r="B2" s="207"/>
      <c r="C2" s="207"/>
      <c r="D2" s="207"/>
      <c r="E2" s="207"/>
      <c r="F2" s="207"/>
      <c r="G2" s="207"/>
      <c r="H2" s="207"/>
      <c r="I2" s="207"/>
      <c r="J2" s="207"/>
      <c r="K2" s="207"/>
      <c r="L2" s="207"/>
      <c r="M2" s="207"/>
      <c r="N2" s="207"/>
      <c r="O2" s="207"/>
      <c r="P2" s="207"/>
      <c r="Q2" s="207"/>
      <c r="R2" s="207"/>
      <c r="S2" s="207"/>
      <c r="T2" s="207"/>
      <c r="U2" s="207"/>
      <c r="V2" s="207"/>
      <c r="W2" s="207"/>
      <c r="X2" s="207"/>
      <c r="Y2" s="207"/>
      <c r="Z2" s="207"/>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264</v>
      </c>
      <c r="B4" s="29"/>
      <c r="C4" s="29"/>
      <c r="D4" s="29"/>
      <c r="E4" s="29"/>
      <c r="F4" s="29"/>
      <c r="G4" s="29"/>
      <c r="H4" s="14" t="s">
        <v>265</v>
      </c>
      <c r="I4" s="29"/>
      <c r="J4" s="29"/>
      <c r="K4" s="29"/>
      <c r="L4" s="29"/>
      <c r="M4" s="29"/>
      <c r="N4" s="29"/>
      <c r="O4" s="208" t="s">
        <v>143</v>
      </c>
      <c r="P4" s="209"/>
      <c r="Q4" s="209"/>
      <c r="R4" s="209"/>
      <c r="S4" s="209"/>
      <c r="T4" s="209"/>
      <c r="U4" s="209"/>
      <c r="V4" s="209"/>
      <c r="W4" s="209"/>
      <c r="X4" s="209"/>
      <c r="Y4" s="209"/>
      <c r="Z4" s="210"/>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263" t="s">
        <v>350</v>
      </c>
      <c r="C6" s="264"/>
      <c r="D6" s="264"/>
      <c r="E6" s="264"/>
      <c r="F6" s="264"/>
      <c r="G6" s="264"/>
      <c r="H6" s="264"/>
      <c r="I6" s="264"/>
      <c r="J6" s="264"/>
      <c r="K6" s="264"/>
      <c r="L6" s="264"/>
      <c r="M6" s="264"/>
      <c r="N6" s="264"/>
      <c r="O6" s="264"/>
      <c r="P6" s="264"/>
      <c r="Q6" s="264"/>
      <c r="R6" s="264"/>
      <c r="S6" s="264"/>
      <c r="T6" s="264"/>
      <c r="U6" s="264"/>
      <c r="V6" s="264"/>
      <c r="W6" s="264"/>
      <c r="X6" s="264"/>
      <c r="Y6" s="264"/>
      <c r="Z6" s="265"/>
    </row>
    <row r="7" spans="1:26" ht="18" customHeight="1">
      <c r="B7" s="266"/>
      <c r="C7" s="267"/>
      <c r="D7" s="267"/>
      <c r="E7" s="267"/>
      <c r="F7" s="267"/>
      <c r="G7" s="267"/>
      <c r="H7" s="267"/>
      <c r="I7" s="267"/>
      <c r="J7" s="267"/>
      <c r="K7" s="267"/>
      <c r="L7" s="267"/>
      <c r="M7" s="267"/>
      <c r="N7" s="267"/>
      <c r="O7" s="267"/>
      <c r="P7" s="267"/>
      <c r="Q7" s="267"/>
      <c r="R7" s="267"/>
      <c r="S7" s="267"/>
      <c r="T7" s="267"/>
      <c r="U7" s="267"/>
      <c r="V7" s="267"/>
      <c r="W7" s="267"/>
      <c r="X7" s="267"/>
      <c r="Y7" s="267"/>
      <c r="Z7" s="268"/>
    </row>
    <row r="8" spans="1:26" ht="18" customHeight="1">
      <c r="B8" s="266"/>
      <c r="C8" s="267"/>
      <c r="D8" s="267"/>
      <c r="E8" s="267"/>
      <c r="F8" s="267"/>
      <c r="G8" s="267"/>
      <c r="H8" s="267"/>
      <c r="I8" s="267"/>
      <c r="J8" s="267"/>
      <c r="K8" s="267"/>
      <c r="L8" s="267"/>
      <c r="M8" s="267"/>
      <c r="N8" s="267"/>
      <c r="O8" s="267"/>
      <c r="P8" s="267"/>
      <c r="Q8" s="267"/>
      <c r="R8" s="267"/>
      <c r="S8" s="267"/>
      <c r="T8" s="267"/>
      <c r="U8" s="267"/>
      <c r="V8" s="267"/>
      <c r="W8" s="267"/>
      <c r="X8" s="267"/>
      <c r="Y8" s="267"/>
      <c r="Z8" s="268"/>
    </row>
    <row r="9" spans="1:26" ht="18" customHeight="1">
      <c r="B9" s="266"/>
      <c r="C9" s="267"/>
      <c r="D9" s="267"/>
      <c r="E9" s="267"/>
      <c r="F9" s="267"/>
      <c r="G9" s="267"/>
      <c r="H9" s="267"/>
      <c r="I9" s="267"/>
      <c r="J9" s="267"/>
      <c r="K9" s="267"/>
      <c r="L9" s="267"/>
      <c r="M9" s="267"/>
      <c r="N9" s="267"/>
      <c r="O9" s="267"/>
      <c r="P9" s="267"/>
      <c r="Q9" s="267"/>
      <c r="R9" s="267"/>
      <c r="S9" s="267"/>
      <c r="T9" s="267"/>
      <c r="U9" s="267"/>
      <c r="V9" s="267"/>
      <c r="W9" s="267"/>
      <c r="X9" s="267"/>
      <c r="Y9" s="267"/>
      <c r="Z9" s="268"/>
    </row>
    <row r="10" spans="1:26" ht="18" customHeight="1">
      <c r="B10" s="266"/>
      <c r="C10" s="267"/>
      <c r="D10" s="267"/>
      <c r="E10" s="267"/>
      <c r="F10" s="267"/>
      <c r="G10" s="267"/>
      <c r="H10" s="267"/>
      <c r="I10" s="267"/>
      <c r="J10" s="267"/>
      <c r="K10" s="267"/>
      <c r="L10" s="267"/>
      <c r="M10" s="267"/>
      <c r="N10" s="267"/>
      <c r="O10" s="267"/>
      <c r="P10" s="267"/>
      <c r="Q10" s="267"/>
      <c r="R10" s="267"/>
      <c r="S10" s="267"/>
      <c r="T10" s="267"/>
      <c r="U10" s="267"/>
      <c r="V10" s="267"/>
      <c r="W10" s="267"/>
      <c r="X10" s="267"/>
      <c r="Y10" s="267"/>
      <c r="Z10" s="268"/>
    </row>
    <row r="11" spans="1:26" ht="18" customHeight="1">
      <c r="B11" s="269"/>
      <c r="C11" s="270"/>
      <c r="D11" s="270"/>
      <c r="E11" s="270"/>
      <c r="F11" s="270"/>
      <c r="G11" s="270"/>
      <c r="H11" s="270"/>
      <c r="I11" s="270"/>
      <c r="J11" s="270"/>
      <c r="K11" s="270"/>
      <c r="L11" s="270"/>
      <c r="M11" s="270"/>
      <c r="N11" s="270"/>
      <c r="O11" s="270"/>
      <c r="P11" s="270"/>
      <c r="Q11" s="270"/>
      <c r="R11" s="270"/>
      <c r="S11" s="270"/>
      <c r="T11" s="270"/>
      <c r="U11" s="270"/>
      <c r="V11" s="270"/>
      <c r="W11" s="270"/>
      <c r="X11" s="270"/>
      <c r="Y11" s="270"/>
      <c r="Z11" s="271"/>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211" t="s">
        <v>113</v>
      </c>
      <c r="B13" s="211"/>
      <c r="C13" s="211"/>
      <c r="D13" s="211"/>
      <c r="E13" s="211"/>
      <c r="F13" s="211"/>
      <c r="G13" s="211"/>
      <c r="H13" s="211"/>
      <c r="I13" s="211"/>
      <c r="J13" s="211"/>
      <c r="K13" s="211"/>
      <c r="L13" s="211"/>
      <c r="M13" s="211"/>
      <c r="N13" s="211"/>
      <c r="O13" s="211"/>
      <c r="P13" s="211"/>
      <c r="Q13" s="211"/>
      <c r="R13" s="211"/>
      <c r="S13" s="211"/>
      <c r="T13" s="211"/>
      <c r="U13" s="211"/>
      <c r="V13" s="211"/>
      <c r="W13" s="211"/>
      <c r="X13" s="211"/>
      <c r="Y13" s="211"/>
      <c r="Z13" s="211"/>
    </row>
    <row r="14" spans="1:26" ht="18" customHeight="1">
      <c r="A14" s="211"/>
      <c r="B14" s="211"/>
      <c r="C14" s="211"/>
      <c r="D14" s="211"/>
      <c r="E14" s="211"/>
      <c r="F14" s="211"/>
      <c r="G14" s="211"/>
      <c r="H14" s="211"/>
      <c r="I14" s="211"/>
      <c r="J14" s="211"/>
      <c r="K14" s="211"/>
      <c r="L14" s="211"/>
      <c r="M14" s="211"/>
      <c r="N14" s="211"/>
      <c r="O14" s="211"/>
      <c r="P14" s="211"/>
      <c r="Q14" s="211"/>
      <c r="R14" s="211"/>
      <c r="S14" s="211"/>
      <c r="T14" s="211"/>
      <c r="U14" s="211"/>
      <c r="V14" s="211"/>
      <c r="W14" s="211"/>
      <c r="X14" s="211"/>
      <c r="Y14" s="211"/>
      <c r="Z14" s="211"/>
    </row>
    <row r="15" spans="1:26" ht="18" customHeight="1">
      <c r="A15" s="14"/>
      <c r="B15" s="208" t="s">
        <v>94</v>
      </c>
      <c r="C15" s="209"/>
      <c r="D15" s="209"/>
      <c r="E15" s="209"/>
      <c r="F15" s="210"/>
      <c r="G15" s="30" t="s">
        <v>121</v>
      </c>
      <c r="H15" s="108" t="s">
        <v>120</v>
      </c>
      <c r="I15" s="209" t="s">
        <v>266</v>
      </c>
      <c r="J15" s="209"/>
      <c r="K15" s="209"/>
      <c r="L15" s="71" t="s">
        <v>267</v>
      </c>
      <c r="M15" s="71" t="s">
        <v>100</v>
      </c>
      <c r="N15" s="208" t="s">
        <v>94</v>
      </c>
      <c r="O15" s="209"/>
      <c r="P15" s="209"/>
      <c r="Q15" s="209"/>
      <c r="R15" s="209"/>
      <c r="S15" s="210"/>
      <c r="T15" s="30" t="s">
        <v>121</v>
      </c>
      <c r="U15" s="108" t="s">
        <v>120</v>
      </c>
      <c r="V15" s="209" t="s">
        <v>266</v>
      </c>
      <c r="W15" s="209"/>
      <c r="X15" s="209"/>
      <c r="Y15" s="71" t="s">
        <v>267</v>
      </c>
      <c r="Z15" s="71" t="s">
        <v>100</v>
      </c>
    </row>
    <row r="16" spans="1:26" ht="18" customHeight="1">
      <c r="A16" s="14"/>
      <c r="B16" s="221" t="s">
        <v>181</v>
      </c>
      <c r="C16" s="222"/>
      <c r="D16" s="222"/>
      <c r="E16" s="222"/>
      <c r="F16" s="223"/>
      <c r="G16" s="109">
        <v>1</v>
      </c>
      <c r="H16" s="109" t="s">
        <v>145</v>
      </c>
      <c r="I16" s="191" t="s">
        <v>144</v>
      </c>
      <c r="J16" s="192"/>
      <c r="K16" s="193"/>
      <c r="L16" s="109" t="s">
        <v>145</v>
      </c>
      <c r="M16" s="109" t="s">
        <v>145</v>
      </c>
      <c r="N16" s="194"/>
      <c r="O16" s="195"/>
      <c r="P16" s="195"/>
      <c r="Q16" s="195"/>
      <c r="R16" s="195"/>
      <c r="S16" s="196"/>
      <c r="T16" s="109"/>
      <c r="U16" s="109"/>
      <c r="V16" s="191"/>
      <c r="W16" s="192"/>
      <c r="X16" s="193"/>
      <c r="Y16" s="109"/>
      <c r="Z16" s="109"/>
    </row>
    <row r="17" spans="1:26" ht="18" customHeight="1">
      <c r="A17" s="14"/>
      <c r="B17" s="197"/>
      <c r="C17" s="198"/>
      <c r="D17" s="198"/>
      <c r="E17" s="198"/>
      <c r="F17" s="199"/>
      <c r="G17" s="110"/>
      <c r="H17" s="110"/>
      <c r="I17" s="200"/>
      <c r="J17" s="201"/>
      <c r="K17" s="202"/>
      <c r="L17" s="110"/>
      <c r="M17" s="110"/>
      <c r="N17" s="203"/>
      <c r="O17" s="204"/>
      <c r="P17" s="204"/>
      <c r="Q17" s="204"/>
      <c r="R17" s="204"/>
      <c r="S17" s="205"/>
      <c r="T17" s="110"/>
      <c r="U17" s="110"/>
      <c r="V17" s="200"/>
      <c r="W17" s="201"/>
      <c r="X17" s="202"/>
      <c r="Y17" s="110"/>
      <c r="Z17" s="110"/>
    </row>
    <row r="18" spans="1:26" ht="18" customHeight="1">
      <c r="A18" s="14"/>
      <c r="B18" s="197"/>
      <c r="C18" s="198"/>
      <c r="D18" s="198"/>
      <c r="E18" s="198"/>
      <c r="F18" s="199"/>
      <c r="G18" s="110"/>
      <c r="H18" s="110"/>
      <c r="I18" s="200"/>
      <c r="J18" s="201"/>
      <c r="K18" s="202"/>
      <c r="L18" s="110"/>
      <c r="M18" s="110"/>
      <c r="N18" s="203"/>
      <c r="O18" s="204"/>
      <c r="P18" s="204"/>
      <c r="Q18" s="204"/>
      <c r="R18" s="204"/>
      <c r="S18" s="205"/>
      <c r="T18" s="110"/>
      <c r="U18" s="110"/>
      <c r="V18" s="200"/>
      <c r="W18" s="201"/>
      <c r="X18" s="202"/>
      <c r="Y18" s="110"/>
      <c r="Z18" s="110"/>
    </row>
    <row r="19" spans="1:26" ht="18" customHeight="1">
      <c r="A19" s="14"/>
      <c r="B19" s="197"/>
      <c r="C19" s="198"/>
      <c r="D19" s="198"/>
      <c r="E19" s="198"/>
      <c r="F19" s="199"/>
      <c r="G19" s="110"/>
      <c r="H19" s="110"/>
      <c r="I19" s="200"/>
      <c r="J19" s="201"/>
      <c r="K19" s="202"/>
      <c r="L19" s="110"/>
      <c r="M19" s="110"/>
      <c r="N19" s="203"/>
      <c r="O19" s="204"/>
      <c r="P19" s="204"/>
      <c r="Q19" s="204"/>
      <c r="R19" s="204"/>
      <c r="S19" s="205"/>
      <c r="T19" s="110"/>
      <c r="U19" s="110"/>
      <c r="V19" s="200"/>
      <c r="W19" s="201"/>
      <c r="X19" s="202"/>
      <c r="Y19" s="110"/>
      <c r="Z19" s="110"/>
    </row>
    <row r="20" spans="1:26" ht="18" customHeight="1">
      <c r="A20" s="14"/>
      <c r="B20" s="197"/>
      <c r="C20" s="198"/>
      <c r="D20" s="198"/>
      <c r="E20" s="198"/>
      <c r="F20" s="199"/>
      <c r="G20" s="110"/>
      <c r="H20" s="110"/>
      <c r="I20" s="200"/>
      <c r="J20" s="201"/>
      <c r="K20" s="202"/>
      <c r="L20" s="110"/>
      <c r="M20" s="110"/>
      <c r="N20" s="203"/>
      <c r="O20" s="204"/>
      <c r="P20" s="204"/>
      <c r="Q20" s="204"/>
      <c r="R20" s="204"/>
      <c r="S20" s="205"/>
      <c r="T20" s="110"/>
      <c r="U20" s="110"/>
      <c r="V20" s="200"/>
      <c r="W20" s="201"/>
      <c r="X20" s="202"/>
      <c r="Y20" s="110"/>
      <c r="Z20" s="110"/>
    </row>
    <row r="21" spans="1:26" ht="18" customHeight="1">
      <c r="A21" s="29"/>
      <c r="B21" s="197"/>
      <c r="C21" s="198"/>
      <c r="D21" s="198"/>
      <c r="E21" s="198"/>
      <c r="F21" s="199"/>
      <c r="G21" s="110"/>
      <c r="H21" s="110"/>
      <c r="I21" s="200"/>
      <c r="J21" s="201"/>
      <c r="K21" s="202"/>
      <c r="L21" s="110"/>
      <c r="M21" s="110"/>
      <c r="N21" s="203"/>
      <c r="O21" s="204"/>
      <c r="P21" s="204"/>
      <c r="Q21" s="204"/>
      <c r="R21" s="204"/>
      <c r="S21" s="205"/>
      <c r="T21" s="110"/>
      <c r="U21" s="110"/>
      <c r="V21" s="200"/>
      <c r="W21" s="201"/>
      <c r="X21" s="202"/>
      <c r="Y21" s="110"/>
      <c r="Z21" s="110"/>
    </row>
    <row r="22" spans="1:26" ht="18" customHeight="1">
      <c r="A22" s="29"/>
      <c r="B22" s="212"/>
      <c r="C22" s="213"/>
      <c r="D22" s="213"/>
      <c r="E22" s="213"/>
      <c r="F22" s="214"/>
      <c r="G22" s="111"/>
      <c r="H22" s="111"/>
      <c r="I22" s="215"/>
      <c r="J22" s="216"/>
      <c r="K22" s="217"/>
      <c r="L22" s="114"/>
      <c r="M22" s="114"/>
      <c r="N22" s="218"/>
      <c r="O22" s="219"/>
      <c r="P22" s="219"/>
      <c r="Q22" s="219"/>
      <c r="R22" s="219"/>
      <c r="S22" s="220"/>
      <c r="T22" s="111"/>
      <c r="U22" s="111"/>
      <c r="V22" s="215"/>
      <c r="W22" s="216"/>
      <c r="X22" s="217"/>
      <c r="Y22" s="114"/>
      <c r="Z22" s="114"/>
    </row>
    <row r="23" spans="1:26" ht="7.5" customHeight="1">
      <c r="A23" s="29"/>
      <c r="B23" s="72"/>
      <c r="C23" s="72"/>
      <c r="D23" s="29"/>
      <c r="E23" s="29"/>
      <c r="F23" s="29"/>
      <c r="G23" s="29"/>
      <c r="H23" s="29"/>
      <c r="I23" s="29"/>
      <c r="J23" s="29"/>
      <c r="K23" s="29"/>
      <c r="L23" s="72"/>
      <c r="M23" s="72"/>
      <c r="N23" s="72"/>
      <c r="O23" s="72"/>
      <c r="P23" s="72"/>
      <c r="Q23" s="72"/>
      <c r="R23" s="72"/>
      <c r="S23" s="72"/>
      <c r="T23" s="72"/>
      <c r="U23" s="72"/>
      <c r="V23" s="72"/>
      <c r="W23" s="72"/>
      <c r="X23" s="72"/>
      <c r="Y23" s="72"/>
      <c r="Z23" s="29"/>
    </row>
    <row r="24" spans="1:26" ht="18" customHeight="1">
      <c r="A24" s="211" t="s">
        <v>114</v>
      </c>
      <c r="B24" s="211"/>
      <c r="C24" s="211"/>
      <c r="D24" s="211"/>
      <c r="E24" s="211"/>
      <c r="F24" s="211"/>
      <c r="G24" s="211"/>
      <c r="H24" s="211"/>
      <c r="I24" s="211"/>
      <c r="J24" s="211"/>
      <c r="K24" s="211"/>
      <c r="L24" s="211"/>
      <c r="M24" s="211"/>
      <c r="N24" s="211"/>
      <c r="O24" s="211"/>
      <c r="P24" s="211"/>
      <c r="Q24" s="211"/>
      <c r="R24" s="211"/>
      <c r="S24" s="211"/>
      <c r="T24" s="211"/>
      <c r="U24" s="211"/>
      <c r="V24" s="211"/>
      <c r="W24" s="211"/>
      <c r="X24" s="211"/>
      <c r="Y24" s="211"/>
      <c r="Z24" s="211"/>
    </row>
    <row r="25" spans="1:26" ht="18" customHeight="1">
      <c r="A25" s="211"/>
      <c r="B25" s="211"/>
      <c r="C25" s="211"/>
      <c r="D25" s="211"/>
      <c r="E25" s="211"/>
      <c r="F25" s="211"/>
      <c r="G25" s="211"/>
      <c r="H25" s="211"/>
      <c r="I25" s="211"/>
      <c r="J25" s="211"/>
      <c r="K25" s="211"/>
      <c r="L25" s="211"/>
      <c r="M25" s="211"/>
      <c r="N25" s="211"/>
      <c r="O25" s="211"/>
      <c r="P25" s="211"/>
      <c r="Q25" s="211"/>
      <c r="R25" s="211"/>
      <c r="S25" s="211"/>
      <c r="T25" s="211"/>
      <c r="U25" s="211"/>
      <c r="V25" s="211"/>
      <c r="W25" s="211"/>
      <c r="X25" s="211"/>
      <c r="Y25" s="211"/>
      <c r="Z25" s="211"/>
    </row>
    <row r="26" spans="1:26" ht="18" customHeight="1">
      <c r="A26" s="14"/>
      <c r="B26" s="208" t="s">
        <v>94</v>
      </c>
      <c r="C26" s="209"/>
      <c r="D26" s="209"/>
      <c r="E26" s="209"/>
      <c r="F26" s="210"/>
      <c r="G26" s="30" t="s">
        <v>121</v>
      </c>
      <c r="H26" s="108" t="s">
        <v>120</v>
      </c>
      <c r="I26" s="209" t="s">
        <v>266</v>
      </c>
      <c r="J26" s="209"/>
      <c r="K26" s="209"/>
      <c r="L26" s="71" t="s">
        <v>268</v>
      </c>
      <c r="M26" s="71" t="s">
        <v>269</v>
      </c>
      <c r="N26" s="208" t="s">
        <v>94</v>
      </c>
      <c r="O26" s="209"/>
      <c r="P26" s="209"/>
      <c r="Q26" s="209"/>
      <c r="R26" s="209"/>
      <c r="S26" s="210"/>
      <c r="T26" s="30" t="s">
        <v>121</v>
      </c>
      <c r="U26" s="108" t="s">
        <v>120</v>
      </c>
      <c r="V26" s="209" t="s">
        <v>266</v>
      </c>
      <c r="W26" s="209"/>
      <c r="X26" s="209"/>
      <c r="Y26" s="71" t="s">
        <v>268</v>
      </c>
      <c r="Z26" s="71" t="s">
        <v>269</v>
      </c>
    </row>
    <row r="27" spans="1:26" ht="18" customHeight="1">
      <c r="A27" s="14"/>
      <c r="B27" s="221" t="s">
        <v>181</v>
      </c>
      <c r="C27" s="222"/>
      <c r="D27" s="222"/>
      <c r="E27" s="222"/>
      <c r="F27" s="223"/>
      <c r="G27" s="109">
        <v>1</v>
      </c>
      <c r="H27" s="109" t="s">
        <v>145</v>
      </c>
      <c r="I27" s="191" t="s">
        <v>144</v>
      </c>
      <c r="J27" s="192"/>
      <c r="K27" s="193"/>
      <c r="L27" s="109"/>
      <c r="M27" s="109" t="s">
        <v>145</v>
      </c>
      <c r="N27" s="194"/>
      <c r="O27" s="195"/>
      <c r="P27" s="195"/>
      <c r="Q27" s="195"/>
      <c r="R27" s="195"/>
      <c r="S27" s="196"/>
      <c r="T27" s="109"/>
      <c r="U27" s="109"/>
      <c r="V27" s="191"/>
      <c r="W27" s="192"/>
      <c r="X27" s="193"/>
      <c r="Y27" s="109"/>
      <c r="Z27" s="109"/>
    </row>
    <row r="28" spans="1:26" ht="18" customHeight="1">
      <c r="A28" s="14"/>
      <c r="B28" s="197" t="s">
        <v>183</v>
      </c>
      <c r="C28" s="198"/>
      <c r="D28" s="198"/>
      <c r="E28" s="198"/>
      <c r="F28" s="199"/>
      <c r="G28" s="110">
        <v>1</v>
      </c>
      <c r="H28" s="110" t="s">
        <v>145</v>
      </c>
      <c r="I28" s="200" t="s">
        <v>144</v>
      </c>
      <c r="J28" s="201"/>
      <c r="K28" s="202"/>
      <c r="L28" s="110" t="s">
        <v>145</v>
      </c>
      <c r="M28" s="110"/>
      <c r="N28" s="203"/>
      <c r="O28" s="204"/>
      <c r="P28" s="204"/>
      <c r="Q28" s="204"/>
      <c r="R28" s="204"/>
      <c r="S28" s="205"/>
      <c r="T28" s="110"/>
      <c r="U28" s="110"/>
      <c r="V28" s="200"/>
      <c r="W28" s="201"/>
      <c r="X28" s="202"/>
      <c r="Y28" s="110"/>
      <c r="Z28" s="110"/>
    </row>
    <row r="29" spans="1:26" ht="18" customHeight="1">
      <c r="A29" s="14"/>
      <c r="B29" s="197"/>
      <c r="C29" s="198"/>
      <c r="D29" s="198"/>
      <c r="E29" s="198"/>
      <c r="F29" s="199"/>
      <c r="G29" s="110"/>
      <c r="H29" s="110"/>
      <c r="I29" s="200"/>
      <c r="J29" s="201"/>
      <c r="K29" s="202"/>
      <c r="L29" s="110"/>
      <c r="M29" s="110"/>
      <c r="N29" s="203"/>
      <c r="O29" s="204"/>
      <c r="P29" s="204"/>
      <c r="Q29" s="204"/>
      <c r="R29" s="204"/>
      <c r="S29" s="205"/>
      <c r="T29" s="110"/>
      <c r="U29" s="110"/>
      <c r="V29" s="200"/>
      <c r="W29" s="201"/>
      <c r="X29" s="202"/>
      <c r="Y29" s="110"/>
      <c r="Z29" s="110"/>
    </row>
    <row r="30" spans="1:26" ht="18" customHeight="1">
      <c r="A30" s="14"/>
      <c r="B30" s="197"/>
      <c r="C30" s="198"/>
      <c r="D30" s="198"/>
      <c r="E30" s="198"/>
      <c r="F30" s="199"/>
      <c r="G30" s="110"/>
      <c r="H30" s="110"/>
      <c r="I30" s="200"/>
      <c r="J30" s="201"/>
      <c r="K30" s="202"/>
      <c r="L30" s="110"/>
      <c r="M30" s="110"/>
      <c r="N30" s="203"/>
      <c r="O30" s="204"/>
      <c r="P30" s="204"/>
      <c r="Q30" s="204"/>
      <c r="R30" s="204"/>
      <c r="S30" s="205"/>
      <c r="T30" s="110"/>
      <c r="U30" s="110"/>
      <c r="V30" s="200"/>
      <c r="W30" s="201"/>
      <c r="X30" s="202"/>
      <c r="Y30" s="110"/>
      <c r="Z30" s="110"/>
    </row>
    <row r="31" spans="1:26" ht="18" customHeight="1">
      <c r="A31" s="14"/>
      <c r="B31" s="197"/>
      <c r="C31" s="198"/>
      <c r="D31" s="198"/>
      <c r="E31" s="198"/>
      <c r="F31" s="199"/>
      <c r="G31" s="110"/>
      <c r="H31" s="110"/>
      <c r="I31" s="200"/>
      <c r="J31" s="201"/>
      <c r="K31" s="202"/>
      <c r="L31" s="110"/>
      <c r="M31" s="110"/>
      <c r="N31" s="203"/>
      <c r="O31" s="204"/>
      <c r="P31" s="204"/>
      <c r="Q31" s="204"/>
      <c r="R31" s="204"/>
      <c r="S31" s="205"/>
      <c r="T31" s="110"/>
      <c r="U31" s="110"/>
      <c r="V31" s="200"/>
      <c r="W31" s="201"/>
      <c r="X31" s="202"/>
      <c r="Y31" s="110"/>
      <c r="Z31" s="110"/>
    </row>
    <row r="32" spans="1:26" ht="18" customHeight="1">
      <c r="A32" s="14"/>
      <c r="B32" s="197"/>
      <c r="C32" s="198"/>
      <c r="D32" s="198"/>
      <c r="E32" s="198"/>
      <c r="F32" s="199"/>
      <c r="G32" s="110"/>
      <c r="H32" s="110"/>
      <c r="I32" s="200"/>
      <c r="J32" s="201"/>
      <c r="K32" s="202"/>
      <c r="L32" s="110"/>
      <c r="M32" s="110"/>
      <c r="N32" s="203"/>
      <c r="O32" s="204"/>
      <c r="P32" s="204"/>
      <c r="Q32" s="204"/>
      <c r="R32" s="204"/>
      <c r="S32" s="205"/>
      <c r="T32" s="110"/>
      <c r="U32" s="110"/>
      <c r="V32" s="200"/>
      <c r="W32" s="201"/>
      <c r="X32" s="202"/>
      <c r="Y32" s="110"/>
      <c r="Z32" s="110"/>
    </row>
    <row r="33" spans="1:26" ht="18" customHeight="1">
      <c r="A33" s="14"/>
      <c r="B33" s="212"/>
      <c r="C33" s="213"/>
      <c r="D33" s="213"/>
      <c r="E33" s="213"/>
      <c r="F33" s="214"/>
      <c r="G33" s="111"/>
      <c r="H33" s="111"/>
      <c r="I33" s="215"/>
      <c r="J33" s="216"/>
      <c r="K33" s="217"/>
      <c r="L33" s="114"/>
      <c r="M33" s="114"/>
      <c r="N33" s="218"/>
      <c r="O33" s="219"/>
      <c r="P33" s="219"/>
      <c r="Q33" s="219"/>
      <c r="R33" s="219"/>
      <c r="S33" s="220"/>
      <c r="T33" s="111"/>
      <c r="U33" s="111"/>
      <c r="V33" s="215"/>
      <c r="W33" s="216"/>
      <c r="X33" s="217"/>
      <c r="Y33" s="114"/>
      <c r="Z33" s="114"/>
    </row>
    <row r="34" spans="1:26" ht="7.5" customHeight="1">
      <c r="A34" s="29"/>
      <c r="B34" s="72"/>
      <c r="C34" s="72"/>
      <c r="D34" s="29"/>
      <c r="E34" s="29"/>
      <c r="F34" s="29"/>
      <c r="G34" s="29"/>
      <c r="H34" s="29"/>
      <c r="I34" s="29"/>
      <c r="J34" s="29"/>
      <c r="K34" s="29"/>
      <c r="L34" s="72"/>
      <c r="M34" s="72"/>
      <c r="N34" s="72"/>
      <c r="O34" s="72"/>
      <c r="P34" s="72"/>
      <c r="Q34" s="72"/>
      <c r="R34" s="72"/>
      <c r="S34" s="72"/>
      <c r="T34" s="72"/>
      <c r="U34" s="72"/>
      <c r="V34" s="72"/>
      <c r="W34" s="72"/>
      <c r="X34" s="72"/>
      <c r="Y34" s="72"/>
      <c r="Z34" s="29"/>
    </row>
    <row r="35" spans="1:26" ht="18" customHeight="1">
      <c r="A35" s="211" t="s">
        <v>115</v>
      </c>
      <c r="B35" s="211"/>
      <c r="C35" s="211"/>
      <c r="D35" s="211"/>
      <c r="E35" s="211"/>
      <c r="F35" s="211"/>
      <c r="G35" s="211"/>
      <c r="H35" s="211"/>
      <c r="I35" s="211"/>
      <c r="J35" s="211"/>
      <c r="K35" s="211"/>
      <c r="L35" s="211"/>
      <c r="M35" s="211"/>
      <c r="N35" s="211"/>
      <c r="O35" s="211"/>
      <c r="P35" s="211"/>
      <c r="Q35" s="211"/>
      <c r="R35" s="211"/>
      <c r="S35" s="211"/>
      <c r="T35" s="211"/>
      <c r="U35" s="211"/>
      <c r="V35" s="211"/>
      <c r="W35" s="211"/>
      <c r="X35" s="211"/>
      <c r="Y35" s="211"/>
      <c r="Z35" s="211"/>
    </row>
    <row r="36" spans="1:26" ht="18" customHeight="1">
      <c r="A36" s="211"/>
      <c r="B36" s="211"/>
      <c r="C36" s="211"/>
      <c r="D36" s="211"/>
      <c r="E36" s="211"/>
      <c r="F36" s="211"/>
      <c r="G36" s="211"/>
      <c r="H36" s="211"/>
      <c r="I36" s="211"/>
      <c r="J36" s="211"/>
      <c r="K36" s="211"/>
      <c r="L36" s="211"/>
      <c r="M36" s="211"/>
      <c r="N36" s="211"/>
      <c r="O36" s="211"/>
      <c r="P36" s="211"/>
      <c r="Q36" s="211"/>
      <c r="R36" s="211"/>
      <c r="S36" s="211"/>
      <c r="T36" s="211"/>
      <c r="U36" s="211"/>
      <c r="V36" s="211"/>
      <c r="W36" s="211"/>
      <c r="X36" s="211"/>
      <c r="Y36" s="211"/>
      <c r="Z36" s="211"/>
    </row>
    <row r="37" spans="1:26" ht="18" customHeight="1">
      <c r="A37" s="14"/>
      <c r="B37" s="208" t="s">
        <v>94</v>
      </c>
      <c r="C37" s="209"/>
      <c r="D37" s="209"/>
      <c r="E37" s="209"/>
      <c r="F37" s="210"/>
      <c r="G37" s="30" t="s">
        <v>121</v>
      </c>
      <c r="H37" s="108" t="s">
        <v>120</v>
      </c>
      <c r="I37" s="208" t="s">
        <v>266</v>
      </c>
      <c r="J37" s="209"/>
      <c r="K37" s="210"/>
      <c r="L37" s="71" t="s">
        <v>270</v>
      </c>
      <c r="M37" s="71" t="s">
        <v>271</v>
      </c>
      <c r="N37" s="208" t="s">
        <v>94</v>
      </c>
      <c r="O37" s="209"/>
      <c r="P37" s="209"/>
      <c r="Q37" s="209"/>
      <c r="R37" s="209"/>
      <c r="S37" s="210"/>
      <c r="T37" s="30" t="s">
        <v>121</v>
      </c>
      <c r="U37" s="108" t="s">
        <v>120</v>
      </c>
      <c r="V37" s="208" t="s">
        <v>266</v>
      </c>
      <c r="W37" s="209"/>
      <c r="X37" s="210"/>
      <c r="Y37" s="71" t="s">
        <v>270</v>
      </c>
      <c r="Z37" s="71" t="s">
        <v>271</v>
      </c>
    </row>
    <row r="38" spans="1:26" ht="18" customHeight="1">
      <c r="A38" s="29"/>
      <c r="B38" s="221" t="s">
        <v>181</v>
      </c>
      <c r="C38" s="222"/>
      <c r="D38" s="222"/>
      <c r="E38" s="222"/>
      <c r="F38" s="223"/>
      <c r="G38" s="109">
        <v>1</v>
      </c>
      <c r="H38" s="109" t="s">
        <v>145</v>
      </c>
      <c r="I38" s="191" t="s">
        <v>144</v>
      </c>
      <c r="J38" s="192"/>
      <c r="K38" s="193"/>
      <c r="L38" s="109" t="s">
        <v>145</v>
      </c>
      <c r="M38" s="109" t="s">
        <v>145</v>
      </c>
      <c r="N38" s="194"/>
      <c r="O38" s="195"/>
      <c r="P38" s="195"/>
      <c r="Q38" s="195"/>
      <c r="R38" s="195"/>
      <c r="S38" s="196"/>
      <c r="T38" s="109"/>
      <c r="U38" s="109"/>
      <c r="V38" s="191"/>
      <c r="W38" s="192"/>
      <c r="X38" s="193"/>
      <c r="Y38" s="109"/>
      <c r="Z38" s="109"/>
    </row>
    <row r="39" spans="1:26" ht="18" customHeight="1">
      <c r="A39" s="29"/>
      <c r="B39" s="197"/>
      <c r="C39" s="198"/>
      <c r="D39" s="198"/>
      <c r="E39" s="198"/>
      <c r="F39" s="199"/>
      <c r="G39" s="110"/>
      <c r="H39" s="110"/>
      <c r="I39" s="200"/>
      <c r="J39" s="201"/>
      <c r="K39" s="202"/>
      <c r="L39" s="110"/>
      <c r="M39" s="110"/>
      <c r="N39" s="203"/>
      <c r="O39" s="204"/>
      <c r="P39" s="204"/>
      <c r="Q39" s="204"/>
      <c r="R39" s="204"/>
      <c r="S39" s="205"/>
      <c r="T39" s="110"/>
      <c r="U39" s="110"/>
      <c r="V39" s="200"/>
      <c r="W39" s="201"/>
      <c r="X39" s="202"/>
      <c r="Y39" s="110"/>
      <c r="Z39" s="110"/>
    </row>
    <row r="40" spans="1:26" ht="18" customHeight="1">
      <c r="A40" s="29"/>
      <c r="B40" s="197"/>
      <c r="C40" s="198"/>
      <c r="D40" s="198"/>
      <c r="E40" s="198"/>
      <c r="F40" s="199"/>
      <c r="G40" s="110"/>
      <c r="H40" s="110"/>
      <c r="I40" s="200"/>
      <c r="J40" s="201"/>
      <c r="K40" s="202"/>
      <c r="L40" s="110"/>
      <c r="M40" s="110"/>
      <c r="N40" s="203"/>
      <c r="O40" s="204"/>
      <c r="P40" s="204"/>
      <c r="Q40" s="204"/>
      <c r="R40" s="204"/>
      <c r="S40" s="205"/>
      <c r="T40" s="110"/>
      <c r="U40" s="110"/>
      <c r="V40" s="200"/>
      <c r="W40" s="201"/>
      <c r="X40" s="202"/>
      <c r="Y40" s="110"/>
      <c r="Z40" s="110"/>
    </row>
    <row r="41" spans="1:26" ht="18" customHeight="1">
      <c r="A41" s="29"/>
      <c r="B41" s="197"/>
      <c r="C41" s="198"/>
      <c r="D41" s="198"/>
      <c r="E41" s="198"/>
      <c r="F41" s="199"/>
      <c r="G41" s="110"/>
      <c r="H41" s="110"/>
      <c r="I41" s="200"/>
      <c r="J41" s="201"/>
      <c r="K41" s="202"/>
      <c r="L41" s="110"/>
      <c r="M41" s="110"/>
      <c r="N41" s="203"/>
      <c r="O41" s="204"/>
      <c r="P41" s="204"/>
      <c r="Q41" s="204"/>
      <c r="R41" s="204"/>
      <c r="S41" s="205"/>
      <c r="T41" s="110"/>
      <c r="U41" s="110"/>
      <c r="V41" s="200"/>
      <c r="W41" s="201"/>
      <c r="X41" s="202"/>
      <c r="Y41" s="110"/>
      <c r="Z41" s="110"/>
    </row>
    <row r="42" spans="1:26" ht="18" customHeight="1">
      <c r="A42" s="29"/>
      <c r="B42" s="197"/>
      <c r="C42" s="198"/>
      <c r="D42" s="198"/>
      <c r="E42" s="198"/>
      <c r="F42" s="199"/>
      <c r="G42" s="110"/>
      <c r="H42" s="110"/>
      <c r="I42" s="200"/>
      <c r="J42" s="201"/>
      <c r="K42" s="202"/>
      <c r="L42" s="110"/>
      <c r="M42" s="110"/>
      <c r="N42" s="203"/>
      <c r="O42" s="204"/>
      <c r="P42" s="204"/>
      <c r="Q42" s="204"/>
      <c r="R42" s="204"/>
      <c r="S42" s="205"/>
      <c r="T42" s="110"/>
      <c r="U42" s="110"/>
      <c r="V42" s="200"/>
      <c r="W42" s="201"/>
      <c r="X42" s="202"/>
      <c r="Y42" s="110"/>
      <c r="Z42" s="110"/>
    </row>
    <row r="43" spans="1:26" ht="18" customHeight="1">
      <c r="A43" s="29"/>
      <c r="B43" s="197"/>
      <c r="C43" s="198"/>
      <c r="D43" s="198"/>
      <c r="E43" s="198"/>
      <c r="F43" s="199"/>
      <c r="G43" s="110"/>
      <c r="H43" s="110"/>
      <c r="I43" s="200"/>
      <c r="J43" s="201"/>
      <c r="K43" s="202"/>
      <c r="L43" s="110"/>
      <c r="M43" s="110"/>
      <c r="N43" s="203"/>
      <c r="O43" s="204"/>
      <c r="P43" s="204"/>
      <c r="Q43" s="204"/>
      <c r="R43" s="204"/>
      <c r="S43" s="205"/>
      <c r="T43" s="110"/>
      <c r="U43" s="110"/>
      <c r="V43" s="200"/>
      <c r="W43" s="201"/>
      <c r="X43" s="202"/>
      <c r="Y43" s="110"/>
      <c r="Z43" s="110"/>
    </row>
    <row r="44" spans="1:26" ht="18" customHeight="1">
      <c r="A44" s="29"/>
      <c r="B44" s="212"/>
      <c r="C44" s="213"/>
      <c r="D44" s="213"/>
      <c r="E44" s="213"/>
      <c r="F44" s="214"/>
      <c r="G44" s="111"/>
      <c r="H44" s="111"/>
      <c r="I44" s="215"/>
      <c r="J44" s="216"/>
      <c r="K44" s="217"/>
      <c r="L44" s="114"/>
      <c r="M44" s="114"/>
      <c r="N44" s="218"/>
      <c r="O44" s="219"/>
      <c r="P44" s="219"/>
      <c r="Q44" s="219"/>
      <c r="R44" s="219"/>
      <c r="S44" s="220"/>
      <c r="T44" s="111"/>
      <c r="U44" s="111"/>
      <c r="V44" s="215"/>
      <c r="W44" s="216"/>
      <c r="X44" s="217"/>
      <c r="Y44" s="114"/>
      <c r="Z44" s="114"/>
    </row>
    <row r="45" spans="1:26" ht="7.5" customHeight="1">
      <c r="B45" s="73"/>
      <c r="C45" s="73"/>
      <c r="D45" s="73"/>
      <c r="E45" s="73"/>
      <c r="F45" s="73"/>
      <c r="G45" s="73"/>
      <c r="H45" s="73"/>
      <c r="I45" s="73"/>
      <c r="J45" s="73"/>
      <c r="K45" s="73"/>
      <c r="L45" s="73"/>
      <c r="M45" s="73"/>
      <c r="N45" s="73"/>
      <c r="O45" s="73"/>
      <c r="P45" s="73"/>
      <c r="Q45" s="73"/>
      <c r="R45" s="73"/>
      <c r="S45" s="73"/>
      <c r="T45" s="73"/>
      <c r="U45" s="73"/>
      <c r="V45" s="73"/>
      <c r="W45" s="73"/>
      <c r="X45" s="73"/>
      <c r="Y45" s="73"/>
    </row>
    <row r="46" spans="1:26" ht="18" customHeight="1">
      <c r="A46" s="211" t="s">
        <v>117</v>
      </c>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row>
    <row r="47" spans="1:26" ht="18" customHeight="1">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row>
    <row r="48" spans="1:26" ht="18" customHeight="1">
      <c r="A48" s="14"/>
      <c r="B48" s="208" t="s">
        <v>94</v>
      </c>
      <c r="C48" s="209"/>
      <c r="D48" s="209"/>
      <c r="E48" s="209"/>
      <c r="F48" s="210"/>
      <c r="G48" s="30" t="s">
        <v>121</v>
      </c>
      <c r="H48" s="108" t="s">
        <v>120</v>
      </c>
      <c r="I48" s="208" t="s">
        <v>266</v>
      </c>
      <c r="J48" s="209"/>
      <c r="K48" s="210"/>
      <c r="L48" s="71" t="s">
        <v>272</v>
      </c>
      <c r="M48" s="71" t="s">
        <v>273</v>
      </c>
      <c r="N48" s="208" t="s">
        <v>94</v>
      </c>
      <c r="O48" s="209"/>
      <c r="P48" s="209"/>
      <c r="Q48" s="209"/>
      <c r="R48" s="209"/>
      <c r="S48" s="210"/>
      <c r="T48" s="30" t="s">
        <v>121</v>
      </c>
      <c r="U48" s="108" t="s">
        <v>120</v>
      </c>
      <c r="V48" s="208" t="s">
        <v>266</v>
      </c>
      <c r="W48" s="209"/>
      <c r="X48" s="210"/>
      <c r="Y48" s="71" t="s">
        <v>272</v>
      </c>
      <c r="Z48" s="71" t="s">
        <v>273</v>
      </c>
    </row>
    <row r="49" spans="1:26" ht="18" customHeight="1">
      <c r="A49" s="29"/>
      <c r="B49" s="221" t="s">
        <v>181</v>
      </c>
      <c r="C49" s="222"/>
      <c r="D49" s="222"/>
      <c r="E49" s="222"/>
      <c r="F49" s="223"/>
      <c r="G49" s="109">
        <v>1</v>
      </c>
      <c r="H49" s="109" t="s">
        <v>145</v>
      </c>
      <c r="I49" s="191" t="s">
        <v>144</v>
      </c>
      <c r="J49" s="192"/>
      <c r="K49" s="193"/>
      <c r="L49" s="109" t="s">
        <v>145</v>
      </c>
      <c r="M49" s="109" t="s">
        <v>145</v>
      </c>
      <c r="N49" s="194"/>
      <c r="O49" s="195"/>
      <c r="P49" s="195"/>
      <c r="Q49" s="195"/>
      <c r="R49" s="195"/>
      <c r="S49" s="196"/>
      <c r="T49" s="109"/>
      <c r="U49" s="109"/>
      <c r="V49" s="191"/>
      <c r="W49" s="192"/>
      <c r="X49" s="193"/>
      <c r="Y49" s="109"/>
      <c r="Z49" s="109"/>
    </row>
    <row r="50" spans="1:26" ht="18" customHeight="1">
      <c r="A50" s="29"/>
      <c r="B50" s="197" t="s">
        <v>187</v>
      </c>
      <c r="C50" s="198"/>
      <c r="D50" s="198"/>
      <c r="E50" s="198"/>
      <c r="F50" s="199"/>
      <c r="G50" s="110">
        <v>1</v>
      </c>
      <c r="H50" s="110" t="s">
        <v>145</v>
      </c>
      <c r="I50" s="200" t="s">
        <v>144</v>
      </c>
      <c r="J50" s="201"/>
      <c r="K50" s="202"/>
      <c r="L50" s="110" t="s">
        <v>145</v>
      </c>
      <c r="M50" s="110"/>
      <c r="N50" s="203"/>
      <c r="O50" s="204"/>
      <c r="P50" s="204"/>
      <c r="Q50" s="204"/>
      <c r="R50" s="204"/>
      <c r="S50" s="205"/>
      <c r="T50" s="110"/>
      <c r="U50" s="110"/>
      <c r="V50" s="200"/>
      <c r="W50" s="201"/>
      <c r="X50" s="202"/>
      <c r="Y50" s="110"/>
      <c r="Z50" s="110"/>
    </row>
    <row r="51" spans="1:26" ht="18" customHeight="1">
      <c r="A51" s="29"/>
      <c r="B51" s="197"/>
      <c r="C51" s="198"/>
      <c r="D51" s="198"/>
      <c r="E51" s="198"/>
      <c r="F51" s="199"/>
      <c r="G51" s="110"/>
      <c r="H51" s="110"/>
      <c r="I51" s="200"/>
      <c r="J51" s="201"/>
      <c r="K51" s="202"/>
      <c r="L51" s="110"/>
      <c r="M51" s="110"/>
      <c r="N51" s="203"/>
      <c r="O51" s="204"/>
      <c r="P51" s="204"/>
      <c r="Q51" s="204"/>
      <c r="R51" s="204"/>
      <c r="S51" s="205"/>
      <c r="T51" s="110"/>
      <c r="U51" s="110"/>
      <c r="V51" s="200"/>
      <c r="W51" s="201"/>
      <c r="X51" s="202"/>
      <c r="Y51" s="110"/>
      <c r="Z51" s="110"/>
    </row>
    <row r="52" spans="1:26" ht="18" customHeight="1">
      <c r="A52" s="29"/>
      <c r="B52" s="197"/>
      <c r="C52" s="198"/>
      <c r="D52" s="198"/>
      <c r="E52" s="198"/>
      <c r="F52" s="199"/>
      <c r="G52" s="110"/>
      <c r="H52" s="110"/>
      <c r="I52" s="200"/>
      <c r="J52" s="201"/>
      <c r="K52" s="202"/>
      <c r="L52" s="110"/>
      <c r="M52" s="110"/>
      <c r="N52" s="203"/>
      <c r="O52" s="204"/>
      <c r="P52" s="204"/>
      <c r="Q52" s="204"/>
      <c r="R52" s="204"/>
      <c r="S52" s="205"/>
      <c r="T52" s="110"/>
      <c r="U52" s="110"/>
      <c r="V52" s="200"/>
      <c r="W52" s="201"/>
      <c r="X52" s="202"/>
      <c r="Y52" s="110"/>
      <c r="Z52" s="110"/>
    </row>
    <row r="53" spans="1:26" ht="18" customHeight="1">
      <c r="A53" s="29"/>
      <c r="B53" s="197"/>
      <c r="C53" s="198"/>
      <c r="D53" s="198"/>
      <c r="E53" s="198"/>
      <c r="F53" s="199"/>
      <c r="G53" s="110"/>
      <c r="H53" s="110"/>
      <c r="I53" s="200"/>
      <c r="J53" s="201"/>
      <c r="K53" s="202"/>
      <c r="L53" s="110"/>
      <c r="M53" s="110"/>
      <c r="N53" s="203"/>
      <c r="O53" s="204"/>
      <c r="P53" s="204"/>
      <c r="Q53" s="204"/>
      <c r="R53" s="204"/>
      <c r="S53" s="205"/>
      <c r="T53" s="110"/>
      <c r="U53" s="110"/>
      <c r="V53" s="200"/>
      <c r="W53" s="201"/>
      <c r="X53" s="202"/>
      <c r="Y53" s="110"/>
      <c r="Z53" s="110"/>
    </row>
    <row r="54" spans="1:26" ht="18" customHeight="1">
      <c r="A54" s="29"/>
      <c r="B54" s="197"/>
      <c r="C54" s="198"/>
      <c r="D54" s="198"/>
      <c r="E54" s="198"/>
      <c r="F54" s="199"/>
      <c r="G54" s="110"/>
      <c r="H54" s="110"/>
      <c r="I54" s="200"/>
      <c r="J54" s="201"/>
      <c r="K54" s="202"/>
      <c r="L54" s="110"/>
      <c r="M54" s="110"/>
      <c r="N54" s="203"/>
      <c r="O54" s="204"/>
      <c r="P54" s="204"/>
      <c r="Q54" s="204"/>
      <c r="R54" s="204"/>
      <c r="S54" s="205"/>
      <c r="T54" s="110"/>
      <c r="U54" s="110"/>
      <c r="V54" s="200"/>
      <c r="W54" s="201"/>
      <c r="X54" s="202"/>
      <c r="Y54" s="110"/>
      <c r="Z54" s="110"/>
    </row>
    <row r="55" spans="1:26" ht="18" customHeight="1">
      <c r="A55" s="29"/>
      <c r="B55" s="212"/>
      <c r="C55" s="213"/>
      <c r="D55" s="213"/>
      <c r="E55" s="213"/>
      <c r="F55" s="214"/>
      <c r="G55" s="111"/>
      <c r="H55" s="111"/>
      <c r="I55" s="215"/>
      <c r="J55" s="216"/>
      <c r="K55" s="217"/>
      <c r="L55" s="114"/>
      <c r="M55" s="114"/>
      <c r="N55" s="218"/>
      <c r="O55" s="219"/>
      <c r="P55" s="219"/>
      <c r="Q55" s="219"/>
      <c r="R55" s="219"/>
      <c r="S55" s="220"/>
      <c r="T55" s="111"/>
      <c r="U55" s="111"/>
      <c r="V55" s="215"/>
      <c r="W55" s="216"/>
      <c r="X55" s="217"/>
      <c r="Y55" s="114"/>
      <c r="Z55" s="114"/>
    </row>
    <row r="56" spans="1:26" ht="7.5" customHeight="1">
      <c r="B56" s="73"/>
      <c r="C56" s="73"/>
      <c r="D56" s="73"/>
      <c r="E56" s="73"/>
      <c r="F56" s="73"/>
      <c r="G56" s="73"/>
      <c r="H56" s="73"/>
      <c r="I56" s="73"/>
      <c r="J56" s="73"/>
      <c r="K56" s="73"/>
      <c r="L56" s="73"/>
      <c r="M56" s="73"/>
      <c r="N56" s="73"/>
      <c r="O56" s="73"/>
      <c r="P56" s="73"/>
      <c r="Q56" s="73"/>
      <c r="R56" s="73"/>
      <c r="S56" s="73"/>
      <c r="T56" s="73"/>
      <c r="U56" s="73"/>
      <c r="V56" s="73"/>
      <c r="W56" s="73"/>
      <c r="X56" s="73"/>
      <c r="Y56" s="73"/>
    </row>
    <row r="57" spans="1:26" ht="18" customHeight="1">
      <c r="A57" s="211" t="s">
        <v>274</v>
      </c>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row>
    <row r="58" spans="1:26" ht="18" customHeight="1">
      <c r="A58" s="211"/>
      <c r="B58" s="211"/>
      <c r="C58" s="211"/>
      <c r="D58" s="211"/>
      <c r="E58" s="211"/>
      <c r="F58" s="211"/>
      <c r="G58" s="211"/>
      <c r="H58" s="211"/>
      <c r="I58" s="211"/>
      <c r="J58" s="211"/>
      <c r="K58" s="211"/>
      <c r="L58" s="211"/>
      <c r="M58" s="211"/>
      <c r="N58" s="211"/>
      <c r="O58" s="211"/>
      <c r="P58" s="211"/>
      <c r="Q58" s="211"/>
      <c r="R58" s="211"/>
      <c r="S58" s="211"/>
      <c r="T58" s="211"/>
      <c r="U58" s="211"/>
      <c r="V58" s="211"/>
      <c r="W58" s="211"/>
      <c r="X58" s="211"/>
      <c r="Y58" s="211"/>
      <c r="Z58" s="211"/>
    </row>
    <row r="59" spans="1:26" ht="18" customHeight="1">
      <c r="A59" s="14"/>
      <c r="B59" s="208" t="s">
        <v>94</v>
      </c>
      <c r="C59" s="209"/>
      <c r="D59" s="209"/>
      <c r="E59" s="210"/>
      <c r="F59" s="30" t="s">
        <v>121</v>
      </c>
      <c r="G59" s="108" t="s">
        <v>120</v>
      </c>
      <c r="H59" s="26" t="s">
        <v>266</v>
      </c>
      <c r="I59" s="120"/>
      <c r="J59" s="27"/>
      <c r="K59" s="71" t="s">
        <v>275</v>
      </c>
      <c r="L59" s="71" t="s">
        <v>276</v>
      </c>
      <c r="M59" s="71" t="s">
        <v>277</v>
      </c>
      <c r="N59" s="208" t="s">
        <v>94</v>
      </c>
      <c r="O59" s="209"/>
      <c r="P59" s="209"/>
      <c r="Q59" s="209"/>
      <c r="R59" s="210"/>
      <c r="S59" s="30" t="s">
        <v>121</v>
      </c>
      <c r="T59" s="108" t="s">
        <v>120</v>
      </c>
      <c r="U59" s="26" t="s">
        <v>266</v>
      </c>
      <c r="V59" s="120"/>
      <c r="W59" s="27"/>
      <c r="X59" s="71" t="s">
        <v>275</v>
      </c>
      <c r="Y59" s="71" t="s">
        <v>276</v>
      </c>
      <c r="Z59" s="71" t="s">
        <v>277</v>
      </c>
    </row>
    <row r="60" spans="1:26" ht="18" customHeight="1">
      <c r="A60" s="29"/>
      <c r="B60" s="194" t="s">
        <v>181</v>
      </c>
      <c r="C60" s="195"/>
      <c r="D60" s="195"/>
      <c r="E60" s="196"/>
      <c r="F60" s="109">
        <v>1</v>
      </c>
      <c r="G60" s="109" t="s">
        <v>145</v>
      </c>
      <c r="H60" s="191" t="s">
        <v>144</v>
      </c>
      <c r="I60" s="192"/>
      <c r="J60" s="193"/>
      <c r="K60" s="109" t="s">
        <v>145</v>
      </c>
      <c r="L60" s="109"/>
      <c r="M60" s="109" t="s">
        <v>145</v>
      </c>
      <c r="N60" s="194"/>
      <c r="O60" s="195"/>
      <c r="P60" s="195"/>
      <c r="Q60" s="195"/>
      <c r="R60" s="196"/>
      <c r="S60" s="109"/>
      <c r="T60" s="109"/>
      <c r="U60" s="191"/>
      <c r="V60" s="192"/>
      <c r="W60" s="193"/>
      <c r="X60" s="127"/>
      <c r="Y60" s="109"/>
      <c r="Z60" s="109"/>
    </row>
    <row r="61" spans="1:26" ht="18" customHeight="1">
      <c r="A61" s="29"/>
      <c r="B61" s="203" t="s">
        <v>183</v>
      </c>
      <c r="C61" s="204"/>
      <c r="D61" s="204"/>
      <c r="E61" s="205"/>
      <c r="F61" s="110">
        <v>1</v>
      </c>
      <c r="G61" s="110" t="s">
        <v>145</v>
      </c>
      <c r="H61" s="200" t="s">
        <v>144</v>
      </c>
      <c r="I61" s="201"/>
      <c r="J61" s="202"/>
      <c r="K61" s="110" t="s">
        <v>145</v>
      </c>
      <c r="L61" s="110"/>
      <c r="M61" s="110"/>
      <c r="N61" s="203"/>
      <c r="O61" s="204"/>
      <c r="P61" s="204"/>
      <c r="Q61" s="204"/>
      <c r="R61" s="205"/>
      <c r="S61" s="110"/>
      <c r="T61" s="110"/>
      <c r="U61" s="200"/>
      <c r="V61" s="201"/>
      <c r="W61" s="202"/>
      <c r="X61" s="126"/>
      <c r="Y61" s="110"/>
      <c r="Z61" s="110"/>
    </row>
    <row r="62" spans="1:26" ht="18" customHeight="1">
      <c r="A62" s="29"/>
      <c r="B62" s="203" t="s">
        <v>191</v>
      </c>
      <c r="C62" s="204"/>
      <c r="D62" s="204"/>
      <c r="E62" s="205"/>
      <c r="F62" s="110">
        <v>1</v>
      </c>
      <c r="G62" s="110" t="s">
        <v>145</v>
      </c>
      <c r="H62" s="200" t="s">
        <v>144</v>
      </c>
      <c r="I62" s="201"/>
      <c r="J62" s="202"/>
      <c r="K62" s="110" t="s">
        <v>145</v>
      </c>
      <c r="L62" s="110" t="s">
        <v>145</v>
      </c>
      <c r="M62" s="110" t="s">
        <v>145</v>
      </c>
      <c r="N62" s="203"/>
      <c r="O62" s="204"/>
      <c r="P62" s="204"/>
      <c r="Q62" s="204"/>
      <c r="R62" s="205"/>
      <c r="S62" s="110"/>
      <c r="T62" s="110"/>
      <c r="U62" s="200"/>
      <c r="V62" s="201"/>
      <c r="W62" s="202"/>
      <c r="X62" s="126"/>
      <c r="Y62" s="110"/>
      <c r="Z62" s="110"/>
    </row>
    <row r="63" spans="1:26" ht="18" customHeight="1">
      <c r="A63" s="29"/>
      <c r="B63" s="203"/>
      <c r="C63" s="204"/>
      <c r="D63" s="204"/>
      <c r="E63" s="205"/>
      <c r="F63" s="110"/>
      <c r="G63" s="110"/>
      <c r="H63" s="200"/>
      <c r="I63" s="201"/>
      <c r="J63" s="202"/>
      <c r="K63" s="126"/>
      <c r="L63" s="110"/>
      <c r="M63" s="110"/>
      <c r="N63" s="203"/>
      <c r="O63" s="204"/>
      <c r="P63" s="204"/>
      <c r="Q63" s="204"/>
      <c r="R63" s="205"/>
      <c r="S63" s="110"/>
      <c r="T63" s="110"/>
      <c r="U63" s="200"/>
      <c r="V63" s="201"/>
      <c r="W63" s="202"/>
      <c r="X63" s="126"/>
      <c r="Y63" s="110"/>
      <c r="Z63" s="110"/>
    </row>
    <row r="64" spans="1:26" ht="18" customHeight="1">
      <c r="A64" s="29"/>
      <c r="B64" s="203"/>
      <c r="C64" s="204"/>
      <c r="D64" s="204"/>
      <c r="E64" s="205"/>
      <c r="F64" s="110"/>
      <c r="G64" s="110"/>
      <c r="H64" s="200"/>
      <c r="I64" s="201"/>
      <c r="J64" s="202"/>
      <c r="K64" s="126"/>
      <c r="L64" s="110"/>
      <c r="M64" s="110"/>
      <c r="N64" s="203"/>
      <c r="O64" s="204"/>
      <c r="P64" s="204"/>
      <c r="Q64" s="204"/>
      <c r="R64" s="205"/>
      <c r="S64" s="110"/>
      <c r="T64" s="110"/>
      <c r="U64" s="200"/>
      <c r="V64" s="201"/>
      <c r="W64" s="202"/>
      <c r="X64" s="126"/>
      <c r="Y64" s="110"/>
      <c r="Z64" s="110"/>
    </row>
    <row r="65" spans="1:26" ht="18" customHeight="1">
      <c r="A65" s="29"/>
      <c r="B65" s="203"/>
      <c r="C65" s="204"/>
      <c r="D65" s="204"/>
      <c r="E65" s="205"/>
      <c r="F65" s="110"/>
      <c r="G65" s="110"/>
      <c r="H65" s="200"/>
      <c r="I65" s="201"/>
      <c r="J65" s="202"/>
      <c r="K65" s="126"/>
      <c r="L65" s="110"/>
      <c r="M65" s="110"/>
      <c r="N65" s="203"/>
      <c r="O65" s="204"/>
      <c r="P65" s="204"/>
      <c r="Q65" s="204"/>
      <c r="R65" s="205"/>
      <c r="S65" s="110"/>
      <c r="T65" s="110"/>
      <c r="U65" s="200"/>
      <c r="V65" s="201"/>
      <c r="W65" s="202"/>
      <c r="X65" s="126"/>
      <c r="Y65" s="110"/>
      <c r="Z65" s="110"/>
    </row>
    <row r="66" spans="1:26" ht="18" customHeight="1">
      <c r="A66" s="29"/>
      <c r="B66" s="218"/>
      <c r="C66" s="219"/>
      <c r="D66" s="219"/>
      <c r="E66" s="220"/>
      <c r="F66" s="111"/>
      <c r="G66" s="111"/>
      <c r="H66" s="215"/>
      <c r="I66" s="216"/>
      <c r="J66" s="217"/>
      <c r="K66" s="125"/>
      <c r="L66" s="114"/>
      <c r="M66" s="114"/>
      <c r="N66" s="218"/>
      <c r="O66" s="219"/>
      <c r="P66" s="219"/>
      <c r="Q66" s="219"/>
      <c r="R66" s="220"/>
      <c r="S66" s="111"/>
      <c r="T66" s="111"/>
      <c r="U66" s="215"/>
      <c r="V66" s="216"/>
      <c r="W66" s="217"/>
      <c r="X66" s="125"/>
      <c r="Y66" s="114"/>
      <c r="Z66" s="114"/>
    </row>
    <row r="67" spans="1:26" ht="7.5" customHeight="1">
      <c r="B67" s="73"/>
      <c r="C67" s="73"/>
      <c r="D67" s="73"/>
      <c r="E67" s="73"/>
      <c r="F67" s="73"/>
      <c r="G67" s="73"/>
      <c r="H67" s="73"/>
      <c r="I67" s="73"/>
      <c r="J67" s="73"/>
      <c r="K67" s="73"/>
      <c r="L67" s="73"/>
      <c r="M67" s="73"/>
      <c r="N67" s="73"/>
      <c r="O67" s="73"/>
      <c r="P67" s="73"/>
      <c r="Q67" s="73"/>
      <c r="R67" s="73"/>
      <c r="S67" s="73"/>
      <c r="T67" s="73"/>
      <c r="U67" s="73"/>
      <c r="V67" s="73"/>
      <c r="W67" s="73"/>
      <c r="X67" s="73"/>
      <c r="Y67" s="73"/>
    </row>
    <row r="68" spans="1:26" ht="18" customHeight="1">
      <c r="A68" s="14" t="s">
        <v>119</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208" t="s">
        <v>94</v>
      </c>
      <c r="C69" s="209"/>
      <c r="D69" s="209"/>
      <c r="E69" s="209"/>
      <c r="F69" s="210"/>
      <c r="G69" s="208" t="s">
        <v>124</v>
      </c>
      <c r="H69" s="209"/>
      <c r="I69" s="209"/>
      <c r="J69" s="209"/>
      <c r="K69" s="209"/>
      <c r="L69" s="209"/>
      <c r="M69" s="210"/>
      <c r="N69" s="230" t="s">
        <v>94</v>
      </c>
      <c r="O69" s="231"/>
      <c r="P69" s="231"/>
      <c r="Q69" s="231"/>
      <c r="R69" s="231"/>
      <c r="S69" s="232"/>
      <c r="T69" s="208" t="s">
        <v>124</v>
      </c>
      <c r="U69" s="209"/>
      <c r="V69" s="209"/>
      <c r="W69" s="209"/>
      <c r="X69" s="209"/>
      <c r="Y69" s="209"/>
      <c r="Z69" s="210"/>
    </row>
    <row r="70" spans="1:26" ht="18" customHeight="1">
      <c r="A70" s="29"/>
      <c r="B70" s="194"/>
      <c r="C70" s="195"/>
      <c r="D70" s="195"/>
      <c r="E70" s="195"/>
      <c r="F70" s="196"/>
      <c r="G70" s="224"/>
      <c r="H70" s="225"/>
      <c r="I70" s="225"/>
      <c r="J70" s="225"/>
      <c r="K70" s="225"/>
      <c r="L70" s="225"/>
      <c r="M70" s="226"/>
      <c r="N70" s="194"/>
      <c r="O70" s="195"/>
      <c r="P70" s="195"/>
      <c r="Q70" s="195"/>
      <c r="R70" s="195"/>
      <c r="S70" s="196"/>
      <c r="T70" s="224"/>
      <c r="U70" s="225"/>
      <c r="V70" s="225"/>
      <c r="W70" s="225"/>
      <c r="X70" s="225"/>
      <c r="Y70" s="225"/>
      <c r="Z70" s="226"/>
    </row>
    <row r="71" spans="1:26" ht="18" customHeight="1">
      <c r="A71" s="29"/>
      <c r="B71" s="203"/>
      <c r="C71" s="204"/>
      <c r="D71" s="204"/>
      <c r="E71" s="204"/>
      <c r="F71" s="205"/>
      <c r="G71" s="227"/>
      <c r="H71" s="228"/>
      <c r="I71" s="228"/>
      <c r="J71" s="228"/>
      <c r="K71" s="228"/>
      <c r="L71" s="228"/>
      <c r="M71" s="229"/>
      <c r="N71" s="203"/>
      <c r="O71" s="204"/>
      <c r="P71" s="204"/>
      <c r="Q71" s="204"/>
      <c r="R71" s="204"/>
      <c r="S71" s="205"/>
      <c r="T71" s="227"/>
      <c r="U71" s="228"/>
      <c r="V71" s="228"/>
      <c r="W71" s="228"/>
      <c r="X71" s="228"/>
      <c r="Y71" s="228"/>
      <c r="Z71" s="229"/>
    </row>
    <row r="72" spans="1:26" ht="18" customHeight="1">
      <c r="A72" s="29"/>
      <c r="B72" s="203"/>
      <c r="C72" s="204"/>
      <c r="D72" s="204"/>
      <c r="E72" s="204"/>
      <c r="F72" s="205"/>
      <c r="G72" s="227"/>
      <c r="H72" s="228"/>
      <c r="I72" s="228"/>
      <c r="J72" s="228"/>
      <c r="K72" s="228"/>
      <c r="L72" s="228"/>
      <c r="M72" s="229"/>
      <c r="N72" s="203"/>
      <c r="O72" s="204"/>
      <c r="P72" s="204"/>
      <c r="Q72" s="204"/>
      <c r="R72" s="204"/>
      <c r="S72" s="205"/>
      <c r="T72" s="227"/>
      <c r="U72" s="228"/>
      <c r="V72" s="228"/>
      <c r="W72" s="228"/>
      <c r="X72" s="228"/>
      <c r="Y72" s="228"/>
      <c r="Z72" s="229"/>
    </row>
    <row r="73" spans="1:26" ht="18" customHeight="1">
      <c r="A73" s="29"/>
      <c r="B73" s="203"/>
      <c r="C73" s="204"/>
      <c r="D73" s="204"/>
      <c r="E73" s="204"/>
      <c r="F73" s="205"/>
      <c r="G73" s="227"/>
      <c r="H73" s="228"/>
      <c r="I73" s="228"/>
      <c r="J73" s="228"/>
      <c r="K73" s="228"/>
      <c r="L73" s="228"/>
      <c r="M73" s="229"/>
      <c r="N73" s="203"/>
      <c r="O73" s="204"/>
      <c r="P73" s="204"/>
      <c r="Q73" s="204"/>
      <c r="R73" s="204"/>
      <c r="S73" s="205"/>
      <c r="T73" s="227"/>
      <c r="U73" s="228"/>
      <c r="V73" s="228"/>
      <c r="W73" s="228"/>
      <c r="X73" s="228"/>
      <c r="Y73" s="228"/>
      <c r="Z73" s="229"/>
    </row>
    <row r="74" spans="1:26" ht="18" customHeight="1">
      <c r="A74" s="29"/>
      <c r="B74" s="203"/>
      <c r="C74" s="204"/>
      <c r="D74" s="204"/>
      <c r="E74" s="204"/>
      <c r="F74" s="205"/>
      <c r="G74" s="227"/>
      <c r="H74" s="228"/>
      <c r="I74" s="228"/>
      <c r="J74" s="228"/>
      <c r="K74" s="228"/>
      <c r="L74" s="228"/>
      <c r="M74" s="229"/>
      <c r="N74" s="203"/>
      <c r="O74" s="204"/>
      <c r="P74" s="204"/>
      <c r="Q74" s="204"/>
      <c r="R74" s="204"/>
      <c r="S74" s="205"/>
      <c r="T74" s="227"/>
      <c r="U74" s="228"/>
      <c r="V74" s="228"/>
      <c r="W74" s="228"/>
      <c r="X74" s="228"/>
      <c r="Y74" s="228"/>
      <c r="Z74" s="229"/>
    </row>
    <row r="75" spans="1:26" ht="18" customHeight="1">
      <c r="A75" s="29"/>
      <c r="B75" s="203"/>
      <c r="C75" s="204"/>
      <c r="D75" s="204"/>
      <c r="E75" s="204"/>
      <c r="F75" s="205"/>
      <c r="G75" s="227"/>
      <c r="H75" s="228"/>
      <c r="I75" s="228"/>
      <c r="J75" s="228"/>
      <c r="K75" s="228"/>
      <c r="L75" s="228"/>
      <c r="M75" s="229"/>
      <c r="N75" s="203"/>
      <c r="O75" s="204"/>
      <c r="P75" s="204"/>
      <c r="Q75" s="204"/>
      <c r="R75" s="204"/>
      <c r="S75" s="205"/>
      <c r="T75" s="227"/>
      <c r="U75" s="228"/>
      <c r="V75" s="228"/>
      <c r="W75" s="228"/>
      <c r="X75" s="228"/>
      <c r="Y75" s="228"/>
      <c r="Z75" s="229"/>
    </row>
    <row r="76" spans="1:26" ht="18" customHeight="1">
      <c r="A76" s="29"/>
      <c r="B76" s="218"/>
      <c r="C76" s="219"/>
      <c r="D76" s="219"/>
      <c r="E76" s="219"/>
      <c r="F76" s="220"/>
      <c r="G76" s="235"/>
      <c r="H76" s="236"/>
      <c r="I76" s="236"/>
      <c r="J76" s="236"/>
      <c r="K76" s="236"/>
      <c r="L76" s="236"/>
      <c r="M76" s="237"/>
      <c r="N76" s="218"/>
      <c r="O76" s="219"/>
      <c r="P76" s="219"/>
      <c r="Q76" s="219"/>
      <c r="R76" s="219"/>
      <c r="S76" s="220"/>
      <c r="T76" s="235"/>
      <c r="U76" s="236"/>
      <c r="V76" s="236"/>
      <c r="W76" s="236"/>
      <c r="X76" s="236"/>
      <c r="Y76" s="236"/>
      <c r="Z76" s="237"/>
    </row>
    <row r="77" spans="1:26" ht="18" customHeight="1">
      <c r="A77" s="29"/>
      <c r="B77" s="72"/>
      <c r="C77" s="72"/>
      <c r="D77" s="72"/>
      <c r="E77" s="72"/>
      <c r="F77" s="72"/>
      <c r="G77" s="121"/>
      <c r="H77" s="121"/>
      <c r="I77" s="121"/>
      <c r="J77" s="121"/>
      <c r="K77" s="121"/>
      <c r="L77" s="121"/>
      <c r="M77" s="121"/>
      <c r="N77" s="72"/>
      <c r="O77" s="72"/>
      <c r="P77" s="72"/>
      <c r="Q77" s="72"/>
      <c r="R77" s="72"/>
      <c r="S77" s="72"/>
      <c r="T77" s="121"/>
      <c r="U77" s="121"/>
      <c r="V77" s="121"/>
      <c r="W77" s="121"/>
      <c r="X77" s="121"/>
      <c r="Y77" s="121"/>
      <c r="Z77" s="121"/>
    </row>
    <row r="78" spans="1:26" ht="18.75" customHeight="1">
      <c r="A78" s="13" t="s">
        <v>278</v>
      </c>
    </row>
    <row r="79" spans="1:26" ht="18.75" customHeight="1">
      <c r="B79" s="74" t="s">
        <v>279</v>
      </c>
      <c r="C79" s="75"/>
      <c r="D79" s="238" t="s">
        <v>96</v>
      </c>
      <c r="E79" s="238"/>
      <c r="F79" s="238"/>
      <c r="G79" s="238"/>
      <c r="H79" s="238"/>
      <c r="I79" s="238"/>
      <c r="J79" s="238"/>
      <c r="K79" s="238"/>
      <c r="L79" s="238"/>
      <c r="M79" s="238"/>
      <c r="N79" s="238"/>
      <c r="O79" s="238"/>
      <c r="P79" s="238"/>
      <c r="Q79" s="238"/>
      <c r="R79" s="238"/>
      <c r="S79" s="238"/>
      <c r="T79" s="238"/>
      <c r="U79" s="238"/>
      <c r="V79" s="238"/>
      <c r="W79" s="238"/>
      <c r="X79" s="238"/>
      <c r="Y79" s="238"/>
      <c r="Z79" s="239"/>
    </row>
    <row r="80" spans="1:26" ht="78" customHeight="1">
      <c r="B80" s="240" t="s">
        <v>280</v>
      </c>
      <c r="C80" s="81" t="s">
        <v>281</v>
      </c>
      <c r="D80" s="252" t="s">
        <v>282</v>
      </c>
      <c r="E80" s="252"/>
      <c r="F80" s="252"/>
      <c r="G80" s="252"/>
      <c r="H80" s="252"/>
      <c r="I80" s="252"/>
      <c r="J80" s="252"/>
      <c r="K80" s="252"/>
      <c r="L80" s="252"/>
      <c r="M80" s="252"/>
      <c r="N80" s="252"/>
      <c r="O80" s="252"/>
      <c r="P80" s="252"/>
      <c r="Q80" s="252"/>
      <c r="R80" s="252"/>
      <c r="S80" s="252"/>
      <c r="T80" s="252"/>
      <c r="U80" s="252"/>
      <c r="V80" s="252"/>
      <c r="W80" s="252"/>
      <c r="X80" s="252"/>
      <c r="Y80" s="252"/>
      <c r="Z80" s="253"/>
    </row>
    <row r="81" spans="1:26" ht="78" customHeight="1">
      <c r="B81" s="241"/>
      <c r="C81" s="106" t="s">
        <v>283</v>
      </c>
      <c r="D81" s="252" t="s">
        <v>284</v>
      </c>
      <c r="E81" s="252"/>
      <c r="F81" s="252"/>
      <c r="G81" s="252"/>
      <c r="H81" s="252"/>
      <c r="I81" s="252"/>
      <c r="J81" s="252"/>
      <c r="K81" s="252"/>
      <c r="L81" s="252"/>
      <c r="M81" s="252"/>
      <c r="N81" s="252"/>
      <c r="O81" s="252"/>
      <c r="P81" s="252"/>
      <c r="Q81" s="252"/>
      <c r="R81" s="252"/>
      <c r="S81" s="252"/>
      <c r="T81" s="252"/>
      <c r="U81" s="252"/>
      <c r="V81" s="252"/>
      <c r="W81" s="252"/>
      <c r="X81" s="252"/>
      <c r="Y81" s="252"/>
      <c r="Z81" s="253"/>
    </row>
    <row r="82" spans="1:26" ht="78" customHeight="1">
      <c r="B82" s="233" t="s">
        <v>285</v>
      </c>
      <c r="C82" s="76" t="s">
        <v>286</v>
      </c>
      <c r="D82" s="272" t="s">
        <v>287</v>
      </c>
      <c r="E82" s="273"/>
      <c r="F82" s="273"/>
      <c r="G82" s="273"/>
      <c r="H82" s="273"/>
      <c r="I82" s="273"/>
      <c r="J82" s="273"/>
      <c r="K82" s="273"/>
      <c r="L82" s="273"/>
      <c r="M82" s="273"/>
      <c r="N82" s="273"/>
      <c r="O82" s="273"/>
      <c r="P82" s="273"/>
      <c r="Q82" s="273"/>
      <c r="R82" s="273"/>
      <c r="S82" s="273"/>
      <c r="T82" s="273"/>
      <c r="U82" s="273"/>
      <c r="V82" s="273"/>
      <c r="W82" s="273"/>
      <c r="X82" s="273"/>
      <c r="Y82" s="273"/>
      <c r="Z82" s="274"/>
    </row>
    <row r="83" spans="1:26" ht="78" customHeight="1">
      <c r="B83" s="234"/>
      <c r="C83" s="107" t="s">
        <v>288</v>
      </c>
      <c r="D83" s="275" t="s">
        <v>284</v>
      </c>
      <c r="E83" s="276"/>
      <c r="F83" s="276"/>
      <c r="G83" s="276"/>
      <c r="H83" s="276"/>
      <c r="I83" s="276"/>
      <c r="J83" s="276"/>
      <c r="K83" s="276"/>
      <c r="L83" s="276"/>
      <c r="M83" s="276"/>
      <c r="N83" s="276"/>
      <c r="O83" s="276"/>
      <c r="P83" s="276"/>
      <c r="Q83" s="276"/>
      <c r="R83" s="276"/>
      <c r="S83" s="276"/>
      <c r="T83" s="276"/>
      <c r="U83" s="276"/>
      <c r="V83" s="276"/>
      <c r="W83" s="276"/>
      <c r="X83" s="276"/>
      <c r="Y83" s="276"/>
      <c r="Z83" s="277"/>
    </row>
    <row r="84" spans="1:26" ht="66" customHeight="1">
      <c r="B84" s="233" t="s">
        <v>289</v>
      </c>
      <c r="C84" s="76" t="s">
        <v>290</v>
      </c>
      <c r="D84" s="273" t="s">
        <v>284</v>
      </c>
      <c r="E84" s="273"/>
      <c r="F84" s="273"/>
      <c r="G84" s="273"/>
      <c r="H84" s="273"/>
      <c r="I84" s="273"/>
      <c r="J84" s="273"/>
      <c r="K84" s="273"/>
      <c r="L84" s="273"/>
      <c r="M84" s="273"/>
      <c r="N84" s="273"/>
      <c r="O84" s="273"/>
      <c r="P84" s="273"/>
      <c r="Q84" s="273"/>
      <c r="R84" s="273"/>
      <c r="S84" s="273"/>
      <c r="T84" s="273"/>
      <c r="U84" s="273"/>
      <c r="V84" s="273"/>
      <c r="W84" s="273"/>
      <c r="X84" s="273"/>
      <c r="Y84" s="273"/>
      <c r="Z84" s="274"/>
    </row>
    <row r="85" spans="1:26" ht="66" customHeight="1">
      <c r="B85" s="234"/>
      <c r="C85" s="78" t="s">
        <v>291</v>
      </c>
      <c r="D85" s="273" t="s">
        <v>284</v>
      </c>
      <c r="E85" s="273"/>
      <c r="F85" s="273"/>
      <c r="G85" s="273"/>
      <c r="H85" s="273"/>
      <c r="I85" s="273"/>
      <c r="J85" s="273"/>
      <c r="K85" s="273"/>
      <c r="L85" s="273"/>
      <c r="M85" s="273"/>
      <c r="N85" s="273"/>
      <c r="O85" s="273"/>
      <c r="P85" s="273"/>
      <c r="Q85" s="273"/>
      <c r="R85" s="273"/>
      <c r="S85" s="273"/>
      <c r="T85" s="273"/>
      <c r="U85" s="273"/>
      <c r="V85" s="273"/>
      <c r="W85" s="273"/>
      <c r="X85" s="273"/>
      <c r="Y85" s="273"/>
      <c r="Z85" s="274"/>
    </row>
    <row r="86" spans="1:26" ht="66" customHeight="1">
      <c r="B86" s="240" t="s">
        <v>292</v>
      </c>
      <c r="C86" s="81" t="s">
        <v>293</v>
      </c>
      <c r="D86" s="278" t="s">
        <v>294</v>
      </c>
      <c r="E86" s="252"/>
      <c r="F86" s="252"/>
      <c r="G86" s="252"/>
      <c r="H86" s="252"/>
      <c r="I86" s="252"/>
      <c r="J86" s="252"/>
      <c r="K86" s="252"/>
      <c r="L86" s="252"/>
      <c r="M86" s="252"/>
      <c r="N86" s="252"/>
      <c r="O86" s="252"/>
      <c r="P86" s="252"/>
      <c r="Q86" s="252"/>
      <c r="R86" s="252"/>
      <c r="S86" s="252"/>
      <c r="T86" s="252"/>
      <c r="U86" s="252"/>
      <c r="V86" s="252"/>
      <c r="W86" s="252"/>
      <c r="X86" s="252"/>
      <c r="Y86" s="252"/>
      <c r="Z86" s="253"/>
    </row>
    <row r="87" spans="1:26" ht="66" customHeight="1">
      <c r="B87" s="251"/>
      <c r="C87" s="77" t="s">
        <v>295</v>
      </c>
      <c r="D87" s="278" t="s">
        <v>296</v>
      </c>
      <c r="E87" s="252"/>
      <c r="F87" s="252"/>
      <c r="G87" s="252"/>
      <c r="H87" s="252"/>
      <c r="I87" s="252"/>
      <c r="J87" s="252"/>
      <c r="K87" s="252"/>
      <c r="L87" s="252"/>
      <c r="M87" s="252"/>
      <c r="N87" s="252"/>
      <c r="O87" s="252"/>
      <c r="P87" s="252"/>
      <c r="Q87" s="252"/>
      <c r="R87" s="252"/>
      <c r="S87" s="252"/>
      <c r="T87" s="252"/>
      <c r="U87" s="252"/>
      <c r="V87" s="252"/>
      <c r="W87" s="252"/>
      <c r="X87" s="252"/>
      <c r="Y87" s="252"/>
      <c r="Z87" s="253"/>
    </row>
    <row r="88" spans="1:26" ht="66" customHeight="1">
      <c r="B88" s="240" t="s">
        <v>297</v>
      </c>
      <c r="C88" s="76" t="s">
        <v>298</v>
      </c>
      <c r="D88" s="256" t="s">
        <v>299</v>
      </c>
      <c r="E88" s="257"/>
      <c r="F88" s="257"/>
      <c r="G88" s="257"/>
      <c r="H88" s="257"/>
      <c r="I88" s="257"/>
      <c r="J88" s="257"/>
      <c r="K88" s="257"/>
      <c r="L88" s="257"/>
      <c r="M88" s="257"/>
      <c r="N88" s="257"/>
      <c r="O88" s="257"/>
      <c r="P88" s="257"/>
      <c r="Q88" s="257"/>
      <c r="R88" s="257"/>
      <c r="S88" s="257"/>
      <c r="T88" s="257"/>
      <c r="U88" s="257"/>
      <c r="V88" s="257"/>
      <c r="W88" s="257"/>
      <c r="X88" s="257"/>
      <c r="Y88" s="257"/>
      <c r="Z88" s="258"/>
    </row>
    <row r="89" spans="1:26" ht="66" customHeight="1">
      <c r="B89" s="241"/>
      <c r="C89" s="77" t="s">
        <v>300</v>
      </c>
      <c r="D89" s="259" t="s">
        <v>301</v>
      </c>
      <c r="E89" s="260"/>
      <c r="F89" s="260"/>
      <c r="G89" s="260"/>
      <c r="H89" s="260"/>
      <c r="I89" s="260"/>
      <c r="J89" s="260"/>
      <c r="K89" s="260"/>
      <c r="L89" s="260"/>
      <c r="M89" s="260"/>
      <c r="N89" s="260"/>
      <c r="O89" s="260"/>
      <c r="P89" s="260"/>
      <c r="Q89" s="260"/>
      <c r="R89" s="260"/>
      <c r="S89" s="260"/>
      <c r="T89" s="260"/>
      <c r="U89" s="260"/>
      <c r="V89" s="260"/>
      <c r="W89" s="260"/>
      <c r="X89" s="260"/>
      <c r="Y89" s="260"/>
      <c r="Z89" s="261"/>
    </row>
    <row r="90" spans="1:26" ht="66" customHeight="1">
      <c r="B90" s="234"/>
      <c r="C90" s="78" t="s">
        <v>302</v>
      </c>
      <c r="D90" s="256" t="s">
        <v>303</v>
      </c>
      <c r="E90" s="257"/>
      <c r="F90" s="257"/>
      <c r="G90" s="257"/>
      <c r="H90" s="257"/>
      <c r="I90" s="257"/>
      <c r="J90" s="257"/>
      <c r="K90" s="257"/>
      <c r="L90" s="257"/>
      <c r="M90" s="257"/>
      <c r="N90" s="257"/>
      <c r="O90" s="257"/>
      <c r="P90" s="257"/>
      <c r="Q90" s="257"/>
      <c r="R90" s="257"/>
      <c r="S90" s="257"/>
      <c r="T90" s="257"/>
      <c r="U90" s="257"/>
      <c r="V90" s="257"/>
      <c r="W90" s="257"/>
      <c r="X90" s="257"/>
      <c r="Y90" s="257"/>
      <c r="Z90" s="258"/>
    </row>
    <row r="91" spans="1:26" ht="6" customHeight="1"/>
    <row r="92" spans="1:26" ht="18.75" customHeight="1">
      <c r="A92" s="13" t="s">
        <v>304</v>
      </c>
    </row>
    <row r="93" spans="1:26" ht="18.75" customHeight="1">
      <c r="B93" s="242" t="s">
        <v>347</v>
      </c>
      <c r="C93" s="243"/>
      <c r="D93" s="243"/>
      <c r="E93" s="243"/>
      <c r="F93" s="243"/>
      <c r="G93" s="243"/>
      <c r="H93" s="243"/>
      <c r="I93" s="243"/>
      <c r="J93" s="243"/>
      <c r="K93" s="243"/>
      <c r="L93" s="243"/>
      <c r="M93" s="243"/>
      <c r="N93" s="243"/>
      <c r="O93" s="243"/>
      <c r="P93" s="243"/>
      <c r="Q93" s="243"/>
      <c r="R93" s="243"/>
      <c r="S93" s="243"/>
      <c r="T93" s="243"/>
      <c r="U93" s="243"/>
      <c r="V93" s="243"/>
      <c r="W93" s="243"/>
      <c r="X93" s="243"/>
      <c r="Y93" s="243"/>
      <c r="Z93" s="244"/>
    </row>
    <row r="94" spans="1:26" ht="18.75" customHeight="1">
      <c r="B94" s="245"/>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7"/>
    </row>
    <row r="95" spans="1:26" ht="46.5" customHeight="1">
      <c r="B95" s="248"/>
      <c r="C95" s="249"/>
      <c r="D95" s="249"/>
      <c r="E95" s="249"/>
      <c r="F95" s="249"/>
      <c r="G95" s="249"/>
      <c r="H95" s="249"/>
      <c r="I95" s="249"/>
      <c r="J95" s="249"/>
      <c r="K95" s="249"/>
      <c r="L95" s="249"/>
      <c r="M95" s="249"/>
      <c r="N95" s="249"/>
      <c r="O95" s="249"/>
      <c r="P95" s="249"/>
      <c r="Q95" s="249"/>
      <c r="R95" s="249"/>
      <c r="S95" s="249"/>
      <c r="T95" s="249"/>
      <c r="U95" s="249"/>
      <c r="V95" s="249"/>
      <c r="W95" s="249"/>
      <c r="X95" s="249"/>
      <c r="Y95" s="249"/>
      <c r="Z95" s="250"/>
    </row>
    <row r="96" spans="1:26" ht="6" customHeight="1"/>
    <row r="97" spans="1:26" ht="15" customHeight="1">
      <c r="A97" s="13" t="s">
        <v>305</v>
      </c>
    </row>
    <row r="98" spans="1:26" ht="15" customHeight="1">
      <c r="B98" s="444" t="s">
        <v>349</v>
      </c>
      <c r="C98" s="445"/>
      <c r="D98" s="445"/>
      <c r="E98" s="445"/>
      <c r="F98" s="445"/>
      <c r="G98" s="445"/>
      <c r="H98" s="445"/>
      <c r="I98" s="445"/>
      <c r="J98" s="445"/>
      <c r="K98" s="445"/>
      <c r="L98" s="445"/>
      <c r="M98" s="445"/>
      <c r="N98" s="445"/>
      <c r="O98" s="445"/>
      <c r="P98" s="445"/>
      <c r="Q98" s="445"/>
      <c r="R98" s="445"/>
      <c r="S98" s="445"/>
      <c r="T98" s="445"/>
      <c r="U98" s="445"/>
      <c r="V98" s="445"/>
      <c r="W98" s="445"/>
      <c r="X98" s="445"/>
      <c r="Y98" s="445"/>
      <c r="Z98" s="446"/>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formula1>"全学開講,一部開講"</formula1>
    </dataValidation>
    <dataValidation type="list" allowBlank="1" showInputMessage="1" showErrorMessage="1" sqref="Y16:Z22 L16:M22 Y27:Z33 L27:M33 L38:M44 Y38:Z44 L49:M55 Y49:Z55 Y60:Z66 L60:M66 H16:H22 U16:U22 H27:H33 U27:U33 H38:H44 U38:U44 H49:H55 U49:U55 G60:G66 T60:T66 K60:K62">
      <formula1>"○"</formula1>
    </dataValidation>
  </dataValidations>
  <printOptions horizontalCentered="1"/>
  <pageMargins left="0.78740157480314965" right="0.78740157480314965" top="0.59055118110236227" bottom="0.19685039370078741" header="0.31496062992125984" footer="0.19685039370078741"/>
  <pageSetup paperSize="9" scale="95" orientation="landscape" r:id="rId1"/>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B92" zoomScaleNormal="100" zoomScaleSheetLayoutView="100" workbookViewId="0">
      <selection activeCell="B98" sqref="B98:Z98"/>
    </sheetView>
  </sheetViews>
  <sheetFormatPr defaultColWidth="9" defaultRowHeight="18.75" customHeight="1"/>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206" t="s">
        <v>248</v>
      </c>
      <c r="X1" s="206"/>
      <c r="Y1" s="206"/>
      <c r="Z1" s="206"/>
    </row>
    <row r="2" spans="1:26" ht="18" customHeight="1">
      <c r="A2" s="207" t="s">
        <v>63</v>
      </c>
      <c r="B2" s="207"/>
      <c r="C2" s="207"/>
      <c r="D2" s="207"/>
      <c r="E2" s="207"/>
      <c r="F2" s="207"/>
      <c r="G2" s="207"/>
      <c r="H2" s="207"/>
      <c r="I2" s="207"/>
      <c r="J2" s="207"/>
      <c r="K2" s="207"/>
      <c r="L2" s="207"/>
      <c r="M2" s="207"/>
      <c r="N2" s="207"/>
      <c r="O2" s="207"/>
      <c r="P2" s="207"/>
      <c r="Q2" s="207"/>
      <c r="R2" s="207"/>
      <c r="S2" s="207"/>
      <c r="T2" s="207"/>
      <c r="U2" s="207"/>
      <c r="V2" s="207"/>
      <c r="W2" s="207"/>
      <c r="X2" s="207"/>
      <c r="Y2" s="207"/>
      <c r="Z2" s="207"/>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142</v>
      </c>
      <c r="B4" s="29"/>
      <c r="C4" s="29"/>
      <c r="D4" s="29"/>
      <c r="E4" s="29"/>
      <c r="F4" s="29"/>
      <c r="G4" s="29"/>
      <c r="H4" s="15" t="s">
        <v>101</v>
      </c>
      <c r="I4" s="29"/>
      <c r="J4" s="29"/>
      <c r="K4" s="29"/>
      <c r="L4" s="29"/>
      <c r="M4" s="29"/>
      <c r="N4" s="29"/>
      <c r="O4" s="208" t="s">
        <v>143</v>
      </c>
      <c r="P4" s="209"/>
      <c r="Q4" s="209"/>
      <c r="R4" s="209"/>
      <c r="S4" s="209"/>
      <c r="T4" s="209"/>
      <c r="U4" s="209"/>
      <c r="V4" s="209"/>
      <c r="W4" s="209"/>
      <c r="X4" s="209"/>
      <c r="Y4" s="209"/>
      <c r="Z4" s="210"/>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263" t="s">
        <v>351</v>
      </c>
      <c r="C6" s="264"/>
      <c r="D6" s="264"/>
      <c r="E6" s="264"/>
      <c r="F6" s="264"/>
      <c r="G6" s="264"/>
      <c r="H6" s="264"/>
      <c r="I6" s="264"/>
      <c r="J6" s="264"/>
      <c r="K6" s="264"/>
      <c r="L6" s="264"/>
      <c r="M6" s="264"/>
      <c r="N6" s="264"/>
      <c r="O6" s="264"/>
      <c r="P6" s="264"/>
      <c r="Q6" s="264"/>
      <c r="R6" s="264"/>
      <c r="S6" s="264"/>
      <c r="T6" s="264"/>
      <c r="U6" s="264"/>
      <c r="V6" s="264"/>
      <c r="W6" s="264"/>
      <c r="X6" s="264"/>
      <c r="Y6" s="264"/>
      <c r="Z6" s="265"/>
    </row>
    <row r="7" spans="1:26" ht="18" customHeight="1">
      <c r="B7" s="266"/>
      <c r="C7" s="267"/>
      <c r="D7" s="267"/>
      <c r="E7" s="267"/>
      <c r="F7" s="267"/>
      <c r="G7" s="267"/>
      <c r="H7" s="267"/>
      <c r="I7" s="267"/>
      <c r="J7" s="267"/>
      <c r="K7" s="267"/>
      <c r="L7" s="267"/>
      <c r="M7" s="267"/>
      <c r="N7" s="267"/>
      <c r="O7" s="267"/>
      <c r="P7" s="267"/>
      <c r="Q7" s="267"/>
      <c r="R7" s="267"/>
      <c r="S7" s="267"/>
      <c r="T7" s="267"/>
      <c r="U7" s="267"/>
      <c r="V7" s="267"/>
      <c r="W7" s="267"/>
      <c r="X7" s="267"/>
      <c r="Y7" s="267"/>
      <c r="Z7" s="268"/>
    </row>
    <row r="8" spans="1:26" ht="18" customHeight="1">
      <c r="B8" s="266"/>
      <c r="C8" s="267"/>
      <c r="D8" s="267"/>
      <c r="E8" s="267"/>
      <c r="F8" s="267"/>
      <c r="G8" s="267"/>
      <c r="H8" s="267"/>
      <c r="I8" s="267"/>
      <c r="J8" s="267"/>
      <c r="K8" s="267"/>
      <c r="L8" s="267"/>
      <c r="M8" s="267"/>
      <c r="N8" s="267"/>
      <c r="O8" s="267"/>
      <c r="P8" s="267"/>
      <c r="Q8" s="267"/>
      <c r="R8" s="267"/>
      <c r="S8" s="267"/>
      <c r="T8" s="267"/>
      <c r="U8" s="267"/>
      <c r="V8" s="267"/>
      <c r="W8" s="267"/>
      <c r="X8" s="267"/>
      <c r="Y8" s="267"/>
      <c r="Z8" s="268"/>
    </row>
    <row r="9" spans="1:26" ht="18" customHeight="1">
      <c r="B9" s="266"/>
      <c r="C9" s="267"/>
      <c r="D9" s="267"/>
      <c r="E9" s="267"/>
      <c r="F9" s="267"/>
      <c r="G9" s="267"/>
      <c r="H9" s="267"/>
      <c r="I9" s="267"/>
      <c r="J9" s="267"/>
      <c r="K9" s="267"/>
      <c r="L9" s="267"/>
      <c r="M9" s="267"/>
      <c r="N9" s="267"/>
      <c r="O9" s="267"/>
      <c r="P9" s="267"/>
      <c r="Q9" s="267"/>
      <c r="R9" s="267"/>
      <c r="S9" s="267"/>
      <c r="T9" s="267"/>
      <c r="U9" s="267"/>
      <c r="V9" s="267"/>
      <c r="W9" s="267"/>
      <c r="X9" s="267"/>
      <c r="Y9" s="267"/>
      <c r="Z9" s="268"/>
    </row>
    <row r="10" spans="1:26" ht="18" customHeight="1">
      <c r="B10" s="266"/>
      <c r="C10" s="267"/>
      <c r="D10" s="267"/>
      <c r="E10" s="267"/>
      <c r="F10" s="267"/>
      <c r="G10" s="267"/>
      <c r="H10" s="267"/>
      <c r="I10" s="267"/>
      <c r="J10" s="267"/>
      <c r="K10" s="267"/>
      <c r="L10" s="267"/>
      <c r="M10" s="267"/>
      <c r="N10" s="267"/>
      <c r="O10" s="267"/>
      <c r="P10" s="267"/>
      <c r="Q10" s="267"/>
      <c r="R10" s="267"/>
      <c r="S10" s="267"/>
      <c r="T10" s="267"/>
      <c r="U10" s="267"/>
      <c r="V10" s="267"/>
      <c r="W10" s="267"/>
      <c r="X10" s="267"/>
      <c r="Y10" s="267"/>
      <c r="Z10" s="268"/>
    </row>
    <row r="11" spans="1:26" ht="18" customHeight="1">
      <c r="B11" s="269"/>
      <c r="C11" s="270"/>
      <c r="D11" s="270"/>
      <c r="E11" s="270"/>
      <c r="F11" s="270"/>
      <c r="G11" s="270"/>
      <c r="H11" s="270"/>
      <c r="I11" s="270"/>
      <c r="J11" s="270"/>
      <c r="K11" s="270"/>
      <c r="L11" s="270"/>
      <c r="M11" s="270"/>
      <c r="N11" s="270"/>
      <c r="O11" s="270"/>
      <c r="P11" s="270"/>
      <c r="Q11" s="270"/>
      <c r="R11" s="270"/>
      <c r="S11" s="270"/>
      <c r="T11" s="270"/>
      <c r="U11" s="270"/>
      <c r="V11" s="270"/>
      <c r="W11" s="270"/>
      <c r="X11" s="270"/>
      <c r="Y11" s="270"/>
      <c r="Z11" s="271"/>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211" t="s">
        <v>113</v>
      </c>
      <c r="B13" s="211"/>
      <c r="C13" s="211"/>
      <c r="D13" s="211"/>
      <c r="E13" s="211"/>
      <c r="F13" s="211"/>
      <c r="G13" s="211"/>
      <c r="H13" s="211"/>
      <c r="I13" s="211"/>
      <c r="J13" s="211"/>
      <c r="K13" s="211"/>
      <c r="L13" s="211"/>
      <c r="M13" s="211"/>
      <c r="N13" s="211"/>
      <c r="O13" s="211"/>
      <c r="P13" s="211"/>
      <c r="Q13" s="211"/>
      <c r="R13" s="211"/>
      <c r="S13" s="211"/>
      <c r="T13" s="211"/>
      <c r="U13" s="211"/>
      <c r="V13" s="211"/>
      <c r="W13" s="211"/>
      <c r="X13" s="211"/>
      <c r="Y13" s="211"/>
      <c r="Z13" s="211"/>
    </row>
    <row r="14" spans="1:26" ht="18" customHeight="1">
      <c r="A14" s="211"/>
      <c r="B14" s="211"/>
      <c r="C14" s="211"/>
      <c r="D14" s="211"/>
      <c r="E14" s="211"/>
      <c r="F14" s="211"/>
      <c r="G14" s="211"/>
      <c r="H14" s="211"/>
      <c r="I14" s="211"/>
      <c r="J14" s="211"/>
      <c r="K14" s="211"/>
      <c r="L14" s="211"/>
      <c r="M14" s="211"/>
      <c r="N14" s="211"/>
      <c r="O14" s="211"/>
      <c r="P14" s="211"/>
      <c r="Q14" s="211"/>
      <c r="R14" s="211"/>
      <c r="S14" s="211"/>
      <c r="T14" s="211"/>
      <c r="U14" s="211"/>
      <c r="V14" s="211"/>
      <c r="W14" s="211"/>
      <c r="X14" s="211"/>
      <c r="Y14" s="211"/>
      <c r="Z14" s="211"/>
    </row>
    <row r="15" spans="1:26" ht="18" customHeight="1">
      <c r="A15" s="14"/>
      <c r="B15" s="208" t="s">
        <v>94</v>
      </c>
      <c r="C15" s="209"/>
      <c r="D15" s="209"/>
      <c r="E15" s="209"/>
      <c r="F15" s="210"/>
      <c r="G15" s="30" t="s">
        <v>121</v>
      </c>
      <c r="H15" s="108" t="s">
        <v>120</v>
      </c>
      <c r="I15" s="209" t="s">
        <v>151</v>
      </c>
      <c r="J15" s="209"/>
      <c r="K15" s="209"/>
      <c r="L15" s="71" t="s">
        <v>180</v>
      </c>
      <c r="M15" s="71" t="s">
        <v>100</v>
      </c>
      <c r="N15" s="208" t="s">
        <v>94</v>
      </c>
      <c r="O15" s="209"/>
      <c r="P15" s="209"/>
      <c r="Q15" s="209"/>
      <c r="R15" s="209"/>
      <c r="S15" s="210"/>
      <c r="T15" s="30" t="s">
        <v>121</v>
      </c>
      <c r="U15" s="108" t="s">
        <v>120</v>
      </c>
      <c r="V15" s="209" t="s">
        <v>151</v>
      </c>
      <c r="W15" s="209"/>
      <c r="X15" s="209"/>
      <c r="Y15" s="71" t="s">
        <v>180</v>
      </c>
      <c r="Z15" s="71" t="s">
        <v>100</v>
      </c>
    </row>
    <row r="16" spans="1:26" ht="18" customHeight="1">
      <c r="A16" s="14"/>
      <c r="B16" s="221" t="s">
        <v>196</v>
      </c>
      <c r="C16" s="222"/>
      <c r="D16" s="222"/>
      <c r="E16" s="222"/>
      <c r="F16" s="223"/>
      <c r="G16" s="109">
        <v>1</v>
      </c>
      <c r="H16" s="109" t="s">
        <v>145</v>
      </c>
      <c r="I16" s="191" t="s">
        <v>144</v>
      </c>
      <c r="J16" s="192"/>
      <c r="K16" s="193"/>
      <c r="L16" s="109" t="s">
        <v>145</v>
      </c>
      <c r="M16" s="109" t="s">
        <v>145</v>
      </c>
      <c r="N16" s="194"/>
      <c r="O16" s="195"/>
      <c r="P16" s="195"/>
      <c r="Q16" s="195"/>
      <c r="R16" s="195"/>
      <c r="S16" s="196"/>
      <c r="T16" s="109"/>
      <c r="U16" s="109"/>
      <c r="V16" s="191"/>
      <c r="W16" s="192"/>
      <c r="X16" s="193"/>
      <c r="Y16" s="109"/>
      <c r="Z16" s="109"/>
    </row>
    <row r="17" spans="1:26" ht="18" customHeight="1">
      <c r="A17" s="14"/>
      <c r="B17" s="197"/>
      <c r="C17" s="198"/>
      <c r="D17" s="198"/>
      <c r="E17" s="198"/>
      <c r="F17" s="199"/>
      <c r="G17" s="110"/>
      <c r="H17" s="110"/>
      <c r="I17" s="200"/>
      <c r="J17" s="201"/>
      <c r="K17" s="202"/>
      <c r="L17" s="110"/>
      <c r="M17" s="110"/>
      <c r="N17" s="203"/>
      <c r="O17" s="204"/>
      <c r="P17" s="204"/>
      <c r="Q17" s="204"/>
      <c r="R17" s="204"/>
      <c r="S17" s="205"/>
      <c r="T17" s="110"/>
      <c r="U17" s="110"/>
      <c r="V17" s="200"/>
      <c r="W17" s="201"/>
      <c r="X17" s="202"/>
      <c r="Y17" s="110"/>
      <c r="Z17" s="110"/>
    </row>
    <row r="18" spans="1:26" ht="18" customHeight="1">
      <c r="A18" s="14"/>
      <c r="B18" s="197"/>
      <c r="C18" s="198"/>
      <c r="D18" s="198"/>
      <c r="E18" s="198"/>
      <c r="F18" s="199"/>
      <c r="G18" s="110"/>
      <c r="H18" s="110"/>
      <c r="I18" s="200"/>
      <c r="J18" s="201"/>
      <c r="K18" s="202"/>
      <c r="L18" s="110"/>
      <c r="M18" s="110"/>
      <c r="N18" s="203"/>
      <c r="O18" s="204"/>
      <c r="P18" s="204"/>
      <c r="Q18" s="204"/>
      <c r="R18" s="204"/>
      <c r="S18" s="205"/>
      <c r="T18" s="110"/>
      <c r="U18" s="110"/>
      <c r="V18" s="200"/>
      <c r="W18" s="201"/>
      <c r="X18" s="202"/>
      <c r="Y18" s="110"/>
      <c r="Z18" s="110"/>
    </row>
    <row r="19" spans="1:26" ht="18" customHeight="1">
      <c r="A19" s="14"/>
      <c r="B19" s="197"/>
      <c r="C19" s="198"/>
      <c r="D19" s="198"/>
      <c r="E19" s="198"/>
      <c r="F19" s="199"/>
      <c r="G19" s="110"/>
      <c r="H19" s="110"/>
      <c r="I19" s="200"/>
      <c r="J19" s="201"/>
      <c r="K19" s="202"/>
      <c r="L19" s="110"/>
      <c r="M19" s="110"/>
      <c r="N19" s="203"/>
      <c r="O19" s="204"/>
      <c r="P19" s="204"/>
      <c r="Q19" s="204"/>
      <c r="R19" s="204"/>
      <c r="S19" s="205"/>
      <c r="T19" s="110"/>
      <c r="U19" s="110"/>
      <c r="V19" s="200"/>
      <c r="W19" s="201"/>
      <c r="X19" s="202"/>
      <c r="Y19" s="110"/>
      <c r="Z19" s="110"/>
    </row>
    <row r="20" spans="1:26" ht="18" customHeight="1">
      <c r="A20" s="14"/>
      <c r="B20" s="197"/>
      <c r="C20" s="198"/>
      <c r="D20" s="198"/>
      <c r="E20" s="198"/>
      <c r="F20" s="199"/>
      <c r="G20" s="110"/>
      <c r="H20" s="110"/>
      <c r="I20" s="200"/>
      <c r="J20" s="201"/>
      <c r="K20" s="202"/>
      <c r="L20" s="110"/>
      <c r="M20" s="110"/>
      <c r="N20" s="203"/>
      <c r="O20" s="204"/>
      <c r="P20" s="204"/>
      <c r="Q20" s="204"/>
      <c r="R20" s="204"/>
      <c r="S20" s="205"/>
      <c r="T20" s="110"/>
      <c r="U20" s="110"/>
      <c r="V20" s="200"/>
      <c r="W20" s="201"/>
      <c r="X20" s="202"/>
      <c r="Y20" s="110"/>
      <c r="Z20" s="110"/>
    </row>
    <row r="21" spans="1:26" ht="18" customHeight="1">
      <c r="A21" s="29"/>
      <c r="B21" s="197"/>
      <c r="C21" s="198"/>
      <c r="D21" s="198"/>
      <c r="E21" s="198"/>
      <c r="F21" s="199"/>
      <c r="G21" s="110"/>
      <c r="H21" s="110"/>
      <c r="I21" s="200"/>
      <c r="J21" s="201"/>
      <c r="K21" s="202"/>
      <c r="L21" s="110"/>
      <c r="M21" s="110"/>
      <c r="N21" s="203"/>
      <c r="O21" s="204"/>
      <c r="P21" s="204"/>
      <c r="Q21" s="204"/>
      <c r="R21" s="204"/>
      <c r="S21" s="205"/>
      <c r="T21" s="110"/>
      <c r="U21" s="110"/>
      <c r="V21" s="200"/>
      <c r="W21" s="201"/>
      <c r="X21" s="202"/>
      <c r="Y21" s="110"/>
      <c r="Z21" s="110"/>
    </row>
    <row r="22" spans="1:26" ht="18" customHeight="1">
      <c r="A22" s="29"/>
      <c r="B22" s="212"/>
      <c r="C22" s="213"/>
      <c r="D22" s="213"/>
      <c r="E22" s="213"/>
      <c r="F22" s="214"/>
      <c r="G22" s="111"/>
      <c r="H22" s="111"/>
      <c r="I22" s="215"/>
      <c r="J22" s="216"/>
      <c r="K22" s="217"/>
      <c r="L22" s="114"/>
      <c r="M22" s="114"/>
      <c r="N22" s="218"/>
      <c r="O22" s="219"/>
      <c r="P22" s="219"/>
      <c r="Q22" s="219"/>
      <c r="R22" s="219"/>
      <c r="S22" s="220"/>
      <c r="T22" s="111"/>
      <c r="U22" s="111"/>
      <c r="V22" s="215"/>
      <c r="W22" s="216"/>
      <c r="X22" s="217"/>
      <c r="Y22" s="114"/>
      <c r="Z22" s="114"/>
    </row>
    <row r="23" spans="1:26" ht="7.5" customHeight="1">
      <c r="A23" s="29"/>
      <c r="B23" s="72"/>
      <c r="C23" s="72"/>
      <c r="D23" s="29"/>
      <c r="E23" s="29"/>
      <c r="F23" s="29"/>
      <c r="G23" s="29"/>
      <c r="H23" s="29"/>
      <c r="I23" s="29"/>
      <c r="J23" s="29"/>
      <c r="K23" s="29"/>
      <c r="L23" s="72"/>
      <c r="M23" s="72"/>
      <c r="N23" s="72"/>
      <c r="O23" s="72"/>
      <c r="P23" s="72"/>
      <c r="Q23" s="72"/>
      <c r="R23" s="72"/>
      <c r="S23" s="72"/>
      <c r="T23" s="72"/>
      <c r="U23" s="72"/>
      <c r="V23" s="72"/>
      <c r="W23" s="72"/>
      <c r="X23" s="72"/>
      <c r="Y23" s="72"/>
      <c r="Z23" s="29"/>
    </row>
    <row r="24" spans="1:26" ht="18" customHeight="1">
      <c r="A24" s="211" t="s">
        <v>114</v>
      </c>
      <c r="B24" s="211"/>
      <c r="C24" s="211"/>
      <c r="D24" s="211"/>
      <c r="E24" s="211"/>
      <c r="F24" s="211"/>
      <c r="G24" s="211"/>
      <c r="H24" s="211"/>
      <c r="I24" s="211"/>
      <c r="J24" s="211"/>
      <c r="K24" s="211"/>
      <c r="L24" s="211"/>
      <c r="M24" s="211"/>
      <c r="N24" s="211"/>
      <c r="O24" s="211"/>
      <c r="P24" s="211"/>
      <c r="Q24" s="211"/>
      <c r="R24" s="211"/>
      <c r="S24" s="211"/>
      <c r="T24" s="211"/>
      <c r="U24" s="211"/>
      <c r="V24" s="211"/>
      <c r="W24" s="211"/>
      <c r="X24" s="211"/>
      <c r="Y24" s="211"/>
      <c r="Z24" s="211"/>
    </row>
    <row r="25" spans="1:26" ht="18" customHeight="1">
      <c r="A25" s="211"/>
      <c r="B25" s="211"/>
      <c r="C25" s="211"/>
      <c r="D25" s="211"/>
      <c r="E25" s="211"/>
      <c r="F25" s="211"/>
      <c r="G25" s="211"/>
      <c r="H25" s="211"/>
      <c r="I25" s="211"/>
      <c r="J25" s="211"/>
      <c r="K25" s="211"/>
      <c r="L25" s="211"/>
      <c r="M25" s="211"/>
      <c r="N25" s="211"/>
      <c r="O25" s="211"/>
      <c r="P25" s="211"/>
      <c r="Q25" s="211"/>
      <c r="R25" s="211"/>
      <c r="S25" s="211"/>
      <c r="T25" s="211"/>
      <c r="U25" s="211"/>
      <c r="V25" s="211"/>
      <c r="W25" s="211"/>
      <c r="X25" s="211"/>
      <c r="Y25" s="211"/>
      <c r="Z25" s="211"/>
    </row>
    <row r="26" spans="1:26" ht="18" customHeight="1">
      <c r="A26" s="14"/>
      <c r="B26" s="208" t="s">
        <v>94</v>
      </c>
      <c r="C26" s="209"/>
      <c r="D26" s="209"/>
      <c r="E26" s="209"/>
      <c r="F26" s="210"/>
      <c r="G26" s="30" t="s">
        <v>121</v>
      </c>
      <c r="H26" s="108" t="s">
        <v>120</v>
      </c>
      <c r="I26" s="209" t="s">
        <v>151</v>
      </c>
      <c r="J26" s="209"/>
      <c r="K26" s="209"/>
      <c r="L26" s="71" t="s">
        <v>171</v>
      </c>
      <c r="M26" s="71" t="s">
        <v>182</v>
      </c>
      <c r="N26" s="208" t="s">
        <v>94</v>
      </c>
      <c r="O26" s="209"/>
      <c r="P26" s="209"/>
      <c r="Q26" s="209"/>
      <c r="R26" s="209"/>
      <c r="S26" s="210"/>
      <c r="T26" s="30" t="s">
        <v>121</v>
      </c>
      <c r="U26" s="108" t="s">
        <v>120</v>
      </c>
      <c r="V26" s="209" t="s">
        <v>151</v>
      </c>
      <c r="W26" s="209"/>
      <c r="X26" s="209"/>
      <c r="Y26" s="71" t="s">
        <v>171</v>
      </c>
      <c r="Z26" s="71" t="s">
        <v>182</v>
      </c>
    </row>
    <row r="27" spans="1:26" ht="18" customHeight="1">
      <c r="A27" s="14"/>
      <c r="B27" s="221" t="s">
        <v>197</v>
      </c>
      <c r="C27" s="222"/>
      <c r="D27" s="222"/>
      <c r="E27" s="222"/>
      <c r="F27" s="223"/>
      <c r="G27" s="109">
        <v>1</v>
      </c>
      <c r="H27" s="109" t="s">
        <v>145</v>
      </c>
      <c r="I27" s="191" t="s">
        <v>144</v>
      </c>
      <c r="J27" s="192"/>
      <c r="K27" s="193"/>
      <c r="L27" s="109" t="s">
        <v>145</v>
      </c>
      <c r="M27" s="109"/>
      <c r="N27" s="194"/>
      <c r="O27" s="195"/>
      <c r="P27" s="195"/>
      <c r="Q27" s="195"/>
      <c r="R27" s="195"/>
      <c r="S27" s="196"/>
      <c r="T27" s="109"/>
      <c r="U27" s="109"/>
      <c r="V27" s="191"/>
      <c r="W27" s="192"/>
      <c r="X27" s="193"/>
      <c r="Y27" s="109"/>
      <c r="Z27" s="109"/>
    </row>
    <row r="28" spans="1:26" ht="18" customHeight="1">
      <c r="A28" s="14"/>
      <c r="B28" s="197" t="s">
        <v>196</v>
      </c>
      <c r="C28" s="198"/>
      <c r="D28" s="198"/>
      <c r="E28" s="198"/>
      <c r="F28" s="199"/>
      <c r="G28" s="110">
        <v>1</v>
      </c>
      <c r="H28" s="110" t="s">
        <v>145</v>
      </c>
      <c r="I28" s="200" t="s">
        <v>144</v>
      </c>
      <c r="J28" s="201"/>
      <c r="K28" s="202"/>
      <c r="L28" s="110"/>
      <c r="M28" s="110" t="s">
        <v>145</v>
      </c>
      <c r="N28" s="203"/>
      <c r="O28" s="204"/>
      <c r="P28" s="204"/>
      <c r="Q28" s="204"/>
      <c r="R28" s="204"/>
      <c r="S28" s="205"/>
      <c r="T28" s="110"/>
      <c r="U28" s="110"/>
      <c r="V28" s="200"/>
      <c r="W28" s="201"/>
      <c r="X28" s="202"/>
      <c r="Y28" s="110"/>
      <c r="Z28" s="110"/>
    </row>
    <row r="29" spans="1:26" ht="18" customHeight="1">
      <c r="A29" s="14"/>
      <c r="B29" s="197" t="s">
        <v>251</v>
      </c>
      <c r="C29" s="198"/>
      <c r="D29" s="198"/>
      <c r="E29" s="198"/>
      <c r="F29" s="199"/>
      <c r="G29" s="110">
        <v>1</v>
      </c>
      <c r="H29" s="110" t="s">
        <v>145</v>
      </c>
      <c r="I29" s="200" t="s">
        <v>144</v>
      </c>
      <c r="J29" s="201"/>
      <c r="K29" s="202"/>
      <c r="L29" s="110" t="s">
        <v>145</v>
      </c>
      <c r="M29" s="110"/>
      <c r="N29" s="203"/>
      <c r="O29" s="204"/>
      <c r="P29" s="204"/>
      <c r="Q29" s="204"/>
      <c r="R29" s="204"/>
      <c r="S29" s="205"/>
      <c r="T29" s="110"/>
      <c r="U29" s="110"/>
      <c r="V29" s="200"/>
      <c r="W29" s="201"/>
      <c r="X29" s="202"/>
      <c r="Y29" s="110"/>
      <c r="Z29" s="110"/>
    </row>
    <row r="30" spans="1:26" ht="18" customHeight="1">
      <c r="A30" s="14"/>
      <c r="B30" s="197"/>
      <c r="C30" s="198"/>
      <c r="D30" s="198"/>
      <c r="E30" s="198"/>
      <c r="F30" s="199"/>
      <c r="G30" s="110"/>
      <c r="H30" s="110"/>
      <c r="I30" s="200"/>
      <c r="J30" s="201"/>
      <c r="K30" s="202"/>
      <c r="L30" s="110"/>
      <c r="M30" s="110"/>
      <c r="N30" s="203"/>
      <c r="O30" s="204"/>
      <c r="P30" s="204"/>
      <c r="Q30" s="204"/>
      <c r="R30" s="204"/>
      <c r="S30" s="205"/>
      <c r="T30" s="110"/>
      <c r="U30" s="110"/>
      <c r="V30" s="200"/>
      <c r="W30" s="201"/>
      <c r="X30" s="202"/>
      <c r="Y30" s="110"/>
      <c r="Z30" s="110"/>
    </row>
    <row r="31" spans="1:26" ht="18" customHeight="1">
      <c r="A31" s="14"/>
      <c r="B31" s="197"/>
      <c r="C31" s="198"/>
      <c r="D31" s="198"/>
      <c r="E31" s="198"/>
      <c r="F31" s="199"/>
      <c r="G31" s="110"/>
      <c r="H31" s="110"/>
      <c r="I31" s="200"/>
      <c r="J31" s="201"/>
      <c r="K31" s="202"/>
      <c r="L31" s="110"/>
      <c r="M31" s="110"/>
      <c r="N31" s="203"/>
      <c r="O31" s="204"/>
      <c r="P31" s="204"/>
      <c r="Q31" s="204"/>
      <c r="R31" s="204"/>
      <c r="S31" s="205"/>
      <c r="T31" s="110"/>
      <c r="U31" s="110"/>
      <c r="V31" s="200"/>
      <c r="W31" s="201"/>
      <c r="X31" s="202"/>
      <c r="Y31" s="110"/>
      <c r="Z31" s="110"/>
    </row>
    <row r="32" spans="1:26" ht="18" customHeight="1">
      <c r="A32" s="14"/>
      <c r="B32" s="197"/>
      <c r="C32" s="198"/>
      <c r="D32" s="198"/>
      <c r="E32" s="198"/>
      <c r="F32" s="199"/>
      <c r="G32" s="110"/>
      <c r="H32" s="110"/>
      <c r="I32" s="200"/>
      <c r="J32" s="201"/>
      <c r="K32" s="202"/>
      <c r="L32" s="110"/>
      <c r="M32" s="110"/>
      <c r="N32" s="203"/>
      <c r="O32" s="204"/>
      <c r="P32" s="204"/>
      <c r="Q32" s="204"/>
      <c r="R32" s="204"/>
      <c r="S32" s="205"/>
      <c r="T32" s="110"/>
      <c r="U32" s="110"/>
      <c r="V32" s="200"/>
      <c r="W32" s="201"/>
      <c r="X32" s="202"/>
      <c r="Y32" s="110"/>
      <c r="Z32" s="110"/>
    </row>
    <row r="33" spans="1:26" ht="18" customHeight="1">
      <c r="A33" s="14"/>
      <c r="B33" s="212"/>
      <c r="C33" s="213"/>
      <c r="D33" s="213"/>
      <c r="E33" s="213"/>
      <c r="F33" s="214"/>
      <c r="G33" s="111"/>
      <c r="H33" s="111"/>
      <c r="I33" s="215"/>
      <c r="J33" s="216"/>
      <c r="K33" s="217"/>
      <c r="L33" s="114"/>
      <c r="M33" s="114"/>
      <c r="N33" s="218"/>
      <c r="O33" s="219"/>
      <c r="P33" s="219"/>
      <c r="Q33" s="219"/>
      <c r="R33" s="219"/>
      <c r="S33" s="220"/>
      <c r="T33" s="111"/>
      <c r="U33" s="111"/>
      <c r="V33" s="215"/>
      <c r="W33" s="216"/>
      <c r="X33" s="217"/>
      <c r="Y33" s="114"/>
      <c r="Z33" s="114"/>
    </row>
    <row r="34" spans="1:26" ht="7.5" customHeight="1">
      <c r="A34" s="29"/>
      <c r="B34" s="72"/>
      <c r="C34" s="72"/>
      <c r="D34" s="29"/>
      <c r="E34" s="29"/>
      <c r="F34" s="29"/>
      <c r="G34" s="29"/>
      <c r="H34" s="29"/>
      <c r="I34" s="29"/>
      <c r="J34" s="29"/>
      <c r="K34" s="29"/>
      <c r="L34" s="72"/>
      <c r="M34" s="72"/>
      <c r="N34" s="72"/>
      <c r="O34" s="72"/>
      <c r="P34" s="72"/>
      <c r="Q34" s="72"/>
      <c r="R34" s="72"/>
      <c r="S34" s="72"/>
      <c r="T34" s="72"/>
      <c r="U34" s="72"/>
      <c r="V34" s="72"/>
      <c r="W34" s="72"/>
      <c r="X34" s="72"/>
      <c r="Y34" s="72"/>
      <c r="Z34" s="29"/>
    </row>
    <row r="35" spans="1:26" ht="18" customHeight="1">
      <c r="A35" s="211" t="s">
        <v>115</v>
      </c>
      <c r="B35" s="211"/>
      <c r="C35" s="211"/>
      <c r="D35" s="211"/>
      <c r="E35" s="211"/>
      <c r="F35" s="211"/>
      <c r="G35" s="211"/>
      <c r="H35" s="211"/>
      <c r="I35" s="211"/>
      <c r="J35" s="211"/>
      <c r="K35" s="211"/>
      <c r="L35" s="211"/>
      <c r="M35" s="211"/>
      <c r="N35" s="211"/>
      <c r="O35" s="211"/>
      <c r="P35" s="211"/>
      <c r="Q35" s="211"/>
      <c r="R35" s="211"/>
      <c r="S35" s="211"/>
      <c r="T35" s="211"/>
      <c r="U35" s="211"/>
      <c r="V35" s="211"/>
      <c r="W35" s="211"/>
      <c r="X35" s="211"/>
      <c r="Y35" s="211"/>
      <c r="Z35" s="211"/>
    </row>
    <row r="36" spans="1:26" ht="18" customHeight="1">
      <c r="A36" s="211"/>
      <c r="B36" s="211"/>
      <c r="C36" s="211"/>
      <c r="D36" s="211"/>
      <c r="E36" s="211"/>
      <c r="F36" s="211"/>
      <c r="G36" s="211"/>
      <c r="H36" s="211"/>
      <c r="I36" s="211"/>
      <c r="J36" s="211"/>
      <c r="K36" s="211"/>
      <c r="L36" s="211"/>
      <c r="M36" s="211"/>
      <c r="N36" s="211"/>
      <c r="O36" s="211"/>
      <c r="P36" s="211"/>
      <c r="Q36" s="211"/>
      <c r="R36" s="211"/>
      <c r="S36" s="211"/>
      <c r="T36" s="211"/>
      <c r="U36" s="211"/>
      <c r="V36" s="211"/>
      <c r="W36" s="211"/>
      <c r="X36" s="211"/>
      <c r="Y36" s="211"/>
      <c r="Z36" s="211"/>
    </row>
    <row r="37" spans="1:26" ht="18" customHeight="1">
      <c r="A37" s="14"/>
      <c r="B37" s="208" t="s">
        <v>94</v>
      </c>
      <c r="C37" s="209"/>
      <c r="D37" s="209"/>
      <c r="E37" s="209"/>
      <c r="F37" s="210"/>
      <c r="G37" s="30" t="s">
        <v>121</v>
      </c>
      <c r="H37" s="108" t="s">
        <v>120</v>
      </c>
      <c r="I37" s="208" t="s">
        <v>151</v>
      </c>
      <c r="J37" s="209"/>
      <c r="K37" s="210"/>
      <c r="L37" s="71" t="s">
        <v>150</v>
      </c>
      <c r="M37" s="71" t="s">
        <v>184</v>
      </c>
      <c r="N37" s="208" t="s">
        <v>94</v>
      </c>
      <c r="O37" s="209"/>
      <c r="P37" s="209"/>
      <c r="Q37" s="209"/>
      <c r="R37" s="209"/>
      <c r="S37" s="210"/>
      <c r="T37" s="30" t="s">
        <v>121</v>
      </c>
      <c r="U37" s="108" t="s">
        <v>120</v>
      </c>
      <c r="V37" s="208" t="s">
        <v>151</v>
      </c>
      <c r="W37" s="209"/>
      <c r="X37" s="210"/>
      <c r="Y37" s="71" t="s">
        <v>150</v>
      </c>
      <c r="Z37" s="71" t="s">
        <v>184</v>
      </c>
    </row>
    <row r="38" spans="1:26" ht="18" customHeight="1">
      <c r="A38" s="29"/>
      <c r="B38" s="221" t="s">
        <v>198</v>
      </c>
      <c r="C38" s="222"/>
      <c r="D38" s="222"/>
      <c r="E38" s="222"/>
      <c r="F38" s="223"/>
      <c r="G38" s="109">
        <v>1</v>
      </c>
      <c r="H38" s="109" t="s">
        <v>145</v>
      </c>
      <c r="I38" s="191" t="s">
        <v>144</v>
      </c>
      <c r="J38" s="192"/>
      <c r="K38" s="193"/>
      <c r="L38" s="109"/>
      <c r="M38" s="109" t="s">
        <v>145</v>
      </c>
      <c r="N38" s="194"/>
      <c r="O38" s="195"/>
      <c r="P38" s="195"/>
      <c r="Q38" s="195"/>
      <c r="R38" s="195"/>
      <c r="S38" s="196"/>
      <c r="T38" s="109"/>
      <c r="U38" s="109"/>
      <c r="V38" s="191"/>
      <c r="W38" s="192"/>
      <c r="X38" s="193"/>
      <c r="Y38" s="109"/>
      <c r="Z38" s="109"/>
    </row>
    <row r="39" spans="1:26" ht="18" customHeight="1">
      <c r="A39" s="29"/>
      <c r="B39" s="197" t="s">
        <v>199</v>
      </c>
      <c r="C39" s="198"/>
      <c r="D39" s="198"/>
      <c r="E39" s="198"/>
      <c r="F39" s="199"/>
      <c r="G39" s="110">
        <v>1</v>
      </c>
      <c r="H39" s="110" t="s">
        <v>145</v>
      </c>
      <c r="I39" s="200" t="s">
        <v>144</v>
      </c>
      <c r="J39" s="201"/>
      <c r="K39" s="202"/>
      <c r="L39" s="110" t="s">
        <v>145</v>
      </c>
      <c r="M39" s="110"/>
      <c r="N39" s="203"/>
      <c r="O39" s="204"/>
      <c r="P39" s="204"/>
      <c r="Q39" s="204"/>
      <c r="R39" s="204"/>
      <c r="S39" s="205"/>
      <c r="T39" s="110"/>
      <c r="U39" s="110"/>
      <c r="V39" s="200"/>
      <c r="W39" s="201"/>
      <c r="X39" s="202"/>
      <c r="Y39" s="110"/>
      <c r="Z39" s="110"/>
    </row>
    <row r="40" spans="1:26" ht="18" customHeight="1">
      <c r="A40" s="29"/>
      <c r="B40" s="197"/>
      <c r="C40" s="198"/>
      <c r="D40" s="198"/>
      <c r="E40" s="198"/>
      <c r="F40" s="199"/>
      <c r="G40" s="110"/>
      <c r="H40" s="110"/>
      <c r="I40" s="200"/>
      <c r="J40" s="201"/>
      <c r="K40" s="202"/>
      <c r="L40" s="110"/>
      <c r="M40" s="110"/>
      <c r="N40" s="203"/>
      <c r="O40" s="204"/>
      <c r="P40" s="204"/>
      <c r="Q40" s="204"/>
      <c r="R40" s="204"/>
      <c r="S40" s="205"/>
      <c r="T40" s="110"/>
      <c r="U40" s="110"/>
      <c r="V40" s="200"/>
      <c r="W40" s="201"/>
      <c r="X40" s="202"/>
      <c r="Y40" s="110"/>
      <c r="Z40" s="110"/>
    </row>
    <row r="41" spans="1:26" ht="18" customHeight="1">
      <c r="A41" s="29"/>
      <c r="B41" s="197"/>
      <c r="C41" s="198"/>
      <c r="D41" s="198"/>
      <c r="E41" s="198"/>
      <c r="F41" s="199"/>
      <c r="G41" s="110"/>
      <c r="H41" s="110"/>
      <c r="I41" s="200"/>
      <c r="J41" s="201"/>
      <c r="K41" s="202"/>
      <c r="L41" s="110"/>
      <c r="M41" s="110"/>
      <c r="N41" s="203"/>
      <c r="O41" s="204"/>
      <c r="P41" s="204"/>
      <c r="Q41" s="204"/>
      <c r="R41" s="204"/>
      <c r="S41" s="205"/>
      <c r="T41" s="110"/>
      <c r="U41" s="110"/>
      <c r="V41" s="200"/>
      <c r="W41" s="201"/>
      <c r="X41" s="202"/>
      <c r="Y41" s="110"/>
      <c r="Z41" s="110"/>
    </row>
    <row r="42" spans="1:26" ht="18" customHeight="1">
      <c r="A42" s="29"/>
      <c r="B42" s="197"/>
      <c r="C42" s="198"/>
      <c r="D42" s="198"/>
      <c r="E42" s="198"/>
      <c r="F42" s="199"/>
      <c r="G42" s="110"/>
      <c r="H42" s="110"/>
      <c r="I42" s="200"/>
      <c r="J42" s="201"/>
      <c r="K42" s="202"/>
      <c r="L42" s="110"/>
      <c r="M42" s="110"/>
      <c r="N42" s="203"/>
      <c r="O42" s="204"/>
      <c r="P42" s="204"/>
      <c r="Q42" s="204"/>
      <c r="R42" s="204"/>
      <c r="S42" s="205"/>
      <c r="T42" s="110"/>
      <c r="U42" s="110"/>
      <c r="V42" s="200"/>
      <c r="W42" s="201"/>
      <c r="X42" s="202"/>
      <c r="Y42" s="110"/>
      <c r="Z42" s="110"/>
    </row>
    <row r="43" spans="1:26" ht="18" customHeight="1">
      <c r="A43" s="29"/>
      <c r="B43" s="197"/>
      <c r="C43" s="198"/>
      <c r="D43" s="198"/>
      <c r="E43" s="198"/>
      <c r="F43" s="199"/>
      <c r="G43" s="110"/>
      <c r="H43" s="110"/>
      <c r="I43" s="200"/>
      <c r="J43" s="201"/>
      <c r="K43" s="202"/>
      <c r="L43" s="110"/>
      <c r="M43" s="110"/>
      <c r="N43" s="203"/>
      <c r="O43" s="204"/>
      <c r="P43" s="204"/>
      <c r="Q43" s="204"/>
      <c r="R43" s="204"/>
      <c r="S43" s="205"/>
      <c r="T43" s="110"/>
      <c r="U43" s="110"/>
      <c r="V43" s="200"/>
      <c r="W43" s="201"/>
      <c r="X43" s="202"/>
      <c r="Y43" s="110"/>
      <c r="Z43" s="110"/>
    </row>
    <row r="44" spans="1:26" ht="18" customHeight="1">
      <c r="A44" s="29"/>
      <c r="B44" s="212"/>
      <c r="C44" s="213"/>
      <c r="D44" s="213"/>
      <c r="E44" s="213"/>
      <c r="F44" s="214"/>
      <c r="G44" s="111"/>
      <c r="H44" s="111"/>
      <c r="I44" s="215"/>
      <c r="J44" s="216"/>
      <c r="K44" s="217"/>
      <c r="L44" s="114"/>
      <c r="M44" s="114"/>
      <c r="N44" s="218"/>
      <c r="O44" s="219"/>
      <c r="P44" s="219"/>
      <c r="Q44" s="219"/>
      <c r="R44" s="219"/>
      <c r="S44" s="220"/>
      <c r="T44" s="111"/>
      <c r="U44" s="111"/>
      <c r="V44" s="215"/>
      <c r="W44" s="216"/>
      <c r="X44" s="217"/>
      <c r="Y44" s="114"/>
      <c r="Z44" s="114"/>
    </row>
    <row r="45" spans="1:26" ht="7.5" customHeight="1">
      <c r="B45" s="73"/>
      <c r="C45" s="73"/>
      <c r="D45" s="73"/>
      <c r="E45" s="73"/>
      <c r="F45" s="73"/>
      <c r="G45" s="73"/>
      <c r="H45" s="73"/>
      <c r="I45" s="73"/>
      <c r="J45" s="73"/>
      <c r="K45" s="73"/>
      <c r="L45" s="73"/>
      <c r="M45" s="73"/>
      <c r="N45" s="73"/>
      <c r="O45" s="73"/>
      <c r="P45" s="73"/>
      <c r="Q45" s="73"/>
      <c r="R45" s="73"/>
      <c r="S45" s="73"/>
      <c r="T45" s="73"/>
      <c r="U45" s="73"/>
      <c r="V45" s="73"/>
      <c r="W45" s="73"/>
      <c r="X45" s="73"/>
      <c r="Y45" s="73"/>
    </row>
    <row r="46" spans="1:26" ht="18" customHeight="1">
      <c r="A46" s="211" t="s">
        <v>117</v>
      </c>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row>
    <row r="47" spans="1:26" ht="18" customHeight="1">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row>
    <row r="48" spans="1:26" ht="18" customHeight="1">
      <c r="A48" s="14"/>
      <c r="B48" s="208" t="s">
        <v>94</v>
      </c>
      <c r="C48" s="209"/>
      <c r="D48" s="209"/>
      <c r="E48" s="209"/>
      <c r="F48" s="210"/>
      <c r="G48" s="30" t="s">
        <v>121</v>
      </c>
      <c r="H48" s="108" t="s">
        <v>120</v>
      </c>
      <c r="I48" s="208" t="s">
        <v>151</v>
      </c>
      <c r="J48" s="209"/>
      <c r="K48" s="210"/>
      <c r="L48" s="71" t="s">
        <v>186</v>
      </c>
      <c r="M48" s="71" t="s">
        <v>154</v>
      </c>
      <c r="N48" s="208" t="s">
        <v>94</v>
      </c>
      <c r="O48" s="209"/>
      <c r="P48" s="209"/>
      <c r="Q48" s="209"/>
      <c r="R48" s="209"/>
      <c r="S48" s="210"/>
      <c r="T48" s="30" t="s">
        <v>121</v>
      </c>
      <c r="U48" s="108" t="s">
        <v>120</v>
      </c>
      <c r="V48" s="208" t="s">
        <v>151</v>
      </c>
      <c r="W48" s="209"/>
      <c r="X48" s="210"/>
      <c r="Y48" s="71" t="s">
        <v>186</v>
      </c>
      <c r="Z48" s="71" t="s">
        <v>154</v>
      </c>
    </row>
    <row r="49" spans="1:26" ht="18" customHeight="1">
      <c r="A49" s="29"/>
      <c r="B49" s="221" t="s">
        <v>198</v>
      </c>
      <c r="C49" s="222"/>
      <c r="D49" s="222"/>
      <c r="E49" s="222"/>
      <c r="F49" s="223"/>
      <c r="G49" s="109">
        <v>1</v>
      </c>
      <c r="H49" s="109" t="s">
        <v>145</v>
      </c>
      <c r="I49" s="191" t="s">
        <v>144</v>
      </c>
      <c r="J49" s="192"/>
      <c r="K49" s="193"/>
      <c r="L49" s="109" t="s">
        <v>145</v>
      </c>
      <c r="M49" s="109"/>
      <c r="N49" s="194"/>
      <c r="O49" s="195"/>
      <c r="P49" s="195"/>
      <c r="Q49" s="195"/>
      <c r="R49" s="195"/>
      <c r="S49" s="196"/>
      <c r="T49" s="109"/>
      <c r="U49" s="109"/>
      <c r="V49" s="191"/>
      <c r="W49" s="192"/>
      <c r="X49" s="193"/>
      <c r="Y49" s="109"/>
      <c r="Z49" s="109"/>
    </row>
    <row r="50" spans="1:26" ht="18" customHeight="1">
      <c r="A50" s="29"/>
      <c r="B50" s="197" t="s">
        <v>200</v>
      </c>
      <c r="C50" s="198"/>
      <c r="D50" s="198"/>
      <c r="E50" s="198"/>
      <c r="F50" s="199"/>
      <c r="G50" s="110">
        <v>1</v>
      </c>
      <c r="H50" s="110" t="s">
        <v>145</v>
      </c>
      <c r="I50" s="200" t="s">
        <v>144</v>
      </c>
      <c r="J50" s="201"/>
      <c r="K50" s="202"/>
      <c r="L50" s="110"/>
      <c r="M50" s="110" t="s">
        <v>145</v>
      </c>
      <c r="N50" s="203"/>
      <c r="O50" s="204"/>
      <c r="P50" s="204"/>
      <c r="Q50" s="204"/>
      <c r="R50" s="204"/>
      <c r="S50" s="205"/>
      <c r="T50" s="110"/>
      <c r="U50" s="110"/>
      <c r="V50" s="200"/>
      <c r="W50" s="201"/>
      <c r="X50" s="202"/>
      <c r="Y50" s="110"/>
      <c r="Z50" s="110"/>
    </row>
    <row r="51" spans="1:26" ht="18" customHeight="1">
      <c r="A51" s="29"/>
      <c r="B51" s="197" t="s">
        <v>252</v>
      </c>
      <c r="C51" s="198"/>
      <c r="D51" s="198"/>
      <c r="E51" s="198"/>
      <c r="F51" s="199"/>
      <c r="G51" s="110">
        <v>1</v>
      </c>
      <c r="H51" s="110" t="s">
        <v>145</v>
      </c>
      <c r="I51" s="200" t="s">
        <v>144</v>
      </c>
      <c r="J51" s="201"/>
      <c r="K51" s="202"/>
      <c r="L51" s="110" t="s">
        <v>145</v>
      </c>
      <c r="M51" s="110"/>
      <c r="N51" s="203"/>
      <c r="O51" s="204"/>
      <c r="P51" s="204"/>
      <c r="Q51" s="204"/>
      <c r="R51" s="204"/>
      <c r="S51" s="205"/>
      <c r="T51" s="110"/>
      <c r="U51" s="110"/>
      <c r="V51" s="200"/>
      <c r="W51" s="201"/>
      <c r="X51" s="202"/>
      <c r="Y51" s="110"/>
      <c r="Z51" s="110"/>
    </row>
    <row r="52" spans="1:26" ht="18" customHeight="1">
      <c r="A52" s="29"/>
      <c r="B52" s="197"/>
      <c r="C52" s="198"/>
      <c r="D52" s="198"/>
      <c r="E52" s="198"/>
      <c r="F52" s="199"/>
      <c r="G52" s="110"/>
      <c r="H52" s="110"/>
      <c r="I52" s="200"/>
      <c r="J52" s="201"/>
      <c r="K52" s="202"/>
      <c r="L52" s="110"/>
      <c r="M52" s="110"/>
      <c r="N52" s="203"/>
      <c r="O52" s="204"/>
      <c r="P52" s="204"/>
      <c r="Q52" s="204"/>
      <c r="R52" s="204"/>
      <c r="S52" s="205"/>
      <c r="T52" s="110"/>
      <c r="U52" s="110"/>
      <c r="V52" s="200"/>
      <c r="W52" s="201"/>
      <c r="X52" s="202"/>
      <c r="Y52" s="110"/>
      <c r="Z52" s="110"/>
    </row>
    <row r="53" spans="1:26" ht="18" customHeight="1">
      <c r="A53" s="29"/>
      <c r="B53" s="197"/>
      <c r="C53" s="198"/>
      <c r="D53" s="198"/>
      <c r="E53" s="198"/>
      <c r="F53" s="199"/>
      <c r="G53" s="110"/>
      <c r="H53" s="110"/>
      <c r="I53" s="200"/>
      <c r="J53" s="201"/>
      <c r="K53" s="202"/>
      <c r="L53" s="110"/>
      <c r="M53" s="110"/>
      <c r="N53" s="203"/>
      <c r="O53" s="204"/>
      <c r="P53" s="204"/>
      <c r="Q53" s="204"/>
      <c r="R53" s="204"/>
      <c r="S53" s="205"/>
      <c r="T53" s="110"/>
      <c r="U53" s="110"/>
      <c r="V53" s="200"/>
      <c r="W53" s="201"/>
      <c r="X53" s="202"/>
      <c r="Y53" s="110"/>
      <c r="Z53" s="110"/>
    </row>
    <row r="54" spans="1:26" ht="18" customHeight="1">
      <c r="A54" s="29"/>
      <c r="B54" s="197"/>
      <c r="C54" s="198"/>
      <c r="D54" s="198"/>
      <c r="E54" s="198"/>
      <c r="F54" s="199"/>
      <c r="G54" s="110"/>
      <c r="H54" s="110"/>
      <c r="I54" s="200"/>
      <c r="J54" s="201"/>
      <c r="K54" s="202"/>
      <c r="L54" s="110"/>
      <c r="M54" s="110"/>
      <c r="N54" s="203"/>
      <c r="O54" s="204"/>
      <c r="P54" s="204"/>
      <c r="Q54" s="204"/>
      <c r="R54" s="204"/>
      <c r="S54" s="205"/>
      <c r="T54" s="110"/>
      <c r="U54" s="110"/>
      <c r="V54" s="200"/>
      <c r="W54" s="201"/>
      <c r="X54" s="202"/>
      <c r="Y54" s="110"/>
      <c r="Z54" s="110"/>
    </row>
    <row r="55" spans="1:26" ht="18" customHeight="1">
      <c r="A55" s="29"/>
      <c r="B55" s="212"/>
      <c r="C55" s="213"/>
      <c r="D55" s="213"/>
      <c r="E55" s="213"/>
      <c r="F55" s="214"/>
      <c r="G55" s="111"/>
      <c r="H55" s="111"/>
      <c r="I55" s="215"/>
      <c r="J55" s="216"/>
      <c r="K55" s="217"/>
      <c r="L55" s="114"/>
      <c r="M55" s="114"/>
      <c r="N55" s="218"/>
      <c r="O55" s="219"/>
      <c r="P55" s="219"/>
      <c r="Q55" s="219"/>
      <c r="R55" s="219"/>
      <c r="S55" s="220"/>
      <c r="T55" s="111"/>
      <c r="U55" s="111"/>
      <c r="V55" s="215"/>
      <c r="W55" s="216"/>
      <c r="X55" s="217"/>
      <c r="Y55" s="114"/>
      <c r="Z55" s="114"/>
    </row>
    <row r="56" spans="1:26" ht="7.5" customHeight="1">
      <c r="B56" s="73"/>
      <c r="C56" s="73"/>
      <c r="D56" s="73"/>
      <c r="E56" s="73"/>
      <c r="F56" s="73"/>
      <c r="G56" s="73"/>
      <c r="H56" s="73"/>
      <c r="I56" s="73"/>
      <c r="J56" s="73"/>
      <c r="K56" s="73"/>
      <c r="L56" s="73"/>
      <c r="M56" s="73"/>
      <c r="N56" s="73"/>
      <c r="O56" s="73"/>
      <c r="P56" s="73"/>
      <c r="Q56" s="73"/>
      <c r="R56" s="73"/>
      <c r="S56" s="73"/>
      <c r="T56" s="73"/>
      <c r="U56" s="73"/>
      <c r="V56" s="73"/>
      <c r="W56" s="73"/>
      <c r="X56" s="73"/>
      <c r="Y56" s="73"/>
    </row>
    <row r="57" spans="1:26" ht="18" customHeight="1">
      <c r="A57" s="211" t="s">
        <v>201</v>
      </c>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row>
    <row r="58" spans="1:26" ht="18" customHeight="1">
      <c r="A58" s="211"/>
      <c r="B58" s="211"/>
      <c r="C58" s="211"/>
      <c r="D58" s="211"/>
      <c r="E58" s="211"/>
      <c r="F58" s="211"/>
      <c r="G58" s="211"/>
      <c r="H58" s="211"/>
      <c r="I58" s="211"/>
      <c r="J58" s="211"/>
      <c r="K58" s="211"/>
      <c r="L58" s="211"/>
      <c r="M58" s="211"/>
      <c r="N58" s="211"/>
      <c r="O58" s="211"/>
      <c r="P58" s="211"/>
      <c r="Q58" s="211"/>
      <c r="R58" s="211"/>
      <c r="S58" s="211"/>
      <c r="T58" s="211"/>
      <c r="U58" s="211"/>
      <c r="V58" s="211"/>
      <c r="W58" s="211"/>
      <c r="X58" s="211"/>
      <c r="Y58" s="211"/>
      <c r="Z58" s="211"/>
    </row>
    <row r="59" spans="1:26" ht="18" customHeight="1">
      <c r="A59" s="14"/>
      <c r="B59" s="208" t="s">
        <v>94</v>
      </c>
      <c r="C59" s="209"/>
      <c r="D59" s="209"/>
      <c r="E59" s="210"/>
      <c r="F59" s="30" t="s">
        <v>121</v>
      </c>
      <c r="G59" s="108" t="s">
        <v>120</v>
      </c>
      <c r="H59" s="103" t="s">
        <v>151</v>
      </c>
      <c r="I59" s="104"/>
      <c r="J59" s="105"/>
      <c r="K59" s="71" t="s">
        <v>158</v>
      </c>
      <c r="L59" s="71" t="s">
        <v>189</v>
      </c>
      <c r="M59" s="71" t="s">
        <v>177</v>
      </c>
      <c r="N59" s="208" t="s">
        <v>94</v>
      </c>
      <c r="O59" s="209"/>
      <c r="P59" s="209"/>
      <c r="Q59" s="209"/>
      <c r="R59" s="210"/>
      <c r="S59" s="30" t="s">
        <v>121</v>
      </c>
      <c r="T59" s="108" t="s">
        <v>120</v>
      </c>
      <c r="U59" s="103" t="s">
        <v>151</v>
      </c>
      <c r="V59" s="104"/>
      <c r="W59" s="105"/>
      <c r="X59" s="71" t="s">
        <v>158</v>
      </c>
      <c r="Y59" s="71" t="s">
        <v>189</v>
      </c>
      <c r="Z59" s="71" t="s">
        <v>177</v>
      </c>
    </row>
    <row r="60" spans="1:26" ht="18" customHeight="1">
      <c r="A60" s="29"/>
      <c r="B60" s="194" t="s">
        <v>196</v>
      </c>
      <c r="C60" s="195"/>
      <c r="D60" s="195"/>
      <c r="E60" s="196"/>
      <c r="F60" s="109">
        <v>1</v>
      </c>
      <c r="G60" s="109" t="s">
        <v>145</v>
      </c>
      <c r="H60" s="191" t="s">
        <v>144</v>
      </c>
      <c r="I60" s="192"/>
      <c r="J60" s="193"/>
      <c r="K60" s="118" t="s">
        <v>203</v>
      </c>
      <c r="L60" s="109" t="s">
        <v>203</v>
      </c>
      <c r="M60" s="109" t="s">
        <v>145</v>
      </c>
      <c r="N60" s="194"/>
      <c r="O60" s="195"/>
      <c r="P60" s="195"/>
      <c r="Q60" s="195"/>
      <c r="R60" s="196"/>
      <c r="S60" s="109"/>
      <c r="T60" s="109"/>
      <c r="U60" s="191"/>
      <c r="V60" s="192"/>
      <c r="W60" s="193"/>
      <c r="X60" s="118"/>
      <c r="Y60" s="109"/>
      <c r="Z60" s="109"/>
    </row>
    <row r="61" spans="1:26" ht="18" customHeight="1">
      <c r="A61" s="29"/>
      <c r="B61" s="203" t="s">
        <v>204</v>
      </c>
      <c r="C61" s="204"/>
      <c r="D61" s="204"/>
      <c r="E61" s="205"/>
      <c r="F61" s="110">
        <v>2</v>
      </c>
      <c r="G61" s="110" t="s">
        <v>145</v>
      </c>
      <c r="H61" s="200" t="s">
        <v>144</v>
      </c>
      <c r="I61" s="201"/>
      <c r="J61" s="202"/>
      <c r="K61" s="119" t="s">
        <v>202</v>
      </c>
      <c r="L61" s="110" t="s">
        <v>145</v>
      </c>
      <c r="M61" s="110" t="s">
        <v>145</v>
      </c>
      <c r="N61" s="203"/>
      <c r="O61" s="204"/>
      <c r="P61" s="204"/>
      <c r="Q61" s="204"/>
      <c r="R61" s="205"/>
      <c r="S61" s="110"/>
      <c r="T61" s="110"/>
      <c r="U61" s="200"/>
      <c r="V61" s="201"/>
      <c r="W61" s="202"/>
      <c r="X61" s="116"/>
      <c r="Y61" s="110"/>
      <c r="Z61" s="110"/>
    </row>
    <row r="62" spans="1:26" ht="18" customHeight="1">
      <c r="A62" s="29"/>
      <c r="B62" s="203" t="s">
        <v>253</v>
      </c>
      <c r="C62" s="204"/>
      <c r="D62" s="204"/>
      <c r="E62" s="205"/>
      <c r="F62" s="110">
        <v>1</v>
      </c>
      <c r="G62" s="110" t="s">
        <v>145</v>
      </c>
      <c r="H62" s="200" t="s">
        <v>144</v>
      </c>
      <c r="I62" s="201"/>
      <c r="J62" s="202"/>
      <c r="K62" s="119" t="s">
        <v>254</v>
      </c>
      <c r="L62" s="110" t="s">
        <v>145</v>
      </c>
      <c r="M62" s="110" t="s">
        <v>145</v>
      </c>
      <c r="N62" s="203"/>
      <c r="O62" s="204"/>
      <c r="P62" s="204"/>
      <c r="Q62" s="204"/>
      <c r="R62" s="205"/>
      <c r="S62" s="110"/>
      <c r="T62" s="110"/>
      <c r="U62" s="200"/>
      <c r="V62" s="201"/>
      <c r="W62" s="202"/>
      <c r="X62" s="116"/>
      <c r="Y62" s="110"/>
      <c r="Z62" s="110"/>
    </row>
    <row r="63" spans="1:26" ht="18" customHeight="1">
      <c r="A63" s="29"/>
      <c r="B63" s="203"/>
      <c r="C63" s="204"/>
      <c r="D63" s="204"/>
      <c r="E63" s="205"/>
      <c r="F63" s="110"/>
      <c r="G63" s="110"/>
      <c r="H63" s="200"/>
      <c r="I63" s="201"/>
      <c r="J63" s="202"/>
      <c r="K63" s="116"/>
      <c r="L63" s="110"/>
      <c r="M63" s="110"/>
      <c r="N63" s="203"/>
      <c r="O63" s="204"/>
      <c r="P63" s="204"/>
      <c r="Q63" s="204"/>
      <c r="R63" s="205"/>
      <c r="S63" s="110"/>
      <c r="T63" s="110"/>
      <c r="U63" s="200"/>
      <c r="V63" s="201"/>
      <c r="W63" s="202"/>
      <c r="X63" s="116"/>
      <c r="Y63" s="110"/>
      <c r="Z63" s="110"/>
    </row>
    <row r="64" spans="1:26" ht="18" customHeight="1">
      <c r="A64" s="29"/>
      <c r="B64" s="203"/>
      <c r="C64" s="204"/>
      <c r="D64" s="204"/>
      <c r="E64" s="205"/>
      <c r="F64" s="110"/>
      <c r="G64" s="110"/>
      <c r="H64" s="200"/>
      <c r="I64" s="201"/>
      <c r="J64" s="202"/>
      <c r="K64" s="116"/>
      <c r="L64" s="110"/>
      <c r="M64" s="110"/>
      <c r="N64" s="203"/>
      <c r="O64" s="204"/>
      <c r="P64" s="204"/>
      <c r="Q64" s="204"/>
      <c r="R64" s="205"/>
      <c r="S64" s="110"/>
      <c r="T64" s="110"/>
      <c r="U64" s="200"/>
      <c r="V64" s="201"/>
      <c r="W64" s="202"/>
      <c r="X64" s="116"/>
      <c r="Y64" s="110"/>
      <c r="Z64" s="110"/>
    </row>
    <row r="65" spans="1:26" ht="18" customHeight="1">
      <c r="A65" s="29"/>
      <c r="B65" s="203"/>
      <c r="C65" s="204"/>
      <c r="D65" s="204"/>
      <c r="E65" s="205"/>
      <c r="F65" s="110"/>
      <c r="G65" s="110"/>
      <c r="H65" s="200"/>
      <c r="I65" s="201"/>
      <c r="J65" s="202"/>
      <c r="K65" s="116"/>
      <c r="L65" s="110"/>
      <c r="M65" s="110"/>
      <c r="N65" s="203"/>
      <c r="O65" s="204"/>
      <c r="P65" s="204"/>
      <c r="Q65" s="204"/>
      <c r="R65" s="205"/>
      <c r="S65" s="110"/>
      <c r="T65" s="110"/>
      <c r="U65" s="200"/>
      <c r="V65" s="201"/>
      <c r="W65" s="202"/>
      <c r="X65" s="116"/>
      <c r="Y65" s="110"/>
      <c r="Z65" s="110"/>
    </row>
    <row r="66" spans="1:26" ht="18" customHeight="1">
      <c r="A66" s="29"/>
      <c r="B66" s="218"/>
      <c r="C66" s="219"/>
      <c r="D66" s="219"/>
      <c r="E66" s="220"/>
      <c r="F66" s="111"/>
      <c r="G66" s="111"/>
      <c r="H66" s="215"/>
      <c r="I66" s="216"/>
      <c r="J66" s="217"/>
      <c r="K66" s="117"/>
      <c r="L66" s="114"/>
      <c r="M66" s="114"/>
      <c r="N66" s="218"/>
      <c r="O66" s="219"/>
      <c r="P66" s="219"/>
      <c r="Q66" s="219"/>
      <c r="R66" s="220"/>
      <c r="S66" s="111"/>
      <c r="T66" s="111"/>
      <c r="U66" s="215"/>
      <c r="V66" s="216"/>
      <c r="W66" s="217"/>
      <c r="X66" s="117"/>
      <c r="Y66" s="114"/>
      <c r="Z66" s="114"/>
    </row>
    <row r="67" spans="1:26" ht="7.5" customHeight="1">
      <c r="B67" s="73"/>
      <c r="C67" s="73"/>
      <c r="D67" s="73"/>
      <c r="E67" s="73"/>
      <c r="F67" s="73"/>
      <c r="G67" s="73"/>
      <c r="H67" s="73"/>
      <c r="I67" s="73"/>
      <c r="J67" s="73"/>
      <c r="K67" s="73"/>
      <c r="L67" s="73"/>
      <c r="M67" s="73"/>
      <c r="N67" s="73"/>
      <c r="O67" s="73"/>
      <c r="P67" s="73"/>
      <c r="Q67" s="73"/>
      <c r="R67" s="73"/>
      <c r="S67" s="73"/>
      <c r="T67" s="73"/>
      <c r="U67" s="73"/>
      <c r="V67" s="73"/>
      <c r="W67" s="73"/>
      <c r="X67" s="73"/>
      <c r="Y67" s="73"/>
    </row>
    <row r="68" spans="1:26" ht="18" customHeight="1">
      <c r="A68" s="14" t="s">
        <v>119</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208" t="s">
        <v>94</v>
      </c>
      <c r="C69" s="209"/>
      <c r="D69" s="209"/>
      <c r="E69" s="209"/>
      <c r="F69" s="210"/>
      <c r="G69" s="208" t="s">
        <v>124</v>
      </c>
      <c r="H69" s="209"/>
      <c r="I69" s="209"/>
      <c r="J69" s="209"/>
      <c r="K69" s="209"/>
      <c r="L69" s="209"/>
      <c r="M69" s="210"/>
      <c r="N69" s="230" t="s">
        <v>94</v>
      </c>
      <c r="O69" s="231"/>
      <c r="P69" s="231"/>
      <c r="Q69" s="231"/>
      <c r="R69" s="231"/>
      <c r="S69" s="232"/>
      <c r="T69" s="208" t="s">
        <v>124</v>
      </c>
      <c r="U69" s="209"/>
      <c r="V69" s="209"/>
      <c r="W69" s="209"/>
      <c r="X69" s="209"/>
      <c r="Y69" s="209"/>
      <c r="Z69" s="210"/>
    </row>
    <row r="70" spans="1:26" ht="18" customHeight="1">
      <c r="A70" s="29"/>
      <c r="B70" s="194"/>
      <c r="C70" s="195"/>
      <c r="D70" s="195"/>
      <c r="E70" s="195"/>
      <c r="F70" s="196"/>
      <c r="G70" s="224"/>
      <c r="H70" s="225"/>
      <c r="I70" s="225"/>
      <c r="J70" s="225"/>
      <c r="K70" s="225"/>
      <c r="L70" s="225"/>
      <c r="M70" s="226"/>
      <c r="N70" s="194"/>
      <c r="O70" s="195"/>
      <c r="P70" s="195"/>
      <c r="Q70" s="195"/>
      <c r="R70" s="195"/>
      <c r="S70" s="196"/>
      <c r="T70" s="224"/>
      <c r="U70" s="225"/>
      <c r="V70" s="225"/>
      <c r="W70" s="225"/>
      <c r="X70" s="225"/>
      <c r="Y70" s="225"/>
      <c r="Z70" s="226"/>
    </row>
    <row r="71" spans="1:26" ht="18" customHeight="1">
      <c r="A71" s="29"/>
      <c r="B71" s="203"/>
      <c r="C71" s="204"/>
      <c r="D71" s="204"/>
      <c r="E71" s="204"/>
      <c r="F71" s="205"/>
      <c r="G71" s="227"/>
      <c r="H71" s="228"/>
      <c r="I71" s="228"/>
      <c r="J71" s="228"/>
      <c r="K71" s="228"/>
      <c r="L71" s="228"/>
      <c r="M71" s="229"/>
      <c r="N71" s="203"/>
      <c r="O71" s="204"/>
      <c r="P71" s="204"/>
      <c r="Q71" s="204"/>
      <c r="R71" s="204"/>
      <c r="S71" s="205"/>
      <c r="T71" s="227"/>
      <c r="U71" s="228"/>
      <c r="V71" s="228"/>
      <c r="W71" s="228"/>
      <c r="X71" s="228"/>
      <c r="Y71" s="228"/>
      <c r="Z71" s="229"/>
    </row>
    <row r="72" spans="1:26" ht="18" customHeight="1">
      <c r="A72" s="29"/>
      <c r="B72" s="203"/>
      <c r="C72" s="204"/>
      <c r="D72" s="204"/>
      <c r="E72" s="204"/>
      <c r="F72" s="205"/>
      <c r="G72" s="227"/>
      <c r="H72" s="228"/>
      <c r="I72" s="228"/>
      <c r="J72" s="228"/>
      <c r="K72" s="228"/>
      <c r="L72" s="228"/>
      <c r="M72" s="229"/>
      <c r="N72" s="203"/>
      <c r="O72" s="204"/>
      <c r="P72" s="204"/>
      <c r="Q72" s="204"/>
      <c r="R72" s="204"/>
      <c r="S72" s="205"/>
      <c r="T72" s="227"/>
      <c r="U72" s="228"/>
      <c r="V72" s="228"/>
      <c r="W72" s="228"/>
      <c r="X72" s="228"/>
      <c r="Y72" s="228"/>
      <c r="Z72" s="229"/>
    </row>
    <row r="73" spans="1:26" ht="18" customHeight="1">
      <c r="A73" s="29"/>
      <c r="B73" s="203"/>
      <c r="C73" s="204"/>
      <c r="D73" s="204"/>
      <c r="E73" s="204"/>
      <c r="F73" s="205"/>
      <c r="G73" s="227"/>
      <c r="H73" s="228"/>
      <c r="I73" s="228"/>
      <c r="J73" s="228"/>
      <c r="K73" s="228"/>
      <c r="L73" s="228"/>
      <c r="M73" s="229"/>
      <c r="N73" s="203"/>
      <c r="O73" s="204"/>
      <c r="P73" s="204"/>
      <c r="Q73" s="204"/>
      <c r="R73" s="204"/>
      <c r="S73" s="205"/>
      <c r="T73" s="227"/>
      <c r="U73" s="228"/>
      <c r="V73" s="228"/>
      <c r="W73" s="228"/>
      <c r="X73" s="228"/>
      <c r="Y73" s="228"/>
      <c r="Z73" s="229"/>
    </row>
    <row r="74" spans="1:26" ht="18" customHeight="1">
      <c r="A74" s="29"/>
      <c r="B74" s="203"/>
      <c r="C74" s="204"/>
      <c r="D74" s="204"/>
      <c r="E74" s="204"/>
      <c r="F74" s="205"/>
      <c r="G74" s="227"/>
      <c r="H74" s="228"/>
      <c r="I74" s="228"/>
      <c r="J74" s="228"/>
      <c r="K74" s="228"/>
      <c r="L74" s="228"/>
      <c r="M74" s="229"/>
      <c r="N74" s="203"/>
      <c r="O74" s="204"/>
      <c r="P74" s="204"/>
      <c r="Q74" s="204"/>
      <c r="R74" s="204"/>
      <c r="S74" s="205"/>
      <c r="T74" s="227"/>
      <c r="U74" s="228"/>
      <c r="V74" s="228"/>
      <c r="W74" s="228"/>
      <c r="X74" s="228"/>
      <c r="Y74" s="228"/>
      <c r="Z74" s="229"/>
    </row>
    <row r="75" spans="1:26" ht="18" customHeight="1">
      <c r="A75" s="29"/>
      <c r="B75" s="203"/>
      <c r="C75" s="204"/>
      <c r="D75" s="204"/>
      <c r="E75" s="204"/>
      <c r="F75" s="205"/>
      <c r="G75" s="227"/>
      <c r="H75" s="228"/>
      <c r="I75" s="228"/>
      <c r="J75" s="228"/>
      <c r="K75" s="228"/>
      <c r="L75" s="228"/>
      <c r="M75" s="229"/>
      <c r="N75" s="203"/>
      <c r="O75" s="204"/>
      <c r="P75" s="204"/>
      <c r="Q75" s="204"/>
      <c r="R75" s="204"/>
      <c r="S75" s="205"/>
      <c r="T75" s="227"/>
      <c r="U75" s="228"/>
      <c r="V75" s="228"/>
      <c r="W75" s="228"/>
      <c r="X75" s="228"/>
      <c r="Y75" s="228"/>
      <c r="Z75" s="229"/>
    </row>
    <row r="76" spans="1:26" ht="18" customHeight="1">
      <c r="A76" s="29"/>
      <c r="B76" s="218"/>
      <c r="C76" s="219"/>
      <c r="D76" s="219"/>
      <c r="E76" s="219"/>
      <c r="F76" s="220"/>
      <c r="G76" s="235"/>
      <c r="H76" s="236"/>
      <c r="I76" s="236"/>
      <c r="J76" s="236"/>
      <c r="K76" s="236"/>
      <c r="L76" s="236"/>
      <c r="M76" s="237"/>
      <c r="N76" s="218"/>
      <c r="O76" s="219"/>
      <c r="P76" s="219"/>
      <c r="Q76" s="219"/>
      <c r="R76" s="219"/>
      <c r="S76" s="220"/>
      <c r="T76" s="235"/>
      <c r="U76" s="236"/>
      <c r="V76" s="236"/>
      <c r="W76" s="236"/>
      <c r="X76" s="236"/>
      <c r="Y76" s="236"/>
      <c r="Z76" s="237"/>
    </row>
    <row r="77" spans="1:26" ht="18" customHeight="1">
      <c r="A77" s="29"/>
      <c r="B77" s="115"/>
      <c r="C77" s="115"/>
      <c r="D77" s="115"/>
      <c r="E77" s="115"/>
      <c r="F77" s="115"/>
      <c r="G77" s="12"/>
      <c r="H77" s="12"/>
      <c r="I77" s="12"/>
      <c r="J77" s="12"/>
      <c r="K77" s="12"/>
      <c r="L77" s="12"/>
      <c r="M77" s="12"/>
      <c r="N77" s="115"/>
      <c r="O77" s="115"/>
      <c r="P77" s="115"/>
      <c r="Q77" s="115"/>
      <c r="R77" s="115"/>
      <c r="S77" s="115"/>
      <c r="T77" s="12"/>
      <c r="U77" s="12"/>
      <c r="V77" s="12"/>
      <c r="W77" s="12"/>
      <c r="X77" s="12"/>
      <c r="Y77" s="12"/>
      <c r="Z77" s="12"/>
    </row>
    <row r="78" spans="1:26" ht="18.75" customHeight="1">
      <c r="A78" s="13" t="s">
        <v>205</v>
      </c>
    </row>
    <row r="79" spans="1:26" ht="18.75" customHeight="1">
      <c r="B79" s="74" t="s">
        <v>206</v>
      </c>
      <c r="C79" s="75"/>
      <c r="D79" s="238" t="s">
        <v>96</v>
      </c>
      <c r="E79" s="238"/>
      <c r="F79" s="238"/>
      <c r="G79" s="238"/>
      <c r="H79" s="238"/>
      <c r="I79" s="238"/>
      <c r="J79" s="238"/>
      <c r="K79" s="238"/>
      <c r="L79" s="238"/>
      <c r="M79" s="238"/>
      <c r="N79" s="238"/>
      <c r="O79" s="238"/>
      <c r="P79" s="238"/>
      <c r="Q79" s="238"/>
      <c r="R79" s="238"/>
      <c r="S79" s="238"/>
      <c r="T79" s="238"/>
      <c r="U79" s="238"/>
      <c r="V79" s="238"/>
      <c r="W79" s="238"/>
      <c r="X79" s="238"/>
      <c r="Y79" s="238"/>
      <c r="Z79" s="239"/>
    </row>
    <row r="80" spans="1:26" ht="78" customHeight="1">
      <c r="B80" s="240" t="s">
        <v>207</v>
      </c>
      <c r="C80" s="81" t="s">
        <v>208</v>
      </c>
      <c r="D80" s="252" t="s">
        <v>209</v>
      </c>
      <c r="E80" s="252"/>
      <c r="F80" s="252"/>
      <c r="G80" s="252"/>
      <c r="H80" s="252"/>
      <c r="I80" s="252"/>
      <c r="J80" s="252"/>
      <c r="K80" s="252"/>
      <c r="L80" s="252"/>
      <c r="M80" s="252"/>
      <c r="N80" s="252"/>
      <c r="O80" s="252"/>
      <c r="P80" s="252"/>
      <c r="Q80" s="252"/>
      <c r="R80" s="252"/>
      <c r="S80" s="252"/>
      <c r="T80" s="252"/>
      <c r="U80" s="252"/>
      <c r="V80" s="252"/>
      <c r="W80" s="252"/>
      <c r="X80" s="252"/>
      <c r="Y80" s="252"/>
      <c r="Z80" s="253"/>
    </row>
    <row r="81" spans="1:26" ht="78" customHeight="1">
      <c r="B81" s="241"/>
      <c r="C81" s="106" t="s">
        <v>210</v>
      </c>
      <c r="D81" s="281" t="s">
        <v>211</v>
      </c>
      <c r="E81" s="281"/>
      <c r="F81" s="281"/>
      <c r="G81" s="281"/>
      <c r="H81" s="281"/>
      <c r="I81" s="281"/>
      <c r="J81" s="281"/>
      <c r="K81" s="281"/>
      <c r="L81" s="281"/>
      <c r="M81" s="281"/>
      <c r="N81" s="281"/>
      <c r="O81" s="281"/>
      <c r="P81" s="281"/>
      <c r="Q81" s="281"/>
      <c r="R81" s="281"/>
      <c r="S81" s="281"/>
      <c r="T81" s="281"/>
      <c r="U81" s="281"/>
      <c r="V81" s="281"/>
      <c r="W81" s="281"/>
      <c r="X81" s="281"/>
      <c r="Y81" s="281"/>
      <c r="Z81" s="282"/>
    </row>
    <row r="82" spans="1:26" ht="78" customHeight="1">
      <c r="B82" s="233" t="s">
        <v>212</v>
      </c>
      <c r="C82" s="76" t="s">
        <v>213</v>
      </c>
      <c r="D82" s="272" t="s">
        <v>308</v>
      </c>
      <c r="E82" s="273"/>
      <c r="F82" s="273"/>
      <c r="G82" s="273"/>
      <c r="H82" s="273"/>
      <c r="I82" s="273"/>
      <c r="J82" s="273"/>
      <c r="K82" s="273"/>
      <c r="L82" s="273"/>
      <c r="M82" s="273"/>
      <c r="N82" s="273"/>
      <c r="O82" s="273"/>
      <c r="P82" s="273"/>
      <c r="Q82" s="273"/>
      <c r="R82" s="273"/>
      <c r="S82" s="273"/>
      <c r="T82" s="273"/>
      <c r="U82" s="273"/>
      <c r="V82" s="273"/>
      <c r="W82" s="273"/>
      <c r="X82" s="273"/>
      <c r="Y82" s="273"/>
      <c r="Z82" s="274"/>
    </row>
    <row r="83" spans="1:26" ht="78" customHeight="1">
      <c r="B83" s="234"/>
      <c r="C83" s="107" t="s">
        <v>214</v>
      </c>
      <c r="D83" s="276" t="s">
        <v>211</v>
      </c>
      <c r="E83" s="276"/>
      <c r="F83" s="276"/>
      <c r="G83" s="276"/>
      <c r="H83" s="276"/>
      <c r="I83" s="276"/>
      <c r="J83" s="276"/>
      <c r="K83" s="276"/>
      <c r="L83" s="276"/>
      <c r="M83" s="276"/>
      <c r="N83" s="276"/>
      <c r="O83" s="276"/>
      <c r="P83" s="276"/>
      <c r="Q83" s="276"/>
      <c r="R83" s="276"/>
      <c r="S83" s="276"/>
      <c r="T83" s="276"/>
      <c r="U83" s="276"/>
      <c r="V83" s="276"/>
      <c r="W83" s="276"/>
      <c r="X83" s="276"/>
      <c r="Y83" s="276"/>
      <c r="Z83" s="277"/>
    </row>
    <row r="84" spans="1:26" ht="66" customHeight="1">
      <c r="B84" s="233" t="s">
        <v>215</v>
      </c>
      <c r="C84" s="76" t="s">
        <v>216</v>
      </c>
      <c r="D84" s="273" t="s">
        <v>217</v>
      </c>
      <c r="E84" s="273"/>
      <c r="F84" s="273"/>
      <c r="G84" s="273"/>
      <c r="H84" s="273"/>
      <c r="I84" s="273"/>
      <c r="J84" s="273"/>
      <c r="K84" s="273"/>
      <c r="L84" s="273"/>
      <c r="M84" s="273"/>
      <c r="N84" s="273"/>
      <c r="O84" s="273"/>
      <c r="P84" s="273"/>
      <c r="Q84" s="273"/>
      <c r="R84" s="273"/>
      <c r="S84" s="273"/>
      <c r="T84" s="273"/>
      <c r="U84" s="273"/>
      <c r="V84" s="273"/>
      <c r="W84" s="273"/>
      <c r="X84" s="273"/>
      <c r="Y84" s="273"/>
      <c r="Z84" s="274"/>
    </row>
    <row r="85" spans="1:26" ht="66" customHeight="1">
      <c r="B85" s="234"/>
      <c r="C85" s="78" t="s">
        <v>218</v>
      </c>
      <c r="D85" s="279" t="s">
        <v>219</v>
      </c>
      <c r="E85" s="279"/>
      <c r="F85" s="279"/>
      <c r="G85" s="279"/>
      <c r="H85" s="279"/>
      <c r="I85" s="279"/>
      <c r="J85" s="279"/>
      <c r="K85" s="279"/>
      <c r="L85" s="279"/>
      <c r="M85" s="279"/>
      <c r="N85" s="279"/>
      <c r="O85" s="279"/>
      <c r="P85" s="279"/>
      <c r="Q85" s="279"/>
      <c r="R85" s="279"/>
      <c r="S85" s="279"/>
      <c r="T85" s="279"/>
      <c r="U85" s="279"/>
      <c r="V85" s="279"/>
      <c r="W85" s="279"/>
      <c r="X85" s="279"/>
      <c r="Y85" s="279"/>
      <c r="Z85" s="280"/>
    </row>
    <row r="86" spans="1:26" ht="82.5" customHeight="1">
      <c r="B86" s="240" t="s">
        <v>220</v>
      </c>
      <c r="C86" s="81" t="s">
        <v>185</v>
      </c>
      <c r="D86" s="278" t="s">
        <v>309</v>
      </c>
      <c r="E86" s="252"/>
      <c r="F86" s="252"/>
      <c r="G86" s="252"/>
      <c r="H86" s="252"/>
      <c r="I86" s="252"/>
      <c r="J86" s="252"/>
      <c r="K86" s="252"/>
      <c r="L86" s="252"/>
      <c r="M86" s="252"/>
      <c r="N86" s="252"/>
      <c r="O86" s="252"/>
      <c r="P86" s="252"/>
      <c r="Q86" s="252"/>
      <c r="R86" s="252"/>
      <c r="S86" s="252"/>
      <c r="T86" s="252"/>
      <c r="U86" s="252"/>
      <c r="V86" s="252"/>
      <c r="W86" s="252"/>
      <c r="X86" s="252"/>
      <c r="Y86" s="252"/>
      <c r="Z86" s="253"/>
    </row>
    <row r="87" spans="1:26" ht="66.75" customHeight="1">
      <c r="B87" s="251"/>
      <c r="C87" s="77" t="s">
        <v>221</v>
      </c>
      <c r="D87" s="254" t="s">
        <v>222</v>
      </c>
      <c r="E87" s="254"/>
      <c r="F87" s="254"/>
      <c r="G87" s="254"/>
      <c r="H87" s="254"/>
      <c r="I87" s="254"/>
      <c r="J87" s="254"/>
      <c r="K87" s="254"/>
      <c r="L87" s="254"/>
      <c r="M87" s="254"/>
      <c r="N87" s="254"/>
      <c r="O87" s="254"/>
      <c r="P87" s="254"/>
      <c r="Q87" s="254"/>
      <c r="R87" s="254"/>
      <c r="S87" s="254"/>
      <c r="T87" s="254"/>
      <c r="U87" s="254"/>
      <c r="V87" s="254"/>
      <c r="W87" s="254"/>
      <c r="X87" s="254"/>
      <c r="Y87" s="254"/>
      <c r="Z87" s="255"/>
    </row>
    <row r="88" spans="1:26" ht="81" customHeight="1">
      <c r="B88" s="240" t="s">
        <v>223</v>
      </c>
      <c r="C88" s="76" t="s">
        <v>188</v>
      </c>
      <c r="D88" s="256" t="s">
        <v>311</v>
      </c>
      <c r="E88" s="257"/>
      <c r="F88" s="257"/>
      <c r="G88" s="257"/>
      <c r="H88" s="257"/>
      <c r="I88" s="257"/>
      <c r="J88" s="257"/>
      <c r="K88" s="257"/>
      <c r="L88" s="257"/>
      <c r="M88" s="257"/>
      <c r="N88" s="257"/>
      <c r="O88" s="257"/>
      <c r="P88" s="257"/>
      <c r="Q88" s="257"/>
      <c r="R88" s="257"/>
      <c r="S88" s="257"/>
      <c r="T88" s="257"/>
      <c r="U88" s="257"/>
      <c r="V88" s="257"/>
      <c r="W88" s="257"/>
      <c r="X88" s="257"/>
      <c r="Y88" s="257"/>
      <c r="Z88" s="258"/>
    </row>
    <row r="89" spans="1:26" ht="83.25" customHeight="1">
      <c r="B89" s="241"/>
      <c r="C89" s="77" t="s">
        <v>195</v>
      </c>
      <c r="D89" s="259" t="s">
        <v>310</v>
      </c>
      <c r="E89" s="260"/>
      <c r="F89" s="260"/>
      <c r="G89" s="260"/>
      <c r="H89" s="260"/>
      <c r="I89" s="260"/>
      <c r="J89" s="260"/>
      <c r="K89" s="260"/>
      <c r="L89" s="260"/>
      <c r="M89" s="260"/>
      <c r="N89" s="260"/>
      <c r="O89" s="260"/>
      <c r="P89" s="260"/>
      <c r="Q89" s="260"/>
      <c r="R89" s="260"/>
      <c r="S89" s="260"/>
      <c r="T89" s="260"/>
      <c r="U89" s="260"/>
      <c r="V89" s="260"/>
      <c r="W89" s="260"/>
      <c r="X89" s="260"/>
      <c r="Y89" s="260"/>
      <c r="Z89" s="261"/>
    </row>
    <row r="90" spans="1:26" ht="87" customHeight="1">
      <c r="B90" s="234"/>
      <c r="C90" s="78" t="s">
        <v>224</v>
      </c>
      <c r="D90" s="262" t="s">
        <v>312</v>
      </c>
      <c r="E90" s="249"/>
      <c r="F90" s="249"/>
      <c r="G90" s="249"/>
      <c r="H90" s="249"/>
      <c r="I90" s="249"/>
      <c r="J90" s="249"/>
      <c r="K90" s="249"/>
      <c r="L90" s="249"/>
      <c r="M90" s="249"/>
      <c r="N90" s="249"/>
      <c r="O90" s="249"/>
      <c r="P90" s="249"/>
      <c r="Q90" s="249"/>
      <c r="R90" s="249"/>
      <c r="S90" s="249"/>
      <c r="T90" s="249"/>
      <c r="U90" s="249"/>
      <c r="V90" s="249"/>
      <c r="W90" s="249"/>
      <c r="X90" s="249"/>
      <c r="Y90" s="249"/>
      <c r="Z90" s="250"/>
    </row>
    <row r="91" spans="1:26" ht="6" customHeight="1"/>
    <row r="92" spans="1:26" ht="18.75" customHeight="1">
      <c r="A92" s="13" t="s">
        <v>225</v>
      </c>
    </row>
    <row r="93" spans="1:26" ht="18.75" customHeight="1">
      <c r="B93" s="242" t="s">
        <v>347</v>
      </c>
      <c r="C93" s="243"/>
      <c r="D93" s="243"/>
      <c r="E93" s="243"/>
      <c r="F93" s="243"/>
      <c r="G93" s="243"/>
      <c r="H93" s="243"/>
      <c r="I93" s="243"/>
      <c r="J93" s="243"/>
      <c r="K93" s="243"/>
      <c r="L93" s="243"/>
      <c r="M93" s="243"/>
      <c r="N93" s="243"/>
      <c r="O93" s="243"/>
      <c r="P93" s="243"/>
      <c r="Q93" s="243"/>
      <c r="R93" s="243"/>
      <c r="S93" s="243"/>
      <c r="T93" s="243"/>
      <c r="U93" s="243"/>
      <c r="V93" s="243"/>
      <c r="W93" s="243"/>
      <c r="X93" s="243"/>
      <c r="Y93" s="243"/>
      <c r="Z93" s="244"/>
    </row>
    <row r="94" spans="1:26" ht="18.75" customHeight="1">
      <c r="B94" s="245"/>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7"/>
    </row>
    <row r="95" spans="1:26" ht="43.5" customHeight="1">
      <c r="B95" s="248"/>
      <c r="C95" s="249"/>
      <c r="D95" s="249"/>
      <c r="E95" s="249"/>
      <c r="F95" s="249"/>
      <c r="G95" s="249"/>
      <c r="H95" s="249"/>
      <c r="I95" s="249"/>
      <c r="J95" s="249"/>
      <c r="K95" s="249"/>
      <c r="L95" s="249"/>
      <c r="M95" s="249"/>
      <c r="N95" s="249"/>
      <c r="O95" s="249"/>
      <c r="P95" s="249"/>
      <c r="Q95" s="249"/>
      <c r="R95" s="249"/>
      <c r="S95" s="249"/>
      <c r="T95" s="249"/>
      <c r="U95" s="249"/>
      <c r="V95" s="249"/>
      <c r="W95" s="249"/>
      <c r="X95" s="249"/>
      <c r="Y95" s="249"/>
      <c r="Z95" s="250"/>
    </row>
    <row r="96" spans="1:26" ht="6" customHeight="1"/>
    <row r="97" spans="1:26" ht="15" customHeight="1">
      <c r="A97" s="13" t="s">
        <v>226</v>
      </c>
    </row>
    <row r="98" spans="1:26" ht="15" customHeight="1">
      <c r="B98" s="444" t="s">
        <v>349</v>
      </c>
      <c r="C98" s="445"/>
      <c r="D98" s="445"/>
      <c r="E98" s="445"/>
      <c r="F98" s="445"/>
      <c r="G98" s="445"/>
      <c r="H98" s="445"/>
      <c r="I98" s="445"/>
      <c r="J98" s="445"/>
      <c r="K98" s="445"/>
      <c r="L98" s="445"/>
      <c r="M98" s="445"/>
      <c r="N98" s="445"/>
      <c r="O98" s="445"/>
      <c r="P98" s="445"/>
      <c r="Q98" s="445"/>
      <c r="R98" s="445"/>
      <c r="S98" s="445"/>
      <c r="T98" s="445"/>
      <c r="U98" s="445"/>
      <c r="V98" s="445"/>
      <c r="W98" s="445"/>
      <c r="X98" s="445"/>
      <c r="Y98" s="445"/>
      <c r="Z98" s="446"/>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Y16:Z22 L16:M22 Y27:Z33 L38:M44 Y38:Z44 Y49:Z55 Y60:Z66 H16:H22 U16:U22 T60:T66 U27:U33 H38:H44 U38:U44 L27:M33 U49:U55 L49:M55 H27:H33 H49:H55 G60:G66 L60:M66">
      <formula1>"○"</formula1>
    </dataValidation>
    <dataValidation type="list" allowBlank="1" showInputMessage="1" showErrorMessage="1" sqref="Z23 Z34 D34:K34 D23:K23 V16:V22 I16:I22 V27:V33 I49:I55 V38:V44 I38:I44 V49:V55 I27:I33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86" orientation="landscape" r:id="rId1"/>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election activeCell="A13" sqref="A13:Z14"/>
    </sheetView>
  </sheetViews>
  <sheetFormatPr defaultColWidth="9" defaultRowHeight="18.75" customHeight="1"/>
  <cols>
    <col min="1" max="1" width="2.5" style="13" customWidth="1"/>
    <col min="2" max="2" width="27.62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206" t="s">
        <v>249</v>
      </c>
      <c r="X1" s="206"/>
      <c r="Y1" s="206"/>
      <c r="Z1" s="206"/>
    </row>
    <row r="2" spans="1:26" ht="18" customHeight="1">
      <c r="A2" s="207" t="s">
        <v>63</v>
      </c>
      <c r="B2" s="207"/>
      <c r="C2" s="207"/>
      <c r="D2" s="207"/>
      <c r="E2" s="207"/>
      <c r="F2" s="207"/>
      <c r="G2" s="207"/>
      <c r="H2" s="207"/>
      <c r="I2" s="207"/>
      <c r="J2" s="207"/>
      <c r="K2" s="207"/>
      <c r="L2" s="207"/>
      <c r="M2" s="207"/>
      <c r="N2" s="207"/>
      <c r="O2" s="207"/>
      <c r="P2" s="207"/>
      <c r="Q2" s="207"/>
      <c r="R2" s="207"/>
      <c r="S2" s="207"/>
      <c r="T2" s="207"/>
      <c r="U2" s="207"/>
      <c r="V2" s="207"/>
      <c r="W2" s="207"/>
      <c r="X2" s="207"/>
      <c r="Y2" s="207"/>
      <c r="Z2" s="207"/>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227</v>
      </c>
      <c r="B4" s="29"/>
      <c r="C4" s="29"/>
      <c r="D4" s="29"/>
      <c r="E4" s="29"/>
      <c r="F4" s="29"/>
      <c r="G4" s="29"/>
      <c r="H4" s="14" t="s">
        <v>101</v>
      </c>
      <c r="I4" s="29"/>
      <c r="J4" s="29"/>
      <c r="K4" s="29"/>
      <c r="L4" s="29"/>
      <c r="M4" s="29"/>
      <c r="N4" s="29"/>
      <c r="O4" s="208" t="s">
        <v>143</v>
      </c>
      <c r="P4" s="209"/>
      <c r="Q4" s="209"/>
      <c r="R4" s="209"/>
      <c r="S4" s="209"/>
      <c r="T4" s="209"/>
      <c r="U4" s="209"/>
      <c r="V4" s="209"/>
      <c r="W4" s="209"/>
      <c r="X4" s="209"/>
      <c r="Y4" s="209"/>
      <c r="Z4" s="210"/>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A6" s="133"/>
      <c r="B6" s="424" t="s">
        <v>377</v>
      </c>
      <c r="C6" s="425"/>
      <c r="D6" s="425"/>
      <c r="E6" s="425"/>
      <c r="F6" s="425"/>
      <c r="G6" s="425"/>
      <c r="H6" s="425"/>
      <c r="I6" s="425"/>
      <c r="J6" s="425"/>
      <c r="K6" s="425"/>
      <c r="L6" s="425"/>
      <c r="M6" s="425"/>
      <c r="N6" s="425"/>
      <c r="O6" s="425"/>
      <c r="P6" s="425"/>
      <c r="Q6" s="425"/>
      <c r="R6" s="425"/>
      <c r="S6" s="425"/>
      <c r="T6" s="425"/>
      <c r="U6" s="425"/>
      <c r="V6" s="425"/>
      <c r="W6" s="425"/>
      <c r="X6" s="425"/>
      <c r="Y6" s="425"/>
      <c r="Z6" s="426"/>
    </row>
    <row r="7" spans="1:26" ht="18" customHeight="1">
      <c r="A7" s="133"/>
      <c r="B7" s="427"/>
      <c r="C7" s="428"/>
      <c r="D7" s="428"/>
      <c r="E7" s="428"/>
      <c r="F7" s="428"/>
      <c r="G7" s="428"/>
      <c r="H7" s="428"/>
      <c r="I7" s="428"/>
      <c r="J7" s="428"/>
      <c r="K7" s="428"/>
      <c r="L7" s="428"/>
      <c r="M7" s="428"/>
      <c r="N7" s="428"/>
      <c r="O7" s="428"/>
      <c r="P7" s="428"/>
      <c r="Q7" s="428"/>
      <c r="R7" s="428"/>
      <c r="S7" s="428"/>
      <c r="T7" s="428"/>
      <c r="U7" s="428"/>
      <c r="V7" s="428"/>
      <c r="W7" s="428"/>
      <c r="X7" s="428"/>
      <c r="Y7" s="428"/>
      <c r="Z7" s="429"/>
    </row>
    <row r="8" spans="1:26" ht="18" customHeight="1">
      <c r="A8" s="133"/>
      <c r="B8" s="427"/>
      <c r="C8" s="428"/>
      <c r="D8" s="428"/>
      <c r="E8" s="428"/>
      <c r="F8" s="428"/>
      <c r="G8" s="428"/>
      <c r="H8" s="428"/>
      <c r="I8" s="428"/>
      <c r="J8" s="428"/>
      <c r="K8" s="428"/>
      <c r="L8" s="428"/>
      <c r="M8" s="428"/>
      <c r="N8" s="428"/>
      <c r="O8" s="428"/>
      <c r="P8" s="428"/>
      <c r="Q8" s="428"/>
      <c r="R8" s="428"/>
      <c r="S8" s="428"/>
      <c r="T8" s="428"/>
      <c r="U8" s="428"/>
      <c r="V8" s="428"/>
      <c r="W8" s="428"/>
      <c r="X8" s="428"/>
      <c r="Y8" s="428"/>
      <c r="Z8" s="429"/>
    </row>
    <row r="9" spans="1:26" ht="18" customHeight="1">
      <c r="A9" s="133"/>
      <c r="B9" s="427"/>
      <c r="C9" s="428"/>
      <c r="D9" s="428"/>
      <c r="E9" s="428"/>
      <c r="F9" s="428"/>
      <c r="G9" s="428"/>
      <c r="H9" s="428"/>
      <c r="I9" s="428"/>
      <c r="J9" s="428"/>
      <c r="K9" s="428"/>
      <c r="L9" s="428"/>
      <c r="M9" s="428"/>
      <c r="N9" s="428"/>
      <c r="O9" s="428"/>
      <c r="P9" s="428"/>
      <c r="Q9" s="428"/>
      <c r="R9" s="428"/>
      <c r="S9" s="428"/>
      <c r="T9" s="428"/>
      <c r="U9" s="428"/>
      <c r="V9" s="428"/>
      <c r="W9" s="428"/>
      <c r="X9" s="428"/>
      <c r="Y9" s="428"/>
      <c r="Z9" s="429"/>
    </row>
    <row r="10" spans="1:26" ht="18" customHeight="1">
      <c r="A10" s="133"/>
      <c r="B10" s="427"/>
      <c r="C10" s="428"/>
      <c r="D10" s="428"/>
      <c r="E10" s="428"/>
      <c r="F10" s="428"/>
      <c r="G10" s="428"/>
      <c r="H10" s="428"/>
      <c r="I10" s="428"/>
      <c r="J10" s="428"/>
      <c r="K10" s="428"/>
      <c r="L10" s="428"/>
      <c r="M10" s="428"/>
      <c r="N10" s="428"/>
      <c r="O10" s="428"/>
      <c r="P10" s="428"/>
      <c r="Q10" s="428"/>
      <c r="R10" s="428"/>
      <c r="S10" s="428"/>
      <c r="T10" s="428"/>
      <c r="U10" s="428"/>
      <c r="V10" s="428"/>
      <c r="W10" s="428"/>
      <c r="X10" s="428"/>
      <c r="Y10" s="428"/>
      <c r="Z10" s="429"/>
    </row>
    <row r="11" spans="1:26" ht="18" customHeight="1">
      <c r="A11" s="133"/>
      <c r="B11" s="430"/>
      <c r="C11" s="431"/>
      <c r="D11" s="431"/>
      <c r="E11" s="431"/>
      <c r="F11" s="431"/>
      <c r="G11" s="431"/>
      <c r="H11" s="431"/>
      <c r="I11" s="431"/>
      <c r="J11" s="431"/>
      <c r="K11" s="431"/>
      <c r="L11" s="431"/>
      <c r="M11" s="431"/>
      <c r="N11" s="431"/>
      <c r="O11" s="431"/>
      <c r="P11" s="431"/>
      <c r="Q11" s="431"/>
      <c r="R11" s="431"/>
      <c r="S11" s="431"/>
      <c r="T11" s="431"/>
      <c r="U11" s="431"/>
      <c r="V11" s="431"/>
      <c r="W11" s="431"/>
      <c r="X11" s="431"/>
      <c r="Y11" s="431"/>
      <c r="Z11" s="432"/>
    </row>
    <row r="12" spans="1:26" ht="7.5" customHeight="1">
      <c r="A12" s="133"/>
      <c r="B12" s="134"/>
      <c r="C12" s="134"/>
      <c r="D12" s="134"/>
      <c r="E12" s="134"/>
      <c r="F12" s="134"/>
      <c r="G12" s="134"/>
      <c r="H12" s="134"/>
      <c r="I12" s="134"/>
      <c r="J12" s="134"/>
      <c r="K12" s="134"/>
      <c r="L12" s="134"/>
      <c r="M12" s="134"/>
      <c r="N12" s="134"/>
      <c r="O12" s="134"/>
      <c r="P12" s="134"/>
      <c r="Q12" s="134"/>
      <c r="R12" s="134"/>
      <c r="S12" s="134"/>
      <c r="T12" s="134"/>
      <c r="U12" s="134"/>
      <c r="V12" s="134"/>
      <c r="W12" s="134"/>
      <c r="X12" s="134"/>
      <c r="Y12" s="134"/>
      <c r="Z12" s="134"/>
    </row>
    <row r="13" spans="1:26" ht="18" customHeight="1">
      <c r="A13" s="301" t="s">
        <v>113</v>
      </c>
      <c r="B13" s="301"/>
      <c r="C13" s="301"/>
      <c r="D13" s="301"/>
      <c r="E13" s="301"/>
      <c r="F13" s="301"/>
      <c r="G13" s="301"/>
      <c r="H13" s="301"/>
      <c r="I13" s="301"/>
      <c r="J13" s="301"/>
      <c r="K13" s="301"/>
      <c r="L13" s="301"/>
      <c r="M13" s="301"/>
      <c r="N13" s="301"/>
      <c r="O13" s="301"/>
      <c r="P13" s="301"/>
      <c r="Q13" s="301"/>
      <c r="R13" s="301"/>
      <c r="S13" s="301"/>
      <c r="T13" s="301"/>
      <c r="U13" s="301"/>
      <c r="V13" s="301"/>
      <c r="W13" s="301"/>
      <c r="X13" s="301"/>
      <c r="Y13" s="301"/>
      <c r="Z13" s="301"/>
    </row>
    <row r="14" spans="1:26" ht="18" customHeight="1">
      <c r="A14" s="301"/>
      <c r="B14" s="301"/>
      <c r="C14" s="301"/>
      <c r="D14" s="301"/>
      <c r="E14" s="301"/>
      <c r="F14" s="301"/>
      <c r="G14" s="301"/>
      <c r="H14" s="301"/>
      <c r="I14" s="301"/>
      <c r="J14" s="301"/>
      <c r="K14" s="301"/>
      <c r="L14" s="301"/>
      <c r="M14" s="301"/>
      <c r="N14" s="301"/>
      <c r="O14" s="301"/>
      <c r="P14" s="301"/>
      <c r="Q14" s="301"/>
      <c r="R14" s="301"/>
      <c r="S14" s="301"/>
      <c r="T14" s="301"/>
      <c r="U14" s="301"/>
      <c r="V14" s="301"/>
      <c r="W14" s="301"/>
      <c r="X14" s="301"/>
      <c r="Y14" s="301"/>
      <c r="Z14" s="301"/>
    </row>
    <row r="15" spans="1:26" ht="18" customHeight="1">
      <c r="A15" s="69"/>
      <c r="B15" s="184" t="s">
        <v>94</v>
      </c>
      <c r="C15" s="185"/>
      <c r="D15" s="185"/>
      <c r="E15" s="185"/>
      <c r="F15" s="186"/>
      <c r="G15" s="135" t="s">
        <v>121</v>
      </c>
      <c r="H15" s="136" t="s">
        <v>120</v>
      </c>
      <c r="I15" s="185" t="s">
        <v>95</v>
      </c>
      <c r="J15" s="185"/>
      <c r="K15" s="185"/>
      <c r="L15" s="137" t="s">
        <v>228</v>
      </c>
      <c r="M15" s="137" t="s">
        <v>100</v>
      </c>
      <c r="N15" s="184" t="s">
        <v>94</v>
      </c>
      <c r="O15" s="185"/>
      <c r="P15" s="185"/>
      <c r="Q15" s="185"/>
      <c r="R15" s="185"/>
      <c r="S15" s="186"/>
      <c r="T15" s="135" t="s">
        <v>121</v>
      </c>
      <c r="U15" s="136" t="s">
        <v>120</v>
      </c>
      <c r="V15" s="185" t="s">
        <v>95</v>
      </c>
      <c r="W15" s="185"/>
      <c r="X15" s="185"/>
      <c r="Y15" s="137" t="s">
        <v>228</v>
      </c>
      <c r="Z15" s="137" t="s">
        <v>100</v>
      </c>
    </row>
    <row r="16" spans="1:26" ht="18" customHeight="1">
      <c r="A16" s="69"/>
      <c r="B16" s="283" t="s">
        <v>153</v>
      </c>
      <c r="C16" s="284"/>
      <c r="D16" s="284"/>
      <c r="E16" s="284"/>
      <c r="F16" s="285"/>
      <c r="G16" s="138">
        <v>1</v>
      </c>
      <c r="H16" s="138" t="s">
        <v>145</v>
      </c>
      <c r="I16" s="286" t="s">
        <v>144</v>
      </c>
      <c r="J16" s="287"/>
      <c r="K16" s="288"/>
      <c r="L16" s="138" t="s">
        <v>145</v>
      </c>
      <c r="M16" s="138" t="s">
        <v>145</v>
      </c>
      <c r="N16" s="289"/>
      <c r="O16" s="290"/>
      <c r="P16" s="290"/>
      <c r="Q16" s="290"/>
      <c r="R16" s="290"/>
      <c r="S16" s="291"/>
      <c r="T16" s="138"/>
      <c r="U16" s="138"/>
      <c r="V16" s="286"/>
      <c r="W16" s="287"/>
      <c r="X16" s="288"/>
      <c r="Y16" s="138"/>
      <c r="Z16" s="138"/>
    </row>
    <row r="17" spans="1:26" ht="18" customHeight="1">
      <c r="A17" s="69"/>
      <c r="B17" s="292"/>
      <c r="C17" s="293"/>
      <c r="D17" s="293"/>
      <c r="E17" s="293"/>
      <c r="F17" s="294"/>
      <c r="G17" s="139"/>
      <c r="H17" s="139"/>
      <c r="I17" s="295"/>
      <c r="J17" s="296"/>
      <c r="K17" s="297"/>
      <c r="L17" s="139"/>
      <c r="M17" s="139"/>
      <c r="N17" s="298"/>
      <c r="O17" s="299"/>
      <c r="P17" s="299"/>
      <c r="Q17" s="299"/>
      <c r="R17" s="299"/>
      <c r="S17" s="300"/>
      <c r="T17" s="139"/>
      <c r="U17" s="139"/>
      <c r="V17" s="295"/>
      <c r="W17" s="296"/>
      <c r="X17" s="297"/>
      <c r="Y17" s="139"/>
      <c r="Z17" s="139"/>
    </row>
    <row r="18" spans="1:26" ht="18" customHeight="1">
      <c r="A18" s="69"/>
      <c r="B18" s="292"/>
      <c r="C18" s="293"/>
      <c r="D18" s="293"/>
      <c r="E18" s="293"/>
      <c r="F18" s="294"/>
      <c r="G18" s="139"/>
      <c r="H18" s="139"/>
      <c r="I18" s="295"/>
      <c r="J18" s="296"/>
      <c r="K18" s="297"/>
      <c r="L18" s="139"/>
      <c r="M18" s="139"/>
      <c r="N18" s="298"/>
      <c r="O18" s="299"/>
      <c r="P18" s="299"/>
      <c r="Q18" s="299"/>
      <c r="R18" s="299"/>
      <c r="S18" s="300"/>
      <c r="T18" s="139"/>
      <c r="U18" s="139"/>
      <c r="V18" s="295"/>
      <c r="W18" s="296"/>
      <c r="X18" s="297"/>
      <c r="Y18" s="139"/>
      <c r="Z18" s="139"/>
    </row>
    <row r="19" spans="1:26" ht="18" customHeight="1">
      <c r="A19" s="69"/>
      <c r="B19" s="292"/>
      <c r="C19" s="293"/>
      <c r="D19" s="293"/>
      <c r="E19" s="293"/>
      <c r="F19" s="294"/>
      <c r="G19" s="139"/>
      <c r="H19" s="139"/>
      <c r="I19" s="295"/>
      <c r="J19" s="296"/>
      <c r="K19" s="297"/>
      <c r="L19" s="139"/>
      <c r="M19" s="139"/>
      <c r="N19" s="298"/>
      <c r="O19" s="299"/>
      <c r="P19" s="299"/>
      <c r="Q19" s="299"/>
      <c r="R19" s="299"/>
      <c r="S19" s="300"/>
      <c r="T19" s="139"/>
      <c r="U19" s="139"/>
      <c r="V19" s="295"/>
      <c r="W19" s="296"/>
      <c r="X19" s="297"/>
      <c r="Y19" s="139"/>
      <c r="Z19" s="139"/>
    </row>
    <row r="20" spans="1:26" ht="18" customHeight="1">
      <c r="A20" s="69"/>
      <c r="B20" s="292"/>
      <c r="C20" s="293"/>
      <c r="D20" s="293"/>
      <c r="E20" s="293"/>
      <c r="F20" s="294"/>
      <c r="G20" s="139"/>
      <c r="H20" s="139"/>
      <c r="I20" s="295"/>
      <c r="J20" s="296"/>
      <c r="K20" s="297"/>
      <c r="L20" s="139"/>
      <c r="M20" s="139"/>
      <c r="N20" s="298"/>
      <c r="O20" s="299"/>
      <c r="P20" s="299"/>
      <c r="Q20" s="299"/>
      <c r="R20" s="299"/>
      <c r="S20" s="300"/>
      <c r="T20" s="139"/>
      <c r="U20" s="139"/>
      <c r="V20" s="295"/>
      <c r="W20" s="296"/>
      <c r="X20" s="297"/>
      <c r="Y20" s="139"/>
      <c r="Z20" s="139"/>
    </row>
    <row r="21" spans="1:26" ht="18" customHeight="1">
      <c r="A21" s="134"/>
      <c r="B21" s="292"/>
      <c r="C21" s="293"/>
      <c r="D21" s="293"/>
      <c r="E21" s="293"/>
      <c r="F21" s="294"/>
      <c r="G21" s="139"/>
      <c r="H21" s="139"/>
      <c r="I21" s="295"/>
      <c r="J21" s="296"/>
      <c r="K21" s="297"/>
      <c r="L21" s="139"/>
      <c r="M21" s="139"/>
      <c r="N21" s="298"/>
      <c r="O21" s="299"/>
      <c r="P21" s="299"/>
      <c r="Q21" s="299"/>
      <c r="R21" s="299"/>
      <c r="S21" s="300"/>
      <c r="T21" s="139"/>
      <c r="U21" s="139"/>
      <c r="V21" s="295"/>
      <c r="W21" s="296"/>
      <c r="X21" s="297"/>
      <c r="Y21" s="139"/>
      <c r="Z21" s="139"/>
    </row>
    <row r="22" spans="1:26" ht="18" customHeight="1">
      <c r="A22" s="134"/>
      <c r="B22" s="302"/>
      <c r="C22" s="303"/>
      <c r="D22" s="303"/>
      <c r="E22" s="303"/>
      <c r="F22" s="304"/>
      <c r="G22" s="140"/>
      <c r="H22" s="140"/>
      <c r="I22" s="305"/>
      <c r="J22" s="306"/>
      <c r="K22" s="307"/>
      <c r="L22" s="141"/>
      <c r="M22" s="141"/>
      <c r="N22" s="308"/>
      <c r="O22" s="309"/>
      <c r="P22" s="309"/>
      <c r="Q22" s="309"/>
      <c r="R22" s="309"/>
      <c r="S22" s="310"/>
      <c r="T22" s="140"/>
      <c r="U22" s="140"/>
      <c r="V22" s="305"/>
      <c r="W22" s="306"/>
      <c r="X22" s="307"/>
      <c r="Y22" s="141"/>
      <c r="Z22" s="141"/>
    </row>
    <row r="23" spans="1:26" ht="7.5" customHeight="1">
      <c r="A23" s="134"/>
      <c r="B23" s="142"/>
      <c r="C23" s="142"/>
      <c r="D23" s="134"/>
      <c r="E23" s="134"/>
      <c r="F23" s="134"/>
      <c r="G23" s="134"/>
      <c r="H23" s="134"/>
      <c r="I23" s="134"/>
      <c r="J23" s="134"/>
      <c r="K23" s="134"/>
      <c r="L23" s="142"/>
      <c r="M23" s="142"/>
      <c r="N23" s="142"/>
      <c r="O23" s="142"/>
      <c r="P23" s="142"/>
      <c r="Q23" s="142"/>
      <c r="R23" s="142"/>
      <c r="S23" s="142"/>
      <c r="T23" s="142"/>
      <c r="U23" s="142"/>
      <c r="V23" s="142"/>
      <c r="W23" s="142"/>
      <c r="X23" s="142"/>
      <c r="Y23" s="142"/>
      <c r="Z23" s="134"/>
    </row>
    <row r="24" spans="1:26" ht="18" customHeight="1">
      <c r="A24" s="301" t="s">
        <v>114</v>
      </c>
      <c r="B24" s="301"/>
      <c r="C24" s="301"/>
      <c r="D24" s="301"/>
      <c r="E24" s="301"/>
      <c r="F24" s="301"/>
      <c r="G24" s="301"/>
      <c r="H24" s="301"/>
      <c r="I24" s="301"/>
      <c r="J24" s="301"/>
      <c r="K24" s="301"/>
      <c r="L24" s="301"/>
      <c r="M24" s="301"/>
      <c r="N24" s="301"/>
      <c r="O24" s="301"/>
      <c r="P24" s="301"/>
      <c r="Q24" s="301"/>
      <c r="R24" s="301"/>
      <c r="S24" s="301"/>
      <c r="T24" s="301"/>
      <c r="U24" s="301"/>
      <c r="V24" s="301"/>
      <c r="W24" s="301"/>
      <c r="X24" s="301"/>
      <c r="Y24" s="301"/>
      <c r="Z24" s="301"/>
    </row>
    <row r="25" spans="1:26" ht="18" customHeight="1">
      <c r="A25" s="301"/>
      <c r="B25" s="301"/>
      <c r="C25" s="301"/>
      <c r="D25" s="301"/>
      <c r="E25" s="301"/>
      <c r="F25" s="301"/>
      <c r="G25" s="301"/>
      <c r="H25" s="301"/>
      <c r="I25" s="301"/>
      <c r="J25" s="301"/>
      <c r="K25" s="301"/>
      <c r="L25" s="301"/>
      <c r="M25" s="301"/>
      <c r="N25" s="301"/>
      <c r="O25" s="301"/>
      <c r="P25" s="301"/>
      <c r="Q25" s="301"/>
      <c r="R25" s="301"/>
      <c r="S25" s="301"/>
      <c r="T25" s="301"/>
      <c r="U25" s="301"/>
      <c r="V25" s="301"/>
      <c r="W25" s="301"/>
      <c r="X25" s="301"/>
      <c r="Y25" s="301"/>
      <c r="Z25" s="301"/>
    </row>
    <row r="26" spans="1:26" ht="18" customHeight="1">
      <c r="A26" s="69"/>
      <c r="B26" s="184" t="s">
        <v>94</v>
      </c>
      <c r="C26" s="185"/>
      <c r="D26" s="185"/>
      <c r="E26" s="185"/>
      <c r="F26" s="186"/>
      <c r="G26" s="135" t="s">
        <v>121</v>
      </c>
      <c r="H26" s="136" t="s">
        <v>120</v>
      </c>
      <c r="I26" s="185" t="s">
        <v>229</v>
      </c>
      <c r="J26" s="185"/>
      <c r="K26" s="185"/>
      <c r="L26" s="137" t="s">
        <v>147</v>
      </c>
      <c r="M26" s="137" t="s">
        <v>148</v>
      </c>
      <c r="N26" s="184" t="s">
        <v>94</v>
      </c>
      <c r="O26" s="185"/>
      <c r="P26" s="185"/>
      <c r="Q26" s="185"/>
      <c r="R26" s="185"/>
      <c r="S26" s="186"/>
      <c r="T26" s="135" t="s">
        <v>121</v>
      </c>
      <c r="U26" s="136" t="s">
        <v>120</v>
      </c>
      <c r="V26" s="185" t="s">
        <v>229</v>
      </c>
      <c r="W26" s="185"/>
      <c r="X26" s="185"/>
      <c r="Y26" s="137" t="s">
        <v>171</v>
      </c>
      <c r="Z26" s="137" t="s">
        <v>230</v>
      </c>
    </row>
    <row r="27" spans="1:26" ht="18" customHeight="1">
      <c r="A27" s="69"/>
      <c r="B27" s="283" t="s">
        <v>153</v>
      </c>
      <c r="C27" s="284"/>
      <c r="D27" s="284"/>
      <c r="E27" s="284"/>
      <c r="F27" s="285"/>
      <c r="G27" s="138">
        <v>1</v>
      </c>
      <c r="H27" s="138" t="s">
        <v>145</v>
      </c>
      <c r="I27" s="286" t="s">
        <v>144</v>
      </c>
      <c r="J27" s="287"/>
      <c r="K27" s="288"/>
      <c r="L27" s="138" t="s">
        <v>145</v>
      </c>
      <c r="M27" s="138" t="s">
        <v>145</v>
      </c>
      <c r="N27" s="289"/>
      <c r="O27" s="290"/>
      <c r="P27" s="290"/>
      <c r="Q27" s="290"/>
      <c r="R27" s="290"/>
      <c r="S27" s="291"/>
      <c r="T27" s="138"/>
      <c r="U27" s="138"/>
      <c r="V27" s="286"/>
      <c r="W27" s="287"/>
      <c r="X27" s="288"/>
      <c r="Y27" s="138"/>
      <c r="Z27" s="138"/>
    </row>
    <row r="28" spans="1:26" ht="18" customHeight="1">
      <c r="A28" s="69"/>
      <c r="B28" s="292" t="s">
        <v>251</v>
      </c>
      <c r="C28" s="293"/>
      <c r="D28" s="293"/>
      <c r="E28" s="293"/>
      <c r="F28" s="294"/>
      <c r="G28" s="139">
        <v>1</v>
      </c>
      <c r="H28" s="139" t="s">
        <v>145</v>
      </c>
      <c r="I28" s="295" t="s">
        <v>144</v>
      </c>
      <c r="J28" s="296"/>
      <c r="K28" s="297"/>
      <c r="L28" s="139" t="s">
        <v>145</v>
      </c>
      <c r="M28" s="139"/>
      <c r="N28" s="298"/>
      <c r="O28" s="299"/>
      <c r="P28" s="299"/>
      <c r="Q28" s="299"/>
      <c r="R28" s="299"/>
      <c r="S28" s="300"/>
      <c r="T28" s="139"/>
      <c r="U28" s="139"/>
      <c r="V28" s="295"/>
      <c r="W28" s="296"/>
      <c r="X28" s="297"/>
      <c r="Y28" s="139"/>
      <c r="Z28" s="139"/>
    </row>
    <row r="29" spans="1:26" ht="18" customHeight="1">
      <c r="A29" s="69"/>
      <c r="B29" s="292"/>
      <c r="C29" s="293"/>
      <c r="D29" s="293"/>
      <c r="E29" s="293"/>
      <c r="F29" s="294"/>
      <c r="G29" s="139"/>
      <c r="H29" s="139"/>
      <c r="I29" s="295"/>
      <c r="J29" s="296"/>
      <c r="K29" s="297"/>
      <c r="L29" s="139"/>
      <c r="M29" s="139"/>
      <c r="N29" s="298"/>
      <c r="O29" s="299"/>
      <c r="P29" s="299"/>
      <c r="Q29" s="299"/>
      <c r="R29" s="299"/>
      <c r="S29" s="300"/>
      <c r="T29" s="139"/>
      <c r="U29" s="139"/>
      <c r="V29" s="295"/>
      <c r="W29" s="296"/>
      <c r="X29" s="297"/>
      <c r="Y29" s="139"/>
      <c r="Z29" s="139"/>
    </row>
    <row r="30" spans="1:26" ht="18" customHeight="1">
      <c r="A30" s="69"/>
      <c r="B30" s="292"/>
      <c r="C30" s="293"/>
      <c r="D30" s="293"/>
      <c r="E30" s="293"/>
      <c r="F30" s="294"/>
      <c r="G30" s="139"/>
      <c r="H30" s="139"/>
      <c r="I30" s="295"/>
      <c r="J30" s="296"/>
      <c r="K30" s="297"/>
      <c r="L30" s="139"/>
      <c r="M30" s="139"/>
      <c r="N30" s="298"/>
      <c r="O30" s="299"/>
      <c r="P30" s="299"/>
      <c r="Q30" s="299"/>
      <c r="R30" s="299"/>
      <c r="S30" s="300"/>
      <c r="T30" s="139"/>
      <c r="U30" s="139"/>
      <c r="V30" s="295"/>
      <c r="W30" s="296"/>
      <c r="X30" s="297"/>
      <c r="Y30" s="139"/>
      <c r="Z30" s="139"/>
    </row>
    <row r="31" spans="1:26" ht="18" customHeight="1">
      <c r="A31" s="69"/>
      <c r="B31" s="292"/>
      <c r="C31" s="293"/>
      <c r="D31" s="293"/>
      <c r="E31" s="293"/>
      <c r="F31" s="294"/>
      <c r="G31" s="139"/>
      <c r="H31" s="139"/>
      <c r="I31" s="295"/>
      <c r="J31" s="296"/>
      <c r="K31" s="297"/>
      <c r="L31" s="139"/>
      <c r="M31" s="139"/>
      <c r="N31" s="298"/>
      <c r="O31" s="299"/>
      <c r="P31" s="299"/>
      <c r="Q31" s="299"/>
      <c r="R31" s="299"/>
      <c r="S31" s="300"/>
      <c r="T31" s="139"/>
      <c r="U31" s="139"/>
      <c r="V31" s="295"/>
      <c r="W31" s="296"/>
      <c r="X31" s="297"/>
      <c r="Y31" s="139"/>
      <c r="Z31" s="139"/>
    </row>
    <row r="32" spans="1:26" ht="18" customHeight="1">
      <c r="A32" s="69"/>
      <c r="B32" s="292"/>
      <c r="C32" s="293"/>
      <c r="D32" s="293"/>
      <c r="E32" s="293"/>
      <c r="F32" s="294"/>
      <c r="G32" s="139"/>
      <c r="H32" s="139"/>
      <c r="I32" s="295"/>
      <c r="J32" s="296"/>
      <c r="K32" s="297"/>
      <c r="L32" s="139"/>
      <c r="M32" s="139"/>
      <c r="N32" s="298"/>
      <c r="O32" s="299"/>
      <c r="P32" s="299"/>
      <c r="Q32" s="299"/>
      <c r="R32" s="299"/>
      <c r="S32" s="300"/>
      <c r="T32" s="139"/>
      <c r="U32" s="139"/>
      <c r="V32" s="295"/>
      <c r="W32" s="296"/>
      <c r="X32" s="297"/>
      <c r="Y32" s="139"/>
      <c r="Z32" s="139"/>
    </row>
    <row r="33" spans="1:26" ht="18" customHeight="1">
      <c r="A33" s="69"/>
      <c r="B33" s="302"/>
      <c r="C33" s="303"/>
      <c r="D33" s="303"/>
      <c r="E33" s="303"/>
      <c r="F33" s="304"/>
      <c r="G33" s="140"/>
      <c r="H33" s="140"/>
      <c r="I33" s="305"/>
      <c r="J33" s="306"/>
      <c r="K33" s="307"/>
      <c r="L33" s="141"/>
      <c r="M33" s="141"/>
      <c r="N33" s="308"/>
      <c r="O33" s="309"/>
      <c r="P33" s="309"/>
      <c r="Q33" s="309"/>
      <c r="R33" s="309"/>
      <c r="S33" s="310"/>
      <c r="T33" s="140"/>
      <c r="U33" s="140"/>
      <c r="V33" s="305"/>
      <c r="W33" s="306"/>
      <c r="X33" s="307"/>
      <c r="Y33" s="141"/>
      <c r="Z33" s="141"/>
    </row>
    <row r="34" spans="1:26" ht="7.5" customHeight="1">
      <c r="A34" s="134"/>
      <c r="B34" s="142"/>
      <c r="C34" s="142"/>
      <c r="D34" s="134"/>
      <c r="E34" s="134"/>
      <c r="F34" s="134"/>
      <c r="G34" s="134"/>
      <c r="H34" s="134"/>
      <c r="I34" s="134"/>
      <c r="J34" s="134"/>
      <c r="K34" s="134"/>
      <c r="L34" s="142"/>
      <c r="M34" s="142"/>
      <c r="N34" s="142"/>
      <c r="O34" s="142"/>
      <c r="P34" s="142"/>
      <c r="Q34" s="142"/>
      <c r="R34" s="142"/>
      <c r="S34" s="142"/>
      <c r="T34" s="142"/>
      <c r="U34" s="142"/>
      <c r="V34" s="142"/>
      <c r="W34" s="142"/>
      <c r="X34" s="142"/>
      <c r="Y34" s="142"/>
      <c r="Z34" s="134"/>
    </row>
    <row r="35" spans="1:26" ht="18" customHeight="1">
      <c r="A35" s="301" t="s">
        <v>115</v>
      </c>
      <c r="B35" s="301"/>
      <c r="C35" s="301"/>
      <c r="D35" s="301"/>
      <c r="E35" s="301"/>
      <c r="F35" s="301"/>
      <c r="G35" s="301"/>
      <c r="H35" s="301"/>
      <c r="I35" s="301"/>
      <c r="J35" s="301"/>
      <c r="K35" s="301"/>
      <c r="L35" s="301"/>
      <c r="M35" s="301"/>
      <c r="N35" s="301"/>
      <c r="O35" s="301"/>
      <c r="P35" s="301"/>
      <c r="Q35" s="301"/>
      <c r="R35" s="301"/>
      <c r="S35" s="301"/>
      <c r="T35" s="301"/>
      <c r="U35" s="301"/>
      <c r="V35" s="301"/>
      <c r="W35" s="301"/>
      <c r="X35" s="301"/>
      <c r="Y35" s="301"/>
      <c r="Z35" s="301"/>
    </row>
    <row r="36" spans="1:26" ht="18" customHeight="1">
      <c r="A36" s="301"/>
      <c r="B36" s="301"/>
      <c r="C36" s="301"/>
      <c r="D36" s="301"/>
      <c r="E36" s="301"/>
      <c r="F36" s="301"/>
      <c r="G36" s="301"/>
      <c r="H36" s="301"/>
      <c r="I36" s="301"/>
      <c r="J36" s="301"/>
      <c r="K36" s="301"/>
      <c r="L36" s="301"/>
      <c r="M36" s="301"/>
      <c r="N36" s="301"/>
      <c r="O36" s="301"/>
      <c r="P36" s="301"/>
      <c r="Q36" s="301"/>
      <c r="R36" s="301"/>
      <c r="S36" s="301"/>
      <c r="T36" s="301"/>
      <c r="U36" s="301"/>
      <c r="V36" s="301"/>
      <c r="W36" s="301"/>
      <c r="X36" s="301"/>
      <c r="Y36" s="301"/>
      <c r="Z36" s="301"/>
    </row>
    <row r="37" spans="1:26" ht="18" customHeight="1">
      <c r="A37" s="69"/>
      <c r="B37" s="184" t="s">
        <v>94</v>
      </c>
      <c r="C37" s="185"/>
      <c r="D37" s="185"/>
      <c r="E37" s="185"/>
      <c r="F37" s="186"/>
      <c r="G37" s="135" t="s">
        <v>121</v>
      </c>
      <c r="H37" s="136" t="s">
        <v>120</v>
      </c>
      <c r="I37" s="184" t="s">
        <v>95</v>
      </c>
      <c r="J37" s="185"/>
      <c r="K37" s="186"/>
      <c r="L37" s="137" t="s">
        <v>152</v>
      </c>
      <c r="M37" s="137" t="s">
        <v>231</v>
      </c>
      <c r="N37" s="184" t="s">
        <v>94</v>
      </c>
      <c r="O37" s="185"/>
      <c r="P37" s="185"/>
      <c r="Q37" s="185"/>
      <c r="R37" s="185"/>
      <c r="S37" s="186"/>
      <c r="T37" s="135" t="s">
        <v>121</v>
      </c>
      <c r="U37" s="136" t="s">
        <v>120</v>
      </c>
      <c r="V37" s="184" t="s">
        <v>151</v>
      </c>
      <c r="W37" s="185"/>
      <c r="X37" s="186"/>
      <c r="Y37" s="137" t="s">
        <v>150</v>
      </c>
      <c r="Z37" s="137" t="s">
        <v>184</v>
      </c>
    </row>
    <row r="38" spans="1:26" ht="18" customHeight="1">
      <c r="A38" s="134"/>
      <c r="B38" s="283" t="s">
        <v>376</v>
      </c>
      <c r="C38" s="284"/>
      <c r="D38" s="284"/>
      <c r="E38" s="284"/>
      <c r="F38" s="285"/>
      <c r="G38" s="138">
        <v>1</v>
      </c>
      <c r="H38" s="138"/>
      <c r="I38" s="286" t="s">
        <v>144</v>
      </c>
      <c r="J38" s="287"/>
      <c r="K38" s="288"/>
      <c r="L38" s="138" t="s">
        <v>145</v>
      </c>
      <c r="M38" s="138"/>
      <c r="N38" s="289"/>
      <c r="O38" s="290"/>
      <c r="P38" s="290"/>
      <c r="Q38" s="290"/>
      <c r="R38" s="290"/>
      <c r="S38" s="291"/>
      <c r="T38" s="138"/>
      <c r="U38" s="138"/>
      <c r="V38" s="286"/>
      <c r="W38" s="287"/>
      <c r="X38" s="288"/>
      <c r="Y38" s="138"/>
      <c r="Z38" s="138"/>
    </row>
    <row r="39" spans="1:26" ht="18" customHeight="1">
      <c r="A39" s="134"/>
      <c r="B39" s="292" t="s">
        <v>375</v>
      </c>
      <c r="C39" s="293"/>
      <c r="D39" s="293"/>
      <c r="E39" s="293"/>
      <c r="F39" s="294"/>
      <c r="G39" s="139">
        <v>1</v>
      </c>
      <c r="H39" s="139"/>
      <c r="I39" s="295" t="s">
        <v>144</v>
      </c>
      <c r="J39" s="296"/>
      <c r="K39" s="297"/>
      <c r="L39" s="139"/>
      <c r="M39" s="139" t="s">
        <v>145</v>
      </c>
      <c r="N39" s="298"/>
      <c r="O39" s="299"/>
      <c r="P39" s="299"/>
      <c r="Q39" s="299"/>
      <c r="R39" s="299"/>
      <c r="S39" s="300"/>
      <c r="T39" s="139"/>
      <c r="U39" s="139"/>
      <c r="V39" s="295"/>
      <c r="W39" s="296"/>
      <c r="X39" s="297"/>
      <c r="Y39" s="139"/>
      <c r="Z39" s="139"/>
    </row>
    <row r="40" spans="1:26" ht="18" customHeight="1">
      <c r="A40" s="134"/>
      <c r="B40" s="292"/>
      <c r="C40" s="293"/>
      <c r="D40" s="293"/>
      <c r="E40" s="293"/>
      <c r="F40" s="294"/>
      <c r="G40" s="139"/>
      <c r="H40" s="139"/>
      <c r="I40" s="295"/>
      <c r="J40" s="296"/>
      <c r="K40" s="297"/>
      <c r="L40" s="139"/>
      <c r="M40" s="139"/>
      <c r="N40" s="298"/>
      <c r="O40" s="299"/>
      <c r="P40" s="299"/>
      <c r="Q40" s="299"/>
      <c r="R40" s="299"/>
      <c r="S40" s="300"/>
      <c r="T40" s="139"/>
      <c r="U40" s="139"/>
      <c r="V40" s="295"/>
      <c r="W40" s="296"/>
      <c r="X40" s="297"/>
      <c r="Y40" s="139"/>
      <c r="Z40" s="139"/>
    </row>
    <row r="41" spans="1:26" ht="18" customHeight="1">
      <c r="A41" s="134"/>
      <c r="B41" s="292"/>
      <c r="C41" s="293"/>
      <c r="D41" s="293"/>
      <c r="E41" s="293"/>
      <c r="F41" s="294"/>
      <c r="G41" s="139"/>
      <c r="H41" s="139"/>
      <c r="I41" s="295"/>
      <c r="J41" s="296"/>
      <c r="K41" s="297"/>
      <c r="L41" s="139"/>
      <c r="M41" s="139"/>
      <c r="N41" s="298"/>
      <c r="O41" s="299"/>
      <c r="P41" s="299"/>
      <c r="Q41" s="299"/>
      <c r="R41" s="299"/>
      <c r="S41" s="300"/>
      <c r="T41" s="139"/>
      <c r="U41" s="139"/>
      <c r="V41" s="295"/>
      <c r="W41" s="296"/>
      <c r="X41" s="297"/>
      <c r="Y41" s="139"/>
      <c r="Z41" s="139"/>
    </row>
    <row r="42" spans="1:26" ht="18" customHeight="1">
      <c r="A42" s="134"/>
      <c r="B42" s="292"/>
      <c r="C42" s="293"/>
      <c r="D42" s="293"/>
      <c r="E42" s="293"/>
      <c r="F42" s="294"/>
      <c r="G42" s="139"/>
      <c r="H42" s="139"/>
      <c r="I42" s="295"/>
      <c r="J42" s="296"/>
      <c r="K42" s="297"/>
      <c r="L42" s="139"/>
      <c r="M42" s="139"/>
      <c r="N42" s="298"/>
      <c r="O42" s="299"/>
      <c r="P42" s="299"/>
      <c r="Q42" s="299"/>
      <c r="R42" s="299"/>
      <c r="S42" s="300"/>
      <c r="T42" s="139"/>
      <c r="U42" s="139"/>
      <c r="V42" s="295"/>
      <c r="W42" s="296"/>
      <c r="X42" s="297"/>
      <c r="Y42" s="139"/>
      <c r="Z42" s="139"/>
    </row>
    <row r="43" spans="1:26" ht="18" customHeight="1">
      <c r="A43" s="134"/>
      <c r="B43" s="292"/>
      <c r="C43" s="293"/>
      <c r="D43" s="293"/>
      <c r="E43" s="293"/>
      <c r="F43" s="294"/>
      <c r="G43" s="139"/>
      <c r="H43" s="139"/>
      <c r="I43" s="295"/>
      <c r="J43" s="296"/>
      <c r="K43" s="297"/>
      <c r="L43" s="139"/>
      <c r="M43" s="139"/>
      <c r="N43" s="298"/>
      <c r="O43" s="299"/>
      <c r="P43" s="299"/>
      <c r="Q43" s="299"/>
      <c r="R43" s="299"/>
      <c r="S43" s="300"/>
      <c r="T43" s="139"/>
      <c r="U43" s="139"/>
      <c r="V43" s="295"/>
      <c r="W43" s="296"/>
      <c r="X43" s="297"/>
      <c r="Y43" s="139"/>
      <c r="Z43" s="139"/>
    </row>
    <row r="44" spans="1:26" ht="18" customHeight="1">
      <c r="A44" s="134"/>
      <c r="B44" s="302"/>
      <c r="C44" s="303"/>
      <c r="D44" s="303"/>
      <c r="E44" s="303"/>
      <c r="F44" s="304"/>
      <c r="G44" s="140"/>
      <c r="H44" s="140"/>
      <c r="I44" s="305"/>
      <c r="J44" s="306"/>
      <c r="K44" s="307"/>
      <c r="L44" s="141"/>
      <c r="M44" s="141"/>
      <c r="N44" s="308"/>
      <c r="O44" s="309"/>
      <c r="P44" s="309"/>
      <c r="Q44" s="309"/>
      <c r="R44" s="309"/>
      <c r="S44" s="310"/>
      <c r="T44" s="140"/>
      <c r="U44" s="140"/>
      <c r="V44" s="305"/>
      <c r="W44" s="306"/>
      <c r="X44" s="307"/>
      <c r="Y44" s="141"/>
      <c r="Z44" s="141"/>
    </row>
    <row r="45" spans="1:26" ht="7.5" customHeight="1">
      <c r="A45" s="133"/>
      <c r="B45" s="143"/>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33"/>
    </row>
    <row r="46" spans="1:26" ht="18" customHeight="1">
      <c r="A46" s="301" t="s">
        <v>117</v>
      </c>
      <c r="B46" s="301"/>
      <c r="C46" s="301"/>
      <c r="D46" s="301"/>
      <c r="E46" s="301"/>
      <c r="F46" s="301"/>
      <c r="G46" s="301"/>
      <c r="H46" s="301"/>
      <c r="I46" s="301"/>
      <c r="J46" s="301"/>
      <c r="K46" s="301"/>
      <c r="L46" s="301"/>
      <c r="M46" s="301"/>
      <c r="N46" s="301"/>
      <c r="O46" s="301"/>
      <c r="P46" s="301"/>
      <c r="Q46" s="301"/>
      <c r="R46" s="301"/>
      <c r="S46" s="301"/>
      <c r="T46" s="301"/>
      <c r="U46" s="301"/>
      <c r="V46" s="301"/>
      <c r="W46" s="301"/>
      <c r="X46" s="301"/>
      <c r="Y46" s="301"/>
      <c r="Z46" s="301"/>
    </row>
    <row r="47" spans="1:26" ht="18" customHeight="1">
      <c r="A47" s="301"/>
      <c r="B47" s="301"/>
      <c r="C47" s="301"/>
      <c r="D47" s="301"/>
      <c r="E47" s="301"/>
      <c r="F47" s="301"/>
      <c r="G47" s="301"/>
      <c r="H47" s="301"/>
      <c r="I47" s="301"/>
      <c r="J47" s="301"/>
      <c r="K47" s="301"/>
      <c r="L47" s="301"/>
      <c r="M47" s="301"/>
      <c r="N47" s="301"/>
      <c r="O47" s="301"/>
      <c r="P47" s="301"/>
      <c r="Q47" s="301"/>
      <c r="R47" s="301"/>
      <c r="S47" s="301"/>
      <c r="T47" s="301"/>
      <c r="U47" s="301"/>
      <c r="V47" s="301"/>
      <c r="W47" s="301"/>
      <c r="X47" s="301"/>
      <c r="Y47" s="301"/>
      <c r="Z47" s="301"/>
    </row>
    <row r="48" spans="1:26" ht="18" customHeight="1">
      <c r="A48" s="69"/>
      <c r="B48" s="184" t="s">
        <v>94</v>
      </c>
      <c r="C48" s="185"/>
      <c r="D48" s="185"/>
      <c r="E48" s="185"/>
      <c r="F48" s="186"/>
      <c r="G48" s="135" t="s">
        <v>121</v>
      </c>
      <c r="H48" s="136" t="s">
        <v>120</v>
      </c>
      <c r="I48" s="184" t="s">
        <v>146</v>
      </c>
      <c r="J48" s="185"/>
      <c r="K48" s="186"/>
      <c r="L48" s="137" t="s">
        <v>99</v>
      </c>
      <c r="M48" s="137" t="s">
        <v>155</v>
      </c>
      <c r="N48" s="184" t="s">
        <v>94</v>
      </c>
      <c r="O48" s="185"/>
      <c r="P48" s="185"/>
      <c r="Q48" s="185"/>
      <c r="R48" s="185"/>
      <c r="S48" s="186"/>
      <c r="T48" s="135" t="s">
        <v>121</v>
      </c>
      <c r="U48" s="136" t="s">
        <v>120</v>
      </c>
      <c r="V48" s="184" t="s">
        <v>229</v>
      </c>
      <c r="W48" s="185"/>
      <c r="X48" s="186"/>
      <c r="Y48" s="137" t="s">
        <v>186</v>
      </c>
      <c r="Z48" s="137" t="s">
        <v>155</v>
      </c>
    </row>
    <row r="49" spans="1:26" ht="18" customHeight="1">
      <c r="A49" s="134"/>
      <c r="B49" s="311" t="s">
        <v>153</v>
      </c>
      <c r="C49" s="312"/>
      <c r="D49" s="312"/>
      <c r="E49" s="312"/>
      <c r="F49" s="313"/>
      <c r="G49" s="144">
        <v>1</v>
      </c>
      <c r="H49" s="144" t="s">
        <v>145</v>
      </c>
      <c r="I49" s="314" t="s">
        <v>144</v>
      </c>
      <c r="J49" s="315"/>
      <c r="K49" s="316"/>
      <c r="L49" s="144" t="s">
        <v>145</v>
      </c>
      <c r="M49" s="138" t="s">
        <v>145</v>
      </c>
      <c r="N49" s="289"/>
      <c r="O49" s="290"/>
      <c r="P49" s="290"/>
      <c r="Q49" s="290"/>
      <c r="R49" s="290"/>
      <c r="S49" s="291"/>
      <c r="T49" s="138"/>
      <c r="U49" s="138"/>
      <c r="V49" s="286"/>
      <c r="W49" s="287"/>
      <c r="X49" s="288"/>
      <c r="Y49" s="138"/>
      <c r="Z49" s="138"/>
    </row>
    <row r="50" spans="1:26" ht="18" customHeight="1">
      <c r="A50" s="134"/>
      <c r="B50" s="292" t="s">
        <v>255</v>
      </c>
      <c r="C50" s="293"/>
      <c r="D50" s="293"/>
      <c r="E50" s="293"/>
      <c r="F50" s="294"/>
      <c r="G50" s="139">
        <v>1</v>
      </c>
      <c r="H50" s="139" t="s">
        <v>145</v>
      </c>
      <c r="I50" s="295" t="s">
        <v>144</v>
      </c>
      <c r="J50" s="296"/>
      <c r="K50" s="297"/>
      <c r="L50" s="139" t="s">
        <v>145</v>
      </c>
      <c r="M50" s="139"/>
      <c r="N50" s="298"/>
      <c r="O50" s="299"/>
      <c r="P50" s="299"/>
      <c r="Q50" s="299"/>
      <c r="R50" s="299"/>
      <c r="S50" s="300"/>
      <c r="T50" s="139"/>
      <c r="U50" s="139"/>
      <c r="V50" s="295"/>
      <c r="W50" s="296"/>
      <c r="X50" s="297"/>
      <c r="Y50" s="139"/>
      <c r="Z50" s="139"/>
    </row>
    <row r="51" spans="1:26" ht="18" customHeight="1">
      <c r="A51" s="134"/>
      <c r="B51" s="292"/>
      <c r="C51" s="293"/>
      <c r="D51" s="293"/>
      <c r="E51" s="293"/>
      <c r="F51" s="294"/>
      <c r="G51" s="139"/>
      <c r="H51" s="139"/>
      <c r="I51" s="295"/>
      <c r="J51" s="296"/>
      <c r="K51" s="297"/>
      <c r="L51" s="139"/>
      <c r="M51" s="139"/>
      <c r="N51" s="298"/>
      <c r="O51" s="299"/>
      <c r="P51" s="299"/>
      <c r="Q51" s="299"/>
      <c r="R51" s="299"/>
      <c r="S51" s="300"/>
      <c r="T51" s="139"/>
      <c r="U51" s="139"/>
      <c r="V51" s="295"/>
      <c r="W51" s="296"/>
      <c r="X51" s="297"/>
      <c r="Y51" s="139"/>
      <c r="Z51" s="139"/>
    </row>
    <row r="52" spans="1:26" ht="18" customHeight="1">
      <c r="A52" s="134"/>
      <c r="B52" s="292"/>
      <c r="C52" s="293"/>
      <c r="D52" s="293"/>
      <c r="E52" s="293"/>
      <c r="F52" s="294"/>
      <c r="G52" s="139"/>
      <c r="H52" s="139"/>
      <c r="I52" s="295"/>
      <c r="J52" s="296"/>
      <c r="K52" s="297"/>
      <c r="L52" s="139"/>
      <c r="M52" s="139"/>
      <c r="N52" s="298"/>
      <c r="O52" s="299"/>
      <c r="P52" s="299"/>
      <c r="Q52" s="299"/>
      <c r="R52" s="299"/>
      <c r="S52" s="300"/>
      <c r="T52" s="139"/>
      <c r="U52" s="139"/>
      <c r="V52" s="295"/>
      <c r="W52" s="296"/>
      <c r="X52" s="297"/>
      <c r="Y52" s="139"/>
      <c r="Z52" s="139"/>
    </row>
    <row r="53" spans="1:26" ht="18" customHeight="1">
      <c r="A53" s="134"/>
      <c r="B53" s="292"/>
      <c r="C53" s="293"/>
      <c r="D53" s="293"/>
      <c r="E53" s="293"/>
      <c r="F53" s="294"/>
      <c r="G53" s="139"/>
      <c r="H53" s="139"/>
      <c r="I53" s="295"/>
      <c r="J53" s="296"/>
      <c r="K53" s="297"/>
      <c r="L53" s="139"/>
      <c r="M53" s="139"/>
      <c r="N53" s="298"/>
      <c r="O53" s="299"/>
      <c r="P53" s="299"/>
      <c r="Q53" s="299"/>
      <c r="R53" s="299"/>
      <c r="S53" s="300"/>
      <c r="T53" s="139"/>
      <c r="U53" s="139"/>
      <c r="V53" s="295"/>
      <c r="W53" s="296"/>
      <c r="X53" s="297"/>
      <c r="Y53" s="139"/>
      <c r="Z53" s="139"/>
    </row>
    <row r="54" spans="1:26" ht="18" customHeight="1">
      <c r="A54" s="134"/>
      <c r="B54" s="292"/>
      <c r="C54" s="293"/>
      <c r="D54" s="293"/>
      <c r="E54" s="293"/>
      <c r="F54" s="294"/>
      <c r="G54" s="139"/>
      <c r="H54" s="139"/>
      <c r="I54" s="295"/>
      <c r="J54" s="296"/>
      <c r="K54" s="297"/>
      <c r="L54" s="139"/>
      <c r="M54" s="139"/>
      <c r="N54" s="298"/>
      <c r="O54" s="299"/>
      <c r="P54" s="299"/>
      <c r="Q54" s="299"/>
      <c r="R54" s="299"/>
      <c r="S54" s="300"/>
      <c r="T54" s="139"/>
      <c r="U54" s="139"/>
      <c r="V54" s="295"/>
      <c r="W54" s="296"/>
      <c r="X54" s="297"/>
      <c r="Y54" s="139"/>
      <c r="Z54" s="139"/>
    </row>
    <row r="55" spans="1:26" ht="18" customHeight="1">
      <c r="A55" s="134"/>
      <c r="B55" s="302"/>
      <c r="C55" s="303"/>
      <c r="D55" s="303"/>
      <c r="E55" s="303"/>
      <c r="F55" s="304"/>
      <c r="G55" s="140"/>
      <c r="H55" s="140"/>
      <c r="I55" s="305"/>
      <c r="J55" s="306"/>
      <c r="K55" s="307"/>
      <c r="L55" s="141"/>
      <c r="M55" s="141"/>
      <c r="N55" s="308"/>
      <c r="O55" s="309"/>
      <c r="P55" s="309"/>
      <c r="Q55" s="309"/>
      <c r="R55" s="309"/>
      <c r="S55" s="310"/>
      <c r="T55" s="140"/>
      <c r="U55" s="140"/>
      <c r="V55" s="305"/>
      <c r="W55" s="306"/>
      <c r="X55" s="307"/>
      <c r="Y55" s="141"/>
      <c r="Z55" s="141"/>
    </row>
    <row r="56" spans="1:26" ht="7.5" customHeight="1">
      <c r="A56" s="13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33"/>
    </row>
    <row r="57" spans="1:26" ht="18" customHeight="1">
      <c r="A57" s="301" t="s">
        <v>118</v>
      </c>
      <c r="B57" s="301"/>
      <c r="C57" s="301"/>
      <c r="D57" s="301"/>
      <c r="E57" s="301"/>
      <c r="F57" s="301"/>
      <c r="G57" s="301"/>
      <c r="H57" s="301"/>
      <c r="I57" s="301"/>
      <c r="J57" s="301"/>
      <c r="K57" s="301"/>
      <c r="L57" s="301"/>
      <c r="M57" s="301"/>
      <c r="N57" s="301"/>
      <c r="O57" s="301"/>
      <c r="P57" s="301"/>
      <c r="Q57" s="301"/>
      <c r="R57" s="301"/>
      <c r="S57" s="301"/>
      <c r="T57" s="301"/>
      <c r="U57" s="301"/>
      <c r="V57" s="301"/>
      <c r="W57" s="301"/>
      <c r="X57" s="301"/>
      <c r="Y57" s="301"/>
      <c r="Z57" s="301"/>
    </row>
    <row r="58" spans="1:26" ht="18" customHeight="1">
      <c r="A58" s="301"/>
      <c r="B58" s="301"/>
      <c r="C58" s="301"/>
      <c r="D58" s="301"/>
      <c r="E58" s="301"/>
      <c r="F58" s="301"/>
      <c r="G58" s="301"/>
      <c r="H58" s="301"/>
      <c r="I58" s="301"/>
      <c r="J58" s="301"/>
      <c r="K58" s="301"/>
      <c r="L58" s="301"/>
      <c r="M58" s="301"/>
      <c r="N58" s="301"/>
      <c r="O58" s="301"/>
      <c r="P58" s="301"/>
      <c r="Q58" s="301"/>
      <c r="R58" s="301"/>
      <c r="S58" s="301"/>
      <c r="T58" s="301"/>
      <c r="U58" s="301"/>
      <c r="V58" s="301"/>
      <c r="W58" s="301"/>
      <c r="X58" s="301"/>
      <c r="Y58" s="301"/>
      <c r="Z58" s="301"/>
    </row>
    <row r="59" spans="1:26" ht="18" customHeight="1">
      <c r="A59" s="69"/>
      <c r="B59" s="184" t="s">
        <v>94</v>
      </c>
      <c r="C59" s="185"/>
      <c r="D59" s="185"/>
      <c r="E59" s="186"/>
      <c r="F59" s="135" t="s">
        <v>121</v>
      </c>
      <c r="G59" s="136" t="s">
        <v>120</v>
      </c>
      <c r="H59" s="145" t="s">
        <v>146</v>
      </c>
      <c r="I59" s="146"/>
      <c r="J59" s="147"/>
      <c r="K59" s="137" t="s">
        <v>190</v>
      </c>
      <c r="L59" s="137" t="s">
        <v>159</v>
      </c>
      <c r="M59" s="137" t="s">
        <v>232</v>
      </c>
      <c r="N59" s="184" t="s">
        <v>94</v>
      </c>
      <c r="O59" s="185"/>
      <c r="P59" s="185"/>
      <c r="Q59" s="185"/>
      <c r="R59" s="186"/>
      <c r="S59" s="135" t="s">
        <v>121</v>
      </c>
      <c r="T59" s="136" t="s">
        <v>120</v>
      </c>
      <c r="U59" s="145" t="s">
        <v>151</v>
      </c>
      <c r="V59" s="146"/>
      <c r="W59" s="147"/>
      <c r="X59" s="137" t="s">
        <v>98</v>
      </c>
      <c r="Y59" s="137" t="s">
        <v>189</v>
      </c>
      <c r="Z59" s="137" t="s">
        <v>177</v>
      </c>
    </row>
    <row r="60" spans="1:26" ht="18" customHeight="1">
      <c r="A60" s="134"/>
      <c r="B60" s="298" t="s">
        <v>253</v>
      </c>
      <c r="C60" s="299"/>
      <c r="D60" s="299"/>
      <c r="E60" s="300"/>
      <c r="F60" s="139">
        <v>1</v>
      </c>
      <c r="G60" s="139" t="s">
        <v>145</v>
      </c>
      <c r="H60" s="295" t="s">
        <v>144</v>
      </c>
      <c r="I60" s="296"/>
      <c r="J60" s="297"/>
      <c r="K60" s="158" t="s">
        <v>202</v>
      </c>
      <c r="L60" s="139" t="s">
        <v>145</v>
      </c>
      <c r="M60" s="139" t="s">
        <v>145</v>
      </c>
      <c r="N60" s="289"/>
      <c r="O60" s="290"/>
      <c r="P60" s="290"/>
      <c r="Q60" s="290"/>
      <c r="R60" s="291"/>
      <c r="S60" s="138"/>
      <c r="T60" s="138"/>
      <c r="U60" s="286"/>
      <c r="V60" s="287"/>
      <c r="W60" s="288"/>
      <c r="X60" s="159"/>
      <c r="Y60" s="138"/>
      <c r="Z60" s="138"/>
    </row>
    <row r="61" spans="1:26" ht="18" customHeight="1">
      <c r="A61" s="134"/>
      <c r="B61" s="298"/>
      <c r="C61" s="299"/>
      <c r="D61" s="299"/>
      <c r="E61" s="300"/>
      <c r="F61" s="139"/>
      <c r="G61" s="139"/>
      <c r="H61" s="295"/>
      <c r="I61" s="296"/>
      <c r="J61" s="297"/>
      <c r="K61" s="158"/>
      <c r="L61" s="139"/>
      <c r="M61" s="139"/>
      <c r="N61" s="298"/>
      <c r="O61" s="299"/>
      <c r="P61" s="299"/>
      <c r="Q61" s="299"/>
      <c r="R61" s="300"/>
      <c r="S61" s="139"/>
      <c r="T61" s="139"/>
      <c r="U61" s="295"/>
      <c r="V61" s="296"/>
      <c r="W61" s="297"/>
      <c r="X61" s="158"/>
      <c r="Y61" s="139"/>
      <c r="Z61" s="139"/>
    </row>
    <row r="62" spans="1:26" ht="18" customHeight="1">
      <c r="A62" s="134"/>
      <c r="B62" s="298"/>
      <c r="C62" s="299"/>
      <c r="D62" s="299"/>
      <c r="E62" s="300"/>
      <c r="F62" s="139"/>
      <c r="G62" s="139"/>
      <c r="H62" s="295"/>
      <c r="I62" s="296"/>
      <c r="J62" s="297"/>
      <c r="K62" s="158"/>
      <c r="L62" s="139"/>
      <c r="M62" s="139"/>
      <c r="N62" s="298"/>
      <c r="O62" s="299"/>
      <c r="P62" s="299"/>
      <c r="Q62" s="299"/>
      <c r="R62" s="300"/>
      <c r="S62" s="139"/>
      <c r="T62" s="139"/>
      <c r="U62" s="295"/>
      <c r="V62" s="296"/>
      <c r="W62" s="297"/>
      <c r="X62" s="158"/>
      <c r="Y62" s="139"/>
      <c r="Z62" s="139"/>
    </row>
    <row r="63" spans="1:26" ht="18" customHeight="1">
      <c r="A63" s="134"/>
      <c r="B63" s="298"/>
      <c r="C63" s="299"/>
      <c r="D63" s="299"/>
      <c r="E63" s="300"/>
      <c r="F63" s="139"/>
      <c r="G63" s="139"/>
      <c r="H63" s="295"/>
      <c r="I63" s="296"/>
      <c r="J63" s="297"/>
      <c r="K63" s="158"/>
      <c r="L63" s="139"/>
      <c r="M63" s="139"/>
      <c r="N63" s="298"/>
      <c r="O63" s="299"/>
      <c r="P63" s="299"/>
      <c r="Q63" s="299"/>
      <c r="R63" s="300"/>
      <c r="S63" s="139"/>
      <c r="T63" s="139"/>
      <c r="U63" s="295"/>
      <c r="V63" s="296"/>
      <c r="W63" s="297"/>
      <c r="X63" s="158"/>
      <c r="Y63" s="139"/>
      <c r="Z63" s="139"/>
    </row>
    <row r="64" spans="1:26" ht="18" customHeight="1">
      <c r="A64" s="134"/>
      <c r="B64" s="298"/>
      <c r="C64" s="299"/>
      <c r="D64" s="299"/>
      <c r="E64" s="300"/>
      <c r="F64" s="139"/>
      <c r="G64" s="139"/>
      <c r="H64" s="295"/>
      <c r="I64" s="296"/>
      <c r="J64" s="297"/>
      <c r="K64" s="158"/>
      <c r="L64" s="139"/>
      <c r="M64" s="139"/>
      <c r="N64" s="298"/>
      <c r="O64" s="299"/>
      <c r="P64" s="299"/>
      <c r="Q64" s="299"/>
      <c r="R64" s="300"/>
      <c r="S64" s="139"/>
      <c r="T64" s="139"/>
      <c r="U64" s="295"/>
      <c r="V64" s="296"/>
      <c r="W64" s="297"/>
      <c r="X64" s="158"/>
      <c r="Y64" s="139"/>
      <c r="Z64" s="139"/>
    </row>
    <row r="65" spans="1:26" ht="18" customHeight="1">
      <c r="A65" s="134"/>
      <c r="B65" s="298"/>
      <c r="C65" s="299"/>
      <c r="D65" s="299"/>
      <c r="E65" s="300"/>
      <c r="F65" s="139"/>
      <c r="G65" s="139"/>
      <c r="H65" s="295"/>
      <c r="I65" s="296"/>
      <c r="J65" s="297"/>
      <c r="K65" s="158"/>
      <c r="L65" s="139"/>
      <c r="M65" s="139"/>
      <c r="N65" s="298"/>
      <c r="O65" s="299"/>
      <c r="P65" s="299"/>
      <c r="Q65" s="299"/>
      <c r="R65" s="300"/>
      <c r="S65" s="139"/>
      <c r="T65" s="139"/>
      <c r="U65" s="295"/>
      <c r="V65" s="296"/>
      <c r="W65" s="297"/>
      <c r="X65" s="158"/>
      <c r="Y65" s="139"/>
      <c r="Z65" s="139"/>
    </row>
    <row r="66" spans="1:26" ht="18" customHeight="1">
      <c r="A66" s="134"/>
      <c r="B66" s="308"/>
      <c r="C66" s="309"/>
      <c r="D66" s="309"/>
      <c r="E66" s="310"/>
      <c r="F66" s="140"/>
      <c r="G66" s="140"/>
      <c r="H66" s="305"/>
      <c r="I66" s="306"/>
      <c r="J66" s="307"/>
      <c r="K66" s="157"/>
      <c r="L66" s="141"/>
      <c r="M66" s="141"/>
      <c r="N66" s="308"/>
      <c r="O66" s="309"/>
      <c r="P66" s="309"/>
      <c r="Q66" s="309"/>
      <c r="R66" s="310"/>
      <c r="S66" s="140"/>
      <c r="T66" s="140"/>
      <c r="U66" s="305"/>
      <c r="V66" s="306"/>
      <c r="W66" s="307"/>
      <c r="X66" s="157"/>
      <c r="Y66" s="141"/>
      <c r="Z66" s="141"/>
    </row>
    <row r="67" spans="1:26" ht="7.5" customHeight="1">
      <c r="A67" s="13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33"/>
    </row>
    <row r="68" spans="1:26" ht="18" customHeight="1">
      <c r="A68" s="69" t="s">
        <v>119</v>
      </c>
      <c r="B68" s="69"/>
      <c r="C68" s="69"/>
      <c r="D68" s="69"/>
      <c r="E68" s="69"/>
      <c r="F68" s="69"/>
      <c r="G68" s="69"/>
      <c r="H68" s="69"/>
      <c r="I68" s="69"/>
      <c r="J68" s="69"/>
      <c r="K68" s="69"/>
      <c r="L68" s="134"/>
      <c r="M68" s="134"/>
      <c r="N68" s="134"/>
      <c r="O68" s="134"/>
      <c r="P68" s="134"/>
      <c r="Q68" s="134"/>
      <c r="R68" s="134"/>
      <c r="S68" s="134"/>
      <c r="T68" s="134"/>
      <c r="U68" s="134"/>
      <c r="V68" s="134"/>
      <c r="W68" s="134"/>
      <c r="X68" s="134"/>
      <c r="Y68" s="134"/>
      <c r="Z68" s="134"/>
    </row>
    <row r="69" spans="1:26" ht="18" customHeight="1">
      <c r="A69" s="69"/>
      <c r="B69" s="184" t="s">
        <v>94</v>
      </c>
      <c r="C69" s="185"/>
      <c r="D69" s="185"/>
      <c r="E69" s="185"/>
      <c r="F69" s="186"/>
      <c r="G69" s="184" t="s">
        <v>124</v>
      </c>
      <c r="H69" s="185"/>
      <c r="I69" s="185"/>
      <c r="J69" s="185"/>
      <c r="K69" s="185"/>
      <c r="L69" s="185"/>
      <c r="M69" s="186"/>
      <c r="N69" s="314" t="s">
        <v>94</v>
      </c>
      <c r="O69" s="315"/>
      <c r="P69" s="315"/>
      <c r="Q69" s="315"/>
      <c r="R69" s="315"/>
      <c r="S69" s="316"/>
      <c r="T69" s="184" t="s">
        <v>124</v>
      </c>
      <c r="U69" s="185"/>
      <c r="V69" s="185"/>
      <c r="W69" s="185"/>
      <c r="X69" s="185"/>
      <c r="Y69" s="185"/>
      <c r="Z69" s="186"/>
    </row>
    <row r="70" spans="1:26" ht="18" customHeight="1">
      <c r="A70" s="134"/>
      <c r="B70" s="289"/>
      <c r="C70" s="290"/>
      <c r="D70" s="290"/>
      <c r="E70" s="290"/>
      <c r="F70" s="291"/>
      <c r="G70" s="317"/>
      <c r="H70" s="318"/>
      <c r="I70" s="318"/>
      <c r="J70" s="318"/>
      <c r="K70" s="318"/>
      <c r="L70" s="318"/>
      <c r="M70" s="319"/>
      <c r="N70" s="289"/>
      <c r="O70" s="290"/>
      <c r="P70" s="290"/>
      <c r="Q70" s="290"/>
      <c r="R70" s="290"/>
      <c r="S70" s="291"/>
      <c r="T70" s="317"/>
      <c r="U70" s="318"/>
      <c r="V70" s="318"/>
      <c r="W70" s="318"/>
      <c r="X70" s="318"/>
      <c r="Y70" s="318"/>
      <c r="Z70" s="319"/>
    </row>
    <row r="71" spans="1:26" ht="18" customHeight="1">
      <c r="A71" s="134"/>
      <c r="B71" s="298"/>
      <c r="C71" s="299"/>
      <c r="D71" s="299"/>
      <c r="E71" s="299"/>
      <c r="F71" s="300"/>
      <c r="G71" s="320"/>
      <c r="H71" s="321"/>
      <c r="I71" s="321"/>
      <c r="J71" s="321"/>
      <c r="K71" s="321"/>
      <c r="L71" s="321"/>
      <c r="M71" s="322"/>
      <c r="N71" s="298"/>
      <c r="O71" s="299"/>
      <c r="P71" s="299"/>
      <c r="Q71" s="299"/>
      <c r="R71" s="299"/>
      <c r="S71" s="300"/>
      <c r="T71" s="320"/>
      <c r="U71" s="321"/>
      <c r="V71" s="321"/>
      <c r="W71" s="321"/>
      <c r="X71" s="321"/>
      <c r="Y71" s="321"/>
      <c r="Z71" s="322"/>
    </row>
    <row r="72" spans="1:26" ht="18" customHeight="1">
      <c r="A72" s="134"/>
      <c r="B72" s="298"/>
      <c r="C72" s="299"/>
      <c r="D72" s="299"/>
      <c r="E72" s="299"/>
      <c r="F72" s="300"/>
      <c r="G72" s="320"/>
      <c r="H72" s="321"/>
      <c r="I72" s="321"/>
      <c r="J72" s="321"/>
      <c r="K72" s="321"/>
      <c r="L72" s="321"/>
      <c r="M72" s="322"/>
      <c r="N72" s="298"/>
      <c r="O72" s="299"/>
      <c r="P72" s="299"/>
      <c r="Q72" s="299"/>
      <c r="R72" s="299"/>
      <c r="S72" s="300"/>
      <c r="T72" s="320"/>
      <c r="U72" s="321"/>
      <c r="V72" s="321"/>
      <c r="W72" s="321"/>
      <c r="X72" s="321"/>
      <c r="Y72" s="321"/>
      <c r="Z72" s="322"/>
    </row>
    <row r="73" spans="1:26" ht="18" customHeight="1">
      <c r="A73" s="134"/>
      <c r="B73" s="298"/>
      <c r="C73" s="299"/>
      <c r="D73" s="299"/>
      <c r="E73" s="299"/>
      <c r="F73" s="300"/>
      <c r="G73" s="320"/>
      <c r="H73" s="321"/>
      <c r="I73" s="321"/>
      <c r="J73" s="321"/>
      <c r="K73" s="321"/>
      <c r="L73" s="321"/>
      <c r="M73" s="322"/>
      <c r="N73" s="298"/>
      <c r="O73" s="299"/>
      <c r="P73" s="299"/>
      <c r="Q73" s="299"/>
      <c r="R73" s="299"/>
      <c r="S73" s="300"/>
      <c r="T73" s="320"/>
      <c r="U73" s="321"/>
      <c r="V73" s="321"/>
      <c r="W73" s="321"/>
      <c r="X73" s="321"/>
      <c r="Y73" s="321"/>
      <c r="Z73" s="322"/>
    </row>
    <row r="74" spans="1:26" ht="18" customHeight="1">
      <c r="A74" s="134"/>
      <c r="B74" s="298"/>
      <c r="C74" s="299"/>
      <c r="D74" s="299"/>
      <c r="E74" s="299"/>
      <c r="F74" s="300"/>
      <c r="G74" s="320"/>
      <c r="H74" s="321"/>
      <c r="I74" s="321"/>
      <c r="J74" s="321"/>
      <c r="K74" s="321"/>
      <c r="L74" s="321"/>
      <c r="M74" s="322"/>
      <c r="N74" s="298"/>
      <c r="O74" s="299"/>
      <c r="P74" s="299"/>
      <c r="Q74" s="299"/>
      <c r="R74" s="299"/>
      <c r="S74" s="300"/>
      <c r="T74" s="320"/>
      <c r="U74" s="321"/>
      <c r="V74" s="321"/>
      <c r="W74" s="321"/>
      <c r="X74" s="321"/>
      <c r="Y74" s="321"/>
      <c r="Z74" s="322"/>
    </row>
    <row r="75" spans="1:26" ht="18" customHeight="1">
      <c r="A75" s="134"/>
      <c r="B75" s="298"/>
      <c r="C75" s="299"/>
      <c r="D75" s="299"/>
      <c r="E75" s="299"/>
      <c r="F75" s="300"/>
      <c r="G75" s="320"/>
      <c r="H75" s="321"/>
      <c r="I75" s="321"/>
      <c r="J75" s="321"/>
      <c r="K75" s="321"/>
      <c r="L75" s="321"/>
      <c r="M75" s="322"/>
      <c r="N75" s="298"/>
      <c r="O75" s="299"/>
      <c r="P75" s="299"/>
      <c r="Q75" s="299"/>
      <c r="R75" s="299"/>
      <c r="S75" s="300"/>
      <c r="T75" s="320"/>
      <c r="U75" s="321"/>
      <c r="V75" s="321"/>
      <c r="W75" s="321"/>
      <c r="X75" s="321"/>
      <c r="Y75" s="321"/>
      <c r="Z75" s="322"/>
    </row>
    <row r="76" spans="1:26" ht="18" customHeight="1">
      <c r="A76" s="134"/>
      <c r="B76" s="308"/>
      <c r="C76" s="309"/>
      <c r="D76" s="309"/>
      <c r="E76" s="309"/>
      <c r="F76" s="310"/>
      <c r="G76" s="331"/>
      <c r="H76" s="332"/>
      <c r="I76" s="332"/>
      <c r="J76" s="332"/>
      <c r="K76" s="332"/>
      <c r="L76" s="332"/>
      <c r="M76" s="333"/>
      <c r="N76" s="308"/>
      <c r="O76" s="309"/>
      <c r="P76" s="309"/>
      <c r="Q76" s="309"/>
      <c r="R76" s="309"/>
      <c r="S76" s="310"/>
      <c r="T76" s="331"/>
      <c r="U76" s="332"/>
      <c r="V76" s="332"/>
      <c r="W76" s="332"/>
      <c r="X76" s="332"/>
      <c r="Y76" s="332"/>
      <c r="Z76" s="333"/>
    </row>
    <row r="77" spans="1:26" ht="18" customHeight="1">
      <c r="A77" s="134"/>
      <c r="B77" s="142"/>
      <c r="C77" s="142"/>
      <c r="D77" s="142"/>
      <c r="E77" s="142"/>
      <c r="F77" s="142"/>
      <c r="G77" s="148"/>
      <c r="H77" s="148"/>
      <c r="I77" s="148"/>
      <c r="J77" s="148"/>
      <c r="K77" s="148"/>
      <c r="L77" s="148"/>
      <c r="M77" s="148"/>
      <c r="N77" s="142"/>
      <c r="O77" s="142"/>
      <c r="P77" s="142"/>
      <c r="Q77" s="142"/>
      <c r="R77" s="142"/>
      <c r="S77" s="142"/>
      <c r="T77" s="148"/>
      <c r="U77" s="148"/>
      <c r="V77" s="148"/>
      <c r="W77" s="148"/>
      <c r="X77" s="148"/>
      <c r="Y77" s="148"/>
      <c r="Z77" s="148"/>
    </row>
    <row r="78" spans="1:26" ht="18.75" customHeight="1">
      <c r="A78" s="133" t="s">
        <v>165</v>
      </c>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row>
    <row r="79" spans="1:26" ht="18.75" customHeight="1">
      <c r="A79" s="133"/>
      <c r="B79" s="149" t="s">
        <v>166</v>
      </c>
      <c r="C79" s="150"/>
      <c r="D79" s="334" t="s">
        <v>96</v>
      </c>
      <c r="E79" s="334"/>
      <c r="F79" s="334"/>
      <c r="G79" s="334"/>
      <c r="H79" s="334"/>
      <c r="I79" s="334"/>
      <c r="J79" s="334"/>
      <c r="K79" s="334"/>
      <c r="L79" s="334"/>
      <c r="M79" s="334"/>
      <c r="N79" s="334"/>
      <c r="O79" s="334"/>
      <c r="P79" s="334"/>
      <c r="Q79" s="334"/>
      <c r="R79" s="334"/>
      <c r="S79" s="334"/>
      <c r="T79" s="334"/>
      <c r="U79" s="334"/>
      <c r="V79" s="334"/>
      <c r="W79" s="334"/>
      <c r="X79" s="334"/>
      <c r="Y79" s="334"/>
      <c r="Z79" s="335"/>
    </row>
    <row r="80" spans="1:26" ht="78" customHeight="1">
      <c r="A80" s="133"/>
      <c r="B80" s="336" t="s">
        <v>192</v>
      </c>
      <c r="C80" s="151" t="s">
        <v>168</v>
      </c>
      <c r="D80" s="326" t="s">
        <v>315</v>
      </c>
      <c r="E80" s="326"/>
      <c r="F80" s="326"/>
      <c r="G80" s="326"/>
      <c r="H80" s="326"/>
      <c r="I80" s="326"/>
      <c r="J80" s="326"/>
      <c r="K80" s="326"/>
      <c r="L80" s="326"/>
      <c r="M80" s="326"/>
      <c r="N80" s="326"/>
      <c r="O80" s="326"/>
      <c r="P80" s="326"/>
      <c r="Q80" s="326"/>
      <c r="R80" s="326"/>
      <c r="S80" s="326"/>
      <c r="T80" s="326"/>
      <c r="U80" s="326"/>
      <c r="V80" s="326"/>
      <c r="W80" s="326"/>
      <c r="X80" s="326"/>
      <c r="Y80" s="326"/>
      <c r="Z80" s="327"/>
    </row>
    <row r="81" spans="1:26" ht="78" customHeight="1">
      <c r="A81" s="133"/>
      <c r="B81" s="337"/>
      <c r="C81" s="152" t="s">
        <v>169</v>
      </c>
      <c r="D81" s="326" t="s">
        <v>316</v>
      </c>
      <c r="E81" s="326"/>
      <c r="F81" s="326"/>
      <c r="G81" s="326"/>
      <c r="H81" s="326"/>
      <c r="I81" s="326"/>
      <c r="J81" s="326"/>
      <c r="K81" s="326"/>
      <c r="L81" s="326"/>
      <c r="M81" s="326"/>
      <c r="N81" s="326"/>
      <c r="O81" s="326"/>
      <c r="P81" s="326"/>
      <c r="Q81" s="326"/>
      <c r="R81" s="326"/>
      <c r="S81" s="326"/>
      <c r="T81" s="326"/>
      <c r="U81" s="326"/>
      <c r="V81" s="326"/>
      <c r="W81" s="326"/>
      <c r="X81" s="326"/>
      <c r="Y81" s="326"/>
      <c r="Z81" s="327"/>
    </row>
    <row r="82" spans="1:26" ht="78" customHeight="1">
      <c r="A82" s="133"/>
      <c r="B82" s="323" t="s">
        <v>170</v>
      </c>
      <c r="C82" s="153" t="s">
        <v>171</v>
      </c>
      <c r="D82" s="325" t="s">
        <v>363</v>
      </c>
      <c r="E82" s="326"/>
      <c r="F82" s="326"/>
      <c r="G82" s="326"/>
      <c r="H82" s="326"/>
      <c r="I82" s="326"/>
      <c r="J82" s="326"/>
      <c r="K82" s="326"/>
      <c r="L82" s="326"/>
      <c r="M82" s="326"/>
      <c r="N82" s="326"/>
      <c r="O82" s="326"/>
      <c r="P82" s="326"/>
      <c r="Q82" s="326"/>
      <c r="R82" s="326"/>
      <c r="S82" s="326"/>
      <c r="T82" s="326"/>
      <c r="U82" s="326"/>
      <c r="V82" s="326"/>
      <c r="W82" s="326"/>
      <c r="X82" s="326"/>
      <c r="Y82" s="326"/>
      <c r="Z82" s="327"/>
    </row>
    <row r="83" spans="1:26" ht="78" customHeight="1">
      <c r="A83" s="133"/>
      <c r="B83" s="324"/>
      <c r="C83" s="154" t="s">
        <v>172</v>
      </c>
      <c r="D83" s="328" t="s">
        <v>364</v>
      </c>
      <c r="E83" s="329"/>
      <c r="F83" s="329"/>
      <c r="G83" s="329"/>
      <c r="H83" s="329"/>
      <c r="I83" s="329"/>
      <c r="J83" s="329"/>
      <c r="K83" s="329"/>
      <c r="L83" s="329"/>
      <c r="M83" s="329"/>
      <c r="N83" s="329"/>
      <c r="O83" s="329"/>
      <c r="P83" s="329"/>
      <c r="Q83" s="329"/>
      <c r="R83" s="329"/>
      <c r="S83" s="329"/>
      <c r="T83" s="329"/>
      <c r="U83" s="329"/>
      <c r="V83" s="329"/>
      <c r="W83" s="329"/>
      <c r="X83" s="329"/>
      <c r="Y83" s="329"/>
      <c r="Z83" s="330"/>
    </row>
    <row r="84" spans="1:26" ht="66" customHeight="1">
      <c r="A84" s="133"/>
      <c r="B84" s="323" t="s">
        <v>173</v>
      </c>
      <c r="C84" s="153" t="s">
        <v>150</v>
      </c>
      <c r="D84" s="433" t="s">
        <v>382</v>
      </c>
      <c r="E84" s="433"/>
      <c r="F84" s="433"/>
      <c r="G84" s="433"/>
      <c r="H84" s="433"/>
      <c r="I84" s="433"/>
      <c r="J84" s="433"/>
      <c r="K84" s="433"/>
      <c r="L84" s="433"/>
      <c r="M84" s="433"/>
      <c r="N84" s="433"/>
      <c r="O84" s="433"/>
      <c r="P84" s="433"/>
      <c r="Q84" s="433"/>
      <c r="R84" s="433"/>
      <c r="S84" s="433"/>
      <c r="T84" s="433"/>
      <c r="U84" s="433"/>
      <c r="V84" s="433"/>
      <c r="W84" s="433"/>
      <c r="X84" s="433"/>
      <c r="Y84" s="433"/>
      <c r="Z84" s="434"/>
    </row>
    <row r="85" spans="1:26" ht="66" customHeight="1">
      <c r="A85" s="133"/>
      <c r="B85" s="324"/>
      <c r="C85" s="155" t="s">
        <v>184</v>
      </c>
      <c r="D85" s="435" t="s">
        <v>383</v>
      </c>
      <c r="E85" s="435"/>
      <c r="F85" s="435"/>
      <c r="G85" s="435"/>
      <c r="H85" s="435"/>
      <c r="I85" s="435"/>
      <c r="J85" s="435"/>
      <c r="K85" s="435"/>
      <c r="L85" s="435"/>
      <c r="M85" s="435"/>
      <c r="N85" s="435"/>
      <c r="O85" s="435"/>
      <c r="P85" s="435"/>
      <c r="Q85" s="435"/>
      <c r="R85" s="435"/>
      <c r="S85" s="435"/>
      <c r="T85" s="435"/>
      <c r="U85" s="435"/>
      <c r="V85" s="435"/>
      <c r="W85" s="435"/>
      <c r="X85" s="435"/>
      <c r="Y85" s="435"/>
      <c r="Z85" s="436"/>
    </row>
    <row r="86" spans="1:26" ht="66" customHeight="1">
      <c r="A86" s="133"/>
      <c r="B86" s="336" t="s">
        <v>194</v>
      </c>
      <c r="C86" s="151" t="s">
        <v>233</v>
      </c>
      <c r="D86" s="325" t="s">
        <v>317</v>
      </c>
      <c r="E86" s="326"/>
      <c r="F86" s="326"/>
      <c r="G86" s="326"/>
      <c r="H86" s="326"/>
      <c r="I86" s="326"/>
      <c r="J86" s="326"/>
      <c r="K86" s="326"/>
      <c r="L86" s="326"/>
      <c r="M86" s="326"/>
      <c r="N86" s="326"/>
      <c r="O86" s="326"/>
      <c r="P86" s="326"/>
      <c r="Q86" s="326"/>
      <c r="R86" s="326"/>
      <c r="S86" s="326"/>
      <c r="T86" s="326"/>
      <c r="U86" s="326"/>
      <c r="V86" s="326"/>
      <c r="W86" s="326"/>
      <c r="X86" s="326"/>
      <c r="Y86" s="326"/>
      <c r="Z86" s="327"/>
    </row>
    <row r="87" spans="1:26" ht="66" customHeight="1">
      <c r="A87" s="133"/>
      <c r="B87" s="338"/>
      <c r="C87" s="156" t="s">
        <v>154</v>
      </c>
      <c r="D87" s="339" t="s">
        <v>318</v>
      </c>
      <c r="E87" s="339"/>
      <c r="F87" s="339"/>
      <c r="G87" s="339"/>
      <c r="H87" s="339"/>
      <c r="I87" s="339"/>
      <c r="J87" s="339"/>
      <c r="K87" s="339"/>
      <c r="L87" s="339"/>
      <c r="M87" s="339"/>
      <c r="N87" s="339"/>
      <c r="O87" s="339"/>
      <c r="P87" s="339"/>
      <c r="Q87" s="339"/>
      <c r="R87" s="339"/>
      <c r="S87" s="339"/>
      <c r="T87" s="339"/>
      <c r="U87" s="339"/>
      <c r="V87" s="339"/>
      <c r="W87" s="339"/>
      <c r="X87" s="339"/>
      <c r="Y87" s="339"/>
      <c r="Z87" s="340"/>
    </row>
    <row r="88" spans="1:26" ht="66" customHeight="1">
      <c r="A88" s="133"/>
      <c r="B88" s="336" t="s">
        <v>234</v>
      </c>
      <c r="C88" s="153" t="s">
        <v>190</v>
      </c>
      <c r="D88" s="341" t="s">
        <v>365</v>
      </c>
      <c r="E88" s="342"/>
      <c r="F88" s="342"/>
      <c r="G88" s="342"/>
      <c r="H88" s="342"/>
      <c r="I88" s="342"/>
      <c r="J88" s="342"/>
      <c r="K88" s="342"/>
      <c r="L88" s="342"/>
      <c r="M88" s="342"/>
      <c r="N88" s="342"/>
      <c r="O88" s="342"/>
      <c r="P88" s="342"/>
      <c r="Q88" s="342"/>
      <c r="R88" s="342"/>
      <c r="S88" s="342"/>
      <c r="T88" s="342"/>
      <c r="U88" s="342"/>
      <c r="V88" s="342"/>
      <c r="W88" s="342"/>
      <c r="X88" s="342"/>
      <c r="Y88" s="342"/>
      <c r="Z88" s="343"/>
    </row>
    <row r="89" spans="1:26" ht="66" customHeight="1">
      <c r="A89" s="133"/>
      <c r="B89" s="337"/>
      <c r="C89" s="156" t="s">
        <v>189</v>
      </c>
      <c r="D89" s="341" t="s">
        <v>366</v>
      </c>
      <c r="E89" s="342"/>
      <c r="F89" s="342"/>
      <c r="G89" s="342"/>
      <c r="H89" s="342"/>
      <c r="I89" s="342"/>
      <c r="J89" s="342"/>
      <c r="K89" s="342"/>
      <c r="L89" s="342"/>
      <c r="M89" s="342"/>
      <c r="N89" s="342"/>
      <c r="O89" s="342"/>
      <c r="P89" s="342"/>
      <c r="Q89" s="342"/>
      <c r="R89" s="342"/>
      <c r="S89" s="342"/>
      <c r="T89" s="342"/>
      <c r="U89" s="342"/>
      <c r="V89" s="342"/>
      <c r="W89" s="342"/>
      <c r="X89" s="342"/>
      <c r="Y89" s="342"/>
      <c r="Z89" s="343"/>
    </row>
    <row r="90" spans="1:26" ht="66" customHeight="1">
      <c r="A90" s="133"/>
      <c r="B90" s="324"/>
      <c r="C90" s="155" t="s">
        <v>177</v>
      </c>
      <c r="D90" s="344" t="s">
        <v>367</v>
      </c>
      <c r="E90" s="345"/>
      <c r="F90" s="345"/>
      <c r="G90" s="345"/>
      <c r="H90" s="345"/>
      <c r="I90" s="345"/>
      <c r="J90" s="345"/>
      <c r="K90" s="345"/>
      <c r="L90" s="345"/>
      <c r="M90" s="345"/>
      <c r="N90" s="345"/>
      <c r="O90" s="345"/>
      <c r="P90" s="345"/>
      <c r="Q90" s="345"/>
      <c r="R90" s="345"/>
      <c r="S90" s="345"/>
      <c r="T90" s="345"/>
      <c r="U90" s="345"/>
      <c r="V90" s="345"/>
      <c r="W90" s="345"/>
      <c r="X90" s="345"/>
      <c r="Y90" s="345"/>
      <c r="Z90" s="346"/>
    </row>
    <row r="91" spans="1:26" ht="6" customHeight="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row>
    <row r="92" spans="1:26" ht="18.75" customHeight="1">
      <c r="A92" s="133" t="s">
        <v>122</v>
      </c>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row>
    <row r="93" spans="1:26" ht="18.75" customHeight="1">
      <c r="A93" s="133"/>
      <c r="B93" s="437" t="s">
        <v>347</v>
      </c>
      <c r="C93" s="438"/>
      <c r="D93" s="438"/>
      <c r="E93" s="438"/>
      <c r="F93" s="438"/>
      <c r="G93" s="438"/>
      <c r="H93" s="438"/>
      <c r="I93" s="438"/>
      <c r="J93" s="438"/>
      <c r="K93" s="438"/>
      <c r="L93" s="438"/>
      <c r="M93" s="438"/>
      <c r="N93" s="438"/>
      <c r="O93" s="438"/>
      <c r="P93" s="438"/>
      <c r="Q93" s="438"/>
      <c r="R93" s="438"/>
      <c r="S93" s="438"/>
      <c r="T93" s="438"/>
      <c r="U93" s="438"/>
      <c r="V93" s="438"/>
      <c r="W93" s="438"/>
      <c r="X93" s="438"/>
      <c r="Y93" s="438"/>
      <c r="Z93" s="439"/>
    </row>
    <row r="94" spans="1:26" ht="18.75" customHeight="1">
      <c r="A94" s="133"/>
      <c r="B94" s="440"/>
      <c r="C94" s="441"/>
      <c r="D94" s="441"/>
      <c r="E94" s="441"/>
      <c r="F94" s="441"/>
      <c r="G94" s="441"/>
      <c r="H94" s="441"/>
      <c r="I94" s="441"/>
      <c r="J94" s="441"/>
      <c r="K94" s="441"/>
      <c r="L94" s="441"/>
      <c r="M94" s="441"/>
      <c r="N94" s="441"/>
      <c r="O94" s="441"/>
      <c r="P94" s="441"/>
      <c r="Q94" s="441"/>
      <c r="R94" s="441"/>
      <c r="S94" s="441"/>
      <c r="T94" s="441"/>
      <c r="U94" s="441"/>
      <c r="V94" s="441"/>
      <c r="W94" s="441"/>
      <c r="X94" s="441"/>
      <c r="Y94" s="441"/>
      <c r="Z94" s="442"/>
    </row>
    <row r="95" spans="1:26" ht="49.5" customHeight="1">
      <c r="A95" s="133"/>
      <c r="B95" s="443"/>
      <c r="C95" s="345"/>
      <c r="D95" s="345"/>
      <c r="E95" s="345"/>
      <c r="F95" s="345"/>
      <c r="G95" s="345"/>
      <c r="H95" s="345"/>
      <c r="I95" s="345"/>
      <c r="J95" s="345"/>
      <c r="K95" s="345"/>
      <c r="L95" s="345"/>
      <c r="M95" s="345"/>
      <c r="N95" s="345"/>
      <c r="O95" s="345"/>
      <c r="P95" s="345"/>
      <c r="Q95" s="345"/>
      <c r="R95" s="345"/>
      <c r="S95" s="345"/>
      <c r="T95" s="345"/>
      <c r="U95" s="345"/>
      <c r="V95" s="345"/>
      <c r="W95" s="345"/>
      <c r="X95" s="345"/>
      <c r="Y95" s="345"/>
      <c r="Z95" s="346"/>
    </row>
    <row r="96" spans="1:26" ht="6" customHeight="1">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row>
    <row r="97" spans="1:26" ht="15" customHeight="1">
      <c r="A97" s="133" t="s">
        <v>235</v>
      </c>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row>
    <row r="98" spans="1:26" ht="15" customHeight="1">
      <c r="A98" s="133"/>
      <c r="B98" s="444" t="s">
        <v>373</v>
      </c>
      <c r="C98" s="445"/>
      <c r="D98" s="445"/>
      <c r="E98" s="445"/>
      <c r="F98" s="445"/>
      <c r="G98" s="445"/>
      <c r="H98" s="445"/>
      <c r="I98" s="445"/>
      <c r="J98" s="445"/>
      <c r="K98" s="445"/>
      <c r="L98" s="445"/>
      <c r="M98" s="445"/>
      <c r="N98" s="445"/>
      <c r="O98" s="445"/>
      <c r="P98" s="445"/>
      <c r="Q98" s="445"/>
      <c r="R98" s="445"/>
      <c r="S98" s="445"/>
      <c r="T98" s="445"/>
      <c r="U98" s="445"/>
      <c r="V98" s="445"/>
      <c r="W98" s="445"/>
      <c r="X98" s="445"/>
      <c r="Y98" s="445"/>
      <c r="Z98" s="446"/>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27:I33 V27:V33 I49:I55 V38:V44 I16:I22 V49:V55 I38:I44 U60:U66 H60:H66">
      <formula1>"全学開講,一部開講"</formula1>
    </dataValidation>
    <dataValidation type="list" allowBlank="1" showInputMessage="1" showErrorMessage="1" sqref="Y16:Z22 L16:M22 Y27:Z33 L38:M44 Y38:Z44 Y49:Z55 Y60:Z66 T60:T66 H16:H22 U16:U22 G60:G66 U27:U33 H38:H44 U38:U44 U49:U55 L49:M55 L60:M66 H49:H55 L27:M33 H27:H33">
      <formula1>"○"</formula1>
    </dataValidation>
  </dataValidations>
  <printOptions horizontalCentered="1"/>
  <pageMargins left="0.78740157480314965" right="0.78740157480314965" top="0.59055118110236227" bottom="0.19685039370078741" header="0.31496062992125984" footer="0.19685039370078741"/>
  <pageSetup paperSize="9" scale="95" orientation="landscape" r:id="rId1"/>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topLeftCell="A78" zoomScaleNormal="100" zoomScaleSheetLayoutView="100" workbookViewId="0">
      <selection activeCell="D88" sqref="D88:Z88"/>
    </sheetView>
  </sheetViews>
  <sheetFormatPr defaultColWidth="9" defaultRowHeight="18.75" customHeight="1"/>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206" t="s">
        <v>250</v>
      </c>
      <c r="X1" s="206"/>
      <c r="Y1" s="206"/>
      <c r="Z1" s="206"/>
    </row>
    <row r="2" spans="1:26" ht="18" customHeight="1">
      <c r="A2" s="207" t="s">
        <v>63</v>
      </c>
      <c r="B2" s="207"/>
      <c r="C2" s="207"/>
      <c r="D2" s="207"/>
      <c r="E2" s="207"/>
      <c r="F2" s="207"/>
      <c r="G2" s="207"/>
      <c r="H2" s="207"/>
      <c r="I2" s="207"/>
      <c r="J2" s="207"/>
      <c r="K2" s="207"/>
      <c r="L2" s="207"/>
      <c r="M2" s="207"/>
      <c r="N2" s="207"/>
      <c r="O2" s="207"/>
      <c r="P2" s="207"/>
      <c r="Q2" s="207"/>
      <c r="R2" s="207"/>
      <c r="S2" s="207"/>
      <c r="T2" s="207"/>
      <c r="U2" s="207"/>
      <c r="V2" s="207"/>
      <c r="W2" s="207"/>
      <c r="X2" s="207"/>
      <c r="Y2" s="207"/>
      <c r="Z2" s="207"/>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142</v>
      </c>
      <c r="B4" s="29"/>
      <c r="C4" s="29"/>
      <c r="D4" s="29"/>
      <c r="E4" s="29"/>
      <c r="F4" s="29"/>
      <c r="G4" s="29"/>
      <c r="H4" s="14" t="s">
        <v>101</v>
      </c>
      <c r="I4" s="29"/>
      <c r="J4" s="29"/>
      <c r="K4" s="29"/>
      <c r="L4" s="29"/>
      <c r="M4" s="29"/>
      <c r="N4" s="29"/>
      <c r="O4" s="208" t="s">
        <v>143</v>
      </c>
      <c r="P4" s="209"/>
      <c r="Q4" s="209"/>
      <c r="R4" s="209"/>
      <c r="S4" s="209"/>
      <c r="T4" s="209"/>
      <c r="U4" s="209"/>
      <c r="V4" s="209"/>
      <c r="W4" s="209"/>
      <c r="X4" s="209"/>
      <c r="Y4" s="209"/>
      <c r="Z4" s="210"/>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347" t="s">
        <v>352</v>
      </c>
      <c r="C6" s="348"/>
      <c r="D6" s="348"/>
      <c r="E6" s="348"/>
      <c r="F6" s="348"/>
      <c r="G6" s="348"/>
      <c r="H6" s="348"/>
      <c r="I6" s="348"/>
      <c r="J6" s="348"/>
      <c r="K6" s="348"/>
      <c r="L6" s="348"/>
      <c r="M6" s="348"/>
      <c r="N6" s="348"/>
      <c r="O6" s="348"/>
      <c r="P6" s="348"/>
      <c r="Q6" s="348"/>
      <c r="R6" s="348"/>
      <c r="S6" s="348"/>
      <c r="T6" s="348"/>
      <c r="U6" s="348"/>
      <c r="V6" s="348"/>
      <c r="W6" s="348"/>
      <c r="X6" s="348"/>
      <c r="Y6" s="348"/>
      <c r="Z6" s="349"/>
    </row>
    <row r="7" spans="1:26" ht="18" customHeight="1">
      <c r="B7" s="350"/>
      <c r="C7" s="351"/>
      <c r="D7" s="351"/>
      <c r="E7" s="351"/>
      <c r="F7" s="351"/>
      <c r="G7" s="351"/>
      <c r="H7" s="351"/>
      <c r="I7" s="351"/>
      <c r="J7" s="351"/>
      <c r="K7" s="351"/>
      <c r="L7" s="351"/>
      <c r="M7" s="351"/>
      <c r="N7" s="351"/>
      <c r="O7" s="351"/>
      <c r="P7" s="351"/>
      <c r="Q7" s="351"/>
      <c r="R7" s="351"/>
      <c r="S7" s="351"/>
      <c r="T7" s="351"/>
      <c r="U7" s="351"/>
      <c r="V7" s="351"/>
      <c r="W7" s="351"/>
      <c r="X7" s="351"/>
      <c r="Y7" s="351"/>
      <c r="Z7" s="352"/>
    </row>
    <row r="8" spans="1:26" ht="18" customHeight="1">
      <c r="B8" s="350"/>
      <c r="C8" s="351"/>
      <c r="D8" s="351"/>
      <c r="E8" s="351"/>
      <c r="F8" s="351"/>
      <c r="G8" s="351"/>
      <c r="H8" s="351"/>
      <c r="I8" s="351"/>
      <c r="J8" s="351"/>
      <c r="K8" s="351"/>
      <c r="L8" s="351"/>
      <c r="M8" s="351"/>
      <c r="N8" s="351"/>
      <c r="O8" s="351"/>
      <c r="P8" s="351"/>
      <c r="Q8" s="351"/>
      <c r="R8" s="351"/>
      <c r="S8" s="351"/>
      <c r="T8" s="351"/>
      <c r="U8" s="351"/>
      <c r="V8" s="351"/>
      <c r="W8" s="351"/>
      <c r="X8" s="351"/>
      <c r="Y8" s="351"/>
      <c r="Z8" s="352"/>
    </row>
    <row r="9" spans="1:26" ht="18" customHeight="1">
      <c r="B9" s="350"/>
      <c r="C9" s="351"/>
      <c r="D9" s="351"/>
      <c r="E9" s="351"/>
      <c r="F9" s="351"/>
      <c r="G9" s="351"/>
      <c r="H9" s="351"/>
      <c r="I9" s="351"/>
      <c r="J9" s="351"/>
      <c r="K9" s="351"/>
      <c r="L9" s="351"/>
      <c r="M9" s="351"/>
      <c r="N9" s="351"/>
      <c r="O9" s="351"/>
      <c r="P9" s="351"/>
      <c r="Q9" s="351"/>
      <c r="R9" s="351"/>
      <c r="S9" s="351"/>
      <c r="T9" s="351"/>
      <c r="U9" s="351"/>
      <c r="V9" s="351"/>
      <c r="W9" s="351"/>
      <c r="X9" s="351"/>
      <c r="Y9" s="351"/>
      <c r="Z9" s="352"/>
    </row>
    <row r="10" spans="1:26" ht="18" customHeight="1">
      <c r="B10" s="350"/>
      <c r="C10" s="351"/>
      <c r="D10" s="351"/>
      <c r="E10" s="351"/>
      <c r="F10" s="351"/>
      <c r="G10" s="351"/>
      <c r="H10" s="351"/>
      <c r="I10" s="351"/>
      <c r="J10" s="351"/>
      <c r="K10" s="351"/>
      <c r="L10" s="351"/>
      <c r="M10" s="351"/>
      <c r="N10" s="351"/>
      <c r="O10" s="351"/>
      <c r="P10" s="351"/>
      <c r="Q10" s="351"/>
      <c r="R10" s="351"/>
      <c r="S10" s="351"/>
      <c r="T10" s="351"/>
      <c r="U10" s="351"/>
      <c r="V10" s="351"/>
      <c r="W10" s="351"/>
      <c r="X10" s="351"/>
      <c r="Y10" s="351"/>
      <c r="Z10" s="352"/>
    </row>
    <row r="11" spans="1:26" ht="18" customHeight="1">
      <c r="B11" s="353"/>
      <c r="C11" s="354"/>
      <c r="D11" s="354"/>
      <c r="E11" s="354"/>
      <c r="F11" s="354"/>
      <c r="G11" s="354"/>
      <c r="H11" s="354"/>
      <c r="I11" s="354"/>
      <c r="J11" s="354"/>
      <c r="K11" s="354"/>
      <c r="L11" s="354"/>
      <c r="M11" s="354"/>
      <c r="N11" s="354"/>
      <c r="O11" s="354"/>
      <c r="P11" s="354"/>
      <c r="Q11" s="354"/>
      <c r="R11" s="354"/>
      <c r="S11" s="354"/>
      <c r="T11" s="354"/>
      <c r="U11" s="354"/>
      <c r="V11" s="354"/>
      <c r="W11" s="354"/>
      <c r="X11" s="354"/>
      <c r="Y11" s="354"/>
      <c r="Z11" s="355"/>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211" t="s">
        <v>113</v>
      </c>
      <c r="B13" s="211"/>
      <c r="C13" s="211"/>
      <c r="D13" s="211"/>
      <c r="E13" s="211"/>
      <c r="F13" s="211"/>
      <c r="G13" s="211"/>
      <c r="H13" s="211"/>
      <c r="I13" s="211"/>
      <c r="J13" s="211"/>
      <c r="K13" s="211"/>
      <c r="L13" s="211"/>
      <c r="M13" s="211"/>
      <c r="N13" s="211"/>
      <c r="O13" s="211"/>
      <c r="P13" s="211"/>
      <c r="Q13" s="211"/>
      <c r="R13" s="211"/>
      <c r="S13" s="211"/>
      <c r="T13" s="211"/>
      <c r="U13" s="211"/>
      <c r="V13" s="211"/>
      <c r="W13" s="211"/>
      <c r="X13" s="211"/>
      <c r="Y13" s="211"/>
      <c r="Z13" s="211"/>
    </row>
    <row r="14" spans="1:26" ht="18" customHeight="1">
      <c r="A14" s="211"/>
      <c r="B14" s="211"/>
      <c r="C14" s="211"/>
      <c r="D14" s="211"/>
      <c r="E14" s="211"/>
      <c r="F14" s="211"/>
      <c r="G14" s="211"/>
      <c r="H14" s="211"/>
      <c r="I14" s="211"/>
      <c r="J14" s="211"/>
      <c r="K14" s="211"/>
      <c r="L14" s="211"/>
      <c r="M14" s="211"/>
      <c r="N14" s="211"/>
      <c r="O14" s="211"/>
      <c r="P14" s="211"/>
      <c r="Q14" s="211"/>
      <c r="R14" s="211"/>
      <c r="S14" s="211"/>
      <c r="T14" s="211"/>
      <c r="U14" s="211"/>
      <c r="V14" s="211"/>
      <c r="W14" s="211"/>
      <c r="X14" s="211"/>
      <c r="Y14" s="211"/>
      <c r="Z14" s="211"/>
    </row>
    <row r="15" spans="1:26" ht="18" customHeight="1">
      <c r="A15" s="14"/>
      <c r="B15" s="208" t="s">
        <v>94</v>
      </c>
      <c r="C15" s="209"/>
      <c r="D15" s="209"/>
      <c r="E15" s="209"/>
      <c r="F15" s="210"/>
      <c r="G15" s="30" t="s">
        <v>121</v>
      </c>
      <c r="H15" s="108" t="s">
        <v>120</v>
      </c>
      <c r="I15" s="209" t="s">
        <v>151</v>
      </c>
      <c r="J15" s="209"/>
      <c r="K15" s="209"/>
      <c r="L15" s="71" t="s">
        <v>180</v>
      </c>
      <c r="M15" s="71" t="s">
        <v>100</v>
      </c>
      <c r="N15" s="208" t="s">
        <v>94</v>
      </c>
      <c r="O15" s="209"/>
      <c r="P15" s="209"/>
      <c r="Q15" s="209"/>
      <c r="R15" s="209"/>
      <c r="S15" s="210"/>
      <c r="T15" s="30" t="s">
        <v>121</v>
      </c>
      <c r="U15" s="108" t="s">
        <v>120</v>
      </c>
      <c r="V15" s="209" t="s">
        <v>151</v>
      </c>
      <c r="W15" s="209"/>
      <c r="X15" s="209"/>
      <c r="Y15" s="71" t="s">
        <v>180</v>
      </c>
      <c r="Z15" s="71" t="s">
        <v>100</v>
      </c>
    </row>
    <row r="16" spans="1:26" ht="18" customHeight="1">
      <c r="A16" s="14"/>
      <c r="B16" s="221" t="s">
        <v>313</v>
      </c>
      <c r="C16" s="222"/>
      <c r="D16" s="222"/>
      <c r="E16" s="222"/>
      <c r="F16" s="223"/>
      <c r="G16" s="109">
        <v>1</v>
      </c>
      <c r="H16" s="109" t="s">
        <v>145</v>
      </c>
      <c r="I16" s="191" t="s">
        <v>144</v>
      </c>
      <c r="J16" s="192"/>
      <c r="K16" s="193"/>
      <c r="L16" s="122" t="s">
        <v>145</v>
      </c>
      <c r="M16" s="122" t="s">
        <v>145</v>
      </c>
      <c r="N16" s="194"/>
      <c r="O16" s="195"/>
      <c r="P16" s="195"/>
      <c r="Q16" s="195"/>
      <c r="R16" s="195"/>
      <c r="S16" s="196"/>
      <c r="T16" s="109"/>
      <c r="U16" s="109"/>
      <c r="V16" s="191"/>
      <c r="W16" s="192"/>
      <c r="X16" s="193"/>
      <c r="Y16" s="109"/>
      <c r="Z16" s="109"/>
    </row>
    <row r="17" spans="1:26" ht="18" customHeight="1">
      <c r="A17" s="14"/>
      <c r="B17" s="197"/>
      <c r="C17" s="198"/>
      <c r="D17" s="198"/>
      <c r="E17" s="198"/>
      <c r="F17" s="199"/>
      <c r="G17" s="110"/>
      <c r="H17" s="110"/>
      <c r="I17" s="200"/>
      <c r="J17" s="201"/>
      <c r="K17" s="202"/>
      <c r="L17" s="123"/>
      <c r="M17" s="123"/>
      <c r="N17" s="203"/>
      <c r="O17" s="204"/>
      <c r="P17" s="204"/>
      <c r="Q17" s="204"/>
      <c r="R17" s="204"/>
      <c r="S17" s="205"/>
      <c r="T17" s="110"/>
      <c r="U17" s="110"/>
      <c r="V17" s="200"/>
      <c r="W17" s="201"/>
      <c r="X17" s="202"/>
      <c r="Y17" s="110"/>
      <c r="Z17" s="110"/>
    </row>
    <row r="18" spans="1:26" ht="18" customHeight="1">
      <c r="A18" s="14"/>
      <c r="B18" s="197"/>
      <c r="C18" s="198"/>
      <c r="D18" s="198"/>
      <c r="E18" s="198"/>
      <c r="F18" s="199"/>
      <c r="G18" s="110"/>
      <c r="H18" s="110"/>
      <c r="I18" s="200"/>
      <c r="J18" s="201"/>
      <c r="K18" s="202"/>
      <c r="L18" s="123"/>
      <c r="M18" s="123"/>
      <c r="N18" s="203"/>
      <c r="O18" s="204"/>
      <c r="P18" s="204"/>
      <c r="Q18" s="204"/>
      <c r="R18" s="204"/>
      <c r="S18" s="205"/>
      <c r="T18" s="110"/>
      <c r="U18" s="110"/>
      <c r="V18" s="200"/>
      <c r="W18" s="201"/>
      <c r="X18" s="202"/>
      <c r="Y18" s="110"/>
      <c r="Z18" s="110"/>
    </row>
    <row r="19" spans="1:26" ht="18" customHeight="1">
      <c r="A19" s="14"/>
      <c r="B19" s="197"/>
      <c r="C19" s="198"/>
      <c r="D19" s="198"/>
      <c r="E19" s="198"/>
      <c r="F19" s="199"/>
      <c r="G19" s="110"/>
      <c r="H19" s="110"/>
      <c r="I19" s="200"/>
      <c r="J19" s="201"/>
      <c r="K19" s="202"/>
      <c r="L19" s="123"/>
      <c r="M19" s="123"/>
      <c r="N19" s="203"/>
      <c r="O19" s="204"/>
      <c r="P19" s="204"/>
      <c r="Q19" s="204"/>
      <c r="R19" s="204"/>
      <c r="S19" s="205"/>
      <c r="T19" s="110"/>
      <c r="U19" s="110"/>
      <c r="V19" s="200"/>
      <c r="W19" s="201"/>
      <c r="X19" s="202"/>
      <c r="Y19" s="110"/>
      <c r="Z19" s="110"/>
    </row>
    <row r="20" spans="1:26" ht="18" customHeight="1">
      <c r="A20" s="14"/>
      <c r="B20" s="197"/>
      <c r="C20" s="198"/>
      <c r="D20" s="198"/>
      <c r="E20" s="198"/>
      <c r="F20" s="199"/>
      <c r="G20" s="110"/>
      <c r="H20" s="110"/>
      <c r="I20" s="200"/>
      <c r="J20" s="201"/>
      <c r="K20" s="202"/>
      <c r="L20" s="123"/>
      <c r="M20" s="123"/>
      <c r="N20" s="203"/>
      <c r="O20" s="204"/>
      <c r="P20" s="204"/>
      <c r="Q20" s="204"/>
      <c r="R20" s="204"/>
      <c r="S20" s="205"/>
      <c r="T20" s="110"/>
      <c r="U20" s="110"/>
      <c r="V20" s="200"/>
      <c r="W20" s="201"/>
      <c r="X20" s="202"/>
      <c r="Y20" s="110"/>
      <c r="Z20" s="110"/>
    </row>
    <row r="21" spans="1:26" ht="18" customHeight="1">
      <c r="A21" s="29"/>
      <c r="B21" s="197"/>
      <c r="C21" s="198"/>
      <c r="D21" s="198"/>
      <c r="E21" s="198"/>
      <c r="F21" s="199"/>
      <c r="G21" s="110"/>
      <c r="H21" s="110"/>
      <c r="I21" s="200"/>
      <c r="J21" s="201"/>
      <c r="K21" s="202"/>
      <c r="L21" s="123"/>
      <c r="M21" s="123"/>
      <c r="N21" s="203"/>
      <c r="O21" s="204"/>
      <c r="P21" s="204"/>
      <c r="Q21" s="204"/>
      <c r="R21" s="204"/>
      <c r="S21" s="205"/>
      <c r="T21" s="110"/>
      <c r="U21" s="110"/>
      <c r="V21" s="200"/>
      <c r="W21" s="201"/>
      <c r="X21" s="202"/>
      <c r="Y21" s="110"/>
      <c r="Z21" s="110"/>
    </row>
    <row r="22" spans="1:26" ht="18" customHeight="1">
      <c r="A22" s="29"/>
      <c r="B22" s="212"/>
      <c r="C22" s="213"/>
      <c r="D22" s="213"/>
      <c r="E22" s="213"/>
      <c r="F22" s="214"/>
      <c r="G22" s="111"/>
      <c r="H22" s="111"/>
      <c r="I22" s="215"/>
      <c r="J22" s="216"/>
      <c r="K22" s="217"/>
      <c r="L22" s="124"/>
      <c r="M22" s="124"/>
      <c r="N22" s="218"/>
      <c r="O22" s="219"/>
      <c r="P22" s="219"/>
      <c r="Q22" s="219"/>
      <c r="R22" s="219"/>
      <c r="S22" s="220"/>
      <c r="T22" s="111"/>
      <c r="U22" s="111"/>
      <c r="V22" s="215"/>
      <c r="W22" s="216"/>
      <c r="X22" s="217"/>
      <c r="Y22" s="114"/>
      <c r="Z22" s="114"/>
    </row>
    <row r="23" spans="1:26" ht="7.5" customHeight="1">
      <c r="A23" s="29"/>
      <c r="B23" s="72"/>
      <c r="C23" s="72"/>
      <c r="D23" s="29"/>
      <c r="E23" s="29"/>
      <c r="F23" s="29"/>
      <c r="G23" s="29"/>
      <c r="H23" s="29"/>
      <c r="I23" s="29"/>
      <c r="J23" s="29"/>
      <c r="K23" s="29"/>
      <c r="L23" s="72"/>
      <c r="M23" s="72"/>
      <c r="N23" s="72"/>
      <c r="O23" s="72"/>
      <c r="P23" s="72"/>
      <c r="Q23" s="72"/>
      <c r="R23" s="72"/>
      <c r="S23" s="72"/>
      <c r="T23" s="72"/>
      <c r="U23" s="72"/>
      <c r="V23" s="72"/>
      <c r="W23" s="72"/>
      <c r="X23" s="72"/>
      <c r="Y23" s="72"/>
      <c r="Z23" s="29"/>
    </row>
    <row r="24" spans="1:26" ht="18" customHeight="1">
      <c r="A24" s="211" t="s">
        <v>114</v>
      </c>
      <c r="B24" s="211"/>
      <c r="C24" s="211"/>
      <c r="D24" s="211"/>
      <c r="E24" s="211"/>
      <c r="F24" s="211"/>
      <c r="G24" s="211"/>
      <c r="H24" s="211"/>
      <c r="I24" s="211"/>
      <c r="J24" s="211"/>
      <c r="K24" s="211"/>
      <c r="L24" s="211"/>
      <c r="M24" s="211"/>
      <c r="N24" s="211"/>
      <c r="O24" s="211"/>
      <c r="P24" s="211"/>
      <c r="Q24" s="211"/>
      <c r="R24" s="211"/>
      <c r="S24" s="211"/>
      <c r="T24" s="211"/>
      <c r="U24" s="211"/>
      <c r="V24" s="211"/>
      <c r="W24" s="211"/>
      <c r="X24" s="211"/>
      <c r="Y24" s="211"/>
      <c r="Z24" s="211"/>
    </row>
    <row r="25" spans="1:26" ht="18" customHeight="1">
      <c r="A25" s="211"/>
      <c r="B25" s="211"/>
      <c r="C25" s="211"/>
      <c r="D25" s="211"/>
      <c r="E25" s="211"/>
      <c r="F25" s="211"/>
      <c r="G25" s="211"/>
      <c r="H25" s="211"/>
      <c r="I25" s="211"/>
      <c r="J25" s="211"/>
      <c r="K25" s="211"/>
      <c r="L25" s="211"/>
      <c r="M25" s="211"/>
      <c r="N25" s="211"/>
      <c r="O25" s="211"/>
      <c r="P25" s="211"/>
      <c r="Q25" s="211"/>
      <c r="R25" s="211"/>
      <c r="S25" s="211"/>
      <c r="T25" s="211"/>
      <c r="U25" s="211"/>
      <c r="V25" s="211"/>
      <c r="W25" s="211"/>
      <c r="X25" s="211"/>
      <c r="Y25" s="211"/>
      <c r="Z25" s="211"/>
    </row>
    <row r="26" spans="1:26" ht="18" customHeight="1">
      <c r="A26" s="14"/>
      <c r="B26" s="208" t="s">
        <v>94</v>
      </c>
      <c r="C26" s="209"/>
      <c r="D26" s="209"/>
      <c r="E26" s="209"/>
      <c r="F26" s="210"/>
      <c r="G26" s="30" t="s">
        <v>121</v>
      </c>
      <c r="H26" s="108" t="s">
        <v>120</v>
      </c>
      <c r="I26" s="209" t="s">
        <v>151</v>
      </c>
      <c r="J26" s="209"/>
      <c r="K26" s="209"/>
      <c r="L26" s="71" t="s">
        <v>171</v>
      </c>
      <c r="M26" s="71" t="s">
        <v>182</v>
      </c>
      <c r="N26" s="208" t="s">
        <v>94</v>
      </c>
      <c r="O26" s="209"/>
      <c r="P26" s="209"/>
      <c r="Q26" s="209"/>
      <c r="R26" s="209"/>
      <c r="S26" s="210"/>
      <c r="T26" s="30" t="s">
        <v>121</v>
      </c>
      <c r="U26" s="108" t="s">
        <v>120</v>
      </c>
      <c r="V26" s="209" t="s">
        <v>151</v>
      </c>
      <c r="W26" s="209"/>
      <c r="X26" s="209"/>
      <c r="Y26" s="71" t="s">
        <v>171</v>
      </c>
      <c r="Z26" s="71" t="s">
        <v>182</v>
      </c>
    </row>
    <row r="27" spans="1:26" ht="18" customHeight="1">
      <c r="A27" s="14"/>
      <c r="B27" s="221" t="s">
        <v>314</v>
      </c>
      <c r="C27" s="222"/>
      <c r="D27" s="222"/>
      <c r="E27" s="222"/>
      <c r="F27" s="223"/>
      <c r="G27" s="109">
        <v>1</v>
      </c>
      <c r="H27" s="109" t="s">
        <v>145</v>
      </c>
      <c r="I27" s="191" t="s">
        <v>144</v>
      </c>
      <c r="J27" s="192"/>
      <c r="K27" s="193"/>
      <c r="L27" s="122" t="s">
        <v>145</v>
      </c>
      <c r="M27" s="122" t="s">
        <v>145</v>
      </c>
      <c r="N27" s="194"/>
      <c r="O27" s="195"/>
      <c r="P27" s="195"/>
      <c r="Q27" s="195"/>
      <c r="R27" s="195"/>
      <c r="S27" s="196"/>
      <c r="T27" s="109"/>
      <c r="U27" s="109"/>
      <c r="V27" s="191"/>
      <c r="W27" s="192"/>
      <c r="X27" s="193"/>
      <c r="Y27" s="109"/>
      <c r="Z27" s="109"/>
    </row>
    <row r="28" spans="1:26" ht="18" customHeight="1">
      <c r="A28" s="14"/>
      <c r="B28" s="197" t="s">
        <v>256</v>
      </c>
      <c r="C28" s="198"/>
      <c r="D28" s="198"/>
      <c r="E28" s="198"/>
      <c r="F28" s="199"/>
      <c r="G28" s="110">
        <v>1</v>
      </c>
      <c r="H28" s="110" t="s">
        <v>145</v>
      </c>
      <c r="I28" s="200" t="s">
        <v>144</v>
      </c>
      <c r="J28" s="201"/>
      <c r="K28" s="202"/>
      <c r="L28" s="110" t="s">
        <v>145</v>
      </c>
      <c r="M28" s="110"/>
      <c r="N28" s="203"/>
      <c r="O28" s="204"/>
      <c r="P28" s="204"/>
      <c r="Q28" s="204"/>
      <c r="R28" s="204"/>
      <c r="S28" s="205"/>
      <c r="T28" s="110"/>
      <c r="U28" s="110"/>
      <c r="V28" s="200"/>
      <c r="W28" s="201"/>
      <c r="X28" s="202"/>
      <c r="Y28" s="110"/>
      <c r="Z28" s="110"/>
    </row>
    <row r="29" spans="1:26" ht="18" customHeight="1">
      <c r="A29" s="14"/>
      <c r="B29" s="197"/>
      <c r="C29" s="198"/>
      <c r="D29" s="198"/>
      <c r="E29" s="198"/>
      <c r="F29" s="199"/>
      <c r="G29" s="110"/>
      <c r="H29" s="110"/>
      <c r="I29" s="200"/>
      <c r="J29" s="201"/>
      <c r="K29" s="202"/>
      <c r="L29" s="110"/>
      <c r="M29" s="110"/>
      <c r="N29" s="203"/>
      <c r="O29" s="204"/>
      <c r="P29" s="204"/>
      <c r="Q29" s="204"/>
      <c r="R29" s="204"/>
      <c r="S29" s="205"/>
      <c r="T29" s="110"/>
      <c r="U29" s="110"/>
      <c r="V29" s="200"/>
      <c r="W29" s="201"/>
      <c r="X29" s="202"/>
      <c r="Y29" s="110"/>
      <c r="Z29" s="110"/>
    </row>
    <row r="30" spans="1:26" ht="18" customHeight="1">
      <c r="A30" s="14"/>
      <c r="B30" s="197"/>
      <c r="C30" s="198"/>
      <c r="D30" s="198"/>
      <c r="E30" s="198"/>
      <c r="F30" s="199"/>
      <c r="G30" s="110"/>
      <c r="H30" s="110"/>
      <c r="I30" s="200"/>
      <c r="J30" s="201"/>
      <c r="K30" s="202"/>
      <c r="L30" s="110"/>
      <c r="M30" s="110"/>
      <c r="N30" s="203"/>
      <c r="O30" s="204"/>
      <c r="P30" s="204"/>
      <c r="Q30" s="204"/>
      <c r="R30" s="204"/>
      <c r="S30" s="205"/>
      <c r="T30" s="110"/>
      <c r="U30" s="110"/>
      <c r="V30" s="200"/>
      <c r="W30" s="201"/>
      <c r="X30" s="202"/>
      <c r="Y30" s="110"/>
      <c r="Z30" s="110"/>
    </row>
    <row r="31" spans="1:26" ht="18" customHeight="1">
      <c r="A31" s="14"/>
      <c r="B31" s="197"/>
      <c r="C31" s="198"/>
      <c r="D31" s="198"/>
      <c r="E31" s="198"/>
      <c r="F31" s="199"/>
      <c r="G31" s="110"/>
      <c r="H31" s="110"/>
      <c r="I31" s="200"/>
      <c r="J31" s="201"/>
      <c r="K31" s="202"/>
      <c r="L31" s="110"/>
      <c r="M31" s="110"/>
      <c r="N31" s="203"/>
      <c r="O31" s="204"/>
      <c r="P31" s="204"/>
      <c r="Q31" s="204"/>
      <c r="R31" s="204"/>
      <c r="S31" s="205"/>
      <c r="T31" s="110"/>
      <c r="U31" s="110"/>
      <c r="V31" s="200"/>
      <c r="W31" s="201"/>
      <c r="X31" s="202"/>
      <c r="Y31" s="110"/>
      <c r="Z31" s="110"/>
    </row>
    <row r="32" spans="1:26" ht="18" customHeight="1">
      <c r="A32" s="14"/>
      <c r="B32" s="197"/>
      <c r="C32" s="198"/>
      <c r="D32" s="198"/>
      <c r="E32" s="198"/>
      <c r="F32" s="199"/>
      <c r="G32" s="110"/>
      <c r="H32" s="110"/>
      <c r="I32" s="200"/>
      <c r="J32" s="201"/>
      <c r="K32" s="202"/>
      <c r="L32" s="110"/>
      <c r="M32" s="110"/>
      <c r="N32" s="203"/>
      <c r="O32" s="204"/>
      <c r="P32" s="204"/>
      <c r="Q32" s="204"/>
      <c r="R32" s="204"/>
      <c r="S32" s="205"/>
      <c r="T32" s="110"/>
      <c r="U32" s="110"/>
      <c r="V32" s="200"/>
      <c r="W32" s="201"/>
      <c r="X32" s="202"/>
      <c r="Y32" s="110"/>
      <c r="Z32" s="110"/>
    </row>
    <row r="33" spans="1:26" ht="18" customHeight="1">
      <c r="A33" s="14"/>
      <c r="B33" s="212"/>
      <c r="C33" s="213"/>
      <c r="D33" s="213"/>
      <c r="E33" s="213"/>
      <c r="F33" s="214"/>
      <c r="G33" s="111"/>
      <c r="H33" s="111"/>
      <c r="I33" s="215"/>
      <c r="J33" s="216"/>
      <c r="K33" s="217"/>
      <c r="L33" s="114"/>
      <c r="M33" s="114"/>
      <c r="N33" s="218"/>
      <c r="O33" s="219"/>
      <c r="P33" s="219"/>
      <c r="Q33" s="219"/>
      <c r="R33" s="219"/>
      <c r="S33" s="220"/>
      <c r="T33" s="111"/>
      <c r="U33" s="111"/>
      <c r="V33" s="215"/>
      <c r="W33" s="216"/>
      <c r="X33" s="217"/>
      <c r="Y33" s="114"/>
      <c r="Z33" s="114"/>
    </row>
    <row r="34" spans="1:26" ht="7.5" customHeight="1">
      <c r="A34" s="29"/>
      <c r="B34" s="72"/>
      <c r="C34" s="72"/>
      <c r="D34" s="29"/>
      <c r="E34" s="29"/>
      <c r="F34" s="29"/>
      <c r="G34" s="29"/>
      <c r="H34" s="29"/>
      <c r="I34" s="29"/>
      <c r="J34" s="29"/>
      <c r="K34" s="29"/>
      <c r="L34" s="72"/>
      <c r="M34" s="72"/>
      <c r="N34" s="72"/>
      <c r="O34" s="72"/>
      <c r="P34" s="72"/>
      <c r="Q34" s="72"/>
      <c r="R34" s="72"/>
      <c r="S34" s="72"/>
      <c r="T34" s="72"/>
      <c r="U34" s="72"/>
      <c r="V34" s="72"/>
      <c r="W34" s="72"/>
      <c r="X34" s="72"/>
      <c r="Y34" s="72"/>
      <c r="Z34" s="29"/>
    </row>
    <row r="35" spans="1:26" ht="18" customHeight="1">
      <c r="A35" s="211" t="s">
        <v>115</v>
      </c>
      <c r="B35" s="211"/>
      <c r="C35" s="211"/>
      <c r="D35" s="211"/>
      <c r="E35" s="211"/>
      <c r="F35" s="211"/>
      <c r="G35" s="211"/>
      <c r="H35" s="211"/>
      <c r="I35" s="211"/>
      <c r="J35" s="211"/>
      <c r="K35" s="211"/>
      <c r="L35" s="211"/>
      <c r="M35" s="211"/>
      <c r="N35" s="211"/>
      <c r="O35" s="211"/>
      <c r="P35" s="211"/>
      <c r="Q35" s="211"/>
      <c r="R35" s="211"/>
      <c r="S35" s="211"/>
      <c r="T35" s="211"/>
      <c r="U35" s="211"/>
      <c r="V35" s="211"/>
      <c r="W35" s="211"/>
      <c r="X35" s="211"/>
      <c r="Y35" s="211"/>
      <c r="Z35" s="211"/>
    </row>
    <row r="36" spans="1:26" ht="18" customHeight="1">
      <c r="A36" s="211"/>
      <c r="B36" s="211"/>
      <c r="C36" s="211"/>
      <c r="D36" s="211"/>
      <c r="E36" s="211"/>
      <c r="F36" s="211"/>
      <c r="G36" s="211"/>
      <c r="H36" s="211"/>
      <c r="I36" s="211"/>
      <c r="J36" s="211"/>
      <c r="K36" s="211"/>
      <c r="L36" s="211"/>
      <c r="M36" s="211"/>
      <c r="N36" s="211"/>
      <c r="O36" s="211"/>
      <c r="P36" s="211"/>
      <c r="Q36" s="211"/>
      <c r="R36" s="211"/>
      <c r="S36" s="211"/>
      <c r="T36" s="211"/>
      <c r="U36" s="211"/>
      <c r="V36" s="211"/>
      <c r="W36" s="211"/>
      <c r="X36" s="211"/>
      <c r="Y36" s="211"/>
      <c r="Z36" s="211"/>
    </row>
    <row r="37" spans="1:26" ht="18" customHeight="1">
      <c r="A37" s="14"/>
      <c r="B37" s="208" t="s">
        <v>94</v>
      </c>
      <c r="C37" s="209"/>
      <c r="D37" s="209"/>
      <c r="E37" s="209"/>
      <c r="F37" s="210"/>
      <c r="G37" s="30" t="s">
        <v>121</v>
      </c>
      <c r="H37" s="108" t="s">
        <v>120</v>
      </c>
      <c r="I37" s="208" t="s">
        <v>151</v>
      </c>
      <c r="J37" s="209"/>
      <c r="K37" s="210"/>
      <c r="L37" s="71" t="s">
        <v>150</v>
      </c>
      <c r="M37" s="71" t="s">
        <v>184</v>
      </c>
      <c r="N37" s="208" t="s">
        <v>94</v>
      </c>
      <c r="O37" s="209"/>
      <c r="P37" s="209"/>
      <c r="Q37" s="209"/>
      <c r="R37" s="209"/>
      <c r="S37" s="210"/>
      <c r="T37" s="30" t="s">
        <v>121</v>
      </c>
      <c r="U37" s="108" t="s">
        <v>120</v>
      </c>
      <c r="V37" s="208" t="s">
        <v>151</v>
      </c>
      <c r="W37" s="209"/>
      <c r="X37" s="210"/>
      <c r="Y37" s="71" t="s">
        <v>150</v>
      </c>
      <c r="Z37" s="71" t="s">
        <v>184</v>
      </c>
    </row>
    <row r="38" spans="1:26" ht="18" customHeight="1">
      <c r="A38" s="29"/>
      <c r="B38" s="221" t="s">
        <v>314</v>
      </c>
      <c r="C38" s="222"/>
      <c r="D38" s="222"/>
      <c r="E38" s="222"/>
      <c r="F38" s="223"/>
      <c r="G38" s="109">
        <v>1</v>
      </c>
      <c r="H38" s="109" t="s">
        <v>145</v>
      </c>
      <c r="I38" s="191" t="s">
        <v>144</v>
      </c>
      <c r="J38" s="192"/>
      <c r="K38" s="193"/>
      <c r="L38" s="122" t="s">
        <v>145</v>
      </c>
      <c r="M38" s="122" t="s">
        <v>145</v>
      </c>
      <c r="N38" s="194"/>
      <c r="O38" s="195"/>
      <c r="P38" s="195"/>
      <c r="Q38" s="195"/>
      <c r="R38" s="195"/>
      <c r="S38" s="196"/>
      <c r="T38" s="109"/>
      <c r="U38" s="109"/>
      <c r="V38" s="191"/>
      <c r="W38" s="192"/>
      <c r="X38" s="193"/>
      <c r="Y38" s="109"/>
      <c r="Z38" s="109"/>
    </row>
    <row r="39" spans="1:26" ht="18" customHeight="1">
      <c r="A39" s="29"/>
      <c r="B39" s="197"/>
      <c r="C39" s="198"/>
      <c r="D39" s="198"/>
      <c r="E39" s="198"/>
      <c r="F39" s="199"/>
      <c r="G39" s="110"/>
      <c r="H39" s="110"/>
      <c r="I39" s="200"/>
      <c r="J39" s="201"/>
      <c r="K39" s="202"/>
      <c r="L39" s="110"/>
      <c r="M39" s="110"/>
      <c r="N39" s="203"/>
      <c r="O39" s="204"/>
      <c r="P39" s="204"/>
      <c r="Q39" s="204"/>
      <c r="R39" s="204"/>
      <c r="S39" s="205"/>
      <c r="T39" s="110"/>
      <c r="U39" s="110"/>
      <c r="V39" s="200"/>
      <c r="W39" s="201"/>
      <c r="X39" s="202"/>
      <c r="Y39" s="110"/>
      <c r="Z39" s="110"/>
    </row>
    <row r="40" spans="1:26" ht="18" customHeight="1">
      <c r="A40" s="29"/>
      <c r="B40" s="197"/>
      <c r="C40" s="198"/>
      <c r="D40" s="198"/>
      <c r="E40" s="198"/>
      <c r="F40" s="199"/>
      <c r="G40" s="110"/>
      <c r="H40" s="110"/>
      <c r="I40" s="200"/>
      <c r="J40" s="201"/>
      <c r="K40" s="202"/>
      <c r="L40" s="110"/>
      <c r="M40" s="110"/>
      <c r="N40" s="203"/>
      <c r="O40" s="204"/>
      <c r="P40" s="204"/>
      <c r="Q40" s="204"/>
      <c r="R40" s="204"/>
      <c r="S40" s="205"/>
      <c r="T40" s="110"/>
      <c r="U40" s="110"/>
      <c r="V40" s="200"/>
      <c r="W40" s="201"/>
      <c r="X40" s="202"/>
      <c r="Y40" s="110"/>
      <c r="Z40" s="110"/>
    </row>
    <row r="41" spans="1:26" ht="18" customHeight="1">
      <c r="A41" s="29"/>
      <c r="B41" s="197"/>
      <c r="C41" s="198"/>
      <c r="D41" s="198"/>
      <c r="E41" s="198"/>
      <c r="F41" s="199"/>
      <c r="G41" s="110"/>
      <c r="H41" s="110"/>
      <c r="I41" s="200"/>
      <c r="J41" s="201"/>
      <c r="K41" s="202"/>
      <c r="L41" s="110"/>
      <c r="M41" s="110"/>
      <c r="N41" s="203"/>
      <c r="O41" s="204"/>
      <c r="P41" s="204"/>
      <c r="Q41" s="204"/>
      <c r="R41" s="204"/>
      <c r="S41" s="205"/>
      <c r="T41" s="110"/>
      <c r="U41" s="110"/>
      <c r="V41" s="200"/>
      <c r="W41" s="201"/>
      <c r="X41" s="202"/>
      <c r="Y41" s="110"/>
      <c r="Z41" s="110"/>
    </row>
    <row r="42" spans="1:26" ht="18" customHeight="1">
      <c r="A42" s="29"/>
      <c r="B42" s="197"/>
      <c r="C42" s="198"/>
      <c r="D42" s="198"/>
      <c r="E42" s="198"/>
      <c r="F42" s="199"/>
      <c r="G42" s="110"/>
      <c r="H42" s="110"/>
      <c r="I42" s="200"/>
      <c r="J42" s="201"/>
      <c r="K42" s="202"/>
      <c r="L42" s="110"/>
      <c r="M42" s="110"/>
      <c r="N42" s="203"/>
      <c r="O42" s="204"/>
      <c r="P42" s="204"/>
      <c r="Q42" s="204"/>
      <c r="R42" s="204"/>
      <c r="S42" s="205"/>
      <c r="T42" s="110"/>
      <c r="U42" s="110"/>
      <c r="V42" s="200"/>
      <c r="W42" s="201"/>
      <c r="X42" s="202"/>
      <c r="Y42" s="110"/>
      <c r="Z42" s="110"/>
    </row>
    <row r="43" spans="1:26" ht="18" customHeight="1">
      <c r="A43" s="29"/>
      <c r="B43" s="197"/>
      <c r="C43" s="198"/>
      <c r="D43" s="198"/>
      <c r="E43" s="198"/>
      <c r="F43" s="199"/>
      <c r="G43" s="110"/>
      <c r="H43" s="110"/>
      <c r="I43" s="200"/>
      <c r="J43" s="201"/>
      <c r="K43" s="202"/>
      <c r="L43" s="110"/>
      <c r="M43" s="110"/>
      <c r="N43" s="203"/>
      <c r="O43" s="204"/>
      <c r="P43" s="204"/>
      <c r="Q43" s="204"/>
      <c r="R43" s="204"/>
      <c r="S43" s="205"/>
      <c r="T43" s="110"/>
      <c r="U43" s="110"/>
      <c r="V43" s="200"/>
      <c r="W43" s="201"/>
      <c r="X43" s="202"/>
      <c r="Y43" s="110"/>
      <c r="Z43" s="110"/>
    </row>
    <row r="44" spans="1:26" ht="18" customHeight="1">
      <c r="A44" s="29"/>
      <c r="B44" s="212"/>
      <c r="C44" s="213"/>
      <c r="D44" s="213"/>
      <c r="E44" s="213"/>
      <c r="F44" s="214"/>
      <c r="G44" s="111"/>
      <c r="H44" s="111"/>
      <c r="I44" s="215"/>
      <c r="J44" s="216"/>
      <c r="K44" s="217"/>
      <c r="L44" s="114"/>
      <c r="M44" s="114"/>
      <c r="N44" s="218"/>
      <c r="O44" s="219"/>
      <c r="P44" s="219"/>
      <c r="Q44" s="219"/>
      <c r="R44" s="219"/>
      <c r="S44" s="220"/>
      <c r="T44" s="111"/>
      <c r="U44" s="111"/>
      <c r="V44" s="215"/>
      <c r="W44" s="216"/>
      <c r="X44" s="217"/>
      <c r="Y44" s="114"/>
      <c r="Z44" s="114"/>
    </row>
    <row r="45" spans="1:26" ht="7.5" customHeight="1">
      <c r="B45" s="73"/>
      <c r="C45" s="73"/>
      <c r="D45" s="73"/>
      <c r="E45" s="73"/>
      <c r="F45" s="73"/>
      <c r="G45" s="73"/>
      <c r="H45" s="73"/>
      <c r="I45" s="73"/>
      <c r="J45" s="73"/>
      <c r="K45" s="73"/>
      <c r="L45" s="73"/>
      <c r="M45" s="73"/>
      <c r="N45" s="73"/>
      <c r="O45" s="73"/>
      <c r="P45" s="73"/>
      <c r="Q45" s="73"/>
      <c r="R45" s="73"/>
      <c r="S45" s="73"/>
      <c r="T45" s="73"/>
      <c r="U45" s="73"/>
      <c r="V45" s="73"/>
      <c r="W45" s="73"/>
      <c r="X45" s="73"/>
      <c r="Y45" s="73"/>
    </row>
    <row r="46" spans="1:26" ht="18" customHeight="1">
      <c r="A46" s="211" t="s">
        <v>117</v>
      </c>
      <c r="B46" s="211"/>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row>
    <row r="47" spans="1:26" ht="18" customHeight="1">
      <c r="A47" s="211"/>
      <c r="B47" s="211"/>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row>
    <row r="48" spans="1:26" ht="18" customHeight="1">
      <c r="A48" s="14"/>
      <c r="B48" s="208" t="s">
        <v>94</v>
      </c>
      <c r="C48" s="209"/>
      <c r="D48" s="209"/>
      <c r="E48" s="209"/>
      <c r="F48" s="210"/>
      <c r="G48" s="30" t="s">
        <v>121</v>
      </c>
      <c r="H48" s="108" t="s">
        <v>120</v>
      </c>
      <c r="I48" s="208" t="s">
        <v>151</v>
      </c>
      <c r="J48" s="209"/>
      <c r="K48" s="210"/>
      <c r="L48" s="71" t="s">
        <v>186</v>
      </c>
      <c r="M48" s="71" t="s">
        <v>154</v>
      </c>
      <c r="N48" s="208" t="s">
        <v>94</v>
      </c>
      <c r="O48" s="209"/>
      <c r="P48" s="209"/>
      <c r="Q48" s="209"/>
      <c r="R48" s="209"/>
      <c r="S48" s="210"/>
      <c r="T48" s="30" t="s">
        <v>121</v>
      </c>
      <c r="U48" s="108" t="s">
        <v>120</v>
      </c>
      <c r="V48" s="208" t="s">
        <v>151</v>
      </c>
      <c r="W48" s="209"/>
      <c r="X48" s="210"/>
      <c r="Y48" s="71" t="s">
        <v>186</v>
      </c>
      <c r="Z48" s="71" t="s">
        <v>154</v>
      </c>
    </row>
    <row r="49" spans="1:26" ht="18" customHeight="1">
      <c r="A49" s="29"/>
      <c r="B49" s="221" t="s">
        <v>314</v>
      </c>
      <c r="C49" s="222"/>
      <c r="D49" s="222"/>
      <c r="E49" s="222"/>
      <c r="F49" s="223"/>
      <c r="G49" s="109">
        <v>1</v>
      </c>
      <c r="H49" s="109" t="s">
        <v>145</v>
      </c>
      <c r="I49" s="191" t="s">
        <v>144</v>
      </c>
      <c r="J49" s="192"/>
      <c r="K49" s="193"/>
      <c r="L49" s="122" t="s">
        <v>145</v>
      </c>
      <c r="M49" s="122" t="s">
        <v>145</v>
      </c>
      <c r="N49" s="194"/>
      <c r="O49" s="195"/>
      <c r="P49" s="195"/>
      <c r="Q49" s="195"/>
      <c r="R49" s="195"/>
      <c r="S49" s="196"/>
      <c r="T49" s="109"/>
      <c r="U49" s="109"/>
      <c r="V49" s="191"/>
      <c r="W49" s="192"/>
      <c r="X49" s="193"/>
      <c r="Y49" s="109"/>
      <c r="Z49" s="109"/>
    </row>
    <row r="50" spans="1:26" ht="18" customHeight="1">
      <c r="A50" s="29"/>
      <c r="B50" s="197" t="s">
        <v>257</v>
      </c>
      <c r="C50" s="198"/>
      <c r="D50" s="198"/>
      <c r="E50" s="198"/>
      <c r="F50" s="199"/>
      <c r="G50" s="110">
        <v>1</v>
      </c>
      <c r="H50" s="110" t="s">
        <v>145</v>
      </c>
      <c r="I50" s="200" t="s">
        <v>144</v>
      </c>
      <c r="J50" s="201"/>
      <c r="K50" s="202"/>
      <c r="L50" s="110" t="s">
        <v>145</v>
      </c>
      <c r="M50" s="110"/>
      <c r="N50" s="203"/>
      <c r="O50" s="204"/>
      <c r="P50" s="204"/>
      <c r="Q50" s="204"/>
      <c r="R50" s="204"/>
      <c r="S50" s="205"/>
      <c r="T50" s="110"/>
      <c r="U50" s="110"/>
      <c r="V50" s="200"/>
      <c r="W50" s="201"/>
      <c r="X50" s="202"/>
      <c r="Y50" s="110"/>
      <c r="Z50" s="110"/>
    </row>
    <row r="51" spans="1:26" ht="18" customHeight="1">
      <c r="A51" s="29"/>
      <c r="B51" s="197"/>
      <c r="C51" s="198"/>
      <c r="D51" s="198"/>
      <c r="E51" s="198"/>
      <c r="F51" s="199"/>
      <c r="G51" s="110"/>
      <c r="H51" s="110"/>
      <c r="I51" s="200"/>
      <c r="J51" s="201"/>
      <c r="K51" s="202"/>
      <c r="L51" s="110"/>
      <c r="M51" s="110"/>
      <c r="N51" s="203"/>
      <c r="O51" s="204"/>
      <c r="P51" s="204"/>
      <c r="Q51" s="204"/>
      <c r="R51" s="204"/>
      <c r="S51" s="205"/>
      <c r="T51" s="110"/>
      <c r="U51" s="110"/>
      <c r="V51" s="200"/>
      <c r="W51" s="201"/>
      <c r="X51" s="202"/>
      <c r="Y51" s="110"/>
      <c r="Z51" s="110"/>
    </row>
    <row r="52" spans="1:26" ht="18" customHeight="1">
      <c r="A52" s="29"/>
      <c r="B52" s="197"/>
      <c r="C52" s="198"/>
      <c r="D52" s="198"/>
      <c r="E52" s="198"/>
      <c r="F52" s="199"/>
      <c r="G52" s="110"/>
      <c r="H52" s="110"/>
      <c r="I52" s="200"/>
      <c r="J52" s="201"/>
      <c r="K52" s="202"/>
      <c r="L52" s="110"/>
      <c r="M52" s="110"/>
      <c r="N52" s="203"/>
      <c r="O52" s="204"/>
      <c r="P52" s="204"/>
      <c r="Q52" s="204"/>
      <c r="R52" s="204"/>
      <c r="S52" s="205"/>
      <c r="T52" s="110"/>
      <c r="U52" s="110"/>
      <c r="V52" s="200"/>
      <c r="W52" s="201"/>
      <c r="X52" s="202"/>
      <c r="Y52" s="110"/>
      <c r="Z52" s="110"/>
    </row>
    <row r="53" spans="1:26" ht="18" customHeight="1">
      <c r="A53" s="29"/>
      <c r="B53" s="197"/>
      <c r="C53" s="198"/>
      <c r="D53" s="198"/>
      <c r="E53" s="198"/>
      <c r="F53" s="199"/>
      <c r="G53" s="110"/>
      <c r="H53" s="110"/>
      <c r="I53" s="200"/>
      <c r="J53" s="201"/>
      <c r="K53" s="202"/>
      <c r="L53" s="110"/>
      <c r="M53" s="110"/>
      <c r="N53" s="203"/>
      <c r="O53" s="204"/>
      <c r="P53" s="204"/>
      <c r="Q53" s="204"/>
      <c r="R53" s="204"/>
      <c r="S53" s="205"/>
      <c r="T53" s="110"/>
      <c r="U53" s="110"/>
      <c r="V53" s="200"/>
      <c r="W53" s="201"/>
      <c r="X53" s="202"/>
      <c r="Y53" s="110"/>
      <c r="Z53" s="110"/>
    </row>
    <row r="54" spans="1:26" ht="18" customHeight="1">
      <c r="A54" s="29"/>
      <c r="B54" s="197"/>
      <c r="C54" s="198"/>
      <c r="D54" s="198"/>
      <c r="E54" s="198"/>
      <c r="F54" s="199"/>
      <c r="G54" s="110"/>
      <c r="H54" s="110"/>
      <c r="I54" s="200"/>
      <c r="J54" s="201"/>
      <c r="K54" s="202"/>
      <c r="L54" s="110"/>
      <c r="M54" s="110"/>
      <c r="N54" s="203"/>
      <c r="O54" s="204"/>
      <c r="P54" s="204"/>
      <c r="Q54" s="204"/>
      <c r="R54" s="204"/>
      <c r="S54" s="205"/>
      <c r="T54" s="110"/>
      <c r="U54" s="110"/>
      <c r="V54" s="200"/>
      <c r="W54" s="201"/>
      <c r="X54" s="202"/>
      <c r="Y54" s="110"/>
      <c r="Z54" s="110"/>
    </row>
    <row r="55" spans="1:26" ht="18" customHeight="1">
      <c r="A55" s="29"/>
      <c r="B55" s="212"/>
      <c r="C55" s="213"/>
      <c r="D55" s="213"/>
      <c r="E55" s="213"/>
      <c r="F55" s="214"/>
      <c r="G55" s="111"/>
      <c r="H55" s="111"/>
      <c r="I55" s="215"/>
      <c r="J55" s="216"/>
      <c r="K55" s="217"/>
      <c r="L55" s="114"/>
      <c r="M55" s="114"/>
      <c r="N55" s="218"/>
      <c r="O55" s="219"/>
      <c r="P55" s="219"/>
      <c r="Q55" s="219"/>
      <c r="R55" s="219"/>
      <c r="S55" s="220"/>
      <c r="T55" s="111"/>
      <c r="U55" s="111"/>
      <c r="V55" s="215"/>
      <c r="W55" s="216"/>
      <c r="X55" s="217"/>
      <c r="Y55" s="114"/>
      <c r="Z55" s="114"/>
    </row>
    <row r="56" spans="1:26" ht="7.5" customHeight="1">
      <c r="B56" s="73"/>
      <c r="C56" s="73"/>
      <c r="D56" s="73"/>
      <c r="E56" s="73"/>
      <c r="F56" s="73"/>
      <c r="G56" s="73"/>
      <c r="H56" s="73"/>
      <c r="I56" s="73"/>
      <c r="J56" s="73"/>
      <c r="K56" s="73"/>
      <c r="L56" s="73"/>
      <c r="M56" s="73"/>
      <c r="N56" s="73"/>
      <c r="O56" s="73"/>
      <c r="P56" s="73"/>
      <c r="Q56" s="73"/>
      <c r="R56" s="73"/>
      <c r="S56" s="73"/>
      <c r="T56" s="73"/>
      <c r="U56" s="73"/>
      <c r="V56" s="73"/>
      <c r="W56" s="73"/>
      <c r="X56" s="73"/>
      <c r="Y56" s="73"/>
    </row>
    <row r="57" spans="1:26" ht="18" customHeight="1">
      <c r="A57" s="211" t="s">
        <v>157</v>
      </c>
      <c r="B57" s="211"/>
      <c r="C57" s="211"/>
      <c r="D57" s="211"/>
      <c r="E57" s="211"/>
      <c r="F57" s="211"/>
      <c r="G57" s="211"/>
      <c r="H57" s="211"/>
      <c r="I57" s="211"/>
      <c r="J57" s="211"/>
      <c r="K57" s="211"/>
      <c r="L57" s="211"/>
      <c r="M57" s="211"/>
      <c r="N57" s="211"/>
      <c r="O57" s="211"/>
      <c r="P57" s="211"/>
      <c r="Q57" s="211"/>
      <c r="R57" s="211"/>
      <c r="S57" s="211"/>
      <c r="T57" s="211"/>
      <c r="U57" s="211"/>
      <c r="V57" s="211"/>
      <c r="W57" s="211"/>
      <c r="X57" s="211"/>
      <c r="Y57" s="211"/>
      <c r="Z57" s="211"/>
    </row>
    <row r="58" spans="1:26" ht="18" customHeight="1">
      <c r="A58" s="211"/>
      <c r="B58" s="211"/>
      <c r="C58" s="211"/>
      <c r="D58" s="211"/>
      <c r="E58" s="211"/>
      <c r="F58" s="211"/>
      <c r="G58" s="211"/>
      <c r="H58" s="211"/>
      <c r="I58" s="211"/>
      <c r="J58" s="211"/>
      <c r="K58" s="211"/>
      <c r="L58" s="211"/>
      <c r="M58" s="211"/>
      <c r="N58" s="211"/>
      <c r="O58" s="211"/>
      <c r="P58" s="211"/>
      <c r="Q58" s="211"/>
      <c r="R58" s="211"/>
      <c r="S58" s="211"/>
      <c r="T58" s="211"/>
      <c r="U58" s="211"/>
      <c r="V58" s="211"/>
      <c r="W58" s="211"/>
      <c r="X58" s="211"/>
      <c r="Y58" s="211"/>
      <c r="Z58" s="211"/>
    </row>
    <row r="59" spans="1:26" ht="18" customHeight="1">
      <c r="A59" s="14"/>
      <c r="B59" s="208" t="s">
        <v>94</v>
      </c>
      <c r="C59" s="209"/>
      <c r="D59" s="209"/>
      <c r="E59" s="210"/>
      <c r="F59" s="30" t="s">
        <v>121</v>
      </c>
      <c r="G59" s="108" t="s">
        <v>120</v>
      </c>
      <c r="H59" s="208" t="s">
        <v>151</v>
      </c>
      <c r="I59" s="209"/>
      <c r="J59" s="210"/>
      <c r="K59" s="71" t="s">
        <v>158</v>
      </c>
      <c r="L59" s="71" t="s">
        <v>189</v>
      </c>
      <c r="M59" s="71" t="s">
        <v>177</v>
      </c>
      <c r="N59" s="208" t="s">
        <v>94</v>
      </c>
      <c r="O59" s="209"/>
      <c r="P59" s="209"/>
      <c r="Q59" s="209"/>
      <c r="R59" s="210"/>
      <c r="S59" s="30" t="s">
        <v>121</v>
      </c>
      <c r="T59" s="108" t="s">
        <v>120</v>
      </c>
      <c r="U59" s="26" t="s">
        <v>151</v>
      </c>
      <c r="V59" s="120"/>
      <c r="W59" s="27"/>
      <c r="X59" s="71" t="s">
        <v>158</v>
      </c>
      <c r="Y59" s="71" t="s">
        <v>189</v>
      </c>
      <c r="Z59" s="71" t="s">
        <v>177</v>
      </c>
    </row>
    <row r="60" spans="1:26" ht="18" customHeight="1">
      <c r="A60" s="29"/>
      <c r="B60" s="221" t="s">
        <v>314</v>
      </c>
      <c r="C60" s="222"/>
      <c r="D60" s="222"/>
      <c r="E60" s="223"/>
      <c r="F60" s="109">
        <v>1</v>
      </c>
      <c r="G60" s="122" t="s">
        <v>145</v>
      </c>
      <c r="H60" s="191" t="s">
        <v>144</v>
      </c>
      <c r="I60" s="192"/>
      <c r="J60" s="193"/>
      <c r="K60" s="122" t="s">
        <v>145</v>
      </c>
      <c r="L60" s="122" t="s">
        <v>145</v>
      </c>
      <c r="M60" s="122" t="s">
        <v>145</v>
      </c>
      <c r="N60" s="194"/>
      <c r="O60" s="195"/>
      <c r="P60" s="195"/>
      <c r="Q60" s="195"/>
      <c r="R60" s="196"/>
      <c r="S60" s="109"/>
      <c r="T60" s="109"/>
      <c r="U60" s="191"/>
      <c r="V60" s="192"/>
      <c r="W60" s="193"/>
      <c r="X60" s="118"/>
      <c r="Y60" s="109"/>
      <c r="Z60" s="109"/>
    </row>
    <row r="61" spans="1:26" ht="18" customHeight="1">
      <c r="A61" s="29"/>
      <c r="B61" s="203" t="s">
        <v>253</v>
      </c>
      <c r="C61" s="204"/>
      <c r="D61" s="204"/>
      <c r="E61" s="205"/>
      <c r="F61" s="110">
        <v>1</v>
      </c>
      <c r="G61" s="110" t="s">
        <v>145</v>
      </c>
      <c r="H61" s="200" t="s">
        <v>144</v>
      </c>
      <c r="I61" s="201"/>
      <c r="J61" s="202"/>
      <c r="K61" s="119" t="s">
        <v>254</v>
      </c>
      <c r="L61" s="110" t="s">
        <v>145</v>
      </c>
      <c r="M61" s="110" t="s">
        <v>145</v>
      </c>
      <c r="N61" s="203"/>
      <c r="O61" s="204"/>
      <c r="P61" s="204"/>
      <c r="Q61" s="204"/>
      <c r="R61" s="205"/>
      <c r="S61" s="110"/>
      <c r="T61" s="110"/>
      <c r="U61" s="200"/>
      <c r="V61" s="201"/>
      <c r="W61" s="202"/>
      <c r="X61" s="116"/>
      <c r="Y61" s="110"/>
      <c r="Z61" s="110"/>
    </row>
    <row r="62" spans="1:26" ht="18" customHeight="1">
      <c r="A62" s="29"/>
      <c r="B62" s="203"/>
      <c r="C62" s="204"/>
      <c r="D62" s="204"/>
      <c r="E62" s="205"/>
      <c r="F62" s="110"/>
      <c r="G62" s="110"/>
      <c r="H62" s="200"/>
      <c r="I62" s="201"/>
      <c r="J62" s="202"/>
      <c r="K62" s="116"/>
      <c r="L62" s="110"/>
      <c r="M62" s="110"/>
      <c r="N62" s="203"/>
      <c r="O62" s="204"/>
      <c r="P62" s="204"/>
      <c r="Q62" s="204"/>
      <c r="R62" s="205"/>
      <c r="S62" s="110"/>
      <c r="T62" s="110"/>
      <c r="U62" s="200"/>
      <c r="V62" s="201"/>
      <c r="W62" s="202"/>
      <c r="X62" s="116"/>
      <c r="Y62" s="110"/>
      <c r="Z62" s="110"/>
    </row>
    <row r="63" spans="1:26" ht="18" customHeight="1">
      <c r="A63" s="29"/>
      <c r="B63" s="203"/>
      <c r="C63" s="204"/>
      <c r="D63" s="204"/>
      <c r="E63" s="205"/>
      <c r="F63" s="110"/>
      <c r="G63" s="110"/>
      <c r="H63" s="200"/>
      <c r="I63" s="201"/>
      <c r="J63" s="202"/>
      <c r="K63" s="116"/>
      <c r="L63" s="110"/>
      <c r="M63" s="110"/>
      <c r="N63" s="203"/>
      <c r="O63" s="204"/>
      <c r="P63" s="204"/>
      <c r="Q63" s="204"/>
      <c r="R63" s="205"/>
      <c r="S63" s="110"/>
      <c r="T63" s="110"/>
      <c r="U63" s="200"/>
      <c r="V63" s="201"/>
      <c r="W63" s="202"/>
      <c r="X63" s="116"/>
      <c r="Y63" s="110"/>
      <c r="Z63" s="110"/>
    </row>
    <row r="64" spans="1:26" ht="18" customHeight="1">
      <c r="A64" s="29"/>
      <c r="B64" s="203"/>
      <c r="C64" s="204"/>
      <c r="D64" s="204"/>
      <c r="E64" s="205"/>
      <c r="F64" s="110"/>
      <c r="G64" s="110"/>
      <c r="H64" s="200"/>
      <c r="I64" s="201"/>
      <c r="J64" s="202"/>
      <c r="K64" s="116"/>
      <c r="L64" s="110"/>
      <c r="M64" s="110"/>
      <c r="N64" s="203"/>
      <c r="O64" s="204"/>
      <c r="P64" s="204"/>
      <c r="Q64" s="204"/>
      <c r="R64" s="205"/>
      <c r="S64" s="110"/>
      <c r="T64" s="110"/>
      <c r="U64" s="200"/>
      <c r="V64" s="201"/>
      <c r="W64" s="202"/>
      <c r="X64" s="116"/>
      <c r="Y64" s="110"/>
      <c r="Z64" s="110"/>
    </row>
    <row r="65" spans="1:26" ht="18" customHeight="1">
      <c r="A65" s="29"/>
      <c r="B65" s="203"/>
      <c r="C65" s="204"/>
      <c r="D65" s="204"/>
      <c r="E65" s="205"/>
      <c r="F65" s="110"/>
      <c r="G65" s="110"/>
      <c r="H65" s="200"/>
      <c r="I65" s="201"/>
      <c r="J65" s="202"/>
      <c r="K65" s="116"/>
      <c r="L65" s="110"/>
      <c r="M65" s="110"/>
      <c r="N65" s="203"/>
      <c r="O65" s="204"/>
      <c r="P65" s="204"/>
      <c r="Q65" s="204"/>
      <c r="R65" s="205"/>
      <c r="S65" s="110"/>
      <c r="T65" s="110"/>
      <c r="U65" s="200"/>
      <c r="V65" s="201"/>
      <c r="W65" s="202"/>
      <c r="X65" s="116"/>
      <c r="Y65" s="110"/>
      <c r="Z65" s="110"/>
    </row>
    <row r="66" spans="1:26" ht="18" customHeight="1">
      <c r="A66" s="29"/>
      <c r="B66" s="218"/>
      <c r="C66" s="219"/>
      <c r="D66" s="219"/>
      <c r="E66" s="220"/>
      <c r="F66" s="111"/>
      <c r="G66" s="111"/>
      <c r="H66" s="215"/>
      <c r="I66" s="216"/>
      <c r="J66" s="217"/>
      <c r="K66" s="117"/>
      <c r="L66" s="114"/>
      <c r="M66" s="114"/>
      <c r="N66" s="218"/>
      <c r="O66" s="219"/>
      <c r="P66" s="219"/>
      <c r="Q66" s="219"/>
      <c r="R66" s="220"/>
      <c r="S66" s="111"/>
      <c r="T66" s="111"/>
      <c r="U66" s="215"/>
      <c r="V66" s="216"/>
      <c r="W66" s="217"/>
      <c r="X66" s="117"/>
      <c r="Y66" s="114"/>
      <c r="Z66" s="114"/>
    </row>
    <row r="67" spans="1:26" ht="7.5" customHeight="1">
      <c r="B67" s="73"/>
      <c r="C67" s="73"/>
      <c r="D67" s="73"/>
      <c r="E67" s="73"/>
      <c r="F67" s="73"/>
      <c r="G67" s="73"/>
      <c r="H67" s="73"/>
      <c r="I67" s="73"/>
      <c r="J67" s="73"/>
      <c r="K67" s="73"/>
      <c r="L67" s="73"/>
      <c r="M67" s="73"/>
      <c r="N67" s="73"/>
      <c r="O67" s="73"/>
      <c r="P67" s="73"/>
      <c r="Q67" s="73"/>
      <c r="R67" s="73"/>
      <c r="S67" s="73"/>
      <c r="T67" s="73"/>
      <c r="U67" s="73"/>
      <c r="V67" s="73"/>
      <c r="W67" s="73"/>
      <c r="X67" s="73"/>
      <c r="Y67" s="73"/>
    </row>
    <row r="68" spans="1:26" ht="18" customHeight="1">
      <c r="A68" s="14" t="s">
        <v>119</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208" t="s">
        <v>94</v>
      </c>
      <c r="C69" s="209"/>
      <c r="D69" s="209"/>
      <c r="E69" s="209"/>
      <c r="F69" s="210"/>
      <c r="G69" s="208" t="s">
        <v>124</v>
      </c>
      <c r="H69" s="209"/>
      <c r="I69" s="209"/>
      <c r="J69" s="209"/>
      <c r="K69" s="209"/>
      <c r="L69" s="209"/>
      <c r="M69" s="210"/>
      <c r="N69" s="230" t="s">
        <v>94</v>
      </c>
      <c r="O69" s="231"/>
      <c r="P69" s="231"/>
      <c r="Q69" s="231"/>
      <c r="R69" s="231"/>
      <c r="S69" s="232"/>
      <c r="T69" s="208" t="s">
        <v>124</v>
      </c>
      <c r="U69" s="209"/>
      <c r="V69" s="209"/>
      <c r="W69" s="209"/>
      <c r="X69" s="209"/>
      <c r="Y69" s="209"/>
      <c r="Z69" s="210"/>
    </row>
    <row r="70" spans="1:26" ht="18" customHeight="1">
      <c r="A70" s="29"/>
      <c r="B70" s="194" t="s">
        <v>153</v>
      </c>
      <c r="C70" s="195"/>
      <c r="D70" s="195"/>
      <c r="E70" s="195"/>
      <c r="F70" s="196"/>
      <c r="G70" s="224" t="s">
        <v>164</v>
      </c>
      <c r="H70" s="225"/>
      <c r="I70" s="225"/>
      <c r="J70" s="225"/>
      <c r="K70" s="225"/>
      <c r="L70" s="225"/>
      <c r="M70" s="226"/>
      <c r="N70" s="194" t="s">
        <v>153</v>
      </c>
      <c r="O70" s="195"/>
      <c r="P70" s="195"/>
      <c r="Q70" s="195"/>
      <c r="R70" s="195"/>
      <c r="S70" s="196"/>
      <c r="T70" s="224" t="s">
        <v>236</v>
      </c>
      <c r="U70" s="225"/>
      <c r="V70" s="225"/>
      <c r="W70" s="225"/>
      <c r="X70" s="225"/>
      <c r="Y70" s="225"/>
      <c r="Z70" s="226"/>
    </row>
    <row r="71" spans="1:26" ht="18" customHeight="1">
      <c r="A71" s="29"/>
      <c r="B71" s="357" t="s">
        <v>237</v>
      </c>
      <c r="C71" s="204"/>
      <c r="D71" s="204"/>
      <c r="E71" s="204"/>
      <c r="F71" s="205"/>
      <c r="G71" s="227" t="s">
        <v>238</v>
      </c>
      <c r="H71" s="228"/>
      <c r="I71" s="228"/>
      <c r="J71" s="228"/>
      <c r="K71" s="228"/>
      <c r="L71" s="228"/>
      <c r="M71" s="229"/>
      <c r="N71" s="203"/>
      <c r="O71" s="204"/>
      <c r="P71" s="204"/>
      <c r="Q71" s="204"/>
      <c r="R71" s="204"/>
      <c r="S71" s="205"/>
      <c r="T71" s="227"/>
      <c r="U71" s="228"/>
      <c r="V71" s="228"/>
      <c r="W71" s="228"/>
      <c r="X71" s="228"/>
      <c r="Y71" s="228"/>
      <c r="Z71" s="229"/>
    </row>
    <row r="72" spans="1:26" ht="18" customHeight="1">
      <c r="A72" s="29"/>
      <c r="B72" s="203" t="s">
        <v>153</v>
      </c>
      <c r="C72" s="204"/>
      <c r="D72" s="204"/>
      <c r="E72" s="204"/>
      <c r="F72" s="205"/>
      <c r="G72" s="227" t="s">
        <v>239</v>
      </c>
      <c r="H72" s="228"/>
      <c r="I72" s="228"/>
      <c r="J72" s="228"/>
      <c r="K72" s="228"/>
      <c r="L72" s="228"/>
      <c r="M72" s="229"/>
      <c r="N72" s="203"/>
      <c r="O72" s="204"/>
      <c r="P72" s="204"/>
      <c r="Q72" s="204"/>
      <c r="R72" s="204"/>
      <c r="S72" s="205"/>
      <c r="T72" s="227"/>
      <c r="U72" s="228"/>
      <c r="V72" s="228"/>
      <c r="W72" s="228"/>
      <c r="X72" s="228"/>
      <c r="Y72" s="228"/>
      <c r="Z72" s="229"/>
    </row>
    <row r="73" spans="1:26" ht="18" customHeight="1">
      <c r="A73" s="29"/>
      <c r="B73" s="203" t="s">
        <v>153</v>
      </c>
      <c r="C73" s="204"/>
      <c r="D73" s="204"/>
      <c r="E73" s="204"/>
      <c r="F73" s="205"/>
      <c r="G73" s="227" t="s">
        <v>240</v>
      </c>
      <c r="H73" s="228"/>
      <c r="I73" s="228"/>
      <c r="J73" s="228"/>
      <c r="K73" s="228"/>
      <c r="L73" s="228"/>
      <c r="M73" s="229"/>
      <c r="N73" s="203"/>
      <c r="O73" s="204"/>
      <c r="P73" s="204"/>
      <c r="Q73" s="204"/>
      <c r="R73" s="204"/>
      <c r="S73" s="205"/>
      <c r="T73" s="227"/>
      <c r="U73" s="228"/>
      <c r="V73" s="228"/>
      <c r="W73" s="228"/>
      <c r="X73" s="228"/>
      <c r="Y73" s="228"/>
      <c r="Z73" s="229"/>
    </row>
    <row r="74" spans="1:26" ht="18" customHeight="1">
      <c r="A74" s="29"/>
      <c r="B74" s="203" t="s">
        <v>153</v>
      </c>
      <c r="C74" s="204"/>
      <c r="D74" s="204"/>
      <c r="E74" s="204"/>
      <c r="F74" s="205"/>
      <c r="G74" s="227" t="s">
        <v>241</v>
      </c>
      <c r="H74" s="228"/>
      <c r="I74" s="228"/>
      <c r="J74" s="228"/>
      <c r="K74" s="228"/>
      <c r="L74" s="228"/>
      <c r="M74" s="229"/>
      <c r="N74" s="203"/>
      <c r="O74" s="204"/>
      <c r="P74" s="204"/>
      <c r="Q74" s="204"/>
      <c r="R74" s="204"/>
      <c r="S74" s="205"/>
      <c r="T74" s="227"/>
      <c r="U74" s="228"/>
      <c r="V74" s="228"/>
      <c r="W74" s="228"/>
      <c r="X74" s="228"/>
      <c r="Y74" s="228"/>
      <c r="Z74" s="229"/>
    </row>
    <row r="75" spans="1:26" ht="18" customHeight="1">
      <c r="A75" s="29"/>
      <c r="B75" s="203" t="s">
        <v>153</v>
      </c>
      <c r="C75" s="204"/>
      <c r="D75" s="204"/>
      <c r="E75" s="204"/>
      <c r="F75" s="205"/>
      <c r="G75" s="227" t="s">
        <v>242</v>
      </c>
      <c r="H75" s="228"/>
      <c r="I75" s="228"/>
      <c r="J75" s="228"/>
      <c r="K75" s="228"/>
      <c r="L75" s="228"/>
      <c r="M75" s="229"/>
      <c r="N75" s="203"/>
      <c r="O75" s="204"/>
      <c r="P75" s="204"/>
      <c r="Q75" s="204"/>
      <c r="R75" s="204"/>
      <c r="S75" s="205"/>
      <c r="T75" s="227"/>
      <c r="U75" s="228"/>
      <c r="V75" s="228"/>
      <c r="W75" s="228"/>
      <c r="X75" s="228"/>
      <c r="Y75" s="228"/>
      <c r="Z75" s="229"/>
    </row>
    <row r="76" spans="1:26" ht="18" customHeight="1">
      <c r="A76" s="29"/>
      <c r="B76" s="218" t="s">
        <v>153</v>
      </c>
      <c r="C76" s="219"/>
      <c r="D76" s="219"/>
      <c r="E76" s="219"/>
      <c r="F76" s="220"/>
      <c r="G76" s="235" t="s">
        <v>243</v>
      </c>
      <c r="H76" s="236"/>
      <c r="I76" s="236"/>
      <c r="J76" s="236"/>
      <c r="K76" s="236"/>
      <c r="L76" s="236"/>
      <c r="M76" s="237"/>
      <c r="N76" s="218"/>
      <c r="O76" s="219"/>
      <c r="P76" s="219"/>
      <c r="Q76" s="219"/>
      <c r="R76" s="219"/>
      <c r="S76" s="220"/>
      <c r="T76" s="235"/>
      <c r="U76" s="236"/>
      <c r="V76" s="236"/>
      <c r="W76" s="236"/>
      <c r="X76" s="236"/>
      <c r="Y76" s="236"/>
      <c r="Z76" s="237"/>
    </row>
    <row r="77" spans="1:26" ht="18" customHeight="1">
      <c r="A77" s="29"/>
      <c r="B77" s="72"/>
      <c r="C77" s="72"/>
      <c r="D77" s="72"/>
      <c r="E77" s="72"/>
      <c r="F77" s="72"/>
      <c r="G77" s="121"/>
      <c r="H77" s="121"/>
      <c r="I77" s="121"/>
      <c r="J77" s="121"/>
      <c r="K77" s="121"/>
      <c r="L77" s="121"/>
      <c r="M77" s="121"/>
      <c r="N77" s="72"/>
      <c r="O77" s="72"/>
      <c r="P77" s="72"/>
      <c r="Q77" s="72"/>
      <c r="R77" s="72"/>
      <c r="S77" s="72"/>
      <c r="T77" s="121"/>
      <c r="U77" s="121"/>
      <c r="V77" s="121"/>
      <c r="W77" s="121"/>
      <c r="X77" s="121"/>
      <c r="Y77" s="121"/>
      <c r="Z77" s="121"/>
    </row>
    <row r="78" spans="1:26" ht="18.75" customHeight="1">
      <c r="A78" s="13" t="s">
        <v>244</v>
      </c>
    </row>
    <row r="79" spans="1:26" ht="18.75" customHeight="1">
      <c r="B79" s="74" t="s">
        <v>166</v>
      </c>
      <c r="C79" s="75"/>
      <c r="D79" s="238" t="s">
        <v>96</v>
      </c>
      <c r="E79" s="238"/>
      <c r="F79" s="238"/>
      <c r="G79" s="238"/>
      <c r="H79" s="238"/>
      <c r="I79" s="238"/>
      <c r="J79" s="238"/>
      <c r="K79" s="238"/>
      <c r="L79" s="238"/>
      <c r="M79" s="238"/>
      <c r="N79" s="238"/>
      <c r="O79" s="238"/>
      <c r="P79" s="238"/>
      <c r="Q79" s="238"/>
      <c r="R79" s="238"/>
      <c r="S79" s="238"/>
      <c r="T79" s="238"/>
      <c r="U79" s="238"/>
      <c r="V79" s="238"/>
      <c r="W79" s="238"/>
      <c r="X79" s="238"/>
      <c r="Y79" s="238"/>
      <c r="Z79" s="239"/>
    </row>
    <row r="80" spans="1:26" ht="78" customHeight="1">
      <c r="B80" s="240" t="s">
        <v>167</v>
      </c>
      <c r="C80" s="81" t="s">
        <v>180</v>
      </c>
      <c r="D80" s="278" t="s">
        <v>319</v>
      </c>
      <c r="E80" s="252"/>
      <c r="F80" s="252"/>
      <c r="G80" s="252"/>
      <c r="H80" s="252"/>
      <c r="I80" s="252"/>
      <c r="J80" s="252"/>
      <c r="K80" s="252"/>
      <c r="L80" s="252"/>
      <c r="M80" s="252"/>
      <c r="N80" s="252"/>
      <c r="O80" s="252"/>
      <c r="P80" s="252"/>
      <c r="Q80" s="252"/>
      <c r="R80" s="252"/>
      <c r="S80" s="252"/>
      <c r="T80" s="252"/>
      <c r="U80" s="252"/>
      <c r="V80" s="252"/>
      <c r="W80" s="252"/>
      <c r="X80" s="252"/>
      <c r="Y80" s="252"/>
      <c r="Z80" s="253"/>
    </row>
    <row r="81" spans="1:26" ht="78" customHeight="1">
      <c r="B81" s="241"/>
      <c r="C81" s="106" t="s">
        <v>245</v>
      </c>
      <c r="D81" s="356" t="s">
        <v>320</v>
      </c>
      <c r="E81" s="281"/>
      <c r="F81" s="281"/>
      <c r="G81" s="281"/>
      <c r="H81" s="281"/>
      <c r="I81" s="281"/>
      <c r="J81" s="281"/>
      <c r="K81" s="281"/>
      <c r="L81" s="281"/>
      <c r="M81" s="281"/>
      <c r="N81" s="281"/>
      <c r="O81" s="281"/>
      <c r="P81" s="281"/>
      <c r="Q81" s="281"/>
      <c r="R81" s="281"/>
      <c r="S81" s="281"/>
      <c r="T81" s="281"/>
      <c r="U81" s="281"/>
      <c r="V81" s="281"/>
      <c r="W81" s="281"/>
      <c r="X81" s="281"/>
      <c r="Y81" s="281"/>
      <c r="Z81" s="282"/>
    </row>
    <row r="82" spans="1:26" ht="78" customHeight="1">
      <c r="B82" s="233" t="s">
        <v>170</v>
      </c>
      <c r="C82" s="76" t="s">
        <v>171</v>
      </c>
      <c r="D82" s="272" t="s">
        <v>321</v>
      </c>
      <c r="E82" s="273"/>
      <c r="F82" s="273"/>
      <c r="G82" s="273"/>
      <c r="H82" s="273"/>
      <c r="I82" s="273"/>
      <c r="J82" s="273"/>
      <c r="K82" s="273"/>
      <c r="L82" s="273"/>
      <c r="M82" s="273"/>
      <c r="N82" s="273"/>
      <c r="O82" s="273"/>
      <c r="P82" s="273"/>
      <c r="Q82" s="273"/>
      <c r="R82" s="273"/>
      <c r="S82" s="273"/>
      <c r="T82" s="273"/>
      <c r="U82" s="273"/>
      <c r="V82" s="273"/>
      <c r="W82" s="273"/>
      <c r="X82" s="273"/>
      <c r="Y82" s="273"/>
      <c r="Z82" s="274"/>
    </row>
    <row r="83" spans="1:26" ht="78" customHeight="1">
      <c r="B83" s="234"/>
      <c r="C83" s="107" t="s">
        <v>182</v>
      </c>
      <c r="D83" s="275" t="s">
        <v>322</v>
      </c>
      <c r="E83" s="276"/>
      <c r="F83" s="276"/>
      <c r="G83" s="276"/>
      <c r="H83" s="276"/>
      <c r="I83" s="276"/>
      <c r="J83" s="276"/>
      <c r="K83" s="276"/>
      <c r="L83" s="276"/>
      <c r="M83" s="276"/>
      <c r="N83" s="276"/>
      <c r="O83" s="276"/>
      <c r="P83" s="276"/>
      <c r="Q83" s="276"/>
      <c r="R83" s="276"/>
      <c r="S83" s="276"/>
      <c r="T83" s="276"/>
      <c r="U83" s="276"/>
      <c r="V83" s="276"/>
      <c r="W83" s="276"/>
      <c r="X83" s="276"/>
      <c r="Y83" s="276"/>
      <c r="Z83" s="277"/>
    </row>
    <row r="84" spans="1:26" ht="66" customHeight="1">
      <c r="B84" s="233" t="s">
        <v>193</v>
      </c>
      <c r="C84" s="76" t="s">
        <v>150</v>
      </c>
      <c r="D84" s="273" t="s">
        <v>323</v>
      </c>
      <c r="E84" s="273"/>
      <c r="F84" s="273"/>
      <c r="G84" s="273"/>
      <c r="H84" s="273"/>
      <c r="I84" s="273"/>
      <c r="J84" s="273"/>
      <c r="K84" s="273"/>
      <c r="L84" s="273"/>
      <c r="M84" s="273"/>
      <c r="N84" s="273"/>
      <c r="O84" s="273"/>
      <c r="P84" s="273"/>
      <c r="Q84" s="273"/>
      <c r="R84" s="273"/>
      <c r="S84" s="273"/>
      <c r="T84" s="273"/>
      <c r="U84" s="273"/>
      <c r="V84" s="273"/>
      <c r="W84" s="273"/>
      <c r="X84" s="273"/>
      <c r="Y84" s="273"/>
      <c r="Z84" s="274"/>
    </row>
    <row r="85" spans="1:26" ht="66" customHeight="1">
      <c r="B85" s="234"/>
      <c r="C85" s="78" t="s">
        <v>184</v>
      </c>
      <c r="D85" s="279" t="s">
        <v>323</v>
      </c>
      <c r="E85" s="279"/>
      <c r="F85" s="279"/>
      <c r="G85" s="279"/>
      <c r="H85" s="279"/>
      <c r="I85" s="279"/>
      <c r="J85" s="279"/>
      <c r="K85" s="279"/>
      <c r="L85" s="279"/>
      <c r="M85" s="279"/>
      <c r="N85" s="279"/>
      <c r="O85" s="279"/>
      <c r="P85" s="279"/>
      <c r="Q85" s="279"/>
      <c r="R85" s="279"/>
      <c r="S85" s="279"/>
      <c r="T85" s="279"/>
      <c r="U85" s="279"/>
      <c r="V85" s="279"/>
      <c r="W85" s="279"/>
      <c r="X85" s="279"/>
      <c r="Y85" s="279"/>
      <c r="Z85" s="280"/>
    </row>
    <row r="86" spans="1:26" ht="66" customHeight="1">
      <c r="B86" s="240" t="s">
        <v>175</v>
      </c>
      <c r="C86" s="81" t="s">
        <v>186</v>
      </c>
      <c r="D86" s="278" t="s">
        <v>324</v>
      </c>
      <c r="E86" s="252"/>
      <c r="F86" s="252"/>
      <c r="G86" s="252"/>
      <c r="H86" s="252"/>
      <c r="I86" s="252"/>
      <c r="J86" s="252"/>
      <c r="K86" s="252"/>
      <c r="L86" s="252"/>
      <c r="M86" s="252"/>
      <c r="N86" s="252"/>
      <c r="O86" s="252"/>
      <c r="P86" s="252"/>
      <c r="Q86" s="252"/>
      <c r="R86" s="252"/>
      <c r="S86" s="252"/>
      <c r="T86" s="252"/>
      <c r="U86" s="252"/>
      <c r="V86" s="252"/>
      <c r="W86" s="252"/>
      <c r="X86" s="252"/>
      <c r="Y86" s="252"/>
      <c r="Z86" s="253"/>
    </row>
    <row r="87" spans="1:26" ht="66" customHeight="1">
      <c r="B87" s="251"/>
      <c r="C87" s="77" t="s">
        <v>154</v>
      </c>
      <c r="D87" s="254" t="s">
        <v>325</v>
      </c>
      <c r="E87" s="254"/>
      <c r="F87" s="254"/>
      <c r="G87" s="254"/>
      <c r="H87" s="254"/>
      <c r="I87" s="254"/>
      <c r="J87" s="254"/>
      <c r="K87" s="254"/>
      <c r="L87" s="254"/>
      <c r="M87" s="254"/>
      <c r="N87" s="254"/>
      <c r="O87" s="254"/>
      <c r="P87" s="254"/>
      <c r="Q87" s="254"/>
      <c r="R87" s="254"/>
      <c r="S87" s="254"/>
      <c r="T87" s="254"/>
      <c r="U87" s="254"/>
      <c r="V87" s="254"/>
      <c r="W87" s="254"/>
      <c r="X87" s="254"/>
      <c r="Y87" s="254"/>
      <c r="Z87" s="255"/>
    </row>
    <row r="88" spans="1:26" ht="66" customHeight="1">
      <c r="B88" s="240" t="s">
        <v>246</v>
      </c>
      <c r="C88" s="76" t="s">
        <v>158</v>
      </c>
      <c r="D88" s="256" t="s">
        <v>326</v>
      </c>
      <c r="E88" s="257"/>
      <c r="F88" s="257"/>
      <c r="G88" s="257"/>
      <c r="H88" s="257"/>
      <c r="I88" s="257"/>
      <c r="J88" s="257"/>
      <c r="K88" s="257"/>
      <c r="L88" s="257"/>
      <c r="M88" s="257"/>
      <c r="N88" s="257"/>
      <c r="O88" s="257"/>
      <c r="P88" s="257"/>
      <c r="Q88" s="257"/>
      <c r="R88" s="257"/>
      <c r="S88" s="257"/>
      <c r="T88" s="257"/>
      <c r="U88" s="257"/>
      <c r="V88" s="257"/>
      <c r="W88" s="257"/>
      <c r="X88" s="257"/>
      <c r="Y88" s="257"/>
      <c r="Z88" s="258"/>
    </row>
    <row r="89" spans="1:26" ht="66" customHeight="1">
      <c r="B89" s="241"/>
      <c r="C89" s="77" t="s">
        <v>189</v>
      </c>
      <c r="D89" s="259" t="s">
        <v>327</v>
      </c>
      <c r="E89" s="260"/>
      <c r="F89" s="260"/>
      <c r="G89" s="260"/>
      <c r="H89" s="260"/>
      <c r="I89" s="260"/>
      <c r="J89" s="260"/>
      <c r="K89" s="260"/>
      <c r="L89" s="260"/>
      <c r="M89" s="260"/>
      <c r="N89" s="260"/>
      <c r="O89" s="260"/>
      <c r="P89" s="260"/>
      <c r="Q89" s="260"/>
      <c r="R89" s="260"/>
      <c r="S89" s="260"/>
      <c r="T89" s="260"/>
      <c r="U89" s="260"/>
      <c r="V89" s="260"/>
      <c r="W89" s="260"/>
      <c r="X89" s="260"/>
      <c r="Y89" s="260"/>
      <c r="Z89" s="261"/>
    </row>
    <row r="90" spans="1:26" ht="66" customHeight="1">
      <c r="B90" s="234"/>
      <c r="C90" s="78" t="s">
        <v>177</v>
      </c>
      <c r="D90" s="262" t="s">
        <v>328</v>
      </c>
      <c r="E90" s="249"/>
      <c r="F90" s="249"/>
      <c r="G90" s="249"/>
      <c r="H90" s="249"/>
      <c r="I90" s="249"/>
      <c r="J90" s="249"/>
      <c r="K90" s="249"/>
      <c r="L90" s="249"/>
      <c r="M90" s="249"/>
      <c r="N90" s="249"/>
      <c r="O90" s="249"/>
      <c r="P90" s="249"/>
      <c r="Q90" s="249"/>
      <c r="R90" s="249"/>
      <c r="S90" s="249"/>
      <c r="T90" s="249"/>
      <c r="U90" s="249"/>
      <c r="V90" s="249"/>
      <c r="W90" s="249"/>
      <c r="X90" s="249"/>
      <c r="Y90" s="249"/>
      <c r="Z90" s="250"/>
    </row>
    <row r="91" spans="1:26" ht="6" customHeight="1"/>
    <row r="92" spans="1:26" ht="18.75" customHeight="1">
      <c r="A92" s="13" t="s">
        <v>178</v>
      </c>
    </row>
    <row r="93" spans="1:26" ht="18.75" customHeight="1">
      <c r="B93" s="242" t="s">
        <v>347</v>
      </c>
      <c r="C93" s="243"/>
      <c r="D93" s="243"/>
      <c r="E93" s="243"/>
      <c r="F93" s="243"/>
      <c r="G93" s="243"/>
      <c r="H93" s="243"/>
      <c r="I93" s="243"/>
      <c r="J93" s="243"/>
      <c r="K93" s="243"/>
      <c r="L93" s="243"/>
      <c r="M93" s="243"/>
      <c r="N93" s="243"/>
      <c r="O93" s="243"/>
      <c r="P93" s="243"/>
      <c r="Q93" s="243"/>
      <c r="R93" s="243"/>
      <c r="S93" s="243"/>
      <c r="T93" s="243"/>
      <c r="U93" s="243"/>
      <c r="V93" s="243"/>
      <c r="W93" s="243"/>
      <c r="X93" s="243"/>
      <c r="Y93" s="243"/>
      <c r="Z93" s="244"/>
    </row>
    <row r="94" spans="1:26" ht="18.75" customHeight="1">
      <c r="B94" s="245"/>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7"/>
    </row>
    <row r="95" spans="1:26" ht="48" customHeight="1">
      <c r="B95" s="248"/>
      <c r="C95" s="249"/>
      <c r="D95" s="249"/>
      <c r="E95" s="249"/>
      <c r="F95" s="249"/>
      <c r="G95" s="249"/>
      <c r="H95" s="249"/>
      <c r="I95" s="249"/>
      <c r="J95" s="249"/>
      <c r="K95" s="249"/>
      <c r="L95" s="249"/>
      <c r="M95" s="249"/>
      <c r="N95" s="249"/>
      <c r="O95" s="249"/>
      <c r="P95" s="249"/>
      <c r="Q95" s="249"/>
      <c r="R95" s="249"/>
      <c r="S95" s="249"/>
      <c r="T95" s="249"/>
      <c r="U95" s="249"/>
      <c r="V95" s="249"/>
      <c r="W95" s="249"/>
      <c r="X95" s="249"/>
      <c r="Y95" s="249"/>
      <c r="Z95" s="250"/>
    </row>
    <row r="96" spans="1:26" ht="6" customHeight="1"/>
    <row r="97" spans="1:26" ht="15" customHeight="1">
      <c r="A97" s="13" t="s">
        <v>235</v>
      </c>
    </row>
    <row r="98" spans="1:26" ht="15" customHeight="1">
      <c r="B98" s="467" t="s">
        <v>374</v>
      </c>
      <c r="C98" s="468"/>
      <c r="D98" s="468"/>
      <c r="E98" s="468"/>
      <c r="F98" s="468"/>
      <c r="G98" s="468"/>
      <c r="H98" s="468"/>
      <c r="I98" s="468"/>
      <c r="J98" s="468"/>
      <c r="K98" s="468"/>
      <c r="L98" s="468"/>
      <c r="M98" s="468"/>
      <c r="N98" s="468"/>
      <c r="O98" s="468"/>
      <c r="P98" s="468"/>
      <c r="Q98" s="468"/>
      <c r="R98" s="468"/>
      <c r="S98" s="468"/>
      <c r="T98" s="468"/>
      <c r="U98" s="468"/>
      <c r="V98" s="468"/>
      <c r="W98" s="468"/>
      <c r="X98" s="468"/>
      <c r="Y98" s="468"/>
      <c r="Z98" s="469"/>
    </row>
  </sheetData>
  <mergeCells count="219">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H59:J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61:M66 Y27:Z33 H38:H44 Y38:Z44 Y49:Z55 Y60:Z66 L38:M44 T60:T66 U16:U22 L16:M22 U27:U33 H27:H33 U38:U44 H49:H55 U49:U55 H16:H22 K60:M60 L27:M33 L49:M55 G60:G66">
      <formula1>"○"</formula1>
    </dataValidation>
    <dataValidation type="list" allowBlank="1" showInputMessage="1" showErrorMessage="1" sqref="Z23 Z34 D34:K34 D23:K23 V16:V22 I27:I33 V27:V33 I16:I22 V38:V44 I49:I55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5" orientation="landscape" r:id="rId1"/>
  <rowBreaks count="3" manualBreakCount="3">
    <brk id="34" max="25" man="1"/>
    <brk id="67" max="25" man="1"/>
    <brk id="83"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showZeros="0" view="pageBreakPreview" zoomScaleNormal="100" zoomScaleSheetLayoutView="100" workbookViewId="0">
      <selection activeCell="D15" sqref="D15"/>
    </sheetView>
  </sheetViews>
  <sheetFormatPr defaultColWidth="9" defaultRowHeight="18.75" customHeight="1"/>
  <cols>
    <col min="1" max="1" width="2.75" style="1" customWidth="1"/>
    <col min="2" max="2" width="30" style="1" customWidth="1"/>
    <col min="3" max="17" width="6.125" style="1" customWidth="1"/>
    <col min="18" max="18" width="6.625" style="1" customWidth="1"/>
    <col min="19" max="16384" width="9" style="1"/>
  </cols>
  <sheetData>
    <row r="1" spans="1:20" ht="18" customHeight="1">
      <c r="F1" s="358" t="s">
        <v>59</v>
      </c>
      <c r="G1" s="358"/>
      <c r="H1" s="358"/>
      <c r="I1" s="358"/>
      <c r="J1" s="358"/>
      <c r="K1" s="358"/>
      <c r="L1" s="358"/>
      <c r="M1" s="358"/>
      <c r="N1" s="358"/>
      <c r="O1" s="358"/>
      <c r="P1" s="358"/>
      <c r="Q1" s="358"/>
      <c r="R1" s="358"/>
    </row>
    <row r="2" spans="1:20" ht="18" customHeight="1">
      <c r="A2" s="359" t="s">
        <v>84</v>
      </c>
      <c r="B2" s="359"/>
      <c r="C2" s="359"/>
      <c r="D2" s="359"/>
      <c r="E2" s="359"/>
      <c r="F2" s="359"/>
      <c r="G2" s="359"/>
      <c r="H2" s="359"/>
      <c r="I2" s="359"/>
      <c r="J2" s="359"/>
      <c r="K2" s="359"/>
      <c r="L2" s="359"/>
      <c r="M2" s="359"/>
      <c r="N2" s="359"/>
      <c r="O2" s="359"/>
      <c r="P2" s="359"/>
      <c r="Q2" s="359"/>
      <c r="R2" s="359"/>
      <c r="S2" s="4"/>
    </row>
    <row r="3" spans="1:20" ht="7.5" customHeight="1">
      <c r="A3" s="37"/>
      <c r="B3" s="37"/>
      <c r="C3" s="37"/>
      <c r="D3" s="37"/>
      <c r="E3" s="37"/>
      <c r="F3" s="37"/>
      <c r="G3" s="37"/>
      <c r="H3" s="37"/>
      <c r="I3" s="37"/>
      <c r="J3" s="37"/>
      <c r="K3" s="37"/>
      <c r="L3" s="37"/>
      <c r="M3" s="37"/>
      <c r="N3" s="37"/>
      <c r="O3" s="37"/>
      <c r="P3" s="37"/>
      <c r="Q3" s="37"/>
      <c r="R3" s="37"/>
    </row>
    <row r="4" spans="1:20" ht="18" customHeight="1">
      <c r="A4" s="4" t="s">
        <v>125</v>
      </c>
      <c r="B4" s="4"/>
      <c r="C4" s="360">
        <f>'様式１　大学等概要'!E12</f>
        <v>2021</v>
      </c>
      <c r="D4" s="361"/>
      <c r="E4" s="37" t="s">
        <v>102</v>
      </c>
      <c r="F4" s="37"/>
      <c r="G4" s="37"/>
      <c r="H4" s="37"/>
      <c r="I4" s="37"/>
      <c r="J4" s="82"/>
      <c r="K4" s="37"/>
      <c r="L4" s="37"/>
      <c r="M4" s="112"/>
      <c r="N4" s="112"/>
      <c r="O4" s="112"/>
      <c r="P4" s="112"/>
      <c r="Q4" s="112"/>
      <c r="R4" s="112"/>
    </row>
    <row r="5" spans="1:20" ht="6" customHeight="1">
      <c r="A5" s="37"/>
      <c r="B5" s="37"/>
      <c r="C5" s="37"/>
      <c r="D5" s="37"/>
      <c r="E5" s="37"/>
      <c r="F5" s="37"/>
      <c r="G5" s="37"/>
      <c r="H5" s="37"/>
      <c r="I5" s="37"/>
      <c r="J5" s="37"/>
      <c r="K5" s="37"/>
      <c r="L5" s="37"/>
      <c r="M5" s="37"/>
      <c r="N5" s="37"/>
      <c r="O5" s="37"/>
      <c r="P5" s="37"/>
      <c r="Q5" s="37"/>
      <c r="R5" s="37"/>
    </row>
    <row r="6" spans="1:20" ht="18" customHeight="1">
      <c r="A6" s="4" t="s">
        <v>123</v>
      </c>
      <c r="B6" s="37"/>
      <c r="C6" s="37"/>
      <c r="D6" s="37"/>
      <c r="E6" s="37"/>
      <c r="F6" s="37"/>
      <c r="G6" s="37"/>
      <c r="H6" s="37"/>
      <c r="I6" s="37"/>
      <c r="J6" s="37"/>
      <c r="K6" s="37"/>
      <c r="L6" s="37"/>
      <c r="M6" s="37"/>
      <c r="N6" s="37"/>
      <c r="O6" s="37"/>
      <c r="P6" s="37"/>
      <c r="Q6" s="37"/>
      <c r="R6" s="37"/>
    </row>
    <row r="7" spans="1:20" ht="6" customHeight="1">
      <c r="A7" s="4"/>
      <c r="B7" s="37"/>
      <c r="C7" s="37"/>
      <c r="D7" s="37"/>
      <c r="E7" s="37"/>
      <c r="F7" s="37"/>
      <c r="G7" s="37"/>
      <c r="H7" s="37"/>
      <c r="I7" s="37"/>
      <c r="J7" s="37"/>
      <c r="K7" s="37"/>
      <c r="L7" s="37"/>
      <c r="M7" s="37"/>
      <c r="N7" s="37"/>
      <c r="O7" s="37"/>
      <c r="P7" s="37"/>
      <c r="Q7" s="37"/>
      <c r="R7" s="37"/>
    </row>
    <row r="8" spans="1:20" ht="18" customHeight="1">
      <c r="B8" s="362" t="s">
        <v>74</v>
      </c>
      <c r="C8" s="364" t="s">
        <v>79</v>
      </c>
      <c r="D8" s="366" t="s">
        <v>64</v>
      </c>
      <c r="E8" s="368" t="s">
        <v>85</v>
      </c>
      <c r="F8" s="368"/>
      <c r="G8" s="368" t="s">
        <v>86</v>
      </c>
      <c r="H8" s="368"/>
      <c r="I8" s="368" t="s">
        <v>87</v>
      </c>
      <c r="J8" s="368"/>
      <c r="K8" s="369" t="s">
        <v>88</v>
      </c>
      <c r="L8" s="370"/>
      <c r="M8" s="369" t="s">
        <v>89</v>
      </c>
      <c r="N8" s="370"/>
      <c r="O8" s="369" t="s">
        <v>90</v>
      </c>
      <c r="P8" s="370"/>
      <c r="Q8" s="371" t="s">
        <v>58</v>
      </c>
      <c r="R8" s="373" t="s">
        <v>52</v>
      </c>
      <c r="T8" s="34"/>
    </row>
    <row r="9" spans="1:20" ht="18" customHeight="1">
      <c r="A9" s="4"/>
      <c r="B9" s="363"/>
      <c r="C9" s="365"/>
      <c r="D9" s="367"/>
      <c r="E9" s="40" t="s">
        <v>40</v>
      </c>
      <c r="F9" s="41" t="s">
        <v>39</v>
      </c>
      <c r="G9" s="42" t="s">
        <v>40</v>
      </c>
      <c r="H9" s="43" t="s">
        <v>39</v>
      </c>
      <c r="I9" s="40" t="s">
        <v>40</v>
      </c>
      <c r="J9" s="41" t="s">
        <v>39</v>
      </c>
      <c r="K9" s="42" t="s">
        <v>40</v>
      </c>
      <c r="L9" s="43" t="s">
        <v>39</v>
      </c>
      <c r="M9" s="40" t="s">
        <v>40</v>
      </c>
      <c r="N9" s="41" t="s">
        <v>39</v>
      </c>
      <c r="O9" s="42" t="s">
        <v>40</v>
      </c>
      <c r="P9" s="43" t="s">
        <v>39</v>
      </c>
      <c r="Q9" s="372"/>
      <c r="R9" s="374"/>
      <c r="T9" s="34"/>
    </row>
    <row r="10" spans="1:20" ht="18" customHeight="1">
      <c r="A10" s="44"/>
      <c r="B10" s="83" t="s">
        <v>258</v>
      </c>
      <c r="C10" s="44">
        <v>40</v>
      </c>
      <c r="D10" s="45">
        <v>200</v>
      </c>
      <c r="E10" s="46">
        <v>44</v>
      </c>
      <c r="F10" s="47">
        <v>0</v>
      </c>
      <c r="G10" s="48"/>
      <c r="H10" s="49"/>
      <c r="I10" s="46"/>
      <c r="J10" s="47"/>
      <c r="K10" s="48"/>
      <c r="L10" s="49"/>
      <c r="M10" s="46"/>
      <c r="N10" s="47"/>
      <c r="O10" s="48"/>
      <c r="P10" s="49"/>
      <c r="Q10" s="50">
        <f>E10+G10+I10+K10+M10+O10</f>
        <v>44</v>
      </c>
      <c r="R10" s="51">
        <f>Q10/D10</f>
        <v>0.22</v>
      </c>
    </row>
    <row r="11" spans="1:20" ht="18" customHeight="1">
      <c r="A11" s="44"/>
      <c r="B11" s="84" t="s">
        <v>259</v>
      </c>
      <c r="C11" s="60">
        <v>40</v>
      </c>
      <c r="D11" s="53">
        <v>200</v>
      </c>
      <c r="E11" s="54">
        <v>41</v>
      </c>
      <c r="F11" s="55">
        <v>0</v>
      </c>
      <c r="G11" s="56"/>
      <c r="H11" s="57"/>
      <c r="I11" s="54"/>
      <c r="J11" s="55"/>
      <c r="K11" s="56"/>
      <c r="L11" s="57"/>
      <c r="M11" s="54"/>
      <c r="N11" s="55"/>
      <c r="O11" s="56"/>
      <c r="P11" s="57"/>
      <c r="Q11" s="58">
        <f t="shared" ref="Q11:Q29" si="0">E11+G11+I11+K11+M11+O11</f>
        <v>41</v>
      </c>
      <c r="R11" s="59">
        <f t="shared" ref="R11:R29" si="1">Q11/D11</f>
        <v>0.20499999999999999</v>
      </c>
    </row>
    <row r="12" spans="1:20" ht="18" customHeight="1">
      <c r="A12" s="44"/>
      <c r="B12" s="84" t="s">
        <v>260</v>
      </c>
      <c r="C12" s="60">
        <v>40</v>
      </c>
      <c r="D12" s="53">
        <v>200</v>
      </c>
      <c r="E12" s="54">
        <v>43</v>
      </c>
      <c r="F12" s="55"/>
      <c r="G12" s="56"/>
      <c r="H12" s="57"/>
      <c r="I12" s="54"/>
      <c r="J12" s="55"/>
      <c r="K12" s="56"/>
      <c r="L12" s="57"/>
      <c r="M12" s="54"/>
      <c r="N12" s="55"/>
      <c r="O12" s="56"/>
      <c r="P12" s="57"/>
      <c r="Q12" s="58">
        <f t="shared" si="0"/>
        <v>43</v>
      </c>
      <c r="R12" s="59">
        <f t="shared" si="1"/>
        <v>0.215</v>
      </c>
    </row>
    <row r="13" spans="1:20" ht="18" customHeight="1">
      <c r="A13" s="44"/>
      <c r="B13" s="84" t="s">
        <v>261</v>
      </c>
      <c r="C13" s="60">
        <v>40</v>
      </c>
      <c r="D13" s="53">
        <v>200</v>
      </c>
      <c r="E13" s="54">
        <v>43</v>
      </c>
      <c r="F13" s="55"/>
      <c r="G13" s="56"/>
      <c r="H13" s="57"/>
      <c r="I13" s="54"/>
      <c r="J13" s="55"/>
      <c r="K13" s="56"/>
      <c r="L13" s="57"/>
      <c r="M13" s="54"/>
      <c r="N13" s="55"/>
      <c r="O13" s="56"/>
      <c r="P13" s="57"/>
      <c r="Q13" s="58">
        <f t="shared" si="0"/>
        <v>43</v>
      </c>
      <c r="R13" s="59">
        <f t="shared" si="1"/>
        <v>0.215</v>
      </c>
    </row>
    <row r="14" spans="1:20" ht="18" customHeight="1">
      <c r="A14" s="44"/>
      <c r="B14" s="84" t="s">
        <v>262</v>
      </c>
      <c r="C14" s="60">
        <v>40</v>
      </c>
      <c r="D14" s="53">
        <v>200</v>
      </c>
      <c r="E14" s="54">
        <v>42</v>
      </c>
      <c r="F14" s="55"/>
      <c r="G14" s="56"/>
      <c r="H14" s="57"/>
      <c r="I14" s="54"/>
      <c r="J14" s="55"/>
      <c r="K14" s="56"/>
      <c r="L14" s="57"/>
      <c r="M14" s="54"/>
      <c r="N14" s="55"/>
      <c r="O14" s="56"/>
      <c r="P14" s="57"/>
      <c r="Q14" s="58">
        <f t="shared" si="0"/>
        <v>42</v>
      </c>
      <c r="R14" s="59">
        <f t="shared" si="1"/>
        <v>0.21</v>
      </c>
    </row>
    <row r="15" spans="1:20" ht="18" customHeight="1">
      <c r="A15" s="44"/>
      <c r="B15" s="84"/>
      <c r="C15" s="60"/>
      <c r="D15" s="53"/>
      <c r="E15" s="54"/>
      <c r="F15" s="55"/>
      <c r="G15" s="56"/>
      <c r="H15" s="57"/>
      <c r="I15" s="54"/>
      <c r="J15" s="55"/>
      <c r="K15" s="56"/>
      <c r="L15" s="57"/>
      <c r="M15" s="54"/>
      <c r="N15" s="55"/>
      <c r="O15" s="56"/>
      <c r="P15" s="57"/>
      <c r="Q15" s="58">
        <f t="shared" si="0"/>
        <v>0</v>
      </c>
      <c r="R15" s="59" t="e">
        <f t="shared" si="1"/>
        <v>#DIV/0!</v>
      </c>
    </row>
    <row r="16" spans="1:20" ht="18" customHeight="1">
      <c r="A16" s="44"/>
      <c r="B16" s="84"/>
      <c r="C16" s="60"/>
      <c r="D16" s="53"/>
      <c r="E16" s="54"/>
      <c r="F16" s="55"/>
      <c r="G16" s="56"/>
      <c r="H16" s="57"/>
      <c r="I16" s="54"/>
      <c r="J16" s="55"/>
      <c r="K16" s="56"/>
      <c r="L16" s="57"/>
      <c r="M16" s="54"/>
      <c r="N16" s="55"/>
      <c r="O16" s="56"/>
      <c r="P16" s="57"/>
      <c r="Q16" s="58">
        <f t="shared" si="0"/>
        <v>0</v>
      </c>
      <c r="R16" s="59" t="e">
        <f t="shared" si="1"/>
        <v>#DIV/0!</v>
      </c>
    </row>
    <row r="17" spans="1:18" ht="18" customHeight="1">
      <c r="A17" s="44"/>
      <c r="B17" s="84"/>
      <c r="C17" s="60"/>
      <c r="D17" s="53"/>
      <c r="E17" s="54"/>
      <c r="F17" s="55"/>
      <c r="G17" s="56"/>
      <c r="H17" s="57"/>
      <c r="I17" s="54"/>
      <c r="J17" s="55"/>
      <c r="K17" s="56"/>
      <c r="L17" s="57"/>
      <c r="M17" s="54"/>
      <c r="N17" s="55"/>
      <c r="O17" s="56"/>
      <c r="P17" s="57"/>
      <c r="Q17" s="58">
        <f t="shared" si="0"/>
        <v>0</v>
      </c>
      <c r="R17" s="59" t="e">
        <f t="shared" si="1"/>
        <v>#DIV/0!</v>
      </c>
    </row>
    <row r="18" spans="1:18" ht="18" customHeight="1">
      <c r="A18" s="44"/>
      <c r="B18" s="84"/>
      <c r="C18" s="60"/>
      <c r="D18" s="53"/>
      <c r="E18" s="54"/>
      <c r="F18" s="55"/>
      <c r="G18" s="56"/>
      <c r="H18" s="57"/>
      <c r="I18" s="54"/>
      <c r="J18" s="55"/>
      <c r="K18" s="56"/>
      <c r="L18" s="57"/>
      <c r="M18" s="54"/>
      <c r="N18" s="55"/>
      <c r="O18" s="56"/>
      <c r="P18" s="57"/>
      <c r="Q18" s="58">
        <f>E18+G18+I18+K18+M18+O18</f>
        <v>0</v>
      </c>
      <c r="R18" s="59" t="e">
        <f t="shared" si="1"/>
        <v>#DIV/0!</v>
      </c>
    </row>
    <row r="19" spans="1:18" ht="18" customHeight="1">
      <c r="A19" s="44"/>
      <c r="B19" s="84"/>
      <c r="C19" s="60"/>
      <c r="D19" s="53"/>
      <c r="E19" s="54"/>
      <c r="F19" s="55"/>
      <c r="G19" s="56"/>
      <c r="H19" s="57"/>
      <c r="I19" s="54"/>
      <c r="J19" s="55"/>
      <c r="K19" s="56"/>
      <c r="L19" s="57"/>
      <c r="M19" s="54"/>
      <c r="N19" s="55"/>
      <c r="O19" s="56"/>
      <c r="P19" s="57"/>
      <c r="Q19" s="58">
        <f t="shared" si="0"/>
        <v>0</v>
      </c>
      <c r="R19" s="59" t="e">
        <f t="shared" si="1"/>
        <v>#DIV/0!</v>
      </c>
    </row>
    <row r="20" spans="1:18" ht="18" customHeight="1">
      <c r="A20" s="44"/>
      <c r="B20" s="84"/>
      <c r="C20" s="60"/>
      <c r="D20" s="53"/>
      <c r="E20" s="54"/>
      <c r="F20" s="55"/>
      <c r="G20" s="56"/>
      <c r="H20" s="57"/>
      <c r="I20" s="54"/>
      <c r="J20" s="55"/>
      <c r="K20" s="56"/>
      <c r="L20" s="57"/>
      <c r="M20" s="54"/>
      <c r="N20" s="55"/>
      <c r="O20" s="56"/>
      <c r="P20" s="57"/>
      <c r="Q20" s="58">
        <f t="shared" si="0"/>
        <v>0</v>
      </c>
      <c r="R20" s="59" t="e">
        <f t="shared" si="1"/>
        <v>#DIV/0!</v>
      </c>
    </row>
    <row r="21" spans="1:18" ht="18" customHeight="1">
      <c r="A21" s="44"/>
      <c r="B21" s="84"/>
      <c r="C21" s="60"/>
      <c r="D21" s="53"/>
      <c r="E21" s="54"/>
      <c r="F21" s="55"/>
      <c r="G21" s="56"/>
      <c r="H21" s="57"/>
      <c r="I21" s="54"/>
      <c r="J21" s="55"/>
      <c r="K21" s="56"/>
      <c r="L21" s="57"/>
      <c r="M21" s="54"/>
      <c r="N21" s="55"/>
      <c r="O21" s="56"/>
      <c r="P21" s="57"/>
      <c r="Q21" s="58">
        <f t="shared" si="0"/>
        <v>0</v>
      </c>
      <c r="R21" s="59" t="e">
        <f t="shared" si="1"/>
        <v>#DIV/0!</v>
      </c>
    </row>
    <row r="22" spans="1:18" ht="18" customHeight="1">
      <c r="A22" s="44"/>
      <c r="B22" s="84"/>
      <c r="C22" s="60"/>
      <c r="D22" s="53"/>
      <c r="E22" s="54"/>
      <c r="F22" s="55"/>
      <c r="G22" s="56"/>
      <c r="H22" s="57"/>
      <c r="I22" s="54"/>
      <c r="J22" s="55"/>
      <c r="K22" s="56"/>
      <c r="L22" s="57"/>
      <c r="M22" s="54"/>
      <c r="N22" s="55"/>
      <c r="O22" s="56"/>
      <c r="P22" s="57"/>
      <c r="Q22" s="58">
        <f t="shared" si="0"/>
        <v>0</v>
      </c>
      <c r="R22" s="59" t="e">
        <f t="shared" si="1"/>
        <v>#DIV/0!</v>
      </c>
    </row>
    <row r="23" spans="1:18" ht="18" customHeight="1">
      <c r="A23" s="44"/>
      <c r="B23" s="84"/>
      <c r="C23" s="60"/>
      <c r="D23" s="53"/>
      <c r="E23" s="54"/>
      <c r="F23" s="55"/>
      <c r="G23" s="56"/>
      <c r="H23" s="57"/>
      <c r="I23" s="54"/>
      <c r="J23" s="55"/>
      <c r="K23" s="56"/>
      <c r="L23" s="57"/>
      <c r="M23" s="54"/>
      <c r="N23" s="55"/>
      <c r="O23" s="56"/>
      <c r="P23" s="57"/>
      <c r="Q23" s="58">
        <f t="shared" si="0"/>
        <v>0</v>
      </c>
      <c r="R23" s="59" t="e">
        <f t="shared" si="1"/>
        <v>#DIV/0!</v>
      </c>
    </row>
    <row r="24" spans="1:18" ht="18" customHeight="1">
      <c r="A24" s="44"/>
      <c r="B24" s="84"/>
      <c r="C24" s="60"/>
      <c r="D24" s="53"/>
      <c r="E24" s="54"/>
      <c r="F24" s="55"/>
      <c r="G24" s="56"/>
      <c r="H24" s="57"/>
      <c r="I24" s="54"/>
      <c r="J24" s="55"/>
      <c r="K24" s="56"/>
      <c r="L24" s="57"/>
      <c r="M24" s="54"/>
      <c r="N24" s="55"/>
      <c r="O24" s="56"/>
      <c r="P24" s="57"/>
      <c r="Q24" s="58">
        <f t="shared" si="0"/>
        <v>0</v>
      </c>
      <c r="R24" s="59" t="e">
        <f t="shared" si="1"/>
        <v>#DIV/0!</v>
      </c>
    </row>
    <row r="25" spans="1:18" ht="18" customHeight="1">
      <c r="A25" s="44"/>
      <c r="B25" s="84"/>
      <c r="C25" s="60"/>
      <c r="D25" s="53"/>
      <c r="E25" s="54"/>
      <c r="F25" s="55"/>
      <c r="G25" s="56"/>
      <c r="H25" s="57"/>
      <c r="I25" s="54"/>
      <c r="J25" s="55"/>
      <c r="K25" s="56"/>
      <c r="L25" s="57"/>
      <c r="M25" s="54"/>
      <c r="N25" s="55"/>
      <c r="O25" s="56"/>
      <c r="P25" s="57"/>
      <c r="Q25" s="58">
        <f t="shared" si="0"/>
        <v>0</v>
      </c>
      <c r="R25" s="59" t="e">
        <f t="shared" si="1"/>
        <v>#DIV/0!</v>
      </c>
    </row>
    <row r="26" spans="1:18" ht="18" customHeight="1">
      <c r="A26" s="44"/>
      <c r="B26" s="84"/>
      <c r="C26" s="60"/>
      <c r="D26" s="53"/>
      <c r="E26" s="54"/>
      <c r="F26" s="55"/>
      <c r="G26" s="56"/>
      <c r="H26" s="57"/>
      <c r="I26" s="54"/>
      <c r="J26" s="55"/>
      <c r="K26" s="56"/>
      <c r="L26" s="57"/>
      <c r="M26" s="54"/>
      <c r="N26" s="55"/>
      <c r="O26" s="56"/>
      <c r="P26" s="57"/>
      <c r="Q26" s="58">
        <f t="shared" si="0"/>
        <v>0</v>
      </c>
      <c r="R26" s="59" t="e">
        <f t="shared" si="1"/>
        <v>#DIV/0!</v>
      </c>
    </row>
    <row r="27" spans="1:18" ht="18" customHeight="1">
      <c r="A27" s="44"/>
      <c r="B27" s="84"/>
      <c r="C27" s="52"/>
      <c r="D27" s="53"/>
      <c r="E27" s="54"/>
      <c r="F27" s="55"/>
      <c r="G27" s="56"/>
      <c r="H27" s="57"/>
      <c r="I27" s="54"/>
      <c r="J27" s="55"/>
      <c r="K27" s="56"/>
      <c r="L27" s="57"/>
      <c r="M27" s="54"/>
      <c r="N27" s="55"/>
      <c r="O27" s="56"/>
      <c r="P27" s="57"/>
      <c r="Q27" s="58">
        <f t="shared" si="0"/>
        <v>0</v>
      </c>
      <c r="R27" s="59" t="e">
        <f t="shared" si="1"/>
        <v>#DIV/0!</v>
      </c>
    </row>
    <row r="28" spans="1:18" ht="18" customHeight="1">
      <c r="A28" s="44"/>
      <c r="B28" s="84"/>
      <c r="C28" s="52"/>
      <c r="D28" s="53"/>
      <c r="E28" s="54"/>
      <c r="F28" s="55"/>
      <c r="G28" s="56"/>
      <c r="H28" s="57"/>
      <c r="I28" s="54"/>
      <c r="J28" s="55"/>
      <c r="K28" s="56"/>
      <c r="L28" s="57"/>
      <c r="M28" s="54"/>
      <c r="N28" s="55"/>
      <c r="O28" s="56"/>
      <c r="P28" s="57"/>
      <c r="Q28" s="58">
        <f t="shared" si="0"/>
        <v>0</v>
      </c>
      <c r="R28" s="59" t="e">
        <f t="shared" si="1"/>
        <v>#DIV/0!</v>
      </c>
    </row>
    <row r="29" spans="1:18" ht="18" customHeight="1" thickBot="1">
      <c r="A29" s="44"/>
      <c r="B29" s="85"/>
      <c r="C29" s="86"/>
      <c r="D29" s="45"/>
      <c r="E29" s="46"/>
      <c r="F29" s="47"/>
      <c r="G29" s="48"/>
      <c r="H29" s="49"/>
      <c r="I29" s="46"/>
      <c r="J29" s="47"/>
      <c r="K29" s="48"/>
      <c r="L29" s="49"/>
      <c r="M29" s="46"/>
      <c r="N29" s="47"/>
      <c r="O29" s="48"/>
      <c r="P29" s="49"/>
      <c r="Q29" s="61">
        <f t="shared" si="0"/>
        <v>0</v>
      </c>
      <c r="R29" s="51" t="e">
        <f t="shared" si="1"/>
        <v>#DIV/0!</v>
      </c>
    </row>
    <row r="30" spans="1:18" ht="18" customHeight="1" thickTop="1">
      <c r="B30" s="87" t="s">
        <v>53</v>
      </c>
      <c r="C30" s="88">
        <f t="shared" ref="C30:Q30" si="2">SUM(C10:C29)</f>
        <v>200</v>
      </c>
      <c r="D30" s="62">
        <f t="shared" si="2"/>
        <v>1000</v>
      </c>
      <c r="E30" s="63">
        <f t="shared" si="2"/>
        <v>213</v>
      </c>
      <c r="F30" s="64">
        <f t="shared" si="2"/>
        <v>0</v>
      </c>
      <c r="G30" s="65">
        <f t="shared" si="2"/>
        <v>0</v>
      </c>
      <c r="H30" s="66">
        <f t="shared" si="2"/>
        <v>0</v>
      </c>
      <c r="I30" s="63">
        <f t="shared" si="2"/>
        <v>0</v>
      </c>
      <c r="J30" s="64">
        <f t="shared" si="2"/>
        <v>0</v>
      </c>
      <c r="K30" s="65">
        <f t="shared" si="2"/>
        <v>0</v>
      </c>
      <c r="L30" s="66">
        <f t="shared" si="2"/>
        <v>0</v>
      </c>
      <c r="M30" s="63">
        <f t="shared" si="2"/>
        <v>0</v>
      </c>
      <c r="N30" s="64">
        <f t="shared" si="2"/>
        <v>0</v>
      </c>
      <c r="O30" s="65">
        <f t="shared" si="2"/>
        <v>0</v>
      </c>
      <c r="P30" s="66">
        <f t="shared" si="2"/>
        <v>0</v>
      </c>
      <c r="Q30" s="67">
        <f t="shared" si="2"/>
        <v>213</v>
      </c>
      <c r="R30" s="68">
        <f>Q30/D30</f>
        <v>0.21299999999999999</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topLeftCell="A113" zoomScaleNormal="100" zoomScaleSheetLayoutView="100" workbookViewId="0"/>
  </sheetViews>
  <sheetFormatPr defaultColWidth="11.375" defaultRowHeight="18.75" customHeight="1"/>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c r="A1" s="2" t="s">
        <v>103</v>
      </c>
      <c r="J1" s="132" t="s">
        <v>104</v>
      </c>
    </row>
    <row r="2" spans="1:11" ht="18.75" customHeight="1">
      <c r="A2" s="359" t="s">
        <v>60</v>
      </c>
      <c r="B2" s="359"/>
      <c r="C2" s="359"/>
      <c r="D2" s="359"/>
      <c r="E2" s="359"/>
      <c r="F2" s="359"/>
      <c r="G2" s="359"/>
      <c r="H2" s="359"/>
      <c r="I2" s="359"/>
      <c r="J2" s="359"/>
    </row>
    <row r="3" spans="1:11" ht="7.5" customHeight="1">
      <c r="B3" s="130"/>
      <c r="C3" s="130"/>
      <c r="D3" s="130"/>
      <c r="E3" s="130"/>
      <c r="F3" s="130"/>
      <c r="G3" s="130"/>
      <c r="H3" s="130"/>
      <c r="I3" s="130"/>
      <c r="J3" s="130"/>
    </row>
    <row r="4" spans="1:11" ht="18.75" customHeight="1">
      <c r="A4" s="1" t="s">
        <v>329</v>
      </c>
      <c r="B4" s="4" t="s">
        <v>353</v>
      </c>
      <c r="C4" s="4"/>
      <c r="D4" s="4"/>
      <c r="E4" s="4"/>
      <c r="F4" s="4"/>
      <c r="G4" s="4"/>
      <c r="H4" s="4"/>
      <c r="I4" s="130"/>
      <c r="J4" s="130"/>
    </row>
    <row r="5" spans="1:11" ht="18.75" customHeight="1">
      <c r="A5" s="1"/>
      <c r="B5" s="384" t="s">
        <v>330</v>
      </c>
      <c r="C5" s="385"/>
      <c r="D5" s="385"/>
      <c r="E5" s="385"/>
      <c r="F5" s="385"/>
      <c r="G5" s="385"/>
      <c r="H5" s="385"/>
      <c r="I5" s="385"/>
      <c r="J5" s="386"/>
      <c r="K5" s="31" t="str">
        <f>IF(B5="","入力してください","")</f>
        <v/>
      </c>
    </row>
    <row r="6" spans="1:11" ht="7.5" customHeight="1">
      <c r="B6" s="130"/>
      <c r="C6" s="130"/>
      <c r="D6" s="130"/>
      <c r="E6" s="130"/>
      <c r="F6" s="130"/>
      <c r="G6" s="130"/>
      <c r="H6" s="130"/>
      <c r="I6" s="130"/>
      <c r="J6" s="130"/>
    </row>
    <row r="7" spans="1:11" s="4" customFormat="1" ht="18.75" customHeight="1">
      <c r="A7" s="1" t="s">
        <v>354</v>
      </c>
      <c r="B7" s="1" t="s">
        <v>35</v>
      </c>
      <c r="C7" s="1"/>
      <c r="D7" s="1"/>
      <c r="E7" s="1"/>
      <c r="F7" s="1"/>
      <c r="G7" s="1"/>
      <c r="H7" s="1"/>
      <c r="I7" s="1"/>
      <c r="J7" s="1"/>
      <c r="K7" s="31"/>
    </row>
    <row r="8" spans="1:11" s="4" customFormat="1" ht="18.75" customHeight="1">
      <c r="A8" s="89"/>
      <c r="B8" s="387" t="s">
        <v>332</v>
      </c>
      <c r="C8" s="388"/>
      <c r="D8" s="388"/>
      <c r="E8" s="388"/>
      <c r="F8" s="388"/>
      <c r="G8" s="388"/>
      <c r="H8" s="388"/>
      <c r="I8" s="389"/>
      <c r="J8" s="390"/>
      <c r="K8" s="31" t="str">
        <f>IF(B8="","入力してください","")</f>
        <v/>
      </c>
    </row>
    <row r="9" spans="1:11" s="4" customFormat="1" ht="18.75" customHeight="1">
      <c r="A9" s="89"/>
      <c r="B9" s="391"/>
      <c r="C9" s="392"/>
      <c r="D9" s="392"/>
      <c r="E9" s="392"/>
      <c r="F9" s="392"/>
      <c r="G9" s="392"/>
      <c r="H9" s="392"/>
      <c r="I9" s="392"/>
      <c r="J9" s="393"/>
      <c r="K9" s="31"/>
    </row>
    <row r="10" spans="1:11" s="4" customFormat="1" ht="18.75" customHeight="1">
      <c r="A10" s="89"/>
      <c r="B10" s="391"/>
      <c r="C10" s="392"/>
      <c r="D10" s="392"/>
      <c r="E10" s="392"/>
      <c r="F10" s="392"/>
      <c r="G10" s="392"/>
      <c r="H10" s="392"/>
      <c r="I10" s="392"/>
      <c r="J10" s="393"/>
      <c r="K10" s="31"/>
    </row>
    <row r="11" spans="1:11" s="4" customFormat="1" ht="18.75" customHeight="1">
      <c r="A11" s="89"/>
      <c r="B11" s="391"/>
      <c r="C11" s="392"/>
      <c r="D11" s="392"/>
      <c r="E11" s="392"/>
      <c r="F11" s="392"/>
      <c r="G11" s="392"/>
      <c r="H11" s="392"/>
      <c r="I11" s="392"/>
      <c r="J11" s="393"/>
      <c r="K11" s="31"/>
    </row>
    <row r="12" spans="1:11" s="4" customFormat="1" ht="18.75" customHeight="1">
      <c r="A12" s="89"/>
      <c r="B12" s="394"/>
      <c r="C12" s="395"/>
      <c r="D12" s="395"/>
      <c r="E12" s="395"/>
      <c r="F12" s="395"/>
      <c r="G12" s="395"/>
      <c r="H12" s="395"/>
      <c r="I12" s="395"/>
      <c r="J12" s="396"/>
      <c r="K12" s="31"/>
    </row>
    <row r="13" spans="1:11" s="4" customFormat="1" ht="7.5" customHeight="1">
      <c r="A13" s="89"/>
      <c r="B13" s="89"/>
      <c r="C13" s="89"/>
      <c r="D13" s="89"/>
      <c r="E13" s="89"/>
      <c r="F13" s="89"/>
      <c r="G13" s="89"/>
      <c r="H13" s="89"/>
      <c r="I13" s="89"/>
      <c r="J13" s="89"/>
      <c r="K13" s="31"/>
    </row>
    <row r="14" spans="1:11" s="4" customFormat="1" ht="18.75" customHeight="1">
      <c r="A14" s="90" t="s">
        <v>355</v>
      </c>
      <c r="B14" s="90" t="s">
        <v>11</v>
      </c>
      <c r="C14" s="90"/>
      <c r="D14" s="90"/>
      <c r="E14" s="90"/>
      <c r="F14" s="90"/>
      <c r="G14" s="90"/>
      <c r="H14" s="90"/>
      <c r="I14" s="90"/>
      <c r="J14" s="90"/>
      <c r="K14" s="31"/>
    </row>
    <row r="15" spans="1:11" s="4" customFormat="1" ht="18.75" customHeight="1">
      <c r="A15" s="89"/>
      <c r="B15" s="387" t="s">
        <v>356</v>
      </c>
      <c r="C15" s="388"/>
      <c r="D15" s="388"/>
      <c r="E15" s="388"/>
      <c r="F15" s="388"/>
      <c r="G15" s="388"/>
      <c r="H15" s="388"/>
      <c r="I15" s="389"/>
      <c r="J15" s="390"/>
      <c r="K15" s="31" t="str">
        <f>IF(B15="","入力してください","")</f>
        <v/>
      </c>
    </row>
    <row r="16" spans="1:11" s="4" customFormat="1" ht="18.75" customHeight="1">
      <c r="A16" s="89"/>
      <c r="B16" s="391"/>
      <c r="C16" s="392"/>
      <c r="D16" s="392"/>
      <c r="E16" s="392"/>
      <c r="F16" s="392"/>
      <c r="G16" s="392"/>
      <c r="H16" s="392"/>
      <c r="I16" s="392"/>
      <c r="J16" s="393"/>
      <c r="K16" s="31"/>
    </row>
    <row r="17" spans="1:11" s="4" customFormat="1" ht="18.75" customHeight="1">
      <c r="A17" s="89"/>
      <c r="B17" s="391"/>
      <c r="C17" s="392"/>
      <c r="D17" s="392"/>
      <c r="E17" s="392"/>
      <c r="F17" s="392"/>
      <c r="G17" s="392"/>
      <c r="H17" s="392"/>
      <c r="I17" s="392"/>
      <c r="J17" s="393"/>
      <c r="K17" s="31"/>
    </row>
    <row r="18" spans="1:11" s="4" customFormat="1" ht="18.75" customHeight="1">
      <c r="A18" s="89"/>
      <c r="B18" s="391"/>
      <c r="C18" s="392"/>
      <c r="D18" s="392"/>
      <c r="E18" s="392"/>
      <c r="F18" s="392"/>
      <c r="G18" s="392"/>
      <c r="H18" s="392"/>
      <c r="I18" s="392"/>
      <c r="J18" s="393"/>
      <c r="K18" s="31"/>
    </row>
    <row r="19" spans="1:11" s="4" customFormat="1" ht="18.75" customHeight="1">
      <c r="A19" s="89"/>
      <c r="B19" s="391"/>
      <c r="C19" s="392"/>
      <c r="D19" s="392"/>
      <c r="E19" s="392"/>
      <c r="F19" s="392"/>
      <c r="G19" s="392"/>
      <c r="H19" s="392"/>
      <c r="I19" s="392"/>
      <c r="J19" s="393"/>
      <c r="K19" s="31"/>
    </row>
    <row r="20" spans="1:11" s="4" customFormat="1" ht="18.75" customHeight="1">
      <c r="A20" s="89"/>
      <c r="B20" s="391"/>
      <c r="C20" s="392"/>
      <c r="D20" s="392"/>
      <c r="E20" s="392"/>
      <c r="F20" s="392"/>
      <c r="G20" s="392"/>
      <c r="H20" s="392"/>
      <c r="I20" s="392"/>
      <c r="J20" s="393"/>
      <c r="K20" s="31"/>
    </row>
    <row r="21" spans="1:11" s="4" customFormat="1" ht="18.75" customHeight="1">
      <c r="A21" s="89"/>
      <c r="B21" s="391"/>
      <c r="C21" s="392"/>
      <c r="D21" s="392"/>
      <c r="E21" s="392"/>
      <c r="F21" s="392"/>
      <c r="G21" s="392"/>
      <c r="H21" s="392"/>
      <c r="I21" s="392"/>
      <c r="J21" s="393"/>
      <c r="K21" s="31"/>
    </row>
    <row r="22" spans="1:11" s="4" customFormat="1" ht="18.75" customHeight="1">
      <c r="A22" s="89"/>
      <c r="B22" s="391"/>
      <c r="C22" s="392"/>
      <c r="D22" s="392"/>
      <c r="E22" s="392"/>
      <c r="F22" s="392"/>
      <c r="G22" s="392"/>
      <c r="H22" s="392"/>
      <c r="I22" s="392"/>
      <c r="J22" s="393"/>
      <c r="K22" s="31"/>
    </row>
    <row r="23" spans="1:11" s="4" customFormat="1" ht="18.75" customHeight="1">
      <c r="A23" s="89"/>
      <c r="B23" s="391"/>
      <c r="C23" s="392"/>
      <c r="D23" s="392"/>
      <c r="E23" s="392"/>
      <c r="F23" s="392"/>
      <c r="G23" s="392"/>
      <c r="H23" s="392"/>
      <c r="I23" s="392"/>
      <c r="J23" s="393"/>
      <c r="K23" s="31"/>
    </row>
    <row r="24" spans="1:11" s="4" customFormat="1" ht="18.75" customHeight="1">
      <c r="A24" s="89"/>
      <c r="B24" s="391"/>
      <c r="C24" s="392"/>
      <c r="D24" s="392"/>
      <c r="E24" s="392"/>
      <c r="F24" s="392"/>
      <c r="G24" s="392"/>
      <c r="H24" s="392"/>
      <c r="I24" s="392"/>
      <c r="J24" s="393"/>
      <c r="K24" s="31"/>
    </row>
    <row r="25" spans="1:11" s="4" customFormat="1" ht="18.75" customHeight="1">
      <c r="A25" s="89"/>
      <c r="B25" s="394"/>
      <c r="C25" s="395"/>
      <c r="D25" s="395"/>
      <c r="E25" s="395"/>
      <c r="F25" s="395"/>
      <c r="G25" s="395"/>
      <c r="H25" s="395"/>
      <c r="I25" s="395"/>
      <c r="J25" s="396"/>
      <c r="K25" s="31"/>
    </row>
    <row r="26" spans="1:11" ht="7.5" customHeight="1">
      <c r="A26" s="38"/>
      <c r="B26" s="38"/>
      <c r="C26" s="38"/>
      <c r="D26" s="38"/>
      <c r="E26" s="38"/>
      <c r="F26" s="38"/>
      <c r="G26" s="38"/>
      <c r="H26" s="38"/>
      <c r="I26" s="38"/>
      <c r="J26" s="38"/>
    </row>
    <row r="27" spans="1:11" s="4" customFormat="1" ht="18.75" customHeight="1">
      <c r="A27" s="1" t="s">
        <v>357</v>
      </c>
      <c r="B27" s="1" t="s">
        <v>22</v>
      </c>
      <c r="C27" s="1"/>
      <c r="D27" s="1"/>
      <c r="E27" s="1"/>
      <c r="F27" s="1"/>
      <c r="G27" s="1"/>
      <c r="H27" s="1"/>
      <c r="I27" s="1"/>
      <c r="J27" s="1"/>
      <c r="K27" s="31"/>
    </row>
    <row r="28" spans="1:11" s="29" customFormat="1" ht="18.75" customHeight="1">
      <c r="B28" s="91" t="s">
        <v>105</v>
      </c>
      <c r="C28" s="92">
        <f>'[1]様式３　履修者等数の実績'!R30</f>
        <v>0.21299999999999999</v>
      </c>
      <c r="D28" s="93"/>
      <c r="E28" s="93" t="s">
        <v>106</v>
      </c>
      <c r="F28" s="92">
        <v>0.4</v>
      </c>
      <c r="G28" s="93"/>
      <c r="H28" s="93" t="s">
        <v>107</v>
      </c>
      <c r="I28" s="94">
        <v>0.6</v>
      </c>
      <c r="J28" s="95"/>
      <c r="K28" s="31"/>
    </row>
    <row r="29" spans="1:11" s="29" customFormat="1" ht="18.75" customHeight="1">
      <c r="B29" s="79" t="s">
        <v>108</v>
      </c>
      <c r="C29" s="96">
        <v>0.8</v>
      </c>
      <c r="D29" s="80"/>
      <c r="E29" s="80" t="s">
        <v>109</v>
      </c>
      <c r="F29" s="96">
        <v>1</v>
      </c>
      <c r="G29" s="80"/>
      <c r="H29" s="80" t="s">
        <v>110</v>
      </c>
      <c r="I29" s="97">
        <f>'[1]様式３　履修者等数の実績'!D30</f>
        <v>1000</v>
      </c>
      <c r="J29" s="98"/>
      <c r="K29" s="31"/>
    </row>
    <row r="30" spans="1:11" s="4" customFormat="1" ht="18.75" customHeight="1">
      <c r="A30" s="1"/>
      <c r="B30" s="227" t="s">
        <v>111</v>
      </c>
      <c r="C30" s="228"/>
      <c r="D30" s="228"/>
      <c r="E30" s="228"/>
      <c r="F30" s="228"/>
      <c r="G30" s="228"/>
      <c r="H30" s="228"/>
      <c r="I30" s="228"/>
      <c r="J30" s="229"/>
      <c r="K30" s="31"/>
    </row>
    <row r="31" spans="1:11" s="4" customFormat="1" ht="18.75" customHeight="1">
      <c r="A31" s="1"/>
      <c r="B31" s="375" t="s">
        <v>333</v>
      </c>
      <c r="C31" s="376"/>
      <c r="D31" s="376"/>
      <c r="E31" s="376"/>
      <c r="F31" s="376"/>
      <c r="G31" s="376"/>
      <c r="H31" s="376"/>
      <c r="I31" s="376"/>
      <c r="J31" s="377"/>
      <c r="K31" s="31" t="str">
        <f>IF(B31="","入力してください","")</f>
        <v/>
      </c>
    </row>
    <row r="32" spans="1:11" s="4" customFormat="1" ht="18.75" customHeight="1">
      <c r="A32" s="1"/>
      <c r="B32" s="378"/>
      <c r="C32" s="379"/>
      <c r="D32" s="379"/>
      <c r="E32" s="379"/>
      <c r="F32" s="379"/>
      <c r="G32" s="379"/>
      <c r="H32" s="379"/>
      <c r="I32" s="379"/>
      <c r="J32" s="380"/>
      <c r="K32" s="31"/>
    </row>
    <row r="33" spans="1:11" s="4" customFormat="1" ht="18.75" customHeight="1">
      <c r="A33" s="1"/>
      <c r="B33" s="378"/>
      <c r="C33" s="379"/>
      <c r="D33" s="379"/>
      <c r="E33" s="379"/>
      <c r="F33" s="379"/>
      <c r="G33" s="379"/>
      <c r="H33" s="379"/>
      <c r="I33" s="379"/>
      <c r="J33" s="380"/>
      <c r="K33" s="31"/>
    </row>
    <row r="34" spans="1:11" s="4" customFormat="1" ht="18.75" customHeight="1">
      <c r="A34" s="1"/>
      <c r="B34" s="378"/>
      <c r="C34" s="379"/>
      <c r="D34" s="379"/>
      <c r="E34" s="379"/>
      <c r="F34" s="379"/>
      <c r="G34" s="379"/>
      <c r="H34" s="379"/>
      <c r="I34" s="379"/>
      <c r="J34" s="380"/>
      <c r="K34" s="31"/>
    </row>
    <row r="35" spans="1:11" s="4" customFormat="1" ht="18.75" customHeight="1">
      <c r="A35" s="1"/>
      <c r="B35" s="378"/>
      <c r="C35" s="379"/>
      <c r="D35" s="379"/>
      <c r="E35" s="379"/>
      <c r="F35" s="379"/>
      <c r="G35" s="379"/>
      <c r="H35" s="379"/>
      <c r="I35" s="379"/>
      <c r="J35" s="380"/>
      <c r="K35" s="31"/>
    </row>
    <row r="36" spans="1:11" s="4" customFormat="1" ht="18.75" customHeight="1">
      <c r="A36" s="1"/>
      <c r="B36" s="378"/>
      <c r="C36" s="379"/>
      <c r="D36" s="379"/>
      <c r="E36" s="379"/>
      <c r="F36" s="379"/>
      <c r="G36" s="379"/>
      <c r="H36" s="379"/>
      <c r="I36" s="379"/>
      <c r="J36" s="380"/>
      <c r="K36" s="31"/>
    </row>
    <row r="37" spans="1:11" s="4" customFormat="1" ht="18.75" customHeight="1">
      <c r="A37" s="1"/>
      <c r="B37" s="378"/>
      <c r="C37" s="379"/>
      <c r="D37" s="379"/>
      <c r="E37" s="379"/>
      <c r="F37" s="379"/>
      <c r="G37" s="379"/>
      <c r="H37" s="379"/>
      <c r="I37" s="379"/>
      <c r="J37" s="380"/>
      <c r="K37" s="31"/>
    </row>
    <row r="38" spans="1:11" s="4" customFormat="1" ht="18.75" customHeight="1">
      <c r="A38" s="1"/>
      <c r="B38" s="378"/>
      <c r="C38" s="379"/>
      <c r="D38" s="379"/>
      <c r="E38" s="379"/>
      <c r="F38" s="379"/>
      <c r="G38" s="379"/>
      <c r="H38" s="379"/>
      <c r="I38" s="379"/>
      <c r="J38" s="380"/>
      <c r="K38" s="31"/>
    </row>
    <row r="39" spans="1:11" s="4" customFormat="1" ht="18.75" customHeight="1">
      <c r="A39" s="1"/>
      <c r="B39" s="378"/>
      <c r="C39" s="379"/>
      <c r="D39" s="379"/>
      <c r="E39" s="379"/>
      <c r="F39" s="379"/>
      <c r="G39" s="379"/>
      <c r="H39" s="379"/>
      <c r="I39" s="379"/>
      <c r="J39" s="380"/>
      <c r="K39" s="31"/>
    </row>
    <row r="40" spans="1:11" s="4" customFormat="1" ht="18.75" customHeight="1">
      <c r="A40" s="1"/>
      <c r="B40" s="378"/>
      <c r="C40" s="379"/>
      <c r="D40" s="379"/>
      <c r="E40" s="379"/>
      <c r="F40" s="379"/>
      <c r="G40" s="379"/>
      <c r="H40" s="379"/>
      <c r="I40" s="379"/>
      <c r="J40" s="380"/>
      <c r="K40" s="31"/>
    </row>
    <row r="41" spans="1:11" s="4" customFormat="1" ht="18.75" customHeight="1">
      <c r="A41" s="1"/>
      <c r="B41" s="378"/>
      <c r="C41" s="379"/>
      <c r="D41" s="379"/>
      <c r="E41" s="379"/>
      <c r="F41" s="379"/>
      <c r="G41" s="379"/>
      <c r="H41" s="379"/>
      <c r="I41" s="379"/>
      <c r="J41" s="380"/>
      <c r="K41" s="31"/>
    </row>
    <row r="42" spans="1:11" s="4" customFormat="1" ht="18.75" customHeight="1">
      <c r="A42" s="1"/>
      <c r="B42" s="378"/>
      <c r="C42" s="379"/>
      <c r="D42" s="379"/>
      <c r="E42" s="379"/>
      <c r="F42" s="379"/>
      <c r="G42" s="379"/>
      <c r="H42" s="379"/>
      <c r="I42" s="379"/>
      <c r="J42" s="380"/>
      <c r="K42" s="31"/>
    </row>
    <row r="43" spans="1:11" ht="18.75" customHeight="1">
      <c r="A43" s="38"/>
      <c r="B43" s="378"/>
      <c r="C43" s="379"/>
      <c r="D43" s="379"/>
      <c r="E43" s="379"/>
      <c r="F43" s="379"/>
      <c r="G43" s="379"/>
      <c r="H43" s="379"/>
      <c r="I43" s="379"/>
      <c r="J43" s="380"/>
    </row>
    <row r="44" spans="1:11" ht="18.75" customHeight="1">
      <c r="A44" s="38"/>
      <c r="B44" s="381"/>
      <c r="C44" s="382"/>
      <c r="D44" s="382"/>
      <c r="E44" s="382"/>
      <c r="F44" s="382"/>
      <c r="G44" s="382"/>
      <c r="H44" s="382"/>
      <c r="I44" s="382"/>
      <c r="J44" s="383"/>
    </row>
    <row r="45" spans="1:11" s="4" customFormat="1" ht="18.75" customHeight="1">
      <c r="A45" s="99" t="s">
        <v>358</v>
      </c>
      <c r="B45" s="1" t="s">
        <v>61</v>
      </c>
      <c r="C45" s="1"/>
      <c r="D45" s="1"/>
      <c r="E45" s="1"/>
      <c r="F45" s="1"/>
      <c r="G45" s="1"/>
      <c r="H45" s="1"/>
      <c r="I45" s="99"/>
      <c r="J45" s="99"/>
      <c r="K45" s="31"/>
    </row>
    <row r="46" spans="1:11" ht="18.75" customHeight="1">
      <c r="A46" s="38"/>
      <c r="B46" s="397" t="s">
        <v>334</v>
      </c>
      <c r="C46" s="398"/>
      <c r="D46" s="398"/>
      <c r="E46" s="398"/>
      <c r="F46" s="398"/>
      <c r="G46" s="398"/>
      <c r="H46" s="398"/>
      <c r="I46" s="388"/>
      <c r="J46" s="399"/>
      <c r="K46" s="31" t="str">
        <f>IF(B46="","入力してください","")</f>
        <v/>
      </c>
    </row>
    <row r="47" spans="1:11" ht="18.75" customHeight="1">
      <c r="A47" s="38"/>
      <c r="B47" s="378"/>
      <c r="C47" s="379"/>
      <c r="D47" s="379"/>
      <c r="E47" s="379"/>
      <c r="F47" s="379"/>
      <c r="G47" s="379"/>
      <c r="H47" s="379"/>
      <c r="I47" s="379"/>
      <c r="J47" s="380"/>
    </row>
    <row r="48" spans="1:11" ht="18.75" customHeight="1">
      <c r="A48" s="38"/>
      <c r="B48" s="378"/>
      <c r="C48" s="379"/>
      <c r="D48" s="379"/>
      <c r="E48" s="379"/>
      <c r="F48" s="379"/>
      <c r="G48" s="379"/>
      <c r="H48" s="379"/>
      <c r="I48" s="379"/>
      <c r="J48" s="380"/>
    </row>
    <row r="49" spans="1:10" ht="18.75" customHeight="1">
      <c r="A49" s="38"/>
      <c r="B49" s="378"/>
      <c r="C49" s="379"/>
      <c r="D49" s="379"/>
      <c r="E49" s="379"/>
      <c r="F49" s="379"/>
      <c r="G49" s="379"/>
      <c r="H49" s="379"/>
      <c r="I49" s="379"/>
      <c r="J49" s="380"/>
    </row>
    <row r="50" spans="1:10" ht="18.75" customHeight="1">
      <c r="A50" s="38"/>
      <c r="B50" s="378"/>
      <c r="C50" s="379"/>
      <c r="D50" s="379"/>
      <c r="E50" s="379"/>
      <c r="F50" s="379"/>
      <c r="G50" s="379"/>
      <c r="H50" s="379"/>
      <c r="I50" s="379"/>
      <c r="J50" s="380"/>
    </row>
    <row r="51" spans="1:10" ht="18.75" customHeight="1">
      <c r="A51" s="38"/>
      <c r="B51" s="378"/>
      <c r="C51" s="379"/>
      <c r="D51" s="379"/>
      <c r="E51" s="379"/>
      <c r="F51" s="379"/>
      <c r="G51" s="379"/>
      <c r="H51" s="379"/>
      <c r="I51" s="379"/>
      <c r="J51" s="380"/>
    </row>
    <row r="52" spans="1:10" ht="18.75" customHeight="1">
      <c r="A52" s="38"/>
      <c r="B52" s="378"/>
      <c r="C52" s="379"/>
      <c r="D52" s="379"/>
      <c r="E52" s="379"/>
      <c r="F52" s="379"/>
      <c r="G52" s="379"/>
      <c r="H52" s="379"/>
      <c r="I52" s="379"/>
      <c r="J52" s="380"/>
    </row>
    <row r="53" spans="1:10" ht="18.75" customHeight="1">
      <c r="A53" s="38"/>
      <c r="B53" s="378"/>
      <c r="C53" s="379"/>
      <c r="D53" s="379"/>
      <c r="E53" s="379"/>
      <c r="F53" s="379"/>
      <c r="G53" s="379"/>
      <c r="H53" s="379"/>
      <c r="I53" s="379"/>
      <c r="J53" s="380"/>
    </row>
    <row r="54" spans="1:10" ht="18.75" customHeight="1">
      <c r="A54" s="38"/>
      <c r="B54" s="378"/>
      <c r="C54" s="379"/>
      <c r="D54" s="379"/>
      <c r="E54" s="379"/>
      <c r="F54" s="379"/>
      <c r="G54" s="379"/>
      <c r="H54" s="379"/>
      <c r="I54" s="379"/>
      <c r="J54" s="380"/>
    </row>
    <row r="55" spans="1:10" ht="18.75" customHeight="1">
      <c r="A55" s="38"/>
      <c r="B55" s="378"/>
      <c r="C55" s="379"/>
      <c r="D55" s="379"/>
      <c r="E55" s="379"/>
      <c r="F55" s="379"/>
      <c r="G55" s="379"/>
      <c r="H55" s="379"/>
      <c r="I55" s="379"/>
      <c r="J55" s="380"/>
    </row>
    <row r="56" spans="1:10" ht="18.75" customHeight="1">
      <c r="A56" s="38"/>
      <c r="B56" s="378"/>
      <c r="C56" s="379"/>
      <c r="D56" s="379"/>
      <c r="E56" s="379"/>
      <c r="F56" s="379"/>
      <c r="G56" s="379"/>
      <c r="H56" s="379"/>
      <c r="I56" s="379"/>
      <c r="J56" s="380"/>
    </row>
    <row r="57" spans="1:10" ht="18.75" customHeight="1">
      <c r="A57" s="38"/>
      <c r="B57" s="378"/>
      <c r="C57" s="379"/>
      <c r="D57" s="379"/>
      <c r="E57" s="379"/>
      <c r="F57" s="379"/>
      <c r="G57" s="379"/>
      <c r="H57" s="379"/>
      <c r="I57" s="379"/>
      <c r="J57" s="380"/>
    </row>
    <row r="58" spans="1:10" ht="18.75" customHeight="1">
      <c r="A58" s="38"/>
      <c r="B58" s="378"/>
      <c r="C58" s="379"/>
      <c r="D58" s="379"/>
      <c r="E58" s="379"/>
      <c r="F58" s="379"/>
      <c r="G58" s="379"/>
      <c r="H58" s="379"/>
      <c r="I58" s="379"/>
      <c r="J58" s="380"/>
    </row>
    <row r="59" spans="1:10" ht="18.75" customHeight="1">
      <c r="A59" s="38"/>
      <c r="B59" s="378"/>
      <c r="C59" s="379"/>
      <c r="D59" s="379"/>
      <c r="E59" s="379"/>
      <c r="F59" s="379"/>
      <c r="G59" s="379"/>
      <c r="H59" s="379"/>
      <c r="I59" s="379"/>
      <c r="J59" s="380"/>
    </row>
    <row r="60" spans="1:10" ht="18.75" customHeight="1">
      <c r="A60" s="38"/>
      <c r="B60" s="378"/>
      <c r="C60" s="379"/>
      <c r="D60" s="379"/>
      <c r="E60" s="379"/>
      <c r="F60" s="379"/>
      <c r="G60" s="379"/>
      <c r="H60" s="379"/>
      <c r="I60" s="379"/>
      <c r="J60" s="380"/>
    </row>
    <row r="61" spans="1:10" ht="18.75" customHeight="1">
      <c r="A61" s="38"/>
      <c r="B61" s="378"/>
      <c r="C61" s="379"/>
      <c r="D61" s="379"/>
      <c r="E61" s="379"/>
      <c r="F61" s="379"/>
      <c r="G61" s="379"/>
      <c r="H61" s="379"/>
      <c r="I61" s="379"/>
      <c r="J61" s="380"/>
    </row>
    <row r="62" spans="1:10" ht="18.75" customHeight="1">
      <c r="A62" s="38"/>
      <c r="B62" s="378"/>
      <c r="C62" s="379"/>
      <c r="D62" s="379"/>
      <c r="E62" s="379"/>
      <c r="F62" s="379"/>
      <c r="G62" s="379"/>
      <c r="H62" s="379"/>
      <c r="I62" s="379"/>
      <c r="J62" s="380"/>
    </row>
    <row r="63" spans="1:10" ht="18.75" customHeight="1">
      <c r="A63" s="38"/>
      <c r="B63" s="378"/>
      <c r="C63" s="379"/>
      <c r="D63" s="379"/>
      <c r="E63" s="379"/>
      <c r="F63" s="379"/>
      <c r="G63" s="379"/>
      <c r="H63" s="379"/>
      <c r="I63" s="379"/>
      <c r="J63" s="380"/>
    </row>
    <row r="64" spans="1:10" ht="18.75" customHeight="1">
      <c r="A64" s="38"/>
      <c r="B64" s="378"/>
      <c r="C64" s="379"/>
      <c r="D64" s="379"/>
      <c r="E64" s="379"/>
      <c r="F64" s="379"/>
      <c r="G64" s="379"/>
      <c r="H64" s="379"/>
      <c r="I64" s="379"/>
      <c r="J64" s="380"/>
    </row>
    <row r="65" spans="1:11" ht="18.75" customHeight="1">
      <c r="A65" s="38"/>
      <c r="B65" s="378"/>
      <c r="C65" s="379"/>
      <c r="D65" s="379"/>
      <c r="E65" s="379"/>
      <c r="F65" s="379"/>
      <c r="G65" s="379"/>
      <c r="H65" s="379"/>
      <c r="I65" s="379"/>
      <c r="J65" s="380"/>
    </row>
    <row r="66" spans="1:11" ht="18.75" customHeight="1">
      <c r="A66" s="38"/>
      <c r="B66" s="381"/>
      <c r="C66" s="382"/>
      <c r="D66" s="382"/>
      <c r="E66" s="382"/>
      <c r="F66" s="382"/>
      <c r="G66" s="382"/>
      <c r="H66" s="382"/>
      <c r="I66" s="382"/>
      <c r="J66" s="383"/>
    </row>
    <row r="67" spans="1:11" ht="7.5" customHeight="1">
      <c r="A67" s="38"/>
      <c r="B67" s="38"/>
      <c r="C67" s="38"/>
      <c r="D67" s="38"/>
      <c r="E67" s="38"/>
      <c r="F67" s="38"/>
      <c r="G67" s="38"/>
      <c r="H67" s="38"/>
      <c r="I67" s="38"/>
      <c r="J67" s="38"/>
    </row>
    <row r="68" spans="1:11" s="4" customFormat="1" ht="18.75" customHeight="1">
      <c r="A68" s="1" t="s">
        <v>359</v>
      </c>
      <c r="B68" s="1" t="s">
        <v>67</v>
      </c>
      <c r="C68" s="1"/>
      <c r="D68" s="1"/>
      <c r="E68" s="1"/>
      <c r="F68" s="1"/>
      <c r="G68" s="1"/>
      <c r="H68" s="1"/>
      <c r="I68" s="1"/>
      <c r="J68" s="1"/>
      <c r="K68" s="31"/>
    </row>
    <row r="69" spans="1:11" s="4" customFormat="1" ht="18.75" customHeight="1">
      <c r="A69" s="1"/>
      <c r="B69" s="397" t="s">
        <v>360</v>
      </c>
      <c r="C69" s="398"/>
      <c r="D69" s="398"/>
      <c r="E69" s="398"/>
      <c r="F69" s="398"/>
      <c r="G69" s="398"/>
      <c r="H69" s="398"/>
      <c r="I69" s="389"/>
      <c r="J69" s="390"/>
      <c r="K69" s="31" t="str">
        <f>IF(B69="","入力してください","")</f>
        <v/>
      </c>
    </row>
    <row r="70" spans="1:11" s="4" customFormat="1" ht="18.75" customHeight="1">
      <c r="A70" s="1"/>
      <c r="B70" s="391"/>
      <c r="C70" s="392"/>
      <c r="D70" s="392"/>
      <c r="E70" s="392"/>
      <c r="F70" s="392"/>
      <c r="G70" s="392"/>
      <c r="H70" s="392"/>
      <c r="I70" s="392"/>
      <c r="J70" s="393"/>
      <c r="K70" s="31"/>
    </row>
    <row r="71" spans="1:11" s="4" customFormat="1" ht="18.75" customHeight="1">
      <c r="A71" s="1"/>
      <c r="B71" s="391"/>
      <c r="C71" s="392"/>
      <c r="D71" s="392"/>
      <c r="E71" s="392"/>
      <c r="F71" s="392"/>
      <c r="G71" s="392"/>
      <c r="H71" s="392"/>
      <c r="I71" s="392"/>
      <c r="J71" s="393"/>
      <c r="K71" s="31"/>
    </row>
    <row r="72" spans="1:11" s="4" customFormat="1" ht="18.75" customHeight="1">
      <c r="A72" s="1"/>
      <c r="B72" s="391"/>
      <c r="C72" s="392"/>
      <c r="D72" s="392"/>
      <c r="E72" s="392"/>
      <c r="F72" s="392"/>
      <c r="G72" s="392"/>
      <c r="H72" s="392"/>
      <c r="I72" s="392"/>
      <c r="J72" s="393"/>
      <c r="K72" s="31"/>
    </row>
    <row r="73" spans="1:11" s="4" customFormat="1" ht="18.75" customHeight="1">
      <c r="A73" s="1"/>
      <c r="B73" s="391"/>
      <c r="C73" s="392"/>
      <c r="D73" s="392"/>
      <c r="E73" s="392"/>
      <c r="F73" s="392"/>
      <c r="G73" s="392"/>
      <c r="H73" s="392"/>
      <c r="I73" s="392"/>
      <c r="J73" s="393"/>
      <c r="K73" s="31"/>
    </row>
    <row r="74" spans="1:11" s="4" customFormat="1" ht="18.75" customHeight="1">
      <c r="A74" s="1"/>
      <c r="B74" s="391"/>
      <c r="C74" s="392"/>
      <c r="D74" s="392"/>
      <c r="E74" s="392"/>
      <c r="F74" s="392"/>
      <c r="G74" s="392"/>
      <c r="H74" s="392"/>
      <c r="I74" s="392"/>
      <c r="J74" s="393"/>
      <c r="K74" s="31"/>
    </row>
    <row r="75" spans="1:11" s="4" customFormat="1" ht="18.75" customHeight="1">
      <c r="A75" s="1"/>
      <c r="B75" s="391"/>
      <c r="C75" s="392"/>
      <c r="D75" s="392"/>
      <c r="E75" s="392"/>
      <c r="F75" s="392"/>
      <c r="G75" s="392"/>
      <c r="H75" s="392"/>
      <c r="I75" s="392"/>
      <c r="J75" s="393"/>
      <c r="K75" s="31"/>
    </row>
    <row r="76" spans="1:11" s="4" customFormat="1" ht="18.75" customHeight="1">
      <c r="A76" s="1"/>
      <c r="B76" s="391"/>
      <c r="C76" s="392"/>
      <c r="D76" s="392"/>
      <c r="E76" s="392"/>
      <c r="F76" s="392"/>
      <c r="G76" s="392"/>
      <c r="H76" s="392"/>
      <c r="I76" s="392"/>
      <c r="J76" s="393"/>
      <c r="K76" s="31"/>
    </row>
    <row r="77" spans="1:11" s="4" customFormat="1" ht="18.75" customHeight="1">
      <c r="A77" s="1"/>
      <c r="B77" s="391"/>
      <c r="C77" s="392"/>
      <c r="D77" s="392"/>
      <c r="E77" s="392"/>
      <c r="F77" s="392"/>
      <c r="G77" s="392"/>
      <c r="H77" s="392"/>
      <c r="I77" s="392"/>
      <c r="J77" s="393"/>
      <c r="K77" s="31"/>
    </row>
    <row r="78" spans="1:11" s="4" customFormat="1" ht="18.75" customHeight="1">
      <c r="A78" s="1"/>
      <c r="B78" s="391"/>
      <c r="C78" s="392"/>
      <c r="D78" s="392"/>
      <c r="E78" s="392"/>
      <c r="F78" s="392"/>
      <c r="G78" s="392"/>
      <c r="H78" s="392"/>
      <c r="I78" s="392"/>
      <c r="J78" s="393"/>
      <c r="K78" s="31"/>
    </row>
    <row r="79" spans="1:11" s="4" customFormat="1" ht="18.75" customHeight="1">
      <c r="A79" s="1"/>
      <c r="B79" s="391"/>
      <c r="C79" s="392"/>
      <c r="D79" s="392"/>
      <c r="E79" s="392"/>
      <c r="F79" s="392"/>
      <c r="G79" s="392"/>
      <c r="H79" s="392"/>
      <c r="I79" s="392"/>
      <c r="J79" s="393"/>
      <c r="K79" s="31"/>
    </row>
    <row r="80" spans="1:11" s="4" customFormat="1" ht="18.75" customHeight="1">
      <c r="A80" s="1"/>
      <c r="B80" s="391"/>
      <c r="C80" s="392"/>
      <c r="D80" s="392"/>
      <c r="E80" s="392"/>
      <c r="F80" s="392"/>
      <c r="G80" s="392"/>
      <c r="H80" s="392"/>
      <c r="I80" s="392"/>
      <c r="J80" s="393"/>
      <c r="K80" s="31"/>
    </row>
    <row r="81" spans="1:11" s="4" customFormat="1" ht="18.75" customHeight="1">
      <c r="A81" s="1"/>
      <c r="B81" s="391"/>
      <c r="C81" s="392"/>
      <c r="D81" s="392"/>
      <c r="E81" s="392"/>
      <c r="F81" s="392"/>
      <c r="G81" s="392"/>
      <c r="H81" s="392"/>
      <c r="I81" s="392"/>
      <c r="J81" s="393"/>
      <c r="K81" s="31"/>
    </row>
    <row r="82" spans="1:11" s="4" customFormat="1" ht="18.75" customHeight="1">
      <c r="A82" s="1"/>
      <c r="B82" s="391"/>
      <c r="C82" s="392"/>
      <c r="D82" s="392"/>
      <c r="E82" s="392"/>
      <c r="F82" s="392"/>
      <c r="G82" s="392"/>
      <c r="H82" s="392"/>
      <c r="I82" s="392"/>
      <c r="J82" s="393"/>
      <c r="K82" s="31"/>
    </row>
    <row r="83" spans="1:11" s="4" customFormat="1" ht="18.75" customHeight="1">
      <c r="A83" s="1"/>
      <c r="B83" s="391"/>
      <c r="C83" s="392"/>
      <c r="D83" s="392"/>
      <c r="E83" s="392"/>
      <c r="F83" s="392"/>
      <c r="G83" s="392"/>
      <c r="H83" s="392"/>
      <c r="I83" s="392"/>
      <c r="J83" s="393"/>
      <c r="K83" s="31"/>
    </row>
    <row r="84" spans="1:11" s="4" customFormat="1" ht="18.75" customHeight="1">
      <c r="A84" s="1"/>
      <c r="B84" s="391"/>
      <c r="C84" s="392"/>
      <c r="D84" s="392"/>
      <c r="E84" s="392"/>
      <c r="F84" s="392"/>
      <c r="G84" s="392"/>
      <c r="H84" s="392"/>
      <c r="I84" s="392"/>
      <c r="J84" s="393"/>
      <c r="K84" s="31"/>
    </row>
    <row r="85" spans="1:11" ht="18.75" customHeight="1">
      <c r="A85" s="38"/>
      <c r="B85" s="391"/>
      <c r="C85" s="392"/>
      <c r="D85" s="392"/>
      <c r="E85" s="392"/>
      <c r="F85" s="392"/>
      <c r="G85" s="392"/>
      <c r="H85" s="392"/>
      <c r="I85" s="392"/>
      <c r="J85" s="393"/>
    </row>
    <row r="86" spans="1:11" ht="18.75" customHeight="1">
      <c r="A86" s="38"/>
      <c r="B86" s="394"/>
      <c r="C86" s="395"/>
      <c r="D86" s="395"/>
      <c r="E86" s="395"/>
      <c r="F86" s="395"/>
      <c r="G86" s="395"/>
      <c r="H86" s="395"/>
      <c r="I86" s="395"/>
      <c r="J86" s="396"/>
    </row>
    <row r="87" spans="1:11" ht="7.5" customHeight="1">
      <c r="A87" s="38"/>
      <c r="B87" s="38"/>
      <c r="C87" s="38"/>
      <c r="D87" s="38"/>
      <c r="E87" s="38"/>
      <c r="F87" s="38"/>
      <c r="G87" s="38"/>
      <c r="H87" s="38"/>
      <c r="I87" s="38"/>
      <c r="J87" s="38"/>
    </row>
    <row r="88" spans="1:11" s="4" customFormat="1" ht="18.75" customHeight="1">
      <c r="A88" s="1" t="s">
        <v>361</v>
      </c>
      <c r="B88" s="1" t="s">
        <v>23</v>
      </c>
      <c r="C88" s="1"/>
      <c r="D88" s="1"/>
      <c r="E88" s="1"/>
      <c r="F88" s="1"/>
      <c r="G88" s="1"/>
      <c r="H88" s="1"/>
      <c r="I88" s="1"/>
      <c r="J88" s="1"/>
      <c r="K88" s="31"/>
    </row>
    <row r="89" spans="1:11" s="4" customFormat="1" ht="18.75" customHeight="1">
      <c r="A89" s="1"/>
      <c r="B89" s="397" t="s">
        <v>335</v>
      </c>
      <c r="C89" s="398"/>
      <c r="D89" s="398"/>
      <c r="E89" s="398"/>
      <c r="F89" s="398"/>
      <c r="G89" s="398"/>
      <c r="H89" s="398"/>
      <c r="I89" s="389"/>
      <c r="J89" s="390"/>
      <c r="K89" s="31"/>
    </row>
    <row r="90" spans="1:11" s="4" customFormat="1" ht="18.75" customHeight="1">
      <c r="A90" s="1"/>
      <c r="B90" s="391"/>
      <c r="C90" s="392"/>
      <c r="D90" s="392"/>
      <c r="E90" s="392"/>
      <c r="F90" s="392"/>
      <c r="G90" s="392"/>
      <c r="H90" s="392"/>
      <c r="I90" s="392"/>
      <c r="J90" s="393"/>
      <c r="K90" s="31"/>
    </row>
    <row r="91" spans="1:11" s="4" customFormat="1" ht="18.75" customHeight="1">
      <c r="A91" s="1"/>
      <c r="B91" s="391"/>
      <c r="C91" s="392"/>
      <c r="D91" s="392"/>
      <c r="E91" s="392"/>
      <c r="F91" s="392"/>
      <c r="G91" s="392"/>
      <c r="H91" s="392"/>
      <c r="I91" s="392"/>
      <c r="J91" s="393"/>
      <c r="K91" s="31" t="str">
        <f>IF(B89="","入力してください","")</f>
        <v/>
      </c>
    </row>
    <row r="92" spans="1:11" s="4" customFormat="1" ht="18.75" customHeight="1">
      <c r="A92" s="1"/>
      <c r="B92" s="391"/>
      <c r="C92" s="392"/>
      <c r="D92" s="392"/>
      <c r="E92" s="392"/>
      <c r="F92" s="392"/>
      <c r="G92" s="392"/>
      <c r="H92" s="392"/>
      <c r="I92" s="392"/>
      <c r="J92" s="393"/>
      <c r="K92" s="31"/>
    </row>
    <row r="93" spans="1:11" s="4" customFormat="1" ht="18.75" customHeight="1">
      <c r="A93" s="1"/>
      <c r="B93" s="391"/>
      <c r="C93" s="392"/>
      <c r="D93" s="392"/>
      <c r="E93" s="392"/>
      <c r="F93" s="392"/>
      <c r="G93" s="392"/>
      <c r="H93" s="392"/>
      <c r="I93" s="392"/>
      <c r="J93" s="393"/>
      <c r="K93" s="31"/>
    </row>
    <row r="94" spans="1:11" s="4" customFormat="1" ht="18.75" customHeight="1">
      <c r="A94" s="1"/>
      <c r="B94" s="391"/>
      <c r="C94" s="392"/>
      <c r="D94" s="392"/>
      <c r="E94" s="392"/>
      <c r="F94" s="392"/>
      <c r="G94" s="392"/>
      <c r="H94" s="392"/>
      <c r="I94" s="392"/>
      <c r="J94" s="393"/>
      <c r="K94" s="31"/>
    </row>
    <row r="95" spans="1:11" s="4" customFormat="1" ht="18.75" customHeight="1">
      <c r="A95" s="1"/>
      <c r="B95" s="391"/>
      <c r="C95" s="392"/>
      <c r="D95" s="392"/>
      <c r="E95" s="392"/>
      <c r="F95" s="392"/>
      <c r="G95" s="392"/>
      <c r="H95" s="392"/>
      <c r="I95" s="392"/>
      <c r="J95" s="393"/>
      <c r="K95" s="31"/>
    </row>
    <row r="96" spans="1:11" s="4" customFormat="1" ht="18.75" customHeight="1">
      <c r="A96" s="1"/>
      <c r="B96" s="391"/>
      <c r="C96" s="392"/>
      <c r="D96" s="392"/>
      <c r="E96" s="392"/>
      <c r="F96" s="392"/>
      <c r="G96" s="392"/>
      <c r="H96" s="392"/>
      <c r="I96" s="392"/>
      <c r="J96" s="393"/>
      <c r="K96" s="31"/>
    </row>
    <row r="97" spans="1:11" s="4" customFormat="1" ht="18.75" customHeight="1">
      <c r="A97" s="1"/>
      <c r="B97" s="391"/>
      <c r="C97" s="392"/>
      <c r="D97" s="392"/>
      <c r="E97" s="392"/>
      <c r="F97" s="392"/>
      <c r="G97" s="392"/>
      <c r="H97" s="392"/>
      <c r="I97" s="392"/>
      <c r="J97" s="393"/>
      <c r="K97" s="31"/>
    </row>
    <row r="98" spans="1:11" s="4" customFormat="1" ht="18.75" customHeight="1">
      <c r="A98" s="1"/>
      <c r="B98" s="391"/>
      <c r="C98" s="392"/>
      <c r="D98" s="392"/>
      <c r="E98" s="392"/>
      <c r="F98" s="392"/>
      <c r="G98" s="392"/>
      <c r="H98" s="392"/>
      <c r="I98" s="392"/>
      <c r="J98" s="393"/>
      <c r="K98" s="31"/>
    </row>
    <row r="99" spans="1:11" s="4" customFormat="1" ht="18.75" customHeight="1">
      <c r="A99" s="1"/>
      <c r="B99" s="391"/>
      <c r="C99" s="392"/>
      <c r="D99" s="392"/>
      <c r="E99" s="392"/>
      <c r="F99" s="392"/>
      <c r="G99" s="392"/>
      <c r="H99" s="392"/>
      <c r="I99" s="392"/>
      <c r="J99" s="393"/>
      <c r="K99" s="31"/>
    </row>
    <row r="100" spans="1:11" s="4" customFormat="1" ht="18.75" customHeight="1">
      <c r="A100" s="1"/>
      <c r="B100" s="391"/>
      <c r="C100" s="392"/>
      <c r="D100" s="392"/>
      <c r="E100" s="392"/>
      <c r="F100" s="392"/>
      <c r="G100" s="392"/>
      <c r="H100" s="392"/>
      <c r="I100" s="392"/>
      <c r="J100" s="393"/>
      <c r="K100" s="31"/>
    </row>
    <row r="101" spans="1:11" s="4" customFormat="1" ht="18.75" customHeight="1">
      <c r="A101" s="1"/>
      <c r="B101" s="391"/>
      <c r="C101" s="392"/>
      <c r="D101" s="392"/>
      <c r="E101" s="392"/>
      <c r="F101" s="392"/>
      <c r="G101" s="392"/>
      <c r="H101" s="392"/>
      <c r="I101" s="392"/>
      <c r="J101" s="393"/>
      <c r="K101" s="31"/>
    </row>
    <row r="102" spans="1:11" s="4" customFormat="1" ht="18.75" customHeight="1">
      <c r="A102" s="1"/>
      <c r="B102" s="391"/>
      <c r="C102" s="392"/>
      <c r="D102" s="392"/>
      <c r="E102" s="392"/>
      <c r="F102" s="392"/>
      <c r="G102" s="392"/>
      <c r="H102" s="392"/>
      <c r="I102" s="392"/>
      <c r="J102" s="393"/>
      <c r="K102" s="31"/>
    </row>
    <row r="103" spans="1:11" s="4" customFormat="1" ht="18.75" customHeight="1">
      <c r="A103" s="1"/>
      <c r="B103" s="391"/>
      <c r="C103" s="392"/>
      <c r="D103" s="392"/>
      <c r="E103" s="392"/>
      <c r="F103" s="392"/>
      <c r="G103" s="392"/>
      <c r="H103" s="392"/>
      <c r="I103" s="392"/>
      <c r="J103" s="393"/>
      <c r="K103" s="31"/>
    </row>
    <row r="104" spans="1:11" s="4" customFormat="1" ht="18.75" customHeight="1">
      <c r="A104" s="1"/>
      <c r="B104" s="391"/>
      <c r="C104" s="392"/>
      <c r="D104" s="392"/>
      <c r="E104" s="392"/>
      <c r="F104" s="392"/>
      <c r="G104" s="392"/>
      <c r="H104" s="392"/>
      <c r="I104" s="392"/>
      <c r="J104" s="393"/>
      <c r="K104" s="31"/>
    </row>
    <row r="105" spans="1:11" s="4" customFormat="1" ht="18.75" customHeight="1">
      <c r="A105" s="1"/>
      <c r="B105" s="391"/>
      <c r="C105" s="392"/>
      <c r="D105" s="392"/>
      <c r="E105" s="392"/>
      <c r="F105" s="392"/>
      <c r="G105" s="392"/>
      <c r="H105" s="392"/>
      <c r="I105" s="392"/>
      <c r="J105" s="393"/>
      <c r="K105" s="31"/>
    </row>
    <row r="106" spans="1:11" s="4" customFormat="1" ht="18.75" customHeight="1">
      <c r="A106" s="1"/>
      <c r="B106" s="391"/>
      <c r="C106" s="392"/>
      <c r="D106" s="392"/>
      <c r="E106" s="392"/>
      <c r="F106" s="392"/>
      <c r="G106" s="392"/>
      <c r="H106" s="392"/>
      <c r="I106" s="392"/>
      <c r="J106" s="393"/>
      <c r="K106" s="31"/>
    </row>
    <row r="107" spans="1:11" ht="18.75" customHeight="1">
      <c r="A107" s="38"/>
      <c r="B107" s="391"/>
      <c r="C107" s="392"/>
      <c r="D107" s="392"/>
      <c r="E107" s="392"/>
      <c r="F107" s="392"/>
      <c r="G107" s="392"/>
      <c r="H107" s="392"/>
      <c r="I107" s="392"/>
      <c r="J107" s="393"/>
    </row>
    <row r="108" spans="1:11" ht="18.75" customHeight="1">
      <c r="A108" s="38"/>
      <c r="B108" s="394"/>
      <c r="C108" s="395"/>
      <c r="D108" s="395"/>
      <c r="E108" s="395"/>
      <c r="F108" s="395"/>
      <c r="G108" s="395"/>
      <c r="H108" s="395"/>
      <c r="I108" s="395"/>
      <c r="J108" s="396"/>
    </row>
    <row r="109" spans="1:11" ht="7.5" customHeight="1">
      <c r="A109" s="38"/>
      <c r="B109" s="38"/>
      <c r="C109" s="38"/>
      <c r="D109" s="38"/>
      <c r="E109" s="38"/>
      <c r="F109" s="38"/>
      <c r="G109" s="38"/>
      <c r="H109" s="38"/>
      <c r="I109" s="38"/>
      <c r="J109" s="38"/>
    </row>
    <row r="110" spans="1:11" s="4" customFormat="1" ht="18.75" customHeight="1">
      <c r="A110" s="1" t="s">
        <v>362</v>
      </c>
      <c r="B110" s="400" t="s">
        <v>77</v>
      </c>
      <c r="C110" s="400"/>
      <c r="D110" s="400"/>
      <c r="E110" s="400"/>
      <c r="F110" s="400"/>
      <c r="G110" s="400"/>
      <c r="H110" s="400"/>
      <c r="I110" s="400"/>
      <c r="J110" s="400"/>
      <c r="K110" s="31"/>
    </row>
    <row r="111" spans="1:11" ht="18.75" customHeight="1">
      <c r="A111" s="38"/>
      <c r="B111" s="397" t="s">
        <v>336</v>
      </c>
      <c r="C111" s="398"/>
      <c r="D111" s="398"/>
      <c r="E111" s="398"/>
      <c r="F111" s="398"/>
      <c r="G111" s="398"/>
      <c r="H111" s="398"/>
      <c r="I111" s="389"/>
      <c r="J111" s="390"/>
    </row>
    <row r="112" spans="1:11" ht="18.75" customHeight="1">
      <c r="A112" s="38"/>
      <c r="B112" s="391"/>
      <c r="C112" s="392"/>
      <c r="D112" s="392"/>
      <c r="E112" s="392"/>
      <c r="F112" s="392"/>
      <c r="G112" s="392"/>
      <c r="H112" s="392"/>
      <c r="I112" s="392"/>
      <c r="J112" s="393"/>
    </row>
    <row r="113" spans="1:11" ht="18.75" customHeight="1">
      <c r="A113" s="38"/>
      <c r="B113" s="391"/>
      <c r="C113" s="392"/>
      <c r="D113" s="392"/>
      <c r="E113" s="392"/>
      <c r="F113" s="392"/>
      <c r="G113" s="392"/>
      <c r="H113" s="392"/>
      <c r="I113" s="392"/>
      <c r="J113" s="393"/>
      <c r="K113" s="31" t="str">
        <f>IF(B111="","入力してください","")</f>
        <v/>
      </c>
    </row>
    <row r="114" spans="1:11" ht="18.75" customHeight="1">
      <c r="A114" s="38"/>
      <c r="B114" s="391"/>
      <c r="C114" s="392"/>
      <c r="D114" s="392"/>
      <c r="E114" s="392"/>
      <c r="F114" s="392"/>
      <c r="G114" s="392"/>
      <c r="H114" s="392"/>
      <c r="I114" s="392"/>
      <c r="J114" s="393"/>
    </row>
    <row r="115" spans="1:11" ht="18.75" customHeight="1">
      <c r="A115" s="38"/>
      <c r="B115" s="391"/>
      <c r="C115" s="392"/>
      <c r="D115" s="392"/>
      <c r="E115" s="392"/>
      <c r="F115" s="392"/>
      <c r="G115" s="392"/>
      <c r="H115" s="392"/>
      <c r="I115" s="392"/>
      <c r="J115" s="393"/>
    </row>
    <row r="116" spans="1:11" ht="18.75" customHeight="1">
      <c r="A116" s="38"/>
      <c r="B116" s="391"/>
      <c r="C116" s="392"/>
      <c r="D116" s="392"/>
      <c r="E116" s="392"/>
      <c r="F116" s="392"/>
      <c r="G116" s="392"/>
      <c r="H116" s="392"/>
      <c r="I116" s="392"/>
      <c r="J116" s="393"/>
    </row>
    <row r="117" spans="1:11" ht="18.75" customHeight="1">
      <c r="A117" s="38"/>
      <c r="B117" s="391"/>
      <c r="C117" s="392"/>
      <c r="D117" s="392"/>
      <c r="E117" s="392"/>
      <c r="F117" s="392"/>
      <c r="G117" s="392"/>
      <c r="H117" s="392"/>
      <c r="I117" s="392"/>
      <c r="J117" s="393"/>
    </row>
    <row r="118" spans="1:11" ht="18.75" customHeight="1">
      <c r="A118" s="38"/>
      <c r="B118" s="391"/>
      <c r="C118" s="392"/>
      <c r="D118" s="392"/>
      <c r="E118" s="392"/>
      <c r="F118" s="392"/>
      <c r="G118" s="392"/>
      <c r="H118" s="392"/>
      <c r="I118" s="392"/>
      <c r="J118" s="393"/>
    </row>
    <row r="119" spans="1:11" ht="18.75" customHeight="1">
      <c r="A119" s="38"/>
      <c r="B119" s="391"/>
      <c r="C119" s="392"/>
      <c r="D119" s="392"/>
      <c r="E119" s="392"/>
      <c r="F119" s="392"/>
      <c r="G119" s="392"/>
      <c r="H119" s="392"/>
      <c r="I119" s="392"/>
      <c r="J119" s="393"/>
    </row>
    <row r="120" spans="1:11" ht="18.75" customHeight="1">
      <c r="A120" s="38"/>
      <c r="B120" s="391"/>
      <c r="C120" s="392"/>
      <c r="D120" s="392"/>
      <c r="E120" s="392"/>
      <c r="F120" s="392"/>
      <c r="G120" s="392"/>
      <c r="H120" s="392"/>
      <c r="I120" s="392"/>
      <c r="J120" s="393"/>
    </row>
    <row r="121" spans="1:11" ht="18.75" customHeight="1">
      <c r="A121" s="38"/>
      <c r="B121" s="391"/>
      <c r="C121" s="392"/>
      <c r="D121" s="392"/>
      <c r="E121" s="392"/>
      <c r="F121" s="392"/>
      <c r="G121" s="392"/>
      <c r="H121" s="392"/>
      <c r="I121" s="392"/>
      <c r="J121" s="393"/>
    </row>
    <row r="122" spans="1:11" ht="18.75" customHeight="1">
      <c r="A122" s="38"/>
      <c r="B122" s="391"/>
      <c r="C122" s="392"/>
      <c r="D122" s="392"/>
      <c r="E122" s="392"/>
      <c r="F122" s="392"/>
      <c r="G122" s="392"/>
      <c r="H122" s="392"/>
      <c r="I122" s="392"/>
      <c r="J122" s="393"/>
    </row>
    <row r="123" spans="1:11" ht="18.75" customHeight="1">
      <c r="A123" s="38"/>
      <c r="B123" s="391"/>
      <c r="C123" s="392"/>
      <c r="D123" s="392"/>
      <c r="E123" s="392"/>
      <c r="F123" s="392"/>
      <c r="G123" s="392"/>
      <c r="H123" s="392"/>
      <c r="I123" s="392"/>
      <c r="J123" s="393"/>
    </row>
    <row r="124" spans="1:11" ht="18.75" customHeight="1">
      <c r="A124" s="38"/>
      <c r="B124" s="391"/>
      <c r="C124" s="392"/>
      <c r="D124" s="392"/>
      <c r="E124" s="392"/>
      <c r="F124" s="392"/>
      <c r="G124" s="392"/>
      <c r="H124" s="392"/>
      <c r="I124" s="392"/>
      <c r="J124" s="393"/>
    </row>
    <row r="125" spans="1:11" ht="18.75" customHeight="1">
      <c r="A125" s="38"/>
      <c r="B125" s="391"/>
      <c r="C125" s="392"/>
      <c r="D125" s="392"/>
      <c r="E125" s="392"/>
      <c r="F125" s="392"/>
      <c r="G125" s="392"/>
      <c r="H125" s="392"/>
      <c r="I125" s="392"/>
      <c r="J125" s="393"/>
    </row>
    <row r="126" spans="1:11" ht="18.75" customHeight="1">
      <c r="A126" s="38"/>
      <c r="B126" s="391"/>
      <c r="C126" s="392"/>
      <c r="D126" s="392"/>
      <c r="E126" s="392"/>
      <c r="F126" s="392"/>
      <c r="G126" s="392"/>
      <c r="H126" s="392"/>
      <c r="I126" s="392"/>
      <c r="J126" s="393"/>
    </row>
    <row r="127" spans="1:11" ht="18.75" customHeight="1">
      <c r="A127" s="38"/>
      <c r="B127" s="391"/>
      <c r="C127" s="392"/>
      <c r="D127" s="392"/>
      <c r="E127" s="392"/>
      <c r="F127" s="392"/>
      <c r="G127" s="392"/>
      <c r="H127" s="392"/>
      <c r="I127" s="392"/>
      <c r="J127" s="393"/>
    </row>
    <row r="128" spans="1:11" ht="18.75" customHeight="1">
      <c r="A128" s="38"/>
      <c r="B128" s="391"/>
      <c r="C128" s="392"/>
      <c r="D128" s="392"/>
      <c r="E128" s="392"/>
      <c r="F128" s="392"/>
      <c r="G128" s="392"/>
      <c r="H128" s="392"/>
      <c r="I128" s="392"/>
      <c r="J128" s="393"/>
    </row>
    <row r="129" spans="1:10" ht="18.75" customHeight="1">
      <c r="A129" s="38"/>
      <c r="B129" s="394"/>
      <c r="C129" s="395"/>
      <c r="D129" s="395"/>
      <c r="E129" s="395"/>
      <c r="F129" s="395"/>
      <c r="G129" s="395"/>
      <c r="H129" s="395"/>
      <c r="I129" s="395"/>
      <c r="J129" s="396"/>
    </row>
    <row r="130" spans="1:10" ht="7.5" customHeight="1">
      <c r="A130" s="38"/>
      <c r="B130" s="100"/>
      <c r="C130" s="100"/>
      <c r="D130" s="100"/>
      <c r="E130" s="100"/>
      <c r="F130" s="100"/>
      <c r="G130" s="100"/>
      <c r="H130" s="100"/>
      <c r="I130" s="100"/>
      <c r="J130" s="100"/>
    </row>
    <row r="131" spans="1:10" ht="18.75" customHeight="1">
      <c r="A131" s="38"/>
      <c r="B131" s="38"/>
      <c r="C131" s="38"/>
      <c r="D131" s="38"/>
      <c r="E131" s="38"/>
      <c r="F131" s="38"/>
      <c r="G131" s="38"/>
      <c r="H131" s="38"/>
      <c r="I131" s="38"/>
      <c r="J131" s="38"/>
    </row>
    <row r="132" spans="1:10" ht="18.75" customHeight="1">
      <c r="A132" s="38"/>
      <c r="B132" s="38"/>
      <c r="C132" s="38"/>
      <c r="D132" s="38"/>
      <c r="E132" s="38"/>
      <c r="F132" s="38"/>
      <c r="G132" s="38"/>
      <c r="H132" s="38"/>
      <c r="I132" s="38"/>
      <c r="J132" s="38"/>
    </row>
    <row r="133" spans="1:10" ht="18.75" customHeight="1">
      <c r="A133" s="38"/>
      <c r="B133" s="38"/>
      <c r="C133" s="38"/>
      <c r="D133" s="38"/>
      <c r="E133" s="38"/>
      <c r="F133" s="38"/>
      <c r="G133" s="38"/>
      <c r="H133" s="38"/>
      <c r="I133" s="38"/>
      <c r="J133" s="38"/>
    </row>
    <row r="134" spans="1:10" ht="18.75" customHeight="1">
      <c r="A134" s="38"/>
      <c r="B134" s="38"/>
      <c r="C134" s="38"/>
      <c r="D134" s="38"/>
      <c r="E134" s="38"/>
      <c r="F134" s="38"/>
      <c r="G134" s="38"/>
      <c r="H134" s="38"/>
      <c r="I134" s="38"/>
      <c r="J134" s="38"/>
    </row>
    <row r="135" spans="1:10" ht="18.75" customHeight="1">
      <c r="A135" s="38"/>
      <c r="B135" s="38"/>
      <c r="C135" s="38"/>
      <c r="D135" s="38"/>
      <c r="E135" s="38"/>
      <c r="F135" s="38"/>
      <c r="G135" s="38"/>
      <c r="H135" s="38"/>
      <c r="I135" s="38"/>
      <c r="J135" s="38"/>
    </row>
    <row r="136" spans="1:10" ht="18.75" customHeight="1">
      <c r="A136" s="38"/>
      <c r="B136" s="38"/>
      <c r="C136" s="38"/>
      <c r="D136" s="38"/>
      <c r="E136" s="38"/>
      <c r="F136" s="38"/>
      <c r="G136" s="38"/>
      <c r="H136" s="38"/>
      <c r="I136" s="38"/>
      <c r="J136" s="38"/>
    </row>
    <row r="137" spans="1:10" ht="18.75" customHeight="1">
      <c r="A137" s="38"/>
      <c r="B137" s="38"/>
      <c r="C137" s="38"/>
      <c r="D137" s="38"/>
      <c r="E137" s="38"/>
      <c r="F137" s="38"/>
      <c r="G137" s="38"/>
      <c r="H137" s="38"/>
      <c r="I137" s="38"/>
      <c r="J137" s="38"/>
    </row>
    <row r="138" spans="1:10" ht="18.75" customHeight="1">
      <c r="A138" s="38"/>
      <c r="B138" s="38"/>
      <c r="C138" s="38"/>
      <c r="D138" s="38"/>
      <c r="E138" s="38"/>
      <c r="F138" s="38"/>
      <c r="G138" s="38"/>
      <c r="H138" s="38"/>
      <c r="I138" s="38"/>
      <c r="J138" s="38"/>
    </row>
    <row r="139" spans="1:10" ht="18.75" customHeight="1">
      <c r="A139" s="38"/>
      <c r="B139" s="38"/>
      <c r="C139" s="38"/>
      <c r="D139" s="38"/>
      <c r="E139" s="38"/>
      <c r="F139" s="38"/>
      <c r="G139" s="38"/>
      <c r="H139" s="38"/>
      <c r="I139" s="38"/>
      <c r="J139" s="38"/>
    </row>
    <row r="140" spans="1:10" ht="18.75" customHeight="1">
      <c r="A140" s="38"/>
      <c r="B140" s="38"/>
      <c r="C140" s="38"/>
      <c r="D140" s="38"/>
      <c r="E140" s="38"/>
      <c r="F140" s="38"/>
      <c r="G140" s="38"/>
      <c r="H140" s="38"/>
      <c r="I140" s="38"/>
      <c r="J140" s="38"/>
    </row>
    <row r="141" spans="1:10" ht="18.75" customHeight="1">
      <c r="A141" s="38"/>
      <c r="B141" s="38"/>
      <c r="C141" s="38"/>
      <c r="D141" s="38"/>
      <c r="E141" s="38"/>
      <c r="F141" s="38"/>
      <c r="G141" s="38"/>
      <c r="H141" s="38"/>
      <c r="I141" s="38"/>
      <c r="J141" s="38"/>
    </row>
    <row r="142" spans="1:10" ht="18.75" customHeight="1">
      <c r="A142" s="38"/>
      <c r="B142" s="38"/>
      <c r="C142" s="38"/>
      <c r="D142" s="38"/>
      <c r="E142" s="38"/>
      <c r="F142" s="38"/>
      <c r="G142" s="38"/>
      <c r="H142" s="38"/>
      <c r="I142" s="38"/>
      <c r="J142" s="38"/>
    </row>
    <row r="143" spans="1:10" ht="14.25">
      <c r="A143" s="38"/>
      <c r="B143" s="38"/>
      <c r="C143" s="38"/>
      <c r="D143" s="38"/>
      <c r="E143" s="38"/>
      <c r="F143" s="38"/>
      <c r="G143" s="38"/>
      <c r="H143" s="38"/>
      <c r="I143" s="38"/>
      <c r="J143" s="38"/>
    </row>
    <row r="144" spans="1:10" ht="7.5" customHeight="1">
      <c r="A144" s="101"/>
      <c r="B144" s="101"/>
      <c r="C144" s="101"/>
      <c r="D144" s="101"/>
      <c r="E144" s="101"/>
      <c r="F144" s="101"/>
      <c r="G144" s="101"/>
      <c r="H144" s="101"/>
      <c r="I144" s="101"/>
      <c r="J144" s="101"/>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topLeftCell="A15" zoomScaleNormal="100" zoomScaleSheetLayoutView="100" workbookViewId="0">
      <selection activeCell="P16" sqref="P16"/>
    </sheetView>
  </sheetViews>
  <sheetFormatPr defaultColWidth="11.375" defaultRowHeight="22.5" customHeight="1"/>
  <cols>
    <col min="1" max="3" width="2.75" style="1" customWidth="1"/>
    <col min="4" max="4" width="22.25" style="1" customWidth="1"/>
    <col min="5" max="5" width="21.625" style="1" customWidth="1"/>
    <col min="6" max="7" width="7.75" style="1" customWidth="1"/>
    <col min="8" max="8" width="33.375" style="1" customWidth="1"/>
    <col min="9" max="9" width="24.375" style="1" customWidth="1"/>
    <col min="10" max="10" width="5.375" style="1" customWidth="1"/>
    <col min="11" max="11" width="4.125" style="31" customWidth="1"/>
    <col min="12" max="16384" width="11.375" style="1"/>
  </cols>
  <sheetData>
    <row r="1" spans="1:11" ht="18.75" customHeight="1">
      <c r="A1" s="1" t="s">
        <v>112</v>
      </c>
      <c r="D1" s="131"/>
      <c r="J1" s="128" t="s">
        <v>68</v>
      </c>
    </row>
    <row r="2" spans="1:11" ht="18.75" customHeight="1">
      <c r="A2" s="359" t="s">
        <v>38</v>
      </c>
      <c r="B2" s="359"/>
      <c r="C2" s="359"/>
      <c r="D2" s="359"/>
      <c r="E2" s="359"/>
      <c r="F2" s="359"/>
      <c r="G2" s="359"/>
      <c r="H2" s="359"/>
      <c r="I2" s="359"/>
      <c r="J2" s="359"/>
    </row>
    <row r="3" spans="1:11" ht="7.5" customHeight="1">
      <c r="A3" s="129"/>
      <c r="B3" s="129"/>
      <c r="C3" s="129"/>
      <c r="D3" s="129"/>
      <c r="E3" s="129"/>
      <c r="F3" s="129"/>
      <c r="G3" s="129"/>
      <c r="H3" s="129"/>
      <c r="I3" s="129"/>
      <c r="J3" s="129"/>
    </row>
    <row r="4" spans="1:11" ht="18.75" customHeight="1">
      <c r="A4" s="1" t="s">
        <v>331</v>
      </c>
      <c r="B4" s="4" t="s">
        <v>37</v>
      </c>
      <c r="C4" s="38"/>
      <c r="D4" s="38"/>
      <c r="E4" s="39"/>
      <c r="F4" s="39"/>
      <c r="G4" s="39"/>
      <c r="H4" s="39"/>
      <c r="I4" s="39"/>
      <c r="J4" s="39"/>
    </row>
    <row r="5" spans="1:11" ht="18.75" customHeight="1">
      <c r="B5" s="406" t="s">
        <v>34</v>
      </c>
      <c r="C5" s="407"/>
      <c r="D5" s="408"/>
      <c r="E5" s="409" t="s">
        <v>36</v>
      </c>
      <c r="F5" s="409"/>
      <c r="G5" s="409"/>
      <c r="H5" s="409"/>
      <c r="I5" s="409"/>
      <c r="J5" s="410"/>
    </row>
    <row r="6" spans="1:11" ht="18.75" customHeight="1">
      <c r="B6" s="3" t="s">
        <v>24</v>
      </c>
      <c r="C6" s="38"/>
      <c r="D6" s="7"/>
      <c r="I6" s="39"/>
      <c r="J6" s="5"/>
    </row>
    <row r="7" spans="1:11" ht="207" customHeight="1">
      <c r="B7" s="6"/>
      <c r="C7" s="411" t="s">
        <v>25</v>
      </c>
      <c r="D7" s="412"/>
      <c r="E7" s="403" t="s">
        <v>345</v>
      </c>
      <c r="F7" s="404"/>
      <c r="G7" s="404"/>
      <c r="H7" s="404"/>
      <c r="I7" s="404"/>
      <c r="J7" s="405"/>
      <c r="K7" s="31" t="str">
        <f>IF(E7="","入力してください","")</f>
        <v/>
      </c>
    </row>
    <row r="8" spans="1:11" ht="207" customHeight="1">
      <c r="B8" s="6"/>
      <c r="C8" s="401" t="s">
        <v>26</v>
      </c>
      <c r="D8" s="402"/>
      <c r="E8" s="403" t="s">
        <v>337</v>
      </c>
      <c r="F8" s="404"/>
      <c r="G8" s="404"/>
      <c r="H8" s="404"/>
      <c r="I8" s="404"/>
      <c r="J8" s="405"/>
      <c r="K8" s="31" t="str">
        <f>IF(E8="","入力してください","")</f>
        <v/>
      </c>
    </row>
    <row r="9" spans="1:11" ht="172.5" customHeight="1">
      <c r="B9" s="6"/>
      <c r="C9" s="411" t="s">
        <v>27</v>
      </c>
      <c r="D9" s="412"/>
      <c r="E9" s="413" t="s">
        <v>338</v>
      </c>
      <c r="F9" s="414"/>
      <c r="G9" s="414"/>
      <c r="H9" s="414"/>
      <c r="I9" s="414"/>
      <c r="J9" s="415"/>
      <c r="K9" s="31" t="str">
        <f>IF(E9="","入力してください","")</f>
        <v/>
      </c>
    </row>
    <row r="10" spans="1:11" ht="172.5" customHeight="1">
      <c r="B10" s="6"/>
      <c r="C10" s="411" t="s">
        <v>28</v>
      </c>
      <c r="D10" s="412"/>
      <c r="E10" s="413" t="s">
        <v>339</v>
      </c>
      <c r="F10" s="414"/>
      <c r="G10" s="414"/>
      <c r="H10" s="414"/>
      <c r="I10" s="414"/>
      <c r="J10" s="415"/>
      <c r="K10" s="31" t="str">
        <f t="shared" ref="K10:K14" si="0">IF(E10="","入力してください","")</f>
        <v/>
      </c>
    </row>
    <row r="11" spans="1:11" ht="172.5" customHeight="1">
      <c r="B11" s="6"/>
      <c r="C11" s="411" t="s">
        <v>29</v>
      </c>
      <c r="D11" s="412"/>
      <c r="E11" s="413" t="s">
        <v>340</v>
      </c>
      <c r="F11" s="414"/>
      <c r="G11" s="414"/>
      <c r="H11" s="414"/>
      <c r="I11" s="414"/>
      <c r="J11" s="415"/>
      <c r="K11" s="31" t="str">
        <f t="shared" si="0"/>
        <v/>
      </c>
    </row>
    <row r="12" spans="1:11" ht="18.75" customHeight="1">
      <c r="B12" s="9" t="s">
        <v>30</v>
      </c>
      <c r="C12" s="28"/>
      <c r="D12" s="8"/>
      <c r="E12" s="32"/>
      <c r="F12" s="32"/>
      <c r="G12" s="32"/>
      <c r="H12" s="32"/>
      <c r="I12" s="32"/>
      <c r="J12" s="33"/>
    </row>
    <row r="13" spans="1:11" ht="244.15" customHeight="1">
      <c r="B13" s="6"/>
      <c r="C13" s="411" t="s">
        <v>31</v>
      </c>
      <c r="D13" s="412"/>
      <c r="E13" s="404" t="s">
        <v>341</v>
      </c>
      <c r="F13" s="404"/>
      <c r="G13" s="404"/>
      <c r="H13" s="404"/>
      <c r="I13" s="404"/>
      <c r="J13" s="405"/>
      <c r="K13" s="31" t="str">
        <f t="shared" si="0"/>
        <v/>
      </c>
    </row>
    <row r="14" spans="1:11" ht="255" customHeight="1">
      <c r="B14" s="6"/>
      <c r="C14" s="411" t="s">
        <v>32</v>
      </c>
      <c r="D14" s="412"/>
      <c r="E14" s="404" t="s">
        <v>344</v>
      </c>
      <c r="F14" s="404"/>
      <c r="G14" s="404"/>
      <c r="H14" s="404"/>
      <c r="I14" s="404"/>
      <c r="J14" s="405"/>
      <c r="K14" s="31" t="str">
        <f t="shared" si="0"/>
        <v/>
      </c>
    </row>
    <row r="15" spans="1:11" ht="243" customHeight="1">
      <c r="B15" s="422" t="s">
        <v>33</v>
      </c>
      <c r="C15" s="423"/>
      <c r="D15" s="412"/>
      <c r="E15" s="414" t="s">
        <v>342</v>
      </c>
      <c r="F15" s="414"/>
      <c r="G15" s="414"/>
      <c r="H15" s="414"/>
      <c r="I15" s="414"/>
      <c r="J15" s="415"/>
      <c r="K15" s="31" t="str">
        <f>IF(E15="","入力してください","")</f>
        <v/>
      </c>
    </row>
    <row r="16" spans="1:11" ht="243" customHeight="1">
      <c r="A16" s="31"/>
      <c r="B16" s="416" t="s">
        <v>62</v>
      </c>
      <c r="C16" s="417"/>
      <c r="D16" s="418"/>
      <c r="E16" s="382" t="s">
        <v>343</v>
      </c>
      <c r="F16" s="382"/>
      <c r="G16" s="382"/>
      <c r="H16" s="382"/>
      <c r="I16" s="382"/>
      <c r="J16" s="383"/>
      <c r="K16" s="31" t="str">
        <f>IF(E16="","入力してください","")</f>
        <v/>
      </c>
    </row>
    <row r="17" spans="1:11" ht="7.5" customHeight="1">
      <c r="B17" s="38"/>
      <c r="C17" s="38"/>
      <c r="D17" s="38"/>
      <c r="E17" s="39"/>
      <c r="F17" s="39"/>
      <c r="G17" s="39"/>
      <c r="H17" s="39"/>
      <c r="I17" s="39"/>
      <c r="J17" s="39"/>
    </row>
    <row r="18" spans="1:11" ht="18.75" customHeight="1">
      <c r="A18" s="1" t="s">
        <v>348</v>
      </c>
      <c r="B18" s="4"/>
      <c r="C18" s="38"/>
      <c r="D18" s="38"/>
      <c r="E18" s="39"/>
      <c r="F18" s="90"/>
      <c r="G18" s="419" t="s">
        <v>349</v>
      </c>
      <c r="H18" s="420"/>
      <c r="I18" s="420"/>
      <c r="J18" s="421"/>
      <c r="K18" s="31" t="str">
        <f>IF(G18="","入力してください","")</f>
        <v/>
      </c>
    </row>
    <row r="19" spans="1:11" ht="22.5" customHeight="1">
      <c r="B19" s="38"/>
      <c r="C19" s="38"/>
      <c r="D19" s="38"/>
      <c r="E19" s="39"/>
      <c r="F19" s="39"/>
      <c r="G19" s="39"/>
      <c r="H19" s="39"/>
      <c r="I19" s="39"/>
      <c r="J19" s="39"/>
    </row>
    <row r="20" spans="1:11" ht="22.5" customHeight="1">
      <c r="B20" s="38"/>
      <c r="C20" s="38"/>
      <c r="D20" s="38"/>
      <c r="E20" s="39"/>
      <c r="F20" s="39"/>
      <c r="G20" s="39"/>
      <c r="H20" s="39"/>
      <c r="I20" s="39"/>
      <c r="J20" s="39"/>
    </row>
    <row r="21" spans="1:11" ht="22.5" customHeight="1">
      <c r="B21" s="38"/>
      <c r="C21" s="38"/>
      <c r="D21" s="38"/>
      <c r="E21" s="39"/>
      <c r="F21" s="39"/>
      <c r="G21" s="39"/>
      <c r="H21" s="39"/>
      <c r="I21" s="39"/>
      <c r="J21" s="39"/>
    </row>
    <row r="22" spans="1:11" ht="22.5" customHeight="1">
      <c r="B22" s="38"/>
      <c r="C22" s="38"/>
      <c r="D22" s="38"/>
      <c r="E22" s="39"/>
      <c r="F22" s="39"/>
      <c r="G22" s="39"/>
      <c r="H22" s="39"/>
      <c r="I22" s="39"/>
      <c r="J22" s="39"/>
    </row>
    <row r="23" spans="1:11" ht="22.5" customHeight="1">
      <c r="B23" s="38"/>
      <c r="C23" s="38"/>
      <c r="D23" s="38"/>
      <c r="E23" s="39"/>
      <c r="F23" s="39"/>
      <c r="G23" s="39"/>
      <c r="H23" s="39"/>
      <c r="I23" s="39"/>
      <c r="J23" s="39"/>
    </row>
    <row r="24" spans="1:11" ht="22.5" customHeight="1">
      <c r="B24" s="102"/>
      <c r="C24" s="102"/>
      <c r="D24" s="102"/>
      <c r="E24" s="102"/>
      <c r="F24" s="102"/>
      <c r="G24" s="102"/>
      <c r="H24" s="102"/>
      <c r="I24" s="102"/>
      <c r="J24" s="102"/>
    </row>
    <row r="25" spans="1:11" ht="22.5" customHeight="1">
      <c r="B25" s="102"/>
      <c r="C25" s="102"/>
      <c r="D25" s="102"/>
      <c r="E25" s="102"/>
      <c r="F25" s="102"/>
      <c r="G25" s="102"/>
      <c r="H25" s="102"/>
      <c r="I25" s="102"/>
      <c r="J25" s="102"/>
    </row>
    <row r="26" spans="1:11" ht="22.5" customHeight="1">
      <c r="B26" s="102"/>
      <c r="C26" s="102"/>
      <c r="D26" s="102"/>
      <c r="E26" s="102"/>
      <c r="F26" s="102"/>
      <c r="G26" s="102"/>
      <c r="H26" s="102"/>
      <c r="I26" s="102"/>
      <c r="J26" s="102"/>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様式１　大学等概要</vt:lpstr>
      <vt:lpstr>様式２-1　プログラムを構成する授業科目</vt:lpstr>
      <vt:lpstr>様式２-2　プログラムを構成する授業科目</vt:lpstr>
      <vt:lpstr>様式２-3　プログラムを構成する授業科目</vt:lpstr>
      <vt:lpstr>様式２-4　プログラムを構成する授業科目</vt:lpstr>
      <vt:lpstr>様式２-5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'様式２-1　プログラムを構成する授業科目'!Print_Area</vt:lpstr>
      <vt:lpstr>'様式２-2　プログラムを構成する授業科目'!Print_Area</vt:lpstr>
      <vt:lpstr>'様式２-3　プログラムを構成する授業科目'!Print_Area</vt:lpstr>
      <vt:lpstr>'様式２-4　プログラムを構成する授業科目'!Print_Area</vt:lpstr>
      <vt:lpstr>'様式２-5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KANEKO　Michiko</cp:lastModifiedBy>
  <cp:lastPrinted>2022-07-14T05:48:49Z</cp:lastPrinted>
  <dcterms:created xsi:type="dcterms:W3CDTF">2011-06-14T05:32:50Z</dcterms:created>
  <dcterms:modified xsi:type="dcterms:W3CDTF">2022-07-14T05:49:48Z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