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gaia\gakusei\教育支援課\教務企画係\２０）その他\数理・データサイエンス・AI教育プログラム認定制度\リテラシーレベル申請\R4年度\■提出用\再提出\"/>
    </mc:Choice>
  </mc:AlternateContent>
  <xr:revisionPtr revIDLastSave="0" documentId="13_ncr:1_{0576FE46-DFD3-4EF2-94B9-354CD4864BD8}" xr6:coauthVersionLast="47" xr6:coauthVersionMax="47" xr10:uidLastSave="{00000000-0000-0000-0000-000000000000}"/>
  <bookViews>
    <workbookView xWindow="-120" yWindow="-120" windowWidth="29040" windowHeight="15840" tabRatio="885" activeTab="1" xr2:uid="{00000000-000D-0000-FFFF-FFFF00000000}"/>
  </bookViews>
  <sheets>
    <sheet name="様式１　大学等概要" sheetId="8" r:id="rId1"/>
    <sheet name="様式２－１　プログラムを構成する授業科目" sheetId="39" r:id="rId2"/>
    <sheet name="様式２－２　プログラムを構成する授業科目" sheetId="44"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'様式２－１　プログラムを構成する授業科目'!$A$1:$Z$103</definedName>
    <definedName name="_xlnm.Print_Area" localSheetId="2">'様式２－２　プログラムを構成する授業科目'!$A$1:$Z$100</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9" i="40" l="1"/>
  <c r="Q28" i="40"/>
  <c r="Q27" i="40"/>
  <c r="Q26" i="40"/>
  <c r="Q25" i="40"/>
  <c r="Q24" i="40"/>
  <c r="Q23" i="40"/>
  <c r="Q22" i="40"/>
  <c r="Q21" i="40"/>
  <c r="Q20" i="40"/>
  <c r="Q19" i="40"/>
  <c r="Q18" i="40"/>
  <c r="R18" i="40" s="1"/>
  <c r="Q17" i="40"/>
  <c r="R17" i="40" s="1"/>
  <c r="Q16" i="40"/>
  <c r="Q15" i="40"/>
  <c r="R15" i="40" s="1"/>
  <c r="Q14" i="40"/>
  <c r="R14" i="40" s="1"/>
  <c r="Q13" i="40"/>
  <c r="R13" i="40" s="1"/>
  <c r="Q12" i="40"/>
  <c r="Q11" i="40"/>
  <c r="Q10" i="40"/>
  <c r="R10" i="40" s="1"/>
  <c r="O6" i="8"/>
  <c r="R19" i="40"/>
  <c r="R16" i="40"/>
  <c r="R12" i="40"/>
  <c r="R11" i="40"/>
  <c r="K18" i="42" l="1"/>
  <c r="K16" i="42"/>
  <c r="K15" i="42"/>
  <c r="K9" i="42"/>
  <c r="K8" i="42"/>
  <c r="K7" i="42"/>
  <c r="K113" i="41"/>
  <c r="K91" i="41"/>
  <c r="K69" i="41"/>
  <c r="K46" i="41"/>
  <c r="K31" i="41"/>
  <c r="K15" i="41"/>
  <c r="K8" i="41"/>
  <c r="K5" i="41"/>
  <c r="C4" i="40"/>
  <c r="O45" i="8"/>
  <c r="O44" i="8"/>
  <c r="O41" i="8"/>
  <c r="O39" i="8"/>
  <c r="O37" i="8"/>
  <c r="O34" i="8"/>
  <c r="O32" i="8"/>
  <c r="O29" i="8"/>
  <c r="O20" i="8"/>
  <c r="O18" i="8"/>
  <c r="O14" i="8"/>
  <c r="O12" i="8"/>
  <c r="O10" i="8"/>
  <c r="O8" i="8"/>
  <c r="O4" i="8"/>
  <c r="K14" i="42"/>
  <c r="K13" i="42"/>
  <c r="K11" i="42"/>
  <c r="K10" i="42"/>
  <c r="P30" i="40" l="1"/>
  <c r="O30" i="40"/>
  <c r="N30" i="40"/>
  <c r="M30" i="40"/>
  <c r="L30" i="40"/>
  <c r="K30" i="40"/>
  <c r="J30" i="40"/>
  <c r="I30" i="40"/>
  <c r="H30" i="40"/>
  <c r="G30" i="40"/>
  <c r="F30" i="40"/>
  <c r="E30" i="40"/>
  <c r="D30" i="40"/>
  <c r="I29" i="41" s="1"/>
  <c r="C30" i="40"/>
  <c r="R29" i="40"/>
  <c r="R28" i="40"/>
  <c r="R27" i="40"/>
  <c r="R26" i="40"/>
  <c r="R25" i="40"/>
  <c r="R24" i="40"/>
  <c r="R23" i="40"/>
  <c r="R22" i="40"/>
  <c r="R21" i="40"/>
  <c r="R20" i="40"/>
  <c r="Q30" i="40" l="1"/>
  <c r="R30" i="40" s="1"/>
  <c r="C28" i="41" s="1"/>
</calcChain>
</file>

<file path=xl/sharedStrings.xml><?xml version="1.0" encoding="utf-8"?>
<sst xmlns="http://schemas.openxmlformats.org/spreadsheetml/2006/main" count="477" uniqueCount="224">
  <si>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</si>
  <si>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</si>
  <si>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</si>
  <si>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</si>
  <si>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</si>
  <si>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</si>
  <si>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</si>
  <si>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</si>
  <si>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</si>
  <si>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</si>
  <si>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</si>
  <si>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</si>
  <si>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</si>
  <si>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</si>
  <si>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</si>
  <si>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</si>
  <si>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</si>
  <si>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</si>
  <si>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</si>
  <si>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</si>
  <si>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</si>
  <si>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</si>
  <si>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</si>
  <si>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</si>
  <si>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</si>
  <si>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</si>
  <si>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</si>
  <si>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</si>
  <si>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</si>
  <si>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</si>
  <si>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</si>
  <si>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</si>
  <si>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</si>
  <si>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</si>
  <si>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</si>
  <si>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</si>
  <si>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</si>
  <si>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</si>
  <si>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</si>
  <si>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</si>
  <si>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</si>
  <si>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</si>
  <si>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</si>
  <si>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</si>
  <si>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</si>
  <si>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</si>
  <si>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</si>
  <si>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</si>
  <si>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</si>
  <si>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</si>
  <si>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</si>
  <si>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</si>
  <si>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</si>
  <si>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</si>
  <si>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</si>
  <si>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</si>
  <si>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</si>
  <si>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</si>
  <si>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</si>
  <si>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</si>
  <si>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</si>
  <si>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</si>
  <si>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</si>
  <si>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</si>
  <si>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</si>
  <si>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</si>
  <si>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</si>
  <si>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</si>
  <si>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</si>
  <si>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</si>
  <si>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</si>
  <si>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</si>
  <si>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</si>
  <si>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</si>
  <si>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</si>
  <si>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</si>
  <si>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</si>
  <si>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</si>
  <si>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</si>
  <si>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</si>
  <si>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</si>
  <si>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</si>
  <si>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</si>
  <si>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</si>
  <si>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</si>
  <si>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</si>
  <si>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</si>
  <si>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</si>
  <si>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</si>
  <si>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</si>
  <si>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</si>
  <si>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</si>
  <si>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</si>
  <si>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</si>
  <si>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</si>
  <si>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</si>
  <si>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</si>
  <si>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</si>
  <si>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</si>
  <si>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</si>
  <si>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</si>
  <si>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</si>
  <si>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</si>
  <si>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</si>
  <si>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</si>
  <si>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</si>
  <si>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</si>
  <si>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</si>
  <si>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</si>
  <si>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</si>
  <si>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</si>
  <si>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</si>
  <si>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</si>
  <si>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</si>
  <si>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</si>
  <si>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</si>
  <si>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</si>
  <si>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</si>
  <si>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</si>
  <si>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</si>
  <si>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</si>
  <si>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</si>
  <si>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</si>
  <si>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</si>
  <si>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</si>
  <si>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</si>
  <si>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</si>
  <si>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</si>
  <si>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</si>
  <si>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</si>
  <si>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</si>
  <si>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</si>
  <si>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</si>
  <si>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</si>
  <si>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</si>
  <si>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</si>
  <si>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</si>
  <si>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</si>
  <si>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</si>
  <si>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</si>
  <si>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</si>
  <si>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</si>
  <si>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</si>
  <si>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</si>
  <si>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</si>
  <si>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</si>
  <si>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</si>
  <si>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</si>
  <si>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鳥取大学</t>
    <rPh sb="0" eb="4">
      <t>トットリ</t>
    </rPh>
    <phoneticPr fontId="1"/>
  </si>
  <si>
    <t>国立大学</t>
  </si>
  <si>
    <t>鳥取県鳥取市湖山町南４丁目101番地</t>
    <rPh sb="0" eb="3">
      <t>トットリ</t>
    </rPh>
    <rPh sb="3" eb="6">
      <t>トットリ</t>
    </rPh>
    <rPh sb="6" eb="9">
      <t>コヤマチョウ</t>
    </rPh>
    <rPh sb="9" eb="10">
      <t>ミナミ</t>
    </rPh>
    <rPh sb="16" eb="18">
      <t>バンティ</t>
    </rPh>
    <phoneticPr fontId="1"/>
  </si>
  <si>
    <t>令和３</t>
    <rPh sb="0" eb="2">
      <t>レイワ</t>
    </rPh>
    <phoneticPr fontId="1"/>
  </si>
  <si>
    <t>無</t>
  </si>
  <si>
    <t>データサイエンス教育センター長</t>
    <rPh sb="8" eb="10">
      <t>キョウイク</t>
    </rPh>
    <phoneticPr fontId="1"/>
  </si>
  <si>
    <t>田村　文男</t>
    <rPh sb="0" eb="5">
      <t>タムラ</t>
    </rPh>
    <phoneticPr fontId="1"/>
  </si>
  <si>
    <t>学生部教育支援課</t>
    <rPh sb="0" eb="3">
      <t>ガクセイ</t>
    </rPh>
    <rPh sb="3" eb="8">
      <t>キョウイク</t>
    </rPh>
    <phoneticPr fontId="1"/>
  </si>
  <si>
    <t>データサイエンス入門</t>
    <phoneticPr fontId="1"/>
  </si>
  <si>
    <t>○</t>
  </si>
  <si>
    <t>全学開講</t>
  </si>
  <si>
    <t>２年間の教育実績が出来上がる本年度から鳥取県並びに県内企業で組織する振興協力会に対して、カリキュラムや授業方法への評価をいただく予定である。使用しているオンラインコンテンツを専門高校の教員に視聴いただき、改善点などのアドバイスを受ける予定であり、その情報は本学と鳥取県教育委員会との連絡協議会において共有し、高等学校における教育にも活用する。</t>
    <rPh sb="4" eb="8">
      <t>キョウイク</t>
    </rPh>
    <rPh sb="9" eb="12">
      <t>デキアガル</t>
    </rPh>
    <rPh sb="14" eb="17">
      <t>ホンネ</t>
    </rPh>
    <rPh sb="19" eb="22">
      <t>トットリ</t>
    </rPh>
    <rPh sb="22" eb="23">
      <t>ナラビ</t>
    </rPh>
    <rPh sb="25" eb="27">
      <t>ケンナイ</t>
    </rPh>
    <rPh sb="27" eb="29">
      <t>キギョウ</t>
    </rPh>
    <rPh sb="34" eb="39">
      <t>シンコウ</t>
    </rPh>
    <rPh sb="40" eb="41">
      <t>タイセィ</t>
    </rPh>
    <rPh sb="51" eb="55">
      <t>ジュギョウ</t>
    </rPh>
    <rPh sb="57" eb="59">
      <t>ヒョウ</t>
    </rPh>
    <rPh sb="70" eb="72">
      <t>ホンガ</t>
    </rPh>
    <rPh sb="73" eb="75">
      <t>トットリ</t>
    </rPh>
    <rPh sb="75" eb="76">
      <t>ケn</t>
    </rPh>
    <rPh sb="76" eb="81">
      <t>ケンキョ</t>
    </rPh>
    <rPh sb="83" eb="88">
      <t>レンラク</t>
    </rPh>
    <rPh sb="93" eb="95">
      <t>シヨウ</t>
    </rPh>
    <rPh sb="110" eb="114">
      <t>センモn</t>
    </rPh>
    <rPh sb="115" eb="117">
      <t>キョウイn</t>
    </rPh>
    <rPh sb="118" eb="120">
      <t>シチョウ</t>
    </rPh>
    <rPh sb="125" eb="128">
      <t>カイゼn</t>
    </rPh>
    <rPh sb="137" eb="138">
      <t>ウケ</t>
    </rPh>
    <rPh sb="150" eb="152">
      <t>キョウユウ</t>
    </rPh>
    <rPh sb="154" eb="158">
      <t>コウトウガッコウ</t>
    </rPh>
    <rPh sb="162" eb="164">
      <t>キョウイク</t>
    </rPh>
    <phoneticPr fontId="1"/>
  </si>
  <si>
    <t>データサイエンス入門</t>
  </si>
  <si>
    <t>・ビッグデータ、IoT、AI データサイエンス、社会とデータサイエンスの身近な関わり 、第4次産業革命、Industrie4.0、データ駆動型社会、Society5.0、デジタルトランスフォーメーション、デジタルディスプラプション、「データサイエンス入門」（１回目）　</t>
    <rPh sb="9" eb="11">
      <t>ニュウモn</t>
    </rPh>
    <rPh sb="14" eb="15">
      <t>カイ</t>
    </rPh>
    <phoneticPr fontId="1"/>
  </si>
  <si>
    <t>・スマートグラス ID-POS、Amazon GO、無担保融資、 スマートメーター、クラウド・ファンディング、スマートシティ　「データサイエンス入門」（２回目）　</t>
    <phoneticPr fontId="1"/>
  </si>
  <si>
    <t>データサイエンスの必要性を説明できる、地域を含む実社会でのデータサイエンスの事例を例示できる、代表的なデータサイエンスの技術とその利点・欠点を概説できる、どのような思考方法でデータを扱うか説明できる、基本的なデータの読み方、収集、解析のスキル</t>
    <rPh sb="100" eb="103">
      <t>キホn</t>
    </rPh>
    <rPh sb="108" eb="109">
      <t>ヨミ</t>
    </rPh>
    <rPh sb="112" eb="114">
      <t>シュウシュウ</t>
    </rPh>
    <rPh sb="115" eb="117">
      <t>カイセキ</t>
    </rPh>
    <phoneticPr fontId="1"/>
  </si>
  <si>
    <t>LMS上で、授業科目のクラス毎に質問、回答ができるスペースを設け利用を促している。また、質問内容によって全員に周知した方が教育効果が高い場合にはLMS上に公開すると共に、受講者宛にメールで通知して学修を促している。また、対面での質問や個別指導にはオフィスアワーで対応する旨をLMS上並びに掲示などにより周知している。</t>
    <rPh sb="3" eb="4">
      <t>ジョウ</t>
    </rPh>
    <rPh sb="6" eb="8">
      <t>ジュギョウ</t>
    </rPh>
    <rPh sb="8" eb="10">
      <t>カモク</t>
    </rPh>
    <rPh sb="16" eb="18">
      <t>シテゥ</t>
    </rPh>
    <rPh sb="19" eb="21">
      <t>カイトウ</t>
    </rPh>
    <rPh sb="30" eb="31">
      <t>モウケ</t>
    </rPh>
    <rPh sb="32" eb="34">
      <t>リヨウ</t>
    </rPh>
    <rPh sb="35" eb="36">
      <t>ウナガセィ</t>
    </rPh>
    <rPh sb="44" eb="46">
      <t>シツモn</t>
    </rPh>
    <rPh sb="46" eb="48">
      <t>ナイヨウ</t>
    </rPh>
    <rPh sb="52" eb="54">
      <t>ゼンイn</t>
    </rPh>
    <rPh sb="55" eb="57">
      <t>シュウチシタ</t>
    </rPh>
    <rPh sb="59" eb="60">
      <t>ホウ</t>
    </rPh>
    <rPh sb="61" eb="65">
      <t>キョウイクコウ</t>
    </rPh>
    <rPh sb="75" eb="76">
      <t>ジョウ</t>
    </rPh>
    <rPh sb="77" eb="79">
      <t>コウカイ</t>
    </rPh>
    <rPh sb="85" eb="89">
      <t>ジュコウ</t>
    </rPh>
    <rPh sb="94" eb="96">
      <t>ツウティ</t>
    </rPh>
    <rPh sb="98" eb="100">
      <t>ガクシュウ</t>
    </rPh>
    <rPh sb="101" eb="102">
      <t>ウナガセィ</t>
    </rPh>
    <rPh sb="110" eb="112">
      <t>タイメn</t>
    </rPh>
    <rPh sb="114" eb="116">
      <t>シテゥ</t>
    </rPh>
    <rPh sb="117" eb="121">
      <t>コベテゥ</t>
    </rPh>
    <rPh sb="131" eb="133">
      <t>タイオウ</t>
    </rPh>
    <rPh sb="140" eb="142">
      <t>ジョウ</t>
    </rPh>
    <rPh sb="144" eb="146">
      <t>ケイジナ</t>
    </rPh>
    <rPh sb="151" eb="153">
      <t>シュウティ</t>
    </rPh>
    <phoneticPr fontId="1"/>
  </si>
  <si>
    <t>地域学部</t>
    <rPh sb="0" eb="4">
      <t>チイキ</t>
    </rPh>
    <phoneticPr fontId="1"/>
  </si>
  <si>
    <t>医学部</t>
    <rPh sb="0" eb="3">
      <t>イガク</t>
    </rPh>
    <phoneticPr fontId="1"/>
  </si>
  <si>
    <t>工学部</t>
    <phoneticPr fontId="1"/>
  </si>
  <si>
    <t>農学部</t>
    <phoneticPr fontId="1"/>
  </si>
  <si>
    <t>理事（教育担当）</t>
    <rPh sb="0" eb="2">
      <t>キョウイク</t>
    </rPh>
    <rPh sb="3" eb="5">
      <t>キョウイク</t>
    </rPh>
    <rPh sb="5" eb="7">
      <t>タントウ</t>
    </rPh>
    <phoneticPr fontId="1"/>
  </si>
  <si>
    <t>様式２－２</t>
    <phoneticPr fontId="1"/>
  </si>
  <si>
    <t>学部・学科によって、修了要件は相違する</t>
  </si>
  <si>
    <t>大学入門ゼミ</t>
    <rPh sb="0" eb="2">
      <t>ダイガク</t>
    </rPh>
    <rPh sb="2" eb="4">
      <t>ニュウモン</t>
    </rPh>
    <phoneticPr fontId="1"/>
  </si>
  <si>
    <t>一部開講</t>
  </si>
  <si>
    <t>大学入門ゼミ</t>
    <phoneticPr fontId="1"/>
  </si>
  <si>
    <t>大学入門ゼミ</t>
    <rPh sb="0" eb="4">
      <t>ダイガクニュウモン</t>
    </rPh>
    <phoneticPr fontId="1"/>
  </si>
  <si>
    <t>様式２－１</t>
    <phoneticPr fontId="1"/>
  </si>
  <si>
    <t>情報リテラシ</t>
    <rPh sb="0" eb="2">
      <t>ジョウホウ</t>
    </rPh>
    <phoneticPr fontId="1"/>
  </si>
  <si>
    <t>データサイエンス教育プログラム</t>
    <rPh sb="8" eb="10">
      <t>キョウイク</t>
    </rPh>
    <phoneticPr fontId="1"/>
  </si>
  <si>
    <t>教育支援・国際交流推進機構データサイエンス教育センター</t>
    <phoneticPr fontId="1"/>
  </si>
  <si>
    <t>教育支援・国際交流推進機構データサイエンス教育センター、高等教育開発センター</t>
    <rPh sb="0" eb="4">
      <t>キョウイク</t>
    </rPh>
    <rPh sb="5" eb="7">
      <t>コクサイオウル</t>
    </rPh>
    <rPh sb="7" eb="9">
      <t>コウリュウ</t>
    </rPh>
    <rPh sb="9" eb="11">
      <t>スイシn</t>
    </rPh>
    <rPh sb="11" eb="13">
      <t>キコウ</t>
    </rPh>
    <rPh sb="21" eb="23">
      <t>キョウイク</t>
    </rPh>
    <rPh sb="28" eb="34">
      <t>コウトウ</t>
    </rPh>
    <phoneticPr fontId="1"/>
  </si>
  <si>
    <t>認定教育プログラム</t>
  </si>
  <si>
    <t>鳥取大学教育支援・国際交流推進機構データサイエンス教育センター規則</t>
    <rPh sb="0" eb="4">
      <t>トットリ</t>
    </rPh>
    <rPh sb="31" eb="33">
      <t>キソク</t>
    </rPh>
    <phoneticPr fontId="1"/>
  </si>
  <si>
    <t>https://www.tottori-u.ac.jp/6083.htm</t>
    <phoneticPr fontId="1"/>
  </si>
  <si>
    <t>st-kyokikaku@ml.adm.tottori-u.ac.jp</t>
    <phoneticPr fontId="1"/>
  </si>
  <si>
    <t>石田　真由美</t>
    <rPh sb="0" eb="2">
      <t>イシダ</t>
    </rPh>
    <rPh sb="3" eb="6">
      <t>マユミ</t>
    </rPh>
    <phoneticPr fontId="1"/>
  </si>
  <si>
    <t>0857-31-5054</t>
    <phoneticPr fontId="1"/>
  </si>
  <si>
    <t>国立大学法人鳥取大学</t>
    <rPh sb="0" eb="6">
      <t>コクリテゥ</t>
    </rPh>
    <rPh sb="6" eb="8">
      <t>トットリ</t>
    </rPh>
    <rPh sb="8" eb="10">
      <t>ダイガク</t>
    </rPh>
    <phoneticPr fontId="1"/>
  </si>
  <si>
    <t>・ビッグデータ、IoT、AI データサイエンス、社会とデータサイエンスの身近な関わり 、第4次産業革命、Industrie4.0、データ駆動型社会、Society5.0、デジタルトランスフォーメーション、デジタルディスプラプション、「大学入門ゼミ」（９回目）　</t>
    <rPh sb="9" eb="11">
      <t>ニュウモn</t>
    </rPh>
    <rPh sb="14" eb="15">
      <t>カイ</t>
    </rPh>
    <rPh sb="117" eb="121">
      <t>ダイガクニュウモン</t>
    </rPh>
    <phoneticPr fontId="1"/>
  </si>
  <si>
    <t>○データサイエンス教育センター：数理・データサイエンス及びAI教育に関して企画・開発等を行い、課題解決や新しい価値を生み出す人材育成のための教育プログラム開発等を支援</t>
    <phoneticPr fontId="1"/>
  </si>
  <si>
    <t>令和３年度から「情報リテラシ」及び「データサイエンス入門」を全学部で必修科目として開講（ただし医学部保健学科看護学専攻を除く。また、農学部共同獣医学科は「大学入門ゼミ」の一部として開講）、令和４年度からは全学部全学科で、「情報リテラシ」及び「データサイエンス入門」を必修科目としたため、学年進行に伴い令和８年度以降は毎年ほぼ100%となる。</t>
    <rPh sb="0" eb="2">
      <t>レイワ</t>
    </rPh>
    <rPh sb="2" eb="3">
      <t>３ネn</t>
    </rPh>
    <rPh sb="8" eb="10">
      <t>ジョウホウ</t>
    </rPh>
    <rPh sb="15" eb="16">
      <t>オヨ</t>
    </rPh>
    <rPh sb="26" eb="28">
      <t>ニュウモn</t>
    </rPh>
    <rPh sb="30" eb="32">
      <t>ゼンガク</t>
    </rPh>
    <rPh sb="50" eb="59">
      <t>ホケn</t>
    </rPh>
    <rPh sb="60" eb="61">
      <t>ノゾク</t>
    </rPh>
    <rPh sb="66" eb="75">
      <t>ノウガクブキョウドウジュウイガッカ</t>
    </rPh>
    <rPh sb="77" eb="81">
      <t>ダイガクニュウモン</t>
    </rPh>
    <rPh sb="85" eb="87">
      <t>イチブ</t>
    </rPh>
    <rPh sb="90" eb="92">
      <t>カイコウ</t>
    </rPh>
    <rPh sb="98" eb="101">
      <t>ゼンガッカデ</t>
    </rPh>
    <rPh sb="102" eb="105">
      <t>ゼンガク</t>
    </rPh>
    <rPh sb="105" eb="107">
      <t>ヒッセィウ</t>
    </rPh>
    <rPh sb="107" eb="109">
      <t>カモク</t>
    </rPh>
    <rPh sb="139" eb="143">
      <t>ガクネn</t>
    </rPh>
    <rPh sb="146" eb="148">
      <t>レイワ</t>
    </rPh>
    <rPh sb="151" eb="153">
      <t>イコウ</t>
    </rPh>
    <rPh sb="156" eb="158">
      <t>マイトセィ</t>
    </rPh>
    <phoneticPr fontId="1"/>
  </si>
  <si>
    <r>
      <t>履修状況についてはLMSにより点検できる。リテラシーレベルの「情報リテラシ」及び「データサイエンス入門」は</t>
    </r>
    <r>
      <rPr>
        <sz val="12"/>
        <rFont val="ＭＳ Ｐゴシック"/>
        <family val="3"/>
        <charset val="128"/>
      </rPr>
      <t>令和4年度以降は</t>
    </r>
    <r>
      <rPr>
        <sz val="12"/>
        <rFont val="ＭＳ Ｐゴシック"/>
        <family val="3"/>
        <charset val="128"/>
        <scheme val="minor"/>
      </rPr>
      <t>全学で必修科目としているので、年次進行に伴いほぼ100%となる予定である。また、</t>
    </r>
    <r>
      <rPr>
        <sz val="12"/>
        <rFont val="ＭＳ Ｐゴシック"/>
        <family val="3"/>
        <charset val="128"/>
      </rPr>
      <t>初年度である令和３年度における履修者に対する合格者の割合は９０</t>
    </r>
    <r>
      <rPr>
        <sz val="12"/>
        <rFont val="ＭＳ Ｐゴシック"/>
        <family val="3"/>
        <charset val="128"/>
        <scheme val="minor"/>
      </rPr>
      <t>％以上となり、</t>
    </r>
    <r>
      <rPr>
        <sz val="12"/>
        <rFont val="ＭＳ Ｐゴシック"/>
        <family val="3"/>
        <charset val="128"/>
      </rPr>
      <t>履修者のほぼ</t>
    </r>
    <r>
      <rPr>
        <sz val="12"/>
        <rFont val="ＭＳ Ｐゴシック"/>
        <family val="3"/>
        <charset val="128"/>
        <scheme val="minor"/>
      </rPr>
      <t>全員が修得していると考えられる。</t>
    </r>
    <rPh sb="0" eb="4">
      <t>リシュウ</t>
    </rPh>
    <rPh sb="15" eb="17">
      <t>テn</t>
    </rPh>
    <rPh sb="31" eb="33">
      <t>ジョウホウ</t>
    </rPh>
    <rPh sb="38" eb="39">
      <t>オヨ</t>
    </rPh>
    <rPh sb="49" eb="51">
      <t>ニュウモン</t>
    </rPh>
    <rPh sb="53" eb="55">
      <t>レイワ</t>
    </rPh>
    <rPh sb="61" eb="63">
      <t>ゼンガク</t>
    </rPh>
    <rPh sb="64" eb="66">
      <t>ヒッセィウ</t>
    </rPh>
    <rPh sb="66" eb="68">
      <t>カモク</t>
    </rPh>
    <rPh sb="76" eb="80">
      <t>ネn</t>
    </rPh>
    <rPh sb="81" eb="82">
      <t>トモナイ</t>
    </rPh>
    <rPh sb="101" eb="104">
      <t>ショネn</t>
    </rPh>
    <rPh sb="107" eb="109">
      <t>レイ</t>
    </rPh>
    <rPh sb="111" eb="112">
      <t>ド</t>
    </rPh>
    <rPh sb="116" eb="119">
      <t>リシュウ</t>
    </rPh>
    <rPh sb="133" eb="135">
      <t>イジョウ</t>
    </rPh>
    <rPh sb="141" eb="144">
      <t>リシュウ</t>
    </rPh>
    <rPh sb="145" eb="147">
      <t>ゼンイn</t>
    </rPh>
    <rPh sb="148" eb="150">
      <t>シュウトク</t>
    </rPh>
    <rPh sb="155" eb="156">
      <t>カンガエ</t>
    </rPh>
    <phoneticPr fontId="1"/>
  </si>
  <si>
    <t>本年度より導入した学修成果の可視化システムに本プログラムの成績や履修状況を組み込み毎年度末に学生に通知する。また、本プログラムについては成績や小テスト毎の情報をLMSポートフォリオへの書き込みを行い学生に通知する。</t>
    <rPh sb="0" eb="1">
      <t>ホンネn</t>
    </rPh>
    <rPh sb="14" eb="17">
      <t>カセィ</t>
    </rPh>
    <rPh sb="22" eb="23">
      <t>ホンプ</t>
    </rPh>
    <rPh sb="29" eb="31">
      <t>セイセキ</t>
    </rPh>
    <rPh sb="32" eb="34">
      <t>リシュウ</t>
    </rPh>
    <rPh sb="34" eb="36">
      <t>ジョウキョウ</t>
    </rPh>
    <rPh sb="37" eb="38">
      <t>クミコンデ</t>
    </rPh>
    <rPh sb="41" eb="45">
      <t>マイネn</t>
    </rPh>
    <rPh sb="46" eb="48">
      <t>ガクセイ</t>
    </rPh>
    <rPh sb="49" eb="51">
      <t>ツウティ</t>
    </rPh>
    <rPh sb="57" eb="58">
      <t>ホn</t>
    </rPh>
    <rPh sb="68" eb="79">
      <t>セイセキ</t>
    </rPh>
    <rPh sb="92" eb="93">
      <t>カキコミ</t>
    </rPh>
    <rPh sb="97" eb="98">
      <t>オコナイ</t>
    </rPh>
    <rPh sb="99" eb="101">
      <t>ガクセイ</t>
    </rPh>
    <rPh sb="102" eb="104">
      <t>ツウティ</t>
    </rPh>
    <phoneticPr fontId="1"/>
  </si>
  <si>
    <r>
      <t>理解度については</t>
    </r>
    <r>
      <rPr>
        <sz val="12"/>
        <rFont val="ＭＳ Ｐゴシック"/>
        <family val="3"/>
        <charset val="128"/>
      </rPr>
      <t>70％以上のプログラム対象科目受講生が</t>
    </r>
    <r>
      <rPr>
        <sz val="12"/>
        <rFont val="ＭＳ Ｐゴシック"/>
        <family val="3"/>
        <charset val="128"/>
        <scheme val="minor"/>
      </rPr>
      <t>十分理解していると回答している。</t>
    </r>
    <rPh sb="0" eb="3">
      <t>リカイ</t>
    </rPh>
    <rPh sb="21" eb="23">
      <t>イジョウ</t>
    </rPh>
    <rPh sb="23" eb="26">
      <t>ジュコウセイ</t>
    </rPh>
    <rPh sb="27" eb="31">
      <t>ジュウブn</t>
    </rPh>
    <rPh sb="36" eb="38">
      <t>カイトウ</t>
    </rPh>
    <phoneticPr fontId="1"/>
  </si>
  <si>
    <r>
      <t>直接、後輩に本プログラムの学修を推奨するという個別の意見は得られていないが、</t>
    </r>
    <r>
      <rPr>
        <sz val="12"/>
        <rFont val="ＭＳ Ｐゴシック"/>
        <family val="3"/>
        <charset val="128"/>
      </rPr>
      <t>プログラム対象科目の満足度は80％以上</t>
    </r>
    <r>
      <rPr>
        <sz val="12"/>
        <rFont val="ＭＳ Ｐゴシック"/>
        <family val="3"/>
        <charset val="128"/>
        <scheme val="minor"/>
      </rPr>
      <t>であり十分な成果を上げていると思われる。</t>
    </r>
    <rPh sb="0" eb="2">
      <t>チョク</t>
    </rPh>
    <rPh sb="3" eb="5">
      <t>コウハイ</t>
    </rPh>
    <rPh sb="6" eb="7">
      <t>ホンプ</t>
    </rPh>
    <rPh sb="13" eb="15">
      <t>ガクシュウ</t>
    </rPh>
    <rPh sb="16" eb="18">
      <t>スイショウ</t>
    </rPh>
    <rPh sb="23" eb="25">
      <t>コベテゥ</t>
    </rPh>
    <rPh sb="26" eb="28">
      <t>イケn</t>
    </rPh>
    <rPh sb="29" eb="30">
      <t>エラレ</t>
    </rPh>
    <rPh sb="48" eb="51">
      <t>マンゾク</t>
    </rPh>
    <rPh sb="55" eb="57">
      <t>イジョウ</t>
    </rPh>
    <rPh sb="60" eb="62">
      <t>ジュウブn</t>
    </rPh>
    <rPh sb="63" eb="65">
      <t>セイカ</t>
    </rPh>
    <rPh sb="72" eb="73">
      <t>オモワレ</t>
    </rPh>
    <phoneticPr fontId="1"/>
  </si>
  <si>
    <t>・コンピュータの発展、VUCA、ビッグデータ、IoT、AI 「データサイエンス入門」（１回目）
・転移学習、クラウド・コンピューティング　「データサイエンス入門」（２回目）
・画像認識技術、文字認識技術、顔認証技術、音声認識技術 ルール・ベース、機械学習（教師あり学習、教師なし学習、強化学習）、ディープラーニング 　「データサイエンス入門」（４回目）
・情報セキュリティ脅威事例 暗号化、主体認証 k-匿名性、匿名加工情報「データサイエンス入門」（８回目）</t>
    <rPh sb="1" eb="2">
      <t xml:space="preserve">シタ </t>
    </rPh>
    <phoneticPr fontId="1"/>
  </si>
  <si>
    <t>・建設機械の挙動・状況把握、デジタル複合機のリモート管理、 ロボアドバイザリー、橋梁モニタリング、MaaS シェアリングエコノミー、DtoC、スマートシティ、農作業の意思決定支援、ダイナミックプライシング、個人信用評価、クラウド・ソーシング、クラウド・ファンディング、クラウド・コンピューティング　「データサイエンス入門」（２回目）　
・AIの定義、 推論・探索の時代、知識の時代、機械学習・ディープラーニングの時代・自動検品、危険検知、需要予測、映像解析、予兆検知、渋滞予測、高齢者見守り 「データサイエンス入門」（４回目）</t>
    <phoneticPr fontId="1"/>
  </si>
  <si>
    <t>・情報倫理、知的財産基本法、個人情報の保護に関する法律、ライセンス、プライバシ、ネットワーク社会に関連する　インフォームド・コンセント、 ねつ造・改ざん・盗用 「情報リテラシ」（７回目）
・情報セキュリティの3要素、情報漏えい、不正のトライアングル コンピュータウイルス、サイバー攻撃、サイバー攻撃への対応、情報セキュリティ脅威事例 暗号化、主体認証 k-匿名性、匿名加工情報　「データサイエンス入門」（８回目）</t>
    <phoneticPr fontId="1"/>
  </si>
  <si>
    <t>・ビッグデータ、IoT、AI データサイエンス　「データサイエンス入門」（１回目）
・人の行動ログデータ、機械の稼働ログデータ、 1次データ／2次データ、外部データ／内部データ、構造化／準構造化／非構造化データ オープンデータ、SF Open Data、Crimespotting、Yelp　「データサイエンス入門」（３回目）</t>
    <rPh sb="43" eb="45">
      <t>トットリ</t>
    </rPh>
    <rPh sb="45" eb="46">
      <t>ケn</t>
    </rPh>
    <rPh sb="46" eb="47">
      <t xml:space="preserve">シタ </t>
    </rPh>
    <rPh sb="79" eb="81">
      <t>シンガタ</t>
    </rPh>
    <rPh sb="89" eb="91">
      <t>ヨソク</t>
    </rPh>
    <phoneticPr fontId="1"/>
  </si>
  <si>
    <t>農学部共同獣医学科においては、「情報リテラシ」（1年次前期、２単位、必修）及び「大学入門ゼミ」（1年次前期、2単位、必修）の両方の単位を修得した者</t>
    <rPh sb="0" eb="3">
      <t>ノウガクブ</t>
    </rPh>
    <rPh sb="3" eb="9">
      <t>キョウドウジュウイガッカ</t>
    </rPh>
    <rPh sb="16" eb="18">
      <t>ジョウホウ</t>
    </rPh>
    <rPh sb="26" eb="27">
      <t>j</t>
    </rPh>
    <rPh sb="27" eb="29">
      <t>ゼンキ</t>
    </rPh>
    <rPh sb="34" eb="36">
      <t>ヒッシュウ</t>
    </rPh>
    <rPh sb="37" eb="38">
      <t>オヨ</t>
    </rPh>
    <rPh sb="40" eb="44">
      <t>ダイガクニュウモン</t>
    </rPh>
    <rPh sb="65" eb="67">
      <t>タンイ</t>
    </rPh>
    <rPh sb="68" eb="70">
      <t>シュウトク</t>
    </rPh>
    <rPh sb="72" eb="73">
      <t xml:space="preserve">シャ </t>
    </rPh>
    <phoneticPr fontId="1"/>
  </si>
  <si>
    <t>・スマートグラス ID-POS、Amazon GO、無担保融資、 スマートメーター、クラウド・ファンディング、スマートシティ　「大学入門ゼミ」（１０回目）</t>
    <phoneticPr fontId="1"/>
  </si>
  <si>
    <t>・ビッグデータ、IoT、AI データサイエンス　「大学入門ゼミ」（９回目）
・人の行動ログデータ、機械の稼働ログデータ、 1次データ／2次データ、外部データ／内部データ、構造化／準構造化／非構造化データ オープンデータ、SF Open Data、Crimespotting、Yelp　「大学入門ゼミ」（１１回目）　</t>
    <rPh sb="25" eb="29">
      <t>ダイガクニュウモン</t>
    </rPh>
    <rPh sb="39" eb="41">
      <t>トットリ</t>
    </rPh>
    <rPh sb="41" eb="42">
      <t>ケn</t>
    </rPh>
    <rPh sb="42" eb="43">
      <t xml:space="preserve">シタ </t>
    </rPh>
    <rPh sb="75" eb="77">
      <t>シンガタ</t>
    </rPh>
    <rPh sb="85" eb="87">
      <t>ヨソク</t>
    </rPh>
    <phoneticPr fontId="1"/>
  </si>
  <si>
    <t>・コンピュータの発展、VUCA、ビッグデータ、IoT、AI 「大学入門ゼミ」（９回目）
・転移学習、クラウド・コンピューティング　「大学入門ゼミ」（１０回目）
・画像認識技術、文字認識技術、顔認証技術、音声認識技術 ルール・ベース、機械学習（教師あり学習、教師なし学習、強化学習）、ディープラーニング 　「大学入門ゼミ」（１２回目）
・情報セキュリティ脅威事例 暗号化、主体認証 k-匿名性、匿名加工情報「大学入門ゼミ」（１６回目）</t>
    <rPh sb="1" eb="2">
      <t xml:space="preserve">シタ </t>
    </rPh>
    <phoneticPr fontId="1"/>
  </si>
  <si>
    <t>・建設機械の挙動・状況把握、デジタル複合機のリモート管理、 ロボアドバイザリー、橋梁モニタリング、MaaS シェアリングエコノミー、DtoC、スマートシティ、農作業の意思決定支援、ダイナミックプライシング、個人信用評価、クラウド・ソーシング、クラウド・ファンディング、クラウド・コンピューティング　「大学入門ゼミ」（１０回目）
・AIの定義、 推論・探索の時代、知識の時代、機械学習・ディープラーニングの時代・自動検品、危険検知、需要予測、映像解析、予兆検知、渋滞予測、高齢者見守り 「大学入門ゼミ」（１２回目）</t>
    <phoneticPr fontId="1"/>
  </si>
  <si>
    <t>・情報セキュリティ（機密性・完全性・可用性）、セキュリティ管理　「情報リテラシ」（６回目）
・フレーム問題、ウォズアニックテスト／シンボルグラウンディング問題 強いAIと弱いAI、汎用AIと特化型AI、シンギュラリティ、AIの得意分野・不得意分野　「大学入門ゼミ」（１２回目）
・データ・AIに関連する「ELSI」、プライバシーの権利、個人情報保護法、オプトイン／オプトアウト、GDPR、忘れられる権利 個人情報管理主体（他者・自身）によるメリット・デメリット、GIGO、バイアスを最小化する スナップショット調査、継続調査におけるバイアス、質問票によるバイアス データバイアス、アルゴリズムバイアス、アルゴリズムバイアスの発生事例 AI活用のための原則、人間中心のAI社会原則　「大学入門ゼミ」（１５回目）</t>
    <rPh sb="1" eb="3">
      <t>ジョウホウ</t>
    </rPh>
    <rPh sb="42" eb="44">
      <t>カイ</t>
    </rPh>
    <phoneticPr fontId="1"/>
  </si>
  <si>
    <t>・情報倫理、知的財産基本法、個人情報の保護に関する法律、ライセンス、プライバシ、ネットワーク社会に関連する　インフォームド・コンセント、 ねつ造・改ざん・盗用 「情報リテラシ」（７回目）
・情報セキュリティの3要素、情報漏えい、不正のトライアングル コンピュータウイルス、サイバー攻撃、サイバー攻撃への対応、情報セキュリティ脅威事例 暗号化、主体認証 k-匿名性、匿名加工情報　「大学入門ゼミ」（１６回目）</t>
    <phoneticPr fontId="1"/>
  </si>
  <si>
    <t>・データサイエンス入門（データの収集）「情報リテラシ」（１５回目）
・量的変数と質的変数、尺度、離散変数と連続変数 計算的代表値、位置的代表値　「大学入門ゼミ」（１３回目）　　　　　　　　　　　　　　　　　　　　　　　　　　　　　　　　　　　　　　　　　　　　　　　　　　　　　　　　　　　　　　　　　　　　　　　　　　　　・棒グラフ／円グラフ／レーダーチャート、折れ線グラフ／面グラフ、散布図、ヒートマップ 　「大学入門ゼミ」（１４回目）</t>
    <rPh sb="30" eb="32">
      <t>カイ</t>
    </rPh>
    <phoneticPr fontId="1"/>
  </si>
  <si>
    <t>・データサイエンス入門（データの分析）「情報リテラシ」（１５回目）
・計算的代表値、位置的代表値、分散、標準偏差、偏差値　「大学入門ゼミ」（１３回目）
・条件をそろえた比較、処理の前後の比較、異なる施策による効果の比較 適切なグラフ表現、チャートジャンク コレラマップ、ナポレオンによる侵攻のマップ、人種分布マップ、世界保健チャート 「大学入門ゼミ」（１４回目）</t>
    <phoneticPr fontId="1"/>
  </si>
  <si>
    <t>・データサイエンス入門（データの利用）「情報リテラシ」（１５回目）
・欠損、外れ値、異常値、データクレンジング、相関関係、因果関係、擬似相関、アンスコムの例 全数調査、標本調査、単純無作為抽出法、層別抽出法 認知バイアス、印象操作　「大学入門ゼミ」（１３回目）
・新店舗の売上高予測 顧客層別の可視化、分析 顧客満足度調査データの分析 テキストマイニングツールの活用　「大学入門ゼミ」（１４回目）</t>
    <phoneticPr fontId="1"/>
  </si>
  <si>
    <t>・データサイエンス入門（データの収集）「情報リテラシ」（１５回目）
・量的変数と質的変数、尺度、離散変数と連続変数 計算的代表値、位置的代表値　「データサイエンス入門」（５回目）
・棒グラフ／円グラフ／レーダーチャート、折れ線グラフ／面グラフ、散布図、ヒートマップ 　「データサイエンス入門」（６回目）　　　　　　　　　　　　　　　　　　　　　　　　　　　　　　　　　　　　　　　　　　　　　　　　　</t>
    <rPh sb="30" eb="32">
      <t>カイ</t>
    </rPh>
    <phoneticPr fontId="1"/>
  </si>
  <si>
    <t>・データサイエンス入門（データの分析）「情報リテラシ」（１５回目）
・計算的代表値、位置的代表値、分散、標準偏差、偏差値　「データサイエンス入門」（５回目）
・条件をそろえた比較、処理の前後の比較、異なる施策による効果の比較 適切なグラフ表現、チャートジャンク コレラマップ、ナポレオンによる侵攻のマップ、人種分布マップ、世界保健チャート 「データサイエンス入門」（６回目）</t>
    <phoneticPr fontId="1"/>
  </si>
  <si>
    <t>・データサイエンス入門（データの利用）「情報リテラシ」（１５回目）
・欠損、外れ値、異常値、データクレンジング、相関関係、因果関係、擬似相関、アンスコムの例 全数調査、標本調査、単純無作為抽出法、層別抽出法 認知バイアス、印象操作　「データサイエンス入門」（５回目）
・新店舗の売上高予測 顧客層別の可視化、分析 顧客満足度調査データの分析 テキストマイニングツールの活用　「データサイエンス入門」（６回目）</t>
    <phoneticPr fontId="1"/>
  </si>
  <si>
    <t>○データサイエンス教育センター：田村センター長（理事(教育担当)）、橋本教授、井上教授</t>
    <rPh sb="0" eb="1">
      <t xml:space="preserve">マル </t>
    </rPh>
    <rPh sb="9" eb="11">
      <t>キョウイク</t>
    </rPh>
    <rPh sb="21" eb="23">
      <t>タムラ</t>
    </rPh>
    <rPh sb="34" eb="38">
      <t>ハシモト</t>
    </rPh>
    <rPh sb="39" eb="41">
      <t>イノウエ</t>
    </rPh>
    <rPh sb="41" eb="43">
      <t>キョウ</t>
    </rPh>
    <phoneticPr fontId="1"/>
  </si>
  <si>
    <t>プログラム構成科目の中で情報リテラシは１年次前期で必修科目（2単位）として開講しているので、学生全員が受講する。学科単位で１クラス50名程度となるようクラスを設定しており、全部で１８クラスとしている。担当は情報基盤機構教員4名、医学部教員1名、工学部教員1名の合計6名で担当している。単位未取得者は２年次以降専門の必修講義と重ならないよう教育支援委員会などで時間割を組んでいる。
一方、データサイエンス入門は１年次前期第２クオーターで必修科目（１単位）として開講（ただし医学部保健学科看護学専攻を除く。また、農学部共同獣医学科は「大学入門ゼミ」（必修科目、2単位）の一部として１年次前期に開講）しており、学生全体が受講する。この授業はオンラインコンテンツをLMS上で受講させるもので、データサイエンス教育センター教員3名に加え学部から選出された教員3名などから構成される数理・データサイエンスワーキンググループが監修したコンテンツを用いる。単位未取得者は２年次以降に再度このコンテンツを受講することで修得が可能となる。</t>
    <rPh sb="10" eb="11">
      <t>ナカ</t>
    </rPh>
    <rPh sb="22" eb="24">
      <t>ゼンキ</t>
    </rPh>
    <rPh sb="37" eb="39">
      <t>カイコ</t>
    </rPh>
    <rPh sb="46" eb="48">
      <t>ガクセイ</t>
    </rPh>
    <rPh sb="48" eb="50">
      <t>ゼンイn</t>
    </rPh>
    <rPh sb="51" eb="53">
      <t>ジュコウ</t>
    </rPh>
    <rPh sb="56" eb="58">
      <t>ガッカ</t>
    </rPh>
    <rPh sb="58" eb="60">
      <t>タンイ</t>
    </rPh>
    <rPh sb="79" eb="81">
      <t>セッテイ</t>
    </rPh>
    <rPh sb="86" eb="87">
      <t xml:space="preserve">ゼン </t>
    </rPh>
    <rPh sb="87" eb="88">
      <t xml:space="preserve">ブデ </t>
    </rPh>
    <rPh sb="100" eb="102">
      <t>タントウ</t>
    </rPh>
    <rPh sb="103" eb="107">
      <t>ジョウホウ</t>
    </rPh>
    <rPh sb="107" eb="109">
      <t>キコウ</t>
    </rPh>
    <rPh sb="109" eb="111">
      <t>キョウイn</t>
    </rPh>
    <rPh sb="114" eb="117">
      <t>イガク</t>
    </rPh>
    <rPh sb="117" eb="119">
      <t>キョウイn</t>
    </rPh>
    <rPh sb="122" eb="127">
      <t>コウガク</t>
    </rPh>
    <rPh sb="130" eb="132">
      <t>ゴウケイ</t>
    </rPh>
    <rPh sb="135" eb="137">
      <t>タントウ</t>
    </rPh>
    <rPh sb="142" eb="148">
      <t>タンイ</t>
    </rPh>
    <rPh sb="150" eb="154">
      <t>ネn</t>
    </rPh>
    <rPh sb="154" eb="156">
      <t>センモn</t>
    </rPh>
    <rPh sb="157" eb="161">
      <t>ヒッセィウ</t>
    </rPh>
    <rPh sb="162" eb="163">
      <t>カサナラナ</t>
    </rPh>
    <rPh sb="169" eb="171">
      <t>キョウイク</t>
    </rPh>
    <rPh sb="171" eb="176">
      <t>シエンイイ</t>
    </rPh>
    <rPh sb="179" eb="182">
      <t>ジカn</t>
    </rPh>
    <rPh sb="190" eb="191">
      <t>イッポウ</t>
    </rPh>
    <rPh sb="191" eb="192">
      <t>イッポウ</t>
    </rPh>
    <rPh sb="218" eb="220">
      <t>キョウイn</t>
    </rPh>
    <rPh sb="225" eb="227">
      <t>ガク</t>
    </rPh>
    <rPh sb="227" eb="228">
      <t>ナラビ</t>
    </rPh>
    <rPh sb="298" eb="299">
      <t>センセィウ</t>
    </rPh>
    <rPh sb="302" eb="306">
      <t>ガクセイ</t>
    </rPh>
    <rPh sb="307" eb="309">
      <t>ジュコウ</t>
    </rPh>
    <rPh sb="318" eb="320">
      <t>キョウイn</t>
    </rPh>
    <rPh sb="342" eb="344">
      <t>カンシュウ</t>
    </rPh>
    <rPh sb="360" eb="361">
      <t>ジョウ</t>
    </rPh>
    <rPh sb="362" eb="364">
      <t>ジュコウ</t>
    </rPh>
    <rPh sb="380" eb="382">
      <t>コウセイ</t>
    </rPh>
    <rPh sb="385" eb="387">
      <t>スウリ</t>
    </rPh>
    <rPh sb="416" eb="417">
      <t>モティ</t>
    </rPh>
    <rPh sb="433" eb="435">
      <t>_x0000__x0000__x0002_</t>
    </rPh>
    <rPh sb="443" eb="445">
      <t>_x0004__x000D__x0001__x0006_</t>
    </rPh>
    <rPh sb="450" eb="452">
      <t/>
    </rPh>
    <phoneticPr fontId="1"/>
  </si>
  <si>
    <t>本教育プログラムのうち、「データサイエンス入門」（農学部共同獣医学科においては「大学入門ゼミ」の一部）をオンデマンド教材としてLMS上に配置することで、学生がいつでも講義を閲覧でき、個人のペースで学習できる環境を構築している。また、令和3年度は医学部保健学科看護学専攻を除く全学部・学科開講の必修科目であった当該授業科目を、令和4年度から1年次全学生対象の必修科目（農学部共同獣医学科においても、「大学入門ゼミ」から「データサイエンス入門」に変更）へと拡大する。</t>
    <rPh sb="21" eb="23">
      <t>ニュウモン</t>
    </rPh>
    <rPh sb="25" eb="34">
      <t>ノウガクブキョウドウジュウイガッカ</t>
    </rPh>
    <rPh sb="40" eb="44">
      <t>ダイガクニュウモン</t>
    </rPh>
    <rPh sb="48" eb="50">
      <t>イチブ</t>
    </rPh>
    <rPh sb="122" eb="125">
      <t>イガクブ</t>
    </rPh>
    <rPh sb="125" eb="129">
      <t>ホケンガッカ</t>
    </rPh>
    <rPh sb="129" eb="134">
      <t>カンゴガクセンコウ</t>
    </rPh>
    <rPh sb="135" eb="136">
      <t>ノゾ</t>
    </rPh>
    <rPh sb="139" eb="140">
      <t>ブ</t>
    </rPh>
    <rPh sb="141" eb="143">
      <t>ガッカ</t>
    </rPh>
    <rPh sb="143" eb="145">
      <t>カイコウ</t>
    </rPh>
    <rPh sb="146" eb="150">
      <t>ヒッシュウカモク</t>
    </rPh>
    <rPh sb="178" eb="182">
      <t>ヒッシュウカモク</t>
    </rPh>
    <rPh sb="183" eb="186">
      <t>ノウガクブ</t>
    </rPh>
    <rPh sb="186" eb="192">
      <t>キョウドウジュウイガッカ</t>
    </rPh>
    <rPh sb="199" eb="203">
      <t>ダイガクニュウモン</t>
    </rPh>
    <rPh sb="217" eb="219">
      <t>ニュウモン</t>
    </rPh>
    <rPh sb="221" eb="223">
      <t>ヘンコウ</t>
    </rPh>
    <phoneticPr fontId="1"/>
  </si>
  <si>
    <t>卒業生並びに就職先へのアンケート調査を定期的に行なっており、その中でDP能力や技術スキルも調査項目としている。今年度からAI・データサイエンスに関する知識、技能も卒業生並びに就職先から聞き取りを行っているので、本プログラムを履修した学生が卒業した後、本年度のデータと比較することで充分な比較データが得られる。</t>
    <rPh sb="0" eb="2">
      <t>ソツギョウ</t>
    </rPh>
    <rPh sb="2" eb="3">
      <t>ガクセイ</t>
    </rPh>
    <rPh sb="3" eb="4">
      <t>ナラビ</t>
    </rPh>
    <rPh sb="6" eb="9">
      <t>シュウショク</t>
    </rPh>
    <rPh sb="16" eb="18">
      <t>チョウ</t>
    </rPh>
    <rPh sb="19" eb="22">
      <t>テイキ</t>
    </rPh>
    <rPh sb="36" eb="38">
      <t>ノウリョク</t>
    </rPh>
    <rPh sb="39" eb="41">
      <t>ギジュテゥ</t>
    </rPh>
    <rPh sb="47" eb="49">
      <t>チョウ</t>
    </rPh>
    <rPh sb="55" eb="58">
      <t>コンネn</t>
    </rPh>
    <rPh sb="72" eb="73">
      <t>カンス</t>
    </rPh>
    <rPh sb="75" eb="77">
      <t>チシキ</t>
    </rPh>
    <rPh sb="78" eb="80">
      <t>ギノウ</t>
    </rPh>
    <rPh sb="81" eb="84">
      <t>ソツギョウ</t>
    </rPh>
    <rPh sb="92" eb="93">
      <t>キキトリ</t>
    </rPh>
    <rPh sb="105" eb="106">
      <t>ホンプ</t>
    </rPh>
    <rPh sb="112" eb="114">
      <t>リシュウ</t>
    </rPh>
    <rPh sb="116" eb="118">
      <t>ガクセイ</t>
    </rPh>
    <rPh sb="123" eb="124">
      <t xml:space="preserve">ノチ </t>
    </rPh>
    <rPh sb="125" eb="128">
      <t>ホンネ</t>
    </rPh>
    <rPh sb="140" eb="142">
      <t>ジュウブn</t>
    </rPh>
    <rPh sb="143" eb="145">
      <t>ヒカク</t>
    </rPh>
    <rPh sb="149" eb="150">
      <t>エラレ</t>
    </rPh>
    <phoneticPr fontId="1"/>
  </si>
  <si>
    <r>
      <t>LMSによって履修情報が入手できるので、毎年度履修者数、履修率向上に向けた計画の達成・進捗状況をチェックできる。また授業</t>
    </r>
    <r>
      <rPr>
        <sz val="12"/>
        <rFont val="ＭＳ Ｐゴシック"/>
        <family val="3"/>
        <charset val="128"/>
      </rPr>
      <t>アンケート、</t>
    </r>
    <r>
      <rPr>
        <sz val="12"/>
        <rFont val="ＭＳ Ｐゴシック"/>
        <family val="3"/>
        <charset val="128"/>
        <scheme val="minor"/>
      </rPr>
      <t>成績やバックグラウンド、入試情報などを元に習熟度別の教材開発も可能である。</t>
    </r>
    <rPh sb="7" eb="9">
      <t>リシュウ</t>
    </rPh>
    <rPh sb="9" eb="11">
      <t>リシュジヨ</t>
    </rPh>
    <rPh sb="12" eb="14">
      <t>ニュウセィウ</t>
    </rPh>
    <rPh sb="20" eb="23">
      <t>マイネn</t>
    </rPh>
    <rPh sb="66" eb="68">
      <t>セイセキ</t>
    </rPh>
    <rPh sb="78" eb="82">
      <t>ニュウセィ</t>
    </rPh>
    <rPh sb="85" eb="86">
      <t>モトニ</t>
    </rPh>
    <rPh sb="87" eb="89">
      <t>シュウジュク</t>
    </rPh>
    <rPh sb="89" eb="91">
      <t>ユジュク</t>
    </rPh>
    <rPh sb="97" eb="99">
      <t>カノウ</t>
    </rPh>
    <phoneticPr fontId="1"/>
  </si>
  <si>
    <t>・情報セキュリティ（機密性・完全性・可用性）、セキュリティ管理　「情報リテラシ」（６回目）
・フレーム問題、ウォズアニックテスト／シンボルグラウンディング問題 強いAIと弱いAI、汎用AIと特化型AI、シンギュラリティ、AIの得意分野・不得意分野　「データサイエンス入門」（４回目）
・データ・AIに関連する「ELSI」、プライバシーの権利、個人情報保護法、オプトイン／オプトアウト、GDPR、忘れられる権利 個人情報管理主体（他者・自身）によるメリット・デメリット、GIGO、バイアスを最小化する スナップショット調査、継続調査におけるバイアス、質問票によるバイアス データバイアス、アルゴリズムバイアス、アルゴリズムバイアスの発生事例 AI活用のための原則、人間中心のAI社会原則　「データサイエンス入門」（７回目）</t>
    <rPh sb="1" eb="3">
      <t>ジョウホウ</t>
    </rPh>
    <rPh sb="42" eb="44">
      <t>カイ</t>
    </rPh>
    <phoneticPr fontId="1"/>
  </si>
  <si>
    <r>
      <t>入学後のガイダンス、SNS、</t>
    </r>
    <r>
      <rPr>
        <sz val="12"/>
        <rFont val="ＭＳ Ｐゴシック"/>
        <family val="3"/>
        <charset val="128"/>
      </rPr>
      <t>個</t>
    </r>
    <r>
      <rPr>
        <sz val="12"/>
        <rFont val="ＭＳ Ｐゴシック"/>
        <family val="3"/>
        <charset val="128"/>
        <scheme val="minor"/>
      </rPr>
      <t>人メール並びにLMSによる掲示によって上記必修科目の受講説明を行なっている。同時に共通教育に関する相談窓口と各クラスの担当教員の連絡先を通知している。また、</t>
    </r>
    <r>
      <rPr>
        <sz val="12"/>
        <rFont val="ＭＳ Ｐゴシック"/>
        <family val="3"/>
        <charset val="128"/>
      </rPr>
      <t>データサイエンス入門（農学部共同獣医学科は「大学入門ゼミ」の一部）では、</t>
    </r>
    <r>
      <rPr>
        <sz val="12"/>
        <rFont val="ＭＳ Ｐゴシック"/>
        <family val="3"/>
        <charset val="128"/>
        <scheme val="minor"/>
      </rPr>
      <t>授業毎にLMS上で小テストを行い、合格点を取るまでは何度も受験できるよう設定している。この小テストの個人毎の受験、</t>
    </r>
    <r>
      <rPr>
        <sz val="12"/>
        <rFont val="ＭＳ Ｐゴシック"/>
        <family val="3"/>
        <charset val="128"/>
      </rPr>
      <t>解</t>
    </r>
    <r>
      <rPr>
        <sz val="12"/>
        <rFont val="ＭＳ Ｐゴシック"/>
        <family val="3"/>
        <charset val="128"/>
        <scheme val="minor"/>
      </rPr>
      <t>答、正解状況を把握しており未受験、未回答、不合格の場合には再度受験をするよう個人毎に通知している。また進捗状況が悪い学生にはメールの他に所属学部のチューターを通じて学修を促している。</t>
    </r>
    <rPh sb="0" eb="3">
      <t>ニュウガク</t>
    </rPh>
    <rPh sb="14" eb="15">
      <t xml:space="preserve">コ </t>
    </rPh>
    <rPh sb="15" eb="16">
      <t>コンジンメ-</t>
    </rPh>
    <rPh sb="19" eb="20">
      <t>ナラビ</t>
    </rPh>
    <rPh sb="28" eb="30">
      <t>ケイジ</t>
    </rPh>
    <rPh sb="34" eb="40">
      <t>ジョウ</t>
    </rPh>
    <rPh sb="41" eb="45">
      <t>ジュコウ</t>
    </rPh>
    <rPh sb="53" eb="55">
      <t>ドウジ</t>
    </rPh>
    <rPh sb="56" eb="60">
      <t>キョウツウ</t>
    </rPh>
    <rPh sb="64" eb="68">
      <t>ソウダn</t>
    </rPh>
    <rPh sb="69" eb="70">
      <t>カク</t>
    </rPh>
    <rPh sb="74" eb="76">
      <t>タントウ</t>
    </rPh>
    <rPh sb="76" eb="78">
      <t>キョウイn</t>
    </rPh>
    <rPh sb="79" eb="82">
      <t>レンラク</t>
    </rPh>
    <rPh sb="83" eb="85">
      <t>ツウティ</t>
    </rPh>
    <rPh sb="129" eb="132">
      <t>ジュギョウ</t>
    </rPh>
    <rPh sb="136" eb="137">
      <t>ジョウ</t>
    </rPh>
    <rPh sb="138" eb="139">
      <t>ショウテス</t>
    </rPh>
    <rPh sb="146" eb="149">
      <t>ゴウカク</t>
    </rPh>
    <rPh sb="150" eb="151">
      <t>トルマ</t>
    </rPh>
    <rPh sb="174" eb="175">
      <t>ショウテス</t>
    </rPh>
    <rPh sb="179" eb="182">
      <t>コジn</t>
    </rPh>
    <rPh sb="183" eb="185">
      <t>ジュケn</t>
    </rPh>
    <rPh sb="186" eb="187">
      <t xml:space="preserve">カイ </t>
    </rPh>
    <rPh sb="187" eb="188">
      <t>カイトウ</t>
    </rPh>
    <rPh sb="189" eb="193">
      <t>セイカ</t>
    </rPh>
    <rPh sb="194" eb="196">
      <t>ハアク</t>
    </rPh>
    <rPh sb="200" eb="203">
      <t>ミジュケn</t>
    </rPh>
    <rPh sb="204" eb="207">
      <t>ミカイ</t>
    </rPh>
    <rPh sb="208" eb="211">
      <t>フゴウカク</t>
    </rPh>
    <rPh sb="216" eb="218">
      <t>サイド</t>
    </rPh>
    <rPh sb="218" eb="220">
      <t>ジュケn</t>
    </rPh>
    <rPh sb="225" eb="228">
      <t>コジn</t>
    </rPh>
    <rPh sb="229" eb="231">
      <t>ツウティ</t>
    </rPh>
    <rPh sb="238" eb="242">
      <t>シンチョク</t>
    </rPh>
    <rPh sb="243" eb="244">
      <t>ワルイ</t>
    </rPh>
    <rPh sb="245" eb="247">
      <t>ガクセイ</t>
    </rPh>
    <rPh sb="253" eb="254">
      <t xml:space="preserve">ホカ </t>
    </rPh>
    <rPh sb="255" eb="257">
      <t>ショゾク</t>
    </rPh>
    <rPh sb="257" eb="259">
      <t>ガク</t>
    </rPh>
    <rPh sb="266" eb="267">
      <t>ツウジ</t>
    </rPh>
    <rPh sb="269" eb="271">
      <t>ガクシュウ</t>
    </rPh>
    <rPh sb="272" eb="273">
      <t>ウナガセィ</t>
    </rPh>
    <phoneticPr fontId="1"/>
  </si>
  <si>
    <t>「データサイエンス入門」には社会における身近なAI・データサイエンスの活用情報が組み込んであり、さらに各学部における研究でのデータサイエンスの活用に関する単元を１時間分設け近い将来における実際の利用を示すことで学ぶ楽しさや学修意欲を高める工夫を行っている。また、「情報リテラシ」と「データサイエンス入門」が１年次前期に配当されているが、後期にはさらにレベルアップできる「データ科学の基礎」も２単位の選択科目として開講している。次年度からはこの講義をオンデマンドコンテンツとして各学部の学修状況に合わせ卒論開始前の２−３年次に履修するよう促すことで、より学修効果を高める。なお共同獣医学科では「大学入門ゼミ」の中で「データサイエンス入門」の講義を行っている。</t>
    <rPh sb="9" eb="11">
      <t>ニュウモn</t>
    </rPh>
    <rPh sb="14" eb="16">
      <t>シャカイ</t>
    </rPh>
    <rPh sb="20" eb="22">
      <t>ミジカナ</t>
    </rPh>
    <rPh sb="26" eb="29">
      <t>カクガク</t>
    </rPh>
    <rPh sb="33" eb="52">
      <t>ケンキュウ</t>
    </rPh>
    <rPh sb="63" eb="65">
      <t>カツヨウ</t>
    </rPh>
    <rPh sb="69" eb="71">
      <t>タンゲn</t>
    </rPh>
    <rPh sb="76" eb="77">
      <t>モウケテ</t>
    </rPh>
    <rPh sb="82" eb="84">
      <t>ショウライ</t>
    </rPh>
    <rPh sb="86" eb="87">
      <t>チカイ</t>
    </rPh>
    <rPh sb="88" eb="90">
      <t>ショウライ</t>
    </rPh>
    <rPh sb="94" eb="96">
      <t>ジッサイ</t>
    </rPh>
    <rPh sb="97" eb="99">
      <t>リヨウ</t>
    </rPh>
    <rPh sb="100" eb="101">
      <t>シメス</t>
    </rPh>
    <rPh sb="105" eb="106">
      <t>マナブ</t>
    </rPh>
    <rPh sb="111" eb="115">
      <t>ガクシュウ</t>
    </rPh>
    <rPh sb="116" eb="117">
      <t>タカメ</t>
    </rPh>
    <rPh sb="122" eb="123">
      <t>オコナッテ</t>
    </rPh>
    <rPh sb="156" eb="158">
      <t>１ネn</t>
    </rPh>
    <rPh sb="168" eb="170">
      <t>コウキニ</t>
    </rPh>
    <rPh sb="188" eb="190">
      <t>カガク</t>
    </rPh>
    <rPh sb="199" eb="203">
      <t>センタクカモク</t>
    </rPh>
    <rPh sb="206" eb="208">
      <t>カイコ</t>
    </rPh>
    <rPh sb="213" eb="216">
      <t>ジネンド</t>
    </rPh>
    <rPh sb="221" eb="223">
      <t>コウギ</t>
    </rPh>
    <rPh sb="238" eb="241">
      <t>カクガク</t>
    </rPh>
    <rPh sb="242" eb="246">
      <t>ガクシュウ</t>
    </rPh>
    <rPh sb="250" eb="255">
      <t>ソツロn</t>
    </rPh>
    <rPh sb="260" eb="261">
      <t xml:space="preserve">ジニ </t>
    </rPh>
    <rPh sb="262" eb="264">
      <t>リシュウ</t>
    </rPh>
    <rPh sb="268" eb="269">
      <t>ウナガス</t>
    </rPh>
    <rPh sb="276" eb="278">
      <t>ガクシュウ</t>
    </rPh>
    <rPh sb="278" eb="280">
      <t>コウカ</t>
    </rPh>
    <rPh sb="284" eb="285">
      <t>コウカ</t>
    </rPh>
    <rPh sb="287" eb="291">
      <t xml:space="preserve">キョウドウジュウイガッカ </t>
    </rPh>
    <rPh sb="291" eb="293">
      <t>ガッカ</t>
    </rPh>
    <rPh sb="296" eb="300">
      <t>ダイガク</t>
    </rPh>
    <rPh sb="304" eb="305">
      <t>ナカ</t>
    </rPh>
    <rPh sb="322" eb="323">
      <t>オコナッテ</t>
    </rPh>
    <phoneticPr fontId="1"/>
  </si>
  <si>
    <t>「情報リテラシ」および「データサイエンス入門」に対しての学生アンケート、質問並びに数理・データサイエンスワーキンググループ委員からの学部教育との連動性に関する意見並びに各学部と教育支援・国際交流推進機構との意見交換会での評価をもとに内容・水準を維持・向上しつつ、より「分かりやすい」授業になるよう改善する。また高等学校の情報の教材と高等学校教員の意見も参考にして両科目のアップデートを行う。なお共同獣医学科では「大学入門ゼミ」の中で「データサイエンス入門」の講義を行っている。</t>
    <rPh sb="24" eb="25">
      <t>タイシテ</t>
    </rPh>
    <rPh sb="28" eb="30">
      <t>ガクセイ</t>
    </rPh>
    <rPh sb="36" eb="38">
      <t>シツモn</t>
    </rPh>
    <rPh sb="38" eb="39">
      <t>ナラビ</t>
    </rPh>
    <rPh sb="41" eb="43">
      <t>スウリ</t>
    </rPh>
    <rPh sb="155" eb="159">
      <t>コウトウ</t>
    </rPh>
    <rPh sb="160" eb="162">
      <t>ジョウホウ</t>
    </rPh>
    <rPh sb="163" eb="165">
      <t>キョウザイ</t>
    </rPh>
    <rPh sb="166" eb="172">
      <t>コウトウガッコウ</t>
    </rPh>
    <rPh sb="176" eb="178">
      <t>サンコウ</t>
    </rPh>
    <rPh sb="181" eb="184">
      <t>リョウカモ</t>
    </rPh>
    <phoneticPr fontId="1"/>
  </si>
  <si>
    <t>・スタートアップ企業の台頭、社会とデータサイエンスの身近な関わり VUCA、データ活用のコモディティ化 ビッグデータ　「データサイエンス入門」（１回目）
・建設機械の挙動・状況把握、デジタル複合機のリモート管理、 ロボアドバイザリー、橋梁モニタリング、MaaS シェアリングエコノミー、DtoC、スマートシティ、農作業の意思決定支援、ダイナミックプライシング、個人信用評価、クラウド・ソーシング、クラウド・ファンディング、クラウド・コンピューティング　「データサイエンス入門」（２回目）
・鳥取県内におけるデータ利活用「データサイエンス入門」（３回目）</t>
    <rPh sb="162" eb="166">
      <t>チイキ</t>
    </rPh>
    <rPh sb="248" eb="249">
      <t>ナイ</t>
    </rPh>
    <phoneticPr fontId="1"/>
  </si>
  <si>
    <t>・スタートアップ企業の台頭、社会とデータサイエンスの身近な関わり VUCA、データ活用のコモディティ化 ビッグデータ　「大学入門ゼミ」（９回目）
・建設機械の挙動・状況把握、デジタル複合機のリモート管理、 ロボアドバイザリー、橋梁モニタリング、MaaS シェアリングエコノミー、DtoC、スマートシティ、農作業の意思決定支援、ダイナミックプライシング、個人信用評価、クラウド・ソーシング、クラウド・ファンディング、クラウド・コンピューティング　「大学入門ゼミ」（１０回目）
・鳥取県内におけるデータ利活用「大学入門ゼミ」（１１回目）</t>
    <rPh sb="158" eb="162">
      <t>チイキ</t>
    </rPh>
    <rPh sb="241" eb="242">
      <t>ナイ</t>
    </rPh>
    <phoneticPr fontId="1"/>
  </si>
  <si>
    <t>農学部共同獣医学科以外の学部・学科においては、「情報リテラシ」（1年次前期、２単位、必修）及び「データサイエンス入門」（1年次前期、1単位、必修（医学部保健学科看護学専攻は選択））の両方の単位を修得した者</t>
    <rPh sb="9" eb="11">
      <t>イガイ</t>
    </rPh>
    <rPh sb="12" eb="14">
      <t>ガクブ</t>
    </rPh>
    <rPh sb="15" eb="17">
      <t>ガッカ</t>
    </rPh>
    <rPh sb="56" eb="58">
      <t>ニュウモン</t>
    </rPh>
    <rPh sb="73" eb="80">
      <t>イガクブホケンガッカ</t>
    </rPh>
    <rPh sb="80" eb="85">
      <t>カンゴガクセンコウ</t>
    </rPh>
    <rPh sb="86" eb="88">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</si>
</sst>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3"/>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
      <sz val="10"/>
      <name val="ＭＳ Ｐゴシック"/>
      <family val="3"/>
      <charset val="128"/>
      <scheme val="minor"/>
    </font>
    <font>
      <sz val="7"/>
      <name val="ＭＳ Ｐゴシック"/>
      <family val="3"/>
      <charset val="128"/>
      <scheme val="minor"/>
    </font>
    <font>
      <sz val="16"/>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style="hair">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73">
    <xf numFmtId="0" fontId="0" fillId="0" borderId="0" xfId="0">
      <alignment vertical="center"/>
    </xf>
    <xf numFmtId="0" fontId="4" fillId="0" borderId="0" xfId="0" applyFont="1" applyFill="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Border="1" applyAlignment="1">
      <alignment vertical="center" shrinkToFit="1"/>
    </xf>
    <xf numFmtId="0" fontId="4" fillId="0" borderId="0" xfId="0" applyFont="1" applyFill="1" applyBorder="1" applyAlignment="1">
      <alignment vertical="center"/>
    </xf>
    <xf numFmtId="0" fontId="4" fillId="0" borderId="1" xfId="0" applyFont="1" applyFill="1" applyBorder="1" applyAlignment="1">
      <alignment horizontal="center" vertical="center" shrinkToFit="1"/>
    </xf>
    <xf numFmtId="0" fontId="4" fillId="0" borderId="5" xfId="0" applyFont="1" applyFill="1" applyBorder="1">
      <alignment vertical="center"/>
    </xf>
    <xf numFmtId="176" fontId="4" fillId="0" borderId="0" xfId="0" applyNumberFormat="1" applyFont="1" applyFill="1" applyBorder="1" applyAlignment="1">
      <alignment vertical="center" wrapText="1"/>
    </xf>
    <xf numFmtId="0" fontId="4" fillId="0" borderId="0" xfId="0" applyFont="1" applyFill="1" applyBorder="1">
      <alignment vertical="center"/>
    </xf>
    <xf numFmtId="176" fontId="4" fillId="0" borderId="5" xfId="0" applyNumberFormat="1" applyFont="1" applyFill="1" applyBorder="1" applyAlignment="1">
      <alignment vertical="center"/>
    </xf>
    <xf numFmtId="176" fontId="4" fillId="0" borderId="0" xfId="0" applyNumberFormat="1" applyFont="1" applyFill="1" applyBorder="1">
      <alignment vertical="center"/>
    </xf>
    <xf numFmtId="0" fontId="4" fillId="0" borderId="0" xfId="0" applyFont="1" applyFill="1" applyBorder="1" applyAlignment="1">
      <alignment horizontal="center" vertical="center"/>
    </xf>
    <xf numFmtId="176" fontId="4" fillId="0" borderId="0" xfId="0" applyNumberFormat="1" applyFont="1" applyFill="1" applyAlignment="1">
      <alignment vertical="center" wrapText="1"/>
    </xf>
    <xf numFmtId="0" fontId="4" fillId="0" borderId="0" xfId="0" applyFont="1" applyFill="1" applyAlignment="1">
      <alignment horizontal="center" vertical="center"/>
    </xf>
    <xf numFmtId="176" fontId="4" fillId="0" borderId="3" xfId="0" applyNumberFormat="1" applyFont="1" applyFill="1" applyBorder="1" applyAlignment="1">
      <alignment vertical="center" shrinkToFit="1"/>
    </xf>
    <xf numFmtId="176" fontId="4" fillId="0" borderId="0" xfId="0" applyNumberFormat="1" applyFont="1" applyFill="1" applyAlignment="1">
      <alignment horizontal="left" vertical="center" wrapText="1"/>
    </xf>
    <xf numFmtId="0" fontId="4" fillId="0" borderId="6" xfId="0" applyFont="1" applyFill="1" applyBorder="1" applyAlignment="1">
      <alignment vertical="center" shrinkToFit="1"/>
    </xf>
    <xf numFmtId="0" fontId="4" fillId="0" borderId="0" xfId="0" applyFont="1" applyFill="1" applyBorder="1" applyAlignment="1">
      <alignment horizontal="center" vertical="center" shrinkToFit="1"/>
    </xf>
    <xf numFmtId="0" fontId="4" fillId="0" borderId="10" xfId="0" applyFont="1" applyFill="1" applyBorder="1" applyAlignment="1">
      <alignment vertical="center" shrinkToFit="1"/>
    </xf>
    <xf numFmtId="0" fontId="4" fillId="0" borderId="1" xfId="0" applyFont="1" applyFill="1" applyBorder="1" applyAlignment="1">
      <alignment vertical="center" shrinkToFit="1"/>
    </xf>
    <xf numFmtId="0" fontId="4" fillId="0" borderId="2" xfId="0" applyFont="1" applyFill="1" applyBorder="1">
      <alignment vertical="center"/>
    </xf>
    <xf numFmtId="0" fontId="4" fillId="0" borderId="4" xfId="0" applyFont="1" applyFill="1" applyBorder="1">
      <alignment vertical="center"/>
    </xf>
    <xf numFmtId="0" fontId="4" fillId="0" borderId="1" xfId="0" applyFont="1" applyFill="1" applyBorder="1">
      <alignment vertical="center"/>
    </xf>
    <xf numFmtId="0" fontId="10" fillId="0" borderId="4" xfId="0" applyFont="1" applyFill="1" applyBorder="1" applyAlignment="1">
      <alignment horizontal="center" vertical="center" shrinkToFit="1"/>
    </xf>
    <xf numFmtId="49" fontId="8" fillId="0" borderId="1" xfId="0" applyNumberFormat="1" applyFont="1" applyFill="1" applyBorder="1" applyAlignment="1">
      <alignment horizontal="center" vertical="center"/>
    </xf>
    <xf numFmtId="0" fontId="4" fillId="0" borderId="14" xfId="0" applyFont="1" applyFill="1" applyBorder="1" applyAlignment="1">
      <alignment horizontal="center" vertical="center" shrinkToFit="1"/>
    </xf>
    <xf numFmtId="0" fontId="4" fillId="0" borderId="23" xfId="0" applyFont="1" applyFill="1" applyBorder="1" applyAlignment="1">
      <alignment horizontal="center" vertical="center" shrinkToFit="1"/>
    </xf>
    <xf numFmtId="0" fontId="4" fillId="0" borderId="13" xfId="0" applyFont="1" applyFill="1" applyBorder="1" applyAlignment="1">
      <alignment horizontal="center" vertical="center" shrinkToFit="1"/>
    </xf>
    <xf numFmtId="0" fontId="4" fillId="0" borderId="43" xfId="0" applyFont="1" applyFill="1" applyBorder="1" applyAlignment="1">
      <alignment horizontal="center" vertical="center" shrinkToFit="1"/>
    </xf>
    <xf numFmtId="0" fontId="4" fillId="0" borderId="0" xfId="0" applyFont="1" applyFill="1" applyAlignment="1">
      <alignment vertical="center" shrinkToFit="1"/>
    </xf>
    <xf numFmtId="0" fontId="4" fillId="0" borderId="0" xfId="0" applyFont="1" applyFill="1" applyAlignment="1">
      <alignment vertical="top" wrapText="1"/>
    </xf>
    <xf numFmtId="0" fontId="4" fillId="0" borderId="2" xfId="0" applyFont="1" applyFill="1" applyBorder="1" applyAlignment="1">
      <alignment vertical="center"/>
    </xf>
    <xf numFmtId="0" fontId="4" fillId="0" borderId="3" xfId="0" applyFont="1" applyFill="1" applyBorder="1" applyAlignment="1">
      <alignment vertical="center"/>
    </xf>
    <xf numFmtId="0" fontId="4" fillId="0" borderId="4" xfId="0" applyFont="1" applyFill="1" applyBorder="1" applyAlignment="1">
      <alignment vertical="center"/>
    </xf>
    <xf numFmtId="0" fontId="4" fillId="0" borderId="38" xfId="0" applyFont="1" applyFill="1" applyBorder="1" applyAlignment="1">
      <alignment horizontal="center" vertical="center"/>
    </xf>
    <xf numFmtId="0" fontId="4" fillId="0" borderId="18" xfId="0" applyFont="1" applyFill="1" applyBorder="1" applyAlignment="1">
      <alignment horizontal="center" vertical="center"/>
    </xf>
    <xf numFmtId="0" fontId="4" fillId="0" borderId="42" xfId="0" applyFont="1" applyFill="1" applyBorder="1" applyAlignment="1">
      <alignment horizontal="center" vertical="center"/>
    </xf>
    <xf numFmtId="49" fontId="8" fillId="0" borderId="51" xfId="0" applyNumberFormat="1" applyFont="1" applyFill="1" applyBorder="1" applyAlignment="1">
      <alignment horizontal="center" vertical="center"/>
    </xf>
    <xf numFmtId="49" fontId="8" fillId="0" borderId="52" xfId="0" applyNumberFormat="1" applyFont="1" applyFill="1" applyBorder="1" applyAlignment="1">
      <alignment horizontal="center" vertical="center"/>
    </xf>
    <xf numFmtId="49" fontId="8" fillId="0" borderId="47" xfId="0" applyNumberFormat="1" applyFont="1" applyFill="1" applyBorder="1" applyAlignment="1">
      <alignment horizontal="center" vertical="center"/>
    </xf>
    <xf numFmtId="49" fontId="8" fillId="0" borderId="29" xfId="0" applyNumberFormat="1" applyFont="1" applyFill="1" applyBorder="1" applyAlignment="1">
      <alignment horizontal="center" vertical="center"/>
    </xf>
    <xf numFmtId="49" fontId="8" fillId="0" borderId="50" xfId="0" applyNumberFormat="1" applyFont="1" applyFill="1" applyBorder="1" applyAlignment="1">
      <alignment horizontal="center" vertical="center"/>
    </xf>
    <xf numFmtId="49" fontId="8" fillId="0" borderId="33" xfId="0" applyNumberFormat="1" applyFont="1" applyFill="1" applyBorder="1" applyAlignment="1">
      <alignment horizontal="center" vertical="center"/>
    </xf>
    <xf numFmtId="0" fontId="4" fillId="0" borderId="3" xfId="0" applyFont="1" applyFill="1" applyBorder="1">
      <alignment vertical="center"/>
    </xf>
    <xf numFmtId="0" fontId="4" fillId="0" borderId="0" xfId="0" applyFont="1" applyFill="1" applyAlignment="1">
      <alignment horizontal="center" vertical="center" shrinkToFit="1"/>
    </xf>
    <xf numFmtId="0" fontId="9" fillId="0" borderId="0" xfId="0" applyFont="1" applyFill="1">
      <alignment vertical="center"/>
    </xf>
    <xf numFmtId="0" fontId="13" fillId="0" borderId="11" xfId="0" applyFont="1" applyFill="1" applyBorder="1" applyAlignment="1">
      <alignment horizontal="center" vertical="center"/>
    </xf>
    <xf numFmtId="0" fontId="13" fillId="0" borderId="29" xfId="0" applyFont="1" applyFill="1" applyBorder="1" applyAlignment="1">
      <alignment horizontal="center" vertical="center" wrapText="1"/>
    </xf>
    <xf numFmtId="0" fontId="13" fillId="0" borderId="30" xfId="0" applyFont="1" applyFill="1" applyBorder="1" applyAlignment="1">
      <alignment horizontal="center" vertical="center"/>
    </xf>
    <xf numFmtId="0" fontId="13" fillId="0" borderId="12" xfId="0" applyFont="1" applyFill="1" applyBorder="1" applyAlignment="1">
      <alignment horizontal="center" vertical="center" wrapText="1"/>
    </xf>
    <xf numFmtId="0" fontId="4" fillId="0" borderId="14" xfId="0" applyFont="1" applyFill="1" applyBorder="1" applyAlignment="1">
      <alignment horizontal="left" vertical="center" shrinkToFit="1"/>
    </xf>
    <xf numFmtId="0" fontId="4" fillId="0" borderId="5" xfId="0" applyFont="1" applyFill="1" applyBorder="1" applyAlignment="1">
      <alignment vertical="center" shrinkToFit="1"/>
    </xf>
    <xf numFmtId="176" fontId="4" fillId="0" borderId="19" xfId="0" applyNumberFormat="1" applyFont="1" applyFill="1" applyBorder="1" applyAlignment="1">
      <alignment vertical="center" shrinkToFit="1"/>
    </xf>
    <xf numFmtId="176" fontId="4" fillId="0" borderId="33" xfId="0" applyNumberFormat="1" applyFont="1" applyFill="1" applyBorder="1" applyAlignment="1">
      <alignment vertical="center" shrinkToFit="1"/>
    </xf>
    <xf numFmtId="176" fontId="4" fillId="0" borderId="5" xfId="0" applyNumberFormat="1" applyFont="1" applyFill="1" applyBorder="1" applyAlignment="1">
      <alignment vertical="center" shrinkToFit="1"/>
    </xf>
    <xf numFmtId="176" fontId="4" fillId="0" borderId="51" xfId="0" applyNumberFormat="1" applyFont="1" applyFill="1" applyBorder="1" applyAlignment="1">
      <alignment vertical="center" shrinkToFit="1"/>
    </xf>
    <xf numFmtId="176" fontId="4" fillId="0" borderId="31" xfId="0" applyNumberFormat="1" applyFont="1" applyFill="1" applyBorder="1" applyAlignment="1">
      <alignment vertical="center" shrinkToFit="1"/>
    </xf>
    <xf numFmtId="176" fontId="4" fillId="0" borderId="32" xfId="0" applyNumberFormat="1" applyFont="1" applyFill="1" applyBorder="1" applyAlignment="1">
      <alignment vertical="center" shrinkToFit="1"/>
    </xf>
    <xf numFmtId="176" fontId="4" fillId="0" borderId="10" xfId="0" applyNumberFormat="1" applyFont="1" applyFill="1" applyBorder="1" applyAlignment="1">
      <alignment vertical="center" shrinkToFit="1"/>
    </xf>
    <xf numFmtId="176" fontId="4" fillId="0" borderId="15" xfId="0" applyNumberFormat="1" applyFont="1" applyFill="1" applyBorder="1" applyAlignment="1">
      <alignment vertical="center" shrinkToFit="1"/>
    </xf>
    <xf numFmtId="9" fontId="4" fillId="0" borderId="10" xfId="0" applyNumberFormat="1" applyFont="1" applyFill="1" applyBorder="1" applyAlignment="1">
      <alignment vertical="center" shrinkToFit="1"/>
    </xf>
    <xf numFmtId="0" fontId="4" fillId="0" borderId="23" xfId="0" applyFont="1" applyFill="1" applyBorder="1" applyAlignment="1">
      <alignment horizontal="left" vertical="center" shrinkToFit="1"/>
    </xf>
    <xf numFmtId="0" fontId="4" fillId="0" borderId="20" xfId="0" applyFont="1" applyFill="1" applyBorder="1" applyAlignment="1">
      <alignment vertical="center" shrinkToFit="1"/>
    </xf>
    <xf numFmtId="0" fontId="4" fillId="0" borderId="19" xfId="0" applyFont="1" applyFill="1" applyBorder="1" applyAlignment="1">
      <alignment vertical="center" shrinkToFit="1"/>
    </xf>
    <xf numFmtId="176" fontId="4" fillId="0" borderId="34" xfId="0" applyNumberFormat="1" applyFont="1" applyFill="1" applyBorder="1" applyAlignment="1">
      <alignment vertical="center" shrinkToFit="1"/>
    </xf>
    <xf numFmtId="176" fontId="4" fillId="0" borderId="18" xfId="0" applyNumberFormat="1" applyFont="1" applyFill="1" applyBorder="1" applyAlignment="1">
      <alignment vertical="center" shrinkToFit="1"/>
    </xf>
    <xf numFmtId="176" fontId="4" fillId="0" borderId="23" xfId="0" applyNumberFormat="1" applyFont="1" applyFill="1" applyBorder="1" applyAlignment="1">
      <alignment vertical="center" shrinkToFit="1"/>
    </xf>
    <xf numFmtId="9" fontId="4" fillId="0" borderId="18" xfId="0" applyNumberFormat="1" applyFont="1" applyFill="1" applyBorder="1" applyAlignment="1">
      <alignment vertical="center" shrinkToFit="1"/>
    </xf>
    <xf numFmtId="0" fontId="4" fillId="0" borderId="53" xfId="0" applyFont="1" applyFill="1" applyBorder="1" applyAlignment="1">
      <alignment horizontal="left" vertical="center" shrinkToFit="1"/>
    </xf>
    <xf numFmtId="0" fontId="9" fillId="0" borderId="23" xfId="0" applyFont="1" applyFill="1" applyBorder="1">
      <alignment vertical="center"/>
    </xf>
    <xf numFmtId="9" fontId="4" fillId="0" borderId="23" xfId="0" applyNumberFormat="1" applyFont="1" applyFill="1" applyBorder="1" applyAlignment="1">
      <alignment vertical="center" shrinkToFit="1"/>
    </xf>
    <xf numFmtId="0" fontId="4" fillId="0" borderId="18" xfId="0" applyFont="1" applyFill="1" applyBorder="1" applyAlignment="1">
      <alignment vertical="center" shrinkToFit="1"/>
    </xf>
    <xf numFmtId="0" fontId="4" fillId="0" borderId="24" xfId="0" applyFont="1" applyFill="1" applyBorder="1" applyAlignment="1">
      <alignment horizontal="left" vertical="center" shrinkToFit="1"/>
    </xf>
    <xf numFmtId="176" fontId="4" fillId="0" borderId="24" xfId="0" applyNumberFormat="1" applyFont="1" applyFill="1" applyBorder="1" applyAlignment="1">
      <alignment vertical="center" shrinkToFit="1"/>
    </xf>
    <xf numFmtId="0" fontId="4" fillId="0" borderId="28" xfId="0" applyFont="1" applyFill="1" applyBorder="1" applyAlignment="1">
      <alignment horizontal="center" vertical="center" shrinkToFit="1"/>
    </xf>
    <xf numFmtId="0" fontId="4" fillId="0" borderId="26" xfId="0" applyFont="1" applyFill="1" applyBorder="1" applyAlignment="1">
      <alignment vertical="center" shrinkToFit="1"/>
    </xf>
    <xf numFmtId="0" fontId="4" fillId="0" borderId="25" xfId="0" applyFont="1" applyFill="1" applyBorder="1" applyAlignment="1">
      <alignment vertical="center" shrinkToFit="1"/>
    </xf>
    <xf numFmtId="176" fontId="4" fillId="0" borderId="25" xfId="0" applyNumberFormat="1" applyFont="1" applyFill="1" applyBorder="1" applyAlignment="1">
      <alignment vertical="center" shrinkToFit="1"/>
    </xf>
    <xf numFmtId="176" fontId="4" fillId="0" borderId="35" xfId="0" applyNumberFormat="1" applyFont="1" applyFill="1" applyBorder="1" applyAlignment="1">
      <alignment vertical="center" shrinkToFit="1"/>
    </xf>
    <xf numFmtId="176" fontId="4" fillId="0" borderId="36" xfId="0" applyNumberFormat="1" applyFont="1" applyFill="1" applyBorder="1" applyAlignment="1">
      <alignment vertical="center" shrinkToFit="1"/>
    </xf>
    <xf numFmtId="176" fontId="4" fillId="0" borderId="27" xfId="0" applyNumberFormat="1" applyFont="1" applyFill="1" applyBorder="1" applyAlignment="1">
      <alignment vertical="center" shrinkToFit="1"/>
    </xf>
    <xf numFmtId="176" fontId="4" fillId="0" borderId="28" xfId="0" applyNumberFormat="1" applyFont="1" applyFill="1" applyBorder="1" applyAlignment="1">
      <alignment vertical="center" shrinkToFit="1"/>
    </xf>
    <xf numFmtId="9" fontId="4" fillId="0" borderId="27" xfId="0" applyNumberFormat="1" applyFont="1" applyFill="1" applyBorder="1" applyAlignment="1">
      <alignment vertical="center" shrinkToFit="1"/>
    </xf>
    <xf numFmtId="0" fontId="8" fillId="0" borderId="0" xfId="0" applyFont="1" applyFill="1">
      <alignment vertical="center"/>
    </xf>
    <xf numFmtId="0" fontId="4" fillId="0" borderId="0" xfId="0" applyFont="1" applyFill="1" applyAlignment="1">
      <alignment horizontal="right" vertical="center"/>
    </xf>
    <xf numFmtId="0" fontId="4" fillId="0" borderId="0" xfId="0" applyFont="1" applyFill="1" applyAlignment="1">
      <alignment vertical="center" wrapText="1"/>
    </xf>
    <xf numFmtId="0" fontId="8" fillId="0" borderId="0" xfId="0" applyFont="1" applyFill="1" applyAlignment="1">
      <alignment vertical="top" wrapText="1"/>
    </xf>
    <xf numFmtId="0" fontId="4" fillId="0" borderId="7" xfId="0" applyFont="1" applyFill="1" applyBorder="1" applyAlignment="1">
      <alignment horizontal="center" vertical="center" wrapText="1" shrinkToFit="1"/>
    </xf>
    <xf numFmtId="9" fontId="4" fillId="0" borderId="8" xfId="0" applyNumberFormat="1" applyFont="1" applyFill="1" applyBorder="1" applyAlignment="1">
      <alignment horizontal="center" vertical="center" wrapText="1" shrinkToFit="1"/>
    </xf>
    <xf numFmtId="0" fontId="4" fillId="0" borderId="8" xfId="0" applyFont="1" applyFill="1" applyBorder="1" applyAlignment="1">
      <alignment horizontal="center" vertical="center" wrapText="1" shrinkToFit="1"/>
    </xf>
    <xf numFmtId="9" fontId="4" fillId="0" borderId="8" xfId="0" applyNumberFormat="1" applyFont="1" applyFill="1" applyBorder="1" applyAlignment="1">
      <alignment horizontal="center" vertical="center" shrinkToFit="1"/>
    </xf>
    <xf numFmtId="0" fontId="4" fillId="0" borderId="9" xfId="0" applyFont="1" applyFill="1" applyBorder="1" applyAlignment="1">
      <alignment horizontal="center" vertical="center" shrinkToFit="1"/>
    </xf>
    <xf numFmtId="0" fontId="4" fillId="0" borderId="44" xfId="0" applyFont="1" applyFill="1" applyBorder="1" applyAlignment="1">
      <alignment horizontal="center" vertical="center" shrinkToFit="1"/>
    </xf>
    <xf numFmtId="9" fontId="4" fillId="0" borderId="45" xfId="0" applyNumberFormat="1" applyFont="1" applyFill="1" applyBorder="1" applyAlignment="1">
      <alignment horizontal="center" vertical="center" shrinkToFit="1"/>
    </xf>
    <xf numFmtId="0" fontId="4" fillId="0" borderId="45" xfId="0" applyFont="1" applyFill="1" applyBorder="1" applyAlignment="1">
      <alignment horizontal="center" vertical="center" shrinkToFit="1"/>
    </xf>
    <xf numFmtId="176" fontId="4" fillId="0" borderId="45" xfId="0" applyNumberFormat="1" applyFont="1" applyFill="1" applyBorder="1" applyAlignment="1">
      <alignment horizontal="center" vertical="center" shrinkToFit="1"/>
    </xf>
    <xf numFmtId="0" fontId="4" fillId="0" borderId="46" xfId="0" applyFont="1" applyFill="1" applyBorder="1" applyAlignment="1">
      <alignment horizontal="center" vertical="center" shrinkToFit="1"/>
    </xf>
    <xf numFmtId="0" fontId="8" fillId="0" borderId="0" xfId="0" applyFont="1" applyFill="1" applyAlignment="1">
      <alignment vertical="top" shrinkToFit="1"/>
    </xf>
    <xf numFmtId="0" fontId="8" fillId="0" borderId="0" xfId="0" applyFont="1" applyFill="1" applyAlignment="1">
      <alignment vertical="center" wrapText="1"/>
    </xf>
    <xf numFmtId="0" fontId="7" fillId="0" borderId="0" xfId="0" applyFont="1" applyFill="1" applyAlignment="1">
      <alignment horizontal="center" vertical="center"/>
    </xf>
    <xf numFmtId="0" fontId="8" fillId="0" borderId="10" xfId="0" applyFont="1" applyFill="1" applyBorder="1" applyAlignment="1">
      <alignment vertical="top" wrapText="1"/>
    </xf>
    <xf numFmtId="0" fontId="8" fillId="0" borderId="5" xfId="0" applyFont="1" applyFill="1" applyBorder="1" applyAlignment="1">
      <alignment vertical="top" wrapText="1"/>
    </xf>
    <xf numFmtId="0" fontId="4" fillId="0" borderId="16" xfId="0" applyFont="1" applyFill="1" applyBorder="1">
      <alignment vertical="center"/>
    </xf>
    <xf numFmtId="0" fontId="8" fillId="0" borderId="20" xfId="0" applyFont="1" applyFill="1" applyBorder="1" applyAlignment="1">
      <alignment vertical="top" wrapText="1"/>
    </xf>
    <xf numFmtId="0" fontId="8" fillId="0" borderId="18" xfId="0" applyFont="1" applyFill="1" applyBorder="1" applyAlignment="1">
      <alignment vertical="top" wrapText="1"/>
    </xf>
    <xf numFmtId="0" fontId="8" fillId="0" borderId="20" xfId="0" applyFont="1" applyFill="1" applyBorder="1" applyAlignment="1">
      <alignment vertical="top" shrinkToFit="1"/>
    </xf>
    <xf numFmtId="0" fontId="8" fillId="0" borderId="18" xfId="0" applyFont="1" applyFill="1" applyBorder="1" applyAlignment="1">
      <alignment vertical="top" shrinkToFi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176" fontId="4" fillId="0" borderId="2" xfId="0" applyNumberFormat="1" applyFont="1" applyFill="1" applyBorder="1" applyAlignment="1">
      <alignment horizontal="center" vertical="center"/>
    </xf>
    <xf numFmtId="176" fontId="4" fillId="0" borderId="3" xfId="0" applyNumberFormat="1" applyFont="1" applyFill="1" applyBorder="1" applyAlignment="1">
      <alignment horizontal="center" vertical="center"/>
    </xf>
    <xf numFmtId="176" fontId="4" fillId="0" borderId="4"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0" xfId="0" applyFont="1" applyFill="1" applyBorder="1" applyAlignment="1">
      <alignment horizontal="right"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5" xfId="0" applyFont="1" applyFill="1" applyBorder="1" applyAlignment="1">
      <alignment horizontal="right" vertical="center" shrinkToFit="1"/>
    </xf>
    <xf numFmtId="0" fontId="4" fillId="0" borderId="10" xfId="0" applyFont="1" applyFill="1" applyBorder="1" applyAlignment="1">
      <alignment horizontal="right" vertical="center" shrinkToFit="1"/>
    </xf>
    <xf numFmtId="176" fontId="4" fillId="0" borderId="2" xfId="0" applyNumberFormat="1" applyFont="1" applyFill="1" applyBorder="1" applyAlignment="1">
      <alignment horizontal="center" vertical="center" shrinkToFit="1"/>
    </xf>
    <xf numFmtId="176" fontId="4" fillId="0" borderId="4" xfId="0" applyNumberFormat="1" applyFont="1" applyFill="1" applyBorder="1" applyAlignment="1">
      <alignment horizontal="center" vertical="center" shrinkToFit="1"/>
    </xf>
    <xf numFmtId="0" fontId="4" fillId="0" borderId="0" xfId="0" applyFont="1" applyFill="1" applyBorder="1" applyAlignment="1">
      <alignment vertical="center" shrinkToFit="1"/>
    </xf>
    <xf numFmtId="0" fontId="4" fillId="0" borderId="4" xfId="0" applyFont="1" applyFill="1" applyBorder="1" applyAlignment="1">
      <alignment horizontal="center" vertical="center" shrinkToFit="1"/>
    </xf>
    <xf numFmtId="0" fontId="4" fillId="0" borderId="0" xfId="0" applyFont="1" applyFill="1" applyAlignment="1">
      <alignment horizontal="right" vertical="center"/>
    </xf>
    <xf numFmtId="0" fontId="4" fillId="0" borderId="0" xfId="0" applyFont="1" applyFill="1" applyBorder="1" applyAlignment="1">
      <alignment horizontal="right" vertical="center"/>
    </xf>
    <xf numFmtId="0" fontId="4" fillId="0" borderId="10" xfId="0" applyFont="1" applyFill="1" applyBorder="1" applyAlignment="1">
      <alignment horizontal="right" vertical="center"/>
    </xf>
    <xf numFmtId="176" fontId="4" fillId="0" borderId="3" xfId="0" applyNumberFormat="1" applyFont="1" applyFill="1" applyBorder="1" applyAlignment="1">
      <alignment horizontal="center" vertical="center" shrinkToFit="1"/>
    </xf>
    <xf numFmtId="0" fontId="5" fillId="0" borderId="0" xfId="0" applyFont="1" applyFill="1" applyAlignment="1">
      <alignment horizontal="center" vertical="center"/>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49" fontId="6" fillId="0" borderId="2" xfId="2" applyNumberFormat="1" applyFont="1" applyFill="1" applyBorder="1" applyAlignment="1">
      <alignment vertical="center" shrinkToFit="1"/>
    </xf>
    <xf numFmtId="49" fontId="4" fillId="0" borderId="3" xfId="0" applyNumberFormat="1" applyFont="1" applyFill="1" applyBorder="1" applyAlignment="1">
      <alignment vertical="center" shrinkToFit="1"/>
    </xf>
    <xf numFmtId="49" fontId="4" fillId="0" borderId="4" xfId="0" applyNumberFormat="1" applyFont="1" applyFill="1" applyBorder="1" applyAlignment="1">
      <alignment vertical="center" shrinkToFit="1"/>
    </xf>
    <xf numFmtId="49" fontId="4" fillId="0" borderId="2" xfId="1" applyNumberFormat="1" applyFont="1" applyFill="1" applyBorder="1" applyAlignment="1">
      <alignment horizontal="center" vertical="center" shrinkToFit="1"/>
    </xf>
    <xf numFmtId="49" fontId="4" fillId="0" borderId="3" xfId="1" applyNumberFormat="1" applyFont="1" applyFill="1" applyBorder="1" applyAlignment="1">
      <alignment horizontal="center" vertical="center" shrinkToFit="1"/>
    </xf>
    <xf numFmtId="49" fontId="4" fillId="0" borderId="4" xfId="1" applyNumberFormat="1" applyFont="1" applyFill="1" applyBorder="1" applyAlignment="1">
      <alignment horizontal="center" vertical="center" shrinkToFit="1"/>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0" fontId="4" fillId="0" borderId="37" xfId="0" applyFont="1" applyFill="1" applyBorder="1" applyAlignment="1">
      <alignment vertical="center" shrinkToFit="1"/>
    </xf>
    <xf numFmtId="0" fontId="4" fillId="0" borderId="39" xfId="0" applyFont="1" applyFill="1" applyBorder="1" applyAlignment="1">
      <alignment vertical="center" shrinkToFit="1"/>
    </xf>
    <xf numFmtId="0" fontId="4" fillId="0" borderId="38" xfId="0" applyFont="1" applyFill="1" applyBorder="1" applyAlignment="1">
      <alignment vertical="center" shrinkToFit="1"/>
    </xf>
    <xf numFmtId="0" fontId="4" fillId="0" borderId="19" xfId="0" applyFont="1" applyFill="1" applyBorder="1" applyAlignment="1">
      <alignment vertical="center" shrinkToFit="1"/>
    </xf>
    <xf numFmtId="0" fontId="4" fillId="0" borderId="20" xfId="0" applyFont="1" applyFill="1" applyBorder="1" applyAlignment="1">
      <alignment vertical="center" shrinkToFit="1"/>
    </xf>
    <xf numFmtId="0" fontId="4" fillId="0" borderId="18" xfId="0" applyFont="1" applyFill="1" applyBorder="1" applyAlignment="1">
      <alignment vertical="center" shrinkToFit="1"/>
    </xf>
    <xf numFmtId="0" fontId="4" fillId="0" borderId="40" xfId="0" applyFont="1" applyFill="1" applyBorder="1" applyAlignment="1">
      <alignment vertical="center" shrinkToFit="1"/>
    </xf>
    <xf numFmtId="0" fontId="4" fillId="0" borderId="41" xfId="0" applyFont="1" applyFill="1" applyBorder="1" applyAlignment="1">
      <alignment vertical="center" shrinkToFit="1"/>
    </xf>
    <xf numFmtId="0" fontId="4" fillId="0" borderId="42" xfId="0" applyFont="1" applyFill="1" applyBorder="1" applyAlignment="1">
      <alignment vertical="center" shrinkToFit="1"/>
    </xf>
    <xf numFmtId="0" fontId="4" fillId="0" borderId="19"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18" xfId="0" applyFont="1" applyFill="1" applyBorder="1" applyAlignment="1">
      <alignment horizontal="center" vertical="center"/>
    </xf>
    <xf numFmtId="0" fontId="4" fillId="0" borderId="40" xfId="0" applyFont="1" applyFill="1" applyBorder="1" applyAlignment="1">
      <alignment horizontal="center" vertical="center"/>
    </xf>
    <xf numFmtId="0" fontId="4" fillId="0" borderId="41" xfId="0" applyFont="1" applyFill="1" applyBorder="1" applyAlignment="1">
      <alignment horizontal="center" vertical="center"/>
    </xf>
    <xf numFmtId="0" fontId="4" fillId="0" borderId="42" xfId="0" applyFont="1" applyFill="1" applyBorder="1" applyAlignment="1">
      <alignment horizontal="center" vertical="center"/>
    </xf>
    <xf numFmtId="0" fontId="4" fillId="0" borderId="19" xfId="0" applyFont="1" applyFill="1" applyBorder="1" applyAlignment="1">
      <alignment horizontal="left" vertical="center" shrinkToFit="1"/>
    </xf>
    <xf numFmtId="0" fontId="4" fillId="0" borderId="20" xfId="0" applyFont="1" applyFill="1" applyBorder="1" applyAlignment="1">
      <alignment horizontal="left" vertical="center" shrinkToFit="1"/>
    </xf>
    <xf numFmtId="0" fontId="4" fillId="0" borderId="18" xfId="0" applyFont="1" applyFill="1" applyBorder="1" applyAlignment="1">
      <alignment horizontal="left" vertical="center" shrinkToFit="1"/>
    </xf>
    <xf numFmtId="0" fontId="4" fillId="0" borderId="40" xfId="0" applyFont="1" applyFill="1" applyBorder="1" applyAlignment="1">
      <alignment horizontal="left" vertical="center" shrinkToFit="1"/>
    </xf>
    <xf numFmtId="0" fontId="4" fillId="0" borderId="41" xfId="0" applyFont="1" applyFill="1" applyBorder="1" applyAlignment="1">
      <alignment horizontal="left" vertical="center" shrinkToFit="1"/>
    </xf>
    <xf numFmtId="0" fontId="4" fillId="0" borderId="42" xfId="0" applyFont="1" applyFill="1" applyBorder="1" applyAlignment="1">
      <alignment horizontal="left" vertical="center" shrinkToFit="1"/>
    </xf>
    <xf numFmtId="0" fontId="4" fillId="0" borderId="0" xfId="0" applyFont="1" applyFill="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37" xfId="0" applyFont="1" applyFill="1" applyBorder="1" applyAlignment="1">
      <alignment horizontal="center" vertical="center"/>
    </xf>
    <xf numFmtId="0" fontId="4" fillId="0" borderId="39" xfId="0" applyFont="1" applyFill="1" applyBorder="1" applyAlignment="1">
      <alignment horizontal="center" vertical="center"/>
    </xf>
    <xf numFmtId="0" fontId="4" fillId="0" borderId="38" xfId="0" applyFont="1" applyFill="1" applyBorder="1" applyAlignment="1">
      <alignment horizontal="center" vertical="center"/>
    </xf>
    <xf numFmtId="0" fontId="4" fillId="0" borderId="7" xfId="0" applyFont="1" applyFill="1" applyBorder="1" applyAlignment="1">
      <alignment vertical="center" wrapText="1" shrinkToFit="1"/>
    </xf>
    <xf numFmtId="0" fontId="4" fillId="0" borderId="8" xfId="0" applyFont="1" applyFill="1" applyBorder="1" applyAlignment="1">
      <alignment vertical="center" wrapText="1" shrinkToFit="1"/>
    </xf>
    <xf numFmtId="0" fontId="4" fillId="0" borderId="9" xfId="0" applyFont="1" applyFill="1" applyBorder="1" applyAlignment="1">
      <alignment vertical="center" wrapText="1" shrinkToFit="1"/>
    </xf>
    <xf numFmtId="0" fontId="4" fillId="0" borderId="5" xfId="0" applyFont="1" applyFill="1" applyBorder="1" applyAlignment="1">
      <alignment vertical="center" wrapText="1" shrinkToFit="1"/>
    </xf>
    <xf numFmtId="0" fontId="4" fillId="0" borderId="0" xfId="0" applyFont="1" applyFill="1" applyBorder="1" applyAlignment="1">
      <alignment vertical="center" wrapText="1" shrinkToFit="1"/>
    </xf>
    <xf numFmtId="0" fontId="4" fillId="0" borderId="10" xfId="0" applyFont="1" applyFill="1" applyBorder="1" applyAlignment="1">
      <alignment vertical="center" wrapText="1" shrinkToFit="1"/>
    </xf>
    <xf numFmtId="0" fontId="4" fillId="0" borderId="11" xfId="0" applyFont="1" applyFill="1" applyBorder="1" applyAlignment="1">
      <alignment vertical="center" wrapText="1" shrinkToFit="1"/>
    </xf>
    <xf numFmtId="0" fontId="4" fillId="0" borderId="6" xfId="0" applyFont="1" applyFill="1" applyBorder="1" applyAlignment="1">
      <alignment vertical="center" wrapText="1" shrinkToFit="1"/>
    </xf>
    <xf numFmtId="0" fontId="4" fillId="0" borderId="12" xfId="0" applyFont="1" applyFill="1" applyBorder="1" applyAlignment="1">
      <alignment vertical="center" wrapText="1" shrinkToFit="1"/>
    </xf>
    <xf numFmtId="0" fontId="6" fillId="0" borderId="2" xfId="2" applyFont="1" applyFill="1" applyBorder="1" applyAlignment="1">
      <alignment vertical="center" shrinkToFit="1"/>
    </xf>
    <xf numFmtId="0" fontId="4" fillId="0" borderId="4" xfId="0" applyFont="1" applyFill="1" applyBorder="1" applyAlignment="1">
      <alignment vertical="center" shrinkToFit="1"/>
    </xf>
    <xf numFmtId="0" fontId="4" fillId="0" borderId="40" xfId="0" applyFont="1" applyFill="1" applyBorder="1" applyAlignment="1">
      <alignment horizontal="center" vertical="center" shrinkToFit="1"/>
    </xf>
    <xf numFmtId="0" fontId="4" fillId="0" borderId="41" xfId="0" applyFont="1" applyFill="1" applyBorder="1" applyAlignment="1">
      <alignment horizontal="center" vertical="center" shrinkToFit="1"/>
    </xf>
    <xf numFmtId="0" fontId="4" fillId="0" borderId="42" xfId="0" applyFont="1" applyFill="1" applyBorder="1" applyAlignment="1">
      <alignment horizontal="center" vertical="center" shrinkToFit="1"/>
    </xf>
    <xf numFmtId="0" fontId="4" fillId="0" borderId="19" xfId="0" applyFont="1" applyFill="1" applyBorder="1" applyAlignment="1">
      <alignment horizontal="center" vertical="center" shrinkToFit="1"/>
    </xf>
    <xf numFmtId="0" fontId="4" fillId="0" borderId="20" xfId="0" applyFont="1" applyFill="1" applyBorder="1" applyAlignment="1">
      <alignment horizontal="center" vertical="center" shrinkToFit="1"/>
    </xf>
    <xf numFmtId="0" fontId="4" fillId="0" borderId="18" xfId="0" applyFont="1" applyFill="1" applyBorder="1" applyAlignment="1">
      <alignment horizontal="center" vertical="center" shrinkToFit="1"/>
    </xf>
    <xf numFmtId="0" fontId="4" fillId="0" borderId="22" xfId="0" applyFont="1" applyFill="1" applyBorder="1" applyAlignment="1">
      <alignment horizontal="left" vertical="center" wrapText="1" shrinkToFit="1"/>
    </xf>
    <xf numFmtId="0" fontId="4" fillId="0" borderId="21" xfId="0" applyFont="1" applyFill="1" applyBorder="1" applyAlignment="1">
      <alignment horizontal="left" vertical="center" wrapText="1" shrinkToFit="1"/>
    </xf>
    <xf numFmtId="0" fontId="4" fillId="0" borderId="39" xfId="0" applyFont="1" applyFill="1" applyBorder="1" applyAlignment="1">
      <alignment horizontal="left" vertical="center" wrapText="1" shrinkToFit="1"/>
    </xf>
    <xf numFmtId="0" fontId="4" fillId="0" borderId="38" xfId="0" applyFont="1" applyFill="1" applyBorder="1" applyAlignment="1">
      <alignment horizontal="left" vertical="center" wrapText="1" shrinkToFit="1"/>
    </xf>
    <xf numFmtId="0" fontId="4" fillId="0" borderId="6" xfId="0" applyFont="1" applyFill="1" applyBorder="1" applyAlignment="1">
      <alignment horizontal="left" vertical="center" wrapText="1" shrinkToFit="1"/>
    </xf>
    <xf numFmtId="0" fontId="4" fillId="0" borderId="12" xfId="0" applyFont="1" applyFill="1" applyBorder="1" applyAlignment="1">
      <alignment horizontal="left" vertical="center" wrapText="1" shrinkToFit="1"/>
    </xf>
    <xf numFmtId="0" fontId="4" fillId="0" borderId="41" xfId="0" applyFont="1" applyFill="1" applyBorder="1" applyAlignment="1">
      <alignment horizontal="left" vertical="center" wrapText="1" shrinkToFit="1"/>
    </xf>
    <xf numFmtId="0" fontId="4" fillId="0" borderId="42" xfId="0" applyFont="1" applyFill="1" applyBorder="1" applyAlignment="1">
      <alignment horizontal="left" vertical="center" wrapText="1" shrinkToFit="1"/>
    </xf>
    <xf numFmtId="0" fontId="4" fillId="0" borderId="0" xfId="0" applyFont="1" applyFill="1" applyAlignment="1">
      <alignment vertical="center" wrapText="1"/>
    </xf>
    <xf numFmtId="0" fontId="7" fillId="0" borderId="0" xfId="0" applyFont="1" applyFill="1" applyAlignment="1">
      <alignment horizontal="center" vertical="center"/>
    </xf>
    <xf numFmtId="0" fontId="11" fillId="0" borderId="7" xfId="0" applyFont="1" applyFill="1" applyBorder="1" applyAlignment="1">
      <alignment horizontal="left" vertical="top" wrapText="1" shrinkToFit="1"/>
    </xf>
    <xf numFmtId="0" fontId="4" fillId="0" borderId="8" xfId="0" applyFont="1" applyFill="1" applyBorder="1" applyAlignment="1">
      <alignment horizontal="left" vertical="top" shrinkToFit="1"/>
    </xf>
    <xf numFmtId="0" fontId="4" fillId="0" borderId="9" xfId="0" applyFont="1" applyFill="1" applyBorder="1" applyAlignment="1">
      <alignment horizontal="left" vertical="top" shrinkToFit="1"/>
    </xf>
    <xf numFmtId="0" fontId="4" fillId="0" borderId="5" xfId="0" applyFont="1" applyFill="1" applyBorder="1" applyAlignment="1">
      <alignment horizontal="left" vertical="top" shrinkToFit="1"/>
    </xf>
    <xf numFmtId="0" fontId="4" fillId="0" borderId="0" xfId="0" applyFont="1" applyFill="1" applyBorder="1" applyAlignment="1">
      <alignment horizontal="left" vertical="top" shrinkToFit="1"/>
    </xf>
    <xf numFmtId="0" fontId="4" fillId="0" borderId="10" xfId="0" applyFont="1" applyFill="1" applyBorder="1" applyAlignment="1">
      <alignment horizontal="left" vertical="top" shrinkToFit="1"/>
    </xf>
    <xf numFmtId="0" fontId="4" fillId="0" borderId="0" xfId="0" applyFont="1" applyFill="1" applyAlignment="1">
      <alignment horizontal="left" vertical="top" shrinkToFit="1"/>
    </xf>
    <xf numFmtId="0" fontId="4" fillId="0" borderId="11" xfId="0" applyFont="1" applyFill="1" applyBorder="1" applyAlignment="1">
      <alignment horizontal="left" vertical="top" shrinkToFit="1"/>
    </xf>
    <xf numFmtId="0" fontId="4" fillId="0" borderId="6" xfId="0" applyFont="1" applyFill="1" applyBorder="1" applyAlignment="1">
      <alignment horizontal="left" vertical="top" shrinkToFit="1"/>
    </xf>
    <xf numFmtId="0" fontId="4" fillId="0" borderId="12" xfId="0" applyFont="1" applyFill="1" applyBorder="1" applyAlignment="1">
      <alignment horizontal="left" vertical="top" shrinkToFit="1"/>
    </xf>
    <xf numFmtId="0" fontId="4" fillId="0" borderId="37" xfId="0" applyFont="1" applyFill="1" applyBorder="1" applyAlignment="1">
      <alignment horizontal="center" vertical="center" shrinkToFit="1"/>
    </xf>
    <xf numFmtId="0" fontId="4" fillId="0" borderId="39" xfId="0" applyFont="1" applyFill="1" applyBorder="1" applyAlignment="1">
      <alignment horizontal="center" vertical="center" shrinkToFit="1"/>
    </xf>
    <xf numFmtId="0" fontId="4" fillId="0" borderId="38" xfId="0" applyFont="1" applyFill="1" applyBorder="1" applyAlignment="1">
      <alignment horizontal="center" vertical="center" shrinkToFit="1"/>
    </xf>
    <xf numFmtId="0" fontId="4" fillId="0" borderId="19" xfId="0" applyFont="1" applyFill="1" applyBorder="1" applyAlignment="1">
      <alignment vertical="center" wrapText="1" shrinkToFit="1"/>
    </xf>
    <xf numFmtId="0" fontId="4" fillId="0" borderId="20" xfId="0" applyFont="1" applyFill="1" applyBorder="1" applyAlignment="1">
      <alignment vertical="center" wrapText="1" shrinkToFit="1"/>
    </xf>
    <xf numFmtId="0" fontId="4" fillId="0" borderId="18" xfId="0" applyFont="1" applyFill="1" applyBorder="1" applyAlignment="1">
      <alignment vertical="center" wrapText="1" shrinkToFit="1"/>
    </xf>
    <xf numFmtId="0" fontId="9" fillId="0" borderId="48" xfId="0" applyFont="1" applyFill="1" applyBorder="1" applyAlignment="1">
      <alignment vertical="center" wrapText="1"/>
    </xf>
    <xf numFmtId="0" fontId="9" fillId="0" borderId="49" xfId="0" applyFont="1" applyFill="1" applyBorder="1" applyAlignment="1">
      <alignment vertical="center" wrapText="1"/>
    </xf>
    <xf numFmtId="0" fontId="9" fillId="0" borderId="32" xfId="0" applyFont="1" applyFill="1" applyBorder="1" applyAlignment="1">
      <alignment vertical="center" wrapText="1"/>
    </xf>
    <xf numFmtId="0" fontId="4" fillId="0" borderId="39" xfId="0" applyFont="1" applyFill="1" applyBorder="1" applyAlignment="1">
      <alignment vertical="center" wrapText="1" shrinkToFit="1"/>
    </xf>
    <xf numFmtId="0" fontId="4" fillId="0" borderId="38" xfId="0" applyFont="1" applyFill="1" applyBorder="1" applyAlignment="1">
      <alignment vertical="center" wrapText="1" shrinkToFit="1"/>
    </xf>
    <xf numFmtId="0" fontId="4" fillId="0" borderId="8" xfId="0" applyFont="1" applyFill="1" applyBorder="1" applyAlignment="1">
      <alignment horizontal="left" vertical="center" wrapText="1" shrinkToFit="1"/>
    </xf>
    <xf numFmtId="0" fontId="4" fillId="0" borderId="9" xfId="0" applyFont="1" applyFill="1" applyBorder="1" applyAlignment="1">
      <alignment horizontal="left" vertical="center" wrapText="1" shrinkToFit="1"/>
    </xf>
    <xf numFmtId="0" fontId="4" fillId="0" borderId="0" xfId="0" applyFont="1" applyFill="1" applyAlignment="1">
      <alignment vertical="center" wrapText="1" shrinkToFit="1"/>
    </xf>
    <xf numFmtId="0" fontId="4" fillId="0" borderId="2" xfId="0" applyNumberFormat="1" applyFont="1" applyFill="1" applyBorder="1" applyAlignment="1">
      <alignment horizontal="center" vertical="center" shrinkToFit="1"/>
    </xf>
    <xf numFmtId="0" fontId="4" fillId="0" borderId="4" xfId="0" applyNumberFormat="1" applyFont="1" applyFill="1" applyBorder="1" applyAlignment="1">
      <alignment horizontal="center" vertical="center" shrinkToFit="1"/>
    </xf>
    <xf numFmtId="0" fontId="4" fillId="0" borderId="15" xfId="0" applyFont="1" applyFill="1" applyBorder="1" applyAlignment="1">
      <alignment horizontal="center" vertical="center"/>
    </xf>
    <xf numFmtId="0" fontId="4" fillId="0" borderId="13" xfId="0" applyFont="1" applyFill="1" applyBorder="1" applyAlignment="1">
      <alignment horizontal="center" vertical="center"/>
    </xf>
    <xf numFmtId="0" fontId="12" fillId="0" borderId="8" xfId="0" applyFont="1" applyFill="1" applyBorder="1" applyAlignment="1">
      <alignment horizontal="center" vertical="center" wrapText="1"/>
    </xf>
    <xf numFmtId="0" fontId="12" fillId="0" borderId="6" xfId="0" applyFont="1" applyFill="1" applyBorder="1" applyAlignment="1">
      <alignment horizontal="center" vertical="center"/>
    </xf>
    <xf numFmtId="0" fontId="12" fillId="0" borderId="7" xfId="0" applyFont="1" applyFill="1" applyBorder="1" applyAlignment="1">
      <alignment horizontal="center" vertical="center" wrapText="1"/>
    </xf>
    <xf numFmtId="0" fontId="12" fillId="0" borderId="11" xfId="0" applyFont="1" applyFill="1" applyBorder="1" applyAlignment="1">
      <alignment horizontal="center" vertical="center"/>
    </xf>
    <xf numFmtId="0" fontId="4" fillId="0" borderId="14" xfId="0" applyFont="1" applyFill="1" applyBorder="1" applyAlignment="1">
      <alignment horizontal="center" vertical="center"/>
    </xf>
    <xf numFmtId="0" fontId="13" fillId="0" borderId="15" xfId="0" applyFont="1" applyFill="1" applyBorder="1" applyAlignment="1">
      <alignment horizontal="center" vertical="center" wrapText="1"/>
    </xf>
    <xf numFmtId="0" fontId="13" fillId="0" borderId="13" xfId="0" applyFont="1" applyFill="1" applyBorder="1" applyAlignment="1">
      <alignment horizontal="center" vertical="center"/>
    </xf>
    <xf numFmtId="0" fontId="12" fillId="0" borderId="9" xfId="0" applyFont="1" applyFill="1" applyBorder="1" applyAlignment="1">
      <alignment horizontal="center" vertical="center"/>
    </xf>
    <xf numFmtId="0" fontId="12" fillId="0" borderId="12" xfId="0" applyFont="1" applyFill="1" applyBorder="1" applyAlignment="1">
      <alignment horizontal="center" vertical="center"/>
    </xf>
    <xf numFmtId="0" fontId="4" fillId="0" borderId="7" xfId="0" applyFont="1" applyFill="1" applyBorder="1" applyAlignment="1">
      <alignment vertical="top" wrapText="1" shrinkToFit="1"/>
    </xf>
    <xf numFmtId="0" fontId="4" fillId="0" borderId="8" xfId="0" applyFont="1" applyFill="1" applyBorder="1" applyAlignment="1">
      <alignment vertical="top" wrapText="1" shrinkToFit="1"/>
    </xf>
    <xf numFmtId="0" fontId="4" fillId="0" borderId="9" xfId="0" applyFont="1" applyFill="1" applyBorder="1" applyAlignment="1">
      <alignment vertical="top" wrapText="1" shrinkToFit="1"/>
    </xf>
    <xf numFmtId="0" fontId="4" fillId="0" borderId="5" xfId="0" applyFont="1" applyFill="1" applyBorder="1" applyAlignment="1">
      <alignment vertical="top" wrapText="1" shrinkToFit="1"/>
    </xf>
    <xf numFmtId="0" fontId="4" fillId="0" borderId="0" xfId="0" applyFont="1" applyFill="1" applyAlignment="1">
      <alignment vertical="top" wrapText="1" shrinkToFit="1"/>
    </xf>
    <xf numFmtId="0" fontId="4" fillId="0" borderId="10" xfId="0" applyFont="1" applyFill="1" applyBorder="1" applyAlignment="1">
      <alignment vertical="top" wrapText="1" shrinkToFit="1"/>
    </xf>
    <xf numFmtId="0" fontId="4" fillId="0" borderId="11" xfId="0" applyFont="1" applyFill="1" applyBorder="1" applyAlignment="1">
      <alignment vertical="top" wrapText="1" shrinkToFit="1"/>
    </xf>
    <xf numFmtId="0" fontId="4" fillId="0" borderId="6" xfId="0" applyFont="1" applyFill="1" applyBorder="1" applyAlignment="1">
      <alignment vertical="top" wrapText="1" shrinkToFit="1"/>
    </xf>
    <xf numFmtId="0" fontId="4" fillId="0" borderId="12" xfId="0" applyFont="1" applyFill="1" applyBorder="1" applyAlignment="1">
      <alignment vertical="top" wrapText="1" shrinkToFit="1"/>
    </xf>
    <xf numFmtId="0" fontId="4" fillId="0" borderId="8" xfId="0" applyFont="1" applyFill="1" applyBorder="1" applyAlignment="1">
      <alignment vertical="top" shrinkToFit="1"/>
    </xf>
    <xf numFmtId="0" fontId="4" fillId="0" borderId="9" xfId="0" applyFont="1" applyFill="1" applyBorder="1" applyAlignment="1">
      <alignment vertical="top" shrinkToFit="1"/>
    </xf>
    <xf numFmtId="0" fontId="4" fillId="0" borderId="5" xfId="0" applyFont="1" applyFill="1" applyBorder="1" applyAlignment="1">
      <alignment vertical="top" shrinkToFit="1"/>
    </xf>
    <xf numFmtId="0" fontId="4" fillId="0" borderId="0" xfId="0" applyFont="1" applyFill="1" applyAlignment="1">
      <alignment vertical="top" shrinkToFit="1"/>
    </xf>
    <xf numFmtId="0" fontId="4" fillId="0" borderId="10" xfId="0" applyFont="1" applyFill="1" applyBorder="1" applyAlignment="1">
      <alignment vertical="top" shrinkToFit="1"/>
    </xf>
    <xf numFmtId="0" fontId="4" fillId="0" borderId="11" xfId="0" applyFont="1" applyFill="1" applyBorder="1" applyAlignment="1">
      <alignment vertical="top" shrinkToFit="1"/>
    </xf>
    <xf numFmtId="0" fontId="4" fillId="0" borderId="6" xfId="0" applyFont="1" applyFill="1" applyBorder="1" applyAlignment="1">
      <alignment vertical="top" shrinkToFit="1"/>
    </xf>
    <xf numFmtId="0" fontId="4" fillId="0" borderId="12" xfId="0" applyFont="1" applyFill="1" applyBorder="1" applyAlignment="1">
      <alignment vertical="top" shrinkToFit="1"/>
    </xf>
    <xf numFmtId="0" fontId="4" fillId="0" borderId="6" xfId="0" applyFont="1" applyFill="1" applyBorder="1">
      <alignment vertical="center"/>
    </xf>
    <xf numFmtId="0" fontId="11" fillId="0" borderId="16" xfId="0" applyFont="1" applyFill="1" applyBorder="1" applyAlignment="1">
      <alignment vertical="top" wrapText="1" shrinkToFit="1"/>
    </xf>
    <xf numFmtId="0" fontId="14" fillId="0" borderId="22" xfId="0" applyFont="1" applyFill="1" applyBorder="1" applyAlignment="1">
      <alignment vertical="top" wrapText="1" shrinkToFit="1"/>
    </xf>
    <xf numFmtId="0" fontId="14" fillId="0" borderId="21" xfId="0" applyFont="1" applyFill="1" applyBorder="1" applyAlignment="1">
      <alignment vertical="top" wrapText="1" shrinkToFit="1"/>
    </xf>
    <xf numFmtId="0" fontId="14" fillId="0" borderId="5" xfId="0" applyFont="1" applyFill="1" applyBorder="1" applyAlignment="1">
      <alignment vertical="top" wrapText="1" shrinkToFit="1"/>
    </xf>
    <xf numFmtId="0" fontId="14" fillId="0" borderId="0" xfId="0" applyFont="1" applyFill="1" applyAlignment="1">
      <alignment vertical="top" wrapText="1" shrinkToFit="1"/>
    </xf>
    <xf numFmtId="0" fontId="14" fillId="0" borderId="10" xfId="0" applyFont="1" applyFill="1" applyBorder="1" applyAlignment="1">
      <alignment vertical="top" wrapText="1" shrinkToFit="1"/>
    </xf>
    <xf numFmtId="0" fontId="14" fillId="0" borderId="11" xfId="0" applyFont="1" applyFill="1" applyBorder="1" applyAlignment="1">
      <alignment vertical="top" wrapText="1" shrinkToFit="1"/>
    </xf>
    <xf numFmtId="0" fontId="14" fillId="0" borderId="6" xfId="0" applyFont="1" applyFill="1" applyBorder="1" applyAlignment="1">
      <alignment vertical="top" wrapText="1" shrinkToFit="1"/>
    </xf>
    <xf numFmtId="0" fontId="14" fillId="0" borderId="12" xfId="0" applyFont="1" applyFill="1" applyBorder="1" applyAlignment="1">
      <alignment vertical="top" wrapText="1" shrinkToFit="1"/>
    </xf>
    <xf numFmtId="0" fontId="4" fillId="0" borderId="11" xfId="0" applyFont="1" applyFill="1" applyBorder="1" applyAlignment="1">
      <alignment vertical="center" wrapText="1"/>
    </xf>
    <xf numFmtId="0" fontId="4" fillId="0" borderId="6" xfId="0" applyFont="1" applyFill="1" applyBorder="1" applyAlignment="1">
      <alignment vertical="center" wrapText="1"/>
    </xf>
    <xf numFmtId="0" fontId="4" fillId="0" borderId="12" xfId="0" applyFont="1" applyFill="1" applyBorder="1" applyAlignment="1">
      <alignment vertical="center" wrapText="1"/>
    </xf>
    <xf numFmtId="0" fontId="6" fillId="0" borderId="2" xfId="2" applyFont="1" applyFill="1" applyBorder="1" applyAlignment="1">
      <alignment horizontal="center" vertical="center" shrinkToFit="1"/>
    </xf>
    <xf numFmtId="0" fontId="6" fillId="0" borderId="3" xfId="2" applyFont="1" applyFill="1" applyBorder="1" applyAlignment="1">
      <alignment horizontal="center" vertical="center" shrinkToFit="1"/>
    </xf>
    <xf numFmtId="0" fontId="6" fillId="0" borderId="4" xfId="2" applyFont="1" applyFill="1" applyBorder="1" applyAlignment="1">
      <alignment horizontal="center" vertical="center" shrinkToFit="1"/>
    </xf>
    <xf numFmtId="0" fontId="4" fillId="0" borderId="17" xfId="0" applyFont="1" applyFill="1" applyBorder="1" applyAlignment="1">
      <alignment vertical="center" wrapText="1"/>
    </xf>
    <xf numFmtId="0" fontId="4" fillId="0" borderId="18" xfId="0" applyFont="1" applyFill="1" applyBorder="1" applyAlignment="1">
      <alignment vertical="center" wrapText="1"/>
    </xf>
    <xf numFmtId="0" fontId="4" fillId="0" borderId="20" xfId="0" applyFont="1" applyFill="1" applyBorder="1" applyAlignment="1">
      <alignment vertical="top" wrapText="1" shrinkToFit="1"/>
    </xf>
    <xf numFmtId="0" fontId="4" fillId="0" borderId="18" xfId="0" applyFont="1" applyFill="1" applyBorder="1" applyAlignment="1">
      <alignment vertical="top" wrapText="1" shrinkToFit="1"/>
    </xf>
    <xf numFmtId="0" fontId="4" fillId="0" borderId="19" xfId="0" applyFont="1" applyFill="1" applyBorder="1" applyAlignment="1">
      <alignment vertical="center" wrapText="1"/>
    </xf>
    <xf numFmtId="0" fontId="4" fillId="0" borderId="20" xfId="0" applyFont="1" applyFill="1" applyBorder="1" applyAlignment="1">
      <alignment vertical="center" wrapText="1"/>
    </xf>
    <xf numFmtId="0" fontId="4" fillId="0" borderId="19" xfId="0" applyFont="1" applyFill="1" applyBorder="1" applyAlignment="1">
      <alignment vertical="top" wrapText="1" shrinkToFit="1"/>
    </xf>
    <xf numFmtId="0" fontId="4" fillId="0" borderId="17" xfId="0" applyFont="1" applyFill="1" applyBorder="1">
      <alignment vertical="center"/>
    </xf>
    <xf numFmtId="0" fontId="9" fillId="0" borderId="18" xfId="0" applyFont="1" applyFill="1" applyBorder="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ottori-u.ac.jp/6083.ht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ottori-u.ac.jp/6083.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tottori-u.ac.jp/608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22" zoomScaleNormal="100" zoomScaleSheetLayoutView="100" workbookViewId="0">
      <selection activeCell="T19" sqref="T19"/>
    </sheetView>
  </sheetViews>
  <sheetFormatPr defaultColWidth="9" defaultRowHeight="18.75" customHeight="1" x14ac:dyDescent="0.15"/>
  <cols>
    <col min="1" max="1" width="3.375" style="1" customWidth="1"/>
    <col min="2" max="2" width="11.125" style="1" customWidth="1"/>
    <col min="3" max="8" width="6.625" style="1" customWidth="1"/>
    <col min="9" max="9" width="3.375" style="1" customWidth="1"/>
    <col min="10" max="10" width="10" style="1" customWidth="1"/>
    <col min="11" max="11" width="3.375" style="1" customWidth="1"/>
    <col min="12" max="12" width="7.625" style="1" customWidth="1"/>
    <col min="13" max="13" width="3.375" style="1" customWidth="1"/>
    <col min="14" max="14" width="4.5" style="1" customWidth="1"/>
    <col min="15" max="16384" width="9" style="1"/>
  </cols>
  <sheetData>
    <row r="1" spans="1:15" ht="24" customHeight="1" x14ac:dyDescent="0.15">
      <c r="M1" s="124" t="s">
        <v>25</v>
      </c>
      <c r="N1" s="124"/>
    </row>
    <row r="2" spans="1:15" ht="24" customHeight="1" x14ac:dyDescent="0.15">
      <c r="A2" s="128" t="s">
        <v>83</v>
      </c>
      <c r="B2" s="128"/>
      <c r="C2" s="128"/>
      <c r="D2" s="128"/>
      <c r="E2" s="128"/>
      <c r="F2" s="128"/>
      <c r="G2" s="128"/>
      <c r="H2" s="128"/>
      <c r="I2" s="128"/>
      <c r="J2" s="128"/>
      <c r="K2" s="128"/>
      <c r="L2" s="128"/>
      <c r="M2" s="128"/>
      <c r="N2" s="128"/>
    </row>
    <row r="3" spans="1:15" ht="24" customHeight="1" x14ac:dyDescent="0.15"/>
    <row r="4" spans="1:15" ht="24" customHeight="1" x14ac:dyDescent="0.15">
      <c r="A4" s="1" t="s">
        <v>6</v>
      </c>
      <c r="B4" s="2" t="s">
        <v>16</v>
      </c>
      <c r="C4" s="116" t="s">
        <v>148</v>
      </c>
      <c r="D4" s="117"/>
      <c r="E4" s="117"/>
      <c r="F4" s="117"/>
      <c r="G4" s="117"/>
      <c r="H4" s="117"/>
      <c r="I4" s="117"/>
      <c r="J4" s="117"/>
      <c r="K4" s="117"/>
      <c r="L4" s="117"/>
      <c r="M4" s="117"/>
      <c r="N4" s="123"/>
      <c r="O4" s="1" t="str">
        <f>IF(C4="","入力してください","")</f>
        <v/>
      </c>
    </row>
    <row r="5" spans="1:15" ht="7.5" customHeight="1" x14ac:dyDescent="0.15">
      <c r="B5" s="2"/>
      <c r="C5" s="2"/>
      <c r="D5" s="2"/>
      <c r="E5" s="3"/>
      <c r="F5" s="4"/>
      <c r="G5" s="4"/>
      <c r="H5" s="4"/>
      <c r="I5" s="4"/>
      <c r="J5" s="4"/>
      <c r="K5" s="4"/>
      <c r="L5" s="4"/>
      <c r="M5" s="4"/>
      <c r="N5" s="4"/>
    </row>
    <row r="6" spans="1:15" ht="24" customHeight="1" x14ac:dyDescent="0.15">
      <c r="A6" s="1" t="s">
        <v>48</v>
      </c>
      <c r="B6" s="2" t="s">
        <v>49</v>
      </c>
      <c r="C6" s="2"/>
      <c r="D6" s="116" t="s">
        <v>187</v>
      </c>
      <c r="E6" s="117"/>
      <c r="F6" s="117"/>
      <c r="G6" s="117"/>
      <c r="H6" s="123"/>
      <c r="I6" s="5" t="s">
        <v>86</v>
      </c>
      <c r="J6" s="4" t="s">
        <v>87</v>
      </c>
      <c r="K6" s="116" t="s">
        <v>149</v>
      </c>
      <c r="L6" s="117"/>
      <c r="M6" s="117"/>
      <c r="N6" s="123"/>
      <c r="O6" s="1" t="str">
        <f>IF(D6="","入力してください","")</f>
        <v/>
      </c>
    </row>
    <row r="7" spans="1:15" ht="7.5" customHeight="1" x14ac:dyDescent="0.15">
      <c r="B7" s="2"/>
      <c r="C7" s="2"/>
      <c r="D7" s="2"/>
      <c r="E7" s="3"/>
      <c r="F7" s="4"/>
      <c r="G7" s="4"/>
      <c r="H7" s="4"/>
      <c r="I7" s="4"/>
      <c r="J7" s="4"/>
      <c r="K7" s="4"/>
      <c r="L7" s="4"/>
      <c r="M7" s="4"/>
      <c r="N7" s="4"/>
    </row>
    <row r="8" spans="1:15" ht="24" customHeight="1" x14ac:dyDescent="0.15">
      <c r="A8" s="1" t="s">
        <v>13</v>
      </c>
      <c r="B8" s="2" t="s">
        <v>45</v>
      </c>
      <c r="C8" s="116" t="s">
        <v>150</v>
      </c>
      <c r="D8" s="117"/>
      <c r="E8" s="117"/>
      <c r="F8" s="117"/>
      <c r="G8" s="117"/>
      <c r="H8" s="117"/>
      <c r="I8" s="117"/>
      <c r="J8" s="117"/>
      <c r="K8" s="117"/>
      <c r="L8" s="117"/>
      <c r="M8" s="117"/>
      <c r="N8" s="123"/>
      <c r="O8" s="1" t="str">
        <f>IF(C8="","入力してください","")</f>
        <v/>
      </c>
    </row>
    <row r="9" spans="1:15" ht="7.5" customHeight="1" x14ac:dyDescent="0.15">
      <c r="B9" s="2"/>
      <c r="C9" s="2"/>
      <c r="D9" s="2"/>
      <c r="E9" s="3"/>
      <c r="F9" s="4"/>
      <c r="G9" s="4"/>
      <c r="H9" s="4"/>
      <c r="I9" s="4"/>
      <c r="J9" s="4"/>
      <c r="K9" s="4"/>
      <c r="L9" s="4"/>
      <c r="M9" s="4"/>
      <c r="N9" s="4"/>
    </row>
    <row r="10" spans="1:15" ht="24" customHeight="1" x14ac:dyDescent="0.15">
      <c r="A10" s="1" t="s">
        <v>11</v>
      </c>
      <c r="B10" s="2" t="s">
        <v>85</v>
      </c>
      <c r="C10" s="2"/>
      <c r="D10" s="2"/>
      <c r="E10" s="116" t="s">
        <v>178</v>
      </c>
      <c r="F10" s="117"/>
      <c r="G10" s="117"/>
      <c r="H10" s="117"/>
      <c r="I10" s="117"/>
      <c r="J10" s="117"/>
      <c r="K10" s="117"/>
      <c r="L10" s="117"/>
      <c r="M10" s="117"/>
      <c r="N10" s="123"/>
      <c r="O10" s="1" t="str">
        <f>IF(E10="","入力してください","")</f>
        <v/>
      </c>
    </row>
    <row r="11" spans="1:15" ht="7.5" customHeight="1" x14ac:dyDescent="0.15">
      <c r="B11" s="3"/>
      <c r="C11" s="3"/>
      <c r="D11" s="3"/>
      <c r="E11" s="3"/>
      <c r="F11" s="4"/>
      <c r="G11" s="4"/>
      <c r="H11" s="4"/>
      <c r="I11" s="4"/>
      <c r="J11" s="4"/>
      <c r="K11" s="4"/>
      <c r="L11" s="4"/>
      <c r="M11" s="4"/>
      <c r="N11" s="4"/>
    </row>
    <row r="12" spans="1:15" ht="24" customHeight="1" x14ac:dyDescent="0.15">
      <c r="A12" s="1" t="s">
        <v>58</v>
      </c>
      <c r="B12" s="3" t="s">
        <v>59</v>
      </c>
      <c r="C12" s="3"/>
      <c r="D12" s="3"/>
      <c r="E12" s="129" t="s">
        <v>151</v>
      </c>
      <c r="F12" s="130"/>
      <c r="G12" s="5" t="s">
        <v>96</v>
      </c>
      <c r="H12" s="1" t="s">
        <v>97</v>
      </c>
      <c r="N12" s="6" t="s">
        <v>152</v>
      </c>
      <c r="O12" s="1" t="str">
        <f>IF(E12="","入力してください","")</f>
        <v/>
      </c>
    </row>
    <row r="13" spans="1:15" ht="7.5" customHeight="1" x14ac:dyDescent="0.15">
      <c r="B13" s="3"/>
      <c r="C13" s="3"/>
      <c r="D13" s="3"/>
      <c r="E13" s="3"/>
      <c r="F13" s="4"/>
      <c r="G13" s="4"/>
      <c r="H13" s="4"/>
      <c r="I13" s="4"/>
      <c r="J13" s="4"/>
      <c r="K13" s="4"/>
      <c r="L13" s="4"/>
      <c r="M13" s="4"/>
      <c r="N13" s="4"/>
    </row>
    <row r="14" spans="1:15" ht="24" customHeight="1" x14ac:dyDescent="0.15">
      <c r="A14" s="1" t="s">
        <v>53</v>
      </c>
      <c r="B14" s="1" t="s">
        <v>0</v>
      </c>
      <c r="C14" s="125" t="s">
        <v>5</v>
      </c>
      <c r="D14" s="126"/>
      <c r="E14" s="120">
        <v>724</v>
      </c>
      <c r="F14" s="121"/>
      <c r="G14" s="7" t="s">
        <v>7</v>
      </c>
      <c r="I14" s="125" t="s">
        <v>8</v>
      </c>
      <c r="J14" s="126"/>
      <c r="K14" s="120">
        <v>246</v>
      </c>
      <c r="L14" s="127"/>
      <c r="M14" s="121"/>
      <c r="N14" s="8" t="s">
        <v>7</v>
      </c>
      <c r="O14" s="1" t="str">
        <f>IF(OR(E14="",K14=""),"入力してください","")</f>
        <v/>
      </c>
    </row>
    <row r="15" spans="1:15" ht="7.5" customHeight="1" x14ac:dyDescent="0.15">
      <c r="F15" s="9"/>
      <c r="G15" s="9"/>
      <c r="H15" s="9"/>
      <c r="I15" s="9"/>
      <c r="J15" s="9"/>
      <c r="K15" s="9"/>
      <c r="L15" s="9"/>
      <c r="M15" s="8"/>
      <c r="N15" s="8"/>
    </row>
    <row r="16" spans="1:15" ht="24" customHeight="1" x14ac:dyDescent="0.15">
      <c r="A16" s="1" t="s">
        <v>60</v>
      </c>
      <c r="B16" s="1" t="s">
        <v>70</v>
      </c>
      <c r="F16" s="9"/>
      <c r="G16" s="9"/>
      <c r="H16" s="9"/>
      <c r="I16" s="9"/>
      <c r="J16" s="9"/>
      <c r="K16" s="108">
        <v>8</v>
      </c>
      <c r="L16" s="109"/>
      <c r="M16" s="110"/>
      <c r="N16" s="8" t="s">
        <v>51</v>
      </c>
    </row>
    <row r="17" spans="1:15" ht="7.5" customHeight="1" x14ac:dyDescent="0.15">
      <c r="F17" s="9"/>
      <c r="G17" s="9"/>
      <c r="H17" s="9"/>
      <c r="I17" s="9"/>
      <c r="J17" s="9"/>
      <c r="K17" s="9"/>
      <c r="L17" s="9"/>
      <c r="M17" s="8"/>
      <c r="N17" s="8"/>
    </row>
    <row r="18" spans="1:15" ht="24" customHeight="1" x14ac:dyDescent="0.15">
      <c r="A18" s="1" t="s">
        <v>24</v>
      </c>
      <c r="B18" s="1" t="s">
        <v>77</v>
      </c>
      <c r="E18" s="120">
        <v>1139</v>
      </c>
      <c r="F18" s="121"/>
      <c r="G18" s="10" t="s">
        <v>21</v>
      </c>
      <c r="H18" s="9"/>
      <c r="K18" s="122"/>
      <c r="L18" s="122"/>
      <c r="M18" s="122"/>
      <c r="N18" s="122"/>
      <c r="O18" s="1" t="str">
        <f>IF(E18="","入力してください","")</f>
        <v/>
      </c>
    </row>
    <row r="19" spans="1:15" ht="7.5" customHeight="1" x14ac:dyDescent="0.15">
      <c r="E19" s="11"/>
      <c r="F19" s="9"/>
      <c r="G19" s="9"/>
      <c r="L19" s="12"/>
      <c r="M19" s="12"/>
      <c r="N19" s="13"/>
    </row>
    <row r="20" spans="1:15" ht="24" customHeight="1" x14ac:dyDescent="0.15">
      <c r="A20" s="1" t="s">
        <v>76</v>
      </c>
      <c r="B20" s="1" t="s">
        <v>78</v>
      </c>
      <c r="E20" s="11"/>
      <c r="F20" s="9"/>
      <c r="G20" s="9"/>
      <c r="H20" s="1" t="s">
        <v>52</v>
      </c>
      <c r="J20" s="111">
        <v>5154</v>
      </c>
      <c r="K20" s="112"/>
      <c r="L20" s="113"/>
      <c r="M20" s="12" t="s">
        <v>51</v>
      </c>
      <c r="N20" s="13"/>
      <c r="O20" s="1" t="str">
        <f>IF(J20="","入力してください","")</f>
        <v/>
      </c>
    </row>
    <row r="21" spans="1:15" ht="7.5" customHeight="1" x14ac:dyDescent="0.15">
      <c r="E21" s="11"/>
      <c r="F21" s="9"/>
      <c r="G21" s="9"/>
      <c r="L21" s="12"/>
      <c r="M21" s="12"/>
      <c r="N21" s="13"/>
    </row>
    <row r="22" spans="1:15" ht="24" customHeight="1" x14ac:dyDescent="0.15">
      <c r="B22" s="14" t="s">
        <v>17</v>
      </c>
      <c r="C22" s="120">
        <v>1181</v>
      </c>
      <c r="D22" s="121"/>
      <c r="E22" s="11" t="s">
        <v>22</v>
      </c>
      <c r="F22" s="9"/>
      <c r="G22" s="114" t="s">
        <v>18</v>
      </c>
      <c r="H22" s="114"/>
      <c r="I22" s="120">
        <v>1184</v>
      </c>
      <c r="J22" s="121"/>
      <c r="K22" s="5" t="s">
        <v>22</v>
      </c>
      <c r="M22" s="12"/>
      <c r="N22" s="13"/>
    </row>
    <row r="23" spans="1:15" ht="7.5" customHeight="1" x14ac:dyDescent="0.15">
      <c r="B23" s="14"/>
      <c r="C23" s="15"/>
      <c r="D23" s="15"/>
      <c r="E23" s="11"/>
      <c r="F23" s="9"/>
      <c r="G23" s="12"/>
      <c r="H23" s="12"/>
      <c r="I23" s="15"/>
      <c r="J23" s="15"/>
      <c r="K23" s="5"/>
      <c r="M23" s="12"/>
      <c r="N23" s="13"/>
    </row>
    <row r="24" spans="1:15" ht="24" customHeight="1" x14ac:dyDescent="0.15">
      <c r="B24" s="14" t="s">
        <v>19</v>
      </c>
      <c r="C24" s="120">
        <v>1168</v>
      </c>
      <c r="D24" s="121"/>
      <c r="E24" s="11" t="s">
        <v>22</v>
      </c>
      <c r="F24" s="9"/>
      <c r="G24" s="114" t="s">
        <v>20</v>
      </c>
      <c r="H24" s="114"/>
      <c r="I24" s="120">
        <v>1341</v>
      </c>
      <c r="J24" s="121"/>
      <c r="K24" s="5" t="s">
        <v>22</v>
      </c>
      <c r="M24" s="12"/>
      <c r="N24" s="13"/>
    </row>
    <row r="25" spans="1:15" ht="7.5" customHeight="1" x14ac:dyDescent="0.15">
      <c r="B25" s="14"/>
      <c r="C25" s="15"/>
      <c r="D25" s="15"/>
      <c r="E25" s="11"/>
      <c r="F25" s="9"/>
      <c r="G25" s="12"/>
      <c r="H25" s="12"/>
      <c r="I25" s="15"/>
      <c r="J25" s="15"/>
      <c r="K25" s="5"/>
      <c r="M25" s="12"/>
      <c r="N25" s="13"/>
    </row>
    <row r="26" spans="1:15" ht="24" customHeight="1" x14ac:dyDescent="0.15">
      <c r="B26" s="14" t="s">
        <v>46</v>
      </c>
      <c r="C26" s="120">
        <v>140</v>
      </c>
      <c r="D26" s="121"/>
      <c r="E26" s="11" t="s">
        <v>7</v>
      </c>
      <c r="F26" s="9"/>
      <c r="G26" s="114" t="s">
        <v>47</v>
      </c>
      <c r="H26" s="114"/>
      <c r="I26" s="120">
        <v>140</v>
      </c>
      <c r="J26" s="121"/>
      <c r="K26" s="5" t="s">
        <v>7</v>
      </c>
      <c r="M26" s="12"/>
      <c r="N26" s="13"/>
    </row>
    <row r="27" spans="1:15" ht="7.5" customHeight="1" x14ac:dyDescent="0.15">
      <c r="F27" s="9"/>
      <c r="G27" s="9"/>
      <c r="M27" s="16"/>
      <c r="N27" s="16"/>
    </row>
    <row r="28" spans="1:15" ht="24" customHeight="1" x14ac:dyDescent="0.15">
      <c r="A28" s="1" t="s">
        <v>50</v>
      </c>
      <c r="B28" s="2" t="s">
        <v>75</v>
      </c>
      <c r="C28" s="2"/>
      <c r="D28" s="2"/>
      <c r="E28" s="2"/>
      <c r="F28" s="5"/>
      <c r="G28" s="4"/>
      <c r="H28" s="4"/>
      <c r="I28" s="4"/>
      <c r="J28" s="17"/>
      <c r="K28" s="17"/>
      <c r="L28" s="17"/>
      <c r="M28" s="17"/>
      <c r="N28" s="17"/>
    </row>
    <row r="29" spans="1:15" ht="24" customHeight="1" x14ac:dyDescent="0.15">
      <c r="B29" s="115" t="s">
        <v>74</v>
      </c>
      <c r="C29" s="115"/>
      <c r="D29" s="116" t="s">
        <v>154</v>
      </c>
      <c r="E29" s="117"/>
      <c r="F29" s="117"/>
      <c r="G29" s="118" t="s">
        <v>23</v>
      </c>
      <c r="H29" s="115"/>
      <c r="I29" s="119"/>
      <c r="J29" s="116" t="s">
        <v>169</v>
      </c>
      <c r="K29" s="117"/>
      <c r="L29" s="117"/>
      <c r="M29" s="117"/>
      <c r="N29" s="123"/>
      <c r="O29" s="1" t="str">
        <f>IF(OR(D29="",J29=""),"入力してください","")</f>
        <v/>
      </c>
    </row>
    <row r="30" spans="1:15" ht="7.5" customHeight="1" x14ac:dyDescent="0.15">
      <c r="F30" s="9"/>
      <c r="G30" s="9"/>
      <c r="M30" s="16"/>
      <c r="N30" s="16"/>
    </row>
    <row r="31" spans="1:15" ht="24" customHeight="1" x14ac:dyDescent="0.15">
      <c r="A31" s="1" t="s">
        <v>54</v>
      </c>
      <c r="B31" s="2" t="s">
        <v>80</v>
      </c>
      <c r="C31" s="2"/>
      <c r="D31" s="2"/>
      <c r="E31" s="2"/>
      <c r="F31" s="5"/>
      <c r="G31" s="17"/>
      <c r="H31" s="17"/>
      <c r="I31" s="17"/>
      <c r="J31" s="17"/>
      <c r="K31" s="17"/>
      <c r="L31" s="17"/>
      <c r="M31" s="17"/>
      <c r="N31" s="17"/>
    </row>
    <row r="32" spans="1:15" ht="24" customHeight="1" x14ac:dyDescent="0.15">
      <c r="B32" s="116" t="s">
        <v>179</v>
      </c>
      <c r="C32" s="117"/>
      <c r="D32" s="117"/>
      <c r="E32" s="117"/>
      <c r="F32" s="117"/>
      <c r="G32" s="117"/>
      <c r="H32" s="117"/>
      <c r="I32" s="117"/>
      <c r="J32" s="117"/>
      <c r="K32" s="117"/>
      <c r="L32" s="117"/>
      <c r="M32" s="117"/>
      <c r="N32" s="123"/>
      <c r="O32" s="1" t="str">
        <f>IF(B32="","入力してください","")</f>
        <v/>
      </c>
    </row>
    <row r="33" spans="1:15" ht="7.5" customHeight="1" x14ac:dyDescent="0.15">
      <c r="B33" s="18"/>
      <c r="C33" s="18"/>
      <c r="D33" s="18"/>
      <c r="E33" s="18"/>
      <c r="F33" s="18"/>
      <c r="G33" s="18"/>
      <c r="H33" s="18"/>
      <c r="I33" s="18"/>
      <c r="J33" s="18"/>
      <c r="K33" s="18"/>
      <c r="L33" s="18"/>
      <c r="M33" s="18"/>
      <c r="N33" s="18"/>
    </row>
    <row r="34" spans="1:15" ht="24" customHeight="1" x14ac:dyDescent="0.15">
      <c r="B34" s="115" t="s">
        <v>74</v>
      </c>
      <c r="C34" s="115"/>
      <c r="D34" s="116" t="s">
        <v>154</v>
      </c>
      <c r="E34" s="117"/>
      <c r="F34" s="117"/>
      <c r="G34" s="118" t="s">
        <v>55</v>
      </c>
      <c r="H34" s="115"/>
      <c r="I34" s="119"/>
      <c r="J34" s="116" t="s">
        <v>153</v>
      </c>
      <c r="K34" s="117"/>
      <c r="L34" s="117"/>
      <c r="M34" s="117"/>
      <c r="N34" s="123"/>
      <c r="O34" s="1" t="str">
        <f>IF(OR(D34="",J34=""),"入力してください","")</f>
        <v/>
      </c>
    </row>
    <row r="35" spans="1:15" ht="7.5" customHeight="1" x14ac:dyDescent="0.15">
      <c r="F35" s="4"/>
      <c r="G35" s="4"/>
      <c r="H35" s="4"/>
      <c r="I35" s="4"/>
      <c r="J35" s="4"/>
      <c r="K35" s="4"/>
      <c r="L35" s="4"/>
      <c r="M35" s="4"/>
      <c r="N35" s="4"/>
    </row>
    <row r="36" spans="1:15" ht="24" customHeight="1" x14ac:dyDescent="0.15">
      <c r="A36" s="1" t="s">
        <v>61</v>
      </c>
      <c r="B36" s="1" t="s">
        <v>81</v>
      </c>
      <c r="M36" s="16"/>
      <c r="N36" s="16"/>
    </row>
    <row r="37" spans="1:15" ht="24" customHeight="1" x14ac:dyDescent="0.15">
      <c r="B37" s="116" t="s">
        <v>180</v>
      </c>
      <c r="C37" s="117"/>
      <c r="D37" s="117"/>
      <c r="E37" s="117"/>
      <c r="F37" s="117"/>
      <c r="G37" s="117"/>
      <c r="H37" s="117"/>
      <c r="I37" s="117"/>
      <c r="J37" s="117"/>
      <c r="K37" s="117"/>
      <c r="L37" s="117"/>
      <c r="M37" s="117"/>
      <c r="N37" s="123"/>
      <c r="O37" s="1" t="str">
        <f>IF(B37="","入力してください","")</f>
        <v/>
      </c>
    </row>
    <row r="38" spans="1:15" ht="7.5" customHeight="1" x14ac:dyDescent="0.15">
      <c r="F38" s="4"/>
      <c r="G38" s="4"/>
      <c r="H38" s="4"/>
      <c r="I38" s="4"/>
      <c r="J38" s="4"/>
      <c r="K38" s="4"/>
      <c r="L38" s="4"/>
      <c r="M38" s="4"/>
      <c r="N38" s="4"/>
    </row>
    <row r="39" spans="1:15" ht="24" customHeight="1" x14ac:dyDescent="0.15">
      <c r="B39" s="115" t="s">
        <v>74</v>
      </c>
      <c r="C39" s="115"/>
      <c r="D39" s="116" t="s">
        <v>154</v>
      </c>
      <c r="E39" s="117"/>
      <c r="F39" s="117"/>
      <c r="G39" s="118" t="s">
        <v>55</v>
      </c>
      <c r="H39" s="115"/>
      <c r="I39" s="119"/>
      <c r="J39" s="116" t="s">
        <v>153</v>
      </c>
      <c r="K39" s="117"/>
      <c r="L39" s="117"/>
      <c r="M39" s="117"/>
      <c r="N39" s="123"/>
      <c r="O39" s="1" t="str">
        <f>IF(OR(D39="",J39=""),"入力してください","")</f>
        <v/>
      </c>
    </row>
    <row r="40" spans="1:15" ht="7.5" customHeight="1" x14ac:dyDescent="0.15">
      <c r="F40" s="4"/>
      <c r="G40" s="4"/>
      <c r="H40" s="4"/>
      <c r="I40" s="4"/>
      <c r="J40" s="4"/>
      <c r="K40" s="4"/>
      <c r="L40" s="4"/>
      <c r="M40" s="4"/>
      <c r="N40" s="4"/>
    </row>
    <row r="41" spans="1:15" ht="24" customHeight="1" x14ac:dyDescent="0.15">
      <c r="A41" s="1" t="s">
        <v>88</v>
      </c>
      <c r="B41" s="1" t="s">
        <v>69</v>
      </c>
      <c r="E41" s="19"/>
      <c r="F41" s="116" t="s">
        <v>181</v>
      </c>
      <c r="G41" s="117"/>
      <c r="H41" s="117"/>
      <c r="I41" s="117"/>
      <c r="J41" s="117"/>
      <c r="K41" s="117"/>
      <c r="L41" s="117"/>
      <c r="M41" s="117"/>
      <c r="N41" s="123"/>
      <c r="O41" s="1" t="str">
        <f>IF(F41="","入力してください","")</f>
        <v/>
      </c>
    </row>
    <row r="42" spans="1:15" ht="7.5" customHeight="1" x14ac:dyDescent="0.15">
      <c r="F42" s="4"/>
      <c r="G42" s="4"/>
      <c r="H42" s="4"/>
      <c r="I42" s="4"/>
      <c r="J42" s="4"/>
      <c r="K42" s="4"/>
      <c r="L42" s="4"/>
      <c r="M42" s="4"/>
      <c r="N42" s="4"/>
    </row>
    <row r="43" spans="1:15" ht="24" customHeight="1" x14ac:dyDescent="0.15">
      <c r="A43" s="1" t="s">
        <v>98</v>
      </c>
    </row>
    <row r="44" spans="1:15" ht="24" customHeight="1" x14ac:dyDescent="0.15">
      <c r="B44" s="20" t="s">
        <v>1</v>
      </c>
      <c r="C44" s="137" t="s">
        <v>155</v>
      </c>
      <c r="D44" s="138"/>
      <c r="E44" s="138"/>
      <c r="F44" s="138"/>
      <c r="G44" s="138"/>
      <c r="H44" s="138"/>
      <c r="I44" s="21" t="s">
        <v>2</v>
      </c>
      <c r="J44" s="22"/>
      <c r="K44" s="116" t="s">
        <v>185</v>
      </c>
      <c r="L44" s="117"/>
      <c r="M44" s="117"/>
      <c r="N44" s="123"/>
      <c r="O44" s="1" t="str">
        <f>IF(OR(C44="",K44=""),"入力してください","")</f>
        <v/>
      </c>
    </row>
    <row r="45" spans="1:15" ht="24" customHeight="1" x14ac:dyDescent="0.15">
      <c r="B45" s="23" t="s">
        <v>4</v>
      </c>
      <c r="C45" s="131" t="s">
        <v>184</v>
      </c>
      <c r="D45" s="132"/>
      <c r="E45" s="132"/>
      <c r="F45" s="132"/>
      <c r="G45" s="132"/>
      <c r="H45" s="133"/>
      <c r="I45" s="21" t="s">
        <v>3</v>
      </c>
      <c r="J45" s="22"/>
      <c r="K45" s="134" t="s">
        <v>186</v>
      </c>
      <c r="L45" s="135"/>
      <c r="M45" s="135"/>
      <c r="N45" s="136"/>
      <c r="O45" s="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zoomScaleNormal="100" zoomScaleSheetLayoutView="100" workbookViewId="0">
      <selection activeCell="AF26" sqref="AF26"/>
    </sheetView>
  </sheetViews>
  <sheetFormatPr defaultColWidth="9" defaultRowHeight="18.75" customHeight="1" x14ac:dyDescent="0.15"/>
  <cols>
    <col min="1" max="1" width="2.5" style="1" customWidth="1"/>
    <col min="2" max="2" width="27.625" style="1" customWidth="1"/>
    <col min="3" max="13" width="3.375" style="1" customWidth="1"/>
    <col min="14" max="14" width="8.875" style="1" customWidth="1"/>
    <col min="15" max="15" width="18.875" style="1" customWidth="1"/>
    <col min="16" max="19" width="3.375" style="1" customWidth="1"/>
    <col min="20" max="20" width="3.5" style="1" customWidth="1"/>
    <col min="21" max="26" width="3.375" style="1" customWidth="1"/>
    <col min="27" max="16384" width="9" style="1"/>
  </cols>
  <sheetData>
    <row r="1" spans="1:26" ht="15" customHeight="1" x14ac:dyDescent="0.15">
      <c r="W1" s="160" t="s">
        <v>176</v>
      </c>
      <c r="X1" s="160"/>
      <c r="Y1" s="160"/>
      <c r="Z1" s="160"/>
    </row>
    <row r="2" spans="1:26" ht="18" customHeight="1" x14ac:dyDescent="0.15">
      <c r="A2" s="193" t="s">
        <v>67</v>
      </c>
      <c r="B2" s="193"/>
      <c r="C2" s="193"/>
      <c r="D2" s="193"/>
      <c r="E2" s="193"/>
      <c r="F2" s="193"/>
      <c r="G2" s="193"/>
      <c r="H2" s="193"/>
      <c r="I2" s="193"/>
      <c r="J2" s="193"/>
      <c r="K2" s="193"/>
      <c r="L2" s="193"/>
      <c r="M2" s="193"/>
      <c r="N2" s="193"/>
      <c r="O2" s="193"/>
      <c r="P2" s="193"/>
      <c r="Q2" s="193"/>
      <c r="R2" s="193"/>
      <c r="S2" s="193"/>
      <c r="T2" s="193"/>
      <c r="U2" s="193"/>
      <c r="V2" s="193"/>
      <c r="W2" s="193"/>
      <c r="X2" s="193"/>
      <c r="Y2" s="193"/>
      <c r="Z2" s="193"/>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1" t="s">
        <v>99</v>
      </c>
      <c r="B4" s="14"/>
      <c r="C4" s="14"/>
      <c r="D4" s="14"/>
      <c r="E4" s="14"/>
      <c r="F4" s="14"/>
      <c r="G4" s="14"/>
      <c r="H4" s="2" t="s">
        <v>112</v>
      </c>
      <c r="I4" s="14"/>
      <c r="J4" s="14"/>
      <c r="K4" s="14"/>
      <c r="L4" s="14"/>
      <c r="M4" s="14"/>
      <c r="N4" s="14"/>
      <c r="O4" s="108" t="s">
        <v>171</v>
      </c>
      <c r="P4" s="109"/>
      <c r="Q4" s="109"/>
      <c r="R4" s="109"/>
      <c r="S4" s="109"/>
      <c r="T4" s="109"/>
      <c r="U4" s="109"/>
      <c r="V4" s="109"/>
      <c r="W4" s="109"/>
      <c r="X4" s="109"/>
      <c r="Y4" s="109"/>
      <c r="Z4" s="110"/>
    </row>
    <row r="5" spans="1:26" ht="6" customHeight="1" x14ac:dyDescent="0.15">
      <c r="B5" s="14"/>
      <c r="C5" s="14"/>
      <c r="D5" s="14"/>
      <c r="E5" s="14"/>
      <c r="F5" s="14"/>
      <c r="G5" s="14"/>
      <c r="H5" s="14"/>
      <c r="I5" s="14"/>
      <c r="J5" s="14"/>
      <c r="K5" s="14"/>
      <c r="L5" s="14"/>
      <c r="M5" s="14"/>
      <c r="N5" s="14"/>
      <c r="O5" s="3"/>
      <c r="P5" s="14"/>
      <c r="Q5" s="14"/>
      <c r="R5" s="14"/>
      <c r="S5" s="14"/>
      <c r="T5" s="14"/>
      <c r="U5" s="14"/>
      <c r="V5" s="14"/>
      <c r="W5" s="14"/>
      <c r="X5" s="14"/>
      <c r="Y5" s="14"/>
      <c r="Z5" s="14"/>
    </row>
    <row r="6" spans="1:26" ht="18" customHeight="1" x14ac:dyDescent="0.15">
      <c r="B6" s="194" t="s">
        <v>223</v>
      </c>
      <c r="C6" s="195"/>
      <c r="D6" s="195"/>
      <c r="E6" s="195"/>
      <c r="F6" s="195"/>
      <c r="G6" s="195"/>
      <c r="H6" s="195"/>
      <c r="I6" s="195"/>
      <c r="J6" s="195"/>
      <c r="K6" s="195"/>
      <c r="L6" s="195"/>
      <c r="M6" s="195"/>
      <c r="N6" s="195"/>
      <c r="O6" s="195"/>
      <c r="P6" s="195"/>
      <c r="Q6" s="195"/>
      <c r="R6" s="195"/>
      <c r="S6" s="195"/>
      <c r="T6" s="195"/>
      <c r="U6" s="195"/>
      <c r="V6" s="195"/>
      <c r="W6" s="195"/>
      <c r="X6" s="195"/>
      <c r="Y6" s="195"/>
      <c r="Z6" s="196"/>
    </row>
    <row r="7" spans="1:26" ht="18" customHeight="1" x14ac:dyDescent="0.15">
      <c r="B7" s="197"/>
      <c r="C7" s="198"/>
      <c r="D7" s="198"/>
      <c r="E7" s="198"/>
      <c r="F7" s="198"/>
      <c r="G7" s="198"/>
      <c r="H7" s="198"/>
      <c r="I7" s="198"/>
      <c r="J7" s="198"/>
      <c r="K7" s="198"/>
      <c r="L7" s="198"/>
      <c r="M7" s="198"/>
      <c r="N7" s="198"/>
      <c r="O7" s="198"/>
      <c r="P7" s="198"/>
      <c r="Q7" s="198"/>
      <c r="R7" s="198"/>
      <c r="S7" s="198"/>
      <c r="T7" s="198"/>
      <c r="U7" s="198"/>
      <c r="V7" s="198"/>
      <c r="W7" s="198"/>
      <c r="X7" s="198"/>
      <c r="Y7" s="198"/>
      <c r="Z7" s="199"/>
    </row>
    <row r="8" spans="1:26" ht="18" customHeight="1" x14ac:dyDescent="0.15">
      <c r="B8" s="197"/>
      <c r="C8" s="198"/>
      <c r="D8" s="198"/>
      <c r="E8" s="198"/>
      <c r="F8" s="198"/>
      <c r="G8" s="198"/>
      <c r="H8" s="198"/>
      <c r="I8" s="198"/>
      <c r="J8" s="198"/>
      <c r="K8" s="198"/>
      <c r="L8" s="198"/>
      <c r="M8" s="198"/>
      <c r="N8" s="198"/>
      <c r="O8" s="198"/>
      <c r="P8" s="198"/>
      <c r="Q8" s="198"/>
      <c r="R8" s="198"/>
      <c r="S8" s="198"/>
      <c r="T8" s="198"/>
      <c r="U8" s="198"/>
      <c r="V8" s="198"/>
      <c r="W8" s="198"/>
      <c r="X8" s="198"/>
      <c r="Y8" s="198"/>
      <c r="Z8" s="199"/>
    </row>
    <row r="9" spans="1:26" ht="18" customHeight="1" x14ac:dyDescent="0.15">
      <c r="B9" s="197"/>
      <c r="C9" s="198"/>
      <c r="D9" s="198"/>
      <c r="E9" s="198"/>
      <c r="F9" s="198"/>
      <c r="G9" s="198"/>
      <c r="H9" s="198"/>
      <c r="I9" s="198"/>
      <c r="J9" s="198"/>
      <c r="K9" s="198"/>
      <c r="L9" s="198"/>
      <c r="M9" s="198"/>
      <c r="N9" s="198"/>
      <c r="O9" s="198"/>
      <c r="P9" s="198"/>
      <c r="Q9" s="198"/>
      <c r="R9" s="198"/>
      <c r="S9" s="198"/>
      <c r="T9" s="198"/>
      <c r="U9" s="198"/>
      <c r="V9" s="198"/>
      <c r="W9" s="198"/>
      <c r="X9" s="198"/>
      <c r="Y9" s="198"/>
      <c r="Z9" s="199"/>
    </row>
    <row r="10" spans="1:26" ht="18" customHeight="1" x14ac:dyDescent="0.15">
      <c r="B10" s="197"/>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199"/>
    </row>
    <row r="11" spans="1:26" ht="18" customHeight="1" x14ac:dyDescent="0.15">
      <c r="B11" s="201"/>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3"/>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B15" s="108" t="s">
        <v>100</v>
      </c>
      <c r="C15" s="109"/>
      <c r="D15" s="109"/>
      <c r="E15" s="109"/>
      <c r="F15" s="110"/>
      <c r="G15" s="20" t="s">
        <v>141</v>
      </c>
      <c r="H15" s="24" t="s">
        <v>140</v>
      </c>
      <c r="I15" s="109" t="s">
        <v>101</v>
      </c>
      <c r="J15" s="109"/>
      <c r="K15" s="109"/>
      <c r="L15" s="25" t="s">
        <v>104</v>
      </c>
      <c r="M15" s="25" t="s">
        <v>107</v>
      </c>
      <c r="N15" s="108" t="s">
        <v>100</v>
      </c>
      <c r="O15" s="109"/>
      <c r="P15" s="109"/>
      <c r="Q15" s="109"/>
      <c r="R15" s="109"/>
      <c r="S15" s="110"/>
      <c r="T15" s="20" t="s">
        <v>141</v>
      </c>
      <c r="U15" s="24" t="s">
        <v>140</v>
      </c>
      <c r="V15" s="109" t="s">
        <v>101</v>
      </c>
      <c r="W15" s="109"/>
      <c r="X15" s="109"/>
      <c r="Y15" s="25" t="s">
        <v>104</v>
      </c>
      <c r="Z15" s="25" t="s">
        <v>107</v>
      </c>
    </row>
    <row r="16" spans="1:26" ht="18" customHeight="1" x14ac:dyDescent="0.15">
      <c r="B16" s="154" t="s">
        <v>156</v>
      </c>
      <c r="C16" s="155"/>
      <c r="D16" s="155"/>
      <c r="E16" s="155"/>
      <c r="F16" s="156"/>
      <c r="G16" s="26">
        <v>1</v>
      </c>
      <c r="H16" s="26" t="s">
        <v>157</v>
      </c>
      <c r="I16" s="164" t="s">
        <v>173</v>
      </c>
      <c r="J16" s="165"/>
      <c r="K16" s="166"/>
      <c r="L16" s="26" t="s">
        <v>157</v>
      </c>
      <c r="M16" s="26" t="s">
        <v>157</v>
      </c>
      <c r="N16" s="139"/>
      <c r="O16" s="140"/>
      <c r="P16" s="140"/>
      <c r="Q16" s="140"/>
      <c r="R16" s="140"/>
      <c r="S16" s="141"/>
      <c r="T16" s="26"/>
      <c r="U16" s="26"/>
      <c r="V16" s="164"/>
      <c r="W16" s="165"/>
      <c r="X16" s="166"/>
      <c r="Y16" s="26"/>
      <c r="Z16" s="26"/>
    </row>
    <row r="17" spans="1:26" ht="18" customHeight="1" x14ac:dyDescent="0.15">
      <c r="B17" s="154"/>
      <c r="C17" s="155"/>
      <c r="D17" s="155"/>
      <c r="E17" s="155"/>
      <c r="F17" s="156"/>
      <c r="G17" s="27"/>
      <c r="H17" s="27"/>
      <c r="I17" s="148"/>
      <c r="J17" s="149"/>
      <c r="K17" s="150"/>
      <c r="L17" s="27"/>
      <c r="M17" s="27"/>
      <c r="N17" s="142"/>
      <c r="O17" s="143"/>
      <c r="P17" s="143"/>
      <c r="Q17" s="143"/>
      <c r="R17" s="143"/>
      <c r="S17" s="144"/>
      <c r="T17" s="27"/>
      <c r="U17" s="27"/>
      <c r="V17" s="148"/>
      <c r="W17" s="149"/>
      <c r="X17" s="150"/>
      <c r="Y17" s="27"/>
      <c r="Z17" s="27"/>
    </row>
    <row r="18" spans="1:26" ht="18" customHeight="1" x14ac:dyDescent="0.15">
      <c r="B18" s="154"/>
      <c r="C18" s="155"/>
      <c r="D18" s="155"/>
      <c r="E18" s="155"/>
      <c r="F18" s="156"/>
      <c r="G18" s="27"/>
      <c r="H18" s="27"/>
      <c r="I18" s="148"/>
      <c r="J18" s="149"/>
      <c r="K18" s="150"/>
      <c r="L18" s="27"/>
      <c r="M18" s="27"/>
      <c r="N18" s="142"/>
      <c r="O18" s="143"/>
      <c r="P18" s="143"/>
      <c r="Q18" s="143"/>
      <c r="R18" s="143"/>
      <c r="S18" s="144"/>
      <c r="T18" s="27"/>
      <c r="U18" s="27"/>
      <c r="V18" s="148"/>
      <c r="W18" s="149"/>
      <c r="X18" s="150"/>
      <c r="Y18" s="27"/>
      <c r="Z18" s="27"/>
    </row>
    <row r="19" spans="1:26" ht="18" customHeight="1" x14ac:dyDescent="0.15">
      <c r="B19" s="154"/>
      <c r="C19" s="155"/>
      <c r="D19" s="155"/>
      <c r="E19" s="155"/>
      <c r="F19" s="156"/>
      <c r="G19" s="27"/>
      <c r="H19" s="27"/>
      <c r="I19" s="148"/>
      <c r="J19" s="149"/>
      <c r="K19" s="150"/>
      <c r="L19" s="27"/>
      <c r="M19" s="27"/>
      <c r="N19" s="142"/>
      <c r="O19" s="143"/>
      <c r="P19" s="143"/>
      <c r="Q19" s="143"/>
      <c r="R19" s="143"/>
      <c r="S19" s="144"/>
      <c r="T19" s="27"/>
      <c r="U19" s="27"/>
      <c r="V19" s="148"/>
      <c r="W19" s="149"/>
      <c r="X19" s="150"/>
      <c r="Y19" s="27"/>
      <c r="Z19" s="27"/>
    </row>
    <row r="20" spans="1:26" ht="18" customHeight="1" x14ac:dyDescent="0.15">
      <c r="B20" s="154"/>
      <c r="C20" s="155"/>
      <c r="D20" s="155"/>
      <c r="E20" s="155"/>
      <c r="F20" s="156"/>
      <c r="G20" s="27"/>
      <c r="H20" s="27"/>
      <c r="I20" s="148"/>
      <c r="J20" s="149"/>
      <c r="K20" s="150"/>
      <c r="L20" s="27"/>
      <c r="M20" s="27"/>
      <c r="N20" s="142"/>
      <c r="O20" s="143"/>
      <c r="P20" s="143"/>
      <c r="Q20" s="143"/>
      <c r="R20" s="143"/>
      <c r="S20" s="144"/>
      <c r="T20" s="27"/>
      <c r="U20" s="27"/>
      <c r="V20" s="148"/>
      <c r="W20" s="149"/>
      <c r="X20" s="150"/>
      <c r="Y20" s="27"/>
      <c r="Z20" s="27"/>
    </row>
    <row r="21" spans="1:26" ht="18" customHeight="1" x14ac:dyDescent="0.15">
      <c r="A21" s="14"/>
      <c r="B21" s="154"/>
      <c r="C21" s="155"/>
      <c r="D21" s="155"/>
      <c r="E21" s="155"/>
      <c r="F21" s="156"/>
      <c r="G21" s="27"/>
      <c r="H21" s="27"/>
      <c r="I21" s="148"/>
      <c r="J21" s="149"/>
      <c r="K21" s="150"/>
      <c r="L21" s="27"/>
      <c r="M21" s="27"/>
      <c r="N21" s="142"/>
      <c r="O21" s="143"/>
      <c r="P21" s="143"/>
      <c r="Q21" s="143"/>
      <c r="R21" s="143"/>
      <c r="S21" s="144"/>
      <c r="T21" s="27"/>
      <c r="U21" s="27"/>
      <c r="V21" s="148"/>
      <c r="W21" s="149"/>
      <c r="X21" s="150"/>
      <c r="Y21" s="27"/>
      <c r="Z21" s="27"/>
    </row>
    <row r="22" spans="1:26" ht="18" customHeight="1" x14ac:dyDescent="0.15">
      <c r="A22" s="14"/>
      <c r="B22" s="157"/>
      <c r="C22" s="158"/>
      <c r="D22" s="158"/>
      <c r="E22" s="158"/>
      <c r="F22" s="159"/>
      <c r="G22" s="28"/>
      <c r="H22" s="28"/>
      <c r="I22" s="151"/>
      <c r="J22" s="152"/>
      <c r="K22" s="153"/>
      <c r="L22" s="29"/>
      <c r="M22" s="29"/>
      <c r="N22" s="145"/>
      <c r="O22" s="146"/>
      <c r="P22" s="146"/>
      <c r="Q22" s="146"/>
      <c r="R22" s="146"/>
      <c r="S22" s="147"/>
      <c r="T22" s="28"/>
      <c r="U22" s="28"/>
      <c r="V22" s="151"/>
      <c r="W22" s="152"/>
      <c r="X22" s="153"/>
      <c r="Y22" s="29"/>
      <c r="Z22" s="29"/>
    </row>
    <row r="23" spans="1:26" ht="7.5" customHeight="1" x14ac:dyDescent="0.15">
      <c r="A23" s="14"/>
      <c r="B23" s="30"/>
      <c r="C23" s="30"/>
      <c r="D23" s="14"/>
      <c r="E23" s="14"/>
      <c r="F23" s="14"/>
      <c r="G23" s="14"/>
      <c r="H23" s="14"/>
      <c r="I23" s="14"/>
      <c r="J23" s="14"/>
      <c r="K23" s="14"/>
      <c r="L23" s="30"/>
      <c r="M23" s="30"/>
      <c r="N23" s="30"/>
      <c r="O23" s="30"/>
      <c r="P23" s="30"/>
      <c r="Q23" s="30"/>
      <c r="R23" s="30"/>
      <c r="S23" s="30"/>
      <c r="T23" s="30"/>
      <c r="U23" s="30"/>
      <c r="V23" s="30"/>
      <c r="W23" s="30"/>
      <c r="X23" s="30"/>
      <c r="Y23" s="30"/>
      <c r="Z23" s="14"/>
    </row>
    <row r="24" spans="1:26" ht="18" customHeight="1" x14ac:dyDescent="0.15">
      <c r="A24" s="192" t="s">
        <v>126</v>
      </c>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8" customHeight="1" x14ac:dyDescent="0.15">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8" customHeight="1" x14ac:dyDescent="0.15">
      <c r="B26" s="108" t="s">
        <v>100</v>
      </c>
      <c r="C26" s="109"/>
      <c r="D26" s="109"/>
      <c r="E26" s="109"/>
      <c r="F26" s="110"/>
      <c r="G26" s="20" t="s">
        <v>141</v>
      </c>
      <c r="H26" s="24" t="s">
        <v>140</v>
      </c>
      <c r="I26" s="109" t="s">
        <v>101</v>
      </c>
      <c r="J26" s="109"/>
      <c r="K26" s="109"/>
      <c r="L26" s="25" t="s">
        <v>127</v>
      </c>
      <c r="M26" s="25" t="s">
        <v>128</v>
      </c>
      <c r="N26" s="108" t="s">
        <v>100</v>
      </c>
      <c r="O26" s="109"/>
      <c r="P26" s="109"/>
      <c r="Q26" s="109"/>
      <c r="R26" s="109"/>
      <c r="S26" s="110"/>
      <c r="T26" s="20" t="s">
        <v>141</v>
      </c>
      <c r="U26" s="24" t="s">
        <v>140</v>
      </c>
      <c r="V26" s="109" t="s">
        <v>101</v>
      </c>
      <c r="W26" s="109"/>
      <c r="X26" s="109"/>
      <c r="Y26" s="25" t="s">
        <v>127</v>
      </c>
      <c r="Z26" s="25" t="s">
        <v>128</v>
      </c>
    </row>
    <row r="27" spans="1:26" ht="18" customHeight="1" x14ac:dyDescent="0.15">
      <c r="B27" s="154" t="s">
        <v>156</v>
      </c>
      <c r="C27" s="155"/>
      <c r="D27" s="155"/>
      <c r="E27" s="155"/>
      <c r="F27" s="156"/>
      <c r="G27" s="27">
        <v>1</v>
      </c>
      <c r="H27" s="27" t="s">
        <v>157</v>
      </c>
      <c r="I27" s="148" t="s">
        <v>173</v>
      </c>
      <c r="J27" s="149"/>
      <c r="K27" s="150"/>
      <c r="L27" s="27" t="s">
        <v>157</v>
      </c>
      <c r="M27" s="27" t="s">
        <v>157</v>
      </c>
      <c r="N27" s="139"/>
      <c r="O27" s="140"/>
      <c r="P27" s="140"/>
      <c r="Q27" s="140"/>
      <c r="R27" s="140"/>
      <c r="S27" s="141"/>
      <c r="T27" s="26"/>
      <c r="U27" s="26"/>
      <c r="V27" s="164"/>
      <c r="W27" s="165"/>
      <c r="X27" s="166"/>
      <c r="Y27" s="26"/>
      <c r="Z27" s="26"/>
    </row>
    <row r="28" spans="1:26" ht="18" customHeight="1" x14ac:dyDescent="0.15">
      <c r="B28" s="154"/>
      <c r="C28" s="155"/>
      <c r="D28" s="155"/>
      <c r="E28" s="155"/>
      <c r="F28" s="156"/>
      <c r="G28" s="27"/>
      <c r="H28" s="27"/>
      <c r="I28" s="148"/>
      <c r="J28" s="149"/>
      <c r="K28" s="150"/>
      <c r="L28" s="27"/>
      <c r="M28" s="27"/>
      <c r="N28" s="142"/>
      <c r="O28" s="143"/>
      <c r="P28" s="143"/>
      <c r="Q28" s="143"/>
      <c r="R28" s="143"/>
      <c r="S28" s="144"/>
      <c r="T28" s="27"/>
      <c r="U28" s="27"/>
      <c r="V28" s="148"/>
      <c r="W28" s="149"/>
      <c r="X28" s="150"/>
      <c r="Y28" s="27"/>
      <c r="Z28" s="27"/>
    </row>
    <row r="29" spans="1:26" ht="18" customHeight="1" x14ac:dyDescent="0.15">
      <c r="B29" s="154"/>
      <c r="C29" s="155"/>
      <c r="D29" s="155"/>
      <c r="E29" s="155"/>
      <c r="F29" s="156"/>
      <c r="G29" s="27"/>
      <c r="H29" s="27"/>
      <c r="I29" s="148"/>
      <c r="J29" s="149"/>
      <c r="K29" s="150"/>
      <c r="L29" s="27"/>
      <c r="M29" s="27"/>
      <c r="N29" s="142"/>
      <c r="O29" s="143"/>
      <c r="P29" s="143"/>
      <c r="Q29" s="143"/>
      <c r="R29" s="143"/>
      <c r="S29" s="144"/>
      <c r="T29" s="27"/>
      <c r="U29" s="27"/>
      <c r="V29" s="148"/>
      <c r="W29" s="149"/>
      <c r="X29" s="150"/>
      <c r="Y29" s="27"/>
      <c r="Z29" s="27"/>
    </row>
    <row r="30" spans="1:26" ht="18" customHeight="1" x14ac:dyDescent="0.15">
      <c r="B30" s="154"/>
      <c r="C30" s="155"/>
      <c r="D30" s="155"/>
      <c r="E30" s="155"/>
      <c r="F30" s="156"/>
      <c r="G30" s="27"/>
      <c r="H30" s="27"/>
      <c r="I30" s="148"/>
      <c r="J30" s="149"/>
      <c r="K30" s="150"/>
      <c r="L30" s="27"/>
      <c r="M30" s="27"/>
      <c r="N30" s="142"/>
      <c r="O30" s="143"/>
      <c r="P30" s="143"/>
      <c r="Q30" s="143"/>
      <c r="R30" s="143"/>
      <c r="S30" s="144"/>
      <c r="T30" s="27"/>
      <c r="U30" s="27"/>
      <c r="V30" s="148"/>
      <c r="W30" s="149"/>
      <c r="X30" s="150"/>
      <c r="Y30" s="27"/>
      <c r="Z30" s="27"/>
    </row>
    <row r="31" spans="1:26" ht="18" customHeight="1" x14ac:dyDescent="0.15">
      <c r="B31" s="154"/>
      <c r="C31" s="155"/>
      <c r="D31" s="155"/>
      <c r="E31" s="155"/>
      <c r="F31" s="156"/>
      <c r="G31" s="27"/>
      <c r="H31" s="27"/>
      <c r="I31" s="148"/>
      <c r="J31" s="149"/>
      <c r="K31" s="150"/>
      <c r="L31" s="27"/>
      <c r="M31" s="27"/>
      <c r="N31" s="142"/>
      <c r="O31" s="143"/>
      <c r="P31" s="143"/>
      <c r="Q31" s="143"/>
      <c r="R31" s="143"/>
      <c r="S31" s="144"/>
      <c r="T31" s="27"/>
      <c r="U31" s="27"/>
      <c r="V31" s="148"/>
      <c r="W31" s="149"/>
      <c r="X31" s="150"/>
      <c r="Y31" s="27"/>
      <c r="Z31" s="27"/>
    </row>
    <row r="32" spans="1:26" ht="18" customHeight="1" x14ac:dyDescent="0.15">
      <c r="B32" s="154"/>
      <c r="C32" s="155"/>
      <c r="D32" s="155"/>
      <c r="E32" s="155"/>
      <c r="F32" s="156"/>
      <c r="G32" s="27"/>
      <c r="H32" s="27"/>
      <c r="I32" s="148"/>
      <c r="J32" s="149"/>
      <c r="K32" s="150"/>
      <c r="L32" s="27"/>
      <c r="M32" s="27"/>
      <c r="N32" s="142"/>
      <c r="O32" s="143"/>
      <c r="P32" s="143"/>
      <c r="Q32" s="143"/>
      <c r="R32" s="143"/>
      <c r="S32" s="144"/>
      <c r="T32" s="27"/>
      <c r="U32" s="27"/>
      <c r="V32" s="148"/>
      <c r="W32" s="149"/>
      <c r="X32" s="150"/>
      <c r="Y32" s="27"/>
      <c r="Z32" s="27"/>
    </row>
    <row r="33" spans="1:26" ht="18" customHeight="1" x14ac:dyDescent="0.15">
      <c r="B33" s="157"/>
      <c r="C33" s="158"/>
      <c r="D33" s="158"/>
      <c r="E33" s="158"/>
      <c r="F33" s="159"/>
      <c r="G33" s="28"/>
      <c r="H33" s="28"/>
      <c r="I33" s="151"/>
      <c r="J33" s="152"/>
      <c r="K33" s="153"/>
      <c r="L33" s="29"/>
      <c r="M33" s="29"/>
      <c r="N33" s="145"/>
      <c r="O33" s="146"/>
      <c r="P33" s="146"/>
      <c r="Q33" s="146"/>
      <c r="R33" s="146"/>
      <c r="S33" s="147"/>
      <c r="T33" s="28"/>
      <c r="U33" s="28"/>
      <c r="V33" s="151"/>
      <c r="W33" s="152"/>
      <c r="X33" s="153"/>
      <c r="Y33" s="29"/>
      <c r="Z33" s="29"/>
    </row>
    <row r="34" spans="1:26" ht="7.5" customHeight="1" x14ac:dyDescent="0.15">
      <c r="A34" s="14"/>
      <c r="B34" s="30"/>
      <c r="C34" s="30"/>
      <c r="D34" s="14"/>
      <c r="E34" s="14"/>
      <c r="F34" s="14"/>
      <c r="G34" s="14"/>
      <c r="H34" s="14"/>
      <c r="I34" s="14"/>
      <c r="J34" s="14"/>
      <c r="K34" s="14"/>
      <c r="L34" s="30"/>
      <c r="M34" s="30"/>
      <c r="N34" s="30"/>
      <c r="O34" s="30"/>
      <c r="P34" s="30"/>
      <c r="Q34" s="30"/>
      <c r="R34" s="30"/>
      <c r="S34" s="30"/>
      <c r="T34" s="30"/>
      <c r="U34" s="30"/>
      <c r="V34" s="30"/>
      <c r="W34" s="30"/>
      <c r="X34" s="30"/>
      <c r="Y34" s="30"/>
      <c r="Z34" s="14"/>
    </row>
    <row r="35" spans="1:26" ht="18" customHeight="1" x14ac:dyDescent="0.15">
      <c r="A35" s="192" t="s">
        <v>129</v>
      </c>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8" customHeight="1" x14ac:dyDescent="0.15">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8" customHeight="1" x14ac:dyDescent="0.15">
      <c r="B37" s="108" t="s">
        <v>100</v>
      </c>
      <c r="C37" s="109"/>
      <c r="D37" s="109"/>
      <c r="E37" s="109"/>
      <c r="F37" s="110"/>
      <c r="G37" s="20" t="s">
        <v>141</v>
      </c>
      <c r="H37" s="24" t="s">
        <v>140</v>
      </c>
      <c r="I37" s="108" t="s">
        <v>101</v>
      </c>
      <c r="J37" s="109"/>
      <c r="K37" s="110"/>
      <c r="L37" s="25" t="s">
        <v>130</v>
      </c>
      <c r="M37" s="25" t="s">
        <v>131</v>
      </c>
      <c r="N37" s="108" t="s">
        <v>100</v>
      </c>
      <c r="O37" s="109"/>
      <c r="P37" s="109"/>
      <c r="Q37" s="109"/>
      <c r="R37" s="109"/>
      <c r="S37" s="110"/>
      <c r="T37" s="20" t="s">
        <v>141</v>
      </c>
      <c r="U37" s="24" t="s">
        <v>140</v>
      </c>
      <c r="V37" s="108" t="s">
        <v>101</v>
      </c>
      <c r="W37" s="109"/>
      <c r="X37" s="110"/>
      <c r="Y37" s="25" t="s">
        <v>130</v>
      </c>
      <c r="Z37" s="25" t="s">
        <v>131</v>
      </c>
    </row>
    <row r="38" spans="1:26" ht="18" customHeight="1" x14ac:dyDescent="0.15">
      <c r="A38" s="14"/>
      <c r="B38" s="154" t="s">
        <v>156</v>
      </c>
      <c r="C38" s="155"/>
      <c r="D38" s="155"/>
      <c r="E38" s="155"/>
      <c r="F38" s="156"/>
      <c r="G38" s="26">
        <v>1</v>
      </c>
      <c r="H38" s="26" t="s">
        <v>157</v>
      </c>
      <c r="I38" s="164" t="s">
        <v>173</v>
      </c>
      <c r="J38" s="165"/>
      <c r="K38" s="166"/>
      <c r="L38" s="26" t="s">
        <v>157</v>
      </c>
      <c r="M38" s="26" t="s">
        <v>157</v>
      </c>
      <c r="N38" s="139"/>
      <c r="O38" s="140"/>
      <c r="P38" s="140"/>
      <c r="Q38" s="140"/>
      <c r="R38" s="140"/>
      <c r="S38" s="141"/>
      <c r="T38" s="26"/>
      <c r="U38" s="26"/>
      <c r="V38" s="164"/>
      <c r="W38" s="165"/>
      <c r="X38" s="166"/>
      <c r="Y38" s="26"/>
      <c r="Z38" s="26"/>
    </row>
    <row r="39" spans="1:26" ht="18" customHeight="1" x14ac:dyDescent="0.15">
      <c r="A39" s="14"/>
      <c r="B39" s="154"/>
      <c r="C39" s="155"/>
      <c r="D39" s="155"/>
      <c r="E39" s="155"/>
      <c r="F39" s="156"/>
      <c r="G39" s="27"/>
      <c r="H39" s="27"/>
      <c r="I39" s="148"/>
      <c r="J39" s="149"/>
      <c r="K39" s="150"/>
      <c r="L39" s="27"/>
      <c r="M39" s="27"/>
      <c r="N39" s="142"/>
      <c r="O39" s="143"/>
      <c r="P39" s="143"/>
      <c r="Q39" s="143"/>
      <c r="R39" s="143"/>
      <c r="S39" s="144"/>
      <c r="T39" s="27"/>
      <c r="U39" s="27"/>
      <c r="V39" s="148"/>
      <c r="W39" s="149"/>
      <c r="X39" s="150"/>
      <c r="Y39" s="27"/>
      <c r="Z39" s="27"/>
    </row>
    <row r="40" spans="1:26" ht="18" customHeight="1" x14ac:dyDescent="0.15">
      <c r="A40" s="14"/>
      <c r="B40" s="154"/>
      <c r="C40" s="155"/>
      <c r="D40" s="155"/>
      <c r="E40" s="155"/>
      <c r="F40" s="156"/>
      <c r="G40" s="27"/>
      <c r="H40" s="27"/>
      <c r="I40" s="148"/>
      <c r="J40" s="149"/>
      <c r="K40" s="150"/>
      <c r="L40" s="27"/>
      <c r="M40" s="27"/>
      <c r="N40" s="142"/>
      <c r="O40" s="143"/>
      <c r="P40" s="143"/>
      <c r="Q40" s="143"/>
      <c r="R40" s="143"/>
      <c r="S40" s="144"/>
      <c r="T40" s="27"/>
      <c r="U40" s="27"/>
      <c r="V40" s="148"/>
      <c r="W40" s="149"/>
      <c r="X40" s="150"/>
      <c r="Y40" s="27"/>
      <c r="Z40" s="27"/>
    </row>
    <row r="41" spans="1:26" ht="18" customHeight="1" x14ac:dyDescent="0.15">
      <c r="A41" s="14"/>
      <c r="B41" s="154"/>
      <c r="C41" s="155"/>
      <c r="D41" s="155"/>
      <c r="E41" s="155"/>
      <c r="F41" s="156"/>
      <c r="G41" s="27"/>
      <c r="H41" s="27"/>
      <c r="I41" s="148"/>
      <c r="J41" s="149"/>
      <c r="K41" s="150"/>
      <c r="L41" s="27"/>
      <c r="M41" s="27"/>
      <c r="N41" s="142"/>
      <c r="O41" s="143"/>
      <c r="P41" s="143"/>
      <c r="Q41" s="143"/>
      <c r="R41" s="143"/>
      <c r="S41" s="144"/>
      <c r="T41" s="27"/>
      <c r="U41" s="27"/>
      <c r="V41" s="148"/>
      <c r="W41" s="149"/>
      <c r="X41" s="150"/>
      <c r="Y41" s="27"/>
      <c r="Z41" s="27"/>
    </row>
    <row r="42" spans="1:26" ht="18" customHeight="1" x14ac:dyDescent="0.15">
      <c r="A42" s="14"/>
      <c r="B42" s="154"/>
      <c r="C42" s="155"/>
      <c r="D42" s="155"/>
      <c r="E42" s="155"/>
      <c r="F42" s="156"/>
      <c r="G42" s="27"/>
      <c r="H42" s="27"/>
      <c r="I42" s="148"/>
      <c r="J42" s="149"/>
      <c r="K42" s="150"/>
      <c r="L42" s="27"/>
      <c r="M42" s="27"/>
      <c r="N42" s="142"/>
      <c r="O42" s="143"/>
      <c r="P42" s="143"/>
      <c r="Q42" s="143"/>
      <c r="R42" s="143"/>
      <c r="S42" s="144"/>
      <c r="T42" s="27"/>
      <c r="U42" s="27"/>
      <c r="V42" s="148"/>
      <c r="W42" s="149"/>
      <c r="X42" s="150"/>
      <c r="Y42" s="27"/>
      <c r="Z42" s="27"/>
    </row>
    <row r="43" spans="1:26" ht="18" customHeight="1" x14ac:dyDescent="0.15">
      <c r="A43" s="14"/>
      <c r="B43" s="154"/>
      <c r="C43" s="155"/>
      <c r="D43" s="155"/>
      <c r="E43" s="155"/>
      <c r="F43" s="156"/>
      <c r="G43" s="27"/>
      <c r="H43" s="27"/>
      <c r="I43" s="148"/>
      <c r="J43" s="149"/>
      <c r="K43" s="150"/>
      <c r="L43" s="27"/>
      <c r="M43" s="27"/>
      <c r="N43" s="142"/>
      <c r="O43" s="143"/>
      <c r="P43" s="143"/>
      <c r="Q43" s="143"/>
      <c r="R43" s="143"/>
      <c r="S43" s="144"/>
      <c r="T43" s="27"/>
      <c r="U43" s="27"/>
      <c r="V43" s="148"/>
      <c r="W43" s="149"/>
      <c r="X43" s="150"/>
      <c r="Y43" s="27"/>
      <c r="Z43" s="27"/>
    </row>
    <row r="44" spans="1:26" ht="18" customHeight="1" x14ac:dyDescent="0.15">
      <c r="A44" s="14"/>
      <c r="B44" s="157"/>
      <c r="C44" s="158"/>
      <c r="D44" s="158"/>
      <c r="E44" s="158"/>
      <c r="F44" s="159"/>
      <c r="G44" s="28"/>
      <c r="H44" s="28"/>
      <c r="I44" s="151"/>
      <c r="J44" s="152"/>
      <c r="K44" s="153"/>
      <c r="L44" s="29"/>
      <c r="M44" s="29"/>
      <c r="N44" s="145"/>
      <c r="O44" s="146"/>
      <c r="P44" s="146"/>
      <c r="Q44" s="146"/>
      <c r="R44" s="146"/>
      <c r="S44" s="147"/>
      <c r="T44" s="28"/>
      <c r="U44" s="28"/>
      <c r="V44" s="151"/>
      <c r="W44" s="152"/>
      <c r="X44" s="153"/>
      <c r="Y44" s="29"/>
      <c r="Z44" s="29"/>
    </row>
    <row r="45" spans="1:26" ht="7.5" customHeight="1" x14ac:dyDescent="0.15">
      <c r="B45" s="31"/>
      <c r="C45" s="31"/>
      <c r="D45" s="31"/>
      <c r="E45" s="31"/>
      <c r="F45" s="31"/>
      <c r="G45" s="31"/>
      <c r="H45" s="31"/>
      <c r="I45" s="31"/>
      <c r="J45" s="31"/>
      <c r="K45" s="31"/>
      <c r="L45" s="31"/>
      <c r="M45" s="31"/>
      <c r="N45" s="31"/>
      <c r="O45" s="31"/>
      <c r="P45" s="31"/>
      <c r="Q45" s="31"/>
      <c r="R45" s="31"/>
      <c r="S45" s="31"/>
      <c r="T45" s="31"/>
      <c r="U45" s="31"/>
      <c r="V45" s="31"/>
      <c r="W45" s="31"/>
      <c r="X45" s="31"/>
      <c r="Y45" s="31"/>
    </row>
    <row r="46" spans="1:26" ht="18" customHeight="1" x14ac:dyDescent="0.15">
      <c r="A46" s="192" t="s">
        <v>132</v>
      </c>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8" customHeight="1" x14ac:dyDescent="0.15">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8" customHeight="1" x14ac:dyDescent="0.15">
      <c r="B48" s="108" t="s">
        <v>100</v>
      </c>
      <c r="C48" s="109"/>
      <c r="D48" s="109"/>
      <c r="E48" s="109"/>
      <c r="F48" s="110"/>
      <c r="G48" s="20" t="s">
        <v>141</v>
      </c>
      <c r="H48" s="24" t="s">
        <v>140</v>
      </c>
      <c r="I48" s="108" t="s">
        <v>101</v>
      </c>
      <c r="J48" s="109"/>
      <c r="K48" s="110"/>
      <c r="L48" s="25" t="s">
        <v>106</v>
      </c>
      <c r="M48" s="25" t="s">
        <v>108</v>
      </c>
      <c r="N48" s="108" t="s">
        <v>100</v>
      </c>
      <c r="O48" s="109"/>
      <c r="P48" s="109"/>
      <c r="Q48" s="109"/>
      <c r="R48" s="109"/>
      <c r="S48" s="110"/>
      <c r="T48" s="20" t="s">
        <v>141</v>
      </c>
      <c r="U48" s="24" t="s">
        <v>140</v>
      </c>
      <c r="V48" s="108" t="s">
        <v>101</v>
      </c>
      <c r="W48" s="109"/>
      <c r="X48" s="110"/>
      <c r="Y48" s="25" t="s">
        <v>106</v>
      </c>
      <c r="Z48" s="25" t="s">
        <v>108</v>
      </c>
    </row>
    <row r="49" spans="1:26" ht="18" customHeight="1" x14ac:dyDescent="0.15">
      <c r="A49" s="14"/>
      <c r="B49" s="154" t="s">
        <v>156</v>
      </c>
      <c r="C49" s="155"/>
      <c r="D49" s="155"/>
      <c r="E49" s="155"/>
      <c r="F49" s="156"/>
      <c r="G49" s="27">
        <v>1</v>
      </c>
      <c r="H49" s="27" t="s">
        <v>157</v>
      </c>
      <c r="I49" s="148" t="s">
        <v>173</v>
      </c>
      <c r="J49" s="149"/>
      <c r="K49" s="150"/>
      <c r="L49" s="26" t="s">
        <v>157</v>
      </c>
      <c r="M49" s="26" t="s">
        <v>157</v>
      </c>
      <c r="N49" s="139"/>
      <c r="O49" s="140"/>
      <c r="P49" s="140"/>
      <c r="Q49" s="140"/>
      <c r="R49" s="140"/>
      <c r="S49" s="141"/>
      <c r="T49" s="26"/>
      <c r="U49" s="26"/>
      <c r="V49" s="164"/>
      <c r="W49" s="165"/>
      <c r="X49" s="166"/>
      <c r="Y49" s="26"/>
      <c r="Z49" s="26"/>
    </row>
    <row r="50" spans="1:26" ht="18" customHeight="1" x14ac:dyDescent="0.15">
      <c r="A50" s="14"/>
      <c r="B50" s="154" t="s">
        <v>177</v>
      </c>
      <c r="C50" s="155"/>
      <c r="D50" s="155"/>
      <c r="E50" s="155"/>
      <c r="F50" s="156"/>
      <c r="G50" s="27">
        <v>2</v>
      </c>
      <c r="H50" s="27" t="s">
        <v>157</v>
      </c>
      <c r="I50" s="148" t="s">
        <v>158</v>
      </c>
      <c r="J50" s="149"/>
      <c r="K50" s="150"/>
      <c r="L50" s="27" t="s">
        <v>157</v>
      </c>
      <c r="M50" s="27" t="s">
        <v>157</v>
      </c>
      <c r="N50" s="142"/>
      <c r="O50" s="143"/>
      <c r="P50" s="143"/>
      <c r="Q50" s="143"/>
      <c r="R50" s="143"/>
      <c r="S50" s="144"/>
      <c r="T50" s="27"/>
      <c r="U50" s="27"/>
      <c r="V50" s="148"/>
      <c r="W50" s="149"/>
      <c r="X50" s="150"/>
      <c r="Y50" s="27"/>
      <c r="Z50" s="27"/>
    </row>
    <row r="51" spans="1:26" ht="18" customHeight="1" x14ac:dyDescent="0.15">
      <c r="A51" s="14"/>
      <c r="B51" s="154"/>
      <c r="C51" s="155"/>
      <c r="D51" s="155"/>
      <c r="E51" s="155"/>
      <c r="F51" s="156"/>
      <c r="G51" s="27"/>
      <c r="H51" s="27"/>
      <c r="I51" s="148"/>
      <c r="J51" s="149"/>
      <c r="K51" s="150"/>
      <c r="L51" s="27"/>
      <c r="M51" s="27"/>
      <c r="N51" s="142"/>
      <c r="O51" s="143"/>
      <c r="P51" s="143"/>
      <c r="Q51" s="143"/>
      <c r="R51" s="143"/>
      <c r="S51" s="144"/>
      <c r="T51" s="27"/>
      <c r="U51" s="27"/>
      <c r="V51" s="148"/>
      <c r="W51" s="149"/>
      <c r="X51" s="150"/>
      <c r="Y51" s="27"/>
      <c r="Z51" s="27"/>
    </row>
    <row r="52" spans="1:26" ht="18" customHeight="1" x14ac:dyDescent="0.15">
      <c r="A52" s="14"/>
      <c r="B52" s="154"/>
      <c r="C52" s="155"/>
      <c r="D52" s="155"/>
      <c r="E52" s="155"/>
      <c r="F52" s="156"/>
      <c r="G52" s="27"/>
      <c r="H52" s="27"/>
      <c r="I52" s="148"/>
      <c r="J52" s="149"/>
      <c r="K52" s="150"/>
      <c r="L52" s="27"/>
      <c r="M52" s="27"/>
      <c r="N52" s="142"/>
      <c r="O52" s="143"/>
      <c r="P52" s="143"/>
      <c r="Q52" s="143"/>
      <c r="R52" s="143"/>
      <c r="S52" s="144"/>
      <c r="T52" s="27"/>
      <c r="U52" s="27"/>
      <c r="V52" s="148"/>
      <c r="W52" s="149"/>
      <c r="X52" s="150"/>
      <c r="Y52" s="27"/>
      <c r="Z52" s="27"/>
    </row>
    <row r="53" spans="1:26" ht="18" customHeight="1" x14ac:dyDescent="0.15">
      <c r="A53" s="14"/>
      <c r="B53" s="154"/>
      <c r="C53" s="155"/>
      <c r="D53" s="155"/>
      <c r="E53" s="155"/>
      <c r="F53" s="156"/>
      <c r="G53" s="27"/>
      <c r="H53" s="27"/>
      <c r="I53" s="148"/>
      <c r="J53" s="149"/>
      <c r="K53" s="150"/>
      <c r="L53" s="27"/>
      <c r="M53" s="27"/>
      <c r="N53" s="142"/>
      <c r="O53" s="143"/>
      <c r="P53" s="143"/>
      <c r="Q53" s="143"/>
      <c r="R53" s="143"/>
      <c r="S53" s="144"/>
      <c r="T53" s="27"/>
      <c r="U53" s="27"/>
      <c r="V53" s="148"/>
      <c r="W53" s="149"/>
      <c r="X53" s="150"/>
      <c r="Y53" s="27"/>
      <c r="Z53" s="27"/>
    </row>
    <row r="54" spans="1:26" ht="18" customHeight="1" x14ac:dyDescent="0.15">
      <c r="A54" s="14"/>
      <c r="B54" s="154"/>
      <c r="C54" s="155"/>
      <c r="D54" s="155"/>
      <c r="E54" s="155"/>
      <c r="F54" s="156"/>
      <c r="G54" s="27"/>
      <c r="H54" s="27"/>
      <c r="I54" s="148"/>
      <c r="J54" s="149"/>
      <c r="K54" s="150"/>
      <c r="L54" s="27"/>
      <c r="M54" s="27"/>
      <c r="N54" s="142"/>
      <c r="O54" s="143"/>
      <c r="P54" s="143"/>
      <c r="Q54" s="143"/>
      <c r="R54" s="143"/>
      <c r="S54" s="144"/>
      <c r="T54" s="27"/>
      <c r="U54" s="27"/>
      <c r="V54" s="148"/>
      <c r="W54" s="149"/>
      <c r="X54" s="150"/>
      <c r="Y54" s="27"/>
      <c r="Z54" s="27"/>
    </row>
    <row r="55" spans="1:26" ht="18" customHeight="1" x14ac:dyDescent="0.15">
      <c r="A55" s="14"/>
      <c r="B55" s="157"/>
      <c r="C55" s="158"/>
      <c r="D55" s="158"/>
      <c r="E55" s="158"/>
      <c r="F55" s="159"/>
      <c r="G55" s="28"/>
      <c r="H55" s="28"/>
      <c r="I55" s="151"/>
      <c r="J55" s="152"/>
      <c r="K55" s="153"/>
      <c r="L55" s="29"/>
      <c r="M55" s="29"/>
      <c r="N55" s="145"/>
      <c r="O55" s="146"/>
      <c r="P55" s="146"/>
      <c r="Q55" s="146"/>
      <c r="R55" s="146"/>
      <c r="S55" s="147"/>
      <c r="T55" s="28"/>
      <c r="U55" s="28"/>
      <c r="V55" s="151"/>
      <c r="W55" s="152"/>
      <c r="X55" s="153"/>
      <c r="Y55" s="29"/>
      <c r="Z55" s="29"/>
    </row>
    <row r="56" spans="1:26" ht="7.5" customHeight="1" x14ac:dyDescent="0.15">
      <c r="B56" s="31"/>
      <c r="C56" s="31"/>
      <c r="D56" s="31"/>
      <c r="E56" s="31"/>
      <c r="F56" s="31"/>
      <c r="G56" s="31"/>
      <c r="H56" s="31"/>
      <c r="I56" s="31"/>
      <c r="J56" s="31"/>
      <c r="K56" s="31"/>
      <c r="L56" s="31"/>
      <c r="M56" s="31"/>
      <c r="N56" s="31"/>
      <c r="O56" s="31"/>
      <c r="P56" s="31"/>
      <c r="Q56" s="31"/>
      <c r="R56" s="31"/>
      <c r="S56" s="31"/>
      <c r="T56" s="31"/>
      <c r="U56" s="31"/>
      <c r="V56" s="31"/>
      <c r="W56" s="31"/>
      <c r="X56" s="31"/>
      <c r="Y56" s="31"/>
    </row>
    <row r="57" spans="1:26" ht="18" customHeight="1" x14ac:dyDescent="0.15">
      <c r="A57" s="192" t="s">
        <v>133</v>
      </c>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8" customHeight="1" x14ac:dyDescent="0.15">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8" customHeight="1" x14ac:dyDescent="0.15">
      <c r="B59" s="108" t="s">
        <v>100</v>
      </c>
      <c r="C59" s="109"/>
      <c r="D59" s="109"/>
      <c r="E59" s="110"/>
      <c r="F59" s="20" t="s">
        <v>141</v>
      </c>
      <c r="G59" s="24" t="s">
        <v>140</v>
      </c>
      <c r="H59" s="32" t="s">
        <v>101</v>
      </c>
      <c r="I59" s="33"/>
      <c r="J59" s="34"/>
      <c r="K59" s="25" t="s">
        <v>105</v>
      </c>
      <c r="L59" s="25" t="s">
        <v>134</v>
      </c>
      <c r="M59" s="25" t="s">
        <v>135</v>
      </c>
      <c r="N59" s="108" t="s">
        <v>100</v>
      </c>
      <c r="O59" s="109"/>
      <c r="P59" s="109"/>
      <c r="Q59" s="109"/>
      <c r="R59" s="110"/>
      <c r="S59" s="20" t="s">
        <v>141</v>
      </c>
      <c r="T59" s="24" t="s">
        <v>140</v>
      </c>
      <c r="U59" s="32" t="s">
        <v>101</v>
      </c>
      <c r="V59" s="33"/>
      <c r="W59" s="34"/>
      <c r="X59" s="25" t="s">
        <v>105</v>
      </c>
      <c r="Y59" s="25" t="s">
        <v>134</v>
      </c>
      <c r="Z59" s="25" t="s">
        <v>135</v>
      </c>
    </row>
    <row r="60" spans="1:26" ht="18" customHeight="1" x14ac:dyDescent="0.15">
      <c r="A60" s="14"/>
      <c r="B60" s="139" t="s">
        <v>160</v>
      </c>
      <c r="C60" s="140"/>
      <c r="D60" s="140"/>
      <c r="E60" s="141"/>
      <c r="F60" s="26">
        <v>1</v>
      </c>
      <c r="G60" s="26" t="s">
        <v>157</v>
      </c>
      <c r="H60" s="164" t="s">
        <v>173</v>
      </c>
      <c r="I60" s="165"/>
      <c r="J60" s="166"/>
      <c r="K60" s="26" t="s">
        <v>157</v>
      </c>
      <c r="L60" s="26" t="s">
        <v>157</v>
      </c>
      <c r="M60" s="26" t="s">
        <v>157</v>
      </c>
      <c r="N60" s="139"/>
      <c r="O60" s="140"/>
      <c r="P60" s="140"/>
      <c r="Q60" s="140"/>
      <c r="R60" s="141"/>
      <c r="S60" s="26"/>
      <c r="T60" s="26"/>
      <c r="U60" s="164"/>
      <c r="V60" s="165"/>
      <c r="W60" s="166"/>
      <c r="X60" s="35"/>
      <c r="Y60" s="26"/>
      <c r="Z60" s="26"/>
    </row>
    <row r="61" spans="1:26" ht="18" customHeight="1" x14ac:dyDescent="0.15">
      <c r="A61" s="14"/>
      <c r="B61" s="142" t="s">
        <v>177</v>
      </c>
      <c r="C61" s="143"/>
      <c r="D61" s="143"/>
      <c r="E61" s="144"/>
      <c r="F61" s="27">
        <v>2</v>
      </c>
      <c r="G61" s="27" t="s">
        <v>157</v>
      </c>
      <c r="H61" s="148" t="s">
        <v>158</v>
      </c>
      <c r="I61" s="149"/>
      <c r="J61" s="150"/>
      <c r="K61" s="27" t="s">
        <v>157</v>
      </c>
      <c r="L61" s="27" t="s">
        <v>157</v>
      </c>
      <c r="M61" s="27" t="s">
        <v>157</v>
      </c>
      <c r="N61" s="142"/>
      <c r="O61" s="143"/>
      <c r="P61" s="143"/>
      <c r="Q61" s="143"/>
      <c r="R61" s="144"/>
      <c r="S61" s="27"/>
      <c r="T61" s="27"/>
      <c r="U61" s="148"/>
      <c r="V61" s="149"/>
      <c r="W61" s="150"/>
      <c r="X61" s="36"/>
      <c r="Y61" s="27"/>
      <c r="Z61" s="27"/>
    </row>
    <row r="62" spans="1:26" ht="18" customHeight="1" x14ac:dyDescent="0.15">
      <c r="A62" s="14"/>
      <c r="B62" s="142"/>
      <c r="C62" s="143"/>
      <c r="D62" s="143"/>
      <c r="E62" s="144"/>
      <c r="F62" s="27"/>
      <c r="G62" s="27"/>
      <c r="H62" s="148"/>
      <c r="I62" s="149"/>
      <c r="J62" s="150"/>
      <c r="K62" s="36"/>
      <c r="L62" s="27"/>
      <c r="M62" s="27"/>
      <c r="N62" s="142"/>
      <c r="O62" s="143"/>
      <c r="P62" s="143"/>
      <c r="Q62" s="143"/>
      <c r="R62" s="144"/>
      <c r="S62" s="27"/>
      <c r="T62" s="27"/>
      <c r="U62" s="148"/>
      <c r="V62" s="149"/>
      <c r="W62" s="150"/>
      <c r="X62" s="36"/>
      <c r="Y62" s="27"/>
      <c r="Z62" s="27"/>
    </row>
    <row r="63" spans="1:26" ht="18" customHeight="1" x14ac:dyDescent="0.15">
      <c r="A63" s="14"/>
      <c r="B63" s="142"/>
      <c r="C63" s="143"/>
      <c r="D63" s="143"/>
      <c r="E63" s="144"/>
      <c r="F63" s="27"/>
      <c r="G63" s="27"/>
      <c r="H63" s="148"/>
      <c r="I63" s="149"/>
      <c r="J63" s="150"/>
      <c r="K63" s="36"/>
      <c r="L63" s="27"/>
      <c r="M63" s="27"/>
      <c r="N63" s="142"/>
      <c r="O63" s="143"/>
      <c r="P63" s="143"/>
      <c r="Q63" s="143"/>
      <c r="R63" s="144"/>
      <c r="S63" s="27"/>
      <c r="T63" s="27"/>
      <c r="U63" s="148"/>
      <c r="V63" s="149"/>
      <c r="W63" s="150"/>
      <c r="X63" s="36"/>
      <c r="Y63" s="27"/>
      <c r="Z63" s="27"/>
    </row>
    <row r="64" spans="1:26" ht="18" customHeight="1" x14ac:dyDescent="0.15">
      <c r="A64" s="14"/>
      <c r="B64" s="142"/>
      <c r="C64" s="143"/>
      <c r="D64" s="143"/>
      <c r="E64" s="144"/>
      <c r="F64" s="27"/>
      <c r="G64" s="27"/>
      <c r="H64" s="148"/>
      <c r="I64" s="149"/>
      <c r="J64" s="150"/>
      <c r="K64" s="36"/>
      <c r="L64" s="27"/>
      <c r="M64" s="27"/>
      <c r="N64" s="142"/>
      <c r="O64" s="143"/>
      <c r="P64" s="143"/>
      <c r="Q64" s="143"/>
      <c r="R64" s="144"/>
      <c r="S64" s="27"/>
      <c r="T64" s="27"/>
      <c r="U64" s="148"/>
      <c r="V64" s="149"/>
      <c r="W64" s="150"/>
      <c r="X64" s="36"/>
      <c r="Y64" s="27"/>
      <c r="Z64" s="27"/>
    </row>
    <row r="65" spans="1:26" ht="18" customHeight="1" x14ac:dyDescent="0.15">
      <c r="A65" s="14"/>
      <c r="B65" s="142"/>
      <c r="C65" s="143"/>
      <c r="D65" s="143"/>
      <c r="E65" s="144"/>
      <c r="F65" s="27"/>
      <c r="G65" s="27"/>
      <c r="H65" s="148"/>
      <c r="I65" s="149"/>
      <c r="J65" s="150"/>
      <c r="K65" s="36"/>
      <c r="L65" s="27"/>
      <c r="M65" s="27"/>
      <c r="N65" s="142"/>
      <c r="O65" s="143"/>
      <c r="P65" s="143"/>
      <c r="Q65" s="143"/>
      <c r="R65" s="144"/>
      <c r="S65" s="27"/>
      <c r="T65" s="27"/>
      <c r="U65" s="148"/>
      <c r="V65" s="149"/>
      <c r="W65" s="150"/>
      <c r="X65" s="36"/>
      <c r="Y65" s="27"/>
      <c r="Z65" s="27"/>
    </row>
    <row r="66" spans="1:26" ht="18" customHeight="1" x14ac:dyDescent="0.15">
      <c r="A66" s="14"/>
      <c r="B66" s="145"/>
      <c r="C66" s="146"/>
      <c r="D66" s="146"/>
      <c r="E66" s="147"/>
      <c r="F66" s="28"/>
      <c r="G66" s="28"/>
      <c r="H66" s="151"/>
      <c r="I66" s="152"/>
      <c r="J66" s="153"/>
      <c r="K66" s="37"/>
      <c r="L66" s="29"/>
      <c r="M66" s="29"/>
      <c r="N66" s="145"/>
      <c r="O66" s="146"/>
      <c r="P66" s="146"/>
      <c r="Q66" s="146"/>
      <c r="R66" s="147"/>
      <c r="S66" s="28"/>
      <c r="T66" s="28"/>
      <c r="U66" s="151"/>
      <c r="V66" s="152"/>
      <c r="W66" s="153"/>
      <c r="X66" s="37"/>
      <c r="Y66" s="29"/>
      <c r="Z66" s="29"/>
    </row>
    <row r="67" spans="1:26" ht="7.5" customHeight="1" x14ac:dyDescent="0.15">
      <c r="B67" s="31"/>
      <c r="C67" s="31"/>
      <c r="D67" s="31"/>
      <c r="E67" s="31"/>
      <c r="F67" s="31"/>
      <c r="G67" s="31"/>
      <c r="H67" s="31"/>
      <c r="I67" s="31"/>
      <c r="J67" s="31"/>
      <c r="K67" s="31"/>
      <c r="L67" s="31"/>
      <c r="M67" s="31"/>
      <c r="N67" s="31"/>
      <c r="O67" s="31"/>
      <c r="P67" s="31"/>
      <c r="Q67" s="31"/>
      <c r="R67" s="31"/>
      <c r="S67" s="31"/>
      <c r="T67" s="31"/>
      <c r="U67" s="31"/>
      <c r="V67" s="31"/>
      <c r="W67" s="31"/>
      <c r="X67" s="31"/>
      <c r="Y67" s="31"/>
    </row>
    <row r="68" spans="1:26" ht="18" customHeight="1" x14ac:dyDescent="0.15">
      <c r="A68" s="1" t="s">
        <v>136</v>
      </c>
      <c r="L68" s="14"/>
      <c r="M68" s="14"/>
      <c r="N68" s="14"/>
      <c r="O68" s="14"/>
      <c r="P68" s="14"/>
      <c r="Q68" s="14"/>
      <c r="R68" s="14"/>
      <c r="S68" s="14"/>
      <c r="T68" s="14"/>
      <c r="U68" s="14"/>
      <c r="V68" s="14"/>
      <c r="W68" s="14"/>
      <c r="X68" s="14"/>
      <c r="Y68" s="14"/>
      <c r="Z68" s="14"/>
    </row>
    <row r="69" spans="1:26" ht="18" customHeight="1" x14ac:dyDescent="0.15">
      <c r="B69" s="108" t="s">
        <v>100</v>
      </c>
      <c r="C69" s="109"/>
      <c r="D69" s="109"/>
      <c r="E69" s="109"/>
      <c r="F69" s="110"/>
      <c r="G69" s="108" t="s">
        <v>146</v>
      </c>
      <c r="H69" s="109"/>
      <c r="I69" s="109"/>
      <c r="J69" s="109"/>
      <c r="K69" s="109"/>
      <c r="L69" s="109"/>
      <c r="M69" s="110"/>
      <c r="N69" s="161" t="s">
        <v>100</v>
      </c>
      <c r="O69" s="162"/>
      <c r="P69" s="162"/>
      <c r="Q69" s="162"/>
      <c r="R69" s="162"/>
      <c r="S69" s="163"/>
      <c r="T69" s="108" t="s">
        <v>146</v>
      </c>
      <c r="U69" s="109"/>
      <c r="V69" s="109"/>
      <c r="W69" s="109"/>
      <c r="X69" s="109"/>
      <c r="Y69" s="109"/>
      <c r="Z69" s="110"/>
    </row>
    <row r="70" spans="1:26" ht="18" customHeight="1" x14ac:dyDescent="0.15">
      <c r="A70" s="14"/>
      <c r="B70" s="139"/>
      <c r="C70" s="140"/>
      <c r="D70" s="140"/>
      <c r="E70" s="140"/>
      <c r="F70" s="141"/>
      <c r="G70" s="204"/>
      <c r="H70" s="205"/>
      <c r="I70" s="205"/>
      <c r="J70" s="205"/>
      <c r="K70" s="205"/>
      <c r="L70" s="205"/>
      <c r="M70" s="206"/>
      <c r="N70" s="139"/>
      <c r="O70" s="140"/>
      <c r="P70" s="140"/>
      <c r="Q70" s="140"/>
      <c r="R70" s="140"/>
      <c r="S70" s="141"/>
      <c r="T70" s="204"/>
      <c r="U70" s="205"/>
      <c r="V70" s="205"/>
      <c r="W70" s="205"/>
      <c r="X70" s="205"/>
      <c r="Y70" s="205"/>
      <c r="Z70" s="206"/>
    </row>
    <row r="71" spans="1:26" ht="18" customHeight="1" x14ac:dyDescent="0.15">
      <c r="A71" s="14"/>
      <c r="B71" s="142"/>
      <c r="C71" s="143"/>
      <c r="D71" s="143"/>
      <c r="E71" s="143"/>
      <c r="F71" s="144"/>
      <c r="G71" s="181"/>
      <c r="H71" s="182"/>
      <c r="I71" s="182"/>
      <c r="J71" s="182"/>
      <c r="K71" s="182"/>
      <c r="L71" s="182"/>
      <c r="M71" s="183"/>
      <c r="N71" s="142"/>
      <c r="O71" s="143"/>
      <c r="P71" s="143"/>
      <c r="Q71" s="143"/>
      <c r="R71" s="143"/>
      <c r="S71" s="144"/>
      <c r="T71" s="181"/>
      <c r="U71" s="182"/>
      <c r="V71" s="182"/>
      <c r="W71" s="182"/>
      <c r="X71" s="182"/>
      <c r="Y71" s="182"/>
      <c r="Z71" s="183"/>
    </row>
    <row r="72" spans="1:26" ht="18" customHeight="1" x14ac:dyDescent="0.15">
      <c r="A72" s="14"/>
      <c r="B72" s="142"/>
      <c r="C72" s="143"/>
      <c r="D72" s="143"/>
      <c r="E72" s="143"/>
      <c r="F72" s="144"/>
      <c r="G72" s="181"/>
      <c r="H72" s="182"/>
      <c r="I72" s="182"/>
      <c r="J72" s="182"/>
      <c r="K72" s="182"/>
      <c r="L72" s="182"/>
      <c r="M72" s="183"/>
      <c r="N72" s="142"/>
      <c r="O72" s="143"/>
      <c r="P72" s="143"/>
      <c r="Q72" s="143"/>
      <c r="R72" s="143"/>
      <c r="S72" s="144"/>
      <c r="T72" s="181"/>
      <c r="U72" s="182"/>
      <c r="V72" s="182"/>
      <c r="W72" s="182"/>
      <c r="X72" s="182"/>
      <c r="Y72" s="182"/>
      <c r="Z72" s="183"/>
    </row>
    <row r="73" spans="1:26" ht="18" customHeight="1" x14ac:dyDescent="0.15">
      <c r="A73" s="14"/>
      <c r="B73" s="142"/>
      <c r="C73" s="143"/>
      <c r="D73" s="143"/>
      <c r="E73" s="143"/>
      <c r="F73" s="144"/>
      <c r="G73" s="181"/>
      <c r="H73" s="182"/>
      <c r="I73" s="182"/>
      <c r="J73" s="182"/>
      <c r="K73" s="182"/>
      <c r="L73" s="182"/>
      <c r="M73" s="183"/>
      <c r="N73" s="142"/>
      <c r="O73" s="143"/>
      <c r="P73" s="143"/>
      <c r="Q73" s="143"/>
      <c r="R73" s="143"/>
      <c r="S73" s="144"/>
      <c r="T73" s="181"/>
      <c r="U73" s="182"/>
      <c r="V73" s="182"/>
      <c r="W73" s="182"/>
      <c r="X73" s="182"/>
      <c r="Y73" s="182"/>
      <c r="Z73" s="183"/>
    </row>
    <row r="74" spans="1:26" ht="18" customHeight="1" x14ac:dyDescent="0.15">
      <c r="A74" s="14"/>
      <c r="B74" s="142"/>
      <c r="C74" s="143"/>
      <c r="D74" s="143"/>
      <c r="E74" s="143"/>
      <c r="F74" s="144"/>
      <c r="G74" s="181"/>
      <c r="H74" s="182"/>
      <c r="I74" s="182"/>
      <c r="J74" s="182"/>
      <c r="K74" s="182"/>
      <c r="L74" s="182"/>
      <c r="M74" s="183"/>
      <c r="N74" s="142"/>
      <c r="O74" s="143"/>
      <c r="P74" s="143"/>
      <c r="Q74" s="143"/>
      <c r="R74" s="143"/>
      <c r="S74" s="144"/>
      <c r="T74" s="181"/>
      <c r="U74" s="182"/>
      <c r="V74" s="182"/>
      <c r="W74" s="182"/>
      <c r="X74" s="182"/>
      <c r="Y74" s="182"/>
      <c r="Z74" s="183"/>
    </row>
    <row r="75" spans="1:26" ht="18" customHeight="1" x14ac:dyDescent="0.15">
      <c r="A75" s="14"/>
      <c r="B75" s="142"/>
      <c r="C75" s="143"/>
      <c r="D75" s="143"/>
      <c r="E75" s="143"/>
      <c r="F75" s="144"/>
      <c r="G75" s="181"/>
      <c r="H75" s="182"/>
      <c r="I75" s="182"/>
      <c r="J75" s="182"/>
      <c r="K75" s="182"/>
      <c r="L75" s="182"/>
      <c r="M75" s="183"/>
      <c r="N75" s="142"/>
      <c r="O75" s="143"/>
      <c r="P75" s="143"/>
      <c r="Q75" s="143"/>
      <c r="R75" s="143"/>
      <c r="S75" s="144"/>
      <c r="T75" s="181"/>
      <c r="U75" s="182"/>
      <c r="V75" s="182"/>
      <c r="W75" s="182"/>
      <c r="X75" s="182"/>
      <c r="Y75" s="182"/>
      <c r="Z75" s="183"/>
    </row>
    <row r="76" spans="1:26" ht="18" customHeight="1" x14ac:dyDescent="0.15">
      <c r="A76" s="14"/>
      <c r="B76" s="145"/>
      <c r="C76" s="146"/>
      <c r="D76" s="146"/>
      <c r="E76" s="146"/>
      <c r="F76" s="147"/>
      <c r="G76" s="178"/>
      <c r="H76" s="179"/>
      <c r="I76" s="179"/>
      <c r="J76" s="179"/>
      <c r="K76" s="179"/>
      <c r="L76" s="179"/>
      <c r="M76" s="180"/>
      <c r="N76" s="145"/>
      <c r="O76" s="146"/>
      <c r="P76" s="146"/>
      <c r="Q76" s="146"/>
      <c r="R76" s="146"/>
      <c r="S76" s="147"/>
      <c r="T76" s="178"/>
      <c r="U76" s="179"/>
      <c r="V76" s="179"/>
      <c r="W76" s="179"/>
      <c r="X76" s="179"/>
      <c r="Y76" s="179"/>
      <c r="Z76" s="180"/>
    </row>
    <row r="77" spans="1:26" ht="18" customHeight="1" x14ac:dyDescent="0.15">
      <c r="A77" s="14"/>
      <c r="B77" s="4"/>
      <c r="C77" s="4"/>
      <c r="D77" s="4"/>
      <c r="E77" s="4"/>
      <c r="F77" s="4"/>
      <c r="G77" s="18"/>
      <c r="H77" s="18"/>
      <c r="I77" s="18"/>
      <c r="J77" s="18"/>
      <c r="K77" s="18"/>
      <c r="L77" s="18"/>
      <c r="M77" s="18"/>
      <c r="N77" s="4"/>
      <c r="O77" s="4"/>
      <c r="P77" s="4"/>
      <c r="Q77" s="4"/>
      <c r="R77" s="4"/>
      <c r="S77" s="4"/>
      <c r="T77" s="18"/>
      <c r="U77" s="18"/>
      <c r="V77" s="18"/>
      <c r="W77" s="18"/>
      <c r="X77" s="18"/>
      <c r="Y77" s="18"/>
      <c r="Z77" s="18"/>
    </row>
    <row r="78" spans="1:26" ht="18.75" customHeight="1" x14ac:dyDescent="0.15">
      <c r="A78" s="1" t="s">
        <v>142</v>
      </c>
    </row>
    <row r="79" spans="1:26" ht="18.75" customHeight="1" x14ac:dyDescent="0.15">
      <c r="B79" s="21" t="s">
        <v>102</v>
      </c>
      <c r="C79" s="22"/>
      <c r="D79" s="109" t="s">
        <v>103</v>
      </c>
      <c r="E79" s="109"/>
      <c r="F79" s="109"/>
      <c r="G79" s="109"/>
      <c r="H79" s="109"/>
      <c r="I79" s="109"/>
      <c r="J79" s="109"/>
      <c r="K79" s="109"/>
      <c r="L79" s="109"/>
      <c r="M79" s="109"/>
      <c r="N79" s="109"/>
      <c r="O79" s="109"/>
      <c r="P79" s="109"/>
      <c r="Q79" s="109"/>
      <c r="R79" s="109"/>
      <c r="S79" s="109"/>
      <c r="T79" s="109"/>
      <c r="U79" s="109"/>
      <c r="V79" s="109"/>
      <c r="W79" s="109"/>
      <c r="X79" s="109"/>
      <c r="Y79" s="109"/>
      <c r="Z79" s="110"/>
    </row>
    <row r="80" spans="1:26" ht="78" customHeight="1" x14ac:dyDescent="0.15">
      <c r="B80" s="210" t="s">
        <v>109</v>
      </c>
      <c r="C80" s="38" t="s">
        <v>104</v>
      </c>
      <c r="D80" s="215" t="s">
        <v>161</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 customHeight="1" x14ac:dyDescent="0.15">
      <c r="B81" s="212"/>
      <c r="C81" s="39" t="s">
        <v>137</v>
      </c>
      <c r="D81" s="184" t="s">
        <v>162</v>
      </c>
      <c r="E81" s="184"/>
      <c r="F81" s="184"/>
      <c r="G81" s="184"/>
      <c r="H81" s="184"/>
      <c r="I81" s="184"/>
      <c r="J81" s="184"/>
      <c r="K81" s="184"/>
      <c r="L81" s="184"/>
      <c r="M81" s="184"/>
      <c r="N81" s="184"/>
      <c r="O81" s="184"/>
      <c r="P81" s="184"/>
      <c r="Q81" s="184"/>
      <c r="R81" s="184"/>
      <c r="S81" s="184"/>
      <c r="T81" s="184"/>
      <c r="U81" s="184"/>
      <c r="V81" s="184"/>
      <c r="W81" s="184"/>
      <c r="X81" s="184"/>
      <c r="Y81" s="184"/>
      <c r="Z81" s="185"/>
    </row>
    <row r="82" spans="1:26" ht="98.25" customHeight="1" x14ac:dyDescent="0.15">
      <c r="B82" s="210" t="s">
        <v>110</v>
      </c>
      <c r="C82" s="40" t="s">
        <v>127</v>
      </c>
      <c r="D82" s="186" t="s">
        <v>198</v>
      </c>
      <c r="E82" s="186"/>
      <c r="F82" s="186"/>
      <c r="G82" s="186"/>
      <c r="H82" s="186"/>
      <c r="I82" s="186"/>
      <c r="J82" s="186"/>
      <c r="K82" s="186"/>
      <c r="L82" s="186"/>
      <c r="M82" s="186"/>
      <c r="N82" s="186"/>
      <c r="O82" s="186"/>
      <c r="P82" s="186"/>
      <c r="Q82" s="186"/>
      <c r="R82" s="186"/>
      <c r="S82" s="186"/>
      <c r="T82" s="186"/>
      <c r="U82" s="186"/>
      <c r="V82" s="186"/>
      <c r="W82" s="186"/>
      <c r="X82" s="186"/>
      <c r="Y82" s="186"/>
      <c r="Z82" s="187"/>
    </row>
    <row r="83" spans="1:26" ht="120" customHeight="1" x14ac:dyDescent="0.15">
      <c r="B83" s="211"/>
      <c r="C83" s="41" t="s">
        <v>128</v>
      </c>
      <c r="D83" s="190" t="s">
        <v>221</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110.25" customHeight="1" x14ac:dyDescent="0.15">
      <c r="B84" s="210" t="s">
        <v>111</v>
      </c>
      <c r="C84" s="40" t="s">
        <v>130</v>
      </c>
      <c r="D84" s="186" t="s">
        <v>195</v>
      </c>
      <c r="E84" s="186"/>
      <c r="F84" s="186"/>
      <c r="G84" s="186"/>
      <c r="H84" s="186"/>
      <c r="I84" s="186"/>
      <c r="J84" s="186"/>
      <c r="K84" s="186"/>
      <c r="L84" s="186"/>
      <c r="M84" s="186"/>
      <c r="N84" s="186"/>
      <c r="O84" s="186"/>
      <c r="P84" s="186"/>
      <c r="Q84" s="186"/>
      <c r="R84" s="186"/>
      <c r="S84" s="186"/>
      <c r="T84" s="186"/>
      <c r="U84" s="186"/>
      <c r="V84" s="186"/>
      <c r="W84" s="186"/>
      <c r="X84" s="186"/>
      <c r="Y84" s="186"/>
      <c r="Z84" s="187"/>
    </row>
    <row r="85" spans="1:26" ht="137.1" customHeight="1" x14ac:dyDescent="0.15">
      <c r="B85" s="211"/>
      <c r="C85" s="42" t="s">
        <v>131</v>
      </c>
      <c r="D85" s="188" t="s">
        <v>196</v>
      </c>
      <c r="E85" s="188"/>
      <c r="F85" s="188"/>
      <c r="G85" s="188"/>
      <c r="H85" s="188"/>
      <c r="I85" s="188"/>
      <c r="J85" s="188"/>
      <c r="K85" s="188"/>
      <c r="L85" s="188"/>
      <c r="M85" s="188"/>
      <c r="N85" s="188"/>
      <c r="O85" s="188"/>
      <c r="P85" s="188"/>
      <c r="Q85" s="188"/>
      <c r="R85" s="188"/>
      <c r="S85" s="188"/>
      <c r="T85" s="188"/>
      <c r="U85" s="188"/>
      <c r="V85" s="188"/>
      <c r="W85" s="188"/>
      <c r="X85" s="188"/>
      <c r="Y85" s="188"/>
      <c r="Z85" s="189"/>
    </row>
    <row r="86" spans="1:26" ht="161.25" customHeight="1" x14ac:dyDescent="0.15">
      <c r="B86" s="210" t="s">
        <v>138</v>
      </c>
      <c r="C86" s="38" t="s">
        <v>106</v>
      </c>
      <c r="D86" s="215" t="s">
        <v>217</v>
      </c>
      <c r="E86" s="215"/>
      <c r="F86" s="215"/>
      <c r="G86" s="215"/>
      <c r="H86" s="215"/>
      <c r="I86" s="215"/>
      <c r="J86" s="215"/>
      <c r="K86" s="215"/>
      <c r="L86" s="215"/>
      <c r="M86" s="215"/>
      <c r="N86" s="215"/>
      <c r="O86" s="215"/>
      <c r="P86" s="215"/>
      <c r="Q86" s="215"/>
      <c r="R86" s="215"/>
      <c r="S86" s="215"/>
      <c r="T86" s="215"/>
      <c r="U86" s="215"/>
      <c r="V86" s="215"/>
      <c r="W86" s="215"/>
      <c r="X86" s="215"/>
      <c r="Y86" s="215"/>
      <c r="Z86" s="216"/>
    </row>
    <row r="87" spans="1:26" ht="110.1" customHeight="1" x14ac:dyDescent="0.15">
      <c r="B87" s="211"/>
      <c r="C87" s="41" t="s">
        <v>108</v>
      </c>
      <c r="D87" s="190" t="s">
        <v>197</v>
      </c>
      <c r="E87" s="190"/>
      <c r="F87" s="190"/>
      <c r="G87" s="190"/>
      <c r="H87" s="190"/>
      <c r="I87" s="190"/>
      <c r="J87" s="190"/>
      <c r="K87" s="190"/>
      <c r="L87" s="190"/>
      <c r="M87" s="190"/>
      <c r="N87" s="190"/>
      <c r="O87" s="190"/>
      <c r="P87" s="190"/>
      <c r="Q87" s="190"/>
      <c r="R87" s="190"/>
      <c r="S87" s="190"/>
      <c r="T87" s="190"/>
      <c r="U87" s="190"/>
      <c r="V87" s="190"/>
      <c r="W87" s="190"/>
      <c r="X87" s="190"/>
      <c r="Y87" s="190"/>
      <c r="Z87" s="191"/>
    </row>
    <row r="88" spans="1:26" ht="108.95" customHeight="1" x14ac:dyDescent="0.15">
      <c r="B88" s="210" t="s">
        <v>139</v>
      </c>
      <c r="C88" s="40" t="s">
        <v>105</v>
      </c>
      <c r="D88" s="213" t="s">
        <v>209</v>
      </c>
      <c r="E88" s="213"/>
      <c r="F88" s="213"/>
      <c r="G88" s="213"/>
      <c r="H88" s="213"/>
      <c r="I88" s="213"/>
      <c r="J88" s="213"/>
      <c r="K88" s="213"/>
      <c r="L88" s="213"/>
      <c r="M88" s="213"/>
      <c r="N88" s="213"/>
      <c r="O88" s="213"/>
      <c r="P88" s="213"/>
      <c r="Q88" s="213"/>
      <c r="R88" s="213"/>
      <c r="S88" s="213"/>
      <c r="T88" s="213"/>
      <c r="U88" s="213"/>
      <c r="V88" s="213"/>
      <c r="W88" s="213"/>
      <c r="X88" s="213"/>
      <c r="Y88" s="213"/>
      <c r="Z88" s="214"/>
    </row>
    <row r="89" spans="1:26" ht="109.5" customHeight="1" x14ac:dyDescent="0.15">
      <c r="B89" s="212"/>
      <c r="C89" s="43" t="s">
        <v>134</v>
      </c>
      <c r="D89" s="207" t="s">
        <v>210</v>
      </c>
      <c r="E89" s="208"/>
      <c r="F89" s="208"/>
      <c r="G89" s="208"/>
      <c r="H89" s="208"/>
      <c r="I89" s="208"/>
      <c r="J89" s="208"/>
      <c r="K89" s="208"/>
      <c r="L89" s="208"/>
      <c r="M89" s="208"/>
      <c r="N89" s="208"/>
      <c r="O89" s="208"/>
      <c r="P89" s="208"/>
      <c r="Q89" s="208"/>
      <c r="R89" s="208"/>
      <c r="S89" s="208"/>
      <c r="T89" s="208"/>
      <c r="U89" s="208"/>
      <c r="V89" s="208"/>
      <c r="W89" s="208"/>
      <c r="X89" s="208"/>
      <c r="Y89" s="208"/>
      <c r="Z89" s="209"/>
    </row>
    <row r="90" spans="1:26" ht="123.75" customHeight="1" x14ac:dyDescent="0.15">
      <c r="B90" s="211"/>
      <c r="C90" s="42" t="s">
        <v>135</v>
      </c>
      <c r="D90" s="174" t="s">
        <v>211</v>
      </c>
      <c r="E90" s="174"/>
      <c r="F90" s="174"/>
      <c r="G90" s="174"/>
      <c r="H90" s="174"/>
      <c r="I90" s="174"/>
      <c r="J90" s="174"/>
      <c r="K90" s="174"/>
      <c r="L90" s="174"/>
      <c r="M90" s="174"/>
      <c r="N90" s="174"/>
      <c r="O90" s="174"/>
      <c r="P90" s="174"/>
      <c r="Q90" s="174"/>
      <c r="R90" s="174"/>
      <c r="S90" s="174"/>
      <c r="T90" s="174"/>
      <c r="U90" s="174"/>
      <c r="V90" s="174"/>
      <c r="W90" s="174"/>
      <c r="X90" s="174"/>
      <c r="Y90" s="174"/>
      <c r="Z90" s="175"/>
    </row>
    <row r="91" spans="1:26" ht="6" customHeight="1" x14ac:dyDescent="0.15"/>
    <row r="92" spans="1:26" ht="18.75" customHeight="1" x14ac:dyDescent="0.15">
      <c r="A92" s="1" t="s">
        <v>143</v>
      </c>
    </row>
    <row r="93" spans="1:26" ht="18.75" customHeight="1" x14ac:dyDescent="0.15">
      <c r="B93" s="167" t="s">
        <v>163</v>
      </c>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9"/>
    </row>
    <row r="94" spans="1:26" ht="18.75" customHeight="1" x14ac:dyDescent="0.15">
      <c r="B94" s="170"/>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2"/>
    </row>
    <row r="95" spans="1:26" ht="18.75" customHeight="1" x14ac:dyDescent="0.15">
      <c r="B95" s="173"/>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5"/>
    </row>
    <row r="96" spans="1:26" ht="6" customHeight="1" x14ac:dyDescent="0.15"/>
    <row r="97" spans="1:26" ht="15" customHeight="1" x14ac:dyDescent="0.15">
      <c r="A97" s="1" t="s">
        <v>144</v>
      </c>
    </row>
    <row r="98" spans="1:26" ht="15" customHeight="1" x14ac:dyDescent="0.15">
      <c r="B98" s="176" t="s">
        <v>183</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77"/>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B17:F17"/>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Y27:Z33 H27:H33 L38:M44 Y38:Z44 L49:M55 Y49:Z55 Y60:Z66 L60:M66 K60:K61 U16:U22 L16:M22 U27:U33 H38:H44 U38:U44 T60:T66 U49:U55 G60:G66 H49:H55 H16:H22 L27:M33" xr:uid="{4C0986EB-3601-4249-85F7-B678A400A117}">
      <formula1>"○"</formula1>
    </dataValidation>
    <dataValidation type="list" allowBlank="1" showInputMessage="1" showErrorMessage="1" sqref="Z23 Z34 D34:K34 D23:K23 V16:V22 I49:I55 V27:V33 I16:I22 V38:V44 I38:I44 V49:V55 H60:H66 U60:U66 I27:I33"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D30E598A-3824-BD4B-9049-B57561A37580}"/>
  </hyperlinks>
  <printOptions horizontalCentered="1"/>
  <pageMargins left="0.78740157480314965" right="0.78740157480314965" top="0.59055118110236227" bottom="0.19685039370078741" header="0.31496062992125984" footer="0.19685039370078741"/>
  <pageSetup paperSize="9" scale="91" orientation="landscape" r:id="rId2"/>
  <rowBreaks count="4" manualBreakCount="4">
    <brk id="34" max="25" man="1"/>
    <brk id="67" max="25" man="1"/>
    <brk id="83" max="25" man="1"/>
    <brk id="87"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C88-4CA8-404C-BFC2-13054591D0B4}">
  <dimension ref="A1:Z98"/>
  <sheetViews>
    <sheetView showZeros="0" view="pageBreakPreview" zoomScaleNormal="100" zoomScaleSheetLayoutView="100" workbookViewId="0"/>
  </sheetViews>
  <sheetFormatPr defaultColWidth="9" defaultRowHeight="18.75" customHeight="1" x14ac:dyDescent="0.15"/>
  <cols>
    <col min="1" max="1" width="2.5" style="1" customWidth="1"/>
    <col min="2" max="2" width="27.625" style="1" customWidth="1"/>
    <col min="3" max="13" width="3.375" style="1" customWidth="1"/>
    <col min="14" max="14" width="8.875" style="1" customWidth="1"/>
    <col min="15" max="15" width="18.875" style="1" customWidth="1"/>
    <col min="16" max="19" width="3.375" style="1" customWidth="1"/>
    <col min="20" max="20" width="3.5" style="1" customWidth="1"/>
    <col min="21" max="26" width="3.375" style="1" customWidth="1"/>
    <col min="27" max="16384" width="9" style="1"/>
  </cols>
  <sheetData>
    <row r="1" spans="1:26" ht="15" customHeight="1" x14ac:dyDescent="0.15">
      <c r="W1" s="160" t="s">
        <v>170</v>
      </c>
      <c r="X1" s="160"/>
      <c r="Y1" s="160"/>
      <c r="Z1" s="160"/>
    </row>
    <row r="2" spans="1:26" ht="18" customHeight="1" x14ac:dyDescent="0.15">
      <c r="A2" s="193" t="s">
        <v>67</v>
      </c>
      <c r="B2" s="193"/>
      <c r="C2" s="193"/>
      <c r="D2" s="193"/>
      <c r="E2" s="193"/>
      <c r="F2" s="193"/>
      <c r="G2" s="193"/>
      <c r="H2" s="193"/>
      <c r="I2" s="193"/>
      <c r="J2" s="193"/>
      <c r="K2" s="193"/>
      <c r="L2" s="193"/>
      <c r="M2" s="193"/>
      <c r="N2" s="193"/>
      <c r="O2" s="193"/>
      <c r="P2" s="193"/>
      <c r="Q2" s="193"/>
      <c r="R2" s="193"/>
      <c r="S2" s="193"/>
      <c r="T2" s="193"/>
      <c r="U2" s="193"/>
      <c r="V2" s="193"/>
      <c r="W2" s="193"/>
      <c r="X2" s="193"/>
      <c r="Y2" s="193"/>
      <c r="Z2" s="193"/>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1" t="s">
        <v>99</v>
      </c>
      <c r="B4" s="14"/>
      <c r="C4" s="14"/>
      <c r="D4" s="14"/>
      <c r="E4" s="14"/>
      <c r="F4" s="14"/>
      <c r="G4" s="14"/>
      <c r="H4" s="1" t="s">
        <v>112</v>
      </c>
      <c r="I4" s="14"/>
      <c r="J4" s="14"/>
      <c r="K4" s="14"/>
      <c r="L4" s="14"/>
      <c r="M4" s="14"/>
      <c r="N4" s="14"/>
      <c r="O4" s="108" t="s">
        <v>171</v>
      </c>
      <c r="P4" s="109"/>
      <c r="Q4" s="109"/>
      <c r="R4" s="109"/>
      <c r="S4" s="109"/>
      <c r="T4" s="109"/>
      <c r="U4" s="109"/>
      <c r="V4" s="109"/>
      <c r="W4" s="109"/>
      <c r="X4" s="109"/>
      <c r="Y4" s="109"/>
      <c r="Z4" s="110"/>
    </row>
    <row r="5" spans="1:26" ht="6" customHeight="1" x14ac:dyDescent="0.15">
      <c r="B5" s="14"/>
      <c r="C5" s="14"/>
      <c r="D5" s="14"/>
      <c r="E5" s="14"/>
      <c r="F5" s="14"/>
      <c r="G5" s="14"/>
      <c r="H5" s="14"/>
      <c r="I5" s="14"/>
      <c r="J5" s="14"/>
      <c r="K5" s="14"/>
      <c r="L5" s="14"/>
      <c r="M5" s="14"/>
      <c r="N5" s="14"/>
      <c r="O5" s="3"/>
      <c r="P5" s="14"/>
      <c r="Q5" s="14"/>
      <c r="R5" s="14"/>
      <c r="S5" s="14"/>
      <c r="T5" s="14"/>
      <c r="U5" s="14"/>
      <c r="V5" s="14"/>
      <c r="W5" s="14"/>
      <c r="X5" s="14"/>
      <c r="Y5" s="14"/>
      <c r="Z5" s="14"/>
    </row>
    <row r="6" spans="1:26" ht="18" customHeight="1" x14ac:dyDescent="0.15">
      <c r="B6" s="194" t="s">
        <v>199</v>
      </c>
      <c r="C6" s="195"/>
      <c r="D6" s="195"/>
      <c r="E6" s="195"/>
      <c r="F6" s="195"/>
      <c r="G6" s="195"/>
      <c r="H6" s="195"/>
      <c r="I6" s="195"/>
      <c r="J6" s="195"/>
      <c r="K6" s="195"/>
      <c r="L6" s="195"/>
      <c r="M6" s="195"/>
      <c r="N6" s="195"/>
      <c r="O6" s="195"/>
      <c r="P6" s="195"/>
      <c r="Q6" s="195"/>
      <c r="R6" s="195"/>
      <c r="S6" s="195"/>
      <c r="T6" s="195"/>
      <c r="U6" s="195"/>
      <c r="V6" s="195"/>
      <c r="W6" s="195"/>
      <c r="X6" s="195"/>
      <c r="Y6" s="195"/>
      <c r="Z6" s="196"/>
    </row>
    <row r="7" spans="1:26" ht="18" customHeight="1" x14ac:dyDescent="0.15">
      <c r="B7" s="197"/>
      <c r="C7" s="200"/>
      <c r="D7" s="200"/>
      <c r="E7" s="200"/>
      <c r="F7" s="200"/>
      <c r="G7" s="200"/>
      <c r="H7" s="200"/>
      <c r="I7" s="200"/>
      <c r="J7" s="200"/>
      <c r="K7" s="200"/>
      <c r="L7" s="200"/>
      <c r="M7" s="200"/>
      <c r="N7" s="200"/>
      <c r="O7" s="200"/>
      <c r="P7" s="200"/>
      <c r="Q7" s="200"/>
      <c r="R7" s="200"/>
      <c r="S7" s="200"/>
      <c r="T7" s="200"/>
      <c r="U7" s="200"/>
      <c r="V7" s="200"/>
      <c r="W7" s="200"/>
      <c r="X7" s="200"/>
      <c r="Y7" s="200"/>
      <c r="Z7" s="199"/>
    </row>
    <row r="8" spans="1:26" ht="18" customHeight="1" x14ac:dyDescent="0.15">
      <c r="B8" s="197"/>
      <c r="C8" s="200"/>
      <c r="D8" s="200"/>
      <c r="E8" s="200"/>
      <c r="F8" s="200"/>
      <c r="G8" s="200"/>
      <c r="H8" s="200"/>
      <c r="I8" s="200"/>
      <c r="J8" s="200"/>
      <c r="K8" s="200"/>
      <c r="L8" s="200"/>
      <c r="M8" s="200"/>
      <c r="N8" s="200"/>
      <c r="O8" s="200"/>
      <c r="P8" s="200"/>
      <c r="Q8" s="200"/>
      <c r="R8" s="200"/>
      <c r="S8" s="200"/>
      <c r="T8" s="200"/>
      <c r="U8" s="200"/>
      <c r="V8" s="200"/>
      <c r="W8" s="200"/>
      <c r="X8" s="200"/>
      <c r="Y8" s="200"/>
      <c r="Z8" s="199"/>
    </row>
    <row r="9" spans="1:26" ht="18" customHeight="1" x14ac:dyDescent="0.15">
      <c r="B9" s="197"/>
      <c r="C9" s="200"/>
      <c r="D9" s="200"/>
      <c r="E9" s="200"/>
      <c r="F9" s="200"/>
      <c r="G9" s="200"/>
      <c r="H9" s="200"/>
      <c r="I9" s="200"/>
      <c r="J9" s="200"/>
      <c r="K9" s="200"/>
      <c r="L9" s="200"/>
      <c r="M9" s="200"/>
      <c r="N9" s="200"/>
      <c r="O9" s="200"/>
      <c r="P9" s="200"/>
      <c r="Q9" s="200"/>
      <c r="R9" s="200"/>
      <c r="S9" s="200"/>
      <c r="T9" s="200"/>
      <c r="U9" s="200"/>
      <c r="V9" s="200"/>
      <c r="W9" s="200"/>
      <c r="X9" s="200"/>
      <c r="Y9" s="200"/>
      <c r="Z9" s="199"/>
    </row>
    <row r="10" spans="1:26" ht="18" customHeight="1" x14ac:dyDescent="0.15">
      <c r="B10" s="197"/>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199"/>
    </row>
    <row r="11" spans="1:26" ht="18" customHeight="1" x14ac:dyDescent="0.15">
      <c r="B11" s="201"/>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3"/>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B15" s="108" t="s">
        <v>100</v>
      </c>
      <c r="C15" s="109"/>
      <c r="D15" s="109"/>
      <c r="E15" s="109"/>
      <c r="F15" s="110"/>
      <c r="G15" s="20" t="s">
        <v>141</v>
      </c>
      <c r="H15" s="24" t="s">
        <v>140</v>
      </c>
      <c r="I15" s="109" t="s">
        <v>101</v>
      </c>
      <c r="J15" s="109"/>
      <c r="K15" s="109"/>
      <c r="L15" s="25" t="s">
        <v>104</v>
      </c>
      <c r="M15" s="25" t="s">
        <v>107</v>
      </c>
      <c r="N15" s="108" t="s">
        <v>100</v>
      </c>
      <c r="O15" s="109"/>
      <c r="P15" s="109"/>
      <c r="Q15" s="109"/>
      <c r="R15" s="109"/>
      <c r="S15" s="110"/>
      <c r="T15" s="20" t="s">
        <v>141</v>
      </c>
      <c r="U15" s="24" t="s">
        <v>140</v>
      </c>
      <c r="V15" s="109" t="s">
        <v>101</v>
      </c>
      <c r="W15" s="109"/>
      <c r="X15" s="109"/>
      <c r="Y15" s="25" t="s">
        <v>104</v>
      </c>
      <c r="Z15" s="25" t="s">
        <v>107</v>
      </c>
    </row>
    <row r="16" spans="1:26" ht="18" customHeight="1" x14ac:dyDescent="0.15">
      <c r="B16" s="154" t="s">
        <v>172</v>
      </c>
      <c r="C16" s="155"/>
      <c r="D16" s="155"/>
      <c r="E16" s="155"/>
      <c r="F16" s="156"/>
      <c r="G16" s="26">
        <v>2</v>
      </c>
      <c r="H16" s="26" t="s">
        <v>157</v>
      </c>
      <c r="I16" s="164" t="s">
        <v>173</v>
      </c>
      <c r="J16" s="165"/>
      <c r="K16" s="166"/>
      <c r="L16" s="26" t="s">
        <v>157</v>
      </c>
      <c r="M16" s="26" t="s">
        <v>157</v>
      </c>
      <c r="N16" s="139"/>
      <c r="O16" s="140"/>
      <c r="P16" s="140"/>
      <c r="Q16" s="140"/>
      <c r="R16" s="140"/>
      <c r="S16" s="141"/>
      <c r="T16" s="26"/>
      <c r="U16" s="26"/>
      <c r="V16" s="164"/>
      <c r="W16" s="165"/>
      <c r="X16" s="166"/>
      <c r="Y16" s="26"/>
      <c r="Z16" s="26"/>
    </row>
    <row r="17" spans="1:26" ht="18" customHeight="1" x14ac:dyDescent="0.15">
      <c r="B17" s="154"/>
      <c r="C17" s="155"/>
      <c r="D17" s="155"/>
      <c r="E17" s="155"/>
      <c r="F17" s="156"/>
      <c r="G17" s="27"/>
      <c r="H17" s="27"/>
      <c r="I17" s="148"/>
      <c r="J17" s="149"/>
      <c r="K17" s="150"/>
      <c r="L17" s="27"/>
      <c r="M17" s="27"/>
      <c r="N17" s="142"/>
      <c r="O17" s="143"/>
      <c r="P17" s="143"/>
      <c r="Q17" s="143"/>
      <c r="R17" s="143"/>
      <c r="S17" s="144"/>
      <c r="T17" s="27"/>
      <c r="U17" s="27"/>
      <c r="V17" s="148"/>
      <c r="W17" s="149"/>
      <c r="X17" s="150"/>
      <c r="Y17" s="27"/>
      <c r="Z17" s="27"/>
    </row>
    <row r="18" spans="1:26" ht="18" customHeight="1" x14ac:dyDescent="0.15">
      <c r="B18" s="154"/>
      <c r="C18" s="155"/>
      <c r="D18" s="155"/>
      <c r="E18" s="155"/>
      <c r="F18" s="156"/>
      <c r="G18" s="27"/>
      <c r="H18" s="27"/>
      <c r="I18" s="148"/>
      <c r="J18" s="149"/>
      <c r="K18" s="150"/>
      <c r="L18" s="27"/>
      <c r="M18" s="27"/>
      <c r="N18" s="142"/>
      <c r="O18" s="143"/>
      <c r="P18" s="143"/>
      <c r="Q18" s="143"/>
      <c r="R18" s="143"/>
      <c r="S18" s="144"/>
      <c r="T18" s="27"/>
      <c r="U18" s="27"/>
      <c r="V18" s="148"/>
      <c r="W18" s="149"/>
      <c r="X18" s="150"/>
      <c r="Y18" s="27"/>
      <c r="Z18" s="27"/>
    </row>
    <row r="19" spans="1:26" ht="18" customHeight="1" x14ac:dyDescent="0.15">
      <c r="B19" s="154"/>
      <c r="C19" s="155"/>
      <c r="D19" s="155"/>
      <c r="E19" s="155"/>
      <c r="F19" s="156"/>
      <c r="G19" s="27"/>
      <c r="H19" s="27"/>
      <c r="I19" s="148"/>
      <c r="J19" s="149"/>
      <c r="K19" s="150"/>
      <c r="L19" s="27"/>
      <c r="M19" s="27"/>
      <c r="N19" s="142"/>
      <c r="O19" s="143"/>
      <c r="P19" s="143"/>
      <c r="Q19" s="143"/>
      <c r="R19" s="143"/>
      <c r="S19" s="144"/>
      <c r="T19" s="27"/>
      <c r="U19" s="27"/>
      <c r="V19" s="148"/>
      <c r="W19" s="149"/>
      <c r="X19" s="150"/>
      <c r="Y19" s="27"/>
      <c r="Z19" s="27"/>
    </row>
    <row r="20" spans="1:26" ht="18" customHeight="1" x14ac:dyDescent="0.15">
      <c r="B20" s="154"/>
      <c r="C20" s="155"/>
      <c r="D20" s="155"/>
      <c r="E20" s="155"/>
      <c r="F20" s="156"/>
      <c r="G20" s="27"/>
      <c r="H20" s="27"/>
      <c r="I20" s="148"/>
      <c r="J20" s="149"/>
      <c r="K20" s="150"/>
      <c r="L20" s="27"/>
      <c r="M20" s="27"/>
      <c r="N20" s="142"/>
      <c r="O20" s="143"/>
      <c r="P20" s="143"/>
      <c r="Q20" s="143"/>
      <c r="R20" s="143"/>
      <c r="S20" s="144"/>
      <c r="T20" s="27"/>
      <c r="U20" s="27"/>
      <c r="V20" s="148"/>
      <c r="W20" s="149"/>
      <c r="X20" s="150"/>
      <c r="Y20" s="27"/>
      <c r="Z20" s="27"/>
    </row>
    <row r="21" spans="1:26" ht="18" customHeight="1" x14ac:dyDescent="0.15">
      <c r="A21" s="14"/>
      <c r="B21" s="154"/>
      <c r="C21" s="155"/>
      <c r="D21" s="155"/>
      <c r="E21" s="155"/>
      <c r="F21" s="156"/>
      <c r="G21" s="27"/>
      <c r="H21" s="27"/>
      <c r="I21" s="148"/>
      <c r="J21" s="149"/>
      <c r="K21" s="150"/>
      <c r="L21" s="27"/>
      <c r="M21" s="27"/>
      <c r="N21" s="142"/>
      <c r="O21" s="143"/>
      <c r="P21" s="143"/>
      <c r="Q21" s="143"/>
      <c r="R21" s="143"/>
      <c r="S21" s="144"/>
      <c r="T21" s="27"/>
      <c r="U21" s="27"/>
      <c r="V21" s="148"/>
      <c r="W21" s="149"/>
      <c r="X21" s="150"/>
      <c r="Y21" s="27"/>
      <c r="Z21" s="27"/>
    </row>
    <row r="22" spans="1:26" ht="18" customHeight="1" x14ac:dyDescent="0.15">
      <c r="A22" s="14"/>
      <c r="B22" s="157"/>
      <c r="C22" s="158"/>
      <c r="D22" s="158"/>
      <c r="E22" s="158"/>
      <c r="F22" s="159"/>
      <c r="G22" s="28"/>
      <c r="H22" s="28"/>
      <c r="I22" s="151"/>
      <c r="J22" s="152"/>
      <c r="K22" s="153"/>
      <c r="L22" s="29"/>
      <c r="M22" s="29"/>
      <c r="N22" s="145"/>
      <c r="O22" s="146"/>
      <c r="P22" s="146"/>
      <c r="Q22" s="146"/>
      <c r="R22" s="146"/>
      <c r="S22" s="147"/>
      <c r="T22" s="28"/>
      <c r="U22" s="28"/>
      <c r="V22" s="151"/>
      <c r="W22" s="152"/>
      <c r="X22" s="153"/>
      <c r="Y22" s="29"/>
      <c r="Z22" s="29"/>
    </row>
    <row r="23" spans="1:26" ht="7.5" customHeight="1" x14ac:dyDescent="0.15">
      <c r="A23" s="14"/>
      <c r="B23" s="30"/>
      <c r="C23" s="30"/>
      <c r="D23" s="14"/>
      <c r="E23" s="14"/>
      <c r="F23" s="14"/>
      <c r="G23" s="14"/>
      <c r="H23" s="14"/>
      <c r="I23" s="14"/>
      <c r="J23" s="14"/>
      <c r="K23" s="14"/>
      <c r="L23" s="30"/>
      <c r="M23" s="30"/>
      <c r="N23" s="30"/>
      <c r="O23" s="30"/>
      <c r="P23" s="30"/>
      <c r="Q23" s="30"/>
      <c r="R23" s="30"/>
      <c r="S23" s="30"/>
      <c r="T23" s="30"/>
      <c r="U23" s="30"/>
      <c r="V23" s="30"/>
      <c r="W23" s="30"/>
      <c r="X23" s="30"/>
      <c r="Y23" s="30"/>
      <c r="Z23" s="14"/>
    </row>
    <row r="24" spans="1:26" ht="18" customHeight="1" x14ac:dyDescent="0.15">
      <c r="A24" s="192" t="s">
        <v>126</v>
      </c>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8" customHeight="1" x14ac:dyDescent="0.15">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8" customHeight="1" x14ac:dyDescent="0.15">
      <c r="B26" s="108" t="s">
        <v>100</v>
      </c>
      <c r="C26" s="109"/>
      <c r="D26" s="109"/>
      <c r="E26" s="109"/>
      <c r="F26" s="110"/>
      <c r="G26" s="20" t="s">
        <v>141</v>
      </c>
      <c r="H26" s="24" t="s">
        <v>140</v>
      </c>
      <c r="I26" s="109" t="s">
        <v>101</v>
      </c>
      <c r="J26" s="109"/>
      <c r="K26" s="109"/>
      <c r="L26" s="25" t="s">
        <v>127</v>
      </c>
      <c r="M26" s="25" t="s">
        <v>128</v>
      </c>
      <c r="N26" s="108" t="s">
        <v>100</v>
      </c>
      <c r="O26" s="109"/>
      <c r="P26" s="109"/>
      <c r="Q26" s="109"/>
      <c r="R26" s="109"/>
      <c r="S26" s="110"/>
      <c r="T26" s="20" t="s">
        <v>141</v>
      </c>
      <c r="U26" s="24" t="s">
        <v>140</v>
      </c>
      <c r="V26" s="109" t="s">
        <v>101</v>
      </c>
      <c r="W26" s="109"/>
      <c r="X26" s="109"/>
      <c r="Y26" s="25" t="s">
        <v>127</v>
      </c>
      <c r="Z26" s="25" t="s">
        <v>128</v>
      </c>
    </row>
    <row r="27" spans="1:26" ht="18" customHeight="1" x14ac:dyDescent="0.15">
      <c r="B27" s="154" t="s">
        <v>174</v>
      </c>
      <c r="C27" s="155"/>
      <c r="D27" s="155"/>
      <c r="E27" s="155"/>
      <c r="F27" s="156"/>
      <c r="G27" s="27">
        <v>2</v>
      </c>
      <c r="H27" s="27" t="s">
        <v>157</v>
      </c>
      <c r="I27" s="148" t="s">
        <v>173</v>
      </c>
      <c r="J27" s="149"/>
      <c r="K27" s="150"/>
      <c r="L27" s="27" t="s">
        <v>157</v>
      </c>
      <c r="M27" s="27" t="s">
        <v>157</v>
      </c>
      <c r="N27" s="139"/>
      <c r="O27" s="140"/>
      <c r="P27" s="140"/>
      <c r="Q27" s="140"/>
      <c r="R27" s="140"/>
      <c r="S27" s="141"/>
      <c r="T27" s="26"/>
      <c r="U27" s="26"/>
      <c r="V27" s="164"/>
      <c r="W27" s="165"/>
      <c r="X27" s="166"/>
      <c r="Y27" s="26"/>
      <c r="Z27" s="26"/>
    </row>
    <row r="28" spans="1:26" ht="18" customHeight="1" x14ac:dyDescent="0.15">
      <c r="B28" s="154"/>
      <c r="C28" s="155"/>
      <c r="D28" s="155"/>
      <c r="E28" s="155"/>
      <c r="F28" s="156"/>
      <c r="G28" s="27"/>
      <c r="H28" s="27"/>
      <c r="I28" s="148"/>
      <c r="J28" s="149"/>
      <c r="K28" s="150"/>
      <c r="L28" s="27"/>
      <c r="M28" s="27"/>
      <c r="N28" s="142"/>
      <c r="O28" s="143"/>
      <c r="P28" s="143"/>
      <c r="Q28" s="143"/>
      <c r="R28" s="143"/>
      <c r="S28" s="144"/>
      <c r="T28" s="27"/>
      <c r="U28" s="27"/>
      <c r="V28" s="148"/>
      <c r="W28" s="149"/>
      <c r="X28" s="150"/>
      <c r="Y28" s="27"/>
      <c r="Z28" s="27"/>
    </row>
    <row r="29" spans="1:26" ht="18" customHeight="1" x14ac:dyDescent="0.15">
      <c r="B29" s="154"/>
      <c r="C29" s="155"/>
      <c r="D29" s="155"/>
      <c r="E29" s="155"/>
      <c r="F29" s="156"/>
      <c r="G29" s="27"/>
      <c r="H29" s="27"/>
      <c r="I29" s="148"/>
      <c r="J29" s="149"/>
      <c r="K29" s="150"/>
      <c r="L29" s="27"/>
      <c r="M29" s="27"/>
      <c r="N29" s="142"/>
      <c r="O29" s="143"/>
      <c r="P29" s="143"/>
      <c r="Q29" s="143"/>
      <c r="R29" s="143"/>
      <c r="S29" s="144"/>
      <c r="T29" s="27"/>
      <c r="U29" s="27"/>
      <c r="V29" s="148"/>
      <c r="W29" s="149"/>
      <c r="X29" s="150"/>
      <c r="Y29" s="27"/>
      <c r="Z29" s="27"/>
    </row>
    <row r="30" spans="1:26" ht="18" customHeight="1" x14ac:dyDescent="0.15">
      <c r="B30" s="154"/>
      <c r="C30" s="155"/>
      <c r="D30" s="155"/>
      <c r="E30" s="155"/>
      <c r="F30" s="156"/>
      <c r="G30" s="27"/>
      <c r="H30" s="27"/>
      <c r="I30" s="148"/>
      <c r="J30" s="149"/>
      <c r="K30" s="150"/>
      <c r="L30" s="27"/>
      <c r="M30" s="27"/>
      <c r="N30" s="142"/>
      <c r="O30" s="143"/>
      <c r="P30" s="143"/>
      <c r="Q30" s="143"/>
      <c r="R30" s="143"/>
      <c r="S30" s="144"/>
      <c r="T30" s="27"/>
      <c r="U30" s="27"/>
      <c r="V30" s="148"/>
      <c r="W30" s="149"/>
      <c r="X30" s="150"/>
      <c r="Y30" s="27"/>
      <c r="Z30" s="27"/>
    </row>
    <row r="31" spans="1:26" ht="18" customHeight="1" x14ac:dyDescent="0.15">
      <c r="B31" s="154"/>
      <c r="C31" s="155"/>
      <c r="D31" s="155"/>
      <c r="E31" s="155"/>
      <c r="F31" s="156"/>
      <c r="G31" s="27"/>
      <c r="H31" s="27"/>
      <c r="I31" s="148"/>
      <c r="J31" s="149"/>
      <c r="K31" s="150"/>
      <c r="L31" s="27"/>
      <c r="M31" s="27"/>
      <c r="N31" s="142"/>
      <c r="O31" s="143"/>
      <c r="P31" s="143"/>
      <c r="Q31" s="143"/>
      <c r="R31" s="143"/>
      <c r="S31" s="144"/>
      <c r="T31" s="27"/>
      <c r="U31" s="27"/>
      <c r="V31" s="148"/>
      <c r="W31" s="149"/>
      <c r="X31" s="150"/>
      <c r="Y31" s="27"/>
      <c r="Z31" s="27"/>
    </row>
    <row r="32" spans="1:26" ht="18" customHeight="1" x14ac:dyDescent="0.15">
      <c r="B32" s="154"/>
      <c r="C32" s="155"/>
      <c r="D32" s="155"/>
      <c r="E32" s="155"/>
      <c r="F32" s="156"/>
      <c r="G32" s="27"/>
      <c r="H32" s="27"/>
      <c r="I32" s="148"/>
      <c r="J32" s="149"/>
      <c r="K32" s="150"/>
      <c r="L32" s="27"/>
      <c r="M32" s="27"/>
      <c r="N32" s="142"/>
      <c r="O32" s="143"/>
      <c r="P32" s="143"/>
      <c r="Q32" s="143"/>
      <c r="R32" s="143"/>
      <c r="S32" s="144"/>
      <c r="T32" s="27"/>
      <c r="U32" s="27"/>
      <c r="V32" s="148"/>
      <c r="W32" s="149"/>
      <c r="X32" s="150"/>
      <c r="Y32" s="27"/>
      <c r="Z32" s="27"/>
    </row>
    <row r="33" spans="1:26" ht="18" customHeight="1" x14ac:dyDescent="0.15">
      <c r="B33" s="157"/>
      <c r="C33" s="158"/>
      <c r="D33" s="158"/>
      <c r="E33" s="158"/>
      <c r="F33" s="159"/>
      <c r="G33" s="28"/>
      <c r="H33" s="28"/>
      <c r="I33" s="151"/>
      <c r="J33" s="152"/>
      <c r="K33" s="153"/>
      <c r="L33" s="29"/>
      <c r="M33" s="29"/>
      <c r="N33" s="145"/>
      <c r="O33" s="146"/>
      <c r="P33" s="146"/>
      <c r="Q33" s="146"/>
      <c r="R33" s="146"/>
      <c r="S33" s="147"/>
      <c r="T33" s="28"/>
      <c r="U33" s="28"/>
      <c r="V33" s="151"/>
      <c r="W33" s="152"/>
      <c r="X33" s="153"/>
      <c r="Y33" s="29"/>
      <c r="Z33" s="29"/>
    </row>
    <row r="34" spans="1:26" ht="7.5" customHeight="1" x14ac:dyDescent="0.15">
      <c r="A34" s="14"/>
      <c r="B34" s="30"/>
      <c r="C34" s="30"/>
      <c r="D34" s="14"/>
      <c r="E34" s="14"/>
      <c r="F34" s="14"/>
      <c r="G34" s="14"/>
      <c r="H34" s="14"/>
      <c r="I34" s="14"/>
      <c r="J34" s="14"/>
      <c r="K34" s="14"/>
      <c r="L34" s="30"/>
      <c r="M34" s="30"/>
      <c r="N34" s="30"/>
      <c r="O34" s="30"/>
      <c r="P34" s="30"/>
      <c r="Q34" s="30"/>
      <c r="R34" s="30"/>
      <c r="S34" s="30"/>
      <c r="T34" s="30"/>
      <c r="U34" s="30"/>
      <c r="V34" s="30"/>
      <c r="W34" s="30"/>
      <c r="X34" s="30"/>
      <c r="Y34" s="30"/>
      <c r="Z34" s="14"/>
    </row>
    <row r="35" spans="1:26" ht="18" customHeight="1" x14ac:dyDescent="0.15">
      <c r="A35" s="192" t="s">
        <v>129</v>
      </c>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8" customHeight="1" x14ac:dyDescent="0.15">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8" customHeight="1" x14ac:dyDescent="0.15">
      <c r="B37" s="108" t="s">
        <v>100</v>
      </c>
      <c r="C37" s="109"/>
      <c r="D37" s="109"/>
      <c r="E37" s="109"/>
      <c r="F37" s="110"/>
      <c r="G37" s="20" t="s">
        <v>141</v>
      </c>
      <c r="H37" s="24" t="s">
        <v>140</v>
      </c>
      <c r="I37" s="108" t="s">
        <v>101</v>
      </c>
      <c r="J37" s="109"/>
      <c r="K37" s="110"/>
      <c r="L37" s="25" t="s">
        <v>130</v>
      </c>
      <c r="M37" s="25" t="s">
        <v>131</v>
      </c>
      <c r="N37" s="108" t="s">
        <v>100</v>
      </c>
      <c r="O37" s="109"/>
      <c r="P37" s="109"/>
      <c r="Q37" s="109"/>
      <c r="R37" s="109"/>
      <c r="S37" s="110"/>
      <c r="T37" s="20" t="s">
        <v>141</v>
      </c>
      <c r="U37" s="24" t="s">
        <v>140</v>
      </c>
      <c r="V37" s="108" t="s">
        <v>101</v>
      </c>
      <c r="W37" s="109"/>
      <c r="X37" s="110"/>
      <c r="Y37" s="25" t="s">
        <v>130</v>
      </c>
      <c r="Z37" s="25" t="s">
        <v>131</v>
      </c>
    </row>
    <row r="38" spans="1:26" ht="18" customHeight="1" x14ac:dyDescent="0.15">
      <c r="A38" s="14"/>
      <c r="B38" s="154" t="s">
        <v>174</v>
      </c>
      <c r="C38" s="155"/>
      <c r="D38" s="155"/>
      <c r="E38" s="155"/>
      <c r="F38" s="156"/>
      <c r="G38" s="26">
        <v>2</v>
      </c>
      <c r="H38" s="26" t="s">
        <v>157</v>
      </c>
      <c r="I38" s="164" t="s">
        <v>173</v>
      </c>
      <c r="J38" s="165"/>
      <c r="K38" s="166"/>
      <c r="L38" s="26" t="s">
        <v>157</v>
      </c>
      <c r="M38" s="26" t="s">
        <v>157</v>
      </c>
      <c r="N38" s="139"/>
      <c r="O38" s="140"/>
      <c r="P38" s="140"/>
      <c r="Q38" s="140"/>
      <c r="R38" s="140"/>
      <c r="S38" s="141"/>
      <c r="T38" s="26"/>
      <c r="U38" s="26"/>
      <c r="V38" s="164"/>
      <c r="W38" s="165"/>
      <c r="X38" s="166"/>
      <c r="Y38" s="26"/>
      <c r="Z38" s="26"/>
    </row>
    <row r="39" spans="1:26" ht="18" customHeight="1" x14ac:dyDescent="0.15">
      <c r="A39" s="14"/>
      <c r="B39" s="154"/>
      <c r="C39" s="155"/>
      <c r="D39" s="155"/>
      <c r="E39" s="155"/>
      <c r="F39" s="156"/>
      <c r="G39" s="27"/>
      <c r="H39" s="27"/>
      <c r="I39" s="148"/>
      <c r="J39" s="149"/>
      <c r="K39" s="150"/>
      <c r="L39" s="27"/>
      <c r="M39" s="27"/>
      <c r="N39" s="142"/>
      <c r="O39" s="143"/>
      <c r="P39" s="143"/>
      <c r="Q39" s="143"/>
      <c r="R39" s="143"/>
      <c r="S39" s="144"/>
      <c r="T39" s="27"/>
      <c r="U39" s="27"/>
      <c r="V39" s="148"/>
      <c r="W39" s="149"/>
      <c r="X39" s="150"/>
      <c r="Y39" s="27"/>
      <c r="Z39" s="27"/>
    </row>
    <row r="40" spans="1:26" ht="18" customHeight="1" x14ac:dyDescent="0.15">
      <c r="A40" s="14"/>
      <c r="B40" s="154"/>
      <c r="C40" s="155"/>
      <c r="D40" s="155"/>
      <c r="E40" s="155"/>
      <c r="F40" s="156"/>
      <c r="G40" s="27"/>
      <c r="H40" s="27"/>
      <c r="I40" s="148"/>
      <c r="J40" s="149"/>
      <c r="K40" s="150"/>
      <c r="L40" s="27"/>
      <c r="M40" s="27"/>
      <c r="N40" s="142"/>
      <c r="O40" s="143"/>
      <c r="P40" s="143"/>
      <c r="Q40" s="143"/>
      <c r="R40" s="143"/>
      <c r="S40" s="144"/>
      <c r="T40" s="27"/>
      <c r="U40" s="27"/>
      <c r="V40" s="148"/>
      <c r="W40" s="149"/>
      <c r="X40" s="150"/>
      <c r="Y40" s="27"/>
      <c r="Z40" s="27"/>
    </row>
    <row r="41" spans="1:26" ht="18" customHeight="1" x14ac:dyDescent="0.15">
      <c r="A41" s="14"/>
      <c r="B41" s="154"/>
      <c r="C41" s="155"/>
      <c r="D41" s="155"/>
      <c r="E41" s="155"/>
      <c r="F41" s="156"/>
      <c r="G41" s="27"/>
      <c r="H41" s="27"/>
      <c r="I41" s="148"/>
      <c r="J41" s="149"/>
      <c r="K41" s="150"/>
      <c r="L41" s="27"/>
      <c r="M41" s="27"/>
      <c r="N41" s="142"/>
      <c r="O41" s="143"/>
      <c r="P41" s="143"/>
      <c r="Q41" s="143"/>
      <c r="R41" s="143"/>
      <c r="S41" s="144"/>
      <c r="T41" s="27"/>
      <c r="U41" s="27"/>
      <c r="V41" s="148"/>
      <c r="W41" s="149"/>
      <c r="X41" s="150"/>
      <c r="Y41" s="27"/>
      <c r="Z41" s="27"/>
    </row>
    <row r="42" spans="1:26" ht="18" customHeight="1" x14ac:dyDescent="0.15">
      <c r="A42" s="14"/>
      <c r="B42" s="154"/>
      <c r="C42" s="155"/>
      <c r="D42" s="155"/>
      <c r="E42" s="155"/>
      <c r="F42" s="156"/>
      <c r="G42" s="27"/>
      <c r="H42" s="27"/>
      <c r="I42" s="148"/>
      <c r="J42" s="149"/>
      <c r="K42" s="150"/>
      <c r="L42" s="27"/>
      <c r="M42" s="27"/>
      <c r="N42" s="142"/>
      <c r="O42" s="143"/>
      <c r="P42" s="143"/>
      <c r="Q42" s="143"/>
      <c r="R42" s="143"/>
      <c r="S42" s="144"/>
      <c r="T42" s="27"/>
      <c r="U42" s="27"/>
      <c r="V42" s="148"/>
      <c r="W42" s="149"/>
      <c r="X42" s="150"/>
      <c r="Y42" s="27"/>
      <c r="Z42" s="27"/>
    </row>
    <row r="43" spans="1:26" ht="18" customHeight="1" x14ac:dyDescent="0.15">
      <c r="A43" s="14"/>
      <c r="B43" s="154"/>
      <c r="C43" s="155"/>
      <c r="D43" s="155"/>
      <c r="E43" s="155"/>
      <c r="F43" s="156"/>
      <c r="G43" s="27"/>
      <c r="H43" s="27"/>
      <c r="I43" s="148"/>
      <c r="J43" s="149"/>
      <c r="K43" s="150"/>
      <c r="L43" s="27"/>
      <c r="M43" s="27"/>
      <c r="N43" s="142"/>
      <c r="O43" s="143"/>
      <c r="P43" s="143"/>
      <c r="Q43" s="143"/>
      <c r="R43" s="143"/>
      <c r="S43" s="144"/>
      <c r="T43" s="27"/>
      <c r="U43" s="27"/>
      <c r="V43" s="148"/>
      <c r="W43" s="149"/>
      <c r="X43" s="150"/>
      <c r="Y43" s="27"/>
      <c r="Z43" s="27"/>
    </row>
    <row r="44" spans="1:26" ht="18" customHeight="1" x14ac:dyDescent="0.15">
      <c r="A44" s="14"/>
      <c r="B44" s="157"/>
      <c r="C44" s="158"/>
      <c r="D44" s="158"/>
      <c r="E44" s="158"/>
      <c r="F44" s="159"/>
      <c r="G44" s="28"/>
      <c r="H44" s="28"/>
      <c r="I44" s="151"/>
      <c r="J44" s="152"/>
      <c r="K44" s="153"/>
      <c r="L44" s="29"/>
      <c r="M44" s="29"/>
      <c r="N44" s="145"/>
      <c r="O44" s="146"/>
      <c r="P44" s="146"/>
      <c r="Q44" s="146"/>
      <c r="R44" s="146"/>
      <c r="S44" s="147"/>
      <c r="T44" s="28"/>
      <c r="U44" s="28"/>
      <c r="V44" s="151"/>
      <c r="W44" s="152"/>
      <c r="X44" s="153"/>
      <c r="Y44" s="29"/>
      <c r="Z44" s="29"/>
    </row>
    <row r="45" spans="1:26" ht="7.5" customHeight="1" x14ac:dyDescent="0.15">
      <c r="B45" s="31"/>
      <c r="C45" s="31"/>
      <c r="D45" s="31"/>
      <c r="E45" s="31"/>
      <c r="F45" s="31"/>
      <c r="G45" s="31"/>
      <c r="H45" s="31"/>
      <c r="I45" s="31"/>
      <c r="J45" s="31"/>
      <c r="K45" s="31"/>
      <c r="L45" s="31"/>
      <c r="M45" s="31"/>
      <c r="N45" s="31"/>
      <c r="O45" s="31"/>
      <c r="P45" s="31"/>
      <c r="Q45" s="31"/>
      <c r="R45" s="31"/>
      <c r="S45" s="31"/>
      <c r="T45" s="31"/>
      <c r="U45" s="31"/>
      <c r="V45" s="31"/>
      <c r="W45" s="31"/>
      <c r="X45" s="31"/>
      <c r="Y45" s="31"/>
    </row>
    <row r="46" spans="1:26" ht="18" customHeight="1" x14ac:dyDescent="0.15">
      <c r="A46" s="192" t="s">
        <v>132</v>
      </c>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8" customHeight="1" x14ac:dyDescent="0.15">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8" customHeight="1" x14ac:dyDescent="0.15">
      <c r="B48" s="108" t="s">
        <v>100</v>
      </c>
      <c r="C48" s="109"/>
      <c r="D48" s="109"/>
      <c r="E48" s="109"/>
      <c r="F48" s="110"/>
      <c r="G48" s="20" t="s">
        <v>141</v>
      </c>
      <c r="H48" s="24" t="s">
        <v>140</v>
      </c>
      <c r="I48" s="108" t="s">
        <v>101</v>
      </c>
      <c r="J48" s="109"/>
      <c r="K48" s="110"/>
      <c r="L48" s="25" t="s">
        <v>106</v>
      </c>
      <c r="M48" s="25" t="s">
        <v>108</v>
      </c>
      <c r="N48" s="108" t="s">
        <v>100</v>
      </c>
      <c r="O48" s="109"/>
      <c r="P48" s="109"/>
      <c r="Q48" s="109"/>
      <c r="R48" s="109"/>
      <c r="S48" s="110"/>
      <c r="T48" s="20" t="s">
        <v>141</v>
      </c>
      <c r="U48" s="24" t="s">
        <v>140</v>
      </c>
      <c r="V48" s="108" t="s">
        <v>101</v>
      </c>
      <c r="W48" s="109"/>
      <c r="X48" s="110"/>
      <c r="Y48" s="25" t="s">
        <v>106</v>
      </c>
      <c r="Z48" s="25" t="s">
        <v>108</v>
      </c>
    </row>
    <row r="49" spans="1:26" ht="18" customHeight="1" x14ac:dyDescent="0.15">
      <c r="A49" s="14"/>
      <c r="B49" s="154" t="s">
        <v>175</v>
      </c>
      <c r="C49" s="155"/>
      <c r="D49" s="155"/>
      <c r="E49" s="155"/>
      <c r="F49" s="156"/>
      <c r="G49" s="27">
        <v>2</v>
      </c>
      <c r="H49" s="27" t="s">
        <v>157</v>
      </c>
      <c r="I49" s="148" t="s">
        <v>173</v>
      </c>
      <c r="J49" s="149"/>
      <c r="K49" s="150"/>
      <c r="L49" s="26" t="s">
        <v>157</v>
      </c>
      <c r="M49" s="26" t="s">
        <v>157</v>
      </c>
      <c r="N49" s="139"/>
      <c r="O49" s="140"/>
      <c r="P49" s="140"/>
      <c r="Q49" s="140"/>
      <c r="R49" s="140"/>
      <c r="S49" s="141"/>
      <c r="T49" s="26"/>
      <c r="U49" s="26"/>
      <c r="V49" s="164"/>
      <c r="W49" s="165"/>
      <c r="X49" s="166"/>
      <c r="Y49" s="26"/>
      <c r="Z49" s="26"/>
    </row>
    <row r="50" spans="1:26" ht="18" customHeight="1" x14ac:dyDescent="0.15">
      <c r="A50" s="14"/>
      <c r="B50" s="154" t="s">
        <v>177</v>
      </c>
      <c r="C50" s="155"/>
      <c r="D50" s="155"/>
      <c r="E50" s="155"/>
      <c r="F50" s="156"/>
      <c r="G50" s="27">
        <v>2</v>
      </c>
      <c r="H50" s="27" t="s">
        <v>157</v>
      </c>
      <c r="I50" s="148" t="s">
        <v>158</v>
      </c>
      <c r="J50" s="149"/>
      <c r="K50" s="150"/>
      <c r="L50" s="27" t="s">
        <v>157</v>
      </c>
      <c r="M50" s="27" t="s">
        <v>157</v>
      </c>
      <c r="N50" s="142"/>
      <c r="O50" s="143"/>
      <c r="P50" s="143"/>
      <c r="Q50" s="143"/>
      <c r="R50" s="143"/>
      <c r="S50" s="144"/>
      <c r="T50" s="27"/>
      <c r="U50" s="27"/>
      <c r="V50" s="148"/>
      <c r="W50" s="149"/>
      <c r="X50" s="150"/>
      <c r="Y50" s="27"/>
      <c r="Z50" s="27"/>
    </row>
    <row r="51" spans="1:26" ht="18" customHeight="1" x14ac:dyDescent="0.15">
      <c r="A51" s="14"/>
      <c r="B51" s="154"/>
      <c r="C51" s="155"/>
      <c r="D51" s="155"/>
      <c r="E51" s="155"/>
      <c r="F51" s="156"/>
      <c r="G51" s="27"/>
      <c r="H51" s="27"/>
      <c r="I51" s="148"/>
      <c r="J51" s="149"/>
      <c r="K51" s="150"/>
      <c r="L51" s="27"/>
      <c r="M51" s="27"/>
      <c r="N51" s="142"/>
      <c r="O51" s="143"/>
      <c r="P51" s="143"/>
      <c r="Q51" s="143"/>
      <c r="R51" s="143"/>
      <c r="S51" s="144"/>
      <c r="T51" s="27"/>
      <c r="U51" s="27"/>
      <c r="V51" s="148"/>
      <c r="W51" s="149"/>
      <c r="X51" s="150"/>
      <c r="Y51" s="27"/>
      <c r="Z51" s="27"/>
    </row>
    <row r="52" spans="1:26" ht="18" customHeight="1" x14ac:dyDescent="0.15">
      <c r="A52" s="14"/>
      <c r="B52" s="154"/>
      <c r="C52" s="155"/>
      <c r="D52" s="155"/>
      <c r="E52" s="155"/>
      <c r="F52" s="156"/>
      <c r="G52" s="27"/>
      <c r="H52" s="27"/>
      <c r="I52" s="148"/>
      <c r="J52" s="149"/>
      <c r="K52" s="150"/>
      <c r="L52" s="27"/>
      <c r="M52" s="27"/>
      <c r="N52" s="142"/>
      <c r="O52" s="143"/>
      <c r="P52" s="143"/>
      <c r="Q52" s="143"/>
      <c r="R52" s="143"/>
      <c r="S52" s="144"/>
      <c r="T52" s="27"/>
      <c r="U52" s="27"/>
      <c r="V52" s="148"/>
      <c r="W52" s="149"/>
      <c r="X52" s="150"/>
      <c r="Y52" s="27"/>
      <c r="Z52" s="27"/>
    </row>
    <row r="53" spans="1:26" ht="18" customHeight="1" x14ac:dyDescent="0.15">
      <c r="A53" s="14"/>
      <c r="B53" s="154"/>
      <c r="C53" s="155"/>
      <c r="D53" s="155"/>
      <c r="E53" s="155"/>
      <c r="F53" s="156"/>
      <c r="G53" s="27"/>
      <c r="H53" s="27"/>
      <c r="I53" s="148"/>
      <c r="J53" s="149"/>
      <c r="K53" s="150"/>
      <c r="L53" s="27"/>
      <c r="M53" s="27"/>
      <c r="N53" s="142"/>
      <c r="O53" s="143"/>
      <c r="P53" s="143"/>
      <c r="Q53" s="143"/>
      <c r="R53" s="143"/>
      <c r="S53" s="144"/>
      <c r="T53" s="27"/>
      <c r="U53" s="27"/>
      <c r="V53" s="148"/>
      <c r="W53" s="149"/>
      <c r="X53" s="150"/>
      <c r="Y53" s="27"/>
      <c r="Z53" s="27"/>
    </row>
    <row r="54" spans="1:26" ht="18" customHeight="1" x14ac:dyDescent="0.15">
      <c r="A54" s="14"/>
      <c r="B54" s="154"/>
      <c r="C54" s="155"/>
      <c r="D54" s="155"/>
      <c r="E54" s="155"/>
      <c r="F54" s="156"/>
      <c r="G54" s="27"/>
      <c r="H54" s="27"/>
      <c r="I54" s="148"/>
      <c r="J54" s="149"/>
      <c r="K54" s="150"/>
      <c r="L54" s="27"/>
      <c r="M54" s="27"/>
      <c r="N54" s="142"/>
      <c r="O54" s="143"/>
      <c r="P54" s="143"/>
      <c r="Q54" s="143"/>
      <c r="R54" s="143"/>
      <c r="S54" s="144"/>
      <c r="T54" s="27"/>
      <c r="U54" s="27"/>
      <c r="V54" s="148"/>
      <c r="W54" s="149"/>
      <c r="X54" s="150"/>
      <c r="Y54" s="27"/>
      <c r="Z54" s="27"/>
    </row>
    <row r="55" spans="1:26" ht="18" customHeight="1" x14ac:dyDescent="0.15">
      <c r="A55" s="14"/>
      <c r="B55" s="157"/>
      <c r="C55" s="158"/>
      <c r="D55" s="158"/>
      <c r="E55" s="158"/>
      <c r="F55" s="159"/>
      <c r="G55" s="28"/>
      <c r="H55" s="28"/>
      <c r="I55" s="151"/>
      <c r="J55" s="152"/>
      <c r="K55" s="153"/>
      <c r="L55" s="29"/>
      <c r="M55" s="29"/>
      <c r="N55" s="145"/>
      <c r="O55" s="146"/>
      <c r="P55" s="146"/>
      <c r="Q55" s="146"/>
      <c r="R55" s="146"/>
      <c r="S55" s="147"/>
      <c r="T55" s="28"/>
      <c r="U55" s="28"/>
      <c r="V55" s="151"/>
      <c r="W55" s="152"/>
      <c r="X55" s="153"/>
      <c r="Y55" s="29"/>
      <c r="Z55" s="29"/>
    </row>
    <row r="56" spans="1:26" ht="7.5" customHeight="1" x14ac:dyDescent="0.15">
      <c r="B56" s="31"/>
      <c r="C56" s="31"/>
      <c r="D56" s="31"/>
      <c r="E56" s="31"/>
      <c r="F56" s="31"/>
      <c r="G56" s="31"/>
      <c r="H56" s="31"/>
      <c r="I56" s="31"/>
      <c r="J56" s="31"/>
      <c r="K56" s="31"/>
      <c r="L56" s="31"/>
      <c r="M56" s="31"/>
      <c r="N56" s="31"/>
      <c r="O56" s="31"/>
      <c r="P56" s="31"/>
      <c r="Q56" s="31"/>
      <c r="R56" s="31"/>
      <c r="S56" s="31"/>
      <c r="T56" s="31"/>
      <c r="U56" s="31"/>
      <c r="V56" s="31"/>
      <c r="W56" s="31"/>
      <c r="X56" s="31"/>
      <c r="Y56" s="31"/>
    </row>
    <row r="57" spans="1:26" ht="18" customHeight="1" x14ac:dyDescent="0.15">
      <c r="A57" s="192" t="s">
        <v>133</v>
      </c>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8" customHeight="1" x14ac:dyDescent="0.15">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8" customHeight="1" x14ac:dyDescent="0.15">
      <c r="B59" s="108" t="s">
        <v>100</v>
      </c>
      <c r="C59" s="109"/>
      <c r="D59" s="109"/>
      <c r="E59" s="110"/>
      <c r="F59" s="20" t="s">
        <v>141</v>
      </c>
      <c r="G59" s="24" t="s">
        <v>140</v>
      </c>
      <c r="H59" s="21" t="s">
        <v>101</v>
      </c>
      <c r="I59" s="44"/>
      <c r="J59" s="22"/>
      <c r="K59" s="25" t="s">
        <v>105</v>
      </c>
      <c r="L59" s="25" t="s">
        <v>134</v>
      </c>
      <c r="M59" s="25" t="s">
        <v>135</v>
      </c>
      <c r="N59" s="108" t="s">
        <v>100</v>
      </c>
      <c r="O59" s="109"/>
      <c r="P59" s="109"/>
      <c r="Q59" s="109"/>
      <c r="R59" s="110"/>
      <c r="S59" s="20" t="s">
        <v>141</v>
      </c>
      <c r="T59" s="24" t="s">
        <v>140</v>
      </c>
      <c r="U59" s="21" t="s">
        <v>101</v>
      </c>
      <c r="V59" s="44"/>
      <c r="W59" s="22"/>
      <c r="X59" s="25" t="s">
        <v>105</v>
      </c>
      <c r="Y59" s="25" t="s">
        <v>134</v>
      </c>
      <c r="Z59" s="25" t="s">
        <v>135</v>
      </c>
    </row>
    <row r="60" spans="1:26" ht="18" customHeight="1" x14ac:dyDescent="0.15">
      <c r="A60" s="14"/>
      <c r="B60" s="139" t="s">
        <v>175</v>
      </c>
      <c r="C60" s="140"/>
      <c r="D60" s="140"/>
      <c r="E60" s="141"/>
      <c r="F60" s="26">
        <v>2</v>
      </c>
      <c r="G60" s="26" t="s">
        <v>157</v>
      </c>
      <c r="H60" s="164" t="s">
        <v>173</v>
      </c>
      <c r="I60" s="165"/>
      <c r="J60" s="166"/>
      <c r="K60" s="26" t="s">
        <v>157</v>
      </c>
      <c r="L60" s="26" t="s">
        <v>157</v>
      </c>
      <c r="M60" s="26" t="s">
        <v>157</v>
      </c>
      <c r="N60" s="139"/>
      <c r="O60" s="140"/>
      <c r="P60" s="140"/>
      <c r="Q60" s="140"/>
      <c r="R60" s="141"/>
      <c r="S60" s="26"/>
      <c r="T60" s="26"/>
      <c r="U60" s="164"/>
      <c r="V60" s="165"/>
      <c r="W60" s="166"/>
      <c r="X60" s="35"/>
      <c r="Y60" s="26"/>
      <c r="Z60" s="26"/>
    </row>
    <row r="61" spans="1:26" ht="18" customHeight="1" x14ac:dyDescent="0.15">
      <c r="A61" s="14"/>
      <c r="B61" s="142" t="s">
        <v>177</v>
      </c>
      <c r="C61" s="143"/>
      <c r="D61" s="143"/>
      <c r="E61" s="144"/>
      <c r="F61" s="27">
        <v>2</v>
      </c>
      <c r="G61" s="27" t="s">
        <v>157</v>
      </c>
      <c r="H61" s="148" t="s">
        <v>158</v>
      </c>
      <c r="I61" s="149"/>
      <c r="J61" s="150"/>
      <c r="K61" s="27" t="s">
        <v>157</v>
      </c>
      <c r="L61" s="27" t="s">
        <v>157</v>
      </c>
      <c r="M61" s="27" t="s">
        <v>157</v>
      </c>
      <c r="N61" s="142"/>
      <c r="O61" s="143"/>
      <c r="P61" s="143"/>
      <c r="Q61" s="143"/>
      <c r="R61" s="144"/>
      <c r="S61" s="27"/>
      <c r="T61" s="27"/>
      <c r="U61" s="148"/>
      <c r="V61" s="149"/>
      <c r="W61" s="150"/>
      <c r="X61" s="36"/>
      <c r="Y61" s="27"/>
      <c r="Z61" s="27"/>
    </row>
    <row r="62" spans="1:26" ht="18" customHeight="1" x14ac:dyDescent="0.15">
      <c r="A62" s="14"/>
      <c r="B62" s="142"/>
      <c r="C62" s="143"/>
      <c r="D62" s="143"/>
      <c r="E62" s="144"/>
      <c r="F62" s="27"/>
      <c r="G62" s="27"/>
      <c r="H62" s="148"/>
      <c r="I62" s="149"/>
      <c r="J62" s="150"/>
      <c r="K62" s="36"/>
      <c r="L62" s="27"/>
      <c r="M62" s="27"/>
      <c r="N62" s="142"/>
      <c r="O62" s="143"/>
      <c r="P62" s="143"/>
      <c r="Q62" s="143"/>
      <c r="R62" s="144"/>
      <c r="S62" s="27"/>
      <c r="T62" s="27"/>
      <c r="U62" s="148"/>
      <c r="V62" s="149"/>
      <c r="W62" s="150"/>
      <c r="X62" s="36"/>
      <c r="Y62" s="27"/>
      <c r="Z62" s="27"/>
    </row>
    <row r="63" spans="1:26" ht="18" customHeight="1" x14ac:dyDescent="0.15">
      <c r="A63" s="14"/>
      <c r="B63" s="142"/>
      <c r="C63" s="143"/>
      <c r="D63" s="143"/>
      <c r="E63" s="144"/>
      <c r="F63" s="27"/>
      <c r="G63" s="27"/>
      <c r="H63" s="148"/>
      <c r="I63" s="149"/>
      <c r="J63" s="150"/>
      <c r="K63" s="36"/>
      <c r="L63" s="27"/>
      <c r="M63" s="27"/>
      <c r="N63" s="142"/>
      <c r="O63" s="143"/>
      <c r="P63" s="143"/>
      <c r="Q63" s="143"/>
      <c r="R63" s="144"/>
      <c r="S63" s="27"/>
      <c r="T63" s="27"/>
      <c r="U63" s="148"/>
      <c r="V63" s="149"/>
      <c r="W63" s="150"/>
      <c r="X63" s="36"/>
      <c r="Y63" s="27"/>
      <c r="Z63" s="27"/>
    </row>
    <row r="64" spans="1:26" ht="18" customHeight="1" x14ac:dyDescent="0.15">
      <c r="A64" s="14"/>
      <c r="B64" s="142"/>
      <c r="C64" s="143"/>
      <c r="D64" s="143"/>
      <c r="E64" s="144"/>
      <c r="F64" s="27"/>
      <c r="G64" s="27"/>
      <c r="H64" s="148"/>
      <c r="I64" s="149"/>
      <c r="J64" s="150"/>
      <c r="K64" s="36"/>
      <c r="L64" s="27"/>
      <c r="M64" s="27"/>
      <c r="N64" s="142"/>
      <c r="O64" s="143"/>
      <c r="P64" s="143"/>
      <c r="Q64" s="143"/>
      <c r="R64" s="144"/>
      <c r="S64" s="27"/>
      <c r="T64" s="27"/>
      <c r="U64" s="148"/>
      <c r="V64" s="149"/>
      <c r="W64" s="150"/>
      <c r="X64" s="36"/>
      <c r="Y64" s="27"/>
      <c r="Z64" s="27"/>
    </row>
    <row r="65" spans="1:26" ht="18" customHeight="1" x14ac:dyDescent="0.15">
      <c r="A65" s="14"/>
      <c r="B65" s="142"/>
      <c r="C65" s="143"/>
      <c r="D65" s="143"/>
      <c r="E65" s="144"/>
      <c r="F65" s="27"/>
      <c r="G65" s="27"/>
      <c r="H65" s="148"/>
      <c r="I65" s="149"/>
      <c r="J65" s="150"/>
      <c r="K65" s="36"/>
      <c r="L65" s="27"/>
      <c r="M65" s="27"/>
      <c r="N65" s="142"/>
      <c r="O65" s="143"/>
      <c r="P65" s="143"/>
      <c r="Q65" s="143"/>
      <c r="R65" s="144"/>
      <c r="S65" s="27"/>
      <c r="T65" s="27"/>
      <c r="U65" s="148"/>
      <c r="V65" s="149"/>
      <c r="W65" s="150"/>
      <c r="X65" s="36"/>
      <c r="Y65" s="27"/>
      <c r="Z65" s="27"/>
    </row>
    <row r="66" spans="1:26" ht="18" customHeight="1" x14ac:dyDescent="0.15">
      <c r="A66" s="14"/>
      <c r="B66" s="145"/>
      <c r="C66" s="146"/>
      <c r="D66" s="146"/>
      <c r="E66" s="147"/>
      <c r="F66" s="28"/>
      <c r="G66" s="28"/>
      <c r="H66" s="151"/>
      <c r="I66" s="152"/>
      <c r="J66" s="153"/>
      <c r="K66" s="37"/>
      <c r="L66" s="29"/>
      <c r="M66" s="29"/>
      <c r="N66" s="145"/>
      <c r="O66" s="146"/>
      <c r="P66" s="146"/>
      <c r="Q66" s="146"/>
      <c r="R66" s="147"/>
      <c r="S66" s="28"/>
      <c r="T66" s="28"/>
      <c r="U66" s="151"/>
      <c r="V66" s="152"/>
      <c r="W66" s="153"/>
      <c r="X66" s="37"/>
      <c r="Y66" s="29"/>
      <c r="Z66" s="29"/>
    </row>
    <row r="67" spans="1:26" ht="7.5" customHeight="1" x14ac:dyDescent="0.15">
      <c r="B67" s="31"/>
      <c r="C67" s="31"/>
      <c r="D67" s="31"/>
      <c r="E67" s="31"/>
      <c r="F67" s="31"/>
      <c r="G67" s="31"/>
      <c r="H67" s="31"/>
      <c r="I67" s="31"/>
      <c r="J67" s="31"/>
      <c r="K67" s="31"/>
      <c r="L67" s="31"/>
      <c r="M67" s="31"/>
      <c r="N67" s="31"/>
      <c r="O67" s="31"/>
      <c r="P67" s="31"/>
      <c r="Q67" s="31"/>
      <c r="R67" s="31"/>
      <c r="S67" s="31"/>
      <c r="T67" s="31"/>
      <c r="U67" s="31"/>
      <c r="V67" s="31"/>
      <c r="W67" s="31"/>
      <c r="X67" s="31"/>
      <c r="Y67" s="31"/>
    </row>
    <row r="68" spans="1:26" ht="18" customHeight="1" x14ac:dyDescent="0.15">
      <c r="A68" s="1" t="s">
        <v>136</v>
      </c>
      <c r="L68" s="14"/>
      <c r="M68" s="14"/>
      <c r="N68" s="14"/>
      <c r="O68" s="14"/>
      <c r="P68" s="14"/>
      <c r="Q68" s="14"/>
      <c r="R68" s="14"/>
      <c r="S68" s="14"/>
      <c r="T68" s="14"/>
      <c r="U68" s="14"/>
      <c r="V68" s="14"/>
      <c r="W68" s="14"/>
      <c r="X68" s="14"/>
      <c r="Y68" s="14"/>
      <c r="Z68" s="14"/>
    </row>
    <row r="69" spans="1:26" ht="18" customHeight="1" x14ac:dyDescent="0.15">
      <c r="B69" s="108" t="s">
        <v>100</v>
      </c>
      <c r="C69" s="109"/>
      <c r="D69" s="109"/>
      <c r="E69" s="109"/>
      <c r="F69" s="110"/>
      <c r="G69" s="108" t="s">
        <v>146</v>
      </c>
      <c r="H69" s="109"/>
      <c r="I69" s="109"/>
      <c r="J69" s="109"/>
      <c r="K69" s="109"/>
      <c r="L69" s="109"/>
      <c r="M69" s="110"/>
      <c r="N69" s="161" t="s">
        <v>100</v>
      </c>
      <c r="O69" s="162"/>
      <c r="P69" s="162"/>
      <c r="Q69" s="162"/>
      <c r="R69" s="162"/>
      <c r="S69" s="163"/>
      <c r="T69" s="108" t="s">
        <v>146</v>
      </c>
      <c r="U69" s="109"/>
      <c r="V69" s="109"/>
      <c r="W69" s="109"/>
      <c r="X69" s="109"/>
      <c r="Y69" s="109"/>
      <c r="Z69" s="110"/>
    </row>
    <row r="70" spans="1:26" ht="18" customHeight="1" x14ac:dyDescent="0.15">
      <c r="A70" s="14"/>
      <c r="B70" s="139"/>
      <c r="C70" s="140"/>
      <c r="D70" s="140"/>
      <c r="E70" s="140"/>
      <c r="F70" s="141"/>
      <c r="G70" s="204"/>
      <c r="H70" s="205"/>
      <c r="I70" s="205"/>
      <c r="J70" s="205"/>
      <c r="K70" s="205"/>
      <c r="L70" s="205"/>
      <c r="M70" s="206"/>
      <c r="N70" s="139"/>
      <c r="O70" s="140"/>
      <c r="P70" s="140"/>
      <c r="Q70" s="140"/>
      <c r="R70" s="140"/>
      <c r="S70" s="141"/>
      <c r="T70" s="204"/>
      <c r="U70" s="205"/>
      <c r="V70" s="205"/>
      <c r="W70" s="205"/>
      <c r="X70" s="205"/>
      <c r="Y70" s="205"/>
      <c r="Z70" s="206"/>
    </row>
    <row r="71" spans="1:26" ht="18" customHeight="1" x14ac:dyDescent="0.15">
      <c r="A71" s="14"/>
      <c r="B71" s="142"/>
      <c r="C71" s="143"/>
      <c r="D71" s="143"/>
      <c r="E71" s="143"/>
      <c r="F71" s="144"/>
      <c r="G71" s="181"/>
      <c r="H71" s="182"/>
      <c r="I71" s="182"/>
      <c r="J71" s="182"/>
      <c r="K71" s="182"/>
      <c r="L71" s="182"/>
      <c r="M71" s="183"/>
      <c r="N71" s="142"/>
      <c r="O71" s="143"/>
      <c r="P71" s="143"/>
      <c r="Q71" s="143"/>
      <c r="R71" s="143"/>
      <c r="S71" s="144"/>
      <c r="T71" s="181"/>
      <c r="U71" s="182"/>
      <c r="V71" s="182"/>
      <c r="W71" s="182"/>
      <c r="X71" s="182"/>
      <c r="Y71" s="182"/>
      <c r="Z71" s="183"/>
    </row>
    <row r="72" spans="1:26" ht="18" customHeight="1" x14ac:dyDescent="0.15">
      <c r="A72" s="14"/>
      <c r="B72" s="142"/>
      <c r="C72" s="143"/>
      <c r="D72" s="143"/>
      <c r="E72" s="143"/>
      <c r="F72" s="144"/>
      <c r="G72" s="181"/>
      <c r="H72" s="182"/>
      <c r="I72" s="182"/>
      <c r="J72" s="182"/>
      <c r="K72" s="182"/>
      <c r="L72" s="182"/>
      <c r="M72" s="183"/>
      <c r="N72" s="142"/>
      <c r="O72" s="143"/>
      <c r="P72" s="143"/>
      <c r="Q72" s="143"/>
      <c r="R72" s="143"/>
      <c r="S72" s="144"/>
      <c r="T72" s="181"/>
      <c r="U72" s="182"/>
      <c r="V72" s="182"/>
      <c r="W72" s="182"/>
      <c r="X72" s="182"/>
      <c r="Y72" s="182"/>
      <c r="Z72" s="183"/>
    </row>
    <row r="73" spans="1:26" ht="18" customHeight="1" x14ac:dyDescent="0.15">
      <c r="A73" s="14"/>
      <c r="B73" s="142"/>
      <c r="C73" s="143"/>
      <c r="D73" s="143"/>
      <c r="E73" s="143"/>
      <c r="F73" s="144"/>
      <c r="G73" s="181"/>
      <c r="H73" s="182"/>
      <c r="I73" s="182"/>
      <c r="J73" s="182"/>
      <c r="K73" s="182"/>
      <c r="L73" s="182"/>
      <c r="M73" s="183"/>
      <c r="N73" s="142"/>
      <c r="O73" s="143"/>
      <c r="P73" s="143"/>
      <c r="Q73" s="143"/>
      <c r="R73" s="143"/>
      <c r="S73" s="144"/>
      <c r="T73" s="181"/>
      <c r="U73" s="182"/>
      <c r="V73" s="182"/>
      <c r="W73" s="182"/>
      <c r="X73" s="182"/>
      <c r="Y73" s="182"/>
      <c r="Z73" s="183"/>
    </row>
    <row r="74" spans="1:26" ht="18" customHeight="1" x14ac:dyDescent="0.15">
      <c r="A74" s="14"/>
      <c r="B74" s="142"/>
      <c r="C74" s="143"/>
      <c r="D74" s="143"/>
      <c r="E74" s="143"/>
      <c r="F74" s="144"/>
      <c r="G74" s="181"/>
      <c r="H74" s="182"/>
      <c r="I74" s="182"/>
      <c r="J74" s="182"/>
      <c r="K74" s="182"/>
      <c r="L74" s="182"/>
      <c r="M74" s="183"/>
      <c r="N74" s="142"/>
      <c r="O74" s="143"/>
      <c r="P74" s="143"/>
      <c r="Q74" s="143"/>
      <c r="R74" s="143"/>
      <c r="S74" s="144"/>
      <c r="T74" s="181"/>
      <c r="U74" s="182"/>
      <c r="V74" s="182"/>
      <c r="W74" s="182"/>
      <c r="X74" s="182"/>
      <c r="Y74" s="182"/>
      <c r="Z74" s="183"/>
    </row>
    <row r="75" spans="1:26" ht="18" customHeight="1" x14ac:dyDescent="0.15">
      <c r="A75" s="14"/>
      <c r="B75" s="142"/>
      <c r="C75" s="143"/>
      <c r="D75" s="143"/>
      <c r="E75" s="143"/>
      <c r="F75" s="144"/>
      <c r="G75" s="181"/>
      <c r="H75" s="182"/>
      <c r="I75" s="182"/>
      <c r="J75" s="182"/>
      <c r="K75" s="182"/>
      <c r="L75" s="182"/>
      <c r="M75" s="183"/>
      <c r="N75" s="142"/>
      <c r="O75" s="143"/>
      <c r="P75" s="143"/>
      <c r="Q75" s="143"/>
      <c r="R75" s="143"/>
      <c r="S75" s="144"/>
      <c r="T75" s="181"/>
      <c r="U75" s="182"/>
      <c r="V75" s="182"/>
      <c r="W75" s="182"/>
      <c r="X75" s="182"/>
      <c r="Y75" s="182"/>
      <c r="Z75" s="183"/>
    </row>
    <row r="76" spans="1:26" ht="18" customHeight="1" x14ac:dyDescent="0.15">
      <c r="A76" s="14"/>
      <c r="B76" s="145"/>
      <c r="C76" s="146"/>
      <c r="D76" s="146"/>
      <c r="E76" s="146"/>
      <c r="F76" s="147"/>
      <c r="G76" s="178"/>
      <c r="H76" s="179"/>
      <c r="I76" s="179"/>
      <c r="J76" s="179"/>
      <c r="K76" s="179"/>
      <c r="L76" s="179"/>
      <c r="M76" s="180"/>
      <c r="N76" s="145"/>
      <c r="O76" s="146"/>
      <c r="P76" s="146"/>
      <c r="Q76" s="146"/>
      <c r="R76" s="146"/>
      <c r="S76" s="147"/>
      <c r="T76" s="178"/>
      <c r="U76" s="179"/>
      <c r="V76" s="179"/>
      <c r="W76" s="179"/>
      <c r="X76" s="179"/>
      <c r="Y76" s="179"/>
      <c r="Z76" s="180"/>
    </row>
    <row r="77" spans="1:26" ht="18" customHeight="1" x14ac:dyDescent="0.15">
      <c r="A77" s="14"/>
      <c r="B77" s="30"/>
      <c r="C77" s="30"/>
      <c r="D77" s="30"/>
      <c r="E77" s="30"/>
      <c r="F77" s="30"/>
      <c r="G77" s="45"/>
      <c r="H77" s="45"/>
      <c r="I77" s="45"/>
      <c r="J77" s="45"/>
      <c r="K77" s="45"/>
      <c r="L77" s="45"/>
      <c r="M77" s="45"/>
      <c r="N77" s="30"/>
      <c r="O77" s="30"/>
      <c r="P77" s="30"/>
      <c r="Q77" s="30"/>
      <c r="R77" s="30"/>
      <c r="S77" s="30"/>
      <c r="T77" s="45"/>
      <c r="U77" s="45"/>
      <c r="V77" s="45"/>
      <c r="W77" s="45"/>
      <c r="X77" s="45"/>
      <c r="Y77" s="45"/>
      <c r="Z77" s="45"/>
    </row>
    <row r="78" spans="1:26" ht="18.75" customHeight="1" x14ac:dyDescent="0.15">
      <c r="A78" s="1" t="s">
        <v>142</v>
      </c>
    </row>
    <row r="79" spans="1:26" ht="18.75" customHeight="1" x14ac:dyDescent="0.15">
      <c r="B79" s="21" t="s">
        <v>102</v>
      </c>
      <c r="C79" s="22"/>
      <c r="D79" s="109" t="s">
        <v>103</v>
      </c>
      <c r="E79" s="109"/>
      <c r="F79" s="109"/>
      <c r="G79" s="109"/>
      <c r="H79" s="109"/>
      <c r="I79" s="109"/>
      <c r="J79" s="109"/>
      <c r="K79" s="109"/>
      <c r="L79" s="109"/>
      <c r="M79" s="109"/>
      <c r="N79" s="109"/>
      <c r="O79" s="109"/>
      <c r="P79" s="109"/>
      <c r="Q79" s="109"/>
      <c r="R79" s="109"/>
      <c r="S79" s="109"/>
      <c r="T79" s="109"/>
      <c r="U79" s="109"/>
      <c r="V79" s="109"/>
      <c r="W79" s="109"/>
      <c r="X79" s="109"/>
      <c r="Y79" s="109"/>
      <c r="Z79" s="110"/>
    </row>
    <row r="80" spans="1:26" ht="78" customHeight="1" x14ac:dyDescent="0.15">
      <c r="B80" s="210" t="s">
        <v>109</v>
      </c>
      <c r="C80" s="38" t="s">
        <v>104</v>
      </c>
      <c r="D80" s="215" t="s">
        <v>188</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 customHeight="1" x14ac:dyDescent="0.15">
      <c r="B81" s="212"/>
      <c r="C81" s="39" t="s">
        <v>137</v>
      </c>
      <c r="D81" s="184" t="s">
        <v>200</v>
      </c>
      <c r="E81" s="184"/>
      <c r="F81" s="184"/>
      <c r="G81" s="184"/>
      <c r="H81" s="184"/>
      <c r="I81" s="184"/>
      <c r="J81" s="184"/>
      <c r="K81" s="184"/>
      <c r="L81" s="184"/>
      <c r="M81" s="184"/>
      <c r="N81" s="184"/>
      <c r="O81" s="184"/>
      <c r="P81" s="184"/>
      <c r="Q81" s="184"/>
      <c r="R81" s="184"/>
      <c r="S81" s="184"/>
      <c r="T81" s="184"/>
      <c r="U81" s="184"/>
      <c r="V81" s="184"/>
      <c r="W81" s="184"/>
      <c r="X81" s="184"/>
      <c r="Y81" s="184"/>
      <c r="Z81" s="185"/>
    </row>
    <row r="82" spans="1:26" ht="89.25" customHeight="1" x14ac:dyDescent="0.15">
      <c r="B82" s="210" t="s">
        <v>110</v>
      </c>
      <c r="C82" s="40" t="s">
        <v>127</v>
      </c>
      <c r="D82" s="186" t="s">
        <v>201</v>
      </c>
      <c r="E82" s="186"/>
      <c r="F82" s="186"/>
      <c r="G82" s="186"/>
      <c r="H82" s="186"/>
      <c r="I82" s="186"/>
      <c r="J82" s="186"/>
      <c r="K82" s="186"/>
      <c r="L82" s="186"/>
      <c r="M82" s="186"/>
      <c r="N82" s="186"/>
      <c r="O82" s="186"/>
      <c r="P82" s="186"/>
      <c r="Q82" s="186"/>
      <c r="R82" s="186"/>
      <c r="S82" s="186"/>
      <c r="T82" s="186"/>
      <c r="U82" s="186"/>
      <c r="V82" s="186"/>
      <c r="W82" s="186"/>
      <c r="X82" s="186"/>
      <c r="Y82" s="186"/>
      <c r="Z82" s="187"/>
    </row>
    <row r="83" spans="1:26" ht="120" customHeight="1" x14ac:dyDescent="0.15">
      <c r="B83" s="211"/>
      <c r="C83" s="41" t="s">
        <v>128</v>
      </c>
      <c r="D83" s="190" t="s">
        <v>222</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114" customHeight="1" x14ac:dyDescent="0.15">
      <c r="B84" s="210" t="s">
        <v>111</v>
      </c>
      <c r="C84" s="40" t="s">
        <v>130</v>
      </c>
      <c r="D84" s="186" t="s">
        <v>202</v>
      </c>
      <c r="E84" s="186"/>
      <c r="F84" s="186"/>
      <c r="G84" s="186"/>
      <c r="H84" s="186"/>
      <c r="I84" s="186"/>
      <c r="J84" s="186"/>
      <c r="K84" s="186"/>
      <c r="L84" s="186"/>
      <c r="M84" s="186"/>
      <c r="N84" s="186"/>
      <c r="O84" s="186"/>
      <c r="P84" s="186"/>
      <c r="Q84" s="186"/>
      <c r="R84" s="186"/>
      <c r="S84" s="186"/>
      <c r="T84" s="186"/>
      <c r="U84" s="186"/>
      <c r="V84" s="186"/>
      <c r="W84" s="186"/>
      <c r="X84" s="186"/>
      <c r="Y84" s="186"/>
      <c r="Z84" s="187"/>
    </row>
    <row r="85" spans="1:26" ht="121.5" customHeight="1" x14ac:dyDescent="0.15">
      <c r="B85" s="211"/>
      <c r="C85" s="42" t="s">
        <v>131</v>
      </c>
      <c r="D85" s="188" t="s">
        <v>203</v>
      </c>
      <c r="E85" s="188"/>
      <c r="F85" s="188"/>
      <c r="G85" s="188"/>
      <c r="H85" s="188"/>
      <c r="I85" s="188"/>
      <c r="J85" s="188"/>
      <c r="K85" s="188"/>
      <c r="L85" s="188"/>
      <c r="M85" s="188"/>
      <c r="N85" s="188"/>
      <c r="O85" s="188"/>
      <c r="P85" s="188"/>
      <c r="Q85" s="188"/>
      <c r="R85" s="188"/>
      <c r="S85" s="188"/>
      <c r="T85" s="188"/>
      <c r="U85" s="188"/>
      <c r="V85" s="188"/>
      <c r="W85" s="188"/>
      <c r="X85" s="188"/>
      <c r="Y85" s="188"/>
      <c r="Z85" s="189"/>
    </row>
    <row r="86" spans="1:26" ht="154.5" customHeight="1" x14ac:dyDescent="0.15">
      <c r="B86" s="210" t="s">
        <v>138</v>
      </c>
      <c r="C86" s="38" t="s">
        <v>106</v>
      </c>
      <c r="D86" s="215" t="s">
        <v>204</v>
      </c>
      <c r="E86" s="215"/>
      <c r="F86" s="215"/>
      <c r="G86" s="215"/>
      <c r="H86" s="215"/>
      <c r="I86" s="215"/>
      <c r="J86" s="215"/>
      <c r="K86" s="215"/>
      <c r="L86" s="215"/>
      <c r="M86" s="215"/>
      <c r="N86" s="215"/>
      <c r="O86" s="215"/>
      <c r="P86" s="215"/>
      <c r="Q86" s="215"/>
      <c r="R86" s="215"/>
      <c r="S86" s="215"/>
      <c r="T86" s="215"/>
      <c r="U86" s="215"/>
      <c r="V86" s="215"/>
      <c r="W86" s="215"/>
      <c r="X86" s="215"/>
      <c r="Y86" s="215"/>
      <c r="Z86" s="216"/>
    </row>
    <row r="87" spans="1:26" ht="98.25" customHeight="1" x14ac:dyDescent="0.15">
      <c r="B87" s="211"/>
      <c r="C87" s="41" t="s">
        <v>108</v>
      </c>
      <c r="D87" s="190" t="s">
        <v>205</v>
      </c>
      <c r="E87" s="190"/>
      <c r="F87" s="190"/>
      <c r="G87" s="190"/>
      <c r="H87" s="190"/>
      <c r="I87" s="190"/>
      <c r="J87" s="190"/>
      <c r="K87" s="190"/>
      <c r="L87" s="190"/>
      <c r="M87" s="190"/>
      <c r="N87" s="190"/>
      <c r="O87" s="190"/>
      <c r="P87" s="190"/>
      <c r="Q87" s="190"/>
      <c r="R87" s="190"/>
      <c r="S87" s="190"/>
      <c r="T87" s="190"/>
      <c r="U87" s="190"/>
      <c r="V87" s="190"/>
      <c r="W87" s="190"/>
      <c r="X87" s="190"/>
      <c r="Y87" s="190"/>
      <c r="Z87" s="191"/>
    </row>
    <row r="88" spans="1:26" ht="102" customHeight="1" x14ac:dyDescent="0.15">
      <c r="B88" s="210" t="s">
        <v>139</v>
      </c>
      <c r="C88" s="40" t="s">
        <v>105</v>
      </c>
      <c r="D88" s="213" t="s">
        <v>206</v>
      </c>
      <c r="E88" s="213"/>
      <c r="F88" s="213"/>
      <c r="G88" s="213"/>
      <c r="H88" s="213"/>
      <c r="I88" s="213"/>
      <c r="J88" s="213"/>
      <c r="K88" s="213"/>
      <c r="L88" s="213"/>
      <c r="M88" s="213"/>
      <c r="N88" s="213"/>
      <c r="O88" s="213"/>
      <c r="P88" s="213"/>
      <c r="Q88" s="213"/>
      <c r="R88" s="213"/>
      <c r="S88" s="213"/>
      <c r="T88" s="213"/>
      <c r="U88" s="213"/>
      <c r="V88" s="213"/>
      <c r="W88" s="213"/>
      <c r="X88" s="213"/>
      <c r="Y88" s="213"/>
      <c r="Z88" s="214"/>
    </row>
    <row r="89" spans="1:26" ht="94.5" customHeight="1" x14ac:dyDescent="0.15">
      <c r="B89" s="212"/>
      <c r="C89" s="43" t="s">
        <v>134</v>
      </c>
      <c r="D89" s="207" t="s">
        <v>207</v>
      </c>
      <c r="E89" s="208"/>
      <c r="F89" s="208"/>
      <c r="G89" s="208"/>
      <c r="H89" s="208"/>
      <c r="I89" s="208"/>
      <c r="J89" s="208"/>
      <c r="K89" s="208"/>
      <c r="L89" s="208"/>
      <c r="M89" s="208"/>
      <c r="N89" s="208"/>
      <c r="O89" s="208"/>
      <c r="P89" s="208"/>
      <c r="Q89" s="208"/>
      <c r="R89" s="208"/>
      <c r="S89" s="208"/>
      <c r="T89" s="208"/>
      <c r="U89" s="208"/>
      <c r="V89" s="208"/>
      <c r="W89" s="208"/>
      <c r="X89" s="208"/>
      <c r="Y89" s="208"/>
      <c r="Z89" s="209"/>
    </row>
    <row r="90" spans="1:26" ht="125.25" customHeight="1" x14ac:dyDescent="0.15">
      <c r="B90" s="211"/>
      <c r="C90" s="42" t="s">
        <v>135</v>
      </c>
      <c r="D90" s="174" t="s">
        <v>208</v>
      </c>
      <c r="E90" s="174"/>
      <c r="F90" s="174"/>
      <c r="G90" s="174"/>
      <c r="H90" s="174"/>
      <c r="I90" s="174"/>
      <c r="J90" s="174"/>
      <c r="K90" s="174"/>
      <c r="L90" s="174"/>
      <c r="M90" s="174"/>
      <c r="N90" s="174"/>
      <c r="O90" s="174"/>
      <c r="P90" s="174"/>
      <c r="Q90" s="174"/>
      <c r="R90" s="174"/>
      <c r="S90" s="174"/>
      <c r="T90" s="174"/>
      <c r="U90" s="174"/>
      <c r="V90" s="174"/>
      <c r="W90" s="174"/>
      <c r="X90" s="174"/>
      <c r="Y90" s="174"/>
      <c r="Z90" s="175"/>
    </row>
    <row r="91" spans="1:26" ht="6" customHeight="1" x14ac:dyDescent="0.15"/>
    <row r="92" spans="1:26" ht="18.75" customHeight="1" x14ac:dyDescent="0.15">
      <c r="A92" s="1" t="s">
        <v>143</v>
      </c>
    </row>
    <row r="93" spans="1:26" ht="18.75" customHeight="1" x14ac:dyDescent="0.15">
      <c r="B93" s="167" t="s">
        <v>163</v>
      </c>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9"/>
    </row>
    <row r="94" spans="1:26" ht="18.75" customHeight="1" x14ac:dyDescent="0.15">
      <c r="B94" s="170"/>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172"/>
    </row>
    <row r="95" spans="1:26" ht="18.75" customHeight="1" x14ac:dyDescent="0.15">
      <c r="B95" s="173"/>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5"/>
    </row>
    <row r="96" spans="1:26" ht="6" customHeight="1" x14ac:dyDescent="0.15"/>
    <row r="97" spans="1:26" ht="15" customHeight="1" x14ac:dyDescent="0.15">
      <c r="A97" s="1" t="s">
        <v>144</v>
      </c>
    </row>
    <row r="98" spans="1:26" ht="15" customHeight="1" x14ac:dyDescent="0.15">
      <c r="B98" s="176" t="s">
        <v>183</v>
      </c>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77"/>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B4C67FAE-04B8-435C-98EF-01BB8EEB90A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CBF9D72E-DF07-4F8E-8E53-F2FE3EAC4950}">
      <formula1>"学部・学科によって、修了要件は相違する,学部・学科によって、修了要件は相違しない"</formula1>
    </dataValidation>
    <dataValidation type="list" allowBlank="1" showInputMessage="1" showErrorMessage="1" sqref="Z23 Z34 D34:K34 D23:K23 V16:V22 I49:I55 V27:V33 I16:I22 V38:V44 I38:I44 V49:V55 H60:H66 U60:U66 I27:I33" xr:uid="{59111F06-23EA-4CCA-B092-9DAF7C342674}">
      <formula1>"全学開講,一部開講"</formula1>
    </dataValidation>
    <dataValidation type="list" allowBlank="1" showInputMessage="1" showErrorMessage="1" sqref="Y16:Z22 Y27:Z33 H27:H33 L38:M44 Y38:Z44 L49:M55 Y49:Z55 Y60:Z66 L60:M66 K60:K61 U16:U22 L16:M22 U27:U33 H38:H44 U38:U44 T60:T66 U49:U55 G60:G66 H49:H55 H16:H22 L27:M33" xr:uid="{378F76B3-322D-4421-A25C-12BB7EB2321D}">
      <formula1>"○"</formula1>
    </dataValidation>
  </dataValidations>
  <hyperlinks>
    <hyperlink ref="B98" r:id="rId1" xr:uid="{05540885-FD01-1649-A892-40AEDF983D7F}"/>
  </hyperlinks>
  <printOptions horizontalCentered="1"/>
  <pageMargins left="0.78740157480314965" right="0.78740157480314965" top="0.59055118110236227" bottom="0.19685039370078741" header="0.31496062992125984" footer="0.19685039370078741"/>
  <pageSetup paperSize="9" scale="98" orientation="landscape" r:id="rId2"/>
  <rowBreaks count="5" manualBreakCount="5">
    <brk id="34" max="25" man="1"/>
    <brk id="67" max="25" man="1"/>
    <brk id="83" max="25" man="1"/>
    <brk id="87" max="25" man="1"/>
    <brk id="100"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U17" sqref="U17"/>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124" t="s">
        <v>63</v>
      </c>
      <c r="G1" s="124"/>
      <c r="H1" s="124"/>
      <c r="I1" s="124"/>
      <c r="J1" s="124"/>
      <c r="K1" s="124"/>
      <c r="L1" s="124"/>
      <c r="M1" s="124"/>
      <c r="N1" s="124"/>
      <c r="O1" s="124"/>
      <c r="P1" s="124"/>
      <c r="Q1" s="124"/>
      <c r="R1" s="124"/>
    </row>
    <row r="2" spans="1:20" ht="18" customHeight="1" x14ac:dyDescent="0.15">
      <c r="A2" s="193" t="s">
        <v>89</v>
      </c>
      <c r="B2" s="193"/>
      <c r="C2" s="193"/>
      <c r="D2" s="193"/>
      <c r="E2" s="193"/>
      <c r="F2" s="193"/>
      <c r="G2" s="193"/>
      <c r="H2" s="193"/>
      <c r="I2" s="193"/>
      <c r="J2" s="193"/>
      <c r="K2" s="193"/>
      <c r="L2" s="193"/>
      <c r="M2" s="193"/>
      <c r="N2" s="193"/>
      <c r="O2" s="193"/>
      <c r="P2" s="193"/>
      <c r="Q2" s="193"/>
      <c r="R2" s="193"/>
    </row>
    <row r="3" spans="1:20" ht="7.5" customHeight="1" x14ac:dyDescent="0.15">
      <c r="A3" s="14"/>
      <c r="B3" s="14"/>
      <c r="C3" s="14"/>
      <c r="D3" s="14"/>
      <c r="E3" s="14"/>
      <c r="F3" s="14"/>
      <c r="G3" s="14"/>
      <c r="H3" s="14"/>
      <c r="I3" s="14"/>
      <c r="J3" s="14"/>
      <c r="K3" s="14"/>
      <c r="L3" s="14"/>
      <c r="M3" s="14"/>
      <c r="N3" s="14"/>
      <c r="O3" s="14"/>
      <c r="P3" s="14"/>
      <c r="Q3" s="14"/>
      <c r="R3" s="14"/>
    </row>
    <row r="4" spans="1:20" ht="18" customHeight="1" x14ac:dyDescent="0.15">
      <c r="A4" s="1" t="s">
        <v>147</v>
      </c>
      <c r="C4" s="218" t="str">
        <f>'様式１　大学等概要'!E12</f>
        <v>令和３</v>
      </c>
      <c r="D4" s="219"/>
      <c r="E4" s="14" t="s">
        <v>113</v>
      </c>
      <c r="F4" s="14"/>
      <c r="G4" s="14"/>
      <c r="H4" s="14"/>
      <c r="I4" s="14"/>
      <c r="J4" s="3"/>
      <c r="K4" s="14"/>
      <c r="L4" s="14"/>
      <c r="M4" s="4"/>
      <c r="N4" s="4"/>
      <c r="O4" s="4"/>
      <c r="P4" s="4"/>
      <c r="Q4" s="4"/>
      <c r="R4" s="4"/>
    </row>
    <row r="5" spans="1:20" ht="6" customHeight="1" x14ac:dyDescent="0.15">
      <c r="A5" s="14"/>
      <c r="B5" s="14"/>
      <c r="C5" s="14"/>
      <c r="D5" s="14"/>
      <c r="E5" s="14"/>
      <c r="F5" s="14"/>
      <c r="G5" s="14"/>
      <c r="H5" s="14"/>
      <c r="I5" s="14"/>
      <c r="J5" s="14"/>
      <c r="K5" s="14"/>
      <c r="L5" s="14"/>
      <c r="M5" s="14"/>
      <c r="N5" s="14"/>
      <c r="O5" s="14"/>
      <c r="P5" s="14"/>
      <c r="Q5" s="14"/>
      <c r="R5" s="14"/>
    </row>
    <row r="6" spans="1:20" ht="18" customHeight="1" x14ac:dyDescent="0.15">
      <c r="A6" s="1" t="s">
        <v>145</v>
      </c>
      <c r="B6" s="14"/>
      <c r="C6" s="14"/>
      <c r="D6" s="14"/>
      <c r="E6" s="14"/>
      <c r="F6" s="14"/>
      <c r="G6" s="14"/>
      <c r="H6" s="14"/>
      <c r="I6" s="14"/>
      <c r="J6" s="14"/>
      <c r="K6" s="14"/>
      <c r="L6" s="14"/>
      <c r="M6" s="14"/>
      <c r="N6" s="14"/>
      <c r="O6" s="14"/>
      <c r="P6" s="14"/>
      <c r="Q6" s="14"/>
      <c r="R6" s="14"/>
    </row>
    <row r="7" spans="1:20" ht="6" customHeight="1" x14ac:dyDescent="0.15">
      <c r="B7" s="14"/>
      <c r="C7" s="14"/>
      <c r="D7" s="14"/>
      <c r="E7" s="14"/>
      <c r="F7" s="14"/>
      <c r="G7" s="14"/>
      <c r="H7" s="14"/>
      <c r="I7" s="14"/>
      <c r="J7" s="14"/>
      <c r="K7" s="14"/>
      <c r="L7" s="14"/>
      <c r="M7" s="14"/>
      <c r="N7" s="14"/>
      <c r="O7" s="14"/>
      <c r="P7" s="14"/>
      <c r="Q7" s="14"/>
      <c r="R7" s="14"/>
    </row>
    <row r="8" spans="1:20" ht="18" customHeight="1" x14ac:dyDescent="0.15">
      <c r="B8" s="220" t="s">
        <v>79</v>
      </c>
      <c r="C8" s="222" t="s">
        <v>84</v>
      </c>
      <c r="D8" s="224" t="s">
        <v>68</v>
      </c>
      <c r="E8" s="226" t="s">
        <v>90</v>
      </c>
      <c r="F8" s="226"/>
      <c r="G8" s="226" t="s">
        <v>91</v>
      </c>
      <c r="H8" s="226"/>
      <c r="I8" s="226" t="s">
        <v>92</v>
      </c>
      <c r="J8" s="226"/>
      <c r="K8" s="164" t="s">
        <v>93</v>
      </c>
      <c r="L8" s="166"/>
      <c r="M8" s="164" t="s">
        <v>94</v>
      </c>
      <c r="N8" s="166"/>
      <c r="O8" s="164" t="s">
        <v>95</v>
      </c>
      <c r="P8" s="166"/>
      <c r="Q8" s="227" t="s">
        <v>62</v>
      </c>
      <c r="R8" s="229" t="s">
        <v>56</v>
      </c>
      <c r="T8" s="46"/>
    </row>
    <row r="9" spans="1:20" ht="18" customHeight="1" x14ac:dyDescent="0.15">
      <c r="B9" s="221"/>
      <c r="C9" s="223"/>
      <c r="D9" s="225"/>
      <c r="E9" s="47" t="s">
        <v>44</v>
      </c>
      <c r="F9" s="48" t="s">
        <v>43</v>
      </c>
      <c r="G9" s="49" t="s">
        <v>44</v>
      </c>
      <c r="H9" s="50" t="s">
        <v>43</v>
      </c>
      <c r="I9" s="47" t="s">
        <v>44</v>
      </c>
      <c r="J9" s="48" t="s">
        <v>43</v>
      </c>
      <c r="K9" s="49" t="s">
        <v>44</v>
      </c>
      <c r="L9" s="50" t="s">
        <v>43</v>
      </c>
      <c r="M9" s="47" t="s">
        <v>44</v>
      </c>
      <c r="N9" s="48" t="s">
        <v>43</v>
      </c>
      <c r="O9" s="49" t="s">
        <v>44</v>
      </c>
      <c r="P9" s="50" t="s">
        <v>43</v>
      </c>
      <c r="Q9" s="228"/>
      <c r="R9" s="230"/>
      <c r="T9" s="46"/>
    </row>
    <row r="10" spans="1:20" ht="18" customHeight="1" x14ac:dyDescent="0.15">
      <c r="A10" s="30"/>
      <c r="B10" s="51" t="s">
        <v>165</v>
      </c>
      <c r="C10" s="30">
        <v>170</v>
      </c>
      <c r="D10" s="52">
        <v>680</v>
      </c>
      <c r="E10" s="53">
        <v>175</v>
      </c>
      <c r="F10" s="54">
        <v>156</v>
      </c>
      <c r="G10" s="55">
        <v>0</v>
      </c>
      <c r="H10" s="56">
        <v>0</v>
      </c>
      <c r="I10" s="55">
        <v>0</v>
      </c>
      <c r="J10" s="56">
        <v>0</v>
      </c>
      <c r="K10" s="55">
        <v>0</v>
      </c>
      <c r="L10" s="56">
        <v>0</v>
      </c>
      <c r="M10" s="55">
        <v>0</v>
      </c>
      <c r="N10" s="57">
        <v>0</v>
      </c>
      <c r="O10" s="58">
        <v>0</v>
      </c>
      <c r="P10" s="59">
        <v>0</v>
      </c>
      <c r="Q10" s="60">
        <f>E10+G10+I10+K10+M10+O10</f>
        <v>175</v>
      </c>
      <c r="R10" s="61">
        <f>Q10/D10</f>
        <v>0.25735294117647056</v>
      </c>
    </row>
    <row r="11" spans="1:20" ht="18" customHeight="1" x14ac:dyDescent="0.15">
      <c r="A11" s="30"/>
      <c r="B11" s="62" t="s">
        <v>166</v>
      </c>
      <c r="C11" s="63">
        <v>264</v>
      </c>
      <c r="D11" s="64">
        <v>1293</v>
      </c>
      <c r="E11" s="53">
        <v>186</v>
      </c>
      <c r="F11" s="54">
        <v>185</v>
      </c>
      <c r="G11" s="53">
        <v>0</v>
      </c>
      <c r="H11" s="54">
        <v>0</v>
      </c>
      <c r="I11" s="53">
        <v>0</v>
      </c>
      <c r="J11" s="54">
        <v>0</v>
      </c>
      <c r="K11" s="53">
        <v>0</v>
      </c>
      <c r="L11" s="54">
        <v>0</v>
      </c>
      <c r="M11" s="53">
        <v>0</v>
      </c>
      <c r="N11" s="54">
        <v>0</v>
      </c>
      <c r="O11" s="65">
        <v>0</v>
      </c>
      <c r="P11" s="66">
        <v>0</v>
      </c>
      <c r="Q11" s="67">
        <f>E11+G11+I11+K11+M11+O11</f>
        <v>186</v>
      </c>
      <c r="R11" s="68">
        <f>Q11/D11</f>
        <v>0.14385150812064965</v>
      </c>
    </row>
    <row r="12" spans="1:20" ht="18" customHeight="1" x14ac:dyDescent="0.15">
      <c r="A12" s="30"/>
      <c r="B12" s="62" t="s">
        <v>167</v>
      </c>
      <c r="C12" s="63">
        <v>450</v>
      </c>
      <c r="D12" s="64">
        <v>1800</v>
      </c>
      <c r="E12" s="53">
        <v>461</v>
      </c>
      <c r="F12" s="54">
        <v>405</v>
      </c>
      <c r="G12" s="53">
        <v>0</v>
      </c>
      <c r="H12" s="54">
        <v>0</v>
      </c>
      <c r="I12" s="53">
        <v>0</v>
      </c>
      <c r="J12" s="54">
        <v>0</v>
      </c>
      <c r="K12" s="53">
        <v>0</v>
      </c>
      <c r="L12" s="54">
        <v>0</v>
      </c>
      <c r="M12" s="53">
        <v>0</v>
      </c>
      <c r="N12" s="54">
        <v>0</v>
      </c>
      <c r="O12" s="65">
        <v>0</v>
      </c>
      <c r="P12" s="66">
        <v>0</v>
      </c>
      <c r="Q12" s="67">
        <f>E12+G12+I12+K12+M12+O12</f>
        <v>461</v>
      </c>
      <c r="R12" s="68">
        <f t="shared" ref="R12:R19" si="0">Q12/D12</f>
        <v>0.25611111111111112</v>
      </c>
    </row>
    <row r="13" spans="1:20" ht="18" customHeight="1" x14ac:dyDescent="0.15">
      <c r="A13" s="30"/>
      <c r="B13" s="69" t="s">
        <v>168</v>
      </c>
      <c r="C13" s="63">
        <v>255</v>
      </c>
      <c r="D13" s="64">
        <v>1090</v>
      </c>
      <c r="E13" s="53">
        <v>255</v>
      </c>
      <c r="F13" s="54">
        <v>230</v>
      </c>
      <c r="G13" s="53">
        <v>0</v>
      </c>
      <c r="H13" s="54">
        <v>0</v>
      </c>
      <c r="I13" s="53">
        <v>0</v>
      </c>
      <c r="J13" s="54">
        <v>0</v>
      </c>
      <c r="K13" s="53">
        <v>0</v>
      </c>
      <c r="L13" s="54">
        <v>0</v>
      </c>
      <c r="M13" s="53">
        <v>0</v>
      </c>
      <c r="N13" s="54">
        <v>0</v>
      </c>
      <c r="O13" s="65">
        <v>0</v>
      </c>
      <c r="P13" s="66">
        <v>0</v>
      </c>
      <c r="Q13" s="67">
        <f t="shared" ref="Q13:Q29" si="1">E13+G13+I13+K13+M13+O13</f>
        <v>255</v>
      </c>
      <c r="R13" s="68">
        <f t="shared" si="0"/>
        <v>0.23394495412844038</v>
      </c>
    </row>
    <row r="14" spans="1:20" ht="18" customHeight="1" x14ac:dyDescent="0.15">
      <c r="A14" s="30"/>
      <c r="B14" s="70"/>
      <c r="C14" s="63"/>
      <c r="D14" s="64"/>
      <c r="E14" s="53"/>
      <c r="F14" s="54"/>
      <c r="G14" s="53"/>
      <c r="H14" s="54"/>
      <c r="I14" s="53"/>
      <c r="J14" s="54"/>
      <c r="K14" s="53"/>
      <c r="L14" s="54"/>
      <c r="M14" s="53"/>
      <c r="N14" s="54"/>
      <c r="O14" s="65"/>
      <c r="P14" s="66"/>
      <c r="Q14" s="67">
        <f>E14+G14+I14+K14+M14+O14</f>
        <v>0</v>
      </c>
      <c r="R14" s="68" t="e">
        <f t="shared" si="0"/>
        <v>#DIV/0!</v>
      </c>
    </row>
    <row r="15" spans="1:20" ht="18" customHeight="1" x14ac:dyDescent="0.15">
      <c r="A15" s="30"/>
      <c r="B15" s="70"/>
      <c r="C15" s="63"/>
      <c r="D15" s="64"/>
      <c r="E15" s="53"/>
      <c r="F15" s="54"/>
      <c r="G15" s="53"/>
      <c r="H15" s="54"/>
      <c r="I15" s="53"/>
      <c r="J15" s="54"/>
      <c r="K15" s="53"/>
      <c r="L15" s="54"/>
      <c r="M15" s="53"/>
      <c r="N15" s="54"/>
      <c r="O15" s="65"/>
      <c r="P15" s="66"/>
      <c r="Q15" s="67">
        <f>E15+G15+I15+K15+M15+O15</f>
        <v>0</v>
      </c>
      <c r="R15" s="68" t="e">
        <f>Q15/D15</f>
        <v>#DIV/0!</v>
      </c>
    </row>
    <row r="16" spans="1:20" ht="18" customHeight="1" x14ac:dyDescent="0.15">
      <c r="A16" s="30"/>
      <c r="B16" s="70"/>
      <c r="C16" s="63"/>
      <c r="D16" s="64"/>
      <c r="E16" s="53"/>
      <c r="F16" s="54"/>
      <c r="G16" s="53"/>
      <c r="H16" s="54"/>
      <c r="I16" s="53"/>
      <c r="J16" s="54"/>
      <c r="K16" s="53"/>
      <c r="L16" s="54"/>
      <c r="M16" s="53"/>
      <c r="N16" s="54"/>
      <c r="O16" s="65"/>
      <c r="P16" s="66"/>
      <c r="Q16" s="67">
        <f>E16+G16+I16+K16+M16+O16</f>
        <v>0</v>
      </c>
      <c r="R16" s="68" t="e">
        <f t="shared" si="0"/>
        <v>#DIV/0!</v>
      </c>
    </row>
    <row r="17" spans="1:18" ht="18" customHeight="1" x14ac:dyDescent="0.15">
      <c r="A17" s="30"/>
      <c r="B17" s="70"/>
      <c r="C17" s="63"/>
      <c r="D17" s="64"/>
      <c r="E17" s="53"/>
      <c r="F17" s="54"/>
      <c r="G17" s="53"/>
      <c r="H17" s="54"/>
      <c r="I17" s="53"/>
      <c r="J17" s="54"/>
      <c r="K17" s="53"/>
      <c r="L17" s="54"/>
      <c r="M17" s="53"/>
      <c r="N17" s="54"/>
      <c r="O17" s="65"/>
      <c r="P17" s="66"/>
      <c r="Q17" s="67">
        <f>E17+G17+I17+K17+M17+O17</f>
        <v>0</v>
      </c>
      <c r="R17" s="68" t="e">
        <f>Q17/D17</f>
        <v>#DIV/0!</v>
      </c>
    </row>
    <row r="18" spans="1:18" ht="18" customHeight="1" x14ac:dyDescent="0.15">
      <c r="A18" s="30"/>
      <c r="B18" s="70"/>
      <c r="C18" s="63"/>
      <c r="D18" s="64"/>
      <c r="E18" s="53"/>
      <c r="F18" s="54"/>
      <c r="G18" s="53"/>
      <c r="H18" s="54"/>
      <c r="I18" s="53"/>
      <c r="J18" s="54"/>
      <c r="K18" s="53"/>
      <c r="L18" s="54"/>
      <c r="M18" s="53"/>
      <c r="N18" s="54"/>
      <c r="O18" s="65"/>
      <c r="P18" s="66"/>
      <c r="Q18" s="67">
        <f>E18+G18+I18+K18+M18+O18</f>
        <v>0</v>
      </c>
      <c r="R18" s="68" t="e">
        <f t="shared" si="0"/>
        <v>#DIV/0!</v>
      </c>
    </row>
    <row r="19" spans="1:18" ht="18" customHeight="1" x14ac:dyDescent="0.15">
      <c r="A19" s="30"/>
      <c r="B19" s="70"/>
      <c r="C19" s="63"/>
      <c r="D19" s="64"/>
      <c r="E19" s="53"/>
      <c r="F19" s="54"/>
      <c r="G19" s="53"/>
      <c r="H19" s="54"/>
      <c r="I19" s="53"/>
      <c r="J19" s="54"/>
      <c r="K19" s="53"/>
      <c r="L19" s="54"/>
      <c r="M19" s="53"/>
      <c r="N19" s="54"/>
      <c r="O19" s="65"/>
      <c r="P19" s="66"/>
      <c r="Q19" s="67">
        <f t="shared" si="1"/>
        <v>0</v>
      </c>
      <c r="R19" s="68" t="e">
        <f t="shared" si="0"/>
        <v>#DIV/0!</v>
      </c>
    </row>
    <row r="20" spans="1:18" ht="18" customHeight="1" x14ac:dyDescent="0.15">
      <c r="A20" s="30"/>
      <c r="B20" s="62"/>
      <c r="C20" s="63"/>
      <c r="D20" s="64"/>
      <c r="E20" s="53"/>
      <c r="F20" s="54"/>
      <c r="G20" s="65"/>
      <c r="H20" s="66"/>
      <c r="I20" s="53"/>
      <c r="J20" s="54"/>
      <c r="K20" s="65"/>
      <c r="L20" s="66"/>
      <c r="M20" s="53"/>
      <c r="N20" s="54"/>
      <c r="O20" s="65"/>
      <c r="P20" s="66"/>
      <c r="Q20" s="67">
        <f t="shared" si="1"/>
        <v>0</v>
      </c>
      <c r="R20" s="71" t="e">
        <f t="shared" ref="R20:R29" si="2">Q20/D20</f>
        <v>#DIV/0!</v>
      </c>
    </row>
    <row r="21" spans="1:18" ht="18" customHeight="1" x14ac:dyDescent="0.15">
      <c r="A21" s="30"/>
      <c r="B21" s="62"/>
      <c r="C21" s="63"/>
      <c r="D21" s="64"/>
      <c r="E21" s="53"/>
      <c r="F21" s="54"/>
      <c r="G21" s="65"/>
      <c r="H21" s="66"/>
      <c r="I21" s="53"/>
      <c r="J21" s="54"/>
      <c r="K21" s="65"/>
      <c r="L21" s="66"/>
      <c r="M21" s="53"/>
      <c r="N21" s="54"/>
      <c r="O21" s="65"/>
      <c r="P21" s="66"/>
      <c r="Q21" s="67">
        <f t="shared" si="1"/>
        <v>0</v>
      </c>
      <c r="R21" s="71" t="e">
        <f t="shared" si="2"/>
        <v>#DIV/0!</v>
      </c>
    </row>
    <row r="22" spans="1:18" ht="18" customHeight="1" x14ac:dyDescent="0.15">
      <c r="A22" s="30"/>
      <c r="B22" s="62"/>
      <c r="C22" s="63"/>
      <c r="D22" s="64"/>
      <c r="E22" s="53"/>
      <c r="F22" s="54"/>
      <c r="G22" s="65"/>
      <c r="H22" s="66"/>
      <c r="I22" s="53"/>
      <c r="J22" s="54"/>
      <c r="K22" s="65"/>
      <c r="L22" s="66"/>
      <c r="M22" s="53"/>
      <c r="N22" s="54"/>
      <c r="O22" s="65"/>
      <c r="P22" s="66"/>
      <c r="Q22" s="67">
        <f t="shared" si="1"/>
        <v>0</v>
      </c>
      <c r="R22" s="71" t="e">
        <f t="shared" si="2"/>
        <v>#DIV/0!</v>
      </c>
    </row>
    <row r="23" spans="1:18" ht="18" customHeight="1" x14ac:dyDescent="0.15">
      <c r="A23" s="30"/>
      <c r="B23" s="62"/>
      <c r="C23" s="63"/>
      <c r="D23" s="64"/>
      <c r="E23" s="53"/>
      <c r="F23" s="54"/>
      <c r="G23" s="65"/>
      <c r="H23" s="66"/>
      <c r="I23" s="53"/>
      <c r="J23" s="54"/>
      <c r="K23" s="65"/>
      <c r="L23" s="66"/>
      <c r="M23" s="53"/>
      <c r="N23" s="54"/>
      <c r="O23" s="65"/>
      <c r="P23" s="66"/>
      <c r="Q23" s="67">
        <f t="shared" si="1"/>
        <v>0</v>
      </c>
      <c r="R23" s="71" t="e">
        <f t="shared" si="2"/>
        <v>#DIV/0!</v>
      </c>
    </row>
    <row r="24" spans="1:18" ht="18" customHeight="1" x14ac:dyDescent="0.15">
      <c r="A24" s="30"/>
      <c r="B24" s="62"/>
      <c r="C24" s="63"/>
      <c r="D24" s="64"/>
      <c r="E24" s="53"/>
      <c r="F24" s="54"/>
      <c r="G24" s="65"/>
      <c r="H24" s="66"/>
      <c r="I24" s="53"/>
      <c r="J24" s="54"/>
      <c r="K24" s="65"/>
      <c r="L24" s="66"/>
      <c r="M24" s="53"/>
      <c r="N24" s="54"/>
      <c r="O24" s="65"/>
      <c r="P24" s="66"/>
      <c r="Q24" s="67">
        <f t="shared" si="1"/>
        <v>0</v>
      </c>
      <c r="R24" s="71" t="e">
        <f t="shared" si="2"/>
        <v>#DIV/0!</v>
      </c>
    </row>
    <row r="25" spans="1:18" ht="18" customHeight="1" x14ac:dyDescent="0.15">
      <c r="A25" s="30"/>
      <c r="B25" s="62"/>
      <c r="C25" s="63"/>
      <c r="D25" s="64"/>
      <c r="E25" s="53"/>
      <c r="F25" s="54"/>
      <c r="G25" s="65"/>
      <c r="H25" s="66"/>
      <c r="I25" s="53"/>
      <c r="J25" s="54"/>
      <c r="K25" s="65"/>
      <c r="L25" s="66"/>
      <c r="M25" s="53"/>
      <c r="N25" s="54"/>
      <c r="O25" s="65"/>
      <c r="P25" s="66"/>
      <c r="Q25" s="67">
        <f t="shared" si="1"/>
        <v>0</v>
      </c>
      <c r="R25" s="71" t="e">
        <f t="shared" si="2"/>
        <v>#DIV/0!</v>
      </c>
    </row>
    <row r="26" spans="1:18" ht="18" customHeight="1" x14ac:dyDescent="0.15">
      <c r="A26" s="30"/>
      <c r="B26" s="62"/>
      <c r="C26" s="63"/>
      <c r="D26" s="64"/>
      <c r="E26" s="53"/>
      <c r="F26" s="54"/>
      <c r="G26" s="65"/>
      <c r="H26" s="66"/>
      <c r="I26" s="53"/>
      <c r="J26" s="54"/>
      <c r="K26" s="65"/>
      <c r="L26" s="66"/>
      <c r="M26" s="53"/>
      <c r="N26" s="54"/>
      <c r="O26" s="65"/>
      <c r="P26" s="66"/>
      <c r="Q26" s="67">
        <f t="shared" si="1"/>
        <v>0</v>
      </c>
      <c r="R26" s="71" t="e">
        <f t="shared" si="2"/>
        <v>#DIV/0!</v>
      </c>
    </row>
    <row r="27" spans="1:18" ht="18" customHeight="1" x14ac:dyDescent="0.15">
      <c r="A27" s="30"/>
      <c r="B27" s="62"/>
      <c r="C27" s="72"/>
      <c r="D27" s="64"/>
      <c r="E27" s="53"/>
      <c r="F27" s="54"/>
      <c r="G27" s="65"/>
      <c r="H27" s="66"/>
      <c r="I27" s="53"/>
      <c r="J27" s="54"/>
      <c r="K27" s="65"/>
      <c r="L27" s="66"/>
      <c r="M27" s="53"/>
      <c r="N27" s="54"/>
      <c r="O27" s="65"/>
      <c r="P27" s="66"/>
      <c r="Q27" s="67">
        <f t="shared" si="1"/>
        <v>0</v>
      </c>
      <c r="R27" s="71" t="e">
        <f t="shared" si="2"/>
        <v>#DIV/0!</v>
      </c>
    </row>
    <row r="28" spans="1:18" ht="18" customHeight="1" x14ac:dyDescent="0.15">
      <c r="A28" s="30"/>
      <c r="B28" s="62"/>
      <c r="C28" s="72"/>
      <c r="D28" s="64"/>
      <c r="E28" s="53"/>
      <c r="F28" s="54"/>
      <c r="G28" s="65"/>
      <c r="H28" s="66"/>
      <c r="I28" s="53"/>
      <c r="J28" s="54"/>
      <c r="K28" s="65"/>
      <c r="L28" s="66"/>
      <c r="M28" s="53"/>
      <c r="N28" s="54"/>
      <c r="O28" s="65"/>
      <c r="P28" s="66"/>
      <c r="Q28" s="67">
        <f t="shared" si="1"/>
        <v>0</v>
      </c>
      <c r="R28" s="71" t="e">
        <f t="shared" si="2"/>
        <v>#DIV/0!</v>
      </c>
    </row>
    <row r="29" spans="1:18" ht="18" customHeight="1" thickBot="1" x14ac:dyDescent="0.2">
      <c r="A29" s="30"/>
      <c r="B29" s="73"/>
      <c r="C29" s="19"/>
      <c r="D29" s="52"/>
      <c r="E29" s="55"/>
      <c r="F29" s="57"/>
      <c r="G29" s="58"/>
      <c r="H29" s="59"/>
      <c r="I29" s="55"/>
      <c r="J29" s="57"/>
      <c r="K29" s="58"/>
      <c r="L29" s="59"/>
      <c r="M29" s="55"/>
      <c r="N29" s="57"/>
      <c r="O29" s="58"/>
      <c r="P29" s="59"/>
      <c r="Q29" s="74">
        <f t="shared" si="1"/>
        <v>0</v>
      </c>
      <c r="R29" s="61" t="e">
        <f t="shared" si="2"/>
        <v>#DIV/0!</v>
      </c>
    </row>
    <row r="30" spans="1:18" ht="18" customHeight="1" thickTop="1" x14ac:dyDescent="0.15">
      <c r="B30" s="75" t="s">
        <v>57</v>
      </c>
      <c r="C30" s="76">
        <f t="shared" ref="C30:Q30" si="3">SUM(C10:C29)</f>
        <v>1139</v>
      </c>
      <c r="D30" s="77">
        <f t="shared" si="3"/>
        <v>4863</v>
      </c>
      <c r="E30" s="78">
        <f t="shared" si="3"/>
        <v>1077</v>
      </c>
      <c r="F30" s="79">
        <f t="shared" si="3"/>
        <v>976</v>
      </c>
      <c r="G30" s="80">
        <f t="shared" si="3"/>
        <v>0</v>
      </c>
      <c r="H30" s="81">
        <f t="shared" si="3"/>
        <v>0</v>
      </c>
      <c r="I30" s="78">
        <f t="shared" si="3"/>
        <v>0</v>
      </c>
      <c r="J30" s="79">
        <f t="shared" si="3"/>
        <v>0</v>
      </c>
      <c r="K30" s="80">
        <f t="shared" si="3"/>
        <v>0</v>
      </c>
      <c r="L30" s="81">
        <f t="shared" si="3"/>
        <v>0</v>
      </c>
      <c r="M30" s="78">
        <f t="shared" si="3"/>
        <v>0</v>
      </c>
      <c r="N30" s="79">
        <f t="shared" si="3"/>
        <v>0</v>
      </c>
      <c r="O30" s="80">
        <f t="shared" si="3"/>
        <v>0</v>
      </c>
      <c r="P30" s="81">
        <f t="shared" si="3"/>
        <v>0</v>
      </c>
      <c r="Q30" s="82">
        <f t="shared" si="3"/>
        <v>1077</v>
      </c>
      <c r="R30" s="83">
        <f>Q30/D30</f>
        <v>0.22146822948797038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heetViews>
  <sheetFormatPr defaultColWidth="11.375" defaultRowHeight="18.75" customHeight="1" x14ac:dyDescent="0.15"/>
  <cols>
    <col min="1" max="1" width="2.625" style="84"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6384" width="11.375" style="1"/>
  </cols>
  <sheetData>
    <row r="1" spans="1:11" ht="18.75" customHeight="1" x14ac:dyDescent="0.15">
      <c r="A1" s="84" t="s">
        <v>114</v>
      </c>
      <c r="J1" s="85" t="s">
        <v>115</v>
      </c>
    </row>
    <row r="2" spans="1:11" ht="18.75" customHeight="1" x14ac:dyDescent="0.15">
      <c r="A2" s="193" t="s">
        <v>64</v>
      </c>
      <c r="B2" s="193"/>
      <c r="C2" s="193"/>
      <c r="D2" s="193"/>
      <c r="E2" s="193"/>
      <c r="F2" s="193"/>
      <c r="G2" s="193"/>
      <c r="H2" s="193"/>
      <c r="I2" s="193"/>
      <c r="J2" s="193"/>
    </row>
    <row r="3" spans="1:11" ht="7.5" customHeight="1" x14ac:dyDescent="0.15">
      <c r="B3" s="14"/>
      <c r="C3" s="14"/>
      <c r="D3" s="14"/>
      <c r="E3" s="14"/>
      <c r="F3" s="14"/>
      <c r="G3" s="14"/>
      <c r="H3" s="14"/>
      <c r="I3" s="14"/>
      <c r="J3" s="14"/>
    </row>
    <row r="4" spans="1:11" ht="18.75" customHeight="1" x14ac:dyDescent="0.15">
      <c r="A4" s="1" t="s">
        <v>6</v>
      </c>
      <c r="B4" s="1" t="s">
        <v>72</v>
      </c>
      <c r="I4" s="14"/>
      <c r="J4" s="14"/>
    </row>
    <row r="5" spans="1:11" ht="18.75" customHeight="1" x14ac:dyDescent="0.15">
      <c r="A5" s="1"/>
      <c r="B5" s="137" t="s">
        <v>182</v>
      </c>
      <c r="C5" s="138"/>
      <c r="D5" s="138"/>
      <c r="E5" s="138"/>
      <c r="F5" s="138"/>
      <c r="G5" s="138"/>
      <c r="H5" s="138"/>
      <c r="I5" s="138"/>
      <c r="J5" s="177"/>
      <c r="K5" s="1" t="str">
        <f>IF(B5="","入力してください","")</f>
        <v/>
      </c>
    </row>
    <row r="6" spans="1:11" ht="7.5" customHeight="1" x14ac:dyDescent="0.15">
      <c r="B6" s="14"/>
      <c r="C6" s="14"/>
      <c r="D6" s="14"/>
      <c r="E6" s="14"/>
      <c r="F6" s="14"/>
      <c r="G6" s="14"/>
      <c r="H6" s="14"/>
      <c r="I6" s="14"/>
      <c r="J6" s="14"/>
    </row>
    <row r="7" spans="1:11" ht="18.75" customHeight="1" x14ac:dyDescent="0.15">
      <c r="A7" s="1" t="s">
        <v>9</v>
      </c>
      <c r="B7" s="1" t="s">
        <v>39</v>
      </c>
      <c r="K7" s="2"/>
    </row>
    <row r="8" spans="1:11" ht="18.75" customHeight="1" x14ac:dyDescent="0.15">
      <c r="A8" s="31"/>
      <c r="B8" s="231" t="s">
        <v>189</v>
      </c>
      <c r="C8" s="232"/>
      <c r="D8" s="232"/>
      <c r="E8" s="232"/>
      <c r="F8" s="232"/>
      <c r="G8" s="232"/>
      <c r="H8" s="232"/>
      <c r="I8" s="240"/>
      <c r="J8" s="241"/>
      <c r="K8" s="1" t="str">
        <f>IF(B8="","入力してください","")</f>
        <v/>
      </c>
    </row>
    <row r="9" spans="1:11" ht="18.75" customHeight="1" x14ac:dyDescent="0.15">
      <c r="A9" s="31"/>
      <c r="B9" s="242"/>
      <c r="C9" s="243"/>
      <c r="D9" s="243"/>
      <c r="E9" s="243"/>
      <c r="F9" s="243"/>
      <c r="G9" s="243"/>
      <c r="H9" s="243"/>
      <c r="I9" s="243"/>
      <c r="J9" s="244"/>
    </row>
    <row r="10" spans="1:11" ht="18.75" customHeight="1" x14ac:dyDescent="0.15">
      <c r="A10" s="31"/>
      <c r="B10" s="242"/>
      <c r="C10" s="243"/>
      <c r="D10" s="243"/>
      <c r="E10" s="243"/>
      <c r="F10" s="243"/>
      <c r="G10" s="243"/>
      <c r="H10" s="243"/>
      <c r="I10" s="243"/>
      <c r="J10" s="244"/>
    </row>
    <row r="11" spans="1:11" ht="18.75" customHeight="1" x14ac:dyDescent="0.15">
      <c r="A11" s="31"/>
      <c r="B11" s="242"/>
      <c r="C11" s="243"/>
      <c r="D11" s="243"/>
      <c r="E11" s="243"/>
      <c r="F11" s="243"/>
      <c r="G11" s="243"/>
      <c r="H11" s="243"/>
      <c r="I11" s="243"/>
      <c r="J11" s="244"/>
    </row>
    <row r="12" spans="1:11" ht="18.75" customHeight="1" x14ac:dyDescent="0.15">
      <c r="A12" s="31"/>
      <c r="B12" s="245"/>
      <c r="C12" s="246"/>
      <c r="D12" s="246"/>
      <c r="E12" s="246"/>
      <c r="F12" s="246"/>
      <c r="G12" s="246"/>
      <c r="H12" s="246"/>
      <c r="I12" s="246"/>
      <c r="J12" s="247"/>
    </row>
    <row r="13" spans="1:11" ht="7.5" customHeight="1" x14ac:dyDescent="0.15">
      <c r="A13" s="31"/>
      <c r="B13" s="31"/>
      <c r="C13" s="31"/>
      <c r="D13" s="31"/>
      <c r="E13" s="31"/>
      <c r="F13" s="31"/>
      <c r="G13" s="31"/>
      <c r="H13" s="31"/>
      <c r="I13" s="31"/>
      <c r="J13" s="31"/>
    </row>
    <row r="14" spans="1:11" ht="18.75" customHeight="1" x14ac:dyDescent="0.15">
      <c r="A14" s="86" t="s">
        <v>10</v>
      </c>
      <c r="B14" s="86" t="s">
        <v>15</v>
      </c>
      <c r="C14" s="86"/>
      <c r="D14" s="86"/>
      <c r="E14" s="86"/>
      <c r="F14" s="86"/>
      <c r="G14" s="86"/>
      <c r="H14" s="86"/>
      <c r="I14" s="86"/>
      <c r="J14" s="86"/>
    </row>
    <row r="15" spans="1:11" ht="18.75" customHeight="1" x14ac:dyDescent="0.15">
      <c r="A15" s="31"/>
      <c r="B15" s="231" t="s">
        <v>212</v>
      </c>
      <c r="C15" s="232"/>
      <c r="D15" s="232"/>
      <c r="E15" s="232"/>
      <c r="F15" s="232"/>
      <c r="G15" s="232"/>
      <c r="H15" s="232"/>
      <c r="I15" s="240"/>
      <c r="J15" s="241"/>
      <c r="K15" s="1" t="str">
        <f>IF(B15="","入力してください","")</f>
        <v/>
      </c>
    </row>
    <row r="16" spans="1:11" ht="18.75" customHeight="1" x14ac:dyDescent="0.15">
      <c r="A16" s="31"/>
      <c r="B16" s="242"/>
      <c r="C16" s="243"/>
      <c r="D16" s="243"/>
      <c r="E16" s="243"/>
      <c r="F16" s="243"/>
      <c r="G16" s="243"/>
      <c r="H16" s="243"/>
      <c r="I16" s="243"/>
      <c r="J16" s="244"/>
    </row>
    <row r="17" spans="1:11" ht="18.75" customHeight="1" x14ac:dyDescent="0.15">
      <c r="A17" s="31"/>
      <c r="B17" s="242"/>
      <c r="C17" s="243"/>
      <c r="D17" s="243"/>
      <c r="E17" s="243"/>
      <c r="F17" s="243"/>
      <c r="G17" s="243"/>
      <c r="H17" s="243"/>
      <c r="I17" s="243"/>
      <c r="J17" s="244"/>
    </row>
    <row r="18" spans="1:11" ht="18.75" customHeight="1" x14ac:dyDescent="0.15">
      <c r="A18" s="31"/>
      <c r="B18" s="242"/>
      <c r="C18" s="243"/>
      <c r="D18" s="243"/>
      <c r="E18" s="243"/>
      <c r="F18" s="243"/>
      <c r="G18" s="243"/>
      <c r="H18" s="243"/>
      <c r="I18" s="243"/>
      <c r="J18" s="244"/>
    </row>
    <row r="19" spans="1:11" ht="18.75" customHeight="1" x14ac:dyDescent="0.15">
      <c r="A19" s="31"/>
      <c r="B19" s="242"/>
      <c r="C19" s="243"/>
      <c r="D19" s="243"/>
      <c r="E19" s="243"/>
      <c r="F19" s="243"/>
      <c r="G19" s="243"/>
      <c r="H19" s="243"/>
      <c r="I19" s="243"/>
      <c r="J19" s="244"/>
    </row>
    <row r="20" spans="1:11" ht="18.75" customHeight="1" x14ac:dyDescent="0.15">
      <c r="A20" s="31"/>
      <c r="B20" s="242"/>
      <c r="C20" s="243"/>
      <c r="D20" s="243"/>
      <c r="E20" s="243"/>
      <c r="F20" s="243"/>
      <c r="G20" s="243"/>
      <c r="H20" s="243"/>
      <c r="I20" s="243"/>
      <c r="J20" s="244"/>
    </row>
    <row r="21" spans="1:11" ht="18.75" customHeight="1" x14ac:dyDescent="0.15">
      <c r="A21" s="31"/>
      <c r="B21" s="242"/>
      <c r="C21" s="243"/>
      <c r="D21" s="243"/>
      <c r="E21" s="243"/>
      <c r="F21" s="243"/>
      <c r="G21" s="243"/>
      <c r="H21" s="243"/>
      <c r="I21" s="243"/>
      <c r="J21" s="244"/>
    </row>
    <row r="22" spans="1:11" ht="18.75" customHeight="1" x14ac:dyDescent="0.15">
      <c r="A22" s="31"/>
      <c r="B22" s="242"/>
      <c r="C22" s="243"/>
      <c r="D22" s="243"/>
      <c r="E22" s="243"/>
      <c r="F22" s="243"/>
      <c r="G22" s="243"/>
      <c r="H22" s="243"/>
      <c r="I22" s="243"/>
      <c r="J22" s="244"/>
    </row>
    <row r="23" spans="1:11" ht="18.75" customHeight="1" x14ac:dyDescent="0.15">
      <c r="A23" s="31"/>
      <c r="B23" s="242"/>
      <c r="C23" s="243"/>
      <c r="D23" s="243"/>
      <c r="E23" s="243"/>
      <c r="F23" s="243"/>
      <c r="G23" s="243"/>
      <c r="H23" s="243"/>
      <c r="I23" s="243"/>
      <c r="J23" s="244"/>
    </row>
    <row r="24" spans="1:11" ht="18.75" customHeight="1" x14ac:dyDescent="0.15">
      <c r="A24" s="31"/>
      <c r="B24" s="242"/>
      <c r="C24" s="243"/>
      <c r="D24" s="243"/>
      <c r="E24" s="243"/>
      <c r="F24" s="243"/>
      <c r="G24" s="243"/>
      <c r="H24" s="243"/>
      <c r="I24" s="243"/>
      <c r="J24" s="244"/>
    </row>
    <row r="25" spans="1:11" ht="18.75" customHeight="1" x14ac:dyDescent="0.15">
      <c r="A25" s="31"/>
      <c r="B25" s="245"/>
      <c r="C25" s="246"/>
      <c r="D25" s="246"/>
      <c r="E25" s="246"/>
      <c r="F25" s="246"/>
      <c r="G25" s="246"/>
      <c r="H25" s="246"/>
      <c r="I25" s="246"/>
      <c r="J25" s="247"/>
    </row>
    <row r="26" spans="1:11" ht="7.5" customHeight="1" x14ac:dyDescent="0.15">
      <c r="A26" s="87"/>
      <c r="B26" s="87"/>
      <c r="C26" s="87"/>
      <c r="D26" s="87"/>
      <c r="E26" s="87"/>
      <c r="F26" s="87"/>
      <c r="G26" s="87"/>
      <c r="H26" s="87"/>
      <c r="I26" s="87"/>
      <c r="J26" s="87"/>
    </row>
    <row r="27" spans="1:11" ht="18.75" customHeight="1" x14ac:dyDescent="0.15">
      <c r="A27" s="1" t="s">
        <v>13</v>
      </c>
      <c r="B27" s="1" t="s">
        <v>26</v>
      </c>
    </row>
    <row r="28" spans="1:11" s="14" customFormat="1" ht="18.75" customHeight="1" x14ac:dyDescent="0.15">
      <c r="B28" s="88" t="s">
        <v>116</v>
      </c>
      <c r="C28" s="89">
        <f>'様式３　履修者等数の実績'!R30</f>
        <v>0.22146822948797038</v>
      </c>
      <c r="D28" s="90"/>
      <c r="E28" s="90" t="s">
        <v>117</v>
      </c>
      <c r="F28" s="89">
        <v>0.46</v>
      </c>
      <c r="G28" s="90"/>
      <c r="H28" s="90" t="s">
        <v>118</v>
      </c>
      <c r="I28" s="91">
        <v>0.7</v>
      </c>
      <c r="J28" s="92"/>
      <c r="K28" s="1"/>
    </row>
    <row r="29" spans="1:11" s="14" customFormat="1" ht="18.75" customHeight="1" x14ac:dyDescent="0.15">
      <c r="B29" s="93" t="s">
        <v>119</v>
      </c>
      <c r="C29" s="94">
        <v>0.94</v>
      </c>
      <c r="D29" s="95"/>
      <c r="E29" s="95" t="s">
        <v>120</v>
      </c>
      <c r="F29" s="94">
        <v>0.98</v>
      </c>
      <c r="G29" s="95"/>
      <c r="H29" s="95" t="s">
        <v>121</v>
      </c>
      <c r="I29" s="96">
        <f>'様式３　履修者等数の実績'!D30</f>
        <v>4863</v>
      </c>
      <c r="J29" s="97"/>
      <c r="K29" s="2"/>
    </row>
    <row r="30" spans="1:11" ht="18.75" customHeight="1" x14ac:dyDescent="0.15">
      <c r="A30" s="1"/>
      <c r="B30" s="181" t="s">
        <v>122</v>
      </c>
      <c r="C30" s="182"/>
      <c r="D30" s="182"/>
      <c r="E30" s="182"/>
      <c r="F30" s="182"/>
      <c r="G30" s="182"/>
      <c r="H30" s="182"/>
      <c r="I30" s="182"/>
      <c r="J30" s="183"/>
      <c r="K30" s="2"/>
    </row>
    <row r="31" spans="1:11" ht="18.75" customHeight="1" x14ac:dyDescent="0.15">
      <c r="A31" s="1"/>
      <c r="B31" s="249" t="s">
        <v>190</v>
      </c>
      <c r="C31" s="250"/>
      <c r="D31" s="250"/>
      <c r="E31" s="250"/>
      <c r="F31" s="250"/>
      <c r="G31" s="250"/>
      <c r="H31" s="250"/>
      <c r="I31" s="250"/>
      <c r="J31" s="251"/>
      <c r="K31" s="2" t="str">
        <f>IF(B31="","入力してください","")</f>
        <v/>
      </c>
    </row>
    <row r="32" spans="1:11" ht="18.75" customHeight="1" x14ac:dyDescent="0.15">
      <c r="A32" s="1"/>
      <c r="B32" s="252"/>
      <c r="C32" s="253"/>
      <c r="D32" s="253"/>
      <c r="E32" s="253"/>
      <c r="F32" s="253"/>
      <c r="G32" s="253"/>
      <c r="H32" s="253"/>
      <c r="I32" s="253"/>
      <c r="J32" s="254"/>
      <c r="K32" s="2"/>
    </row>
    <row r="33" spans="1:11" ht="18.75" customHeight="1" x14ac:dyDescent="0.15">
      <c r="A33" s="1"/>
      <c r="B33" s="252"/>
      <c r="C33" s="253"/>
      <c r="D33" s="253"/>
      <c r="E33" s="253"/>
      <c r="F33" s="253"/>
      <c r="G33" s="253"/>
      <c r="H33" s="253"/>
      <c r="I33" s="253"/>
      <c r="J33" s="254"/>
      <c r="K33" s="2"/>
    </row>
    <row r="34" spans="1:11" ht="18.75" customHeight="1" x14ac:dyDescent="0.15">
      <c r="A34" s="1"/>
      <c r="B34" s="252"/>
      <c r="C34" s="253"/>
      <c r="D34" s="253"/>
      <c r="E34" s="253"/>
      <c r="F34" s="253"/>
      <c r="G34" s="253"/>
      <c r="H34" s="253"/>
      <c r="I34" s="253"/>
      <c r="J34" s="254"/>
      <c r="K34" s="2"/>
    </row>
    <row r="35" spans="1:11" ht="18.75" customHeight="1" x14ac:dyDescent="0.15">
      <c r="A35" s="1"/>
      <c r="B35" s="252"/>
      <c r="C35" s="253"/>
      <c r="D35" s="253"/>
      <c r="E35" s="253"/>
      <c r="F35" s="253"/>
      <c r="G35" s="253"/>
      <c r="H35" s="253"/>
      <c r="I35" s="253"/>
      <c r="J35" s="254"/>
      <c r="K35" s="2"/>
    </row>
    <row r="36" spans="1:11" ht="18.75" customHeight="1" x14ac:dyDescent="0.15">
      <c r="A36" s="1"/>
      <c r="B36" s="252"/>
      <c r="C36" s="253"/>
      <c r="D36" s="253"/>
      <c r="E36" s="253"/>
      <c r="F36" s="253"/>
      <c r="G36" s="253"/>
      <c r="H36" s="253"/>
      <c r="I36" s="253"/>
      <c r="J36" s="254"/>
      <c r="K36" s="2"/>
    </row>
    <row r="37" spans="1:11" ht="18.75" customHeight="1" x14ac:dyDescent="0.15">
      <c r="A37" s="1"/>
      <c r="B37" s="252"/>
      <c r="C37" s="253"/>
      <c r="D37" s="253"/>
      <c r="E37" s="253"/>
      <c r="F37" s="253"/>
      <c r="G37" s="253"/>
      <c r="H37" s="253"/>
      <c r="I37" s="253"/>
      <c r="J37" s="254"/>
      <c r="K37" s="2"/>
    </row>
    <row r="38" spans="1:11" ht="18.75" customHeight="1" x14ac:dyDescent="0.15">
      <c r="A38" s="1"/>
      <c r="B38" s="252"/>
      <c r="C38" s="253"/>
      <c r="D38" s="253"/>
      <c r="E38" s="253"/>
      <c r="F38" s="253"/>
      <c r="G38" s="253"/>
      <c r="H38" s="253"/>
      <c r="I38" s="253"/>
      <c r="J38" s="254"/>
      <c r="K38" s="2"/>
    </row>
    <row r="39" spans="1:11" ht="18.75" customHeight="1" x14ac:dyDescent="0.15">
      <c r="A39" s="1"/>
      <c r="B39" s="252"/>
      <c r="C39" s="253"/>
      <c r="D39" s="253"/>
      <c r="E39" s="253"/>
      <c r="F39" s="253"/>
      <c r="G39" s="253"/>
      <c r="H39" s="253"/>
      <c r="I39" s="253"/>
      <c r="J39" s="254"/>
      <c r="K39" s="2"/>
    </row>
    <row r="40" spans="1:11" ht="18.75" customHeight="1" x14ac:dyDescent="0.15">
      <c r="A40" s="1"/>
      <c r="B40" s="252"/>
      <c r="C40" s="253"/>
      <c r="D40" s="253"/>
      <c r="E40" s="253"/>
      <c r="F40" s="253"/>
      <c r="G40" s="253"/>
      <c r="H40" s="253"/>
      <c r="I40" s="253"/>
      <c r="J40" s="254"/>
      <c r="K40" s="2"/>
    </row>
    <row r="41" spans="1:11" ht="18.75" customHeight="1" x14ac:dyDescent="0.15">
      <c r="A41" s="1"/>
      <c r="B41" s="252"/>
      <c r="C41" s="253"/>
      <c r="D41" s="253"/>
      <c r="E41" s="253"/>
      <c r="F41" s="253"/>
      <c r="G41" s="253"/>
      <c r="H41" s="253"/>
      <c r="I41" s="253"/>
      <c r="J41" s="254"/>
      <c r="K41" s="2"/>
    </row>
    <row r="42" spans="1:11" ht="18.75" customHeight="1" x14ac:dyDescent="0.15">
      <c r="A42" s="1"/>
      <c r="B42" s="252"/>
      <c r="C42" s="253"/>
      <c r="D42" s="253"/>
      <c r="E42" s="253"/>
      <c r="F42" s="253"/>
      <c r="G42" s="253"/>
      <c r="H42" s="253"/>
      <c r="I42" s="253"/>
      <c r="J42" s="254"/>
      <c r="K42" s="2"/>
    </row>
    <row r="43" spans="1:11" ht="18.75" customHeight="1" x14ac:dyDescent="0.15">
      <c r="A43" s="87"/>
      <c r="B43" s="252"/>
      <c r="C43" s="253"/>
      <c r="D43" s="253"/>
      <c r="E43" s="253"/>
      <c r="F43" s="253"/>
      <c r="G43" s="253"/>
      <c r="H43" s="253"/>
      <c r="I43" s="253"/>
      <c r="J43" s="254"/>
      <c r="K43" s="2"/>
    </row>
    <row r="44" spans="1:11" ht="18.75" customHeight="1" x14ac:dyDescent="0.15">
      <c r="A44" s="87"/>
      <c r="B44" s="255"/>
      <c r="C44" s="256"/>
      <c r="D44" s="256"/>
      <c r="E44" s="256"/>
      <c r="F44" s="256"/>
      <c r="G44" s="256"/>
      <c r="H44" s="256"/>
      <c r="I44" s="256"/>
      <c r="J44" s="257"/>
    </row>
    <row r="45" spans="1:11" ht="18.75" customHeight="1" x14ac:dyDescent="0.15">
      <c r="A45" s="86" t="s">
        <v>11</v>
      </c>
      <c r="B45" s="1" t="s">
        <v>65</v>
      </c>
      <c r="I45" s="86"/>
      <c r="J45" s="86"/>
    </row>
    <row r="46" spans="1:11" ht="18.75" customHeight="1" x14ac:dyDescent="0.15">
      <c r="A46" s="87"/>
      <c r="B46" s="231" t="s">
        <v>213</v>
      </c>
      <c r="C46" s="232"/>
      <c r="D46" s="232"/>
      <c r="E46" s="232"/>
      <c r="F46" s="232"/>
      <c r="G46" s="232"/>
      <c r="H46" s="232"/>
      <c r="I46" s="232"/>
      <c r="J46" s="233"/>
      <c r="K46" s="1" t="str">
        <f>IF(B46="","入力してください","")</f>
        <v/>
      </c>
    </row>
    <row r="47" spans="1:11" ht="18.75" customHeight="1" x14ac:dyDescent="0.15">
      <c r="A47" s="87"/>
      <c r="B47" s="234"/>
      <c r="C47" s="235"/>
      <c r="D47" s="235"/>
      <c r="E47" s="235"/>
      <c r="F47" s="235"/>
      <c r="G47" s="235"/>
      <c r="H47" s="235"/>
      <c r="I47" s="235"/>
      <c r="J47" s="236"/>
    </row>
    <row r="48" spans="1:11" ht="18.75" customHeight="1" x14ac:dyDescent="0.15">
      <c r="A48" s="87"/>
      <c r="B48" s="234"/>
      <c r="C48" s="235"/>
      <c r="D48" s="235"/>
      <c r="E48" s="235"/>
      <c r="F48" s="235"/>
      <c r="G48" s="235"/>
      <c r="H48" s="235"/>
      <c r="I48" s="235"/>
      <c r="J48" s="236"/>
    </row>
    <row r="49" spans="1:10" ht="18.75" customHeight="1" x14ac:dyDescent="0.15">
      <c r="A49" s="87"/>
      <c r="B49" s="234"/>
      <c r="C49" s="235"/>
      <c r="D49" s="235"/>
      <c r="E49" s="235"/>
      <c r="F49" s="235"/>
      <c r="G49" s="235"/>
      <c r="H49" s="235"/>
      <c r="I49" s="235"/>
      <c r="J49" s="236"/>
    </row>
    <row r="50" spans="1:10" ht="18.75" customHeight="1" x14ac:dyDescent="0.15">
      <c r="A50" s="87"/>
      <c r="B50" s="234"/>
      <c r="C50" s="235"/>
      <c r="D50" s="235"/>
      <c r="E50" s="235"/>
      <c r="F50" s="235"/>
      <c r="G50" s="235"/>
      <c r="H50" s="235"/>
      <c r="I50" s="235"/>
      <c r="J50" s="236"/>
    </row>
    <row r="51" spans="1:10" ht="18.75" customHeight="1" x14ac:dyDescent="0.15">
      <c r="A51" s="87"/>
      <c r="B51" s="234"/>
      <c r="C51" s="235"/>
      <c r="D51" s="235"/>
      <c r="E51" s="235"/>
      <c r="F51" s="235"/>
      <c r="G51" s="235"/>
      <c r="H51" s="235"/>
      <c r="I51" s="235"/>
      <c r="J51" s="236"/>
    </row>
    <row r="52" spans="1:10" ht="18.75" customHeight="1" x14ac:dyDescent="0.15">
      <c r="A52" s="87"/>
      <c r="B52" s="234"/>
      <c r="C52" s="235"/>
      <c r="D52" s="235"/>
      <c r="E52" s="235"/>
      <c r="F52" s="235"/>
      <c r="G52" s="235"/>
      <c r="H52" s="235"/>
      <c r="I52" s="235"/>
      <c r="J52" s="236"/>
    </row>
    <row r="53" spans="1:10" ht="18.75" customHeight="1" x14ac:dyDescent="0.15">
      <c r="A53" s="87"/>
      <c r="B53" s="234"/>
      <c r="C53" s="235"/>
      <c r="D53" s="235"/>
      <c r="E53" s="235"/>
      <c r="F53" s="235"/>
      <c r="G53" s="235"/>
      <c r="H53" s="235"/>
      <c r="I53" s="235"/>
      <c r="J53" s="236"/>
    </row>
    <row r="54" spans="1:10" ht="18.75" customHeight="1" x14ac:dyDescent="0.15">
      <c r="A54" s="87"/>
      <c r="B54" s="234"/>
      <c r="C54" s="235"/>
      <c r="D54" s="235"/>
      <c r="E54" s="235"/>
      <c r="F54" s="235"/>
      <c r="G54" s="235"/>
      <c r="H54" s="235"/>
      <c r="I54" s="235"/>
      <c r="J54" s="236"/>
    </row>
    <row r="55" spans="1:10" ht="18.75" customHeight="1" x14ac:dyDescent="0.15">
      <c r="A55" s="87"/>
      <c r="B55" s="234"/>
      <c r="C55" s="235"/>
      <c r="D55" s="235"/>
      <c r="E55" s="235"/>
      <c r="F55" s="235"/>
      <c r="G55" s="235"/>
      <c r="H55" s="235"/>
      <c r="I55" s="235"/>
      <c r="J55" s="236"/>
    </row>
    <row r="56" spans="1:10" ht="18.75" customHeight="1" x14ac:dyDescent="0.15">
      <c r="A56" s="87"/>
      <c r="B56" s="234"/>
      <c r="C56" s="235"/>
      <c r="D56" s="235"/>
      <c r="E56" s="235"/>
      <c r="F56" s="235"/>
      <c r="G56" s="235"/>
      <c r="H56" s="235"/>
      <c r="I56" s="235"/>
      <c r="J56" s="236"/>
    </row>
    <row r="57" spans="1:10" ht="18.75" customHeight="1" x14ac:dyDescent="0.15">
      <c r="A57" s="87"/>
      <c r="B57" s="234"/>
      <c r="C57" s="235"/>
      <c r="D57" s="235"/>
      <c r="E57" s="235"/>
      <c r="F57" s="235"/>
      <c r="G57" s="235"/>
      <c r="H57" s="235"/>
      <c r="I57" s="235"/>
      <c r="J57" s="236"/>
    </row>
    <row r="58" spans="1:10" ht="18.75" customHeight="1" x14ac:dyDescent="0.15">
      <c r="A58" s="87"/>
      <c r="B58" s="234"/>
      <c r="C58" s="235"/>
      <c r="D58" s="235"/>
      <c r="E58" s="235"/>
      <c r="F58" s="235"/>
      <c r="G58" s="235"/>
      <c r="H58" s="235"/>
      <c r="I58" s="235"/>
      <c r="J58" s="236"/>
    </row>
    <row r="59" spans="1:10" ht="18.75" customHeight="1" x14ac:dyDescent="0.15">
      <c r="A59" s="87"/>
      <c r="B59" s="234"/>
      <c r="C59" s="235"/>
      <c r="D59" s="235"/>
      <c r="E59" s="235"/>
      <c r="F59" s="235"/>
      <c r="G59" s="235"/>
      <c r="H59" s="235"/>
      <c r="I59" s="235"/>
      <c r="J59" s="236"/>
    </row>
    <row r="60" spans="1:10" ht="18.75" customHeight="1" x14ac:dyDescent="0.15">
      <c r="A60" s="87"/>
      <c r="B60" s="234"/>
      <c r="C60" s="235"/>
      <c r="D60" s="235"/>
      <c r="E60" s="235"/>
      <c r="F60" s="235"/>
      <c r="G60" s="235"/>
      <c r="H60" s="235"/>
      <c r="I60" s="235"/>
      <c r="J60" s="236"/>
    </row>
    <row r="61" spans="1:10" ht="18.75" customHeight="1" x14ac:dyDescent="0.15">
      <c r="A61" s="87"/>
      <c r="B61" s="234"/>
      <c r="C61" s="235"/>
      <c r="D61" s="235"/>
      <c r="E61" s="235"/>
      <c r="F61" s="235"/>
      <c r="G61" s="235"/>
      <c r="H61" s="235"/>
      <c r="I61" s="235"/>
      <c r="J61" s="236"/>
    </row>
    <row r="62" spans="1:10" ht="18.75" customHeight="1" x14ac:dyDescent="0.15">
      <c r="A62" s="87"/>
      <c r="B62" s="234"/>
      <c r="C62" s="235"/>
      <c r="D62" s="235"/>
      <c r="E62" s="235"/>
      <c r="F62" s="235"/>
      <c r="G62" s="235"/>
      <c r="H62" s="235"/>
      <c r="I62" s="235"/>
      <c r="J62" s="236"/>
    </row>
    <row r="63" spans="1:10" ht="18.75" customHeight="1" x14ac:dyDescent="0.15">
      <c r="A63" s="87"/>
      <c r="B63" s="234"/>
      <c r="C63" s="235"/>
      <c r="D63" s="235"/>
      <c r="E63" s="235"/>
      <c r="F63" s="235"/>
      <c r="G63" s="235"/>
      <c r="H63" s="235"/>
      <c r="I63" s="235"/>
      <c r="J63" s="236"/>
    </row>
    <row r="64" spans="1:10" ht="18.75" customHeight="1" x14ac:dyDescent="0.15">
      <c r="A64" s="87"/>
      <c r="B64" s="234"/>
      <c r="C64" s="235"/>
      <c r="D64" s="235"/>
      <c r="E64" s="235"/>
      <c r="F64" s="235"/>
      <c r="G64" s="235"/>
      <c r="H64" s="235"/>
      <c r="I64" s="235"/>
      <c r="J64" s="236"/>
    </row>
    <row r="65" spans="1:11" ht="18.75" customHeight="1" x14ac:dyDescent="0.15">
      <c r="A65" s="87"/>
      <c r="B65" s="234"/>
      <c r="C65" s="235"/>
      <c r="D65" s="235"/>
      <c r="E65" s="235"/>
      <c r="F65" s="235"/>
      <c r="G65" s="235"/>
      <c r="H65" s="235"/>
      <c r="I65" s="235"/>
      <c r="J65" s="236"/>
    </row>
    <row r="66" spans="1:11" ht="18.75" customHeight="1" x14ac:dyDescent="0.15">
      <c r="A66" s="87"/>
      <c r="B66" s="237"/>
      <c r="C66" s="238"/>
      <c r="D66" s="238"/>
      <c r="E66" s="238"/>
      <c r="F66" s="238"/>
      <c r="G66" s="238"/>
      <c r="H66" s="238"/>
      <c r="I66" s="238"/>
      <c r="J66" s="239"/>
    </row>
    <row r="67" spans="1:11" ht="7.5" customHeight="1" x14ac:dyDescent="0.15">
      <c r="A67" s="87"/>
      <c r="B67" s="87"/>
      <c r="C67" s="87"/>
      <c r="D67" s="87"/>
      <c r="E67" s="87"/>
      <c r="F67" s="87"/>
      <c r="G67" s="87"/>
      <c r="H67" s="87"/>
      <c r="I67" s="87"/>
      <c r="J67" s="87"/>
    </row>
    <row r="68" spans="1:11" ht="18.75" customHeight="1" x14ac:dyDescent="0.15">
      <c r="A68" s="1" t="s">
        <v>14</v>
      </c>
      <c r="B68" s="1" t="s">
        <v>71</v>
      </c>
    </row>
    <row r="69" spans="1:11" ht="18.75" customHeight="1" x14ac:dyDescent="0.15">
      <c r="A69" s="1"/>
      <c r="B69" s="231" t="s">
        <v>218</v>
      </c>
      <c r="C69" s="232"/>
      <c r="D69" s="232"/>
      <c r="E69" s="232"/>
      <c r="F69" s="232"/>
      <c r="G69" s="232"/>
      <c r="H69" s="232"/>
      <c r="I69" s="240"/>
      <c r="J69" s="241"/>
      <c r="K69" s="2" t="str">
        <f>IF(B69="","入力してください","")</f>
        <v/>
      </c>
    </row>
    <row r="70" spans="1:11" ht="18.75" customHeight="1" x14ac:dyDescent="0.15">
      <c r="A70" s="1"/>
      <c r="B70" s="242"/>
      <c r="C70" s="243"/>
      <c r="D70" s="243"/>
      <c r="E70" s="243"/>
      <c r="F70" s="243"/>
      <c r="G70" s="243"/>
      <c r="H70" s="243"/>
      <c r="I70" s="243"/>
      <c r="J70" s="244"/>
      <c r="K70" s="2"/>
    </row>
    <row r="71" spans="1:11" ht="18.75" customHeight="1" x14ac:dyDescent="0.15">
      <c r="A71" s="1"/>
      <c r="B71" s="242"/>
      <c r="C71" s="243"/>
      <c r="D71" s="243"/>
      <c r="E71" s="243"/>
      <c r="F71" s="243"/>
      <c r="G71" s="243"/>
      <c r="H71" s="243"/>
      <c r="I71" s="243"/>
      <c r="J71" s="244"/>
      <c r="K71" s="2"/>
    </row>
    <row r="72" spans="1:11" ht="18.75" customHeight="1" x14ac:dyDescent="0.15">
      <c r="A72" s="1"/>
      <c r="B72" s="242"/>
      <c r="C72" s="243"/>
      <c r="D72" s="243"/>
      <c r="E72" s="243"/>
      <c r="F72" s="243"/>
      <c r="G72" s="243"/>
      <c r="H72" s="243"/>
      <c r="I72" s="243"/>
      <c r="J72" s="244"/>
      <c r="K72" s="2"/>
    </row>
    <row r="73" spans="1:11" ht="18.75" customHeight="1" x14ac:dyDescent="0.15">
      <c r="A73" s="1"/>
      <c r="B73" s="242"/>
      <c r="C73" s="243"/>
      <c r="D73" s="243"/>
      <c r="E73" s="243"/>
      <c r="F73" s="243"/>
      <c r="G73" s="243"/>
      <c r="H73" s="243"/>
      <c r="I73" s="243"/>
      <c r="J73" s="244"/>
      <c r="K73" s="2"/>
    </row>
    <row r="74" spans="1:11" ht="18.75" customHeight="1" x14ac:dyDescent="0.15">
      <c r="A74" s="1"/>
      <c r="B74" s="242"/>
      <c r="C74" s="243"/>
      <c r="D74" s="243"/>
      <c r="E74" s="243"/>
      <c r="F74" s="243"/>
      <c r="G74" s="243"/>
      <c r="H74" s="243"/>
      <c r="I74" s="243"/>
      <c r="J74" s="244"/>
      <c r="K74" s="2"/>
    </row>
    <row r="75" spans="1:11" ht="18.75" customHeight="1" x14ac:dyDescent="0.15">
      <c r="A75" s="1"/>
      <c r="B75" s="242"/>
      <c r="C75" s="243"/>
      <c r="D75" s="243"/>
      <c r="E75" s="243"/>
      <c r="F75" s="243"/>
      <c r="G75" s="243"/>
      <c r="H75" s="243"/>
      <c r="I75" s="243"/>
      <c r="J75" s="244"/>
      <c r="K75" s="2"/>
    </row>
    <row r="76" spans="1:11" ht="18.75" customHeight="1" x14ac:dyDescent="0.15">
      <c r="A76" s="1"/>
      <c r="B76" s="242"/>
      <c r="C76" s="243"/>
      <c r="D76" s="243"/>
      <c r="E76" s="243"/>
      <c r="F76" s="243"/>
      <c r="G76" s="243"/>
      <c r="H76" s="243"/>
      <c r="I76" s="243"/>
      <c r="J76" s="244"/>
      <c r="K76" s="2"/>
    </row>
    <row r="77" spans="1:11" ht="18.75" customHeight="1" x14ac:dyDescent="0.15">
      <c r="A77" s="1"/>
      <c r="B77" s="242"/>
      <c r="C77" s="243"/>
      <c r="D77" s="243"/>
      <c r="E77" s="243"/>
      <c r="F77" s="243"/>
      <c r="G77" s="243"/>
      <c r="H77" s="243"/>
      <c r="I77" s="243"/>
      <c r="J77" s="244"/>
      <c r="K77" s="2"/>
    </row>
    <row r="78" spans="1:11" ht="18.75" customHeight="1" x14ac:dyDescent="0.15">
      <c r="A78" s="1"/>
      <c r="B78" s="242"/>
      <c r="C78" s="243"/>
      <c r="D78" s="243"/>
      <c r="E78" s="243"/>
      <c r="F78" s="243"/>
      <c r="G78" s="243"/>
      <c r="H78" s="243"/>
      <c r="I78" s="243"/>
      <c r="J78" s="244"/>
      <c r="K78" s="2"/>
    </row>
    <row r="79" spans="1:11" ht="18.75" customHeight="1" x14ac:dyDescent="0.15">
      <c r="A79" s="1"/>
      <c r="B79" s="242"/>
      <c r="C79" s="243"/>
      <c r="D79" s="243"/>
      <c r="E79" s="243"/>
      <c r="F79" s="243"/>
      <c r="G79" s="243"/>
      <c r="H79" s="243"/>
      <c r="I79" s="243"/>
      <c r="J79" s="244"/>
      <c r="K79" s="2"/>
    </row>
    <row r="80" spans="1:11" ht="18.75" customHeight="1" x14ac:dyDescent="0.15">
      <c r="A80" s="1"/>
      <c r="B80" s="242"/>
      <c r="C80" s="243"/>
      <c r="D80" s="243"/>
      <c r="E80" s="243"/>
      <c r="F80" s="243"/>
      <c r="G80" s="243"/>
      <c r="H80" s="243"/>
      <c r="I80" s="243"/>
      <c r="J80" s="244"/>
      <c r="K80" s="2"/>
    </row>
    <row r="81" spans="1:11" ht="18.75" customHeight="1" x14ac:dyDescent="0.15">
      <c r="A81" s="1"/>
      <c r="B81" s="242"/>
      <c r="C81" s="243"/>
      <c r="D81" s="243"/>
      <c r="E81" s="243"/>
      <c r="F81" s="243"/>
      <c r="G81" s="243"/>
      <c r="H81" s="243"/>
      <c r="I81" s="243"/>
      <c r="J81" s="244"/>
      <c r="K81" s="2"/>
    </row>
    <row r="82" spans="1:11" ht="18.75" customHeight="1" x14ac:dyDescent="0.15">
      <c r="A82" s="1"/>
      <c r="B82" s="242"/>
      <c r="C82" s="243"/>
      <c r="D82" s="243"/>
      <c r="E82" s="243"/>
      <c r="F82" s="243"/>
      <c r="G82" s="243"/>
      <c r="H82" s="243"/>
      <c r="I82" s="243"/>
      <c r="J82" s="244"/>
      <c r="K82" s="2"/>
    </row>
    <row r="83" spans="1:11" ht="18.75" customHeight="1" x14ac:dyDescent="0.15">
      <c r="A83" s="1"/>
      <c r="B83" s="242"/>
      <c r="C83" s="243"/>
      <c r="D83" s="243"/>
      <c r="E83" s="243"/>
      <c r="F83" s="243"/>
      <c r="G83" s="243"/>
      <c r="H83" s="243"/>
      <c r="I83" s="243"/>
      <c r="J83" s="244"/>
      <c r="K83" s="2"/>
    </row>
    <row r="84" spans="1:11" ht="18.75" customHeight="1" x14ac:dyDescent="0.15">
      <c r="A84" s="1"/>
      <c r="B84" s="242"/>
      <c r="C84" s="243"/>
      <c r="D84" s="243"/>
      <c r="E84" s="243"/>
      <c r="F84" s="243"/>
      <c r="G84" s="243"/>
      <c r="H84" s="243"/>
      <c r="I84" s="243"/>
      <c r="J84" s="244"/>
      <c r="K84" s="2"/>
    </row>
    <row r="85" spans="1:11" ht="18.75" customHeight="1" x14ac:dyDescent="0.15">
      <c r="A85" s="87"/>
      <c r="B85" s="242"/>
      <c r="C85" s="243"/>
      <c r="D85" s="243"/>
      <c r="E85" s="243"/>
      <c r="F85" s="243"/>
      <c r="G85" s="243"/>
      <c r="H85" s="243"/>
      <c r="I85" s="243"/>
      <c r="J85" s="244"/>
      <c r="K85" s="2"/>
    </row>
    <row r="86" spans="1:11" ht="18.75" customHeight="1" x14ac:dyDescent="0.15">
      <c r="A86" s="87"/>
      <c r="B86" s="245"/>
      <c r="C86" s="246"/>
      <c r="D86" s="246"/>
      <c r="E86" s="246"/>
      <c r="F86" s="246"/>
      <c r="G86" s="246"/>
      <c r="H86" s="246"/>
      <c r="I86" s="246"/>
      <c r="J86" s="247"/>
      <c r="K86" s="2"/>
    </row>
    <row r="87" spans="1:11" ht="7.5" customHeight="1" x14ac:dyDescent="0.15">
      <c r="A87" s="87"/>
      <c r="B87" s="87"/>
      <c r="C87" s="87"/>
      <c r="D87" s="87"/>
      <c r="E87" s="87"/>
      <c r="F87" s="87"/>
      <c r="G87" s="87"/>
      <c r="H87" s="87"/>
      <c r="I87" s="87"/>
      <c r="J87" s="87"/>
    </row>
    <row r="88" spans="1:11" ht="18.75" customHeight="1" x14ac:dyDescent="0.15">
      <c r="A88" s="1" t="s">
        <v>12</v>
      </c>
      <c r="B88" s="1" t="s">
        <v>27</v>
      </c>
    </row>
    <row r="89" spans="1:11" ht="18.75" customHeight="1" x14ac:dyDescent="0.15">
      <c r="A89" s="1"/>
      <c r="B89" s="231" t="s">
        <v>214</v>
      </c>
      <c r="C89" s="232"/>
      <c r="D89" s="232"/>
      <c r="E89" s="232"/>
      <c r="F89" s="232"/>
      <c r="G89" s="232"/>
      <c r="H89" s="232"/>
      <c r="I89" s="240"/>
      <c r="J89" s="241"/>
    </row>
    <row r="90" spans="1:11" ht="18.75" customHeight="1" x14ac:dyDescent="0.15">
      <c r="A90" s="1"/>
      <c r="B90" s="242"/>
      <c r="C90" s="243"/>
      <c r="D90" s="243"/>
      <c r="E90" s="243"/>
      <c r="F90" s="243"/>
      <c r="G90" s="243"/>
      <c r="H90" s="243"/>
      <c r="I90" s="243"/>
      <c r="J90" s="244"/>
      <c r="K90" s="2"/>
    </row>
    <row r="91" spans="1:11" ht="18.75" customHeight="1" x14ac:dyDescent="0.15">
      <c r="A91" s="1"/>
      <c r="B91" s="242"/>
      <c r="C91" s="243"/>
      <c r="D91" s="243"/>
      <c r="E91" s="243"/>
      <c r="F91" s="243"/>
      <c r="G91" s="243"/>
      <c r="H91" s="243"/>
      <c r="I91" s="243"/>
      <c r="J91" s="244"/>
      <c r="K91" s="2" t="str">
        <f>IF(B89="","入力してください","")</f>
        <v/>
      </c>
    </row>
    <row r="92" spans="1:11" ht="18.75" customHeight="1" x14ac:dyDescent="0.15">
      <c r="A92" s="1"/>
      <c r="B92" s="242"/>
      <c r="C92" s="243"/>
      <c r="D92" s="243"/>
      <c r="E92" s="243"/>
      <c r="F92" s="243"/>
      <c r="G92" s="243"/>
      <c r="H92" s="243"/>
      <c r="I92" s="243"/>
      <c r="J92" s="244"/>
      <c r="K92" s="2"/>
    </row>
    <row r="93" spans="1:11" ht="18.75" customHeight="1" x14ac:dyDescent="0.15">
      <c r="A93" s="1"/>
      <c r="B93" s="242"/>
      <c r="C93" s="243"/>
      <c r="D93" s="243"/>
      <c r="E93" s="243"/>
      <c r="F93" s="243"/>
      <c r="G93" s="243"/>
      <c r="H93" s="243"/>
      <c r="I93" s="243"/>
      <c r="J93" s="244"/>
      <c r="K93" s="2"/>
    </row>
    <row r="94" spans="1:11" ht="18.75" customHeight="1" x14ac:dyDescent="0.15">
      <c r="A94" s="1"/>
      <c r="B94" s="242"/>
      <c r="C94" s="243"/>
      <c r="D94" s="243"/>
      <c r="E94" s="243"/>
      <c r="F94" s="243"/>
      <c r="G94" s="243"/>
      <c r="H94" s="243"/>
      <c r="I94" s="243"/>
      <c r="J94" s="244"/>
      <c r="K94" s="2"/>
    </row>
    <row r="95" spans="1:11" ht="18.75" customHeight="1" x14ac:dyDescent="0.15">
      <c r="A95" s="1"/>
      <c r="B95" s="242"/>
      <c r="C95" s="243"/>
      <c r="D95" s="243"/>
      <c r="E95" s="243"/>
      <c r="F95" s="243"/>
      <c r="G95" s="243"/>
      <c r="H95" s="243"/>
      <c r="I95" s="243"/>
      <c r="J95" s="244"/>
      <c r="K95" s="2"/>
    </row>
    <row r="96" spans="1:11" ht="18.75" customHeight="1" x14ac:dyDescent="0.15">
      <c r="A96" s="1"/>
      <c r="B96" s="242"/>
      <c r="C96" s="243"/>
      <c r="D96" s="243"/>
      <c r="E96" s="243"/>
      <c r="F96" s="243"/>
      <c r="G96" s="243"/>
      <c r="H96" s="243"/>
      <c r="I96" s="243"/>
      <c r="J96" s="244"/>
      <c r="K96" s="2"/>
    </row>
    <row r="97" spans="1:11" ht="18.75" customHeight="1" x14ac:dyDescent="0.15">
      <c r="A97" s="1"/>
      <c r="B97" s="242"/>
      <c r="C97" s="243"/>
      <c r="D97" s="243"/>
      <c r="E97" s="243"/>
      <c r="F97" s="243"/>
      <c r="G97" s="243"/>
      <c r="H97" s="243"/>
      <c r="I97" s="243"/>
      <c r="J97" s="244"/>
      <c r="K97" s="2"/>
    </row>
    <row r="98" spans="1:11" ht="18.75" customHeight="1" x14ac:dyDescent="0.15">
      <c r="A98" s="1"/>
      <c r="B98" s="242"/>
      <c r="C98" s="243"/>
      <c r="D98" s="243"/>
      <c r="E98" s="243"/>
      <c r="F98" s="243"/>
      <c r="G98" s="243"/>
      <c r="H98" s="243"/>
      <c r="I98" s="243"/>
      <c r="J98" s="244"/>
      <c r="K98" s="2"/>
    </row>
    <row r="99" spans="1:11" ht="18.75" customHeight="1" x14ac:dyDescent="0.15">
      <c r="A99" s="1"/>
      <c r="B99" s="242"/>
      <c r="C99" s="243"/>
      <c r="D99" s="243"/>
      <c r="E99" s="243"/>
      <c r="F99" s="243"/>
      <c r="G99" s="243"/>
      <c r="H99" s="243"/>
      <c r="I99" s="243"/>
      <c r="J99" s="244"/>
      <c r="K99" s="2"/>
    </row>
    <row r="100" spans="1:11" ht="18.75" customHeight="1" x14ac:dyDescent="0.15">
      <c r="A100" s="1"/>
      <c r="B100" s="242"/>
      <c r="C100" s="243"/>
      <c r="D100" s="243"/>
      <c r="E100" s="243"/>
      <c r="F100" s="243"/>
      <c r="G100" s="243"/>
      <c r="H100" s="243"/>
      <c r="I100" s="243"/>
      <c r="J100" s="244"/>
      <c r="K100" s="2"/>
    </row>
    <row r="101" spans="1:11" ht="18.75" customHeight="1" x14ac:dyDescent="0.15">
      <c r="A101" s="1"/>
      <c r="B101" s="242"/>
      <c r="C101" s="243"/>
      <c r="D101" s="243"/>
      <c r="E101" s="243"/>
      <c r="F101" s="243"/>
      <c r="G101" s="243"/>
      <c r="H101" s="243"/>
      <c r="I101" s="243"/>
      <c r="J101" s="244"/>
      <c r="K101" s="2"/>
    </row>
    <row r="102" spans="1:11" ht="18.75" customHeight="1" x14ac:dyDescent="0.15">
      <c r="A102" s="1"/>
      <c r="B102" s="242"/>
      <c r="C102" s="243"/>
      <c r="D102" s="243"/>
      <c r="E102" s="243"/>
      <c r="F102" s="243"/>
      <c r="G102" s="243"/>
      <c r="H102" s="243"/>
      <c r="I102" s="243"/>
      <c r="J102" s="244"/>
      <c r="K102" s="2"/>
    </row>
    <row r="103" spans="1:11" ht="18.75" customHeight="1" x14ac:dyDescent="0.15">
      <c r="A103" s="1"/>
      <c r="B103" s="242"/>
      <c r="C103" s="243"/>
      <c r="D103" s="243"/>
      <c r="E103" s="243"/>
      <c r="F103" s="243"/>
      <c r="G103" s="243"/>
      <c r="H103" s="243"/>
      <c r="I103" s="243"/>
      <c r="J103" s="244"/>
      <c r="K103" s="2"/>
    </row>
    <row r="104" spans="1:11" ht="18.75" customHeight="1" x14ac:dyDescent="0.15">
      <c r="A104" s="1"/>
      <c r="B104" s="242"/>
      <c r="C104" s="243"/>
      <c r="D104" s="243"/>
      <c r="E104" s="243"/>
      <c r="F104" s="243"/>
      <c r="G104" s="243"/>
      <c r="H104" s="243"/>
      <c r="I104" s="243"/>
      <c r="J104" s="244"/>
      <c r="K104" s="2"/>
    </row>
    <row r="105" spans="1:11" ht="18.75" customHeight="1" x14ac:dyDescent="0.15">
      <c r="A105" s="1"/>
      <c r="B105" s="242"/>
      <c r="C105" s="243"/>
      <c r="D105" s="243"/>
      <c r="E105" s="243"/>
      <c r="F105" s="243"/>
      <c r="G105" s="243"/>
      <c r="H105" s="243"/>
      <c r="I105" s="243"/>
      <c r="J105" s="244"/>
      <c r="K105" s="2"/>
    </row>
    <row r="106" spans="1:11" ht="18.75" customHeight="1" x14ac:dyDescent="0.15">
      <c r="A106" s="1"/>
      <c r="B106" s="242"/>
      <c r="C106" s="243"/>
      <c r="D106" s="243"/>
      <c r="E106" s="243"/>
      <c r="F106" s="243"/>
      <c r="G106" s="243"/>
      <c r="H106" s="243"/>
      <c r="I106" s="243"/>
      <c r="J106" s="244"/>
      <c r="K106" s="2"/>
    </row>
    <row r="107" spans="1:11" ht="18.75" customHeight="1" x14ac:dyDescent="0.15">
      <c r="A107" s="87"/>
      <c r="B107" s="242"/>
      <c r="C107" s="243"/>
      <c r="D107" s="243"/>
      <c r="E107" s="243"/>
      <c r="F107" s="243"/>
      <c r="G107" s="243"/>
      <c r="H107" s="243"/>
      <c r="I107" s="243"/>
      <c r="J107" s="244"/>
      <c r="K107" s="2"/>
    </row>
    <row r="108" spans="1:11" ht="18.75" customHeight="1" x14ac:dyDescent="0.15">
      <c r="A108" s="87"/>
      <c r="B108" s="245"/>
      <c r="C108" s="246"/>
      <c r="D108" s="246"/>
      <c r="E108" s="246"/>
      <c r="F108" s="246"/>
      <c r="G108" s="246"/>
      <c r="H108" s="246"/>
      <c r="I108" s="246"/>
      <c r="J108" s="247"/>
      <c r="K108" s="2"/>
    </row>
    <row r="109" spans="1:11" ht="7.5" customHeight="1" x14ac:dyDescent="0.15">
      <c r="A109" s="87"/>
      <c r="B109" s="87"/>
      <c r="C109" s="87"/>
      <c r="D109" s="87"/>
      <c r="E109" s="87"/>
      <c r="F109" s="87"/>
      <c r="G109" s="87"/>
      <c r="H109" s="87"/>
      <c r="I109" s="87"/>
      <c r="J109" s="87"/>
    </row>
    <row r="110" spans="1:11" ht="18.75" customHeight="1" x14ac:dyDescent="0.15">
      <c r="A110" s="1" t="s">
        <v>53</v>
      </c>
      <c r="B110" s="248" t="s">
        <v>82</v>
      </c>
      <c r="C110" s="248"/>
      <c r="D110" s="248"/>
      <c r="E110" s="248"/>
      <c r="F110" s="248"/>
      <c r="G110" s="248"/>
      <c r="H110" s="248"/>
      <c r="I110" s="248"/>
      <c r="J110" s="248"/>
    </row>
    <row r="111" spans="1:11" ht="18.75" customHeight="1" x14ac:dyDescent="0.15">
      <c r="A111" s="87"/>
      <c r="B111" s="231" t="s">
        <v>164</v>
      </c>
      <c r="C111" s="232"/>
      <c r="D111" s="232"/>
      <c r="E111" s="232"/>
      <c r="F111" s="232"/>
      <c r="G111" s="232"/>
      <c r="H111" s="232"/>
      <c r="I111" s="240"/>
      <c r="J111" s="241"/>
    </row>
    <row r="112" spans="1:11" ht="18.75" customHeight="1" x14ac:dyDescent="0.15">
      <c r="A112" s="87"/>
      <c r="B112" s="242"/>
      <c r="C112" s="243"/>
      <c r="D112" s="243"/>
      <c r="E112" s="243"/>
      <c r="F112" s="243"/>
      <c r="G112" s="243"/>
      <c r="H112" s="243"/>
      <c r="I112" s="243"/>
      <c r="J112" s="244"/>
      <c r="K112" s="2"/>
    </row>
    <row r="113" spans="1:11" ht="18.75" customHeight="1" x14ac:dyDescent="0.15">
      <c r="A113" s="87"/>
      <c r="B113" s="242"/>
      <c r="C113" s="243"/>
      <c r="D113" s="243"/>
      <c r="E113" s="243"/>
      <c r="F113" s="243"/>
      <c r="G113" s="243"/>
      <c r="H113" s="243"/>
      <c r="I113" s="243"/>
      <c r="J113" s="244"/>
      <c r="K113" s="1" t="str">
        <f>IF(B111="","入力してください","")</f>
        <v/>
      </c>
    </row>
    <row r="114" spans="1:11" ht="18.75" customHeight="1" x14ac:dyDescent="0.15">
      <c r="A114" s="87"/>
      <c r="B114" s="242"/>
      <c r="C114" s="243"/>
      <c r="D114" s="243"/>
      <c r="E114" s="243"/>
      <c r="F114" s="243"/>
      <c r="G114" s="243"/>
      <c r="H114" s="243"/>
      <c r="I114" s="243"/>
      <c r="J114" s="244"/>
    </row>
    <row r="115" spans="1:11" ht="18.75" customHeight="1" x14ac:dyDescent="0.15">
      <c r="A115" s="87"/>
      <c r="B115" s="242"/>
      <c r="C115" s="243"/>
      <c r="D115" s="243"/>
      <c r="E115" s="243"/>
      <c r="F115" s="243"/>
      <c r="G115" s="243"/>
      <c r="H115" s="243"/>
      <c r="I115" s="243"/>
      <c r="J115" s="244"/>
    </row>
    <row r="116" spans="1:11" ht="18.75" customHeight="1" x14ac:dyDescent="0.15">
      <c r="A116" s="87"/>
      <c r="B116" s="242"/>
      <c r="C116" s="243"/>
      <c r="D116" s="243"/>
      <c r="E116" s="243"/>
      <c r="F116" s="243"/>
      <c r="G116" s="243"/>
      <c r="H116" s="243"/>
      <c r="I116" s="243"/>
      <c r="J116" s="244"/>
    </row>
    <row r="117" spans="1:11" ht="18.75" customHeight="1" x14ac:dyDescent="0.15">
      <c r="A117" s="87"/>
      <c r="B117" s="242"/>
      <c r="C117" s="243"/>
      <c r="D117" s="243"/>
      <c r="E117" s="243"/>
      <c r="F117" s="243"/>
      <c r="G117" s="243"/>
      <c r="H117" s="243"/>
      <c r="I117" s="243"/>
      <c r="J117" s="244"/>
    </row>
    <row r="118" spans="1:11" ht="18.75" customHeight="1" x14ac:dyDescent="0.15">
      <c r="A118" s="87"/>
      <c r="B118" s="242"/>
      <c r="C118" s="243"/>
      <c r="D118" s="243"/>
      <c r="E118" s="243"/>
      <c r="F118" s="243"/>
      <c r="G118" s="243"/>
      <c r="H118" s="243"/>
      <c r="I118" s="243"/>
      <c r="J118" s="244"/>
    </row>
    <row r="119" spans="1:11" ht="18.75" customHeight="1" x14ac:dyDescent="0.15">
      <c r="A119" s="87"/>
      <c r="B119" s="242"/>
      <c r="C119" s="243"/>
      <c r="D119" s="243"/>
      <c r="E119" s="243"/>
      <c r="F119" s="243"/>
      <c r="G119" s="243"/>
      <c r="H119" s="243"/>
      <c r="I119" s="243"/>
      <c r="J119" s="244"/>
    </row>
    <row r="120" spans="1:11" ht="18.75" customHeight="1" x14ac:dyDescent="0.15">
      <c r="A120" s="87"/>
      <c r="B120" s="242"/>
      <c r="C120" s="243"/>
      <c r="D120" s="243"/>
      <c r="E120" s="243"/>
      <c r="F120" s="243"/>
      <c r="G120" s="243"/>
      <c r="H120" s="243"/>
      <c r="I120" s="243"/>
      <c r="J120" s="244"/>
    </row>
    <row r="121" spans="1:11" ht="18.75" customHeight="1" x14ac:dyDescent="0.15">
      <c r="A121" s="87"/>
      <c r="B121" s="242"/>
      <c r="C121" s="243"/>
      <c r="D121" s="243"/>
      <c r="E121" s="243"/>
      <c r="F121" s="243"/>
      <c r="G121" s="243"/>
      <c r="H121" s="243"/>
      <c r="I121" s="243"/>
      <c r="J121" s="244"/>
    </row>
    <row r="122" spans="1:11" ht="18.75" customHeight="1" x14ac:dyDescent="0.15">
      <c r="A122" s="87"/>
      <c r="B122" s="242"/>
      <c r="C122" s="243"/>
      <c r="D122" s="243"/>
      <c r="E122" s="243"/>
      <c r="F122" s="243"/>
      <c r="G122" s="243"/>
      <c r="H122" s="243"/>
      <c r="I122" s="243"/>
      <c r="J122" s="244"/>
    </row>
    <row r="123" spans="1:11" ht="18.75" customHeight="1" x14ac:dyDescent="0.15">
      <c r="A123" s="87"/>
      <c r="B123" s="242"/>
      <c r="C123" s="243"/>
      <c r="D123" s="243"/>
      <c r="E123" s="243"/>
      <c r="F123" s="243"/>
      <c r="G123" s="243"/>
      <c r="H123" s="243"/>
      <c r="I123" s="243"/>
      <c r="J123" s="244"/>
    </row>
    <row r="124" spans="1:11" ht="18.75" customHeight="1" x14ac:dyDescent="0.15">
      <c r="A124" s="87"/>
      <c r="B124" s="242"/>
      <c r="C124" s="243"/>
      <c r="D124" s="243"/>
      <c r="E124" s="243"/>
      <c r="F124" s="243"/>
      <c r="G124" s="243"/>
      <c r="H124" s="243"/>
      <c r="I124" s="243"/>
      <c r="J124" s="244"/>
    </row>
    <row r="125" spans="1:11" ht="18.75" customHeight="1" x14ac:dyDescent="0.15">
      <c r="A125" s="87"/>
      <c r="B125" s="242"/>
      <c r="C125" s="243"/>
      <c r="D125" s="243"/>
      <c r="E125" s="243"/>
      <c r="F125" s="243"/>
      <c r="G125" s="243"/>
      <c r="H125" s="243"/>
      <c r="I125" s="243"/>
      <c r="J125" s="244"/>
    </row>
    <row r="126" spans="1:11" ht="18.75" customHeight="1" x14ac:dyDescent="0.15">
      <c r="A126" s="87"/>
      <c r="B126" s="242"/>
      <c r="C126" s="243"/>
      <c r="D126" s="243"/>
      <c r="E126" s="243"/>
      <c r="F126" s="243"/>
      <c r="G126" s="243"/>
      <c r="H126" s="243"/>
      <c r="I126" s="243"/>
      <c r="J126" s="244"/>
    </row>
    <row r="127" spans="1:11" ht="18.75" customHeight="1" x14ac:dyDescent="0.15">
      <c r="A127" s="87"/>
      <c r="B127" s="242"/>
      <c r="C127" s="243"/>
      <c r="D127" s="243"/>
      <c r="E127" s="243"/>
      <c r="F127" s="243"/>
      <c r="G127" s="243"/>
      <c r="H127" s="243"/>
      <c r="I127" s="243"/>
      <c r="J127" s="244"/>
    </row>
    <row r="128" spans="1:11" ht="18.75" customHeight="1" x14ac:dyDescent="0.15">
      <c r="A128" s="87"/>
      <c r="B128" s="242"/>
      <c r="C128" s="243"/>
      <c r="D128" s="243"/>
      <c r="E128" s="243"/>
      <c r="F128" s="243"/>
      <c r="G128" s="243"/>
      <c r="H128" s="243"/>
      <c r="I128" s="243"/>
      <c r="J128" s="244"/>
    </row>
    <row r="129" spans="1:10" ht="18.75" customHeight="1" x14ac:dyDescent="0.15">
      <c r="A129" s="87"/>
      <c r="B129" s="245"/>
      <c r="C129" s="246"/>
      <c r="D129" s="246"/>
      <c r="E129" s="246"/>
      <c r="F129" s="246"/>
      <c r="G129" s="246"/>
      <c r="H129" s="246"/>
      <c r="I129" s="246"/>
      <c r="J129" s="247"/>
    </row>
    <row r="130" spans="1:10" ht="7.5" customHeight="1" x14ac:dyDescent="0.15">
      <c r="A130" s="87"/>
      <c r="B130" s="98"/>
      <c r="C130" s="98"/>
      <c r="D130" s="98"/>
      <c r="E130" s="98"/>
      <c r="F130" s="98"/>
      <c r="G130" s="98"/>
      <c r="H130" s="98"/>
      <c r="I130" s="98"/>
      <c r="J130" s="98"/>
    </row>
    <row r="131" spans="1:10" ht="18.75" customHeight="1" x14ac:dyDescent="0.15">
      <c r="A131" s="87"/>
      <c r="B131" s="87"/>
      <c r="C131" s="87"/>
      <c r="D131" s="87"/>
      <c r="E131" s="87"/>
      <c r="F131" s="87"/>
      <c r="G131" s="87"/>
      <c r="H131" s="87"/>
      <c r="I131" s="87"/>
      <c r="J131" s="87"/>
    </row>
    <row r="132" spans="1:10" ht="18.75" customHeight="1" x14ac:dyDescent="0.15">
      <c r="A132" s="87"/>
      <c r="B132" s="87"/>
      <c r="C132" s="87"/>
      <c r="D132" s="87"/>
      <c r="E132" s="87"/>
      <c r="F132" s="87"/>
      <c r="G132" s="87"/>
      <c r="H132" s="87"/>
      <c r="I132" s="87"/>
      <c r="J132" s="87"/>
    </row>
    <row r="133" spans="1:10" ht="18.75" customHeight="1" x14ac:dyDescent="0.15">
      <c r="A133" s="87"/>
      <c r="B133" s="87"/>
      <c r="C133" s="87"/>
      <c r="D133" s="87"/>
      <c r="E133" s="87"/>
      <c r="F133" s="87"/>
      <c r="G133" s="87"/>
      <c r="H133" s="87"/>
      <c r="I133" s="87"/>
      <c r="J133" s="87"/>
    </row>
    <row r="134" spans="1:10" ht="18.75" customHeight="1" x14ac:dyDescent="0.15">
      <c r="A134" s="87"/>
      <c r="B134" s="87"/>
      <c r="C134" s="87"/>
      <c r="D134" s="87"/>
      <c r="E134" s="87"/>
      <c r="F134" s="87"/>
      <c r="G134" s="87"/>
      <c r="H134" s="87"/>
      <c r="I134" s="87"/>
      <c r="J134" s="87"/>
    </row>
    <row r="135" spans="1:10" ht="18.75" customHeight="1" x14ac:dyDescent="0.15">
      <c r="A135" s="87"/>
      <c r="B135" s="87"/>
      <c r="C135" s="87"/>
      <c r="D135" s="87"/>
      <c r="E135" s="87"/>
      <c r="F135" s="87"/>
      <c r="G135" s="87"/>
      <c r="H135" s="87"/>
      <c r="I135" s="87"/>
      <c r="J135" s="87"/>
    </row>
    <row r="136" spans="1:10" ht="18.75" customHeight="1" x14ac:dyDescent="0.15">
      <c r="A136" s="87"/>
      <c r="B136" s="87"/>
      <c r="C136" s="87"/>
      <c r="D136" s="87"/>
      <c r="E136" s="87"/>
      <c r="F136" s="87"/>
      <c r="G136" s="87"/>
      <c r="H136" s="87"/>
      <c r="I136" s="87"/>
      <c r="J136" s="87"/>
    </row>
    <row r="137" spans="1:10" ht="18.75" customHeight="1" x14ac:dyDescent="0.15">
      <c r="A137" s="87"/>
      <c r="B137" s="87"/>
      <c r="C137" s="87"/>
      <c r="D137" s="87"/>
      <c r="E137" s="87"/>
      <c r="F137" s="87"/>
      <c r="G137" s="87"/>
      <c r="H137" s="87"/>
      <c r="I137" s="87"/>
      <c r="J137" s="87"/>
    </row>
    <row r="138" spans="1:10" ht="18.75" customHeight="1" x14ac:dyDescent="0.15">
      <c r="A138" s="87"/>
      <c r="B138" s="87"/>
      <c r="C138" s="87"/>
      <c r="D138" s="87"/>
      <c r="E138" s="87"/>
      <c r="F138" s="87"/>
      <c r="G138" s="87"/>
      <c r="H138" s="87"/>
      <c r="I138" s="87"/>
      <c r="J138" s="87"/>
    </row>
    <row r="139" spans="1:10" ht="18.75" customHeight="1" x14ac:dyDescent="0.15">
      <c r="A139" s="87"/>
      <c r="B139" s="87"/>
      <c r="C139" s="87"/>
      <c r="D139" s="87"/>
      <c r="E139" s="87"/>
      <c r="F139" s="87"/>
      <c r="G139" s="87"/>
      <c r="H139" s="87"/>
      <c r="I139" s="87"/>
      <c r="J139" s="87"/>
    </row>
    <row r="140" spans="1:10" ht="18.75" customHeight="1" x14ac:dyDescent="0.15">
      <c r="A140" s="87"/>
      <c r="B140" s="87"/>
      <c r="C140" s="87"/>
      <c r="D140" s="87"/>
      <c r="E140" s="87"/>
      <c r="F140" s="87"/>
      <c r="G140" s="87"/>
      <c r="H140" s="87"/>
      <c r="I140" s="87"/>
      <c r="J140" s="87"/>
    </row>
    <row r="141" spans="1:10" ht="18.75" customHeight="1" x14ac:dyDescent="0.15">
      <c r="A141" s="87"/>
      <c r="B141" s="87"/>
      <c r="C141" s="87"/>
      <c r="D141" s="87"/>
      <c r="E141" s="87"/>
      <c r="F141" s="87"/>
      <c r="G141" s="87"/>
      <c r="H141" s="87"/>
      <c r="I141" s="87"/>
      <c r="J141" s="87"/>
    </row>
    <row r="142" spans="1:10" ht="18.75" customHeight="1" x14ac:dyDescent="0.15">
      <c r="A142" s="87"/>
      <c r="B142" s="87"/>
      <c r="C142" s="87"/>
      <c r="D142" s="87"/>
      <c r="E142" s="87"/>
      <c r="F142" s="87"/>
      <c r="G142" s="87"/>
      <c r="H142" s="87"/>
      <c r="I142" s="87"/>
      <c r="J142" s="87"/>
    </row>
    <row r="143" spans="1:10" ht="14.25" x14ac:dyDescent="0.15">
      <c r="A143" s="87"/>
      <c r="B143" s="87"/>
      <c r="C143" s="87"/>
      <c r="D143" s="87"/>
      <c r="E143" s="87"/>
      <c r="F143" s="87"/>
      <c r="G143" s="87"/>
      <c r="H143" s="87"/>
      <c r="I143" s="87"/>
      <c r="J143" s="87"/>
    </row>
    <row r="144" spans="1:10" ht="7.5" customHeight="1" x14ac:dyDescent="0.15">
      <c r="A144" s="99"/>
      <c r="B144" s="99"/>
      <c r="C144" s="99"/>
      <c r="D144" s="99"/>
      <c r="E144" s="99"/>
      <c r="F144" s="99"/>
      <c r="G144" s="99"/>
      <c r="H144" s="99"/>
      <c r="I144" s="99"/>
      <c r="J144" s="99"/>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B1" zoomScaleNormal="100" zoomScaleSheetLayoutView="100" workbookViewId="0">
      <selection activeCell="B1" sqref="B1"/>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1" customWidth="1"/>
    <col min="12" max="16384" width="11.375" style="1"/>
  </cols>
  <sheetData>
    <row r="1" spans="1:11" ht="18.75" customHeight="1" x14ac:dyDescent="0.15">
      <c r="A1" s="1" t="s">
        <v>123</v>
      </c>
      <c r="J1" s="85" t="s">
        <v>73</v>
      </c>
    </row>
    <row r="2" spans="1:11" ht="18.75" customHeight="1" x14ac:dyDescent="0.15">
      <c r="A2" s="193" t="s">
        <v>42</v>
      </c>
      <c r="B2" s="193"/>
      <c r="C2" s="193"/>
      <c r="D2" s="193"/>
      <c r="E2" s="193"/>
      <c r="F2" s="193"/>
      <c r="G2" s="193"/>
      <c r="H2" s="193"/>
      <c r="I2" s="193"/>
      <c r="J2" s="193"/>
    </row>
    <row r="3" spans="1:11" ht="7.5" customHeight="1" x14ac:dyDescent="0.15">
      <c r="A3" s="100"/>
      <c r="B3" s="100"/>
      <c r="C3" s="100"/>
      <c r="D3" s="100"/>
      <c r="E3" s="100"/>
      <c r="F3" s="100"/>
      <c r="G3" s="100"/>
      <c r="H3" s="100"/>
      <c r="I3" s="100"/>
      <c r="J3" s="100"/>
    </row>
    <row r="4" spans="1:11" ht="18.75" customHeight="1" x14ac:dyDescent="0.15">
      <c r="A4" s="1" t="s">
        <v>6</v>
      </c>
      <c r="B4" s="1" t="s">
        <v>41</v>
      </c>
      <c r="C4" s="87"/>
      <c r="D4" s="87"/>
      <c r="E4" s="87"/>
      <c r="F4" s="87"/>
      <c r="G4" s="87"/>
      <c r="H4" s="87"/>
      <c r="I4" s="87"/>
      <c r="J4" s="87"/>
    </row>
    <row r="5" spans="1:11" ht="18.75" customHeight="1" x14ac:dyDescent="0.15">
      <c r="B5" s="108" t="s">
        <v>38</v>
      </c>
      <c r="C5" s="109"/>
      <c r="D5" s="110"/>
      <c r="E5" s="109" t="s">
        <v>40</v>
      </c>
      <c r="F5" s="109"/>
      <c r="G5" s="109"/>
      <c r="H5" s="109"/>
      <c r="I5" s="109"/>
      <c r="J5" s="110"/>
    </row>
    <row r="6" spans="1:11" ht="18.75" customHeight="1" x14ac:dyDescent="0.15">
      <c r="B6" s="7" t="s">
        <v>28</v>
      </c>
      <c r="C6" s="87"/>
      <c r="D6" s="101"/>
      <c r="I6" s="87"/>
      <c r="J6" s="101"/>
    </row>
    <row r="7" spans="1:11" ht="207" customHeight="1" x14ac:dyDescent="0.15">
      <c r="B7" s="102"/>
      <c r="C7" s="264" t="s">
        <v>29</v>
      </c>
      <c r="D7" s="265"/>
      <c r="E7" s="270" t="s">
        <v>191</v>
      </c>
      <c r="F7" s="266"/>
      <c r="G7" s="266"/>
      <c r="H7" s="266"/>
      <c r="I7" s="266"/>
      <c r="J7" s="267"/>
      <c r="K7" s="1" t="str">
        <f>IF(E7="","入力してください","")</f>
        <v/>
      </c>
    </row>
    <row r="8" spans="1:11" ht="207" customHeight="1" x14ac:dyDescent="0.15">
      <c r="B8" s="102"/>
      <c r="C8" s="271" t="s">
        <v>30</v>
      </c>
      <c r="D8" s="272"/>
      <c r="E8" s="270" t="s">
        <v>192</v>
      </c>
      <c r="F8" s="266"/>
      <c r="G8" s="266"/>
      <c r="H8" s="266"/>
      <c r="I8" s="266"/>
      <c r="J8" s="267"/>
      <c r="K8" s="1" t="str">
        <f>IF(E8="","入力してください","")</f>
        <v/>
      </c>
    </row>
    <row r="9" spans="1:11" ht="172.5" customHeight="1" x14ac:dyDescent="0.15">
      <c r="B9" s="102"/>
      <c r="C9" s="264" t="s">
        <v>31</v>
      </c>
      <c r="D9" s="265"/>
      <c r="E9" s="270" t="s">
        <v>193</v>
      </c>
      <c r="F9" s="266"/>
      <c r="G9" s="266"/>
      <c r="H9" s="266"/>
      <c r="I9" s="266"/>
      <c r="J9" s="267"/>
      <c r="K9" s="1" t="str">
        <f>IF(E9="","入力してください","")</f>
        <v/>
      </c>
    </row>
    <row r="10" spans="1:11" ht="172.5" customHeight="1" x14ac:dyDescent="0.15">
      <c r="B10" s="102"/>
      <c r="C10" s="264" t="s">
        <v>32</v>
      </c>
      <c r="D10" s="265"/>
      <c r="E10" s="270" t="s">
        <v>194</v>
      </c>
      <c r="F10" s="266"/>
      <c r="G10" s="266"/>
      <c r="H10" s="266"/>
      <c r="I10" s="266"/>
      <c r="J10" s="267"/>
      <c r="K10" s="1" t="str">
        <f t="shared" ref="K10:K14" si="0">IF(E10="","入力してください","")</f>
        <v/>
      </c>
    </row>
    <row r="11" spans="1:11" ht="172.5" customHeight="1" x14ac:dyDescent="0.15">
      <c r="B11" s="102"/>
      <c r="C11" s="264" t="s">
        <v>33</v>
      </c>
      <c r="D11" s="265"/>
      <c r="E11" s="270" t="s">
        <v>216</v>
      </c>
      <c r="F11" s="266"/>
      <c r="G11" s="266"/>
      <c r="H11" s="266"/>
      <c r="I11" s="266"/>
      <c r="J11" s="267"/>
      <c r="K11" s="1" t="str">
        <f t="shared" si="0"/>
        <v/>
      </c>
    </row>
    <row r="12" spans="1:11" ht="18.75" customHeight="1" x14ac:dyDescent="0.15">
      <c r="B12" s="103" t="s">
        <v>34</v>
      </c>
      <c r="C12" s="104"/>
      <c r="D12" s="105"/>
      <c r="E12" s="106"/>
      <c r="F12" s="106"/>
      <c r="G12" s="106"/>
      <c r="H12" s="106"/>
      <c r="I12" s="106"/>
      <c r="J12" s="107"/>
    </row>
    <row r="13" spans="1:11" ht="244.35" customHeight="1" x14ac:dyDescent="0.15">
      <c r="B13" s="102"/>
      <c r="C13" s="264" t="s">
        <v>35</v>
      </c>
      <c r="D13" s="265"/>
      <c r="E13" s="266" t="s">
        <v>215</v>
      </c>
      <c r="F13" s="266"/>
      <c r="G13" s="266"/>
      <c r="H13" s="266"/>
      <c r="I13" s="266"/>
      <c r="J13" s="267"/>
      <c r="K13" s="1" t="str">
        <f t="shared" si="0"/>
        <v/>
      </c>
    </row>
    <row r="14" spans="1:11" ht="255" customHeight="1" x14ac:dyDescent="0.15">
      <c r="B14" s="102"/>
      <c r="C14" s="264" t="s">
        <v>36</v>
      </c>
      <c r="D14" s="265"/>
      <c r="E14" s="266" t="s">
        <v>159</v>
      </c>
      <c r="F14" s="266"/>
      <c r="G14" s="266"/>
      <c r="H14" s="266"/>
      <c r="I14" s="266"/>
      <c r="J14" s="267"/>
      <c r="K14" s="1" t="str">
        <f t="shared" si="0"/>
        <v/>
      </c>
    </row>
    <row r="15" spans="1:11" ht="243" customHeight="1" x14ac:dyDescent="0.15">
      <c r="B15" s="268" t="s">
        <v>37</v>
      </c>
      <c r="C15" s="269"/>
      <c r="D15" s="265"/>
      <c r="E15" s="266" t="s">
        <v>219</v>
      </c>
      <c r="F15" s="266"/>
      <c r="G15" s="266"/>
      <c r="H15" s="266"/>
      <c r="I15" s="266"/>
      <c r="J15" s="267"/>
      <c r="K15" s="1" t="str">
        <f>IF(E15="","入力してください","")</f>
        <v/>
      </c>
    </row>
    <row r="16" spans="1:11" ht="243" customHeight="1" x14ac:dyDescent="0.15">
      <c r="B16" s="258" t="s">
        <v>66</v>
      </c>
      <c r="C16" s="259"/>
      <c r="D16" s="260"/>
      <c r="E16" s="238" t="s">
        <v>220</v>
      </c>
      <c r="F16" s="238"/>
      <c r="G16" s="238"/>
      <c r="H16" s="238"/>
      <c r="I16" s="238"/>
      <c r="J16" s="239"/>
      <c r="K16" s="1" t="str">
        <f>IF(E16="","入力してください","")</f>
        <v/>
      </c>
    </row>
    <row r="17" spans="1:11" ht="7.5" customHeight="1" x14ac:dyDescent="0.15">
      <c r="B17" s="87"/>
      <c r="C17" s="87"/>
      <c r="D17" s="87"/>
      <c r="E17" s="87"/>
      <c r="F17" s="87"/>
      <c r="G17" s="87"/>
      <c r="H17" s="87"/>
      <c r="I17" s="87"/>
      <c r="J17" s="87"/>
    </row>
    <row r="18" spans="1:11" ht="18.75" customHeight="1" x14ac:dyDescent="0.15">
      <c r="A18" s="1" t="s">
        <v>124</v>
      </c>
      <c r="C18" s="87"/>
      <c r="D18" s="87"/>
      <c r="E18" s="87"/>
      <c r="F18" s="86"/>
      <c r="G18" s="261" t="s">
        <v>183</v>
      </c>
      <c r="H18" s="262"/>
      <c r="I18" s="262"/>
      <c r="J18" s="263"/>
      <c r="K18" s="1" t="str">
        <f>IF(G18="","入力してください","")</f>
        <v/>
      </c>
    </row>
    <row r="19" spans="1:11" ht="22.5" customHeight="1" x14ac:dyDescent="0.15">
      <c r="B19" s="87"/>
      <c r="C19" s="87"/>
      <c r="D19" s="87"/>
      <c r="E19" s="87"/>
      <c r="F19" s="87"/>
      <c r="G19" s="87"/>
      <c r="H19" s="87"/>
      <c r="I19" s="87"/>
      <c r="J19" s="87"/>
    </row>
    <row r="20" spans="1:11" ht="22.5" customHeight="1" x14ac:dyDescent="0.15">
      <c r="B20" s="87"/>
      <c r="C20" s="87"/>
      <c r="D20" s="87"/>
      <c r="E20" s="87"/>
      <c r="F20" s="87"/>
      <c r="G20" s="87"/>
      <c r="H20" s="87"/>
      <c r="I20" s="87"/>
      <c r="J20" s="87"/>
    </row>
    <row r="21" spans="1:11" ht="22.5" customHeight="1" x14ac:dyDescent="0.15">
      <c r="B21" s="87"/>
      <c r="C21" s="87"/>
      <c r="D21" s="87"/>
      <c r="E21" s="87"/>
      <c r="F21" s="87"/>
      <c r="G21" s="87"/>
      <c r="H21" s="87"/>
      <c r="I21" s="87"/>
      <c r="J21" s="87"/>
    </row>
    <row r="22" spans="1:11" ht="22.5" customHeight="1" x14ac:dyDescent="0.15">
      <c r="B22" s="87"/>
      <c r="C22" s="87"/>
      <c r="D22" s="87"/>
      <c r="E22" s="87"/>
      <c r="F22" s="87"/>
      <c r="G22" s="87"/>
      <c r="H22" s="87"/>
      <c r="I22" s="87"/>
      <c r="J22" s="87"/>
    </row>
    <row r="23" spans="1:11" ht="22.5" customHeight="1" x14ac:dyDescent="0.15">
      <c r="B23" s="87"/>
      <c r="C23" s="87"/>
      <c r="D23" s="87"/>
      <c r="E23" s="87"/>
      <c r="F23" s="87"/>
      <c r="G23" s="87"/>
      <c r="H23" s="87"/>
      <c r="I23" s="87"/>
      <c r="J23" s="87"/>
    </row>
    <row r="24" spans="1:11" ht="22.5" customHeight="1" x14ac:dyDescent="0.15">
      <c r="B24" s="31"/>
      <c r="C24" s="31"/>
      <c r="D24" s="31"/>
      <c r="E24" s="31"/>
      <c r="F24" s="31"/>
      <c r="G24" s="31"/>
      <c r="H24" s="31"/>
      <c r="I24" s="31"/>
      <c r="J24" s="31"/>
    </row>
    <row r="25" spans="1:11" ht="22.5" customHeight="1" x14ac:dyDescent="0.15">
      <c r="B25" s="31"/>
      <c r="C25" s="31"/>
      <c r="D25" s="31"/>
      <c r="E25" s="31"/>
      <c r="F25" s="31"/>
      <c r="G25" s="31"/>
      <c r="H25" s="31"/>
      <c r="I25" s="31"/>
      <c r="J25" s="31"/>
    </row>
    <row r="26" spans="1:11" ht="22.5" customHeight="1" x14ac:dyDescent="0.15">
      <c r="B26" s="31"/>
      <c r="C26" s="31"/>
      <c r="D26" s="31"/>
      <c r="E26" s="31"/>
      <c r="F26" s="31"/>
      <c r="G26" s="31"/>
      <c r="H26" s="31"/>
      <c r="I26" s="31"/>
      <c r="J26" s="31"/>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C5BD2150-63CA-604D-B751-61D896F7FE9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様式２－１　プログラムを構成する授業科目</vt:lpstr>
      <vt:lpstr>様式２－２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石田 真由美</cp:lastModifiedBy>
  <cp:lastPrinted>2022-05-17T02:24:07Z</cp:lastPrinted>
  <dcterms:created xsi:type="dcterms:W3CDTF">2011-06-14T05:32:50Z</dcterms:created>
  <dcterms:modified xsi:type="dcterms:W3CDTF">2022-06-16T01:20:21Z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