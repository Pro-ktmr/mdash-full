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C:\Users\mitz\OneDrive - 日本文理大学\デスクトップ\学長補佐\2022教育推進\220322DS申請\220502申請書\220515申請用\220601再提出\"/>
    </mc:Choice>
  </mc:AlternateContent>
  <xr:revisionPtr revIDLastSave="0" documentId="13_ncr:1_{44FB7AC6-B1D1-4666-8920-6F0254012CC8}" xr6:coauthVersionLast="47" xr6:coauthVersionMax="47" xr10:uidLastSave="{00000000-0000-0000-0000-000000000000}"/>
  <bookViews>
    <workbookView xWindow="-110" yWindow="-110" windowWidth="19420" windowHeight="10420"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0" i="8" l="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R18" i="40"/>
  <c r="Q18" i="40"/>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<sst xmlns="http://schemas.openxmlformats.org/spreadsheetml/2006/main" count="315" uniqueCount="205">
  <si>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</si>
  <si>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</si>
  <si>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</si>
  <si>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</si>
  <si>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</si>
  <si>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</si>
  <si>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</si>
  <si>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</si>
  <si>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</si>
  <si>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</si>
  <si>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</si>
  <si>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</si>
  <si>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</si>
  <si>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</si>
  <si>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</si>
  <si>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</si>
  <si>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</si>
  <si>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</si>
  <si>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</si>
  <si>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</si>
  <si>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</si>
  <si>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</si>
  <si>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</si>
  <si>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</si>
  <si>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</si>
  <si>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</si>
  <si>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</si>
  <si>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</si>
  <si>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</si>
  <si>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</si>
  <si>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</si>
  <si>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</si>
  <si>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</si>
  <si>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</si>
  <si>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</si>
  <si>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</si>
  <si>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</si>
  <si>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</si>
  <si>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</si>
  <si>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</si>
  <si>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</si>
  <si>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</si>
  <si>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</si>
  <si>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</si>
  <si>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</si>
  <si>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</si>
  <si>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</si>
  <si>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</si>
  <si>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</si>
  <si>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</si>
  <si>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</si>
  <si>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</si>
  <si>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</si>
  <si>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</si>
  <si>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</si>
  <si>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</si>
  <si>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</si>
  <si>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</si>
  <si>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</si>
  <si>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</si>
  <si>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</si>
  <si>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</si>
  <si>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</si>
  <si>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</si>
  <si>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</si>
  <si>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</si>
  <si>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</si>
  <si>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</si>
  <si>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</si>
  <si>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</si>
  <si>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</si>
  <si>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</si>
  <si>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</si>
  <si>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</si>
  <si>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</si>
  <si>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</si>
  <si>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</si>
  <si>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</si>
  <si>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</si>
  <si>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</si>
  <si>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</si>
  <si>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</si>
  <si>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</si>
  <si>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</si>
  <si>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</si>
  <si>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</si>
  <si>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</si>
  <si>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</si>
  <si>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</si>
  <si>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</si>
  <si>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</si>
  <si>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</si>
  <si>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</si>
  <si>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</si>
  <si>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</si>
  <si>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</si>
  <si>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</si>
  <si>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</si>
  <si>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</si>
  <si>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</si>
  <si>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</si>
  <si>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</si>
  <si>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</si>
  <si>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</si>
  <si>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</si>
  <si>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</si>
  <si>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</si>
  <si>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</si>
  <si>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</si>
  <si>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</si>
  <si>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</si>
  <si>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</si>
  <si>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</si>
  <si>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</si>
  <si>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</si>
  <si>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</si>
  <si>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</si>
  <si>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</si>
  <si>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</si>
  <si>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</si>
  <si>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</si>
  <si>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</si>
  <si>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</si>
  <si>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</si>
  <si>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</si>
  <si>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</si>
  <si>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</si>
  <si>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</si>
  <si>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</si>
  <si>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</si>
  <si>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</si>
  <si>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</si>
  <si>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</si>
  <si>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</si>
  <si>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</si>
  <si>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</si>
  <si>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</si>
  <si>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</si>
  <si>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</si>
  <si>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</si>
  <si>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</si>
  <si>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</si>
  <si>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</si>
  <si>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</si>
  <si>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</si>
  <si>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</si>
  <si>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</si>
  <si>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</si>
  <si>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</si>
  <si>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日本文理大学</t>
    <rPh sb="0" eb="2">
      <t>ニホン</t>
    </rPh>
    <rPh sb="2" eb="4">
      <t>ブンリ</t>
    </rPh>
    <rPh sb="4" eb="6">
      <t>ダイガク</t>
    </rPh>
    <phoneticPr fontId="1"/>
  </si>
  <si>
    <t>学校法人文理学園</t>
    <rPh sb="0" eb="4">
      <t>ガッコウホウジン</t>
    </rPh>
    <rPh sb="4" eb="8">
      <t>ブンリガクエン</t>
    </rPh>
    <phoneticPr fontId="1"/>
  </si>
  <si>
    <t>私立大学</t>
  </si>
  <si>
    <t>令和3</t>
    <rPh sb="0" eb="2">
      <t>レイワ</t>
    </rPh>
    <phoneticPr fontId="1"/>
  </si>
  <si>
    <t>無</t>
  </si>
  <si>
    <t>吉村　充功</t>
    <rPh sb="0" eb="2">
      <t>ヨシムラ</t>
    </rPh>
    <rPh sb="3" eb="5">
      <t>ミツノリ</t>
    </rPh>
    <phoneticPr fontId="1"/>
  </si>
  <si>
    <t>教育推進センター長</t>
    <rPh sb="0" eb="4">
      <t>キョウイクスイシン</t>
    </rPh>
    <rPh sb="8" eb="9">
      <t>チョウ</t>
    </rPh>
    <phoneticPr fontId="1"/>
  </si>
  <si>
    <t>教育推進センター教育支援部門</t>
    <phoneticPr fontId="1"/>
  </si>
  <si>
    <t>橋本　堅次郞</t>
    <rPh sb="0" eb="2">
      <t>ハシモト</t>
    </rPh>
    <rPh sb="3" eb="6">
      <t>ケンジロウ</t>
    </rPh>
    <phoneticPr fontId="1"/>
  </si>
  <si>
    <t>学長</t>
    <rPh sb="0" eb="2">
      <t>ガクチョウ</t>
    </rPh>
    <phoneticPr fontId="1"/>
  </si>
  <si>
    <t>認定教育プログラム</t>
  </si>
  <si>
    <t>教育推進担当</t>
    <rPh sb="0" eb="2">
      <t>キョウイク</t>
    </rPh>
    <rPh sb="2" eb="4">
      <t>スイシン</t>
    </rPh>
    <rPh sb="4" eb="6">
      <t>タントウ</t>
    </rPh>
    <phoneticPr fontId="1"/>
  </si>
  <si>
    <t>釘宮　啓</t>
    <rPh sb="0" eb="2">
      <t>クギミヤ</t>
    </rPh>
    <rPh sb="3" eb="4">
      <t>ケイ</t>
    </rPh>
    <phoneticPr fontId="1"/>
  </si>
  <si>
    <t>ds-ai@nbu.ac.jp</t>
    <phoneticPr fontId="1"/>
  </si>
  <si>
    <t>097-524-2654</t>
    <phoneticPr fontId="1"/>
  </si>
  <si>
    <t>数理・データサイエンス・AI教育プログラム</t>
    <phoneticPr fontId="1"/>
  </si>
  <si>
    <t>自己点検・評価委員会</t>
    <phoneticPr fontId="1"/>
  </si>
  <si>
    <t>学部・学科によって、修了要件は相違しない</t>
  </si>
  <si>
    <t>社会人になるためのデータサイエンス入門</t>
    <phoneticPr fontId="1"/>
  </si>
  <si>
    <t>全学開講</t>
  </si>
  <si>
    <t>○</t>
  </si>
  <si>
    <t>○</t>
    <phoneticPr fontId="1"/>
  </si>
  <si>
    <t>プログラムを構成する全学教養基礎科目「社会人になるためのデータサイエンス入門」（2単位）を修得すること。</t>
    <rPh sb="10" eb="12">
      <t>ゼンガク</t>
    </rPh>
    <rPh sb="45" eb="47">
      <t>シュウトク</t>
    </rPh>
    <phoneticPr fontId="1"/>
  </si>
  <si>
    <t>工学部</t>
    <rPh sb="0" eb="3">
      <t>コウガクブ</t>
    </rPh>
    <phoneticPr fontId="1"/>
  </si>
  <si>
    <t>経営経済学部</t>
    <rPh sb="0" eb="2">
      <t>ケイエイ</t>
    </rPh>
    <rPh sb="2" eb="4">
      <t>ケイザイ</t>
    </rPh>
    <rPh sb="4" eb="6">
      <t>ガクブ</t>
    </rPh>
    <phoneticPr fontId="1"/>
  </si>
  <si>
    <t>日本文理大学教育推進センター規程</t>
    <phoneticPr fontId="1"/>
  </si>
  <si>
    <t>・社会の問題・課題に対してデータ・AIの積極的な活用に関心を持ち、データ・AI利活用のための基本的な考え方と知識を身に付けることができる。
・データ活用プロセスの基礎技術としてExcel等を用いてデータを集計・加工し、表やグラフで表現する能力を身に付けることができる。
・データを扱う際にデータ倫理や情報セキュリティを意識して行動できる。</t>
    <rPh sb="57" eb="58">
      <t>ミ</t>
    </rPh>
    <rPh sb="59" eb="60">
      <t>ツ</t>
    </rPh>
    <rPh sb="122" eb="123">
      <t>ミ</t>
    </rPh>
    <rPh sb="124" eb="125">
      <t>ツ</t>
    </rPh>
    <phoneticPr fontId="1"/>
  </si>
  <si>
    <t>ビッグデータ、IoT、AI、ロボット、データ量の増加、計算機の処理性能の向上、AIの非連続的進化、第4次産業革命、Society5.0、データ駆動型社会、複数技術を組み合わせたAIサービス、人間の知的活動とAIの関係性、データを起点としたものの見方、人間の知的活動を起点としたものの見方
「社会人になるためのデータサイエンス入門」（２回目）（８回目）</t>
    <rPh sb="106" eb="108">
      <t>カンケイ</t>
    </rPh>
    <phoneticPr fontId="1"/>
  </si>
  <si>
    <t>AI等を活用した新しいビジネスモデル（シェアリングエコノミー、商品のレコメンデーションなど）、AI最新技術の活用例（深層生成モデル、敵対的生成ネットワーク、強化学習、転移学習など）
「社会人になるためのデータサイエンス入門」（７回目）（８回目）</t>
    <phoneticPr fontId="1"/>
  </si>
  <si>
    <t>調査データ、実験データ、人の行動ログデータ、機械の稼働ログデータ、１次データ、２次データ、データのメタ化、構造化データ、非構造化データ（文章、画像／動画、音声／音楽など）、データ作成（ビッグデータとアノテーション）、データのオープン化（オープンデータ）
「社会人になるためのデータサイエンス入門」（３回目）（８回目）</t>
    <phoneticPr fontId="1"/>
  </si>
  <si>
    <t>データ、AI活用領域の広がり（生産、消費、文化活動など）、研究開発、調達、物流、販売、マーケティング、サービス、仮説検証、知識発見、原因究明、計画策定、判断支援、活動代替、新規生成
「社会人になるためのデータサイエンス入門」（４回目）（８回目）</t>
    <phoneticPr fontId="1"/>
  </si>
  <si>
    <t>・データ解析（予測、グルーピング、クラスタリング、パターン発見、最適化、シミュレーション・データ同化など） 「社会人になるためのデータサイエンス入門」（５回目）（８回目）
・非構造化データ処理（言語処理、画像／動画処理、音声／音楽処理など）、データ可視化（複合グラフ、２軸グラフ、多次元の可視化、関連性の可視化、地図上の可視化、挙動・軌跡の可視化、リアルタイム可視化など）、人工知能（特化型AIと汎用AI、AIとビッグデータ、パターン認識技術、ルールベース、自動化技術）  「社会人になるためのデータサイエンス入門」（６回目）（８回目）</t>
    <rPh sb="144" eb="147">
      <t>カシカ</t>
    </rPh>
    <phoneticPr fontId="1"/>
  </si>
  <si>
    <t>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紹介
「社会人になるためのデータサイエンス入門」（７回目）（８回目）</t>
    <phoneticPr fontId="1"/>
  </si>
  <si>
    <t>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 「社会人になるためのデータサイエンス入門」（１３回目）（１５回目）</t>
    <phoneticPr fontId="1"/>
  </si>
  <si>
    <t>データの種類（量的変数・質的変数と尺度）、データの分布（ヒストグラム）と代表値（平均値、中央値、最頻値）、代表値の性質の違い、データのばらつき（分散、標準偏差、偏差値）、誤差の扱い、打ち切り・脱落データ、層別データ、相関と因果（相関係数、疑似相関、交絡）、母集団と標本抽出（国勢調査、アンケート調査、全数調査、単純無作為抽出、層別抽出、多段抽出）、クロス集計表、分割表、相関係数行列、散布図行列、統計情報の正しい理解
 「社会人になるためのデータサイエンス入門」（９回目）（１２回目）</t>
    <phoneticPr fontId="1"/>
  </si>
  <si>
    <t>データの集計（和、平均）、データの並び替え、ランキング、データ解析ツール（Excel、Googleスプレッドシート）、データ解析（データの扱い、合計・平均・中央値の計算、ソート、ヒストグラムの作成と解釈、散布図の作成と解釈）
 「社会人になるためのデータサイエンス入門」（１１回目）（１２回目）</t>
    <phoneticPr fontId="1"/>
  </si>
  <si>
    <t>情報セキュリティ（機密性、完全性、可用性）、匿名加工情報、暗号化、パスワード、悪意ある情報搾取、情報漏洩等によるセキュリティ事故の事例紹介
 「社会人になるためのデータサイエンス入門」（１４回目）（１５回目）</t>
    <phoneticPr fontId="1"/>
  </si>
  <si>
    <t>データの可視化（棒グラフ、帯グラフ、円グラフ、折線グラフ、散布図、ヒートマップ）、グラフの作成（ヒストグラム、散布図、折れ線グラフ）、データの図表表現（チャート化）、データの比較（箱ひげ図、A/Bテスト）、不適切なグラフ表現（チャートジャンク、不必要な視覚的要素）、優れた可視化表現 
「社会人になるためのデータサイエンス入門」（１０回目）（１２回目）</t>
    <phoneticPr fontId="1"/>
  </si>
  <si>
    <t>教育推進センターは、大学を取り巻く環境変化に対応した教育改革・教育支援の推進を通じて、本学における学士課程教育の質保証及びその一層の向上を図ることを目的とする。この目的を達成するための部門の一つとして教育支援部門を置き、次に掲げる業務を行う。
(１)全学的な教育システムに係る基本方針の策定、推進に関すること。(２)全学的な教育プログラム、教材及び学部間共通カリキュラムの開発に関すること。(３)教育評価法の調査、開発及び適用に関すること。(４)教育システムの開発、運用に関すること。（以下略）
上記に基づき、分野・学部横断的カリキュラムの観点から、令和元年10月より本部門において「数理・データサイエンス・AI」に関するリテラシーレベルの教育カリキュラムの策定、推進を担い、教育の質保証及び一層の向上を図ることとしている。</t>
    <rPh sb="92" eb="94">
      <t>ブモン</t>
    </rPh>
    <rPh sb="95" eb="96">
      <t>ヒト</t>
    </rPh>
    <rPh sb="243" eb="246">
      <t>イカリャク</t>
    </rPh>
    <rPh sb="248" eb="250">
      <t>ジョウキ</t>
    </rPh>
    <rPh sb="251" eb="252">
      <t>モト</t>
    </rPh>
    <rPh sb="275" eb="277">
      <t>レイワ</t>
    </rPh>
    <rPh sb="277" eb="278">
      <t>ガン</t>
    </rPh>
    <rPh sb="278" eb="279">
      <t>ネン</t>
    </rPh>
    <rPh sb="281" eb="282">
      <t>ガツ</t>
    </rPh>
    <rPh sb="284" eb="285">
      <t>ホン</t>
    </rPh>
    <rPh sb="285" eb="287">
      <t>ブモン</t>
    </rPh>
    <rPh sb="329" eb="331">
      <t>サクテイ</t>
    </rPh>
    <rPh sb="332" eb="334">
      <t>スイシン</t>
    </rPh>
    <rPh sb="335" eb="336">
      <t>ニナ</t>
    </rPh>
    <rPh sb="338" eb="340">
      <t>キョウイク</t>
    </rPh>
    <rPh sb="341" eb="342">
      <t>シツ</t>
    </rPh>
    <rPh sb="342" eb="344">
      <t>ホショウ</t>
    </rPh>
    <rPh sb="344" eb="345">
      <t>オヨ</t>
    </rPh>
    <rPh sb="346" eb="348">
      <t>イッソウ</t>
    </rPh>
    <rPh sb="349" eb="351">
      <t>コウジョウ</t>
    </rPh>
    <rPh sb="352" eb="353">
      <t>ハカ</t>
    </rPh>
    <phoneticPr fontId="1"/>
  </si>
  <si>
    <t>教育推進センター長・工学部教授　吉村充功
教育推進センター副センター長・工学部准教授　吉森聖貴
工学部教務委員長・工学部教授　池見洋明
経営経済学部教務委員長・経営経済学部教授　今西衞
教養基礎教育調整役・工学部准教授　濵永康仁
工学部教授　伊藤順治、衛藤俊寿（科目担当者）
経営経済学部教授　山城興介
工学部准教授　黒田匡迪、東寺祐亮
経営経済学部准教授　河村裕次
大学事務本部教育推進担当次長　釘宮啓
大学事務本部教育推進担当事務員　吉武和浩
（役職名は令和3年度）</t>
    <rPh sb="0" eb="2">
      <t>キョウイク</t>
    </rPh>
    <rPh sb="2" eb="4">
      <t>スイシン</t>
    </rPh>
    <rPh sb="10" eb="13">
      <t>コウガクブ</t>
    </rPh>
    <rPh sb="13" eb="15">
      <t>キョウジュ</t>
    </rPh>
    <rPh sb="16" eb="20">
      <t>ヨシムラミツノリ</t>
    </rPh>
    <rPh sb="29" eb="30">
      <t>フク</t>
    </rPh>
    <rPh sb="34" eb="35">
      <t>チョウ</t>
    </rPh>
    <rPh sb="36" eb="39">
      <t>コウガクブ</t>
    </rPh>
    <rPh sb="39" eb="42">
      <t>ジュンキョウジュ</t>
    </rPh>
    <rPh sb="68" eb="70">
      <t>ケイエイ</t>
    </rPh>
    <rPh sb="70" eb="72">
      <t>ケイザイ</t>
    </rPh>
    <rPh sb="72" eb="74">
      <t>ガクブ</t>
    </rPh>
    <rPh sb="74" eb="76">
      <t>キョウム</t>
    </rPh>
    <rPh sb="76" eb="79">
      <t>イインチョウ</t>
    </rPh>
    <rPh sb="80" eb="86">
      <t>ケイエイケイザイガクブ</t>
    </rPh>
    <rPh sb="86" eb="88">
      <t>キョウジュ</t>
    </rPh>
    <rPh sb="93" eb="95">
      <t>キョウヨウ</t>
    </rPh>
    <rPh sb="95" eb="97">
      <t>キソ</t>
    </rPh>
    <rPh sb="97" eb="99">
      <t>キョウイク</t>
    </rPh>
    <rPh sb="99" eb="102">
      <t>チョウセイヤク</t>
    </rPh>
    <rPh sb="103" eb="106">
      <t>コウガクブ</t>
    </rPh>
    <rPh sb="106" eb="109">
      <t>ジュンキョウジュ</t>
    </rPh>
    <rPh sb="115" eb="118">
      <t>コウガクブ</t>
    </rPh>
    <rPh sb="118" eb="120">
      <t>キョウジュ</t>
    </rPh>
    <rPh sb="131" eb="133">
      <t>カモク</t>
    </rPh>
    <rPh sb="133" eb="136">
      <t>タントウシャ</t>
    </rPh>
    <rPh sb="138" eb="140">
      <t>ケイエイ</t>
    </rPh>
    <rPh sb="140" eb="142">
      <t>ケイザイ</t>
    </rPh>
    <rPh sb="142" eb="144">
      <t>ガクブ</t>
    </rPh>
    <rPh sb="144" eb="146">
      <t>キョウジュ</t>
    </rPh>
    <rPh sb="152" eb="155">
      <t>コウガクブ</t>
    </rPh>
    <rPh sb="155" eb="158">
      <t>ジュンキョウジュ</t>
    </rPh>
    <rPh sb="169" eb="175">
      <t>ケイエイケイザイガクブ</t>
    </rPh>
    <rPh sb="175" eb="178">
      <t>ジュンキョウジュ</t>
    </rPh>
    <rPh sb="184" eb="186">
      <t>ダイガク</t>
    </rPh>
    <rPh sb="186" eb="188">
      <t>ジム</t>
    </rPh>
    <rPh sb="188" eb="190">
      <t>ホンブ</t>
    </rPh>
    <rPh sb="190" eb="192">
      <t>キョウイク</t>
    </rPh>
    <rPh sb="192" eb="194">
      <t>スイシン</t>
    </rPh>
    <rPh sb="194" eb="196">
      <t>タントウ</t>
    </rPh>
    <rPh sb="196" eb="198">
      <t>ジチョウ</t>
    </rPh>
    <rPh sb="203" eb="205">
      <t>ダイガク</t>
    </rPh>
    <rPh sb="205" eb="207">
      <t>ジム</t>
    </rPh>
    <rPh sb="207" eb="209">
      <t>ホンブ</t>
    </rPh>
    <rPh sb="209" eb="211">
      <t>キョウイク</t>
    </rPh>
    <rPh sb="211" eb="213">
      <t>スイシン</t>
    </rPh>
    <rPh sb="213" eb="215">
      <t>タントウ</t>
    </rPh>
    <rPh sb="215" eb="218">
      <t>ジムイン</t>
    </rPh>
    <rPh sb="225" eb="228">
      <t>ヤクショクメイ</t>
    </rPh>
    <rPh sb="229" eb="231">
      <t>レイワ</t>
    </rPh>
    <rPh sb="232" eb="234">
      <t>ネンド</t>
    </rPh>
    <phoneticPr fontId="1"/>
  </si>
  <si>
    <t>https://www.nbu.ac.jp/guide/disclosure/data_science/</t>
    <phoneticPr fontId="1"/>
  </si>
  <si>
    <t>本学では本教育プログラムの対象科目に限らず、授業内容に数理・データサイエンス・AIに関連する授業内容を含む場合、シラバスの授業目的欄に「数理・データサイエンス・ AI 関連科目」であることを明示するように作成ガイドラインに定め、全学的に「数理・データサイエンス・AI」教育を重視していることを学生に明示している。1年前期教養基礎科目「人間力概論」（必修）においては、社会におけるデータサイエンス活用の重要性などについて言及するようにしており、本教育プログラムの履修を勧める告知を行っている。あわせて、本学のWEBサイトに本教育プログラムの専用ページを設け、プログラムの重要性や内容を周知するようにしている。</t>
    <rPh sb="0" eb="2">
      <t>ホンガク</t>
    </rPh>
    <rPh sb="4" eb="5">
      <t>ホン</t>
    </rPh>
    <rPh sb="5" eb="7">
      <t>キョウイク</t>
    </rPh>
    <rPh sb="13" eb="15">
      <t>タイショウ</t>
    </rPh>
    <rPh sb="15" eb="17">
      <t>カモク</t>
    </rPh>
    <rPh sb="18" eb="19">
      <t>カギ</t>
    </rPh>
    <rPh sb="22" eb="24">
      <t>ジュギョウ</t>
    </rPh>
    <rPh sb="24" eb="26">
      <t>ナイヨウ</t>
    </rPh>
    <rPh sb="27" eb="29">
      <t>スウリ</t>
    </rPh>
    <rPh sb="42" eb="44">
      <t>カンレン</t>
    </rPh>
    <rPh sb="46" eb="48">
      <t>ジュギョウ</t>
    </rPh>
    <rPh sb="48" eb="50">
      <t>ナイヨウ</t>
    </rPh>
    <rPh sb="51" eb="52">
      <t>フク</t>
    </rPh>
    <rPh sb="53" eb="55">
      <t>バアイ</t>
    </rPh>
    <rPh sb="61" eb="63">
      <t>ジュギョウ</t>
    </rPh>
    <rPh sb="63" eb="65">
      <t>モクテキ</t>
    </rPh>
    <rPh sb="65" eb="66">
      <t>ラン</t>
    </rPh>
    <rPh sb="95" eb="97">
      <t>メイジ</t>
    </rPh>
    <rPh sb="102" eb="104">
      <t>サクセイ</t>
    </rPh>
    <rPh sb="111" eb="112">
      <t>サダ</t>
    </rPh>
    <rPh sb="114" eb="117">
      <t>ゼンガクテキ</t>
    </rPh>
    <rPh sb="119" eb="121">
      <t>スウリ</t>
    </rPh>
    <rPh sb="134" eb="136">
      <t>キョウイク</t>
    </rPh>
    <rPh sb="137" eb="139">
      <t>ジュウシ</t>
    </rPh>
    <rPh sb="146" eb="148">
      <t>ガクセイ</t>
    </rPh>
    <rPh sb="149" eb="151">
      <t>メイジ</t>
    </rPh>
    <rPh sb="157" eb="158">
      <t>ネン</t>
    </rPh>
    <rPh sb="158" eb="160">
      <t>ゼンキ</t>
    </rPh>
    <rPh sb="160" eb="162">
      <t>キョウヨウ</t>
    </rPh>
    <rPh sb="162" eb="164">
      <t>キソ</t>
    </rPh>
    <rPh sb="164" eb="166">
      <t>カモク</t>
    </rPh>
    <rPh sb="167" eb="170">
      <t>ニンゲンリョク</t>
    </rPh>
    <rPh sb="170" eb="172">
      <t>ガイロン</t>
    </rPh>
    <rPh sb="260" eb="261">
      <t>ホン</t>
    </rPh>
    <rPh sb="261" eb="263">
      <t>キョウイク</t>
    </rPh>
    <rPh sb="269" eb="271">
      <t>センヨウ</t>
    </rPh>
    <rPh sb="275" eb="276">
      <t>モウ</t>
    </rPh>
    <rPh sb="284" eb="287">
      <t>ジュウヨウセイ</t>
    </rPh>
    <rPh sb="288" eb="290">
      <t>ナイヨウ</t>
    </rPh>
    <rPh sb="291" eb="293">
      <t>シュウチ</t>
    </rPh>
    <phoneticPr fontId="1"/>
  </si>
  <si>
    <t>本教育プログラムは令和2年度入学生より対象としているが、修了に必要となる授業科目「社会人になるためのデータサイエンス入門」は令和3年度より開講している。目標を実現するために、令和3年度の開講にあたっては、学生が履修しやすいように各学部の時間割編成を踏まえて、学部毎にクラスを設定している。また、授業管理システムLMS（Google Classroom）を導入しており、授業内外での学修指導や質問等をいつでも気軽に受けられるようにしたり、学習指導室（アクティブラーニング室）を併設した教育推進センターに窓口を設け学修サポートを受けやすい体制を整え、学生のプログラム履修を促進している。令和4年度以降は開講前の各学科オリエンテーションにおいて、プログラム履修を促す案内資料を配布することにより、履修率の向上を図る。さらに令和5年度入学生より教育プログラムを全学必修化する計画であり、学年進行により履修率の向上を図る予定である。</t>
    <rPh sb="0" eb="1">
      <t>ホン</t>
    </rPh>
    <rPh sb="1" eb="3">
      <t>キョウイク</t>
    </rPh>
    <rPh sb="9" eb="11">
      <t>レイワ</t>
    </rPh>
    <rPh sb="12" eb="14">
      <t>ネンド</t>
    </rPh>
    <rPh sb="14" eb="17">
      <t>ニュウガクセイ</t>
    </rPh>
    <rPh sb="19" eb="21">
      <t>タイショウ</t>
    </rPh>
    <rPh sb="28" eb="30">
      <t>シュウリョウ</t>
    </rPh>
    <rPh sb="31" eb="33">
      <t>ヒツヨウ</t>
    </rPh>
    <rPh sb="36" eb="38">
      <t>ジュギョウ</t>
    </rPh>
    <rPh sb="38" eb="40">
      <t>カモク</t>
    </rPh>
    <rPh sb="41" eb="43">
      <t>シャカイ</t>
    </rPh>
    <rPh sb="43" eb="60">
      <t>ジンニナルタメノデータサイエンスニュウモン</t>
    </rPh>
    <rPh sb="62" eb="64">
      <t>レイワ</t>
    </rPh>
    <rPh sb="65" eb="67">
      <t>ネンド</t>
    </rPh>
    <rPh sb="69" eb="71">
      <t>カイコウ</t>
    </rPh>
    <rPh sb="93" eb="95">
      <t>カイコウ</t>
    </rPh>
    <rPh sb="102" eb="104">
      <t>ガクセイ</t>
    </rPh>
    <rPh sb="105" eb="107">
      <t>リシュウ</t>
    </rPh>
    <rPh sb="114" eb="117">
      <t>カクガクブ</t>
    </rPh>
    <rPh sb="118" eb="121">
      <t>ジカンワリ</t>
    </rPh>
    <rPh sb="121" eb="123">
      <t>ヘンセイ</t>
    </rPh>
    <rPh sb="124" eb="125">
      <t>フ</t>
    </rPh>
    <rPh sb="129" eb="131">
      <t>ガクブ</t>
    </rPh>
    <rPh sb="131" eb="132">
      <t>ゴト</t>
    </rPh>
    <rPh sb="137" eb="139">
      <t>セッテイ</t>
    </rPh>
    <rPh sb="177" eb="179">
      <t>ドウニュウ</t>
    </rPh>
    <rPh sb="184" eb="186">
      <t>ジュギョウ</t>
    </rPh>
    <rPh sb="186" eb="188">
      <t>ナイガイ</t>
    </rPh>
    <rPh sb="190" eb="192">
      <t>ガクシュウ</t>
    </rPh>
    <rPh sb="192" eb="194">
      <t>シドウ</t>
    </rPh>
    <rPh sb="195" eb="197">
      <t>シツモン</t>
    </rPh>
    <rPh sb="197" eb="198">
      <t>トウ</t>
    </rPh>
    <rPh sb="203" eb="205">
      <t>キガル</t>
    </rPh>
    <rPh sb="206" eb="207">
      <t>ウ</t>
    </rPh>
    <rPh sb="218" eb="220">
      <t>ガクシュウ</t>
    </rPh>
    <rPh sb="220" eb="223">
      <t>シドウシツ</t>
    </rPh>
    <rPh sb="234" eb="235">
      <t>シツ</t>
    </rPh>
    <rPh sb="237" eb="239">
      <t>ヘイセツ</t>
    </rPh>
    <rPh sb="241" eb="243">
      <t>キョウイク</t>
    </rPh>
    <rPh sb="243" eb="245">
      <t>スイシン</t>
    </rPh>
    <rPh sb="250" eb="252">
      <t>マドグチ</t>
    </rPh>
    <rPh sb="253" eb="254">
      <t>モウ</t>
    </rPh>
    <rPh sb="255" eb="257">
      <t>ガクシュウ</t>
    </rPh>
    <rPh sb="262" eb="263">
      <t>ウ</t>
    </rPh>
    <rPh sb="267" eb="269">
      <t>タイセイ</t>
    </rPh>
    <rPh sb="270" eb="271">
      <t>トトノ</t>
    </rPh>
    <rPh sb="291" eb="293">
      <t>レイワ</t>
    </rPh>
    <rPh sb="294" eb="296">
      <t>ネンド</t>
    </rPh>
    <rPh sb="296" eb="298">
      <t>イコウ</t>
    </rPh>
    <rPh sb="325" eb="327">
      <t>リシュウ</t>
    </rPh>
    <rPh sb="328" eb="329">
      <t>ウナガ</t>
    </rPh>
    <rPh sb="330" eb="332">
      <t>アンナイ</t>
    </rPh>
    <rPh sb="332" eb="334">
      <t>シリョウ</t>
    </rPh>
    <rPh sb="335" eb="337">
      <t>ハイフ</t>
    </rPh>
    <rPh sb="345" eb="347">
      <t>リシュウ</t>
    </rPh>
    <rPh sb="347" eb="348">
      <t>リツ</t>
    </rPh>
    <rPh sb="349" eb="351">
      <t>コウジョウ</t>
    </rPh>
    <rPh sb="352" eb="353">
      <t>ハカ</t>
    </rPh>
    <rPh sb="363" eb="366">
      <t>ニュウガクセイ</t>
    </rPh>
    <rPh sb="368" eb="370">
      <t>キョウイク</t>
    </rPh>
    <rPh sb="376" eb="378">
      <t>ゼンガク</t>
    </rPh>
    <rPh sb="378" eb="381">
      <t>ヒッシュウカ</t>
    </rPh>
    <rPh sb="383" eb="385">
      <t>ケイカク</t>
    </rPh>
    <rPh sb="389" eb="391">
      <t>ガクネン</t>
    </rPh>
    <rPh sb="391" eb="393">
      <t>シンコウ</t>
    </rPh>
    <rPh sb="396" eb="398">
      <t>リシュウ</t>
    </rPh>
    <rPh sb="398" eb="399">
      <t>リツ</t>
    </rPh>
    <rPh sb="400" eb="402">
      <t>コウジョウ</t>
    </rPh>
    <rPh sb="403" eb="404">
      <t>ハカ</t>
    </rPh>
    <rPh sb="405" eb="407">
      <t>ヨテイ</t>
    </rPh>
    <phoneticPr fontId="1"/>
  </si>
  <si>
    <t>学生が履修しやすいように各学部の時間割編成を踏まえて、授業科目「社会人になるためのデータサイエンス入門」は学部毎にクラスを設定しているが、履修希望者が増加した場合は、クラスを増設したり、TA（ティーチング・アシスタント）を配置し指導に支障がないようにするなど、希望する学生全員が受講できるようフレキシブルに対応する体制を整えている。また、授業管理システムLMS（Google Classroom）を導入済みであり、講義部分については、担当教員によりオンデマンド教材化を図っており、クラス増設となる場合でも、教育の質のばらつきが発生しないよう工夫している。教育プログラムの受講状況などは、本プログラムの推進部門である教育推進センター教育支援部門で随時把握しており、必要な措置を講じながら全学的な履修を支援・促進している。</t>
    <rPh sb="27" eb="29">
      <t>ジュギョウ</t>
    </rPh>
    <rPh sb="29" eb="31">
      <t>カモク</t>
    </rPh>
    <rPh sb="69" eb="71">
      <t>リシュウ</t>
    </rPh>
    <rPh sb="71" eb="74">
      <t>キボウシャ</t>
    </rPh>
    <rPh sb="75" eb="77">
      <t>ゾウカ</t>
    </rPh>
    <rPh sb="79" eb="81">
      <t>バアイ</t>
    </rPh>
    <rPh sb="87" eb="89">
      <t>ゾウセツ</t>
    </rPh>
    <rPh sb="111" eb="113">
      <t>ハイチ</t>
    </rPh>
    <rPh sb="114" eb="116">
      <t>シドウ</t>
    </rPh>
    <rPh sb="117" eb="119">
      <t>シショウ</t>
    </rPh>
    <rPh sb="130" eb="132">
      <t>キボウ</t>
    </rPh>
    <rPh sb="134" eb="136">
      <t>ガクセイ</t>
    </rPh>
    <rPh sb="136" eb="138">
      <t>ゼンイン</t>
    </rPh>
    <rPh sb="139" eb="141">
      <t>ジュコウ</t>
    </rPh>
    <rPh sb="153" eb="155">
      <t>タイオウ</t>
    </rPh>
    <rPh sb="157" eb="159">
      <t>タイセイ</t>
    </rPh>
    <rPh sb="160" eb="161">
      <t>トトノ</t>
    </rPh>
    <rPh sb="199" eb="201">
      <t>ドウニュウ</t>
    </rPh>
    <rPh sb="201" eb="202">
      <t>ズ</t>
    </rPh>
    <rPh sb="207" eb="209">
      <t>コウギ</t>
    </rPh>
    <rPh sb="209" eb="211">
      <t>ブブン</t>
    </rPh>
    <rPh sb="217" eb="219">
      <t>タントウ</t>
    </rPh>
    <rPh sb="219" eb="221">
      <t>キョウイン</t>
    </rPh>
    <rPh sb="230" eb="232">
      <t>キョウザイ</t>
    </rPh>
    <rPh sb="232" eb="233">
      <t>カ</t>
    </rPh>
    <rPh sb="234" eb="235">
      <t>ハカ</t>
    </rPh>
    <rPh sb="243" eb="245">
      <t>ゾウセツ</t>
    </rPh>
    <rPh sb="248" eb="250">
      <t>バアイ</t>
    </rPh>
    <rPh sb="253" eb="255">
      <t>キョウイク</t>
    </rPh>
    <rPh sb="256" eb="257">
      <t>シツ</t>
    </rPh>
    <rPh sb="263" eb="265">
      <t>ハッセイ</t>
    </rPh>
    <rPh sb="270" eb="272">
      <t>クフウ</t>
    </rPh>
    <rPh sb="277" eb="279">
      <t>キョウイク</t>
    </rPh>
    <rPh sb="285" eb="287">
      <t>ジュコウ</t>
    </rPh>
    <rPh sb="287" eb="289">
      <t>ジョウキョウ</t>
    </rPh>
    <rPh sb="293" eb="294">
      <t>ホン</t>
    </rPh>
    <rPh sb="300" eb="302">
      <t>スイシン</t>
    </rPh>
    <rPh sb="302" eb="304">
      <t>ブモン</t>
    </rPh>
    <rPh sb="307" eb="311">
      <t>キョウイクスイシン</t>
    </rPh>
    <rPh sb="315" eb="317">
      <t>キョウイク</t>
    </rPh>
    <rPh sb="317" eb="319">
      <t>シエン</t>
    </rPh>
    <rPh sb="319" eb="321">
      <t>ブモン</t>
    </rPh>
    <rPh sb="322" eb="324">
      <t>ズイジ</t>
    </rPh>
    <rPh sb="324" eb="326">
      <t>ハアク</t>
    </rPh>
    <rPh sb="331" eb="333">
      <t>ヒツヨウ</t>
    </rPh>
    <rPh sb="334" eb="336">
      <t>ソチ</t>
    </rPh>
    <rPh sb="337" eb="338">
      <t>コウ</t>
    </rPh>
    <phoneticPr fontId="1"/>
  </si>
  <si>
    <t>本教育プログラムの授業「社会人になるためのデータサイエンス入門」は授業管理システムLMS（Google Classroom）にアーカイブを蓄積しており、学生が講義を閲覧可能な環境を構築している。また、サポート体制として、数理・データサイエンス・AI教育の専任教員を配置するとともに、教育推進センターに担当職員を配置し学修サポートを受けやすい体制を整えている。</t>
    <rPh sb="12" eb="14">
      <t>シャカイ</t>
    </rPh>
    <rPh sb="14" eb="31">
      <t>ジンニナルタメノデータサイエンスニュウモン</t>
    </rPh>
    <rPh sb="104" eb="106">
      <t>タイセイ</t>
    </rPh>
    <rPh sb="150" eb="152">
      <t>タントウ</t>
    </rPh>
    <rPh sb="152" eb="154">
      <t>ショクイン</t>
    </rPh>
    <rPh sb="155" eb="157">
      <t>ハイチ</t>
    </rPh>
    <phoneticPr fontId="1"/>
  </si>
  <si>
    <t>本教育プログラムの授業「社会人になるためのデータサイエンス入門」は授業管理システムLMS（Google Classroom）を導入しており、授業内外での学修指導や質問等をいつでも気軽にチャット形式等で受けられるようにしている。また、授業担当教員は授業時間外にもオフィスアワーを設定しており、直接研究室に学修指導や質問に行ける時間を確保している。あわせて、学習指導室（アクティブラーニング室）を併設した教育推進センターに窓口を設け、学生は気軽に訪問し、学修サポートを受けやすい体制を整えている。</t>
    <rPh sb="96" eb="98">
      <t>ケイシキ</t>
    </rPh>
    <rPh sb="98" eb="99">
      <t>トウ</t>
    </rPh>
    <rPh sb="116" eb="118">
      <t>ジュギョウ</t>
    </rPh>
    <rPh sb="118" eb="120">
      <t>タントウ</t>
    </rPh>
    <rPh sb="120" eb="122">
      <t>キョウイン</t>
    </rPh>
    <rPh sb="123" eb="125">
      <t>ジュギョウ</t>
    </rPh>
    <rPh sb="125" eb="128">
      <t>ジカンガイ</t>
    </rPh>
    <rPh sb="138" eb="140">
      <t>セッテイ</t>
    </rPh>
    <rPh sb="145" eb="147">
      <t>チョクセツ</t>
    </rPh>
    <rPh sb="147" eb="150">
      <t>ケンキュウシツ</t>
    </rPh>
    <rPh sb="151" eb="153">
      <t>ガクシュウ</t>
    </rPh>
    <rPh sb="153" eb="155">
      <t>シドウ</t>
    </rPh>
    <rPh sb="156" eb="158">
      <t>シツモン</t>
    </rPh>
    <rPh sb="159" eb="160">
      <t>イ</t>
    </rPh>
    <rPh sb="162" eb="164">
      <t>ジカン</t>
    </rPh>
    <rPh sb="165" eb="167">
      <t>カクホ</t>
    </rPh>
    <rPh sb="215" eb="217">
      <t>ガクセイ</t>
    </rPh>
    <rPh sb="218" eb="220">
      <t>キガル</t>
    </rPh>
    <rPh sb="221" eb="223">
      <t>ホウモン</t>
    </rPh>
    <phoneticPr fontId="1"/>
  </si>
  <si>
    <t>科目担当教員において、授業管理システムLMSにより、講義・演習の進捗状況や各学生の課題の提出状況、及び教員からの回答状況等をオンラインで把握することにより、授業進捗の調整や各学生に対する課題状況に適した対応を随時行った。また、教育推進センターにおいて、履修管理システムを活用して、受講者毎に履修状態や講義への出席状況、単位の取得状況を把握し、プログラムの履修・取得の状況に応じて適宜対応した。
きめ細かい対応により、令和3年度は93%と高い割合の修了者を輩出した。引き続き、オンラインと対面での指導を適切に組み合わせ、単位修得率の向上に努めることとする。</t>
    <rPh sb="208" eb="210">
      <t>レイワ</t>
    </rPh>
    <rPh sb="211" eb="213">
      <t>ネンド</t>
    </rPh>
    <phoneticPr fontId="1"/>
  </si>
  <si>
    <t>教育推進センターにおいて、履修管理システムから収集した各学生の成績をGPA評価することにより、学修の到達目標と成果を明確化し、GPA評価の継続的な蓄積（データベース化）と分析によって学習意欲の向上と継続的な学修成果の向上に努めている。
令和3年度は全体平均と比べても本科目は遜色なく学修の到達目標は達成されている。
今後は、教育推進センターにおいてアンケート結果を分析することにより、授業環境、授業計画と結果の整合性、授業の内容、わかりやすさ等を評価し、担当教員及び部門会議はフィードバックされた結果を踏まえ,次期の授業の方針・改善策を検討し、本教育プログラムの評価と改善に努めることとする。</t>
    <rPh sb="118" eb="120">
      <t>レイワ</t>
    </rPh>
    <rPh sb="121" eb="123">
      <t>ネンド</t>
    </rPh>
    <rPh sb="124" eb="126">
      <t>ゼンタイ</t>
    </rPh>
    <rPh sb="126" eb="128">
      <t>ヘイキン</t>
    </rPh>
    <rPh sb="133" eb="134">
      <t>ホン</t>
    </rPh>
    <rPh sb="134" eb="136">
      <t>カモク</t>
    </rPh>
    <phoneticPr fontId="1"/>
  </si>
  <si>
    <t>教育推進センターにおいて、毎期末に学生に対して実施する授業アンケートの分析結果を全学公表し、授業に対する学生の理解度を継続して把握している。また、授業に対する学生コメントについては担当教員にフィードバックし、担当教員が学生コメントに対する改善策を検討することで授業の理解度向上に努めている。
令和3年度の当該科目における学生の成長実感の自己評価は高いスコアを得た。
学生アンケート結果は継続的な蓄積・分析を予定しており、分析結果を学生の理解度の把握・向上に役立てる。</t>
    <phoneticPr fontId="1"/>
  </si>
  <si>
    <t>上記視点と同様の授業アンケートにより、令和3年度の学習の満足度は高いスコアを示した。成長実感のスコアと合わせ、後輩等他の学生へ推奨するに値する状況にある。
令和3年度は開講初年度であり、今後受講拡大を図っていく必要があるが、学生アンケート結果の集計結果、学生コメントを踏まえての教員の授業方針及び改善策を学内のオンライン掲示板で公開、後輩等他の学生の講義受講の推奨となるよう取り組んでいく。</t>
    <rPh sb="0" eb="2">
      <t>ジョウキ</t>
    </rPh>
    <rPh sb="2" eb="4">
      <t>シテン</t>
    </rPh>
    <phoneticPr fontId="1"/>
  </si>
  <si>
    <t>本プログラムを構成する科目「社会人になるためのデータサイエンス入門」については、令和3年度から選択科目として全学開講しており、令和4年度以降の履修者数、履修率の向上にむけてホームページでの情報公開等を行っている。令和5年度入学生からは教育プログラムの必修化を予定している。
また、全学部の教員から構成される教育推進センター教育支援部門会議を定期的に開催し、教育プログラムの構成について各分野の専門教員からの意見も取り入れながら改善策を検討しており、全学的な履修者数、履修率向上に向けた施策を推進中である。
引き続き教育推進センター教育支援部門会議において、プログラムの質保証・改善に取り組んでいく。</t>
    <phoneticPr fontId="1"/>
  </si>
  <si>
    <t>自己点検・評価委員会外部委員の意見は以下の通り。
・教育プログラムの修了者が全員在学中であるため、卒業後の進路、活躍について評価することは出来ないが、企業だけでなく社会全般における全ての構成員にデータサイエンスの素養が求められる状況から、同プログラムの取り組みには高い期待が持てる。
・選択科目であることからか、履修者の割合が芳しくないようである。履修登録に対する広報的な活動が求められる。
以上の意見を受け、令和5年度入学生からは教育プログラムの必修化を予定しているが、在学生に対しては、ホームページにおける情報公開の他、オリエンテーション等のタイミングを活かして、広報、周知徹底を行っていく。</t>
    <rPh sb="0" eb="4">
      <t>ジコテンケン</t>
    </rPh>
    <rPh sb="5" eb="10">
      <t>ヒョウカイインカイ</t>
    </rPh>
    <rPh sb="10" eb="12">
      <t>ガイブ</t>
    </rPh>
    <rPh sb="12" eb="14">
      <t>イイン</t>
    </rPh>
    <rPh sb="15" eb="17">
      <t>イケン</t>
    </rPh>
    <rPh sb="21" eb="22">
      <t>トオ</t>
    </rPh>
    <rPh sb="196" eb="198">
      <t>イジョウ</t>
    </rPh>
    <rPh sb="199" eb="201">
      <t>イケン</t>
    </rPh>
    <rPh sb="202" eb="203">
      <t>ウ</t>
    </rPh>
    <phoneticPr fontId="1"/>
  </si>
  <si>
    <t>自己点検・評価委員会外部委員の意見は以下の通り。
・現代社会における「数理・データサイエンス・AI」について学ぶ入門編として申し分ない内容と思われる。専門的知識を身に付ける前に充分なリテラシーの獲得が期待できる。
・学習方法について、知識修得のみに陥りやすい内容であっても、グループワークを適所に取り入れ議論することにより、獲得する知識の深化が期待できる。
以上の意見を受け、産業界からの視点を踏まえ、引き続き教育推進センター教育支援部門会議において、プログラムの質保証・改善に取り組んでいく。</t>
    <rPh sb="197" eb="198">
      <t>フ</t>
    </rPh>
    <phoneticPr fontId="1"/>
  </si>
  <si>
    <t>当該科目はモデルカリキュラムに対応した教科書「教養としてのデータサイエンス」（北川源四郎・竹村彰通編、講談社）を使用し、モデルカリキュラムの「導入」「基礎」「心得」に完全準拠した授業構成としている。「導入」は社会での具体例を通じて「学ぶ楽しさ」「学ぶことの意義」を理解させる内容であり、適切に運営されている。
今後は「学ぶ楽しさ」「学ぶことの意義」の理解度を学生アンケート等を通じて把握するなど、具体的なエビデンスを踏まえた改善の余地を検討していく必要がある。</t>
    <phoneticPr fontId="1"/>
  </si>
  <si>
    <t>上記「学生アンケート等を通じた学生の内容の理解度」に記した授業アンケートにより、令和3年度の授業の工夫は高いスコアを示した。学修成果の達成度と合わせて、内容・水準を維持しつつ、「分かりやすい」授業の工夫がなされており、適切に運営されている。
学生アンケート結果は継続的な蓄積・分析を予定しており、分析結果を分かりやすい授業の工夫に役立てる。</t>
    <rPh sb="0" eb="2">
      <t>ジョウキ</t>
    </rPh>
    <rPh sb="26" eb="27">
      <t>シル</t>
    </rPh>
    <phoneticPr fontId="1"/>
  </si>
  <si>
    <t>大分県大分市大字一木1727－162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</si>
</sst>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
      <sz val="9"/>
      <name val="ＭＳ Ｐゴシック"/>
      <family val="2"/>
      <charset val="128"/>
      <scheme val="minor"/>
    </font>
    <font>
      <u/>
      <sz val="11"/>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23" fillId="0" borderId="0" xfId="0" applyFont="1" applyAlignment="1">
      <alignment vertical="top" wrapTex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22" fillId="0" borderId="39" xfId="0" applyFont="1" applyBorder="1" applyAlignment="1">
      <alignment horizontal="left" vertical="center" wrapText="1" shrinkToFit="1"/>
    </xf>
    <xf numFmtId="0" fontId="22" fillId="0" borderId="39" xfId="0" applyFont="1" applyBorder="1" applyAlignment="1">
      <alignment horizontal="left" vertical="center" shrinkToFit="1"/>
    </xf>
    <xf numFmtId="0" fontId="22" fillId="0" borderId="38" xfId="0" applyFont="1" applyBorder="1" applyAlignment="1">
      <alignment horizontal="left" vertical="center"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19" fillId="0" borderId="39" xfId="0" applyFont="1" applyBorder="1" applyAlignment="1">
      <alignment vertical="center" wrapText="1" shrinkToFit="1"/>
    </xf>
    <xf numFmtId="0" fontId="20" fillId="0" borderId="3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20"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4" xfId="0" applyFont="1" applyBorder="1" applyAlignment="1">
      <alignment vertical="center" shrinkToFit="1"/>
    </xf>
    <xf numFmtId="0" fontId="18" fillId="0" borderId="7" xfId="0" applyFont="1" applyBorder="1" applyAlignment="1">
      <alignment vertical="top" wrapText="1" shrinkToFit="1"/>
    </xf>
    <xf numFmtId="0" fontId="18" fillId="0" borderId="8" xfId="0" applyFont="1" applyBorder="1" applyAlignment="1">
      <alignment vertical="top" wrapText="1" shrinkToFit="1"/>
    </xf>
    <xf numFmtId="0" fontId="18" fillId="0" borderId="8" xfId="0" applyFont="1" applyBorder="1" applyAlignment="1">
      <alignment vertical="top"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24" fillId="0" borderId="3" xfId="2" applyFont="1" applyBorder="1" applyAlignment="1">
      <alignment horizontal="center" vertical="center" shrinkToFit="1"/>
    </xf>
    <xf numFmtId="0" fontId="24"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s-ai@nb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bu.ac.jp/guide/disclosure/data_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nbu.ac.jp/guide/disclosure/data_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C4" sqref="C4:N4"/>
    </sheetView>
  </sheetViews>
  <sheetFormatPr defaultColWidth="9" defaultRowHeight="18.75" customHeight="1" x14ac:dyDescent="0.2"/>
  <cols>
    <col min="1" max="1" width="3.36328125" style="14" customWidth="1"/>
    <col min="2" max="2" width="11.08984375" style="14" customWidth="1"/>
    <col min="3" max="8" width="6.6328125" style="14" customWidth="1"/>
    <col min="9" max="9" width="3.36328125" style="14" customWidth="1"/>
    <col min="10" max="10" width="10" style="14" customWidth="1"/>
    <col min="11" max="11" width="3.36328125" style="14" customWidth="1"/>
    <col min="12" max="12" width="7.7265625" style="14" customWidth="1"/>
    <col min="13" max="13" width="3.36328125" style="14" customWidth="1"/>
    <col min="14" max="14" width="4.453125" style="14" customWidth="1"/>
    <col min="15" max="15" width="9" style="31"/>
    <col min="16" max="16384" width="9" style="13"/>
  </cols>
  <sheetData>
    <row r="1" spans="1:15" ht="24" customHeight="1" x14ac:dyDescent="0.2">
      <c r="M1" s="145" t="s">
        <v>25</v>
      </c>
      <c r="N1" s="145"/>
    </row>
    <row r="2" spans="1:15" ht="24" customHeight="1" x14ac:dyDescent="0.2">
      <c r="A2" s="149" t="s">
        <v>83</v>
      </c>
      <c r="B2" s="149"/>
      <c r="C2" s="149"/>
      <c r="D2" s="149"/>
      <c r="E2" s="149"/>
      <c r="F2" s="149"/>
      <c r="G2" s="149"/>
      <c r="H2" s="149"/>
      <c r="I2" s="149"/>
      <c r="J2" s="149"/>
      <c r="K2" s="149"/>
      <c r="L2" s="149"/>
      <c r="M2" s="149"/>
      <c r="N2" s="149"/>
    </row>
    <row r="3" spans="1:15" ht="24" customHeight="1" x14ac:dyDescent="0.2"/>
    <row r="4" spans="1:15" ht="24" customHeight="1" x14ac:dyDescent="0.2">
      <c r="A4" s="14" t="s">
        <v>6</v>
      </c>
      <c r="B4" s="15" t="s">
        <v>16</v>
      </c>
      <c r="C4" s="135" t="s">
        <v>149</v>
      </c>
      <c r="D4" s="136"/>
      <c r="E4" s="136"/>
      <c r="F4" s="136"/>
      <c r="G4" s="136"/>
      <c r="H4" s="136"/>
      <c r="I4" s="136"/>
      <c r="J4" s="136"/>
      <c r="K4" s="136"/>
      <c r="L4" s="136"/>
      <c r="M4" s="136"/>
      <c r="N4" s="144"/>
      <c r="O4" s="31" t="str">
        <f>IF(C4="","入力してください","")</f>
        <v/>
      </c>
    </row>
    <row r="5" spans="1:15" ht="7.5" customHeight="1" x14ac:dyDescent="0.2">
      <c r="B5" s="15"/>
      <c r="C5" s="15"/>
      <c r="D5" s="15"/>
      <c r="E5" s="16"/>
      <c r="F5" s="37"/>
      <c r="G5" s="37"/>
      <c r="H5" s="37"/>
      <c r="I5" s="37"/>
      <c r="J5" s="37"/>
      <c r="K5" s="37"/>
      <c r="L5" s="37"/>
      <c r="M5" s="37"/>
      <c r="N5" s="37"/>
    </row>
    <row r="6" spans="1:15" ht="24" customHeight="1" x14ac:dyDescent="0.2">
      <c r="A6" s="14" t="s">
        <v>48</v>
      </c>
      <c r="B6" s="15" t="s">
        <v>49</v>
      </c>
      <c r="C6" s="15"/>
      <c r="D6" s="135" t="s">
        <v>150</v>
      </c>
      <c r="E6" s="136"/>
      <c r="F6" s="136"/>
      <c r="G6" s="136"/>
      <c r="H6" s="144"/>
      <c r="I6" s="17" t="s">
        <v>86</v>
      </c>
      <c r="J6" s="37" t="s">
        <v>87</v>
      </c>
      <c r="K6" s="135" t="s">
        <v>151</v>
      </c>
      <c r="L6" s="136"/>
      <c r="M6" s="136"/>
      <c r="N6" s="144"/>
      <c r="O6" s="31" t="str">
        <f>IF(D6="","入力してください","")</f>
        <v/>
      </c>
    </row>
    <row r="7" spans="1:15" ht="7.5" customHeight="1" x14ac:dyDescent="0.2">
      <c r="B7" s="15"/>
      <c r="C7" s="15"/>
      <c r="D7" s="15"/>
      <c r="E7" s="16"/>
      <c r="F7" s="37"/>
      <c r="G7" s="37"/>
      <c r="H7" s="37"/>
      <c r="I7" s="37"/>
      <c r="J7" s="37"/>
      <c r="K7" s="37"/>
      <c r="L7" s="37"/>
      <c r="M7" s="37"/>
      <c r="N7" s="37"/>
    </row>
    <row r="8" spans="1:15" ht="24" customHeight="1" x14ac:dyDescent="0.2">
      <c r="A8" s="14" t="s">
        <v>13</v>
      </c>
      <c r="B8" s="15" t="s">
        <v>45</v>
      </c>
      <c r="C8" s="135" t="s">
        <v>204</v>
      </c>
      <c r="D8" s="136"/>
      <c r="E8" s="136"/>
      <c r="F8" s="136"/>
      <c r="G8" s="136"/>
      <c r="H8" s="136"/>
      <c r="I8" s="136"/>
      <c r="J8" s="136"/>
      <c r="K8" s="136"/>
      <c r="L8" s="136"/>
      <c r="M8" s="136"/>
      <c r="N8" s="144"/>
      <c r="O8" s="31" t="str">
        <f>IF(C8="","入力してください","")</f>
        <v/>
      </c>
    </row>
    <row r="9" spans="1:15" ht="7.5" customHeight="1" x14ac:dyDescent="0.2">
      <c r="B9" s="15"/>
      <c r="C9" s="15"/>
      <c r="D9" s="15"/>
      <c r="E9" s="16"/>
      <c r="F9" s="37"/>
      <c r="G9" s="37"/>
      <c r="H9" s="37"/>
      <c r="I9" s="37"/>
      <c r="J9" s="37"/>
      <c r="K9" s="37"/>
      <c r="L9" s="37"/>
      <c r="M9" s="37"/>
      <c r="N9" s="37"/>
    </row>
    <row r="10" spans="1:15" ht="24" customHeight="1" x14ac:dyDescent="0.2">
      <c r="A10" s="14" t="s">
        <v>11</v>
      </c>
      <c r="B10" s="15" t="s">
        <v>85</v>
      </c>
      <c r="C10" s="15"/>
      <c r="D10" s="15"/>
      <c r="E10" s="135" t="s">
        <v>164</v>
      </c>
      <c r="F10" s="136"/>
      <c r="G10" s="136"/>
      <c r="H10" s="136"/>
      <c r="I10" s="136"/>
      <c r="J10" s="136"/>
      <c r="K10" s="136"/>
      <c r="L10" s="136"/>
      <c r="M10" s="136"/>
      <c r="N10" s="144"/>
      <c r="O10" s="31" t="str">
        <f>IF(E10="","入力してください","")</f>
        <v/>
      </c>
    </row>
    <row r="11" spans="1:15" ht="7.5" customHeight="1" x14ac:dyDescent="0.2">
      <c r="B11" s="16"/>
      <c r="C11" s="16"/>
      <c r="D11" s="16"/>
      <c r="E11" s="16"/>
      <c r="F11" s="37"/>
      <c r="G11" s="37"/>
      <c r="H11" s="37"/>
      <c r="I11" s="37"/>
      <c r="J11" s="37"/>
      <c r="K11" s="37"/>
      <c r="L11" s="37"/>
      <c r="M11" s="37"/>
      <c r="N11" s="37"/>
    </row>
    <row r="12" spans="1:15" ht="24" customHeight="1" x14ac:dyDescent="0.2">
      <c r="A12" s="14" t="s">
        <v>58</v>
      </c>
      <c r="B12" s="16" t="s">
        <v>59</v>
      </c>
      <c r="C12" s="16"/>
      <c r="D12" s="16"/>
      <c r="E12" s="150" t="s">
        <v>152</v>
      </c>
      <c r="F12" s="151"/>
      <c r="G12" s="17" t="s">
        <v>96</v>
      </c>
      <c r="H12" s="14" t="s">
        <v>97</v>
      </c>
      <c r="N12" s="117" t="s">
        <v>153</v>
      </c>
      <c r="O12" s="31" t="str">
        <f>IF(E12="","入力してください","")</f>
        <v/>
      </c>
    </row>
    <row r="13" spans="1:15" ht="7.5" customHeight="1" x14ac:dyDescent="0.2">
      <c r="B13" s="16"/>
      <c r="C13" s="16"/>
      <c r="D13" s="16"/>
      <c r="E13" s="16"/>
      <c r="F13" s="37"/>
      <c r="G13" s="37"/>
      <c r="H13" s="37"/>
      <c r="I13" s="37"/>
      <c r="J13" s="37"/>
      <c r="K13" s="37"/>
      <c r="L13" s="37"/>
      <c r="M13" s="37"/>
      <c r="N13" s="37"/>
    </row>
    <row r="14" spans="1:15" ht="24" customHeight="1" x14ac:dyDescent="0.2">
      <c r="A14" s="14" t="s">
        <v>53</v>
      </c>
      <c r="B14" s="14" t="s">
        <v>0</v>
      </c>
      <c r="C14" s="146" t="s">
        <v>5</v>
      </c>
      <c r="D14" s="147"/>
      <c r="E14" s="141">
        <v>91</v>
      </c>
      <c r="F14" s="142"/>
      <c r="G14" s="18" t="s">
        <v>7</v>
      </c>
      <c r="I14" s="146" t="s">
        <v>8</v>
      </c>
      <c r="J14" s="147"/>
      <c r="K14" s="141">
        <v>59</v>
      </c>
      <c r="L14" s="148"/>
      <c r="M14" s="142"/>
      <c r="N14" s="19" t="s">
        <v>7</v>
      </c>
      <c r="O14" s="31" t="str">
        <f>IF(OR(E14="",K14=""),"入力してください","")</f>
        <v/>
      </c>
    </row>
    <row r="15" spans="1:15" ht="7.5" customHeight="1" x14ac:dyDescent="0.2">
      <c r="F15" s="20"/>
      <c r="G15" s="20"/>
      <c r="H15" s="20"/>
      <c r="I15" s="20"/>
      <c r="J15" s="20"/>
      <c r="K15" s="20"/>
      <c r="L15" s="20"/>
      <c r="M15" s="19"/>
      <c r="N15" s="19"/>
    </row>
    <row r="16" spans="1:15" ht="24" customHeight="1" x14ac:dyDescent="0.2">
      <c r="A16" s="14" t="s">
        <v>60</v>
      </c>
      <c r="B16" s="14" t="s">
        <v>70</v>
      </c>
      <c r="F16" s="20"/>
      <c r="G16" s="20"/>
      <c r="H16" s="20"/>
      <c r="I16" s="20"/>
      <c r="J16" s="20"/>
      <c r="K16" s="127">
        <v>1</v>
      </c>
      <c r="L16" s="128"/>
      <c r="M16" s="129"/>
      <c r="N16" s="19" t="s">
        <v>51</v>
      </c>
      <c r="O16" s="31" t="str">
        <f>IF(K16="","入力してください","")</f>
        <v/>
      </c>
    </row>
    <row r="17" spans="1:15" ht="7.5" customHeight="1" x14ac:dyDescent="0.2">
      <c r="F17" s="20"/>
      <c r="G17" s="20"/>
      <c r="H17" s="20"/>
      <c r="I17" s="20"/>
      <c r="J17" s="20"/>
      <c r="K17" s="20"/>
      <c r="L17" s="20"/>
      <c r="M17" s="19"/>
      <c r="N17" s="19"/>
    </row>
    <row r="18" spans="1:15" ht="24" customHeight="1" x14ac:dyDescent="0.2">
      <c r="A18" s="14" t="s">
        <v>24</v>
      </c>
      <c r="B18" s="14" t="s">
        <v>77</v>
      </c>
      <c r="E18" s="139">
        <v>560</v>
      </c>
      <c r="F18" s="140"/>
      <c r="G18" s="21" t="s">
        <v>21</v>
      </c>
      <c r="H18" s="20"/>
      <c r="K18" s="143"/>
      <c r="L18" s="143"/>
      <c r="M18" s="143"/>
      <c r="N18" s="143"/>
      <c r="O18" s="31" t="str">
        <f>IF(E18="","入力してください","")</f>
        <v/>
      </c>
    </row>
    <row r="19" spans="1:15" ht="7.5" customHeight="1" x14ac:dyDescent="0.2">
      <c r="E19" s="10"/>
      <c r="F19" s="20"/>
      <c r="G19" s="20"/>
      <c r="L19" s="36"/>
      <c r="M19" s="36"/>
      <c r="N19" s="22"/>
    </row>
    <row r="20" spans="1:15" ht="24" customHeight="1" x14ac:dyDescent="0.2">
      <c r="A20" s="14" t="s">
        <v>76</v>
      </c>
      <c r="B20" s="14" t="s">
        <v>78</v>
      </c>
      <c r="E20" s="10"/>
      <c r="F20" s="20"/>
      <c r="G20" s="20"/>
      <c r="H20" s="14" t="s">
        <v>52</v>
      </c>
      <c r="J20" s="130">
        <f>C22+I22+C24+I24</f>
        <v>2419</v>
      </c>
      <c r="K20" s="131"/>
      <c r="L20" s="132"/>
      <c r="M20" s="36" t="s">
        <v>51</v>
      </c>
      <c r="N20" s="22"/>
      <c r="O20" s="31" t="str">
        <f>IF(J20="","入力してください","")</f>
        <v/>
      </c>
    </row>
    <row r="21" spans="1:15" ht="7.5" customHeight="1" x14ac:dyDescent="0.2">
      <c r="E21" s="10"/>
      <c r="F21" s="20"/>
      <c r="G21" s="20"/>
      <c r="L21" s="36"/>
      <c r="M21" s="36"/>
      <c r="N21" s="22"/>
    </row>
    <row r="22" spans="1:15" ht="24" customHeight="1" x14ac:dyDescent="0.2">
      <c r="B22" s="29" t="s">
        <v>17</v>
      </c>
      <c r="C22" s="141">
        <v>530</v>
      </c>
      <c r="D22" s="142"/>
      <c r="E22" s="10" t="s">
        <v>22</v>
      </c>
      <c r="F22" s="20"/>
      <c r="G22" s="133" t="s">
        <v>18</v>
      </c>
      <c r="H22" s="133"/>
      <c r="I22" s="141">
        <v>673</v>
      </c>
      <c r="J22" s="142"/>
      <c r="K22" s="17" t="s">
        <v>22</v>
      </c>
      <c r="M22" s="36"/>
      <c r="N22" s="22"/>
    </row>
    <row r="23" spans="1:15" ht="7.5" customHeight="1" x14ac:dyDescent="0.2">
      <c r="B23" s="29"/>
      <c r="C23" s="11"/>
      <c r="D23" s="11"/>
      <c r="E23" s="10"/>
      <c r="F23" s="20"/>
      <c r="G23" s="36"/>
      <c r="H23" s="36"/>
      <c r="I23" s="11"/>
      <c r="J23" s="11"/>
      <c r="K23" s="17"/>
      <c r="M23" s="36"/>
      <c r="N23" s="22"/>
    </row>
    <row r="24" spans="1:15" ht="24" customHeight="1" x14ac:dyDescent="0.2">
      <c r="B24" s="29" t="s">
        <v>19</v>
      </c>
      <c r="C24" s="141">
        <v>591</v>
      </c>
      <c r="D24" s="142"/>
      <c r="E24" s="10" t="s">
        <v>22</v>
      </c>
      <c r="F24" s="20"/>
      <c r="G24" s="133" t="s">
        <v>20</v>
      </c>
      <c r="H24" s="133"/>
      <c r="I24" s="141">
        <v>625</v>
      </c>
      <c r="J24" s="142"/>
      <c r="K24" s="17" t="s">
        <v>22</v>
      </c>
      <c r="M24" s="36"/>
      <c r="N24" s="22"/>
    </row>
    <row r="25" spans="1:15" ht="7.5" customHeight="1" x14ac:dyDescent="0.2">
      <c r="B25" s="29"/>
      <c r="C25" s="11"/>
      <c r="D25" s="11"/>
      <c r="E25" s="10"/>
      <c r="F25" s="20"/>
      <c r="G25" s="36"/>
      <c r="H25" s="36"/>
      <c r="I25" s="11"/>
      <c r="J25" s="11"/>
      <c r="K25" s="17"/>
      <c r="M25" s="36"/>
      <c r="N25" s="22"/>
    </row>
    <row r="26" spans="1:15" ht="24" customHeight="1" x14ac:dyDescent="0.2">
      <c r="B26" s="29" t="s">
        <v>46</v>
      </c>
      <c r="C26" s="139"/>
      <c r="D26" s="140"/>
      <c r="E26" s="10" t="s">
        <v>7</v>
      </c>
      <c r="F26" s="20"/>
      <c r="G26" s="133" t="s">
        <v>47</v>
      </c>
      <c r="H26" s="133"/>
      <c r="I26" s="139"/>
      <c r="J26" s="140"/>
      <c r="K26" s="17" t="s">
        <v>7</v>
      </c>
      <c r="M26" s="36"/>
      <c r="N26" s="22"/>
    </row>
    <row r="27" spans="1:15" ht="7.5" customHeight="1" x14ac:dyDescent="0.2">
      <c r="F27" s="20"/>
      <c r="G27" s="20"/>
      <c r="M27" s="23"/>
      <c r="N27" s="23"/>
    </row>
    <row r="28" spans="1:15" ht="24" customHeight="1" x14ac:dyDescent="0.2">
      <c r="A28" s="14" t="s">
        <v>50</v>
      </c>
      <c r="B28" s="15" t="s">
        <v>75</v>
      </c>
      <c r="C28" s="15"/>
      <c r="D28" s="15"/>
      <c r="E28" s="15"/>
      <c r="F28" s="17"/>
      <c r="G28" s="37"/>
      <c r="H28" s="37"/>
      <c r="I28" s="37"/>
      <c r="J28" s="24"/>
      <c r="K28" s="24"/>
      <c r="L28" s="24"/>
      <c r="M28" s="24"/>
      <c r="N28" s="24"/>
    </row>
    <row r="29" spans="1:15" s="14" customFormat="1" ht="24" customHeight="1" x14ac:dyDescent="0.2">
      <c r="B29" s="134" t="s">
        <v>74</v>
      </c>
      <c r="C29" s="134"/>
      <c r="D29" s="135" t="s">
        <v>157</v>
      </c>
      <c r="E29" s="136"/>
      <c r="F29" s="136"/>
      <c r="G29" s="137" t="s">
        <v>23</v>
      </c>
      <c r="H29" s="134"/>
      <c r="I29" s="138"/>
      <c r="J29" s="135" t="s">
        <v>158</v>
      </c>
      <c r="K29" s="136"/>
      <c r="L29" s="136"/>
      <c r="M29" s="136"/>
      <c r="N29" s="144"/>
      <c r="O29" s="31" t="str">
        <f>IF(OR(D29="",J29=""),"入力してください","")</f>
        <v/>
      </c>
    </row>
    <row r="30" spans="1:15" ht="7.5" customHeight="1" x14ac:dyDescent="0.2">
      <c r="F30" s="20"/>
      <c r="G30" s="20"/>
      <c r="M30" s="23"/>
      <c r="N30" s="23"/>
    </row>
    <row r="31" spans="1:15" ht="24" customHeight="1" x14ac:dyDescent="0.2">
      <c r="A31" s="14" t="s">
        <v>54</v>
      </c>
      <c r="B31" s="15" t="s">
        <v>80</v>
      </c>
      <c r="C31" s="15"/>
      <c r="D31" s="15"/>
      <c r="E31" s="15"/>
      <c r="F31" s="17"/>
      <c r="G31" s="24"/>
      <c r="H31" s="24"/>
      <c r="I31" s="24"/>
      <c r="J31" s="24"/>
      <c r="K31" s="24"/>
      <c r="L31" s="24"/>
      <c r="M31" s="24"/>
      <c r="N31" s="24"/>
    </row>
    <row r="32" spans="1:15" ht="24" customHeight="1" x14ac:dyDescent="0.2">
      <c r="B32" s="135" t="s">
        <v>156</v>
      </c>
      <c r="C32" s="136"/>
      <c r="D32" s="136"/>
      <c r="E32" s="136"/>
      <c r="F32" s="136"/>
      <c r="G32" s="136"/>
      <c r="H32" s="136"/>
      <c r="I32" s="136"/>
      <c r="J32" s="136"/>
      <c r="K32" s="136"/>
      <c r="L32" s="136"/>
      <c r="M32" s="136"/>
      <c r="N32" s="144"/>
      <c r="O32" s="31" t="str">
        <f>IF(B32="","入力してください","")</f>
        <v/>
      </c>
    </row>
    <row r="33" spans="1:15" ht="7.5" customHeight="1" x14ac:dyDescent="0.2">
      <c r="B33" s="12"/>
      <c r="C33" s="12"/>
      <c r="D33" s="12"/>
      <c r="E33" s="12"/>
      <c r="F33" s="12"/>
      <c r="G33" s="12"/>
      <c r="H33" s="12"/>
      <c r="I33" s="12"/>
      <c r="J33" s="12"/>
      <c r="K33" s="12"/>
      <c r="L33" s="12"/>
      <c r="M33" s="12"/>
      <c r="N33" s="12"/>
    </row>
    <row r="34" spans="1:15" s="14" customFormat="1" ht="24" customHeight="1" x14ac:dyDescent="0.2">
      <c r="B34" s="134" t="s">
        <v>74</v>
      </c>
      <c r="C34" s="134"/>
      <c r="D34" s="135" t="s">
        <v>154</v>
      </c>
      <c r="E34" s="136"/>
      <c r="F34" s="136"/>
      <c r="G34" s="137" t="s">
        <v>55</v>
      </c>
      <c r="H34" s="134"/>
      <c r="I34" s="138"/>
      <c r="J34" s="135" t="s">
        <v>155</v>
      </c>
      <c r="K34" s="136"/>
      <c r="L34" s="136"/>
      <c r="M34" s="136"/>
      <c r="N34" s="144"/>
      <c r="O34" s="31" t="str">
        <f>IF(OR(D34="",J34=""),"入力してください","")</f>
        <v/>
      </c>
    </row>
    <row r="35" spans="1:15" ht="7.5" customHeight="1" x14ac:dyDescent="0.2">
      <c r="F35" s="37"/>
      <c r="G35" s="37"/>
      <c r="H35" s="37"/>
      <c r="I35" s="37"/>
      <c r="J35" s="37"/>
      <c r="K35" s="37"/>
      <c r="L35" s="37"/>
      <c r="M35" s="37"/>
      <c r="N35" s="37"/>
    </row>
    <row r="36" spans="1:15" ht="24" customHeight="1" x14ac:dyDescent="0.2">
      <c r="A36" s="14" t="s">
        <v>61</v>
      </c>
      <c r="B36" s="14" t="s">
        <v>81</v>
      </c>
      <c r="M36" s="23"/>
      <c r="N36" s="23"/>
    </row>
    <row r="37" spans="1:15" ht="24" customHeight="1" x14ac:dyDescent="0.2">
      <c r="B37" s="135" t="s">
        <v>165</v>
      </c>
      <c r="C37" s="136"/>
      <c r="D37" s="136"/>
      <c r="E37" s="136"/>
      <c r="F37" s="136"/>
      <c r="G37" s="136"/>
      <c r="H37" s="136"/>
      <c r="I37" s="136"/>
      <c r="J37" s="136"/>
      <c r="K37" s="136"/>
      <c r="L37" s="136"/>
      <c r="M37" s="136"/>
      <c r="N37" s="144"/>
      <c r="O37" s="31" t="str">
        <f>IF(B37="","入力してください","")</f>
        <v/>
      </c>
    </row>
    <row r="38" spans="1:15" ht="7.5" customHeight="1" x14ac:dyDescent="0.2">
      <c r="F38" s="37"/>
      <c r="G38" s="37"/>
      <c r="H38" s="37"/>
      <c r="I38" s="37"/>
      <c r="J38" s="37"/>
      <c r="K38" s="37"/>
      <c r="L38" s="37"/>
      <c r="M38" s="37"/>
      <c r="N38" s="37"/>
    </row>
    <row r="39" spans="1:15" s="14" customFormat="1" ht="24" customHeight="1" x14ac:dyDescent="0.2">
      <c r="B39" s="134" t="s">
        <v>74</v>
      </c>
      <c r="C39" s="134"/>
      <c r="D39" s="135" t="s">
        <v>157</v>
      </c>
      <c r="E39" s="136"/>
      <c r="F39" s="136"/>
      <c r="G39" s="137" t="s">
        <v>55</v>
      </c>
      <c r="H39" s="134"/>
      <c r="I39" s="138"/>
      <c r="J39" s="135" t="s">
        <v>158</v>
      </c>
      <c r="K39" s="136"/>
      <c r="L39" s="136"/>
      <c r="M39" s="136"/>
      <c r="N39" s="144"/>
      <c r="O39" s="31" t="str">
        <f>IF(OR(D39="",J39=""),"入力してください","")</f>
        <v/>
      </c>
    </row>
    <row r="40" spans="1:15" ht="7.5" customHeight="1" x14ac:dyDescent="0.2">
      <c r="F40" s="37"/>
      <c r="G40" s="37"/>
      <c r="H40" s="37"/>
      <c r="I40" s="37"/>
      <c r="J40" s="37"/>
      <c r="K40" s="37"/>
      <c r="L40" s="37"/>
      <c r="M40" s="37"/>
      <c r="N40" s="37"/>
    </row>
    <row r="41" spans="1:15" ht="24" customHeight="1" x14ac:dyDescent="0.2">
      <c r="A41" s="14" t="s">
        <v>88</v>
      </c>
      <c r="B41" s="73" t="s">
        <v>69</v>
      </c>
      <c r="E41" s="74"/>
      <c r="F41" s="135" t="s">
        <v>159</v>
      </c>
      <c r="G41" s="136"/>
      <c r="H41" s="136"/>
      <c r="I41" s="136"/>
      <c r="J41" s="136"/>
      <c r="K41" s="136"/>
      <c r="L41" s="136"/>
      <c r="M41" s="136"/>
      <c r="N41" s="144"/>
      <c r="O41" s="31" t="str">
        <f>IF(F41="","入力してください","")</f>
        <v/>
      </c>
    </row>
    <row r="42" spans="1:15" ht="7.5" customHeight="1" x14ac:dyDescent="0.2">
      <c r="F42" s="37"/>
      <c r="G42" s="37"/>
      <c r="H42" s="37"/>
      <c r="I42" s="37"/>
      <c r="J42" s="37"/>
      <c r="K42" s="37"/>
      <c r="L42" s="37"/>
      <c r="M42" s="37"/>
      <c r="N42" s="37"/>
    </row>
    <row r="43" spans="1:15" ht="24" customHeight="1" x14ac:dyDescent="0.2">
      <c r="A43" s="14" t="s">
        <v>98</v>
      </c>
    </row>
    <row r="44" spans="1:15" ht="24" customHeight="1" x14ac:dyDescent="0.2">
      <c r="B44" s="30" t="s">
        <v>1</v>
      </c>
      <c r="C44" s="158" t="s">
        <v>160</v>
      </c>
      <c r="D44" s="159"/>
      <c r="E44" s="159"/>
      <c r="F44" s="159"/>
      <c r="G44" s="159"/>
      <c r="H44" s="159"/>
      <c r="I44" s="26" t="s">
        <v>2</v>
      </c>
      <c r="J44" s="27"/>
      <c r="K44" s="135" t="s">
        <v>161</v>
      </c>
      <c r="L44" s="136"/>
      <c r="M44" s="136"/>
      <c r="N44" s="144"/>
      <c r="O44" s="31" t="str">
        <f>IF(OR(C44="",K44=""),"入力してください","")</f>
        <v/>
      </c>
    </row>
    <row r="45" spans="1:15" ht="24" customHeight="1" x14ac:dyDescent="0.2">
      <c r="B45" s="25" t="s">
        <v>4</v>
      </c>
      <c r="C45" s="152" t="s">
        <v>162</v>
      </c>
      <c r="D45" s="153"/>
      <c r="E45" s="153"/>
      <c r="F45" s="153"/>
      <c r="G45" s="153"/>
      <c r="H45" s="154"/>
      <c r="I45" s="26" t="s">
        <v>3</v>
      </c>
      <c r="J45" s="27"/>
      <c r="K45" s="155" t="s">
        <v>163</v>
      </c>
      <c r="L45" s="156"/>
      <c r="M45" s="156"/>
      <c r="N45" s="157"/>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Normal="100" zoomScaleSheetLayoutView="100" workbookViewId="0">
      <selection activeCell="O4" sqref="O4:Z4"/>
    </sheetView>
  </sheetViews>
  <sheetFormatPr defaultColWidth="9" defaultRowHeight="18.75" customHeight="1" x14ac:dyDescent="0.2"/>
  <cols>
    <col min="1" max="1" width="2.453125" style="13" customWidth="1"/>
    <col min="2" max="2" width="27.7265625" style="13" customWidth="1"/>
    <col min="3" max="13" width="3.36328125" style="13" customWidth="1"/>
    <col min="14" max="14" width="8.90625" style="13" customWidth="1"/>
    <col min="15" max="15" width="18.90625" style="13" customWidth="1"/>
    <col min="16" max="19" width="3.36328125" style="13" customWidth="1"/>
    <col min="20" max="20" width="3.453125" style="13" customWidth="1"/>
    <col min="21" max="26" width="3.36328125" style="13" customWidth="1"/>
    <col min="27" max="16384" width="9" style="13"/>
  </cols>
  <sheetData>
    <row r="1" spans="1:26" ht="15" customHeight="1" x14ac:dyDescent="0.2">
      <c r="W1" s="181" t="s">
        <v>113</v>
      </c>
      <c r="X1" s="181"/>
      <c r="Y1" s="181"/>
      <c r="Z1" s="181"/>
    </row>
    <row r="2" spans="1:26" ht="18" customHeight="1" x14ac:dyDescent="0.2">
      <c r="A2" s="225" t="s">
        <v>67</v>
      </c>
      <c r="B2" s="225"/>
      <c r="C2" s="225"/>
      <c r="D2" s="225"/>
      <c r="E2" s="225"/>
      <c r="F2" s="225"/>
      <c r="G2" s="225"/>
      <c r="H2" s="225"/>
      <c r="I2" s="225"/>
      <c r="J2" s="225"/>
      <c r="K2" s="225"/>
      <c r="L2" s="225"/>
      <c r="M2" s="225"/>
      <c r="N2" s="225"/>
      <c r="O2" s="225"/>
      <c r="P2" s="225"/>
      <c r="Q2" s="225"/>
      <c r="R2" s="225"/>
      <c r="S2" s="225"/>
      <c r="T2" s="225"/>
      <c r="U2" s="225"/>
      <c r="V2" s="225"/>
      <c r="W2" s="225"/>
      <c r="X2" s="225"/>
      <c r="Y2" s="225"/>
      <c r="Z2" s="225"/>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27" t="s">
        <v>166</v>
      </c>
      <c r="P4" s="128"/>
      <c r="Q4" s="128"/>
      <c r="R4" s="128"/>
      <c r="S4" s="128"/>
      <c r="T4" s="128"/>
      <c r="U4" s="128"/>
      <c r="V4" s="128"/>
      <c r="W4" s="128"/>
      <c r="X4" s="128"/>
      <c r="Y4" s="128"/>
      <c r="Z4" s="129"/>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26" t="s">
        <v>171</v>
      </c>
      <c r="C6" s="227"/>
      <c r="D6" s="227"/>
      <c r="E6" s="227"/>
      <c r="F6" s="227"/>
      <c r="G6" s="227"/>
      <c r="H6" s="227"/>
      <c r="I6" s="227"/>
      <c r="J6" s="227"/>
      <c r="K6" s="227"/>
      <c r="L6" s="227"/>
      <c r="M6" s="227"/>
      <c r="N6" s="227"/>
      <c r="O6" s="227"/>
      <c r="P6" s="227"/>
      <c r="Q6" s="227"/>
      <c r="R6" s="227"/>
      <c r="S6" s="227"/>
      <c r="T6" s="227"/>
      <c r="U6" s="227"/>
      <c r="V6" s="227"/>
      <c r="W6" s="227"/>
      <c r="X6" s="227"/>
      <c r="Y6" s="227"/>
      <c r="Z6" s="228"/>
    </row>
    <row r="7" spans="1:26" ht="18" customHeight="1" x14ac:dyDescent="0.2">
      <c r="B7" s="229"/>
      <c r="C7" s="230"/>
      <c r="D7" s="230"/>
      <c r="E7" s="230"/>
      <c r="F7" s="230"/>
      <c r="G7" s="230"/>
      <c r="H7" s="230"/>
      <c r="I7" s="230"/>
      <c r="J7" s="230"/>
      <c r="K7" s="230"/>
      <c r="L7" s="230"/>
      <c r="M7" s="230"/>
      <c r="N7" s="230"/>
      <c r="O7" s="230"/>
      <c r="P7" s="230"/>
      <c r="Q7" s="230"/>
      <c r="R7" s="230"/>
      <c r="S7" s="230"/>
      <c r="T7" s="230"/>
      <c r="U7" s="230"/>
      <c r="V7" s="230"/>
      <c r="W7" s="230"/>
      <c r="X7" s="230"/>
      <c r="Y7" s="230"/>
      <c r="Z7" s="231"/>
    </row>
    <row r="8" spans="1:26" ht="18" customHeight="1" x14ac:dyDescent="0.2">
      <c r="B8" s="229"/>
      <c r="C8" s="230"/>
      <c r="D8" s="230"/>
      <c r="E8" s="230"/>
      <c r="F8" s="230"/>
      <c r="G8" s="230"/>
      <c r="H8" s="230"/>
      <c r="I8" s="230"/>
      <c r="J8" s="230"/>
      <c r="K8" s="230"/>
      <c r="L8" s="230"/>
      <c r="M8" s="230"/>
      <c r="N8" s="230"/>
      <c r="O8" s="230"/>
      <c r="P8" s="230"/>
      <c r="Q8" s="230"/>
      <c r="R8" s="230"/>
      <c r="S8" s="230"/>
      <c r="T8" s="230"/>
      <c r="U8" s="230"/>
      <c r="V8" s="230"/>
      <c r="W8" s="230"/>
      <c r="X8" s="230"/>
      <c r="Y8" s="230"/>
      <c r="Z8" s="231"/>
    </row>
    <row r="9" spans="1:26" ht="18" customHeight="1" x14ac:dyDescent="0.2">
      <c r="B9" s="229"/>
      <c r="C9" s="230"/>
      <c r="D9" s="230"/>
      <c r="E9" s="230"/>
      <c r="F9" s="230"/>
      <c r="G9" s="230"/>
      <c r="H9" s="230"/>
      <c r="I9" s="230"/>
      <c r="J9" s="230"/>
      <c r="K9" s="230"/>
      <c r="L9" s="230"/>
      <c r="M9" s="230"/>
      <c r="N9" s="230"/>
      <c r="O9" s="230"/>
      <c r="P9" s="230"/>
      <c r="Q9" s="230"/>
      <c r="R9" s="230"/>
      <c r="S9" s="230"/>
      <c r="T9" s="230"/>
      <c r="U9" s="230"/>
      <c r="V9" s="230"/>
      <c r="W9" s="230"/>
      <c r="X9" s="230"/>
      <c r="Y9" s="230"/>
      <c r="Z9" s="231"/>
    </row>
    <row r="10" spans="1:26" ht="18" customHeight="1" x14ac:dyDescent="0.2">
      <c r="B10" s="229"/>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1"/>
    </row>
    <row r="11" spans="1:26" ht="18" customHeight="1" x14ac:dyDescent="0.2">
      <c r="B11" s="233"/>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5"/>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24" t="s">
        <v>126</v>
      </c>
      <c r="B13" s="224"/>
      <c r="C13" s="224"/>
      <c r="D13" s="224"/>
      <c r="E13" s="224"/>
      <c r="F13" s="224"/>
      <c r="G13" s="224"/>
      <c r="H13" s="224"/>
      <c r="I13" s="224"/>
      <c r="J13" s="224"/>
      <c r="K13" s="224"/>
      <c r="L13" s="224"/>
      <c r="M13" s="224"/>
      <c r="N13" s="224"/>
      <c r="O13" s="224"/>
      <c r="P13" s="224"/>
      <c r="Q13" s="224"/>
      <c r="R13" s="224"/>
      <c r="S13" s="224"/>
      <c r="T13" s="224"/>
      <c r="U13" s="224"/>
      <c r="V13" s="224"/>
      <c r="W13" s="224"/>
      <c r="X13" s="224"/>
      <c r="Y13" s="224"/>
      <c r="Z13" s="224"/>
    </row>
    <row r="14" spans="1:26" ht="18" customHeight="1" x14ac:dyDescent="0.2">
      <c r="A14" s="224"/>
      <c r="B14" s="224"/>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row>
    <row r="15" spans="1:26" ht="18" customHeight="1" x14ac:dyDescent="0.2">
      <c r="A15" s="14"/>
      <c r="B15" s="127" t="s">
        <v>100</v>
      </c>
      <c r="C15" s="128"/>
      <c r="D15" s="128"/>
      <c r="E15" s="128"/>
      <c r="F15" s="129"/>
      <c r="G15" s="30" t="s">
        <v>142</v>
      </c>
      <c r="H15" s="112" t="s">
        <v>141</v>
      </c>
      <c r="I15" s="128" t="s">
        <v>101</v>
      </c>
      <c r="J15" s="128"/>
      <c r="K15" s="128"/>
      <c r="L15" s="75" t="s">
        <v>104</v>
      </c>
      <c r="M15" s="75" t="s">
        <v>107</v>
      </c>
      <c r="N15" s="127" t="s">
        <v>100</v>
      </c>
      <c r="O15" s="128"/>
      <c r="P15" s="128"/>
      <c r="Q15" s="128"/>
      <c r="R15" s="128"/>
      <c r="S15" s="129"/>
      <c r="T15" s="30" t="s">
        <v>142</v>
      </c>
      <c r="U15" s="112" t="s">
        <v>141</v>
      </c>
      <c r="V15" s="128" t="s">
        <v>101</v>
      </c>
      <c r="W15" s="128"/>
      <c r="X15" s="128"/>
      <c r="Y15" s="75" t="s">
        <v>104</v>
      </c>
      <c r="Z15" s="75" t="s">
        <v>107</v>
      </c>
    </row>
    <row r="16" spans="1:26" ht="18" customHeight="1" x14ac:dyDescent="0.2">
      <c r="A16" s="14"/>
      <c r="B16" s="182" t="s">
        <v>167</v>
      </c>
      <c r="C16" s="183"/>
      <c r="D16" s="183"/>
      <c r="E16" s="183"/>
      <c r="F16" s="184"/>
      <c r="G16" s="113">
        <v>2</v>
      </c>
      <c r="H16" s="113" t="s">
        <v>169</v>
      </c>
      <c r="I16" s="188" t="s">
        <v>168</v>
      </c>
      <c r="J16" s="189"/>
      <c r="K16" s="190"/>
      <c r="L16" s="113" t="s">
        <v>169</v>
      </c>
      <c r="M16" s="113" t="s">
        <v>169</v>
      </c>
      <c r="N16" s="160"/>
      <c r="O16" s="161"/>
      <c r="P16" s="161"/>
      <c r="Q16" s="161"/>
      <c r="R16" s="161"/>
      <c r="S16" s="162"/>
      <c r="T16" s="113"/>
      <c r="U16" s="113"/>
      <c r="V16" s="188"/>
      <c r="W16" s="189"/>
      <c r="X16" s="190"/>
      <c r="Y16" s="113"/>
      <c r="Z16" s="113"/>
    </row>
    <row r="17" spans="1:26" ht="18" customHeight="1" x14ac:dyDescent="0.2">
      <c r="A17" s="14"/>
      <c r="B17" s="175"/>
      <c r="C17" s="176"/>
      <c r="D17" s="176"/>
      <c r="E17" s="176"/>
      <c r="F17" s="177"/>
      <c r="G17" s="114"/>
      <c r="H17" s="114"/>
      <c r="I17" s="169"/>
      <c r="J17" s="170"/>
      <c r="K17" s="171"/>
      <c r="L17" s="114"/>
      <c r="M17" s="114"/>
      <c r="N17" s="163"/>
      <c r="O17" s="164"/>
      <c r="P17" s="164"/>
      <c r="Q17" s="164"/>
      <c r="R17" s="164"/>
      <c r="S17" s="165"/>
      <c r="T17" s="114"/>
      <c r="U17" s="114"/>
      <c r="V17" s="169"/>
      <c r="W17" s="170"/>
      <c r="X17" s="171"/>
      <c r="Y17" s="114"/>
      <c r="Z17" s="114"/>
    </row>
    <row r="18" spans="1:26" ht="18" customHeight="1" x14ac:dyDescent="0.2">
      <c r="A18" s="14"/>
      <c r="B18" s="175"/>
      <c r="C18" s="176"/>
      <c r="D18" s="176"/>
      <c r="E18" s="176"/>
      <c r="F18" s="177"/>
      <c r="G18" s="114"/>
      <c r="H18" s="114"/>
      <c r="I18" s="169"/>
      <c r="J18" s="170"/>
      <c r="K18" s="171"/>
      <c r="L18" s="114"/>
      <c r="M18" s="114"/>
      <c r="N18" s="163"/>
      <c r="O18" s="164"/>
      <c r="P18" s="164"/>
      <c r="Q18" s="164"/>
      <c r="R18" s="164"/>
      <c r="S18" s="165"/>
      <c r="T18" s="114"/>
      <c r="U18" s="114"/>
      <c r="V18" s="169"/>
      <c r="W18" s="170"/>
      <c r="X18" s="171"/>
      <c r="Y18" s="114"/>
      <c r="Z18" s="114"/>
    </row>
    <row r="19" spans="1:26" ht="18" customHeight="1" x14ac:dyDescent="0.2">
      <c r="A19" s="14"/>
      <c r="B19" s="175"/>
      <c r="C19" s="176"/>
      <c r="D19" s="176"/>
      <c r="E19" s="176"/>
      <c r="F19" s="177"/>
      <c r="G19" s="114"/>
      <c r="H19" s="114"/>
      <c r="I19" s="169"/>
      <c r="J19" s="170"/>
      <c r="K19" s="171"/>
      <c r="L19" s="114"/>
      <c r="M19" s="114"/>
      <c r="N19" s="163"/>
      <c r="O19" s="164"/>
      <c r="P19" s="164"/>
      <c r="Q19" s="164"/>
      <c r="R19" s="164"/>
      <c r="S19" s="165"/>
      <c r="T19" s="114"/>
      <c r="U19" s="114"/>
      <c r="V19" s="169"/>
      <c r="W19" s="170"/>
      <c r="X19" s="171"/>
      <c r="Y19" s="114"/>
      <c r="Z19" s="114"/>
    </row>
    <row r="20" spans="1:26" ht="18" customHeight="1" x14ac:dyDescent="0.2">
      <c r="A20" s="14"/>
      <c r="B20" s="175"/>
      <c r="C20" s="176"/>
      <c r="D20" s="176"/>
      <c r="E20" s="176"/>
      <c r="F20" s="177"/>
      <c r="G20" s="114"/>
      <c r="H20" s="114"/>
      <c r="I20" s="169"/>
      <c r="J20" s="170"/>
      <c r="K20" s="171"/>
      <c r="L20" s="114"/>
      <c r="M20" s="114"/>
      <c r="N20" s="163"/>
      <c r="O20" s="164"/>
      <c r="P20" s="164"/>
      <c r="Q20" s="164"/>
      <c r="R20" s="164"/>
      <c r="S20" s="165"/>
      <c r="T20" s="114"/>
      <c r="U20" s="114"/>
      <c r="V20" s="169"/>
      <c r="W20" s="170"/>
      <c r="X20" s="171"/>
      <c r="Y20" s="114"/>
      <c r="Z20" s="114"/>
    </row>
    <row r="21" spans="1:26" ht="18" customHeight="1" x14ac:dyDescent="0.2">
      <c r="A21" s="29"/>
      <c r="B21" s="175"/>
      <c r="C21" s="176"/>
      <c r="D21" s="176"/>
      <c r="E21" s="176"/>
      <c r="F21" s="177"/>
      <c r="G21" s="114"/>
      <c r="H21" s="114"/>
      <c r="I21" s="169"/>
      <c r="J21" s="170"/>
      <c r="K21" s="171"/>
      <c r="L21" s="114"/>
      <c r="M21" s="114"/>
      <c r="N21" s="163"/>
      <c r="O21" s="164"/>
      <c r="P21" s="164"/>
      <c r="Q21" s="164"/>
      <c r="R21" s="164"/>
      <c r="S21" s="165"/>
      <c r="T21" s="114"/>
      <c r="U21" s="114"/>
      <c r="V21" s="169"/>
      <c r="W21" s="170"/>
      <c r="X21" s="171"/>
      <c r="Y21" s="114"/>
      <c r="Z21" s="114"/>
    </row>
    <row r="22" spans="1:26" ht="18" customHeight="1" x14ac:dyDescent="0.2">
      <c r="A22" s="29"/>
      <c r="B22" s="178"/>
      <c r="C22" s="179"/>
      <c r="D22" s="179"/>
      <c r="E22" s="179"/>
      <c r="F22" s="180"/>
      <c r="G22" s="115"/>
      <c r="H22" s="115"/>
      <c r="I22" s="172"/>
      <c r="J22" s="173"/>
      <c r="K22" s="174"/>
      <c r="L22" s="121"/>
      <c r="M22" s="121"/>
      <c r="N22" s="166"/>
      <c r="O22" s="167"/>
      <c r="P22" s="167"/>
      <c r="Q22" s="167"/>
      <c r="R22" s="167"/>
      <c r="S22" s="168"/>
      <c r="T22" s="115"/>
      <c r="U22" s="115"/>
      <c r="V22" s="172"/>
      <c r="W22" s="173"/>
      <c r="X22" s="174"/>
      <c r="Y22" s="121"/>
      <c r="Z22" s="121"/>
    </row>
    <row r="23" spans="1:26" ht="7.5" customHeight="1" x14ac:dyDescent="0.2">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2">
      <c r="A24" s="224" t="s">
        <v>127</v>
      </c>
      <c r="B24" s="224"/>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row>
    <row r="25" spans="1:26" ht="18" customHeight="1" x14ac:dyDescent="0.2">
      <c r="A25" s="224"/>
      <c r="B25" s="224"/>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row>
    <row r="26" spans="1:26" ht="18" customHeight="1" x14ac:dyDescent="0.2">
      <c r="A26" s="14"/>
      <c r="B26" s="127" t="s">
        <v>100</v>
      </c>
      <c r="C26" s="128"/>
      <c r="D26" s="128"/>
      <c r="E26" s="128"/>
      <c r="F26" s="129"/>
      <c r="G26" s="30" t="s">
        <v>142</v>
      </c>
      <c r="H26" s="112" t="s">
        <v>141</v>
      </c>
      <c r="I26" s="128" t="s">
        <v>101</v>
      </c>
      <c r="J26" s="128"/>
      <c r="K26" s="128"/>
      <c r="L26" s="75" t="s">
        <v>128</v>
      </c>
      <c r="M26" s="75" t="s">
        <v>129</v>
      </c>
      <c r="N26" s="127" t="s">
        <v>100</v>
      </c>
      <c r="O26" s="128"/>
      <c r="P26" s="128"/>
      <c r="Q26" s="128"/>
      <c r="R26" s="128"/>
      <c r="S26" s="129"/>
      <c r="T26" s="30" t="s">
        <v>142</v>
      </c>
      <c r="U26" s="112" t="s">
        <v>141</v>
      </c>
      <c r="V26" s="128" t="s">
        <v>101</v>
      </c>
      <c r="W26" s="128"/>
      <c r="X26" s="128"/>
      <c r="Y26" s="75" t="s">
        <v>128</v>
      </c>
      <c r="Z26" s="75" t="s">
        <v>129</v>
      </c>
    </row>
    <row r="27" spans="1:26" ht="18" customHeight="1" x14ac:dyDescent="0.2">
      <c r="A27" s="14"/>
      <c r="B27" s="182" t="s">
        <v>167</v>
      </c>
      <c r="C27" s="183"/>
      <c r="D27" s="183"/>
      <c r="E27" s="183"/>
      <c r="F27" s="184"/>
      <c r="G27" s="113">
        <v>2</v>
      </c>
      <c r="H27" s="113" t="s">
        <v>169</v>
      </c>
      <c r="I27" s="188" t="s">
        <v>168</v>
      </c>
      <c r="J27" s="189"/>
      <c r="K27" s="190"/>
      <c r="L27" s="113" t="s">
        <v>169</v>
      </c>
      <c r="M27" s="113" t="s">
        <v>169</v>
      </c>
      <c r="N27" s="160"/>
      <c r="O27" s="161"/>
      <c r="P27" s="161"/>
      <c r="Q27" s="161"/>
      <c r="R27" s="161"/>
      <c r="S27" s="162"/>
      <c r="T27" s="113"/>
      <c r="U27" s="113"/>
      <c r="V27" s="188"/>
      <c r="W27" s="189"/>
      <c r="X27" s="190"/>
      <c r="Y27" s="113"/>
      <c r="Z27" s="113"/>
    </row>
    <row r="28" spans="1:26" ht="18" customHeight="1" x14ac:dyDescent="0.2">
      <c r="A28" s="14"/>
      <c r="B28" s="175"/>
      <c r="C28" s="176"/>
      <c r="D28" s="176"/>
      <c r="E28" s="176"/>
      <c r="F28" s="177"/>
      <c r="G28" s="114"/>
      <c r="H28" s="114"/>
      <c r="I28" s="169"/>
      <c r="J28" s="170"/>
      <c r="K28" s="171"/>
      <c r="L28" s="114"/>
      <c r="M28" s="114"/>
      <c r="N28" s="163"/>
      <c r="O28" s="164"/>
      <c r="P28" s="164"/>
      <c r="Q28" s="164"/>
      <c r="R28" s="164"/>
      <c r="S28" s="165"/>
      <c r="T28" s="114"/>
      <c r="U28" s="114"/>
      <c r="V28" s="169"/>
      <c r="W28" s="170"/>
      <c r="X28" s="171"/>
      <c r="Y28" s="114"/>
      <c r="Z28" s="114"/>
    </row>
    <row r="29" spans="1:26" ht="18" customHeight="1" x14ac:dyDescent="0.2">
      <c r="A29" s="14"/>
      <c r="B29" s="175"/>
      <c r="C29" s="176"/>
      <c r="D29" s="176"/>
      <c r="E29" s="176"/>
      <c r="F29" s="177"/>
      <c r="G29" s="114"/>
      <c r="H29" s="114"/>
      <c r="I29" s="169"/>
      <c r="J29" s="170"/>
      <c r="K29" s="171"/>
      <c r="L29" s="114"/>
      <c r="M29" s="114"/>
      <c r="N29" s="163"/>
      <c r="O29" s="164"/>
      <c r="P29" s="164"/>
      <c r="Q29" s="164"/>
      <c r="R29" s="164"/>
      <c r="S29" s="165"/>
      <c r="T29" s="114"/>
      <c r="U29" s="114"/>
      <c r="V29" s="169"/>
      <c r="W29" s="170"/>
      <c r="X29" s="171"/>
      <c r="Y29" s="114"/>
      <c r="Z29" s="114"/>
    </row>
    <row r="30" spans="1:26" ht="18" customHeight="1" x14ac:dyDescent="0.2">
      <c r="A30" s="14"/>
      <c r="B30" s="175"/>
      <c r="C30" s="176"/>
      <c r="D30" s="176"/>
      <c r="E30" s="176"/>
      <c r="F30" s="177"/>
      <c r="G30" s="114"/>
      <c r="H30" s="114"/>
      <c r="I30" s="169"/>
      <c r="J30" s="170"/>
      <c r="K30" s="171"/>
      <c r="L30" s="114"/>
      <c r="M30" s="114"/>
      <c r="N30" s="163"/>
      <c r="O30" s="164"/>
      <c r="P30" s="164"/>
      <c r="Q30" s="164"/>
      <c r="R30" s="164"/>
      <c r="S30" s="165"/>
      <c r="T30" s="114"/>
      <c r="U30" s="114"/>
      <c r="V30" s="169"/>
      <c r="W30" s="170"/>
      <c r="X30" s="171"/>
      <c r="Y30" s="114"/>
      <c r="Z30" s="114"/>
    </row>
    <row r="31" spans="1:26" ht="18" customHeight="1" x14ac:dyDescent="0.2">
      <c r="A31" s="14"/>
      <c r="B31" s="175"/>
      <c r="C31" s="176"/>
      <c r="D31" s="176"/>
      <c r="E31" s="176"/>
      <c r="F31" s="177"/>
      <c r="G31" s="114"/>
      <c r="H31" s="114"/>
      <c r="I31" s="169"/>
      <c r="J31" s="170"/>
      <c r="K31" s="171"/>
      <c r="L31" s="114"/>
      <c r="M31" s="114"/>
      <c r="N31" s="163"/>
      <c r="O31" s="164"/>
      <c r="P31" s="164"/>
      <c r="Q31" s="164"/>
      <c r="R31" s="164"/>
      <c r="S31" s="165"/>
      <c r="T31" s="114"/>
      <c r="U31" s="114"/>
      <c r="V31" s="169"/>
      <c r="W31" s="170"/>
      <c r="X31" s="171"/>
      <c r="Y31" s="114"/>
      <c r="Z31" s="114"/>
    </row>
    <row r="32" spans="1:26" ht="18" customHeight="1" x14ac:dyDescent="0.2">
      <c r="A32" s="14"/>
      <c r="B32" s="175"/>
      <c r="C32" s="176"/>
      <c r="D32" s="176"/>
      <c r="E32" s="176"/>
      <c r="F32" s="177"/>
      <c r="G32" s="114"/>
      <c r="H32" s="114"/>
      <c r="I32" s="169"/>
      <c r="J32" s="170"/>
      <c r="K32" s="171"/>
      <c r="L32" s="114"/>
      <c r="M32" s="114"/>
      <c r="N32" s="163"/>
      <c r="O32" s="164"/>
      <c r="P32" s="164"/>
      <c r="Q32" s="164"/>
      <c r="R32" s="164"/>
      <c r="S32" s="165"/>
      <c r="T32" s="114"/>
      <c r="U32" s="114"/>
      <c r="V32" s="169"/>
      <c r="W32" s="170"/>
      <c r="X32" s="171"/>
      <c r="Y32" s="114"/>
      <c r="Z32" s="114"/>
    </row>
    <row r="33" spans="1:26" ht="18" customHeight="1" x14ac:dyDescent="0.2">
      <c r="A33" s="14"/>
      <c r="B33" s="178"/>
      <c r="C33" s="179"/>
      <c r="D33" s="179"/>
      <c r="E33" s="179"/>
      <c r="F33" s="180"/>
      <c r="G33" s="115"/>
      <c r="H33" s="115"/>
      <c r="I33" s="172"/>
      <c r="J33" s="173"/>
      <c r="K33" s="174"/>
      <c r="L33" s="121"/>
      <c r="M33" s="121"/>
      <c r="N33" s="166"/>
      <c r="O33" s="167"/>
      <c r="P33" s="167"/>
      <c r="Q33" s="167"/>
      <c r="R33" s="167"/>
      <c r="S33" s="168"/>
      <c r="T33" s="115"/>
      <c r="U33" s="115"/>
      <c r="V33" s="172"/>
      <c r="W33" s="173"/>
      <c r="X33" s="174"/>
      <c r="Y33" s="121"/>
      <c r="Z33" s="121"/>
    </row>
    <row r="34" spans="1:26" ht="7.5" customHeight="1" x14ac:dyDescent="0.2">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2">
      <c r="A35" s="224" t="s">
        <v>130</v>
      </c>
      <c r="B35" s="224"/>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224"/>
    </row>
    <row r="36" spans="1:26" ht="18" customHeight="1" x14ac:dyDescent="0.2">
      <c r="A36" s="224"/>
      <c r="B36" s="224"/>
      <c r="C36" s="224"/>
      <c r="D36" s="224"/>
      <c r="E36" s="224"/>
      <c r="F36" s="224"/>
      <c r="G36" s="224"/>
      <c r="H36" s="224"/>
      <c r="I36" s="224"/>
      <c r="J36" s="224"/>
      <c r="K36" s="224"/>
      <c r="L36" s="224"/>
      <c r="M36" s="224"/>
      <c r="N36" s="224"/>
      <c r="O36" s="224"/>
      <c r="P36" s="224"/>
      <c r="Q36" s="224"/>
      <c r="R36" s="224"/>
      <c r="S36" s="224"/>
      <c r="T36" s="224"/>
      <c r="U36" s="224"/>
      <c r="V36" s="224"/>
      <c r="W36" s="224"/>
      <c r="X36" s="224"/>
      <c r="Y36" s="224"/>
      <c r="Z36" s="224"/>
    </row>
    <row r="37" spans="1:26" ht="18" customHeight="1" x14ac:dyDescent="0.2">
      <c r="A37" s="14"/>
      <c r="B37" s="127" t="s">
        <v>100</v>
      </c>
      <c r="C37" s="128"/>
      <c r="D37" s="128"/>
      <c r="E37" s="128"/>
      <c r="F37" s="129"/>
      <c r="G37" s="30" t="s">
        <v>142</v>
      </c>
      <c r="H37" s="112" t="s">
        <v>141</v>
      </c>
      <c r="I37" s="127" t="s">
        <v>101</v>
      </c>
      <c r="J37" s="128"/>
      <c r="K37" s="129"/>
      <c r="L37" s="75" t="s">
        <v>131</v>
      </c>
      <c r="M37" s="75" t="s">
        <v>132</v>
      </c>
      <c r="N37" s="127" t="s">
        <v>100</v>
      </c>
      <c r="O37" s="128"/>
      <c r="P37" s="128"/>
      <c r="Q37" s="128"/>
      <c r="R37" s="128"/>
      <c r="S37" s="129"/>
      <c r="T37" s="30" t="s">
        <v>142</v>
      </c>
      <c r="U37" s="112" t="s">
        <v>141</v>
      </c>
      <c r="V37" s="127" t="s">
        <v>101</v>
      </c>
      <c r="W37" s="128"/>
      <c r="X37" s="129"/>
      <c r="Y37" s="75" t="s">
        <v>131</v>
      </c>
      <c r="Z37" s="75" t="s">
        <v>132</v>
      </c>
    </row>
    <row r="38" spans="1:26" ht="18" customHeight="1" x14ac:dyDescent="0.2">
      <c r="A38" s="29"/>
      <c r="B38" s="182" t="s">
        <v>167</v>
      </c>
      <c r="C38" s="183"/>
      <c r="D38" s="183"/>
      <c r="E38" s="183"/>
      <c r="F38" s="184"/>
      <c r="G38" s="113">
        <v>2</v>
      </c>
      <c r="H38" s="113" t="s">
        <v>169</v>
      </c>
      <c r="I38" s="188" t="s">
        <v>168</v>
      </c>
      <c r="J38" s="189"/>
      <c r="K38" s="190"/>
      <c r="L38" s="113" t="s">
        <v>169</v>
      </c>
      <c r="M38" s="113" t="s">
        <v>169</v>
      </c>
      <c r="N38" s="160"/>
      <c r="O38" s="161"/>
      <c r="P38" s="161"/>
      <c r="Q38" s="161"/>
      <c r="R38" s="161"/>
      <c r="S38" s="162"/>
      <c r="T38" s="113"/>
      <c r="U38" s="113"/>
      <c r="V38" s="188"/>
      <c r="W38" s="189"/>
      <c r="X38" s="190"/>
      <c r="Y38" s="113"/>
      <c r="Z38" s="113"/>
    </row>
    <row r="39" spans="1:26" ht="18" customHeight="1" x14ac:dyDescent="0.2">
      <c r="A39" s="29"/>
      <c r="B39" s="175"/>
      <c r="C39" s="176"/>
      <c r="D39" s="176"/>
      <c r="E39" s="176"/>
      <c r="F39" s="177"/>
      <c r="G39" s="114"/>
      <c r="H39" s="114"/>
      <c r="I39" s="169"/>
      <c r="J39" s="170"/>
      <c r="K39" s="171"/>
      <c r="L39" s="114"/>
      <c r="M39" s="114"/>
      <c r="N39" s="163"/>
      <c r="O39" s="164"/>
      <c r="P39" s="164"/>
      <c r="Q39" s="164"/>
      <c r="R39" s="164"/>
      <c r="S39" s="165"/>
      <c r="T39" s="114"/>
      <c r="U39" s="114"/>
      <c r="V39" s="169"/>
      <c r="W39" s="170"/>
      <c r="X39" s="171"/>
      <c r="Y39" s="114"/>
      <c r="Z39" s="114"/>
    </row>
    <row r="40" spans="1:26" ht="18" customHeight="1" x14ac:dyDescent="0.2">
      <c r="A40" s="29"/>
      <c r="B40" s="175"/>
      <c r="C40" s="176"/>
      <c r="D40" s="176"/>
      <c r="E40" s="176"/>
      <c r="F40" s="177"/>
      <c r="G40" s="114"/>
      <c r="H40" s="114"/>
      <c r="I40" s="169"/>
      <c r="J40" s="170"/>
      <c r="K40" s="171"/>
      <c r="L40" s="114"/>
      <c r="M40" s="114"/>
      <c r="N40" s="163"/>
      <c r="O40" s="164"/>
      <c r="P40" s="164"/>
      <c r="Q40" s="164"/>
      <c r="R40" s="164"/>
      <c r="S40" s="165"/>
      <c r="T40" s="114"/>
      <c r="U40" s="114"/>
      <c r="V40" s="169"/>
      <c r="W40" s="170"/>
      <c r="X40" s="171"/>
      <c r="Y40" s="114"/>
      <c r="Z40" s="114"/>
    </row>
    <row r="41" spans="1:26" ht="18" customHeight="1" x14ac:dyDescent="0.2">
      <c r="A41" s="29"/>
      <c r="B41" s="175"/>
      <c r="C41" s="176"/>
      <c r="D41" s="176"/>
      <c r="E41" s="176"/>
      <c r="F41" s="177"/>
      <c r="G41" s="114"/>
      <c r="H41" s="114"/>
      <c r="I41" s="169"/>
      <c r="J41" s="170"/>
      <c r="K41" s="171"/>
      <c r="L41" s="114"/>
      <c r="M41" s="114"/>
      <c r="N41" s="163"/>
      <c r="O41" s="164"/>
      <c r="P41" s="164"/>
      <c r="Q41" s="164"/>
      <c r="R41" s="164"/>
      <c r="S41" s="165"/>
      <c r="T41" s="114"/>
      <c r="U41" s="114"/>
      <c r="V41" s="169"/>
      <c r="W41" s="170"/>
      <c r="X41" s="171"/>
      <c r="Y41" s="114"/>
      <c r="Z41" s="114"/>
    </row>
    <row r="42" spans="1:26" ht="18" customHeight="1" x14ac:dyDescent="0.2">
      <c r="A42" s="29"/>
      <c r="B42" s="175"/>
      <c r="C42" s="176"/>
      <c r="D42" s="176"/>
      <c r="E42" s="176"/>
      <c r="F42" s="177"/>
      <c r="G42" s="114"/>
      <c r="H42" s="114"/>
      <c r="I42" s="169"/>
      <c r="J42" s="170"/>
      <c r="K42" s="171"/>
      <c r="L42" s="114"/>
      <c r="M42" s="114"/>
      <c r="N42" s="163"/>
      <c r="O42" s="164"/>
      <c r="P42" s="164"/>
      <c r="Q42" s="164"/>
      <c r="R42" s="164"/>
      <c r="S42" s="165"/>
      <c r="T42" s="114"/>
      <c r="U42" s="114"/>
      <c r="V42" s="169"/>
      <c r="W42" s="170"/>
      <c r="X42" s="171"/>
      <c r="Y42" s="114"/>
      <c r="Z42" s="114"/>
    </row>
    <row r="43" spans="1:26" ht="18" customHeight="1" x14ac:dyDescent="0.2">
      <c r="A43" s="29"/>
      <c r="B43" s="175"/>
      <c r="C43" s="176"/>
      <c r="D43" s="176"/>
      <c r="E43" s="176"/>
      <c r="F43" s="177"/>
      <c r="G43" s="114"/>
      <c r="H43" s="114"/>
      <c r="I43" s="169"/>
      <c r="J43" s="170"/>
      <c r="K43" s="171"/>
      <c r="L43" s="114"/>
      <c r="M43" s="114"/>
      <c r="N43" s="163"/>
      <c r="O43" s="164"/>
      <c r="P43" s="164"/>
      <c r="Q43" s="164"/>
      <c r="R43" s="164"/>
      <c r="S43" s="165"/>
      <c r="T43" s="114"/>
      <c r="U43" s="114"/>
      <c r="V43" s="169"/>
      <c r="W43" s="170"/>
      <c r="X43" s="171"/>
      <c r="Y43" s="114"/>
      <c r="Z43" s="114"/>
    </row>
    <row r="44" spans="1:26" ht="18" customHeight="1" x14ac:dyDescent="0.2">
      <c r="A44" s="29"/>
      <c r="B44" s="178"/>
      <c r="C44" s="179"/>
      <c r="D44" s="179"/>
      <c r="E44" s="179"/>
      <c r="F44" s="180"/>
      <c r="G44" s="115"/>
      <c r="H44" s="115"/>
      <c r="I44" s="172"/>
      <c r="J44" s="173"/>
      <c r="K44" s="174"/>
      <c r="L44" s="121"/>
      <c r="M44" s="121"/>
      <c r="N44" s="166"/>
      <c r="O44" s="167"/>
      <c r="P44" s="167"/>
      <c r="Q44" s="167"/>
      <c r="R44" s="167"/>
      <c r="S44" s="168"/>
      <c r="T44" s="115"/>
      <c r="U44" s="115"/>
      <c r="V44" s="172"/>
      <c r="W44" s="173"/>
      <c r="X44" s="174"/>
      <c r="Y44" s="121"/>
      <c r="Z44" s="121"/>
    </row>
    <row r="45" spans="1:26" ht="7.5" customHeight="1" x14ac:dyDescent="0.2">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2">
      <c r="A46" s="224" t="s">
        <v>133</v>
      </c>
      <c r="B46" s="224"/>
      <c r="C46" s="224"/>
      <c r="D46" s="224"/>
      <c r="E46" s="224"/>
      <c r="F46" s="224"/>
      <c r="G46" s="224"/>
      <c r="H46" s="224"/>
      <c r="I46" s="224"/>
      <c r="J46" s="224"/>
      <c r="K46" s="224"/>
      <c r="L46" s="224"/>
      <c r="M46" s="224"/>
      <c r="N46" s="224"/>
      <c r="O46" s="224"/>
      <c r="P46" s="224"/>
      <c r="Q46" s="224"/>
      <c r="R46" s="224"/>
      <c r="S46" s="224"/>
      <c r="T46" s="224"/>
      <c r="U46" s="224"/>
      <c r="V46" s="224"/>
      <c r="W46" s="224"/>
      <c r="X46" s="224"/>
      <c r="Y46" s="224"/>
      <c r="Z46" s="224"/>
    </row>
    <row r="47" spans="1:26" ht="18" customHeight="1" x14ac:dyDescent="0.2">
      <c r="A47" s="224"/>
      <c r="B47" s="224"/>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row>
    <row r="48" spans="1:26" ht="18" customHeight="1" x14ac:dyDescent="0.2">
      <c r="A48" s="14"/>
      <c r="B48" s="127" t="s">
        <v>100</v>
      </c>
      <c r="C48" s="128"/>
      <c r="D48" s="128"/>
      <c r="E48" s="128"/>
      <c r="F48" s="129"/>
      <c r="G48" s="30" t="s">
        <v>142</v>
      </c>
      <c r="H48" s="112" t="s">
        <v>141</v>
      </c>
      <c r="I48" s="127" t="s">
        <v>101</v>
      </c>
      <c r="J48" s="128"/>
      <c r="K48" s="129"/>
      <c r="L48" s="75" t="s">
        <v>106</v>
      </c>
      <c r="M48" s="75" t="s">
        <v>108</v>
      </c>
      <c r="N48" s="127" t="s">
        <v>100</v>
      </c>
      <c r="O48" s="128"/>
      <c r="P48" s="128"/>
      <c r="Q48" s="128"/>
      <c r="R48" s="128"/>
      <c r="S48" s="129"/>
      <c r="T48" s="30" t="s">
        <v>142</v>
      </c>
      <c r="U48" s="112" t="s">
        <v>141</v>
      </c>
      <c r="V48" s="127" t="s">
        <v>101</v>
      </c>
      <c r="W48" s="128"/>
      <c r="X48" s="129"/>
      <c r="Y48" s="75" t="s">
        <v>106</v>
      </c>
      <c r="Z48" s="75" t="s">
        <v>108</v>
      </c>
    </row>
    <row r="49" spans="1:26" ht="18" customHeight="1" x14ac:dyDescent="0.2">
      <c r="A49" s="29"/>
      <c r="B49" s="182" t="s">
        <v>167</v>
      </c>
      <c r="C49" s="183"/>
      <c r="D49" s="183"/>
      <c r="E49" s="183"/>
      <c r="F49" s="184"/>
      <c r="G49" s="113">
        <v>2</v>
      </c>
      <c r="H49" s="113" t="s">
        <v>169</v>
      </c>
      <c r="I49" s="188" t="s">
        <v>168</v>
      </c>
      <c r="J49" s="189"/>
      <c r="K49" s="190"/>
      <c r="L49" s="113" t="s">
        <v>169</v>
      </c>
      <c r="M49" s="113" t="s">
        <v>169</v>
      </c>
      <c r="N49" s="160"/>
      <c r="O49" s="161"/>
      <c r="P49" s="161"/>
      <c r="Q49" s="161"/>
      <c r="R49" s="161"/>
      <c r="S49" s="162"/>
      <c r="T49" s="113"/>
      <c r="U49" s="113"/>
      <c r="V49" s="188"/>
      <c r="W49" s="189"/>
      <c r="X49" s="190"/>
      <c r="Y49" s="113"/>
      <c r="Z49" s="113"/>
    </row>
    <row r="50" spans="1:26" ht="18" customHeight="1" x14ac:dyDescent="0.2">
      <c r="A50" s="29"/>
      <c r="B50" s="175"/>
      <c r="C50" s="176"/>
      <c r="D50" s="176"/>
      <c r="E50" s="176"/>
      <c r="F50" s="177"/>
      <c r="G50" s="114"/>
      <c r="H50" s="114"/>
      <c r="I50" s="169"/>
      <c r="J50" s="170"/>
      <c r="K50" s="171"/>
      <c r="L50" s="114"/>
      <c r="M50" s="114"/>
      <c r="N50" s="163"/>
      <c r="O50" s="164"/>
      <c r="P50" s="164"/>
      <c r="Q50" s="164"/>
      <c r="R50" s="164"/>
      <c r="S50" s="165"/>
      <c r="T50" s="114"/>
      <c r="U50" s="114"/>
      <c r="V50" s="169"/>
      <c r="W50" s="170"/>
      <c r="X50" s="171"/>
      <c r="Y50" s="114"/>
      <c r="Z50" s="114"/>
    </row>
    <row r="51" spans="1:26" ht="18" customHeight="1" x14ac:dyDescent="0.2">
      <c r="A51" s="29"/>
      <c r="B51" s="175"/>
      <c r="C51" s="176"/>
      <c r="D51" s="176"/>
      <c r="E51" s="176"/>
      <c r="F51" s="177"/>
      <c r="G51" s="114"/>
      <c r="H51" s="114"/>
      <c r="I51" s="169"/>
      <c r="J51" s="170"/>
      <c r="K51" s="171"/>
      <c r="L51" s="114"/>
      <c r="M51" s="114"/>
      <c r="N51" s="163"/>
      <c r="O51" s="164"/>
      <c r="P51" s="164"/>
      <c r="Q51" s="164"/>
      <c r="R51" s="164"/>
      <c r="S51" s="165"/>
      <c r="T51" s="114"/>
      <c r="U51" s="114"/>
      <c r="V51" s="169"/>
      <c r="W51" s="170"/>
      <c r="X51" s="171"/>
      <c r="Y51" s="114"/>
      <c r="Z51" s="114"/>
    </row>
    <row r="52" spans="1:26" ht="18" customHeight="1" x14ac:dyDescent="0.2">
      <c r="A52" s="29"/>
      <c r="B52" s="175"/>
      <c r="C52" s="176"/>
      <c r="D52" s="176"/>
      <c r="E52" s="176"/>
      <c r="F52" s="177"/>
      <c r="G52" s="114"/>
      <c r="H52" s="114"/>
      <c r="I52" s="169"/>
      <c r="J52" s="170"/>
      <c r="K52" s="171"/>
      <c r="L52" s="114"/>
      <c r="M52" s="114"/>
      <c r="N52" s="163"/>
      <c r="O52" s="164"/>
      <c r="P52" s="164"/>
      <c r="Q52" s="164"/>
      <c r="R52" s="164"/>
      <c r="S52" s="165"/>
      <c r="T52" s="114"/>
      <c r="U52" s="114"/>
      <c r="V52" s="169"/>
      <c r="W52" s="170"/>
      <c r="X52" s="171"/>
      <c r="Y52" s="114"/>
      <c r="Z52" s="114"/>
    </row>
    <row r="53" spans="1:26" ht="18" customHeight="1" x14ac:dyDescent="0.2">
      <c r="A53" s="29"/>
      <c r="B53" s="175"/>
      <c r="C53" s="176"/>
      <c r="D53" s="176"/>
      <c r="E53" s="176"/>
      <c r="F53" s="177"/>
      <c r="G53" s="114"/>
      <c r="H53" s="114"/>
      <c r="I53" s="169"/>
      <c r="J53" s="170"/>
      <c r="K53" s="171"/>
      <c r="L53" s="114"/>
      <c r="M53" s="114"/>
      <c r="N53" s="163"/>
      <c r="O53" s="164"/>
      <c r="P53" s="164"/>
      <c r="Q53" s="164"/>
      <c r="R53" s="164"/>
      <c r="S53" s="165"/>
      <c r="T53" s="114"/>
      <c r="U53" s="114"/>
      <c r="V53" s="169"/>
      <c r="W53" s="170"/>
      <c r="X53" s="171"/>
      <c r="Y53" s="114"/>
      <c r="Z53" s="114"/>
    </row>
    <row r="54" spans="1:26" ht="18" customHeight="1" x14ac:dyDescent="0.2">
      <c r="A54" s="29"/>
      <c r="B54" s="175"/>
      <c r="C54" s="176"/>
      <c r="D54" s="176"/>
      <c r="E54" s="176"/>
      <c r="F54" s="177"/>
      <c r="G54" s="114"/>
      <c r="H54" s="114"/>
      <c r="I54" s="169"/>
      <c r="J54" s="170"/>
      <c r="K54" s="171"/>
      <c r="L54" s="114"/>
      <c r="M54" s="114"/>
      <c r="N54" s="163"/>
      <c r="O54" s="164"/>
      <c r="P54" s="164"/>
      <c r="Q54" s="164"/>
      <c r="R54" s="164"/>
      <c r="S54" s="165"/>
      <c r="T54" s="114"/>
      <c r="U54" s="114"/>
      <c r="V54" s="169"/>
      <c r="W54" s="170"/>
      <c r="X54" s="171"/>
      <c r="Y54" s="114"/>
      <c r="Z54" s="114"/>
    </row>
    <row r="55" spans="1:26" ht="18" customHeight="1" x14ac:dyDescent="0.2">
      <c r="A55" s="29"/>
      <c r="B55" s="178"/>
      <c r="C55" s="179"/>
      <c r="D55" s="179"/>
      <c r="E55" s="179"/>
      <c r="F55" s="180"/>
      <c r="G55" s="115"/>
      <c r="H55" s="115"/>
      <c r="I55" s="172"/>
      <c r="J55" s="173"/>
      <c r="K55" s="174"/>
      <c r="L55" s="121"/>
      <c r="M55" s="121"/>
      <c r="N55" s="166"/>
      <c r="O55" s="167"/>
      <c r="P55" s="167"/>
      <c r="Q55" s="167"/>
      <c r="R55" s="167"/>
      <c r="S55" s="168"/>
      <c r="T55" s="115"/>
      <c r="U55" s="115"/>
      <c r="V55" s="172"/>
      <c r="W55" s="173"/>
      <c r="X55" s="174"/>
      <c r="Y55" s="121"/>
      <c r="Z55" s="121"/>
    </row>
    <row r="56" spans="1:26" ht="7.5" customHeight="1" x14ac:dyDescent="0.2">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2">
      <c r="A57" s="224" t="s">
        <v>134</v>
      </c>
      <c r="B57" s="224"/>
      <c r="C57" s="224"/>
      <c r="D57" s="224"/>
      <c r="E57" s="224"/>
      <c r="F57" s="224"/>
      <c r="G57" s="224"/>
      <c r="H57" s="224"/>
      <c r="I57" s="224"/>
      <c r="J57" s="224"/>
      <c r="K57" s="224"/>
      <c r="L57" s="224"/>
      <c r="M57" s="224"/>
      <c r="N57" s="224"/>
      <c r="O57" s="224"/>
      <c r="P57" s="224"/>
      <c r="Q57" s="224"/>
      <c r="R57" s="224"/>
      <c r="S57" s="224"/>
      <c r="T57" s="224"/>
      <c r="U57" s="224"/>
      <c r="V57" s="224"/>
      <c r="W57" s="224"/>
      <c r="X57" s="224"/>
      <c r="Y57" s="224"/>
      <c r="Z57" s="224"/>
    </row>
    <row r="58" spans="1:26" ht="18" customHeight="1" x14ac:dyDescent="0.2">
      <c r="A58" s="224"/>
      <c r="B58" s="224"/>
      <c r="C58" s="224"/>
      <c r="D58" s="224"/>
      <c r="E58" s="224"/>
      <c r="F58" s="224"/>
      <c r="G58" s="224"/>
      <c r="H58" s="224"/>
      <c r="I58" s="224"/>
      <c r="J58" s="224"/>
      <c r="K58" s="224"/>
      <c r="L58" s="224"/>
      <c r="M58" s="224"/>
      <c r="N58" s="224"/>
      <c r="O58" s="224"/>
      <c r="P58" s="224"/>
      <c r="Q58" s="224"/>
      <c r="R58" s="224"/>
      <c r="S58" s="224"/>
      <c r="T58" s="224"/>
      <c r="U58" s="224"/>
      <c r="V58" s="224"/>
      <c r="W58" s="224"/>
      <c r="X58" s="224"/>
      <c r="Y58" s="224"/>
      <c r="Z58" s="224"/>
    </row>
    <row r="59" spans="1:26" ht="18" customHeight="1" x14ac:dyDescent="0.2">
      <c r="A59" s="14"/>
      <c r="B59" s="127" t="s">
        <v>100</v>
      </c>
      <c r="C59" s="128"/>
      <c r="D59" s="128"/>
      <c r="E59" s="129"/>
      <c r="F59" s="30" t="s">
        <v>142</v>
      </c>
      <c r="G59" s="112" t="s">
        <v>141</v>
      </c>
      <c r="H59" s="107" t="s">
        <v>101</v>
      </c>
      <c r="I59" s="108"/>
      <c r="J59" s="109"/>
      <c r="K59" s="75" t="s">
        <v>105</v>
      </c>
      <c r="L59" s="75" t="s">
        <v>135</v>
      </c>
      <c r="M59" s="75" t="s">
        <v>136</v>
      </c>
      <c r="N59" s="127" t="s">
        <v>100</v>
      </c>
      <c r="O59" s="128"/>
      <c r="P59" s="128"/>
      <c r="Q59" s="128"/>
      <c r="R59" s="129"/>
      <c r="S59" s="30" t="s">
        <v>142</v>
      </c>
      <c r="T59" s="112" t="s">
        <v>141</v>
      </c>
      <c r="U59" s="107" t="s">
        <v>101</v>
      </c>
      <c r="V59" s="108"/>
      <c r="W59" s="109"/>
      <c r="X59" s="75" t="s">
        <v>105</v>
      </c>
      <c r="Y59" s="75" t="s">
        <v>135</v>
      </c>
      <c r="Z59" s="75" t="s">
        <v>136</v>
      </c>
    </row>
    <row r="60" spans="1:26" ht="18" customHeight="1" x14ac:dyDescent="0.2">
      <c r="A60" s="29"/>
      <c r="B60" s="160" t="s">
        <v>167</v>
      </c>
      <c r="C60" s="161"/>
      <c r="D60" s="161"/>
      <c r="E60" s="162"/>
      <c r="F60" s="113">
        <v>2</v>
      </c>
      <c r="G60" s="113" t="s">
        <v>169</v>
      </c>
      <c r="H60" s="188" t="s">
        <v>168</v>
      </c>
      <c r="I60" s="189"/>
      <c r="J60" s="190"/>
      <c r="K60" s="120" t="s">
        <v>170</v>
      </c>
      <c r="L60" s="113" t="s">
        <v>169</v>
      </c>
      <c r="M60" s="113" t="s">
        <v>169</v>
      </c>
      <c r="N60" s="160"/>
      <c r="O60" s="161"/>
      <c r="P60" s="161"/>
      <c r="Q60" s="161"/>
      <c r="R60" s="162"/>
      <c r="S60" s="113"/>
      <c r="T60" s="113"/>
      <c r="U60" s="188"/>
      <c r="V60" s="189"/>
      <c r="W60" s="190"/>
      <c r="X60" s="120"/>
      <c r="Y60" s="113"/>
      <c r="Z60" s="113"/>
    </row>
    <row r="61" spans="1:26" ht="18" customHeight="1" x14ac:dyDescent="0.2">
      <c r="A61" s="29"/>
      <c r="B61" s="163"/>
      <c r="C61" s="164"/>
      <c r="D61" s="164"/>
      <c r="E61" s="165"/>
      <c r="F61" s="114"/>
      <c r="G61" s="114"/>
      <c r="H61" s="169"/>
      <c r="I61" s="170"/>
      <c r="J61" s="171"/>
      <c r="K61" s="118"/>
      <c r="L61" s="114"/>
      <c r="M61" s="114"/>
      <c r="N61" s="163"/>
      <c r="O61" s="164"/>
      <c r="P61" s="164"/>
      <c r="Q61" s="164"/>
      <c r="R61" s="165"/>
      <c r="S61" s="114"/>
      <c r="T61" s="114"/>
      <c r="U61" s="169"/>
      <c r="V61" s="170"/>
      <c r="W61" s="171"/>
      <c r="X61" s="118"/>
      <c r="Y61" s="114"/>
      <c r="Z61" s="114"/>
    </row>
    <row r="62" spans="1:26" ht="18" customHeight="1" x14ac:dyDescent="0.2">
      <c r="A62" s="29"/>
      <c r="B62" s="163"/>
      <c r="C62" s="164"/>
      <c r="D62" s="164"/>
      <c r="E62" s="165"/>
      <c r="F62" s="114"/>
      <c r="G62" s="114"/>
      <c r="H62" s="169"/>
      <c r="I62" s="170"/>
      <c r="J62" s="171"/>
      <c r="K62" s="118"/>
      <c r="L62" s="114"/>
      <c r="M62" s="114"/>
      <c r="N62" s="163"/>
      <c r="O62" s="164"/>
      <c r="P62" s="164"/>
      <c r="Q62" s="164"/>
      <c r="R62" s="165"/>
      <c r="S62" s="114"/>
      <c r="T62" s="114"/>
      <c r="U62" s="169"/>
      <c r="V62" s="170"/>
      <c r="W62" s="171"/>
      <c r="X62" s="118"/>
      <c r="Y62" s="114"/>
      <c r="Z62" s="114"/>
    </row>
    <row r="63" spans="1:26" ht="18" customHeight="1" x14ac:dyDescent="0.2">
      <c r="A63" s="29"/>
      <c r="B63" s="163"/>
      <c r="C63" s="164"/>
      <c r="D63" s="164"/>
      <c r="E63" s="165"/>
      <c r="F63" s="114"/>
      <c r="G63" s="114"/>
      <c r="H63" s="169"/>
      <c r="I63" s="170"/>
      <c r="J63" s="171"/>
      <c r="K63" s="118"/>
      <c r="L63" s="114"/>
      <c r="M63" s="114"/>
      <c r="N63" s="163"/>
      <c r="O63" s="164"/>
      <c r="P63" s="164"/>
      <c r="Q63" s="164"/>
      <c r="R63" s="165"/>
      <c r="S63" s="114"/>
      <c r="T63" s="114"/>
      <c r="U63" s="169"/>
      <c r="V63" s="170"/>
      <c r="W63" s="171"/>
      <c r="X63" s="118"/>
      <c r="Y63" s="114"/>
      <c r="Z63" s="114"/>
    </row>
    <row r="64" spans="1:26" ht="18" customHeight="1" x14ac:dyDescent="0.2">
      <c r="A64" s="29"/>
      <c r="B64" s="163"/>
      <c r="C64" s="164"/>
      <c r="D64" s="164"/>
      <c r="E64" s="165"/>
      <c r="F64" s="114"/>
      <c r="G64" s="114"/>
      <c r="H64" s="169"/>
      <c r="I64" s="170"/>
      <c r="J64" s="171"/>
      <c r="K64" s="118"/>
      <c r="L64" s="114"/>
      <c r="M64" s="114"/>
      <c r="N64" s="163"/>
      <c r="O64" s="164"/>
      <c r="P64" s="164"/>
      <c r="Q64" s="164"/>
      <c r="R64" s="165"/>
      <c r="S64" s="114"/>
      <c r="T64" s="114"/>
      <c r="U64" s="169"/>
      <c r="V64" s="170"/>
      <c r="W64" s="171"/>
      <c r="X64" s="118"/>
      <c r="Y64" s="114"/>
      <c r="Z64" s="114"/>
    </row>
    <row r="65" spans="1:26" ht="18" customHeight="1" x14ac:dyDescent="0.2">
      <c r="A65" s="29"/>
      <c r="B65" s="163"/>
      <c r="C65" s="164"/>
      <c r="D65" s="164"/>
      <c r="E65" s="165"/>
      <c r="F65" s="114"/>
      <c r="G65" s="114"/>
      <c r="H65" s="169"/>
      <c r="I65" s="170"/>
      <c r="J65" s="171"/>
      <c r="K65" s="118"/>
      <c r="L65" s="114"/>
      <c r="M65" s="114"/>
      <c r="N65" s="163"/>
      <c r="O65" s="164"/>
      <c r="P65" s="164"/>
      <c r="Q65" s="164"/>
      <c r="R65" s="165"/>
      <c r="S65" s="114"/>
      <c r="T65" s="114"/>
      <c r="U65" s="169"/>
      <c r="V65" s="170"/>
      <c r="W65" s="171"/>
      <c r="X65" s="118"/>
      <c r="Y65" s="114"/>
      <c r="Z65" s="114"/>
    </row>
    <row r="66" spans="1:26" ht="18" customHeight="1" x14ac:dyDescent="0.2">
      <c r="A66" s="29"/>
      <c r="B66" s="166"/>
      <c r="C66" s="167"/>
      <c r="D66" s="167"/>
      <c r="E66" s="168"/>
      <c r="F66" s="115"/>
      <c r="G66" s="115"/>
      <c r="H66" s="172"/>
      <c r="I66" s="173"/>
      <c r="J66" s="174"/>
      <c r="K66" s="119"/>
      <c r="L66" s="121"/>
      <c r="M66" s="121"/>
      <c r="N66" s="166"/>
      <c r="O66" s="167"/>
      <c r="P66" s="167"/>
      <c r="Q66" s="167"/>
      <c r="R66" s="168"/>
      <c r="S66" s="115"/>
      <c r="T66" s="115"/>
      <c r="U66" s="172"/>
      <c r="V66" s="173"/>
      <c r="W66" s="174"/>
      <c r="X66" s="119"/>
      <c r="Y66" s="121"/>
      <c r="Z66" s="121"/>
    </row>
    <row r="67" spans="1:26" ht="7.5" customHeight="1" x14ac:dyDescent="0.2">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2">
      <c r="A68" s="14" t="s">
        <v>137</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27" t="s">
        <v>100</v>
      </c>
      <c r="C69" s="128"/>
      <c r="D69" s="128"/>
      <c r="E69" s="128"/>
      <c r="F69" s="129"/>
      <c r="G69" s="127" t="s">
        <v>147</v>
      </c>
      <c r="H69" s="128"/>
      <c r="I69" s="128"/>
      <c r="J69" s="128"/>
      <c r="K69" s="128"/>
      <c r="L69" s="128"/>
      <c r="M69" s="129"/>
      <c r="N69" s="185" t="s">
        <v>100</v>
      </c>
      <c r="O69" s="186"/>
      <c r="P69" s="186"/>
      <c r="Q69" s="186"/>
      <c r="R69" s="186"/>
      <c r="S69" s="187"/>
      <c r="T69" s="127" t="s">
        <v>147</v>
      </c>
      <c r="U69" s="128"/>
      <c r="V69" s="128"/>
      <c r="W69" s="128"/>
      <c r="X69" s="128"/>
      <c r="Y69" s="128"/>
      <c r="Z69" s="129"/>
    </row>
    <row r="70" spans="1:26" ht="18" customHeight="1" x14ac:dyDescent="0.2">
      <c r="A70" s="29"/>
      <c r="B70" s="160"/>
      <c r="C70" s="161"/>
      <c r="D70" s="161"/>
      <c r="E70" s="161"/>
      <c r="F70" s="162"/>
      <c r="G70" s="236"/>
      <c r="H70" s="237"/>
      <c r="I70" s="237"/>
      <c r="J70" s="237"/>
      <c r="K70" s="237"/>
      <c r="L70" s="237"/>
      <c r="M70" s="238"/>
      <c r="N70" s="160"/>
      <c r="O70" s="161"/>
      <c r="P70" s="161"/>
      <c r="Q70" s="161"/>
      <c r="R70" s="161"/>
      <c r="S70" s="162"/>
      <c r="T70" s="236"/>
      <c r="U70" s="237"/>
      <c r="V70" s="237"/>
      <c r="W70" s="237"/>
      <c r="X70" s="237"/>
      <c r="Y70" s="237"/>
      <c r="Z70" s="238"/>
    </row>
    <row r="71" spans="1:26" ht="18" customHeight="1" x14ac:dyDescent="0.2">
      <c r="A71" s="29"/>
      <c r="B71" s="163"/>
      <c r="C71" s="164"/>
      <c r="D71" s="164"/>
      <c r="E71" s="164"/>
      <c r="F71" s="165"/>
      <c r="G71" s="206"/>
      <c r="H71" s="207"/>
      <c r="I71" s="207"/>
      <c r="J71" s="207"/>
      <c r="K71" s="207"/>
      <c r="L71" s="207"/>
      <c r="M71" s="208"/>
      <c r="N71" s="163"/>
      <c r="O71" s="164"/>
      <c r="P71" s="164"/>
      <c r="Q71" s="164"/>
      <c r="R71" s="164"/>
      <c r="S71" s="165"/>
      <c r="T71" s="206"/>
      <c r="U71" s="207"/>
      <c r="V71" s="207"/>
      <c r="W71" s="207"/>
      <c r="X71" s="207"/>
      <c r="Y71" s="207"/>
      <c r="Z71" s="208"/>
    </row>
    <row r="72" spans="1:26" ht="18" customHeight="1" x14ac:dyDescent="0.2">
      <c r="A72" s="29"/>
      <c r="B72" s="163"/>
      <c r="C72" s="164"/>
      <c r="D72" s="164"/>
      <c r="E72" s="164"/>
      <c r="F72" s="165"/>
      <c r="G72" s="206"/>
      <c r="H72" s="207"/>
      <c r="I72" s="207"/>
      <c r="J72" s="207"/>
      <c r="K72" s="207"/>
      <c r="L72" s="207"/>
      <c r="M72" s="208"/>
      <c r="N72" s="163"/>
      <c r="O72" s="164"/>
      <c r="P72" s="164"/>
      <c r="Q72" s="164"/>
      <c r="R72" s="164"/>
      <c r="S72" s="165"/>
      <c r="T72" s="206"/>
      <c r="U72" s="207"/>
      <c r="V72" s="207"/>
      <c r="W72" s="207"/>
      <c r="X72" s="207"/>
      <c r="Y72" s="207"/>
      <c r="Z72" s="208"/>
    </row>
    <row r="73" spans="1:26" ht="18" customHeight="1" x14ac:dyDescent="0.2">
      <c r="A73" s="29"/>
      <c r="B73" s="163"/>
      <c r="C73" s="164"/>
      <c r="D73" s="164"/>
      <c r="E73" s="164"/>
      <c r="F73" s="165"/>
      <c r="G73" s="206"/>
      <c r="H73" s="207"/>
      <c r="I73" s="207"/>
      <c r="J73" s="207"/>
      <c r="K73" s="207"/>
      <c r="L73" s="207"/>
      <c r="M73" s="208"/>
      <c r="N73" s="163"/>
      <c r="O73" s="164"/>
      <c r="P73" s="164"/>
      <c r="Q73" s="164"/>
      <c r="R73" s="164"/>
      <c r="S73" s="165"/>
      <c r="T73" s="206"/>
      <c r="U73" s="207"/>
      <c r="V73" s="207"/>
      <c r="W73" s="207"/>
      <c r="X73" s="207"/>
      <c r="Y73" s="207"/>
      <c r="Z73" s="208"/>
    </row>
    <row r="74" spans="1:26" ht="18" customHeight="1" x14ac:dyDescent="0.2">
      <c r="A74" s="29"/>
      <c r="B74" s="163"/>
      <c r="C74" s="164"/>
      <c r="D74" s="164"/>
      <c r="E74" s="164"/>
      <c r="F74" s="165"/>
      <c r="G74" s="206"/>
      <c r="H74" s="207"/>
      <c r="I74" s="207"/>
      <c r="J74" s="207"/>
      <c r="K74" s="207"/>
      <c r="L74" s="207"/>
      <c r="M74" s="208"/>
      <c r="N74" s="163"/>
      <c r="O74" s="164"/>
      <c r="P74" s="164"/>
      <c r="Q74" s="164"/>
      <c r="R74" s="164"/>
      <c r="S74" s="165"/>
      <c r="T74" s="206"/>
      <c r="U74" s="207"/>
      <c r="V74" s="207"/>
      <c r="W74" s="207"/>
      <c r="X74" s="207"/>
      <c r="Y74" s="207"/>
      <c r="Z74" s="208"/>
    </row>
    <row r="75" spans="1:26" ht="18" customHeight="1" x14ac:dyDescent="0.2">
      <c r="A75" s="29"/>
      <c r="B75" s="163"/>
      <c r="C75" s="164"/>
      <c r="D75" s="164"/>
      <c r="E75" s="164"/>
      <c r="F75" s="165"/>
      <c r="G75" s="206"/>
      <c r="H75" s="207"/>
      <c r="I75" s="207"/>
      <c r="J75" s="207"/>
      <c r="K75" s="207"/>
      <c r="L75" s="207"/>
      <c r="M75" s="208"/>
      <c r="N75" s="163"/>
      <c r="O75" s="164"/>
      <c r="P75" s="164"/>
      <c r="Q75" s="164"/>
      <c r="R75" s="164"/>
      <c r="S75" s="165"/>
      <c r="T75" s="206"/>
      <c r="U75" s="207"/>
      <c r="V75" s="207"/>
      <c r="W75" s="207"/>
      <c r="X75" s="207"/>
      <c r="Y75" s="207"/>
      <c r="Z75" s="208"/>
    </row>
    <row r="76" spans="1:26" ht="18" customHeight="1" x14ac:dyDescent="0.2">
      <c r="A76" s="29"/>
      <c r="B76" s="166"/>
      <c r="C76" s="167"/>
      <c r="D76" s="167"/>
      <c r="E76" s="167"/>
      <c r="F76" s="168"/>
      <c r="G76" s="203"/>
      <c r="H76" s="204"/>
      <c r="I76" s="204"/>
      <c r="J76" s="204"/>
      <c r="K76" s="204"/>
      <c r="L76" s="204"/>
      <c r="M76" s="205"/>
      <c r="N76" s="166"/>
      <c r="O76" s="167"/>
      <c r="P76" s="167"/>
      <c r="Q76" s="167"/>
      <c r="R76" s="167"/>
      <c r="S76" s="168"/>
      <c r="T76" s="203"/>
      <c r="U76" s="204"/>
      <c r="V76" s="204"/>
      <c r="W76" s="204"/>
      <c r="X76" s="204"/>
      <c r="Y76" s="204"/>
      <c r="Z76" s="205"/>
    </row>
    <row r="77" spans="1:26" ht="18" customHeight="1" x14ac:dyDescent="0.2">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2">
      <c r="A78" s="13" t="s">
        <v>143</v>
      </c>
    </row>
    <row r="79" spans="1:26" ht="18.75" customHeight="1" x14ac:dyDescent="0.2">
      <c r="B79" s="78" t="s">
        <v>102</v>
      </c>
      <c r="C79" s="79"/>
      <c r="D79" s="255" t="s">
        <v>103</v>
      </c>
      <c r="E79" s="255"/>
      <c r="F79" s="255"/>
      <c r="G79" s="255"/>
      <c r="H79" s="255"/>
      <c r="I79" s="255"/>
      <c r="J79" s="255"/>
      <c r="K79" s="255"/>
      <c r="L79" s="255"/>
      <c r="M79" s="255"/>
      <c r="N79" s="255"/>
      <c r="O79" s="255"/>
      <c r="P79" s="255"/>
      <c r="Q79" s="255"/>
      <c r="R79" s="255"/>
      <c r="S79" s="255"/>
      <c r="T79" s="255"/>
      <c r="U79" s="255"/>
      <c r="V79" s="255"/>
      <c r="W79" s="255"/>
      <c r="X79" s="255"/>
      <c r="Y79" s="255"/>
      <c r="Z79" s="256"/>
    </row>
    <row r="80" spans="1:26" ht="78" customHeight="1" x14ac:dyDescent="0.2">
      <c r="B80" s="244" t="s">
        <v>109</v>
      </c>
      <c r="C80" s="85" t="s">
        <v>104</v>
      </c>
      <c r="D80" s="251" t="s">
        <v>176</v>
      </c>
      <c r="E80" s="257"/>
      <c r="F80" s="257"/>
      <c r="G80" s="257"/>
      <c r="H80" s="257"/>
      <c r="I80" s="257"/>
      <c r="J80" s="257"/>
      <c r="K80" s="257"/>
      <c r="L80" s="257"/>
      <c r="M80" s="257"/>
      <c r="N80" s="257"/>
      <c r="O80" s="257"/>
      <c r="P80" s="257"/>
      <c r="Q80" s="257"/>
      <c r="R80" s="257"/>
      <c r="S80" s="257"/>
      <c r="T80" s="257"/>
      <c r="U80" s="257"/>
      <c r="V80" s="257"/>
      <c r="W80" s="257"/>
      <c r="X80" s="257"/>
      <c r="Y80" s="257"/>
      <c r="Z80" s="258"/>
    </row>
    <row r="81" spans="1:26" ht="78" customHeight="1" x14ac:dyDescent="0.2">
      <c r="B81" s="245"/>
      <c r="C81" s="110" t="s">
        <v>138</v>
      </c>
      <c r="D81" s="209" t="s">
        <v>177</v>
      </c>
      <c r="E81" s="210"/>
      <c r="F81" s="210"/>
      <c r="G81" s="210"/>
      <c r="H81" s="210"/>
      <c r="I81" s="210"/>
      <c r="J81" s="210"/>
      <c r="K81" s="210"/>
      <c r="L81" s="210"/>
      <c r="M81" s="210"/>
      <c r="N81" s="210"/>
      <c r="O81" s="210"/>
      <c r="P81" s="210"/>
      <c r="Q81" s="210"/>
      <c r="R81" s="210"/>
      <c r="S81" s="210"/>
      <c r="T81" s="210"/>
      <c r="U81" s="210"/>
      <c r="V81" s="210"/>
      <c r="W81" s="210"/>
      <c r="X81" s="210"/>
      <c r="Y81" s="210"/>
      <c r="Z81" s="211"/>
    </row>
    <row r="82" spans="1:26" ht="78" customHeight="1" x14ac:dyDescent="0.2">
      <c r="B82" s="242" t="s">
        <v>110</v>
      </c>
      <c r="C82" s="80" t="s">
        <v>128</v>
      </c>
      <c r="D82" s="212" t="s">
        <v>178</v>
      </c>
      <c r="E82" s="213"/>
      <c r="F82" s="213"/>
      <c r="G82" s="213"/>
      <c r="H82" s="213"/>
      <c r="I82" s="213"/>
      <c r="J82" s="213"/>
      <c r="K82" s="213"/>
      <c r="L82" s="213"/>
      <c r="M82" s="213"/>
      <c r="N82" s="213"/>
      <c r="O82" s="213"/>
      <c r="P82" s="213"/>
      <c r="Q82" s="213"/>
      <c r="R82" s="213"/>
      <c r="S82" s="213"/>
      <c r="T82" s="213"/>
      <c r="U82" s="213"/>
      <c r="V82" s="213"/>
      <c r="W82" s="213"/>
      <c r="X82" s="213"/>
      <c r="Y82" s="213"/>
      <c r="Z82" s="214"/>
    </row>
    <row r="83" spans="1:26" ht="78" customHeight="1" x14ac:dyDescent="0.2">
      <c r="B83" s="243"/>
      <c r="C83" s="111" t="s">
        <v>129</v>
      </c>
      <c r="D83" s="218" t="s">
        <v>179</v>
      </c>
      <c r="E83" s="219"/>
      <c r="F83" s="219"/>
      <c r="G83" s="219"/>
      <c r="H83" s="219"/>
      <c r="I83" s="219"/>
      <c r="J83" s="219"/>
      <c r="K83" s="219"/>
      <c r="L83" s="219"/>
      <c r="M83" s="219"/>
      <c r="N83" s="219"/>
      <c r="O83" s="219"/>
      <c r="P83" s="219"/>
      <c r="Q83" s="219"/>
      <c r="R83" s="219"/>
      <c r="S83" s="219"/>
      <c r="T83" s="219"/>
      <c r="U83" s="219"/>
      <c r="V83" s="219"/>
      <c r="W83" s="219"/>
      <c r="X83" s="219"/>
      <c r="Y83" s="219"/>
      <c r="Z83" s="220"/>
    </row>
    <row r="84" spans="1:26" ht="66" customHeight="1" x14ac:dyDescent="0.2">
      <c r="B84" s="242" t="s">
        <v>111</v>
      </c>
      <c r="C84" s="80" t="s">
        <v>131</v>
      </c>
      <c r="D84" s="221" t="s">
        <v>180</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66" customHeight="1" x14ac:dyDescent="0.2">
      <c r="B85" s="243"/>
      <c r="C85" s="82" t="s">
        <v>132</v>
      </c>
      <c r="D85" s="215" t="s">
        <v>181</v>
      </c>
      <c r="E85" s="216"/>
      <c r="F85" s="216"/>
      <c r="G85" s="216"/>
      <c r="H85" s="216"/>
      <c r="I85" s="216"/>
      <c r="J85" s="216"/>
      <c r="K85" s="216"/>
      <c r="L85" s="216"/>
      <c r="M85" s="216"/>
      <c r="N85" s="216"/>
      <c r="O85" s="216"/>
      <c r="P85" s="216"/>
      <c r="Q85" s="216"/>
      <c r="R85" s="216"/>
      <c r="S85" s="216"/>
      <c r="T85" s="216"/>
      <c r="U85" s="216"/>
      <c r="V85" s="216"/>
      <c r="W85" s="216"/>
      <c r="X85" s="216"/>
      <c r="Y85" s="216"/>
      <c r="Z85" s="217"/>
    </row>
    <row r="86" spans="1:26" ht="66" customHeight="1" x14ac:dyDescent="0.2">
      <c r="B86" s="244" t="s">
        <v>139</v>
      </c>
      <c r="C86" s="85" t="s">
        <v>106</v>
      </c>
      <c r="D86" s="251" t="s">
        <v>182</v>
      </c>
      <c r="E86" s="251"/>
      <c r="F86" s="251"/>
      <c r="G86" s="251"/>
      <c r="H86" s="251"/>
      <c r="I86" s="251"/>
      <c r="J86" s="251"/>
      <c r="K86" s="251"/>
      <c r="L86" s="251"/>
      <c r="M86" s="251"/>
      <c r="N86" s="251"/>
      <c r="O86" s="251"/>
      <c r="P86" s="251"/>
      <c r="Q86" s="251"/>
      <c r="R86" s="251"/>
      <c r="S86" s="251"/>
      <c r="T86" s="251"/>
      <c r="U86" s="251"/>
      <c r="V86" s="251"/>
      <c r="W86" s="251"/>
      <c r="X86" s="251"/>
      <c r="Y86" s="251"/>
      <c r="Z86" s="252"/>
    </row>
    <row r="87" spans="1:26" ht="66" customHeight="1" x14ac:dyDescent="0.2">
      <c r="B87" s="250"/>
      <c r="C87" s="81" t="s">
        <v>108</v>
      </c>
      <c r="D87" s="253" t="s">
        <v>185</v>
      </c>
      <c r="E87" s="253"/>
      <c r="F87" s="253"/>
      <c r="G87" s="253"/>
      <c r="H87" s="253"/>
      <c r="I87" s="253"/>
      <c r="J87" s="253"/>
      <c r="K87" s="253"/>
      <c r="L87" s="253"/>
      <c r="M87" s="253"/>
      <c r="N87" s="253"/>
      <c r="O87" s="253"/>
      <c r="P87" s="253"/>
      <c r="Q87" s="253"/>
      <c r="R87" s="253"/>
      <c r="S87" s="253"/>
      <c r="T87" s="253"/>
      <c r="U87" s="253"/>
      <c r="V87" s="253"/>
      <c r="W87" s="253"/>
      <c r="X87" s="253"/>
      <c r="Y87" s="253"/>
      <c r="Z87" s="254"/>
    </row>
    <row r="88" spans="1:26" ht="66" customHeight="1" x14ac:dyDescent="0.2">
      <c r="B88" s="244" t="s">
        <v>140</v>
      </c>
      <c r="C88" s="80" t="s">
        <v>105</v>
      </c>
      <c r="D88" s="246" t="s">
        <v>183</v>
      </c>
      <c r="E88" s="246"/>
      <c r="F88" s="246"/>
      <c r="G88" s="246"/>
      <c r="H88" s="246"/>
      <c r="I88" s="246"/>
      <c r="J88" s="246"/>
      <c r="K88" s="246"/>
      <c r="L88" s="246"/>
      <c r="M88" s="246"/>
      <c r="N88" s="246"/>
      <c r="O88" s="246"/>
      <c r="P88" s="246"/>
      <c r="Q88" s="246"/>
      <c r="R88" s="246"/>
      <c r="S88" s="246"/>
      <c r="T88" s="246"/>
      <c r="U88" s="246"/>
      <c r="V88" s="246"/>
      <c r="W88" s="246"/>
      <c r="X88" s="246"/>
      <c r="Y88" s="246"/>
      <c r="Z88" s="247"/>
    </row>
    <row r="89" spans="1:26" ht="66" customHeight="1" x14ac:dyDescent="0.2">
      <c r="B89" s="245"/>
      <c r="C89" s="81" t="s">
        <v>135</v>
      </c>
      <c r="D89" s="239" t="s">
        <v>186</v>
      </c>
      <c r="E89" s="240"/>
      <c r="F89" s="240"/>
      <c r="G89" s="240"/>
      <c r="H89" s="240"/>
      <c r="I89" s="240"/>
      <c r="J89" s="240"/>
      <c r="K89" s="240"/>
      <c r="L89" s="240"/>
      <c r="M89" s="240"/>
      <c r="N89" s="240"/>
      <c r="O89" s="240"/>
      <c r="P89" s="240"/>
      <c r="Q89" s="240"/>
      <c r="R89" s="240"/>
      <c r="S89" s="240"/>
      <c r="T89" s="240"/>
      <c r="U89" s="240"/>
      <c r="V89" s="240"/>
      <c r="W89" s="240"/>
      <c r="X89" s="240"/>
      <c r="Y89" s="240"/>
      <c r="Z89" s="241"/>
    </row>
    <row r="90" spans="1:26" ht="66" customHeight="1" x14ac:dyDescent="0.2">
      <c r="B90" s="243"/>
      <c r="C90" s="82" t="s">
        <v>136</v>
      </c>
      <c r="D90" s="248" t="s">
        <v>184</v>
      </c>
      <c r="E90" s="248"/>
      <c r="F90" s="248"/>
      <c r="G90" s="248"/>
      <c r="H90" s="248"/>
      <c r="I90" s="248"/>
      <c r="J90" s="248"/>
      <c r="K90" s="248"/>
      <c r="L90" s="248"/>
      <c r="M90" s="248"/>
      <c r="N90" s="248"/>
      <c r="O90" s="248"/>
      <c r="P90" s="248"/>
      <c r="Q90" s="248"/>
      <c r="R90" s="248"/>
      <c r="S90" s="248"/>
      <c r="T90" s="248"/>
      <c r="U90" s="248"/>
      <c r="V90" s="248"/>
      <c r="W90" s="248"/>
      <c r="X90" s="248"/>
      <c r="Y90" s="248"/>
      <c r="Z90" s="249"/>
    </row>
    <row r="91" spans="1:26" ht="6" customHeight="1" x14ac:dyDescent="0.2"/>
    <row r="92" spans="1:26" ht="18.75" customHeight="1" x14ac:dyDescent="0.2">
      <c r="A92" s="13" t="s">
        <v>144</v>
      </c>
    </row>
    <row r="93" spans="1:26" ht="18.75" customHeight="1" x14ac:dyDescent="0.2">
      <c r="B93" s="191" t="s">
        <v>175</v>
      </c>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3"/>
    </row>
    <row r="94" spans="1:26" ht="18.75" customHeight="1" x14ac:dyDescent="0.2">
      <c r="B94" s="194"/>
      <c r="C94" s="195"/>
      <c r="D94" s="195"/>
      <c r="E94" s="195"/>
      <c r="F94" s="195"/>
      <c r="G94" s="195"/>
      <c r="H94" s="195"/>
      <c r="I94" s="195"/>
      <c r="J94" s="195"/>
      <c r="K94" s="195"/>
      <c r="L94" s="195"/>
      <c r="M94" s="195"/>
      <c r="N94" s="195"/>
      <c r="O94" s="195"/>
      <c r="P94" s="195"/>
      <c r="Q94" s="195"/>
      <c r="R94" s="195"/>
      <c r="S94" s="195"/>
      <c r="T94" s="195"/>
      <c r="U94" s="195"/>
      <c r="V94" s="195"/>
      <c r="W94" s="195"/>
      <c r="X94" s="195"/>
      <c r="Y94" s="195"/>
      <c r="Z94" s="196"/>
    </row>
    <row r="95" spans="1:26" ht="18.75" customHeight="1" x14ac:dyDescent="0.2">
      <c r="B95" s="197"/>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9"/>
    </row>
    <row r="96" spans="1:26" ht="6" customHeight="1" x14ac:dyDescent="0.2"/>
    <row r="97" spans="1:26" ht="15" customHeight="1" x14ac:dyDescent="0.2">
      <c r="A97" s="13" t="s">
        <v>145</v>
      </c>
    </row>
    <row r="98" spans="1:26" ht="15" customHeight="1" x14ac:dyDescent="0.2">
      <c r="B98" s="200" t="s">
        <v>189</v>
      </c>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2"/>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C4" sqref="C4:D4"/>
    </sheetView>
  </sheetViews>
  <sheetFormatPr defaultColWidth="9" defaultRowHeight="18.75" customHeight="1" x14ac:dyDescent="0.2"/>
  <cols>
    <col min="1" max="1" width="2.7265625" style="1" customWidth="1"/>
    <col min="2" max="2" width="30" style="1" customWidth="1"/>
    <col min="3" max="17" width="6.08984375" style="1" customWidth="1"/>
    <col min="18" max="18" width="6.6328125" style="1" customWidth="1"/>
    <col min="19" max="16384" width="9" style="1"/>
  </cols>
  <sheetData>
    <row r="1" spans="1:20" ht="18" customHeight="1" x14ac:dyDescent="0.2">
      <c r="F1" s="259" t="s">
        <v>63</v>
      </c>
      <c r="G1" s="259"/>
      <c r="H1" s="259"/>
      <c r="I1" s="259"/>
      <c r="J1" s="259"/>
      <c r="K1" s="259"/>
      <c r="L1" s="259"/>
      <c r="M1" s="259"/>
      <c r="N1" s="259"/>
      <c r="O1" s="259"/>
      <c r="P1" s="259"/>
      <c r="Q1" s="259"/>
      <c r="R1" s="259"/>
    </row>
    <row r="2" spans="1:20" ht="18" customHeight="1" x14ac:dyDescent="0.2">
      <c r="A2" s="260" t="s">
        <v>89</v>
      </c>
      <c r="B2" s="260"/>
      <c r="C2" s="260"/>
      <c r="D2" s="260"/>
      <c r="E2" s="260"/>
      <c r="F2" s="260"/>
      <c r="G2" s="260"/>
      <c r="H2" s="260"/>
      <c r="I2" s="260"/>
      <c r="J2" s="260"/>
      <c r="K2" s="260"/>
      <c r="L2" s="260"/>
      <c r="M2" s="260"/>
      <c r="N2" s="260"/>
      <c r="O2" s="260"/>
      <c r="P2" s="260"/>
      <c r="Q2" s="260"/>
      <c r="R2" s="260"/>
      <c r="S2" s="4"/>
    </row>
    <row r="3" spans="1:20" ht="7.5" customHeight="1" x14ac:dyDescent="0.2">
      <c r="A3" s="38"/>
      <c r="B3" s="38"/>
      <c r="C3" s="38"/>
      <c r="D3" s="38"/>
      <c r="E3" s="38"/>
      <c r="F3" s="38"/>
      <c r="G3" s="38"/>
      <c r="H3" s="38"/>
      <c r="I3" s="38"/>
      <c r="J3" s="38"/>
      <c r="K3" s="38"/>
      <c r="L3" s="38"/>
      <c r="M3" s="38"/>
      <c r="N3" s="38"/>
      <c r="O3" s="38"/>
      <c r="P3" s="38"/>
      <c r="Q3" s="38"/>
      <c r="R3" s="38"/>
    </row>
    <row r="4" spans="1:20" ht="18" customHeight="1" x14ac:dyDescent="0.2">
      <c r="A4" s="4" t="s">
        <v>148</v>
      </c>
      <c r="B4" s="4"/>
      <c r="C4" s="261" t="str">
        <f>'様式１　大学等概要'!E12</f>
        <v>令和3</v>
      </c>
      <c r="D4" s="262"/>
      <c r="E4" s="38" t="s">
        <v>114</v>
      </c>
      <c r="F4" s="38"/>
      <c r="G4" s="38"/>
      <c r="H4" s="38"/>
      <c r="I4" s="38"/>
      <c r="J4" s="86"/>
      <c r="K4" s="38"/>
      <c r="L4" s="38"/>
      <c r="M4" s="116"/>
      <c r="N4" s="116"/>
      <c r="O4" s="116"/>
      <c r="P4" s="116"/>
      <c r="Q4" s="116"/>
      <c r="R4" s="116"/>
    </row>
    <row r="5" spans="1:20" ht="6" customHeight="1" x14ac:dyDescent="0.2">
      <c r="A5" s="38"/>
      <c r="B5" s="38"/>
      <c r="C5" s="38"/>
      <c r="D5" s="38"/>
      <c r="E5" s="38"/>
      <c r="F5" s="38"/>
      <c r="G5" s="38"/>
      <c r="H5" s="38"/>
      <c r="I5" s="38"/>
      <c r="J5" s="38"/>
      <c r="K5" s="38"/>
      <c r="L5" s="38"/>
      <c r="M5" s="38"/>
      <c r="N5" s="38"/>
      <c r="O5" s="38"/>
      <c r="P5" s="38"/>
      <c r="Q5" s="38"/>
      <c r="R5" s="38"/>
    </row>
    <row r="6" spans="1:20" ht="18" customHeight="1" x14ac:dyDescent="0.2">
      <c r="A6" s="4" t="s">
        <v>146</v>
      </c>
      <c r="B6" s="38"/>
      <c r="C6" s="38"/>
      <c r="D6" s="38"/>
      <c r="E6" s="38"/>
      <c r="F6" s="38"/>
      <c r="G6" s="38"/>
      <c r="H6" s="38"/>
      <c r="I6" s="38"/>
      <c r="J6" s="38"/>
      <c r="K6" s="38"/>
      <c r="L6" s="38"/>
      <c r="M6" s="38"/>
      <c r="N6" s="38"/>
      <c r="O6" s="38"/>
      <c r="P6" s="38"/>
      <c r="Q6" s="38"/>
      <c r="R6" s="38"/>
    </row>
    <row r="7" spans="1:20" ht="6" customHeight="1" x14ac:dyDescent="0.2">
      <c r="A7" s="4"/>
      <c r="B7" s="38"/>
      <c r="C7" s="38"/>
      <c r="D7" s="38"/>
      <c r="E7" s="38"/>
      <c r="F7" s="38"/>
      <c r="G7" s="38"/>
      <c r="H7" s="38"/>
      <c r="I7" s="38"/>
      <c r="J7" s="38"/>
      <c r="K7" s="38"/>
      <c r="L7" s="38"/>
      <c r="M7" s="38"/>
      <c r="N7" s="38"/>
      <c r="O7" s="38"/>
      <c r="P7" s="38"/>
      <c r="Q7" s="38"/>
      <c r="R7" s="38"/>
    </row>
    <row r="8" spans="1:20" ht="18" customHeight="1" x14ac:dyDescent="0.2">
      <c r="B8" s="263" t="s">
        <v>79</v>
      </c>
      <c r="C8" s="265" t="s">
        <v>84</v>
      </c>
      <c r="D8" s="267" t="s">
        <v>68</v>
      </c>
      <c r="E8" s="269" t="s">
        <v>90</v>
      </c>
      <c r="F8" s="269"/>
      <c r="G8" s="269" t="s">
        <v>91</v>
      </c>
      <c r="H8" s="269"/>
      <c r="I8" s="269" t="s">
        <v>92</v>
      </c>
      <c r="J8" s="269"/>
      <c r="K8" s="270" t="s">
        <v>93</v>
      </c>
      <c r="L8" s="271"/>
      <c r="M8" s="270" t="s">
        <v>94</v>
      </c>
      <c r="N8" s="271"/>
      <c r="O8" s="270" t="s">
        <v>95</v>
      </c>
      <c r="P8" s="271"/>
      <c r="Q8" s="272" t="s">
        <v>62</v>
      </c>
      <c r="R8" s="274" t="s">
        <v>56</v>
      </c>
      <c r="T8" s="34"/>
    </row>
    <row r="9" spans="1:20" ht="18" customHeight="1" x14ac:dyDescent="0.2">
      <c r="A9" s="4"/>
      <c r="B9" s="264"/>
      <c r="C9" s="266"/>
      <c r="D9" s="268"/>
      <c r="E9" s="43" t="s">
        <v>44</v>
      </c>
      <c r="F9" s="44" t="s">
        <v>43</v>
      </c>
      <c r="G9" s="45" t="s">
        <v>44</v>
      </c>
      <c r="H9" s="46" t="s">
        <v>43</v>
      </c>
      <c r="I9" s="43" t="s">
        <v>44</v>
      </c>
      <c r="J9" s="44" t="s">
        <v>43</v>
      </c>
      <c r="K9" s="45" t="s">
        <v>44</v>
      </c>
      <c r="L9" s="46" t="s">
        <v>43</v>
      </c>
      <c r="M9" s="43" t="s">
        <v>44</v>
      </c>
      <c r="N9" s="44" t="s">
        <v>43</v>
      </c>
      <c r="O9" s="45" t="s">
        <v>44</v>
      </c>
      <c r="P9" s="46" t="s">
        <v>43</v>
      </c>
      <c r="Q9" s="273"/>
      <c r="R9" s="275"/>
      <c r="T9" s="34"/>
    </row>
    <row r="10" spans="1:20" ht="18" customHeight="1" x14ac:dyDescent="0.2">
      <c r="A10" s="47"/>
      <c r="B10" s="87" t="s">
        <v>172</v>
      </c>
      <c r="C10" s="47">
        <v>260</v>
      </c>
      <c r="D10" s="48">
        <v>1040</v>
      </c>
      <c r="E10" s="123">
        <v>49</v>
      </c>
      <c r="F10" s="124">
        <v>46</v>
      </c>
      <c r="G10" s="51"/>
      <c r="H10" s="52"/>
      <c r="I10" s="49"/>
      <c r="J10" s="50"/>
      <c r="K10" s="51"/>
      <c r="L10" s="52"/>
      <c r="M10" s="49"/>
      <c r="N10" s="50"/>
      <c r="O10" s="51"/>
      <c r="P10" s="52"/>
      <c r="Q10" s="53">
        <f>E10+G10+I10+K10+M10+O10</f>
        <v>49</v>
      </c>
      <c r="R10" s="54">
        <f>Q10/D10</f>
        <v>4.7115384615384615E-2</v>
      </c>
    </row>
    <row r="11" spans="1:20" ht="18" customHeight="1" x14ac:dyDescent="0.2">
      <c r="A11" s="47"/>
      <c r="B11" s="88" t="s">
        <v>173</v>
      </c>
      <c r="C11" s="63">
        <v>300</v>
      </c>
      <c r="D11" s="56">
        <v>1200</v>
      </c>
      <c r="E11" s="125">
        <v>10</v>
      </c>
      <c r="F11" s="126">
        <v>9</v>
      </c>
      <c r="G11" s="59"/>
      <c r="H11" s="60"/>
      <c r="I11" s="57"/>
      <c r="J11" s="58"/>
      <c r="K11" s="59"/>
      <c r="L11" s="60"/>
      <c r="M11" s="57"/>
      <c r="N11" s="58"/>
      <c r="O11" s="59"/>
      <c r="P11" s="60"/>
      <c r="Q11" s="61">
        <f t="shared" ref="Q11:Q29" si="0">E11+G11+I11+K11+M11+O11</f>
        <v>10</v>
      </c>
      <c r="R11" s="62">
        <f t="shared" ref="R11:R29" si="1">Q11/D11</f>
        <v>8.3333333333333332E-3</v>
      </c>
    </row>
    <row r="12" spans="1:20" ht="18" customHeight="1" x14ac:dyDescent="0.2">
      <c r="A12" s="47"/>
      <c r="B12" s="88"/>
      <c r="C12" s="63"/>
      <c r="D12" s="56"/>
      <c r="E12" s="57"/>
      <c r="F12" s="58"/>
      <c r="G12" s="59"/>
      <c r="H12" s="60"/>
      <c r="I12" s="57"/>
      <c r="J12" s="58"/>
      <c r="K12" s="59"/>
      <c r="L12" s="60"/>
      <c r="M12" s="57"/>
      <c r="N12" s="58"/>
      <c r="O12" s="59"/>
      <c r="P12" s="60"/>
      <c r="Q12" s="61">
        <f t="shared" si="0"/>
        <v>0</v>
      </c>
      <c r="R12" s="62" t="e">
        <f t="shared" si="1"/>
        <v>#DIV/0!</v>
      </c>
    </row>
    <row r="13" spans="1:20" ht="18" customHeight="1" x14ac:dyDescent="0.2">
      <c r="A13" s="47"/>
      <c r="B13" s="88"/>
      <c r="C13" s="63"/>
      <c r="D13" s="56"/>
      <c r="E13" s="57"/>
      <c r="F13" s="58"/>
      <c r="G13" s="59"/>
      <c r="H13" s="60"/>
      <c r="I13" s="57"/>
      <c r="J13" s="58"/>
      <c r="K13" s="59"/>
      <c r="L13" s="60"/>
      <c r="M13" s="57"/>
      <c r="N13" s="58"/>
      <c r="O13" s="59"/>
      <c r="P13" s="60"/>
      <c r="Q13" s="61">
        <f t="shared" si="0"/>
        <v>0</v>
      </c>
      <c r="R13" s="62" t="e">
        <f t="shared" si="1"/>
        <v>#DIV/0!</v>
      </c>
    </row>
    <row r="14" spans="1:20" ht="18" customHeight="1" x14ac:dyDescent="0.2">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2">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2">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2">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2">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2">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2">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2">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2">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2">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2">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2">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2">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2">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2">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5">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2">
      <c r="B30" s="91" t="s">
        <v>57</v>
      </c>
      <c r="C30" s="92">
        <f t="shared" ref="C30:Q30" si="2">SUM(C10:C29)</f>
        <v>560</v>
      </c>
      <c r="D30" s="65">
        <f t="shared" si="2"/>
        <v>2240</v>
      </c>
      <c r="E30" s="66">
        <f t="shared" si="2"/>
        <v>59</v>
      </c>
      <c r="F30" s="67">
        <f t="shared" si="2"/>
        <v>55</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59</v>
      </c>
      <c r="R30" s="71">
        <f>Q30/D30</f>
        <v>2.6339285714285714E-2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zoomScaleNormal="100" zoomScaleSheetLayoutView="100" workbookViewId="0">
      <selection activeCell="B5" sqref="B5:J5"/>
    </sheetView>
  </sheetViews>
  <sheetFormatPr defaultColWidth="11.36328125" defaultRowHeight="18.75" customHeight="1" x14ac:dyDescent="0.2"/>
  <cols>
    <col min="1" max="1" width="2.7265625" style="2" customWidth="1"/>
    <col min="2" max="2" width="16.6328125" style="1" customWidth="1"/>
    <col min="3" max="3" width="8.90625" style="1" customWidth="1"/>
    <col min="4" max="4" width="2.26953125" style="1" customWidth="1"/>
    <col min="5" max="5" width="16.6328125" style="1" customWidth="1"/>
    <col min="6" max="6" width="8.90625" style="1" customWidth="1"/>
    <col min="7" max="7" width="2.26953125" style="1" customWidth="1"/>
    <col min="8" max="8" width="16.6328125" style="1" customWidth="1"/>
    <col min="9" max="9" width="8.90625" style="1" customWidth="1"/>
    <col min="10" max="10" width="2.26953125" style="1" customWidth="1"/>
    <col min="11" max="11" width="11.36328125" style="31"/>
    <col min="12" max="16384" width="11.36328125" style="1"/>
  </cols>
  <sheetData>
    <row r="1" spans="1:11" ht="18.75" customHeight="1" x14ac:dyDescent="0.2">
      <c r="A1" s="2" t="s">
        <v>115</v>
      </c>
      <c r="J1" s="41" t="s">
        <v>116</v>
      </c>
    </row>
    <row r="2" spans="1:11" ht="18.75" customHeight="1" x14ac:dyDescent="0.2">
      <c r="A2" s="260" t="s">
        <v>64</v>
      </c>
      <c r="B2" s="260"/>
      <c r="C2" s="260"/>
      <c r="D2" s="260"/>
      <c r="E2" s="260"/>
      <c r="F2" s="260"/>
      <c r="G2" s="260"/>
      <c r="H2" s="260"/>
      <c r="I2" s="260"/>
      <c r="J2" s="260"/>
    </row>
    <row r="3" spans="1:11" ht="7.5" customHeight="1" x14ac:dyDescent="0.2">
      <c r="B3" s="38"/>
      <c r="C3" s="38"/>
      <c r="D3" s="38"/>
      <c r="E3" s="38"/>
      <c r="F3" s="38"/>
      <c r="G3" s="38"/>
      <c r="H3" s="38"/>
      <c r="I3" s="38"/>
      <c r="J3" s="38"/>
    </row>
    <row r="4" spans="1:11" ht="18.75" customHeight="1" x14ac:dyDescent="0.2">
      <c r="A4" s="1" t="s">
        <v>6</v>
      </c>
      <c r="B4" s="4" t="s">
        <v>72</v>
      </c>
      <c r="C4" s="4"/>
      <c r="D4" s="4"/>
      <c r="E4" s="4"/>
      <c r="F4" s="4"/>
      <c r="G4" s="4"/>
      <c r="H4" s="4"/>
      <c r="I4" s="38"/>
      <c r="J4" s="38"/>
    </row>
    <row r="5" spans="1:11" ht="18.75" customHeight="1" x14ac:dyDescent="0.2">
      <c r="A5" s="1"/>
      <c r="B5" s="158" t="s">
        <v>174</v>
      </c>
      <c r="C5" s="159"/>
      <c r="D5" s="159"/>
      <c r="E5" s="159"/>
      <c r="F5" s="159"/>
      <c r="G5" s="159"/>
      <c r="H5" s="159"/>
      <c r="I5" s="159"/>
      <c r="J5" s="297"/>
      <c r="K5" s="31" t="str">
        <f>IF(B5="","入力してください","")</f>
        <v/>
      </c>
    </row>
    <row r="6" spans="1:11" ht="7.5" customHeight="1" x14ac:dyDescent="0.2">
      <c r="B6" s="38"/>
      <c r="C6" s="38"/>
      <c r="D6" s="38"/>
      <c r="E6" s="38"/>
      <c r="F6" s="38"/>
      <c r="G6" s="38"/>
      <c r="H6" s="38"/>
      <c r="I6" s="38"/>
      <c r="J6" s="38"/>
    </row>
    <row r="7" spans="1:11" s="4" customFormat="1" ht="18.75" customHeight="1" x14ac:dyDescent="0.2">
      <c r="A7" s="1" t="s">
        <v>9</v>
      </c>
      <c r="B7" s="1" t="s">
        <v>39</v>
      </c>
      <c r="C7" s="1"/>
      <c r="D7" s="1"/>
      <c r="E7" s="1"/>
      <c r="F7" s="1"/>
      <c r="G7" s="1"/>
      <c r="H7" s="1"/>
      <c r="I7" s="1"/>
      <c r="J7" s="1"/>
      <c r="K7" s="35"/>
    </row>
    <row r="8" spans="1:11" s="4" customFormat="1" ht="18.75" customHeight="1" x14ac:dyDescent="0.2">
      <c r="A8" s="93"/>
      <c r="B8" s="298" t="s">
        <v>187</v>
      </c>
      <c r="C8" s="299"/>
      <c r="D8" s="299"/>
      <c r="E8" s="299"/>
      <c r="F8" s="299"/>
      <c r="G8" s="299"/>
      <c r="H8" s="299"/>
      <c r="I8" s="300"/>
      <c r="J8" s="301"/>
      <c r="K8" s="31" t="str">
        <f>IF(B8="","入力してください","")</f>
        <v/>
      </c>
    </row>
    <row r="9" spans="1:11" s="4" customFormat="1" ht="18.75" customHeight="1" x14ac:dyDescent="0.2">
      <c r="A9" s="93"/>
      <c r="B9" s="302"/>
      <c r="C9" s="303"/>
      <c r="D9" s="303"/>
      <c r="E9" s="303"/>
      <c r="F9" s="303"/>
      <c r="G9" s="303"/>
      <c r="H9" s="303"/>
      <c r="I9" s="303"/>
      <c r="J9" s="304"/>
      <c r="K9" s="31"/>
    </row>
    <row r="10" spans="1:11" s="4" customFormat="1" ht="18.75" customHeight="1" x14ac:dyDescent="0.2">
      <c r="A10" s="93"/>
      <c r="B10" s="302"/>
      <c r="C10" s="303"/>
      <c r="D10" s="303"/>
      <c r="E10" s="303"/>
      <c r="F10" s="303"/>
      <c r="G10" s="303"/>
      <c r="H10" s="303"/>
      <c r="I10" s="303"/>
      <c r="J10" s="304"/>
      <c r="K10" s="31"/>
    </row>
    <row r="11" spans="1:11" s="4" customFormat="1" ht="18.75" customHeight="1" x14ac:dyDescent="0.2">
      <c r="A11" s="93"/>
      <c r="B11" s="302"/>
      <c r="C11" s="303"/>
      <c r="D11" s="303"/>
      <c r="E11" s="303"/>
      <c r="F11" s="303"/>
      <c r="G11" s="303"/>
      <c r="H11" s="303"/>
      <c r="I11" s="303"/>
      <c r="J11" s="304"/>
      <c r="K11" s="31"/>
    </row>
    <row r="12" spans="1:11" s="4" customFormat="1" ht="18.75" customHeight="1" x14ac:dyDescent="0.2">
      <c r="A12" s="93"/>
      <c r="B12" s="305"/>
      <c r="C12" s="306"/>
      <c r="D12" s="306"/>
      <c r="E12" s="306"/>
      <c r="F12" s="306"/>
      <c r="G12" s="306"/>
      <c r="H12" s="306"/>
      <c r="I12" s="306"/>
      <c r="J12" s="307"/>
      <c r="K12" s="31"/>
    </row>
    <row r="13" spans="1:11" s="4" customFormat="1" ht="7.5" customHeight="1" x14ac:dyDescent="0.2">
      <c r="A13" s="93"/>
      <c r="B13" s="93"/>
      <c r="C13" s="93"/>
      <c r="D13" s="93"/>
      <c r="E13" s="93"/>
      <c r="F13" s="93"/>
      <c r="G13" s="93"/>
      <c r="H13" s="93"/>
      <c r="I13" s="93"/>
      <c r="J13" s="93"/>
      <c r="K13" s="31"/>
    </row>
    <row r="14" spans="1:11" s="4" customFormat="1" ht="18.75" customHeight="1" x14ac:dyDescent="0.2">
      <c r="A14" s="94" t="s">
        <v>10</v>
      </c>
      <c r="B14" s="94" t="s">
        <v>15</v>
      </c>
      <c r="C14" s="94"/>
      <c r="D14" s="94"/>
      <c r="E14" s="94"/>
      <c r="F14" s="94"/>
      <c r="G14" s="94"/>
      <c r="H14" s="94"/>
      <c r="I14" s="94"/>
      <c r="J14" s="94"/>
      <c r="K14" s="31"/>
    </row>
    <row r="15" spans="1:11" s="4" customFormat="1" ht="18.75" customHeight="1" x14ac:dyDescent="0.2">
      <c r="A15" s="93"/>
      <c r="B15" s="276" t="s">
        <v>188</v>
      </c>
      <c r="C15" s="277"/>
      <c r="D15" s="277"/>
      <c r="E15" s="277"/>
      <c r="F15" s="277"/>
      <c r="G15" s="277"/>
      <c r="H15" s="277"/>
      <c r="I15" s="285"/>
      <c r="J15" s="286"/>
      <c r="K15" s="31" t="str">
        <f>IF(B15="","入力してください","")</f>
        <v/>
      </c>
    </row>
    <row r="16" spans="1:11" s="4" customFormat="1" ht="18.75" customHeight="1" x14ac:dyDescent="0.2">
      <c r="A16" s="93"/>
      <c r="B16" s="287"/>
      <c r="C16" s="288"/>
      <c r="D16" s="288"/>
      <c r="E16" s="288"/>
      <c r="F16" s="288"/>
      <c r="G16" s="288"/>
      <c r="H16" s="288"/>
      <c r="I16" s="288"/>
      <c r="J16" s="289"/>
      <c r="K16" s="31"/>
    </row>
    <row r="17" spans="1:11" s="4" customFormat="1" ht="18.75" customHeight="1" x14ac:dyDescent="0.2">
      <c r="A17" s="93"/>
      <c r="B17" s="287"/>
      <c r="C17" s="288"/>
      <c r="D17" s="288"/>
      <c r="E17" s="288"/>
      <c r="F17" s="288"/>
      <c r="G17" s="288"/>
      <c r="H17" s="288"/>
      <c r="I17" s="288"/>
      <c r="J17" s="289"/>
      <c r="K17" s="31"/>
    </row>
    <row r="18" spans="1:11" s="4" customFormat="1" ht="18.75" customHeight="1" x14ac:dyDescent="0.2">
      <c r="A18" s="93"/>
      <c r="B18" s="287"/>
      <c r="C18" s="288"/>
      <c r="D18" s="288"/>
      <c r="E18" s="288"/>
      <c r="F18" s="288"/>
      <c r="G18" s="288"/>
      <c r="H18" s="288"/>
      <c r="I18" s="288"/>
      <c r="J18" s="289"/>
      <c r="K18" s="31"/>
    </row>
    <row r="19" spans="1:11" s="4" customFormat="1" ht="18.75" customHeight="1" x14ac:dyDescent="0.2">
      <c r="A19" s="93"/>
      <c r="B19" s="287"/>
      <c r="C19" s="288"/>
      <c r="D19" s="288"/>
      <c r="E19" s="288"/>
      <c r="F19" s="288"/>
      <c r="G19" s="288"/>
      <c r="H19" s="288"/>
      <c r="I19" s="288"/>
      <c r="J19" s="289"/>
      <c r="K19" s="31"/>
    </row>
    <row r="20" spans="1:11" s="4" customFormat="1" ht="18.75" customHeight="1" x14ac:dyDescent="0.2">
      <c r="A20" s="93"/>
      <c r="B20" s="287"/>
      <c r="C20" s="288"/>
      <c r="D20" s="288"/>
      <c r="E20" s="288"/>
      <c r="F20" s="288"/>
      <c r="G20" s="288"/>
      <c r="H20" s="288"/>
      <c r="I20" s="288"/>
      <c r="J20" s="289"/>
      <c r="K20" s="31"/>
    </row>
    <row r="21" spans="1:11" s="4" customFormat="1" ht="18.75" customHeight="1" x14ac:dyDescent="0.2">
      <c r="A21" s="93"/>
      <c r="B21" s="287"/>
      <c r="C21" s="288"/>
      <c r="D21" s="288"/>
      <c r="E21" s="288"/>
      <c r="F21" s="288"/>
      <c r="G21" s="288"/>
      <c r="H21" s="288"/>
      <c r="I21" s="288"/>
      <c r="J21" s="289"/>
      <c r="K21" s="31"/>
    </row>
    <row r="22" spans="1:11" s="4" customFormat="1" ht="18.75" customHeight="1" x14ac:dyDescent="0.2">
      <c r="A22" s="93"/>
      <c r="B22" s="287"/>
      <c r="C22" s="288"/>
      <c r="D22" s="288"/>
      <c r="E22" s="288"/>
      <c r="F22" s="288"/>
      <c r="G22" s="288"/>
      <c r="H22" s="288"/>
      <c r="I22" s="288"/>
      <c r="J22" s="289"/>
      <c r="K22" s="31"/>
    </row>
    <row r="23" spans="1:11" s="4" customFormat="1" ht="18.75" customHeight="1" x14ac:dyDescent="0.2">
      <c r="A23" s="93"/>
      <c r="B23" s="287"/>
      <c r="C23" s="288"/>
      <c r="D23" s="288"/>
      <c r="E23" s="288"/>
      <c r="F23" s="288"/>
      <c r="G23" s="288"/>
      <c r="H23" s="288"/>
      <c r="I23" s="288"/>
      <c r="J23" s="289"/>
      <c r="K23" s="31"/>
    </row>
    <row r="24" spans="1:11" s="4" customFormat="1" ht="18.75" customHeight="1" x14ac:dyDescent="0.2">
      <c r="A24" s="93"/>
      <c r="B24" s="287"/>
      <c r="C24" s="288"/>
      <c r="D24" s="288"/>
      <c r="E24" s="288"/>
      <c r="F24" s="288"/>
      <c r="G24" s="288"/>
      <c r="H24" s="288"/>
      <c r="I24" s="288"/>
      <c r="J24" s="289"/>
      <c r="K24" s="31"/>
    </row>
    <row r="25" spans="1:11" s="4" customFormat="1" ht="18.75" customHeight="1" x14ac:dyDescent="0.2">
      <c r="A25" s="93"/>
      <c r="B25" s="290"/>
      <c r="C25" s="291"/>
      <c r="D25" s="291"/>
      <c r="E25" s="291"/>
      <c r="F25" s="291"/>
      <c r="G25" s="291"/>
      <c r="H25" s="291"/>
      <c r="I25" s="291"/>
      <c r="J25" s="292"/>
      <c r="K25" s="31"/>
    </row>
    <row r="26" spans="1:11" ht="7.5" customHeight="1" x14ac:dyDescent="0.2">
      <c r="A26" s="39"/>
      <c r="B26" s="122"/>
      <c r="C26" s="39"/>
      <c r="D26" s="39"/>
      <c r="E26" s="39"/>
      <c r="F26" s="39"/>
      <c r="G26" s="39"/>
      <c r="H26" s="39"/>
      <c r="I26" s="39"/>
      <c r="J26" s="39"/>
    </row>
    <row r="27" spans="1:11" s="4" customFormat="1" ht="18.75" customHeight="1" x14ac:dyDescent="0.2">
      <c r="A27" s="1" t="s">
        <v>13</v>
      </c>
      <c r="B27" s="1" t="s">
        <v>26</v>
      </c>
      <c r="C27" s="1"/>
      <c r="D27" s="1"/>
      <c r="E27" s="1"/>
      <c r="F27" s="1"/>
      <c r="G27" s="1"/>
      <c r="H27" s="1"/>
      <c r="I27" s="1"/>
      <c r="J27" s="1"/>
      <c r="K27" s="31"/>
    </row>
    <row r="28" spans="1:11" s="29" customFormat="1" ht="18.75" customHeight="1" x14ac:dyDescent="0.2">
      <c r="B28" s="95" t="s">
        <v>117</v>
      </c>
      <c r="C28" s="96">
        <f>'様式３　履修者等数の実績'!R30</f>
        <v>2.6339285714285714E-2</v>
      </c>
      <c r="D28" s="97"/>
      <c r="E28" s="97" t="s">
        <v>118</v>
      </c>
      <c r="F28" s="96">
        <v>7.0000000000000007E-2</v>
      </c>
      <c r="G28" s="97"/>
      <c r="H28" s="97" t="s">
        <v>119</v>
      </c>
      <c r="I28" s="98">
        <v>0.4</v>
      </c>
      <c r="J28" s="99"/>
      <c r="K28" s="31"/>
    </row>
    <row r="29" spans="1:11" s="29" customFormat="1" ht="18.75" customHeight="1" x14ac:dyDescent="0.2">
      <c r="B29" s="83" t="s">
        <v>120</v>
      </c>
      <c r="C29" s="100">
        <v>0.6</v>
      </c>
      <c r="D29" s="84"/>
      <c r="E29" s="84" t="s">
        <v>121</v>
      </c>
      <c r="F29" s="100">
        <v>0.8</v>
      </c>
      <c r="G29" s="84"/>
      <c r="H29" s="84" t="s">
        <v>122</v>
      </c>
      <c r="I29" s="101">
        <f>'様式３　履修者等数の実績'!D30</f>
        <v>2240</v>
      </c>
      <c r="J29" s="102"/>
      <c r="K29" s="35"/>
    </row>
    <row r="30" spans="1:11" s="4" customFormat="1" ht="18.75" customHeight="1" x14ac:dyDescent="0.2">
      <c r="A30" s="1"/>
      <c r="B30" s="206" t="s">
        <v>123</v>
      </c>
      <c r="C30" s="207"/>
      <c r="D30" s="207"/>
      <c r="E30" s="207"/>
      <c r="F30" s="207"/>
      <c r="G30" s="207"/>
      <c r="H30" s="207"/>
      <c r="I30" s="207"/>
      <c r="J30" s="208"/>
      <c r="K30" s="35"/>
    </row>
    <row r="31" spans="1:11" s="4" customFormat="1" ht="18.75" customHeight="1" x14ac:dyDescent="0.2">
      <c r="A31" s="1"/>
      <c r="B31" s="294" t="s">
        <v>191</v>
      </c>
      <c r="C31" s="295"/>
      <c r="D31" s="295"/>
      <c r="E31" s="295"/>
      <c r="F31" s="295"/>
      <c r="G31" s="295"/>
      <c r="H31" s="295"/>
      <c r="I31" s="295"/>
      <c r="J31" s="296"/>
      <c r="K31" s="35" t="str">
        <f>IF(B31="","入力してください","")</f>
        <v/>
      </c>
    </row>
    <row r="32" spans="1:11" s="4" customFormat="1" ht="18.75" customHeight="1" x14ac:dyDescent="0.2">
      <c r="A32" s="1"/>
      <c r="B32" s="279"/>
      <c r="C32" s="280"/>
      <c r="D32" s="280"/>
      <c r="E32" s="280"/>
      <c r="F32" s="280"/>
      <c r="G32" s="280"/>
      <c r="H32" s="280"/>
      <c r="I32" s="280"/>
      <c r="J32" s="281"/>
      <c r="K32" s="35"/>
    </row>
    <row r="33" spans="1:11" s="4" customFormat="1" ht="18.75" customHeight="1" x14ac:dyDescent="0.2">
      <c r="A33" s="1"/>
      <c r="B33" s="279"/>
      <c r="C33" s="280"/>
      <c r="D33" s="280"/>
      <c r="E33" s="280"/>
      <c r="F33" s="280"/>
      <c r="G33" s="280"/>
      <c r="H33" s="280"/>
      <c r="I33" s="280"/>
      <c r="J33" s="281"/>
      <c r="K33" s="35"/>
    </row>
    <row r="34" spans="1:11" s="4" customFormat="1" ht="18.75" customHeight="1" x14ac:dyDescent="0.2">
      <c r="A34" s="1"/>
      <c r="B34" s="279"/>
      <c r="C34" s="280"/>
      <c r="D34" s="280"/>
      <c r="E34" s="280"/>
      <c r="F34" s="280"/>
      <c r="G34" s="280"/>
      <c r="H34" s="280"/>
      <c r="I34" s="280"/>
      <c r="J34" s="281"/>
      <c r="K34" s="35"/>
    </row>
    <row r="35" spans="1:11" s="4" customFormat="1" ht="18.75" customHeight="1" x14ac:dyDescent="0.2">
      <c r="A35" s="1"/>
      <c r="B35" s="279"/>
      <c r="C35" s="280"/>
      <c r="D35" s="280"/>
      <c r="E35" s="280"/>
      <c r="F35" s="280"/>
      <c r="G35" s="280"/>
      <c r="H35" s="280"/>
      <c r="I35" s="280"/>
      <c r="J35" s="281"/>
      <c r="K35" s="35"/>
    </row>
    <row r="36" spans="1:11" s="4" customFormat="1" ht="18.75" customHeight="1" x14ac:dyDescent="0.2">
      <c r="A36" s="1"/>
      <c r="B36" s="279"/>
      <c r="C36" s="280"/>
      <c r="D36" s="280"/>
      <c r="E36" s="280"/>
      <c r="F36" s="280"/>
      <c r="G36" s="280"/>
      <c r="H36" s="280"/>
      <c r="I36" s="280"/>
      <c r="J36" s="281"/>
      <c r="K36" s="35"/>
    </row>
    <row r="37" spans="1:11" s="4" customFormat="1" ht="18.75" customHeight="1" x14ac:dyDescent="0.2">
      <c r="A37" s="1"/>
      <c r="B37" s="279"/>
      <c r="C37" s="280"/>
      <c r="D37" s="280"/>
      <c r="E37" s="280"/>
      <c r="F37" s="280"/>
      <c r="G37" s="280"/>
      <c r="H37" s="280"/>
      <c r="I37" s="280"/>
      <c r="J37" s="281"/>
      <c r="K37" s="35"/>
    </row>
    <row r="38" spans="1:11" s="4" customFormat="1" ht="18.75" customHeight="1" x14ac:dyDescent="0.2">
      <c r="A38" s="1"/>
      <c r="B38" s="279"/>
      <c r="C38" s="280"/>
      <c r="D38" s="280"/>
      <c r="E38" s="280"/>
      <c r="F38" s="280"/>
      <c r="G38" s="280"/>
      <c r="H38" s="280"/>
      <c r="I38" s="280"/>
      <c r="J38" s="281"/>
      <c r="K38" s="35"/>
    </row>
    <row r="39" spans="1:11" s="4" customFormat="1" ht="18.75" customHeight="1" x14ac:dyDescent="0.2">
      <c r="A39" s="1"/>
      <c r="B39" s="279"/>
      <c r="C39" s="280"/>
      <c r="D39" s="280"/>
      <c r="E39" s="280"/>
      <c r="F39" s="280"/>
      <c r="G39" s="280"/>
      <c r="H39" s="280"/>
      <c r="I39" s="280"/>
      <c r="J39" s="281"/>
      <c r="K39" s="35"/>
    </row>
    <row r="40" spans="1:11" s="4" customFormat="1" ht="18.75" customHeight="1" x14ac:dyDescent="0.2">
      <c r="A40" s="1"/>
      <c r="B40" s="279"/>
      <c r="C40" s="280"/>
      <c r="D40" s="280"/>
      <c r="E40" s="280"/>
      <c r="F40" s="280"/>
      <c r="G40" s="280"/>
      <c r="H40" s="280"/>
      <c r="I40" s="280"/>
      <c r="J40" s="281"/>
      <c r="K40" s="35"/>
    </row>
    <row r="41" spans="1:11" s="4" customFormat="1" ht="18.75" customHeight="1" x14ac:dyDescent="0.2">
      <c r="A41" s="1"/>
      <c r="B41" s="279"/>
      <c r="C41" s="280"/>
      <c r="D41" s="280"/>
      <c r="E41" s="280"/>
      <c r="F41" s="280"/>
      <c r="G41" s="280"/>
      <c r="H41" s="280"/>
      <c r="I41" s="280"/>
      <c r="J41" s="281"/>
      <c r="K41" s="35"/>
    </row>
    <row r="42" spans="1:11" s="4" customFormat="1" ht="18.649999999999999" customHeight="1" x14ac:dyDescent="0.2">
      <c r="A42" s="1"/>
      <c r="B42" s="279"/>
      <c r="C42" s="280"/>
      <c r="D42" s="280"/>
      <c r="E42" s="280"/>
      <c r="F42" s="280"/>
      <c r="G42" s="280"/>
      <c r="H42" s="280"/>
      <c r="I42" s="280"/>
      <c r="J42" s="281"/>
      <c r="K42" s="35"/>
    </row>
    <row r="43" spans="1:11" ht="18.75" customHeight="1" x14ac:dyDescent="0.2">
      <c r="A43" s="39"/>
      <c r="B43" s="279"/>
      <c r="C43" s="280"/>
      <c r="D43" s="280"/>
      <c r="E43" s="280"/>
      <c r="F43" s="280"/>
      <c r="G43" s="280"/>
      <c r="H43" s="280"/>
      <c r="I43" s="280"/>
      <c r="J43" s="281"/>
      <c r="K43" s="35"/>
    </row>
    <row r="44" spans="1:11" ht="7.5" customHeight="1" x14ac:dyDescent="0.2">
      <c r="A44" s="39"/>
      <c r="B44" s="282"/>
      <c r="C44" s="283"/>
      <c r="D44" s="283"/>
      <c r="E44" s="283"/>
      <c r="F44" s="283"/>
      <c r="G44" s="283"/>
      <c r="H44" s="283"/>
      <c r="I44" s="283"/>
      <c r="J44" s="284"/>
    </row>
    <row r="45" spans="1:11" s="4" customFormat="1" ht="18.75" customHeight="1" x14ac:dyDescent="0.2">
      <c r="A45" s="103" t="s">
        <v>11</v>
      </c>
      <c r="B45" s="1" t="s">
        <v>65</v>
      </c>
      <c r="C45" s="1"/>
      <c r="D45" s="1"/>
      <c r="E45" s="1"/>
      <c r="F45" s="1"/>
      <c r="G45" s="1"/>
      <c r="H45" s="1"/>
      <c r="I45" s="103"/>
      <c r="J45" s="103"/>
      <c r="K45" s="31"/>
    </row>
    <row r="46" spans="1:11" ht="18.75" customHeight="1" x14ac:dyDescent="0.2">
      <c r="A46" s="39"/>
      <c r="B46" s="276" t="s">
        <v>192</v>
      </c>
      <c r="C46" s="277"/>
      <c r="D46" s="277"/>
      <c r="E46" s="277"/>
      <c r="F46" s="277"/>
      <c r="G46" s="277"/>
      <c r="H46" s="277"/>
      <c r="I46" s="277"/>
      <c r="J46" s="278"/>
      <c r="K46" s="31" t="str">
        <f>IF(B46="","入力してください","")</f>
        <v/>
      </c>
    </row>
    <row r="47" spans="1:11" ht="18.75" customHeight="1" x14ac:dyDescent="0.2">
      <c r="A47" s="39"/>
      <c r="B47" s="279"/>
      <c r="C47" s="280"/>
      <c r="D47" s="280"/>
      <c r="E47" s="280"/>
      <c r="F47" s="280"/>
      <c r="G47" s="280"/>
      <c r="H47" s="280"/>
      <c r="I47" s="280"/>
      <c r="J47" s="281"/>
    </row>
    <row r="48" spans="1:11" ht="18.75" customHeight="1" x14ac:dyDescent="0.2">
      <c r="A48" s="39"/>
      <c r="B48" s="279"/>
      <c r="C48" s="280"/>
      <c r="D48" s="280"/>
      <c r="E48" s="280"/>
      <c r="F48" s="280"/>
      <c r="G48" s="280"/>
      <c r="H48" s="280"/>
      <c r="I48" s="280"/>
      <c r="J48" s="281"/>
    </row>
    <row r="49" spans="1:10" ht="18.75" customHeight="1" x14ac:dyDescent="0.2">
      <c r="A49" s="39"/>
      <c r="B49" s="279"/>
      <c r="C49" s="280"/>
      <c r="D49" s="280"/>
      <c r="E49" s="280"/>
      <c r="F49" s="280"/>
      <c r="G49" s="280"/>
      <c r="H49" s="280"/>
      <c r="I49" s="280"/>
      <c r="J49" s="281"/>
    </row>
    <row r="50" spans="1:10" ht="18.75" customHeight="1" x14ac:dyDescent="0.2">
      <c r="A50" s="39"/>
      <c r="B50" s="279"/>
      <c r="C50" s="280"/>
      <c r="D50" s="280"/>
      <c r="E50" s="280"/>
      <c r="F50" s="280"/>
      <c r="G50" s="280"/>
      <c r="H50" s="280"/>
      <c r="I50" s="280"/>
      <c r="J50" s="281"/>
    </row>
    <row r="51" spans="1:10" ht="18.75" customHeight="1" x14ac:dyDescent="0.2">
      <c r="A51" s="39"/>
      <c r="B51" s="279"/>
      <c r="C51" s="280"/>
      <c r="D51" s="280"/>
      <c r="E51" s="280"/>
      <c r="F51" s="280"/>
      <c r="G51" s="280"/>
      <c r="H51" s="280"/>
      <c r="I51" s="280"/>
      <c r="J51" s="281"/>
    </row>
    <row r="52" spans="1:10" ht="18.75" customHeight="1" x14ac:dyDescent="0.2">
      <c r="A52" s="39"/>
      <c r="B52" s="279"/>
      <c r="C52" s="280"/>
      <c r="D52" s="280"/>
      <c r="E52" s="280"/>
      <c r="F52" s="280"/>
      <c r="G52" s="280"/>
      <c r="H52" s="280"/>
      <c r="I52" s="280"/>
      <c r="J52" s="281"/>
    </row>
    <row r="53" spans="1:10" ht="18.75" customHeight="1" x14ac:dyDescent="0.2">
      <c r="A53" s="39"/>
      <c r="B53" s="279"/>
      <c r="C53" s="280"/>
      <c r="D53" s="280"/>
      <c r="E53" s="280"/>
      <c r="F53" s="280"/>
      <c r="G53" s="280"/>
      <c r="H53" s="280"/>
      <c r="I53" s="280"/>
      <c r="J53" s="281"/>
    </row>
    <row r="54" spans="1:10" ht="18.75" customHeight="1" x14ac:dyDescent="0.2">
      <c r="A54" s="39"/>
      <c r="B54" s="279"/>
      <c r="C54" s="280"/>
      <c r="D54" s="280"/>
      <c r="E54" s="280"/>
      <c r="F54" s="280"/>
      <c r="G54" s="280"/>
      <c r="H54" s="280"/>
      <c r="I54" s="280"/>
      <c r="J54" s="281"/>
    </row>
    <row r="55" spans="1:10" ht="18.75" customHeight="1" x14ac:dyDescent="0.2">
      <c r="A55" s="39"/>
      <c r="B55" s="279"/>
      <c r="C55" s="280"/>
      <c r="D55" s="280"/>
      <c r="E55" s="280"/>
      <c r="F55" s="280"/>
      <c r="G55" s="280"/>
      <c r="H55" s="280"/>
      <c r="I55" s="280"/>
      <c r="J55" s="281"/>
    </row>
    <row r="56" spans="1:10" ht="18.75" customHeight="1" x14ac:dyDescent="0.2">
      <c r="A56" s="39"/>
      <c r="B56" s="279"/>
      <c r="C56" s="280"/>
      <c r="D56" s="280"/>
      <c r="E56" s="280"/>
      <c r="F56" s="280"/>
      <c r="G56" s="280"/>
      <c r="H56" s="280"/>
      <c r="I56" s="280"/>
      <c r="J56" s="281"/>
    </row>
    <row r="57" spans="1:10" ht="18.75" customHeight="1" x14ac:dyDescent="0.2">
      <c r="A57" s="39"/>
      <c r="B57" s="279"/>
      <c r="C57" s="280"/>
      <c r="D57" s="280"/>
      <c r="E57" s="280"/>
      <c r="F57" s="280"/>
      <c r="G57" s="280"/>
      <c r="H57" s="280"/>
      <c r="I57" s="280"/>
      <c r="J57" s="281"/>
    </row>
    <row r="58" spans="1:10" ht="18.75" customHeight="1" x14ac:dyDescent="0.2">
      <c r="A58" s="39"/>
      <c r="B58" s="279"/>
      <c r="C58" s="280"/>
      <c r="D58" s="280"/>
      <c r="E58" s="280"/>
      <c r="F58" s="280"/>
      <c r="G58" s="280"/>
      <c r="H58" s="280"/>
      <c r="I58" s="280"/>
      <c r="J58" s="281"/>
    </row>
    <row r="59" spans="1:10" ht="18.75" customHeight="1" x14ac:dyDescent="0.2">
      <c r="A59" s="39"/>
      <c r="B59" s="279"/>
      <c r="C59" s="280"/>
      <c r="D59" s="280"/>
      <c r="E59" s="280"/>
      <c r="F59" s="280"/>
      <c r="G59" s="280"/>
      <c r="H59" s="280"/>
      <c r="I59" s="280"/>
      <c r="J59" s="281"/>
    </row>
    <row r="60" spans="1:10" ht="18.75" customHeight="1" x14ac:dyDescent="0.2">
      <c r="A60" s="39"/>
      <c r="B60" s="279"/>
      <c r="C60" s="280"/>
      <c r="D60" s="280"/>
      <c r="E60" s="280"/>
      <c r="F60" s="280"/>
      <c r="G60" s="280"/>
      <c r="H60" s="280"/>
      <c r="I60" s="280"/>
      <c r="J60" s="281"/>
    </row>
    <row r="61" spans="1:10" ht="18.75" customHeight="1" x14ac:dyDescent="0.2">
      <c r="A61" s="39"/>
      <c r="B61" s="279"/>
      <c r="C61" s="280"/>
      <c r="D61" s="280"/>
      <c r="E61" s="280"/>
      <c r="F61" s="280"/>
      <c r="G61" s="280"/>
      <c r="H61" s="280"/>
      <c r="I61" s="280"/>
      <c r="J61" s="281"/>
    </row>
    <row r="62" spans="1:10" ht="18.75" customHeight="1" x14ac:dyDescent="0.2">
      <c r="A62" s="39"/>
      <c r="B62" s="279"/>
      <c r="C62" s="280"/>
      <c r="D62" s="280"/>
      <c r="E62" s="280"/>
      <c r="F62" s="280"/>
      <c r="G62" s="280"/>
      <c r="H62" s="280"/>
      <c r="I62" s="280"/>
      <c r="J62" s="281"/>
    </row>
    <row r="63" spans="1:10" ht="18.75" customHeight="1" x14ac:dyDescent="0.2">
      <c r="A63" s="39"/>
      <c r="B63" s="279"/>
      <c r="C63" s="280"/>
      <c r="D63" s="280"/>
      <c r="E63" s="280"/>
      <c r="F63" s="280"/>
      <c r="G63" s="280"/>
      <c r="H63" s="280"/>
      <c r="I63" s="280"/>
      <c r="J63" s="281"/>
    </row>
    <row r="64" spans="1:10" ht="18.75" customHeight="1" x14ac:dyDescent="0.2">
      <c r="A64" s="39"/>
      <c r="B64" s="279"/>
      <c r="C64" s="280"/>
      <c r="D64" s="280"/>
      <c r="E64" s="280"/>
      <c r="F64" s="280"/>
      <c r="G64" s="280"/>
      <c r="H64" s="280"/>
      <c r="I64" s="280"/>
      <c r="J64" s="281"/>
    </row>
    <row r="65" spans="1:11" ht="18.75" customHeight="1" x14ac:dyDescent="0.2">
      <c r="A65" s="39"/>
      <c r="B65" s="279"/>
      <c r="C65" s="280"/>
      <c r="D65" s="280"/>
      <c r="E65" s="280"/>
      <c r="F65" s="280"/>
      <c r="G65" s="280"/>
      <c r="H65" s="280"/>
      <c r="I65" s="280"/>
      <c r="J65" s="281"/>
    </row>
    <row r="66" spans="1:11" ht="18.75" customHeight="1" x14ac:dyDescent="0.2">
      <c r="A66" s="39"/>
      <c r="B66" s="282"/>
      <c r="C66" s="283"/>
      <c r="D66" s="283"/>
      <c r="E66" s="283"/>
      <c r="F66" s="283"/>
      <c r="G66" s="283"/>
      <c r="H66" s="283"/>
      <c r="I66" s="283"/>
      <c r="J66" s="284"/>
    </row>
    <row r="67" spans="1:11" ht="7.5" customHeight="1" x14ac:dyDescent="0.2">
      <c r="A67" s="39"/>
      <c r="B67" s="39"/>
      <c r="C67" s="39"/>
      <c r="D67" s="39"/>
      <c r="E67" s="39"/>
      <c r="F67" s="39"/>
      <c r="G67" s="39"/>
      <c r="H67" s="39"/>
      <c r="I67" s="39"/>
      <c r="J67" s="39"/>
    </row>
    <row r="68" spans="1:11" s="4" customFormat="1" ht="18.75" customHeight="1" x14ac:dyDescent="0.2">
      <c r="A68" s="1" t="s">
        <v>14</v>
      </c>
      <c r="B68" s="1" t="s">
        <v>71</v>
      </c>
      <c r="C68" s="1"/>
      <c r="D68" s="1"/>
      <c r="E68" s="1"/>
      <c r="F68" s="1"/>
      <c r="G68" s="1"/>
      <c r="H68" s="1"/>
      <c r="I68" s="1"/>
      <c r="J68" s="1"/>
      <c r="K68" s="31"/>
    </row>
    <row r="69" spans="1:11" s="4" customFormat="1" ht="18.75" customHeight="1" x14ac:dyDescent="0.2">
      <c r="A69" s="1"/>
      <c r="B69" s="276" t="s">
        <v>190</v>
      </c>
      <c r="C69" s="277"/>
      <c r="D69" s="277"/>
      <c r="E69" s="277"/>
      <c r="F69" s="277"/>
      <c r="G69" s="277"/>
      <c r="H69" s="277"/>
      <c r="I69" s="285"/>
      <c r="J69" s="286"/>
      <c r="K69" s="35" t="str">
        <f>IF(B69="","入力してください","")</f>
        <v/>
      </c>
    </row>
    <row r="70" spans="1:11" s="4" customFormat="1" ht="18.75" customHeight="1" x14ac:dyDescent="0.2">
      <c r="A70" s="1"/>
      <c r="B70" s="287"/>
      <c r="C70" s="288"/>
      <c r="D70" s="288"/>
      <c r="E70" s="288"/>
      <c r="F70" s="288"/>
      <c r="G70" s="288"/>
      <c r="H70" s="288"/>
      <c r="I70" s="288"/>
      <c r="J70" s="289"/>
      <c r="K70" s="35"/>
    </row>
    <row r="71" spans="1:11" s="4" customFormat="1" ht="18.75" customHeight="1" x14ac:dyDescent="0.2">
      <c r="A71" s="1"/>
      <c r="B71" s="287"/>
      <c r="C71" s="288"/>
      <c r="D71" s="288"/>
      <c r="E71" s="288"/>
      <c r="F71" s="288"/>
      <c r="G71" s="288"/>
      <c r="H71" s="288"/>
      <c r="I71" s="288"/>
      <c r="J71" s="289"/>
      <c r="K71" s="35"/>
    </row>
    <row r="72" spans="1:11" s="4" customFormat="1" ht="18.75" customHeight="1" x14ac:dyDescent="0.2">
      <c r="A72" s="1"/>
      <c r="B72" s="287"/>
      <c r="C72" s="288"/>
      <c r="D72" s="288"/>
      <c r="E72" s="288"/>
      <c r="F72" s="288"/>
      <c r="G72" s="288"/>
      <c r="H72" s="288"/>
      <c r="I72" s="288"/>
      <c r="J72" s="289"/>
      <c r="K72" s="35"/>
    </row>
    <row r="73" spans="1:11" s="4" customFormat="1" ht="18.75" customHeight="1" x14ac:dyDescent="0.2">
      <c r="A73" s="1"/>
      <c r="B73" s="287"/>
      <c r="C73" s="288"/>
      <c r="D73" s="288"/>
      <c r="E73" s="288"/>
      <c r="F73" s="288"/>
      <c r="G73" s="288"/>
      <c r="H73" s="288"/>
      <c r="I73" s="288"/>
      <c r="J73" s="289"/>
      <c r="K73" s="35"/>
    </row>
    <row r="74" spans="1:11" s="4" customFormat="1" ht="18.75" customHeight="1" x14ac:dyDescent="0.2">
      <c r="A74" s="1"/>
      <c r="B74" s="287"/>
      <c r="C74" s="288"/>
      <c r="D74" s="288"/>
      <c r="E74" s="288"/>
      <c r="F74" s="288"/>
      <c r="G74" s="288"/>
      <c r="H74" s="288"/>
      <c r="I74" s="288"/>
      <c r="J74" s="289"/>
      <c r="K74" s="35"/>
    </row>
    <row r="75" spans="1:11" s="4" customFormat="1" ht="18.75" customHeight="1" x14ac:dyDescent="0.2">
      <c r="A75" s="1"/>
      <c r="B75" s="287"/>
      <c r="C75" s="288"/>
      <c r="D75" s="288"/>
      <c r="E75" s="288"/>
      <c r="F75" s="288"/>
      <c r="G75" s="288"/>
      <c r="H75" s="288"/>
      <c r="I75" s="288"/>
      <c r="J75" s="289"/>
      <c r="K75" s="35"/>
    </row>
    <row r="76" spans="1:11" s="4" customFormat="1" ht="18.75" customHeight="1" x14ac:dyDescent="0.2">
      <c r="A76" s="1"/>
      <c r="B76" s="287"/>
      <c r="C76" s="288"/>
      <c r="D76" s="288"/>
      <c r="E76" s="288"/>
      <c r="F76" s="288"/>
      <c r="G76" s="288"/>
      <c r="H76" s="288"/>
      <c r="I76" s="288"/>
      <c r="J76" s="289"/>
      <c r="K76" s="35"/>
    </row>
    <row r="77" spans="1:11" s="4" customFormat="1" ht="18.75" customHeight="1" x14ac:dyDescent="0.2">
      <c r="A77" s="1"/>
      <c r="B77" s="287"/>
      <c r="C77" s="288"/>
      <c r="D77" s="288"/>
      <c r="E77" s="288"/>
      <c r="F77" s="288"/>
      <c r="G77" s="288"/>
      <c r="H77" s="288"/>
      <c r="I77" s="288"/>
      <c r="J77" s="289"/>
      <c r="K77" s="35"/>
    </row>
    <row r="78" spans="1:11" s="4" customFormat="1" ht="18.75" customHeight="1" x14ac:dyDescent="0.2">
      <c r="A78" s="1"/>
      <c r="B78" s="287"/>
      <c r="C78" s="288"/>
      <c r="D78" s="288"/>
      <c r="E78" s="288"/>
      <c r="F78" s="288"/>
      <c r="G78" s="288"/>
      <c r="H78" s="288"/>
      <c r="I78" s="288"/>
      <c r="J78" s="289"/>
      <c r="K78" s="35"/>
    </row>
    <row r="79" spans="1:11" s="4" customFormat="1" ht="18.75" customHeight="1" x14ac:dyDescent="0.2">
      <c r="A79" s="1"/>
      <c r="B79" s="287"/>
      <c r="C79" s="288"/>
      <c r="D79" s="288"/>
      <c r="E79" s="288"/>
      <c r="F79" s="288"/>
      <c r="G79" s="288"/>
      <c r="H79" s="288"/>
      <c r="I79" s="288"/>
      <c r="J79" s="289"/>
      <c r="K79" s="35"/>
    </row>
    <row r="80" spans="1:11" s="4" customFormat="1" ht="18.75" customHeight="1" x14ac:dyDescent="0.2">
      <c r="A80" s="1"/>
      <c r="B80" s="287"/>
      <c r="C80" s="288"/>
      <c r="D80" s="288"/>
      <c r="E80" s="288"/>
      <c r="F80" s="288"/>
      <c r="G80" s="288"/>
      <c r="H80" s="288"/>
      <c r="I80" s="288"/>
      <c r="J80" s="289"/>
      <c r="K80" s="35"/>
    </row>
    <row r="81" spans="1:11" s="4" customFormat="1" ht="18.75" customHeight="1" x14ac:dyDescent="0.2">
      <c r="A81" s="1"/>
      <c r="B81" s="287"/>
      <c r="C81" s="288"/>
      <c r="D81" s="288"/>
      <c r="E81" s="288"/>
      <c r="F81" s="288"/>
      <c r="G81" s="288"/>
      <c r="H81" s="288"/>
      <c r="I81" s="288"/>
      <c r="J81" s="289"/>
      <c r="K81" s="35"/>
    </row>
    <row r="82" spans="1:11" s="4" customFormat="1" ht="18.75" customHeight="1" x14ac:dyDescent="0.2">
      <c r="A82" s="1"/>
      <c r="B82" s="287"/>
      <c r="C82" s="288"/>
      <c r="D82" s="288"/>
      <c r="E82" s="288"/>
      <c r="F82" s="288"/>
      <c r="G82" s="288"/>
      <c r="H82" s="288"/>
      <c r="I82" s="288"/>
      <c r="J82" s="289"/>
      <c r="K82" s="35"/>
    </row>
    <row r="83" spans="1:11" s="4" customFormat="1" ht="18.75" customHeight="1" x14ac:dyDescent="0.2">
      <c r="A83" s="1"/>
      <c r="B83" s="287"/>
      <c r="C83" s="288"/>
      <c r="D83" s="288"/>
      <c r="E83" s="288"/>
      <c r="F83" s="288"/>
      <c r="G83" s="288"/>
      <c r="H83" s="288"/>
      <c r="I83" s="288"/>
      <c r="J83" s="289"/>
      <c r="K83" s="35"/>
    </row>
    <row r="84" spans="1:11" s="4" customFormat="1" ht="18.75" customHeight="1" x14ac:dyDescent="0.2">
      <c r="A84" s="1"/>
      <c r="B84" s="287"/>
      <c r="C84" s="288"/>
      <c r="D84" s="288"/>
      <c r="E84" s="288"/>
      <c r="F84" s="288"/>
      <c r="G84" s="288"/>
      <c r="H84" s="288"/>
      <c r="I84" s="288"/>
      <c r="J84" s="289"/>
      <c r="K84" s="35"/>
    </row>
    <row r="85" spans="1:11" ht="18.75" customHeight="1" x14ac:dyDescent="0.2">
      <c r="A85" s="39"/>
      <c r="B85" s="287"/>
      <c r="C85" s="288"/>
      <c r="D85" s="288"/>
      <c r="E85" s="288"/>
      <c r="F85" s="288"/>
      <c r="G85" s="288"/>
      <c r="H85" s="288"/>
      <c r="I85" s="288"/>
      <c r="J85" s="289"/>
      <c r="K85" s="35"/>
    </row>
    <row r="86" spans="1:11" ht="6.65" customHeight="1" x14ac:dyDescent="0.2">
      <c r="A86" s="39"/>
      <c r="B86" s="290"/>
      <c r="C86" s="291"/>
      <c r="D86" s="291"/>
      <c r="E86" s="291"/>
      <c r="F86" s="291"/>
      <c r="G86" s="291"/>
      <c r="H86" s="291"/>
      <c r="I86" s="291"/>
      <c r="J86" s="292"/>
      <c r="K86" s="35"/>
    </row>
    <row r="87" spans="1:11" ht="7.5" customHeight="1" x14ac:dyDescent="0.2">
      <c r="A87" s="39"/>
      <c r="B87" s="39"/>
      <c r="C87" s="39"/>
      <c r="D87" s="39"/>
      <c r="E87" s="39"/>
      <c r="F87" s="39"/>
      <c r="G87" s="39"/>
      <c r="H87" s="39"/>
      <c r="I87" s="39"/>
      <c r="J87" s="39"/>
    </row>
    <row r="88" spans="1:11" s="4" customFormat="1" ht="18.75" customHeight="1" x14ac:dyDescent="0.2">
      <c r="A88" s="1" t="s">
        <v>12</v>
      </c>
      <c r="B88" s="1" t="s">
        <v>27</v>
      </c>
      <c r="C88" s="1"/>
      <c r="D88" s="1"/>
      <c r="E88" s="1"/>
      <c r="F88" s="1"/>
      <c r="G88" s="1"/>
      <c r="H88" s="1"/>
      <c r="I88" s="1"/>
      <c r="J88" s="1"/>
      <c r="K88" s="31"/>
    </row>
    <row r="89" spans="1:11" s="4" customFormat="1" ht="18.75" customHeight="1" x14ac:dyDescent="0.2">
      <c r="A89" s="1"/>
      <c r="B89" s="276" t="s">
        <v>193</v>
      </c>
      <c r="C89" s="277"/>
      <c r="D89" s="277"/>
      <c r="E89" s="277"/>
      <c r="F89" s="277"/>
      <c r="G89" s="277"/>
      <c r="H89" s="277"/>
      <c r="I89" s="285"/>
      <c r="J89" s="286"/>
      <c r="K89" s="31"/>
    </row>
    <row r="90" spans="1:11" s="4" customFormat="1" ht="18.75" customHeight="1" x14ac:dyDescent="0.2">
      <c r="A90" s="1"/>
      <c r="B90" s="287"/>
      <c r="C90" s="288"/>
      <c r="D90" s="288"/>
      <c r="E90" s="288"/>
      <c r="F90" s="288"/>
      <c r="G90" s="288"/>
      <c r="H90" s="288"/>
      <c r="I90" s="288"/>
      <c r="J90" s="289"/>
      <c r="K90" s="35"/>
    </row>
    <row r="91" spans="1:11" s="4" customFormat="1" ht="18.75" customHeight="1" x14ac:dyDescent="0.2">
      <c r="A91" s="1"/>
      <c r="B91" s="287"/>
      <c r="C91" s="288"/>
      <c r="D91" s="288"/>
      <c r="E91" s="288"/>
      <c r="F91" s="288"/>
      <c r="G91" s="288"/>
      <c r="H91" s="288"/>
      <c r="I91" s="288"/>
      <c r="J91" s="289"/>
      <c r="K91" s="35" t="str">
        <f>IF(B89="","入力してください","")</f>
        <v/>
      </c>
    </row>
    <row r="92" spans="1:11" s="4" customFormat="1" ht="18.75" customHeight="1" x14ac:dyDescent="0.2">
      <c r="A92" s="1"/>
      <c r="B92" s="287"/>
      <c r="C92" s="288"/>
      <c r="D92" s="288"/>
      <c r="E92" s="288"/>
      <c r="F92" s="288"/>
      <c r="G92" s="288"/>
      <c r="H92" s="288"/>
      <c r="I92" s="288"/>
      <c r="J92" s="289"/>
      <c r="K92" s="35"/>
    </row>
    <row r="93" spans="1:11" s="4" customFormat="1" ht="18.75" customHeight="1" x14ac:dyDescent="0.2">
      <c r="A93" s="1"/>
      <c r="B93" s="287"/>
      <c r="C93" s="288"/>
      <c r="D93" s="288"/>
      <c r="E93" s="288"/>
      <c r="F93" s="288"/>
      <c r="G93" s="288"/>
      <c r="H93" s="288"/>
      <c r="I93" s="288"/>
      <c r="J93" s="289"/>
      <c r="K93" s="35"/>
    </row>
    <row r="94" spans="1:11" s="4" customFormat="1" ht="18.75" customHeight="1" x14ac:dyDescent="0.2">
      <c r="A94" s="1"/>
      <c r="B94" s="287"/>
      <c r="C94" s="288"/>
      <c r="D94" s="288"/>
      <c r="E94" s="288"/>
      <c r="F94" s="288"/>
      <c r="G94" s="288"/>
      <c r="H94" s="288"/>
      <c r="I94" s="288"/>
      <c r="J94" s="289"/>
      <c r="K94" s="35"/>
    </row>
    <row r="95" spans="1:11" s="4" customFormat="1" ht="18.75" customHeight="1" x14ac:dyDescent="0.2">
      <c r="A95" s="1"/>
      <c r="B95" s="287"/>
      <c r="C95" s="288"/>
      <c r="D95" s="288"/>
      <c r="E95" s="288"/>
      <c r="F95" s="288"/>
      <c r="G95" s="288"/>
      <c r="H95" s="288"/>
      <c r="I95" s="288"/>
      <c r="J95" s="289"/>
      <c r="K95" s="35"/>
    </row>
    <row r="96" spans="1:11" s="4" customFormat="1" ht="18.75" customHeight="1" x14ac:dyDescent="0.2">
      <c r="A96" s="1"/>
      <c r="B96" s="287"/>
      <c r="C96" s="288"/>
      <c r="D96" s="288"/>
      <c r="E96" s="288"/>
      <c r="F96" s="288"/>
      <c r="G96" s="288"/>
      <c r="H96" s="288"/>
      <c r="I96" s="288"/>
      <c r="J96" s="289"/>
      <c r="K96" s="35"/>
    </row>
    <row r="97" spans="1:11" s="4" customFormat="1" ht="18.75" customHeight="1" x14ac:dyDescent="0.2">
      <c r="A97" s="1"/>
      <c r="B97" s="287"/>
      <c r="C97" s="288"/>
      <c r="D97" s="288"/>
      <c r="E97" s="288"/>
      <c r="F97" s="288"/>
      <c r="G97" s="288"/>
      <c r="H97" s="288"/>
      <c r="I97" s="288"/>
      <c r="J97" s="289"/>
      <c r="K97" s="35"/>
    </row>
    <row r="98" spans="1:11" s="4" customFormat="1" ht="18.75" customHeight="1" x14ac:dyDescent="0.2">
      <c r="A98" s="1"/>
      <c r="B98" s="287"/>
      <c r="C98" s="288"/>
      <c r="D98" s="288"/>
      <c r="E98" s="288"/>
      <c r="F98" s="288"/>
      <c r="G98" s="288"/>
      <c r="H98" s="288"/>
      <c r="I98" s="288"/>
      <c r="J98" s="289"/>
      <c r="K98" s="35"/>
    </row>
    <row r="99" spans="1:11" s="4" customFormat="1" ht="18.75" customHeight="1" x14ac:dyDescent="0.2">
      <c r="A99" s="1"/>
      <c r="B99" s="287"/>
      <c r="C99" s="288"/>
      <c r="D99" s="288"/>
      <c r="E99" s="288"/>
      <c r="F99" s="288"/>
      <c r="G99" s="288"/>
      <c r="H99" s="288"/>
      <c r="I99" s="288"/>
      <c r="J99" s="289"/>
      <c r="K99" s="35"/>
    </row>
    <row r="100" spans="1:11" s="4" customFormat="1" ht="18.75" customHeight="1" x14ac:dyDescent="0.2">
      <c r="A100" s="1"/>
      <c r="B100" s="287"/>
      <c r="C100" s="288"/>
      <c r="D100" s="288"/>
      <c r="E100" s="288"/>
      <c r="F100" s="288"/>
      <c r="G100" s="288"/>
      <c r="H100" s="288"/>
      <c r="I100" s="288"/>
      <c r="J100" s="289"/>
      <c r="K100" s="35"/>
    </row>
    <row r="101" spans="1:11" s="4" customFormat="1" ht="18.75" customHeight="1" x14ac:dyDescent="0.2">
      <c r="A101" s="1"/>
      <c r="B101" s="287"/>
      <c r="C101" s="288"/>
      <c r="D101" s="288"/>
      <c r="E101" s="288"/>
      <c r="F101" s="288"/>
      <c r="G101" s="288"/>
      <c r="H101" s="288"/>
      <c r="I101" s="288"/>
      <c r="J101" s="289"/>
      <c r="K101" s="35"/>
    </row>
    <row r="102" spans="1:11" s="4" customFormat="1" ht="18.75" customHeight="1" x14ac:dyDescent="0.2">
      <c r="A102" s="1"/>
      <c r="B102" s="287"/>
      <c r="C102" s="288"/>
      <c r="D102" s="288"/>
      <c r="E102" s="288"/>
      <c r="F102" s="288"/>
      <c r="G102" s="288"/>
      <c r="H102" s="288"/>
      <c r="I102" s="288"/>
      <c r="J102" s="289"/>
      <c r="K102" s="35"/>
    </row>
    <row r="103" spans="1:11" s="4" customFormat="1" ht="18.75" customHeight="1" x14ac:dyDescent="0.2">
      <c r="A103" s="1"/>
      <c r="B103" s="287"/>
      <c r="C103" s="288"/>
      <c r="D103" s="288"/>
      <c r="E103" s="288"/>
      <c r="F103" s="288"/>
      <c r="G103" s="288"/>
      <c r="H103" s="288"/>
      <c r="I103" s="288"/>
      <c r="J103" s="289"/>
      <c r="K103" s="35"/>
    </row>
    <row r="104" spans="1:11" s="4" customFormat="1" ht="18.75" customHeight="1" x14ac:dyDescent="0.2">
      <c r="A104" s="1"/>
      <c r="B104" s="287"/>
      <c r="C104" s="288"/>
      <c r="D104" s="288"/>
      <c r="E104" s="288"/>
      <c r="F104" s="288"/>
      <c r="G104" s="288"/>
      <c r="H104" s="288"/>
      <c r="I104" s="288"/>
      <c r="J104" s="289"/>
      <c r="K104" s="35"/>
    </row>
    <row r="105" spans="1:11" s="4" customFormat="1" ht="18.75" customHeight="1" x14ac:dyDescent="0.2">
      <c r="A105" s="1"/>
      <c r="B105" s="287"/>
      <c r="C105" s="288"/>
      <c r="D105" s="288"/>
      <c r="E105" s="288"/>
      <c r="F105" s="288"/>
      <c r="G105" s="288"/>
      <c r="H105" s="288"/>
      <c r="I105" s="288"/>
      <c r="J105" s="289"/>
      <c r="K105" s="35"/>
    </row>
    <row r="106" spans="1:11" s="4" customFormat="1" ht="18.75" customHeight="1" x14ac:dyDescent="0.2">
      <c r="A106" s="1"/>
      <c r="B106" s="287"/>
      <c r="C106" s="288"/>
      <c r="D106" s="288"/>
      <c r="E106" s="288"/>
      <c r="F106" s="288"/>
      <c r="G106" s="288"/>
      <c r="H106" s="288"/>
      <c r="I106" s="288"/>
      <c r="J106" s="289"/>
      <c r="K106" s="35"/>
    </row>
    <row r="107" spans="1:11" ht="18.75" customHeight="1" x14ac:dyDescent="0.2">
      <c r="A107" s="39"/>
      <c r="B107" s="287"/>
      <c r="C107" s="288"/>
      <c r="D107" s="288"/>
      <c r="E107" s="288"/>
      <c r="F107" s="288"/>
      <c r="G107" s="288"/>
      <c r="H107" s="288"/>
      <c r="I107" s="288"/>
      <c r="J107" s="289"/>
      <c r="K107" s="35"/>
    </row>
    <row r="108" spans="1:11" ht="18.75" customHeight="1" x14ac:dyDescent="0.2">
      <c r="A108" s="39"/>
      <c r="B108" s="290"/>
      <c r="C108" s="291"/>
      <c r="D108" s="291"/>
      <c r="E108" s="291"/>
      <c r="F108" s="291"/>
      <c r="G108" s="291"/>
      <c r="H108" s="291"/>
      <c r="I108" s="291"/>
      <c r="J108" s="292"/>
      <c r="K108" s="35"/>
    </row>
    <row r="109" spans="1:11" ht="7.5" customHeight="1" x14ac:dyDescent="0.2">
      <c r="A109" s="39"/>
      <c r="B109" s="39"/>
      <c r="C109" s="39"/>
      <c r="D109" s="39"/>
      <c r="E109" s="39"/>
      <c r="F109" s="39"/>
      <c r="G109" s="39"/>
      <c r="H109" s="39"/>
      <c r="I109" s="39"/>
      <c r="J109" s="39"/>
    </row>
    <row r="110" spans="1:11" s="4" customFormat="1" ht="18.75" customHeight="1" x14ac:dyDescent="0.2">
      <c r="A110" s="1" t="s">
        <v>53</v>
      </c>
      <c r="B110" s="293" t="s">
        <v>82</v>
      </c>
      <c r="C110" s="293"/>
      <c r="D110" s="293"/>
      <c r="E110" s="293"/>
      <c r="F110" s="293"/>
      <c r="G110" s="293"/>
      <c r="H110" s="293"/>
      <c r="I110" s="293"/>
      <c r="J110" s="293"/>
      <c r="K110" s="31"/>
    </row>
    <row r="111" spans="1:11" ht="18.75" customHeight="1" x14ac:dyDescent="0.2">
      <c r="A111" s="39"/>
      <c r="B111" s="276" t="s">
        <v>194</v>
      </c>
      <c r="C111" s="277"/>
      <c r="D111" s="277"/>
      <c r="E111" s="277"/>
      <c r="F111" s="277"/>
      <c r="G111" s="277"/>
      <c r="H111" s="277"/>
      <c r="I111" s="285"/>
      <c r="J111" s="286"/>
    </row>
    <row r="112" spans="1:11" ht="18.75" customHeight="1" x14ac:dyDescent="0.2">
      <c r="A112" s="39"/>
      <c r="B112" s="287"/>
      <c r="C112" s="288"/>
      <c r="D112" s="288"/>
      <c r="E112" s="288"/>
      <c r="F112" s="288"/>
      <c r="G112" s="288"/>
      <c r="H112" s="288"/>
      <c r="I112" s="288"/>
      <c r="J112" s="289"/>
      <c r="K112" s="35"/>
    </row>
    <row r="113" spans="1:11" ht="18.75" customHeight="1" x14ac:dyDescent="0.2">
      <c r="A113" s="39"/>
      <c r="B113" s="287"/>
      <c r="C113" s="288"/>
      <c r="D113" s="288"/>
      <c r="E113" s="288"/>
      <c r="F113" s="288"/>
      <c r="G113" s="288"/>
      <c r="H113" s="288"/>
      <c r="I113" s="288"/>
      <c r="J113" s="289"/>
      <c r="K113" s="31" t="str">
        <f>IF(B111="","入力してください","")</f>
        <v/>
      </c>
    </row>
    <row r="114" spans="1:11" ht="18.75" customHeight="1" x14ac:dyDescent="0.2">
      <c r="A114" s="39"/>
      <c r="B114" s="287"/>
      <c r="C114" s="288"/>
      <c r="D114" s="288"/>
      <c r="E114" s="288"/>
      <c r="F114" s="288"/>
      <c r="G114" s="288"/>
      <c r="H114" s="288"/>
      <c r="I114" s="288"/>
      <c r="J114" s="289"/>
    </row>
    <row r="115" spans="1:11" ht="18.75" customHeight="1" x14ac:dyDescent="0.2">
      <c r="A115" s="39"/>
      <c r="B115" s="287"/>
      <c r="C115" s="288"/>
      <c r="D115" s="288"/>
      <c r="E115" s="288"/>
      <c r="F115" s="288"/>
      <c r="G115" s="288"/>
      <c r="H115" s="288"/>
      <c r="I115" s="288"/>
      <c r="J115" s="289"/>
    </row>
    <row r="116" spans="1:11" ht="18.75" customHeight="1" x14ac:dyDescent="0.2">
      <c r="A116" s="39"/>
      <c r="B116" s="287"/>
      <c r="C116" s="288"/>
      <c r="D116" s="288"/>
      <c r="E116" s="288"/>
      <c r="F116" s="288"/>
      <c r="G116" s="288"/>
      <c r="H116" s="288"/>
      <c r="I116" s="288"/>
      <c r="J116" s="289"/>
    </row>
    <row r="117" spans="1:11" ht="18.75" customHeight="1" x14ac:dyDescent="0.2">
      <c r="A117" s="39"/>
      <c r="B117" s="287"/>
      <c r="C117" s="288"/>
      <c r="D117" s="288"/>
      <c r="E117" s="288"/>
      <c r="F117" s="288"/>
      <c r="G117" s="288"/>
      <c r="H117" s="288"/>
      <c r="I117" s="288"/>
      <c r="J117" s="289"/>
    </row>
    <row r="118" spans="1:11" ht="18.75" customHeight="1" x14ac:dyDescent="0.2">
      <c r="A118" s="39"/>
      <c r="B118" s="287"/>
      <c r="C118" s="288"/>
      <c r="D118" s="288"/>
      <c r="E118" s="288"/>
      <c r="F118" s="288"/>
      <c r="G118" s="288"/>
      <c r="H118" s="288"/>
      <c r="I118" s="288"/>
      <c r="J118" s="289"/>
    </row>
    <row r="119" spans="1:11" ht="18.75" customHeight="1" x14ac:dyDescent="0.2">
      <c r="A119" s="39"/>
      <c r="B119" s="287"/>
      <c r="C119" s="288"/>
      <c r="D119" s="288"/>
      <c r="E119" s="288"/>
      <c r="F119" s="288"/>
      <c r="G119" s="288"/>
      <c r="H119" s="288"/>
      <c r="I119" s="288"/>
      <c r="J119" s="289"/>
    </row>
    <row r="120" spans="1:11" ht="18.75" customHeight="1" x14ac:dyDescent="0.2">
      <c r="A120" s="39"/>
      <c r="B120" s="287"/>
      <c r="C120" s="288"/>
      <c r="D120" s="288"/>
      <c r="E120" s="288"/>
      <c r="F120" s="288"/>
      <c r="G120" s="288"/>
      <c r="H120" s="288"/>
      <c r="I120" s="288"/>
      <c r="J120" s="289"/>
    </row>
    <row r="121" spans="1:11" ht="18.75" customHeight="1" x14ac:dyDescent="0.2">
      <c r="A121" s="39"/>
      <c r="B121" s="287"/>
      <c r="C121" s="288"/>
      <c r="D121" s="288"/>
      <c r="E121" s="288"/>
      <c r="F121" s="288"/>
      <c r="G121" s="288"/>
      <c r="H121" s="288"/>
      <c r="I121" s="288"/>
      <c r="J121" s="289"/>
    </row>
    <row r="122" spans="1:11" ht="18.75" customHeight="1" x14ac:dyDescent="0.2">
      <c r="A122" s="39"/>
      <c r="B122" s="287"/>
      <c r="C122" s="288"/>
      <c r="D122" s="288"/>
      <c r="E122" s="288"/>
      <c r="F122" s="288"/>
      <c r="G122" s="288"/>
      <c r="H122" s="288"/>
      <c r="I122" s="288"/>
      <c r="J122" s="289"/>
    </row>
    <row r="123" spans="1:11" ht="18.75" customHeight="1" x14ac:dyDescent="0.2">
      <c r="A123" s="39"/>
      <c r="B123" s="287"/>
      <c r="C123" s="288"/>
      <c r="D123" s="288"/>
      <c r="E123" s="288"/>
      <c r="F123" s="288"/>
      <c r="G123" s="288"/>
      <c r="H123" s="288"/>
      <c r="I123" s="288"/>
      <c r="J123" s="289"/>
    </row>
    <row r="124" spans="1:11" ht="18.75" customHeight="1" x14ac:dyDescent="0.2">
      <c r="A124" s="39"/>
      <c r="B124" s="287"/>
      <c r="C124" s="288"/>
      <c r="D124" s="288"/>
      <c r="E124" s="288"/>
      <c r="F124" s="288"/>
      <c r="G124" s="288"/>
      <c r="H124" s="288"/>
      <c r="I124" s="288"/>
      <c r="J124" s="289"/>
    </row>
    <row r="125" spans="1:11" ht="18.75" customHeight="1" x14ac:dyDescent="0.2">
      <c r="A125" s="39"/>
      <c r="B125" s="287"/>
      <c r="C125" s="288"/>
      <c r="D125" s="288"/>
      <c r="E125" s="288"/>
      <c r="F125" s="288"/>
      <c r="G125" s="288"/>
      <c r="H125" s="288"/>
      <c r="I125" s="288"/>
      <c r="J125" s="289"/>
    </row>
    <row r="126" spans="1:11" ht="18.75" customHeight="1" x14ac:dyDescent="0.2">
      <c r="A126" s="39"/>
      <c r="B126" s="287"/>
      <c r="C126" s="288"/>
      <c r="D126" s="288"/>
      <c r="E126" s="288"/>
      <c r="F126" s="288"/>
      <c r="G126" s="288"/>
      <c r="H126" s="288"/>
      <c r="I126" s="288"/>
      <c r="J126" s="289"/>
    </row>
    <row r="127" spans="1:11" ht="18.75" customHeight="1" x14ac:dyDescent="0.2">
      <c r="A127" s="39"/>
      <c r="B127" s="287"/>
      <c r="C127" s="288"/>
      <c r="D127" s="288"/>
      <c r="E127" s="288"/>
      <c r="F127" s="288"/>
      <c r="G127" s="288"/>
      <c r="H127" s="288"/>
      <c r="I127" s="288"/>
      <c r="J127" s="289"/>
    </row>
    <row r="128" spans="1:11" ht="18.75" customHeight="1" x14ac:dyDescent="0.2">
      <c r="A128" s="39"/>
      <c r="B128" s="287"/>
      <c r="C128" s="288"/>
      <c r="D128" s="288"/>
      <c r="E128" s="288"/>
      <c r="F128" s="288"/>
      <c r="G128" s="288"/>
      <c r="H128" s="288"/>
      <c r="I128" s="288"/>
      <c r="J128" s="289"/>
    </row>
    <row r="129" spans="1:10" ht="4.5" customHeight="1" x14ac:dyDescent="0.2">
      <c r="A129" s="39"/>
      <c r="B129" s="290"/>
      <c r="C129" s="291"/>
      <c r="D129" s="291"/>
      <c r="E129" s="291"/>
      <c r="F129" s="291"/>
      <c r="G129" s="291"/>
      <c r="H129" s="291"/>
      <c r="I129" s="291"/>
      <c r="J129" s="292"/>
    </row>
    <row r="130" spans="1:10" ht="7.5" customHeight="1" x14ac:dyDescent="0.2">
      <c r="A130" s="39"/>
      <c r="B130" s="104"/>
      <c r="C130" s="104"/>
      <c r="D130" s="104"/>
      <c r="E130" s="104"/>
      <c r="F130" s="104"/>
      <c r="G130" s="104"/>
      <c r="H130" s="104"/>
      <c r="I130" s="104"/>
      <c r="J130" s="104"/>
    </row>
    <row r="131" spans="1:10" ht="18.75" customHeight="1" x14ac:dyDescent="0.2">
      <c r="A131" s="39"/>
      <c r="B131" s="39"/>
      <c r="C131" s="39"/>
      <c r="D131" s="39"/>
      <c r="E131" s="39"/>
      <c r="F131" s="39"/>
      <c r="G131" s="39"/>
      <c r="H131" s="39"/>
      <c r="I131" s="39"/>
      <c r="J131" s="39"/>
    </row>
    <row r="132" spans="1:10" ht="18.75" customHeight="1" x14ac:dyDescent="0.2">
      <c r="A132" s="39"/>
      <c r="B132" s="39"/>
      <c r="C132" s="39"/>
      <c r="D132" s="39"/>
      <c r="E132" s="39"/>
      <c r="F132" s="39"/>
      <c r="G132" s="39"/>
      <c r="H132" s="39"/>
      <c r="I132" s="39"/>
      <c r="J132" s="39"/>
    </row>
    <row r="133" spans="1:10" ht="18.75" customHeight="1" x14ac:dyDescent="0.2">
      <c r="A133" s="39"/>
      <c r="B133" s="39"/>
      <c r="C133" s="39"/>
      <c r="D133" s="39"/>
      <c r="E133" s="39"/>
      <c r="F133" s="39"/>
      <c r="G133" s="39"/>
      <c r="H133" s="39"/>
      <c r="I133" s="39"/>
      <c r="J133" s="39"/>
    </row>
    <row r="134" spans="1:10" ht="18.75" customHeight="1" x14ac:dyDescent="0.2">
      <c r="A134" s="39"/>
      <c r="B134" s="39"/>
      <c r="C134" s="39"/>
      <c r="D134" s="39"/>
      <c r="E134" s="39"/>
      <c r="F134" s="39"/>
      <c r="G134" s="39"/>
      <c r="H134" s="39"/>
      <c r="I134" s="39"/>
      <c r="J134" s="39"/>
    </row>
    <row r="135" spans="1:10" ht="18.75" customHeight="1" x14ac:dyDescent="0.2">
      <c r="A135" s="39"/>
      <c r="B135" s="39"/>
      <c r="C135" s="39"/>
      <c r="D135" s="39"/>
      <c r="E135" s="39"/>
      <c r="F135" s="39"/>
      <c r="G135" s="39"/>
      <c r="H135" s="39"/>
      <c r="I135" s="39"/>
      <c r="J135" s="39"/>
    </row>
    <row r="136" spans="1:10" ht="18.75" customHeight="1" x14ac:dyDescent="0.2">
      <c r="A136" s="39"/>
      <c r="B136" s="39"/>
      <c r="C136" s="39"/>
      <c r="D136" s="39"/>
      <c r="E136" s="39"/>
      <c r="F136" s="39"/>
      <c r="G136" s="39"/>
      <c r="H136" s="39"/>
      <c r="I136" s="39"/>
      <c r="J136" s="39"/>
    </row>
    <row r="137" spans="1:10" ht="18.75" customHeight="1" x14ac:dyDescent="0.2">
      <c r="A137" s="39"/>
      <c r="B137" s="39"/>
      <c r="C137" s="39"/>
      <c r="D137" s="39"/>
      <c r="E137" s="39"/>
      <c r="F137" s="39"/>
      <c r="G137" s="39"/>
      <c r="H137" s="39"/>
      <c r="I137" s="39"/>
      <c r="J137" s="39"/>
    </row>
    <row r="138" spans="1:10" ht="18.75" customHeight="1" x14ac:dyDescent="0.2">
      <c r="A138" s="39"/>
      <c r="B138" s="39"/>
      <c r="C138" s="39"/>
      <c r="D138" s="39"/>
      <c r="E138" s="39"/>
      <c r="F138" s="39"/>
      <c r="G138" s="39"/>
      <c r="H138" s="39"/>
      <c r="I138" s="39"/>
      <c r="J138" s="39"/>
    </row>
    <row r="139" spans="1:10" ht="18.75" customHeight="1" x14ac:dyDescent="0.2">
      <c r="A139" s="39"/>
      <c r="B139" s="39"/>
      <c r="C139" s="39"/>
      <c r="D139" s="39"/>
      <c r="E139" s="39"/>
      <c r="F139" s="39"/>
      <c r="G139" s="39"/>
      <c r="H139" s="39"/>
      <c r="I139" s="39"/>
      <c r="J139" s="39"/>
    </row>
    <row r="140" spans="1:10" ht="18.75" customHeight="1" x14ac:dyDescent="0.2">
      <c r="A140" s="39"/>
      <c r="B140" s="39"/>
      <c r="C140" s="39"/>
      <c r="D140" s="39"/>
      <c r="E140" s="39"/>
      <c r="F140" s="39"/>
      <c r="G140" s="39"/>
      <c r="H140" s="39"/>
      <c r="I140" s="39"/>
      <c r="J140" s="39"/>
    </row>
    <row r="141" spans="1:10" ht="18.75" customHeight="1" x14ac:dyDescent="0.2">
      <c r="A141" s="39"/>
      <c r="B141" s="39"/>
      <c r="C141" s="39"/>
      <c r="D141" s="39"/>
      <c r="E141" s="39"/>
      <c r="F141" s="39"/>
      <c r="G141" s="39"/>
      <c r="H141" s="39"/>
      <c r="I141" s="39"/>
      <c r="J141" s="39"/>
    </row>
    <row r="142" spans="1:10" ht="18.75" customHeight="1" x14ac:dyDescent="0.2">
      <c r="A142" s="39"/>
      <c r="B142" s="39"/>
      <c r="C142" s="39"/>
      <c r="D142" s="39"/>
      <c r="E142" s="39"/>
      <c r="F142" s="39"/>
      <c r="G142" s="39"/>
      <c r="H142" s="39"/>
      <c r="I142" s="39"/>
      <c r="J142" s="39"/>
    </row>
    <row r="143" spans="1:10" ht="14" x14ac:dyDescent="0.2">
      <c r="A143" s="39"/>
      <c r="B143" s="39"/>
      <c r="C143" s="39"/>
      <c r="D143" s="39"/>
      <c r="E143" s="39"/>
      <c r="F143" s="39"/>
      <c r="G143" s="39"/>
      <c r="H143" s="39"/>
      <c r="I143" s="39"/>
      <c r="J143" s="39"/>
    </row>
    <row r="144" spans="1:10" ht="7.5" customHeight="1" x14ac:dyDescent="0.2">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E7" sqref="E7:J7"/>
    </sheetView>
  </sheetViews>
  <sheetFormatPr defaultColWidth="11.36328125" defaultRowHeight="22.5" customHeight="1" x14ac:dyDescent="0.2"/>
  <cols>
    <col min="1" max="3" width="2.7265625" style="1" customWidth="1"/>
    <col min="4" max="4" width="22.26953125" style="1" customWidth="1"/>
    <col min="5" max="5" width="21.6328125" style="1" customWidth="1"/>
    <col min="6" max="7" width="7.7265625" style="1" customWidth="1"/>
    <col min="8" max="8" width="33.36328125" style="1" customWidth="1"/>
    <col min="9" max="9" width="24.453125" style="1" customWidth="1"/>
    <col min="10" max="10" width="5.453125" style="1" customWidth="1"/>
    <col min="11" max="11" width="4.08984375" style="31" customWidth="1"/>
    <col min="12" max="16384" width="11.36328125" style="1"/>
  </cols>
  <sheetData>
    <row r="1" spans="1:11" ht="18.75" customHeight="1" x14ac:dyDescent="0.2">
      <c r="A1" s="1" t="s">
        <v>124</v>
      </c>
      <c r="J1" s="41" t="s">
        <v>73</v>
      </c>
    </row>
    <row r="2" spans="1:11" ht="18.75" customHeight="1" x14ac:dyDescent="0.2">
      <c r="A2" s="260" t="s">
        <v>42</v>
      </c>
      <c r="B2" s="260"/>
      <c r="C2" s="260"/>
      <c r="D2" s="260"/>
      <c r="E2" s="260"/>
      <c r="F2" s="260"/>
      <c r="G2" s="260"/>
      <c r="H2" s="260"/>
      <c r="I2" s="260"/>
      <c r="J2" s="260"/>
    </row>
    <row r="3" spans="1:11" ht="7.5" customHeight="1" x14ac:dyDescent="0.2">
      <c r="A3" s="42"/>
      <c r="B3" s="42"/>
      <c r="C3" s="42"/>
      <c r="D3" s="42"/>
      <c r="E3" s="42"/>
      <c r="F3" s="42"/>
      <c r="G3" s="42"/>
      <c r="H3" s="42"/>
      <c r="I3" s="42"/>
      <c r="J3" s="42"/>
    </row>
    <row r="4" spans="1:11" ht="18.75" customHeight="1" x14ac:dyDescent="0.2">
      <c r="A4" s="1" t="s">
        <v>6</v>
      </c>
      <c r="B4" s="4" t="s">
        <v>41</v>
      </c>
      <c r="C4" s="39"/>
      <c r="D4" s="39"/>
      <c r="E4" s="40"/>
      <c r="F4" s="40"/>
      <c r="G4" s="40"/>
      <c r="H4" s="40"/>
      <c r="I4" s="40"/>
      <c r="J4" s="40"/>
    </row>
    <row r="5" spans="1:11" ht="18.75" customHeight="1" x14ac:dyDescent="0.2">
      <c r="B5" s="323" t="s">
        <v>38</v>
      </c>
      <c r="C5" s="324"/>
      <c r="D5" s="325"/>
      <c r="E5" s="326" t="s">
        <v>40</v>
      </c>
      <c r="F5" s="326"/>
      <c r="G5" s="326"/>
      <c r="H5" s="326"/>
      <c r="I5" s="326"/>
      <c r="J5" s="327"/>
    </row>
    <row r="6" spans="1:11" ht="18.75" customHeight="1" x14ac:dyDescent="0.2">
      <c r="B6" s="3" t="s">
        <v>28</v>
      </c>
      <c r="C6" s="39"/>
      <c r="D6" s="7"/>
      <c r="I6" s="40"/>
      <c r="J6" s="5"/>
    </row>
    <row r="7" spans="1:11" ht="207" customHeight="1" x14ac:dyDescent="0.2">
      <c r="B7" s="6"/>
      <c r="C7" s="314" t="s">
        <v>29</v>
      </c>
      <c r="D7" s="315"/>
      <c r="E7" s="320" t="s">
        <v>195</v>
      </c>
      <c r="F7" s="316"/>
      <c r="G7" s="316"/>
      <c r="H7" s="316"/>
      <c r="I7" s="316"/>
      <c r="J7" s="317"/>
      <c r="K7" s="31" t="str">
        <f>IF(E7="","入力してください","")</f>
        <v/>
      </c>
    </row>
    <row r="8" spans="1:11" ht="207" customHeight="1" x14ac:dyDescent="0.2">
      <c r="B8" s="6"/>
      <c r="C8" s="321" t="s">
        <v>30</v>
      </c>
      <c r="D8" s="322"/>
      <c r="E8" s="320" t="s">
        <v>196</v>
      </c>
      <c r="F8" s="316"/>
      <c r="G8" s="316"/>
      <c r="H8" s="316"/>
      <c r="I8" s="316"/>
      <c r="J8" s="317"/>
      <c r="K8" s="31" t="str">
        <f>IF(E8="","入力してください","")</f>
        <v/>
      </c>
    </row>
    <row r="9" spans="1:11" ht="172.5" customHeight="1" x14ac:dyDescent="0.2">
      <c r="B9" s="6"/>
      <c r="C9" s="314" t="s">
        <v>31</v>
      </c>
      <c r="D9" s="315"/>
      <c r="E9" s="320" t="s">
        <v>197</v>
      </c>
      <c r="F9" s="316"/>
      <c r="G9" s="316"/>
      <c r="H9" s="316"/>
      <c r="I9" s="316"/>
      <c r="J9" s="317"/>
      <c r="K9" s="31" t="str">
        <f>IF(E9="","入力してください","")</f>
        <v/>
      </c>
    </row>
    <row r="10" spans="1:11" ht="172.5" customHeight="1" x14ac:dyDescent="0.2">
      <c r="B10" s="6"/>
      <c r="C10" s="314" t="s">
        <v>32</v>
      </c>
      <c r="D10" s="315"/>
      <c r="E10" s="320" t="s">
        <v>198</v>
      </c>
      <c r="F10" s="316"/>
      <c r="G10" s="316"/>
      <c r="H10" s="316"/>
      <c r="I10" s="316"/>
      <c r="J10" s="317"/>
      <c r="K10" s="31" t="str">
        <f t="shared" ref="K10:K14" si="0">IF(E10="","入力してください","")</f>
        <v/>
      </c>
    </row>
    <row r="11" spans="1:11" ht="172.5" customHeight="1" x14ac:dyDescent="0.2">
      <c r="B11" s="6"/>
      <c r="C11" s="314" t="s">
        <v>33</v>
      </c>
      <c r="D11" s="315"/>
      <c r="E11" s="320" t="s">
        <v>199</v>
      </c>
      <c r="F11" s="316"/>
      <c r="G11" s="316"/>
      <c r="H11" s="316"/>
      <c r="I11" s="316"/>
      <c r="J11" s="317"/>
      <c r="K11" s="31" t="str">
        <f t="shared" si="0"/>
        <v/>
      </c>
    </row>
    <row r="12" spans="1:11" ht="18.75" customHeight="1" x14ac:dyDescent="0.2">
      <c r="B12" s="9" t="s">
        <v>34</v>
      </c>
      <c r="C12" s="28"/>
      <c r="D12" s="8"/>
      <c r="E12" s="32"/>
      <c r="F12" s="32"/>
      <c r="G12" s="32"/>
      <c r="H12" s="32"/>
      <c r="I12" s="32"/>
      <c r="J12" s="33"/>
    </row>
    <row r="13" spans="1:11" ht="244.15" customHeight="1" x14ac:dyDescent="0.2">
      <c r="B13" s="6"/>
      <c r="C13" s="314" t="s">
        <v>35</v>
      </c>
      <c r="D13" s="315"/>
      <c r="E13" s="316" t="s">
        <v>200</v>
      </c>
      <c r="F13" s="316"/>
      <c r="G13" s="316"/>
      <c r="H13" s="316"/>
      <c r="I13" s="316"/>
      <c r="J13" s="317"/>
      <c r="K13" s="31" t="str">
        <f t="shared" si="0"/>
        <v/>
      </c>
    </row>
    <row r="14" spans="1:11" ht="255" customHeight="1" x14ac:dyDescent="0.2">
      <c r="B14" s="6"/>
      <c r="C14" s="314" t="s">
        <v>36</v>
      </c>
      <c r="D14" s="315"/>
      <c r="E14" s="316" t="s">
        <v>201</v>
      </c>
      <c r="F14" s="316"/>
      <c r="G14" s="316"/>
      <c r="H14" s="316"/>
      <c r="I14" s="316"/>
      <c r="J14" s="317"/>
      <c r="K14" s="31" t="str">
        <f t="shared" si="0"/>
        <v/>
      </c>
    </row>
    <row r="15" spans="1:11" ht="243" customHeight="1" x14ac:dyDescent="0.2">
      <c r="B15" s="318" t="s">
        <v>37</v>
      </c>
      <c r="C15" s="319"/>
      <c r="D15" s="315"/>
      <c r="E15" s="316" t="s">
        <v>202</v>
      </c>
      <c r="F15" s="316"/>
      <c r="G15" s="316"/>
      <c r="H15" s="316"/>
      <c r="I15" s="316"/>
      <c r="J15" s="317"/>
      <c r="K15" s="31" t="str">
        <f>IF(E15="","入力してください","")</f>
        <v/>
      </c>
    </row>
    <row r="16" spans="1:11" ht="227.5" customHeight="1" x14ac:dyDescent="0.2">
      <c r="A16" s="31"/>
      <c r="B16" s="308" t="s">
        <v>66</v>
      </c>
      <c r="C16" s="309"/>
      <c r="D16" s="310"/>
      <c r="E16" s="283" t="s">
        <v>203</v>
      </c>
      <c r="F16" s="283"/>
      <c r="G16" s="283"/>
      <c r="H16" s="283"/>
      <c r="I16" s="283"/>
      <c r="J16" s="284"/>
      <c r="K16" s="31" t="str">
        <f>IF(E16="","入力してください","")</f>
        <v/>
      </c>
    </row>
    <row r="17" spans="1:11" ht="7.5" customHeight="1" x14ac:dyDescent="0.2">
      <c r="B17" s="39"/>
      <c r="C17" s="39"/>
      <c r="D17" s="39"/>
      <c r="E17" s="40"/>
      <c r="F17" s="40"/>
      <c r="G17" s="40"/>
      <c r="H17" s="40"/>
      <c r="I17" s="40"/>
      <c r="J17" s="40"/>
    </row>
    <row r="18" spans="1:11" ht="18.75" customHeight="1" x14ac:dyDescent="0.2">
      <c r="A18" s="1" t="s">
        <v>125</v>
      </c>
      <c r="B18" s="4"/>
      <c r="C18" s="39"/>
      <c r="D18" s="39"/>
      <c r="E18" s="40"/>
      <c r="F18" s="94"/>
      <c r="G18" s="311" t="s">
        <v>189</v>
      </c>
      <c r="H18" s="312"/>
      <c r="I18" s="312"/>
      <c r="J18" s="313"/>
      <c r="K18" s="31" t="str">
        <f>IF(G18="","入力してください","")</f>
        <v/>
      </c>
    </row>
    <row r="19" spans="1:11" ht="22.5" customHeight="1" x14ac:dyDescent="0.2">
      <c r="B19" s="39"/>
      <c r="C19" s="39"/>
      <c r="D19" s="39"/>
      <c r="E19" s="40"/>
      <c r="F19" s="40"/>
      <c r="G19" s="40"/>
      <c r="H19" s="40"/>
      <c r="I19" s="40"/>
      <c r="J19" s="40"/>
    </row>
    <row r="20" spans="1:11" ht="22.5" customHeight="1" x14ac:dyDescent="0.2">
      <c r="B20" s="39"/>
      <c r="C20" s="39"/>
      <c r="D20" s="39"/>
      <c r="E20" s="40"/>
      <c r="F20" s="40"/>
      <c r="G20" s="40"/>
      <c r="H20" s="40"/>
      <c r="I20" s="40"/>
      <c r="J20" s="40"/>
    </row>
    <row r="21" spans="1:11" ht="22.5" customHeight="1" x14ac:dyDescent="0.2">
      <c r="B21" s="39"/>
      <c r="C21" s="39"/>
      <c r="D21" s="39"/>
      <c r="E21" s="40"/>
      <c r="F21" s="40"/>
      <c r="G21" s="40"/>
      <c r="H21" s="40"/>
      <c r="I21" s="40"/>
      <c r="J21" s="40"/>
    </row>
    <row r="22" spans="1:11" ht="22.5" customHeight="1" x14ac:dyDescent="0.2">
      <c r="B22" s="39"/>
      <c r="C22" s="39"/>
      <c r="D22" s="39"/>
      <c r="E22" s="40"/>
      <c r="F22" s="40"/>
      <c r="G22" s="40"/>
      <c r="H22" s="40"/>
      <c r="I22" s="40"/>
      <c r="J22" s="40"/>
    </row>
    <row r="23" spans="1:11" ht="22.5" customHeight="1" x14ac:dyDescent="0.2">
      <c r="B23" s="39"/>
      <c r="C23" s="39"/>
      <c r="D23" s="39"/>
      <c r="E23" s="40"/>
      <c r="F23" s="40"/>
      <c r="G23" s="40"/>
      <c r="H23" s="40"/>
      <c r="I23" s="40"/>
      <c r="J23" s="40"/>
    </row>
    <row r="24" spans="1:11" ht="22.5" customHeight="1" x14ac:dyDescent="0.2">
      <c r="B24" s="106"/>
      <c r="C24" s="106"/>
      <c r="D24" s="106"/>
      <c r="E24" s="106"/>
      <c r="F24" s="106"/>
      <c r="G24" s="106"/>
      <c r="H24" s="106"/>
      <c r="I24" s="106"/>
      <c r="J24" s="106"/>
    </row>
    <row r="25" spans="1:11" ht="22.5" customHeight="1" x14ac:dyDescent="0.2">
      <c r="B25" s="106"/>
      <c r="C25" s="106"/>
      <c r="D25" s="106"/>
      <c r="E25" s="106"/>
      <c r="F25" s="106"/>
      <c r="G25" s="106"/>
      <c r="H25" s="106"/>
      <c r="I25" s="106"/>
      <c r="J25" s="106"/>
    </row>
    <row r="26" spans="1:11" ht="22.5" customHeight="1" x14ac:dyDescent="0.2">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mitz</cp:lastModifiedBy>
  <cp:lastPrinted>2022-05-20T06:27:36Z</cp:lastPrinted>
  <dcterms:created xsi:type="dcterms:W3CDTF">2011-06-14T05:32:50Z</dcterms:created>
  <dcterms:modified xsi:type="dcterms:W3CDTF">2022-06-01T08:03:54Z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