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yasuk\Desktop\"/>
    </mc:Choice>
  </mc:AlternateContent>
  <bookViews>
    <workbookView xWindow="2150" yWindow="350" windowWidth="21980" windowHeight="13890" tabRatio="885"/>
  </bookViews>
  <sheets>
    <sheet name="様式１　大学等概要" sheetId="44" r:id="rId1"/>
    <sheet name="様式２　プログラムを構成する授業科目" sheetId="39" r:id="rId2"/>
    <sheet name="様式３　履修者等数の実績" sheetId="46" r:id="rId3"/>
    <sheet name="様式４教育の質・履修者数を向上させるための体制・計画" sheetId="5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様式４教育の質・履修者数を向上させるための体制・計画!$A$1:$J$36</definedName>
    <definedName name="_xlnm.Print_Area" localSheetId="4">'様式５　自己点検・評価'!$A$1:$J$18</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17" i="51" l="1"/>
  <c r="C16" i="51"/>
  <c r="K26" i="51" l="1"/>
  <c r="K22" i="51"/>
  <c r="K19" i="51"/>
  <c r="K12" i="51"/>
  <c r="K8" i="51"/>
  <c r="K5" i="51"/>
  <c r="C4" i="46" l="1"/>
  <c r="D11" i="46" l="1"/>
  <c r="D12" i="46"/>
  <c r="D13" i="46"/>
  <c r="D10" i="46"/>
  <c r="P30" i="46" l="1"/>
  <c r="O30" i="46"/>
  <c r="N30" i="46"/>
  <c r="M30" i="46"/>
  <c r="L30" i="46"/>
  <c r="K30" i="46"/>
  <c r="J30" i="46"/>
  <c r="I30" i="46"/>
  <c r="H30" i="46"/>
  <c r="G30" i="46"/>
  <c r="F30" i="46"/>
  <c r="E30" i="46"/>
  <c r="D30" i="46"/>
  <c r="C30" i="46"/>
  <c r="Q29" i="46"/>
  <c r="R29" i="46" s="1"/>
  <c r="Q28" i="46"/>
  <c r="R28" i="46" s="1"/>
  <c r="Q27" i="46"/>
  <c r="R27" i="46" s="1"/>
  <c r="Q26" i="46"/>
  <c r="R26" i="46" s="1"/>
  <c r="Q25" i="46"/>
  <c r="R25" i="46" s="1"/>
  <c r="Q24" i="46"/>
  <c r="R24" i="46" s="1"/>
  <c r="Q23" i="46"/>
  <c r="R23" i="46" s="1"/>
  <c r="Q22" i="46"/>
  <c r="R22" i="46" s="1"/>
  <c r="Q21" i="46"/>
  <c r="R21" i="46" s="1"/>
  <c r="Q20" i="46"/>
  <c r="R20" i="46" s="1"/>
  <c r="Q19" i="46"/>
  <c r="R19" i="46" s="1"/>
  <c r="Q18" i="46"/>
  <c r="R18" i="46" s="1"/>
  <c r="Q17" i="46"/>
  <c r="R17" i="46" s="1"/>
  <c r="Q16" i="46"/>
  <c r="R16" i="46" s="1"/>
  <c r="Q15" i="46"/>
  <c r="R15" i="46" s="1"/>
  <c r="Q14" i="46"/>
  <c r="R14" i="46" s="1"/>
  <c r="Q13" i="46"/>
  <c r="R13" i="46" s="1"/>
  <c r="Q12" i="46"/>
  <c r="R12" i="46" s="1"/>
  <c r="Q11" i="46"/>
  <c r="R11" i="46" s="1"/>
  <c r="Q10" i="46"/>
  <c r="R10" i="46" s="1"/>
  <c r="Q30" i="46" l="1"/>
  <c r="R30" i="46" s="1"/>
  <c r="O45" i="44" l="1"/>
  <c r="O44" i="44"/>
  <c r="O41" i="44"/>
  <c r="O39" i="44"/>
  <c r="O37" i="44"/>
  <c r="O34" i="44"/>
  <c r="O32" i="44"/>
  <c r="O29" i="44"/>
  <c r="O20" i="44"/>
  <c r="O18" i="44"/>
  <c r="O16" i="44"/>
  <c r="O14" i="44"/>
  <c r="O12" i="44"/>
  <c r="O10" i="44"/>
  <c r="O8" i="44"/>
  <c r="O6" i="44"/>
  <c r="O4" i="44"/>
  <c r="K18" i="42" l="1"/>
  <c r="K16" i="42" l="1"/>
  <c r="K15" i="42"/>
  <c r="K13" i="42"/>
  <c r="K11" i="42"/>
  <c r="K8" i="42"/>
  <c r="K7" i="42"/>
</calcChain>
</file>

<file path=xl/sharedStrings.xml><?xml version="1.0" encoding="utf-8"?>
<sst xmlns="http://schemas.openxmlformats.org/spreadsheetml/2006/main" count="336" uniqueCount="211">
  <si>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</si>
  <si>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</si>
  <si>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</si>
  <si>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②</t>
    <phoneticPr fontId="1"/>
  </si>
  <si>
    <t>大学等の設置者</t>
  </si>
  <si>
    <t>③</t>
  </si>
  <si>
    <t>設置形態</t>
    <phoneticPr fontId="1"/>
  </si>
  <si>
    <t>④</t>
    <phoneticPr fontId="1"/>
  </si>
  <si>
    <t>所在地</t>
    <phoneticPr fontId="1"/>
  </si>
  <si>
    <t>⑤</t>
    <phoneticPr fontId="1"/>
  </si>
  <si>
    <t>申請するプログラム名称</t>
    <rPh sb="0" eb="2">
      <t>シンセイ</t>
    </rPh>
    <rPh sb="9" eb="11">
      <t>メイショウ</t>
    </rPh>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</si>
  <si>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</si>
  <si>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</si>
  <si>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</si>
  <si>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</si>
  <si>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</si>
  <si>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</si>
  <si>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</si>
  <si>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</si>
  <si>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</si>
  <si>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</si>
  <si>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</si>
  <si>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</si>
  <si>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</si>
  <si>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</si>
  <si>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</si>
  <si>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</si>
  <si>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</si>
  <si>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</si>
  <si>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</si>
  <si>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</si>
  <si>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</si>
  <si>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</si>
  <si>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</si>
  <si>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</si>
  <si>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</si>
  <si>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</si>
  <si>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（役職名）</t>
    <rPh sb="1" eb="4">
      <t>ヤクショクメイ</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</si>
  <si>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</si>
  <si>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</si>
  <si>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</si>
  <si>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</si>
  <si>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⑮</t>
    <phoneticPr fontId="1"/>
  </si>
  <si>
    <t>申請する認定プログラム</t>
    <rPh sb="0" eb="2">
      <t>シンセイ</t>
    </rPh>
    <rPh sb="4" eb="6">
      <t>ニンテイ</t>
    </rPh>
    <phoneticPr fontId="1"/>
  </si>
  <si>
    <t>認定教育プログラム</t>
    <rPh sb="0" eb="4">
      <t>ニンテイキョウイク</t>
    </rPh>
    <phoneticPr fontId="1"/>
  </si>
  <si>
    <t>連絡先</t>
  </si>
  <si>
    <t>所属部署名</t>
    <rPh sb="0" eb="2">
      <t>ショゾク</t>
    </rPh>
    <rPh sb="2" eb="4">
      <t>ブショ</t>
    </rPh>
    <rPh sb="4" eb="5">
      <t>メイ</t>
    </rPh>
    <phoneticPr fontId="1"/>
  </si>
  <si>
    <t>担当者名</t>
    <rPh sb="0" eb="2">
      <t>タントウ</t>
    </rPh>
    <rPh sb="2" eb="3">
      <t>シャ</t>
    </rPh>
    <rPh sb="3" eb="4">
      <t>メイ</t>
    </rPh>
    <phoneticPr fontId="1"/>
  </si>
  <si>
    <t>E-mail</t>
  </si>
  <si>
    <t>電話番号</t>
  </si>
  <si>
    <t>プログラムを構成する授業科目について</t>
    <phoneticPr fontId="1"/>
  </si>
  <si>
    <t>①具体的な修了要件</t>
    <phoneticPr fontId="1"/>
  </si>
  <si>
    <t>②教育プログラムの修了要件</t>
    <phoneticPr fontId="1"/>
  </si>
  <si>
    <t>学部・学科によって、修了要件は相違しない</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</si>
  <si>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</si>
  <si>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</si>
  <si>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</si>
  <si>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</si>
  <si>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</si>
  <si>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</si>
  <si>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</si>
  <si>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t>
  </si>
  <si>
    <t>全学開講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</si>
  <si>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</si>
  <si>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</si>
  <si>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</si>
  <si>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</si>
  <si>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</si>
  <si>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</si>
  <si>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</si>
  <si>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</si>
  <si>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</si>
  <si>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</si>
  <si>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</si>
  <si>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</si>
  <si>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</si>
  <si>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</si>
  <si>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選択</t>
    <rPh sb="0" eb="2">
      <t>センタク</t>
    </rPh>
    <phoneticPr fontId="1"/>
  </si>
  <si>
    <t>⑨プログラムを構成する授業の内容</t>
    <phoneticPr fontId="1"/>
  </si>
  <si>
    <t>授業に含まれている内容・要素</t>
    <phoneticPr fontId="1"/>
  </si>
  <si>
    <t>講義内容</t>
    <rPh sb="0" eb="2">
      <t>コウギ</t>
    </rPh>
    <rPh sb="2" eb="4">
      <t>ナイヨウ</t>
    </rPh>
    <phoneticPr fontId="1"/>
  </si>
  <si>
    <t>1-6</t>
    <phoneticPr fontId="1"/>
  </si>
  <si>
    <t>（２）「社会で活用されているデータ」や「データの活用領域」は非常に広範囲であって、日常生活や社会の課題を解決する有用なツールになり得るもの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</si>
  <si>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</si>
  <si>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</si>
  <si>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⑪プログラムの授業内容等を公表しているアドレス</t>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</si>
  <si>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</si>
  <si>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</si>
  <si>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</si>
  <si>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</si>
  <si>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</si>
  <si>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</si>
  <si>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</si>
  <si>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</si>
  <si>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</si>
  <si>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</si>
  <si>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</si>
  <si>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</si>
  <si>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</si>
  <si>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</si>
  <si>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</si>
  <si>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</si>
  <si>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合　計</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</si>
  <si>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</si>
  <si>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</si>
  <si>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</si>
  <si>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</si>
  <si>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</si>
  <si>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</si>
  <si>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</si>
  <si>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</si>
  <si>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</si>
  <si>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</si>
  <si>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</si>
  <si>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</si>
  <si>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</si>
  <si>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</si>
  <si>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</si>
  <si>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</si>
  <si>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学外からの視点</t>
    <rPh sb="0" eb="2">
      <t>ガクガイ</t>
    </rPh>
    <rPh sb="5" eb="7">
      <t>シテン</t>
    </rPh>
    <phoneticPr fontId="1"/>
  </si>
  <si>
    <t>②自己点検・評価体制における意見等を公表しているアドレス</t>
    <phoneticPr fontId="1"/>
  </si>
  <si>
    <t>学校法人四国大学</t>
    <rPh sb="0" eb="2">
      <t>ガッコウ</t>
    </rPh>
    <rPh sb="2" eb="4">
      <t>ホウジン</t>
    </rPh>
    <rPh sb="4" eb="8">
      <t>シコクダイガク</t>
    </rPh>
    <phoneticPr fontId="1"/>
  </si>
  <si>
    <t>令和３</t>
    <rPh sb="0" eb="2">
      <t>レイワ</t>
    </rPh>
    <phoneticPr fontId="1"/>
  </si>
  <si>
    <t>無</t>
  </si>
  <si>
    <t>徳島県徳島市応神町古川戎子野123-1</t>
    <rPh sb="0" eb="2">
      <t>トクシマ</t>
    </rPh>
    <rPh sb="2" eb="3">
      <t>ケン</t>
    </rPh>
    <rPh sb="3" eb="5">
      <t>トクシマ</t>
    </rPh>
    <rPh sb="5" eb="6">
      <t>シ</t>
    </rPh>
    <rPh sb="6" eb="9">
      <t>オウジンチョウ</t>
    </rPh>
    <rPh sb="9" eb="11">
      <t>フルカワ</t>
    </rPh>
    <rPh sb="11" eb="12">
      <t>エビス</t>
    </rPh>
    <rPh sb="12" eb="13">
      <t>コ</t>
    </rPh>
    <rPh sb="13" eb="14">
      <t>ノ</t>
    </rPh>
    <phoneticPr fontId="1"/>
  </si>
  <si>
    <t>松重　和美</t>
    <rPh sb="0" eb="2">
      <t>マツシゲ</t>
    </rPh>
    <rPh sb="3" eb="5">
      <t>カズミ</t>
    </rPh>
    <phoneticPr fontId="1"/>
  </si>
  <si>
    <t>数理・データサイエンス・AI教育プログラム専門委員会</t>
    <rPh sb="21" eb="23">
      <t>センモン</t>
    </rPh>
    <rPh sb="23" eb="26">
      <t>イインカイ</t>
    </rPh>
    <phoneticPr fontId="1"/>
  </si>
  <si>
    <t>全学共通教育センター</t>
    <rPh sb="0" eb="2">
      <t>ゼンガク</t>
    </rPh>
    <rPh sb="2" eb="4">
      <t>キョウツウ</t>
    </rPh>
    <rPh sb="4" eb="6">
      <t>キョウイク</t>
    </rPh>
    <phoneticPr fontId="1"/>
  </si>
  <si>
    <t>zengaku-kk-center@shikoku-u.ac.jp</t>
    <phoneticPr fontId="1"/>
  </si>
  <si>
    <t>中岡　泰子</t>
    <rPh sb="0" eb="2">
      <t>ナカオカ</t>
    </rPh>
    <rPh sb="3" eb="5">
      <t>ヤスコ</t>
    </rPh>
    <phoneticPr fontId="1"/>
  </si>
  <si>
    <t>AI・データサイエンス入門</t>
  </si>
  <si>
    <t>AI・データサイエンス入門</t>
    <phoneticPr fontId="1"/>
  </si>
  <si>
    <t>AIで変わる社会</t>
    <rPh sb="3" eb="4">
      <t>カ</t>
    </rPh>
    <rPh sb="6" eb="8">
      <t>シャカイ</t>
    </rPh>
    <phoneticPr fontId="1"/>
  </si>
  <si>
    <t>情報処理</t>
    <rPh sb="0" eb="4">
      <t>ジョウホウショリ</t>
    </rPh>
    <phoneticPr fontId="1"/>
  </si>
  <si>
    <t>様式２－１</t>
    <phoneticPr fontId="1"/>
  </si>
  <si>
    <t>情報処理</t>
    <rPh sb="0" eb="4">
      <t>ジョウホウショリ</t>
    </rPh>
    <phoneticPr fontId="1"/>
  </si>
  <si>
    <t>社会人基礎力入門</t>
    <rPh sb="0" eb="3">
      <t>シャカイジン</t>
    </rPh>
    <rPh sb="3" eb="8">
      <t>キソリョクニュウモン</t>
    </rPh>
    <phoneticPr fontId="1"/>
  </si>
  <si>
    <t xml:space="preserve"> 数理・データサイエンス・AI教育プログラム</t>
    <phoneticPr fontId="1"/>
  </si>
  <si>
    <r>
      <t>　教育プログラムは、全学共通科目として開講されている必修科目「AI・データサイエンス入門」「社会人基礎力入門」及び「AIで変わる社会」「情報処理」の計4科目8単位で構成されている。修了要件は、必修科目「AI・データサイエンス入門」「社会人基礎力入門」を含む2科目4単位以上としており、以下の学修目標をはかるために、レポート課題及び筆記試験によって評価し、60点以上を合格としている。
　</t>
    </r>
    <r>
      <rPr>
        <u/>
        <sz val="11"/>
        <rFont val="ＭＳ Ｐゴシック"/>
        <family val="3"/>
        <charset val="128"/>
        <scheme val="minor"/>
      </rPr>
      <t>学修目標</t>
    </r>
    <r>
      <rPr>
        <sz val="11"/>
        <rFont val="ＭＳ Ｐゴシック"/>
        <family val="3"/>
        <charset val="128"/>
        <scheme val="minor"/>
      </rPr>
      <t xml:space="preserve">
　(１)データやAIによって社会及び日常生活が大きく変化していること並びにデータ・AI活用領域の広がりについて理解し、データやAIを活用する価値を
　　　説明できる。
　(２)データを適切に読み解くことができ、適切な可視化手法を選択してデータを説明できる。また、スプレッドシート等を使って、データを集計・加工できる。
　(３)データやAIを利活用する際に求められるモラルや倫理、データ駆動型社会における脅威（リスク）及び個人のデータを守るために留意すべき事項を
　　　理解する。
　(４)データやAIを活用した一連のプロセスを体験し、データ・AI利活用の流れ（進め方）を理解する。
</t>
    </r>
    <rPh sb="1" eb="3">
      <t>キョウイク</t>
    </rPh>
    <rPh sb="10" eb="12">
      <t>ゼンガク</t>
    </rPh>
    <rPh sb="12" eb="14">
      <t>キョウツウ</t>
    </rPh>
    <rPh sb="14" eb="16">
      <t>カモク</t>
    </rPh>
    <rPh sb="19" eb="21">
      <t>カイコウ</t>
    </rPh>
    <rPh sb="26" eb="28">
      <t>ヒッシュウ</t>
    </rPh>
    <rPh sb="28" eb="30">
      <t>カモク</t>
    </rPh>
    <rPh sb="55" eb="56">
      <t>オヨ</t>
    </rPh>
    <rPh sb="61" eb="62">
      <t>カ</t>
    </rPh>
    <rPh sb="64" eb="66">
      <t>シャカイ</t>
    </rPh>
    <rPh sb="68" eb="72">
      <t>ジョウホウショリ</t>
    </rPh>
    <rPh sb="74" eb="75">
      <t>ケイ</t>
    </rPh>
    <rPh sb="76" eb="78">
      <t>カモク</t>
    </rPh>
    <rPh sb="82" eb="84">
      <t>コウセイ</t>
    </rPh>
    <rPh sb="90" eb="92">
      <t>シュウリョウ</t>
    </rPh>
    <rPh sb="92" eb="94">
      <t>ヨウケン</t>
    </rPh>
    <rPh sb="96" eb="98">
      <t>ヒッシュウ</t>
    </rPh>
    <rPh sb="98" eb="100">
      <t>カモク</t>
    </rPh>
    <rPh sb="112" eb="114">
      <t>ニュウモン</t>
    </rPh>
    <rPh sb="116" eb="119">
      <t>シャカイジン</t>
    </rPh>
    <rPh sb="119" eb="122">
      <t>キソリョク</t>
    </rPh>
    <rPh sb="122" eb="124">
      <t>ニュウモン</t>
    </rPh>
    <rPh sb="126" eb="127">
      <t>フク</t>
    </rPh>
    <rPh sb="129" eb="131">
      <t>カモク</t>
    </rPh>
    <rPh sb="132" eb="134">
      <t>タンイ</t>
    </rPh>
    <rPh sb="134" eb="136">
      <t>イジョウ</t>
    </rPh>
    <rPh sb="142" eb="144">
      <t>イカ</t>
    </rPh>
    <rPh sb="145" eb="147">
      <t>ガクシュウ</t>
    </rPh>
    <rPh sb="147" eb="149">
      <t>モクヒョウ</t>
    </rPh>
    <rPh sb="161" eb="163">
      <t>カダイ</t>
    </rPh>
    <rPh sb="163" eb="164">
      <t>オヨ</t>
    </rPh>
    <rPh sb="173" eb="175">
      <t>ヒョウカ</t>
    </rPh>
    <rPh sb="179" eb="182">
      <t>テンイジョウ</t>
    </rPh>
    <rPh sb="183" eb="185">
      <t>ゴウカク</t>
    </rPh>
    <phoneticPr fontId="1"/>
  </si>
  <si>
    <t>四国大学 数理・データサイエンス・AI教育プログラム専門委員会規則</t>
    <rPh sb="0" eb="4">
      <t>シコクダイガク</t>
    </rPh>
    <phoneticPr fontId="1"/>
  </si>
  <si>
    <t>学長（全学共通教育センター長）</t>
    <rPh sb="0" eb="2">
      <t>ガクチョウ</t>
    </rPh>
    <rPh sb="3" eb="5">
      <t>ゼンガク</t>
    </rPh>
    <rPh sb="5" eb="7">
      <t>キョウツウ</t>
    </rPh>
    <rPh sb="7" eb="9">
      <t>キョウイク</t>
    </rPh>
    <rPh sb="13" eb="14">
      <t>チョウ</t>
    </rPh>
    <phoneticPr fontId="1"/>
  </si>
  <si>
    <t>四国大学 短期大学部</t>
    <rPh sb="0" eb="2">
      <t>シコク</t>
    </rPh>
    <rPh sb="2" eb="4">
      <t>ダイガク</t>
    </rPh>
    <rPh sb="5" eb="10">
      <t>タンキダイガクブ</t>
    </rPh>
    <phoneticPr fontId="1"/>
  </si>
  <si>
    <t>幼児教育保育科</t>
    <rPh sb="0" eb="2">
      <t>ヨウジ</t>
    </rPh>
    <rPh sb="2" eb="4">
      <t>キョウイク</t>
    </rPh>
    <rPh sb="4" eb="7">
      <t>ホイクカ</t>
    </rPh>
    <phoneticPr fontId="1"/>
  </si>
  <si>
    <t>音楽科</t>
    <rPh sb="0" eb="3">
      <t>オンガクカ</t>
    </rPh>
    <phoneticPr fontId="1"/>
  </si>
  <si>
    <t>ビジネス･コミュニケーション科</t>
    <rPh sb="14" eb="15">
      <t>カ</t>
    </rPh>
    <phoneticPr fontId="1"/>
  </si>
  <si>
    <t>人間健康科</t>
    <rPh sb="0" eb="5">
      <t>ニンゲンケンコウカ</t>
    </rPh>
    <phoneticPr fontId="1"/>
  </si>
  <si>
    <t>（１）現在進行中の社会変化（第４次産業革命、Society 5.0、データ駆動型社会等）に深く寄与しているものであり、それが自らの生活と密接に結びついている</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</si>
  <si>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</si>
  <si>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⑩プログラムの学修成果（学生等が身に付けられる能力等）</t>
    <phoneticPr fontId="1"/>
  </si>
  <si>
    <t>・構造化データ, 非構造化データ（画像, 音声等）「AI・データサイエンス入門」（4回目）
・オープンデータ(気象データ, 家計調査等)「AI・データサイエンス入門」（9回目）</t>
    <rPh sb="55" eb="57">
      <t>キショウ</t>
    </rPh>
    <rPh sb="62" eb="66">
      <t>カケイチョウサ</t>
    </rPh>
    <phoneticPr fontId="1"/>
  </si>
  <si>
    <t>・情報セキュリティ（機密性, 完全性, 可用性）, 暗号化, 匿名加工情報 「AI・データサイエンス入門」（5回目）</t>
    <rPh sb="10" eb="12">
      <t>キミツ</t>
    </rPh>
    <rPh sb="12" eb="13">
      <t>セイ</t>
    </rPh>
    <rPh sb="15" eb="18">
      <t>カンゼンセイ</t>
    </rPh>
    <rPh sb="20" eb="23">
      <t>カヨウセイ</t>
    </rPh>
    <rPh sb="26" eb="29">
      <t>アンゴウカ</t>
    </rPh>
    <rPh sb="31" eb="37">
      <t>トクメイカコウジョウホウ</t>
    </rPh>
    <phoneticPr fontId="1"/>
  </si>
  <si>
    <t>　現代社会において数理・データサイエンス・AIの果たしている役割やデータ・AI利活用の領域、その事例や価値創出、留意すべき事項について理解するとともに、実際のデータを「読む力」「説明する力」「扱う力」を身に付ける。</t>
    <phoneticPr fontId="1"/>
  </si>
  <si>
    <t>・AI・データの活用最新動向（商品のレコメンデーションシステム, A/Bテスト）「AI・データサイエンス入門」（3回目）
・AI最新技術の活用例(音声認識による業務高度化など)「AI・データサイエンス入門」（3回目）</t>
    <phoneticPr fontId="1"/>
  </si>
  <si>
    <t>088-665-9650</t>
    <phoneticPr fontId="1"/>
  </si>
  <si>
    <t>喜多　三佳</t>
    <rPh sb="0" eb="2">
      <t>キタ</t>
    </rPh>
    <rPh sb="3" eb="5">
      <t>ミカ</t>
    </rPh>
    <phoneticPr fontId="1"/>
  </si>
  <si>
    <t>全学共通教育センター 副センター長</t>
    <rPh sb="0" eb="2">
      <t>ゼンガク</t>
    </rPh>
    <rPh sb="2" eb="4">
      <t>キョウツウ</t>
    </rPh>
    <rPh sb="4" eb="6">
      <t>キョウイク</t>
    </rPh>
    <rPh sb="11" eb="12">
      <t>フク</t>
    </rPh>
    <rPh sb="16" eb="17">
      <t>チョウ</t>
    </rPh>
    <phoneticPr fontId="1"/>
  </si>
  <si>
    <t>数理・データサイエンス・AI教育プログラム専門委員会 自己点検・評価部会</t>
    <rPh sb="0" eb="2">
      <t>スウリ</t>
    </rPh>
    <rPh sb="14" eb="16">
      <t>キョウイク</t>
    </rPh>
    <rPh sb="21" eb="23">
      <t>センモン</t>
    </rPh>
    <rPh sb="23" eb="26">
      <t>イインカイ</t>
    </rPh>
    <rPh sb="27" eb="29">
      <t>ジコ</t>
    </rPh>
    <rPh sb="29" eb="31">
      <t>テンケン</t>
    </rPh>
    <rPh sb="32" eb="34">
      <t>ヒョウカ</t>
    </rPh>
    <rPh sb="34" eb="36">
      <t>ブカイ</t>
    </rPh>
    <phoneticPr fontId="1"/>
  </si>
  <si>
    <t>（令和3年度）
副学長　川本　幸彦
経営情報学部長　教授　長沼 次郎
経営情報学部 メディア情報学科 教授　池田 充郎
情報教育センター長　奥村 英樹
経営情報学部 メディア情報学科 准教授　細川 康輝
経営情報学部 経営情報学科 准教授　稲倉 典子
全学共通教育センター 副センター長　中岡　泰子
教育支援課長　桑原 渉</t>
    <rPh sb="1" eb="3">
      <t>レイワ</t>
    </rPh>
    <rPh sb="4" eb="6">
      <t>ネンド</t>
    </rPh>
    <rPh sb="26" eb="28">
      <t>キョウジュ</t>
    </rPh>
    <rPh sb="144" eb="146">
      <t>ナカオカ</t>
    </rPh>
    <rPh sb="147" eb="149">
      <t>ヤスコ</t>
    </rPh>
    <rPh sb="150" eb="152">
      <t>キョウイク</t>
    </rPh>
    <rPh sb="152" eb="154">
      <t>シエン</t>
    </rPh>
    <phoneticPr fontId="1"/>
  </si>
  <si>
    <t xml:space="preserve">　本委員会は、文理を問わず全学部生を対象に、数理・データサイエンス・AIに関するリテラシーの涵養に向けた教育を推進するため、全学共通教育センターの下に設置され、具体的には、①数理・データサイエンス・AI教育プログラムの編成と運営に関すること、②本プログラムの履修者数・履修率の向上に関すること、③本プログラムの自己点検・評価及び改善・進化に向けた取り組みに関することについて審議する。
</t>
    <rPh sb="1" eb="2">
      <t>ホン</t>
    </rPh>
    <rPh sb="2" eb="5">
      <t>イインカイ</t>
    </rPh>
    <rPh sb="18" eb="20">
      <t>タイショウ</t>
    </rPh>
    <rPh sb="22" eb="24">
      <t>スウリ</t>
    </rPh>
    <rPh sb="46" eb="48">
      <t>カンヨウ</t>
    </rPh>
    <rPh sb="62" eb="64">
      <t>ゼンガク</t>
    </rPh>
    <rPh sb="64" eb="66">
      <t>キョウツウ</t>
    </rPh>
    <rPh sb="66" eb="68">
      <t>キョウイク</t>
    </rPh>
    <rPh sb="73" eb="74">
      <t>シタ</t>
    </rPh>
    <rPh sb="75" eb="77">
      <t>セッチ</t>
    </rPh>
    <rPh sb="80" eb="83">
      <t>グタイテキ</t>
    </rPh>
    <rPh sb="187" eb="189">
      <t>シンギ</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</si>
  <si>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</si>
  <si>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具体的な計画</t>
    <rPh sb="0" eb="3">
      <t>グタイテキ</t>
    </rPh>
    <rPh sb="4" eb="6">
      <t>ケイカク</t>
    </rPh>
    <phoneticPr fontId="1"/>
  </si>
  <si>
    <t>体制の目的</t>
    <rPh sb="0" eb="2">
      <t>タイセイ</t>
    </rPh>
    <rPh sb="3" eb="5">
      <t>モクテキ</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</si>
  <si>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</si>
  <si>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</si>
  <si>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</si>
  <si>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プログラムの履修・修得状況</t>
    <rPh sb="6" eb="8">
      <t>リシュウ</t>
    </rPh>
    <rPh sb="9" eb="11">
      <t>シュウトク</t>
    </rPh>
    <rPh sb="11" eb="13">
      <t>ジョウキョウ</t>
    </rPh>
    <phoneticPr fontId="1"/>
  </si>
  <si>
    <t>　本プログラムの必修科目「AI・データサイエンス入門」の1回目と15回目の授業終了時に実施したアンケートを分析することによって、学修成果を把握している。最初は数学やパソコンが苦手で不安という学生も、15回の授業を終了した後では、「情報化が進む社会でAI・データサイエンスに関する多くの知識を得ることができ力がついた」「AI・データサイエンスは自分の身の回りにも存在し、活用されている身近なものであるという考えに変わった」等、専門分野に関わらず、多くの学生がAI・データサイエンスについて学ぶ意義を認識していた。アンケート結果は担当者会で共有し、授業内容について継続的に見直しを行っている。
　</t>
    <rPh sb="1" eb="2">
      <t>ホン</t>
    </rPh>
    <rPh sb="8" eb="10">
      <t>ヒッシュウ</t>
    </rPh>
    <rPh sb="10" eb="12">
      <t>カモク</t>
    </rPh>
    <rPh sb="24" eb="26">
      <t>ニュウモン</t>
    </rPh>
    <rPh sb="29" eb="31">
      <t>カイメ</t>
    </rPh>
    <rPh sb="34" eb="36">
      <t>カイメ</t>
    </rPh>
    <rPh sb="37" eb="42">
      <t>ジュギョウシュウリョウジ</t>
    </rPh>
    <rPh sb="43" eb="45">
      <t>ジッシ</t>
    </rPh>
    <rPh sb="53" eb="55">
      <t>ブンセキ</t>
    </rPh>
    <rPh sb="64" eb="68">
      <t>ガクシュウセイカ</t>
    </rPh>
    <rPh sb="69" eb="71">
      <t>ハアク</t>
    </rPh>
    <rPh sb="136" eb="137">
      <t>カン</t>
    </rPh>
    <rPh sb="152" eb="153">
      <t>チカラ</t>
    </rPh>
    <rPh sb="191" eb="193">
      <t>ミヂカ</t>
    </rPh>
    <rPh sb="210" eb="211">
      <t>トウ</t>
    </rPh>
    <rPh sb="222" eb="223">
      <t>オオ</t>
    </rPh>
    <rPh sb="225" eb="227">
      <t>ガクセイ</t>
    </rPh>
    <rPh sb="243" eb="244">
      <t>マナ</t>
    </rPh>
    <rPh sb="245" eb="247">
      <t>イギ</t>
    </rPh>
    <rPh sb="248" eb="250">
      <t>ニンシキ</t>
    </rPh>
    <rPh sb="260" eb="262">
      <t>ケッカ</t>
    </rPh>
    <rPh sb="263" eb="266">
      <t>タントウシャ</t>
    </rPh>
    <rPh sb="266" eb="267">
      <t>カイ</t>
    </rPh>
    <rPh sb="268" eb="270">
      <t>キョウユウ</t>
    </rPh>
    <rPh sb="272" eb="274">
      <t>ジュギョウ</t>
    </rPh>
    <phoneticPr fontId="1"/>
  </si>
  <si>
    <t>　令和3年度に実施した「AI・データサイエンス入門」でのアンケートでは、後輩等、他の学生に本プログラムを推奨するかについて、8割以上の学生が肯定的な回答をしている。
　学生による授業評価の結果は学内に公開し、後輩の学生も閲覧可能であり、講義受講の推奨に活用している。本プログラムの意味や学修の意義については、オリエンテーションやポータルでの周知の他、履修指導を行うチューターからも伝えている。</t>
    <rPh sb="45" eb="46">
      <t>ホン</t>
    </rPh>
    <rPh sb="170" eb="172">
      <t>シュウチ</t>
    </rPh>
    <rPh sb="173" eb="174">
      <t>ホカ</t>
    </rPh>
    <rPh sb="175" eb="177">
      <t>リシュウ</t>
    </rPh>
    <rPh sb="177" eb="179">
      <t>シドウ</t>
    </rPh>
    <rPh sb="180" eb="181">
      <t>オコナ</t>
    </rPh>
    <rPh sb="190" eb="191">
      <t>ツタ</t>
    </rPh>
    <phoneticPr fontId="1"/>
  </si>
  <si>
    <t xml:space="preserve">　本プログラムの修了学生は非輩出のため、進路・活躍状況、企業からの評価を把握できていない。県内の関係企業については定期的に教職員が訪問し、本学卒業生に関して評価の調査を実施しており、今後、本プログラム修了者についても状況把握を行う。
</t>
    <rPh sb="45" eb="47">
      <t>ケンナイ</t>
    </rPh>
    <rPh sb="57" eb="60">
      <t>テイキテキ</t>
    </rPh>
    <rPh sb="61" eb="64">
      <t>キョウショクイン</t>
    </rPh>
    <rPh sb="65" eb="67">
      <t>ホウモン</t>
    </rPh>
    <phoneticPr fontId="1"/>
  </si>
  <si>
    <t>　分野を問わず幅広い関心を育むため、日常生活における身近なAIとして用いられている事例を紹介し、学ぶ楽しさを喚起する工夫をしている。また、多分野の教員が本プログラムに参加し、学生が所属する学部・学科と関連したAI・データサイエンスを活用した研究事例を紹介することで、学習する意義を理解させ、学びへのモチベーションにつなげている。</t>
    <rPh sb="48" eb="49">
      <t>マナ</t>
    </rPh>
    <rPh sb="50" eb="51">
      <t>タノ</t>
    </rPh>
    <rPh sb="90" eb="92">
      <t>ショゾク</t>
    </rPh>
    <rPh sb="97" eb="99">
      <t>ガッカ</t>
    </rPh>
    <phoneticPr fontId="1"/>
  </si>
  <si>
    <t>　履修登録を行う前に、オリエンテーションで本プログラムを案内し、数理・データサイエンス・AIを学ぶ意義、重要性を各学科毎に説明している。また、プログラム修了者には、修了証が授与されることも周知している。
　本学のWEBサイトホームページトップ画面にプログラム専用ページへのリンクを掲載して、学生が情報を受け取りやすい環境を準備している。</t>
    <rPh sb="21" eb="22">
      <t>ホン</t>
    </rPh>
    <rPh sb="28" eb="30">
      <t>アンナイ</t>
    </rPh>
    <rPh sb="32" eb="34">
      <t>スウリ</t>
    </rPh>
    <rPh sb="47" eb="48">
      <t>マナ</t>
    </rPh>
    <rPh sb="49" eb="51">
      <t>イギ</t>
    </rPh>
    <rPh sb="59" eb="60">
      <t>ゴト</t>
    </rPh>
    <rPh sb="78" eb="79">
      <t>シャ</t>
    </rPh>
    <rPh sb="82" eb="84">
      <t>シュウリョウ</t>
    </rPh>
    <rPh sb="161" eb="163">
      <t>ジュンビ</t>
    </rPh>
    <phoneticPr fontId="1"/>
  </si>
  <si>
    <t>　学習指導については、LMS（マナバコース）にて管理し、学生は授業時間以外に不明点等をシステムを通じて確認することができ、質問は授業担当者を通じて返答する体制を整備している。また、担当教員のオフィスアワーを活用し、対面による質問も随時受け付けている。さらに、全学共通教育センターには教職員が常駐し、履修のサポートがいつでも可能な体制が整えられている。
　</t>
    <rPh sb="1" eb="3">
      <t>ガクシュウ</t>
    </rPh>
    <rPh sb="3" eb="5">
      <t>シドウ</t>
    </rPh>
    <rPh sb="64" eb="66">
      <t>ジュギョウ</t>
    </rPh>
    <rPh sb="66" eb="69">
      <t>タントウシャ</t>
    </rPh>
    <rPh sb="107" eb="109">
      <t>タイメン</t>
    </rPh>
    <rPh sb="129" eb="131">
      <t>ゼンガク</t>
    </rPh>
    <rPh sb="131" eb="133">
      <t>キョウツウ</t>
    </rPh>
    <rPh sb="133" eb="135">
      <t>キョウイク</t>
    </rPh>
    <rPh sb="141" eb="144">
      <t>キョウショクイン</t>
    </rPh>
    <rPh sb="145" eb="147">
      <t>ジョウチュウ</t>
    </rPh>
    <rPh sb="149" eb="151">
      <t>リシュウ</t>
    </rPh>
    <rPh sb="161" eb="163">
      <t>カノウ</t>
    </rPh>
    <rPh sb="164" eb="166">
      <t>タイセイ</t>
    </rPh>
    <rPh sb="167" eb="168">
      <t>トトノ</t>
    </rPh>
    <phoneticPr fontId="1"/>
  </si>
  <si>
    <t>　　　　　　　　　　　　　　　　　　　　　　　　　　　　　　　　　　　　　　　　　　　　　　　　　　　　　　　　　　　　　　　　　　　　　　　　　　　　　　　　　　　　　　　　　　　　　　　　　　　　　　　　　　　　　　　　　　　　　　　　　　　　　　　　　　　　　　　　　　　　　　　　　　　　　　　　　　　　　　　　　　　　　　　　　　　　　　　　　　　　　　　　　　　　　　　　　　　　　　　　　　　　　　　　　　　　　　　　　　　　　　　　　　　　　　　　　　　　　　　　　　　　　　　　　　　　　　　　　　　　　　　　　　　　　　　　　　　　　　　　　　　　　　　　　　　　　　　　　　　　　　　　　　　　　　　　　　　　　　　　　　　　　　　　　　　　　　　　　　　　　　　　　　　　　　　　　　　　　　　　　　　　　　　　　　　　　　　　　　　　　　　　　　　　　　　　　　　　　　　　　　　　　　　　　　　　　　　　　　　　　　　　　　　　　　　　　　　　　　　　　　　　　　　　　　　　　　　　　　　　　　　　　　　　　　　　　　　　　　　　　　　　　　　　　　　　　　　　　　　　　　　　　　　　　　　　　　　　　　　　　　　　　　　　　　　　　　　　　　　　　　　　　　　　　　　　　　　　　　　　　　　　　　　　　　　　　　　　　　　　　　　　　　　　　　　　　　　　　　　　　　　　　　　　　　　　　　　　　　　　　　　　　　　　　　　　　　　　　　　　　　　　　　　　　　　　　　　　　　　　　　　　　　　　　　　　　　　　　　　　　　　　　　　　　　　　　　　　　　　　　　　　　　　　　　　　　　　　　　　　　　　　　　　　　　　　　　</t>
    <phoneticPr fontId="1"/>
  </si>
  <si>
    <t>①</t>
    <phoneticPr fontId="1"/>
  </si>
  <si>
    <t>プログラムを改善・進化させるための体制を定める規則名称</t>
    <phoneticPr fontId="1"/>
  </si>
  <si>
    <t>②</t>
    <phoneticPr fontId="1"/>
  </si>
  <si>
    <t>③</t>
    <phoneticPr fontId="1"/>
  </si>
  <si>
    <t>④</t>
    <phoneticPr fontId="1"/>
  </si>
  <si>
    <t>⑤</t>
    <phoneticPr fontId="1"/>
  </si>
  <si>
    <t>⑥</t>
    <phoneticPr fontId="1"/>
  </si>
  <si>
    <t>⑦</t>
    <phoneticPr fontId="1"/>
  </si>
  <si>
    <t>⑧</t>
    <phoneticPr fontId="1"/>
  </si>
  <si>
    <t>　本プログラムは、特定の学科・専攻によらず、全学生を対象としたプログラムであるが、プログラムの必修科目「AI・データサイエンス入門」については、定員を設けているのが現状である。今後、クラス数を増加することにより、希望者が増えても全員受講が可能となるよう整備していく。また、複数クラスを設けることにより、AI・データサイエンスに馴染みがない学生、より高度な学習を望む学生など、学生のリテラシーレベルに対応できるようなクラス編成を検討していく。
　また、令和3年度入学生より、Society5.0時代に活躍できる人材を育成するため、携帯型パソコンを必携としている。準備が間に合わない学生については、情報教育センターにて貸出用ノートパソコンを整備している。これにより本プログラムにおける演習を伴う科目の履修がスムーズに行えるようになっている。
　</t>
    <rPh sb="1" eb="2">
      <t>ホン</t>
    </rPh>
    <rPh sb="9" eb="11">
      <t>トクテイ</t>
    </rPh>
    <rPh sb="12" eb="14">
      <t>ガッカ</t>
    </rPh>
    <rPh sb="15" eb="17">
      <t>センコウ</t>
    </rPh>
    <rPh sb="47" eb="49">
      <t>ヒッシュウ</t>
    </rPh>
    <rPh sb="49" eb="51">
      <t>カモク</t>
    </rPh>
    <rPh sb="63" eb="65">
      <t>ニュウモン</t>
    </rPh>
    <rPh sb="72" eb="74">
      <t>テイイン</t>
    </rPh>
    <rPh sb="75" eb="76">
      <t>モウ</t>
    </rPh>
    <rPh sb="82" eb="84">
      <t>ゲンジョウ</t>
    </rPh>
    <rPh sb="88" eb="90">
      <t>コンゴ</t>
    </rPh>
    <rPh sb="106" eb="109">
      <t>キボウシャ</t>
    </rPh>
    <rPh sb="110" eb="111">
      <t>フ</t>
    </rPh>
    <rPh sb="114" eb="116">
      <t>ゼンイン</t>
    </rPh>
    <rPh sb="126" eb="128">
      <t>セイビ</t>
    </rPh>
    <rPh sb="136" eb="138">
      <t>フクスウ</t>
    </rPh>
    <rPh sb="142" eb="143">
      <t>モウ</t>
    </rPh>
    <rPh sb="210" eb="212">
      <t>ヘンセイ</t>
    </rPh>
    <rPh sb="213" eb="215">
      <t>ケントウ</t>
    </rPh>
    <rPh sb="225" eb="227">
      <t>レイワ</t>
    </rPh>
    <rPh sb="228" eb="230">
      <t>ネンド</t>
    </rPh>
    <rPh sb="230" eb="233">
      <t>ニュウガクセイ</t>
    </rPh>
    <rPh sb="280" eb="282">
      <t>ジュンビ</t>
    </rPh>
    <rPh sb="289" eb="291">
      <t>ガクセイ</t>
    </rPh>
    <rPh sb="297" eb="299">
      <t>ジョウホウ</t>
    </rPh>
    <rPh sb="299" eb="301">
      <t>キョウイク</t>
    </rPh>
    <rPh sb="318" eb="320">
      <t>セイビ</t>
    </rPh>
    <rPh sb="340" eb="342">
      <t>エンシュウ</t>
    </rPh>
    <rPh sb="343" eb="344">
      <t>トモナ</t>
    </rPh>
    <rPh sb="345" eb="347">
      <t>カモク</t>
    </rPh>
    <phoneticPr fontId="1"/>
  </si>
  <si>
    <t>・AI・データサイエンスの役割, ビッグデータ, IoT, 第4次産業革命, Society5.0, データ駆動型社会, EBPM
　「AI・データサイエンス入門」（2回目）
・社会で起きている変化（Society5.0,AI,第4次産業革命）「社会人基礎力入門」（4回目）</t>
    <rPh sb="79" eb="81">
      <t>ニュウモン</t>
    </rPh>
    <rPh sb="89" eb="91">
      <t>シャカイ</t>
    </rPh>
    <rPh sb="92" eb="93">
      <t>オ</t>
    </rPh>
    <rPh sb="97" eb="99">
      <t>ヘンカ</t>
    </rPh>
    <rPh sb="123" eb="126">
      <t>シャカイジン</t>
    </rPh>
    <rPh sb="135" eb="136">
      <t>メ</t>
    </rPh>
    <phoneticPr fontId="1"/>
  </si>
  <si>
    <t>・AI・データの活用領域（マーケティング, 金融・保険, 品質管理）「AI・データサイエンス入門」（3回目）
・AI活用領域の広がり「AIで変わる社会」（4回目～6回目，10回目～13回目）</t>
    <rPh sb="22" eb="24">
      <t>キンユウ</t>
    </rPh>
    <rPh sb="25" eb="27">
      <t>ホケン</t>
    </rPh>
    <rPh sb="29" eb="33">
      <t>ヒンシツカンリ</t>
    </rPh>
    <rPh sb="60" eb="62">
      <t>リョウイキ</t>
    </rPh>
    <rPh sb="63" eb="64">
      <t>ヒロ</t>
    </rPh>
    <rPh sb="78" eb="79">
      <t>カイ</t>
    </rPh>
    <rPh sb="79" eb="80">
      <t>メ</t>
    </rPh>
    <rPh sb="82" eb="83">
      <t>カイ</t>
    </rPh>
    <rPh sb="83" eb="84">
      <t>メ</t>
    </rPh>
    <rPh sb="88" eb="89">
      <t>メ</t>
    </rPh>
    <rPh sb="93" eb="94">
      <t>メ</t>
    </rPh>
    <phoneticPr fontId="1"/>
  </si>
  <si>
    <t>・AI・データの活用技術（画像処理, 音声処理, データ可視化）「AI・データサイエンス入門」（4回目）
・非構造化データ処理(言語処理、画像処理等）「AIで変わる社会」（第3回目）</t>
    <rPh sb="10" eb="12">
      <t>ギジュツ</t>
    </rPh>
    <rPh sb="13" eb="17">
      <t>ガゾウショリ</t>
    </rPh>
    <rPh sb="19" eb="23">
      <t>オンセイショリ</t>
    </rPh>
    <rPh sb="28" eb="31">
      <t>カシカ</t>
    </rPh>
    <rPh sb="54" eb="55">
      <t>ヒ</t>
    </rPh>
    <rPh sb="55" eb="58">
      <t>コウゾウカ</t>
    </rPh>
    <rPh sb="61" eb="63">
      <t>ショリ</t>
    </rPh>
    <rPh sb="64" eb="68">
      <t>ゲンゴショリ</t>
    </rPh>
    <rPh sb="69" eb="71">
      <t>ガゾウ</t>
    </rPh>
    <rPh sb="71" eb="73">
      <t>ショリ</t>
    </rPh>
    <rPh sb="73" eb="74">
      <t>トウ</t>
    </rPh>
    <rPh sb="79" eb="80">
      <t>カ</t>
    </rPh>
    <rPh sb="82" eb="84">
      <t>シャカイ</t>
    </rPh>
    <rPh sb="86" eb="87">
      <t>ダイ</t>
    </rPh>
    <rPh sb="88" eb="90">
      <t>カイメ</t>
    </rPh>
    <phoneticPr fontId="1"/>
  </si>
  <si>
    <t>・AI・データの活用事例（医療データ等）「AI・データサイエンス入門」（4回目）
・データ活用の現場（品質管理におけるデータ活用の手法）「AI・データサイエンス入門」（3回目）
・AI活用事例「AIで変わる社会」（7回目～9回目）</t>
    <rPh sb="8" eb="12">
      <t>カツヨウジレイ</t>
    </rPh>
    <rPh sb="13" eb="15">
      <t>イリョウ</t>
    </rPh>
    <rPh sb="18" eb="19">
      <t>トウ</t>
    </rPh>
    <rPh sb="45" eb="47">
      <t>カツヨウ</t>
    </rPh>
    <rPh sb="48" eb="50">
      <t>ゲンバ</t>
    </rPh>
    <rPh sb="51" eb="55">
      <t>ヒンシツカンリ</t>
    </rPh>
    <rPh sb="94" eb="96">
      <t>ジレイ</t>
    </rPh>
    <rPh sb="109" eb="110">
      <t>メ</t>
    </rPh>
    <rPh sb="113" eb="114">
      <t>メ</t>
    </rPh>
    <phoneticPr fontId="1"/>
  </si>
  <si>
    <t>・AI・データと情報倫理, ELSI, 個人情報保護, GDPR 「AI・データサイエンス入門」（5回目）
・情報の適正な利用, 情報の盗用, ねつ造・改ざん, データバイアス, 人間中心のAI社会原則
　「AI・データサイエンス入門」（6回目）
・情報倫理「情報処理」（15回目）</t>
    <rPh sb="125" eb="127">
      <t>ジョウホウ</t>
    </rPh>
    <rPh sb="127" eb="129">
      <t>リンリ</t>
    </rPh>
    <rPh sb="130" eb="134">
      <t>ジョウホウショリ</t>
    </rPh>
    <rPh sb="138" eb="139">
      <t>カイ</t>
    </rPh>
    <rPh sb="139" eb="140">
      <t>メ</t>
    </rPh>
    <phoneticPr fontId="1"/>
  </si>
  <si>
    <t>・量的変数, 質的変数, ヒストグラム 「AI・データサイエンス入門」（7回目）
・平均値, 中央値, 最頻値, 分散, 標準偏差 「AI・データサイエンス入門」（8回目）
・相関係数 「AI・データサイエンス入門」（9回目）
・クロス集計表 「AI・データサイエンス入門」（11回目）
・データ分析で注意すべき点（相関と因果, 疑似相関, 標本調査）「AI・データサイエンス入門」（14回目）
・データの分布と代表値（平均値等）「情報処理」(6回目）</t>
    <rPh sb="52" eb="55">
      <t>サイヒンチ</t>
    </rPh>
    <rPh sb="118" eb="121">
      <t>シュウケイヒョウ</t>
    </rPh>
    <rPh sb="203" eb="205">
      <t>ブンプ</t>
    </rPh>
    <phoneticPr fontId="1"/>
  </si>
  <si>
    <t>・散布図「AI・データサイエンス入門」（9回目）
・回帰直線「AI・データサイエンス入門」（10回目）
・データ表現（棒グラフ等）「情報処理」（7回目）</t>
    <rPh sb="26" eb="30">
      <t>カイキチョクセン</t>
    </rPh>
    <rPh sb="56" eb="58">
      <t>ヒョウゲン</t>
    </rPh>
    <rPh sb="59" eb="60">
      <t>ボウ</t>
    </rPh>
    <rPh sb="63" eb="64">
      <t>トウ</t>
    </rPh>
    <rPh sb="66" eb="70">
      <t>ジョウホウショリ</t>
    </rPh>
    <rPh sb="73" eb="75">
      <t>カイメ</t>
    </rPh>
    <phoneticPr fontId="1"/>
  </si>
  <si>
    <t>・コンピュータを用いた分析（CSV形式, データの集計）「AI・データサイエンス入門」（12回目）
・スプレッドシートを用いた実データの分析（ヒストグラム, 回帰分析）「AI・データサイエンス入門」（13回目）
・データの並び替え「情報処理」（8回目）
・データ分析（スプレッドシート）「情報処理」（9回目）</t>
    <rPh sb="8" eb="9">
      <t>モチ</t>
    </rPh>
    <rPh sb="11" eb="13">
      <t>ブンセキ</t>
    </rPh>
    <rPh sb="25" eb="27">
      <t>シュウケイ</t>
    </rPh>
    <rPh sb="60" eb="61">
      <t>モチ</t>
    </rPh>
    <rPh sb="63" eb="64">
      <t>ジツ</t>
    </rPh>
    <rPh sb="68" eb="70">
      <t>ブンセキ</t>
    </rPh>
    <rPh sb="79" eb="81">
      <t>カイキ</t>
    </rPh>
    <rPh sb="81" eb="83">
      <t>ブンセキ</t>
    </rPh>
    <rPh sb="111" eb="112">
      <t>ナラ</t>
    </rPh>
    <rPh sb="113" eb="114">
      <t>カ</t>
    </rPh>
    <rPh sb="131" eb="133">
      <t>ブンセキ</t>
    </rPh>
    <phoneticPr fontId="1"/>
  </si>
  <si>
    <t>　本教育プログラムは、 Society5.0社会において、文理を問わず必修とされる数理・データサイエンス・AIの基礎的知識及び応用スキルを身につけ、新しい価値創造や課題解決・社会貢献ができる人材の育成を目的としたものである。産業界においても、これからの地域社会の発展においては、このような資質・能力を備えた人材は欠かせないものと考えており、本プログラムの有用性について高く評価するとの意見をいただいている。
また、学生の授業評価アンケートでは、 9割以上の学生が「AIにもとめられる能力」について理解できたと回答しており、学生自身もこれからの社会でAIの重要性を認識していると考えられる。なお、産業界からは本プログラムの履修率を上げ、出来るだけ多くの学生がこれらの能力を身に付け、社会で活躍できる環境整備が必要ではないかとの意見もいただいており、本学では学生に対する広報活動を強化するとともに、次期の教育改革プログラムの改定時期に履修率の向上に向けて抜本的な改善を図ることとする。さらに、プログラムの内容・方法の改善については、本学の教育改革推進委員会の外部産業界等の委員の意見を聴きながら、社会・時代に合った改善を行うことを計画している。</t>
    <phoneticPr fontId="1"/>
  </si>
  <si>
    <t>　上記の目標を実現するために、まずは本プログラムについて、さらなる周知を図る。オリエンテーションや、1年前期開講の必修科目「社会人基礎力入門」の授業を通して本プログラムを案内するとともに、ポータルシステムや全学共通教育センター教員が各学科・専攻を通じて定期的に学生に広報していく。特に、就業年限が短い短期大学では、上記の授業以外に1年前期の「初年次ゼミ」（必修）においても、本プログラムの内容等について十分な説明を行うとともに、卒業後の実社会において、AIとの関わり方やその重要性・有用性等について具体の事例などを示しながら理解を求め、プログラムの履修を促す。また、本プログラム修了者の中から成績優秀者を表彰する制度を令和3年度に整備したが、大学HPに受賞者のコメントを載せ、未履修者への関心を喚起していく。</t>
    <rPh sb="1" eb="3">
      <t>ジョウキ</t>
    </rPh>
    <rPh sb="7" eb="9">
      <t>ジツゲン</t>
    </rPh>
    <rPh sb="18" eb="19">
      <t>ホン</t>
    </rPh>
    <rPh sb="54" eb="56">
      <t>カイコウ</t>
    </rPh>
    <rPh sb="62" eb="65">
      <t>シャカイジン</t>
    </rPh>
    <rPh sb="65" eb="68">
      <t>キソリョク</t>
    </rPh>
    <rPh sb="68" eb="70">
      <t>ニュウモン</t>
    </rPh>
    <rPh sb="72" eb="74">
      <t>ジュギョウ</t>
    </rPh>
    <rPh sb="75" eb="76">
      <t>トオ</t>
    </rPh>
    <rPh sb="78" eb="79">
      <t>ホン</t>
    </rPh>
    <rPh sb="103" eb="105">
      <t>ゼンガク</t>
    </rPh>
    <rPh sb="105" eb="107">
      <t>キョウツウ</t>
    </rPh>
    <rPh sb="107" eb="109">
      <t>キョウイク</t>
    </rPh>
    <rPh sb="113" eb="115">
      <t>キョウイン</t>
    </rPh>
    <rPh sb="116" eb="119">
      <t>カクガッカ</t>
    </rPh>
    <rPh sb="120" eb="122">
      <t>センコウ</t>
    </rPh>
    <rPh sb="123" eb="124">
      <t>ツウ</t>
    </rPh>
    <rPh sb="126" eb="129">
      <t>テイキテキ</t>
    </rPh>
    <rPh sb="130" eb="132">
      <t>ガクセイ</t>
    </rPh>
    <rPh sb="133" eb="135">
      <t>コウホウ</t>
    </rPh>
    <rPh sb="140" eb="141">
      <t>トク</t>
    </rPh>
    <rPh sb="143" eb="145">
      <t>シュウギョウ</t>
    </rPh>
    <rPh sb="145" eb="147">
      <t>ネンゲン</t>
    </rPh>
    <rPh sb="148" eb="149">
      <t>ミジカ</t>
    </rPh>
    <rPh sb="150" eb="154">
      <t>タンキダイガク</t>
    </rPh>
    <rPh sb="157" eb="159">
      <t>ジョウキ</t>
    </rPh>
    <rPh sb="160" eb="162">
      <t>ジュギョウ</t>
    </rPh>
    <rPh sb="162" eb="164">
      <t>イガイ</t>
    </rPh>
    <rPh sb="166" eb="167">
      <t>ネン</t>
    </rPh>
    <rPh sb="167" eb="169">
      <t>ゼンキ</t>
    </rPh>
    <rPh sb="171" eb="174">
      <t>ショネンジ</t>
    </rPh>
    <rPh sb="178" eb="180">
      <t>ヒッシュウ</t>
    </rPh>
    <rPh sb="196" eb="197">
      <t>トウ</t>
    </rPh>
    <rPh sb="207" eb="208">
      <t>オコナ</t>
    </rPh>
    <rPh sb="257" eb="258">
      <t>シメ</t>
    </rPh>
    <rPh sb="262" eb="264">
      <t>リカイ</t>
    </rPh>
    <rPh sb="265" eb="266">
      <t>モト</t>
    </rPh>
    <phoneticPr fontId="1"/>
  </si>
  <si>
    <t>様式１</t>
    <rPh sb="0" eb="2">
      <t>ヨウシキ</t>
    </rPh>
    <phoneticPr fontId="1"/>
  </si>
  <si>
    <t>様式３</t>
    <rPh sb="0" eb="2">
      <t>ヨウシキ</t>
    </rPh>
    <phoneticPr fontId="1"/>
  </si>
  <si>
    <t>様式４</t>
    <rPh sb="0" eb="2">
      <t>ヨウシキ</t>
    </rPh>
    <phoneticPr fontId="1"/>
  </si>
  <si>
    <t>　全学共通教育センターにおいて、プログラム当該科目の履修・単位取得状況を把握・分析することができ、授業担当教員もLMS（マナバコース）に記録された学修状況から、受講者ごとの講義への出席状況・取組状況を把握することができる。プログラムの履修・修得状況については、 数理・データサイエンス・AI教育プログラム専門委員会で定期的に確認し、点検・評価を行っている。</t>
    <rPh sb="1" eb="3">
      <t>ゼンガク</t>
    </rPh>
    <rPh sb="3" eb="5">
      <t>キョウツウ</t>
    </rPh>
    <rPh sb="5" eb="7">
      <t>キョウイク</t>
    </rPh>
    <rPh sb="26" eb="28">
      <t>リシュウ</t>
    </rPh>
    <rPh sb="36" eb="38">
      <t>ハアク</t>
    </rPh>
    <rPh sb="49" eb="51">
      <t>ジュギョウ</t>
    </rPh>
    <rPh sb="90" eb="92">
      <t>シュッセキ</t>
    </rPh>
    <rPh sb="92" eb="94">
      <t>ジョウキョウ</t>
    </rPh>
    <rPh sb="117" eb="119">
      <t>リシュウ</t>
    </rPh>
    <rPh sb="120" eb="122">
      <t>シュウトク</t>
    </rPh>
    <rPh sb="122" eb="124">
      <t>ジョウキョウ</t>
    </rPh>
    <rPh sb="166" eb="168">
      <t>テンケン</t>
    </rPh>
    <rPh sb="169" eb="171">
      <t>ヒョウカ</t>
    </rPh>
    <rPh sb="172" eb="173">
      <t>オコナ</t>
    </rPh>
    <phoneticPr fontId="1"/>
  </si>
  <si>
    <t>　本プログラムがスタートした令和3年度は、履修率向上を目的に、本プログラムのチラシや「データサイエンスQ＆A」 を作成し、全学生に配布し案内した。また、各学部のオリエンテーションにおいて、本プログラムの内容について説明し、履修率向上に向けた取り組みを実施した。さらに、受講生の声を大学HPに掲載し、学生の履修を推進している。</t>
    <rPh sb="1" eb="2">
      <t>ホン</t>
    </rPh>
    <rPh sb="14" eb="16">
      <t>レイワ</t>
    </rPh>
    <rPh sb="17" eb="19">
      <t>ネンド</t>
    </rPh>
    <rPh sb="27" eb="29">
      <t>モクテキ</t>
    </rPh>
    <rPh sb="31" eb="32">
      <t>ホン</t>
    </rPh>
    <rPh sb="57" eb="59">
      <t>サクセイ</t>
    </rPh>
    <rPh sb="101" eb="103">
      <t>ナイヨウ</t>
    </rPh>
    <rPh sb="113" eb="114">
      <t>リツ</t>
    </rPh>
    <rPh sb="114" eb="116">
      <t>コウジョウ</t>
    </rPh>
    <rPh sb="117" eb="118">
      <t>ム</t>
    </rPh>
    <rPh sb="120" eb="121">
      <t>ト</t>
    </rPh>
    <rPh sb="122" eb="123">
      <t>ク</t>
    </rPh>
    <rPh sb="125" eb="127">
      <t>ジッシ</t>
    </rPh>
    <rPh sb="134" eb="137">
      <t>ジュコウセイ</t>
    </rPh>
    <rPh sb="138" eb="139">
      <t>コエ</t>
    </rPh>
    <rPh sb="140" eb="142">
      <t>ダイガク</t>
    </rPh>
    <rPh sb="145" eb="147">
      <t>ケイサイ</t>
    </rPh>
    <phoneticPr fontId="1"/>
  </si>
  <si>
    <t>　LMS（マナバコース）に教材を提供し、初学者であっても反復学習が可能となる仕組みを構築している。また、学生による授業評価アンケートの結果に対しては、授業担当者がフィードバックを行っている。特に、学生による授業評価の「満足度」「理解度」および自由記述から、学生の理解度等を把握して検討し、「分かりやすさ」の観点から授業改善につなげている。</t>
    <rPh sb="13" eb="15">
      <t>キョウザイ</t>
    </rPh>
    <rPh sb="16" eb="18">
      <t>テイキョウ</t>
    </rPh>
    <rPh sb="38" eb="40">
      <t>シク</t>
    </rPh>
    <rPh sb="42" eb="44">
      <t>コウチク</t>
    </rPh>
    <rPh sb="67" eb="69">
      <t>ケッカ</t>
    </rPh>
    <rPh sb="70" eb="71">
      <t>タイ</t>
    </rPh>
    <rPh sb="75" eb="77">
      <t>ジュギョウ</t>
    </rPh>
    <rPh sb="77" eb="80">
      <t>タントウシャ</t>
    </rPh>
    <rPh sb="89" eb="90">
      <t>オコナ</t>
    </rPh>
    <rPh sb="95" eb="96">
      <t>トク</t>
    </rPh>
    <phoneticPr fontId="1"/>
  </si>
  <si>
    <t>　授業担当者が作成した教材は、LMS（マナバコース）で共有しており、閲覧が可能な環境を構築している。また、受講生の履修管理、課題提出、小テスト、授業アンケートなどをLMS（マナバコース）上で一括して管理し、教員が受講生の理解度・習熟度を的確に把握することにより、それぞれの受講生に応じた適切な指導が可能となっている。</t>
    <rPh sb="1" eb="3">
      <t>ジュギョウ</t>
    </rPh>
    <rPh sb="3" eb="6">
      <t>タントウシャ</t>
    </rPh>
    <rPh sb="7" eb="9">
      <t>サクセイ</t>
    </rPh>
    <phoneticPr fontId="1"/>
  </si>
  <si>
    <t>http://www2.shikoku-u.ac.jp/zengaku-kk-center/mdash/</t>
    <phoneticPr fontId="1"/>
  </si>
  <si>
    <t>　LMS（マナバコース）のアンケート機能等を利用し、科目担当者が学習内容に対する学生の理解度を確認している。令和3年度に実施した「AI・データサイエンス入門」では、8割以上の学生が「意欲的に取り組めた」「今後、データサイエンスやAIについてさらに学びたいと思う」と回答している。　「社会人基礎力入門」については、学修目標の１つである「AI時代に求められる能力について理解することができる」の項目において、8割以上の学生が授業前より力がついたと回答し、リテラシーが向上したことがうかがえる。これらの結果については、大学HPで公表し、評価・改善に活用している。</t>
    <rPh sb="18" eb="20">
      <t>キノウ</t>
    </rPh>
    <rPh sb="20" eb="21">
      <t>トウ</t>
    </rPh>
    <rPh sb="54" eb="56">
      <t>レイワ</t>
    </rPh>
    <rPh sb="57" eb="59">
      <t>ネンド</t>
    </rPh>
    <rPh sb="60" eb="62">
      <t>ジッシ</t>
    </rPh>
    <rPh sb="76" eb="78">
      <t>ニュウモン</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</si>
  <si>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</si>
  <si>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学修成果</t>
    <rPh sb="0" eb="2">
      <t>ガクシュウ</t>
    </rPh>
    <rPh sb="2" eb="4">
      <t>セイカ</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</si>
  <si>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</si>
  <si>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</si>
  <si>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</si>
  <si>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</si>
  <si>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</si>
  <si>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</si>
  <si>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短期大学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</si>
</sst>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3"/>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
      <u/>
      <sz val="11"/>
      <name val="ＭＳ Ｐゴシック"/>
      <family val="3"/>
      <charset val="128"/>
      <scheme val="minor"/>
    </font>
    <font>
      <sz val="10"/>
      <name val="ＭＳ Ｐゴシック"/>
      <family val="3"/>
      <charset val="128"/>
      <scheme val="minor"/>
    </font>
    <font>
      <sz val="7"/>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322">
    <xf numFmtId="0" fontId="0" fillId="0" borderId="0" xfId="0">
      <alignment vertical="center"/>
    </xf>
    <xf numFmtId="0" fontId="4" fillId="0" borderId="0" xfId="0" applyFont="1" applyBorder="1" applyAlignment="1">
      <alignment horizontal="center" vertical="center" shrinkToFit="1"/>
    </xf>
    <xf numFmtId="0" fontId="5" fillId="0" borderId="0" xfId="0" applyFont="1">
      <alignment vertical="center"/>
    </xf>
    <xf numFmtId="0" fontId="4" fillId="0" borderId="0" xfId="0" applyFont="1" applyAlignment="1">
      <alignment horizontal="left" vertical="center"/>
    </xf>
    <xf numFmtId="0" fontId="4" fillId="0" borderId="2" xfId="0" applyFont="1" applyBorder="1">
      <alignment vertical="center"/>
    </xf>
    <xf numFmtId="0" fontId="4" fillId="0" borderId="4" xfId="0" applyFont="1" applyBorder="1">
      <alignment vertical="center"/>
    </xf>
    <xf numFmtId="0" fontId="4" fillId="0" borderId="1" xfId="0" applyFont="1" applyBorder="1" applyAlignment="1">
      <alignment vertical="center" shrinkToFit="1"/>
    </xf>
    <xf numFmtId="0" fontId="4" fillId="0" borderId="0" xfId="0" applyFont="1" applyFill="1">
      <alignment vertical="center"/>
    </xf>
    <xf numFmtId="49" fontId="8" fillId="0" borderId="1" xfId="0" applyNumberFormat="1" applyFont="1" applyBorder="1" applyAlignment="1">
      <alignment horizontal="center" vertical="center"/>
    </xf>
    <xf numFmtId="0" fontId="4" fillId="0" borderId="14" xfId="0" applyFont="1" applyBorder="1" applyAlignment="1">
      <alignment vertical="center" shrinkToFit="1"/>
    </xf>
    <xf numFmtId="0" fontId="4" fillId="0" borderId="23" xfId="0" applyFont="1" applyBorder="1" applyAlignment="1">
      <alignment vertical="center" shrinkToFit="1"/>
    </xf>
    <xf numFmtId="0" fontId="4" fillId="0" borderId="43" xfId="0" applyFont="1" applyBorder="1" applyAlignment="1">
      <alignment vertical="center" shrinkToFit="1"/>
    </xf>
    <xf numFmtId="0" fontId="4" fillId="0" borderId="0" xfId="0" applyFont="1" applyAlignment="1">
      <alignment vertical="center" shrinkToFit="1"/>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38" xfId="0" applyFont="1" applyBorder="1" applyAlignment="1">
      <alignment vertical="center"/>
    </xf>
    <xf numFmtId="0" fontId="4" fillId="0" borderId="18" xfId="0" applyFont="1" applyBorder="1" applyAlignment="1">
      <alignment vertical="center"/>
    </xf>
    <xf numFmtId="0" fontId="4" fillId="0" borderId="42" xfId="0" applyFont="1" applyBorder="1" applyAlignment="1">
      <alignment vertical="center"/>
    </xf>
    <xf numFmtId="0" fontId="10" fillId="0" borderId="4" xfId="0" applyFont="1" applyBorder="1" applyAlignment="1">
      <alignment horizontal="center" vertical="center" shrinkToFit="1"/>
    </xf>
    <xf numFmtId="0" fontId="4" fillId="0" borderId="14"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13" xfId="0" applyFont="1" applyBorder="1" applyAlignment="1">
      <alignment horizontal="center" vertical="center" shrinkToFit="1"/>
    </xf>
    <xf numFmtId="0" fontId="9" fillId="0" borderId="0" xfId="0" applyFont="1">
      <alignment vertical="center"/>
    </xf>
    <xf numFmtId="0" fontId="13" fillId="0" borderId="11" xfId="0" applyFont="1" applyBorder="1" applyAlignment="1">
      <alignment horizontal="center" vertical="center"/>
    </xf>
    <xf numFmtId="0" fontId="13" fillId="0" borderId="29" xfId="0" applyFont="1" applyBorder="1" applyAlignment="1">
      <alignment horizontal="center" vertical="center" wrapText="1"/>
    </xf>
    <xf numFmtId="0" fontId="13" fillId="0" borderId="30" xfId="0" applyFont="1" applyBorder="1" applyAlignment="1">
      <alignment horizontal="center" vertical="center"/>
    </xf>
    <xf numFmtId="0" fontId="13" fillId="0" borderId="12" xfId="0" applyFont="1" applyBorder="1" applyAlignment="1">
      <alignment horizontal="center" vertical="center" wrapText="1"/>
    </xf>
    <xf numFmtId="176" fontId="4" fillId="0" borderId="5" xfId="0" applyNumberFormat="1" applyFont="1" applyBorder="1" applyAlignment="1">
      <alignment vertical="center" shrinkToFit="1"/>
    </xf>
    <xf numFmtId="176" fontId="4" fillId="0" borderId="31" xfId="0" applyNumberFormat="1" applyFont="1" applyBorder="1" applyAlignment="1">
      <alignment vertical="center" shrinkToFit="1"/>
    </xf>
    <xf numFmtId="176" fontId="4" fillId="0" borderId="32"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176" fontId="4" fillId="0" borderId="19"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8" xfId="0" applyNumberFormat="1" applyFont="1" applyBorder="1" applyAlignment="1">
      <alignment vertical="center" shrinkToFit="1"/>
    </xf>
    <xf numFmtId="176" fontId="4" fillId="0" borderId="23" xfId="0" applyNumberFormat="1" applyFont="1" applyBorder="1" applyAlignment="1">
      <alignment vertical="center" shrinkToFit="1"/>
    </xf>
    <xf numFmtId="9" fontId="4" fillId="0" borderId="23" xfId="0" applyNumberFormat="1" applyFont="1" applyBorder="1" applyAlignment="1">
      <alignment vertical="center" shrinkToFit="1"/>
    </xf>
    <xf numFmtId="0" fontId="4" fillId="0" borderId="24" xfId="0" applyFont="1" applyBorder="1" applyAlignment="1">
      <alignment horizontal="left" vertical="center" shrinkToFit="1"/>
    </xf>
    <xf numFmtId="176" fontId="4" fillId="0" borderId="24" xfId="0" applyNumberFormat="1" applyFont="1" applyBorder="1" applyAlignment="1">
      <alignment vertical="center" shrinkToFit="1"/>
    </xf>
    <xf numFmtId="0" fontId="4" fillId="0" borderId="28" xfId="0" applyFont="1" applyBorder="1" applyAlignment="1">
      <alignment horizontal="center" vertical="center" shrinkToFit="1"/>
    </xf>
    <xf numFmtId="0" fontId="4" fillId="0" borderId="26" xfId="0" applyFont="1" applyBorder="1" applyAlignment="1">
      <alignment vertical="center" shrinkToFit="1"/>
    </xf>
    <xf numFmtId="0" fontId="4" fillId="0" borderId="25" xfId="0" applyFont="1" applyBorder="1" applyAlignment="1">
      <alignment vertical="center" shrinkToFit="1"/>
    </xf>
    <xf numFmtId="176" fontId="4" fillId="0" borderId="25"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28" xfId="0" applyNumberFormat="1" applyFont="1" applyBorder="1" applyAlignment="1">
      <alignment vertical="center" shrinkToFit="1"/>
    </xf>
    <xf numFmtId="9" fontId="4" fillId="0" borderId="27" xfId="0" applyNumberFormat="1" applyFont="1" applyBorder="1" applyAlignment="1">
      <alignment vertical="center" shrinkToFit="1"/>
    </xf>
    <xf numFmtId="0" fontId="4" fillId="0" borderId="0" xfId="0" applyFont="1">
      <alignment vertical="center"/>
    </xf>
    <xf numFmtId="0" fontId="4" fillId="0" borderId="0" xfId="0" applyFont="1" applyAlignment="1">
      <alignment vertical="center"/>
    </xf>
    <xf numFmtId="0" fontId="4" fillId="0" borderId="5" xfId="0" applyFont="1" applyBorder="1">
      <alignment vertical="center"/>
    </xf>
    <xf numFmtId="0" fontId="4" fillId="0" borderId="0" xfId="0" applyFont="1" applyAlignment="1">
      <alignment horizontal="center" vertical="center"/>
    </xf>
    <xf numFmtId="0" fontId="4" fillId="0" borderId="0" xfId="0" applyFont="1" applyAlignment="1">
      <alignment vertical="top" wrapText="1"/>
    </xf>
    <xf numFmtId="0" fontId="4" fillId="0" borderId="23" xfId="0" applyFont="1" applyBorder="1" applyAlignment="1">
      <alignment horizontal="left" vertical="center" shrinkToFit="1"/>
    </xf>
    <xf numFmtId="0" fontId="8" fillId="0" borderId="0" xfId="0" applyFont="1">
      <alignment vertical="center"/>
    </xf>
    <xf numFmtId="0" fontId="8" fillId="0" borderId="0" xfId="0" applyFont="1" applyAlignment="1">
      <alignment vertical="top" wrapText="1"/>
    </xf>
    <xf numFmtId="0" fontId="8" fillId="0" borderId="10" xfId="0" applyFont="1" applyBorder="1" applyAlignment="1">
      <alignment vertical="top" wrapText="1"/>
    </xf>
    <xf numFmtId="0" fontId="8" fillId="0" borderId="5" xfId="0" applyFont="1" applyBorder="1" applyAlignment="1">
      <alignment vertical="top" wrapText="1"/>
    </xf>
    <xf numFmtId="0" fontId="4" fillId="0" borderId="16" xfId="0" applyFont="1" applyBorder="1">
      <alignment vertical="center"/>
    </xf>
    <xf numFmtId="0" fontId="8" fillId="0" borderId="20" xfId="0" applyFont="1" applyBorder="1" applyAlignment="1">
      <alignment vertical="top" wrapText="1"/>
    </xf>
    <xf numFmtId="0" fontId="8" fillId="0" borderId="18" xfId="0" applyFont="1" applyBorder="1" applyAlignment="1">
      <alignment vertical="top" wrapText="1"/>
    </xf>
    <xf numFmtId="0" fontId="8" fillId="0" borderId="20" xfId="0" applyFont="1" applyBorder="1" applyAlignment="1">
      <alignment vertical="top" shrinkToFit="1"/>
    </xf>
    <xf numFmtId="0" fontId="8" fillId="0" borderId="18" xfId="0" applyFont="1" applyBorder="1" applyAlignment="1">
      <alignment vertical="top" shrinkToFit="1"/>
    </xf>
    <xf numFmtId="0" fontId="8" fillId="0" borderId="0" xfId="0" applyFont="1" applyAlignment="1">
      <alignment vertical="top" shrinkToFit="1"/>
    </xf>
    <xf numFmtId="0" fontId="8" fillId="0" borderId="0" xfId="0" applyFont="1" applyAlignment="1">
      <alignment vertical="center" wrapText="1"/>
    </xf>
    <xf numFmtId="0" fontId="4" fillId="0" borderId="0" xfId="0" applyFont="1" applyAlignment="1">
      <alignment horizontal="right" vertical="center"/>
    </xf>
    <xf numFmtId="0" fontId="4" fillId="0" borderId="0" xfId="0" applyFont="1" applyAlignment="1">
      <alignment vertical="center" wrapText="1"/>
    </xf>
    <xf numFmtId="0" fontId="7" fillId="0" borderId="0" xfId="0" applyFont="1" applyAlignment="1">
      <alignment horizontal="center" vertical="center"/>
    </xf>
    <xf numFmtId="0" fontId="4" fillId="0" borderId="23" xfId="0" applyFont="1" applyFill="1" applyBorder="1" applyAlignment="1">
      <alignment horizontal="center" vertical="center" shrinkToFit="1"/>
    </xf>
    <xf numFmtId="0" fontId="4" fillId="0" borderId="23" xfId="0" applyFont="1" applyFill="1" applyBorder="1" applyAlignment="1">
      <alignment vertical="center" shrinkToFit="1"/>
    </xf>
    <xf numFmtId="0" fontId="4" fillId="0" borderId="13" xfId="0" applyFont="1" applyFill="1" applyBorder="1" applyAlignment="1">
      <alignment horizontal="center" vertical="center" shrinkToFit="1"/>
    </xf>
    <xf numFmtId="0" fontId="4" fillId="0" borderId="43" xfId="0" applyFont="1" applyFill="1" applyBorder="1" applyAlignment="1">
      <alignment vertical="center" shrinkToFit="1"/>
    </xf>
    <xf numFmtId="0" fontId="4" fillId="0" borderId="0" xfId="0" applyFont="1" applyFill="1" applyAlignment="1">
      <alignment horizontal="center" vertical="center"/>
    </xf>
    <xf numFmtId="0" fontId="4" fillId="0" borderId="0" xfId="0" applyFont="1" applyFill="1" applyAlignment="1">
      <alignment vertical="center" shrinkToFit="1"/>
    </xf>
    <xf numFmtId="0" fontId="4" fillId="0" borderId="1" xfId="0" applyFont="1" applyFill="1" applyBorder="1" applyAlignment="1">
      <alignment vertical="center" shrinkToFit="1"/>
    </xf>
    <xf numFmtId="0" fontId="10" fillId="0" borderId="4" xfId="0" applyFont="1" applyFill="1" applyBorder="1" applyAlignment="1">
      <alignment horizontal="center" vertical="center" shrinkToFit="1"/>
    </xf>
    <xf numFmtId="49" fontId="8" fillId="0" borderId="1" xfId="0" applyNumberFormat="1" applyFont="1" applyFill="1" applyBorder="1" applyAlignment="1">
      <alignment horizontal="center" vertical="center"/>
    </xf>
    <xf numFmtId="0" fontId="4" fillId="0" borderId="14" xfId="0" applyFont="1" applyFill="1" applyBorder="1" applyAlignment="1">
      <alignment horizontal="center" vertical="center" shrinkToFit="1"/>
    </xf>
    <xf numFmtId="0" fontId="4" fillId="0" borderId="14" xfId="0" applyFont="1" applyFill="1" applyBorder="1" applyAlignment="1">
      <alignment vertical="center" shrinkToFit="1"/>
    </xf>
    <xf numFmtId="0" fontId="5" fillId="0" borderId="0" xfId="0" applyFont="1" applyFill="1">
      <alignment vertical="center"/>
    </xf>
    <xf numFmtId="0" fontId="4" fillId="0" borderId="0" xfId="0" applyFont="1" applyFill="1" applyAlignment="1">
      <alignment vertical="top" wrapText="1"/>
    </xf>
    <xf numFmtId="0" fontId="4" fillId="0" borderId="0" xfId="0" applyFont="1" applyBorder="1" applyAlignment="1">
      <alignment vertical="center" shrinkToFit="1"/>
    </xf>
    <xf numFmtId="0" fontId="4" fillId="0" borderId="20" xfId="0"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vertical="center" shrinkToFit="1"/>
    </xf>
    <xf numFmtId="0" fontId="4" fillId="0" borderId="5" xfId="0" applyFont="1" applyBorder="1" applyAlignment="1">
      <alignment vertical="center" shrinkToFit="1"/>
    </xf>
    <xf numFmtId="0" fontId="4" fillId="0" borderId="10" xfId="0" applyFont="1" applyBorder="1" applyAlignment="1">
      <alignment vertical="center" shrinkToFit="1"/>
    </xf>
    <xf numFmtId="0" fontId="4" fillId="0" borderId="0" xfId="0" applyFont="1" applyBorder="1" applyAlignment="1">
      <alignment vertical="center" shrinkToFit="1"/>
    </xf>
    <xf numFmtId="0" fontId="4" fillId="0" borderId="0" xfId="0" applyFont="1" applyAlignment="1">
      <alignment horizontal="right" vertical="center"/>
    </xf>
    <xf numFmtId="0" fontId="4" fillId="0" borderId="0" xfId="0" applyFont="1" applyAlignment="1">
      <alignment vertical="center" wrapText="1"/>
    </xf>
    <xf numFmtId="49" fontId="8" fillId="0" borderId="51" xfId="0" applyNumberFormat="1" applyFont="1" applyFill="1" applyBorder="1" applyAlignment="1">
      <alignment horizontal="center" vertical="center"/>
    </xf>
    <xf numFmtId="49" fontId="8" fillId="0" borderId="52" xfId="0" applyNumberFormat="1" applyFont="1" applyFill="1" applyBorder="1" applyAlignment="1">
      <alignment horizontal="center" vertical="center"/>
    </xf>
    <xf numFmtId="49" fontId="8" fillId="0" borderId="47" xfId="0" applyNumberFormat="1" applyFont="1" applyFill="1" applyBorder="1" applyAlignment="1">
      <alignment horizontal="center" vertical="center"/>
    </xf>
    <xf numFmtId="49" fontId="8" fillId="0" borderId="29" xfId="0" applyNumberFormat="1" applyFont="1" applyFill="1" applyBorder="1" applyAlignment="1">
      <alignment horizontal="center" vertical="center"/>
    </xf>
    <xf numFmtId="49" fontId="8" fillId="0" borderId="50" xfId="0" applyNumberFormat="1" applyFont="1" applyFill="1" applyBorder="1" applyAlignment="1">
      <alignment horizontal="center" vertical="center"/>
    </xf>
    <xf numFmtId="49" fontId="8" fillId="0" borderId="33" xfId="0" applyNumberFormat="1" applyFont="1" applyFill="1" applyBorder="1" applyAlignment="1">
      <alignment horizontal="center"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Border="1" applyAlignment="1">
      <alignment vertical="center" shrinkToFit="1"/>
    </xf>
    <xf numFmtId="0" fontId="4" fillId="0" borderId="0" xfId="0" applyFont="1" applyFill="1" applyBorder="1" applyAlignment="1">
      <alignment vertical="center"/>
    </xf>
    <xf numFmtId="0" fontId="4" fillId="0" borderId="5" xfId="0" applyFont="1" applyFill="1" applyBorder="1">
      <alignment vertical="center"/>
    </xf>
    <xf numFmtId="0" fontId="4" fillId="0" borderId="0" xfId="0" applyFont="1" applyFill="1" applyBorder="1">
      <alignment vertical="center"/>
    </xf>
    <xf numFmtId="176" fontId="4" fillId="0" borderId="0" xfId="0" applyNumberFormat="1" applyFont="1" applyFill="1" applyBorder="1" applyAlignment="1">
      <alignment vertical="center" wrapText="1"/>
    </xf>
    <xf numFmtId="176" fontId="4" fillId="0" borderId="5" xfId="0" applyNumberFormat="1" applyFont="1" applyFill="1" applyBorder="1" applyAlignment="1">
      <alignment vertical="center"/>
    </xf>
    <xf numFmtId="176" fontId="4" fillId="0" borderId="0" xfId="0" applyNumberFormat="1" applyFont="1" applyFill="1" applyBorder="1">
      <alignment vertical="center"/>
    </xf>
    <xf numFmtId="0" fontId="4" fillId="0" borderId="0" xfId="0" applyFont="1" applyFill="1" applyBorder="1" applyAlignment="1">
      <alignment horizontal="center" vertical="center"/>
    </xf>
    <xf numFmtId="176" fontId="4" fillId="0" borderId="3" xfId="0" applyNumberFormat="1" applyFont="1" applyFill="1" applyBorder="1" applyAlignment="1">
      <alignment vertical="center" shrinkToFit="1"/>
    </xf>
    <xf numFmtId="176" fontId="4" fillId="0" borderId="0" xfId="0" applyNumberFormat="1" applyFont="1" applyFill="1" applyAlignment="1">
      <alignment horizontal="left" vertical="center" wrapText="1"/>
    </xf>
    <xf numFmtId="0" fontId="4" fillId="0" borderId="6" xfId="0" applyFont="1" applyFill="1" applyBorder="1" applyAlignment="1">
      <alignment vertical="center" shrinkToFit="1"/>
    </xf>
    <xf numFmtId="0" fontId="4" fillId="0" borderId="0" xfId="0" applyFont="1" applyFill="1" applyBorder="1" applyAlignment="1">
      <alignment horizontal="center" vertical="center" shrinkToFit="1"/>
    </xf>
    <xf numFmtId="0" fontId="4" fillId="0" borderId="10" xfId="0" applyFont="1" applyFill="1" applyBorder="1" applyAlignment="1">
      <alignment vertical="center" shrinkToFit="1"/>
    </xf>
    <xf numFmtId="0" fontId="4" fillId="0" borderId="2" xfId="0" applyFont="1" applyFill="1" applyBorder="1">
      <alignment vertical="center"/>
    </xf>
    <xf numFmtId="0" fontId="4" fillId="0" borderId="4" xfId="0" applyFont="1" applyFill="1" applyBorder="1">
      <alignment vertical="center"/>
    </xf>
    <xf numFmtId="0" fontId="4" fillId="0" borderId="1" xfId="0" applyFont="1" applyFill="1" applyBorder="1">
      <alignment vertical="center"/>
    </xf>
    <xf numFmtId="176" fontId="4" fillId="0" borderId="0" xfId="0" applyNumberFormat="1" applyFont="1" applyFill="1" applyAlignment="1">
      <alignment vertical="center" wrapText="1"/>
    </xf>
    <xf numFmtId="0" fontId="4" fillId="0" borderId="7" xfId="0" applyFont="1" applyFill="1" applyBorder="1" applyAlignment="1">
      <alignment horizontal="center" vertical="center" wrapText="1" shrinkToFit="1"/>
    </xf>
    <xf numFmtId="9" fontId="4" fillId="0" borderId="8" xfId="0" applyNumberFormat="1" applyFont="1" applyFill="1" applyBorder="1" applyAlignment="1">
      <alignment horizontal="center" vertical="center" wrapText="1" shrinkToFit="1"/>
    </xf>
    <xf numFmtId="0" fontId="4" fillId="0" borderId="8" xfId="0" applyFont="1" applyFill="1" applyBorder="1" applyAlignment="1">
      <alignment horizontal="center" vertical="center" wrapText="1" shrinkToFit="1"/>
    </xf>
    <xf numFmtId="9" fontId="4" fillId="0" borderId="8" xfId="0" applyNumberFormat="1" applyFont="1" applyFill="1" applyBorder="1" applyAlignment="1">
      <alignment horizontal="center" vertical="center" shrinkToFit="1"/>
    </xf>
    <xf numFmtId="0" fontId="4" fillId="0" borderId="9" xfId="0" applyFont="1" applyFill="1" applyBorder="1" applyAlignment="1">
      <alignment horizontal="center" vertical="center" shrinkToFit="1"/>
    </xf>
    <xf numFmtId="0" fontId="4" fillId="0" borderId="44" xfId="0" applyFont="1" applyFill="1" applyBorder="1" applyAlignment="1">
      <alignment horizontal="center" vertical="center" shrinkToFit="1"/>
    </xf>
    <xf numFmtId="9" fontId="4" fillId="0" borderId="45" xfId="0" applyNumberFormat="1" applyFont="1" applyFill="1" applyBorder="1" applyAlignment="1">
      <alignment horizontal="center" vertical="center" shrinkToFit="1"/>
    </xf>
    <xf numFmtId="0" fontId="4" fillId="0" borderId="45" xfId="0" applyFont="1" applyFill="1" applyBorder="1" applyAlignment="1">
      <alignment horizontal="center" vertical="center" shrinkToFit="1"/>
    </xf>
    <xf numFmtId="0" fontId="4" fillId="0" borderId="46" xfId="0" applyFont="1" applyFill="1" applyBorder="1" applyAlignment="1">
      <alignment horizontal="center" vertical="center" shrinkToFit="1"/>
    </xf>
    <xf numFmtId="176" fontId="4" fillId="0" borderId="45" xfId="0" applyNumberFormat="1" applyFont="1" applyBorder="1" applyAlignment="1">
      <alignment horizontal="center" vertical="center" shrinkToFit="1"/>
    </xf>
    <xf numFmtId="0" fontId="4" fillId="0" borderId="0" xfId="0" applyFont="1" applyAlignment="1">
      <alignment horizontal="right" vertical="center"/>
    </xf>
    <xf numFmtId="0" fontId="4" fillId="0" borderId="2" xfId="0" applyFont="1" applyFill="1" applyBorder="1" applyAlignment="1">
      <alignment vertical="center" shrinkToFit="1"/>
    </xf>
    <xf numFmtId="0" fontId="4" fillId="0" borderId="3" xfId="0" applyFont="1" applyFill="1" applyBorder="1" applyAlignment="1">
      <alignment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49" fontId="3" fillId="0" borderId="2" xfId="2" applyNumberFormat="1" applyFill="1" applyBorder="1" applyAlignment="1">
      <alignment vertical="center" shrinkToFit="1"/>
    </xf>
    <xf numFmtId="49" fontId="4" fillId="0" borderId="3" xfId="0" applyNumberFormat="1" applyFont="1" applyFill="1" applyBorder="1" applyAlignment="1">
      <alignment vertical="center" shrinkToFit="1"/>
    </xf>
    <xf numFmtId="49" fontId="4" fillId="0" borderId="4" xfId="0" applyNumberFormat="1" applyFont="1" applyFill="1" applyBorder="1" applyAlignment="1">
      <alignment vertical="center" shrinkToFit="1"/>
    </xf>
    <xf numFmtId="49" fontId="4" fillId="0" borderId="2" xfId="1" applyNumberFormat="1" applyFont="1" applyBorder="1" applyAlignment="1">
      <alignment horizontal="center" vertical="center" shrinkToFit="1"/>
    </xf>
    <xf numFmtId="49" fontId="4" fillId="0" borderId="3" xfId="1" applyNumberFormat="1" applyFont="1" applyBorder="1" applyAlignment="1">
      <alignment horizontal="center" vertical="center" shrinkToFit="1"/>
    </xf>
    <xf numFmtId="49" fontId="4" fillId="0" borderId="4" xfId="1" applyNumberFormat="1" applyFont="1" applyBorder="1" applyAlignment="1">
      <alignment horizontal="center" vertical="center" shrinkToFit="1"/>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4" fillId="0" borderId="0" xfId="0" applyFont="1" applyFill="1" applyBorder="1" applyAlignment="1">
      <alignment horizontal="right" vertical="center" shrinkToFit="1"/>
    </xf>
    <xf numFmtId="0" fontId="4" fillId="0" borderId="5" xfId="0" applyFont="1" applyFill="1" applyBorder="1" applyAlignment="1">
      <alignment horizontal="right" vertical="center" shrinkToFit="1"/>
    </xf>
    <xf numFmtId="0" fontId="4" fillId="0" borderId="10" xfId="0" applyFont="1" applyFill="1" applyBorder="1" applyAlignment="1">
      <alignment horizontal="right" vertical="center" shrinkToFit="1"/>
    </xf>
    <xf numFmtId="176" fontId="4" fillId="0" borderId="2" xfId="0" applyNumberFormat="1" applyFont="1" applyFill="1" applyBorder="1" applyAlignment="1">
      <alignment horizontal="center" vertical="center" shrinkToFit="1"/>
    </xf>
    <xf numFmtId="176" fontId="4" fillId="0" borderId="4" xfId="0" applyNumberFormat="1" applyFont="1" applyFill="1" applyBorder="1" applyAlignment="1">
      <alignment horizontal="center" vertical="center" shrinkToFit="1"/>
    </xf>
    <xf numFmtId="0" fontId="4" fillId="0" borderId="0"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0" xfId="0" applyFont="1" applyBorder="1" applyAlignment="1">
      <alignment vertical="center" shrinkToFit="1"/>
    </xf>
    <xf numFmtId="3" fontId="4" fillId="0" borderId="2" xfId="0" applyNumberFormat="1" applyFont="1" applyFill="1" applyBorder="1" applyAlignment="1">
      <alignment horizontal="center" vertical="center"/>
    </xf>
    <xf numFmtId="3" fontId="4" fillId="0" borderId="3" xfId="0" applyNumberFormat="1" applyFont="1" applyFill="1" applyBorder="1" applyAlignment="1">
      <alignment horizontal="center" vertical="center"/>
    </xf>
    <xf numFmtId="3" fontId="4" fillId="0" borderId="4" xfId="0" applyNumberFormat="1" applyFont="1" applyFill="1" applyBorder="1" applyAlignment="1">
      <alignment horizontal="center" vertical="center"/>
    </xf>
    <xf numFmtId="0" fontId="4" fillId="0" borderId="2"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0" fontId="4" fillId="0" borderId="0" xfId="0" applyFont="1" applyFill="1" applyBorder="1" applyAlignment="1">
      <alignment horizontal="right" vertical="center"/>
    </xf>
    <xf numFmtId="0" fontId="4" fillId="0" borderId="10" xfId="0" applyFont="1" applyFill="1" applyBorder="1" applyAlignment="1">
      <alignment horizontal="right" vertical="center"/>
    </xf>
    <xf numFmtId="176" fontId="4" fillId="0" borderId="3" xfId="0" applyNumberFormat="1" applyFont="1" applyFill="1" applyBorder="1" applyAlignment="1">
      <alignment horizontal="center" vertical="center" shrinkToFit="1"/>
    </xf>
    <xf numFmtId="0" fontId="6" fillId="0" borderId="0" xfId="0" applyFont="1" applyAlignment="1">
      <alignment horizontal="center" vertical="center"/>
    </xf>
    <xf numFmtId="0" fontId="4" fillId="0" borderId="37" xfId="0" applyFont="1" applyBorder="1" applyAlignment="1">
      <alignment vertical="center" shrinkToFit="1"/>
    </xf>
    <xf numFmtId="0" fontId="4" fillId="0" borderId="39" xfId="0" applyFont="1" applyBorder="1" applyAlignment="1">
      <alignment vertical="center" shrinkToFit="1"/>
    </xf>
    <xf numFmtId="0" fontId="4" fillId="0" borderId="38" xfId="0" applyFont="1" applyBorder="1" applyAlignment="1">
      <alignment vertical="center" shrinkToFit="1"/>
    </xf>
    <xf numFmtId="0" fontId="4" fillId="0" borderId="37" xfId="0" applyFont="1" applyBorder="1" applyAlignment="1">
      <alignment horizontal="center" vertical="center" shrinkToFit="1"/>
    </xf>
    <xf numFmtId="0" fontId="4" fillId="0" borderId="39" xfId="0" applyFont="1" applyBorder="1" applyAlignment="1">
      <alignment horizontal="center" vertical="center" shrinkToFit="1"/>
    </xf>
    <xf numFmtId="0" fontId="4" fillId="0" borderId="38" xfId="0" applyFont="1" applyBorder="1" applyAlignment="1">
      <alignment horizontal="center" vertical="center"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37" xfId="0" applyFont="1" applyBorder="1" applyAlignment="1">
      <alignment horizontal="left" vertical="center" shrinkToFit="1"/>
    </xf>
    <xf numFmtId="0" fontId="4" fillId="0" borderId="39" xfId="0" applyFont="1" applyBorder="1" applyAlignment="1">
      <alignment horizontal="left" vertical="center" shrinkToFit="1"/>
    </xf>
    <xf numFmtId="0" fontId="4" fillId="0" borderId="38" xfId="0" applyFont="1" applyBorder="1" applyAlignment="1">
      <alignment horizontal="left" vertical="center" shrinkToFit="1"/>
    </xf>
    <xf numFmtId="0" fontId="4" fillId="0" borderId="19" xfId="0" applyFont="1" applyFill="1" applyBorder="1" applyAlignment="1">
      <alignment vertical="center" wrapText="1" shrinkToFit="1"/>
    </xf>
    <xf numFmtId="0" fontId="4" fillId="0" borderId="20" xfId="0" applyFont="1" applyFill="1" applyBorder="1" applyAlignment="1">
      <alignment vertical="center" shrinkToFit="1"/>
    </xf>
    <xf numFmtId="0" fontId="4" fillId="0" borderId="18" xfId="0" applyFont="1" applyFill="1" applyBorder="1" applyAlignment="1">
      <alignment vertical="center" shrinkToFit="1"/>
    </xf>
    <xf numFmtId="0" fontId="4" fillId="0" borderId="19" xfId="0" applyFont="1" applyBorder="1" applyAlignment="1">
      <alignment vertical="center" shrinkToFit="1"/>
    </xf>
    <xf numFmtId="0" fontId="4" fillId="0" borderId="20" xfId="0"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18" xfId="0" applyFont="1" applyBorder="1" applyAlignment="1">
      <alignment horizontal="center" vertical="center" shrinkToFit="1"/>
    </xf>
    <xf numFmtId="0" fontId="9" fillId="0" borderId="48" xfId="0" applyFont="1" applyFill="1" applyBorder="1" applyAlignment="1">
      <alignment vertical="center" wrapText="1"/>
    </xf>
    <xf numFmtId="0" fontId="9" fillId="0" borderId="49" xfId="0" applyFont="1" applyFill="1" applyBorder="1" applyAlignment="1">
      <alignment vertical="center" wrapText="1"/>
    </xf>
    <xf numFmtId="0" fontId="9" fillId="0" borderId="32" xfId="0" applyFont="1" applyFill="1" applyBorder="1" applyAlignment="1">
      <alignment vertical="center" wrapText="1"/>
    </xf>
    <xf numFmtId="0" fontId="4" fillId="0" borderId="39" xfId="0" applyFont="1" applyFill="1" applyBorder="1" applyAlignment="1">
      <alignment vertical="center" wrapText="1" shrinkToFit="1"/>
    </xf>
    <xf numFmtId="0" fontId="4" fillId="0" borderId="39" xfId="0" applyFont="1" applyFill="1" applyBorder="1" applyAlignment="1">
      <alignment vertical="center" shrinkToFit="1"/>
    </xf>
    <xf numFmtId="0" fontId="4" fillId="0" borderId="38" xfId="0" applyFont="1" applyFill="1" applyBorder="1" applyAlignment="1">
      <alignment vertical="center" shrinkToFit="1"/>
    </xf>
    <xf numFmtId="0" fontId="4" fillId="0" borderId="6" xfId="0" applyFont="1" applyFill="1" applyBorder="1" applyAlignment="1">
      <alignment vertical="center" wrapText="1" shrinkToFit="1"/>
    </xf>
    <xf numFmtId="0" fontId="4" fillId="0" borderId="6" xfId="0" applyFont="1" applyFill="1" applyBorder="1" applyAlignment="1">
      <alignment vertical="center" shrinkToFit="1"/>
    </xf>
    <xf numFmtId="0" fontId="4" fillId="0" borderId="12" xfId="0" applyFont="1" applyFill="1" applyBorder="1" applyAlignment="1">
      <alignment vertical="center" shrinkToFit="1"/>
    </xf>
    <xf numFmtId="0" fontId="4" fillId="0" borderId="8" xfId="0" applyFont="1" applyFill="1" applyBorder="1" applyAlignment="1">
      <alignment horizontal="left" vertical="center" wrapText="1" shrinkToFit="1"/>
    </xf>
    <xf numFmtId="0" fontId="4" fillId="0" borderId="8" xfId="0" applyFont="1" applyFill="1" applyBorder="1" applyAlignment="1">
      <alignment horizontal="left" vertical="center" shrinkToFit="1"/>
    </xf>
    <xf numFmtId="0" fontId="4" fillId="0" borderId="9" xfId="0" applyFont="1" applyFill="1" applyBorder="1" applyAlignment="1">
      <alignment horizontal="left" vertical="center" shrinkToFit="1"/>
    </xf>
    <xf numFmtId="0" fontId="4" fillId="0" borderId="20" xfId="0" applyFont="1" applyFill="1" applyBorder="1" applyAlignment="1">
      <alignment horizontal="left" vertical="center" wrapText="1" shrinkToFit="1"/>
    </xf>
    <xf numFmtId="0" fontId="4" fillId="0" borderId="20" xfId="0" applyFont="1" applyFill="1" applyBorder="1" applyAlignment="1">
      <alignment horizontal="left" vertical="center" shrinkToFit="1"/>
    </xf>
    <xf numFmtId="0" fontId="4" fillId="0" borderId="18" xfId="0" applyFont="1" applyFill="1" applyBorder="1" applyAlignment="1">
      <alignment horizontal="left" vertical="center" shrinkToFit="1"/>
    </xf>
    <xf numFmtId="0" fontId="4" fillId="0" borderId="37" xfId="0" applyFont="1" applyBorder="1" applyAlignment="1">
      <alignment horizontal="center" vertical="center"/>
    </xf>
    <xf numFmtId="0" fontId="4" fillId="0" borderId="39" xfId="0" applyFont="1" applyBorder="1" applyAlignment="1">
      <alignment horizontal="center" vertical="center"/>
    </xf>
    <xf numFmtId="0" fontId="4" fillId="0" borderId="38" xfId="0" applyFont="1" applyBorder="1" applyAlignment="1">
      <alignment horizontal="center" vertical="center"/>
    </xf>
    <xf numFmtId="0" fontId="4" fillId="0" borderId="19" xfId="0" applyFont="1" applyFill="1" applyBorder="1" applyAlignment="1">
      <alignment horizontal="center" vertical="center"/>
    </xf>
    <xf numFmtId="0" fontId="4" fillId="0" borderId="20" xfId="0" applyFont="1" applyFill="1" applyBorder="1" applyAlignment="1">
      <alignment horizontal="center" vertical="center"/>
    </xf>
    <xf numFmtId="0" fontId="4" fillId="0" borderId="18" xfId="0" applyFont="1" applyFill="1" applyBorder="1" applyAlignment="1">
      <alignment horizontal="center" vertical="center"/>
    </xf>
    <xf numFmtId="0" fontId="4" fillId="0" borderId="19" xfId="0" applyFont="1" applyFill="1" applyBorder="1" applyAlignment="1">
      <alignment horizontal="left" vertical="center" shrinkToFit="1"/>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18" xfId="0" applyFont="1" applyBorder="1" applyAlignment="1">
      <alignment horizontal="center" vertical="center"/>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4" fillId="0" borderId="42" xfId="0" applyFont="1" applyBorder="1" applyAlignment="1">
      <alignment horizontal="center" vertical="center"/>
    </xf>
    <xf numFmtId="0" fontId="4" fillId="0" borderId="0" xfId="0" applyFont="1" applyFill="1" applyAlignment="1">
      <alignment vertical="center" wrapText="1"/>
    </xf>
    <xf numFmtId="0" fontId="4" fillId="0" borderId="40" xfId="0" applyFont="1" applyFill="1" applyBorder="1" applyAlignment="1">
      <alignment horizontal="center" vertical="center"/>
    </xf>
    <xf numFmtId="0" fontId="4" fillId="0" borderId="41" xfId="0" applyFont="1" applyFill="1" applyBorder="1" applyAlignment="1">
      <alignment horizontal="center" vertical="center"/>
    </xf>
    <xf numFmtId="0" fontId="4" fillId="0" borderId="42" xfId="0" applyFont="1" applyFill="1" applyBorder="1" applyAlignment="1">
      <alignment horizontal="center" vertical="center"/>
    </xf>
    <xf numFmtId="0" fontId="4" fillId="0" borderId="37" xfId="0" applyFont="1" applyFill="1" applyBorder="1" applyAlignment="1">
      <alignment horizontal="center" vertical="center"/>
    </xf>
    <xf numFmtId="0" fontId="4" fillId="0" borderId="39" xfId="0" applyFont="1" applyFill="1" applyBorder="1" applyAlignment="1">
      <alignment horizontal="center" vertical="center"/>
    </xf>
    <xf numFmtId="0" fontId="4" fillId="0" borderId="38" xfId="0" applyFont="1" applyFill="1" applyBorder="1" applyAlignment="1">
      <alignment horizontal="center" vertical="center"/>
    </xf>
    <xf numFmtId="0" fontId="4" fillId="0" borderId="0" xfId="0" applyFont="1" applyAlignment="1">
      <alignment vertical="center" wrapText="1"/>
    </xf>
    <xf numFmtId="0" fontId="4" fillId="0" borderId="19" xfId="0" applyFont="1" applyBorder="1" applyAlignment="1">
      <alignment horizontal="left" vertical="center" shrinkToFit="1"/>
    </xf>
    <xf numFmtId="0" fontId="4" fillId="0" borderId="20"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40" xfId="0" applyFont="1" applyBorder="1" applyAlignment="1">
      <alignment horizontal="left" vertical="center" shrinkToFit="1"/>
    </xf>
    <xf numFmtId="0" fontId="4" fillId="0" borderId="41" xfId="0" applyFont="1" applyBorder="1" applyAlignment="1">
      <alignment horizontal="left" vertical="center" shrinkToFit="1"/>
    </xf>
    <xf numFmtId="0" fontId="4" fillId="0" borderId="42" xfId="0" applyFont="1" applyBorder="1" applyAlignment="1">
      <alignment horizontal="left" vertical="center" shrinkToFit="1"/>
    </xf>
    <xf numFmtId="0" fontId="7" fillId="0" borderId="0" xfId="0" applyFont="1" applyAlignment="1">
      <alignment horizontal="center" vertical="center"/>
    </xf>
    <xf numFmtId="0" fontId="9" fillId="0" borderId="7" xfId="0" applyFont="1" applyBorder="1" applyAlignment="1">
      <alignment horizontal="left" vertical="top" wrapText="1" shrinkToFi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5" xfId="0" applyFont="1" applyBorder="1" applyAlignment="1">
      <alignment horizontal="left" vertical="top" wrapText="1" shrinkToFit="1"/>
    </xf>
    <xf numFmtId="0" fontId="9" fillId="0" borderId="0" xfId="0" applyFont="1" applyBorder="1" applyAlignment="1">
      <alignment horizontal="left" vertical="top" wrapText="1" shrinkToFit="1"/>
    </xf>
    <xf numFmtId="0" fontId="9" fillId="0" borderId="10" xfId="0" applyFont="1" applyBorder="1" applyAlignment="1">
      <alignment horizontal="left" vertical="top" wrapText="1" shrinkToFit="1"/>
    </xf>
    <xf numFmtId="0" fontId="9" fillId="0" borderId="0" xfId="0" applyFont="1" applyAlignment="1">
      <alignment horizontal="left" vertical="top" wrapText="1" shrinkToFit="1"/>
    </xf>
    <xf numFmtId="0" fontId="9" fillId="0" borderId="11" xfId="0" applyFont="1" applyBorder="1" applyAlignment="1">
      <alignment horizontal="left" vertical="top" wrapText="1" shrinkToFit="1"/>
    </xf>
    <xf numFmtId="0" fontId="9" fillId="0" borderId="6" xfId="0" applyFont="1" applyBorder="1" applyAlignment="1">
      <alignment horizontal="left" vertical="top" wrapText="1" shrinkToFit="1"/>
    </xf>
    <xf numFmtId="0" fontId="9" fillId="0" borderId="12" xfId="0" applyFont="1" applyBorder="1" applyAlignment="1">
      <alignment horizontal="left" vertical="top" wrapText="1" shrinkToFit="1"/>
    </xf>
    <xf numFmtId="0" fontId="4" fillId="0" borderId="37" xfId="0" applyFont="1" applyFill="1" applyBorder="1" applyAlignment="1">
      <alignment horizontal="left" vertical="center" shrinkToFit="1"/>
    </xf>
    <xf numFmtId="0" fontId="4" fillId="0" borderId="39" xfId="0" applyFont="1" applyFill="1" applyBorder="1" applyAlignment="1">
      <alignment horizontal="left" vertical="center" shrinkToFit="1"/>
    </xf>
    <xf numFmtId="0" fontId="4" fillId="0" borderId="38" xfId="0" applyFont="1" applyFill="1" applyBorder="1" applyAlignment="1">
      <alignment horizontal="left" vertical="center" shrinkToFit="1"/>
    </xf>
    <xf numFmtId="0" fontId="4" fillId="0" borderId="22" xfId="0" applyFont="1" applyFill="1" applyBorder="1" applyAlignment="1">
      <alignment horizontal="left" vertical="center" wrapText="1" shrinkToFit="1"/>
    </xf>
    <xf numFmtId="0" fontId="4" fillId="0" borderId="22" xfId="0" applyFont="1" applyFill="1" applyBorder="1" applyAlignment="1">
      <alignment horizontal="left" vertical="center" shrinkToFit="1"/>
    </xf>
    <xf numFmtId="0" fontId="4" fillId="0" borderId="21" xfId="0" applyFont="1" applyFill="1" applyBorder="1" applyAlignment="1">
      <alignment horizontal="left" vertical="center" shrinkToFit="1"/>
    </xf>
    <xf numFmtId="0" fontId="4" fillId="0" borderId="39" xfId="0" applyFont="1" applyFill="1" applyBorder="1" applyAlignment="1">
      <alignment horizontal="left" vertical="center" wrapText="1" shrinkToFit="1"/>
    </xf>
    <xf numFmtId="0" fontId="4" fillId="0" borderId="41" xfId="0" applyFont="1" applyFill="1" applyBorder="1" applyAlignment="1">
      <alignment horizontal="left" vertical="center" wrapText="1" shrinkToFit="1"/>
    </xf>
    <xf numFmtId="0" fontId="4" fillId="0" borderId="41" xfId="0" applyFont="1" applyFill="1" applyBorder="1" applyAlignment="1">
      <alignment horizontal="left" vertical="center" shrinkToFit="1"/>
    </xf>
    <xf numFmtId="0" fontId="4" fillId="0" borderId="42" xfId="0" applyFont="1" applyFill="1" applyBorder="1" applyAlignment="1">
      <alignment horizontal="left" vertical="center" shrinkToFit="1"/>
    </xf>
    <xf numFmtId="0" fontId="4" fillId="0" borderId="40" xfId="0" applyFont="1" applyBorder="1" applyAlignment="1">
      <alignment vertical="center" shrinkToFit="1"/>
    </xf>
    <xf numFmtId="0" fontId="4" fillId="0" borderId="41" xfId="0" applyFont="1" applyBorder="1" applyAlignment="1">
      <alignment vertical="center" shrinkToFit="1"/>
    </xf>
    <xf numFmtId="0" fontId="4" fillId="0" borderId="42" xfId="0" applyFont="1" applyBorder="1" applyAlignment="1">
      <alignment vertical="center" shrinkToFit="1"/>
    </xf>
    <xf numFmtId="0" fontId="4" fillId="0" borderId="40" xfId="0" applyFont="1" applyBorder="1" applyAlignment="1">
      <alignment horizontal="center" vertical="center" shrinkToFit="1"/>
    </xf>
    <xf numFmtId="0" fontId="4" fillId="0" borderId="41" xfId="0" applyFont="1" applyBorder="1" applyAlignment="1">
      <alignment horizontal="center" vertical="center" shrinkToFit="1"/>
    </xf>
    <xf numFmtId="0" fontId="4" fillId="0" borderId="42" xfId="0" applyFont="1" applyBorder="1" applyAlignment="1">
      <alignment horizontal="center"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7" xfId="0" applyFont="1" applyFill="1" applyBorder="1" applyAlignment="1">
      <alignment vertical="center" wrapText="1" shrinkToFit="1"/>
    </xf>
    <xf numFmtId="0" fontId="4" fillId="0" borderId="8" xfId="0" applyFont="1" applyFill="1" applyBorder="1" applyAlignment="1">
      <alignment vertical="center" shrinkToFit="1"/>
    </xf>
    <xf numFmtId="0" fontId="4" fillId="0" borderId="9" xfId="0" applyFont="1" applyFill="1" applyBorder="1" applyAlignment="1">
      <alignment vertical="center" shrinkToFit="1"/>
    </xf>
    <xf numFmtId="0" fontId="4" fillId="0" borderId="5" xfId="0" applyFont="1" applyFill="1" applyBorder="1" applyAlignment="1">
      <alignment vertical="center" shrinkToFit="1"/>
    </xf>
    <xf numFmtId="0" fontId="4" fillId="0" borderId="0" xfId="0" applyFont="1" applyFill="1" applyBorder="1" applyAlignment="1">
      <alignment vertical="center" shrinkToFit="1"/>
    </xf>
    <xf numFmtId="0" fontId="4" fillId="0" borderId="10" xfId="0" applyFont="1" applyFill="1" applyBorder="1" applyAlignment="1">
      <alignment vertical="center" shrinkToFit="1"/>
    </xf>
    <xf numFmtId="0" fontId="4" fillId="0" borderId="11" xfId="0" applyFont="1" applyFill="1" applyBorder="1" applyAlignment="1">
      <alignment vertical="center" shrinkToFit="1"/>
    </xf>
    <xf numFmtId="0" fontId="3" fillId="0" borderId="2" xfId="2" applyFill="1" applyBorder="1">
      <alignment vertical="center"/>
    </xf>
    <xf numFmtId="0" fontId="9" fillId="0" borderId="3" xfId="0" applyFont="1" applyFill="1" applyBorder="1">
      <alignment vertical="center"/>
    </xf>
    <xf numFmtId="0" fontId="9" fillId="0" borderId="4" xfId="0" applyFont="1" applyFill="1" applyBorder="1">
      <alignment vertical="center"/>
    </xf>
    <xf numFmtId="0" fontId="5" fillId="0" borderId="0" xfId="0" applyFont="1" applyAlignment="1">
      <alignment horizontal="center" vertical="center"/>
    </xf>
    <xf numFmtId="0" fontId="4" fillId="0" borderId="40" xfId="0" applyFont="1" applyFill="1" applyBorder="1" applyAlignment="1">
      <alignment horizontal="left" vertical="center" shrinkToFit="1"/>
    </xf>
    <xf numFmtId="0" fontId="4" fillId="0" borderId="19" xfId="0" applyFont="1" applyFill="1" applyBorder="1" applyAlignment="1">
      <alignment vertical="center" shrinkToFit="1"/>
    </xf>
    <xf numFmtId="0" fontId="4" fillId="0" borderId="40" xfId="0" applyFont="1" applyFill="1" applyBorder="1" applyAlignment="1">
      <alignment vertical="center" shrinkToFit="1"/>
    </xf>
    <xf numFmtId="0" fontId="4" fillId="0" borderId="41" xfId="0" applyFont="1" applyFill="1" applyBorder="1" applyAlignment="1">
      <alignment vertical="center" shrinkToFit="1"/>
    </xf>
    <xf numFmtId="0" fontId="4" fillId="0" borderId="42" xfId="0" applyFont="1" applyFill="1" applyBorder="1" applyAlignment="1">
      <alignment vertical="center" shrinkToFit="1"/>
    </xf>
    <xf numFmtId="0" fontId="4" fillId="0" borderId="37" xfId="0" applyFont="1" applyFill="1" applyBorder="1" applyAlignment="1">
      <alignment vertical="center" shrinkToFit="1"/>
    </xf>
    <xf numFmtId="0" fontId="13" fillId="0" borderId="15" xfId="0" applyFont="1" applyBorder="1" applyAlignment="1">
      <alignment horizontal="center" vertical="center" wrapText="1"/>
    </xf>
    <xf numFmtId="0" fontId="13" fillId="0" borderId="13" xfId="0" applyFont="1" applyBorder="1" applyAlignment="1">
      <alignment horizontal="center" vertical="center"/>
    </xf>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4" fillId="0" borderId="2" xfId="0" applyNumberFormat="1" applyFont="1" applyBorder="1" applyAlignment="1">
      <alignment horizontal="center" vertical="center" shrinkToFit="1"/>
    </xf>
    <xf numFmtId="0" fontId="4" fillId="0" borderId="4" xfId="0" applyNumberFormat="1" applyFont="1" applyBorder="1" applyAlignment="1">
      <alignment horizontal="center" vertical="center" shrinkToFit="1"/>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12" fillId="0" borderId="8" xfId="0" applyFont="1" applyBorder="1" applyAlignment="1">
      <alignment horizontal="center"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11" xfId="0" applyFont="1" applyBorder="1" applyAlignment="1">
      <alignment horizontal="center" vertical="center"/>
    </xf>
    <xf numFmtId="0" fontId="4" fillId="0" borderId="14" xfId="0" applyFont="1" applyBorder="1" applyAlignment="1">
      <alignment horizontal="center" vertical="center"/>
    </xf>
    <xf numFmtId="0" fontId="4" fillId="0" borderId="16" xfId="0" applyFont="1" applyBorder="1" applyAlignment="1">
      <alignment vertical="top" wrapText="1" shrinkToFit="1"/>
    </xf>
    <xf numFmtId="0" fontId="4" fillId="0" borderId="22" xfId="0" applyFont="1" applyBorder="1" applyAlignment="1">
      <alignment vertical="top" wrapText="1" shrinkToFit="1"/>
    </xf>
    <xf numFmtId="0" fontId="4" fillId="0" borderId="21" xfId="0" applyFont="1" applyBorder="1" applyAlignment="1">
      <alignment vertical="top" wrapText="1" shrinkToFit="1"/>
    </xf>
    <xf numFmtId="0" fontId="4" fillId="0" borderId="11"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4" fillId="0" borderId="2" xfId="0" applyFont="1" applyBorder="1" applyAlignment="1">
      <alignment vertical="center" wrapText="1"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0" fontId="4" fillId="0" borderId="7" xfId="0" applyFont="1" applyBorder="1" applyAlignment="1">
      <alignment vertical="top" wrapText="1" shrinkToFit="1"/>
    </xf>
    <xf numFmtId="0" fontId="4" fillId="0" borderId="8"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9" xfId="0" applyFont="1" applyBorder="1" applyAlignment="1">
      <alignment vertical="top" wrapText="1" shrinkToFit="1"/>
    </xf>
    <xf numFmtId="0" fontId="4" fillId="0" borderId="6" xfId="0" applyFont="1" applyBorder="1" applyAlignment="1">
      <alignment vertical="center"/>
    </xf>
    <xf numFmtId="0" fontId="4" fillId="0" borderId="17" xfId="0" applyFont="1" applyBorder="1" applyAlignment="1">
      <alignment vertical="center" wrapText="1"/>
    </xf>
    <xf numFmtId="0" fontId="9" fillId="0" borderId="18" xfId="0" applyFont="1" applyBorder="1" applyAlignment="1">
      <alignment vertical="center"/>
    </xf>
    <xf numFmtId="0" fontId="4" fillId="0" borderId="19" xfId="0" applyFont="1" applyFill="1" applyBorder="1" applyAlignment="1">
      <alignment vertical="top" wrapText="1" shrinkToFit="1"/>
    </xf>
    <xf numFmtId="0" fontId="4" fillId="0" borderId="20" xfId="0" applyFont="1" applyFill="1" applyBorder="1" applyAlignment="1">
      <alignment vertical="top" wrapText="1" shrinkToFit="1"/>
    </xf>
    <xf numFmtId="0" fontId="4" fillId="0" borderId="18" xfId="0" applyFont="1" applyFill="1" applyBorder="1" applyAlignment="1">
      <alignment vertical="top" wrapText="1" shrinkToFit="1"/>
    </xf>
    <xf numFmtId="0" fontId="4" fillId="0" borderId="18" xfId="0" applyFont="1" applyBorder="1" applyAlignment="1">
      <alignment vertical="center" wrapText="1"/>
    </xf>
    <xf numFmtId="0" fontId="4" fillId="0" borderId="19" xfId="0" applyFont="1" applyBorder="1" applyAlignment="1">
      <alignment vertical="top" wrapText="1" shrinkToFit="1"/>
    </xf>
    <xf numFmtId="0" fontId="4" fillId="0" borderId="20" xfId="0" applyFont="1" applyBorder="1" applyAlignment="1">
      <alignment vertical="top" wrapText="1" shrinkToFit="1"/>
    </xf>
    <xf numFmtId="0" fontId="4" fillId="0" borderId="18" xfId="0" applyFont="1" applyBorder="1" applyAlignment="1">
      <alignment vertical="top" wrapText="1"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3" fillId="0" borderId="2" xfId="2" applyFill="1" applyBorder="1" applyAlignment="1">
      <alignment horizontal="center" vertical="center" shrinkToFit="1"/>
    </xf>
    <xf numFmtId="0" fontId="9" fillId="0" borderId="3" xfId="2" applyFont="1" applyFill="1" applyBorder="1" applyAlignment="1">
      <alignment horizontal="center" vertical="center" shrinkToFit="1"/>
    </xf>
    <xf numFmtId="0" fontId="9" fillId="0" borderId="4" xfId="2" applyFont="1" applyFill="1" applyBorder="1" applyAlignment="1">
      <alignment horizontal="center" vertical="center" shrinkToFit="1"/>
    </xf>
    <xf numFmtId="0" fontId="4" fillId="0" borderId="17" xfId="0" applyFont="1" applyFill="1" applyBorder="1" applyAlignment="1">
      <alignment vertical="center" wrapText="1"/>
    </xf>
    <xf numFmtId="0" fontId="4" fillId="0" borderId="18" xfId="0" applyFont="1" applyFill="1" applyBorder="1" applyAlignment="1">
      <alignment vertical="center" wrapText="1"/>
    </xf>
    <xf numFmtId="0" fontId="4" fillId="0" borderId="19" xfId="0" applyFont="1" applyBorder="1" applyAlignment="1">
      <alignment vertical="center" wrapText="1"/>
    </xf>
    <xf numFmtId="0" fontId="4"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zengaku-kk-center@shikoku-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2.shikoku-u.ac.jp/zengaku-kk-center/mdash/"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2.shikoku-u.ac.jp/zengaku-kk-center/mda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heetViews>
  <sheetFormatPr defaultColWidth="9" defaultRowHeight="18.75" customHeight="1" x14ac:dyDescent="0.2"/>
  <cols>
    <col min="1" max="1" width="3.36328125" style="51" customWidth="1"/>
    <col min="2" max="2" width="11.08984375" style="7" customWidth="1"/>
    <col min="3" max="8" width="6.6328125" style="7" customWidth="1"/>
    <col min="9" max="9" width="3.36328125" style="7" customWidth="1"/>
    <col min="10" max="10" width="10" style="7" customWidth="1"/>
    <col min="11" max="11" width="3.36328125" style="7" customWidth="1"/>
    <col min="12" max="12" width="7.7265625" style="7" customWidth="1"/>
    <col min="13" max="13" width="3.36328125" style="7" customWidth="1"/>
    <col min="14" max="14" width="4.453125" style="7" customWidth="1"/>
    <col min="15" max="16384" width="9" style="51"/>
  </cols>
  <sheetData>
    <row r="1" spans="1:15" ht="24" customHeight="1" x14ac:dyDescent="0.2">
      <c r="L1" s="128" t="s">
        <v>193</v>
      </c>
      <c r="M1" s="128"/>
      <c r="N1" s="128"/>
    </row>
    <row r="2" spans="1:15" ht="24" customHeight="1" x14ac:dyDescent="0.2">
      <c r="A2" s="161" t="s">
        <v>0</v>
      </c>
      <c r="B2" s="161"/>
      <c r="C2" s="161"/>
      <c r="D2" s="161"/>
      <c r="E2" s="161"/>
      <c r="F2" s="161"/>
      <c r="G2" s="161"/>
      <c r="H2" s="161"/>
      <c r="I2" s="161"/>
      <c r="J2" s="161"/>
      <c r="K2" s="161"/>
      <c r="L2" s="161"/>
      <c r="M2" s="161"/>
      <c r="N2" s="161"/>
    </row>
    <row r="3" spans="1:15" ht="24" customHeight="1" x14ac:dyDescent="0.2"/>
    <row r="4" spans="1:15" ht="24" customHeight="1" x14ac:dyDescent="0.2">
      <c r="A4" s="51" t="s">
        <v>1</v>
      </c>
      <c r="B4" s="99" t="s">
        <v>2</v>
      </c>
      <c r="C4" s="131" t="s">
        <v>141</v>
      </c>
      <c r="D4" s="132"/>
      <c r="E4" s="132"/>
      <c r="F4" s="132"/>
      <c r="G4" s="132"/>
      <c r="H4" s="132"/>
      <c r="I4" s="132"/>
      <c r="J4" s="132"/>
      <c r="K4" s="132"/>
      <c r="L4" s="132"/>
      <c r="M4" s="132"/>
      <c r="N4" s="133"/>
      <c r="O4" s="51" t="str">
        <f>IF(C4="","入力してください","")</f>
        <v/>
      </c>
    </row>
    <row r="5" spans="1:15" ht="7.5" customHeight="1" x14ac:dyDescent="0.2">
      <c r="B5" s="99"/>
      <c r="C5" s="99"/>
      <c r="D5" s="99"/>
      <c r="E5" s="100"/>
      <c r="F5" s="101"/>
      <c r="G5" s="101"/>
      <c r="H5" s="101"/>
      <c r="I5" s="101"/>
      <c r="J5" s="101"/>
      <c r="K5" s="101"/>
      <c r="L5" s="101"/>
      <c r="M5" s="101"/>
      <c r="N5" s="101"/>
    </row>
    <row r="6" spans="1:15" ht="24" customHeight="1" x14ac:dyDescent="0.2">
      <c r="A6" s="51" t="s">
        <v>3</v>
      </c>
      <c r="B6" s="99" t="s">
        <v>4</v>
      </c>
      <c r="C6" s="99"/>
      <c r="D6" s="140" t="s">
        <v>121</v>
      </c>
      <c r="E6" s="141"/>
      <c r="F6" s="141"/>
      <c r="G6" s="141"/>
      <c r="H6" s="142"/>
      <c r="I6" s="102" t="s">
        <v>5</v>
      </c>
      <c r="J6" s="101" t="s">
        <v>6</v>
      </c>
      <c r="K6" s="140" t="s">
        <v>210</v>
      </c>
      <c r="L6" s="141"/>
      <c r="M6" s="141"/>
      <c r="N6" s="142"/>
      <c r="O6" s="51" t="str">
        <f>IF(D6="","入力してください","")</f>
        <v/>
      </c>
    </row>
    <row r="7" spans="1:15" ht="7.5" customHeight="1" x14ac:dyDescent="0.2">
      <c r="B7" s="99"/>
      <c r="C7" s="99"/>
      <c r="D7" s="99"/>
      <c r="E7" s="100"/>
      <c r="F7" s="101"/>
      <c r="G7" s="101"/>
      <c r="H7" s="101"/>
      <c r="I7" s="101"/>
      <c r="J7" s="101"/>
      <c r="K7" s="101"/>
      <c r="L7" s="101"/>
      <c r="M7" s="101"/>
      <c r="N7" s="101"/>
    </row>
    <row r="8" spans="1:15" ht="24" customHeight="1" x14ac:dyDescent="0.2">
      <c r="A8" s="51" t="s">
        <v>7</v>
      </c>
      <c r="B8" s="99" t="s">
        <v>8</v>
      </c>
      <c r="C8" s="131" t="s">
        <v>124</v>
      </c>
      <c r="D8" s="132"/>
      <c r="E8" s="132"/>
      <c r="F8" s="132"/>
      <c r="G8" s="132"/>
      <c r="H8" s="132"/>
      <c r="I8" s="132"/>
      <c r="J8" s="132"/>
      <c r="K8" s="132"/>
      <c r="L8" s="132"/>
      <c r="M8" s="132"/>
      <c r="N8" s="133"/>
      <c r="O8" s="51" t="str">
        <f>IF(C8="","入力してください","")</f>
        <v/>
      </c>
    </row>
    <row r="9" spans="1:15" ht="7.5" customHeight="1" x14ac:dyDescent="0.2">
      <c r="B9" s="99"/>
      <c r="C9" s="99"/>
      <c r="D9" s="99"/>
      <c r="E9" s="100"/>
      <c r="F9" s="101"/>
      <c r="G9" s="101"/>
      <c r="H9" s="101"/>
      <c r="I9" s="101"/>
      <c r="J9" s="101"/>
      <c r="K9" s="101"/>
      <c r="L9" s="101"/>
      <c r="M9" s="101"/>
      <c r="N9" s="101"/>
    </row>
    <row r="10" spans="1:15" ht="24" customHeight="1" x14ac:dyDescent="0.2">
      <c r="A10" s="51" t="s">
        <v>9</v>
      </c>
      <c r="B10" s="99" t="s">
        <v>10</v>
      </c>
      <c r="C10" s="99"/>
      <c r="D10" s="99"/>
      <c r="E10" s="131" t="s">
        <v>137</v>
      </c>
      <c r="F10" s="132"/>
      <c r="G10" s="132"/>
      <c r="H10" s="132"/>
      <c r="I10" s="132"/>
      <c r="J10" s="132"/>
      <c r="K10" s="132"/>
      <c r="L10" s="132"/>
      <c r="M10" s="132"/>
      <c r="N10" s="133"/>
      <c r="O10" s="51" t="str">
        <f>IF(E10="","入力してください","")</f>
        <v/>
      </c>
    </row>
    <row r="11" spans="1:15" ht="7.5" customHeight="1" x14ac:dyDescent="0.2">
      <c r="B11" s="100"/>
      <c r="C11" s="100"/>
      <c r="D11" s="100"/>
      <c r="E11" s="100"/>
      <c r="F11" s="101"/>
      <c r="G11" s="101"/>
      <c r="H11" s="101"/>
      <c r="I11" s="101"/>
      <c r="J11" s="101"/>
      <c r="K11" s="101"/>
      <c r="L11" s="101"/>
      <c r="M11" s="101"/>
      <c r="N11" s="101"/>
    </row>
    <row r="12" spans="1:15" ht="24" customHeight="1" x14ac:dyDescent="0.2">
      <c r="A12" s="51" t="s">
        <v>11</v>
      </c>
      <c r="B12" s="100" t="s">
        <v>12</v>
      </c>
      <c r="C12" s="100"/>
      <c r="D12" s="100"/>
      <c r="E12" s="156" t="s">
        <v>122</v>
      </c>
      <c r="F12" s="157"/>
      <c r="G12" s="102" t="s">
        <v>13</v>
      </c>
      <c r="H12" s="7" t="s">
        <v>14</v>
      </c>
      <c r="N12" s="77" t="s">
        <v>123</v>
      </c>
      <c r="O12" s="51" t="str">
        <f>IF(E12="","入力してください","")</f>
        <v/>
      </c>
    </row>
    <row r="13" spans="1:15" ht="7.5" customHeight="1" x14ac:dyDescent="0.2">
      <c r="B13" s="100"/>
      <c r="C13" s="100"/>
      <c r="D13" s="100"/>
      <c r="E13" s="100"/>
      <c r="F13" s="101"/>
      <c r="G13" s="101"/>
      <c r="H13" s="101"/>
      <c r="I13" s="101"/>
      <c r="J13" s="101"/>
      <c r="K13" s="101"/>
      <c r="L13" s="101"/>
      <c r="M13" s="101"/>
      <c r="N13" s="101"/>
    </row>
    <row r="14" spans="1:15" ht="24" customHeight="1" x14ac:dyDescent="0.2">
      <c r="A14" s="51" t="s">
        <v>15</v>
      </c>
      <c r="B14" s="7" t="s">
        <v>16</v>
      </c>
      <c r="C14" s="158" t="s">
        <v>17</v>
      </c>
      <c r="D14" s="159"/>
      <c r="E14" s="146">
        <v>52</v>
      </c>
      <c r="F14" s="147"/>
      <c r="G14" s="103" t="s">
        <v>18</v>
      </c>
      <c r="I14" s="158" t="s">
        <v>19</v>
      </c>
      <c r="J14" s="159"/>
      <c r="K14" s="146">
        <v>32</v>
      </c>
      <c r="L14" s="160"/>
      <c r="M14" s="147"/>
      <c r="N14" s="105" t="s">
        <v>18</v>
      </c>
      <c r="O14" s="51" t="str">
        <f>IF(OR(E14="",K14=""),"入力してください","")</f>
        <v/>
      </c>
    </row>
    <row r="15" spans="1:15" ht="7.5" customHeight="1" x14ac:dyDescent="0.2">
      <c r="F15" s="104"/>
      <c r="G15" s="104"/>
      <c r="H15" s="104"/>
      <c r="I15" s="104"/>
      <c r="J15" s="104"/>
      <c r="K15" s="104"/>
      <c r="L15" s="104"/>
      <c r="M15" s="105"/>
      <c r="N15" s="105"/>
    </row>
    <row r="16" spans="1:15" ht="24" customHeight="1" x14ac:dyDescent="0.2">
      <c r="A16" s="51" t="s">
        <v>20</v>
      </c>
      <c r="B16" s="7" t="s">
        <v>21</v>
      </c>
      <c r="F16" s="104"/>
      <c r="G16" s="104"/>
      <c r="H16" s="104"/>
      <c r="I16" s="104"/>
      <c r="J16" s="104"/>
      <c r="K16" s="149">
        <v>18</v>
      </c>
      <c r="L16" s="150"/>
      <c r="M16" s="151"/>
      <c r="N16" s="105" t="s">
        <v>18</v>
      </c>
      <c r="O16" s="51" t="str">
        <f>IF(K16="","入力してください","")</f>
        <v/>
      </c>
    </row>
    <row r="17" spans="1:15" ht="7.5" customHeight="1" x14ac:dyDescent="0.2">
      <c r="F17" s="104"/>
      <c r="G17" s="104"/>
      <c r="H17" s="104"/>
      <c r="I17" s="104"/>
      <c r="J17" s="104"/>
      <c r="K17" s="104"/>
      <c r="L17" s="104"/>
      <c r="M17" s="105"/>
      <c r="N17" s="105"/>
    </row>
    <row r="18" spans="1:15" ht="24" customHeight="1" x14ac:dyDescent="0.2">
      <c r="A18" s="51" t="s">
        <v>22</v>
      </c>
      <c r="B18" s="7" t="s">
        <v>23</v>
      </c>
      <c r="E18" s="146">
        <v>240</v>
      </c>
      <c r="F18" s="147"/>
      <c r="G18" s="106" t="s">
        <v>24</v>
      </c>
      <c r="H18" s="104"/>
      <c r="K18" s="152"/>
      <c r="L18" s="152"/>
      <c r="M18" s="152"/>
      <c r="N18" s="152"/>
      <c r="O18" s="51" t="str">
        <f>IF(E18="","入力してください","")</f>
        <v/>
      </c>
    </row>
    <row r="19" spans="1:15" ht="7.5" customHeight="1" x14ac:dyDescent="0.2">
      <c r="E19" s="107"/>
      <c r="F19" s="104"/>
      <c r="G19" s="104"/>
      <c r="L19" s="108"/>
      <c r="M19" s="108"/>
      <c r="N19" s="117"/>
    </row>
    <row r="20" spans="1:15" ht="24" customHeight="1" x14ac:dyDescent="0.2">
      <c r="A20" s="51" t="s">
        <v>25</v>
      </c>
      <c r="B20" s="7" t="s">
        <v>26</v>
      </c>
      <c r="E20" s="107"/>
      <c r="F20" s="104"/>
      <c r="G20" s="104"/>
      <c r="H20" s="7" t="s">
        <v>27</v>
      </c>
      <c r="J20" s="153">
        <v>379</v>
      </c>
      <c r="K20" s="154"/>
      <c r="L20" s="155"/>
      <c r="M20" s="108" t="s">
        <v>18</v>
      </c>
      <c r="N20" s="117"/>
      <c r="O20" s="51" t="str">
        <f>IF(J20="","入力してください","")</f>
        <v/>
      </c>
    </row>
    <row r="21" spans="1:15" ht="7.5" customHeight="1" x14ac:dyDescent="0.2">
      <c r="E21" s="107"/>
      <c r="F21" s="104"/>
      <c r="G21" s="104"/>
      <c r="L21" s="108"/>
      <c r="M21" s="108"/>
      <c r="N21" s="117"/>
    </row>
    <row r="22" spans="1:15" ht="24" customHeight="1" x14ac:dyDescent="0.2">
      <c r="B22" s="75" t="s">
        <v>28</v>
      </c>
      <c r="C22" s="146">
        <v>172</v>
      </c>
      <c r="D22" s="147"/>
      <c r="E22" s="107" t="s">
        <v>18</v>
      </c>
      <c r="F22" s="104"/>
      <c r="G22" s="148" t="s">
        <v>29</v>
      </c>
      <c r="H22" s="148"/>
      <c r="I22" s="146">
        <v>207</v>
      </c>
      <c r="J22" s="147"/>
      <c r="K22" s="102" t="s">
        <v>18</v>
      </c>
      <c r="M22" s="108"/>
      <c r="N22" s="117"/>
    </row>
    <row r="23" spans="1:15" ht="7.5" customHeight="1" x14ac:dyDescent="0.2">
      <c r="B23" s="75"/>
      <c r="C23" s="109"/>
      <c r="D23" s="109"/>
      <c r="E23" s="107"/>
      <c r="F23" s="104"/>
      <c r="G23" s="108"/>
      <c r="H23" s="108"/>
      <c r="I23" s="109"/>
      <c r="J23" s="109"/>
      <c r="K23" s="102"/>
      <c r="M23" s="108"/>
      <c r="N23" s="117"/>
    </row>
    <row r="24" spans="1:15" ht="24" customHeight="1" x14ac:dyDescent="0.2">
      <c r="B24" s="75" t="s">
        <v>30</v>
      </c>
      <c r="C24" s="146"/>
      <c r="D24" s="147"/>
      <c r="E24" s="107" t="s">
        <v>18</v>
      </c>
      <c r="F24" s="104"/>
      <c r="G24" s="148" t="s">
        <v>31</v>
      </c>
      <c r="H24" s="148"/>
      <c r="I24" s="146"/>
      <c r="J24" s="147"/>
      <c r="K24" s="102" t="s">
        <v>18</v>
      </c>
      <c r="M24" s="108"/>
      <c r="N24" s="117"/>
    </row>
    <row r="25" spans="1:15" ht="7.5" customHeight="1" x14ac:dyDescent="0.2">
      <c r="B25" s="75"/>
      <c r="C25" s="109"/>
      <c r="D25" s="109"/>
      <c r="E25" s="107"/>
      <c r="F25" s="104"/>
      <c r="G25" s="108"/>
      <c r="H25" s="108"/>
      <c r="I25" s="109"/>
      <c r="J25" s="109"/>
      <c r="K25" s="102"/>
      <c r="M25" s="108"/>
      <c r="N25" s="117"/>
    </row>
    <row r="26" spans="1:15" ht="24" customHeight="1" x14ac:dyDescent="0.2">
      <c r="B26" s="75" t="s">
        <v>32</v>
      </c>
      <c r="C26" s="146"/>
      <c r="D26" s="147"/>
      <c r="E26" s="107" t="s">
        <v>18</v>
      </c>
      <c r="F26" s="104"/>
      <c r="G26" s="148" t="s">
        <v>33</v>
      </c>
      <c r="H26" s="148"/>
      <c r="I26" s="146"/>
      <c r="J26" s="147"/>
      <c r="K26" s="102" t="s">
        <v>18</v>
      </c>
      <c r="M26" s="108"/>
      <c r="N26" s="117"/>
    </row>
    <row r="27" spans="1:15" ht="7.5" customHeight="1" x14ac:dyDescent="0.2">
      <c r="F27" s="104"/>
      <c r="G27" s="104"/>
      <c r="M27" s="110"/>
      <c r="N27" s="110"/>
    </row>
    <row r="28" spans="1:15" ht="24" customHeight="1" x14ac:dyDescent="0.2">
      <c r="A28" s="51" t="s">
        <v>34</v>
      </c>
      <c r="B28" s="99" t="s">
        <v>35</v>
      </c>
      <c r="C28" s="99"/>
      <c r="D28" s="99"/>
      <c r="E28" s="99"/>
      <c r="F28" s="102"/>
      <c r="G28" s="101"/>
      <c r="H28" s="101"/>
      <c r="I28" s="101"/>
      <c r="J28" s="111"/>
      <c r="K28" s="111"/>
      <c r="L28" s="111"/>
      <c r="M28" s="111"/>
      <c r="N28" s="111"/>
    </row>
    <row r="29" spans="1:15" ht="24" customHeight="1" x14ac:dyDescent="0.2">
      <c r="B29" s="143" t="s">
        <v>36</v>
      </c>
      <c r="C29" s="143"/>
      <c r="D29" s="140" t="s">
        <v>125</v>
      </c>
      <c r="E29" s="141"/>
      <c r="F29" s="141"/>
      <c r="G29" s="144" t="s">
        <v>37</v>
      </c>
      <c r="H29" s="143"/>
      <c r="I29" s="145"/>
      <c r="J29" s="140" t="s">
        <v>140</v>
      </c>
      <c r="K29" s="141"/>
      <c r="L29" s="141"/>
      <c r="M29" s="141"/>
      <c r="N29" s="142"/>
      <c r="O29" s="51" t="str">
        <f>IF(OR(D29="",J29=""),"入力してください","")</f>
        <v/>
      </c>
    </row>
    <row r="30" spans="1:15" ht="7.5" customHeight="1" x14ac:dyDescent="0.2">
      <c r="F30" s="104"/>
      <c r="G30" s="104"/>
      <c r="M30" s="110"/>
      <c r="N30" s="110"/>
    </row>
    <row r="31" spans="1:15" ht="24" customHeight="1" x14ac:dyDescent="0.2">
      <c r="A31" s="51" t="s">
        <v>38</v>
      </c>
      <c r="B31" s="99" t="s">
        <v>39</v>
      </c>
      <c r="C31" s="99"/>
      <c r="D31" s="99"/>
      <c r="E31" s="99"/>
      <c r="F31" s="102"/>
      <c r="G31" s="111"/>
      <c r="H31" s="111"/>
      <c r="I31" s="111"/>
      <c r="J31" s="111"/>
      <c r="K31" s="111"/>
      <c r="L31" s="111"/>
      <c r="M31" s="111"/>
      <c r="N31" s="111"/>
    </row>
    <row r="32" spans="1:15" ht="24" customHeight="1" x14ac:dyDescent="0.2">
      <c r="B32" s="140" t="s">
        <v>126</v>
      </c>
      <c r="C32" s="141"/>
      <c r="D32" s="141"/>
      <c r="E32" s="141"/>
      <c r="F32" s="141"/>
      <c r="G32" s="141"/>
      <c r="H32" s="141"/>
      <c r="I32" s="141"/>
      <c r="J32" s="141"/>
      <c r="K32" s="141"/>
      <c r="L32" s="141"/>
      <c r="M32" s="141"/>
      <c r="N32" s="142"/>
      <c r="O32" s="51" t="str">
        <f>IF(B32="","入力してください","")</f>
        <v/>
      </c>
    </row>
    <row r="33" spans="1:15" ht="7.5" customHeight="1" x14ac:dyDescent="0.2">
      <c r="B33" s="112"/>
      <c r="C33" s="112"/>
      <c r="D33" s="112"/>
      <c r="E33" s="112"/>
      <c r="F33" s="112"/>
      <c r="G33" s="112"/>
      <c r="H33" s="112"/>
      <c r="I33" s="112"/>
      <c r="J33" s="112"/>
      <c r="K33" s="112"/>
      <c r="L33" s="112"/>
      <c r="M33" s="112"/>
      <c r="N33" s="112"/>
    </row>
    <row r="34" spans="1:15" ht="24" customHeight="1" x14ac:dyDescent="0.2">
      <c r="B34" s="143" t="s">
        <v>36</v>
      </c>
      <c r="C34" s="143"/>
      <c r="D34" s="140" t="s">
        <v>129</v>
      </c>
      <c r="E34" s="141"/>
      <c r="F34" s="141"/>
      <c r="G34" s="144" t="s">
        <v>37</v>
      </c>
      <c r="H34" s="143"/>
      <c r="I34" s="145"/>
      <c r="J34" s="140" t="s">
        <v>155</v>
      </c>
      <c r="K34" s="141"/>
      <c r="L34" s="141"/>
      <c r="M34" s="141"/>
      <c r="N34" s="142"/>
      <c r="O34" s="51" t="str">
        <f>IF(OR(D34="",J34=""),"入力してください","")</f>
        <v/>
      </c>
    </row>
    <row r="35" spans="1:15" ht="7.5" customHeight="1" x14ac:dyDescent="0.2">
      <c r="F35" s="101"/>
      <c r="G35" s="101"/>
      <c r="H35" s="101"/>
      <c r="I35" s="101"/>
      <c r="J35" s="101"/>
      <c r="K35" s="101"/>
      <c r="L35" s="101"/>
      <c r="M35" s="101"/>
      <c r="N35" s="101"/>
    </row>
    <row r="36" spans="1:15" ht="24" customHeight="1" x14ac:dyDescent="0.2">
      <c r="A36" s="51" t="s">
        <v>40</v>
      </c>
      <c r="B36" s="7" t="s">
        <v>41</v>
      </c>
      <c r="M36" s="110"/>
      <c r="N36" s="110"/>
    </row>
    <row r="37" spans="1:15" ht="24" customHeight="1" x14ac:dyDescent="0.2">
      <c r="B37" s="140" t="s">
        <v>156</v>
      </c>
      <c r="C37" s="141"/>
      <c r="D37" s="141"/>
      <c r="E37" s="141"/>
      <c r="F37" s="141"/>
      <c r="G37" s="141"/>
      <c r="H37" s="141"/>
      <c r="I37" s="141"/>
      <c r="J37" s="141"/>
      <c r="K37" s="141"/>
      <c r="L37" s="141"/>
      <c r="M37" s="141"/>
      <c r="N37" s="142"/>
      <c r="O37" s="51" t="str">
        <f>IF(B37="","入力してください","")</f>
        <v/>
      </c>
    </row>
    <row r="38" spans="1:15" ht="7.5" customHeight="1" x14ac:dyDescent="0.2">
      <c r="F38" s="101"/>
      <c r="G38" s="101"/>
      <c r="H38" s="101"/>
      <c r="I38" s="101"/>
      <c r="J38" s="101"/>
      <c r="K38" s="101"/>
      <c r="L38" s="101"/>
      <c r="M38" s="101"/>
      <c r="N38" s="101"/>
    </row>
    <row r="39" spans="1:15" ht="24" customHeight="1" x14ac:dyDescent="0.2">
      <c r="B39" s="143" t="s">
        <v>36</v>
      </c>
      <c r="C39" s="143"/>
      <c r="D39" s="140" t="s">
        <v>154</v>
      </c>
      <c r="E39" s="141"/>
      <c r="F39" s="141"/>
      <c r="G39" s="144" t="s">
        <v>37</v>
      </c>
      <c r="H39" s="143"/>
      <c r="I39" s="145"/>
      <c r="J39" s="140" t="s">
        <v>155</v>
      </c>
      <c r="K39" s="141"/>
      <c r="L39" s="141"/>
      <c r="M39" s="141"/>
      <c r="N39" s="142"/>
      <c r="O39" s="51" t="str">
        <f>IF(OR(D39="",J39=""),"入力してください","")</f>
        <v/>
      </c>
    </row>
    <row r="40" spans="1:15" ht="7.5" customHeight="1" x14ac:dyDescent="0.2">
      <c r="F40" s="101"/>
      <c r="G40" s="101"/>
      <c r="H40" s="101"/>
      <c r="I40" s="101"/>
      <c r="J40" s="101"/>
      <c r="K40" s="101"/>
      <c r="L40" s="101"/>
      <c r="M40" s="101"/>
      <c r="N40" s="101"/>
    </row>
    <row r="41" spans="1:15" ht="24" customHeight="1" x14ac:dyDescent="0.2">
      <c r="A41" s="51" t="s">
        <v>42</v>
      </c>
      <c r="B41" s="7" t="s">
        <v>43</v>
      </c>
      <c r="E41" s="113"/>
      <c r="F41" s="140" t="s">
        <v>44</v>
      </c>
      <c r="G41" s="141"/>
      <c r="H41" s="141"/>
      <c r="I41" s="141"/>
      <c r="J41" s="141"/>
      <c r="K41" s="141"/>
      <c r="L41" s="141"/>
      <c r="M41" s="141"/>
      <c r="N41" s="142"/>
      <c r="O41" s="51" t="str">
        <f>IF(F41="","入力してください","")</f>
        <v/>
      </c>
    </row>
    <row r="42" spans="1:15" ht="7.5" customHeight="1" x14ac:dyDescent="0.2">
      <c r="F42" s="101"/>
      <c r="G42" s="101"/>
      <c r="H42" s="101"/>
      <c r="I42" s="101"/>
      <c r="J42" s="101"/>
      <c r="K42" s="101"/>
      <c r="L42" s="101"/>
      <c r="M42" s="101"/>
      <c r="N42" s="101"/>
    </row>
    <row r="43" spans="1:15" ht="24" customHeight="1" x14ac:dyDescent="0.2">
      <c r="A43" s="51" t="s">
        <v>45</v>
      </c>
    </row>
    <row r="44" spans="1:15" ht="24" customHeight="1" x14ac:dyDescent="0.2">
      <c r="B44" s="77" t="s">
        <v>46</v>
      </c>
      <c r="C44" s="129" t="s">
        <v>127</v>
      </c>
      <c r="D44" s="130"/>
      <c r="E44" s="130"/>
      <c r="F44" s="130"/>
      <c r="G44" s="130"/>
      <c r="H44" s="130"/>
      <c r="I44" s="114" t="s">
        <v>47</v>
      </c>
      <c r="J44" s="115"/>
      <c r="K44" s="131" t="s">
        <v>129</v>
      </c>
      <c r="L44" s="132"/>
      <c r="M44" s="132"/>
      <c r="N44" s="133"/>
      <c r="O44" s="51" t="str">
        <f>IF(OR(C44="",K44=""),"入力してください","")</f>
        <v/>
      </c>
    </row>
    <row r="45" spans="1:15" ht="24" customHeight="1" x14ac:dyDescent="0.2">
      <c r="B45" s="116" t="s">
        <v>48</v>
      </c>
      <c r="C45" s="134" t="s">
        <v>128</v>
      </c>
      <c r="D45" s="135"/>
      <c r="E45" s="135"/>
      <c r="F45" s="135"/>
      <c r="G45" s="135"/>
      <c r="H45" s="136"/>
      <c r="I45" s="114" t="s">
        <v>49</v>
      </c>
      <c r="J45" s="115"/>
      <c r="K45" s="137" t="s">
        <v>153</v>
      </c>
      <c r="L45" s="138"/>
      <c r="M45" s="138"/>
      <c r="N45" s="139"/>
      <c r="O45" s="51" t="str">
        <f>IF(OR(C45="",K45=""),"入力してください","")</f>
        <v/>
      </c>
    </row>
  </sheetData>
  <mergeCells count="44">
    <mergeCell ref="C8:N8"/>
    <mergeCell ref="A2:N2"/>
    <mergeCell ref="C4:N4"/>
    <mergeCell ref="D6:H6"/>
    <mergeCell ref="K6:N6"/>
    <mergeCell ref="E10:N10"/>
    <mergeCell ref="E12:F12"/>
    <mergeCell ref="C14:D14"/>
    <mergeCell ref="E14:F14"/>
    <mergeCell ref="I14:J14"/>
    <mergeCell ref="K14:M14"/>
    <mergeCell ref="K16:M16"/>
    <mergeCell ref="E18:F18"/>
    <mergeCell ref="K18:N18"/>
    <mergeCell ref="J20:L20"/>
    <mergeCell ref="C22:D22"/>
    <mergeCell ref="G22:H22"/>
    <mergeCell ref="I22:J22"/>
    <mergeCell ref="B29:C29"/>
    <mergeCell ref="D29:F29"/>
    <mergeCell ref="G29:I29"/>
    <mergeCell ref="J29:N29"/>
    <mergeCell ref="B32:N32"/>
    <mergeCell ref="G24:H24"/>
    <mergeCell ref="I24:J24"/>
    <mergeCell ref="C26:D26"/>
    <mergeCell ref="G26:H26"/>
    <mergeCell ref="I26:J26"/>
    <mergeCell ref="L1:N1"/>
    <mergeCell ref="C44:H44"/>
    <mergeCell ref="K44:N44"/>
    <mergeCell ref="C45:H45"/>
    <mergeCell ref="K45:N45"/>
    <mergeCell ref="B37:N37"/>
    <mergeCell ref="B39:C39"/>
    <mergeCell ref="D39:F39"/>
    <mergeCell ref="G39:I39"/>
    <mergeCell ref="J39:N39"/>
    <mergeCell ref="F41:N41"/>
    <mergeCell ref="B34:C34"/>
    <mergeCell ref="D34:F34"/>
    <mergeCell ref="G34:I34"/>
    <mergeCell ref="J34:N34"/>
    <mergeCell ref="C24:D24"/>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scale="9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heetViews>
  <sheetFormatPr defaultColWidth="9" defaultRowHeight="18.75" customHeight="1" x14ac:dyDescent="0.2"/>
  <cols>
    <col min="1" max="1" width="2.453125" style="2" customWidth="1"/>
    <col min="2" max="2" width="27.7265625" style="2" customWidth="1"/>
    <col min="3" max="13" width="3.36328125" style="2" customWidth="1"/>
    <col min="14" max="14" width="8.90625" style="2" customWidth="1"/>
    <col min="15" max="15" width="18.90625" style="2" customWidth="1"/>
    <col min="16" max="19" width="3.36328125" style="2" customWidth="1"/>
    <col min="20" max="20" width="3.453125" style="2" customWidth="1"/>
    <col min="21" max="26" width="3.36328125" style="2" customWidth="1"/>
    <col min="27" max="16384" width="9" style="2"/>
  </cols>
  <sheetData>
    <row r="1" spans="1:26" ht="15" customHeight="1" x14ac:dyDescent="0.2">
      <c r="W1" s="265" t="s">
        <v>134</v>
      </c>
      <c r="X1" s="265"/>
      <c r="Y1" s="265"/>
      <c r="Z1" s="265"/>
    </row>
    <row r="2" spans="1:26" ht="18" customHeight="1" x14ac:dyDescent="0.2">
      <c r="A2" s="225" t="s">
        <v>50</v>
      </c>
      <c r="B2" s="225"/>
      <c r="C2" s="225"/>
      <c r="D2" s="225"/>
      <c r="E2" s="225"/>
      <c r="F2" s="225"/>
      <c r="G2" s="225"/>
      <c r="H2" s="225"/>
      <c r="I2" s="225"/>
      <c r="J2" s="225"/>
      <c r="K2" s="225"/>
      <c r="L2" s="225"/>
      <c r="M2" s="225"/>
      <c r="N2" s="225"/>
      <c r="O2" s="225"/>
      <c r="P2" s="225"/>
      <c r="Q2" s="225"/>
      <c r="R2" s="225"/>
      <c r="S2" s="225"/>
      <c r="T2" s="225"/>
      <c r="U2" s="225"/>
      <c r="V2" s="225"/>
      <c r="W2" s="225"/>
      <c r="X2" s="225"/>
      <c r="Y2" s="225"/>
      <c r="Z2" s="225"/>
    </row>
    <row r="3" spans="1:26" ht="15" customHeight="1" x14ac:dyDescent="0.2">
      <c r="B3" s="54"/>
      <c r="C3" s="54"/>
      <c r="D3" s="54"/>
      <c r="E3" s="54"/>
      <c r="F3" s="54"/>
      <c r="G3" s="54"/>
      <c r="H3" s="54"/>
      <c r="I3" s="54"/>
      <c r="J3" s="54"/>
      <c r="K3" s="54"/>
      <c r="L3" s="54"/>
      <c r="M3" s="54"/>
      <c r="N3" s="54"/>
      <c r="O3" s="54"/>
      <c r="P3" s="54"/>
      <c r="Q3" s="54"/>
      <c r="R3" s="54"/>
      <c r="S3" s="54"/>
      <c r="T3" s="54"/>
      <c r="U3" s="54"/>
      <c r="V3" s="54"/>
      <c r="W3" s="54"/>
      <c r="X3" s="54"/>
      <c r="Y3" s="54"/>
      <c r="Z3" s="54"/>
    </row>
    <row r="4" spans="1:26" ht="18" customHeight="1" x14ac:dyDescent="0.2">
      <c r="A4" s="2" t="s">
        <v>51</v>
      </c>
      <c r="B4" s="54"/>
      <c r="C4" s="54"/>
      <c r="D4" s="54"/>
      <c r="E4" s="54"/>
      <c r="F4" s="54"/>
      <c r="G4" s="54"/>
      <c r="H4" s="52" t="s">
        <v>52</v>
      </c>
      <c r="I4" s="54"/>
      <c r="J4" s="54"/>
      <c r="K4" s="54"/>
      <c r="L4" s="54"/>
      <c r="M4" s="54"/>
      <c r="N4" s="54"/>
      <c r="O4" s="168" t="s">
        <v>53</v>
      </c>
      <c r="P4" s="169"/>
      <c r="Q4" s="169"/>
      <c r="R4" s="169"/>
      <c r="S4" s="169"/>
      <c r="T4" s="169"/>
      <c r="U4" s="169"/>
      <c r="V4" s="169"/>
      <c r="W4" s="169"/>
      <c r="X4" s="169"/>
      <c r="Y4" s="169"/>
      <c r="Z4" s="170"/>
    </row>
    <row r="5" spans="1:26" ht="6" customHeight="1" x14ac:dyDescent="0.2">
      <c r="B5" s="54"/>
      <c r="C5" s="54"/>
      <c r="D5" s="54"/>
      <c r="E5" s="54"/>
      <c r="F5" s="54"/>
      <c r="G5" s="54"/>
      <c r="H5" s="54"/>
      <c r="I5" s="54"/>
      <c r="J5" s="54"/>
      <c r="K5" s="54"/>
      <c r="L5" s="54"/>
      <c r="M5" s="54"/>
      <c r="N5" s="54"/>
      <c r="O5" s="3"/>
      <c r="P5" s="54"/>
      <c r="Q5" s="54"/>
      <c r="R5" s="54"/>
      <c r="S5" s="54"/>
      <c r="T5" s="54"/>
      <c r="U5" s="54"/>
      <c r="V5" s="54"/>
      <c r="W5" s="54"/>
      <c r="X5" s="54"/>
      <c r="Y5" s="54"/>
      <c r="Z5" s="54"/>
    </row>
    <row r="6" spans="1:26" ht="18" customHeight="1" x14ac:dyDescent="0.2">
      <c r="B6" s="226" t="s">
        <v>138</v>
      </c>
      <c r="C6" s="227"/>
      <c r="D6" s="227"/>
      <c r="E6" s="227"/>
      <c r="F6" s="227"/>
      <c r="G6" s="227"/>
      <c r="H6" s="227"/>
      <c r="I6" s="227"/>
      <c r="J6" s="227"/>
      <c r="K6" s="227"/>
      <c r="L6" s="227"/>
      <c r="M6" s="227"/>
      <c r="N6" s="227"/>
      <c r="O6" s="227"/>
      <c r="P6" s="227"/>
      <c r="Q6" s="227"/>
      <c r="R6" s="227"/>
      <c r="S6" s="227"/>
      <c r="T6" s="227"/>
      <c r="U6" s="227"/>
      <c r="V6" s="227"/>
      <c r="W6" s="227"/>
      <c r="X6" s="227"/>
      <c r="Y6" s="227"/>
      <c r="Z6" s="228"/>
    </row>
    <row r="7" spans="1:26" ht="18" customHeight="1" x14ac:dyDescent="0.2">
      <c r="B7" s="229"/>
      <c r="C7" s="230"/>
      <c r="D7" s="230"/>
      <c r="E7" s="230"/>
      <c r="F7" s="230"/>
      <c r="G7" s="230"/>
      <c r="H7" s="230"/>
      <c r="I7" s="230"/>
      <c r="J7" s="230"/>
      <c r="K7" s="230"/>
      <c r="L7" s="230"/>
      <c r="M7" s="230"/>
      <c r="N7" s="230"/>
      <c r="O7" s="230"/>
      <c r="P7" s="230"/>
      <c r="Q7" s="230"/>
      <c r="R7" s="230"/>
      <c r="S7" s="230"/>
      <c r="T7" s="230"/>
      <c r="U7" s="230"/>
      <c r="V7" s="230"/>
      <c r="W7" s="230"/>
      <c r="X7" s="230"/>
      <c r="Y7" s="230"/>
      <c r="Z7" s="231"/>
    </row>
    <row r="8" spans="1:26" ht="18" customHeight="1" x14ac:dyDescent="0.2">
      <c r="B8" s="229"/>
      <c r="C8" s="230"/>
      <c r="D8" s="230"/>
      <c r="E8" s="230"/>
      <c r="F8" s="230"/>
      <c r="G8" s="230"/>
      <c r="H8" s="230"/>
      <c r="I8" s="230"/>
      <c r="J8" s="230"/>
      <c r="K8" s="230"/>
      <c r="L8" s="230"/>
      <c r="M8" s="230"/>
      <c r="N8" s="230"/>
      <c r="O8" s="230"/>
      <c r="P8" s="230"/>
      <c r="Q8" s="230"/>
      <c r="R8" s="230"/>
      <c r="S8" s="230"/>
      <c r="T8" s="230"/>
      <c r="U8" s="230"/>
      <c r="V8" s="230"/>
      <c r="W8" s="230"/>
      <c r="X8" s="230"/>
      <c r="Y8" s="230"/>
      <c r="Z8" s="231"/>
    </row>
    <row r="9" spans="1:26" ht="18" customHeight="1" x14ac:dyDescent="0.2">
      <c r="B9" s="229"/>
      <c r="C9" s="230"/>
      <c r="D9" s="230"/>
      <c r="E9" s="230"/>
      <c r="F9" s="230"/>
      <c r="G9" s="230"/>
      <c r="H9" s="230"/>
      <c r="I9" s="230"/>
      <c r="J9" s="230"/>
      <c r="K9" s="230"/>
      <c r="L9" s="230"/>
      <c r="M9" s="230"/>
      <c r="N9" s="230"/>
      <c r="O9" s="230"/>
      <c r="P9" s="230"/>
      <c r="Q9" s="230"/>
      <c r="R9" s="230"/>
      <c r="S9" s="230"/>
      <c r="T9" s="230"/>
      <c r="U9" s="230"/>
      <c r="V9" s="230"/>
      <c r="W9" s="230"/>
      <c r="X9" s="230"/>
      <c r="Y9" s="230"/>
      <c r="Z9" s="231"/>
    </row>
    <row r="10" spans="1:26" ht="18" customHeight="1" x14ac:dyDescent="0.2">
      <c r="B10" s="229"/>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1"/>
    </row>
    <row r="11" spans="1:26" ht="43.5" customHeight="1" x14ac:dyDescent="0.2">
      <c r="B11" s="233"/>
      <c r="C11" s="234"/>
      <c r="D11" s="234"/>
      <c r="E11" s="234"/>
      <c r="F11" s="234"/>
      <c r="G11" s="234"/>
      <c r="H11" s="234"/>
      <c r="I11" s="234"/>
      <c r="J11" s="234"/>
      <c r="K11" s="234"/>
      <c r="L11" s="234"/>
      <c r="M11" s="234"/>
      <c r="N11" s="234"/>
      <c r="O11" s="234"/>
      <c r="P11" s="234"/>
      <c r="Q11" s="234"/>
      <c r="R11" s="234"/>
      <c r="S11" s="234"/>
      <c r="T11" s="234"/>
      <c r="U11" s="234"/>
      <c r="V11" s="234"/>
      <c r="W11" s="234"/>
      <c r="X11" s="234"/>
      <c r="Y11" s="234"/>
      <c r="Z11" s="235"/>
    </row>
    <row r="12" spans="1:26" ht="7.5" customHeight="1" x14ac:dyDescent="0.2">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spans="1:26" ht="18" customHeight="1" x14ac:dyDescent="0.2">
      <c r="A13" s="218" t="s">
        <v>54</v>
      </c>
      <c r="B13" s="218"/>
      <c r="C13" s="218"/>
      <c r="D13" s="218"/>
      <c r="E13" s="218"/>
      <c r="F13" s="218"/>
      <c r="G13" s="218"/>
      <c r="H13" s="218"/>
      <c r="I13" s="218"/>
      <c r="J13" s="218"/>
      <c r="K13" s="218"/>
      <c r="L13" s="218"/>
      <c r="M13" s="218"/>
      <c r="N13" s="218"/>
      <c r="O13" s="218"/>
      <c r="P13" s="218"/>
      <c r="Q13" s="218"/>
      <c r="R13" s="218"/>
      <c r="S13" s="218"/>
      <c r="T13" s="218"/>
      <c r="U13" s="218"/>
      <c r="V13" s="218"/>
      <c r="W13" s="218"/>
      <c r="X13" s="218"/>
      <c r="Y13" s="218"/>
      <c r="Z13" s="218"/>
    </row>
    <row r="14" spans="1:26" ht="18" customHeight="1" x14ac:dyDescent="0.2">
      <c r="A14" s="218"/>
      <c r="B14" s="218"/>
      <c r="C14" s="218"/>
      <c r="D14" s="218"/>
      <c r="E14" s="218"/>
      <c r="F14" s="218"/>
      <c r="G14" s="218"/>
      <c r="H14" s="218"/>
      <c r="I14" s="218"/>
      <c r="J14" s="218"/>
      <c r="K14" s="218"/>
      <c r="L14" s="218"/>
      <c r="M14" s="218"/>
      <c r="N14" s="218"/>
      <c r="O14" s="218"/>
      <c r="P14" s="218"/>
      <c r="Q14" s="218"/>
      <c r="R14" s="218"/>
      <c r="S14" s="218"/>
      <c r="T14" s="218"/>
      <c r="U14" s="218"/>
      <c r="V14" s="218"/>
      <c r="W14" s="218"/>
      <c r="X14" s="218"/>
      <c r="Y14" s="218"/>
      <c r="Z14" s="218"/>
    </row>
    <row r="15" spans="1:26" ht="18" customHeight="1" x14ac:dyDescent="0.2">
      <c r="A15" s="51"/>
      <c r="B15" s="168" t="s">
        <v>55</v>
      </c>
      <c r="C15" s="169"/>
      <c r="D15" s="169"/>
      <c r="E15" s="169"/>
      <c r="F15" s="170"/>
      <c r="G15" s="6" t="s">
        <v>56</v>
      </c>
      <c r="H15" s="19" t="s">
        <v>57</v>
      </c>
      <c r="I15" s="169" t="s">
        <v>58</v>
      </c>
      <c r="J15" s="169"/>
      <c r="K15" s="169"/>
      <c r="L15" s="8" t="s">
        <v>59</v>
      </c>
      <c r="M15" s="8" t="s">
        <v>60</v>
      </c>
      <c r="N15" s="168" t="s">
        <v>55</v>
      </c>
      <c r="O15" s="169"/>
      <c r="P15" s="169"/>
      <c r="Q15" s="169"/>
      <c r="R15" s="169"/>
      <c r="S15" s="170"/>
      <c r="T15" s="6" t="s">
        <v>56</v>
      </c>
      <c r="U15" s="19" t="s">
        <v>57</v>
      </c>
      <c r="V15" s="169" t="s">
        <v>58</v>
      </c>
      <c r="W15" s="169"/>
      <c r="X15" s="169"/>
      <c r="Y15" s="8" t="s">
        <v>59</v>
      </c>
      <c r="Z15" s="8" t="s">
        <v>60</v>
      </c>
    </row>
    <row r="16" spans="1:26" ht="18" customHeight="1" x14ac:dyDescent="0.2">
      <c r="A16" s="51"/>
      <c r="B16" s="171" t="s">
        <v>131</v>
      </c>
      <c r="C16" s="172"/>
      <c r="D16" s="172"/>
      <c r="E16" s="172"/>
      <c r="F16" s="173"/>
      <c r="G16" s="20">
        <v>2</v>
      </c>
      <c r="H16" s="20" t="s">
        <v>61</v>
      </c>
      <c r="I16" s="198" t="s">
        <v>62</v>
      </c>
      <c r="J16" s="199"/>
      <c r="K16" s="200"/>
      <c r="L16" s="81" t="s">
        <v>61</v>
      </c>
      <c r="M16" s="81" t="s">
        <v>61</v>
      </c>
      <c r="N16" s="162"/>
      <c r="O16" s="163"/>
      <c r="P16" s="163"/>
      <c r="Q16" s="163"/>
      <c r="R16" s="163"/>
      <c r="S16" s="164"/>
      <c r="T16" s="20"/>
      <c r="U16" s="20"/>
      <c r="V16" s="198"/>
      <c r="W16" s="199"/>
      <c r="X16" s="200"/>
      <c r="Y16" s="9"/>
      <c r="Z16" s="9"/>
    </row>
    <row r="17" spans="1:26" ht="18" customHeight="1" x14ac:dyDescent="0.2">
      <c r="A17" s="51"/>
      <c r="B17" s="204" t="s">
        <v>136</v>
      </c>
      <c r="C17" s="196"/>
      <c r="D17" s="196"/>
      <c r="E17" s="196"/>
      <c r="F17" s="197"/>
      <c r="G17" s="21">
        <v>2</v>
      </c>
      <c r="H17" s="21" t="s">
        <v>61</v>
      </c>
      <c r="I17" s="201" t="s">
        <v>62</v>
      </c>
      <c r="J17" s="202"/>
      <c r="K17" s="203"/>
      <c r="L17" s="72" t="s">
        <v>61</v>
      </c>
      <c r="M17" s="72"/>
      <c r="N17" s="177"/>
      <c r="O17" s="178"/>
      <c r="P17" s="178"/>
      <c r="Q17" s="178"/>
      <c r="R17" s="178"/>
      <c r="S17" s="179"/>
      <c r="T17" s="21"/>
      <c r="U17" s="21"/>
      <c r="V17" s="205"/>
      <c r="W17" s="206"/>
      <c r="X17" s="207"/>
      <c r="Y17" s="10"/>
      <c r="Z17" s="10"/>
    </row>
    <row r="18" spans="1:26" ht="18" customHeight="1" x14ac:dyDescent="0.2">
      <c r="A18" s="51"/>
      <c r="B18" s="219"/>
      <c r="C18" s="220"/>
      <c r="D18" s="220"/>
      <c r="E18" s="220"/>
      <c r="F18" s="221"/>
      <c r="G18" s="21"/>
      <c r="H18" s="21"/>
      <c r="I18" s="205"/>
      <c r="J18" s="206"/>
      <c r="K18" s="207"/>
      <c r="L18" s="72"/>
      <c r="M18" s="72"/>
      <c r="N18" s="177"/>
      <c r="O18" s="178"/>
      <c r="P18" s="178"/>
      <c r="Q18" s="178"/>
      <c r="R18" s="178"/>
      <c r="S18" s="179"/>
      <c r="T18" s="21"/>
      <c r="U18" s="21"/>
      <c r="V18" s="205"/>
      <c r="W18" s="206"/>
      <c r="X18" s="207"/>
      <c r="Y18" s="10"/>
      <c r="Z18" s="10"/>
    </row>
    <row r="19" spans="1:26" ht="18" customHeight="1" x14ac:dyDescent="0.2">
      <c r="A19" s="51"/>
      <c r="B19" s="219"/>
      <c r="C19" s="220"/>
      <c r="D19" s="220"/>
      <c r="E19" s="220"/>
      <c r="F19" s="221"/>
      <c r="G19" s="21"/>
      <c r="H19" s="21"/>
      <c r="I19" s="205"/>
      <c r="J19" s="206"/>
      <c r="K19" s="207"/>
      <c r="L19" s="72"/>
      <c r="M19" s="72"/>
      <c r="N19" s="177"/>
      <c r="O19" s="178"/>
      <c r="P19" s="178"/>
      <c r="Q19" s="178"/>
      <c r="R19" s="178"/>
      <c r="S19" s="179"/>
      <c r="T19" s="21"/>
      <c r="U19" s="21"/>
      <c r="V19" s="205"/>
      <c r="W19" s="206"/>
      <c r="X19" s="207"/>
      <c r="Y19" s="10"/>
      <c r="Z19" s="10"/>
    </row>
    <row r="20" spans="1:26" ht="18" customHeight="1" x14ac:dyDescent="0.2">
      <c r="A20" s="51"/>
      <c r="B20" s="219"/>
      <c r="C20" s="220"/>
      <c r="D20" s="220"/>
      <c r="E20" s="220"/>
      <c r="F20" s="221"/>
      <c r="G20" s="21"/>
      <c r="H20" s="21"/>
      <c r="I20" s="205"/>
      <c r="J20" s="206"/>
      <c r="K20" s="207"/>
      <c r="L20" s="10"/>
      <c r="M20" s="10"/>
      <c r="N20" s="177"/>
      <c r="O20" s="178"/>
      <c r="P20" s="178"/>
      <c r="Q20" s="178"/>
      <c r="R20" s="178"/>
      <c r="S20" s="179"/>
      <c r="T20" s="21"/>
      <c r="U20" s="21"/>
      <c r="V20" s="205"/>
      <c r="W20" s="206"/>
      <c r="X20" s="207"/>
      <c r="Y20" s="10"/>
      <c r="Z20" s="10"/>
    </row>
    <row r="21" spans="1:26" ht="18" customHeight="1" x14ac:dyDescent="0.2">
      <c r="A21" s="54"/>
      <c r="B21" s="219"/>
      <c r="C21" s="220"/>
      <c r="D21" s="220"/>
      <c r="E21" s="220"/>
      <c r="F21" s="221"/>
      <c r="G21" s="21"/>
      <c r="H21" s="21"/>
      <c r="I21" s="205"/>
      <c r="J21" s="206"/>
      <c r="K21" s="207"/>
      <c r="L21" s="10"/>
      <c r="M21" s="10"/>
      <c r="N21" s="177"/>
      <c r="O21" s="178"/>
      <c r="P21" s="178"/>
      <c r="Q21" s="178"/>
      <c r="R21" s="178"/>
      <c r="S21" s="179"/>
      <c r="T21" s="21"/>
      <c r="U21" s="21"/>
      <c r="V21" s="205"/>
      <c r="W21" s="206"/>
      <c r="X21" s="207"/>
      <c r="Y21" s="10"/>
      <c r="Z21" s="10"/>
    </row>
    <row r="22" spans="1:26" ht="18" customHeight="1" x14ac:dyDescent="0.2">
      <c r="A22" s="54"/>
      <c r="B22" s="222"/>
      <c r="C22" s="223"/>
      <c r="D22" s="223"/>
      <c r="E22" s="223"/>
      <c r="F22" s="224"/>
      <c r="G22" s="22"/>
      <c r="H22" s="22"/>
      <c r="I22" s="208"/>
      <c r="J22" s="209"/>
      <c r="K22" s="210"/>
      <c r="L22" s="11"/>
      <c r="M22" s="11"/>
      <c r="N22" s="246"/>
      <c r="O22" s="247"/>
      <c r="P22" s="247"/>
      <c r="Q22" s="247"/>
      <c r="R22" s="247"/>
      <c r="S22" s="248"/>
      <c r="T22" s="22"/>
      <c r="U22" s="22"/>
      <c r="V22" s="208"/>
      <c r="W22" s="209"/>
      <c r="X22" s="210"/>
      <c r="Y22" s="11"/>
      <c r="Z22" s="11"/>
    </row>
    <row r="23" spans="1:26" ht="7.5" customHeight="1" x14ac:dyDescent="0.2">
      <c r="A23" s="54"/>
      <c r="B23" s="12"/>
      <c r="C23" s="12"/>
      <c r="D23" s="54"/>
      <c r="E23" s="54"/>
      <c r="F23" s="54"/>
      <c r="G23" s="54"/>
      <c r="H23" s="54"/>
      <c r="I23" s="54"/>
      <c r="J23" s="54"/>
      <c r="K23" s="54"/>
      <c r="L23" s="12"/>
      <c r="M23" s="12"/>
      <c r="N23" s="12"/>
      <c r="O23" s="12"/>
      <c r="P23" s="12"/>
      <c r="Q23" s="12"/>
      <c r="R23" s="12"/>
      <c r="S23" s="12"/>
      <c r="T23" s="12"/>
      <c r="U23" s="12"/>
      <c r="V23" s="12"/>
      <c r="W23" s="12"/>
      <c r="X23" s="12"/>
      <c r="Y23" s="12"/>
      <c r="Z23" s="54"/>
    </row>
    <row r="24" spans="1:26" ht="18" customHeight="1" x14ac:dyDescent="0.2">
      <c r="A24" s="218" t="s">
        <v>63</v>
      </c>
      <c r="B24" s="218"/>
      <c r="C24" s="218"/>
      <c r="D24" s="218"/>
      <c r="E24" s="218"/>
      <c r="F24" s="218"/>
      <c r="G24" s="218"/>
      <c r="H24" s="218"/>
      <c r="I24" s="218"/>
      <c r="J24" s="218"/>
      <c r="K24" s="218"/>
      <c r="L24" s="218"/>
      <c r="M24" s="218"/>
      <c r="N24" s="218"/>
      <c r="O24" s="218"/>
      <c r="P24" s="218"/>
      <c r="Q24" s="218"/>
      <c r="R24" s="218"/>
      <c r="S24" s="218"/>
      <c r="T24" s="218"/>
      <c r="U24" s="218"/>
      <c r="V24" s="218"/>
      <c r="W24" s="218"/>
      <c r="X24" s="218"/>
      <c r="Y24" s="218"/>
      <c r="Z24" s="218"/>
    </row>
    <row r="25" spans="1:26" ht="18" customHeight="1" x14ac:dyDescent="0.2">
      <c r="A25" s="218"/>
      <c r="B25" s="218"/>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row>
    <row r="26" spans="1:26" ht="18" customHeight="1" x14ac:dyDescent="0.2">
      <c r="A26" s="51"/>
      <c r="B26" s="168" t="s">
        <v>55</v>
      </c>
      <c r="C26" s="169"/>
      <c r="D26" s="169"/>
      <c r="E26" s="169"/>
      <c r="F26" s="170"/>
      <c r="G26" s="6" t="s">
        <v>56</v>
      </c>
      <c r="H26" s="19" t="s">
        <v>57</v>
      </c>
      <c r="I26" s="169" t="s">
        <v>58</v>
      </c>
      <c r="J26" s="169"/>
      <c r="K26" s="169"/>
      <c r="L26" s="8" t="s">
        <v>64</v>
      </c>
      <c r="M26" s="8" t="s">
        <v>65</v>
      </c>
      <c r="N26" s="168" t="s">
        <v>55</v>
      </c>
      <c r="O26" s="169"/>
      <c r="P26" s="169"/>
      <c r="Q26" s="169"/>
      <c r="R26" s="169"/>
      <c r="S26" s="170"/>
      <c r="T26" s="6" t="s">
        <v>56</v>
      </c>
      <c r="U26" s="19" t="s">
        <v>57</v>
      </c>
      <c r="V26" s="169" t="s">
        <v>58</v>
      </c>
      <c r="W26" s="169"/>
      <c r="X26" s="169"/>
      <c r="Y26" s="8" t="s">
        <v>64</v>
      </c>
      <c r="Z26" s="8" t="s">
        <v>65</v>
      </c>
    </row>
    <row r="27" spans="1:26" ht="18" customHeight="1" x14ac:dyDescent="0.2">
      <c r="A27" s="51"/>
      <c r="B27" s="171" t="s">
        <v>131</v>
      </c>
      <c r="C27" s="172"/>
      <c r="D27" s="172"/>
      <c r="E27" s="172"/>
      <c r="F27" s="173"/>
      <c r="G27" s="20">
        <v>2</v>
      </c>
      <c r="H27" s="20" t="s">
        <v>61</v>
      </c>
      <c r="I27" s="198" t="s">
        <v>62</v>
      </c>
      <c r="J27" s="199"/>
      <c r="K27" s="200"/>
      <c r="L27" s="9" t="s">
        <v>61</v>
      </c>
      <c r="M27" s="9" t="s">
        <v>61</v>
      </c>
      <c r="N27" s="162"/>
      <c r="O27" s="163"/>
      <c r="P27" s="163"/>
      <c r="Q27" s="163"/>
      <c r="R27" s="163"/>
      <c r="S27" s="164"/>
      <c r="T27" s="20"/>
      <c r="U27" s="20"/>
      <c r="V27" s="198"/>
      <c r="W27" s="199"/>
      <c r="X27" s="200"/>
      <c r="Y27" s="9"/>
      <c r="Z27" s="9"/>
    </row>
    <row r="28" spans="1:26" ht="18" customHeight="1" x14ac:dyDescent="0.2">
      <c r="A28" s="7"/>
      <c r="B28" s="204" t="s">
        <v>132</v>
      </c>
      <c r="C28" s="196"/>
      <c r="D28" s="196"/>
      <c r="E28" s="196"/>
      <c r="F28" s="197"/>
      <c r="G28" s="71">
        <v>2</v>
      </c>
      <c r="H28" s="71"/>
      <c r="I28" s="201" t="s">
        <v>62</v>
      </c>
      <c r="J28" s="202"/>
      <c r="K28" s="203"/>
      <c r="L28" s="72"/>
      <c r="M28" s="72" t="s">
        <v>61</v>
      </c>
      <c r="N28" s="267"/>
      <c r="O28" s="175"/>
      <c r="P28" s="175"/>
      <c r="Q28" s="175"/>
      <c r="R28" s="175"/>
      <c r="S28" s="176"/>
      <c r="T28" s="71"/>
      <c r="U28" s="71"/>
      <c r="V28" s="201"/>
      <c r="W28" s="202"/>
      <c r="X28" s="203"/>
      <c r="Y28" s="72"/>
      <c r="Z28" s="72"/>
    </row>
    <row r="29" spans="1:26" ht="18" customHeight="1" x14ac:dyDescent="0.2">
      <c r="A29" s="7"/>
      <c r="B29" s="204"/>
      <c r="C29" s="196"/>
      <c r="D29" s="196"/>
      <c r="E29" s="196"/>
      <c r="F29" s="197"/>
      <c r="G29" s="71"/>
      <c r="H29" s="71"/>
      <c r="I29" s="201"/>
      <c r="J29" s="202"/>
      <c r="K29" s="203"/>
      <c r="L29" s="72"/>
      <c r="M29" s="72"/>
      <c r="N29" s="267"/>
      <c r="O29" s="175"/>
      <c r="P29" s="175"/>
      <c r="Q29" s="175"/>
      <c r="R29" s="175"/>
      <c r="S29" s="176"/>
      <c r="T29" s="71"/>
      <c r="U29" s="71"/>
      <c r="V29" s="201"/>
      <c r="W29" s="202"/>
      <c r="X29" s="203"/>
      <c r="Y29" s="72"/>
      <c r="Z29" s="72"/>
    </row>
    <row r="30" spans="1:26" ht="18" customHeight="1" x14ac:dyDescent="0.2">
      <c r="A30" s="7"/>
      <c r="B30" s="204"/>
      <c r="C30" s="196"/>
      <c r="D30" s="196"/>
      <c r="E30" s="196"/>
      <c r="F30" s="197"/>
      <c r="G30" s="71"/>
      <c r="H30" s="71"/>
      <c r="I30" s="201"/>
      <c r="J30" s="202"/>
      <c r="K30" s="203"/>
      <c r="L30" s="72"/>
      <c r="M30" s="72"/>
      <c r="N30" s="267"/>
      <c r="O30" s="175"/>
      <c r="P30" s="175"/>
      <c r="Q30" s="175"/>
      <c r="R30" s="175"/>
      <c r="S30" s="176"/>
      <c r="T30" s="71"/>
      <c r="U30" s="71"/>
      <c r="V30" s="201"/>
      <c r="W30" s="202"/>
      <c r="X30" s="203"/>
      <c r="Y30" s="72"/>
      <c r="Z30" s="72"/>
    </row>
    <row r="31" spans="1:26" ht="18" customHeight="1" x14ac:dyDescent="0.2">
      <c r="A31" s="7"/>
      <c r="B31" s="204"/>
      <c r="C31" s="196"/>
      <c r="D31" s="196"/>
      <c r="E31" s="196"/>
      <c r="F31" s="197"/>
      <c r="G31" s="71"/>
      <c r="H31" s="71"/>
      <c r="I31" s="201"/>
      <c r="J31" s="202"/>
      <c r="K31" s="203"/>
      <c r="L31" s="72"/>
      <c r="M31" s="72"/>
      <c r="N31" s="267"/>
      <c r="O31" s="175"/>
      <c r="P31" s="175"/>
      <c r="Q31" s="175"/>
      <c r="R31" s="175"/>
      <c r="S31" s="176"/>
      <c r="T31" s="71"/>
      <c r="U31" s="71"/>
      <c r="V31" s="201"/>
      <c r="W31" s="202"/>
      <c r="X31" s="203"/>
      <c r="Y31" s="72"/>
      <c r="Z31" s="72"/>
    </row>
    <row r="32" spans="1:26" ht="18" customHeight="1" x14ac:dyDescent="0.2">
      <c r="A32" s="7"/>
      <c r="B32" s="204"/>
      <c r="C32" s="196"/>
      <c r="D32" s="196"/>
      <c r="E32" s="196"/>
      <c r="F32" s="197"/>
      <c r="G32" s="71"/>
      <c r="H32" s="71"/>
      <c r="I32" s="201"/>
      <c r="J32" s="202"/>
      <c r="K32" s="203"/>
      <c r="L32" s="72"/>
      <c r="M32" s="72"/>
      <c r="N32" s="267"/>
      <c r="O32" s="175"/>
      <c r="P32" s="175"/>
      <c r="Q32" s="175"/>
      <c r="R32" s="175"/>
      <c r="S32" s="176"/>
      <c r="T32" s="71"/>
      <c r="U32" s="71"/>
      <c r="V32" s="201"/>
      <c r="W32" s="202"/>
      <c r="X32" s="203"/>
      <c r="Y32" s="72"/>
      <c r="Z32" s="72"/>
    </row>
    <row r="33" spans="1:26" ht="18" customHeight="1" x14ac:dyDescent="0.2">
      <c r="A33" s="7"/>
      <c r="B33" s="266"/>
      <c r="C33" s="244"/>
      <c r="D33" s="244"/>
      <c r="E33" s="244"/>
      <c r="F33" s="245"/>
      <c r="G33" s="73"/>
      <c r="H33" s="73"/>
      <c r="I33" s="212"/>
      <c r="J33" s="213"/>
      <c r="K33" s="214"/>
      <c r="L33" s="74"/>
      <c r="M33" s="74"/>
      <c r="N33" s="268"/>
      <c r="O33" s="269"/>
      <c r="P33" s="269"/>
      <c r="Q33" s="269"/>
      <c r="R33" s="269"/>
      <c r="S33" s="270"/>
      <c r="T33" s="73"/>
      <c r="U33" s="73"/>
      <c r="V33" s="212"/>
      <c r="W33" s="213"/>
      <c r="X33" s="214"/>
      <c r="Y33" s="74"/>
      <c r="Z33" s="74"/>
    </row>
    <row r="34" spans="1:26" ht="7.5" customHeight="1" x14ac:dyDescent="0.2">
      <c r="A34" s="75"/>
      <c r="B34" s="76"/>
      <c r="C34" s="76"/>
      <c r="D34" s="75"/>
      <c r="E34" s="75"/>
      <c r="F34" s="75"/>
      <c r="G34" s="75"/>
      <c r="H34" s="75"/>
      <c r="I34" s="75"/>
      <c r="J34" s="75"/>
      <c r="K34" s="75"/>
      <c r="L34" s="76"/>
      <c r="M34" s="76"/>
      <c r="N34" s="76"/>
      <c r="O34" s="76"/>
      <c r="P34" s="76"/>
      <c r="Q34" s="76"/>
      <c r="R34" s="76"/>
      <c r="S34" s="76"/>
      <c r="T34" s="76"/>
      <c r="U34" s="76"/>
      <c r="V34" s="76"/>
      <c r="W34" s="76"/>
      <c r="X34" s="76"/>
      <c r="Y34" s="76"/>
      <c r="Z34" s="75"/>
    </row>
    <row r="35" spans="1:26" ht="18" customHeight="1" x14ac:dyDescent="0.2">
      <c r="A35" s="211" t="s">
        <v>66</v>
      </c>
      <c r="B35" s="211"/>
      <c r="C35" s="211"/>
      <c r="D35" s="211"/>
      <c r="E35" s="211"/>
      <c r="F35" s="211"/>
      <c r="G35" s="211"/>
      <c r="H35" s="211"/>
      <c r="I35" s="211"/>
      <c r="J35" s="211"/>
      <c r="K35" s="211"/>
      <c r="L35" s="211"/>
      <c r="M35" s="211"/>
      <c r="N35" s="211"/>
      <c r="O35" s="211"/>
      <c r="P35" s="211"/>
      <c r="Q35" s="211"/>
      <c r="R35" s="211"/>
      <c r="S35" s="211"/>
      <c r="T35" s="211"/>
      <c r="U35" s="211"/>
      <c r="V35" s="211"/>
      <c r="W35" s="211"/>
      <c r="X35" s="211"/>
      <c r="Y35" s="211"/>
      <c r="Z35" s="211"/>
    </row>
    <row r="36" spans="1:26" ht="18" customHeight="1" x14ac:dyDescent="0.2">
      <c r="A36" s="211"/>
      <c r="B36" s="211"/>
      <c r="C36" s="211"/>
      <c r="D36" s="211"/>
      <c r="E36" s="211"/>
      <c r="F36" s="211"/>
      <c r="G36" s="211"/>
      <c r="H36" s="211"/>
      <c r="I36" s="211"/>
      <c r="J36" s="211"/>
      <c r="K36" s="211"/>
      <c r="L36" s="211"/>
      <c r="M36" s="211"/>
      <c r="N36" s="211"/>
      <c r="O36" s="211"/>
      <c r="P36" s="211"/>
      <c r="Q36" s="211"/>
      <c r="R36" s="211"/>
      <c r="S36" s="211"/>
      <c r="T36" s="211"/>
      <c r="U36" s="211"/>
      <c r="V36" s="211"/>
      <c r="W36" s="211"/>
      <c r="X36" s="211"/>
      <c r="Y36" s="211"/>
      <c r="Z36" s="211"/>
    </row>
    <row r="37" spans="1:26" ht="18" customHeight="1" x14ac:dyDescent="0.2">
      <c r="A37" s="7"/>
      <c r="B37" s="149" t="s">
        <v>55</v>
      </c>
      <c r="C37" s="150"/>
      <c r="D37" s="150"/>
      <c r="E37" s="150"/>
      <c r="F37" s="151"/>
      <c r="G37" s="77" t="s">
        <v>56</v>
      </c>
      <c r="H37" s="78" t="s">
        <v>57</v>
      </c>
      <c r="I37" s="149" t="s">
        <v>58</v>
      </c>
      <c r="J37" s="150"/>
      <c r="K37" s="151"/>
      <c r="L37" s="79" t="s">
        <v>67</v>
      </c>
      <c r="M37" s="79" t="s">
        <v>68</v>
      </c>
      <c r="N37" s="149" t="s">
        <v>55</v>
      </c>
      <c r="O37" s="150"/>
      <c r="P37" s="150"/>
      <c r="Q37" s="150"/>
      <c r="R37" s="150"/>
      <c r="S37" s="151"/>
      <c r="T37" s="77" t="s">
        <v>56</v>
      </c>
      <c r="U37" s="78" t="s">
        <v>57</v>
      </c>
      <c r="V37" s="149" t="s">
        <v>58</v>
      </c>
      <c r="W37" s="150"/>
      <c r="X37" s="151"/>
      <c r="Y37" s="79" t="s">
        <v>67</v>
      </c>
      <c r="Z37" s="79" t="s">
        <v>68</v>
      </c>
    </row>
    <row r="38" spans="1:26" ht="18" customHeight="1" x14ac:dyDescent="0.2">
      <c r="A38" s="75"/>
      <c r="B38" s="236" t="s">
        <v>131</v>
      </c>
      <c r="C38" s="237"/>
      <c r="D38" s="237"/>
      <c r="E38" s="237"/>
      <c r="F38" s="238"/>
      <c r="G38" s="80">
        <v>2</v>
      </c>
      <c r="H38" s="80" t="s">
        <v>61</v>
      </c>
      <c r="I38" s="215" t="s">
        <v>62</v>
      </c>
      <c r="J38" s="216"/>
      <c r="K38" s="217"/>
      <c r="L38" s="81" t="s">
        <v>61</v>
      </c>
      <c r="M38" s="81" t="s">
        <v>61</v>
      </c>
      <c r="N38" s="271"/>
      <c r="O38" s="187"/>
      <c r="P38" s="187"/>
      <c r="Q38" s="187"/>
      <c r="R38" s="187"/>
      <c r="S38" s="188"/>
      <c r="T38" s="80"/>
      <c r="U38" s="80"/>
      <c r="V38" s="215"/>
      <c r="W38" s="216"/>
      <c r="X38" s="217"/>
      <c r="Y38" s="81"/>
      <c r="Z38" s="81"/>
    </row>
    <row r="39" spans="1:26" ht="18" customHeight="1" x14ac:dyDescent="0.2">
      <c r="A39" s="75"/>
      <c r="B39" s="204" t="s">
        <v>132</v>
      </c>
      <c r="C39" s="196"/>
      <c r="D39" s="196"/>
      <c r="E39" s="196"/>
      <c r="F39" s="197"/>
      <c r="G39" s="71">
        <v>2</v>
      </c>
      <c r="H39" s="71"/>
      <c r="I39" s="201" t="s">
        <v>62</v>
      </c>
      <c r="J39" s="202"/>
      <c r="K39" s="203"/>
      <c r="L39" s="72" t="s">
        <v>61</v>
      </c>
      <c r="M39" s="72" t="s">
        <v>61</v>
      </c>
      <c r="N39" s="267"/>
      <c r="O39" s="175"/>
      <c r="P39" s="175"/>
      <c r="Q39" s="175"/>
      <c r="R39" s="175"/>
      <c r="S39" s="176"/>
      <c r="T39" s="71"/>
      <c r="U39" s="71"/>
      <c r="V39" s="201"/>
      <c r="W39" s="202"/>
      <c r="X39" s="203"/>
      <c r="Y39" s="72"/>
      <c r="Z39" s="72"/>
    </row>
    <row r="40" spans="1:26" ht="18" customHeight="1" x14ac:dyDescent="0.2">
      <c r="A40" s="75"/>
      <c r="B40" s="204"/>
      <c r="C40" s="196"/>
      <c r="D40" s="196"/>
      <c r="E40" s="196"/>
      <c r="F40" s="197"/>
      <c r="G40" s="71"/>
      <c r="H40" s="71"/>
      <c r="I40" s="201"/>
      <c r="J40" s="202"/>
      <c r="K40" s="203"/>
      <c r="L40" s="72"/>
      <c r="M40" s="72"/>
      <c r="N40" s="267"/>
      <c r="O40" s="175"/>
      <c r="P40" s="175"/>
      <c r="Q40" s="175"/>
      <c r="R40" s="175"/>
      <c r="S40" s="176"/>
      <c r="T40" s="71"/>
      <c r="U40" s="71"/>
      <c r="V40" s="201"/>
      <c r="W40" s="202"/>
      <c r="X40" s="203"/>
      <c r="Y40" s="72"/>
      <c r="Z40" s="72"/>
    </row>
    <row r="41" spans="1:26" ht="18" customHeight="1" x14ac:dyDescent="0.2">
      <c r="A41" s="75"/>
      <c r="B41" s="204"/>
      <c r="C41" s="196"/>
      <c r="D41" s="196"/>
      <c r="E41" s="196"/>
      <c r="F41" s="197"/>
      <c r="G41" s="71"/>
      <c r="H41" s="71"/>
      <c r="I41" s="201"/>
      <c r="J41" s="202"/>
      <c r="K41" s="203"/>
      <c r="L41" s="72"/>
      <c r="M41" s="72"/>
      <c r="N41" s="267"/>
      <c r="O41" s="175"/>
      <c r="P41" s="175"/>
      <c r="Q41" s="175"/>
      <c r="R41" s="175"/>
      <c r="S41" s="176"/>
      <c r="T41" s="71"/>
      <c r="U41" s="71"/>
      <c r="V41" s="201"/>
      <c r="W41" s="202"/>
      <c r="X41" s="203"/>
      <c r="Y41" s="72"/>
      <c r="Z41" s="72"/>
    </row>
    <row r="42" spans="1:26" ht="18" customHeight="1" x14ac:dyDescent="0.2">
      <c r="A42" s="75"/>
      <c r="B42" s="204"/>
      <c r="C42" s="196"/>
      <c r="D42" s="196"/>
      <c r="E42" s="196"/>
      <c r="F42" s="197"/>
      <c r="G42" s="71"/>
      <c r="H42" s="71"/>
      <c r="I42" s="201"/>
      <c r="J42" s="202"/>
      <c r="K42" s="203"/>
      <c r="L42" s="72"/>
      <c r="M42" s="72"/>
      <c r="N42" s="267"/>
      <c r="O42" s="175"/>
      <c r="P42" s="175"/>
      <c r="Q42" s="175"/>
      <c r="R42" s="175"/>
      <c r="S42" s="176"/>
      <c r="T42" s="71"/>
      <c r="U42" s="71"/>
      <c r="V42" s="201"/>
      <c r="W42" s="202"/>
      <c r="X42" s="203"/>
      <c r="Y42" s="72"/>
      <c r="Z42" s="72"/>
    </row>
    <row r="43" spans="1:26" ht="18" customHeight="1" x14ac:dyDescent="0.2">
      <c r="A43" s="75"/>
      <c r="B43" s="204"/>
      <c r="C43" s="196"/>
      <c r="D43" s="196"/>
      <c r="E43" s="196"/>
      <c r="F43" s="197"/>
      <c r="G43" s="71"/>
      <c r="H43" s="71"/>
      <c r="I43" s="201"/>
      <c r="J43" s="202"/>
      <c r="K43" s="203"/>
      <c r="L43" s="72"/>
      <c r="M43" s="72"/>
      <c r="N43" s="267"/>
      <c r="O43" s="175"/>
      <c r="P43" s="175"/>
      <c r="Q43" s="175"/>
      <c r="R43" s="175"/>
      <c r="S43" s="176"/>
      <c r="T43" s="71"/>
      <c r="U43" s="71"/>
      <c r="V43" s="201"/>
      <c r="W43" s="202"/>
      <c r="X43" s="203"/>
      <c r="Y43" s="72"/>
      <c r="Z43" s="72"/>
    </row>
    <row r="44" spans="1:26" ht="18" customHeight="1" x14ac:dyDescent="0.2">
      <c r="A44" s="75"/>
      <c r="B44" s="266"/>
      <c r="C44" s="244"/>
      <c r="D44" s="244"/>
      <c r="E44" s="244"/>
      <c r="F44" s="245"/>
      <c r="G44" s="73"/>
      <c r="H44" s="73"/>
      <c r="I44" s="212"/>
      <c r="J44" s="213"/>
      <c r="K44" s="214"/>
      <c r="L44" s="74"/>
      <c r="M44" s="74"/>
      <c r="N44" s="268"/>
      <c r="O44" s="269"/>
      <c r="P44" s="269"/>
      <c r="Q44" s="269"/>
      <c r="R44" s="269"/>
      <c r="S44" s="270"/>
      <c r="T44" s="73"/>
      <c r="U44" s="73"/>
      <c r="V44" s="212"/>
      <c r="W44" s="213"/>
      <c r="X44" s="214"/>
      <c r="Y44" s="74"/>
      <c r="Z44" s="74"/>
    </row>
    <row r="45" spans="1:26" ht="7.5" customHeight="1" x14ac:dyDescent="0.2">
      <c r="A45" s="7"/>
      <c r="B45" s="83"/>
      <c r="C45" s="83"/>
      <c r="D45" s="83"/>
      <c r="E45" s="83"/>
      <c r="F45" s="83"/>
      <c r="G45" s="83"/>
      <c r="H45" s="83"/>
      <c r="I45" s="83"/>
      <c r="J45" s="83"/>
      <c r="K45" s="83"/>
      <c r="L45" s="83"/>
      <c r="M45" s="83"/>
      <c r="N45" s="83"/>
      <c r="O45" s="83"/>
      <c r="P45" s="83"/>
      <c r="Q45" s="83"/>
      <c r="R45" s="83"/>
      <c r="S45" s="83"/>
      <c r="T45" s="83"/>
      <c r="U45" s="83"/>
      <c r="V45" s="83"/>
      <c r="W45" s="83"/>
      <c r="X45" s="83"/>
      <c r="Y45" s="83"/>
      <c r="Z45" s="7"/>
    </row>
    <row r="46" spans="1:26" ht="18" customHeight="1" x14ac:dyDescent="0.2">
      <c r="A46" s="211" t="s">
        <v>69</v>
      </c>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row>
    <row r="47" spans="1:26" ht="18" customHeight="1" x14ac:dyDescent="0.2">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row>
    <row r="48" spans="1:26" ht="18" customHeight="1" x14ac:dyDescent="0.2">
      <c r="A48" s="7"/>
      <c r="B48" s="149" t="s">
        <v>55</v>
      </c>
      <c r="C48" s="150"/>
      <c r="D48" s="150"/>
      <c r="E48" s="150"/>
      <c r="F48" s="151"/>
      <c r="G48" s="77" t="s">
        <v>56</v>
      </c>
      <c r="H48" s="78" t="s">
        <v>57</v>
      </c>
      <c r="I48" s="149" t="s">
        <v>58</v>
      </c>
      <c r="J48" s="150"/>
      <c r="K48" s="151"/>
      <c r="L48" s="79" t="s">
        <v>70</v>
      </c>
      <c r="M48" s="79" t="s">
        <v>71</v>
      </c>
      <c r="N48" s="149" t="s">
        <v>55</v>
      </c>
      <c r="O48" s="150"/>
      <c r="P48" s="150"/>
      <c r="Q48" s="150"/>
      <c r="R48" s="150"/>
      <c r="S48" s="151"/>
      <c r="T48" s="77" t="s">
        <v>56</v>
      </c>
      <c r="U48" s="78" t="s">
        <v>57</v>
      </c>
      <c r="V48" s="149" t="s">
        <v>58</v>
      </c>
      <c r="W48" s="150"/>
      <c r="X48" s="151"/>
      <c r="Y48" s="79" t="s">
        <v>70</v>
      </c>
      <c r="Z48" s="79" t="s">
        <v>71</v>
      </c>
    </row>
    <row r="49" spans="1:26" ht="18" customHeight="1" x14ac:dyDescent="0.2">
      <c r="A49" s="75"/>
      <c r="B49" s="236" t="s">
        <v>131</v>
      </c>
      <c r="C49" s="237"/>
      <c r="D49" s="237"/>
      <c r="E49" s="237"/>
      <c r="F49" s="238"/>
      <c r="G49" s="80">
        <v>2</v>
      </c>
      <c r="H49" s="80" t="s">
        <v>61</v>
      </c>
      <c r="I49" s="215" t="s">
        <v>62</v>
      </c>
      <c r="J49" s="216"/>
      <c r="K49" s="217"/>
      <c r="L49" s="81" t="s">
        <v>61</v>
      </c>
      <c r="M49" s="81" t="s">
        <v>61</v>
      </c>
      <c r="N49" s="271"/>
      <c r="O49" s="187"/>
      <c r="P49" s="187"/>
      <c r="Q49" s="187"/>
      <c r="R49" s="187"/>
      <c r="S49" s="188"/>
      <c r="T49" s="80"/>
      <c r="U49" s="80"/>
      <c r="V49" s="215"/>
      <c r="W49" s="216"/>
      <c r="X49" s="217"/>
      <c r="Y49" s="81"/>
      <c r="Z49" s="81"/>
    </row>
    <row r="50" spans="1:26" ht="18" customHeight="1" x14ac:dyDescent="0.2">
      <c r="A50" s="75"/>
      <c r="B50" s="204" t="s">
        <v>133</v>
      </c>
      <c r="C50" s="196"/>
      <c r="D50" s="196"/>
      <c r="E50" s="196"/>
      <c r="F50" s="197"/>
      <c r="G50" s="71">
        <v>2</v>
      </c>
      <c r="H50" s="71"/>
      <c r="I50" s="201" t="s">
        <v>62</v>
      </c>
      <c r="J50" s="202"/>
      <c r="K50" s="203"/>
      <c r="L50" s="72" t="s">
        <v>61</v>
      </c>
      <c r="M50" s="72"/>
      <c r="N50" s="267"/>
      <c r="O50" s="175"/>
      <c r="P50" s="175"/>
      <c r="Q50" s="175"/>
      <c r="R50" s="175"/>
      <c r="S50" s="176"/>
      <c r="T50" s="71"/>
      <c r="U50" s="71"/>
      <c r="V50" s="201"/>
      <c r="W50" s="202"/>
      <c r="X50" s="203"/>
      <c r="Y50" s="72"/>
      <c r="Z50" s="72"/>
    </row>
    <row r="51" spans="1:26" ht="18" customHeight="1" x14ac:dyDescent="0.2">
      <c r="A51" s="75"/>
      <c r="B51" s="204"/>
      <c r="C51" s="196"/>
      <c r="D51" s="196"/>
      <c r="E51" s="196"/>
      <c r="F51" s="197"/>
      <c r="G51" s="71"/>
      <c r="H51" s="71"/>
      <c r="I51" s="201"/>
      <c r="J51" s="202"/>
      <c r="K51" s="203"/>
      <c r="L51" s="72"/>
      <c r="M51" s="72"/>
      <c r="N51" s="267"/>
      <c r="O51" s="175"/>
      <c r="P51" s="175"/>
      <c r="Q51" s="175"/>
      <c r="R51" s="175"/>
      <c r="S51" s="176"/>
      <c r="T51" s="71"/>
      <c r="U51" s="71"/>
      <c r="V51" s="201"/>
      <c r="W51" s="202"/>
      <c r="X51" s="203"/>
      <c r="Y51" s="72"/>
      <c r="Z51" s="72"/>
    </row>
    <row r="52" spans="1:26" ht="18" customHeight="1" x14ac:dyDescent="0.2">
      <c r="A52" s="75"/>
      <c r="B52" s="204"/>
      <c r="C52" s="196"/>
      <c r="D52" s="196"/>
      <c r="E52" s="196"/>
      <c r="F52" s="197"/>
      <c r="G52" s="71"/>
      <c r="H52" s="71"/>
      <c r="I52" s="201"/>
      <c r="J52" s="202"/>
      <c r="K52" s="203"/>
      <c r="L52" s="72"/>
      <c r="M52" s="72"/>
      <c r="N52" s="267"/>
      <c r="O52" s="175"/>
      <c r="P52" s="175"/>
      <c r="Q52" s="175"/>
      <c r="R52" s="175"/>
      <c r="S52" s="176"/>
      <c r="T52" s="71"/>
      <c r="U52" s="71"/>
      <c r="V52" s="201"/>
      <c r="W52" s="202"/>
      <c r="X52" s="203"/>
      <c r="Y52" s="72"/>
      <c r="Z52" s="72"/>
    </row>
    <row r="53" spans="1:26" ht="18" customHeight="1" x14ac:dyDescent="0.2">
      <c r="A53" s="54"/>
      <c r="B53" s="219"/>
      <c r="C53" s="220"/>
      <c r="D53" s="220"/>
      <c r="E53" s="220"/>
      <c r="F53" s="221"/>
      <c r="G53" s="21"/>
      <c r="H53" s="21"/>
      <c r="I53" s="205"/>
      <c r="J53" s="206"/>
      <c r="K53" s="207"/>
      <c r="L53" s="10"/>
      <c r="M53" s="10"/>
      <c r="N53" s="177"/>
      <c r="O53" s="178"/>
      <c r="P53" s="178"/>
      <c r="Q53" s="178"/>
      <c r="R53" s="178"/>
      <c r="S53" s="179"/>
      <c r="T53" s="21"/>
      <c r="U53" s="21"/>
      <c r="V53" s="205"/>
      <c r="W53" s="206"/>
      <c r="X53" s="207"/>
      <c r="Y53" s="10"/>
      <c r="Z53" s="10"/>
    </row>
    <row r="54" spans="1:26" ht="18" customHeight="1" x14ac:dyDescent="0.2">
      <c r="A54" s="54"/>
      <c r="B54" s="219"/>
      <c r="C54" s="220"/>
      <c r="D54" s="220"/>
      <c r="E54" s="220"/>
      <c r="F54" s="221"/>
      <c r="G54" s="21"/>
      <c r="H54" s="21"/>
      <c r="I54" s="205"/>
      <c r="J54" s="206"/>
      <c r="K54" s="207"/>
      <c r="L54" s="10"/>
      <c r="M54" s="10"/>
      <c r="N54" s="177"/>
      <c r="O54" s="178"/>
      <c r="P54" s="178"/>
      <c r="Q54" s="178"/>
      <c r="R54" s="178"/>
      <c r="S54" s="179"/>
      <c r="T54" s="21"/>
      <c r="U54" s="21"/>
      <c r="V54" s="205"/>
      <c r="W54" s="206"/>
      <c r="X54" s="207"/>
      <c r="Y54" s="10"/>
      <c r="Z54" s="10"/>
    </row>
    <row r="55" spans="1:26" ht="18" customHeight="1" x14ac:dyDescent="0.2">
      <c r="A55" s="54"/>
      <c r="B55" s="222"/>
      <c r="C55" s="223"/>
      <c r="D55" s="223"/>
      <c r="E55" s="223"/>
      <c r="F55" s="224"/>
      <c r="G55" s="22"/>
      <c r="H55" s="22"/>
      <c r="I55" s="208"/>
      <c r="J55" s="209"/>
      <c r="K55" s="210"/>
      <c r="L55" s="11"/>
      <c r="M55" s="11"/>
      <c r="N55" s="246"/>
      <c r="O55" s="247"/>
      <c r="P55" s="247"/>
      <c r="Q55" s="247"/>
      <c r="R55" s="247"/>
      <c r="S55" s="248"/>
      <c r="T55" s="22"/>
      <c r="U55" s="22"/>
      <c r="V55" s="208"/>
      <c r="W55" s="209"/>
      <c r="X55" s="210"/>
      <c r="Y55" s="11"/>
      <c r="Z55" s="11"/>
    </row>
    <row r="56" spans="1:26" ht="7.5" customHeight="1" x14ac:dyDescent="0.2">
      <c r="B56" s="55"/>
      <c r="C56" s="55"/>
      <c r="D56" s="55"/>
      <c r="E56" s="55"/>
      <c r="F56" s="55"/>
      <c r="G56" s="55"/>
      <c r="H56" s="55"/>
      <c r="I56" s="55"/>
      <c r="J56" s="55"/>
      <c r="K56" s="55"/>
      <c r="L56" s="55"/>
      <c r="M56" s="55"/>
      <c r="N56" s="55"/>
      <c r="O56" s="55"/>
      <c r="P56" s="55"/>
      <c r="Q56" s="55"/>
      <c r="R56" s="55"/>
      <c r="S56" s="55"/>
      <c r="T56" s="55"/>
      <c r="U56" s="55"/>
      <c r="V56" s="55"/>
      <c r="W56" s="55"/>
      <c r="X56" s="55"/>
      <c r="Y56" s="55"/>
    </row>
    <row r="57" spans="1:26" ht="18" customHeight="1" x14ac:dyDescent="0.2">
      <c r="A57" s="218" t="s">
        <v>72</v>
      </c>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row>
    <row r="58" spans="1:26" ht="18" customHeight="1" x14ac:dyDescent="0.2">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row>
    <row r="59" spans="1:26" ht="18" customHeight="1" x14ac:dyDescent="0.2">
      <c r="A59" s="51"/>
      <c r="B59" s="168" t="s">
        <v>55</v>
      </c>
      <c r="C59" s="169"/>
      <c r="D59" s="169"/>
      <c r="E59" s="170"/>
      <c r="F59" s="6" t="s">
        <v>56</v>
      </c>
      <c r="G59" s="19" t="s">
        <v>57</v>
      </c>
      <c r="H59" s="13" t="s">
        <v>58</v>
      </c>
      <c r="I59" s="14"/>
      <c r="J59" s="15"/>
      <c r="K59" s="8" t="s">
        <v>73</v>
      </c>
      <c r="L59" s="8" t="s">
        <v>74</v>
      </c>
      <c r="M59" s="8" t="s">
        <v>75</v>
      </c>
      <c r="N59" s="168" t="s">
        <v>55</v>
      </c>
      <c r="O59" s="169"/>
      <c r="P59" s="169"/>
      <c r="Q59" s="169"/>
      <c r="R59" s="170"/>
      <c r="S59" s="6" t="s">
        <v>56</v>
      </c>
      <c r="T59" s="19" t="s">
        <v>57</v>
      </c>
      <c r="U59" s="13" t="s">
        <v>58</v>
      </c>
      <c r="V59" s="14"/>
      <c r="W59" s="15"/>
      <c r="X59" s="8" t="s">
        <v>73</v>
      </c>
      <c r="Y59" s="8" t="s">
        <v>74</v>
      </c>
      <c r="Z59" s="8" t="s">
        <v>75</v>
      </c>
    </row>
    <row r="60" spans="1:26" ht="18" customHeight="1" x14ac:dyDescent="0.2">
      <c r="A60" s="54"/>
      <c r="B60" s="162" t="s">
        <v>130</v>
      </c>
      <c r="C60" s="163"/>
      <c r="D60" s="163"/>
      <c r="E60" s="164"/>
      <c r="F60" s="20">
        <v>2</v>
      </c>
      <c r="G60" s="20" t="s">
        <v>61</v>
      </c>
      <c r="H60" s="198" t="s">
        <v>62</v>
      </c>
      <c r="I60" s="199"/>
      <c r="J60" s="200"/>
      <c r="K60" s="16" t="s">
        <v>61</v>
      </c>
      <c r="L60" s="9" t="s">
        <v>61</v>
      </c>
      <c r="M60" s="9" t="s">
        <v>61</v>
      </c>
      <c r="N60" s="162"/>
      <c r="O60" s="163"/>
      <c r="P60" s="163"/>
      <c r="Q60" s="163"/>
      <c r="R60" s="164"/>
      <c r="S60" s="20"/>
      <c r="T60" s="20"/>
      <c r="U60" s="198"/>
      <c r="V60" s="199"/>
      <c r="W60" s="200"/>
      <c r="X60" s="16"/>
      <c r="Y60" s="9"/>
      <c r="Z60" s="9"/>
    </row>
    <row r="61" spans="1:26" ht="18" customHeight="1" x14ac:dyDescent="0.2">
      <c r="A61" s="54"/>
      <c r="B61" s="177" t="s">
        <v>135</v>
      </c>
      <c r="C61" s="178"/>
      <c r="D61" s="178"/>
      <c r="E61" s="179"/>
      <c r="F61" s="21">
        <v>2</v>
      </c>
      <c r="G61" s="21"/>
      <c r="H61" s="205" t="s">
        <v>62</v>
      </c>
      <c r="I61" s="206"/>
      <c r="J61" s="207"/>
      <c r="K61" s="17" t="s">
        <v>61</v>
      </c>
      <c r="L61" s="10" t="s">
        <v>61</v>
      </c>
      <c r="M61" s="10" t="s">
        <v>61</v>
      </c>
      <c r="N61" s="177"/>
      <c r="O61" s="178"/>
      <c r="P61" s="178"/>
      <c r="Q61" s="178"/>
      <c r="R61" s="179"/>
      <c r="S61" s="21"/>
      <c r="T61" s="21"/>
      <c r="U61" s="205"/>
      <c r="V61" s="206"/>
      <c r="W61" s="207"/>
      <c r="X61" s="17"/>
      <c r="Y61" s="10"/>
      <c r="Z61" s="10"/>
    </row>
    <row r="62" spans="1:26" ht="18" customHeight="1" x14ac:dyDescent="0.2">
      <c r="A62" s="54"/>
      <c r="B62" s="177"/>
      <c r="C62" s="178"/>
      <c r="D62" s="178"/>
      <c r="E62" s="179"/>
      <c r="F62" s="21"/>
      <c r="G62" s="21"/>
      <c r="H62" s="205"/>
      <c r="I62" s="206"/>
      <c r="J62" s="207"/>
      <c r="K62" s="17"/>
      <c r="L62" s="10"/>
      <c r="M62" s="10"/>
      <c r="N62" s="177"/>
      <c r="O62" s="178"/>
      <c r="P62" s="178"/>
      <c r="Q62" s="178"/>
      <c r="R62" s="179"/>
      <c r="S62" s="21"/>
      <c r="T62" s="21"/>
      <c r="U62" s="205"/>
      <c r="V62" s="206"/>
      <c r="W62" s="207"/>
      <c r="X62" s="17"/>
      <c r="Y62" s="10"/>
      <c r="Z62" s="10"/>
    </row>
    <row r="63" spans="1:26" ht="18" customHeight="1" x14ac:dyDescent="0.2">
      <c r="A63" s="54"/>
      <c r="B63" s="177"/>
      <c r="C63" s="178"/>
      <c r="D63" s="178"/>
      <c r="E63" s="179"/>
      <c r="F63" s="21"/>
      <c r="G63" s="21"/>
      <c r="H63" s="205"/>
      <c r="I63" s="206"/>
      <c r="J63" s="207"/>
      <c r="K63" s="17"/>
      <c r="L63" s="10"/>
      <c r="M63" s="10"/>
      <c r="N63" s="177"/>
      <c r="O63" s="178"/>
      <c r="P63" s="178"/>
      <c r="Q63" s="178"/>
      <c r="R63" s="179"/>
      <c r="S63" s="21"/>
      <c r="T63" s="21"/>
      <c r="U63" s="205"/>
      <c r="V63" s="206"/>
      <c r="W63" s="207"/>
      <c r="X63" s="17"/>
      <c r="Y63" s="10"/>
      <c r="Z63" s="10"/>
    </row>
    <row r="64" spans="1:26" ht="18" customHeight="1" x14ac:dyDescent="0.2">
      <c r="A64" s="54"/>
      <c r="B64" s="177"/>
      <c r="C64" s="178"/>
      <c r="D64" s="178"/>
      <c r="E64" s="179"/>
      <c r="F64" s="21"/>
      <c r="G64" s="21"/>
      <c r="H64" s="205"/>
      <c r="I64" s="206"/>
      <c r="J64" s="207"/>
      <c r="K64" s="17"/>
      <c r="L64" s="10"/>
      <c r="M64" s="10"/>
      <c r="N64" s="177"/>
      <c r="O64" s="178"/>
      <c r="P64" s="178"/>
      <c r="Q64" s="178"/>
      <c r="R64" s="179"/>
      <c r="S64" s="21"/>
      <c r="T64" s="21"/>
      <c r="U64" s="205"/>
      <c r="V64" s="206"/>
      <c r="W64" s="207"/>
      <c r="X64" s="17"/>
      <c r="Y64" s="10"/>
      <c r="Z64" s="10"/>
    </row>
    <row r="65" spans="1:26" ht="18" customHeight="1" x14ac:dyDescent="0.2">
      <c r="A65" s="54"/>
      <c r="B65" s="177"/>
      <c r="C65" s="178"/>
      <c r="D65" s="178"/>
      <c r="E65" s="179"/>
      <c r="F65" s="21"/>
      <c r="G65" s="21"/>
      <c r="H65" s="205"/>
      <c r="I65" s="206"/>
      <c r="J65" s="207"/>
      <c r="K65" s="17"/>
      <c r="L65" s="10"/>
      <c r="M65" s="10"/>
      <c r="N65" s="177"/>
      <c r="O65" s="178"/>
      <c r="P65" s="178"/>
      <c r="Q65" s="178"/>
      <c r="R65" s="179"/>
      <c r="S65" s="21"/>
      <c r="T65" s="21"/>
      <c r="U65" s="205"/>
      <c r="V65" s="206"/>
      <c r="W65" s="207"/>
      <c r="X65" s="17"/>
      <c r="Y65" s="10"/>
      <c r="Z65" s="10"/>
    </row>
    <row r="66" spans="1:26" ht="18" customHeight="1" x14ac:dyDescent="0.2">
      <c r="A66" s="54"/>
      <c r="B66" s="246"/>
      <c r="C66" s="247"/>
      <c r="D66" s="247"/>
      <c r="E66" s="248"/>
      <c r="F66" s="22"/>
      <c r="G66" s="22"/>
      <c r="H66" s="208"/>
      <c r="I66" s="209"/>
      <c r="J66" s="210"/>
      <c r="K66" s="18"/>
      <c r="L66" s="11"/>
      <c r="M66" s="11"/>
      <c r="N66" s="246"/>
      <c r="O66" s="247"/>
      <c r="P66" s="247"/>
      <c r="Q66" s="247"/>
      <c r="R66" s="248"/>
      <c r="S66" s="22"/>
      <c r="T66" s="22"/>
      <c r="U66" s="208"/>
      <c r="V66" s="209"/>
      <c r="W66" s="210"/>
      <c r="X66" s="18"/>
      <c r="Y66" s="11"/>
      <c r="Z66" s="11"/>
    </row>
    <row r="67" spans="1:26" ht="7.5" customHeight="1" x14ac:dyDescent="0.2">
      <c r="B67" s="55"/>
      <c r="C67" s="55"/>
      <c r="D67" s="55"/>
      <c r="E67" s="55"/>
      <c r="F67" s="55"/>
      <c r="G67" s="55"/>
      <c r="H67" s="55"/>
      <c r="I67" s="55"/>
      <c r="J67" s="55"/>
      <c r="K67" s="55"/>
      <c r="L67" s="55"/>
      <c r="M67" s="55"/>
      <c r="N67" s="55"/>
      <c r="O67" s="55"/>
      <c r="P67" s="55"/>
      <c r="Q67" s="55"/>
      <c r="R67" s="55"/>
      <c r="S67" s="55"/>
      <c r="T67" s="55"/>
      <c r="U67" s="55"/>
      <c r="V67" s="55"/>
      <c r="W67" s="55"/>
      <c r="X67" s="55"/>
      <c r="Y67" s="55"/>
    </row>
    <row r="68" spans="1:26" ht="18" customHeight="1" x14ac:dyDescent="0.2">
      <c r="A68" s="51" t="s">
        <v>76</v>
      </c>
      <c r="B68" s="51"/>
      <c r="C68" s="51"/>
      <c r="D68" s="51"/>
      <c r="E68" s="51"/>
      <c r="F68" s="51"/>
      <c r="G68" s="51"/>
      <c r="H68" s="51"/>
      <c r="I68" s="51"/>
      <c r="J68" s="51"/>
      <c r="K68" s="51"/>
      <c r="L68" s="54"/>
      <c r="M68" s="54"/>
      <c r="N68" s="54"/>
      <c r="O68" s="54"/>
      <c r="P68" s="54"/>
      <c r="Q68" s="54"/>
      <c r="R68" s="54"/>
      <c r="S68" s="54"/>
      <c r="T68" s="54"/>
      <c r="U68" s="54"/>
      <c r="V68" s="54"/>
      <c r="W68" s="54"/>
      <c r="X68" s="54"/>
      <c r="Y68" s="54"/>
      <c r="Z68" s="54"/>
    </row>
    <row r="69" spans="1:26" ht="18" customHeight="1" x14ac:dyDescent="0.2">
      <c r="A69" s="51"/>
      <c r="B69" s="168" t="s">
        <v>55</v>
      </c>
      <c r="C69" s="169"/>
      <c r="D69" s="169"/>
      <c r="E69" s="169"/>
      <c r="F69" s="170"/>
      <c r="G69" s="168" t="s">
        <v>77</v>
      </c>
      <c r="H69" s="169"/>
      <c r="I69" s="169"/>
      <c r="J69" s="169"/>
      <c r="K69" s="169"/>
      <c r="L69" s="169"/>
      <c r="M69" s="170"/>
      <c r="N69" s="252" t="s">
        <v>55</v>
      </c>
      <c r="O69" s="253"/>
      <c r="P69" s="253"/>
      <c r="Q69" s="253"/>
      <c r="R69" s="253"/>
      <c r="S69" s="254"/>
      <c r="T69" s="168" t="s">
        <v>77</v>
      </c>
      <c r="U69" s="169"/>
      <c r="V69" s="169"/>
      <c r="W69" s="169"/>
      <c r="X69" s="169"/>
      <c r="Y69" s="169"/>
      <c r="Z69" s="170"/>
    </row>
    <row r="70" spans="1:26" ht="18" customHeight="1" x14ac:dyDescent="0.2">
      <c r="A70" s="54"/>
      <c r="B70" s="171"/>
      <c r="C70" s="172"/>
      <c r="D70" s="172"/>
      <c r="E70" s="172"/>
      <c r="F70" s="173"/>
      <c r="G70" s="165"/>
      <c r="H70" s="166"/>
      <c r="I70" s="166"/>
      <c r="J70" s="166"/>
      <c r="K70" s="166"/>
      <c r="L70" s="166"/>
      <c r="M70" s="167"/>
      <c r="N70" s="162"/>
      <c r="O70" s="163"/>
      <c r="P70" s="163"/>
      <c r="Q70" s="163"/>
      <c r="R70" s="163"/>
      <c r="S70" s="164"/>
      <c r="T70" s="165"/>
      <c r="U70" s="166"/>
      <c r="V70" s="166"/>
      <c r="W70" s="166"/>
      <c r="X70" s="166"/>
      <c r="Y70" s="166"/>
      <c r="Z70" s="167"/>
    </row>
    <row r="71" spans="1:26" ht="18" customHeight="1" x14ac:dyDescent="0.2">
      <c r="A71" s="54"/>
      <c r="B71" s="177"/>
      <c r="C71" s="178"/>
      <c r="D71" s="178"/>
      <c r="E71" s="178"/>
      <c r="F71" s="179"/>
      <c r="G71" s="180"/>
      <c r="H71" s="181"/>
      <c r="I71" s="181"/>
      <c r="J71" s="181"/>
      <c r="K71" s="181"/>
      <c r="L71" s="181"/>
      <c r="M71" s="182"/>
      <c r="N71" s="177"/>
      <c r="O71" s="178"/>
      <c r="P71" s="178"/>
      <c r="Q71" s="178"/>
      <c r="R71" s="178"/>
      <c r="S71" s="179"/>
      <c r="T71" s="180"/>
      <c r="U71" s="181"/>
      <c r="V71" s="181"/>
      <c r="W71" s="181"/>
      <c r="X71" s="181"/>
      <c r="Y71" s="181"/>
      <c r="Z71" s="182"/>
    </row>
    <row r="72" spans="1:26" ht="18" customHeight="1" x14ac:dyDescent="0.2">
      <c r="A72" s="54"/>
      <c r="B72" s="177"/>
      <c r="C72" s="178"/>
      <c r="D72" s="178"/>
      <c r="E72" s="178"/>
      <c r="F72" s="179"/>
      <c r="G72" s="180"/>
      <c r="H72" s="181"/>
      <c r="I72" s="181"/>
      <c r="J72" s="181"/>
      <c r="K72" s="181"/>
      <c r="L72" s="181"/>
      <c r="M72" s="182"/>
      <c r="N72" s="177"/>
      <c r="O72" s="178"/>
      <c r="P72" s="178"/>
      <c r="Q72" s="178"/>
      <c r="R72" s="178"/>
      <c r="S72" s="179"/>
      <c r="T72" s="180"/>
      <c r="U72" s="181"/>
      <c r="V72" s="181"/>
      <c r="W72" s="181"/>
      <c r="X72" s="181"/>
      <c r="Y72" s="181"/>
      <c r="Z72" s="182"/>
    </row>
    <row r="73" spans="1:26" ht="18" customHeight="1" x14ac:dyDescent="0.2">
      <c r="A73" s="54"/>
      <c r="B73" s="177"/>
      <c r="C73" s="178"/>
      <c r="D73" s="178"/>
      <c r="E73" s="178"/>
      <c r="F73" s="179"/>
      <c r="G73" s="180"/>
      <c r="H73" s="181"/>
      <c r="I73" s="181"/>
      <c r="J73" s="181"/>
      <c r="K73" s="181"/>
      <c r="L73" s="181"/>
      <c r="M73" s="182"/>
      <c r="N73" s="177"/>
      <c r="O73" s="178"/>
      <c r="P73" s="178"/>
      <c r="Q73" s="178"/>
      <c r="R73" s="178"/>
      <c r="S73" s="179"/>
      <c r="T73" s="180"/>
      <c r="U73" s="181"/>
      <c r="V73" s="181"/>
      <c r="W73" s="181"/>
      <c r="X73" s="181"/>
      <c r="Y73" s="181"/>
      <c r="Z73" s="182"/>
    </row>
    <row r="74" spans="1:26" ht="18" customHeight="1" x14ac:dyDescent="0.2">
      <c r="A74" s="54"/>
      <c r="B74" s="177"/>
      <c r="C74" s="178"/>
      <c r="D74" s="178"/>
      <c r="E74" s="178"/>
      <c r="F74" s="179"/>
      <c r="G74" s="180"/>
      <c r="H74" s="181"/>
      <c r="I74" s="181"/>
      <c r="J74" s="181"/>
      <c r="K74" s="181"/>
      <c r="L74" s="181"/>
      <c r="M74" s="182"/>
      <c r="N74" s="177"/>
      <c r="O74" s="178"/>
      <c r="P74" s="178"/>
      <c r="Q74" s="178"/>
      <c r="R74" s="178"/>
      <c r="S74" s="179"/>
      <c r="T74" s="180"/>
      <c r="U74" s="181"/>
      <c r="V74" s="181"/>
      <c r="W74" s="181"/>
      <c r="X74" s="181"/>
      <c r="Y74" s="181"/>
      <c r="Z74" s="182"/>
    </row>
    <row r="75" spans="1:26" ht="18" customHeight="1" x14ac:dyDescent="0.2">
      <c r="A75" s="54"/>
      <c r="B75" s="177"/>
      <c r="C75" s="178"/>
      <c r="D75" s="178"/>
      <c r="E75" s="178"/>
      <c r="F75" s="179"/>
      <c r="G75" s="180"/>
      <c r="H75" s="181"/>
      <c r="I75" s="181"/>
      <c r="J75" s="181"/>
      <c r="K75" s="181"/>
      <c r="L75" s="181"/>
      <c r="M75" s="182"/>
      <c r="N75" s="177"/>
      <c r="O75" s="178"/>
      <c r="P75" s="178"/>
      <c r="Q75" s="178"/>
      <c r="R75" s="178"/>
      <c r="S75" s="179"/>
      <c r="T75" s="180"/>
      <c r="U75" s="181"/>
      <c r="V75" s="181"/>
      <c r="W75" s="181"/>
      <c r="X75" s="181"/>
      <c r="Y75" s="181"/>
      <c r="Z75" s="182"/>
    </row>
    <row r="76" spans="1:26" ht="18" customHeight="1" x14ac:dyDescent="0.2">
      <c r="A76" s="54"/>
      <c r="B76" s="246"/>
      <c r="C76" s="247"/>
      <c r="D76" s="247"/>
      <c r="E76" s="247"/>
      <c r="F76" s="248"/>
      <c r="G76" s="249"/>
      <c r="H76" s="250"/>
      <c r="I76" s="250"/>
      <c r="J76" s="250"/>
      <c r="K76" s="250"/>
      <c r="L76" s="250"/>
      <c r="M76" s="251"/>
      <c r="N76" s="246"/>
      <c r="O76" s="247"/>
      <c r="P76" s="247"/>
      <c r="Q76" s="247"/>
      <c r="R76" s="247"/>
      <c r="S76" s="248"/>
      <c r="T76" s="249"/>
      <c r="U76" s="250"/>
      <c r="V76" s="250"/>
      <c r="W76" s="250"/>
      <c r="X76" s="250"/>
      <c r="Y76" s="250"/>
      <c r="Z76" s="251"/>
    </row>
    <row r="77" spans="1:26" ht="18" customHeight="1" x14ac:dyDescent="0.2">
      <c r="A77" s="54"/>
      <c r="B77" s="90"/>
      <c r="C77" s="90"/>
      <c r="D77" s="90"/>
      <c r="E77" s="90"/>
      <c r="F77" s="90"/>
      <c r="G77" s="1"/>
      <c r="H77" s="1"/>
      <c r="I77" s="1"/>
      <c r="J77" s="1"/>
      <c r="K77" s="1"/>
      <c r="L77" s="1"/>
      <c r="M77" s="1"/>
      <c r="N77" s="90"/>
      <c r="O77" s="90"/>
      <c r="P77" s="90"/>
      <c r="Q77" s="90"/>
      <c r="R77" s="90"/>
      <c r="S77" s="90"/>
      <c r="T77" s="1"/>
      <c r="U77" s="1"/>
      <c r="V77" s="1"/>
      <c r="W77" s="1"/>
      <c r="X77" s="1"/>
      <c r="Y77" s="1"/>
      <c r="Z77" s="1"/>
    </row>
    <row r="78" spans="1:26" ht="18.75" customHeight="1" x14ac:dyDescent="0.2">
      <c r="A78" s="2" t="s">
        <v>78</v>
      </c>
    </row>
    <row r="79" spans="1:26" ht="18.75" customHeight="1" x14ac:dyDescent="0.2">
      <c r="B79" s="4" t="s">
        <v>79</v>
      </c>
      <c r="C79" s="5"/>
      <c r="D79" s="169" t="s">
        <v>80</v>
      </c>
      <c r="E79" s="169"/>
      <c r="F79" s="169"/>
      <c r="G79" s="169"/>
      <c r="H79" s="169"/>
      <c r="I79" s="169"/>
      <c r="J79" s="169"/>
      <c r="K79" s="169"/>
      <c r="L79" s="169"/>
      <c r="M79" s="169"/>
      <c r="N79" s="169"/>
      <c r="O79" s="169"/>
      <c r="P79" s="169"/>
      <c r="Q79" s="169"/>
      <c r="R79" s="169"/>
      <c r="S79" s="169"/>
      <c r="T79" s="169"/>
      <c r="U79" s="169"/>
      <c r="V79" s="169"/>
      <c r="W79" s="169"/>
      <c r="X79" s="169"/>
      <c r="Y79" s="169"/>
      <c r="Z79" s="170"/>
    </row>
    <row r="80" spans="1:26" ht="78" customHeight="1" x14ac:dyDescent="0.2">
      <c r="B80" s="183" t="s">
        <v>146</v>
      </c>
      <c r="C80" s="93" t="s">
        <v>59</v>
      </c>
      <c r="D80" s="192" t="s">
        <v>183</v>
      </c>
      <c r="E80" s="193"/>
      <c r="F80" s="193"/>
      <c r="G80" s="193"/>
      <c r="H80" s="193"/>
      <c r="I80" s="193"/>
      <c r="J80" s="193"/>
      <c r="K80" s="193"/>
      <c r="L80" s="193"/>
      <c r="M80" s="193"/>
      <c r="N80" s="193"/>
      <c r="O80" s="193"/>
      <c r="P80" s="193"/>
      <c r="Q80" s="193"/>
      <c r="R80" s="193"/>
      <c r="S80" s="193"/>
      <c r="T80" s="193"/>
      <c r="U80" s="193"/>
      <c r="V80" s="193"/>
      <c r="W80" s="193"/>
      <c r="X80" s="193"/>
      <c r="Y80" s="193"/>
      <c r="Z80" s="194"/>
    </row>
    <row r="81" spans="1:26" ht="78" customHeight="1" x14ac:dyDescent="0.2">
      <c r="B81" s="185"/>
      <c r="C81" s="94" t="s">
        <v>81</v>
      </c>
      <c r="D81" s="239" t="s">
        <v>152</v>
      </c>
      <c r="E81" s="240"/>
      <c r="F81" s="240"/>
      <c r="G81" s="240"/>
      <c r="H81" s="240"/>
      <c r="I81" s="240"/>
      <c r="J81" s="240"/>
      <c r="K81" s="240"/>
      <c r="L81" s="240"/>
      <c r="M81" s="240"/>
      <c r="N81" s="240"/>
      <c r="O81" s="240"/>
      <c r="P81" s="240"/>
      <c r="Q81" s="240"/>
      <c r="R81" s="240"/>
      <c r="S81" s="240"/>
      <c r="T81" s="240"/>
      <c r="U81" s="240"/>
      <c r="V81" s="240"/>
      <c r="W81" s="240"/>
      <c r="X81" s="240"/>
      <c r="Y81" s="240"/>
      <c r="Z81" s="241"/>
    </row>
    <row r="82" spans="1:26" ht="78" customHeight="1" x14ac:dyDescent="0.2">
      <c r="B82" s="183" t="s">
        <v>82</v>
      </c>
      <c r="C82" s="95" t="s">
        <v>64</v>
      </c>
      <c r="D82" s="242" t="s">
        <v>149</v>
      </c>
      <c r="E82" s="237"/>
      <c r="F82" s="237"/>
      <c r="G82" s="237"/>
      <c r="H82" s="237"/>
      <c r="I82" s="237"/>
      <c r="J82" s="237"/>
      <c r="K82" s="237"/>
      <c r="L82" s="237"/>
      <c r="M82" s="237"/>
      <c r="N82" s="237"/>
      <c r="O82" s="237"/>
      <c r="P82" s="237"/>
      <c r="Q82" s="237"/>
      <c r="R82" s="237"/>
      <c r="S82" s="237"/>
      <c r="T82" s="237"/>
      <c r="U82" s="237"/>
      <c r="V82" s="237"/>
      <c r="W82" s="237"/>
      <c r="X82" s="237"/>
      <c r="Y82" s="237"/>
      <c r="Z82" s="238"/>
    </row>
    <row r="83" spans="1:26" ht="78" customHeight="1" x14ac:dyDescent="0.2">
      <c r="B83" s="184"/>
      <c r="C83" s="96" t="s">
        <v>65</v>
      </c>
      <c r="D83" s="243" t="s">
        <v>184</v>
      </c>
      <c r="E83" s="244"/>
      <c r="F83" s="244"/>
      <c r="G83" s="244"/>
      <c r="H83" s="244"/>
      <c r="I83" s="244"/>
      <c r="J83" s="244"/>
      <c r="K83" s="244"/>
      <c r="L83" s="244"/>
      <c r="M83" s="244"/>
      <c r="N83" s="244"/>
      <c r="O83" s="244"/>
      <c r="P83" s="244"/>
      <c r="Q83" s="244"/>
      <c r="R83" s="244"/>
      <c r="S83" s="244"/>
      <c r="T83" s="244"/>
      <c r="U83" s="244"/>
      <c r="V83" s="244"/>
      <c r="W83" s="244"/>
      <c r="X83" s="244"/>
      <c r="Y83" s="244"/>
      <c r="Z83" s="245"/>
    </row>
    <row r="84" spans="1:26" ht="66" customHeight="1" x14ac:dyDescent="0.2">
      <c r="B84" s="183" t="s">
        <v>147</v>
      </c>
      <c r="C84" s="95" t="s">
        <v>67</v>
      </c>
      <c r="D84" s="242" t="s">
        <v>185</v>
      </c>
      <c r="E84" s="237"/>
      <c r="F84" s="237"/>
      <c r="G84" s="237"/>
      <c r="H84" s="237"/>
      <c r="I84" s="237"/>
      <c r="J84" s="237"/>
      <c r="K84" s="237"/>
      <c r="L84" s="237"/>
      <c r="M84" s="237"/>
      <c r="N84" s="237"/>
      <c r="O84" s="237"/>
      <c r="P84" s="237"/>
      <c r="Q84" s="237"/>
      <c r="R84" s="237"/>
      <c r="S84" s="237"/>
      <c r="T84" s="237"/>
      <c r="U84" s="237"/>
      <c r="V84" s="237"/>
      <c r="W84" s="237"/>
      <c r="X84" s="237"/>
      <c r="Y84" s="237"/>
      <c r="Z84" s="238"/>
    </row>
    <row r="85" spans="1:26" ht="66" customHeight="1" x14ac:dyDescent="0.2">
      <c r="B85" s="184"/>
      <c r="C85" s="97" t="s">
        <v>68</v>
      </c>
      <c r="D85" s="242" t="s">
        <v>186</v>
      </c>
      <c r="E85" s="237"/>
      <c r="F85" s="237"/>
      <c r="G85" s="237"/>
      <c r="H85" s="237"/>
      <c r="I85" s="237"/>
      <c r="J85" s="237"/>
      <c r="K85" s="237"/>
      <c r="L85" s="237"/>
      <c r="M85" s="237"/>
      <c r="N85" s="237"/>
      <c r="O85" s="237"/>
      <c r="P85" s="237"/>
      <c r="Q85" s="237"/>
      <c r="R85" s="237"/>
      <c r="S85" s="237"/>
      <c r="T85" s="237"/>
      <c r="U85" s="237"/>
      <c r="V85" s="237"/>
      <c r="W85" s="237"/>
      <c r="X85" s="237"/>
      <c r="Y85" s="237"/>
      <c r="Z85" s="238"/>
    </row>
    <row r="86" spans="1:26" ht="66" customHeight="1" x14ac:dyDescent="0.2">
      <c r="B86" s="183" t="s">
        <v>83</v>
      </c>
      <c r="C86" s="93" t="s">
        <v>70</v>
      </c>
      <c r="D86" s="192" t="s">
        <v>187</v>
      </c>
      <c r="E86" s="193"/>
      <c r="F86" s="193"/>
      <c r="G86" s="193"/>
      <c r="H86" s="193"/>
      <c r="I86" s="193"/>
      <c r="J86" s="193"/>
      <c r="K86" s="193"/>
      <c r="L86" s="193"/>
      <c r="M86" s="193"/>
      <c r="N86" s="193"/>
      <c r="O86" s="193"/>
      <c r="P86" s="193"/>
      <c r="Q86" s="193"/>
      <c r="R86" s="193"/>
      <c r="S86" s="193"/>
      <c r="T86" s="193"/>
      <c r="U86" s="193"/>
      <c r="V86" s="193"/>
      <c r="W86" s="193"/>
      <c r="X86" s="193"/>
      <c r="Y86" s="193"/>
      <c r="Z86" s="194"/>
    </row>
    <row r="87" spans="1:26" ht="66" customHeight="1" x14ac:dyDescent="0.2">
      <c r="B87" s="185"/>
      <c r="C87" s="98" t="s">
        <v>71</v>
      </c>
      <c r="D87" s="195" t="s">
        <v>150</v>
      </c>
      <c r="E87" s="196"/>
      <c r="F87" s="196"/>
      <c r="G87" s="196"/>
      <c r="H87" s="196"/>
      <c r="I87" s="196"/>
      <c r="J87" s="196"/>
      <c r="K87" s="196"/>
      <c r="L87" s="196"/>
      <c r="M87" s="196"/>
      <c r="N87" s="196"/>
      <c r="O87" s="196"/>
      <c r="P87" s="196"/>
      <c r="Q87" s="196"/>
      <c r="R87" s="196"/>
      <c r="S87" s="196"/>
      <c r="T87" s="196"/>
      <c r="U87" s="196"/>
      <c r="V87" s="196"/>
      <c r="W87" s="196"/>
      <c r="X87" s="196"/>
      <c r="Y87" s="196"/>
      <c r="Z87" s="197"/>
    </row>
    <row r="88" spans="1:26" ht="103.5" customHeight="1" x14ac:dyDescent="0.2">
      <c r="B88" s="183" t="s">
        <v>84</v>
      </c>
      <c r="C88" s="95" t="s">
        <v>73</v>
      </c>
      <c r="D88" s="186" t="s">
        <v>188</v>
      </c>
      <c r="E88" s="187"/>
      <c r="F88" s="187"/>
      <c r="G88" s="187"/>
      <c r="H88" s="187"/>
      <c r="I88" s="187"/>
      <c r="J88" s="187"/>
      <c r="K88" s="187"/>
      <c r="L88" s="187"/>
      <c r="M88" s="187"/>
      <c r="N88" s="187"/>
      <c r="O88" s="187"/>
      <c r="P88" s="187"/>
      <c r="Q88" s="187"/>
      <c r="R88" s="187"/>
      <c r="S88" s="187"/>
      <c r="T88" s="187"/>
      <c r="U88" s="187"/>
      <c r="V88" s="187"/>
      <c r="W88" s="187"/>
      <c r="X88" s="187"/>
      <c r="Y88" s="187"/>
      <c r="Z88" s="188"/>
    </row>
    <row r="89" spans="1:26" ht="66" customHeight="1" x14ac:dyDescent="0.2">
      <c r="B89" s="185"/>
      <c r="C89" s="98" t="s">
        <v>74</v>
      </c>
      <c r="D89" s="174" t="s">
        <v>189</v>
      </c>
      <c r="E89" s="175"/>
      <c r="F89" s="175"/>
      <c r="G89" s="175"/>
      <c r="H89" s="175"/>
      <c r="I89" s="175"/>
      <c r="J89" s="175"/>
      <c r="K89" s="175"/>
      <c r="L89" s="175"/>
      <c r="M89" s="175"/>
      <c r="N89" s="175"/>
      <c r="O89" s="175"/>
      <c r="P89" s="175"/>
      <c r="Q89" s="175"/>
      <c r="R89" s="175"/>
      <c r="S89" s="175"/>
      <c r="T89" s="175"/>
      <c r="U89" s="175"/>
      <c r="V89" s="175"/>
      <c r="W89" s="175"/>
      <c r="X89" s="175"/>
      <c r="Y89" s="175"/>
      <c r="Z89" s="176"/>
    </row>
    <row r="90" spans="1:26" ht="66" customHeight="1" x14ac:dyDescent="0.2">
      <c r="B90" s="184"/>
      <c r="C90" s="97" t="s">
        <v>75</v>
      </c>
      <c r="D90" s="189" t="s">
        <v>190</v>
      </c>
      <c r="E90" s="190"/>
      <c r="F90" s="190"/>
      <c r="G90" s="190"/>
      <c r="H90" s="190"/>
      <c r="I90" s="190"/>
      <c r="J90" s="190"/>
      <c r="K90" s="190"/>
      <c r="L90" s="190"/>
      <c r="M90" s="190"/>
      <c r="N90" s="190"/>
      <c r="O90" s="190"/>
      <c r="P90" s="190"/>
      <c r="Q90" s="190"/>
      <c r="R90" s="190"/>
      <c r="S90" s="190"/>
      <c r="T90" s="190"/>
      <c r="U90" s="190"/>
      <c r="V90" s="190"/>
      <c r="W90" s="190"/>
      <c r="X90" s="190"/>
      <c r="Y90" s="190"/>
      <c r="Z90" s="191"/>
    </row>
    <row r="91" spans="1:26" ht="6" customHeight="1" x14ac:dyDescent="0.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spans="1:26" ht="18.75" customHeight="1" x14ac:dyDescent="0.2">
      <c r="A92" s="2" t="s">
        <v>148</v>
      </c>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spans="1:26" ht="18.75" customHeight="1" x14ac:dyDescent="0.2">
      <c r="B93" s="255" t="s">
        <v>151</v>
      </c>
      <c r="C93" s="256"/>
      <c r="D93" s="256"/>
      <c r="E93" s="256"/>
      <c r="F93" s="256"/>
      <c r="G93" s="256"/>
      <c r="H93" s="256"/>
      <c r="I93" s="256"/>
      <c r="J93" s="256"/>
      <c r="K93" s="256"/>
      <c r="L93" s="256"/>
      <c r="M93" s="256"/>
      <c r="N93" s="256"/>
      <c r="O93" s="256"/>
      <c r="P93" s="256"/>
      <c r="Q93" s="256"/>
      <c r="R93" s="256"/>
      <c r="S93" s="256"/>
      <c r="T93" s="256"/>
      <c r="U93" s="256"/>
      <c r="V93" s="256"/>
      <c r="W93" s="256"/>
      <c r="X93" s="256"/>
      <c r="Y93" s="256"/>
      <c r="Z93" s="257"/>
    </row>
    <row r="94" spans="1:26" ht="18.75" customHeight="1" x14ac:dyDescent="0.2">
      <c r="B94" s="258"/>
      <c r="C94" s="259"/>
      <c r="D94" s="259"/>
      <c r="E94" s="259"/>
      <c r="F94" s="259"/>
      <c r="G94" s="259"/>
      <c r="H94" s="259"/>
      <c r="I94" s="259"/>
      <c r="J94" s="259"/>
      <c r="K94" s="259"/>
      <c r="L94" s="259"/>
      <c r="M94" s="259"/>
      <c r="N94" s="259"/>
      <c r="O94" s="259"/>
      <c r="P94" s="259"/>
      <c r="Q94" s="259"/>
      <c r="R94" s="259"/>
      <c r="S94" s="259"/>
      <c r="T94" s="259"/>
      <c r="U94" s="259"/>
      <c r="V94" s="259"/>
      <c r="W94" s="259"/>
      <c r="X94" s="259"/>
      <c r="Y94" s="259"/>
      <c r="Z94" s="260"/>
    </row>
    <row r="95" spans="1:26" ht="18.75" customHeight="1" x14ac:dyDescent="0.2">
      <c r="B95" s="261"/>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1"/>
    </row>
    <row r="96" spans="1:26" ht="6" customHeight="1" x14ac:dyDescent="0.2"/>
    <row r="97" spans="1:26" ht="15" customHeight="1" x14ac:dyDescent="0.2">
      <c r="A97" s="2" t="s">
        <v>85</v>
      </c>
    </row>
    <row r="98" spans="1:26" ht="15" customHeight="1" x14ac:dyDescent="0.2">
      <c r="B98" s="262" t="s">
        <v>200</v>
      </c>
      <c r="C98" s="263"/>
      <c r="D98" s="263"/>
      <c r="E98" s="263"/>
      <c r="F98" s="263"/>
      <c r="G98" s="263"/>
      <c r="H98" s="263"/>
      <c r="I98" s="263"/>
      <c r="J98" s="263"/>
      <c r="K98" s="263"/>
      <c r="L98" s="263"/>
      <c r="M98" s="263"/>
      <c r="N98" s="263"/>
      <c r="O98" s="263"/>
      <c r="P98" s="263"/>
      <c r="Q98" s="263"/>
      <c r="R98" s="263"/>
      <c r="S98" s="263"/>
      <c r="T98" s="263"/>
      <c r="U98" s="263"/>
      <c r="V98" s="263"/>
      <c r="W98" s="263"/>
      <c r="X98" s="263"/>
      <c r="Y98" s="263"/>
      <c r="Z98" s="264"/>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disablePrompts="1" count="4">
    <dataValidation type="list" allowBlank="1" showInputMessage="1" showErrorMessage="1" sqref="Y16:Z22 Y27:Z33 L27:M33 Y38:Z44 L16:M22 Y49:Z55 Y60:Z66 L38:M44 K64 U16:U22 K60:K62 U27:U33 H38:H44 U38:U44 H27:H33 U49:U55 G60:G66 T60:T66 L60:M66 H16:H22 L49:M55 H49:H55">
      <formula1>"○"</formula1>
    </dataValidation>
    <dataValidation type="list" allowBlank="1" showInputMessage="1" showErrorMessage="1" sqref="Z23 Z34 D34:K34 D23:K23 V16:V22 I38:I44 V27:V33 H60:H66 V38:V44 I27:I33 V49:V55 I16:I22 U60:U66 I49:I55">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31496062992125984"/>
  <pageSetup paperSize="9" scale="92" orientation="landscape" r:id="rId2"/>
  <rowBreaks count="3" manualBreakCount="3">
    <brk id="33"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heetViews>
  <sheetFormatPr defaultColWidth="9" defaultRowHeight="18.75" customHeight="1" x14ac:dyDescent="0.2"/>
  <cols>
    <col min="1" max="1" width="2.7265625" style="51" customWidth="1"/>
    <col min="2" max="2" width="30" style="51" customWidth="1"/>
    <col min="3" max="17" width="6.08984375" style="51" customWidth="1"/>
    <col min="18" max="18" width="6.6328125" style="51" customWidth="1"/>
    <col min="19" max="16384" width="9" style="51"/>
  </cols>
  <sheetData>
    <row r="1" spans="1:20" ht="18" customHeight="1" x14ac:dyDescent="0.2">
      <c r="F1" s="128" t="s">
        <v>194</v>
      </c>
      <c r="G1" s="128"/>
      <c r="H1" s="128"/>
      <c r="I1" s="128"/>
      <c r="J1" s="128"/>
      <c r="K1" s="128"/>
      <c r="L1" s="128"/>
      <c r="M1" s="128"/>
      <c r="N1" s="128"/>
      <c r="O1" s="128"/>
      <c r="P1" s="128"/>
      <c r="Q1" s="128"/>
      <c r="R1" s="128"/>
    </row>
    <row r="2" spans="1:20" ht="18" customHeight="1" x14ac:dyDescent="0.2">
      <c r="A2" s="225" t="s">
        <v>86</v>
      </c>
      <c r="B2" s="225"/>
      <c r="C2" s="225"/>
      <c r="D2" s="225"/>
      <c r="E2" s="225"/>
      <c r="F2" s="225"/>
      <c r="G2" s="225"/>
      <c r="H2" s="225"/>
      <c r="I2" s="225"/>
      <c r="J2" s="225"/>
      <c r="K2" s="225"/>
      <c r="L2" s="225"/>
      <c r="M2" s="225"/>
      <c r="N2" s="225"/>
      <c r="O2" s="225"/>
      <c r="P2" s="225"/>
      <c r="Q2" s="225"/>
      <c r="R2" s="225"/>
    </row>
    <row r="3" spans="1:20" ht="7.5" customHeight="1" x14ac:dyDescent="0.2">
      <c r="A3" s="54"/>
      <c r="B3" s="54"/>
      <c r="C3" s="54"/>
      <c r="D3" s="54"/>
      <c r="E3" s="54"/>
      <c r="F3" s="54"/>
      <c r="G3" s="54"/>
      <c r="H3" s="54"/>
      <c r="I3" s="54"/>
      <c r="J3" s="54"/>
      <c r="K3" s="54"/>
      <c r="L3" s="54"/>
      <c r="M3" s="54"/>
      <c r="N3" s="54"/>
      <c r="O3" s="54"/>
      <c r="P3" s="54"/>
      <c r="Q3" s="54"/>
      <c r="R3" s="54"/>
    </row>
    <row r="4" spans="1:20" ht="18" customHeight="1" x14ac:dyDescent="0.2">
      <c r="A4" s="51" t="s">
        <v>87</v>
      </c>
      <c r="C4" s="276" t="str">
        <f>'様式１　大学等概要'!E12</f>
        <v>令和３</v>
      </c>
      <c r="D4" s="277"/>
      <c r="E4" s="54" t="s">
        <v>13</v>
      </c>
      <c r="F4" s="54"/>
      <c r="G4" s="54"/>
      <c r="H4" s="54"/>
      <c r="I4" s="54"/>
      <c r="J4" s="3"/>
      <c r="K4" s="54"/>
      <c r="L4" s="54"/>
      <c r="M4" s="84"/>
      <c r="N4" s="84"/>
      <c r="O4" s="84"/>
      <c r="P4" s="84"/>
      <c r="Q4" s="84"/>
      <c r="R4" s="84"/>
    </row>
    <row r="5" spans="1:20" ht="6" customHeight="1" x14ac:dyDescent="0.2">
      <c r="A5" s="54"/>
      <c r="B5" s="54"/>
      <c r="C5" s="54"/>
      <c r="D5" s="54"/>
      <c r="E5" s="54"/>
      <c r="F5" s="54"/>
      <c r="G5" s="54"/>
      <c r="H5" s="54"/>
      <c r="I5" s="54"/>
      <c r="J5" s="54"/>
      <c r="K5" s="54"/>
      <c r="L5" s="54"/>
      <c r="M5" s="54"/>
      <c r="N5" s="54"/>
      <c r="O5" s="54"/>
      <c r="P5" s="54"/>
      <c r="Q5" s="54"/>
      <c r="R5" s="54"/>
    </row>
    <row r="6" spans="1:20" ht="18" customHeight="1" x14ac:dyDescent="0.2">
      <c r="A6" s="51" t="s">
        <v>88</v>
      </c>
      <c r="B6" s="54"/>
      <c r="C6" s="54"/>
      <c r="D6" s="54"/>
      <c r="E6" s="54"/>
      <c r="F6" s="54"/>
      <c r="G6" s="54"/>
      <c r="H6" s="54"/>
      <c r="I6" s="54"/>
      <c r="J6" s="54"/>
      <c r="K6" s="54"/>
      <c r="L6" s="54"/>
      <c r="M6" s="54"/>
      <c r="N6" s="54"/>
      <c r="O6" s="54"/>
      <c r="P6" s="54"/>
      <c r="Q6" s="54"/>
      <c r="R6" s="54"/>
    </row>
    <row r="7" spans="1:20" ht="6" customHeight="1" x14ac:dyDescent="0.2">
      <c r="B7" s="54"/>
      <c r="C7" s="54"/>
      <c r="D7" s="54"/>
      <c r="E7" s="54"/>
      <c r="F7" s="54"/>
      <c r="G7" s="54"/>
      <c r="H7" s="54"/>
      <c r="I7" s="54"/>
      <c r="J7" s="54"/>
      <c r="K7" s="54"/>
      <c r="L7" s="54"/>
      <c r="M7" s="54"/>
      <c r="N7" s="54"/>
      <c r="O7" s="54"/>
      <c r="P7" s="54"/>
      <c r="Q7" s="54"/>
      <c r="R7" s="54"/>
    </row>
    <row r="8" spans="1:20" ht="18" customHeight="1" x14ac:dyDescent="0.2">
      <c r="B8" s="278" t="s">
        <v>89</v>
      </c>
      <c r="C8" s="280" t="s">
        <v>90</v>
      </c>
      <c r="D8" s="282" t="s">
        <v>91</v>
      </c>
      <c r="E8" s="284" t="s">
        <v>92</v>
      </c>
      <c r="F8" s="284"/>
      <c r="G8" s="284" t="s">
        <v>93</v>
      </c>
      <c r="H8" s="284"/>
      <c r="I8" s="284" t="s">
        <v>94</v>
      </c>
      <c r="J8" s="284"/>
      <c r="K8" s="198" t="s">
        <v>95</v>
      </c>
      <c r="L8" s="200"/>
      <c r="M8" s="198" t="s">
        <v>96</v>
      </c>
      <c r="N8" s="200"/>
      <c r="O8" s="198" t="s">
        <v>97</v>
      </c>
      <c r="P8" s="200"/>
      <c r="Q8" s="272" t="s">
        <v>98</v>
      </c>
      <c r="R8" s="274" t="s">
        <v>99</v>
      </c>
      <c r="T8" s="23"/>
    </row>
    <row r="9" spans="1:20" ht="18" customHeight="1" x14ac:dyDescent="0.2">
      <c r="B9" s="279"/>
      <c r="C9" s="281"/>
      <c r="D9" s="283"/>
      <c r="E9" s="24" t="s">
        <v>100</v>
      </c>
      <c r="F9" s="25" t="s">
        <v>101</v>
      </c>
      <c r="G9" s="26" t="s">
        <v>100</v>
      </c>
      <c r="H9" s="27" t="s">
        <v>101</v>
      </c>
      <c r="I9" s="24" t="s">
        <v>100</v>
      </c>
      <c r="J9" s="25" t="s">
        <v>101</v>
      </c>
      <c r="K9" s="26" t="s">
        <v>100</v>
      </c>
      <c r="L9" s="27" t="s">
        <v>101</v>
      </c>
      <c r="M9" s="24" t="s">
        <v>100</v>
      </c>
      <c r="N9" s="25" t="s">
        <v>101</v>
      </c>
      <c r="O9" s="26" t="s">
        <v>100</v>
      </c>
      <c r="P9" s="27" t="s">
        <v>101</v>
      </c>
      <c r="Q9" s="273"/>
      <c r="R9" s="275"/>
      <c r="T9" s="23"/>
    </row>
    <row r="10" spans="1:20" ht="18" customHeight="1" x14ac:dyDescent="0.2">
      <c r="A10" s="12"/>
      <c r="B10" s="56" t="s">
        <v>144</v>
      </c>
      <c r="C10" s="84">
        <v>80</v>
      </c>
      <c r="D10" s="88">
        <f>C10*2</f>
        <v>160</v>
      </c>
      <c r="E10" s="28">
        <v>10</v>
      </c>
      <c r="F10" s="29">
        <v>9</v>
      </c>
      <c r="G10" s="30">
        <v>0</v>
      </c>
      <c r="H10" s="31">
        <v>0</v>
      </c>
      <c r="I10" s="28">
        <v>0</v>
      </c>
      <c r="J10" s="29">
        <v>0</v>
      </c>
      <c r="K10" s="30">
        <v>0</v>
      </c>
      <c r="L10" s="31">
        <v>0</v>
      </c>
      <c r="M10" s="28">
        <v>0</v>
      </c>
      <c r="N10" s="29">
        <v>0</v>
      </c>
      <c r="O10" s="30">
        <v>0</v>
      </c>
      <c r="P10" s="31">
        <v>0</v>
      </c>
      <c r="Q10" s="32">
        <f>E10+G10+I10+K10+M10+O10</f>
        <v>10</v>
      </c>
      <c r="R10" s="33">
        <f>Q10/D10</f>
        <v>6.25E-2</v>
      </c>
    </row>
    <row r="11" spans="1:20" ht="18" customHeight="1" x14ac:dyDescent="0.2">
      <c r="A11" s="12"/>
      <c r="B11" s="56" t="s">
        <v>145</v>
      </c>
      <c r="C11" s="85">
        <v>70</v>
      </c>
      <c r="D11" s="87">
        <f t="shared" ref="D11:D13" si="0">C11*2</f>
        <v>140</v>
      </c>
      <c r="E11" s="34">
        <v>5</v>
      </c>
      <c r="F11" s="35">
        <v>4</v>
      </c>
      <c r="G11" s="36">
        <v>0</v>
      </c>
      <c r="H11" s="37">
        <v>0</v>
      </c>
      <c r="I11" s="34">
        <v>0</v>
      </c>
      <c r="J11" s="35">
        <v>0</v>
      </c>
      <c r="K11" s="36">
        <v>0</v>
      </c>
      <c r="L11" s="37">
        <v>0</v>
      </c>
      <c r="M11" s="34">
        <v>0</v>
      </c>
      <c r="N11" s="35">
        <v>0</v>
      </c>
      <c r="O11" s="36">
        <v>0</v>
      </c>
      <c r="P11" s="37">
        <v>0</v>
      </c>
      <c r="Q11" s="38">
        <f t="shared" ref="Q11:Q29" si="1">E11+G11+I11+K11+M11+O11</f>
        <v>5</v>
      </c>
      <c r="R11" s="39">
        <f t="shared" ref="R11:R29" si="2">Q11/D11</f>
        <v>3.5714285714285712E-2</v>
      </c>
    </row>
    <row r="12" spans="1:20" ht="18" customHeight="1" x14ac:dyDescent="0.2">
      <c r="A12" s="12"/>
      <c r="B12" s="56" t="s">
        <v>142</v>
      </c>
      <c r="C12" s="85">
        <v>70</v>
      </c>
      <c r="D12" s="87">
        <f t="shared" si="0"/>
        <v>140</v>
      </c>
      <c r="E12" s="34">
        <v>0</v>
      </c>
      <c r="F12" s="35">
        <v>0</v>
      </c>
      <c r="G12" s="36">
        <v>0</v>
      </c>
      <c r="H12" s="37">
        <v>0</v>
      </c>
      <c r="I12" s="34">
        <v>0</v>
      </c>
      <c r="J12" s="35">
        <v>0</v>
      </c>
      <c r="K12" s="36">
        <v>0</v>
      </c>
      <c r="L12" s="37">
        <v>0</v>
      </c>
      <c r="M12" s="34">
        <v>0</v>
      </c>
      <c r="N12" s="35">
        <v>0</v>
      </c>
      <c r="O12" s="36">
        <v>0</v>
      </c>
      <c r="P12" s="37">
        <v>0</v>
      </c>
      <c r="Q12" s="38">
        <f t="shared" si="1"/>
        <v>0</v>
      </c>
      <c r="R12" s="39">
        <f t="shared" si="2"/>
        <v>0</v>
      </c>
    </row>
    <row r="13" spans="1:20" ht="18" customHeight="1" x14ac:dyDescent="0.2">
      <c r="A13" s="12"/>
      <c r="B13" s="56" t="s">
        <v>143</v>
      </c>
      <c r="C13" s="85">
        <v>20</v>
      </c>
      <c r="D13" s="87">
        <f t="shared" si="0"/>
        <v>40</v>
      </c>
      <c r="E13" s="34">
        <v>0</v>
      </c>
      <c r="F13" s="35">
        <v>0</v>
      </c>
      <c r="G13" s="36">
        <v>0</v>
      </c>
      <c r="H13" s="37">
        <v>0</v>
      </c>
      <c r="I13" s="34">
        <v>0</v>
      </c>
      <c r="J13" s="35">
        <v>0</v>
      </c>
      <c r="K13" s="36">
        <v>0</v>
      </c>
      <c r="L13" s="37">
        <v>0</v>
      </c>
      <c r="M13" s="34">
        <v>0</v>
      </c>
      <c r="N13" s="35">
        <v>0</v>
      </c>
      <c r="O13" s="36">
        <v>0</v>
      </c>
      <c r="P13" s="37">
        <v>0</v>
      </c>
      <c r="Q13" s="38">
        <f t="shared" si="1"/>
        <v>0</v>
      </c>
      <c r="R13" s="39">
        <f t="shared" si="2"/>
        <v>0</v>
      </c>
    </row>
    <row r="14" spans="1:20" ht="18" customHeight="1" x14ac:dyDescent="0.2">
      <c r="A14" s="12"/>
      <c r="B14" s="56"/>
      <c r="C14" s="85"/>
      <c r="D14" s="87"/>
      <c r="E14" s="34"/>
      <c r="F14" s="35"/>
      <c r="G14" s="36"/>
      <c r="H14" s="37"/>
      <c r="I14" s="34"/>
      <c r="J14" s="35"/>
      <c r="K14" s="36"/>
      <c r="L14" s="37"/>
      <c r="M14" s="34"/>
      <c r="N14" s="35"/>
      <c r="O14" s="36"/>
      <c r="P14" s="37"/>
      <c r="Q14" s="38">
        <f t="shared" si="1"/>
        <v>0</v>
      </c>
      <c r="R14" s="39" t="e">
        <f t="shared" si="2"/>
        <v>#DIV/0!</v>
      </c>
    </row>
    <row r="15" spans="1:20" ht="18" customHeight="1" x14ac:dyDescent="0.2">
      <c r="A15" s="12"/>
      <c r="B15" s="56"/>
      <c r="C15" s="85"/>
      <c r="D15" s="87"/>
      <c r="E15" s="34"/>
      <c r="F15" s="35"/>
      <c r="G15" s="36"/>
      <c r="H15" s="37"/>
      <c r="I15" s="34"/>
      <c r="J15" s="35"/>
      <c r="K15" s="36"/>
      <c r="L15" s="37"/>
      <c r="M15" s="34"/>
      <c r="N15" s="35"/>
      <c r="O15" s="36"/>
      <c r="P15" s="37"/>
      <c r="Q15" s="38">
        <f t="shared" si="1"/>
        <v>0</v>
      </c>
      <c r="R15" s="39" t="e">
        <f t="shared" si="2"/>
        <v>#DIV/0!</v>
      </c>
    </row>
    <row r="16" spans="1:20" ht="18" customHeight="1" x14ac:dyDescent="0.2">
      <c r="A16" s="12"/>
      <c r="B16" s="56"/>
      <c r="C16" s="85"/>
      <c r="D16" s="87"/>
      <c r="E16" s="34"/>
      <c r="F16" s="35"/>
      <c r="G16" s="36"/>
      <c r="H16" s="37"/>
      <c r="I16" s="34"/>
      <c r="J16" s="35"/>
      <c r="K16" s="36"/>
      <c r="L16" s="37"/>
      <c r="M16" s="34"/>
      <c r="N16" s="35"/>
      <c r="O16" s="36"/>
      <c r="P16" s="37"/>
      <c r="Q16" s="38">
        <f t="shared" si="1"/>
        <v>0</v>
      </c>
      <c r="R16" s="39" t="e">
        <f t="shared" si="2"/>
        <v>#DIV/0!</v>
      </c>
    </row>
    <row r="17" spans="1:18" ht="18" customHeight="1" x14ac:dyDescent="0.2">
      <c r="A17" s="12"/>
      <c r="B17" s="56"/>
      <c r="C17" s="85"/>
      <c r="D17" s="87"/>
      <c r="E17" s="34"/>
      <c r="F17" s="35"/>
      <c r="G17" s="36"/>
      <c r="H17" s="37"/>
      <c r="I17" s="34"/>
      <c r="J17" s="35"/>
      <c r="K17" s="36"/>
      <c r="L17" s="37"/>
      <c r="M17" s="34"/>
      <c r="N17" s="35"/>
      <c r="O17" s="36"/>
      <c r="P17" s="37"/>
      <c r="Q17" s="38">
        <f t="shared" si="1"/>
        <v>0</v>
      </c>
      <c r="R17" s="39" t="e">
        <f t="shared" si="2"/>
        <v>#DIV/0!</v>
      </c>
    </row>
    <row r="18" spans="1:18" ht="18" customHeight="1" x14ac:dyDescent="0.2">
      <c r="A18" s="12"/>
      <c r="B18" s="56"/>
      <c r="C18" s="85"/>
      <c r="D18" s="87"/>
      <c r="E18" s="34"/>
      <c r="F18" s="35"/>
      <c r="G18" s="36"/>
      <c r="H18" s="37"/>
      <c r="I18" s="34"/>
      <c r="J18" s="35"/>
      <c r="K18" s="36"/>
      <c r="L18" s="37"/>
      <c r="M18" s="34"/>
      <c r="N18" s="35"/>
      <c r="O18" s="36"/>
      <c r="P18" s="37"/>
      <c r="Q18" s="38">
        <f>E18+G18+I18+K18+M18+O18</f>
        <v>0</v>
      </c>
      <c r="R18" s="39" t="e">
        <f t="shared" si="2"/>
        <v>#DIV/0!</v>
      </c>
    </row>
    <row r="19" spans="1:18" ht="18" customHeight="1" x14ac:dyDescent="0.2">
      <c r="A19" s="12"/>
      <c r="B19" s="56"/>
      <c r="C19" s="85"/>
      <c r="D19" s="87"/>
      <c r="E19" s="34"/>
      <c r="F19" s="35"/>
      <c r="G19" s="36"/>
      <c r="H19" s="37"/>
      <c r="I19" s="34"/>
      <c r="J19" s="35"/>
      <c r="K19" s="36"/>
      <c r="L19" s="37"/>
      <c r="M19" s="34"/>
      <c r="N19" s="35"/>
      <c r="O19" s="36"/>
      <c r="P19" s="37"/>
      <c r="Q19" s="38">
        <f t="shared" si="1"/>
        <v>0</v>
      </c>
      <c r="R19" s="39" t="e">
        <f t="shared" si="2"/>
        <v>#DIV/0!</v>
      </c>
    </row>
    <row r="20" spans="1:18" ht="18" customHeight="1" x14ac:dyDescent="0.2">
      <c r="A20" s="12"/>
      <c r="B20" s="56"/>
      <c r="C20" s="85"/>
      <c r="D20" s="87"/>
      <c r="E20" s="34"/>
      <c r="F20" s="35"/>
      <c r="G20" s="36"/>
      <c r="H20" s="37"/>
      <c r="I20" s="34"/>
      <c r="J20" s="35"/>
      <c r="K20" s="36"/>
      <c r="L20" s="37"/>
      <c r="M20" s="34"/>
      <c r="N20" s="35"/>
      <c r="O20" s="36"/>
      <c r="P20" s="37"/>
      <c r="Q20" s="38">
        <f t="shared" si="1"/>
        <v>0</v>
      </c>
      <c r="R20" s="39" t="e">
        <f t="shared" si="2"/>
        <v>#DIV/0!</v>
      </c>
    </row>
    <row r="21" spans="1:18" ht="18" customHeight="1" x14ac:dyDescent="0.2">
      <c r="A21" s="12"/>
      <c r="B21" s="56"/>
      <c r="C21" s="85"/>
      <c r="D21" s="87"/>
      <c r="E21" s="34"/>
      <c r="F21" s="35"/>
      <c r="G21" s="36"/>
      <c r="H21" s="37"/>
      <c r="I21" s="34"/>
      <c r="J21" s="35"/>
      <c r="K21" s="36"/>
      <c r="L21" s="37"/>
      <c r="M21" s="34"/>
      <c r="N21" s="35"/>
      <c r="O21" s="36"/>
      <c r="P21" s="37"/>
      <c r="Q21" s="38">
        <f t="shared" si="1"/>
        <v>0</v>
      </c>
      <c r="R21" s="39" t="e">
        <f t="shared" si="2"/>
        <v>#DIV/0!</v>
      </c>
    </row>
    <row r="22" spans="1:18" ht="18" customHeight="1" x14ac:dyDescent="0.2">
      <c r="A22" s="12"/>
      <c r="B22" s="56"/>
      <c r="C22" s="85"/>
      <c r="D22" s="87"/>
      <c r="E22" s="34"/>
      <c r="F22" s="35"/>
      <c r="G22" s="36"/>
      <c r="H22" s="37"/>
      <c r="I22" s="34"/>
      <c r="J22" s="35"/>
      <c r="K22" s="36"/>
      <c r="L22" s="37"/>
      <c r="M22" s="34"/>
      <c r="N22" s="35"/>
      <c r="O22" s="36"/>
      <c r="P22" s="37"/>
      <c r="Q22" s="38">
        <f t="shared" si="1"/>
        <v>0</v>
      </c>
      <c r="R22" s="39" t="e">
        <f t="shared" si="2"/>
        <v>#DIV/0!</v>
      </c>
    </row>
    <row r="23" spans="1:18" ht="18" customHeight="1" x14ac:dyDescent="0.2">
      <c r="A23" s="12"/>
      <c r="B23" s="56"/>
      <c r="C23" s="85"/>
      <c r="D23" s="87"/>
      <c r="E23" s="34"/>
      <c r="F23" s="35"/>
      <c r="G23" s="36"/>
      <c r="H23" s="37"/>
      <c r="I23" s="34"/>
      <c r="J23" s="35"/>
      <c r="K23" s="36"/>
      <c r="L23" s="37"/>
      <c r="M23" s="34"/>
      <c r="N23" s="35"/>
      <c r="O23" s="36"/>
      <c r="P23" s="37"/>
      <c r="Q23" s="38">
        <f t="shared" si="1"/>
        <v>0</v>
      </c>
      <c r="R23" s="39" t="e">
        <f t="shared" si="2"/>
        <v>#DIV/0!</v>
      </c>
    </row>
    <row r="24" spans="1:18" ht="18" customHeight="1" x14ac:dyDescent="0.2">
      <c r="A24" s="12"/>
      <c r="B24" s="56"/>
      <c r="C24" s="85"/>
      <c r="D24" s="87"/>
      <c r="E24" s="34"/>
      <c r="F24" s="35"/>
      <c r="G24" s="36"/>
      <c r="H24" s="37"/>
      <c r="I24" s="34"/>
      <c r="J24" s="35"/>
      <c r="K24" s="36"/>
      <c r="L24" s="37"/>
      <c r="M24" s="34"/>
      <c r="N24" s="35"/>
      <c r="O24" s="36"/>
      <c r="P24" s="37"/>
      <c r="Q24" s="38">
        <f t="shared" si="1"/>
        <v>0</v>
      </c>
      <c r="R24" s="39" t="e">
        <f t="shared" si="2"/>
        <v>#DIV/0!</v>
      </c>
    </row>
    <row r="25" spans="1:18" ht="18" customHeight="1" x14ac:dyDescent="0.2">
      <c r="A25" s="12"/>
      <c r="B25" s="56"/>
      <c r="C25" s="85"/>
      <c r="D25" s="87"/>
      <c r="E25" s="34"/>
      <c r="F25" s="35"/>
      <c r="G25" s="36"/>
      <c r="H25" s="37"/>
      <c r="I25" s="34"/>
      <c r="J25" s="35"/>
      <c r="K25" s="36"/>
      <c r="L25" s="37"/>
      <c r="M25" s="34"/>
      <c r="N25" s="35"/>
      <c r="O25" s="36"/>
      <c r="P25" s="37"/>
      <c r="Q25" s="38">
        <f t="shared" si="1"/>
        <v>0</v>
      </c>
      <c r="R25" s="39" t="e">
        <f t="shared" si="2"/>
        <v>#DIV/0!</v>
      </c>
    </row>
    <row r="26" spans="1:18" ht="18" customHeight="1" x14ac:dyDescent="0.2">
      <c r="A26" s="12"/>
      <c r="B26" s="56"/>
      <c r="C26" s="85"/>
      <c r="D26" s="87"/>
      <c r="E26" s="34"/>
      <c r="F26" s="35"/>
      <c r="G26" s="36"/>
      <c r="H26" s="37"/>
      <c r="I26" s="34"/>
      <c r="J26" s="35"/>
      <c r="K26" s="36"/>
      <c r="L26" s="37"/>
      <c r="M26" s="34"/>
      <c r="N26" s="35"/>
      <c r="O26" s="36"/>
      <c r="P26" s="37"/>
      <c r="Q26" s="38">
        <f t="shared" si="1"/>
        <v>0</v>
      </c>
      <c r="R26" s="39" t="e">
        <f t="shared" si="2"/>
        <v>#DIV/0!</v>
      </c>
    </row>
    <row r="27" spans="1:18" ht="18" customHeight="1" x14ac:dyDescent="0.2">
      <c r="A27" s="12"/>
      <c r="B27" s="56"/>
      <c r="C27" s="86"/>
      <c r="D27" s="87"/>
      <c r="E27" s="34"/>
      <c r="F27" s="35"/>
      <c r="G27" s="36"/>
      <c r="H27" s="37"/>
      <c r="I27" s="34"/>
      <c r="J27" s="35"/>
      <c r="K27" s="36"/>
      <c r="L27" s="37"/>
      <c r="M27" s="34"/>
      <c r="N27" s="35"/>
      <c r="O27" s="36"/>
      <c r="P27" s="37"/>
      <c r="Q27" s="38">
        <f t="shared" si="1"/>
        <v>0</v>
      </c>
      <c r="R27" s="39" t="e">
        <f t="shared" si="2"/>
        <v>#DIV/0!</v>
      </c>
    </row>
    <row r="28" spans="1:18" ht="18" customHeight="1" x14ac:dyDescent="0.2">
      <c r="A28" s="12"/>
      <c r="B28" s="56"/>
      <c r="C28" s="86"/>
      <c r="D28" s="87"/>
      <c r="E28" s="34"/>
      <c r="F28" s="35"/>
      <c r="G28" s="36"/>
      <c r="H28" s="37"/>
      <c r="I28" s="34"/>
      <c r="J28" s="35"/>
      <c r="K28" s="36"/>
      <c r="L28" s="37"/>
      <c r="M28" s="34"/>
      <c r="N28" s="35"/>
      <c r="O28" s="36"/>
      <c r="P28" s="37"/>
      <c r="Q28" s="38">
        <f t="shared" si="1"/>
        <v>0</v>
      </c>
      <c r="R28" s="39" t="e">
        <f t="shared" si="2"/>
        <v>#DIV/0!</v>
      </c>
    </row>
    <row r="29" spans="1:18" ht="18" customHeight="1" thickBot="1" x14ac:dyDescent="0.25">
      <c r="A29" s="12"/>
      <c r="B29" s="40"/>
      <c r="C29" s="89"/>
      <c r="D29" s="88"/>
      <c r="E29" s="28"/>
      <c r="F29" s="29"/>
      <c r="G29" s="30"/>
      <c r="H29" s="31"/>
      <c r="I29" s="28"/>
      <c r="J29" s="29"/>
      <c r="K29" s="30"/>
      <c r="L29" s="31"/>
      <c r="M29" s="28"/>
      <c r="N29" s="29"/>
      <c r="O29" s="30"/>
      <c r="P29" s="31"/>
      <c r="Q29" s="41">
        <f t="shared" si="1"/>
        <v>0</v>
      </c>
      <c r="R29" s="33" t="e">
        <f t="shared" si="2"/>
        <v>#DIV/0!</v>
      </c>
    </row>
    <row r="30" spans="1:18" ht="18" customHeight="1" thickTop="1" x14ac:dyDescent="0.2">
      <c r="B30" s="42" t="s">
        <v>102</v>
      </c>
      <c r="C30" s="43">
        <f t="shared" ref="C30:Q30" si="3">SUM(C10:C29)</f>
        <v>240</v>
      </c>
      <c r="D30" s="44">
        <f t="shared" si="3"/>
        <v>480</v>
      </c>
      <c r="E30" s="45">
        <f t="shared" si="3"/>
        <v>15</v>
      </c>
      <c r="F30" s="46">
        <f t="shared" si="3"/>
        <v>13</v>
      </c>
      <c r="G30" s="47">
        <f t="shared" si="3"/>
        <v>0</v>
      </c>
      <c r="H30" s="48">
        <f t="shared" si="3"/>
        <v>0</v>
      </c>
      <c r="I30" s="45">
        <f t="shared" si="3"/>
        <v>0</v>
      </c>
      <c r="J30" s="46">
        <f t="shared" si="3"/>
        <v>0</v>
      </c>
      <c r="K30" s="47">
        <f t="shared" si="3"/>
        <v>0</v>
      </c>
      <c r="L30" s="48">
        <f t="shared" si="3"/>
        <v>0</v>
      </c>
      <c r="M30" s="45">
        <f t="shared" si="3"/>
        <v>0</v>
      </c>
      <c r="N30" s="46">
        <f t="shared" si="3"/>
        <v>0</v>
      </c>
      <c r="O30" s="47">
        <f t="shared" si="3"/>
        <v>0</v>
      </c>
      <c r="P30" s="48">
        <f t="shared" si="3"/>
        <v>0</v>
      </c>
      <c r="Q30" s="49">
        <f t="shared" si="3"/>
        <v>15</v>
      </c>
      <c r="R30" s="50">
        <f>Q30/D30</f>
        <v>3.125E-2</v>
      </c>
    </row>
  </sheetData>
  <mergeCells count="14">
    <mergeCell ref="M8:N8"/>
    <mergeCell ref="O8:P8"/>
    <mergeCell ref="Q8:Q9"/>
    <mergeCell ref="R8:R9"/>
    <mergeCell ref="F1:R1"/>
    <mergeCell ref="A2:R2"/>
    <mergeCell ref="C4:D4"/>
    <mergeCell ref="B8:B9"/>
    <mergeCell ref="C8:C9"/>
    <mergeCell ref="D8:D9"/>
    <mergeCell ref="E8:F8"/>
    <mergeCell ref="G8:H8"/>
    <mergeCell ref="I8:J8"/>
    <mergeCell ref="K8:L8"/>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showZeros="0" view="pageBreakPreview" zoomScaleNormal="100" zoomScaleSheetLayoutView="100" workbookViewId="0"/>
  </sheetViews>
  <sheetFormatPr defaultColWidth="11.36328125" defaultRowHeight="18.75" customHeight="1" x14ac:dyDescent="0.2"/>
  <cols>
    <col min="1" max="1" width="2.7265625" style="57" customWidth="1"/>
    <col min="2" max="2" width="16.6328125" style="51" customWidth="1"/>
    <col min="3" max="3" width="8.90625" style="51" customWidth="1"/>
    <col min="4" max="4" width="2.26953125" style="51" customWidth="1"/>
    <col min="5" max="5" width="16.6328125" style="51" customWidth="1"/>
    <col min="6" max="6" width="8.90625" style="51" customWidth="1"/>
    <col min="7" max="7" width="2.26953125" style="51" customWidth="1"/>
    <col min="8" max="8" width="16.6328125" style="51" customWidth="1"/>
    <col min="9" max="9" width="8.90625" style="51" customWidth="1"/>
    <col min="10" max="10" width="2.26953125" style="51" customWidth="1"/>
    <col min="11" max="16384" width="11.36328125" style="51"/>
  </cols>
  <sheetData>
    <row r="1" spans="1:11" ht="18.75" customHeight="1" x14ac:dyDescent="0.2">
      <c r="A1" s="57" t="s">
        <v>172</v>
      </c>
      <c r="J1" s="91" t="s">
        <v>195</v>
      </c>
    </row>
    <row r="2" spans="1:11" ht="18.75" customHeight="1" x14ac:dyDescent="0.2">
      <c r="A2" s="225" t="s">
        <v>103</v>
      </c>
      <c r="B2" s="225"/>
      <c r="C2" s="225"/>
      <c r="D2" s="225"/>
      <c r="E2" s="225"/>
      <c r="F2" s="225"/>
      <c r="G2" s="225"/>
      <c r="H2" s="225"/>
      <c r="I2" s="225"/>
      <c r="J2" s="225"/>
    </row>
    <row r="3" spans="1:11" ht="7.5" customHeight="1" x14ac:dyDescent="0.2">
      <c r="B3" s="54"/>
      <c r="C3" s="54"/>
      <c r="D3" s="54"/>
      <c r="E3" s="54"/>
      <c r="F3" s="54"/>
      <c r="G3" s="54"/>
      <c r="H3" s="54"/>
      <c r="I3" s="54"/>
      <c r="J3" s="54"/>
    </row>
    <row r="4" spans="1:11" ht="18.75" customHeight="1" x14ac:dyDescent="0.2">
      <c r="A4" s="51" t="s">
        <v>173</v>
      </c>
      <c r="B4" s="51" t="s">
        <v>174</v>
      </c>
      <c r="I4" s="54"/>
      <c r="J4" s="54"/>
    </row>
    <row r="5" spans="1:11" ht="18.75" customHeight="1" x14ac:dyDescent="0.2">
      <c r="A5" s="51"/>
      <c r="B5" s="291" t="s">
        <v>139</v>
      </c>
      <c r="C5" s="292"/>
      <c r="D5" s="292"/>
      <c r="E5" s="292"/>
      <c r="F5" s="292"/>
      <c r="G5" s="292"/>
      <c r="H5" s="292"/>
      <c r="I5" s="292"/>
      <c r="J5" s="293"/>
      <c r="K5" s="51" t="str">
        <f>IF(B5="","入力してください","")</f>
        <v/>
      </c>
    </row>
    <row r="6" spans="1:11" ht="7.5" customHeight="1" x14ac:dyDescent="0.2">
      <c r="B6" s="54"/>
      <c r="C6" s="54"/>
      <c r="D6" s="54"/>
      <c r="E6" s="54"/>
      <c r="F6" s="54"/>
      <c r="G6" s="54"/>
      <c r="H6" s="54"/>
      <c r="I6" s="54"/>
      <c r="J6" s="54"/>
    </row>
    <row r="7" spans="1:11" ht="18.75" customHeight="1" x14ac:dyDescent="0.2">
      <c r="A7" s="51" t="s">
        <v>175</v>
      </c>
      <c r="B7" s="51" t="s">
        <v>161</v>
      </c>
      <c r="K7" s="52"/>
    </row>
    <row r="8" spans="1:11" ht="80.150000000000006" customHeight="1" x14ac:dyDescent="0.2">
      <c r="A8" s="55"/>
      <c r="B8" s="294" t="s">
        <v>158</v>
      </c>
      <c r="C8" s="295"/>
      <c r="D8" s="295"/>
      <c r="E8" s="295"/>
      <c r="F8" s="295"/>
      <c r="G8" s="295"/>
      <c r="H8" s="295"/>
      <c r="I8" s="296"/>
      <c r="J8" s="297"/>
      <c r="K8" s="51" t="str">
        <f>IF(B8="","入力してください","")</f>
        <v/>
      </c>
    </row>
    <row r="9" spans="1:11" ht="18" customHeight="1" x14ac:dyDescent="0.2">
      <c r="A9" s="55"/>
      <c r="B9" s="298"/>
      <c r="C9" s="299"/>
      <c r="D9" s="299"/>
      <c r="E9" s="299"/>
      <c r="F9" s="299"/>
      <c r="G9" s="299"/>
      <c r="H9" s="299"/>
      <c r="I9" s="299"/>
      <c r="J9" s="300"/>
    </row>
    <row r="10" spans="1:11" ht="7.5" customHeight="1" x14ac:dyDescent="0.2">
      <c r="A10" s="55"/>
      <c r="B10" s="55"/>
      <c r="C10" s="55"/>
      <c r="D10" s="55"/>
      <c r="E10" s="55"/>
      <c r="F10" s="55"/>
      <c r="G10" s="55"/>
      <c r="H10" s="55"/>
      <c r="I10" s="55"/>
      <c r="J10" s="55"/>
    </row>
    <row r="11" spans="1:11" ht="18.75" customHeight="1" x14ac:dyDescent="0.2">
      <c r="A11" s="92" t="s">
        <v>176</v>
      </c>
      <c r="B11" s="92" t="s">
        <v>104</v>
      </c>
      <c r="C11" s="92"/>
      <c r="D11" s="92"/>
      <c r="E11" s="92"/>
      <c r="F11" s="92"/>
      <c r="G11" s="92"/>
      <c r="H11" s="92"/>
      <c r="I11" s="92"/>
      <c r="J11" s="92"/>
    </row>
    <row r="12" spans="1:11" ht="128" customHeight="1" x14ac:dyDescent="0.2">
      <c r="A12" s="55"/>
      <c r="B12" s="294" t="s">
        <v>157</v>
      </c>
      <c r="C12" s="295"/>
      <c r="D12" s="295"/>
      <c r="E12" s="295"/>
      <c r="F12" s="295"/>
      <c r="G12" s="295"/>
      <c r="H12" s="295"/>
      <c r="I12" s="296"/>
      <c r="J12" s="297"/>
      <c r="K12" s="51" t="str">
        <f>IF(B12="","入力してください","")</f>
        <v/>
      </c>
    </row>
    <row r="13" spans="1:11" ht="13" customHeight="1" x14ac:dyDescent="0.2">
      <c r="A13" s="55"/>
      <c r="B13" s="298"/>
      <c r="C13" s="299"/>
      <c r="D13" s="299"/>
      <c r="E13" s="299"/>
      <c r="F13" s="299"/>
      <c r="G13" s="299"/>
      <c r="H13" s="299"/>
      <c r="I13" s="299"/>
      <c r="J13" s="300"/>
    </row>
    <row r="14" spans="1:11" ht="7.5" customHeight="1" x14ac:dyDescent="0.2">
      <c r="A14" s="58"/>
      <c r="B14" s="58"/>
      <c r="C14" s="58"/>
      <c r="D14" s="58"/>
      <c r="E14" s="58"/>
      <c r="F14" s="58"/>
      <c r="G14" s="58"/>
      <c r="H14" s="58"/>
      <c r="I14" s="58"/>
      <c r="J14" s="58"/>
    </row>
    <row r="15" spans="1:11" ht="18.75" customHeight="1" x14ac:dyDescent="0.2">
      <c r="A15" s="51" t="s">
        <v>177</v>
      </c>
      <c r="B15" s="51" t="s">
        <v>105</v>
      </c>
    </row>
    <row r="16" spans="1:11" s="54" customFormat="1" ht="18.75" customHeight="1" x14ac:dyDescent="0.2">
      <c r="B16" s="118" t="s">
        <v>106</v>
      </c>
      <c r="C16" s="119">
        <f>'様式３　履修者等数の実績'!R30</f>
        <v>3.125E-2</v>
      </c>
      <c r="D16" s="120"/>
      <c r="E16" s="120" t="s">
        <v>107</v>
      </c>
      <c r="F16" s="119">
        <v>0.06</v>
      </c>
      <c r="G16" s="120"/>
      <c r="H16" s="120" t="s">
        <v>108</v>
      </c>
      <c r="I16" s="121">
        <v>7.0000000000000007E-2</v>
      </c>
      <c r="J16" s="122"/>
      <c r="K16" s="51"/>
    </row>
    <row r="17" spans="1:11" s="54" customFormat="1" ht="18.75" customHeight="1" x14ac:dyDescent="0.2">
      <c r="B17" s="123" t="s">
        <v>109</v>
      </c>
      <c r="C17" s="124">
        <v>0.08</v>
      </c>
      <c r="D17" s="125"/>
      <c r="E17" s="125" t="s">
        <v>110</v>
      </c>
      <c r="F17" s="124">
        <v>0.1</v>
      </c>
      <c r="G17" s="125"/>
      <c r="H17" s="125" t="s">
        <v>111</v>
      </c>
      <c r="I17" s="127">
        <f>'様式３　履修者等数の実績'!D30</f>
        <v>480</v>
      </c>
      <c r="J17" s="126"/>
      <c r="K17" s="52"/>
    </row>
    <row r="18" spans="1:11" ht="18.75" customHeight="1" x14ac:dyDescent="0.2">
      <c r="A18" s="51"/>
      <c r="B18" s="180" t="s">
        <v>160</v>
      </c>
      <c r="C18" s="181"/>
      <c r="D18" s="181"/>
      <c r="E18" s="181"/>
      <c r="F18" s="181"/>
      <c r="G18" s="181"/>
      <c r="H18" s="181"/>
      <c r="I18" s="181"/>
      <c r="J18" s="182"/>
      <c r="K18" s="52"/>
    </row>
    <row r="19" spans="1:11" ht="114.5" customHeight="1" x14ac:dyDescent="0.2">
      <c r="A19" s="51"/>
      <c r="B19" s="285" t="s">
        <v>192</v>
      </c>
      <c r="C19" s="286"/>
      <c r="D19" s="286"/>
      <c r="E19" s="286"/>
      <c r="F19" s="286"/>
      <c r="G19" s="286"/>
      <c r="H19" s="286"/>
      <c r="I19" s="286"/>
      <c r="J19" s="287"/>
      <c r="K19" s="52" t="str">
        <f>IF(B19="","入力してください","")</f>
        <v/>
      </c>
    </row>
    <row r="20" spans="1:11" ht="18.75" customHeight="1" x14ac:dyDescent="0.2">
      <c r="A20" s="58"/>
      <c r="B20" s="288"/>
      <c r="C20" s="289"/>
      <c r="D20" s="289"/>
      <c r="E20" s="289"/>
      <c r="F20" s="289"/>
      <c r="G20" s="289"/>
      <c r="H20" s="289"/>
      <c r="I20" s="289"/>
      <c r="J20" s="290"/>
    </row>
    <row r="21" spans="1:11" ht="18.75" customHeight="1" x14ac:dyDescent="0.2">
      <c r="A21" s="92" t="s">
        <v>178</v>
      </c>
      <c r="B21" s="23" t="s">
        <v>159</v>
      </c>
      <c r="I21" s="92"/>
      <c r="J21" s="92"/>
    </row>
    <row r="22" spans="1:11" ht="146.5" customHeight="1" x14ac:dyDescent="0.2">
      <c r="A22" s="58"/>
      <c r="B22" s="294" t="s">
        <v>182</v>
      </c>
      <c r="C22" s="295"/>
      <c r="D22" s="295"/>
      <c r="E22" s="295"/>
      <c r="F22" s="295"/>
      <c r="G22" s="295"/>
      <c r="H22" s="295"/>
      <c r="I22" s="295"/>
      <c r="J22" s="301"/>
      <c r="K22" s="51" t="str">
        <f>IF(B22="","入力してください","")</f>
        <v/>
      </c>
    </row>
    <row r="23" spans="1:11" ht="18.75" customHeight="1" x14ac:dyDescent="0.2">
      <c r="A23" s="58"/>
      <c r="B23" s="288"/>
      <c r="C23" s="289"/>
      <c r="D23" s="289"/>
      <c r="E23" s="289"/>
      <c r="F23" s="289"/>
      <c r="G23" s="289"/>
      <c r="H23" s="289"/>
      <c r="I23" s="289"/>
      <c r="J23" s="290"/>
    </row>
    <row r="24" spans="1:11" ht="7.5" customHeight="1" x14ac:dyDescent="0.2">
      <c r="A24" s="58"/>
      <c r="B24" s="58"/>
      <c r="C24" s="58"/>
      <c r="D24" s="58"/>
      <c r="E24" s="58"/>
      <c r="F24" s="58"/>
      <c r="G24" s="58"/>
      <c r="H24" s="58"/>
      <c r="I24" s="58"/>
      <c r="J24" s="58"/>
    </row>
    <row r="25" spans="1:11" ht="18.75" customHeight="1" x14ac:dyDescent="0.2">
      <c r="A25" s="51" t="s">
        <v>179</v>
      </c>
      <c r="B25" s="51" t="s">
        <v>162</v>
      </c>
    </row>
    <row r="26" spans="1:11" ht="77.150000000000006" customHeight="1" x14ac:dyDescent="0.2">
      <c r="A26" s="51"/>
      <c r="B26" s="294" t="s">
        <v>170</v>
      </c>
      <c r="C26" s="295"/>
      <c r="D26" s="295"/>
      <c r="E26" s="295"/>
      <c r="F26" s="295"/>
      <c r="G26" s="295"/>
      <c r="H26" s="295"/>
      <c r="I26" s="296"/>
      <c r="J26" s="297"/>
      <c r="K26" s="52" t="str">
        <f>IF(B26="","入力してください","")</f>
        <v/>
      </c>
    </row>
    <row r="27" spans="1:11" ht="18.75" customHeight="1" x14ac:dyDescent="0.2">
      <c r="A27" s="58"/>
      <c r="B27" s="298"/>
      <c r="C27" s="299"/>
      <c r="D27" s="299"/>
      <c r="E27" s="299"/>
      <c r="F27" s="299"/>
      <c r="G27" s="299"/>
      <c r="H27" s="299"/>
      <c r="I27" s="299"/>
      <c r="J27" s="300"/>
      <c r="K27" s="52"/>
    </row>
    <row r="28" spans="1:11" ht="7.5" customHeight="1" x14ac:dyDescent="0.2">
      <c r="A28" s="58"/>
      <c r="B28" s="58"/>
      <c r="C28" s="58"/>
      <c r="D28" s="58"/>
      <c r="E28" s="58"/>
      <c r="F28" s="58"/>
      <c r="G28" s="58"/>
      <c r="H28" s="58"/>
      <c r="I28" s="58"/>
      <c r="J28" s="58"/>
    </row>
    <row r="29" spans="1:11" ht="18.75" customHeight="1" x14ac:dyDescent="0.2">
      <c r="A29" s="51" t="s">
        <v>180</v>
      </c>
      <c r="B29" s="51" t="s">
        <v>163</v>
      </c>
    </row>
    <row r="30" spans="1:11" ht="63" customHeight="1" x14ac:dyDescent="0.2">
      <c r="A30" s="51"/>
      <c r="B30" s="294" t="s">
        <v>199</v>
      </c>
      <c r="C30" s="295"/>
      <c r="D30" s="295"/>
      <c r="E30" s="295"/>
      <c r="F30" s="295"/>
      <c r="G30" s="295"/>
      <c r="H30" s="295"/>
      <c r="I30" s="296"/>
      <c r="J30" s="297"/>
    </row>
    <row r="31" spans="1:11" ht="18.75" customHeight="1" x14ac:dyDescent="0.2">
      <c r="A31" s="58"/>
      <c r="B31" s="298"/>
      <c r="C31" s="299"/>
      <c r="D31" s="299"/>
      <c r="E31" s="299"/>
      <c r="F31" s="299"/>
      <c r="G31" s="299"/>
      <c r="H31" s="299"/>
      <c r="I31" s="299"/>
      <c r="J31" s="300"/>
      <c r="K31" s="52"/>
    </row>
    <row r="32" spans="1:11" ht="7.5" customHeight="1" x14ac:dyDescent="0.2">
      <c r="A32" s="58"/>
      <c r="B32" s="58"/>
      <c r="C32" s="58"/>
      <c r="D32" s="58"/>
      <c r="E32" s="58"/>
      <c r="F32" s="58"/>
      <c r="G32" s="58"/>
      <c r="H32" s="58"/>
      <c r="I32" s="58"/>
      <c r="J32" s="58"/>
    </row>
    <row r="33" spans="1:10" ht="18.75" customHeight="1" x14ac:dyDescent="0.2">
      <c r="A33" s="51" t="s">
        <v>181</v>
      </c>
      <c r="B33" s="302" t="s">
        <v>164</v>
      </c>
      <c r="C33" s="302"/>
      <c r="D33" s="302"/>
      <c r="E33" s="302"/>
      <c r="F33" s="302"/>
      <c r="G33" s="302"/>
      <c r="H33" s="302"/>
      <c r="I33" s="302"/>
      <c r="J33" s="302"/>
    </row>
    <row r="34" spans="1:10" ht="81" customHeight="1" x14ac:dyDescent="0.2">
      <c r="A34" s="58"/>
      <c r="B34" s="294" t="s">
        <v>171</v>
      </c>
      <c r="C34" s="295"/>
      <c r="D34" s="295"/>
      <c r="E34" s="295"/>
      <c r="F34" s="295"/>
      <c r="G34" s="295"/>
      <c r="H34" s="295"/>
      <c r="I34" s="296"/>
      <c r="J34" s="297"/>
    </row>
    <row r="35" spans="1:10" ht="18.75" customHeight="1" x14ac:dyDescent="0.2">
      <c r="A35" s="58"/>
      <c r="B35" s="298"/>
      <c r="C35" s="299"/>
      <c r="D35" s="299"/>
      <c r="E35" s="299"/>
      <c r="F35" s="299"/>
      <c r="G35" s="299"/>
      <c r="H35" s="299"/>
      <c r="I35" s="299"/>
      <c r="J35" s="300"/>
    </row>
    <row r="36" spans="1:10" ht="7.5" customHeight="1" x14ac:dyDescent="0.2">
      <c r="A36" s="58"/>
      <c r="B36" s="66"/>
      <c r="C36" s="66"/>
      <c r="D36" s="66"/>
      <c r="E36" s="66"/>
      <c r="F36" s="66"/>
      <c r="G36" s="66"/>
      <c r="H36" s="66"/>
      <c r="I36" s="66"/>
      <c r="J36" s="66"/>
    </row>
    <row r="37" spans="1:10" ht="18.75" customHeight="1" x14ac:dyDescent="0.2">
      <c r="A37" s="58"/>
      <c r="B37" s="58"/>
      <c r="C37" s="58"/>
      <c r="D37" s="58"/>
      <c r="E37" s="58"/>
      <c r="F37" s="58"/>
      <c r="G37" s="58"/>
      <c r="H37" s="58"/>
      <c r="I37" s="58"/>
      <c r="J37" s="58"/>
    </row>
    <row r="38" spans="1:10" ht="18.75" customHeight="1" x14ac:dyDescent="0.2">
      <c r="A38" s="58"/>
      <c r="B38" s="58"/>
      <c r="C38" s="58"/>
      <c r="D38" s="58"/>
      <c r="E38" s="58"/>
      <c r="F38" s="58"/>
      <c r="G38" s="58"/>
      <c r="H38" s="58"/>
      <c r="I38" s="58"/>
      <c r="J38" s="58"/>
    </row>
    <row r="39" spans="1:10" ht="18.75" customHeight="1" x14ac:dyDescent="0.2">
      <c r="A39" s="58"/>
      <c r="B39" s="58"/>
      <c r="C39" s="58"/>
      <c r="D39" s="58"/>
      <c r="E39" s="58"/>
      <c r="F39" s="58"/>
      <c r="G39" s="58"/>
      <c r="H39" s="58"/>
      <c r="I39" s="58"/>
      <c r="J39" s="58"/>
    </row>
    <row r="40" spans="1:10" ht="18.75" customHeight="1" x14ac:dyDescent="0.2">
      <c r="A40" s="58"/>
      <c r="B40" s="58"/>
      <c r="C40" s="58"/>
      <c r="D40" s="58"/>
      <c r="E40" s="58"/>
      <c r="F40" s="58"/>
      <c r="G40" s="58"/>
      <c r="H40" s="58"/>
      <c r="I40" s="58"/>
      <c r="J40" s="58"/>
    </row>
    <row r="41" spans="1:10" ht="18.75" customHeight="1" x14ac:dyDescent="0.2">
      <c r="A41" s="58"/>
      <c r="B41" s="58"/>
      <c r="C41" s="58"/>
      <c r="D41" s="58"/>
      <c r="E41" s="58"/>
      <c r="F41" s="58"/>
      <c r="G41" s="58"/>
      <c r="H41" s="58"/>
      <c r="I41" s="58"/>
      <c r="J41" s="58"/>
    </row>
    <row r="42" spans="1:10" ht="18.75" customHeight="1" x14ac:dyDescent="0.2">
      <c r="A42" s="58"/>
      <c r="B42" s="58"/>
      <c r="C42" s="58"/>
      <c r="D42" s="58"/>
      <c r="E42" s="58"/>
      <c r="F42" s="58"/>
      <c r="G42" s="58"/>
      <c r="H42" s="58"/>
      <c r="I42" s="58"/>
      <c r="J42" s="58"/>
    </row>
    <row r="43" spans="1:10" ht="18.75" customHeight="1" x14ac:dyDescent="0.2">
      <c r="A43" s="58"/>
      <c r="B43" s="58"/>
      <c r="C43" s="58"/>
      <c r="D43" s="58"/>
      <c r="E43" s="58"/>
      <c r="F43" s="58"/>
      <c r="G43" s="58"/>
      <c r="H43" s="58"/>
      <c r="I43" s="58"/>
      <c r="J43" s="58"/>
    </row>
    <row r="44" spans="1:10" ht="18.75" customHeight="1" x14ac:dyDescent="0.2">
      <c r="A44" s="58"/>
      <c r="B44" s="58"/>
      <c r="C44" s="58"/>
      <c r="D44" s="58"/>
      <c r="E44" s="58"/>
      <c r="F44" s="58"/>
      <c r="G44" s="58"/>
      <c r="H44" s="58"/>
      <c r="I44" s="58"/>
      <c r="J44" s="58"/>
    </row>
    <row r="45" spans="1:10" ht="18.75" customHeight="1" x14ac:dyDescent="0.2">
      <c r="A45" s="58"/>
      <c r="B45" s="58"/>
      <c r="C45" s="58"/>
      <c r="D45" s="58"/>
      <c r="E45" s="58"/>
      <c r="F45" s="58"/>
      <c r="G45" s="58"/>
      <c r="H45" s="58"/>
      <c r="I45" s="58"/>
      <c r="J45" s="58"/>
    </row>
    <row r="46" spans="1:10" ht="18.75" customHeight="1" x14ac:dyDescent="0.2">
      <c r="A46" s="58"/>
      <c r="B46" s="58"/>
      <c r="C46" s="58"/>
      <c r="D46" s="58"/>
      <c r="E46" s="58"/>
      <c r="F46" s="58"/>
      <c r="G46" s="58"/>
      <c r="H46" s="58"/>
      <c r="I46" s="58"/>
      <c r="J46" s="58"/>
    </row>
    <row r="47" spans="1:10" ht="18.75" customHeight="1" x14ac:dyDescent="0.2">
      <c r="A47" s="58"/>
      <c r="B47" s="58"/>
      <c r="C47" s="58"/>
      <c r="D47" s="58"/>
      <c r="E47" s="58"/>
      <c r="F47" s="58"/>
      <c r="G47" s="58"/>
      <c r="H47" s="58"/>
      <c r="I47" s="58"/>
      <c r="J47" s="58"/>
    </row>
    <row r="48" spans="1:10" ht="18.75" customHeight="1" x14ac:dyDescent="0.2">
      <c r="A48" s="58"/>
      <c r="B48" s="58"/>
      <c r="C48" s="58"/>
      <c r="D48" s="58"/>
      <c r="E48" s="58"/>
      <c r="F48" s="58"/>
      <c r="G48" s="58"/>
      <c r="H48" s="58"/>
      <c r="I48" s="58"/>
      <c r="J48" s="58"/>
    </row>
    <row r="49" spans="1:10" ht="14" x14ac:dyDescent="0.2">
      <c r="A49" s="58"/>
      <c r="B49" s="58"/>
      <c r="C49" s="58"/>
      <c r="D49" s="58"/>
      <c r="E49" s="58"/>
      <c r="F49" s="58"/>
      <c r="G49" s="58"/>
      <c r="H49" s="58"/>
      <c r="I49" s="58"/>
      <c r="J49" s="58"/>
    </row>
    <row r="50" spans="1:10" ht="7.5" customHeight="1" x14ac:dyDescent="0.2">
      <c r="A50" s="67"/>
      <c r="B50" s="67"/>
      <c r="C50" s="67"/>
      <c r="D50" s="67"/>
      <c r="E50" s="67"/>
      <c r="F50" s="67"/>
      <c r="G50" s="67"/>
      <c r="H50" s="67"/>
      <c r="I50" s="67"/>
      <c r="J50" s="67"/>
    </row>
  </sheetData>
  <mergeCells count="11">
    <mergeCell ref="B22:J23"/>
    <mergeCell ref="B26:J27"/>
    <mergeCell ref="B30:J31"/>
    <mergeCell ref="B33:J33"/>
    <mergeCell ref="B34:J35"/>
    <mergeCell ref="B19:J20"/>
    <mergeCell ref="A2:J2"/>
    <mergeCell ref="B5:J5"/>
    <mergeCell ref="B8:J9"/>
    <mergeCell ref="B12:J13"/>
    <mergeCell ref="B18:J18"/>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1" manualBreakCount="1">
    <brk id="20"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heetViews>
  <sheetFormatPr defaultColWidth="11.36328125" defaultRowHeight="22.5" customHeight="1" x14ac:dyDescent="0.2"/>
  <cols>
    <col min="1" max="3" width="2.7265625" style="51" customWidth="1"/>
    <col min="4" max="4" width="22.26953125" style="51" customWidth="1"/>
    <col min="5" max="5" width="21.6328125" style="51" customWidth="1"/>
    <col min="6" max="7" width="7.7265625" style="51" customWidth="1"/>
    <col min="8" max="8" width="33.36328125" style="51" customWidth="1"/>
    <col min="9" max="9" width="24.453125" style="51" customWidth="1"/>
    <col min="10" max="10" width="5.453125" style="51" customWidth="1"/>
    <col min="11" max="11" width="4.08984375" style="51" customWidth="1"/>
    <col min="12" max="16384" width="11.36328125" style="51"/>
  </cols>
  <sheetData>
    <row r="1" spans="1:11" ht="18.75" customHeight="1" x14ac:dyDescent="0.2">
      <c r="A1" s="51" t="s">
        <v>112</v>
      </c>
      <c r="J1" s="68" t="s">
        <v>113</v>
      </c>
    </row>
    <row r="2" spans="1:11" ht="18.75" customHeight="1" x14ac:dyDescent="0.2">
      <c r="A2" s="225" t="s">
        <v>114</v>
      </c>
      <c r="B2" s="225"/>
      <c r="C2" s="225"/>
      <c r="D2" s="225"/>
      <c r="E2" s="225"/>
      <c r="F2" s="225"/>
      <c r="G2" s="225"/>
      <c r="H2" s="225"/>
      <c r="I2" s="225"/>
      <c r="J2" s="225"/>
    </row>
    <row r="3" spans="1:11" ht="7.5" customHeight="1" x14ac:dyDescent="0.2">
      <c r="A3" s="70"/>
      <c r="B3" s="70"/>
      <c r="C3" s="70"/>
      <c r="D3" s="70"/>
      <c r="E3" s="70"/>
      <c r="F3" s="70"/>
      <c r="G3" s="70"/>
      <c r="H3" s="70"/>
      <c r="I3" s="70"/>
      <c r="J3" s="70"/>
    </row>
    <row r="4" spans="1:11" ht="18.75" customHeight="1" x14ac:dyDescent="0.2">
      <c r="A4" s="51" t="s">
        <v>1</v>
      </c>
      <c r="B4" s="51" t="s">
        <v>115</v>
      </c>
      <c r="C4" s="58"/>
      <c r="D4" s="58"/>
      <c r="E4" s="58"/>
      <c r="F4" s="58"/>
      <c r="G4" s="58"/>
      <c r="H4" s="58"/>
      <c r="I4" s="58"/>
      <c r="J4" s="58"/>
    </row>
    <row r="5" spans="1:11" ht="18.75" customHeight="1" x14ac:dyDescent="0.2">
      <c r="B5" s="168" t="s">
        <v>116</v>
      </c>
      <c r="C5" s="169"/>
      <c r="D5" s="170"/>
      <c r="E5" s="169" t="s">
        <v>117</v>
      </c>
      <c r="F5" s="169"/>
      <c r="G5" s="169"/>
      <c r="H5" s="169"/>
      <c r="I5" s="169"/>
      <c r="J5" s="170"/>
    </row>
    <row r="6" spans="1:11" ht="18.75" customHeight="1" x14ac:dyDescent="0.2">
      <c r="B6" s="53" t="s">
        <v>118</v>
      </c>
      <c r="C6" s="58"/>
      <c r="D6" s="59"/>
      <c r="I6" s="58"/>
      <c r="J6" s="59"/>
    </row>
    <row r="7" spans="1:11" ht="90" customHeight="1" x14ac:dyDescent="0.2">
      <c r="B7" s="60"/>
      <c r="C7" s="303" t="s">
        <v>165</v>
      </c>
      <c r="D7" s="308"/>
      <c r="E7" s="305" t="s">
        <v>196</v>
      </c>
      <c r="F7" s="306"/>
      <c r="G7" s="306"/>
      <c r="H7" s="306"/>
      <c r="I7" s="306"/>
      <c r="J7" s="307"/>
      <c r="K7" s="51" t="str">
        <f>IF(E7="","入力してください","")</f>
        <v/>
      </c>
    </row>
    <row r="8" spans="1:11" ht="90" customHeight="1" x14ac:dyDescent="0.2">
      <c r="B8" s="60"/>
      <c r="C8" s="303" t="s">
        <v>203</v>
      </c>
      <c r="D8" s="304"/>
      <c r="E8" s="305" t="s">
        <v>166</v>
      </c>
      <c r="F8" s="306"/>
      <c r="G8" s="306"/>
      <c r="H8" s="306"/>
      <c r="I8" s="306"/>
      <c r="J8" s="307"/>
      <c r="K8" s="51" t="str">
        <f t="shared" ref="K8:K16" si="0">IF(E8="","入力してください","")</f>
        <v/>
      </c>
    </row>
    <row r="9" spans="1:11" ht="90" customHeight="1" x14ac:dyDescent="0.2">
      <c r="B9" s="60"/>
      <c r="C9" s="303" t="s">
        <v>202</v>
      </c>
      <c r="D9" s="308"/>
      <c r="E9" s="305" t="s">
        <v>201</v>
      </c>
      <c r="F9" s="306"/>
      <c r="G9" s="306"/>
      <c r="H9" s="306"/>
      <c r="I9" s="306"/>
      <c r="J9" s="307"/>
    </row>
    <row r="10" spans="1:11" ht="90" customHeight="1" x14ac:dyDescent="0.2">
      <c r="B10" s="60"/>
      <c r="C10" s="303" t="s">
        <v>204</v>
      </c>
      <c r="D10" s="308"/>
      <c r="E10" s="305" t="s">
        <v>167</v>
      </c>
      <c r="F10" s="306"/>
      <c r="G10" s="306"/>
      <c r="H10" s="306"/>
      <c r="I10" s="306"/>
      <c r="J10" s="307"/>
    </row>
    <row r="11" spans="1:11" ht="90" customHeight="1" x14ac:dyDescent="0.2">
      <c r="B11" s="60"/>
      <c r="C11" s="303" t="s">
        <v>205</v>
      </c>
      <c r="D11" s="308"/>
      <c r="E11" s="309" t="s">
        <v>197</v>
      </c>
      <c r="F11" s="310"/>
      <c r="G11" s="310"/>
      <c r="H11" s="310"/>
      <c r="I11" s="310"/>
      <c r="J11" s="311"/>
      <c r="K11" s="51" t="str">
        <f t="shared" si="0"/>
        <v/>
      </c>
    </row>
    <row r="12" spans="1:11" ht="18.75" customHeight="1" x14ac:dyDescent="0.2">
      <c r="B12" s="61" t="s">
        <v>119</v>
      </c>
      <c r="C12" s="62"/>
      <c r="D12" s="63"/>
      <c r="E12" s="64"/>
      <c r="F12" s="64"/>
      <c r="G12" s="64"/>
      <c r="H12" s="64"/>
      <c r="I12" s="64"/>
      <c r="J12" s="65"/>
    </row>
    <row r="13" spans="1:11" ht="90" customHeight="1" x14ac:dyDescent="0.2">
      <c r="B13" s="60"/>
      <c r="C13" s="303" t="s">
        <v>206</v>
      </c>
      <c r="D13" s="308"/>
      <c r="E13" s="310" t="s">
        <v>168</v>
      </c>
      <c r="F13" s="310"/>
      <c r="G13" s="310"/>
      <c r="H13" s="310"/>
      <c r="I13" s="310"/>
      <c r="J13" s="311"/>
      <c r="K13" s="51" t="str">
        <f t="shared" si="0"/>
        <v/>
      </c>
    </row>
    <row r="14" spans="1:11" ht="182" customHeight="1" x14ac:dyDescent="0.2">
      <c r="B14" s="60"/>
      <c r="C14" s="318" t="s">
        <v>207</v>
      </c>
      <c r="D14" s="319"/>
      <c r="E14" s="306" t="s">
        <v>191</v>
      </c>
      <c r="F14" s="306"/>
      <c r="G14" s="306"/>
      <c r="H14" s="306"/>
      <c r="I14" s="306"/>
      <c r="J14" s="307"/>
    </row>
    <row r="15" spans="1:11" ht="90" customHeight="1" x14ac:dyDescent="0.2">
      <c r="B15" s="320" t="s">
        <v>208</v>
      </c>
      <c r="C15" s="321"/>
      <c r="D15" s="308"/>
      <c r="E15" s="310" t="s">
        <v>169</v>
      </c>
      <c r="F15" s="310"/>
      <c r="G15" s="310"/>
      <c r="H15" s="310"/>
      <c r="I15" s="310"/>
      <c r="J15" s="311"/>
      <c r="K15" s="51" t="str">
        <f t="shared" si="0"/>
        <v/>
      </c>
    </row>
    <row r="16" spans="1:11" ht="90" customHeight="1" x14ac:dyDescent="0.2">
      <c r="B16" s="312" t="s">
        <v>209</v>
      </c>
      <c r="C16" s="313"/>
      <c r="D16" s="314"/>
      <c r="E16" s="289" t="s">
        <v>198</v>
      </c>
      <c r="F16" s="289"/>
      <c r="G16" s="289"/>
      <c r="H16" s="289"/>
      <c r="I16" s="289"/>
      <c r="J16" s="290"/>
      <c r="K16" s="51" t="str">
        <f t="shared" si="0"/>
        <v/>
      </c>
    </row>
    <row r="17" spans="1:11" ht="7.5" customHeight="1" x14ac:dyDescent="0.2">
      <c r="B17" s="58"/>
      <c r="C17" s="58"/>
      <c r="D17" s="58"/>
      <c r="E17" s="58"/>
      <c r="F17" s="58"/>
      <c r="G17" s="58"/>
      <c r="H17" s="58"/>
      <c r="I17" s="58"/>
      <c r="J17" s="58"/>
    </row>
    <row r="18" spans="1:11" ht="18.75" customHeight="1" x14ac:dyDescent="0.2">
      <c r="A18" s="51" t="s">
        <v>120</v>
      </c>
      <c r="C18" s="58"/>
      <c r="D18" s="58"/>
      <c r="E18" s="58"/>
      <c r="F18" s="69"/>
      <c r="G18" s="315" t="s">
        <v>200</v>
      </c>
      <c r="H18" s="316"/>
      <c r="I18" s="316"/>
      <c r="J18" s="317"/>
      <c r="K18" s="51" t="str">
        <f>IF(G18="","公表は必須事項です","")</f>
        <v/>
      </c>
    </row>
    <row r="19" spans="1:11" ht="22.5" customHeight="1" x14ac:dyDescent="0.2">
      <c r="B19" s="58"/>
      <c r="C19" s="58"/>
      <c r="D19" s="58"/>
      <c r="E19" s="58"/>
      <c r="F19" s="58"/>
      <c r="G19" s="58"/>
      <c r="H19" s="58"/>
      <c r="I19" s="58"/>
      <c r="J19" s="58"/>
    </row>
    <row r="20" spans="1:11" ht="22.5" customHeight="1" x14ac:dyDescent="0.2">
      <c r="B20" s="58"/>
      <c r="C20" s="58"/>
      <c r="D20" s="58"/>
      <c r="E20" s="58"/>
      <c r="F20" s="58"/>
      <c r="G20" s="58"/>
      <c r="H20" s="58"/>
      <c r="I20" s="58"/>
      <c r="J20" s="58"/>
    </row>
    <row r="21" spans="1:11" ht="22.5" customHeight="1" x14ac:dyDescent="0.2">
      <c r="B21" s="58"/>
      <c r="C21" s="58"/>
      <c r="D21" s="58"/>
      <c r="E21" s="58"/>
      <c r="F21" s="58"/>
      <c r="G21" s="58"/>
      <c r="H21" s="58"/>
      <c r="I21" s="58"/>
      <c r="J21" s="58"/>
    </row>
    <row r="22" spans="1:11" ht="22.5" customHeight="1" x14ac:dyDescent="0.2">
      <c r="B22" s="58"/>
      <c r="C22" s="58"/>
      <c r="D22" s="58"/>
      <c r="E22" s="58"/>
      <c r="F22" s="58"/>
      <c r="G22" s="58"/>
      <c r="H22" s="58"/>
      <c r="I22" s="58"/>
      <c r="J22" s="58"/>
    </row>
    <row r="23" spans="1:11" ht="22.5" customHeight="1" x14ac:dyDescent="0.2">
      <c r="B23" s="58"/>
      <c r="C23" s="58"/>
      <c r="D23" s="58"/>
      <c r="E23" s="58"/>
      <c r="F23" s="58"/>
      <c r="G23" s="58"/>
      <c r="H23" s="58"/>
      <c r="I23" s="58"/>
      <c r="J23" s="58"/>
    </row>
    <row r="24" spans="1:11" ht="22.5" customHeight="1" x14ac:dyDescent="0.2">
      <c r="B24" s="55"/>
      <c r="C24" s="55"/>
      <c r="D24" s="55"/>
      <c r="E24" s="55"/>
      <c r="F24" s="55"/>
      <c r="G24" s="55"/>
      <c r="H24" s="55"/>
      <c r="I24" s="55"/>
      <c r="J24" s="55"/>
    </row>
    <row r="25" spans="1:11" ht="22.5" customHeight="1" x14ac:dyDescent="0.2">
      <c r="B25" s="55"/>
      <c r="C25" s="55"/>
      <c r="D25" s="55"/>
      <c r="E25" s="55"/>
      <c r="F25" s="55"/>
      <c r="G25" s="55"/>
      <c r="H25" s="55"/>
      <c r="I25" s="55"/>
      <c r="J25" s="55"/>
    </row>
    <row r="26" spans="1:11" ht="22.5" customHeight="1" x14ac:dyDescent="0.2">
      <c r="B26" s="55"/>
      <c r="C26" s="55"/>
      <c r="D26" s="55"/>
      <c r="E26" s="55"/>
      <c r="F26" s="55"/>
      <c r="G26" s="55"/>
      <c r="H26" s="55"/>
      <c r="I26" s="55"/>
      <c r="J26" s="55"/>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scale="92" orientation="landscape" horizontalDpi="4294967293" r:id="rId2"/>
  <rowBreaks count="1" manualBreakCount="1">
    <brk id="1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中岡泰子</cp:lastModifiedBy>
  <cp:revision/>
  <cp:lastPrinted>2022-05-19T03:13:53Z</cp:lastPrinted>
  <dcterms:created xsi:type="dcterms:W3CDTF">2011-06-14T05:32:50Z</dcterms:created>
  <dcterms:modified xsi:type="dcterms:W3CDTF">2022-05-31T10:22:28Z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