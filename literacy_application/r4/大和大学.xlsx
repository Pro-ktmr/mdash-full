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defaultThemeVersion="124226"/>
  <mc:AlternateContent xmlns:mc="http://schemas.openxmlformats.org/markup-compatibility/2006">
    <mc:Choice Requires="x15">
      <x15ac:absPath xmlns:x15ac="http://schemas.microsoft.com/office/spreadsheetml/2010/11/ac" url="G:\共有ドライブ\数理・AI・データサイエンス教育プログラム検討委員会\申請\22年度申請資料\提出\"/>
    </mc:Choice>
  </mc:AlternateContent>
  <xr:revisionPtr revIDLastSave="0" documentId="13_ncr:1_{2A371BDD-6C56-468E-B731-38A474E4F355}" xr6:coauthVersionLast="47" xr6:coauthVersionMax="47" xr10:uidLastSave="{00000000-0000-0000-0000-000000000000}"/>
  <bookViews>
    <workbookView xWindow="1035" yWindow="-120" windowWidth="27885" windowHeight="16440" tabRatio="885" xr2:uid="{00000000-000D-0000-FFFF-FFFF00000000}"/>
  </bookViews>
  <sheets>
    <sheet name="様式１　大学等概要" sheetId="8" r:id="rId1"/>
    <sheet name="様式２-1　プログラムを構成する授業科目" sheetId="44" r:id="rId2"/>
    <sheet name="様式２-2　プログラムを構成する授業科目" sheetId="45" r:id="rId3"/>
    <sheet name="様式２-3　プログラムを構成する授業科目" sheetId="46" r:id="rId4"/>
    <sheet name="様式２-4　プログラムを構成する授業科目" sheetId="39" r:id="rId5"/>
    <sheet name="様式３　履修者等数の実績" sheetId="40" r:id="rId6"/>
    <sheet name="様式４　教育の質・履修者数を向上させるための体制・計画" sheetId="41" r:id="rId7"/>
    <sheet name="様式５　自己点検・評価" sheetId="42" r:id="rId8"/>
    <sheet name="(作業用)" sheetId="43" r:id="rId9"/>
  </sheets>
  <definedNames>
    <definedName name="_xlnm._FilterDatabase" localSheetId="1" hidden="1">'様式２-1　プログラムを構成する授業科目'!#REF!</definedName>
    <definedName name="_xlnm._FilterDatabase" localSheetId="2" hidden="1">'様式２-2　プログラムを構成する授業科目'!#REF!</definedName>
    <definedName name="_xlnm._FilterDatabase" localSheetId="3" hidden="1">'様式２-3　プログラムを構成する授業科目'!#REF!</definedName>
    <definedName name="_xlnm._FilterDatabase" localSheetId="4" hidden="1">'様式２-4　プログラムを構成する授業科目'!#REF!</definedName>
    <definedName name="_xlnm._FilterDatabase" localSheetId="5" hidden="1">'様式３　履修者等数の実績'!#REF!</definedName>
    <definedName name="_xlnm.Print_Area" localSheetId="8">'(作業用)'!$A$1</definedName>
    <definedName name="_xlnm.Print_Area" localSheetId="0">'様式１　大学等概要'!$A$1:$N$45</definedName>
    <definedName name="_xlnm.Print_Area" localSheetId="1">'様式２-1　プログラムを構成する授業科目'!$A$1:$Z$98</definedName>
    <definedName name="_xlnm.Print_Area" localSheetId="2">'様式２-2　プログラムを構成する授業科目'!$A$1:$Z$98</definedName>
    <definedName name="_xlnm.Print_Area" localSheetId="3">'様式２-3　プログラムを構成する授業科目'!$A$1:$Z$98</definedName>
    <definedName name="_xlnm.Print_Area" localSheetId="4">'様式２-4　プログラムを構成する授業科目'!$A$1:$Z$98</definedName>
    <definedName name="_xlnm.Print_Area" localSheetId="5">'様式３　履修者等数の実績'!$A$1:$R$30</definedName>
    <definedName name="_xlnm.Print_Area" localSheetId="6">'様式４　教育の質・履修者数を向上させるための体制・計画'!$A$1:$J$130</definedName>
    <definedName name="_xlnm.Print_Area" localSheetId="7">'様式５　自己点検・評価'!$A$1:$J$18</definedName>
    <definedName name="URL">'様式５　自己点検・評価'!$G$18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1" i="40" l="1"/>
  <c r="B6" i="45" l="1"/>
  <c r="B98" i="44"/>
  <c r="B98" i="39"/>
  <c r="B98" i="46"/>
  <c r="B98" i="45"/>
  <c r="B61" i="46"/>
  <c r="B50" i="46"/>
  <c r="B39" i="46"/>
  <c r="B6" i="46"/>
  <c r="W1" i="46"/>
  <c r="B61" i="45"/>
  <c r="B50" i="45"/>
  <c r="B39" i="45"/>
  <c r="W1" i="45"/>
  <c r="B61" i="44"/>
  <c r="B50" i="44"/>
  <c r="B39" i="44"/>
  <c r="B6" i="44"/>
  <c r="W1" i="44"/>
  <c r="B61" i="39" l="1"/>
  <c r="B50" i="39"/>
  <c r="B39" i="39"/>
  <c r="B6" i="39"/>
  <c r="W1" i="39"/>
  <c r="J20" i="8" l="1"/>
  <c r="C11" i="40"/>
  <c r="C12" i="40"/>
  <c r="C13" i="40"/>
  <c r="C14" i="40"/>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R24" i="40"/>
  <c r="Q24" i="40"/>
  <c r="Q23" i="40"/>
  <c r="R23" i="40" s="1"/>
  <c r="Q22" i="40"/>
  <c r="R22" i="40" s="1"/>
  <c r="Q21" i="40"/>
  <c r="R21" i="40" s="1"/>
  <c r="R20" i="40"/>
  <c r="Q20" i="40"/>
  <c r="Q19" i="40"/>
  <c r="R19" i="40" s="1"/>
  <c r="Q18" i="40"/>
  <c r="R18" i="40" s="1"/>
  <c r="Q17" i="40"/>
  <c r="R17" i="40" s="1"/>
  <c r="Q16" i="40"/>
  <c r="R16" i="40" s="1"/>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<sst xmlns="http://schemas.openxmlformats.org/spreadsheetml/2006/main" count="784" uniqueCount="229">
  <si>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</si>
  <si>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</si>
  <si>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</si>
  <si>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</si>
  <si>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</si>
  <si>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</si>
  <si>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</si>
  <si>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</si>
  <si>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</si>
  <si>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</si>
  <si>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</si>
  <si>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</si>
  <si>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</si>
  <si>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</si>
  <si>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</si>
  <si>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</si>
  <si>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</si>
  <si>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</si>
  <si>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</si>
  <si>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</si>
  <si>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</si>
  <si>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</si>
  <si>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</si>
  <si>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</si>
  <si>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</si>
  <si>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</si>
  <si>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</si>
  <si>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</si>
  <si>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</si>
  <si>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</si>
  <si>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</si>
  <si>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</si>
  <si>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</si>
  <si>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</si>
  <si>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</si>
  <si>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</si>
  <si>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</si>
  <si>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</si>
  <si>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</si>
  <si>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</si>
  <si>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</si>
  <si>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</si>
  <si>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</si>
  <si>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</si>
  <si>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</si>
  <si>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</si>
  <si>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</si>
  <si>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</si>
  <si>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</si>
  <si>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</si>
  <si>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</si>
  <si>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</si>
  <si>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</si>
  <si>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</si>
  <si>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</si>
  <si>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</si>
  <si>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</si>
  <si>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</si>
  <si>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</si>
  <si>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</si>
  <si>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</si>
  <si>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</si>
  <si>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</si>
  <si>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</si>
  <si>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</si>
  <si>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</si>
  <si>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</si>
  <si>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</si>
  <si>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</si>
  <si>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</si>
  <si>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</si>
  <si>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</si>
  <si>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</si>
  <si>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</si>
  <si>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</si>
  <si>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</si>
  <si>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</si>
  <si>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</si>
  <si>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</si>
  <si>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</si>
  <si>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</si>
  <si>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</si>
  <si>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</si>
  <si>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</si>
  <si>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</si>
  <si>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</si>
  <si>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</si>
  <si>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</si>
  <si>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</si>
  <si>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</si>
  <si>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</si>
  <si>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</si>
  <si>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</si>
  <si>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</si>
  <si>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</si>
  <si>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</si>
  <si>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</si>
  <si>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</si>
  <si>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</si>
  <si>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</si>
  <si>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</si>
  <si>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</si>
  <si>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</si>
  <si>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</si>
  <si>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</si>
  <si>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</si>
  <si>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</si>
  <si>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</si>
  <si>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</si>
  <si>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</si>
  <si>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</si>
  <si>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</si>
  <si>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</si>
  <si>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</si>
  <si>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</si>
  <si>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</si>
  <si>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</si>
  <si>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</si>
  <si>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</si>
  <si>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</si>
  <si>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</si>
  <si>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</si>
  <si>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</si>
  <si>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</si>
  <si>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</si>
  <si>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</si>
  <si>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</si>
  <si>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</si>
  <si>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</si>
  <si>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</si>
  <si>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</si>
  <si>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</si>
  <si>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</si>
  <si>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</si>
  <si>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</si>
  <si>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</si>
  <si>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</si>
  <si>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</si>
  <si>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</si>
  <si>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</si>
  <si>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</si>
  <si>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</si>
  <si>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</si>
  <si>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</si>
  <si>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</si>
  <si>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</si>
  <si>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</si>
  <si>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</si>
  <si>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大和大学</t>
    <rPh sb="0" eb="4">
      <t>ヤマトダイガク</t>
    </rPh>
    <phoneticPr fontId="1"/>
  </si>
  <si>
    <t>学校法人西大和学園</t>
    <rPh sb="0" eb="9">
      <t>ガッコウ</t>
    </rPh>
    <phoneticPr fontId="1"/>
  </si>
  <si>
    <t>私立大学</t>
  </si>
  <si>
    <t>大阪府吹田市片山町2丁目5-1</t>
    <phoneticPr fontId="1"/>
  </si>
  <si>
    <t>AIデータサイエンス入門</t>
    <phoneticPr fontId="1"/>
  </si>
  <si>
    <t>無</t>
  </si>
  <si>
    <t>今村 浩章</t>
    <phoneticPr fontId="1"/>
  </si>
  <si>
    <t>認定教育プログラム</t>
  </si>
  <si>
    <t>理工学部</t>
    <rPh sb="0" eb="4">
      <t>リコウガクブ</t>
    </rPh>
    <phoneticPr fontId="1"/>
  </si>
  <si>
    <t>鴻上 啓次朗</t>
    <phoneticPr fontId="1"/>
  </si>
  <si>
    <t>06-6155-8050</t>
    <phoneticPr fontId="1"/>
  </si>
  <si>
    <t>令和3</t>
    <rPh sb="0" eb="2">
      <t>レイワ</t>
    </rPh>
    <phoneticPr fontId="1"/>
  </si>
  <si>
    <t>学部・学科によって、修了要件は相違する</t>
  </si>
  <si>
    <t>教育学部・保健医療学部</t>
    <rPh sb="0" eb="4">
      <t>キョウイクガクブ</t>
    </rPh>
    <rPh sb="5" eb="11">
      <t>ホケンイリョウガクブ</t>
    </rPh>
    <phoneticPr fontId="1"/>
  </si>
  <si>
    <t>政治経済学部</t>
    <rPh sb="0" eb="6">
      <t>セイジ</t>
    </rPh>
    <phoneticPr fontId="1"/>
  </si>
  <si>
    <t>社会学部</t>
    <rPh sb="0" eb="4">
      <t>シャカイガクブ</t>
    </rPh>
    <phoneticPr fontId="1"/>
  </si>
  <si>
    <t>情報処理</t>
    <rPh sb="0" eb="4">
      <t>ジョウホウショリ</t>
    </rPh>
    <phoneticPr fontId="1"/>
  </si>
  <si>
    <r>
      <t>情報処理</t>
    </r>
    <r>
      <rPr>
        <sz val="11"/>
        <color theme="1"/>
        <rFont val="ＭＳ Ｐゴシック"/>
        <family val="2"/>
        <charset val="128"/>
      </rPr>
      <t>Ⅰ</t>
    </r>
    <rPh sb="0" eb="4">
      <t>ジョウホウショリ</t>
    </rPh>
    <phoneticPr fontId="1"/>
  </si>
  <si>
    <t>情報処理入門</t>
    <rPh sb="0" eb="4">
      <t>ジョウホウショリ</t>
    </rPh>
    <rPh sb="4" eb="6">
      <t>ニュウモン</t>
    </rPh>
    <phoneticPr fontId="1"/>
  </si>
  <si>
    <t>コンピュータ入門</t>
    <rPh sb="6" eb="8">
      <t>ニュウモン</t>
    </rPh>
    <phoneticPr fontId="1"/>
  </si>
  <si>
    <t>全学開講</t>
  </si>
  <si>
    <t>○</t>
  </si>
  <si>
    <t>○</t>
    <phoneticPr fontId="1"/>
  </si>
  <si>
    <t>一部開講</t>
  </si>
  <si>
    <t>4-1統計および数理基礎</t>
  </si>
  <si>
    <t>事例紹介 「AIデータサイエンス入門」 (第1回)
ディープラーニングの事例1～3 「AIデータサイエンス入門」 (第12～14回)</t>
    <rPh sb="0" eb="4">
      <t>ジレイショウカイ</t>
    </rPh>
    <rPh sb="21" eb="22">
      <t>ダイ</t>
    </rPh>
    <rPh sb="23" eb="24">
      <t>カイ</t>
    </rPh>
    <rPh sb="36" eb="38">
      <t>ジレイ</t>
    </rPh>
    <rPh sb="58" eb="59">
      <t>ダイ</t>
    </rPh>
    <rPh sb="64" eb="65">
      <t>カイ</t>
    </rPh>
    <phoneticPr fontId="1"/>
  </si>
  <si>
    <t>オリエンテーション「AIデータサイエンス入門」(第1回)</t>
    <rPh sb="24" eb="25">
      <t>ダイ</t>
    </rPh>
    <rPh sb="26" eb="27">
      <t>カイ</t>
    </rPh>
    <phoneticPr fontId="1"/>
  </si>
  <si>
    <t>データマイニングとテキストマイニングの紹介「AIデータサイエンス入門」(第2回)
ディープラーニングの紹介「AIデータサイエンス入門」(第11回)</t>
    <rPh sb="19" eb="21">
      <t>ショウカイ</t>
    </rPh>
    <rPh sb="36" eb="37">
      <t>ダイ</t>
    </rPh>
    <rPh sb="38" eb="39">
      <t>カイ</t>
    </rPh>
    <rPh sb="51" eb="53">
      <t>ショウカイ</t>
    </rPh>
    <rPh sb="68" eb="69">
      <t>ダイ</t>
    </rPh>
    <rPh sb="71" eb="72">
      <t>カイ</t>
    </rPh>
    <phoneticPr fontId="1"/>
  </si>
  <si>
    <t>テキストマイニングの体験「AIデータサイエンス入門」(第5・6回)
アンケート結果の分析「AIデータサイエンス入門」(第7回)
ビッグデータ収集のやり方「AIデータサイエンス入門」(第9回)</t>
    <rPh sb="10" eb="12">
      <t>タイケン</t>
    </rPh>
    <rPh sb="27" eb="28">
      <t>ダイ</t>
    </rPh>
    <rPh sb="31" eb="32">
      <t>カイ</t>
    </rPh>
    <rPh sb="39" eb="41">
      <t>ケッカ</t>
    </rPh>
    <rPh sb="42" eb="44">
      <t>ブンセキ</t>
    </rPh>
    <rPh sb="59" eb="60">
      <t>ダイ</t>
    </rPh>
    <rPh sb="61" eb="62">
      <t>カイ</t>
    </rPh>
    <rPh sb="70" eb="72">
      <t>シュウシュウ</t>
    </rPh>
    <rPh sb="75" eb="76">
      <t>カタ</t>
    </rPh>
    <rPh sb="91" eb="92">
      <t>ダイ</t>
    </rPh>
    <rPh sb="93" eb="94">
      <t>カイ</t>
    </rPh>
    <phoneticPr fontId="1"/>
  </si>
  <si>
    <t>実データの収集: アンケートの設計と実施「AIデータサイエンス入門」(第6回)
アンケート結果の分析「AIデータサイエンス入門」(第7回)</t>
    <rPh sb="0" eb="1">
      <t>ジツ</t>
    </rPh>
    <rPh sb="5" eb="7">
      <t>シュウシュウ</t>
    </rPh>
    <rPh sb="15" eb="17">
      <t>セッケイ</t>
    </rPh>
    <rPh sb="18" eb="20">
      <t>ジッシ</t>
    </rPh>
    <rPh sb="35" eb="36">
      <t>ダイ</t>
    </rPh>
    <rPh sb="37" eb="38">
      <t>カイ</t>
    </rPh>
    <rPh sb="45" eb="50">
      <t>ケ</t>
    </rPh>
    <rPh sb="65" eb="66">
      <t>ダイ</t>
    </rPh>
    <rPh sb="67" eb="68">
      <t>カイ</t>
    </rPh>
    <phoneticPr fontId="1"/>
  </si>
  <si>
    <t>データマイニングとテキストマイニングの紹介「AIデータサイエンス入門」(第2回)
ディープラーニングの紹介「AIデータサイエンス入門」(第11回)
Excelによる統計分析「情報処理」(第10回)
Excelによるモデル化とシミュレーション「情報処理」(第11回)</t>
    <rPh sb="19" eb="21">
      <t>ショウカイ</t>
    </rPh>
    <rPh sb="36" eb="37">
      <t>ダイ</t>
    </rPh>
    <rPh sb="38" eb="39">
      <t>カイ</t>
    </rPh>
    <rPh sb="51" eb="53">
      <t>ショウカイ</t>
    </rPh>
    <rPh sb="68" eb="69">
      <t>ダイ</t>
    </rPh>
    <rPh sb="71" eb="72">
      <t>カイ</t>
    </rPh>
    <rPh sb="82" eb="86">
      <t>トウケイブンセキ</t>
    </rPh>
    <rPh sb="87" eb="91">
      <t>ジョウホウショリ</t>
    </rPh>
    <rPh sb="93" eb="94">
      <t>ダイ</t>
    </rPh>
    <rPh sb="96" eb="97">
      <t>カイ</t>
    </rPh>
    <rPh sb="110" eb="111">
      <t>カ</t>
    </rPh>
    <rPh sb="121" eb="125">
      <t>ジョウホウショリ</t>
    </rPh>
    <rPh sb="127" eb="128">
      <t>ダイ</t>
    </rPh>
    <rPh sb="130" eb="131">
      <t>カイ</t>
    </rPh>
    <phoneticPr fontId="1"/>
  </si>
  <si>
    <t>ビッグデータの活用方法とデータの取扱の留意事項「AIデータサイエンス入門」(第10回)
まとめと総合演習「AIデータサイエンス入門」(第15回)
情報倫理「情報処理」(第1回)</t>
    <rPh sb="7" eb="11">
      <t>カツヨウホウホウ</t>
    </rPh>
    <rPh sb="16" eb="18">
      <t>トリアツカイ</t>
    </rPh>
    <rPh sb="19" eb="23">
      <t>リュウイジコウ</t>
    </rPh>
    <rPh sb="38" eb="39">
      <t>ダイ</t>
    </rPh>
    <rPh sb="41" eb="42">
      <t>カイ</t>
    </rPh>
    <rPh sb="48" eb="50">
      <t>ソウゴウ</t>
    </rPh>
    <rPh sb="50" eb="52">
      <t>エンシュウ</t>
    </rPh>
    <rPh sb="63" eb="65">
      <t>ニュウモン</t>
    </rPh>
    <rPh sb="67" eb="68">
      <t>ダイ</t>
    </rPh>
    <rPh sb="70" eb="71">
      <t>カイ</t>
    </rPh>
    <rPh sb="73" eb="77">
      <t>ジョウホウリンリ</t>
    </rPh>
    <rPh sb="78" eb="82">
      <t>ジョウホウショリ</t>
    </rPh>
    <rPh sb="84" eb="85">
      <t>ダイ</t>
    </rPh>
    <rPh sb="86" eb="87">
      <t>カイ</t>
    </rPh>
    <phoneticPr fontId="1"/>
  </si>
  <si>
    <t>アンケート結果の分析「AIデータサイエンス入門」(第7回)
Excelによるグラフの作成「情報処理」(第8回)</t>
    <rPh sb="25" eb="26">
      <t>ダイ</t>
    </rPh>
    <rPh sb="27" eb="28">
      <t>カイ</t>
    </rPh>
    <rPh sb="42" eb="44">
      <t>サクセイ</t>
    </rPh>
    <rPh sb="45" eb="49">
      <t>ジョウホウショリ</t>
    </rPh>
    <rPh sb="51" eb="52">
      <t>ダイ</t>
    </rPh>
    <rPh sb="53" eb="54">
      <t>カイ</t>
    </rPh>
    <phoneticPr fontId="1"/>
  </si>
  <si>
    <t>データを説明する: 相関と回帰「AIデータサイエンス入門」(第4回)
Excelによるグラフの作成「情報処理」(第8回)</t>
    <rPh sb="4" eb="8">
      <t>セツ</t>
    </rPh>
    <rPh sb="10" eb="12">
      <t>ソウカン</t>
    </rPh>
    <rPh sb="13" eb="15">
      <t>カイキ</t>
    </rPh>
    <rPh sb="30" eb="31">
      <t>ダイ</t>
    </rPh>
    <rPh sb="32" eb="33">
      <t>カイ</t>
    </rPh>
    <rPh sb="47" eb="49">
      <t>サクセイ</t>
    </rPh>
    <rPh sb="50" eb="54">
      <t>ジョウホウショリ</t>
    </rPh>
    <rPh sb="56" eb="57">
      <t>ダイ</t>
    </rPh>
    <rPh sb="58" eb="59">
      <t>カイ</t>
    </rPh>
    <phoneticPr fontId="1"/>
  </si>
  <si>
    <t>データを扱う: 基本統計量とは「AIデータサイエンス入門」(第3回)
Excelによるグラフの作成「情報処理」(第8回)</t>
    <rPh sb="4" eb="5">
      <t>アツカ</t>
    </rPh>
    <rPh sb="8" eb="13">
      <t>キホントウケイリョウ</t>
    </rPh>
    <rPh sb="30" eb="31">
      <t>ダイ</t>
    </rPh>
    <rPh sb="32" eb="33">
      <t>カイ</t>
    </rPh>
    <phoneticPr fontId="1"/>
  </si>
  <si>
    <t>ビッグデータの活用方法とデータの取扱の留意事項「AIデータサイエンス入門」(第10回)
まとめと総合演習「AIデータサイエンス入門」(第15回)
ガイダンス「情報処理Ⅰ」(第1回)</t>
    <rPh sb="7" eb="11">
      <t>カツヨウホウホウ</t>
    </rPh>
    <rPh sb="16" eb="18">
      <t>トリアツカイ</t>
    </rPh>
    <rPh sb="19" eb="23">
      <t>リュウイジコウ</t>
    </rPh>
    <rPh sb="38" eb="39">
      <t>ダイ</t>
    </rPh>
    <rPh sb="41" eb="42">
      <t>カイ</t>
    </rPh>
    <rPh sb="48" eb="50">
      <t>ソウゴウ</t>
    </rPh>
    <rPh sb="50" eb="52">
      <t>エンシュウ</t>
    </rPh>
    <rPh sb="63" eb="65">
      <t>ニュウモン</t>
    </rPh>
    <rPh sb="67" eb="68">
      <t>ダイ</t>
    </rPh>
    <rPh sb="70" eb="71">
      <t>カイ</t>
    </rPh>
    <phoneticPr fontId="1"/>
  </si>
  <si>
    <t>データを説明する: 相関と回帰「AIデータサイエンス入門」(第4回)
Excelによるグラフの作成「情報処理Ⅰ」(第9回)</t>
    <rPh sb="4" eb="8">
      <t>セツ</t>
    </rPh>
    <rPh sb="10" eb="12">
      <t>ソウカン</t>
    </rPh>
    <rPh sb="13" eb="15">
      <t>カイキ</t>
    </rPh>
    <rPh sb="30" eb="31">
      <t>ダイ</t>
    </rPh>
    <rPh sb="32" eb="33">
      <t>カイ</t>
    </rPh>
    <phoneticPr fontId="1"/>
  </si>
  <si>
    <t>データマイニングとテキストマイニングの紹介「AIデータサイエンス入門」(第2回)
ディープラーニングの紹介「AIデータサイエンス入門」(第11回)
Microsoft Excel利用方法・演習「情報処理入門」(第9～11回)</t>
    <rPh sb="19" eb="21">
      <t>ショウカイ</t>
    </rPh>
    <rPh sb="36" eb="37">
      <t>ダイ</t>
    </rPh>
    <rPh sb="38" eb="39">
      <t>カイ</t>
    </rPh>
    <rPh sb="51" eb="53">
      <t>ショウカイ</t>
    </rPh>
    <rPh sb="68" eb="69">
      <t>ダイ</t>
    </rPh>
    <rPh sb="71" eb="72">
      <t>カイ</t>
    </rPh>
    <rPh sb="89" eb="93">
      <t>リヨウホウホウ</t>
    </rPh>
    <rPh sb="94" eb="96">
      <t>エンシュウ</t>
    </rPh>
    <rPh sb="97" eb="101">
      <t>ジョウホウショリ</t>
    </rPh>
    <rPh sb="101" eb="103">
      <t>ニュウモン</t>
    </rPh>
    <rPh sb="105" eb="106">
      <t>ダイ</t>
    </rPh>
    <rPh sb="110" eb="111">
      <t>カイ</t>
    </rPh>
    <phoneticPr fontId="1"/>
  </si>
  <si>
    <t>アンケート結果の分析「AIデータサイエンス入門」(第7回)
Microsoft Excel利用方法・演習「情報処理入門」(第9～11回)</t>
    <rPh sb="25" eb="26">
      <t>ダイ</t>
    </rPh>
    <rPh sb="27" eb="28">
      <t>カイ</t>
    </rPh>
    <phoneticPr fontId="1"/>
  </si>
  <si>
    <t>データを説明する: 相関と回帰「AIデータサイエンス入門」(第4回)
Microsoft Excel利用方法・演習「情報処理入門」(第9～11回)</t>
    <rPh sb="4" eb="8">
      <t>セツ</t>
    </rPh>
    <rPh sb="10" eb="12">
      <t>ソウカン</t>
    </rPh>
    <rPh sb="13" eb="15">
      <t>カイキ</t>
    </rPh>
    <rPh sb="30" eb="31">
      <t>ダイ</t>
    </rPh>
    <rPh sb="32" eb="33">
      <t>カイ</t>
    </rPh>
    <phoneticPr fontId="1"/>
  </si>
  <si>
    <t>データを扱う: 基本統計量とは「AIデータサイエンス入門」(第3回)
Microsoft Excel利用方法・演習「情報処理入門」(第9～11回)</t>
    <rPh sb="4" eb="5">
      <t>アツカ</t>
    </rPh>
    <rPh sb="8" eb="13">
      <t>キホントウケイリョウ</t>
    </rPh>
    <rPh sb="30" eb="31">
      <t>ダイ</t>
    </rPh>
    <rPh sb="32" eb="33">
      <t>カイ</t>
    </rPh>
    <phoneticPr fontId="1"/>
  </si>
  <si>
    <t>ビッグデータの活用方法とデータの取扱の留意事項「AIデータサイエンス入門」(第10回)
まとめと総合演習「AIデータサイエンス入門」(第15回)
講義ガイダンス「情報処理入門」(第1回)</t>
    <rPh sb="7" eb="11">
      <t>カツヨウホウホウ</t>
    </rPh>
    <rPh sb="16" eb="18">
      <t>トリアツカイ</t>
    </rPh>
    <rPh sb="19" eb="23">
      <t>リュウイジコウ</t>
    </rPh>
    <rPh sb="38" eb="39">
      <t>ダイ</t>
    </rPh>
    <rPh sb="41" eb="42">
      <t>カイ</t>
    </rPh>
    <rPh sb="48" eb="50">
      <t>ソウゴウ</t>
    </rPh>
    <rPh sb="50" eb="52">
      <t>エンシュウ</t>
    </rPh>
    <rPh sb="63" eb="65">
      <t>ニュウモン</t>
    </rPh>
    <rPh sb="67" eb="68">
      <t>ダイ</t>
    </rPh>
    <rPh sb="70" eb="71">
      <t>カイ</t>
    </rPh>
    <rPh sb="73" eb="75">
      <t>コウギ</t>
    </rPh>
    <rPh sb="81" eb="87">
      <t>ジョウホウショリ</t>
    </rPh>
    <rPh sb="89" eb="90">
      <t>ダイ</t>
    </rPh>
    <rPh sb="91" eb="92">
      <t>カイ</t>
    </rPh>
    <phoneticPr fontId="1"/>
  </si>
  <si>
    <t>ビッグデータの活用方法とデータの取扱の留意事項「AIデータサイエンス入門」(第10回)
まとめと総合演習「AIデータサイエンス入門」(第15回)
講義ガイダンス「情報処理入門」(第1回)</t>
    <rPh sb="7" eb="11">
      <t>カツヨウホウホウ</t>
    </rPh>
    <rPh sb="16" eb="18">
      <t>トリアツカイ</t>
    </rPh>
    <rPh sb="19" eb="23">
      <t>リュウイジコウ</t>
    </rPh>
    <rPh sb="38" eb="39">
      <t>ダイ</t>
    </rPh>
    <rPh sb="41" eb="42">
      <t>カイ</t>
    </rPh>
    <rPh sb="48" eb="50">
      <t>ソウゴウ</t>
    </rPh>
    <rPh sb="50" eb="52">
      <t>エンシュウ</t>
    </rPh>
    <rPh sb="63" eb="65">
      <t>ニュウモン</t>
    </rPh>
    <rPh sb="67" eb="68">
      <t>ダイ</t>
    </rPh>
    <rPh sb="70" eb="71">
      <t>カイ</t>
    </rPh>
    <phoneticPr fontId="1"/>
  </si>
  <si>
    <t>データマイニングとテキストマイニングの紹介「AIデータサイエンス入門」(第2回)
ディープラーニングの紹介「AIデータサイエンス入門」(第11回)
Excel活用・グラフ・データベース「コンピュータ入門」(第10・11回)</t>
    <rPh sb="19" eb="21">
      <t>ショウカイ</t>
    </rPh>
    <rPh sb="36" eb="37">
      <t>ダイ</t>
    </rPh>
    <rPh sb="38" eb="39">
      <t>カイ</t>
    </rPh>
    <rPh sb="51" eb="53">
      <t>ショウカイ</t>
    </rPh>
    <rPh sb="68" eb="69">
      <t>ダイ</t>
    </rPh>
    <rPh sb="71" eb="72">
      <t>カイ</t>
    </rPh>
    <rPh sb="79" eb="81">
      <t>カツヨウ</t>
    </rPh>
    <rPh sb="103" eb="104">
      <t>ダイ</t>
    </rPh>
    <rPh sb="109" eb="110">
      <t>カイ</t>
    </rPh>
    <phoneticPr fontId="1"/>
  </si>
  <si>
    <t>ビッグデータの活用方法とデータの取扱の留意事項「AIデータサイエンス入門」(第10回)
まとめと総合演習「AIデータサイエンス入門」(第15回)
情報倫理「コンピュータ入門」(第1・2回)</t>
    <rPh sb="7" eb="11">
      <t>カツヨウホウホウ</t>
    </rPh>
    <rPh sb="16" eb="18">
      <t>トリアツカイ</t>
    </rPh>
    <rPh sb="19" eb="23">
      <t>リュウイジコウ</t>
    </rPh>
    <rPh sb="38" eb="39">
      <t>ダイ</t>
    </rPh>
    <rPh sb="41" eb="42">
      <t>カイ</t>
    </rPh>
    <rPh sb="48" eb="50">
      <t>ソウゴウ</t>
    </rPh>
    <rPh sb="50" eb="52">
      <t>エンシュウ</t>
    </rPh>
    <rPh sb="63" eb="65">
      <t>ニュウモン</t>
    </rPh>
    <rPh sb="67" eb="68">
      <t>ダイ</t>
    </rPh>
    <rPh sb="70" eb="71">
      <t>カイ</t>
    </rPh>
    <rPh sb="73" eb="77">
      <t>ジョウホウリンリ</t>
    </rPh>
    <rPh sb="88" eb="89">
      <t>ダイ</t>
    </rPh>
    <rPh sb="92" eb="93">
      <t>カイ</t>
    </rPh>
    <phoneticPr fontId="1"/>
  </si>
  <si>
    <t>ビッグデータの活用方法とデータの取扱の留意事項「AIデータサイエンス入門」(第10回)
まとめと総合演習「AIデータサイエンス入門」(第15回)
情報倫理「コンピュータ入門」(第1・2回)</t>
    <rPh sb="7" eb="11">
      <t>カツヨウホウホウ</t>
    </rPh>
    <rPh sb="16" eb="18">
      <t>トリアツカイ</t>
    </rPh>
    <rPh sb="19" eb="23">
      <t>リュウイジコウ</t>
    </rPh>
    <rPh sb="38" eb="39">
      <t>ダイ</t>
    </rPh>
    <rPh sb="41" eb="42">
      <t>カイ</t>
    </rPh>
    <rPh sb="48" eb="50">
      <t>ソウゴウ</t>
    </rPh>
    <rPh sb="50" eb="52">
      <t>エンシュウ</t>
    </rPh>
    <rPh sb="63" eb="65">
      <t>ニュウモン</t>
    </rPh>
    <rPh sb="67" eb="68">
      <t>ダイ</t>
    </rPh>
    <rPh sb="70" eb="71">
      <t>カイ</t>
    </rPh>
    <phoneticPr fontId="1"/>
  </si>
  <si>
    <t>アンケート結果の分析「AIデータサイエンス入門」(第7回)
Excel入門、実践、活用「コンピュータ入門」(第7～11回)</t>
    <rPh sb="25" eb="26">
      <t>ダイ</t>
    </rPh>
    <rPh sb="27" eb="28">
      <t>カイ</t>
    </rPh>
    <rPh sb="35" eb="37">
      <t>ニュウモン</t>
    </rPh>
    <rPh sb="38" eb="40">
      <t>ジッセン</t>
    </rPh>
    <rPh sb="41" eb="43">
      <t>カツヨウ</t>
    </rPh>
    <rPh sb="54" eb="55">
      <t>ダイ</t>
    </rPh>
    <rPh sb="59" eb="60">
      <t>カイ</t>
    </rPh>
    <phoneticPr fontId="1"/>
  </si>
  <si>
    <t>データを説明する: 相関と回帰「AIデータサイエンス入門」(第4回)
Excel入門、実践、活用「コンピュータ入門」(第7～11回)</t>
    <rPh sb="4" eb="8">
      <t>セツ</t>
    </rPh>
    <rPh sb="10" eb="12">
      <t>ソウカン</t>
    </rPh>
    <rPh sb="13" eb="15">
      <t>カイキ</t>
    </rPh>
    <rPh sb="30" eb="31">
      <t>ダイ</t>
    </rPh>
    <rPh sb="32" eb="33">
      <t>カイ</t>
    </rPh>
    <phoneticPr fontId="1"/>
  </si>
  <si>
    <t>データを扱う: 基本統計量とは「AIデータサイエンス入門」(第3回)
Excel入門、実践、活用「コンピュータ入門」(第7～11回)</t>
    <rPh sb="4" eb="5">
      <t>アツカ</t>
    </rPh>
    <rPh sb="8" eb="13">
      <t>キホントウケイリョウ</t>
    </rPh>
    <rPh sb="30" eb="31">
      <t>ダイ</t>
    </rPh>
    <rPh sb="32" eb="33">
      <t>カイ</t>
    </rPh>
    <phoneticPr fontId="1"/>
  </si>
  <si>
    <t>大和大学情報教育委員会規程</t>
    <rPh sb="0" eb="2">
      <t>ヤマト</t>
    </rPh>
    <rPh sb="2" eb="4">
      <t>ダイガク</t>
    </rPh>
    <phoneticPr fontId="1"/>
  </si>
  <si>
    <t>大和大学情報教育委員会</t>
    <phoneticPr fontId="1"/>
  </si>
  <si>
    <t xml:space="preserve">ai_ds@yamato-u.ac.jp </t>
    <phoneticPr fontId="1"/>
  </si>
  <si>
    <t>数理・AI・データサイエンス教育プログラム</t>
    <phoneticPr fontId="1"/>
  </si>
  <si>
    <r>
      <t>データマイニングとテキストマイニングの紹介「AIデータサイエンス入門」(第2回)
ディープラーニングの紹介「AIデータサイエンス入門」(第11回)
Excelによるデータ分析「情報処理</t>
    </r>
    <r>
      <rPr>
        <sz val="12"/>
        <rFont val="ＭＳ Ｐゴシック"/>
        <family val="3"/>
        <charset val="128"/>
      </rPr>
      <t>Ⅰ</t>
    </r>
    <r>
      <rPr>
        <sz val="12"/>
        <rFont val="ＭＳ Ｐゴシック"/>
        <family val="3"/>
        <charset val="128"/>
        <scheme val="minor"/>
      </rPr>
      <t>」(第12回)</t>
    </r>
    <rPh sb="19" eb="21">
      <t>ショウカイ</t>
    </rPh>
    <rPh sb="36" eb="37">
      <t>ダイ</t>
    </rPh>
    <rPh sb="38" eb="39">
      <t>カイ</t>
    </rPh>
    <rPh sb="51" eb="53">
      <t>ショウカイ</t>
    </rPh>
    <rPh sb="68" eb="69">
      <t>ダイ</t>
    </rPh>
    <rPh sb="71" eb="72">
      <t>カイ</t>
    </rPh>
    <rPh sb="85" eb="87">
      <t>ブンセキ</t>
    </rPh>
    <rPh sb="88" eb="92">
      <t>ジョウホウショリ</t>
    </rPh>
    <rPh sb="95" eb="96">
      <t>ダイ</t>
    </rPh>
    <rPh sb="98" eb="99">
      <t>カイ</t>
    </rPh>
    <phoneticPr fontId="1"/>
  </si>
  <si>
    <r>
      <t>ビッグデータの活用方法とデータの取扱の留意事項「AIデータサイエンス入門」(第10回)
まとめと総合演習「AIデータサイエンス入門」(第15回)
ガイダンス「情報処理</t>
    </r>
    <r>
      <rPr>
        <sz val="12"/>
        <rFont val="ＭＳ Ｐゴシック"/>
        <family val="3"/>
        <charset val="128"/>
      </rPr>
      <t>Ⅰ</t>
    </r>
    <r>
      <rPr>
        <sz val="12"/>
        <rFont val="ＭＳ Ｐゴシック"/>
        <family val="3"/>
        <charset val="128"/>
        <scheme val="minor"/>
      </rPr>
      <t>」(第1回)</t>
    </r>
    <rPh sb="7" eb="11">
      <t>カツヨウホウホウ</t>
    </rPh>
    <rPh sb="16" eb="18">
      <t>トリアツカイ</t>
    </rPh>
    <rPh sb="19" eb="23">
      <t>リュウイジコウ</t>
    </rPh>
    <rPh sb="38" eb="39">
      <t>ダイ</t>
    </rPh>
    <rPh sb="41" eb="42">
      <t>カイ</t>
    </rPh>
    <rPh sb="48" eb="50">
      <t>ソウゴウ</t>
    </rPh>
    <rPh sb="50" eb="52">
      <t>エンシュウ</t>
    </rPh>
    <rPh sb="63" eb="65">
      <t>ニュウモン</t>
    </rPh>
    <rPh sb="67" eb="68">
      <t>ダイ</t>
    </rPh>
    <rPh sb="70" eb="71">
      <t>カイ</t>
    </rPh>
    <rPh sb="79" eb="83">
      <t>ジョウホウ</t>
    </rPh>
    <rPh sb="86" eb="87">
      <t>ダイ</t>
    </rPh>
    <rPh sb="88" eb="89">
      <t>カイ</t>
    </rPh>
    <phoneticPr fontId="1"/>
  </si>
  <si>
    <r>
      <t>アンケート結果の分析「AIデータサイエンス入門」(第7回)
Excelによるグラフの作成「情報処理</t>
    </r>
    <r>
      <rPr>
        <sz val="12"/>
        <rFont val="ＭＳ Ｐゴシック"/>
        <family val="3"/>
        <charset val="128"/>
      </rPr>
      <t>Ⅰ</t>
    </r>
    <r>
      <rPr>
        <sz val="12"/>
        <rFont val="ＭＳ Ｐゴシック"/>
        <family val="3"/>
        <charset val="128"/>
        <scheme val="minor"/>
      </rPr>
      <t>」(第9回)</t>
    </r>
    <rPh sb="25" eb="26">
      <t>ダイ</t>
    </rPh>
    <rPh sb="27" eb="28">
      <t>カイ</t>
    </rPh>
    <rPh sb="42" eb="44">
      <t>サクセイ</t>
    </rPh>
    <rPh sb="45" eb="49">
      <t>ジョウホウショリ</t>
    </rPh>
    <rPh sb="52" eb="53">
      <t>ダイ</t>
    </rPh>
    <rPh sb="54" eb="55">
      <t>カイ</t>
    </rPh>
    <phoneticPr fontId="1"/>
  </si>
  <si>
    <r>
      <t>データを扱う: 基本統計量とは「AIデータサイエンス入門」(第3回)
Excelによるデータのまとめ方「情報処理</t>
    </r>
    <r>
      <rPr>
        <sz val="12"/>
        <rFont val="ＭＳ Ｐゴシック"/>
        <family val="3"/>
        <charset val="128"/>
      </rPr>
      <t>Ⅰ</t>
    </r>
    <r>
      <rPr>
        <sz val="12"/>
        <rFont val="ＭＳ Ｐゴシック"/>
        <family val="3"/>
        <charset val="128"/>
        <scheme val="minor"/>
      </rPr>
      <t>」(第7・8回)</t>
    </r>
    <rPh sb="4" eb="5">
      <t>アツカ</t>
    </rPh>
    <rPh sb="8" eb="13">
      <t>キホントウケイリョウ</t>
    </rPh>
    <rPh sb="30" eb="31">
      <t>ダイ</t>
    </rPh>
    <rPh sb="32" eb="33">
      <t>カイ</t>
    </rPh>
    <rPh sb="50" eb="51">
      <t>カタ</t>
    </rPh>
    <rPh sb="52" eb="56">
      <t>ジョウホウ</t>
    </rPh>
    <rPh sb="59" eb="60">
      <t>ダイ</t>
    </rPh>
    <rPh sb="63" eb="64">
      <t>カイ</t>
    </rPh>
    <phoneticPr fontId="1"/>
  </si>
  <si>
    <t>教育学部</t>
    <rPh sb="0" eb="4">
      <t>キョウイクガクブ</t>
    </rPh>
    <phoneticPr fontId="1"/>
  </si>
  <si>
    <t>保健医療学部</t>
    <rPh sb="0" eb="5">
      <t>ホケンイリョウガク</t>
    </rPh>
    <rPh sb="5" eb="6">
      <t>ブ</t>
    </rPh>
    <phoneticPr fontId="1"/>
  </si>
  <si>
    <t>政治経済学部</t>
    <rPh sb="0" eb="6">
      <t>セイジケイザイガクブ</t>
    </rPh>
    <phoneticPr fontId="1"/>
  </si>
  <si>
    <t>IT企業の現役の役員や研究員などを情報教育委員会に外部評価委員として年に2回招聘し本教育プログラムを評価して頂き、その内容をもとに授業内容の見直しを実施する計画である。</t>
    <rPh sb="2" eb="4">
      <t>キギョウ</t>
    </rPh>
    <rPh sb="5" eb="7">
      <t>ゲンエキ</t>
    </rPh>
    <rPh sb="8" eb="10">
      <t>ヤクイン</t>
    </rPh>
    <rPh sb="11" eb="14">
      <t>ケンキュウイン</t>
    </rPh>
    <rPh sb="17" eb="19">
      <t>ジョウホウ</t>
    </rPh>
    <rPh sb="19" eb="24">
      <t>キョウイクイインカイ</t>
    </rPh>
    <rPh sb="25" eb="29">
      <t>ガイブヒョウカ</t>
    </rPh>
    <rPh sb="29" eb="31">
      <t>イイン</t>
    </rPh>
    <rPh sb="34" eb="35">
      <t>ネン</t>
    </rPh>
    <rPh sb="37" eb="38">
      <t>カイ</t>
    </rPh>
    <rPh sb="38" eb="40">
      <t>ショウヘイ</t>
    </rPh>
    <rPh sb="41" eb="50">
      <t>ホンキョウ</t>
    </rPh>
    <rPh sb="50" eb="52">
      <t>ヒョウカ</t>
    </rPh>
    <rPh sb="54" eb="55">
      <t>イタダ</t>
    </rPh>
    <rPh sb="59" eb="61">
      <t>ナイヨウ</t>
    </rPh>
    <rPh sb="65" eb="69">
      <t>ジュギョウナイヨウ</t>
    </rPh>
    <rPh sb="70" eb="72">
      <t>ミナオ</t>
    </rPh>
    <rPh sb="74" eb="76">
      <t>ジッシ</t>
    </rPh>
    <rPh sb="78" eb="80">
      <t>ケイカク</t>
    </rPh>
    <phoneticPr fontId="1"/>
  </si>
  <si>
    <t>データを扱う基本統計量、データを説明する回帰や相関関係などの内容を通してデータリテラシーを修得する。
データの活用時に倫理・法律・社会的な留意事項や情報セキュリティ等を考慮する重要性を理解する。
様々な活用事例を用い、AIを利活用するための素養を身につける。</t>
    <phoneticPr fontId="1"/>
  </si>
  <si>
    <t>委員長　　今村　浩章（教育学部長）
副委員長　上村　佳永（理工学部長）
副委員長　鴻上　啓次朗（理工学部長補佐）
委　　員　松本　啓之亮（理工学部情報科学専攻　教授）
委　　員　北村　章（理工学部情報科学専攻　教授）
委　　員　谷川　明夫（理工学部情報科学専攻　教授）
委　　員　髙田　司郎（理工学部情報科学専攻　教授）
委　　員　宮下　鋭也（理工学部数理科学専攻　准教授）
委　　員　及川　久遠（教育学部　教授）
委　　員　光永　文彦（教育学部　准教授）
委　　員　立花　晃（社会学部　准教授）
委　　員　阿部　哲也（理工学部　技術職員）</t>
    <rPh sb="11" eb="15">
      <t>キョウイクガクブ</t>
    </rPh>
    <rPh sb="15" eb="16">
      <t>チョウ</t>
    </rPh>
    <rPh sb="254" eb="256">
      <t>アベ</t>
    </rPh>
    <rPh sb="257" eb="259">
      <t>テツヤ</t>
    </rPh>
    <rPh sb="260" eb="262">
      <t>リコウ</t>
    </rPh>
    <rPh sb="265" eb="269">
      <t>ギジュツショクイン</t>
    </rPh>
    <phoneticPr fontId="1"/>
  </si>
  <si>
    <t>教育学部長</t>
    <rPh sb="0" eb="4">
      <t>キョウイクガクブ</t>
    </rPh>
    <rPh sb="4" eb="5">
      <t>チョウ</t>
    </rPh>
    <phoneticPr fontId="1"/>
  </si>
  <si>
    <t>教育学部長</t>
    <rPh sb="0" eb="5">
      <t>キョウイク</t>
    </rPh>
    <phoneticPr fontId="1"/>
  </si>
  <si>
    <t>教育学部長</t>
    <rPh sb="0" eb="5">
      <t>キョウイ</t>
    </rPh>
    <phoneticPr fontId="1"/>
  </si>
  <si>
    <t>本教育プログラムの科目は、すべてGoogleClassroomに登録されており、そこの投稿やチャットなどの機能を用いて、授業時間内外で質問ができるようになっている。担当教員はそれに返信する形でいつでも学習指導をすることができる。また、担当教員が指導に困った際には、必要に応じて情報教育委員会の委員を経由して他の教員が返答する体制も整備している。</t>
    <rPh sb="1" eb="3">
      <t>キョウイク</t>
    </rPh>
    <phoneticPr fontId="1"/>
  </si>
  <si>
    <t xml:space="preserve">履修者に対して授業評価アンケートを実施しており、授業全体の満足度、説明のわかりやすさ、教材のわかりやすさ、授業が役に立ったかなどを調査し、その結果を公表することで、後輩等他の学生への推奨度が向上するように改善を行っている。分析結果については各教員にフィードバックを行い、次学期以降の授業に活用している。
</t>
    <rPh sb="0" eb="3">
      <t>リシュウシャ</t>
    </rPh>
    <rPh sb="4" eb="5">
      <t>タイ</t>
    </rPh>
    <rPh sb="7" eb="11">
      <t>ジュギョウヒョウカ</t>
    </rPh>
    <rPh sb="17" eb="19">
      <t>ジッシ</t>
    </rPh>
    <rPh sb="24" eb="26">
      <t>ジュギョウ</t>
    </rPh>
    <rPh sb="26" eb="28">
      <t>ゼンタイ</t>
    </rPh>
    <rPh sb="29" eb="32">
      <t>マンゾクド</t>
    </rPh>
    <rPh sb="33" eb="35">
      <t>セツメイ</t>
    </rPh>
    <rPh sb="43" eb="45">
      <t>キョウザイ</t>
    </rPh>
    <rPh sb="53" eb="55">
      <t>ジュギョウ</t>
    </rPh>
    <rPh sb="56" eb="57">
      <t>ヤク</t>
    </rPh>
    <rPh sb="58" eb="59">
      <t>タ</t>
    </rPh>
    <rPh sb="65" eb="67">
      <t>チョウサ</t>
    </rPh>
    <rPh sb="71" eb="73">
      <t>ケッカ</t>
    </rPh>
    <rPh sb="74" eb="76">
      <t>コウヒョウ</t>
    </rPh>
    <rPh sb="82" eb="85">
      <t>コウハイトウ</t>
    </rPh>
    <rPh sb="85" eb="86">
      <t>ホカ</t>
    </rPh>
    <rPh sb="87" eb="89">
      <t>ガクセイ</t>
    </rPh>
    <rPh sb="91" eb="94">
      <t>スイショウド</t>
    </rPh>
    <rPh sb="95" eb="97">
      <t>コウジョウ</t>
    </rPh>
    <rPh sb="102" eb="104">
      <t>カイゼン</t>
    </rPh>
    <rPh sb="105" eb="106">
      <t>オコナ</t>
    </rPh>
    <rPh sb="111" eb="115">
      <t>ブンセキケッカ</t>
    </rPh>
    <rPh sb="120" eb="123">
      <t>カクキョウイン</t>
    </rPh>
    <rPh sb="132" eb="133">
      <t>オコナ</t>
    </rPh>
    <rPh sb="135" eb="136">
      <t>ツギ</t>
    </rPh>
    <rPh sb="136" eb="138">
      <t>ガッキ</t>
    </rPh>
    <rPh sb="138" eb="140">
      <t>イコウ</t>
    </rPh>
    <rPh sb="141" eb="143">
      <t>ジュギョウ</t>
    </rPh>
    <rPh sb="144" eb="146">
      <t>カツヨウ</t>
    </rPh>
    <phoneticPr fontId="1"/>
  </si>
  <si>
    <t>社会の身近なサービスが数理・AI・データサイエンスによって実現されていることを学生に気づかせるとともに、学生の興味関心を引くような授業内容にする工夫をしている。また、授業において各学部の専門領域に関連するデータを題材にしてデータ分析を行うことにより、それぞれの領域にデータサイエンスが深く関わっていることや、卒業後の進路にも役立つものであることを理解させる。</t>
    <rPh sb="0" eb="2">
      <t>シャカイ</t>
    </rPh>
    <rPh sb="3" eb="5">
      <t>ミヂカ</t>
    </rPh>
    <rPh sb="11" eb="13">
      <t>スウリ</t>
    </rPh>
    <rPh sb="29" eb="31">
      <t>ジツゲン</t>
    </rPh>
    <rPh sb="39" eb="41">
      <t>ガクセイ</t>
    </rPh>
    <rPh sb="42" eb="43">
      <t>キ</t>
    </rPh>
    <rPh sb="52" eb="54">
      <t>ガクセイ</t>
    </rPh>
    <rPh sb="55" eb="59">
      <t>キョウミカンシン</t>
    </rPh>
    <rPh sb="60" eb="61">
      <t>ヒ</t>
    </rPh>
    <rPh sb="65" eb="67">
      <t>ジュギョウ</t>
    </rPh>
    <rPh sb="67" eb="69">
      <t>ナイヨウ</t>
    </rPh>
    <rPh sb="72" eb="74">
      <t>クフウ</t>
    </rPh>
    <rPh sb="83" eb="85">
      <t>ジュギョウ</t>
    </rPh>
    <rPh sb="93" eb="95">
      <t>センモン</t>
    </rPh>
    <rPh sb="95" eb="97">
      <t>リョウイキ</t>
    </rPh>
    <rPh sb="98" eb="100">
      <t>カンレン</t>
    </rPh>
    <rPh sb="130" eb="132">
      <t>リョウイキ</t>
    </rPh>
    <rPh sb="142" eb="143">
      <t>フカ</t>
    </rPh>
    <rPh sb="144" eb="145">
      <t>カカ</t>
    </rPh>
    <rPh sb="154" eb="157">
      <t>ソツギョウゴ</t>
    </rPh>
    <rPh sb="158" eb="160">
      <t>シンロ</t>
    </rPh>
    <rPh sb="162" eb="164">
      <t>ヤクダ</t>
    </rPh>
    <rPh sb="173" eb="175">
      <t>リカイ</t>
    </rPh>
    <phoneticPr fontId="1"/>
  </si>
  <si>
    <t>https://www.yamato-u.ac.jp/research/educational_features/mathematics_ai_data/</t>
    <phoneticPr fontId="1"/>
  </si>
  <si>
    <t>多くの学生が本教育プログラムを円滑に修得できるよう、科目ごとのGoogle Classroomを作成し、随時担当教員に質問できる体制を構築するとともに、授業を録画したオンデマンド教材を提示するなど、学びを促すための取り組みを行う。</t>
    <rPh sb="6" eb="7">
      <t>ホン</t>
    </rPh>
    <rPh sb="7" eb="9">
      <t>キョウイク</t>
    </rPh>
    <rPh sb="15" eb="17">
      <t>エンカツ</t>
    </rPh>
    <phoneticPr fontId="1"/>
  </si>
  <si>
    <t>大和大学情報教育委員会にて、プログラムの履修・修得状況の報告を定期的に行い、委員会内で学生の出席状況や授業の進行状況を把握している。また、Google Classroomを活用し、受講者毎の課題の提出状況を把握することができる。これらの点検の結果を踏まえ、同委員会にて次期開講の授業実施形態などの改善に結びつけている。
「AIデータサイエンス入門」の講義は令和5年度より全学で必修化するため、授業実施形態を見直すとともに、指導者の追加配置、学習環境のオンデマンド化を推進していく。</t>
    <rPh sb="4" eb="6">
      <t>ジョウホウ</t>
    </rPh>
    <rPh sb="6" eb="8">
      <t>キョウイク</t>
    </rPh>
    <rPh sb="20" eb="22">
      <t>リシュウ</t>
    </rPh>
    <rPh sb="23" eb="25">
      <t>シュウトク</t>
    </rPh>
    <rPh sb="25" eb="27">
      <t>ジョウキョウ</t>
    </rPh>
    <rPh sb="28" eb="30">
      <t>ホウコク</t>
    </rPh>
    <rPh sb="31" eb="34">
      <t>テイキテキ</t>
    </rPh>
    <rPh sb="35" eb="36">
      <t>オコナ</t>
    </rPh>
    <rPh sb="38" eb="41">
      <t>イインカイ</t>
    </rPh>
    <rPh sb="41" eb="42">
      <t>ナイ</t>
    </rPh>
    <rPh sb="43" eb="45">
      <t>ガクセイ</t>
    </rPh>
    <rPh sb="46" eb="50">
      <t>シュッセキジョウキョウ</t>
    </rPh>
    <rPh sb="51" eb="53">
      <t>ジュギョウ</t>
    </rPh>
    <rPh sb="54" eb="58">
      <t>シンコウジョウキョウ</t>
    </rPh>
    <rPh sb="59" eb="61">
      <t>ハアク</t>
    </rPh>
    <rPh sb="86" eb="88">
      <t>カツヨウ</t>
    </rPh>
    <rPh sb="90" eb="93">
      <t>ジュコウシャ</t>
    </rPh>
    <rPh sb="93" eb="94">
      <t>ゴト</t>
    </rPh>
    <rPh sb="95" eb="97">
      <t>カダイ</t>
    </rPh>
    <rPh sb="98" eb="100">
      <t>テイシュツ</t>
    </rPh>
    <rPh sb="100" eb="102">
      <t>ジョウキョウ</t>
    </rPh>
    <rPh sb="103" eb="105">
      <t>ハアク</t>
    </rPh>
    <rPh sb="118" eb="120">
      <t>テンケン</t>
    </rPh>
    <rPh sb="121" eb="123">
      <t>ケッカ</t>
    </rPh>
    <rPh sb="124" eb="125">
      <t>フ</t>
    </rPh>
    <rPh sb="134" eb="136">
      <t>ジキ</t>
    </rPh>
    <rPh sb="136" eb="138">
      <t>カイコウ</t>
    </rPh>
    <rPh sb="139" eb="141">
      <t>ジュギョウ</t>
    </rPh>
    <rPh sb="141" eb="145">
      <t>ジッシケイタイ</t>
    </rPh>
    <rPh sb="148" eb="150">
      <t>カイゼン</t>
    </rPh>
    <rPh sb="151" eb="152">
      <t>ムス</t>
    </rPh>
    <rPh sb="175" eb="177">
      <t>コウギ</t>
    </rPh>
    <rPh sb="178" eb="180">
      <t>レイワ</t>
    </rPh>
    <rPh sb="181" eb="183">
      <t>ネンド</t>
    </rPh>
    <rPh sb="185" eb="187">
      <t>ゼンガク</t>
    </rPh>
    <rPh sb="188" eb="191">
      <t>ヒッシュウカ</t>
    </rPh>
    <rPh sb="196" eb="198">
      <t>ジュギョウ</t>
    </rPh>
    <rPh sb="198" eb="202">
      <t>ジッシケイタイ</t>
    </rPh>
    <rPh sb="203" eb="205">
      <t>ミナオ</t>
    </rPh>
    <rPh sb="211" eb="214">
      <t>シドウシャ</t>
    </rPh>
    <rPh sb="215" eb="217">
      <t>ツイカ</t>
    </rPh>
    <rPh sb="217" eb="219">
      <t>ハイチ</t>
    </rPh>
    <rPh sb="220" eb="224">
      <t>ガクシュウカンキョウ</t>
    </rPh>
    <rPh sb="231" eb="232">
      <t>カ</t>
    </rPh>
    <rPh sb="233" eb="235">
      <t>スイシン</t>
    </rPh>
    <phoneticPr fontId="1"/>
  </si>
  <si>
    <t>既に必修である「情報処理」関連の科目に加えて、令和5年度に「AIデータサイエンス入門」を全学で必修化する計画である。これを達成するため、学修環境のオンデマンド化、BYOD演習環境等のインフラ整備や、新たな教員の配置等を実施中である。
学生の興味を引くように、学生が将来使用するような数理・AI・データサイエンスの利活用および学部に応じて各専門分野に関連した内容の授業を展開する予定である。</t>
    <rPh sb="0" eb="1">
      <t>スデ</t>
    </rPh>
    <rPh sb="2" eb="7">
      <t>ヒ</t>
    </rPh>
    <rPh sb="8" eb="12">
      <t>ジョウホウショリ</t>
    </rPh>
    <rPh sb="13" eb="15">
      <t>カンレン</t>
    </rPh>
    <rPh sb="16" eb="18">
      <t>カモク</t>
    </rPh>
    <rPh sb="19" eb="20">
      <t>クワ</t>
    </rPh>
    <rPh sb="23" eb="25">
      <t>レイワ</t>
    </rPh>
    <rPh sb="26" eb="28">
      <t>ネンド</t>
    </rPh>
    <rPh sb="40" eb="42">
      <t>ニュウモン</t>
    </rPh>
    <rPh sb="44" eb="46">
      <t>ゼンガク</t>
    </rPh>
    <rPh sb="47" eb="50">
      <t>ヒッシュウカ</t>
    </rPh>
    <rPh sb="52" eb="54">
      <t>ケイカク</t>
    </rPh>
    <rPh sb="61" eb="63">
      <t>タッセイ</t>
    </rPh>
    <rPh sb="68" eb="70">
      <t>ガクシュウ</t>
    </rPh>
    <rPh sb="70" eb="72">
      <t>カンキョウ</t>
    </rPh>
    <rPh sb="79" eb="80">
      <t>カ</t>
    </rPh>
    <rPh sb="85" eb="87">
      <t>エンシュウ</t>
    </rPh>
    <rPh sb="87" eb="89">
      <t>カンキョウ</t>
    </rPh>
    <rPh sb="89" eb="90">
      <t>トウ</t>
    </rPh>
    <rPh sb="95" eb="97">
      <t>セイビ</t>
    </rPh>
    <rPh sb="99" eb="100">
      <t>アラ</t>
    </rPh>
    <rPh sb="102" eb="104">
      <t>キョウイン</t>
    </rPh>
    <rPh sb="105" eb="107">
      <t>ハイチ</t>
    </rPh>
    <rPh sb="107" eb="108">
      <t>トウ</t>
    </rPh>
    <rPh sb="109" eb="112">
      <t>ジッシチュウ</t>
    </rPh>
    <rPh sb="117" eb="119">
      <t>ガクセイ</t>
    </rPh>
    <rPh sb="120" eb="122">
      <t>キョウミ</t>
    </rPh>
    <rPh sb="123" eb="124">
      <t>ヒ</t>
    </rPh>
    <rPh sb="129" eb="131">
      <t>ガクセイ</t>
    </rPh>
    <rPh sb="132" eb="134">
      <t>ショウライ</t>
    </rPh>
    <rPh sb="134" eb="136">
      <t>シヨウ</t>
    </rPh>
    <rPh sb="141" eb="143">
      <t>スウリ</t>
    </rPh>
    <rPh sb="156" eb="159">
      <t>リカツヨウ</t>
    </rPh>
    <rPh sb="162" eb="164">
      <t>ガクブ</t>
    </rPh>
    <rPh sb="165" eb="166">
      <t>オウ</t>
    </rPh>
    <rPh sb="168" eb="169">
      <t>カク</t>
    </rPh>
    <rPh sb="169" eb="173">
      <t>センモンブンヤ</t>
    </rPh>
    <rPh sb="174" eb="176">
      <t>カンレン</t>
    </rPh>
    <rPh sb="178" eb="180">
      <t>ナイヨウ</t>
    </rPh>
    <rPh sb="181" eb="183">
      <t>ジュギョウ</t>
    </rPh>
    <rPh sb="184" eb="186">
      <t>テンカイ</t>
    </rPh>
    <rPh sb="188" eb="190">
      <t>ヨテイ</t>
    </rPh>
    <phoneticPr fontId="1"/>
  </si>
  <si>
    <t>学期末の授業評価アンケートのほか、適宜レポート課題または授業アンケートを実施し、受講者の理解度を確認している。また、この結果に応じて授業内容を随時見直している。LMS上でこれらの情報を管理するとともに、学生の理解度に応じた授業資料や補足資料の提供を行っている。
学期末の授業評価アンケートは、FD委員会で取りまとめ、その結果を各教員にフィードバックする。各教員はその結果をもとに授業改善計画を作成することにより、繰り返し授業の改善・向上に努めている。</t>
    <phoneticPr fontId="1"/>
  </si>
  <si>
    <t>各年度の履修者数の目標を以下のとおりとする。（（　）内は履修率。）
令和４年度　168名　（4％）
令和５年度　1128名　（29％）
令和６年度　2088名　（54％）
令和７年度　3025名　（79％）
令和８年度　3850名　（100％）
令和5年度より、「AIデータサイエンス入門」を全学で必修化し、「情報処理」の関連科目と併せて数理・AI・データサイエンス教育に必要な内容を全て学べるようにする。また、授業時間内外での学習指導、質問を受け付ける仕組みや教育上の工夫、学生指導・支援等の学修サポート等について、情報教育委員会でより適切なものとなるよう、継続的に検討していく計画である。</t>
    <rPh sb="147" eb="149">
      <t>ゼンガク</t>
    </rPh>
    <rPh sb="150" eb="153">
      <t>ヒッシュウカ</t>
    </rPh>
    <rPh sb="156" eb="160">
      <t>ジョウホウショリ</t>
    </rPh>
    <rPh sb="162" eb="164">
      <t>カンレン</t>
    </rPh>
    <rPh sb="164" eb="166">
      <t>カモク</t>
    </rPh>
    <rPh sb="167" eb="168">
      <t>アワ</t>
    </rPh>
    <rPh sb="281" eb="284">
      <t>ケイゾクテキ</t>
    </rPh>
    <phoneticPr fontId="1"/>
  </si>
  <si>
    <t>令和3年度に行った授業では、「AIデータサイエンス入門」の成績評価の平均は79点、「情報処理」関連科目の成績評価の平均は88点であり、当初想定していた点数よりも良い結果となった。また、学生による授業評価アンケートでは、「この授業はよく理解できましたか」という問いに対する点数は「AIデータサイエンス入門」で4点満点中2.88点、「情報処理」関連科目で4点満点中3.32点であり、学生は十分な学修成果を得られたものと考えている。
情報教育委員会で授業評価アンケートおよび講義の成績に基づいて、受講者の学修成果の状況を判断し、結果の分析を行っている。今後もこの活動を続け、プログラムの継続的改善につなげる方針である。</t>
    <rPh sb="0" eb="2">
      <t>レイワ</t>
    </rPh>
    <rPh sb="3" eb="5">
      <t>ネンド</t>
    </rPh>
    <rPh sb="6" eb="7">
      <t>オコナ</t>
    </rPh>
    <rPh sb="9" eb="11">
      <t>ジュギョウ</t>
    </rPh>
    <rPh sb="25" eb="27">
      <t>ニュウモン</t>
    </rPh>
    <rPh sb="29" eb="33">
      <t>セイセキヒョウカ</t>
    </rPh>
    <rPh sb="34" eb="36">
      <t>ヘイキン</t>
    </rPh>
    <rPh sb="37" eb="38">
      <t>テン</t>
    </rPh>
    <rPh sb="42" eb="46">
      <t>ジョウホウショリ</t>
    </rPh>
    <rPh sb="47" eb="49">
      <t>カンレン</t>
    </rPh>
    <rPh sb="49" eb="51">
      <t>カモク</t>
    </rPh>
    <rPh sb="52" eb="56">
      <t>セイセキヒョウカ</t>
    </rPh>
    <rPh sb="57" eb="59">
      <t>ヘイキン</t>
    </rPh>
    <rPh sb="62" eb="63">
      <t>テン</t>
    </rPh>
    <rPh sb="65" eb="67">
      <t>トウショ</t>
    </rPh>
    <rPh sb="67" eb="69">
      <t>ソウテイ</t>
    </rPh>
    <rPh sb="73" eb="75">
      <t>テンスウ</t>
    </rPh>
    <rPh sb="78" eb="79">
      <t>ヨ</t>
    </rPh>
    <rPh sb="80" eb="82">
      <t>ケッカ</t>
    </rPh>
    <rPh sb="90" eb="92">
      <t>ガクセイ</t>
    </rPh>
    <rPh sb="95" eb="104">
      <t>ジュギョウヒョウ</t>
    </rPh>
    <rPh sb="112" eb="114">
      <t>ジュギョウ</t>
    </rPh>
    <rPh sb="117" eb="119">
      <t>リカイ</t>
    </rPh>
    <rPh sb="129" eb="130">
      <t>ト</t>
    </rPh>
    <rPh sb="132" eb="133">
      <t>タイ</t>
    </rPh>
    <rPh sb="135" eb="137">
      <t>テンスウ</t>
    </rPh>
    <rPh sb="154" eb="155">
      <t>テン</t>
    </rPh>
    <rPh sb="155" eb="158">
      <t>マンテンチュウ</t>
    </rPh>
    <rPh sb="162" eb="163">
      <t>テン</t>
    </rPh>
    <rPh sb="165" eb="169">
      <t>ジョウホウ</t>
    </rPh>
    <rPh sb="170" eb="172">
      <t>カンレン</t>
    </rPh>
    <rPh sb="172" eb="174">
      <t>カモク</t>
    </rPh>
    <rPh sb="176" eb="177">
      <t>テン</t>
    </rPh>
    <rPh sb="177" eb="180">
      <t>マンテンチュウ</t>
    </rPh>
    <rPh sb="184" eb="185">
      <t>テン</t>
    </rPh>
    <rPh sb="187" eb="189">
      <t>ガクセイ</t>
    </rPh>
    <rPh sb="190" eb="192">
      <t>ジュウブン</t>
    </rPh>
    <rPh sb="193" eb="197">
      <t>ガクシュウセイカ</t>
    </rPh>
    <rPh sb="198" eb="199">
      <t>エ</t>
    </rPh>
    <rPh sb="205" eb="206">
      <t>カンガ</t>
    </rPh>
    <rPh sb="220" eb="224">
      <t>ジュギョウヒョウカ</t>
    </rPh>
    <rPh sb="232" eb="234">
      <t>コウギ</t>
    </rPh>
    <rPh sb="235" eb="237">
      <t>セイセキ</t>
    </rPh>
    <rPh sb="237" eb="239">
      <t>セイセキ</t>
    </rPh>
    <rPh sb="240" eb="241">
      <t>モト</t>
    </rPh>
    <rPh sb="247" eb="251">
      <t>ガクシュウセイカ</t>
    </rPh>
    <rPh sb="252" eb="254">
      <t>シュウトク</t>
    </rPh>
    <rPh sb="255" eb="257">
      <t>カクニン</t>
    </rPh>
    <rPh sb="257" eb="259">
      <t>ハンダン</t>
    </rPh>
    <rPh sb="262" eb="264">
      <t>ブンセキ</t>
    </rPh>
    <rPh sb="265" eb="266">
      <t>オコナ</t>
    </rPh>
    <rPh sb="271" eb="273">
      <t>コンゴ</t>
    </rPh>
    <rPh sb="276" eb="278">
      <t>カツドウ</t>
    </rPh>
    <rPh sb="279" eb="280">
      <t>ツヅ</t>
    </rPh>
    <rPh sb="288" eb="291">
      <t>ケイゾクテキ</t>
    </rPh>
    <rPh sb="291" eb="293">
      <t>カイゼン</t>
    </rPh>
    <rPh sb="298" eb="300">
      <t>ホウシン</t>
    </rPh>
    <phoneticPr fontId="1"/>
  </si>
  <si>
    <t>同窓会を管轄する振興会という組織を通じて、学部あるいはキャリアセンターが本学の卒業生の進路状況を継続して把握している。本教育プログラムを修了した卒業生はまだいないが、本教育プログラムを修了した卒業生についても卒業後の状況調査や就職先企業・団体への調査を行い、活躍状況や企業評価を把握する計画である。</t>
    <rPh sb="0" eb="3">
      <t>ドウソウカイ</t>
    </rPh>
    <rPh sb="4" eb="6">
      <t>カンカツ</t>
    </rPh>
    <rPh sb="8" eb="11">
      <t>シンコウカイ</t>
    </rPh>
    <rPh sb="14" eb="16">
      <t>ソシキ</t>
    </rPh>
    <rPh sb="17" eb="18">
      <t>ツウ</t>
    </rPh>
    <rPh sb="21" eb="23">
      <t>ガクブ</t>
    </rPh>
    <rPh sb="36" eb="38">
      <t>ホンガク</t>
    </rPh>
    <rPh sb="39" eb="42">
      <t>ソツギョウセイ</t>
    </rPh>
    <rPh sb="43" eb="47">
      <t>シンロジョウキョウ</t>
    </rPh>
    <rPh sb="48" eb="50">
      <t>ケイゾク</t>
    </rPh>
    <rPh sb="52" eb="54">
      <t>ハアク</t>
    </rPh>
    <rPh sb="59" eb="60">
      <t>ホン</t>
    </rPh>
    <rPh sb="60" eb="62">
      <t>キョウイク</t>
    </rPh>
    <rPh sb="68" eb="70">
      <t>シュウリョウ</t>
    </rPh>
    <rPh sb="72" eb="75">
      <t>ソツギョウセイ</t>
    </rPh>
    <rPh sb="83" eb="86">
      <t>ホンキョウイク</t>
    </rPh>
    <rPh sb="92" eb="94">
      <t>シュウリョウ</t>
    </rPh>
    <rPh sb="96" eb="99">
      <t>ソツギョウセイ</t>
    </rPh>
    <rPh sb="104" eb="106">
      <t>ソツギョウ</t>
    </rPh>
    <rPh sb="106" eb="107">
      <t>ゴ</t>
    </rPh>
    <rPh sb="108" eb="112">
      <t>ジョウキョウチョウサ</t>
    </rPh>
    <rPh sb="113" eb="116">
      <t>シュウショクサキ</t>
    </rPh>
    <rPh sb="116" eb="118">
      <t>キギョウ</t>
    </rPh>
    <rPh sb="119" eb="121">
      <t>ダンタイ</t>
    </rPh>
    <rPh sb="123" eb="125">
      <t>チョウサ</t>
    </rPh>
    <rPh sb="126" eb="127">
      <t>オコナ</t>
    </rPh>
    <rPh sb="129" eb="131">
      <t>カツヤク</t>
    </rPh>
    <rPh sb="131" eb="133">
      <t>ジョウキョウ</t>
    </rPh>
    <rPh sb="134" eb="136">
      <t>キギョウ</t>
    </rPh>
    <rPh sb="136" eb="138">
      <t>ヒョウカ</t>
    </rPh>
    <rPh sb="139" eb="141">
      <t>ハアク</t>
    </rPh>
    <rPh sb="143" eb="145">
      <t>ケイカク</t>
    </rPh>
    <phoneticPr fontId="1"/>
  </si>
  <si>
    <t>授業評価アンケートおよび課題レポートの内容から受講者の理解度を確認し、FD委員会にて分析を行い、その結果を情報教育委員会にて報告している。更に、情報教育委員会では、報告内容をもとに授業内容の見直しおよび改善を行っている。
今後、学習環境のオンデマンド化を推進していく上で、対面での授業に比べて水準を落とすことのないように授業内容を十分検討するとともに、学生が繰り返し復習することができ、容易に教員に質問することができる環境を構築するべく検討している。</t>
    <rPh sb="0" eb="4">
      <t>ジュギョウヒョウカ</t>
    </rPh>
    <rPh sb="12" eb="14">
      <t>カダイ</t>
    </rPh>
    <rPh sb="19" eb="21">
      <t>ナイヨウ</t>
    </rPh>
    <rPh sb="23" eb="26">
      <t>ジュコウシャ</t>
    </rPh>
    <rPh sb="27" eb="30">
      <t>リカイド</t>
    </rPh>
    <rPh sb="31" eb="33">
      <t>カクニン</t>
    </rPh>
    <rPh sb="37" eb="40">
      <t>イインカイ</t>
    </rPh>
    <rPh sb="42" eb="44">
      <t>ブンセキ</t>
    </rPh>
    <rPh sb="45" eb="46">
      <t>オコナ</t>
    </rPh>
    <rPh sb="50" eb="52">
      <t>ケッカ</t>
    </rPh>
    <rPh sb="53" eb="55">
      <t>ジョウホウ</t>
    </rPh>
    <rPh sb="55" eb="60">
      <t>キョウイクイインカイ</t>
    </rPh>
    <rPh sb="62" eb="64">
      <t>ホウコク</t>
    </rPh>
    <rPh sb="69" eb="70">
      <t>サラ</t>
    </rPh>
    <rPh sb="114" eb="118">
      <t>ガクシュウカンキョウ</t>
    </rPh>
    <rPh sb="125" eb="126">
      <t>カ</t>
    </rPh>
    <rPh sb="127" eb="129">
      <t>スイシン</t>
    </rPh>
    <rPh sb="133" eb="134">
      <t>ウエ</t>
    </rPh>
    <rPh sb="136" eb="138">
      <t>タイメン</t>
    </rPh>
    <rPh sb="140" eb="142">
      <t>ジュギョウ</t>
    </rPh>
    <rPh sb="143" eb="144">
      <t>クラ</t>
    </rPh>
    <rPh sb="146" eb="148">
      <t>スイジュン</t>
    </rPh>
    <rPh sb="149" eb="150">
      <t>オ</t>
    </rPh>
    <rPh sb="165" eb="169">
      <t>ジュウブンケントウ</t>
    </rPh>
    <rPh sb="218" eb="220">
      <t>ケントウ</t>
    </rPh>
    <phoneticPr fontId="1"/>
  </si>
  <si>
    <t>本委員会は、情報教育の今後の展開に向けて情報教育全般に関わる議論を行ってきた。数理・AI・データサイエンス教育プログラムの設置、普及、改善等についても、これまでの本学独自の情報教育内容からの円滑な移行、新展開を考え、本委員会において議論することが適切であると判断した。令和3年度は、数理・AI・データサイエンス教育プログラムの設置検討、関連科目の整備、全学的な普及を行うとともに、令和4年度以降に向けた改善等の議論も継続的に行っている。</t>
    <rPh sb="11" eb="13">
      <t>コンゴ</t>
    </rPh>
    <rPh sb="24" eb="26">
      <t>ゼンパン</t>
    </rPh>
    <rPh sb="95" eb="97">
      <t>エンカツ</t>
    </rPh>
    <rPh sb="165" eb="167">
      <t>ケントウ</t>
    </rPh>
    <rPh sb="208" eb="211">
      <t>ケイゾクテキ</t>
    </rPh>
    <phoneticPr fontId="1"/>
  </si>
  <si>
    <t>既に必修である「情報処理」関連の科目と併せて、令和5年度より「AIデータサイエンス入門」を必修化する。また、全員に入学後のガイダンス等で本教育プログラムの意義・魅力を周知する。さらに、本学のWebサイト内に数理・AI・データサイエンス教育プログラムのページを設置して情報を掲載し、学生が情報を受け取りやすい環境を整備している。</t>
    <rPh sb="69" eb="71">
      <t>キョウイク</t>
    </rPh>
    <rPh sb="80" eb="82">
      <t>ミリョク</t>
    </rPh>
    <rPh sb="101" eb="102">
      <t>ナイ</t>
    </rPh>
    <phoneticPr fontId="1"/>
  </si>
  <si>
    <t>令和5年度より「AIデータサイエンス入門」を全学で必修化し、「情報処理」関連科目と併せて本教育プログラムを実施することにした。学部・学科に関係なく希望する学生全員が受講できる体制として、指導者の追加配置及びオンデマンド授業の実施などの指導体制を構築していく計画である。</t>
    <rPh sb="44" eb="45">
      <t>ホン</t>
    </rPh>
    <rPh sb="45" eb="47">
      <t>キョウイク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</si>
</sst>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 "/>
  </numFmts>
  <fonts count="16"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3"/>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3"/>
      <charset val="128"/>
      <scheme val="minor"/>
    </font>
    <font>
      <sz val="8"/>
      <name val="ＭＳ Ｐゴシック"/>
      <family val="3"/>
      <charset val="128"/>
      <scheme val="minor"/>
    </font>
    <font>
      <sz val="11"/>
      <color theme="1"/>
      <name val="ＭＳ Ｐゴシック"/>
      <family val="2"/>
      <charset val="128"/>
    </font>
    <font>
      <sz val="12"/>
      <name val="ＭＳ Ｐゴシック"/>
      <family val="3"/>
      <charset val="128"/>
    </font>
    <font>
      <sz val="10"/>
      <name val="ＭＳ Ｐゴシック"/>
      <family val="3"/>
      <charset val="128"/>
      <scheme val="minor"/>
    </font>
    <font>
      <sz val="7"/>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2" fillId="0" borderId="0" applyFont="0" applyFill="0" applyBorder="0" applyAlignment="0" applyProtection="0">
      <alignment vertical="center"/>
    </xf>
    <xf numFmtId="0" fontId="3" fillId="0" borderId="0" applyNumberFormat="0" applyFill="0" applyBorder="0" applyAlignment="0" applyProtection="0">
      <alignment vertical="center"/>
    </xf>
  </cellStyleXfs>
  <cellXfs count="274">
    <xf numFmtId="0" fontId="0" fillId="0" borderId="0" xfId="0">
      <alignment vertical="center"/>
    </xf>
    <xf numFmtId="176" fontId="4" fillId="0" borderId="0" xfId="0" applyNumberFormat="1" applyFont="1" applyBorder="1">
      <alignment vertical="center"/>
    </xf>
    <xf numFmtId="176" fontId="4" fillId="0" borderId="3" xfId="0" applyNumberFormat="1" applyFont="1" applyBorder="1" applyAlignment="1">
      <alignment vertical="center" shrinkToFit="1"/>
    </xf>
    <xf numFmtId="0" fontId="4" fillId="0" borderId="0" xfId="0" applyFont="1" applyBorder="1" applyAlignment="1">
      <alignment horizontal="center" vertical="center" shrinkToFit="1"/>
    </xf>
    <xf numFmtId="0" fontId="5" fillId="0" borderId="0" xfId="0" applyFont="1">
      <alignment vertical="center"/>
    </xf>
    <xf numFmtId="0" fontId="4" fillId="0" borderId="0" xfId="0" applyFont="1">
      <alignment vertical="center"/>
    </xf>
    <xf numFmtId="0" fontId="4" fillId="0" borderId="0" xfId="0" applyFont="1" applyAlignment="1">
      <alignment vertical="center"/>
    </xf>
    <xf numFmtId="0" fontId="4" fillId="0" borderId="0" xfId="0" applyFont="1" applyAlignment="1">
      <alignment horizontal="left" vertical="center"/>
    </xf>
    <xf numFmtId="0" fontId="4" fillId="0" borderId="0" xfId="0" applyFont="1" applyBorder="1" applyAlignment="1">
      <alignment vertical="center"/>
    </xf>
    <xf numFmtId="0" fontId="4" fillId="0" borderId="5" xfId="0" applyFont="1" applyBorder="1">
      <alignment vertical="center"/>
    </xf>
    <xf numFmtId="176" fontId="4" fillId="0" borderId="0" xfId="0" applyNumberFormat="1" applyFont="1" applyBorder="1" applyAlignment="1">
      <alignment vertical="center" wrapText="1"/>
    </xf>
    <xf numFmtId="0" fontId="4" fillId="0" borderId="0" xfId="0" applyFont="1" applyBorder="1">
      <alignment vertical="center"/>
    </xf>
    <xf numFmtId="176" fontId="4" fillId="0" borderId="5" xfId="0" applyNumberFormat="1" applyFont="1" applyBorder="1" applyAlignment="1">
      <alignment vertical="center"/>
    </xf>
    <xf numFmtId="176" fontId="4" fillId="0" borderId="0" xfId="0" applyNumberFormat="1" applyFont="1" applyAlignment="1">
      <alignment vertical="center" wrapText="1"/>
    </xf>
    <xf numFmtId="176" fontId="4" fillId="0" borderId="0" xfId="0" applyNumberFormat="1" applyFont="1" applyAlignment="1">
      <alignment horizontal="left" vertical="center" wrapText="1"/>
    </xf>
    <xf numFmtId="0" fontId="4" fillId="0" borderId="6" xfId="0" applyFont="1" applyBorder="1" applyAlignment="1">
      <alignment vertical="center" shrinkToFit="1"/>
    </xf>
    <xf numFmtId="0" fontId="4" fillId="0" borderId="1" xfId="0" applyFont="1" applyBorder="1">
      <alignment vertical="center"/>
    </xf>
    <xf numFmtId="0" fontId="4" fillId="0" borderId="2" xfId="0" applyFont="1" applyBorder="1">
      <alignment vertical="center"/>
    </xf>
    <xf numFmtId="0" fontId="4" fillId="0" borderId="4" xfId="0" applyFont="1" applyBorder="1">
      <alignment vertical="center"/>
    </xf>
    <xf numFmtId="0" fontId="4" fillId="0" borderId="0" xfId="0" applyFont="1" applyAlignment="1">
      <alignment horizontal="center" vertical="center"/>
    </xf>
    <xf numFmtId="0" fontId="4" fillId="0" borderId="1" xfId="0" applyFont="1" applyBorder="1" applyAlignment="1">
      <alignment vertical="center" shrinkToFit="1"/>
    </xf>
    <xf numFmtId="0" fontId="6" fillId="0" borderId="0" xfId="0" applyFont="1">
      <alignment vertical="center"/>
    </xf>
    <xf numFmtId="0" fontId="4" fillId="0" borderId="0" xfId="0" applyFont="1" applyBorder="1" applyAlignment="1">
      <alignment horizontal="center" vertical="center"/>
    </xf>
    <xf numFmtId="0" fontId="4" fillId="0" borderId="0" xfId="0" applyFont="1" applyBorder="1" applyAlignment="1">
      <alignment vertical="center" shrinkToFit="1"/>
    </xf>
    <xf numFmtId="0" fontId="4" fillId="0" borderId="0" xfId="0" applyFont="1" applyFill="1">
      <alignment vertical="center"/>
    </xf>
    <xf numFmtId="0" fontId="4" fillId="0" borderId="10" xfId="0" applyFont="1" applyBorder="1" applyAlignment="1">
      <alignment vertical="center" shrinkToFit="1"/>
    </xf>
    <xf numFmtId="49" fontId="9" fillId="0" borderId="1" xfId="0" applyNumberFormat="1" applyFont="1" applyBorder="1" applyAlignment="1">
      <alignment horizontal="center" vertical="center"/>
    </xf>
    <xf numFmtId="0" fontId="4" fillId="0" borderId="0" xfId="0" applyFont="1" applyAlignment="1">
      <alignment vertical="center" shrinkToFit="1"/>
    </xf>
    <xf numFmtId="0" fontId="4" fillId="0" borderId="0" xfId="0" applyFont="1" applyAlignment="1">
      <alignment vertical="top" wrapText="1"/>
    </xf>
    <xf numFmtId="49" fontId="9" fillId="0" borderId="47" xfId="0" applyNumberFormat="1" applyFont="1" applyBorder="1" applyAlignment="1">
      <alignment horizontal="center" vertical="center"/>
    </xf>
    <xf numFmtId="49" fontId="9" fillId="0" borderId="33" xfId="0" applyNumberFormat="1" applyFont="1" applyBorder="1" applyAlignment="1">
      <alignment horizontal="center" vertical="center"/>
    </xf>
    <xf numFmtId="49" fontId="9" fillId="0" borderId="50" xfId="0" applyNumberFormat="1" applyFont="1" applyBorder="1" applyAlignment="1">
      <alignment horizontal="center" vertical="center"/>
    </xf>
    <xf numFmtId="0" fontId="4" fillId="0" borderId="44" xfId="0" applyFont="1" applyBorder="1" applyAlignment="1">
      <alignment horizontal="center" vertical="center" shrinkToFit="1"/>
    </xf>
    <xf numFmtId="0" fontId="4" fillId="0" borderId="45" xfId="0" applyFont="1" applyBorder="1" applyAlignment="1">
      <alignment horizontal="center" vertical="center" shrinkToFit="1"/>
    </xf>
    <xf numFmtId="49" fontId="9" fillId="0" borderId="51" xfId="0" applyNumberFormat="1" applyFont="1" applyBorder="1" applyAlignment="1">
      <alignment horizontal="center" vertical="center"/>
    </xf>
    <xf numFmtId="0" fontId="4" fillId="0" borderId="7" xfId="0" applyFont="1" applyBorder="1" applyAlignment="1">
      <alignment horizontal="center" vertical="center" wrapText="1" shrinkToFit="1"/>
    </xf>
    <xf numFmtId="9" fontId="4" fillId="0" borderId="8" xfId="0" applyNumberFormat="1" applyFont="1" applyBorder="1" applyAlignment="1">
      <alignment horizontal="center" vertical="center" wrapText="1" shrinkToFit="1"/>
    </xf>
    <xf numFmtId="0" fontId="4" fillId="0" borderId="8" xfId="0" applyFont="1" applyBorder="1" applyAlignment="1">
      <alignment horizontal="center" vertical="center" wrapText="1" shrinkToFit="1"/>
    </xf>
    <xf numFmtId="9" fontId="4" fillId="0" borderId="8" xfId="0" applyNumberFormat="1" applyFont="1" applyBorder="1" applyAlignment="1">
      <alignment horizontal="center" vertical="center" shrinkToFit="1"/>
    </xf>
    <xf numFmtId="0" fontId="4" fillId="0" borderId="9" xfId="0" applyFont="1" applyBorder="1" applyAlignment="1">
      <alignment horizontal="center" vertical="center" shrinkToFit="1"/>
    </xf>
    <xf numFmtId="9" fontId="4" fillId="0" borderId="45" xfId="0" applyNumberFormat="1" applyFont="1" applyBorder="1" applyAlignment="1">
      <alignment horizontal="center" vertical="center" shrinkToFit="1"/>
    </xf>
    <xf numFmtId="176" fontId="4" fillId="0" borderId="45" xfId="0" applyNumberFormat="1" applyFont="1" applyBorder="1" applyAlignment="1">
      <alignment horizontal="center" vertical="center" shrinkToFit="1"/>
    </xf>
    <xf numFmtId="0" fontId="4" fillId="0" borderId="46" xfId="0" applyFont="1" applyBorder="1" applyAlignment="1">
      <alignment horizontal="center" vertical="center" shrinkToFit="1"/>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49" fontId="9" fillId="0" borderId="52" xfId="0" applyNumberFormat="1" applyFont="1" applyBorder="1" applyAlignment="1">
      <alignment horizontal="center" vertical="center"/>
    </xf>
    <xf numFmtId="49" fontId="9" fillId="0" borderId="29" xfId="0" applyNumberFormat="1" applyFont="1" applyBorder="1" applyAlignment="1">
      <alignment horizontal="center" vertical="center"/>
    </xf>
    <xf numFmtId="0" fontId="11" fillId="0" borderId="4" xfId="0" applyFont="1" applyBorder="1" applyAlignment="1">
      <alignment horizontal="center" vertical="center" shrinkToFit="1"/>
    </xf>
    <xf numFmtId="0" fontId="4" fillId="0" borderId="14"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13"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43" xfId="0" applyFont="1" applyBorder="1" applyAlignment="1">
      <alignment horizontal="center" vertical="center" shrinkToFit="1"/>
    </xf>
    <xf numFmtId="0" fontId="4" fillId="0" borderId="0" xfId="0" applyFont="1" applyAlignment="1">
      <alignment horizontal="right" vertical="center"/>
    </xf>
    <xf numFmtId="0" fontId="4" fillId="0" borderId="0" xfId="0" applyFont="1" applyBorder="1" applyAlignment="1">
      <alignment vertical="center" shrinkToFit="1"/>
    </xf>
    <xf numFmtId="0" fontId="4" fillId="0" borderId="38"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vertical="center" shrinkToFit="1"/>
    </xf>
    <xf numFmtId="0" fontId="4" fillId="0" borderId="20" xfId="0" applyFont="1" applyBorder="1" applyAlignment="1">
      <alignment vertical="center" shrinkToFit="1"/>
    </xf>
    <xf numFmtId="0" fontId="4" fillId="0" borderId="18" xfId="0" applyFont="1" applyBorder="1" applyAlignment="1">
      <alignment vertical="center" shrinkToFit="1"/>
    </xf>
    <xf numFmtId="0" fontId="4" fillId="0" borderId="0" xfId="0" applyFont="1" applyAlignment="1">
      <alignment vertical="center" wrapText="1"/>
    </xf>
    <xf numFmtId="0" fontId="4" fillId="0" borderId="42" xfId="0" applyFont="1" applyBorder="1" applyAlignment="1">
      <alignment horizontal="center" vertical="center"/>
    </xf>
    <xf numFmtId="0" fontId="10" fillId="0" borderId="0" xfId="0" applyFont="1">
      <alignment vertical="center"/>
    </xf>
    <xf numFmtId="0" fontId="15" fillId="0" borderId="11" xfId="0" applyFont="1" applyBorder="1" applyAlignment="1">
      <alignment horizontal="center" vertical="center"/>
    </xf>
    <xf numFmtId="0" fontId="15" fillId="0" borderId="29" xfId="0" applyFont="1" applyBorder="1" applyAlignment="1">
      <alignment horizontal="center" vertical="center" wrapText="1"/>
    </xf>
    <xf numFmtId="0" fontId="15" fillId="0" borderId="30" xfId="0" applyFont="1" applyBorder="1" applyAlignment="1">
      <alignment horizontal="center" vertical="center"/>
    </xf>
    <xf numFmtId="0" fontId="15" fillId="0" borderId="12" xfId="0" applyFont="1" applyBorder="1" applyAlignment="1">
      <alignment horizontal="center" vertical="center" wrapText="1"/>
    </xf>
    <xf numFmtId="0" fontId="4" fillId="0" borderId="14" xfId="0" applyFont="1" applyBorder="1" applyAlignment="1">
      <alignment horizontal="left" vertical="center" shrinkToFit="1"/>
    </xf>
    <xf numFmtId="0" fontId="4" fillId="0" borderId="5" xfId="0" applyFont="1" applyBorder="1" applyAlignment="1">
      <alignment vertical="center" shrinkToFit="1"/>
    </xf>
    <xf numFmtId="176" fontId="4" fillId="0" borderId="5" xfId="0" applyNumberFormat="1" applyFont="1" applyBorder="1" applyAlignment="1">
      <alignment vertical="center" shrinkToFit="1"/>
    </xf>
    <xf numFmtId="176" fontId="4" fillId="0" borderId="31" xfId="0" applyNumberFormat="1" applyFont="1" applyBorder="1" applyAlignment="1">
      <alignment vertical="center" shrinkToFit="1"/>
    </xf>
    <xf numFmtId="176" fontId="4" fillId="0" borderId="32"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14" xfId="0" applyNumberFormat="1" applyFont="1" applyBorder="1" applyAlignment="1">
      <alignment vertical="center" shrinkToFit="1"/>
    </xf>
    <xf numFmtId="9" fontId="4" fillId="0" borderId="10" xfId="0" applyNumberFormat="1" applyFont="1" applyBorder="1" applyAlignment="1">
      <alignment vertical="center" shrinkToFit="1"/>
    </xf>
    <xf numFmtId="0" fontId="4" fillId="0" borderId="23" xfId="0" applyFont="1" applyBorder="1" applyAlignment="1">
      <alignment horizontal="left" vertical="center" shrinkToFit="1"/>
    </xf>
    <xf numFmtId="176" fontId="4" fillId="0" borderId="19"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18" xfId="0" applyNumberFormat="1" applyFont="1" applyBorder="1" applyAlignment="1">
      <alignment vertical="center" shrinkToFit="1"/>
    </xf>
    <xf numFmtId="176" fontId="4" fillId="0" borderId="23" xfId="0" applyNumberFormat="1" applyFont="1" applyBorder="1" applyAlignment="1">
      <alignment vertical="center" shrinkToFit="1"/>
    </xf>
    <xf numFmtId="9" fontId="4" fillId="0" borderId="23" xfId="0" applyNumberFormat="1" applyFont="1" applyBorder="1" applyAlignment="1">
      <alignment vertical="center" shrinkToFit="1"/>
    </xf>
    <xf numFmtId="0" fontId="4" fillId="0" borderId="24" xfId="0" applyFont="1" applyBorder="1" applyAlignment="1">
      <alignment horizontal="left" vertical="center" shrinkToFit="1"/>
    </xf>
    <xf numFmtId="176" fontId="4" fillId="0" borderId="24" xfId="0" applyNumberFormat="1" applyFont="1" applyBorder="1" applyAlignment="1">
      <alignment vertical="center" shrinkToFit="1"/>
    </xf>
    <xf numFmtId="0" fontId="4" fillId="0" borderId="28" xfId="0" applyFont="1" applyBorder="1" applyAlignment="1">
      <alignment horizontal="center" vertical="center" shrinkToFit="1"/>
    </xf>
    <xf numFmtId="0" fontId="4" fillId="0" borderId="26" xfId="0" applyFont="1" applyBorder="1" applyAlignment="1">
      <alignment vertical="center" shrinkToFit="1"/>
    </xf>
    <xf numFmtId="0" fontId="4" fillId="0" borderId="25" xfId="0" applyFont="1" applyBorder="1" applyAlignment="1">
      <alignment vertical="center" shrinkToFit="1"/>
    </xf>
    <xf numFmtId="176" fontId="4" fillId="0" borderId="25"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36" xfId="0" applyNumberFormat="1" applyFont="1" applyBorder="1" applyAlignment="1">
      <alignment vertical="center" shrinkToFit="1"/>
    </xf>
    <xf numFmtId="176" fontId="4" fillId="0" borderId="27" xfId="0" applyNumberFormat="1" applyFont="1" applyBorder="1" applyAlignment="1">
      <alignment vertical="center" shrinkToFit="1"/>
    </xf>
    <xf numFmtId="176" fontId="4" fillId="0" borderId="28" xfId="0" applyNumberFormat="1" applyFont="1" applyBorder="1" applyAlignment="1">
      <alignment vertical="center" shrinkToFit="1"/>
    </xf>
    <xf numFmtId="9" fontId="4" fillId="0" borderId="27" xfId="0" applyNumberFormat="1" applyFont="1" applyBorder="1" applyAlignment="1">
      <alignment vertical="center" shrinkToFit="1"/>
    </xf>
    <xf numFmtId="0" fontId="9" fillId="0" borderId="0" xfId="0" applyFont="1">
      <alignment vertical="center"/>
    </xf>
    <xf numFmtId="0" fontId="9" fillId="0" borderId="0" xfId="0" applyFont="1" applyAlignment="1">
      <alignment vertical="top" wrapText="1"/>
    </xf>
    <xf numFmtId="0" fontId="9" fillId="0" borderId="0" xfId="0" applyFont="1" applyAlignment="1">
      <alignment vertical="top" shrinkToFit="1"/>
    </xf>
    <xf numFmtId="0" fontId="9" fillId="0" borderId="0" xfId="0" applyFont="1" applyAlignment="1">
      <alignment vertical="center" wrapText="1"/>
    </xf>
    <xf numFmtId="0" fontId="9" fillId="0" borderId="10" xfId="0" applyFont="1" applyBorder="1" applyAlignment="1">
      <alignment vertical="top" wrapText="1"/>
    </xf>
    <xf numFmtId="0" fontId="9" fillId="0" borderId="5" xfId="0" applyFont="1" applyBorder="1" applyAlignment="1">
      <alignment vertical="top" wrapText="1"/>
    </xf>
    <xf numFmtId="0" fontId="4" fillId="0" borderId="16" xfId="0" applyFont="1" applyBorder="1">
      <alignment vertical="center"/>
    </xf>
    <xf numFmtId="0" fontId="9" fillId="0" borderId="20" xfId="0" applyFont="1" applyBorder="1" applyAlignment="1">
      <alignment vertical="top" wrapText="1"/>
    </xf>
    <xf numFmtId="0" fontId="9" fillId="0" borderId="18" xfId="0" applyFont="1" applyBorder="1" applyAlignment="1">
      <alignment vertical="top" wrapText="1"/>
    </xf>
    <xf numFmtId="0" fontId="9" fillId="0" borderId="20" xfId="0" applyFont="1" applyBorder="1" applyAlignment="1">
      <alignment vertical="top" shrinkToFit="1"/>
    </xf>
    <xf numFmtId="0" fontId="9" fillId="0" borderId="18" xfId="0" applyFont="1" applyBorder="1" applyAlignment="1">
      <alignment vertical="top" shrinkToFit="1"/>
    </xf>
    <xf numFmtId="0" fontId="4" fillId="0" borderId="0" xfId="0" applyFont="1" applyAlignment="1">
      <alignment horizontal="right" vertical="center"/>
    </xf>
    <xf numFmtId="0" fontId="4" fillId="0" borderId="19" xfId="0" applyFont="1" applyBorder="1" applyAlignment="1">
      <alignment vertical="center" shrinkToFit="1"/>
    </xf>
    <xf numFmtId="0" fontId="4" fillId="0" borderId="0" xfId="0" applyFont="1" applyAlignment="1">
      <alignment vertical="center" wrapText="1"/>
    </xf>
    <xf numFmtId="0" fontId="8" fillId="0" borderId="0" xfId="0" applyFont="1" applyAlignment="1">
      <alignment horizontal="center" vertical="center"/>
    </xf>
    <xf numFmtId="0" fontId="4" fillId="0" borderId="14" xfId="0" applyFont="1" applyBorder="1" applyAlignment="1">
      <alignment vertical="center" shrinkToFit="1"/>
    </xf>
    <xf numFmtId="0" fontId="4" fillId="0" borderId="44" xfId="0" applyFont="1" applyBorder="1" applyAlignment="1">
      <alignment vertical="center" shrinkToFit="1"/>
    </xf>
    <xf numFmtId="0" fontId="4" fillId="0" borderId="23" xfId="0" applyFont="1" applyBorder="1" applyAlignment="1">
      <alignment vertical="center" shrinkToFi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176" fontId="4" fillId="0" borderId="2" xfId="0" applyNumberFormat="1" applyFont="1" applyBorder="1" applyAlignment="1">
      <alignment horizontal="center" vertical="center"/>
    </xf>
    <xf numFmtId="176" fontId="4" fillId="0" borderId="3" xfId="0" applyNumberFormat="1" applyFont="1" applyBorder="1" applyAlignment="1">
      <alignment horizontal="center" vertical="center"/>
    </xf>
    <xf numFmtId="176" fontId="4" fillId="0" borderId="4" xfId="0" applyNumberFormat="1" applyFont="1" applyBorder="1" applyAlignment="1">
      <alignment horizontal="center" vertical="center"/>
    </xf>
    <xf numFmtId="0" fontId="4" fillId="0" borderId="0" xfId="0" applyFont="1" applyBorder="1" applyAlignment="1">
      <alignment horizontal="center" vertical="center"/>
    </xf>
    <xf numFmtId="0" fontId="4" fillId="0" borderId="0" xfId="0" applyFont="1" applyBorder="1" applyAlignment="1">
      <alignment horizontal="right"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5" xfId="0" applyFont="1" applyBorder="1" applyAlignment="1">
      <alignment horizontal="right" vertical="center" shrinkToFit="1"/>
    </xf>
    <xf numFmtId="0" fontId="4" fillId="0" borderId="10" xfId="0" applyFont="1" applyBorder="1" applyAlignment="1">
      <alignment horizontal="right" vertical="center" shrinkToFit="1"/>
    </xf>
    <xf numFmtId="176" fontId="4" fillId="0" borderId="2" xfId="0" applyNumberFormat="1" applyFont="1" applyBorder="1" applyAlignment="1">
      <alignment horizontal="center" vertical="center" shrinkToFit="1"/>
    </xf>
    <xf numFmtId="176" fontId="4" fillId="0" borderId="4" xfId="0" applyNumberFormat="1" applyFont="1" applyBorder="1" applyAlignment="1">
      <alignment horizontal="center" vertical="center" shrinkToFit="1"/>
    </xf>
    <xf numFmtId="0" fontId="4" fillId="0" borderId="0" xfId="0" applyFont="1" applyBorder="1" applyAlignment="1">
      <alignment vertical="center" shrinkToFit="1"/>
    </xf>
    <xf numFmtId="0" fontId="4" fillId="0" borderId="4" xfId="0" applyFont="1" applyBorder="1" applyAlignment="1">
      <alignment horizontal="center" vertical="center" shrinkToFit="1"/>
    </xf>
    <xf numFmtId="0" fontId="4" fillId="0" borderId="0" xfId="0" applyFont="1" applyAlignment="1">
      <alignment horizontal="right" vertical="center"/>
    </xf>
    <xf numFmtId="0" fontId="4" fillId="0" borderId="0" xfId="0" applyFont="1" applyBorder="1" applyAlignment="1">
      <alignment horizontal="right" vertical="center"/>
    </xf>
    <xf numFmtId="0" fontId="4" fillId="0" borderId="10" xfId="0" applyFont="1" applyBorder="1" applyAlignment="1">
      <alignment horizontal="right" vertical="center"/>
    </xf>
    <xf numFmtId="176" fontId="4" fillId="0" borderId="3" xfId="0" applyNumberFormat="1" applyFont="1" applyBorder="1" applyAlignment="1">
      <alignment horizontal="center" vertical="center" shrinkToFit="1"/>
    </xf>
    <xf numFmtId="0" fontId="7" fillId="0" borderId="0" xfId="0" applyFont="1" applyAlignment="1">
      <alignment horizontal="center" vertical="center"/>
    </xf>
    <xf numFmtId="0" fontId="4" fillId="0" borderId="2" xfId="0" applyNumberFormat="1" applyFont="1" applyBorder="1" applyAlignment="1">
      <alignment horizontal="center" vertical="center"/>
    </xf>
    <xf numFmtId="0" fontId="4" fillId="0" borderId="4" xfId="0" applyNumberFormat="1" applyFont="1" applyBorder="1" applyAlignment="1">
      <alignment horizontal="center" vertical="center"/>
    </xf>
    <xf numFmtId="0" fontId="0" fillId="0" borderId="1" xfId="0" applyBorder="1">
      <alignment vertical="center"/>
    </xf>
    <xf numFmtId="49" fontId="4" fillId="0" borderId="1" xfId="1" applyNumberFormat="1" applyFont="1" applyBorder="1" applyAlignment="1">
      <alignment horizontal="center" vertical="center" shrinkToFit="1"/>
    </xf>
    <xf numFmtId="0" fontId="4" fillId="0" borderId="1" xfId="0" applyFont="1" applyBorder="1" applyAlignment="1">
      <alignment horizontal="center" vertical="center" shrinkToFit="1"/>
    </xf>
    <xf numFmtId="0" fontId="4" fillId="0" borderId="1" xfId="0" applyFont="1" applyBorder="1" applyAlignment="1">
      <alignment vertical="center" shrinkToFit="1"/>
    </xf>
    <xf numFmtId="0" fontId="4" fillId="0" borderId="7" xfId="0" applyFont="1" applyBorder="1" applyAlignment="1">
      <alignment vertical="center" wrapText="1" shrinkToFit="1"/>
    </xf>
    <xf numFmtId="0" fontId="4" fillId="0" borderId="8" xfId="0" applyFont="1" applyBorder="1" applyAlignment="1">
      <alignment vertical="center" shrinkToFit="1"/>
    </xf>
    <xf numFmtId="0" fontId="4" fillId="0" borderId="9" xfId="0" applyFont="1" applyBorder="1" applyAlignment="1">
      <alignment vertical="center" shrinkToFit="1"/>
    </xf>
    <xf numFmtId="0" fontId="4" fillId="0" borderId="5" xfId="0" applyFont="1" applyBorder="1" applyAlignment="1">
      <alignment vertical="center" shrinkToFit="1"/>
    </xf>
    <xf numFmtId="0" fontId="4" fillId="0" borderId="10" xfId="0" applyFont="1" applyBorder="1" applyAlignment="1">
      <alignment vertical="center" shrinkToFit="1"/>
    </xf>
    <xf numFmtId="0" fontId="4" fillId="0" borderId="11" xfId="0" applyFont="1" applyBorder="1" applyAlignment="1">
      <alignment vertical="center" shrinkToFit="1"/>
    </xf>
    <xf numFmtId="0" fontId="4" fillId="0" borderId="6" xfId="0" applyFont="1" applyBorder="1" applyAlignment="1">
      <alignment vertical="center" shrinkToFit="1"/>
    </xf>
    <xf numFmtId="0" fontId="4" fillId="0" borderId="12" xfId="0" applyFont="1" applyBorder="1" applyAlignment="1">
      <alignment vertical="center" shrinkToFit="1"/>
    </xf>
    <xf numFmtId="0" fontId="4" fillId="0" borderId="2" xfId="0" applyFont="1" applyBorder="1" applyAlignment="1">
      <alignment vertical="center" shrinkToFit="1"/>
    </xf>
    <xf numFmtId="0" fontId="4" fillId="0" borderId="3" xfId="0" applyFont="1" applyBorder="1" applyAlignment="1">
      <alignment vertical="center" shrinkToFit="1"/>
    </xf>
    <xf numFmtId="0" fontId="4" fillId="0" borderId="4" xfId="0" applyFont="1" applyBorder="1" applyAlignment="1">
      <alignment vertical="center" shrinkToFit="1"/>
    </xf>
    <xf numFmtId="0" fontId="10" fillId="0" borderId="48" xfId="0" applyFont="1" applyBorder="1" applyAlignment="1">
      <alignment vertical="center" wrapText="1"/>
    </xf>
    <xf numFmtId="0" fontId="10" fillId="0" borderId="32" xfId="0" applyFont="1" applyBorder="1" applyAlignment="1">
      <alignment vertical="center" wrapText="1"/>
    </xf>
    <xf numFmtId="0" fontId="4" fillId="0" borderId="8" xfId="0" applyFont="1" applyBorder="1" applyAlignment="1">
      <alignment horizontal="left" vertical="center" wrapText="1" shrinkToFit="1"/>
    </xf>
    <xf numFmtId="0" fontId="4" fillId="0" borderId="9" xfId="0" applyFont="1" applyBorder="1" applyAlignment="1">
      <alignment horizontal="left" vertical="center" wrapText="1" shrinkToFit="1"/>
    </xf>
    <xf numFmtId="0" fontId="10" fillId="0" borderId="49" xfId="0" applyFont="1" applyBorder="1" applyAlignment="1">
      <alignment vertical="center" wrapText="1"/>
    </xf>
    <xf numFmtId="0" fontId="4" fillId="0" borderId="39" xfId="0" applyFont="1" applyBorder="1" applyAlignment="1">
      <alignment vertical="center" wrapText="1" shrinkToFit="1"/>
    </xf>
    <xf numFmtId="0" fontId="4" fillId="0" borderId="38" xfId="0" applyFont="1" applyBorder="1" applyAlignment="1">
      <alignment vertical="center" wrapText="1" shrinkToFit="1"/>
    </xf>
    <xf numFmtId="0" fontId="4" fillId="0" borderId="19" xfId="0" applyFont="1" applyBorder="1" applyAlignment="1">
      <alignment vertical="center" wrapText="1" shrinkToFit="1"/>
    </xf>
    <xf numFmtId="0" fontId="4" fillId="0" borderId="20" xfId="0" applyFont="1" applyBorder="1" applyAlignment="1">
      <alignment vertical="center" wrapText="1" shrinkToFit="1"/>
    </xf>
    <xf numFmtId="0" fontId="4" fillId="0" borderId="18" xfId="0" applyFont="1" applyBorder="1" applyAlignment="1">
      <alignment vertical="center" wrapText="1" shrinkToFit="1"/>
    </xf>
    <xf numFmtId="0" fontId="4" fillId="0" borderId="6" xfId="0" applyFont="1" applyBorder="1" applyAlignment="1">
      <alignment vertical="center" wrapText="1" shrinkToFit="1"/>
    </xf>
    <xf numFmtId="0" fontId="4" fillId="0" borderId="12" xfId="0" applyFont="1" applyBorder="1" applyAlignment="1">
      <alignment vertical="center" wrapText="1" shrinkToFit="1"/>
    </xf>
    <xf numFmtId="0" fontId="4" fillId="0" borderId="39" xfId="0" applyFont="1" applyBorder="1" applyAlignment="1">
      <alignment horizontal="left" vertical="center" wrapText="1" shrinkToFit="1"/>
    </xf>
    <xf numFmtId="0" fontId="4" fillId="0" borderId="38" xfId="0" applyFont="1" applyBorder="1" applyAlignment="1">
      <alignment horizontal="left" vertical="center" wrapText="1" shrinkToFit="1"/>
    </xf>
    <xf numFmtId="0" fontId="4" fillId="0" borderId="41" xfId="0" applyFont="1" applyBorder="1" applyAlignment="1">
      <alignment horizontal="left" vertical="center" wrapText="1" shrinkToFit="1"/>
    </xf>
    <xf numFmtId="0" fontId="4" fillId="0" borderId="42" xfId="0" applyFont="1" applyBorder="1" applyAlignment="1">
      <alignment horizontal="left" vertical="center" wrapText="1" shrinkToFit="1"/>
    </xf>
    <xf numFmtId="0" fontId="4" fillId="0" borderId="6" xfId="0" applyFont="1" applyBorder="1" applyAlignment="1">
      <alignment horizontal="left" vertical="center" wrapText="1" shrinkToFit="1"/>
    </xf>
    <xf numFmtId="0" fontId="4" fillId="0" borderId="12" xfId="0" applyFont="1" applyBorder="1" applyAlignment="1">
      <alignment horizontal="left" vertical="center" wrapText="1" shrinkToFit="1"/>
    </xf>
    <xf numFmtId="0" fontId="4" fillId="0" borderId="40" xfId="0" applyFont="1" applyBorder="1" applyAlignment="1">
      <alignment vertical="center" shrinkToFit="1"/>
    </xf>
    <xf numFmtId="0" fontId="4" fillId="0" borderId="41" xfId="0" applyFont="1" applyBorder="1" applyAlignment="1">
      <alignment vertical="center" shrinkToFit="1"/>
    </xf>
    <xf numFmtId="0" fontId="4" fillId="0" borderId="42" xfId="0" applyFont="1" applyBorder="1" applyAlignment="1">
      <alignment vertical="center" shrinkToFit="1"/>
    </xf>
    <xf numFmtId="0" fontId="4" fillId="0" borderId="40" xfId="0" applyFont="1" applyBorder="1" applyAlignment="1">
      <alignment horizontal="center" vertical="center" shrinkToFit="1"/>
    </xf>
    <xf numFmtId="0" fontId="4" fillId="0" borderId="41" xfId="0" applyFont="1" applyBorder="1" applyAlignment="1">
      <alignment horizontal="center" vertical="center" shrinkToFit="1"/>
    </xf>
    <xf numFmtId="0" fontId="4" fillId="0" borderId="42" xfId="0" applyFont="1" applyBorder="1" applyAlignment="1">
      <alignment horizontal="center" vertical="center" shrinkToFit="1"/>
    </xf>
    <xf numFmtId="0" fontId="4" fillId="0" borderId="22" xfId="0" applyFont="1" applyBorder="1" applyAlignment="1">
      <alignment horizontal="left" vertical="center" wrapText="1" shrinkToFit="1"/>
    </xf>
    <xf numFmtId="0" fontId="4" fillId="0" borderId="21" xfId="0" applyFont="1" applyBorder="1" applyAlignment="1">
      <alignment horizontal="left" vertical="center" wrapText="1" shrinkToFit="1"/>
    </xf>
    <xf numFmtId="0" fontId="4" fillId="0" borderId="19" xfId="0" applyFont="1" applyBorder="1" applyAlignment="1">
      <alignment vertical="center" shrinkToFit="1"/>
    </xf>
    <xf numFmtId="0" fontId="4" fillId="0" borderId="20" xfId="0" applyFont="1" applyBorder="1" applyAlignment="1">
      <alignment vertical="center" shrinkToFit="1"/>
    </xf>
    <xf numFmtId="0" fontId="4" fillId="0" borderId="18" xfId="0" applyFont="1" applyBorder="1" applyAlignment="1">
      <alignment vertical="center" shrinkToFit="1"/>
    </xf>
    <xf numFmtId="0" fontId="4" fillId="0" borderId="19"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18" xfId="0" applyFont="1" applyBorder="1" applyAlignment="1">
      <alignment horizontal="center" vertical="center" shrinkToFit="1"/>
    </xf>
    <xf numFmtId="0" fontId="4" fillId="0" borderId="37" xfId="0" applyFont="1" applyBorder="1" applyAlignment="1">
      <alignment vertical="center" shrinkToFit="1"/>
    </xf>
    <xf numFmtId="0" fontId="4" fillId="0" borderId="39" xfId="0" applyFont="1" applyBorder="1" applyAlignment="1">
      <alignment vertical="center" shrinkToFit="1"/>
    </xf>
    <xf numFmtId="0" fontId="4" fillId="0" borderId="38" xfId="0" applyFont="1" applyBorder="1" applyAlignment="1">
      <alignment vertical="center" shrinkToFit="1"/>
    </xf>
    <xf numFmtId="0" fontId="4" fillId="0" borderId="37" xfId="0" applyFont="1" applyBorder="1" applyAlignment="1">
      <alignment horizontal="center" vertical="center" shrinkToFit="1"/>
    </xf>
    <xf numFmtId="0" fontId="4" fillId="0" borderId="39" xfId="0" applyFont="1" applyBorder="1" applyAlignment="1">
      <alignment horizontal="center" vertical="center" shrinkToFit="1"/>
    </xf>
    <xf numFmtId="0" fontId="4" fillId="0" borderId="38" xfId="0" applyFont="1" applyBorder="1" applyAlignment="1">
      <alignment horizontal="center" vertical="center" shrinkToFit="1"/>
    </xf>
    <xf numFmtId="0" fontId="4" fillId="0" borderId="40" xfId="0" applyFont="1" applyBorder="1" applyAlignment="1">
      <alignment horizontal="center" vertical="center"/>
    </xf>
    <xf numFmtId="0" fontId="4" fillId="0" borderId="41" xfId="0" applyFont="1" applyBorder="1" applyAlignment="1">
      <alignment horizontal="center" vertical="center"/>
    </xf>
    <xf numFmtId="0" fontId="4" fillId="0" borderId="42"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18" xfId="0" applyFont="1" applyBorder="1" applyAlignment="1">
      <alignment horizontal="center" vertical="center"/>
    </xf>
    <xf numFmtId="0" fontId="4" fillId="0" borderId="37" xfId="0" applyFont="1" applyBorder="1" applyAlignment="1">
      <alignment horizontal="center" vertical="center"/>
    </xf>
    <xf numFmtId="0" fontId="4" fillId="0" borderId="39" xfId="0" applyFont="1" applyBorder="1" applyAlignment="1">
      <alignment horizontal="center" vertical="center"/>
    </xf>
    <xf numFmtId="0" fontId="4" fillId="0" borderId="38" xfId="0" applyFont="1" applyBorder="1" applyAlignment="1">
      <alignment horizontal="center" vertical="center"/>
    </xf>
    <xf numFmtId="0" fontId="4" fillId="0" borderId="40" xfId="0" applyFont="1" applyBorder="1" applyAlignment="1">
      <alignment horizontal="left" vertical="center" shrinkToFit="1"/>
    </xf>
    <xf numFmtId="0" fontId="4" fillId="0" borderId="41" xfId="0" applyFont="1" applyBorder="1" applyAlignment="1">
      <alignment horizontal="left" vertical="center" shrinkToFit="1"/>
    </xf>
    <xf numFmtId="0" fontId="4" fillId="0" borderId="42" xfId="0" applyFont="1" applyBorder="1" applyAlignment="1">
      <alignment horizontal="left" vertical="center" shrinkToFit="1"/>
    </xf>
    <xf numFmtId="0" fontId="4" fillId="0" borderId="0" xfId="0" applyFont="1" applyAlignment="1">
      <alignment vertical="center" wrapText="1"/>
    </xf>
    <xf numFmtId="0" fontId="4" fillId="0" borderId="19" xfId="0" applyFont="1" applyBorder="1" applyAlignment="1">
      <alignment horizontal="left" vertical="center" shrinkToFit="1"/>
    </xf>
    <xf numFmtId="0" fontId="4" fillId="0" borderId="20" xfId="0" applyFont="1" applyBorder="1" applyAlignment="1">
      <alignment horizontal="left" vertical="center" shrinkToFit="1"/>
    </xf>
    <xf numFmtId="0" fontId="4" fillId="0" borderId="18" xfId="0" applyFont="1" applyBorder="1" applyAlignment="1">
      <alignment horizontal="left" vertical="center" shrinkToFit="1"/>
    </xf>
    <xf numFmtId="0" fontId="4" fillId="0" borderId="37" xfId="0" applyFont="1" applyBorder="1" applyAlignment="1">
      <alignment horizontal="left" vertical="center" shrinkToFit="1"/>
    </xf>
    <xf numFmtId="0" fontId="4" fillId="0" borderId="39" xfId="0" applyFont="1" applyBorder="1" applyAlignment="1">
      <alignment horizontal="left" vertical="center" shrinkToFit="1"/>
    </xf>
    <xf numFmtId="0" fontId="4" fillId="0" borderId="38" xfId="0" applyFont="1" applyBorder="1" applyAlignment="1">
      <alignment horizontal="left" vertical="center" shrinkToFit="1"/>
    </xf>
    <xf numFmtId="0" fontId="4" fillId="0" borderId="0" xfId="0" applyFont="1" applyAlignment="1">
      <alignment horizontal="center" vertical="center"/>
    </xf>
    <xf numFmtId="0" fontId="8" fillId="0" borderId="0" xfId="0" applyFont="1" applyAlignment="1">
      <alignment horizontal="center" vertical="center"/>
    </xf>
    <xf numFmtId="0" fontId="4" fillId="0" borderId="7" xfId="0" applyFont="1" applyBorder="1" applyAlignment="1">
      <alignment horizontal="left" vertical="top" shrinkToFit="1"/>
    </xf>
    <xf numFmtId="0" fontId="4" fillId="0" borderId="8" xfId="0" applyFont="1" applyBorder="1" applyAlignment="1">
      <alignment horizontal="left" vertical="top" shrinkToFit="1"/>
    </xf>
    <xf numFmtId="0" fontId="4" fillId="0" borderId="9" xfId="0" applyFont="1" applyBorder="1" applyAlignment="1">
      <alignment horizontal="left" vertical="top" shrinkToFit="1"/>
    </xf>
    <xf numFmtId="0" fontId="4" fillId="0" borderId="5" xfId="0" applyFont="1" applyBorder="1" applyAlignment="1">
      <alignment horizontal="left" vertical="top" shrinkToFit="1"/>
    </xf>
    <xf numFmtId="0" fontId="4" fillId="0" borderId="0" xfId="0" applyFont="1" applyBorder="1" applyAlignment="1">
      <alignment horizontal="left" vertical="top" shrinkToFit="1"/>
    </xf>
    <xf numFmtId="0" fontId="4" fillId="0" borderId="10" xfId="0" applyFont="1" applyBorder="1" applyAlignment="1">
      <alignment horizontal="left" vertical="top" shrinkToFit="1"/>
    </xf>
    <xf numFmtId="0" fontId="4" fillId="0" borderId="0" xfId="0" applyFont="1" applyAlignment="1">
      <alignment horizontal="left" vertical="top" shrinkToFit="1"/>
    </xf>
    <xf numFmtId="0" fontId="4" fillId="0" borderId="11" xfId="0" applyFont="1" applyBorder="1" applyAlignment="1">
      <alignment horizontal="left" vertical="top" shrinkToFit="1"/>
    </xf>
    <xf numFmtId="0" fontId="4" fillId="0" borderId="6" xfId="0" applyFont="1" applyBorder="1" applyAlignment="1">
      <alignment horizontal="left" vertical="top" shrinkToFit="1"/>
    </xf>
    <xf numFmtId="0" fontId="4" fillId="0" borderId="12" xfId="0" applyFont="1" applyBorder="1" applyAlignment="1">
      <alignment horizontal="left" vertical="top" shrinkToFit="1"/>
    </xf>
    <xf numFmtId="0" fontId="4" fillId="0" borderId="2" xfId="0" applyNumberFormat="1" applyFont="1" applyBorder="1" applyAlignment="1">
      <alignment horizontal="center" vertical="center" shrinkToFit="1"/>
    </xf>
    <xf numFmtId="0" fontId="4" fillId="0" borderId="4" xfId="0" applyNumberFormat="1" applyFont="1" applyBorder="1" applyAlignment="1">
      <alignment horizontal="center" vertical="center" shrinkToFit="1"/>
    </xf>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14" fillId="0" borderId="8" xfId="0" applyFont="1" applyBorder="1" applyAlignment="1">
      <alignment horizontal="center" vertical="center" wrapText="1"/>
    </xf>
    <xf numFmtId="0" fontId="14" fillId="0" borderId="6" xfId="0" applyFont="1" applyBorder="1" applyAlignment="1">
      <alignment horizontal="center" vertical="center"/>
    </xf>
    <xf numFmtId="0" fontId="14" fillId="0" borderId="7" xfId="0" applyFont="1" applyBorder="1" applyAlignment="1">
      <alignment horizontal="center" vertical="center" wrapText="1"/>
    </xf>
    <xf numFmtId="0" fontId="14" fillId="0" borderId="11" xfId="0" applyFont="1" applyBorder="1" applyAlignment="1">
      <alignment horizontal="center" vertical="center"/>
    </xf>
    <xf numFmtId="0" fontId="4" fillId="0" borderId="14" xfId="0" applyFont="1" applyBorder="1" applyAlignment="1">
      <alignment horizontal="center" vertical="center"/>
    </xf>
    <xf numFmtId="0" fontId="15" fillId="0" borderId="15" xfId="0" applyFont="1" applyBorder="1" applyAlignment="1">
      <alignment horizontal="center" vertical="center" wrapText="1"/>
    </xf>
    <xf numFmtId="0" fontId="15" fillId="0" borderId="13" xfId="0" applyFont="1" applyBorder="1" applyAlignment="1">
      <alignment horizontal="center" vertical="center"/>
    </xf>
    <xf numFmtId="0" fontId="14" fillId="0" borderId="9" xfId="0" applyFont="1" applyBorder="1" applyAlignment="1">
      <alignment horizontal="center" vertical="center"/>
    </xf>
    <xf numFmtId="0" fontId="14" fillId="0" borderId="12" xfId="0" applyFont="1" applyBorder="1" applyAlignment="1">
      <alignment horizontal="center" vertical="center"/>
    </xf>
    <xf numFmtId="0" fontId="4" fillId="0" borderId="7" xfId="0" applyFont="1" applyBorder="1" applyAlignment="1">
      <alignment vertical="top" wrapText="1" shrinkToFit="1"/>
    </xf>
    <xf numFmtId="0" fontId="4" fillId="0" borderId="8" xfId="0" applyFont="1" applyBorder="1" applyAlignment="1">
      <alignment vertical="top" wrapText="1" shrinkToFit="1"/>
    </xf>
    <xf numFmtId="0" fontId="4" fillId="0" borderId="9" xfId="0" applyFont="1" applyBorder="1" applyAlignment="1">
      <alignment vertical="top" wrapText="1" shrinkToFit="1"/>
    </xf>
    <xf numFmtId="0" fontId="4" fillId="0" borderId="5" xfId="0" applyFont="1" applyBorder="1" applyAlignment="1">
      <alignment vertical="top" wrapText="1" shrinkToFit="1"/>
    </xf>
    <xf numFmtId="0" fontId="4" fillId="0" borderId="0" xfId="0" applyFont="1" applyAlignment="1">
      <alignment vertical="top" wrapText="1" shrinkToFit="1"/>
    </xf>
    <xf numFmtId="0" fontId="4" fillId="0" borderId="10" xfId="0" applyFont="1" applyBorder="1" applyAlignment="1">
      <alignment vertical="top" wrapText="1" shrinkToFit="1"/>
    </xf>
    <xf numFmtId="0" fontId="4" fillId="0" borderId="11" xfId="0" applyFont="1" applyBorder="1" applyAlignment="1">
      <alignment vertical="top" wrapText="1" shrinkToFit="1"/>
    </xf>
    <xf numFmtId="0" fontId="4" fillId="0" borderId="6" xfId="0" applyFont="1" applyBorder="1" applyAlignment="1">
      <alignment vertical="top" wrapText="1" shrinkToFit="1"/>
    </xf>
    <xf numFmtId="0" fontId="4" fillId="0" borderId="12" xfId="0" applyFont="1" applyBorder="1" applyAlignment="1">
      <alignment vertical="top" wrapText="1" shrinkToFit="1"/>
    </xf>
    <xf numFmtId="0" fontId="4" fillId="0" borderId="8" xfId="0" applyFont="1" applyBorder="1" applyAlignment="1">
      <alignment vertical="top" shrinkToFit="1"/>
    </xf>
    <xf numFmtId="0" fontId="4" fillId="0" borderId="9" xfId="0" applyFont="1" applyBorder="1" applyAlignment="1">
      <alignment vertical="top" shrinkToFit="1"/>
    </xf>
    <xf numFmtId="0" fontId="4" fillId="0" borderId="5" xfId="0" applyFont="1" applyBorder="1" applyAlignment="1">
      <alignment vertical="top" shrinkToFit="1"/>
    </xf>
    <xf numFmtId="0" fontId="4" fillId="0" borderId="0" xfId="0" applyFont="1" applyAlignment="1">
      <alignment vertical="top" shrinkToFit="1"/>
    </xf>
    <xf numFmtId="0" fontId="4" fillId="0" borderId="10" xfId="0" applyFont="1" applyBorder="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4" fillId="0" borderId="6" xfId="0" applyFont="1" applyBorder="1">
      <alignment vertical="center"/>
    </xf>
    <xf numFmtId="0" fontId="4" fillId="0" borderId="16" xfId="0" applyFont="1" applyBorder="1" applyAlignment="1">
      <alignment vertical="top" wrapText="1" shrinkToFit="1"/>
    </xf>
    <xf numFmtId="0" fontId="4" fillId="0" borderId="22" xfId="0" applyFont="1" applyBorder="1" applyAlignment="1">
      <alignment vertical="top" shrinkToFit="1"/>
    </xf>
    <xf numFmtId="0" fontId="4" fillId="0" borderId="21" xfId="0" applyFont="1" applyBorder="1" applyAlignment="1">
      <alignment vertical="top" shrinkToFit="1"/>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vertical="center" wrapText="1"/>
    </xf>
    <xf numFmtId="0" fontId="10" fillId="0" borderId="2" xfId="2" applyFont="1" applyBorder="1" applyAlignment="1">
      <alignment horizontal="center" vertical="center" shrinkToFit="1"/>
    </xf>
    <xf numFmtId="0" fontId="10" fillId="0" borderId="3" xfId="2" applyFont="1" applyBorder="1" applyAlignment="1">
      <alignment horizontal="center" vertical="center" shrinkToFit="1"/>
    </xf>
    <xf numFmtId="0" fontId="10" fillId="0" borderId="4" xfId="2" applyFont="1" applyBorder="1" applyAlignment="1">
      <alignment horizontal="center" vertical="center" shrinkToFit="1"/>
    </xf>
    <xf numFmtId="0" fontId="4" fillId="0" borderId="17" xfId="0" applyFont="1" applyBorder="1" applyAlignment="1">
      <alignment vertical="center" wrapText="1"/>
    </xf>
    <xf numFmtId="0" fontId="4" fillId="0" borderId="18" xfId="0" applyFont="1" applyBorder="1" applyAlignment="1">
      <alignment vertical="center" wrapText="1"/>
    </xf>
    <xf numFmtId="0" fontId="4" fillId="0" borderId="20" xfId="0" applyFont="1" applyBorder="1" applyAlignment="1">
      <alignment vertical="top" wrapText="1" shrinkToFit="1"/>
    </xf>
    <xf numFmtId="0" fontId="4" fillId="0" borderId="18" xfId="0" applyFont="1" applyBorder="1" applyAlignment="1">
      <alignment vertical="top" wrapText="1" shrinkToFit="1"/>
    </xf>
    <xf numFmtId="0" fontId="4" fillId="0" borderId="19" xfId="0" applyFont="1" applyBorder="1" applyAlignment="1">
      <alignment vertical="center" wrapText="1"/>
    </xf>
    <xf numFmtId="0" fontId="4" fillId="0" borderId="20" xfId="0" applyFont="1" applyBorder="1" applyAlignment="1">
      <alignment vertical="center" wrapText="1"/>
    </xf>
    <xf numFmtId="0" fontId="4" fillId="0" borderId="19" xfId="0" applyFont="1" applyBorder="1" applyAlignment="1">
      <alignment vertical="top" wrapText="1" shrinkToFit="1"/>
    </xf>
    <xf numFmtId="0" fontId="4" fillId="0" borderId="17" xfId="0" applyFont="1" applyBorder="1">
      <alignment vertical="center"/>
    </xf>
    <xf numFmtId="0" fontId="10" fillId="0" borderId="18" xfId="0" applyFont="1" applyBorder="1">
      <alignment vertical="center"/>
    </xf>
    <xf numFmtId="177" fontId="4" fillId="0" borderId="19" xfId="0" applyNumberFormat="1" applyFont="1" applyBorder="1" applyAlignment="1">
      <alignment vertical="top" wrapText="1" shrinkToFit="1"/>
    </xf>
    <xf numFmtId="177" fontId="4" fillId="0" borderId="20" xfId="0" applyNumberFormat="1" applyFont="1" applyBorder="1" applyAlignment="1">
      <alignment vertical="top" wrapText="1" shrinkToFit="1"/>
    </xf>
    <xf numFmtId="177" fontId="4" fillId="0" borderId="18" xfId="0" applyNumberFormat="1" applyFont="1" applyBorder="1" applyAlignment="1">
      <alignment vertical="top"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A2" sqref="A2:N2"/>
    </sheetView>
  </sheetViews>
  <sheetFormatPr defaultColWidth="9" defaultRowHeight="18.75" customHeight="1" x14ac:dyDescent="0.15"/>
  <cols>
    <col min="1" max="1" width="3.375" style="5" customWidth="1"/>
    <col min="2" max="2" width="11.125" style="5" customWidth="1"/>
    <col min="3" max="8" width="6.625" style="5" customWidth="1"/>
    <col min="9" max="9" width="3.375" style="5" customWidth="1"/>
    <col min="10" max="10" width="10" style="5" customWidth="1"/>
    <col min="11" max="11" width="3.375" style="5" customWidth="1"/>
    <col min="12" max="12" width="7.75" style="5" customWidth="1"/>
    <col min="13" max="13" width="3.375" style="5" customWidth="1"/>
    <col min="14" max="14" width="4.5" style="5" customWidth="1"/>
    <col min="15" max="15" width="9" style="21"/>
    <col min="16" max="16384" width="9" style="4"/>
  </cols>
  <sheetData>
    <row r="1" spans="1:15" ht="24" customHeight="1" x14ac:dyDescent="0.15">
      <c r="M1" s="128" t="s">
        <v>25</v>
      </c>
      <c r="N1" s="128"/>
    </row>
    <row r="2" spans="1:15" ht="24" customHeight="1" x14ac:dyDescent="0.15">
      <c r="A2" s="132" t="s">
        <v>83</v>
      </c>
      <c r="B2" s="132"/>
      <c r="C2" s="132"/>
      <c r="D2" s="132"/>
      <c r="E2" s="132"/>
      <c r="F2" s="132"/>
      <c r="G2" s="132"/>
      <c r="H2" s="132"/>
      <c r="I2" s="132"/>
      <c r="J2" s="132"/>
      <c r="K2" s="132"/>
      <c r="L2" s="132"/>
      <c r="M2" s="132"/>
      <c r="N2" s="132"/>
    </row>
    <row r="3" spans="1:15" ht="24" customHeight="1" x14ac:dyDescent="0.15"/>
    <row r="4" spans="1:15" ht="24" customHeight="1" x14ac:dyDescent="0.15">
      <c r="A4" s="5" t="s">
        <v>6</v>
      </c>
      <c r="B4" s="6" t="s">
        <v>16</v>
      </c>
      <c r="C4" s="120" t="s">
        <v>148</v>
      </c>
      <c r="D4" s="121"/>
      <c r="E4" s="121"/>
      <c r="F4" s="121"/>
      <c r="G4" s="121"/>
      <c r="H4" s="121"/>
      <c r="I4" s="121"/>
      <c r="J4" s="121"/>
      <c r="K4" s="121"/>
      <c r="L4" s="121"/>
      <c r="M4" s="121"/>
      <c r="N4" s="127"/>
      <c r="O4" s="21" t="str">
        <f>IF(C4="","入力してください","")</f>
        <v/>
      </c>
    </row>
    <row r="5" spans="1:15" ht="7.5" customHeight="1" x14ac:dyDescent="0.15">
      <c r="B5" s="6"/>
      <c r="C5" s="6"/>
      <c r="D5" s="6"/>
      <c r="E5" s="7"/>
      <c r="F5" s="23"/>
      <c r="G5" s="23"/>
      <c r="H5" s="23"/>
      <c r="I5" s="23"/>
      <c r="J5" s="23"/>
      <c r="K5" s="23"/>
      <c r="L5" s="23"/>
      <c r="M5" s="23"/>
      <c r="N5" s="23"/>
    </row>
    <row r="6" spans="1:15" ht="24" customHeight="1" x14ac:dyDescent="0.15">
      <c r="A6" s="5" t="s">
        <v>48</v>
      </c>
      <c r="B6" s="6" t="s">
        <v>49</v>
      </c>
      <c r="C6" s="6"/>
      <c r="D6" s="120" t="s">
        <v>149</v>
      </c>
      <c r="E6" s="121"/>
      <c r="F6" s="121"/>
      <c r="G6" s="121"/>
      <c r="H6" s="127"/>
      <c r="I6" s="8" t="s">
        <v>86</v>
      </c>
      <c r="J6" s="23" t="s">
        <v>87</v>
      </c>
      <c r="K6" s="120" t="s">
        <v>150</v>
      </c>
      <c r="L6" s="121"/>
      <c r="M6" s="121"/>
      <c r="N6" s="127"/>
      <c r="O6" s="21" t="str">
        <f>IF(D6="","入力してください","")</f>
        <v/>
      </c>
    </row>
    <row r="7" spans="1:15" ht="7.5" customHeight="1" x14ac:dyDescent="0.15">
      <c r="B7" s="6"/>
      <c r="C7" s="6"/>
      <c r="D7" s="6"/>
      <c r="E7" s="7"/>
      <c r="F7" s="23"/>
      <c r="G7" s="23"/>
      <c r="H7" s="23"/>
      <c r="I7" s="23"/>
      <c r="J7" s="23"/>
      <c r="K7" s="23"/>
      <c r="L7" s="23"/>
      <c r="M7" s="23"/>
      <c r="N7" s="23"/>
    </row>
    <row r="8" spans="1:15" ht="24" customHeight="1" x14ac:dyDescent="0.15">
      <c r="A8" s="5" t="s">
        <v>13</v>
      </c>
      <c r="B8" s="6" t="s">
        <v>45</v>
      </c>
      <c r="C8" s="120" t="s">
        <v>151</v>
      </c>
      <c r="D8" s="121"/>
      <c r="E8" s="121"/>
      <c r="F8" s="121"/>
      <c r="G8" s="121"/>
      <c r="H8" s="121"/>
      <c r="I8" s="121"/>
      <c r="J8" s="121"/>
      <c r="K8" s="121"/>
      <c r="L8" s="121"/>
      <c r="M8" s="121"/>
      <c r="N8" s="127"/>
      <c r="O8" s="21" t="str">
        <f>IF(C8="","入力してください","")</f>
        <v/>
      </c>
    </row>
    <row r="9" spans="1:15" ht="7.5" customHeight="1" x14ac:dyDescent="0.15">
      <c r="B9" s="6"/>
      <c r="C9" s="6"/>
      <c r="D9" s="6"/>
      <c r="E9" s="7"/>
      <c r="F9" s="23"/>
      <c r="G9" s="23"/>
      <c r="H9" s="23"/>
      <c r="I9" s="23"/>
      <c r="J9" s="23"/>
      <c r="K9" s="23"/>
      <c r="L9" s="23"/>
      <c r="M9" s="23"/>
      <c r="N9" s="23"/>
    </row>
    <row r="10" spans="1:15" ht="24" customHeight="1" x14ac:dyDescent="0.15">
      <c r="A10" s="5" t="s">
        <v>11</v>
      </c>
      <c r="B10" s="6" t="s">
        <v>85</v>
      </c>
      <c r="C10" s="6"/>
      <c r="D10" s="6"/>
      <c r="E10" s="120" t="s">
        <v>200</v>
      </c>
      <c r="F10" s="121"/>
      <c r="G10" s="121"/>
      <c r="H10" s="121"/>
      <c r="I10" s="121"/>
      <c r="J10" s="121"/>
      <c r="K10" s="121"/>
      <c r="L10" s="121"/>
      <c r="M10" s="121"/>
      <c r="N10" s="127"/>
      <c r="O10" s="21" t="str">
        <f>IF(E10="","入力してください","")</f>
        <v/>
      </c>
    </row>
    <row r="11" spans="1:15" ht="7.5" customHeight="1" x14ac:dyDescent="0.15">
      <c r="B11" s="7"/>
      <c r="C11" s="7"/>
      <c r="D11" s="7"/>
      <c r="E11" s="7"/>
      <c r="F11" s="23"/>
      <c r="G11" s="23"/>
      <c r="H11" s="23"/>
      <c r="I11" s="23"/>
      <c r="J11" s="23"/>
      <c r="K11" s="23"/>
      <c r="L11" s="23"/>
      <c r="M11" s="23"/>
      <c r="N11" s="23"/>
    </row>
    <row r="12" spans="1:15" ht="24" customHeight="1" x14ac:dyDescent="0.15">
      <c r="A12" s="5" t="s">
        <v>58</v>
      </c>
      <c r="B12" s="7" t="s">
        <v>59</v>
      </c>
      <c r="C12" s="7"/>
      <c r="D12" s="7"/>
      <c r="E12" s="133" t="s">
        <v>159</v>
      </c>
      <c r="F12" s="134"/>
      <c r="G12" s="8" t="s">
        <v>96</v>
      </c>
      <c r="H12" s="5" t="s">
        <v>97</v>
      </c>
      <c r="N12" s="52" t="s">
        <v>153</v>
      </c>
      <c r="O12" s="21" t="str">
        <f>IF(E12="","入力してください","")</f>
        <v/>
      </c>
    </row>
    <row r="13" spans="1:15" ht="7.5" customHeight="1" x14ac:dyDescent="0.15">
      <c r="B13" s="7"/>
      <c r="C13" s="7"/>
      <c r="D13" s="7"/>
      <c r="E13" s="7"/>
      <c r="F13" s="23"/>
      <c r="G13" s="23"/>
      <c r="H13" s="23"/>
      <c r="I13" s="23"/>
      <c r="J13" s="23"/>
      <c r="K13" s="23"/>
      <c r="L13" s="23"/>
      <c r="M13" s="23"/>
      <c r="N13" s="23"/>
    </row>
    <row r="14" spans="1:15" ht="24" customHeight="1" x14ac:dyDescent="0.15">
      <c r="A14" s="5" t="s">
        <v>53</v>
      </c>
      <c r="B14" s="5" t="s">
        <v>0</v>
      </c>
      <c r="C14" s="129" t="s">
        <v>5</v>
      </c>
      <c r="D14" s="130"/>
      <c r="E14" s="124">
        <v>148</v>
      </c>
      <c r="F14" s="125"/>
      <c r="G14" s="9" t="s">
        <v>7</v>
      </c>
      <c r="I14" s="129" t="s">
        <v>8</v>
      </c>
      <c r="J14" s="130"/>
      <c r="K14" s="124">
        <v>8</v>
      </c>
      <c r="L14" s="131"/>
      <c r="M14" s="125"/>
      <c r="N14" s="10" t="s">
        <v>7</v>
      </c>
      <c r="O14" s="21" t="str">
        <f>IF(OR(E14="",K14=""),"入力してください","")</f>
        <v/>
      </c>
    </row>
    <row r="15" spans="1:15" ht="7.5" customHeight="1" x14ac:dyDescent="0.15">
      <c r="F15" s="11"/>
      <c r="G15" s="11"/>
      <c r="H15" s="11"/>
      <c r="I15" s="11"/>
      <c r="J15" s="11"/>
      <c r="K15" s="11"/>
      <c r="L15" s="11"/>
      <c r="M15" s="10"/>
      <c r="N15" s="10"/>
    </row>
    <row r="16" spans="1:15" ht="24" customHeight="1" x14ac:dyDescent="0.15">
      <c r="A16" s="5" t="s">
        <v>60</v>
      </c>
      <c r="B16" s="5" t="s">
        <v>70</v>
      </c>
      <c r="F16" s="11"/>
      <c r="G16" s="11"/>
      <c r="H16" s="11"/>
      <c r="I16" s="11"/>
      <c r="J16" s="11"/>
      <c r="K16" s="112">
        <v>14</v>
      </c>
      <c r="L16" s="113"/>
      <c r="M16" s="114"/>
      <c r="N16" s="10" t="s">
        <v>51</v>
      </c>
      <c r="O16" s="21" t="str">
        <f>IF(K16="","入力してください","")</f>
        <v/>
      </c>
    </row>
    <row r="17" spans="1:15" ht="7.5" customHeight="1" x14ac:dyDescent="0.15">
      <c r="F17" s="11"/>
      <c r="G17" s="11"/>
      <c r="H17" s="11"/>
      <c r="I17" s="11"/>
      <c r="J17" s="11"/>
      <c r="K17" s="11"/>
      <c r="L17" s="11"/>
      <c r="M17" s="10"/>
      <c r="N17" s="10"/>
    </row>
    <row r="18" spans="1:15" ht="24" customHeight="1" x14ac:dyDescent="0.15">
      <c r="A18" s="5" t="s">
        <v>24</v>
      </c>
      <c r="B18" s="5" t="s">
        <v>77</v>
      </c>
      <c r="E18" s="124">
        <v>960</v>
      </c>
      <c r="F18" s="125"/>
      <c r="G18" s="12" t="s">
        <v>21</v>
      </c>
      <c r="H18" s="11"/>
      <c r="K18" s="126"/>
      <c r="L18" s="126"/>
      <c r="M18" s="126"/>
      <c r="N18" s="126"/>
      <c r="O18" s="21" t="str">
        <f>IF(E18="","入力してください","")</f>
        <v/>
      </c>
    </row>
    <row r="19" spans="1:15" ht="7.5" customHeight="1" x14ac:dyDescent="0.15">
      <c r="E19" s="1"/>
      <c r="F19" s="11"/>
      <c r="G19" s="11"/>
      <c r="L19" s="22"/>
      <c r="M19" s="22"/>
      <c r="N19" s="13"/>
    </row>
    <row r="20" spans="1:15" ht="24" customHeight="1" x14ac:dyDescent="0.15">
      <c r="A20" s="5" t="s">
        <v>76</v>
      </c>
      <c r="B20" s="5" t="s">
        <v>78</v>
      </c>
      <c r="E20" s="1"/>
      <c r="F20" s="11"/>
      <c r="G20" s="11"/>
      <c r="H20" s="5" t="s">
        <v>52</v>
      </c>
      <c r="J20" s="115">
        <f>C22+I22+I24+C24+C26+I26</f>
        <v>3051</v>
      </c>
      <c r="K20" s="116"/>
      <c r="L20" s="117"/>
      <c r="M20" s="22" t="s">
        <v>51</v>
      </c>
      <c r="N20" s="13"/>
      <c r="O20" s="21" t="str">
        <f>IF(J20="","入力してください","")</f>
        <v/>
      </c>
    </row>
    <row r="21" spans="1:15" ht="7.5" customHeight="1" x14ac:dyDescent="0.15">
      <c r="E21" s="1"/>
      <c r="F21" s="11"/>
      <c r="G21" s="11"/>
      <c r="L21" s="22"/>
      <c r="M21" s="22"/>
      <c r="N21" s="13"/>
    </row>
    <row r="22" spans="1:15" ht="24" customHeight="1" x14ac:dyDescent="0.15">
      <c r="B22" s="19" t="s">
        <v>17</v>
      </c>
      <c r="C22" s="124">
        <v>1007</v>
      </c>
      <c r="D22" s="125"/>
      <c r="E22" s="1" t="s">
        <v>22</v>
      </c>
      <c r="F22" s="11"/>
      <c r="G22" s="118" t="s">
        <v>18</v>
      </c>
      <c r="H22" s="118"/>
      <c r="I22" s="124">
        <v>863</v>
      </c>
      <c r="J22" s="125"/>
      <c r="K22" s="8" t="s">
        <v>22</v>
      </c>
      <c r="M22" s="22"/>
      <c r="N22" s="13"/>
    </row>
    <row r="23" spans="1:15" ht="7.5" customHeight="1" x14ac:dyDescent="0.15">
      <c r="B23" s="19"/>
      <c r="C23" s="2"/>
      <c r="D23" s="2"/>
      <c r="E23" s="1"/>
      <c r="F23" s="11"/>
      <c r="G23" s="22"/>
      <c r="H23" s="22"/>
      <c r="I23" s="2"/>
      <c r="J23" s="2"/>
      <c r="K23" s="8"/>
      <c r="M23" s="22"/>
      <c r="N23" s="13"/>
    </row>
    <row r="24" spans="1:15" ht="24" customHeight="1" x14ac:dyDescent="0.15">
      <c r="B24" s="19" t="s">
        <v>19</v>
      </c>
      <c r="C24" s="124">
        <v>600</v>
      </c>
      <c r="D24" s="125"/>
      <c r="E24" s="1" t="s">
        <v>22</v>
      </c>
      <c r="F24" s="11"/>
      <c r="G24" s="118" t="s">
        <v>20</v>
      </c>
      <c r="H24" s="118"/>
      <c r="I24" s="124">
        <v>581</v>
      </c>
      <c r="J24" s="125"/>
      <c r="K24" s="8" t="s">
        <v>22</v>
      </c>
      <c r="M24" s="22"/>
      <c r="N24" s="13"/>
    </row>
    <row r="25" spans="1:15" ht="7.5" customHeight="1" x14ac:dyDescent="0.15">
      <c r="B25" s="19"/>
      <c r="C25" s="2"/>
      <c r="D25" s="2"/>
      <c r="E25" s="1"/>
      <c r="F25" s="11"/>
      <c r="G25" s="22"/>
      <c r="H25" s="22"/>
      <c r="I25" s="2"/>
      <c r="J25" s="2"/>
      <c r="K25" s="8"/>
      <c r="M25" s="22"/>
      <c r="N25" s="13"/>
    </row>
    <row r="26" spans="1:15" ht="24" customHeight="1" x14ac:dyDescent="0.15">
      <c r="B26" s="19" t="s">
        <v>46</v>
      </c>
      <c r="C26" s="124">
        <v>0</v>
      </c>
      <c r="D26" s="125"/>
      <c r="E26" s="1" t="s">
        <v>7</v>
      </c>
      <c r="F26" s="11"/>
      <c r="G26" s="118" t="s">
        <v>47</v>
      </c>
      <c r="H26" s="118"/>
      <c r="I26" s="124">
        <v>0</v>
      </c>
      <c r="J26" s="125"/>
      <c r="K26" s="8" t="s">
        <v>7</v>
      </c>
      <c r="M26" s="22"/>
      <c r="N26" s="13"/>
    </row>
    <row r="27" spans="1:15" ht="7.5" customHeight="1" x14ac:dyDescent="0.15">
      <c r="F27" s="11"/>
      <c r="G27" s="11"/>
      <c r="M27" s="14"/>
      <c r="N27" s="14"/>
    </row>
    <row r="28" spans="1:15" ht="24" customHeight="1" x14ac:dyDescent="0.15">
      <c r="A28" s="5" t="s">
        <v>50</v>
      </c>
      <c r="B28" s="6" t="s">
        <v>75</v>
      </c>
      <c r="C28" s="6"/>
      <c r="D28" s="6"/>
      <c r="E28" s="6"/>
      <c r="F28" s="8"/>
      <c r="G28" s="23"/>
      <c r="H28" s="23"/>
      <c r="I28" s="23"/>
      <c r="J28" s="15"/>
      <c r="K28" s="15"/>
      <c r="L28" s="15"/>
      <c r="M28" s="15"/>
      <c r="N28" s="15"/>
    </row>
    <row r="29" spans="1:15" s="5" customFormat="1" ht="24" customHeight="1" x14ac:dyDescent="0.15">
      <c r="B29" s="119" t="s">
        <v>74</v>
      </c>
      <c r="C29" s="119"/>
      <c r="D29" s="120" t="s">
        <v>154</v>
      </c>
      <c r="E29" s="121"/>
      <c r="F29" s="121"/>
      <c r="G29" s="122" t="s">
        <v>23</v>
      </c>
      <c r="H29" s="119"/>
      <c r="I29" s="123"/>
      <c r="J29" s="120" t="s">
        <v>211</v>
      </c>
      <c r="K29" s="121"/>
      <c r="L29" s="121"/>
      <c r="M29" s="121"/>
      <c r="N29" s="127"/>
      <c r="O29" s="21" t="str">
        <f>IF(OR(D29="",J29=""),"入力してください","")</f>
        <v/>
      </c>
    </row>
    <row r="30" spans="1:15" ht="7.5" customHeight="1" x14ac:dyDescent="0.15">
      <c r="F30" s="11"/>
      <c r="G30" s="11"/>
      <c r="M30" s="14"/>
      <c r="N30" s="14"/>
    </row>
    <row r="31" spans="1:15" ht="24" customHeight="1" x14ac:dyDescent="0.15">
      <c r="A31" s="5" t="s">
        <v>54</v>
      </c>
      <c r="B31" s="6" t="s">
        <v>80</v>
      </c>
      <c r="C31" s="6"/>
      <c r="D31" s="6"/>
      <c r="E31" s="6"/>
      <c r="F31" s="8"/>
      <c r="G31" s="15"/>
      <c r="H31" s="15"/>
      <c r="I31" s="15"/>
      <c r="J31" s="15"/>
      <c r="K31" s="15"/>
      <c r="L31" s="15"/>
      <c r="M31" s="15"/>
      <c r="N31" s="15"/>
    </row>
    <row r="32" spans="1:15" ht="24" customHeight="1" x14ac:dyDescent="0.15">
      <c r="B32" s="120" t="s">
        <v>198</v>
      </c>
      <c r="C32" s="121"/>
      <c r="D32" s="121"/>
      <c r="E32" s="121"/>
      <c r="F32" s="121"/>
      <c r="G32" s="121"/>
      <c r="H32" s="121"/>
      <c r="I32" s="121"/>
      <c r="J32" s="121"/>
      <c r="K32" s="121"/>
      <c r="L32" s="121"/>
      <c r="M32" s="121"/>
      <c r="N32" s="127"/>
      <c r="O32" s="21" t="str">
        <f>IF(B32="","入力してください","")</f>
        <v/>
      </c>
    </row>
    <row r="33" spans="1:15" ht="7.5" customHeight="1" x14ac:dyDescent="0.15">
      <c r="B33" s="3"/>
      <c r="C33" s="3"/>
      <c r="D33" s="3"/>
      <c r="E33" s="3"/>
      <c r="F33" s="3"/>
      <c r="G33" s="3"/>
      <c r="H33" s="3"/>
      <c r="I33" s="3"/>
      <c r="J33" s="3"/>
      <c r="K33" s="3"/>
      <c r="L33" s="3"/>
      <c r="M33" s="3"/>
      <c r="N33" s="3"/>
    </row>
    <row r="34" spans="1:15" s="5" customFormat="1" ht="24" customHeight="1" x14ac:dyDescent="0.15">
      <c r="B34" s="119" t="s">
        <v>74</v>
      </c>
      <c r="C34" s="119"/>
      <c r="D34" s="120" t="s">
        <v>154</v>
      </c>
      <c r="E34" s="121"/>
      <c r="F34" s="121"/>
      <c r="G34" s="122" t="s">
        <v>55</v>
      </c>
      <c r="H34" s="119"/>
      <c r="I34" s="123"/>
      <c r="J34" s="120" t="s">
        <v>212</v>
      </c>
      <c r="K34" s="121"/>
      <c r="L34" s="121"/>
      <c r="M34" s="121"/>
      <c r="N34" s="127"/>
      <c r="O34" s="21" t="str">
        <f>IF(OR(D34="",J34=""),"入力してください","")</f>
        <v/>
      </c>
    </row>
    <row r="35" spans="1:15" ht="7.5" customHeight="1" x14ac:dyDescent="0.15">
      <c r="F35" s="23"/>
      <c r="G35" s="23"/>
      <c r="H35" s="23"/>
      <c r="I35" s="23"/>
      <c r="J35" s="23"/>
      <c r="K35" s="23"/>
      <c r="L35" s="23"/>
      <c r="M35" s="23"/>
      <c r="N35" s="23"/>
    </row>
    <row r="36" spans="1:15" ht="24" customHeight="1" x14ac:dyDescent="0.15">
      <c r="A36" s="5" t="s">
        <v>61</v>
      </c>
      <c r="B36" s="5" t="s">
        <v>81</v>
      </c>
      <c r="M36" s="14"/>
      <c r="N36" s="14"/>
    </row>
    <row r="37" spans="1:15" ht="24" customHeight="1" x14ac:dyDescent="0.15">
      <c r="B37" s="120" t="s">
        <v>198</v>
      </c>
      <c r="C37" s="121"/>
      <c r="D37" s="121"/>
      <c r="E37" s="121"/>
      <c r="F37" s="121"/>
      <c r="G37" s="121"/>
      <c r="H37" s="121"/>
      <c r="I37" s="121"/>
      <c r="J37" s="121"/>
      <c r="K37" s="121"/>
      <c r="L37" s="121"/>
      <c r="M37" s="121"/>
      <c r="N37" s="127"/>
      <c r="O37" s="21" t="str">
        <f>IF(B37="","入力してください","")</f>
        <v/>
      </c>
    </row>
    <row r="38" spans="1:15" ht="7.5" customHeight="1" x14ac:dyDescent="0.15">
      <c r="F38" s="23"/>
      <c r="G38" s="23"/>
      <c r="H38" s="23"/>
      <c r="I38" s="23"/>
      <c r="J38" s="23"/>
      <c r="K38" s="23"/>
      <c r="L38" s="23"/>
      <c r="M38" s="23"/>
      <c r="N38" s="23"/>
    </row>
    <row r="39" spans="1:15" s="5" customFormat="1" ht="24" customHeight="1" x14ac:dyDescent="0.15">
      <c r="B39" s="119" t="s">
        <v>74</v>
      </c>
      <c r="C39" s="119"/>
      <c r="D39" s="120" t="s">
        <v>154</v>
      </c>
      <c r="E39" s="121"/>
      <c r="F39" s="121"/>
      <c r="G39" s="122" t="s">
        <v>55</v>
      </c>
      <c r="H39" s="119"/>
      <c r="I39" s="123"/>
      <c r="J39" s="120" t="s">
        <v>213</v>
      </c>
      <c r="K39" s="121"/>
      <c r="L39" s="121"/>
      <c r="M39" s="121"/>
      <c r="N39" s="127"/>
      <c r="O39" s="21" t="str">
        <f>IF(OR(D39="",J39=""),"入力してください","")</f>
        <v/>
      </c>
    </row>
    <row r="40" spans="1:15" ht="7.5" customHeight="1" x14ac:dyDescent="0.15">
      <c r="F40" s="23"/>
      <c r="G40" s="23"/>
      <c r="H40" s="23"/>
      <c r="I40" s="23"/>
      <c r="J40" s="23"/>
      <c r="K40" s="23"/>
      <c r="L40" s="23"/>
      <c r="M40" s="23"/>
      <c r="N40" s="23"/>
    </row>
    <row r="41" spans="1:15" ht="24" customHeight="1" x14ac:dyDescent="0.15">
      <c r="A41" s="5" t="s">
        <v>88</v>
      </c>
      <c r="B41" s="24" t="s">
        <v>69</v>
      </c>
      <c r="E41" s="25"/>
      <c r="F41" s="120" t="s">
        <v>155</v>
      </c>
      <c r="G41" s="121"/>
      <c r="H41" s="121"/>
      <c r="I41" s="121"/>
      <c r="J41" s="121"/>
      <c r="K41" s="121"/>
      <c r="L41" s="121"/>
      <c r="M41" s="121"/>
      <c r="N41" s="127"/>
      <c r="O41" s="21" t="str">
        <f>IF(F41="","入力してください","")</f>
        <v/>
      </c>
    </row>
    <row r="42" spans="1:15" ht="7.5" customHeight="1" x14ac:dyDescent="0.15">
      <c r="F42" s="23"/>
      <c r="G42" s="23"/>
      <c r="H42" s="23"/>
      <c r="I42" s="23"/>
      <c r="J42" s="23"/>
      <c r="K42" s="23"/>
      <c r="L42" s="23"/>
      <c r="M42" s="23"/>
      <c r="N42" s="23"/>
    </row>
    <row r="43" spans="1:15" ht="24" customHeight="1" x14ac:dyDescent="0.15">
      <c r="A43" s="5" t="s">
        <v>98</v>
      </c>
    </row>
    <row r="44" spans="1:15" ht="24" customHeight="1" x14ac:dyDescent="0.15">
      <c r="B44" s="20" t="s">
        <v>1</v>
      </c>
      <c r="C44" s="138" t="s">
        <v>156</v>
      </c>
      <c r="D44" s="138"/>
      <c r="E44" s="138"/>
      <c r="F44" s="138"/>
      <c r="G44" s="138"/>
      <c r="H44" s="138"/>
      <c r="I44" s="16" t="s">
        <v>2</v>
      </c>
      <c r="J44" s="16"/>
      <c r="K44" s="137" t="s">
        <v>157</v>
      </c>
      <c r="L44" s="137"/>
      <c r="M44" s="137"/>
      <c r="N44" s="137"/>
      <c r="O44" s="21" t="str">
        <f>IF(OR(C44="",K44=""),"入力してください","")</f>
        <v/>
      </c>
    </row>
    <row r="45" spans="1:15" ht="24" customHeight="1" x14ac:dyDescent="0.15">
      <c r="B45" s="16" t="s">
        <v>4</v>
      </c>
      <c r="C45" s="135" t="s">
        <v>199</v>
      </c>
      <c r="D45" s="135"/>
      <c r="E45" s="135"/>
      <c r="F45" s="135"/>
      <c r="G45" s="135"/>
      <c r="H45" s="135"/>
      <c r="I45" s="16" t="s">
        <v>3</v>
      </c>
      <c r="J45" s="16"/>
      <c r="K45" s="136" t="s">
        <v>158</v>
      </c>
      <c r="L45" s="136"/>
      <c r="M45" s="136"/>
      <c r="N45" s="136"/>
      <c r="O45" s="2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E3EF8-5FB7-4E5D-80D7-BC43399F8EF6}">
  <dimension ref="A1:AB98"/>
  <sheetViews>
    <sheetView showZeros="0" view="pageBreakPreview" topLeftCell="A49" zoomScaleNormal="100" zoomScaleSheetLayoutView="100" workbookViewId="0">
      <selection activeCell="G60" sqref="G60"/>
    </sheetView>
  </sheetViews>
  <sheetFormatPr defaultColWidth="9" defaultRowHeight="18.75" customHeight="1" x14ac:dyDescent="0.15"/>
  <cols>
    <col min="1" max="1" width="2.5" style="5" customWidth="1"/>
    <col min="2" max="2" width="27.75" style="5" customWidth="1"/>
    <col min="3" max="13" width="3.375" style="5" customWidth="1"/>
    <col min="14" max="14" width="8.875" style="5" customWidth="1"/>
    <col min="15" max="15" width="18.875" style="5" customWidth="1"/>
    <col min="16" max="19" width="3.375" style="5" customWidth="1"/>
    <col min="20" max="20" width="3.5" style="5" customWidth="1"/>
    <col min="21" max="26" width="3.375" style="5" customWidth="1"/>
    <col min="27" max="16384" width="9" style="5"/>
  </cols>
  <sheetData>
    <row r="1" spans="1:28" ht="15" customHeight="1" x14ac:dyDescent="0.15">
      <c r="W1" s="210" t="str">
        <f>"様式２－"&amp;AB1</f>
        <v>様式２－1</v>
      </c>
      <c r="X1" s="210"/>
      <c r="Y1" s="210"/>
      <c r="Z1" s="210"/>
      <c r="AB1" s="5">
        <v>1</v>
      </c>
    </row>
    <row r="2" spans="1:28" ht="18" customHeight="1" x14ac:dyDescent="0.15">
      <c r="A2" s="211" t="s">
        <v>67</v>
      </c>
      <c r="B2" s="211"/>
      <c r="C2" s="211"/>
      <c r="D2" s="211"/>
      <c r="E2" s="211"/>
      <c r="F2" s="211"/>
      <c r="G2" s="211"/>
      <c r="H2" s="211"/>
      <c r="I2" s="211"/>
      <c r="J2" s="211"/>
      <c r="K2" s="211"/>
      <c r="L2" s="211"/>
      <c r="M2" s="211"/>
      <c r="N2" s="211"/>
      <c r="O2" s="211"/>
      <c r="P2" s="211"/>
      <c r="Q2" s="211"/>
      <c r="R2" s="211"/>
      <c r="S2" s="211"/>
      <c r="T2" s="211"/>
      <c r="U2" s="211"/>
      <c r="V2" s="211"/>
      <c r="W2" s="211"/>
      <c r="X2" s="211"/>
      <c r="Y2" s="211"/>
      <c r="Z2" s="211"/>
    </row>
    <row r="3" spans="1:28" ht="15" customHeight="1" x14ac:dyDescent="0.15">
      <c r="B3" s="19"/>
      <c r="C3" s="19"/>
      <c r="D3" s="19"/>
      <c r="E3" s="19"/>
      <c r="F3" s="19"/>
      <c r="G3" s="19"/>
      <c r="H3" s="19"/>
      <c r="I3" s="19"/>
      <c r="J3" s="19"/>
      <c r="K3" s="19"/>
      <c r="L3" s="19"/>
      <c r="M3" s="19"/>
      <c r="N3" s="19"/>
      <c r="O3" s="19"/>
      <c r="P3" s="19"/>
      <c r="Q3" s="19"/>
      <c r="R3" s="19"/>
      <c r="S3" s="19"/>
      <c r="T3" s="19"/>
      <c r="U3" s="19"/>
      <c r="V3" s="19"/>
      <c r="W3" s="19"/>
      <c r="X3" s="19"/>
      <c r="Y3" s="19"/>
      <c r="Z3" s="19"/>
    </row>
    <row r="4" spans="1:28" ht="18" customHeight="1" x14ac:dyDescent="0.15">
      <c r="A4" s="5" t="s">
        <v>99</v>
      </c>
      <c r="B4" s="19"/>
      <c r="C4" s="19"/>
      <c r="D4" s="19"/>
      <c r="E4" s="19"/>
      <c r="F4" s="19"/>
      <c r="G4" s="19"/>
      <c r="H4" s="6" t="s">
        <v>112</v>
      </c>
      <c r="I4" s="19"/>
      <c r="J4" s="19"/>
      <c r="K4" s="19"/>
      <c r="L4" s="19"/>
      <c r="M4" s="19"/>
      <c r="N4" s="19"/>
      <c r="O4" s="112" t="s">
        <v>160</v>
      </c>
      <c r="P4" s="113"/>
      <c r="Q4" s="113"/>
      <c r="R4" s="113"/>
      <c r="S4" s="113"/>
      <c r="T4" s="113"/>
      <c r="U4" s="113"/>
      <c r="V4" s="113"/>
      <c r="W4" s="113"/>
      <c r="X4" s="113"/>
      <c r="Y4" s="113"/>
      <c r="Z4" s="114"/>
    </row>
    <row r="5" spans="1:28" ht="6" customHeight="1" x14ac:dyDescent="0.15">
      <c r="B5" s="19"/>
      <c r="C5" s="19"/>
      <c r="D5" s="19"/>
      <c r="E5" s="19"/>
      <c r="F5" s="19"/>
      <c r="G5" s="19"/>
      <c r="H5" s="19"/>
      <c r="I5" s="19"/>
      <c r="J5" s="19"/>
      <c r="K5" s="19"/>
      <c r="L5" s="19"/>
      <c r="M5" s="19"/>
      <c r="N5" s="19"/>
      <c r="O5" s="7"/>
      <c r="P5" s="19"/>
      <c r="Q5" s="19"/>
      <c r="R5" s="19"/>
      <c r="S5" s="19"/>
      <c r="T5" s="19"/>
      <c r="U5" s="19"/>
      <c r="V5" s="19"/>
      <c r="W5" s="19"/>
      <c r="X5" s="19"/>
      <c r="Y5" s="19"/>
      <c r="Z5" s="19"/>
    </row>
    <row r="6" spans="1:28" ht="18" customHeight="1" x14ac:dyDescent="0.15">
      <c r="B6" s="212" t="str">
        <f>VLOOKUP(AB1,'(作業用)'!B4:D7,2)&amp;"では、「"&amp;VLOOKUP(AB1,'(作業用)'!B4:D7,3)&amp;"」2単位と「AIデータサイエンス入門」2単位を取得すること。"</f>
        <v>教育学部・保健医療学部では、「情報処理」2単位と「AIデータサイエンス入門」2単位を取得すること。</v>
      </c>
      <c r="C6" s="213"/>
      <c r="D6" s="213"/>
      <c r="E6" s="213"/>
      <c r="F6" s="213"/>
      <c r="G6" s="213"/>
      <c r="H6" s="213"/>
      <c r="I6" s="213"/>
      <c r="J6" s="213"/>
      <c r="K6" s="213"/>
      <c r="L6" s="213"/>
      <c r="M6" s="213"/>
      <c r="N6" s="213"/>
      <c r="O6" s="213"/>
      <c r="P6" s="213"/>
      <c r="Q6" s="213"/>
      <c r="R6" s="213"/>
      <c r="S6" s="213"/>
      <c r="T6" s="213"/>
      <c r="U6" s="213"/>
      <c r="V6" s="213"/>
      <c r="W6" s="213"/>
      <c r="X6" s="213"/>
      <c r="Y6" s="213"/>
      <c r="Z6" s="214"/>
    </row>
    <row r="7" spans="1:28" ht="18" customHeight="1" x14ac:dyDescent="0.15">
      <c r="B7" s="215"/>
      <c r="C7" s="216"/>
      <c r="D7" s="216"/>
      <c r="E7" s="216"/>
      <c r="F7" s="216"/>
      <c r="G7" s="216"/>
      <c r="H7" s="216"/>
      <c r="I7" s="216"/>
      <c r="J7" s="216"/>
      <c r="K7" s="216"/>
      <c r="L7" s="216"/>
      <c r="M7" s="216"/>
      <c r="N7" s="216"/>
      <c r="O7" s="216"/>
      <c r="P7" s="216"/>
      <c r="Q7" s="216"/>
      <c r="R7" s="216"/>
      <c r="S7" s="216"/>
      <c r="T7" s="216"/>
      <c r="U7" s="216"/>
      <c r="V7" s="216"/>
      <c r="W7" s="216"/>
      <c r="X7" s="216"/>
      <c r="Y7" s="216"/>
      <c r="Z7" s="217"/>
    </row>
    <row r="8" spans="1:28" ht="18" customHeight="1" x14ac:dyDescent="0.15">
      <c r="B8" s="215"/>
      <c r="C8" s="216"/>
      <c r="D8" s="216"/>
      <c r="E8" s="216"/>
      <c r="F8" s="216"/>
      <c r="G8" s="216"/>
      <c r="H8" s="216"/>
      <c r="I8" s="216"/>
      <c r="J8" s="216"/>
      <c r="K8" s="216"/>
      <c r="L8" s="216"/>
      <c r="M8" s="216"/>
      <c r="N8" s="216"/>
      <c r="O8" s="216"/>
      <c r="P8" s="216"/>
      <c r="Q8" s="216"/>
      <c r="R8" s="216"/>
      <c r="S8" s="216"/>
      <c r="T8" s="216"/>
      <c r="U8" s="216"/>
      <c r="V8" s="216"/>
      <c r="W8" s="216"/>
      <c r="X8" s="216"/>
      <c r="Y8" s="216"/>
      <c r="Z8" s="217"/>
    </row>
    <row r="9" spans="1:28" ht="18" customHeight="1" x14ac:dyDescent="0.15">
      <c r="B9" s="215"/>
      <c r="C9" s="216"/>
      <c r="D9" s="216"/>
      <c r="E9" s="216"/>
      <c r="F9" s="216"/>
      <c r="G9" s="216"/>
      <c r="H9" s="216"/>
      <c r="I9" s="216"/>
      <c r="J9" s="216"/>
      <c r="K9" s="216"/>
      <c r="L9" s="216"/>
      <c r="M9" s="216"/>
      <c r="N9" s="216"/>
      <c r="O9" s="216"/>
      <c r="P9" s="216"/>
      <c r="Q9" s="216"/>
      <c r="R9" s="216"/>
      <c r="S9" s="216"/>
      <c r="T9" s="216"/>
      <c r="U9" s="216"/>
      <c r="V9" s="216"/>
      <c r="W9" s="216"/>
      <c r="X9" s="216"/>
      <c r="Y9" s="216"/>
      <c r="Z9" s="217"/>
    </row>
    <row r="10" spans="1:28" ht="18" customHeight="1" x14ac:dyDescent="0.15">
      <c r="B10" s="215"/>
      <c r="C10" s="218"/>
      <c r="D10" s="218"/>
      <c r="E10" s="218"/>
      <c r="F10" s="218"/>
      <c r="G10" s="218"/>
      <c r="H10" s="218"/>
      <c r="I10" s="218"/>
      <c r="J10" s="218"/>
      <c r="K10" s="218"/>
      <c r="L10" s="218"/>
      <c r="M10" s="218"/>
      <c r="N10" s="218"/>
      <c r="O10" s="218"/>
      <c r="P10" s="218"/>
      <c r="Q10" s="218"/>
      <c r="R10" s="218"/>
      <c r="S10" s="218"/>
      <c r="T10" s="218"/>
      <c r="U10" s="218"/>
      <c r="V10" s="218"/>
      <c r="W10" s="218"/>
      <c r="X10" s="218"/>
      <c r="Y10" s="218"/>
      <c r="Z10" s="217"/>
    </row>
    <row r="11" spans="1:28" ht="18" customHeight="1" x14ac:dyDescent="0.15">
      <c r="B11" s="219"/>
      <c r="C11" s="220"/>
      <c r="D11" s="220"/>
      <c r="E11" s="220"/>
      <c r="F11" s="220"/>
      <c r="G11" s="220"/>
      <c r="H11" s="220"/>
      <c r="I11" s="220"/>
      <c r="J11" s="220"/>
      <c r="K11" s="220"/>
      <c r="L11" s="220"/>
      <c r="M11" s="220"/>
      <c r="N11" s="220"/>
      <c r="O11" s="220"/>
      <c r="P11" s="220"/>
      <c r="Q11" s="220"/>
      <c r="R11" s="220"/>
      <c r="S11" s="220"/>
      <c r="T11" s="220"/>
      <c r="U11" s="220"/>
      <c r="V11" s="220"/>
      <c r="W11" s="220"/>
      <c r="X11" s="220"/>
      <c r="Y11" s="220"/>
      <c r="Z11" s="221"/>
    </row>
    <row r="12" spans="1:28" ht="7.5" customHeight="1" x14ac:dyDescent="0.15">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8" ht="18" customHeight="1" x14ac:dyDescent="0.15">
      <c r="A13" s="203" t="s">
        <v>125</v>
      </c>
      <c r="B13" s="203"/>
      <c r="C13" s="203"/>
      <c r="D13" s="203"/>
      <c r="E13" s="203"/>
      <c r="F13" s="203"/>
      <c r="G13" s="203"/>
      <c r="H13" s="203"/>
      <c r="I13" s="203"/>
      <c r="J13" s="203"/>
      <c r="K13" s="203"/>
      <c r="L13" s="203"/>
      <c r="M13" s="203"/>
      <c r="N13" s="203"/>
      <c r="O13" s="203"/>
      <c r="P13" s="203"/>
      <c r="Q13" s="203"/>
      <c r="R13" s="203"/>
      <c r="S13" s="203"/>
      <c r="T13" s="203"/>
      <c r="U13" s="203"/>
      <c r="V13" s="203"/>
      <c r="W13" s="203"/>
      <c r="X13" s="203"/>
      <c r="Y13" s="203"/>
      <c r="Z13" s="203"/>
    </row>
    <row r="14" spans="1:28" ht="18" customHeight="1" x14ac:dyDescent="0.15">
      <c r="A14" s="203"/>
      <c r="B14" s="203"/>
      <c r="C14" s="203"/>
      <c r="D14" s="203"/>
      <c r="E14" s="203"/>
      <c r="F14" s="203"/>
      <c r="G14" s="203"/>
      <c r="H14" s="203"/>
      <c r="I14" s="203"/>
      <c r="J14" s="203"/>
      <c r="K14" s="203"/>
      <c r="L14" s="203"/>
      <c r="M14" s="203"/>
      <c r="N14" s="203"/>
      <c r="O14" s="203"/>
      <c r="P14" s="203"/>
      <c r="Q14" s="203"/>
      <c r="R14" s="203"/>
      <c r="S14" s="203"/>
      <c r="T14" s="203"/>
      <c r="U14" s="203"/>
      <c r="V14" s="203"/>
      <c r="W14" s="203"/>
      <c r="X14" s="203"/>
      <c r="Y14" s="203"/>
      <c r="Z14" s="203"/>
    </row>
    <row r="15" spans="1:28" ht="18" customHeight="1" x14ac:dyDescent="0.15">
      <c r="B15" s="112" t="s">
        <v>100</v>
      </c>
      <c r="C15" s="113"/>
      <c r="D15" s="113"/>
      <c r="E15" s="113"/>
      <c r="F15" s="114"/>
      <c r="G15" s="20" t="s">
        <v>141</v>
      </c>
      <c r="H15" s="48" t="s">
        <v>140</v>
      </c>
      <c r="I15" s="113" t="s">
        <v>101</v>
      </c>
      <c r="J15" s="113"/>
      <c r="K15" s="113"/>
      <c r="L15" s="26" t="s">
        <v>104</v>
      </c>
      <c r="M15" s="26" t="s">
        <v>107</v>
      </c>
      <c r="N15" s="112" t="s">
        <v>100</v>
      </c>
      <c r="O15" s="113"/>
      <c r="P15" s="113"/>
      <c r="Q15" s="113"/>
      <c r="R15" s="113"/>
      <c r="S15" s="114"/>
      <c r="T15" s="20" t="s">
        <v>141</v>
      </c>
      <c r="U15" s="48" t="s">
        <v>140</v>
      </c>
      <c r="V15" s="113" t="s">
        <v>101</v>
      </c>
      <c r="W15" s="113"/>
      <c r="X15" s="113"/>
      <c r="Y15" s="26" t="s">
        <v>104</v>
      </c>
      <c r="Z15" s="26" t="s">
        <v>107</v>
      </c>
    </row>
    <row r="16" spans="1:28" ht="18" customHeight="1" x14ac:dyDescent="0.15">
      <c r="B16" s="207" t="s">
        <v>152</v>
      </c>
      <c r="C16" s="208"/>
      <c r="D16" s="208"/>
      <c r="E16" s="208"/>
      <c r="F16" s="209"/>
      <c r="G16" s="49">
        <v>2</v>
      </c>
      <c r="H16" s="49" t="s">
        <v>169</v>
      </c>
      <c r="I16" s="197" t="s">
        <v>168</v>
      </c>
      <c r="J16" s="198"/>
      <c r="K16" s="199"/>
      <c r="L16" s="49" t="s">
        <v>169</v>
      </c>
      <c r="M16" s="49" t="s">
        <v>169</v>
      </c>
      <c r="N16" s="182"/>
      <c r="O16" s="183"/>
      <c r="P16" s="183"/>
      <c r="Q16" s="183"/>
      <c r="R16" s="183"/>
      <c r="S16" s="184"/>
      <c r="T16" s="49"/>
      <c r="U16" s="49"/>
      <c r="V16" s="197"/>
      <c r="W16" s="198"/>
      <c r="X16" s="199"/>
      <c r="Y16" s="49"/>
      <c r="Z16" s="49"/>
    </row>
    <row r="17" spans="1:26" ht="18" customHeight="1" x14ac:dyDescent="0.15">
      <c r="B17" s="204"/>
      <c r="C17" s="205"/>
      <c r="D17" s="205"/>
      <c r="E17" s="205"/>
      <c r="F17" s="206"/>
      <c r="G17" s="50"/>
      <c r="H17" s="50"/>
      <c r="I17" s="194"/>
      <c r="J17" s="195"/>
      <c r="K17" s="196"/>
      <c r="L17" s="50"/>
      <c r="M17" s="50"/>
      <c r="N17" s="176"/>
      <c r="O17" s="177"/>
      <c r="P17" s="177"/>
      <c r="Q17" s="177"/>
      <c r="R17" s="177"/>
      <c r="S17" s="178"/>
      <c r="T17" s="50"/>
      <c r="U17" s="50"/>
      <c r="V17" s="194"/>
      <c r="W17" s="195"/>
      <c r="X17" s="196"/>
      <c r="Y17" s="50"/>
      <c r="Z17" s="50"/>
    </row>
    <row r="18" spans="1:26" ht="18" customHeight="1" x14ac:dyDescent="0.15">
      <c r="B18" s="204"/>
      <c r="C18" s="205"/>
      <c r="D18" s="205"/>
      <c r="E18" s="205"/>
      <c r="F18" s="206"/>
      <c r="G18" s="50"/>
      <c r="H18" s="50"/>
      <c r="I18" s="194"/>
      <c r="J18" s="195"/>
      <c r="K18" s="196"/>
      <c r="L18" s="50"/>
      <c r="M18" s="50"/>
      <c r="N18" s="176"/>
      <c r="O18" s="177"/>
      <c r="P18" s="177"/>
      <c r="Q18" s="177"/>
      <c r="R18" s="177"/>
      <c r="S18" s="178"/>
      <c r="T18" s="50"/>
      <c r="U18" s="50"/>
      <c r="V18" s="194"/>
      <c r="W18" s="195"/>
      <c r="X18" s="196"/>
      <c r="Y18" s="50"/>
      <c r="Z18" s="50"/>
    </row>
    <row r="19" spans="1:26" ht="18" customHeight="1" x14ac:dyDescent="0.15">
      <c r="B19" s="204"/>
      <c r="C19" s="205"/>
      <c r="D19" s="205"/>
      <c r="E19" s="205"/>
      <c r="F19" s="206"/>
      <c r="G19" s="50"/>
      <c r="H19" s="50"/>
      <c r="I19" s="194"/>
      <c r="J19" s="195"/>
      <c r="K19" s="196"/>
      <c r="L19" s="50"/>
      <c r="M19" s="50"/>
      <c r="N19" s="176"/>
      <c r="O19" s="177"/>
      <c r="P19" s="177"/>
      <c r="Q19" s="177"/>
      <c r="R19" s="177"/>
      <c r="S19" s="178"/>
      <c r="T19" s="50"/>
      <c r="U19" s="50"/>
      <c r="V19" s="194"/>
      <c r="W19" s="195"/>
      <c r="X19" s="196"/>
      <c r="Y19" s="50"/>
      <c r="Z19" s="50"/>
    </row>
    <row r="20" spans="1:26" ht="18" customHeight="1" x14ac:dyDescent="0.15">
      <c r="B20" s="204"/>
      <c r="C20" s="205"/>
      <c r="D20" s="205"/>
      <c r="E20" s="205"/>
      <c r="F20" s="206"/>
      <c r="G20" s="50"/>
      <c r="H20" s="50"/>
      <c r="I20" s="194"/>
      <c r="J20" s="195"/>
      <c r="K20" s="196"/>
      <c r="L20" s="50"/>
      <c r="M20" s="50"/>
      <c r="N20" s="176"/>
      <c r="O20" s="177"/>
      <c r="P20" s="177"/>
      <c r="Q20" s="177"/>
      <c r="R20" s="177"/>
      <c r="S20" s="178"/>
      <c r="T20" s="50"/>
      <c r="U20" s="50"/>
      <c r="V20" s="194"/>
      <c r="W20" s="195"/>
      <c r="X20" s="196"/>
      <c r="Y20" s="50"/>
      <c r="Z20" s="50"/>
    </row>
    <row r="21" spans="1:26" ht="18" customHeight="1" x14ac:dyDescent="0.15">
      <c r="A21" s="19"/>
      <c r="B21" s="204"/>
      <c r="C21" s="205"/>
      <c r="D21" s="205"/>
      <c r="E21" s="205"/>
      <c r="F21" s="206"/>
      <c r="G21" s="50"/>
      <c r="H21" s="50"/>
      <c r="I21" s="194"/>
      <c r="J21" s="195"/>
      <c r="K21" s="196"/>
      <c r="L21" s="50"/>
      <c r="M21" s="50"/>
      <c r="N21" s="176"/>
      <c r="O21" s="177"/>
      <c r="P21" s="177"/>
      <c r="Q21" s="177"/>
      <c r="R21" s="177"/>
      <c r="S21" s="178"/>
      <c r="T21" s="50"/>
      <c r="U21" s="50"/>
      <c r="V21" s="194"/>
      <c r="W21" s="195"/>
      <c r="X21" s="196"/>
      <c r="Y21" s="50"/>
      <c r="Z21" s="50"/>
    </row>
    <row r="22" spans="1:26" ht="18" customHeight="1" x14ac:dyDescent="0.15">
      <c r="A22" s="19"/>
      <c r="B22" s="200"/>
      <c r="C22" s="201"/>
      <c r="D22" s="201"/>
      <c r="E22" s="201"/>
      <c r="F22" s="202"/>
      <c r="G22" s="51"/>
      <c r="H22" s="51"/>
      <c r="I22" s="188"/>
      <c r="J22" s="189"/>
      <c r="K22" s="190"/>
      <c r="L22" s="53"/>
      <c r="M22" s="53"/>
      <c r="N22" s="168"/>
      <c r="O22" s="169"/>
      <c r="P22" s="169"/>
      <c r="Q22" s="169"/>
      <c r="R22" s="169"/>
      <c r="S22" s="170"/>
      <c r="T22" s="51"/>
      <c r="U22" s="51"/>
      <c r="V22" s="188"/>
      <c r="W22" s="189"/>
      <c r="X22" s="190"/>
      <c r="Y22" s="53"/>
      <c r="Z22" s="53"/>
    </row>
    <row r="23" spans="1:26" ht="7.5" customHeight="1" x14ac:dyDescent="0.15">
      <c r="A23" s="19"/>
      <c r="B23" s="27"/>
      <c r="C23" s="27"/>
      <c r="D23" s="19"/>
      <c r="E23" s="19"/>
      <c r="F23" s="19"/>
      <c r="G23" s="19"/>
      <c r="H23" s="19"/>
      <c r="I23" s="19"/>
      <c r="J23" s="19"/>
      <c r="K23" s="19"/>
      <c r="L23" s="27"/>
      <c r="M23" s="27"/>
      <c r="N23" s="27"/>
      <c r="O23" s="27"/>
      <c r="P23" s="27"/>
      <c r="Q23" s="27"/>
      <c r="R23" s="27"/>
      <c r="S23" s="27"/>
      <c r="T23" s="27"/>
      <c r="U23" s="27"/>
      <c r="V23" s="27"/>
      <c r="W23" s="27"/>
      <c r="X23" s="27"/>
      <c r="Y23" s="27"/>
      <c r="Z23" s="19"/>
    </row>
    <row r="24" spans="1:26" ht="18" customHeight="1" x14ac:dyDescent="0.15">
      <c r="A24" s="203" t="s">
        <v>126</v>
      </c>
      <c r="B24" s="203"/>
      <c r="C24" s="203"/>
      <c r="D24" s="203"/>
      <c r="E24" s="203"/>
      <c r="F24" s="203"/>
      <c r="G24" s="203"/>
      <c r="H24" s="203"/>
      <c r="I24" s="203"/>
      <c r="J24" s="203"/>
      <c r="K24" s="203"/>
      <c r="L24" s="203"/>
      <c r="M24" s="203"/>
      <c r="N24" s="203"/>
      <c r="O24" s="203"/>
      <c r="P24" s="203"/>
      <c r="Q24" s="203"/>
      <c r="R24" s="203"/>
      <c r="S24" s="203"/>
      <c r="T24" s="203"/>
      <c r="U24" s="203"/>
      <c r="V24" s="203"/>
      <c r="W24" s="203"/>
      <c r="X24" s="203"/>
      <c r="Y24" s="203"/>
      <c r="Z24" s="203"/>
    </row>
    <row r="25" spans="1:26" ht="18" customHeight="1" x14ac:dyDescent="0.15">
      <c r="A25" s="203"/>
      <c r="B25" s="203"/>
      <c r="C25" s="203"/>
      <c r="D25" s="203"/>
      <c r="E25" s="203"/>
      <c r="F25" s="203"/>
      <c r="G25" s="203"/>
      <c r="H25" s="203"/>
      <c r="I25" s="203"/>
      <c r="J25" s="203"/>
      <c r="K25" s="203"/>
      <c r="L25" s="203"/>
      <c r="M25" s="203"/>
      <c r="N25" s="203"/>
      <c r="O25" s="203"/>
      <c r="P25" s="203"/>
      <c r="Q25" s="203"/>
      <c r="R25" s="203"/>
      <c r="S25" s="203"/>
      <c r="T25" s="203"/>
      <c r="U25" s="203"/>
      <c r="V25" s="203"/>
      <c r="W25" s="203"/>
      <c r="X25" s="203"/>
      <c r="Y25" s="203"/>
      <c r="Z25" s="203"/>
    </row>
    <row r="26" spans="1:26" ht="18" customHeight="1" x14ac:dyDescent="0.15">
      <c r="B26" s="112" t="s">
        <v>100</v>
      </c>
      <c r="C26" s="113"/>
      <c r="D26" s="113"/>
      <c r="E26" s="113"/>
      <c r="F26" s="114"/>
      <c r="G26" s="20" t="s">
        <v>141</v>
      </c>
      <c r="H26" s="48" t="s">
        <v>140</v>
      </c>
      <c r="I26" s="113" t="s">
        <v>101</v>
      </c>
      <c r="J26" s="113"/>
      <c r="K26" s="113"/>
      <c r="L26" s="26" t="s">
        <v>127</v>
      </c>
      <c r="M26" s="26" t="s">
        <v>128</v>
      </c>
      <c r="N26" s="112" t="s">
        <v>100</v>
      </c>
      <c r="O26" s="113"/>
      <c r="P26" s="113"/>
      <c r="Q26" s="113"/>
      <c r="R26" s="113"/>
      <c r="S26" s="114"/>
      <c r="T26" s="20" t="s">
        <v>141</v>
      </c>
      <c r="U26" s="48" t="s">
        <v>140</v>
      </c>
      <c r="V26" s="113" t="s">
        <v>101</v>
      </c>
      <c r="W26" s="113"/>
      <c r="X26" s="113"/>
      <c r="Y26" s="26" t="s">
        <v>127</v>
      </c>
      <c r="Z26" s="26" t="s">
        <v>128</v>
      </c>
    </row>
    <row r="27" spans="1:26" ht="18" customHeight="1" x14ac:dyDescent="0.15">
      <c r="B27" s="207" t="s">
        <v>152</v>
      </c>
      <c r="C27" s="208"/>
      <c r="D27" s="208"/>
      <c r="E27" s="208"/>
      <c r="F27" s="209"/>
      <c r="G27" s="49">
        <v>2</v>
      </c>
      <c r="H27" s="49" t="s">
        <v>169</v>
      </c>
      <c r="I27" s="197" t="s">
        <v>168</v>
      </c>
      <c r="J27" s="198"/>
      <c r="K27" s="199"/>
      <c r="L27" s="49" t="s">
        <v>169</v>
      </c>
      <c r="M27" s="49" t="s">
        <v>169</v>
      </c>
      <c r="N27" s="182"/>
      <c r="O27" s="183"/>
      <c r="P27" s="183"/>
      <c r="Q27" s="183"/>
      <c r="R27" s="183"/>
      <c r="S27" s="184"/>
      <c r="T27" s="49"/>
      <c r="U27" s="49"/>
      <c r="V27" s="197"/>
      <c r="W27" s="198"/>
      <c r="X27" s="199"/>
      <c r="Y27" s="49"/>
      <c r="Z27" s="49"/>
    </row>
    <row r="28" spans="1:26" ht="18" customHeight="1" x14ac:dyDescent="0.15">
      <c r="B28" s="204"/>
      <c r="C28" s="205"/>
      <c r="D28" s="205"/>
      <c r="E28" s="205"/>
      <c r="F28" s="206"/>
      <c r="G28" s="50"/>
      <c r="H28" s="50"/>
      <c r="I28" s="194"/>
      <c r="J28" s="195"/>
      <c r="K28" s="196"/>
      <c r="L28" s="50"/>
      <c r="M28" s="50"/>
      <c r="N28" s="176"/>
      <c r="O28" s="177"/>
      <c r="P28" s="177"/>
      <c r="Q28" s="177"/>
      <c r="R28" s="177"/>
      <c r="S28" s="178"/>
      <c r="T28" s="50"/>
      <c r="U28" s="50"/>
      <c r="V28" s="194"/>
      <c r="W28" s="195"/>
      <c r="X28" s="196"/>
      <c r="Y28" s="50"/>
      <c r="Z28" s="50"/>
    </row>
    <row r="29" spans="1:26" ht="18" customHeight="1" x14ac:dyDescent="0.15">
      <c r="B29" s="204"/>
      <c r="C29" s="205"/>
      <c r="D29" s="205"/>
      <c r="E29" s="205"/>
      <c r="F29" s="206"/>
      <c r="G29" s="50"/>
      <c r="H29" s="50"/>
      <c r="I29" s="194"/>
      <c r="J29" s="195"/>
      <c r="K29" s="196"/>
      <c r="L29" s="50"/>
      <c r="M29" s="50"/>
      <c r="N29" s="176"/>
      <c r="O29" s="177"/>
      <c r="P29" s="177"/>
      <c r="Q29" s="177"/>
      <c r="R29" s="177"/>
      <c r="S29" s="178"/>
      <c r="T29" s="50"/>
      <c r="U29" s="50"/>
      <c r="V29" s="194"/>
      <c r="W29" s="195"/>
      <c r="X29" s="196"/>
      <c r="Y29" s="50"/>
      <c r="Z29" s="50"/>
    </row>
    <row r="30" spans="1:26" ht="18" customHeight="1" x14ac:dyDescent="0.15">
      <c r="B30" s="204"/>
      <c r="C30" s="205"/>
      <c r="D30" s="205"/>
      <c r="E30" s="205"/>
      <c r="F30" s="206"/>
      <c r="G30" s="50"/>
      <c r="H30" s="50"/>
      <c r="I30" s="194"/>
      <c r="J30" s="195"/>
      <c r="K30" s="196"/>
      <c r="L30" s="50"/>
      <c r="M30" s="50"/>
      <c r="N30" s="176"/>
      <c r="O30" s="177"/>
      <c r="P30" s="177"/>
      <c r="Q30" s="177"/>
      <c r="R30" s="177"/>
      <c r="S30" s="178"/>
      <c r="T30" s="50"/>
      <c r="U30" s="50"/>
      <c r="V30" s="194"/>
      <c r="W30" s="195"/>
      <c r="X30" s="196"/>
      <c r="Y30" s="50"/>
      <c r="Z30" s="50"/>
    </row>
    <row r="31" spans="1:26" ht="18" customHeight="1" x14ac:dyDescent="0.15">
      <c r="B31" s="204"/>
      <c r="C31" s="205"/>
      <c r="D31" s="205"/>
      <c r="E31" s="205"/>
      <c r="F31" s="206"/>
      <c r="G31" s="50"/>
      <c r="H31" s="50"/>
      <c r="I31" s="194"/>
      <c r="J31" s="195"/>
      <c r="K31" s="196"/>
      <c r="L31" s="50"/>
      <c r="M31" s="50"/>
      <c r="N31" s="176"/>
      <c r="O31" s="177"/>
      <c r="P31" s="177"/>
      <c r="Q31" s="177"/>
      <c r="R31" s="177"/>
      <c r="S31" s="178"/>
      <c r="T31" s="50"/>
      <c r="U31" s="50"/>
      <c r="V31" s="194"/>
      <c r="W31" s="195"/>
      <c r="X31" s="196"/>
      <c r="Y31" s="50"/>
      <c r="Z31" s="50"/>
    </row>
    <row r="32" spans="1:26" ht="18" customHeight="1" x14ac:dyDescent="0.15">
      <c r="B32" s="204"/>
      <c r="C32" s="205"/>
      <c r="D32" s="205"/>
      <c r="E32" s="205"/>
      <c r="F32" s="206"/>
      <c r="G32" s="50"/>
      <c r="H32" s="50"/>
      <c r="I32" s="194"/>
      <c r="J32" s="195"/>
      <c r="K32" s="196"/>
      <c r="L32" s="50"/>
      <c r="M32" s="50"/>
      <c r="N32" s="176"/>
      <c r="O32" s="177"/>
      <c r="P32" s="177"/>
      <c r="Q32" s="177"/>
      <c r="R32" s="177"/>
      <c r="S32" s="178"/>
      <c r="T32" s="50"/>
      <c r="U32" s="50"/>
      <c r="V32" s="194"/>
      <c r="W32" s="195"/>
      <c r="X32" s="196"/>
      <c r="Y32" s="50"/>
      <c r="Z32" s="50"/>
    </row>
    <row r="33" spans="1:26" ht="18" customHeight="1" x14ac:dyDescent="0.15">
      <c r="B33" s="200"/>
      <c r="C33" s="201"/>
      <c r="D33" s="201"/>
      <c r="E33" s="201"/>
      <c r="F33" s="202"/>
      <c r="G33" s="51"/>
      <c r="H33" s="51"/>
      <c r="I33" s="188"/>
      <c r="J33" s="189"/>
      <c r="K33" s="190"/>
      <c r="L33" s="53"/>
      <c r="M33" s="53"/>
      <c r="N33" s="168"/>
      <c r="O33" s="169"/>
      <c r="P33" s="169"/>
      <c r="Q33" s="169"/>
      <c r="R33" s="169"/>
      <c r="S33" s="170"/>
      <c r="T33" s="51"/>
      <c r="U33" s="51"/>
      <c r="V33" s="188"/>
      <c r="W33" s="189"/>
      <c r="X33" s="190"/>
      <c r="Y33" s="53"/>
      <c r="Z33" s="53"/>
    </row>
    <row r="34" spans="1:26" ht="7.5" customHeight="1" x14ac:dyDescent="0.15">
      <c r="A34" s="19"/>
      <c r="B34" s="27"/>
      <c r="C34" s="27"/>
      <c r="D34" s="19"/>
      <c r="E34" s="19"/>
      <c r="F34" s="19"/>
      <c r="G34" s="19"/>
      <c r="H34" s="19"/>
      <c r="I34" s="19"/>
      <c r="J34" s="19"/>
      <c r="K34" s="19"/>
      <c r="L34" s="27"/>
      <c r="M34" s="27"/>
      <c r="N34" s="27"/>
      <c r="O34" s="27"/>
      <c r="P34" s="27"/>
      <c r="Q34" s="27"/>
      <c r="R34" s="27"/>
      <c r="S34" s="27"/>
      <c r="T34" s="27"/>
      <c r="U34" s="27"/>
      <c r="V34" s="27"/>
      <c r="W34" s="27"/>
      <c r="X34" s="27"/>
      <c r="Y34" s="27"/>
      <c r="Z34" s="19"/>
    </row>
    <row r="35" spans="1:26" ht="18" customHeight="1" x14ac:dyDescent="0.15">
      <c r="A35" s="203" t="s">
        <v>129</v>
      </c>
      <c r="B35" s="203"/>
      <c r="C35" s="203"/>
      <c r="D35" s="203"/>
      <c r="E35" s="203"/>
      <c r="F35" s="203"/>
      <c r="G35" s="203"/>
      <c r="H35" s="203"/>
      <c r="I35" s="203"/>
      <c r="J35" s="203"/>
      <c r="K35" s="203"/>
      <c r="L35" s="203"/>
      <c r="M35" s="203"/>
      <c r="N35" s="203"/>
      <c r="O35" s="203"/>
      <c r="P35" s="203"/>
      <c r="Q35" s="203"/>
      <c r="R35" s="203"/>
      <c r="S35" s="203"/>
      <c r="T35" s="203"/>
      <c r="U35" s="203"/>
      <c r="V35" s="203"/>
      <c r="W35" s="203"/>
      <c r="X35" s="203"/>
      <c r="Y35" s="203"/>
      <c r="Z35" s="203"/>
    </row>
    <row r="36" spans="1:26" ht="18" customHeight="1" x14ac:dyDescent="0.15">
      <c r="A36" s="203"/>
      <c r="B36" s="203"/>
      <c r="C36" s="203"/>
      <c r="D36" s="203"/>
      <c r="E36" s="203"/>
      <c r="F36" s="203"/>
      <c r="G36" s="203"/>
      <c r="H36" s="203"/>
      <c r="I36" s="203"/>
      <c r="J36" s="203"/>
      <c r="K36" s="203"/>
      <c r="L36" s="203"/>
      <c r="M36" s="203"/>
      <c r="N36" s="203"/>
      <c r="O36" s="203"/>
      <c r="P36" s="203"/>
      <c r="Q36" s="203"/>
      <c r="R36" s="203"/>
      <c r="S36" s="203"/>
      <c r="T36" s="203"/>
      <c r="U36" s="203"/>
      <c r="V36" s="203"/>
      <c r="W36" s="203"/>
      <c r="X36" s="203"/>
      <c r="Y36" s="203"/>
      <c r="Z36" s="203"/>
    </row>
    <row r="37" spans="1:26" ht="18" customHeight="1" x14ac:dyDescent="0.15">
      <c r="B37" s="112" t="s">
        <v>100</v>
      </c>
      <c r="C37" s="113"/>
      <c r="D37" s="113"/>
      <c r="E37" s="113"/>
      <c r="F37" s="114"/>
      <c r="G37" s="20" t="s">
        <v>141</v>
      </c>
      <c r="H37" s="48" t="s">
        <v>140</v>
      </c>
      <c r="I37" s="112" t="s">
        <v>101</v>
      </c>
      <c r="J37" s="113"/>
      <c r="K37" s="114"/>
      <c r="L37" s="26" t="s">
        <v>130</v>
      </c>
      <c r="M37" s="26" t="s">
        <v>131</v>
      </c>
      <c r="N37" s="112" t="s">
        <v>100</v>
      </c>
      <c r="O37" s="113"/>
      <c r="P37" s="113"/>
      <c r="Q37" s="113"/>
      <c r="R37" s="113"/>
      <c r="S37" s="114"/>
      <c r="T37" s="20" t="s">
        <v>141</v>
      </c>
      <c r="U37" s="48" t="s">
        <v>140</v>
      </c>
      <c r="V37" s="112" t="s">
        <v>101</v>
      </c>
      <c r="W37" s="113"/>
      <c r="X37" s="114"/>
      <c r="Y37" s="26" t="s">
        <v>130</v>
      </c>
      <c r="Z37" s="26" t="s">
        <v>131</v>
      </c>
    </row>
    <row r="38" spans="1:26" ht="18" customHeight="1" x14ac:dyDescent="0.15">
      <c r="A38" s="19"/>
      <c r="B38" s="207" t="s">
        <v>152</v>
      </c>
      <c r="C38" s="208"/>
      <c r="D38" s="208"/>
      <c r="E38" s="208"/>
      <c r="F38" s="209"/>
      <c r="G38" s="49">
        <v>2</v>
      </c>
      <c r="H38" s="49" t="s">
        <v>169</v>
      </c>
      <c r="I38" s="197" t="s">
        <v>168</v>
      </c>
      <c r="J38" s="198"/>
      <c r="K38" s="199"/>
      <c r="L38" s="49" t="s">
        <v>169</v>
      </c>
      <c r="M38" s="49" t="s">
        <v>169</v>
      </c>
      <c r="N38" s="182"/>
      <c r="O38" s="183"/>
      <c r="P38" s="183"/>
      <c r="Q38" s="183"/>
      <c r="R38" s="183"/>
      <c r="S38" s="184"/>
      <c r="T38" s="49"/>
      <c r="U38" s="49"/>
      <c r="V38" s="197"/>
      <c r="W38" s="198"/>
      <c r="X38" s="199"/>
      <c r="Y38" s="49"/>
      <c r="Z38" s="49"/>
    </row>
    <row r="39" spans="1:26" ht="18" customHeight="1" x14ac:dyDescent="0.15">
      <c r="A39" s="19"/>
      <c r="B39" s="204" t="str">
        <f>VLOOKUP(AB1,'(作業用)'!B4:D7,3)</f>
        <v>情報処理</v>
      </c>
      <c r="C39" s="205"/>
      <c r="D39" s="205"/>
      <c r="E39" s="205"/>
      <c r="F39" s="206"/>
      <c r="G39" s="50">
        <v>2</v>
      </c>
      <c r="H39" s="50" t="s">
        <v>169</v>
      </c>
      <c r="I39" s="194" t="s">
        <v>171</v>
      </c>
      <c r="J39" s="195"/>
      <c r="K39" s="196"/>
      <c r="L39" s="50" t="s">
        <v>169</v>
      </c>
      <c r="M39" s="50"/>
      <c r="N39" s="176"/>
      <c r="O39" s="177"/>
      <c r="P39" s="177"/>
      <c r="Q39" s="177"/>
      <c r="R39" s="177"/>
      <c r="S39" s="178"/>
      <c r="T39" s="50"/>
      <c r="U39" s="50"/>
      <c r="V39" s="194"/>
      <c r="W39" s="195"/>
      <c r="X39" s="196"/>
      <c r="Y39" s="50"/>
      <c r="Z39" s="50"/>
    </row>
    <row r="40" spans="1:26" ht="18" customHeight="1" x14ac:dyDescent="0.15">
      <c r="A40" s="19"/>
      <c r="B40" s="204"/>
      <c r="C40" s="205"/>
      <c r="D40" s="205"/>
      <c r="E40" s="205"/>
      <c r="F40" s="206"/>
      <c r="G40" s="50"/>
      <c r="H40" s="50"/>
      <c r="I40" s="194"/>
      <c r="J40" s="195"/>
      <c r="K40" s="196"/>
      <c r="L40" s="50"/>
      <c r="M40" s="50"/>
      <c r="N40" s="176"/>
      <c r="O40" s="177"/>
      <c r="P40" s="177"/>
      <c r="Q40" s="177"/>
      <c r="R40" s="177"/>
      <c r="S40" s="178"/>
      <c r="T40" s="50"/>
      <c r="U40" s="50"/>
      <c r="V40" s="194"/>
      <c r="W40" s="195"/>
      <c r="X40" s="196"/>
      <c r="Y40" s="50"/>
      <c r="Z40" s="50"/>
    </row>
    <row r="41" spans="1:26" ht="18" customHeight="1" x14ac:dyDescent="0.15">
      <c r="A41" s="19"/>
      <c r="B41" s="204"/>
      <c r="C41" s="205"/>
      <c r="D41" s="205"/>
      <c r="E41" s="205"/>
      <c r="F41" s="206"/>
      <c r="G41" s="50"/>
      <c r="H41" s="50"/>
      <c r="I41" s="194"/>
      <c r="J41" s="195"/>
      <c r="K41" s="196"/>
      <c r="L41" s="50"/>
      <c r="M41" s="50"/>
      <c r="N41" s="176"/>
      <c r="O41" s="177"/>
      <c r="P41" s="177"/>
      <c r="Q41" s="177"/>
      <c r="R41" s="177"/>
      <c r="S41" s="178"/>
      <c r="T41" s="50"/>
      <c r="U41" s="50"/>
      <c r="V41" s="194"/>
      <c r="W41" s="195"/>
      <c r="X41" s="196"/>
      <c r="Y41" s="50"/>
      <c r="Z41" s="50"/>
    </row>
    <row r="42" spans="1:26" ht="18" customHeight="1" x14ac:dyDescent="0.15">
      <c r="A42" s="19"/>
      <c r="B42" s="204"/>
      <c r="C42" s="205"/>
      <c r="D42" s="205"/>
      <c r="E42" s="205"/>
      <c r="F42" s="206"/>
      <c r="G42" s="50"/>
      <c r="H42" s="50"/>
      <c r="I42" s="194"/>
      <c r="J42" s="195"/>
      <c r="K42" s="196"/>
      <c r="L42" s="50"/>
      <c r="M42" s="50"/>
      <c r="N42" s="176"/>
      <c r="O42" s="177"/>
      <c r="P42" s="177"/>
      <c r="Q42" s="177"/>
      <c r="R42" s="177"/>
      <c r="S42" s="178"/>
      <c r="T42" s="50"/>
      <c r="U42" s="50"/>
      <c r="V42" s="194"/>
      <c r="W42" s="195"/>
      <c r="X42" s="196"/>
      <c r="Y42" s="50"/>
      <c r="Z42" s="50"/>
    </row>
    <row r="43" spans="1:26" ht="18" customHeight="1" x14ac:dyDescent="0.15">
      <c r="A43" s="19"/>
      <c r="B43" s="204"/>
      <c r="C43" s="205"/>
      <c r="D43" s="205"/>
      <c r="E43" s="205"/>
      <c r="F43" s="206"/>
      <c r="G43" s="50"/>
      <c r="H43" s="50"/>
      <c r="I43" s="194"/>
      <c r="J43" s="195"/>
      <c r="K43" s="196"/>
      <c r="L43" s="50"/>
      <c r="M43" s="50"/>
      <c r="N43" s="176"/>
      <c r="O43" s="177"/>
      <c r="P43" s="177"/>
      <c r="Q43" s="177"/>
      <c r="R43" s="177"/>
      <c r="S43" s="178"/>
      <c r="T43" s="50"/>
      <c r="U43" s="50"/>
      <c r="V43" s="194"/>
      <c r="W43" s="195"/>
      <c r="X43" s="196"/>
      <c r="Y43" s="50"/>
      <c r="Z43" s="50"/>
    </row>
    <row r="44" spans="1:26" ht="18" customHeight="1" x14ac:dyDescent="0.15">
      <c r="A44" s="19"/>
      <c r="B44" s="200"/>
      <c r="C44" s="201"/>
      <c r="D44" s="201"/>
      <c r="E44" s="201"/>
      <c r="F44" s="202"/>
      <c r="G44" s="51"/>
      <c r="H44" s="51"/>
      <c r="I44" s="188"/>
      <c r="J44" s="189"/>
      <c r="K44" s="190"/>
      <c r="L44" s="53"/>
      <c r="M44" s="53"/>
      <c r="N44" s="168"/>
      <c r="O44" s="169"/>
      <c r="P44" s="169"/>
      <c r="Q44" s="169"/>
      <c r="R44" s="169"/>
      <c r="S44" s="170"/>
      <c r="T44" s="51"/>
      <c r="U44" s="51"/>
      <c r="V44" s="188"/>
      <c r="W44" s="189"/>
      <c r="X44" s="190"/>
      <c r="Y44" s="53"/>
      <c r="Z44" s="53"/>
    </row>
    <row r="45" spans="1:26" ht="7.5" customHeight="1" x14ac:dyDescent="0.15">
      <c r="B45" s="28"/>
      <c r="C45" s="28"/>
      <c r="D45" s="28"/>
      <c r="E45" s="28"/>
      <c r="F45" s="28"/>
      <c r="G45" s="28"/>
      <c r="H45" s="28"/>
      <c r="I45" s="28"/>
      <c r="J45" s="28"/>
      <c r="K45" s="28"/>
      <c r="L45" s="28"/>
      <c r="M45" s="28"/>
      <c r="N45" s="28"/>
      <c r="O45" s="28"/>
      <c r="P45" s="28"/>
      <c r="Q45" s="28"/>
      <c r="R45" s="28"/>
      <c r="S45" s="28"/>
      <c r="T45" s="28"/>
      <c r="U45" s="28"/>
      <c r="V45" s="28"/>
      <c r="W45" s="28"/>
      <c r="X45" s="28"/>
      <c r="Y45" s="28"/>
    </row>
    <row r="46" spans="1:26" ht="18" customHeight="1" x14ac:dyDescent="0.15">
      <c r="A46" s="203" t="s">
        <v>132</v>
      </c>
      <c r="B46" s="203"/>
      <c r="C46" s="203"/>
      <c r="D46" s="203"/>
      <c r="E46" s="203"/>
      <c r="F46" s="203"/>
      <c r="G46" s="203"/>
      <c r="H46" s="203"/>
      <c r="I46" s="203"/>
      <c r="J46" s="203"/>
      <c r="K46" s="203"/>
      <c r="L46" s="203"/>
      <c r="M46" s="203"/>
      <c r="N46" s="203"/>
      <c r="O46" s="203"/>
      <c r="P46" s="203"/>
      <c r="Q46" s="203"/>
      <c r="R46" s="203"/>
      <c r="S46" s="203"/>
      <c r="T46" s="203"/>
      <c r="U46" s="203"/>
      <c r="V46" s="203"/>
      <c r="W46" s="203"/>
      <c r="X46" s="203"/>
      <c r="Y46" s="203"/>
      <c r="Z46" s="203"/>
    </row>
    <row r="47" spans="1:26" ht="18" customHeight="1" x14ac:dyDescent="0.15">
      <c r="A47" s="203"/>
      <c r="B47" s="203"/>
      <c r="C47" s="203"/>
      <c r="D47" s="203"/>
      <c r="E47" s="203"/>
      <c r="F47" s="203"/>
      <c r="G47" s="203"/>
      <c r="H47" s="203"/>
      <c r="I47" s="203"/>
      <c r="J47" s="203"/>
      <c r="K47" s="203"/>
      <c r="L47" s="203"/>
      <c r="M47" s="203"/>
      <c r="N47" s="203"/>
      <c r="O47" s="203"/>
      <c r="P47" s="203"/>
      <c r="Q47" s="203"/>
      <c r="R47" s="203"/>
      <c r="S47" s="203"/>
      <c r="T47" s="203"/>
      <c r="U47" s="203"/>
      <c r="V47" s="203"/>
      <c r="W47" s="203"/>
      <c r="X47" s="203"/>
      <c r="Y47" s="203"/>
      <c r="Z47" s="203"/>
    </row>
    <row r="48" spans="1:26" ht="18" customHeight="1" x14ac:dyDescent="0.15">
      <c r="B48" s="112" t="s">
        <v>100</v>
      </c>
      <c r="C48" s="113"/>
      <c r="D48" s="113"/>
      <c r="E48" s="113"/>
      <c r="F48" s="114"/>
      <c r="G48" s="20" t="s">
        <v>141</v>
      </c>
      <c r="H48" s="48" t="s">
        <v>140</v>
      </c>
      <c r="I48" s="112" t="s">
        <v>101</v>
      </c>
      <c r="J48" s="113"/>
      <c r="K48" s="114"/>
      <c r="L48" s="26" t="s">
        <v>106</v>
      </c>
      <c r="M48" s="26" t="s">
        <v>108</v>
      </c>
      <c r="N48" s="112" t="s">
        <v>100</v>
      </c>
      <c r="O48" s="113"/>
      <c r="P48" s="113"/>
      <c r="Q48" s="113"/>
      <c r="R48" s="113"/>
      <c r="S48" s="114"/>
      <c r="T48" s="20" t="s">
        <v>141</v>
      </c>
      <c r="U48" s="48" t="s">
        <v>140</v>
      </c>
      <c r="V48" s="112" t="s">
        <v>101</v>
      </c>
      <c r="W48" s="113"/>
      <c r="X48" s="114"/>
      <c r="Y48" s="26" t="s">
        <v>106</v>
      </c>
      <c r="Z48" s="26" t="s">
        <v>108</v>
      </c>
    </row>
    <row r="49" spans="1:26" ht="18" customHeight="1" x14ac:dyDescent="0.15">
      <c r="A49" s="19"/>
      <c r="B49" s="207" t="s">
        <v>152</v>
      </c>
      <c r="C49" s="208"/>
      <c r="D49" s="208"/>
      <c r="E49" s="208"/>
      <c r="F49" s="209"/>
      <c r="G49" s="49">
        <v>2</v>
      </c>
      <c r="H49" s="49" t="s">
        <v>169</v>
      </c>
      <c r="I49" s="197" t="s">
        <v>168</v>
      </c>
      <c r="J49" s="198"/>
      <c r="K49" s="199"/>
      <c r="L49" s="49" t="s">
        <v>169</v>
      </c>
      <c r="M49" s="49" t="s">
        <v>169</v>
      </c>
      <c r="N49" s="182"/>
      <c r="O49" s="183"/>
      <c r="P49" s="183"/>
      <c r="Q49" s="183"/>
      <c r="R49" s="183"/>
      <c r="S49" s="184"/>
      <c r="T49" s="49"/>
      <c r="U49" s="49"/>
      <c r="V49" s="197"/>
      <c r="W49" s="198"/>
      <c r="X49" s="199"/>
      <c r="Y49" s="49"/>
      <c r="Z49" s="49"/>
    </row>
    <row r="50" spans="1:26" ht="18" customHeight="1" x14ac:dyDescent="0.15">
      <c r="A50" s="19"/>
      <c r="B50" s="204" t="str">
        <f>VLOOKUP(AB1,'(作業用)'!B4:D7,3)</f>
        <v>情報処理</v>
      </c>
      <c r="C50" s="205"/>
      <c r="D50" s="205"/>
      <c r="E50" s="205"/>
      <c r="F50" s="206"/>
      <c r="G50" s="50">
        <v>2</v>
      </c>
      <c r="H50" s="50" t="s">
        <v>169</v>
      </c>
      <c r="I50" s="194" t="s">
        <v>171</v>
      </c>
      <c r="J50" s="195"/>
      <c r="K50" s="196"/>
      <c r="L50" s="50" t="s">
        <v>169</v>
      </c>
      <c r="M50" s="50" t="s">
        <v>169</v>
      </c>
      <c r="N50" s="176"/>
      <c r="O50" s="177"/>
      <c r="P50" s="177"/>
      <c r="Q50" s="177"/>
      <c r="R50" s="177"/>
      <c r="S50" s="178"/>
      <c r="T50" s="50"/>
      <c r="U50" s="50"/>
      <c r="V50" s="194"/>
      <c r="W50" s="195"/>
      <c r="X50" s="196"/>
      <c r="Y50" s="50"/>
      <c r="Z50" s="50"/>
    </row>
    <row r="51" spans="1:26" ht="18" customHeight="1" x14ac:dyDescent="0.15">
      <c r="A51" s="19"/>
      <c r="B51" s="204"/>
      <c r="C51" s="205"/>
      <c r="D51" s="205"/>
      <c r="E51" s="205"/>
      <c r="F51" s="206"/>
      <c r="G51" s="50"/>
      <c r="H51" s="50"/>
      <c r="I51" s="194"/>
      <c r="J51" s="195"/>
      <c r="K51" s="196"/>
      <c r="L51" s="50"/>
      <c r="M51" s="50"/>
      <c r="N51" s="176"/>
      <c r="O51" s="177"/>
      <c r="P51" s="177"/>
      <c r="Q51" s="177"/>
      <c r="R51" s="177"/>
      <c r="S51" s="178"/>
      <c r="T51" s="50"/>
      <c r="U51" s="50"/>
      <c r="V51" s="194"/>
      <c r="W51" s="195"/>
      <c r="X51" s="196"/>
      <c r="Y51" s="50"/>
      <c r="Z51" s="50"/>
    </row>
    <row r="52" spans="1:26" ht="18" customHeight="1" x14ac:dyDescent="0.15">
      <c r="A52" s="19"/>
      <c r="B52" s="204"/>
      <c r="C52" s="205"/>
      <c r="D52" s="205"/>
      <c r="E52" s="205"/>
      <c r="F52" s="206"/>
      <c r="G52" s="50"/>
      <c r="H52" s="50"/>
      <c r="I52" s="194"/>
      <c r="J52" s="195"/>
      <c r="K52" s="196"/>
      <c r="L52" s="50"/>
      <c r="M52" s="50"/>
      <c r="N52" s="176"/>
      <c r="O52" s="177"/>
      <c r="P52" s="177"/>
      <c r="Q52" s="177"/>
      <c r="R52" s="177"/>
      <c r="S52" s="178"/>
      <c r="T52" s="50"/>
      <c r="U52" s="50"/>
      <c r="V52" s="194"/>
      <c r="W52" s="195"/>
      <c r="X52" s="196"/>
      <c r="Y52" s="50"/>
      <c r="Z52" s="50"/>
    </row>
    <row r="53" spans="1:26" ht="18" customHeight="1" x14ac:dyDescent="0.15">
      <c r="A53" s="19"/>
      <c r="B53" s="204"/>
      <c r="C53" s="205"/>
      <c r="D53" s="205"/>
      <c r="E53" s="205"/>
      <c r="F53" s="206"/>
      <c r="G53" s="50"/>
      <c r="H53" s="50"/>
      <c r="I53" s="194"/>
      <c r="J53" s="195"/>
      <c r="K53" s="196"/>
      <c r="L53" s="50"/>
      <c r="M53" s="50"/>
      <c r="N53" s="176"/>
      <c r="O53" s="177"/>
      <c r="P53" s="177"/>
      <c r="Q53" s="177"/>
      <c r="R53" s="177"/>
      <c r="S53" s="178"/>
      <c r="T53" s="50"/>
      <c r="U53" s="50"/>
      <c r="V53" s="194"/>
      <c r="W53" s="195"/>
      <c r="X53" s="196"/>
      <c r="Y53" s="50"/>
      <c r="Z53" s="50"/>
    </row>
    <row r="54" spans="1:26" ht="18" customHeight="1" x14ac:dyDescent="0.15">
      <c r="A54" s="19"/>
      <c r="B54" s="204"/>
      <c r="C54" s="205"/>
      <c r="D54" s="205"/>
      <c r="E54" s="205"/>
      <c r="F54" s="206"/>
      <c r="G54" s="50"/>
      <c r="H54" s="50"/>
      <c r="I54" s="194"/>
      <c r="J54" s="195"/>
      <c r="K54" s="196"/>
      <c r="L54" s="50"/>
      <c r="M54" s="50"/>
      <c r="N54" s="176"/>
      <c r="O54" s="177"/>
      <c r="P54" s="177"/>
      <c r="Q54" s="177"/>
      <c r="R54" s="177"/>
      <c r="S54" s="178"/>
      <c r="T54" s="50"/>
      <c r="U54" s="50"/>
      <c r="V54" s="194"/>
      <c r="W54" s="195"/>
      <c r="X54" s="196"/>
      <c r="Y54" s="50"/>
      <c r="Z54" s="50"/>
    </row>
    <row r="55" spans="1:26" ht="18" customHeight="1" x14ac:dyDescent="0.15">
      <c r="A55" s="19"/>
      <c r="B55" s="200"/>
      <c r="C55" s="201"/>
      <c r="D55" s="201"/>
      <c r="E55" s="201"/>
      <c r="F55" s="202"/>
      <c r="G55" s="51"/>
      <c r="H55" s="51"/>
      <c r="I55" s="188"/>
      <c r="J55" s="189"/>
      <c r="K55" s="190"/>
      <c r="L55" s="53"/>
      <c r="M55" s="53"/>
      <c r="N55" s="168"/>
      <c r="O55" s="169"/>
      <c r="P55" s="169"/>
      <c r="Q55" s="169"/>
      <c r="R55" s="169"/>
      <c r="S55" s="170"/>
      <c r="T55" s="51"/>
      <c r="U55" s="51"/>
      <c r="V55" s="188"/>
      <c r="W55" s="189"/>
      <c r="X55" s="190"/>
      <c r="Y55" s="53"/>
      <c r="Z55" s="53"/>
    </row>
    <row r="56" spans="1:26" ht="7.5" customHeight="1" x14ac:dyDescent="0.15">
      <c r="B56" s="28"/>
      <c r="C56" s="28"/>
      <c r="D56" s="28"/>
      <c r="E56" s="28"/>
      <c r="F56" s="28"/>
      <c r="G56" s="28"/>
      <c r="H56" s="28"/>
      <c r="I56" s="28"/>
      <c r="J56" s="28"/>
      <c r="K56" s="28"/>
      <c r="L56" s="28"/>
      <c r="M56" s="28"/>
      <c r="N56" s="28"/>
      <c r="O56" s="28"/>
      <c r="P56" s="28"/>
      <c r="Q56" s="28"/>
      <c r="R56" s="28"/>
      <c r="S56" s="28"/>
      <c r="T56" s="28"/>
      <c r="U56" s="28"/>
      <c r="V56" s="28"/>
      <c r="W56" s="28"/>
      <c r="X56" s="28"/>
      <c r="Y56" s="28"/>
    </row>
    <row r="57" spans="1:26" ht="18" customHeight="1" x14ac:dyDescent="0.15">
      <c r="A57" s="203" t="s">
        <v>133</v>
      </c>
      <c r="B57" s="203"/>
      <c r="C57" s="203"/>
      <c r="D57" s="203"/>
      <c r="E57" s="203"/>
      <c r="F57" s="203"/>
      <c r="G57" s="203"/>
      <c r="H57" s="203"/>
      <c r="I57" s="203"/>
      <c r="J57" s="203"/>
      <c r="K57" s="203"/>
      <c r="L57" s="203"/>
      <c r="M57" s="203"/>
      <c r="N57" s="203"/>
      <c r="O57" s="203"/>
      <c r="P57" s="203"/>
      <c r="Q57" s="203"/>
      <c r="R57" s="203"/>
      <c r="S57" s="203"/>
      <c r="T57" s="203"/>
      <c r="U57" s="203"/>
      <c r="V57" s="203"/>
      <c r="W57" s="203"/>
      <c r="X57" s="203"/>
      <c r="Y57" s="203"/>
      <c r="Z57" s="203"/>
    </row>
    <row r="58" spans="1:26" ht="18" customHeight="1" x14ac:dyDescent="0.15">
      <c r="A58" s="203"/>
      <c r="B58" s="203"/>
      <c r="C58" s="203"/>
      <c r="D58" s="203"/>
      <c r="E58" s="203"/>
      <c r="F58" s="203"/>
      <c r="G58" s="203"/>
      <c r="H58" s="203"/>
      <c r="I58" s="203"/>
      <c r="J58" s="203"/>
      <c r="K58" s="203"/>
      <c r="L58" s="203"/>
      <c r="M58" s="203"/>
      <c r="N58" s="203"/>
      <c r="O58" s="203"/>
      <c r="P58" s="203"/>
      <c r="Q58" s="203"/>
      <c r="R58" s="203"/>
      <c r="S58" s="203"/>
      <c r="T58" s="203"/>
      <c r="U58" s="203"/>
      <c r="V58" s="203"/>
      <c r="W58" s="203"/>
      <c r="X58" s="203"/>
      <c r="Y58" s="203"/>
      <c r="Z58" s="203"/>
    </row>
    <row r="59" spans="1:26" ht="18" customHeight="1" x14ac:dyDescent="0.15">
      <c r="B59" s="112" t="s">
        <v>100</v>
      </c>
      <c r="C59" s="113"/>
      <c r="D59" s="113"/>
      <c r="E59" s="114"/>
      <c r="F59" s="20" t="s">
        <v>141</v>
      </c>
      <c r="G59" s="48" t="s">
        <v>140</v>
      </c>
      <c r="H59" s="43" t="s">
        <v>101</v>
      </c>
      <c r="I59" s="44"/>
      <c r="J59" s="45"/>
      <c r="K59" s="26" t="s">
        <v>105</v>
      </c>
      <c r="L59" s="26" t="s">
        <v>134</v>
      </c>
      <c r="M59" s="26" t="s">
        <v>135</v>
      </c>
      <c r="N59" s="112" t="s">
        <v>100</v>
      </c>
      <c r="O59" s="113"/>
      <c r="P59" s="113"/>
      <c r="Q59" s="113"/>
      <c r="R59" s="114"/>
      <c r="S59" s="20" t="s">
        <v>141</v>
      </c>
      <c r="T59" s="48" t="s">
        <v>140</v>
      </c>
      <c r="U59" s="43" t="s">
        <v>101</v>
      </c>
      <c r="V59" s="44"/>
      <c r="W59" s="45"/>
      <c r="X59" s="26" t="s">
        <v>105</v>
      </c>
      <c r="Y59" s="26" t="s">
        <v>134</v>
      </c>
      <c r="Z59" s="26" t="s">
        <v>135</v>
      </c>
    </row>
    <row r="60" spans="1:26" ht="18" customHeight="1" x14ac:dyDescent="0.15">
      <c r="A60" s="19"/>
      <c r="B60" s="182" t="s">
        <v>152</v>
      </c>
      <c r="C60" s="183"/>
      <c r="D60" s="183"/>
      <c r="E60" s="184"/>
      <c r="F60" s="49">
        <v>2</v>
      </c>
      <c r="G60" s="49" t="s">
        <v>169</v>
      </c>
      <c r="H60" s="197" t="s">
        <v>168</v>
      </c>
      <c r="I60" s="198"/>
      <c r="J60" s="199"/>
      <c r="K60" s="56" t="s">
        <v>170</v>
      </c>
      <c r="L60" s="49" t="s">
        <v>169</v>
      </c>
      <c r="M60" s="49" t="s">
        <v>169</v>
      </c>
      <c r="N60" s="182"/>
      <c r="O60" s="183"/>
      <c r="P60" s="183"/>
      <c r="Q60" s="183"/>
      <c r="R60" s="184"/>
      <c r="S60" s="49"/>
      <c r="T60" s="49"/>
      <c r="U60" s="197"/>
      <c r="V60" s="198"/>
      <c r="W60" s="199"/>
      <c r="X60" s="56"/>
      <c r="Y60" s="49"/>
      <c r="Z60" s="49"/>
    </row>
    <row r="61" spans="1:26" ht="18" customHeight="1" x14ac:dyDescent="0.15">
      <c r="A61" s="19"/>
      <c r="B61" s="176" t="str">
        <f>VLOOKUP(AB1,'(作業用)'!B4:D7,3)</f>
        <v>情報処理</v>
      </c>
      <c r="C61" s="177"/>
      <c r="D61" s="177"/>
      <c r="E61" s="178"/>
      <c r="F61" s="50">
        <v>2</v>
      </c>
      <c r="G61" s="50" t="s">
        <v>169</v>
      </c>
      <c r="H61" s="194" t="s">
        <v>171</v>
      </c>
      <c r="I61" s="195"/>
      <c r="J61" s="196"/>
      <c r="K61" s="57" t="s">
        <v>170</v>
      </c>
      <c r="L61" s="50" t="s">
        <v>169</v>
      </c>
      <c r="M61" s="50" t="s">
        <v>169</v>
      </c>
      <c r="N61" s="176"/>
      <c r="O61" s="177"/>
      <c r="P61" s="177"/>
      <c r="Q61" s="177"/>
      <c r="R61" s="178"/>
      <c r="S61" s="50"/>
      <c r="T61" s="50"/>
      <c r="U61" s="194"/>
      <c r="V61" s="195"/>
      <c r="W61" s="196"/>
      <c r="X61" s="57"/>
      <c r="Y61" s="50"/>
      <c r="Z61" s="50"/>
    </row>
    <row r="62" spans="1:26" ht="18" customHeight="1" x14ac:dyDescent="0.15">
      <c r="A62" s="19"/>
      <c r="B62" s="176"/>
      <c r="C62" s="177"/>
      <c r="D62" s="177"/>
      <c r="E62" s="178"/>
      <c r="F62" s="50"/>
      <c r="G62" s="50"/>
      <c r="H62" s="194"/>
      <c r="I62" s="195"/>
      <c r="J62" s="196"/>
      <c r="K62" s="57"/>
      <c r="L62" s="50"/>
      <c r="M62" s="50"/>
      <c r="N62" s="176"/>
      <c r="O62" s="177"/>
      <c r="P62" s="177"/>
      <c r="Q62" s="177"/>
      <c r="R62" s="178"/>
      <c r="S62" s="50"/>
      <c r="T62" s="50"/>
      <c r="U62" s="194"/>
      <c r="V62" s="195"/>
      <c r="W62" s="196"/>
      <c r="X62" s="57"/>
      <c r="Y62" s="50"/>
      <c r="Z62" s="50"/>
    </row>
    <row r="63" spans="1:26" ht="18" customHeight="1" x14ac:dyDescent="0.15">
      <c r="A63" s="19"/>
      <c r="B63" s="176"/>
      <c r="C63" s="177"/>
      <c r="D63" s="177"/>
      <c r="E63" s="178"/>
      <c r="F63" s="50"/>
      <c r="G63" s="50"/>
      <c r="H63" s="194"/>
      <c r="I63" s="195"/>
      <c r="J63" s="196"/>
      <c r="K63" s="57"/>
      <c r="L63" s="50"/>
      <c r="M63" s="50"/>
      <c r="N63" s="176"/>
      <c r="O63" s="177"/>
      <c r="P63" s="177"/>
      <c r="Q63" s="177"/>
      <c r="R63" s="178"/>
      <c r="S63" s="50"/>
      <c r="T63" s="50"/>
      <c r="U63" s="194"/>
      <c r="V63" s="195"/>
      <c r="W63" s="196"/>
      <c r="X63" s="57"/>
      <c r="Y63" s="50"/>
      <c r="Z63" s="50"/>
    </row>
    <row r="64" spans="1:26" ht="18" customHeight="1" x14ac:dyDescent="0.15">
      <c r="A64" s="19"/>
      <c r="B64" s="176"/>
      <c r="C64" s="177"/>
      <c r="D64" s="177"/>
      <c r="E64" s="178"/>
      <c r="F64" s="50"/>
      <c r="G64" s="50"/>
      <c r="H64" s="194"/>
      <c r="I64" s="195"/>
      <c r="J64" s="196"/>
      <c r="K64" s="57"/>
      <c r="L64" s="50"/>
      <c r="M64" s="50"/>
      <c r="N64" s="176"/>
      <c r="O64" s="177"/>
      <c r="P64" s="177"/>
      <c r="Q64" s="177"/>
      <c r="R64" s="178"/>
      <c r="S64" s="50"/>
      <c r="T64" s="50"/>
      <c r="U64" s="194"/>
      <c r="V64" s="195"/>
      <c r="W64" s="196"/>
      <c r="X64" s="57"/>
      <c r="Y64" s="50"/>
      <c r="Z64" s="50"/>
    </row>
    <row r="65" spans="1:26" ht="18" customHeight="1" x14ac:dyDescent="0.15">
      <c r="A65" s="19"/>
      <c r="B65" s="176"/>
      <c r="C65" s="177"/>
      <c r="D65" s="177"/>
      <c r="E65" s="178"/>
      <c r="F65" s="50"/>
      <c r="G65" s="50"/>
      <c r="H65" s="194"/>
      <c r="I65" s="195"/>
      <c r="J65" s="196"/>
      <c r="K65" s="57"/>
      <c r="L65" s="50"/>
      <c r="M65" s="50"/>
      <c r="N65" s="176"/>
      <c r="O65" s="177"/>
      <c r="P65" s="177"/>
      <c r="Q65" s="177"/>
      <c r="R65" s="178"/>
      <c r="S65" s="50"/>
      <c r="T65" s="50"/>
      <c r="U65" s="194"/>
      <c r="V65" s="195"/>
      <c r="W65" s="196"/>
      <c r="X65" s="57"/>
      <c r="Y65" s="50"/>
      <c r="Z65" s="50"/>
    </row>
    <row r="66" spans="1:26" ht="18" customHeight="1" x14ac:dyDescent="0.15">
      <c r="A66" s="19"/>
      <c r="B66" s="168"/>
      <c r="C66" s="169"/>
      <c r="D66" s="169"/>
      <c r="E66" s="170"/>
      <c r="F66" s="51"/>
      <c r="G66" s="51"/>
      <c r="H66" s="188"/>
      <c r="I66" s="189"/>
      <c r="J66" s="190"/>
      <c r="K66" s="62"/>
      <c r="L66" s="53"/>
      <c r="M66" s="53"/>
      <c r="N66" s="168"/>
      <c r="O66" s="169"/>
      <c r="P66" s="169"/>
      <c r="Q66" s="169"/>
      <c r="R66" s="170"/>
      <c r="S66" s="51"/>
      <c r="T66" s="51"/>
      <c r="U66" s="188"/>
      <c r="V66" s="189"/>
      <c r="W66" s="190"/>
      <c r="X66" s="62"/>
      <c r="Y66" s="53"/>
      <c r="Z66" s="53"/>
    </row>
    <row r="67" spans="1:26" ht="7.5" customHeight="1" x14ac:dyDescent="0.15">
      <c r="B67" s="28"/>
      <c r="C67" s="28"/>
      <c r="D67" s="28"/>
      <c r="E67" s="28"/>
      <c r="F67" s="28"/>
      <c r="G67" s="28"/>
      <c r="H67" s="28"/>
      <c r="I67" s="28"/>
      <c r="J67" s="28"/>
      <c r="K67" s="28"/>
      <c r="L67" s="28"/>
      <c r="M67" s="28"/>
      <c r="N67" s="28"/>
      <c r="O67" s="28"/>
      <c r="P67" s="28"/>
      <c r="Q67" s="28"/>
      <c r="R67" s="28"/>
      <c r="S67" s="28"/>
      <c r="T67" s="28"/>
      <c r="U67" s="28"/>
      <c r="V67" s="28"/>
      <c r="W67" s="28"/>
      <c r="X67" s="28"/>
      <c r="Y67" s="28"/>
    </row>
    <row r="68" spans="1:26" ht="18" customHeight="1" x14ac:dyDescent="0.15">
      <c r="A68" s="5" t="s">
        <v>136</v>
      </c>
      <c r="L68" s="19"/>
      <c r="M68" s="19"/>
      <c r="N68" s="19"/>
      <c r="O68" s="19"/>
      <c r="P68" s="19"/>
      <c r="Q68" s="19"/>
      <c r="R68" s="19"/>
      <c r="S68" s="19"/>
      <c r="T68" s="19"/>
      <c r="U68" s="19"/>
      <c r="V68" s="19"/>
      <c r="W68" s="19"/>
      <c r="X68" s="19"/>
      <c r="Y68" s="19"/>
      <c r="Z68" s="19"/>
    </row>
    <row r="69" spans="1:26" ht="18" customHeight="1" x14ac:dyDescent="0.15">
      <c r="B69" s="112" t="s">
        <v>100</v>
      </c>
      <c r="C69" s="113"/>
      <c r="D69" s="113"/>
      <c r="E69" s="113"/>
      <c r="F69" s="114"/>
      <c r="G69" s="112" t="s">
        <v>146</v>
      </c>
      <c r="H69" s="113"/>
      <c r="I69" s="113"/>
      <c r="J69" s="113"/>
      <c r="K69" s="113"/>
      <c r="L69" s="113"/>
      <c r="M69" s="114"/>
      <c r="N69" s="191" t="s">
        <v>100</v>
      </c>
      <c r="O69" s="192"/>
      <c r="P69" s="192"/>
      <c r="Q69" s="192"/>
      <c r="R69" s="192"/>
      <c r="S69" s="193"/>
      <c r="T69" s="112" t="s">
        <v>146</v>
      </c>
      <c r="U69" s="113"/>
      <c r="V69" s="113"/>
      <c r="W69" s="113"/>
      <c r="X69" s="113"/>
      <c r="Y69" s="113"/>
      <c r="Z69" s="114"/>
    </row>
    <row r="70" spans="1:26" ht="18" customHeight="1" x14ac:dyDescent="0.15">
      <c r="A70" s="19"/>
      <c r="B70" s="182" t="s">
        <v>152</v>
      </c>
      <c r="C70" s="183"/>
      <c r="D70" s="183"/>
      <c r="E70" s="183"/>
      <c r="F70" s="184"/>
      <c r="G70" s="185" t="s">
        <v>172</v>
      </c>
      <c r="H70" s="186"/>
      <c r="I70" s="186"/>
      <c r="J70" s="186"/>
      <c r="K70" s="186"/>
      <c r="L70" s="186"/>
      <c r="M70" s="187"/>
      <c r="N70" s="182"/>
      <c r="O70" s="183"/>
      <c r="P70" s="183"/>
      <c r="Q70" s="183"/>
      <c r="R70" s="183"/>
      <c r="S70" s="184"/>
      <c r="T70" s="185"/>
      <c r="U70" s="186"/>
      <c r="V70" s="186"/>
      <c r="W70" s="186"/>
      <c r="X70" s="186"/>
      <c r="Y70" s="186"/>
      <c r="Z70" s="187"/>
    </row>
    <row r="71" spans="1:26" ht="18" customHeight="1" x14ac:dyDescent="0.15">
      <c r="A71" s="19"/>
      <c r="B71" s="176"/>
      <c r="C71" s="177"/>
      <c r="D71" s="177"/>
      <c r="E71" s="177"/>
      <c r="F71" s="178"/>
      <c r="G71" s="179"/>
      <c r="H71" s="180"/>
      <c r="I71" s="180"/>
      <c r="J71" s="180"/>
      <c r="K71" s="180"/>
      <c r="L71" s="180"/>
      <c r="M71" s="181"/>
      <c r="N71" s="176"/>
      <c r="O71" s="177"/>
      <c r="P71" s="177"/>
      <c r="Q71" s="177"/>
      <c r="R71" s="177"/>
      <c r="S71" s="178"/>
      <c r="T71" s="179"/>
      <c r="U71" s="180"/>
      <c r="V71" s="180"/>
      <c r="W71" s="180"/>
      <c r="X71" s="180"/>
      <c r="Y71" s="180"/>
      <c r="Z71" s="181"/>
    </row>
    <row r="72" spans="1:26" ht="18" customHeight="1" x14ac:dyDescent="0.15">
      <c r="A72" s="19"/>
      <c r="B72" s="176"/>
      <c r="C72" s="177"/>
      <c r="D72" s="177"/>
      <c r="E72" s="177"/>
      <c r="F72" s="178"/>
      <c r="G72" s="179"/>
      <c r="H72" s="180"/>
      <c r="I72" s="180"/>
      <c r="J72" s="180"/>
      <c r="K72" s="180"/>
      <c r="L72" s="180"/>
      <c r="M72" s="181"/>
      <c r="N72" s="176"/>
      <c r="O72" s="177"/>
      <c r="P72" s="177"/>
      <c r="Q72" s="177"/>
      <c r="R72" s="177"/>
      <c r="S72" s="178"/>
      <c r="T72" s="179"/>
      <c r="U72" s="180"/>
      <c r="V72" s="180"/>
      <c r="W72" s="180"/>
      <c r="X72" s="180"/>
      <c r="Y72" s="180"/>
      <c r="Z72" s="181"/>
    </row>
    <row r="73" spans="1:26" ht="18" customHeight="1" x14ac:dyDescent="0.15">
      <c r="A73" s="19"/>
      <c r="B73" s="176"/>
      <c r="C73" s="177"/>
      <c r="D73" s="177"/>
      <c r="E73" s="177"/>
      <c r="F73" s="178"/>
      <c r="G73" s="179"/>
      <c r="H73" s="180"/>
      <c r="I73" s="180"/>
      <c r="J73" s="180"/>
      <c r="K73" s="180"/>
      <c r="L73" s="180"/>
      <c r="M73" s="181"/>
      <c r="N73" s="176"/>
      <c r="O73" s="177"/>
      <c r="P73" s="177"/>
      <c r="Q73" s="177"/>
      <c r="R73" s="177"/>
      <c r="S73" s="178"/>
      <c r="T73" s="179"/>
      <c r="U73" s="180"/>
      <c r="V73" s="180"/>
      <c r="W73" s="180"/>
      <c r="X73" s="180"/>
      <c r="Y73" s="180"/>
      <c r="Z73" s="181"/>
    </row>
    <row r="74" spans="1:26" ht="18" customHeight="1" x14ac:dyDescent="0.15">
      <c r="A74" s="19"/>
      <c r="B74" s="176"/>
      <c r="C74" s="177"/>
      <c r="D74" s="177"/>
      <c r="E74" s="177"/>
      <c r="F74" s="178"/>
      <c r="G74" s="179"/>
      <c r="H74" s="180"/>
      <c r="I74" s="180"/>
      <c r="J74" s="180"/>
      <c r="K74" s="180"/>
      <c r="L74" s="180"/>
      <c r="M74" s="181"/>
      <c r="N74" s="176"/>
      <c r="O74" s="177"/>
      <c r="P74" s="177"/>
      <c r="Q74" s="177"/>
      <c r="R74" s="177"/>
      <c r="S74" s="178"/>
      <c r="T74" s="179"/>
      <c r="U74" s="180"/>
      <c r="V74" s="180"/>
      <c r="W74" s="180"/>
      <c r="X74" s="180"/>
      <c r="Y74" s="180"/>
      <c r="Z74" s="181"/>
    </row>
    <row r="75" spans="1:26" ht="18" customHeight="1" x14ac:dyDescent="0.15">
      <c r="A75" s="19"/>
      <c r="B75" s="176"/>
      <c r="C75" s="177"/>
      <c r="D75" s="177"/>
      <c r="E75" s="177"/>
      <c r="F75" s="178"/>
      <c r="G75" s="179"/>
      <c r="H75" s="180"/>
      <c r="I75" s="180"/>
      <c r="J75" s="180"/>
      <c r="K75" s="180"/>
      <c r="L75" s="180"/>
      <c r="M75" s="181"/>
      <c r="N75" s="176"/>
      <c r="O75" s="177"/>
      <c r="P75" s="177"/>
      <c r="Q75" s="177"/>
      <c r="R75" s="177"/>
      <c r="S75" s="178"/>
      <c r="T75" s="179"/>
      <c r="U75" s="180"/>
      <c r="V75" s="180"/>
      <c r="W75" s="180"/>
      <c r="X75" s="180"/>
      <c r="Y75" s="180"/>
      <c r="Z75" s="181"/>
    </row>
    <row r="76" spans="1:26" ht="18" customHeight="1" x14ac:dyDescent="0.15">
      <c r="A76" s="19"/>
      <c r="B76" s="168"/>
      <c r="C76" s="169"/>
      <c r="D76" s="169"/>
      <c r="E76" s="169"/>
      <c r="F76" s="170"/>
      <c r="G76" s="171"/>
      <c r="H76" s="172"/>
      <c r="I76" s="172"/>
      <c r="J76" s="172"/>
      <c r="K76" s="172"/>
      <c r="L76" s="172"/>
      <c r="M76" s="173"/>
      <c r="N76" s="168"/>
      <c r="O76" s="169"/>
      <c r="P76" s="169"/>
      <c r="Q76" s="169"/>
      <c r="R76" s="169"/>
      <c r="S76" s="170"/>
      <c r="T76" s="171"/>
      <c r="U76" s="172"/>
      <c r="V76" s="172"/>
      <c r="W76" s="172"/>
      <c r="X76" s="172"/>
      <c r="Y76" s="172"/>
      <c r="Z76" s="173"/>
    </row>
    <row r="77" spans="1:26" ht="18" customHeight="1" x14ac:dyDescent="0.15">
      <c r="A77" s="19"/>
      <c r="B77" s="55"/>
      <c r="C77" s="55"/>
      <c r="D77" s="55"/>
      <c r="E77" s="55"/>
      <c r="F77" s="55"/>
      <c r="G77" s="3"/>
      <c r="H77" s="3"/>
      <c r="I77" s="3"/>
      <c r="J77" s="3"/>
      <c r="K77" s="3"/>
      <c r="L77" s="3"/>
      <c r="M77" s="3"/>
      <c r="N77" s="55"/>
      <c r="O77" s="55"/>
      <c r="P77" s="55"/>
      <c r="Q77" s="55"/>
      <c r="R77" s="55"/>
      <c r="S77" s="55"/>
      <c r="T77" s="3"/>
      <c r="U77" s="3"/>
      <c r="V77" s="3"/>
      <c r="W77" s="3"/>
      <c r="X77" s="3"/>
      <c r="Y77" s="3"/>
      <c r="Z77" s="3"/>
    </row>
    <row r="78" spans="1:26" ht="18.75" customHeight="1" x14ac:dyDescent="0.15">
      <c r="A78" s="5" t="s">
        <v>142</v>
      </c>
    </row>
    <row r="79" spans="1:26" ht="18.75" customHeight="1" x14ac:dyDescent="0.15">
      <c r="B79" s="17" t="s">
        <v>102</v>
      </c>
      <c r="C79" s="18"/>
      <c r="D79" s="113" t="s">
        <v>103</v>
      </c>
      <c r="E79" s="113"/>
      <c r="F79" s="113"/>
      <c r="G79" s="113"/>
      <c r="H79" s="113"/>
      <c r="I79" s="113"/>
      <c r="J79" s="113"/>
      <c r="K79" s="113"/>
      <c r="L79" s="113"/>
      <c r="M79" s="113"/>
      <c r="N79" s="113"/>
      <c r="O79" s="113"/>
      <c r="P79" s="113"/>
      <c r="Q79" s="113"/>
      <c r="R79" s="113"/>
      <c r="S79" s="113"/>
      <c r="T79" s="113"/>
      <c r="U79" s="113"/>
      <c r="V79" s="113"/>
      <c r="W79" s="113"/>
      <c r="X79" s="113"/>
      <c r="Y79" s="113"/>
      <c r="Z79" s="114"/>
    </row>
    <row r="80" spans="1:26" ht="78" customHeight="1" x14ac:dyDescent="0.15">
      <c r="B80" s="150" t="s">
        <v>109</v>
      </c>
      <c r="C80" s="34" t="s">
        <v>104</v>
      </c>
      <c r="D80" s="152" t="s">
        <v>174</v>
      </c>
      <c r="E80" s="152"/>
      <c r="F80" s="152"/>
      <c r="G80" s="152"/>
      <c r="H80" s="152"/>
      <c r="I80" s="152"/>
      <c r="J80" s="152"/>
      <c r="K80" s="152"/>
      <c r="L80" s="152"/>
      <c r="M80" s="152"/>
      <c r="N80" s="152"/>
      <c r="O80" s="152"/>
      <c r="P80" s="152"/>
      <c r="Q80" s="152"/>
      <c r="R80" s="152"/>
      <c r="S80" s="152"/>
      <c r="T80" s="152"/>
      <c r="U80" s="152"/>
      <c r="V80" s="152"/>
      <c r="W80" s="152"/>
      <c r="X80" s="152"/>
      <c r="Y80" s="152"/>
      <c r="Z80" s="153"/>
    </row>
    <row r="81" spans="1:26" ht="78" customHeight="1" x14ac:dyDescent="0.15">
      <c r="B81" s="151"/>
      <c r="C81" s="46" t="s">
        <v>137</v>
      </c>
      <c r="D81" s="174" t="s">
        <v>173</v>
      </c>
      <c r="E81" s="174"/>
      <c r="F81" s="174"/>
      <c r="G81" s="174"/>
      <c r="H81" s="174"/>
      <c r="I81" s="174"/>
      <c r="J81" s="174"/>
      <c r="K81" s="174"/>
      <c r="L81" s="174"/>
      <c r="M81" s="174"/>
      <c r="N81" s="174"/>
      <c r="O81" s="174"/>
      <c r="P81" s="174"/>
      <c r="Q81" s="174"/>
      <c r="R81" s="174"/>
      <c r="S81" s="174"/>
      <c r="T81" s="174"/>
      <c r="U81" s="174"/>
      <c r="V81" s="174"/>
      <c r="W81" s="174"/>
      <c r="X81" s="174"/>
      <c r="Y81" s="174"/>
      <c r="Z81" s="175"/>
    </row>
    <row r="82" spans="1:26" ht="78" customHeight="1" x14ac:dyDescent="0.15">
      <c r="B82" s="150" t="s">
        <v>110</v>
      </c>
      <c r="C82" s="29" t="s">
        <v>127</v>
      </c>
      <c r="D82" s="162" t="s">
        <v>176</v>
      </c>
      <c r="E82" s="162"/>
      <c r="F82" s="162"/>
      <c r="G82" s="162"/>
      <c r="H82" s="162"/>
      <c r="I82" s="162"/>
      <c r="J82" s="162"/>
      <c r="K82" s="162"/>
      <c r="L82" s="162"/>
      <c r="M82" s="162"/>
      <c r="N82" s="162"/>
      <c r="O82" s="162"/>
      <c r="P82" s="162"/>
      <c r="Q82" s="162"/>
      <c r="R82" s="162"/>
      <c r="S82" s="162"/>
      <c r="T82" s="162"/>
      <c r="U82" s="162"/>
      <c r="V82" s="162"/>
      <c r="W82" s="162"/>
      <c r="X82" s="162"/>
      <c r="Y82" s="162"/>
      <c r="Z82" s="163"/>
    </row>
    <row r="83" spans="1:26" ht="78" customHeight="1" x14ac:dyDescent="0.15">
      <c r="B83" s="154"/>
      <c r="C83" s="47" t="s">
        <v>128</v>
      </c>
      <c r="D83" s="164" t="s">
        <v>175</v>
      </c>
      <c r="E83" s="164"/>
      <c r="F83" s="164"/>
      <c r="G83" s="164"/>
      <c r="H83" s="164"/>
      <c r="I83" s="164"/>
      <c r="J83" s="164"/>
      <c r="K83" s="164"/>
      <c r="L83" s="164"/>
      <c r="M83" s="164"/>
      <c r="N83" s="164"/>
      <c r="O83" s="164"/>
      <c r="P83" s="164"/>
      <c r="Q83" s="164"/>
      <c r="R83" s="164"/>
      <c r="S83" s="164"/>
      <c r="T83" s="164"/>
      <c r="U83" s="164"/>
      <c r="V83" s="164"/>
      <c r="W83" s="164"/>
      <c r="X83" s="164"/>
      <c r="Y83" s="164"/>
      <c r="Z83" s="165"/>
    </row>
    <row r="84" spans="1:26" ht="66" customHeight="1" x14ac:dyDescent="0.15">
      <c r="B84" s="150" t="s">
        <v>111</v>
      </c>
      <c r="C84" s="29" t="s">
        <v>130</v>
      </c>
      <c r="D84" s="162" t="s">
        <v>178</v>
      </c>
      <c r="E84" s="162"/>
      <c r="F84" s="162"/>
      <c r="G84" s="162"/>
      <c r="H84" s="162"/>
      <c r="I84" s="162"/>
      <c r="J84" s="162"/>
      <c r="K84" s="162"/>
      <c r="L84" s="162"/>
      <c r="M84" s="162"/>
      <c r="N84" s="162"/>
      <c r="O84" s="162"/>
      <c r="P84" s="162"/>
      <c r="Q84" s="162"/>
      <c r="R84" s="162"/>
      <c r="S84" s="162"/>
      <c r="T84" s="162"/>
      <c r="U84" s="162"/>
      <c r="V84" s="162"/>
      <c r="W84" s="162"/>
      <c r="X84" s="162"/>
      <c r="Y84" s="162"/>
      <c r="Z84" s="163"/>
    </row>
    <row r="85" spans="1:26" ht="66" customHeight="1" x14ac:dyDescent="0.15">
      <c r="B85" s="154"/>
      <c r="C85" s="31" t="s">
        <v>131</v>
      </c>
      <c r="D85" s="166" t="s">
        <v>177</v>
      </c>
      <c r="E85" s="166"/>
      <c r="F85" s="166"/>
      <c r="G85" s="166"/>
      <c r="H85" s="166"/>
      <c r="I85" s="166"/>
      <c r="J85" s="166"/>
      <c r="K85" s="166"/>
      <c r="L85" s="166"/>
      <c r="M85" s="166"/>
      <c r="N85" s="166"/>
      <c r="O85" s="166"/>
      <c r="P85" s="166"/>
      <c r="Q85" s="166"/>
      <c r="R85" s="166"/>
      <c r="S85" s="166"/>
      <c r="T85" s="166"/>
      <c r="U85" s="166"/>
      <c r="V85" s="166"/>
      <c r="W85" s="166"/>
      <c r="X85" s="166"/>
      <c r="Y85" s="166"/>
      <c r="Z85" s="167"/>
    </row>
    <row r="86" spans="1:26" ht="66" customHeight="1" x14ac:dyDescent="0.15">
      <c r="B86" s="150" t="s">
        <v>138</v>
      </c>
      <c r="C86" s="34" t="s">
        <v>106</v>
      </c>
      <c r="D86" s="152" t="s">
        <v>179</v>
      </c>
      <c r="E86" s="152"/>
      <c r="F86" s="152"/>
      <c r="G86" s="152"/>
      <c r="H86" s="152"/>
      <c r="I86" s="152"/>
      <c r="J86" s="152"/>
      <c r="K86" s="152"/>
      <c r="L86" s="152"/>
      <c r="M86" s="152"/>
      <c r="N86" s="152"/>
      <c r="O86" s="152"/>
      <c r="P86" s="152"/>
      <c r="Q86" s="152"/>
      <c r="R86" s="152"/>
      <c r="S86" s="152"/>
      <c r="T86" s="152"/>
      <c r="U86" s="152"/>
      <c r="V86" s="152"/>
      <c r="W86" s="152"/>
      <c r="X86" s="152"/>
      <c r="Y86" s="152"/>
      <c r="Z86" s="153"/>
    </row>
    <row r="87" spans="1:26" ht="66" customHeight="1" x14ac:dyDescent="0.15">
      <c r="B87" s="151"/>
      <c r="C87" s="30" t="s">
        <v>108</v>
      </c>
      <c r="D87" s="152" t="s">
        <v>179</v>
      </c>
      <c r="E87" s="152"/>
      <c r="F87" s="152"/>
      <c r="G87" s="152"/>
      <c r="H87" s="152"/>
      <c r="I87" s="152"/>
      <c r="J87" s="152"/>
      <c r="K87" s="152"/>
      <c r="L87" s="152"/>
      <c r="M87" s="152"/>
      <c r="N87" s="152"/>
      <c r="O87" s="152"/>
      <c r="P87" s="152"/>
      <c r="Q87" s="152"/>
      <c r="R87" s="152"/>
      <c r="S87" s="152"/>
      <c r="T87" s="152"/>
      <c r="U87" s="152"/>
      <c r="V87" s="152"/>
      <c r="W87" s="152"/>
      <c r="X87" s="152"/>
      <c r="Y87" s="152"/>
      <c r="Z87" s="153"/>
    </row>
    <row r="88" spans="1:26" ht="66" customHeight="1" x14ac:dyDescent="0.15">
      <c r="B88" s="150" t="s">
        <v>139</v>
      </c>
      <c r="C88" s="29" t="s">
        <v>105</v>
      </c>
      <c r="D88" s="155" t="s">
        <v>180</v>
      </c>
      <c r="E88" s="155"/>
      <c r="F88" s="155"/>
      <c r="G88" s="155"/>
      <c r="H88" s="155"/>
      <c r="I88" s="155"/>
      <c r="J88" s="155"/>
      <c r="K88" s="155"/>
      <c r="L88" s="155"/>
      <c r="M88" s="155"/>
      <c r="N88" s="155"/>
      <c r="O88" s="155"/>
      <c r="P88" s="155"/>
      <c r="Q88" s="155"/>
      <c r="R88" s="155"/>
      <c r="S88" s="155"/>
      <c r="T88" s="155"/>
      <c r="U88" s="155"/>
      <c r="V88" s="155"/>
      <c r="W88" s="155"/>
      <c r="X88" s="155"/>
      <c r="Y88" s="155"/>
      <c r="Z88" s="156"/>
    </row>
    <row r="89" spans="1:26" ht="66" customHeight="1" x14ac:dyDescent="0.15">
      <c r="B89" s="151"/>
      <c r="C89" s="30" t="s">
        <v>134</v>
      </c>
      <c r="D89" s="157" t="s">
        <v>181</v>
      </c>
      <c r="E89" s="158"/>
      <c r="F89" s="158"/>
      <c r="G89" s="158"/>
      <c r="H89" s="158"/>
      <c r="I89" s="158"/>
      <c r="J89" s="158"/>
      <c r="K89" s="158"/>
      <c r="L89" s="158"/>
      <c r="M89" s="158"/>
      <c r="N89" s="158"/>
      <c r="O89" s="158"/>
      <c r="P89" s="158"/>
      <c r="Q89" s="158"/>
      <c r="R89" s="158"/>
      <c r="S89" s="158"/>
      <c r="T89" s="158"/>
      <c r="U89" s="158"/>
      <c r="V89" s="158"/>
      <c r="W89" s="158"/>
      <c r="X89" s="158"/>
      <c r="Y89" s="158"/>
      <c r="Z89" s="159"/>
    </row>
    <row r="90" spans="1:26" ht="66" customHeight="1" x14ac:dyDescent="0.15">
      <c r="B90" s="154"/>
      <c r="C90" s="31" t="s">
        <v>135</v>
      </c>
      <c r="D90" s="160" t="s">
        <v>182</v>
      </c>
      <c r="E90" s="160"/>
      <c r="F90" s="160"/>
      <c r="G90" s="160"/>
      <c r="H90" s="160"/>
      <c r="I90" s="160"/>
      <c r="J90" s="160"/>
      <c r="K90" s="160"/>
      <c r="L90" s="160"/>
      <c r="M90" s="160"/>
      <c r="N90" s="160"/>
      <c r="O90" s="160"/>
      <c r="P90" s="160"/>
      <c r="Q90" s="160"/>
      <c r="R90" s="160"/>
      <c r="S90" s="160"/>
      <c r="T90" s="160"/>
      <c r="U90" s="160"/>
      <c r="V90" s="160"/>
      <c r="W90" s="160"/>
      <c r="X90" s="160"/>
      <c r="Y90" s="160"/>
      <c r="Z90" s="161"/>
    </row>
    <row r="91" spans="1:26" ht="6" customHeight="1" x14ac:dyDescent="0.15"/>
    <row r="92" spans="1:26" ht="18.75" customHeight="1" x14ac:dyDescent="0.15">
      <c r="A92" s="5" t="s">
        <v>143</v>
      </c>
    </row>
    <row r="93" spans="1:26" ht="18.75" customHeight="1" x14ac:dyDescent="0.15">
      <c r="B93" s="139" t="s">
        <v>209</v>
      </c>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1"/>
    </row>
    <row r="94" spans="1:26" ht="18.75" customHeight="1" x14ac:dyDescent="0.15">
      <c r="B94" s="142"/>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43"/>
    </row>
    <row r="95" spans="1:26" ht="18.75" customHeight="1" x14ac:dyDescent="0.15">
      <c r="B95" s="144"/>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6"/>
    </row>
    <row r="96" spans="1:26" ht="6" customHeight="1" x14ac:dyDescent="0.15"/>
    <row r="97" spans="1:26" ht="15" customHeight="1" x14ac:dyDescent="0.15">
      <c r="A97" s="5" t="s">
        <v>144</v>
      </c>
    </row>
    <row r="98" spans="1:26" ht="15" customHeight="1" x14ac:dyDescent="0.15">
      <c r="B98" s="147" t="str">
        <f>URL</f>
        <v>https://www.yamato-u.ac.jp/research/educational_features/mathematics_ai_data/</v>
      </c>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9"/>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FAB37D94-47CD-44B4-93C1-21F8A3DAF2C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5F31A1FF-6A15-4325-9801-5F8F6D8C3F02}">
      <formula1>"学部・学科によって、修了要件は相違する,学部・学科によって、修了要件は相違しない"</formula1>
    </dataValidation>
    <dataValidation type="list" allowBlank="1" showInputMessage="1" showErrorMessage="1" sqref="Z23 Z34 D34:K34 D23:K23 V16:V22 I16:I22 V27:V33 H60:H66 V38:V44 I27:I33 V49:V55 I38:I44 U60:U66 I49:I55" xr:uid="{6DBCFFF4-28D7-472C-8183-E013D0BAC451}">
      <formula1>"全学開講,一部開講"</formula1>
    </dataValidation>
    <dataValidation type="list" allowBlank="1" showInputMessage="1" showErrorMessage="1" sqref="Y16:Z22 L16:M22 Y27:Z33 H27:H33 H38:H44 Y38:Z44 H49:H55 Y49:Z55 Y60:Z66 L60:M66 H16:H22 U16:U22 T60:T66 U27:U33 L27:M33 U38:U44 L38:M44 U49:U55 G60:G66 L49:M55" xr:uid="{92FD8A37-C0B8-47D5-A213-1843E8014FB4}">
      <formula1>"○"</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DD9D5-9B3E-413F-A92D-CDFF12D63CB9}">
  <dimension ref="A1:AB98"/>
  <sheetViews>
    <sheetView showZeros="0" view="pageBreakPreview" topLeftCell="A52" zoomScaleNormal="100" zoomScaleSheetLayoutView="100" workbookViewId="0">
      <selection activeCell="G60" sqref="G60"/>
    </sheetView>
  </sheetViews>
  <sheetFormatPr defaultColWidth="9" defaultRowHeight="18.75" customHeight="1" x14ac:dyDescent="0.15"/>
  <cols>
    <col min="1" max="1" width="2.5" style="5" customWidth="1"/>
    <col min="2" max="2" width="27.75" style="5" customWidth="1"/>
    <col min="3" max="13" width="3.375" style="5" customWidth="1"/>
    <col min="14" max="14" width="8.875" style="5" customWidth="1"/>
    <col min="15" max="15" width="18.875" style="5" customWidth="1"/>
    <col min="16" max="19" width="3.375" style="5" customWidth="1"/>
    <col min="20" max="20" width="3.5" style="5" customWidth="1"/>
    <col min="21" max="26" width="3.375" style="5" customWidth="1"/>
    <col min="27" max="16384" width="9" style="5"/>
  </cols>
  <sheetData>
    <row r="1" spans="1:28" ht="15" customHeight="1" x14ac:dyDescent="0.15">
      <c r="W1" s="210" t="str">
        <f>"様式２－"&amp;AB1</f>
        <v>様式２－2</v>
      </c>
      <c r="X1" s="210"/>
      <c r="Y1" s="210"/>
      <c r="Z1" s="210"/>
      <c r="AB1" s="5">
        <v>2</v>
      </c>
    </row>
    <row r="2" spans="1:28" ht="18" customHeight="1" x14ac:dyDescent="0.15">
      <c r="A2" s="211" t="s">
        <v>67</v>
      </c>
      <c r="B2" s="211"/>
      <c r="C2" s="211"/>
      <c r="D2" s="211"/>
      <c r="E2" s="211"/>
      <c r="F2" s="211"/>
      <c r="G2" s="211"/>
      <c r="H2" s="211"/>
      <c r="I2" s="211"/>
      <c r="J2" s="211"/>
      <c r="K2" s="211"/>
      <c r="L2" s="211"/>
      <c r="M2" s="211"/>
      <c r="N2" s="211"/>
      <c r="O2" s="211"/>
      <c r="P2" s="211"/>
      <c r="Q2" s="211"/>
      <c r="R2" s="211"/>
      <c r="S2" s="211"/>
      <c r="T2" s="211"/>
      <c r="U2" s="211"/>
      <c r="V2" s="211"/>
      <c r="W2" s="211"/>
      <c r="X2" s="211"/>
      <c r="Y2" s="211"/>
      <c r="Z2" s="211"/>
    </row>
    <row r="3" spans="1:28" ht="15" customHeight="1" x14ac:dyDescent="0.15">
      <c r="B3" s="19"/>
      <c r="C3" s="19"/>
      <c r="D3" s="19"/>
      <c r="E3" s="19"/>
      <c r="F3" s="19"/>
      <c r="G3" s="19"/>
      <c r="H3" s="19"/>
      <c r="I3" s="19"/>
      <c r="J3" s="19"/>
      <c r="K3" s="19"/>
      <c r="L3" s="19"/>
      <c r="M3" s="19"/>
      <c r="N3" s="19"/>
      <c r="O3" s="19"/>
      <c r="P3" s="19"/>
      <c r="Q3" s="19"/>
      <c r="R3" s="19"/>
      <c r="S3" s="19"/>
      <c r="T3" s="19"/>
      <c r="U3" s="19"/>
      <c r="V3" s="19"/>
      <c r="W3" s="19"/>
      <c r="X3" s="19"/>
      <c r="Y3" s="19"/>
      <c r="Z3" s="19"/>
    </row>
    <row r="4" spans="1:28" ht="18" customHeight="1" x14ac:dyDescent="0.15">
      <c r="A4" s="5" t="s">
        <v>99</v>
      </c>
      <c r="B4" s="19"/>
      <c r="C4" s="19"/>
      <c r="D4" s="19"/>
      <c r="E4" s="19"/>
      <c r="F4" s="19"/>
      <c r="G4" s="19"/>
      <c r="H4" s="6" t="s">
        <v>112</v>
      </c>
      <c r="I4" s="19"/>
      <c r="J4" s="19"/>
      <c r="K4" s="19"/>
      <c r="L4" s="19"/>
      <c r="M4" s="19"/>
      <c r="N4" s="19"/>
      <c r="O4" s="112" t="s">
        <v>160</v>
      </c>
      <c r="P4" s="113"/>
      <c r="Q4" s="113"/>
      <c r="R4" s="113"/>
      <c r="S4" s="113"/>
      <c r="T4" s="113"/>
      <c r="U4" s="113"/>
      <c r="V4" s="113"/>
      <c r="W4" s="113"/>
      <c r="X4" s="113"/>
      <c r="Y4" s="113"/>
      <c r="Z4" s="114"/>
    </row>
    <row r="5" spans="1:28" ht="6" customHeight="1" x14ac:dyDescent="0.15">
      <c r="B5" s="19"/>
      <c r="C5" s="19"/>
      <c r="D5" s="19"/>
      <c r="E5" s="19"/>
      <c r="F5" s="19"/>
      <c r="G5" s="19"/>
      <c r="H5" s="19"/>
      <c r="I5" s="19"/>
      <c r="J5" s="19"/>
      <c r="K5" s="19"/>
      <c r="L5" s="19"/>
      <c r="M5" s="19"/>
      <c r="N5" s="19"/>
      <c r="O5" s="7"/>
      <c r="P5" s="19"/>
      <c r="Q5" s="19"/>
      <c r="R5" s="19"/>
      <c r="S5" s="19"/>
      <c r="T5" s="19"/>
      <c r="U5" s="19"/>
      <c r="V5" s="19"/>
      <c r="W5" s="19"/>
      <c r="X5" s="19"/>
      <c r="Y5" s="19"/>
      <c r="Z5" s="19"/>
    </row>
    <row r="6" spans="1:28" ht="18" customHeight="1" x14ac:dyDescent="0.15">
      <c r="B6" s="212" t="str">
        <f>VLOOKUP(AB1,'(作業用)'!B4:D7,2)&amp;"では、「"&amp;VLOOKUP(AB1,'(作業用)'!B4:D7,3)&amp;"」1単位と「AIデータサイエンス入門」2単位を取得すること。"</f>
        <v>政治経済学部では、「情報処理Ⅰ」1単位と「AIデータサイエンス入門」2単位を取得すること。</v>
      </c>
      <c r="C6" s="213"/>
      <c r="D6" s="213"/>
      <c r="E6" s="213"/>
      <c r="F6" s="213"/>
      <c r="G6" s="213"/>
      <c r="H6" s="213"/>
      <c r="I6" s="213"/>
      <c r="J6" s="213"/>
      <c r="K6" s="213"/>
      <c r="L6" s="213"/>
      <c r="M6" s="213"/>
      <c r="N6" s="213"/>
      <c r="O6" s="213"/>
      <c r="P6" s="213"/>
      <c r="Q6" s="213"/>
      <c r="R6" s="213"/>
      <c r="S6" s="213"/>
      <c r="T6" s="213"/>
      <c r="U6" s="213"/>
      <c r="V6" s="213"/>
      <c r="W6" s="213"/>
      <c r="X6" s="213"/>
      <c r="Y6" s="213"/>
      <c r="Z6" s="214"/>
    </row>
    <row r="7" spans="1:28" ht="18" customHeight="1" x14ac:dyDescent="0.15">
      <c r="B7" s="215"/>
      <c r="C7" s="216"/>
      <c r="D7" s="216"/>
      <c r="E7" s="216"/>
      <c r="F7" s="216"/>
      <c r="G7" s="216"/>
      <c r="H7" s="216"/>
      <c r="I7" s="216"/>
      <c r="J7" s="216"/>
      <c r="K7" s="216"/>
      <c r="L7" s="216"/>
      <c r="M7" s="216"/>
      <c r="N7" s="216"/>
      <c r="O7" s="216"/>
      <c r="P7" s="216"/>
      <c r="Q7" s="216"/>
      <c r="R7" s="216"/>
      <c r="S7" s="216"/>
      <c r="T7" s="216"/>
      <c r="U7" s="216"/>
      <c r="V7" s="216"/>
      <c r="W7" s="216"/>
      <c r="X7" s="216"/>
      <c r="Y7" s="216"/>
      <c r="Z7" s="217"/>
    </row>
    <row r="8" spans="1:28" ht="18" customHeight="1" x14ac:dyDescent="0.15">
      <c r="B8" s="215"/>
      <c r="C8" s="216"/>
      <c r="D8" s="216"/>
      <c r="E8" s="216"/>
      <c r="F8" s="216"/>
      <c r="G8" s="216"/>
      <c r="H8" s="216"/>
      <c r="I8" s="216"/>
      <c r="J8" s="216"/>
      <c r="K8" s="216"/>
      <c r="L8" s="216"/>
      <c r="M8" s="216"/>
      <c r="N8" s="216"/>
      <c r="O8" s="216"/>
      <c r="P8" s="216"/>
      <c r="Q8" s="216"/>
      <c r="R8" s="216"/>
      <c r="S8" s="216"/>
      <c r="T8" s="216"/>
      <c r="U8" s="216"/>
      <c r="V8" s="216"/>
      <c r="W8" s="216"/>
      <c r="X8" s="216"/>
      <c r="Y8" s="216"/>
      <c r="Z8" s="217"/>
    </row>
    <row r="9" spans="1:28" ht="18" customHeight="1" x14ac:dyDescent="0.15">
      <c r="B9" s="215"/>
      <c r="C9" s="216"/>
      <c r="D9" s="216"/>
      <c r="E9" s="216"/>
      <c r="F9" s="216"/>
      <c r="G9" s="216"/>
      <c r="H9" s="216"/>
      <c r="I9" s="216"/>
      <c r="J9" s="216"/>
      <c r="K9" s="216"/>
      <c r="L9" s="216"/>
      <c r="M9" s="216"/>
      <c r="N9" s="216"/>
      <c r="O9" s="216"/>
      <c r="P9" s="216"/>
      <c r="Q9" s="216"/>
      <c r="R9" s="216"/>
      <c r="S9" s="216"/>
      <c r="T9" s="216"/>
      <c r="U9" s="216"/>
      <c r="V9" s="216"/>
      <c r="W9" s="216"/>
      <c r="X9" s="216"/>
      <c r="Y9" s="216"/>
      <c r="Z9" s="217"/>
    </row>
    <row r="10" spans="1:28" ht="18" customHeight="1" x14ac:dyDescent="0.15">
      <c r="B10" s="215"/>
      <c r="C10" s="218"/>
      <c r="D10" s="218"/>
      <c r="E10" s="218"/>
      <c r="F10" s="218"/>
      <c r="G10" s="218"/>
      <c r="H10" s="218"/>
      <c r="I10" s="218"/>
      <c r="J10" s="218"/>
      <c r="K10" s="218"/>
      <c r="L10" s="218"/>
      <c r="M10" s="218"/>
      <c r="N10" s="218"/>
      <c r="O10" s="218"/>
      <c r="P10" s="218"/>
      <c r="Q10" s="218"/>
      <c r="R10" s="218"/>
      <c r="S10" s="218"/>
      <c r="T10" s="218"/>
      <c r="U10" s="218"/>
      <c r="V10" s="218"/>
      <c r="W10" s="218"/>
      <c r="X10" s="218"/>
      <c r="Y10" s="218"/>
      <c r="Z10" s="217"/>
    </row>
    <row r="11" spans="1:28" ht="18" customHeight="1" x14ac:dyDescent="0.15">
      <c r="B11" s="219"/>
      <c r="C11" s="220"/>
      <c r="D11" s="220"/>
      <c r="E11" s="220"/>
      <c r="F11" s="220"/>
      <c r="G11" s="220"/>
      <c r="H11" s="220"/>
      <c r="I11" s="220"/>
      <c r="J11" s="220"/>
      <c r="K11" s="220"/>
      <c r="L11" s="220"/>
      <c r="M11" s="220"/>
      <c r="N11" s="220"/>
      <c r="O11" s="220"/>
      <c r="P11" s="220"/>
      <c r="Q11" s="220"/>
      <c r="R11" s="220"/>
      <c r="S11" s="220"/>
      <c r="T11" s="220"/>
      <c r="U11" s="220"/>
      <c r="V11" s="220"/>
      <c r="W11" s="220"/>
      <c r="X11" s="220"/>
      <c r="Y11" s="220"/>
      <c r="Z11" s="221"/>
    </row>
    <row r="12" spans="1:28" ht="7.5" customHeight="1" x14ac:dyDescent="0.15">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8" ht="18" customHeight="1" x14ac:dyDescent="0.15">
      <c r="A13" s="203" t="s">
        <v>125</v>
      </c>
      <c r="B13" s="203"/>
      <c r="C13" s="203"/>
      <c r="D13" s="203"/>
      <c r="E13" s="203"/>
      <c r="F13" s="203"/>
      <c r="G13" s="203"/>
      <c r="H13" s="203"/>
      <c r="I13" s="203"/>
      <c r="J13" s="203"/>
      <c r="K13" s="203"/>
      <c r="L13" s="203"/>
      <c r="M13" s="203"/>
      <c r="N13" s="203"/>
      <c r="O13" s="203"/>
      <c r="P13" s="203"/>
      <c r="Q13" s="203"/>
      <c r="R13" s="203"/>
      <c r="S13" s="203"/>
      <c r="T13" s="203"/>
      <c r="U13" s="203"/>
      <c r="V13" s="203"/>
      <c r="W13" s="203"/>
      <c r="X13" s="203"/>
      <c r="Y13" s="203"/>
      <c r="Z13" s="203"/>
    </row>
    <row r="14" spans="1:28" ht="18" customHeight="1" x14ac:dyDescent="0.15">
      <c r="A14" s="203"/>
      <c r="B14" s="203"/>
      <c r="C14" s="203"/>
      <c r="D14" s="203"/>
      <c r="E14" s="203"/>
      <c r="F14" s="203"/>
      <c r="G14" s="203"/>
      <c r="H14" s="203"/>
      <c r="I14" s="203"/>
      <c r="J14" s="203"/>
      <c r="K14" s="203"/>
      <c r="L14" s="203"/>
      <c r="M14" s="203"/>
      <c r="N14" s="203"/>
      <c r="O14" s="203"/>
      <c r="P14" s="203"/>
      <c r="Q14" s="203"/>
      <c r="R14" s="203"/>
      <c r="S14" s="203"/>
      <c r="T14" s="203"/>
      <c r="U14" s="203"/>
      <c r="V14" s="203"/>
      <c r="W14" s="203"/>
      <c r="X14" s="203"/>
      <c r="Y14" s="203"/>
      <c r="Z14" s="203"/>
    </row>
    <row r="15" spans="1:28" ht="18" customHeight="1" x14ac:dyDescent="0.15">
      <c r="B15" s="112" t="s">
        <v>100</v>
      </c>
      <c r="C15" s="113"/>
      <c r="D15" s="113"/>
      <c r="E15" s="113"/>
      <c r="F15" s="114"/>
      <c r="G15" s="20" t="s">
        <v>141</v>
      </c>
      <c r="H15" s="48" t="s">
        <v>140</v>
      </c>
      <c r="I15" s="113" t="s">
        <v>101</v>
      </c>
      <c r="J15" s="113"/>
      <c r="K15" s="113"/>
      <c r="L15" s="26" t="s">
        <v>104</v>
      </c>
      <c r="M15" s="26" t="s">
        <v>107</v>
      </c>
      <c r="N15" s="112" t="s">
        <v>100</v>
      </c>
      <c r="O15" s="113"/>
      <c r="P15" s="113"/>
      <c r="Q15" s="113"/>
      <c r="R15" s="113"/>
      <c r="S15" s="114"/>
      <c r="T15" s="20" t="s">
        <v>141</v>
      </c>
      <c r="U15" s="48" t="s">
        <v>140</v>
      </c>
      <c r="V15" s="113" t="s">
        <v>101</v>
      </c>
      <c r="W15" s="113"/>
      <c r="X15" s="113"/>
      <c r="Y15" s="26" t="s">
        <v>104</v>
      </c>
      <c r="Z15" s="26" t="s">
        <v>107</v>
      </c>
    </row>
    <row r="16" spans="1:28" ht="18" customHeight="1" x14ac:dyDescent="0.15">
      <c r="B16" s="207" t="s">
        <v>152</v>
      </c>
      <c r="C16" s="208"/>
      <c r="D16" s="208"/>
      <c r="E16" s="208"/>
      <c r="F16" s="209"/>
      <c r="G16" s="49">
        <v>2</v>
      </c>
      <c r="H16" s="49" t="s">
        <v>169</v>
      </c>
      <c r="I16" s="197" t="s">
        <v>168</v>
      </c>
      <c r="J16" s="198"/>
      <c r="K16" s="199"/>
      <c r="L16" s="49" t="s">
        <v>169</v>
      </c>
      <c r="M16" s="49" t="s">
        <v>169</v>
      </c>
      <c r="N16" s="182"/>
      <c r="O16" s="183"/>
      <c r="P16" s="183"/>
      <c r="Q16" s="183"/>
      <c r="R16" s="183"/>
      <c r="S16" s="184"/>
      <c r="T16" s="49"/>
      <c r="U16" s="49"/>
      <c r="V16" s="197"/>
      <c r="W16" s="198"/>
      <c r="X16" s="199"/>
      <c r="Y16" s="49"/>
      <c r="Z16" s="49"/>
    </row>
    <row r="17" spans="1:26" ht="18" customHeight="1" x14ac:dyDescent="0.15">
      <c r="B17" s="204"/>
      <c r="C17" s="205"/>
      <c r="D17" s="205"/>
      <c r="E17" s="205"/>
      <c r="F17" s="206"/>
      <c r="G17" s="50"/>
      <c r="H17" s="50"/>
      <c r="I17" s="194"/>
      <c r="J17" s="195"/>
      <c r="K17" s="196"/>
      <c r="L17" s="50"/>
      <c r="M17" s="50"/>
      <c r="N17" s="176"/>
      <c r="O17" s="177"/>
      <c r="P17" s="177"/>
      <c r="Q17" s="177"/>
      <c r="R17" s="177"/>
      <c r="S17" s="178"/>
      <c r="T17" s="50"/>
      <c r="U17" s="50"/>
      <c r="V17" s="194"/>
      <c r="W17" s="195"/>
      <c r="X17" s="196"/>
      <c r="Y17" s="50"/>
      <c r="Z17" s="50"/>
    </row>
    <row r="18" spans="1:26" ht="18" customHeight="1" x14ac:dyDescent="0.15">
      <c r="B18" s="204"/>
      <c r="C18" s="205"/>
      <c r="D18" s="205"/>
      <c r="E18" s="205"/>
      <c r="F18" s="206"/>
      <c r="G18" s="50"/>
      <c r="H18" s="50"/>
      <c r="I18" s="194"/>
      <c r="J18" s="195"/>
      <c r="K18" s="196"/>
      <c r="L18" s="50"/>
      <c r="M18" s="50"/>
      <c r="N18" s="176"/>
      <c r="O18" s="177"/>
      <c r="P18" s="177"/>
      <c r="Q18" s="177"/>
      <c r="R18" s="177"/>
      <c r="S18" s="178"/>
      <c r="T18" s="50"/>
      <c r="U18" s="50"/>
      <c r="V18" s="194"/>
      <c r="W18" s="195"/>
      <c r="X18" s="196"/>
      <c r="Y18" s="50"/>
      <c r="Z18" s="50"/>
    </row>
    <row r="19" spans="1:26" ht="18" customHeight="1" x14ac:dyDescent="0.15">
      <c r="B19" s="204"/>
      <c r="C19" s="205"/>
      <c r="D19" s="205"/>
      <c r="E19" s="205"/>
      <c r="F19" s="206"/>
      <c r="G19" s="50"/>
      <c r="H19" s="50"/>
      <c r="I19" s="194"/>
      <c r="J19" s="195"/>
      <c r="K19" s="196"/>
      <c r="L19" s="50"/>
      <c r="M19" s="50"/>
      <c r="N19" s="176"/>
      <c r="O19" s="177"/>
      <c r="P19" s="177"/>
      <c r="Q19" s="177"/>
      <c r="R19" s="177"/>
      <c r="S19" s="178"/>
      <c r="T19" s="50"/>
      <c r="U19" s="50"/>
      <c r="V19" s="194"/>
      <c r="W19" s="195"/>
      <c r="X19" s="196"/>
      <c r="Y19" s="50"/>
      <c r="Z19" s="50"/>
    </row>
    <row r="20" spans="1:26" ht="18" customHeight="1" x14ac:dyDescent="0.15">
      <c r="B20" s="204"/>
      <c r="C20" s="205"/>
      <c r="D20" s="205"/>
      <c r="E20" s="205"/>
      <c r="F20" s="206"/>
      <c r="G20" s="50"/>
      <c r="H20" s="50"/>
      <c r="I20" s="194"/>
      <c r="J20" s="195"/>
      <c r="K20" s="196"/>
      <c r="L20" s="50"/>
      <c r="M20" s="50"/>
      <c r="N20" s="176"/>
      <c r="O20" s="177"/>
      <c r="P20" s="177"/>
      <c r="Q20" s="177"/>
      <c r="R20" s="177"/>
      <c r="S20" s="178"/>
      <c r="T20" s="50"/>
      <c r="U20" s="50"/>
      <c r="V20" s="194"/>
      <c r="W20" s="195"/>
      <c r="X20" s="196"/>
      <c r="Y20" s="50"/>
      <c r="Z20" s="50"/>
    </row>
    <row r="21" spans="1:26" ht="18" customHeight="1" x14ac:dyDescent="0.15">
      <c r="A21" s="19"/>
      <c r="B21" s="204"/>
      <c r="C21" s="205"/>
      <c r="D21" s="205"/>
      <c r="E21" s="205"/>
      <c r="F21" s="206"/>
      <c r="G21" s="50"/>
      <c r="H21" s="50"/>
      <c r="I21" s="194"/>
      <c r="J21" s="195"/>
      <c r="K21" s="196"/>
      <c r="L21" s="50"/>
      <c r="M21" s="50"/>
      <c r="N21" s="176"/>
      <c r="O21" s="177"/>
      <c r="P21" s="177"/>
      <c r="Q21" s="177"/>
      <c r="R21" s="177"/>
      <c r="S21" s="178"/>
      <c r="T21" s="50"/>
      <c r="U21" s="50"/>
      <c r="V21" s="194"/>
      <c r="W21" s="195"/>
      <c r="X21" s="196"/>
      <c r="Y21" s="50"/>
      <c r="Z21" s="50"/>
    </row>
    <row r="22" spans="1:26" ht="18" customHeight="1" x14ac:dyDescent="0.15">
      <c r="A22" s="19"/>
      <c r="B22" s="200"/>
      <c r="C22" s="201"/>
      <c r="D22" s="201"/>
      <c r="E22" s="201"/>
      <c r="F22" s="202"/>
      <c r="G22" s="51"/>
      <c r="H22" s="51"/>
      <c r="I22" s="188"/>
      <c r="J22" s="189"/>
      <c r="K22" s="190"/>
      <c r="L22" s="53"/>
      <c r="M22" s="53"/>
      <c r="N22" s="168"/>
      <c r="O22" s="169"/>
      <c r="P22" s="169"/>
      <c r="Q22" s="169"/>
      <c r="R22" s="169"/>
      <c r="S22" s="170"/>
      <c r="T22" s="51"/>
      <c r="U22" s="51"/>
      <c r="V22" s="188"/>
      <c r="W22" s="189"/>
      <c r="X22" s="190"/>
      <c r="Y22" s="53"/>
      <c r="Z22" s="53"/>
    </row>
    <row r="23" spans="1:26" ht="7.5" customHeight="1" x14ac:dyDescent="0.15">
      <c r="A23" s="19"/>
      <c r="B23" s="27"/>
      <c r="C23" s="27"/>
      <c r="D23" s="19"/>
      <c r="E23" s="19"/>
      <c r="F23" s="19"/>
      <c r="G23" s="19"/>
      <c r="H23" s="19"/>
      <c r="I23" s="19"/>
      <c r="J23" s="19"/>
      <c r="K23" s="19"/>
      <c r="L23" s="27"/>
      <c r="M23" s="27"/>
      <c r="N23" s="27"/>
      <c r="O23" s="27"/>
      <c r="P23" s="27"/>
      <c r="Q23" s="27"/>
      <c r="R23" s="27"/>
      <c r="S23" s="27"/>
      <c r="T23" s="27"/>
      <c r="U23" s="27"/>
      <c r="V23" s="27"/>
      <c r="W23" s="27"/>
      <c r="X23" s="27"/>
      <c r="Y23" s="27"/>
      <c r="Z23" s="19"/>
    </row>
    <row r="24" spans="1:26" ht="18" customHeight="1" x14ac:dyDescent="0.15">
      <c r="A24" s="203" t="s">
        <v>126</v>
      </c>
      <c r="B24" s="203"/>
      <c r="C24" s="203"/>
      <c r="D24" s="203"/>
      <c r="E24" s="203"/>
      <c r="F24" s="203"/>
      <c r="G24" s="203"/>
      <c r="H24" s="203"/>
      <c r="I24" s="203"/>
      <c r="J24" s="203"/>
      <c r="K24" s="203"/>
      <c r="L24" s="203"/>
      <c r="M24" s="203"/>
      <c r="N24" s="203"/>
      <c r="O24" s="203"/>
      <c r="P24" s="203"/>
      <c r="Q24" s="203"/>
      <c r="R24" s="203"/>
      <c r="S24" s="203"/>
      <c r="T24" s="203"/>
      <c r="U24" s="203"/>
      <c r="V24" s="203"/>
      <c r="W24" s="203"/>
      <c r="X24" s="203"/>
      <c r="Y24" s="203"/>
      <c r="Z24" s="203"/>
    </row>
    <row r="25" spans="1:26" ht="18" customHeight="1" x14ac:dyDescent="0.15">
      <c r="A25" s="203"/>
      <c r="B25" s="203"/>
      <c r="C25" s="203"/>
      <c r="D25" s="203"/>
      <c r="E25" s="203"/>
      <c r="F25" s="203"/>
      <c r="G25" s="203"/>
      <c r="H25" s="203"/>
      <c r="I25" s="203"/>
      <c r="J25" s="203"/>
      <c r="K25" s="203"/>
      <c r="L25" s="203"/>
      <c r="M25" s="203"/>
      <c r="N25" s="203"/>
      <c r="O25" s="203"/>
      <c r="P25" s="203"/>
      <c r="Q25" s="203"/>
      <c r="R25" s="203"/>
      <c r="S25" s="203"/>
      <c r="T25" s="203"/>
      <c r="U25" s="203"/>
      <c r="V25" s="203"/>
      <c r="W25" s="203"/>
      <c r="X25" s="203"/>
      <c r="Y25" s="203"/>
      <c r="Z25" s="203"/>
    </row>
    <row r="26" spans="1:26" ht="18" customHeight="1" x14ac:dyDescent="0.15">
      <c r="B26" s="112" t="s">
        <v>100</v>
      </c>
      <c r="C26" s="113"/>
      <c r="D26" s="113"/>
      <c r="E26" s="113"/>
      <c r="F26" s="114"/>
      <c r="G26" s="20" t="s">
        <v>141</v>
      </c>
      <c r="H26" s="48" t="s">
        <v>140</v>
      </c>
      <c r="I26" s="113" t="s">
        <v>101</v>
      </c>
      <c r="J26" s="113"/>
      <c r="K26" s="113"/>
      <c r="L26" s="26" t="s">
        <v>127</v>
      </c>
      <c r="M26" s="26" t="s">
        <v>128</v>
      </c>
      <c r="N26" s="112" t="s">
        <v>100</v>
      </c>
      <c r="O26" s="113"/>
      <c r="P26" s="113"/>
      <c r="Q26" s="113"/>
      <c r="R26" s="113"/>
      <c r="S26" s="114"/>
      <c r="T26" s="20" t="s">
        <v>141</v>
      </c>
      <c r="U26" s="48" t="s">
        <v>140</v>
      </c>
      <c r="V26" s="113" t="s">
        <v>101</v>
      </c>
      <c r="W26" s="113"/>
      <c r="X26" s="113"/>
      <c r="Y26" s="26" t="s">
        <v>127</v>
      </c>
      <c r="Z26" s="26" t="s">
        <v>128</v>
      </c>
    </row>
    <row r="27" spans="1:26" ht="18" customHeight="1" x14ac:dyDescent="0.15">
      <c r="B27" s="207" t="s">
        <v>152</v>
      </c>
      <c r="C27" s="208"/>
      <c r="D27" s="208"/>
      <c r="E27" s="208"/>
      <c r="F27" s="209"/>
      <c r="G27" s="49">
        <v>2</v>
      </c>
      <c r="H27" s="49" t="s">
        <v>169</v>
      </c>
      <c r="I27" s="197" t="s">
        <v>168</v>
      </c>
      <c r="J27" s="198"/>
      <c r="K27" s="199"/>
      <c r="L27" s="49" t="s">
        <v>169</v>
      </c>
      <c r="M27" s="49" t="s">
        <v>169</v>
      </c>
      <c r="N27" s="182"/>
      <c r="O27" s="183"/>
      <c r="P27" s="183"/>
      <c r="Q27" s="183"/>
      <c r="R27" s="183"/>
      <c r="S27" s="184"/>
      <c r="T27" s="49"/>
      <c r="U27" s="49"/>
      <c r="V27" s="197"/>
      <c r="W27" s="198"/>
      <c r="X27" s="199"/>
      <c r="Y27" s="49"/>
      <c r="Z27" s="49"/>
    </row>
    <row r="28" spans="1:26" ht="18" customHeight="1" x14ac:dyDescent="0.15">
      <c r="B28" s="204"/>
      <c r="C28" s="205"/>
      <c r="D28" s="205"/>
      <c r="E28" s="205"/>
      <c r="F28" s="206"/>
      <c r="G28" s="50"/>
      <c r="H28" s="50"/>
      <c r="I28" s="194"/>
      <c r="J28" s="195"/>
      <c r="K28" s="196"/>
      <c r="L28" s="50"/>
      <c r="M28" s="50"/>
      <c r="N28" s="176"/>
      <c r="O28" s="177"/>
      <c r="P28" s="177"/>
      <c r="Q28" s="177"/>
      <c r="R28" s="177"/>
      <c r="S28" s="178"/>
      <c r="T28" s="50"/>
      <c r="U28" s="50"/>
      <c r="V28" s="194"/>
      <c r="W28" s="195"/>
      <c r="X28" s="196"/>
      <c r="Y28" s="50"/>
      <c r="Z28" s="50"/>
    </row>
    <row r="29" spans="1:26" ht="18" customHeight="1" x14ac:dyDescent="0.15">
      <c r="B29" s="204"/>
      <c r="C29" s="205"/>
      <c r="D29" s="205"/>
      <c r="E29" s="205"/>
      <c r="F29" s="206"/>
      <c r="G29" s="50"/>
      <c r="H29" s="50"/>
      <c r="I29" s="194"/>
      <c r="J29" s="195"/>
      <c r="K29" s="196"/>
      <c r="L29" s="50"/>
      <c r="M29" s="50"/>
      <c r="N29" s="176"/>
      <c r="O29" s="177"/>
      <c r="P29" s="177"/>
      <c r="Q29" s="177"/>
      <c r="R29" s="177"/>
      <c r="S29" s="178"/>
      <c r="T29" s="50"/>
      <c r="U29" s="50"/>
      <c r="V29" s="194"/>
      <c r="W29" s="195"/>
      <c r="X29" s="196"/>
      <c r="Y29" s="50"/>
      <c r="Z29" s="50"/>
    </row>
    <row r="30" spans="1:26" ht="18" customHeight="1" x14ac:dyDescent="0.15">
      <c r="B30" s="204"/>
      <c r="C30" s="205"/>
      <c r="D30" s="205"/>
      <c r="E30" s="205"/>
      <c r="F30" s="206"/>
      <c r="G30" s="50"/>
      <c r="H30" s="50"/>
      <c r="I30" s="194"/>
      <c r="J30" s="195"/>
      <c r="K30" s="196"/>
      <c r="L30" s="50"/>
      <c r="M30" s="50"/>
      <c r="N30" s="176"/>
      <c r="O30" s="177"/>
      <c r="P30" s="177"/>
      <c r="Q30" s="177"/>
      <c r="R30" s="177"/>
      <c r="S30" s="178"/>
      <c r="T30" s="50"/>
      <c r="U30" s="50"/>
      <c r="V30" s="194"/>
      <c r="W30" s="195"/>
      <c r="X30" s="196"/>
      <c r="Y30" s="50"/>
      <c r="Z30" s="50"/>
    </row>
    <row r="31" spans="1:26" ht="18" customHeight="1" x14ac:dyDescent="0.15">
      <c r="B31" s="204"/>
      <c r="C31" s="205"/>
      <c r="D31" s="205"/>
      <c r="E31" s="205"/>
      <c r="F31" s="206"/>
      <c r="G31" s="50"/>
      <c r="H31" s="50"/>
      <c r="I31" s="194"/>
      <c r="J31" s="195"/>
      <c r="K31" s="196"/>
      <c r="L31" s="50"/>
      <c r="M31" s="50"/>
      <c r="N31" s="176"/>
      <c r="O31" s="177"/>
      <c r="P31" s="177"/>
      <c r="Q31" s="177"/>
      <c r="R31" s="177"/>
      <c r="S31" s="178"/>
      <c r="T31" s="50"/>
      <c r="U31" s="50"/>
      <c r="V31" s="194"/>
      <c r="W31" s="195"/>
      <c r="X31" s="196"/>
      <c r="Y31" s="50"/>
      <c r="Z31" s="50"/>
    </row>
    <row r="32" spans="1:26" ht="18" customHeight="1" x14ac:dyDescent="0.15">
      <c r="B32" s="204"/>
      <c r="C32" s="205"/>
      <c r="D32" s="205"/>
      <c r="E32" s="205"/>
      <c r="F32" s="206"/>
      <c r="G32" s="50"/>
      <c r="H32" s="50"/>
      <c r="I32" s="194"/>
      <c r="J32" s="195"/>
      <c r="K32" s="196"/>
      <c r="L32" s="50"/>
      <c r="M32" s="50"/>
      <c r="N32" s="176"/>
      <c r="O32" s="177"/>
      <c r="P32" s="177"/>
      <c r="Q32" s="177"/>
      <c r="R32" s="177"/>
      <c r="S32" s="178"/>
      <c r="T32" s="50"/>
      <c r="U32" s="50"/>
      <c r="V32" s="194"/>
      <c r="W32" s="195"/>
      <c r="X32" s="196"/>
      <c r="Y32" s="50"/>
      <c r="Z32" s="50"/>
    </row>
    <row r="33" spans="1:26" ht="18" customHeight="1" x14ac:dyDescent="0.15">
      <c r="B33" s="200"/>
      <c r="C33" s="201"/>
      <c r="D33" s="201"/>
      <c r="E33" s="201"/>
      <c r="F33" s="202"/>
      <c r="G33" s="51"/>
      <c r="H33" s="51"/>
      <c r="I33" s="188"/>
      <c r="J33" s="189"/>
      <c r="K33" s="190"/>
      <c r="L33" s="53"/>
      <c r="M33" s="53"/>
      <c r="N33" s="168"/>
      <c r="O33" s="169"/>
      <c r="P33" s="169"/>
      <c r="Q33" s="169"/>
      <c r="R33" s="169"/>
      <c r="S33" s="170"/>
      <c r="T33" s="51"/>
      <c r="U33" s="51"/>
      <c r="V33" s="188"/>
      <c r="W33" s="189"/>
      <c r="X33" s="190"/>
      <c r="Y33" s="53"/>
      <c r="Z33" s="53"/>
    </row>
    <row r="34" spans="1:26" ht="7.5" customHeight="1" x14ac:dyDescent="0.15">
      <c r="A34" s="19"/>
      <c r="B34" s="27"/>
      <c r="C34" s="27"/>
      <c r="D34" s="19"/>
      <c r="E34" s="19"/>
      <c r="F34" s="19"/>
      <c r="G34" s="19"/>
      <c r="H34" s="19"/>
      <c r="I34" s="19"/>
      <c r="J34" s="19"/>
      <c r="K34" s="19"/>
      <c r="L34" s="27"/>
      <c r="M34" s="27"/>
      <c r="N34" s="27"/>
      <c r="O34" s="27"/>
      <c r="P34" s="27"/>
      <c r="Q34" s="27"/>
      <c r="R34" s="27"/>
      <c r="S34" s="27"/>
      <c r="T34" s="27"/>
      <c r="U34" s="27"/>
      <c r="V34" s="27"/>
      <c r="W34" s="27"/>
      <c r="X34" s="27"/>
      <c r="Y34" s="27"/>
      <c r="Z34" s="19"/>
    </row>
    <row r="35" spans="1:26" ht="18" customHeight="1" x14ac:dyDescent="0.15">
      <c r="A35" s="203" t="s">
        <v>129</v>
      </c>
      <c r="B35" s="203"/>
      <c r="C35" s="203"/>
      <c r="D35" s="203"/>
      <c r="E35" s="203"/>
      <c r="F35" s="203"/>
      <c r="G35" s="203"/>
      <c r="H35" s="203"/>
      <c r="I35" s="203"/>
      <c r="J35" s="203"/>
      <c r="K35" s="203"/>
      <c r="L35" s="203"/>
      <c r="M35" s="203"/>
      <c r="N35" s="203"/>
      <c r="O35" s="203"/>
      <c r="P35" s="203"/>
      <c r="Q35" s="203"/>
      <c r="R35" s="203"/>
      <c r="S35" s="203"/>
      <c r="T35" s="203"/>
      <c r="U35" s="203"/>
      <c r="V35" s="203"/>
      <c r="W35" s="203"/>
      <c r="X35" s="203"/>
      <c r="Y35" s="203"/>
      <c r="Z35" s="203"/>
    </row>
    <row r="36" spans="1:26" ht="18" customHeight="1" x14ac:dyDescent="0.15">
      <c r="A36" s="203"/>
      <c r="B36" s="203"/>
      <c r="C36" s="203"/>
      <c r="D36" s="203"/>
      <c r="E36" s="203"/>
      <c r="F36" s="203"/>
      <c r="G36" s="203"/>
      <c r="H36" s="203"/>
      <c r="I36" s="203"/>
      <c r="J36" s="203"/>
      <c r="K36" s="203"/>
      <c r="L36" s="203"/>
      <c r="M36" s="203"/>
      <c r="N36" s="203"/>
      <c r="O36" s="203"/>
      <c r="P36" s="203"/>
      <c r="Q36" s="203"/>
      <c r="R36" s="203"/>
      <c r="S36" s="203"/>
      <c r="T36" s="203"/>
      <c r="U36" s="203"/>
      <c r="V36" s="203"/>
      <c r="W36" s="203"/>
      <c r="X36" s="203"/>
      <c r="Y36" s="203"/>
      <c r="Z36" s="203"/>
    </row>
    <row r="37" spans="1:26" ht="18" customHeight="1" x14ac:dyDescent="0.15">
      <c r="B37" s="112" t="s">
        <v>100</v>
      </c>
      <c r="C37" s="113"/>
      <c r="D37" s="113"/>
      <c r="E37" s="113"/>
      <c r="F37" s="114"/>
      <c r="G37" s="20" t="s">
        <v>141</v>
      </c>
      <c r="H37" s="48" t="s">
        <v>140</v>
      </c>
      <c r="I37" s="112" t="s">
        <v>101</v>
      </c>
      <c r="J37" s="113"/>
      <c r="K37" s="114"/>
      <c r="L37" s="26" t="s">
        <v>130</v>
      </c>
      <c r="M37" s="26" t="s">
        <v>131</v>
      </c>
      <c r="N37" s="112" t="s">
        <v>100</v>
      </c>
      <c r="O37" s="113"/>
      <c r="P37" s="113"/>
      <c r="Q37" s="113"/>
      <c r="R37" s="113"/>
      <c r="S37" s="114"/>
      <c r="T37" s="20" t="s">
        <v>141</v>
      </c>
      <c r="U37" s="48" t="s">
        <v>140</v>
      </c>
      <c r="V37" s="112" t="s">
        <v>101</v>
      </c>
      <c r="W37" s="113"/>
      <c r="X37" s="114"/>
      <c r="Y37" s="26" t="s">
        <v>130</v>
      </c>
      <c r="Z37" s="26" t="s">
        <v>131</v>
      </c>
    </row>
    <row r="38" spans="1:26" ht="18" customHeight="1" x14ac:dyDescent="0.15">
      <c r="A38" s="19"/>
      <c r="B38" s="207" t="s">
        <v>152</v>
      </c>
      <c r="C38" s="208"/>
      <c r="D38" s="208"/>
      <c r="E38" s="208"/>
      <c r="F38" s="209"/>
      <c r="G38" s="49">
        <v>2</v>
      </c>
      <c r="H38" s="49" t="s">
        <v>169</v>
      </c>
      <c r="I38" s="197" t="s">
        <v>168</v>
      </c>
      <c r="J38" s="198"/>
      <c r="K38" s="199"/>
      <c r="L38" s="49" t="s">
        <v>169</v>
      </c>
      <c r="M38" s="49" t="s">
        <v>169</v>
      </c>
      <c r="N38" s="182"/>
      <c r="O38" s="183"/>
      <c r="P38" s="183"/>
      <c r="Q38" s="183"/>
      <c r="R38" s="183"/>
      <c r="S38" s="184"/>
      <c r="T38" s="49"/>
      <c r="U38" s="49"/>
      <c r="V38" s="197"/>
      <c r="W38" s="198"/>
      <c r="X38" s="199"/>
      <c r="Y38" s="49"/>
      <c r="Z38" s="49"/>
    </row>
    <row r="39" spans="1:26" ht="18" customHeight="1" x14ac:dyDescent="0.15">
      <c r="A39" s="19"/>
      <c r="B39" s="204" t="str">
        <f>VLOOKUP(AB1,'(作業用)'!B4:D7,3)</f>
        <v>情報処理Ⅰ</v>
      </c>
      <c r="C39" s="205"/>
      <c r="D39" s="205"/>
      <c r="E39" s="205"/>
      <c r="F39" s="206"/>
      <c r="G39" s="50">
        <v>1</v>
      </c>
      <c r="H39" s="50" t="s">
        <v>169</v>
      </c>
      <c r="I39" s="194" t="s">
        <v>171</v>
      </c>
      <c r="J39" s="195"/>
      <c r="K39" s="196"/>
      <c r="L39" s="50" t="s">
        <v>169</v>
      </c>
      <c r="M39" s="50"/>
      <c r="N39" s="176"/>
      <c r="O39" s="177"/>
      <c r="P39" s="177"/>
      <c r="Q39" s="177"/>
      <c r="R39" s="177"/>
      <c r="S39" s="178"/>
      <c r="T39" s="50"/>
      <c r="U39" s="50"/>
      <c r="V39" s="194"/>
      <c r="W39" s="195"/>
      <c r="X39" s="196"/>
      <c r="Y39" s="50"/>
      <c r="Z39" s="50"/>
    </row>
    <row r="40" spans="1:26" ht="18" customHeight="1" x14ac:dyDescent="0.15">
      <c r="A40" s="19"/>
      <c r="B40" s="204"/>
      <c r="C40" s="205"/>
      <c r="D40" s="205"/>
      <c r="E40" s="205"/>
      <c r="F40" s="206"/>
      <c r="G40" s="50"/>
      <c r="H40" s="50"/>
      <c r="I40" s="194"/>
      <c r="J40" s="195"/>
      <c r="K40" s="196"/>
      <c r="L40" s="50"/>
      <c r="M40" s="50"/>
      <c r="N40" s="176"/>
      <c r="O40" s="177"/>
      <c r="P40" s="177"/>
      <c r="Q40" s="177"/>
      <c r="R40" s="177"/>
      <c r="S40" s="178"/>
      <c r="T40" s="50"/>
      <c r="U40" s="50"/>
      <c r="V40" s="194"/>
      <c r="W40" s="195"/>
      <c r="X40" s="196"/>
      <c r="Y40" s="50"/>
      <c r="Z40" s="50"/>
    </row>
    <row r="41" spans="1:26" ht="18" customHeight="1" x14ac:dyDescent="0.15">
      <c r="A41" s="19"/>
      <c r="B41" s="204"/>
      <c r="C41" s="205"/>
      <c r="D41" s="205"/>
      <c r="E41" s="205"/>
      <c r="F41" s="206"/>
      <c r="G41" s="50"/>
      <c r="H41" s="50"/>
      <c r="I41" s="194"/>
      <c r="J41" s="195"/>
      <c r="K41" s="196"/>
      <c r="L41" s="50"/>
      <c r="M41" s="50"/>
      <c r="N41" s="176"/>
      <c r="O41" s="177"/>
      <c r="P41" s="177"/>
      <c r="Q41" s="177"/>
      <c r="R41" s="177"/>
      <c r="S41" s="178"/>
      <c r="T41" s="50"/>
      <c r="U41" s="50"/>
      <c r="V41" s="194"/>
      <c r="W41" s="195"/>
      <c r="X41" s="196"/>
      <c r="Y41" s="50"/>
      <c r="Z41" s="50"/>
    </row>
    <row r="42" spans="1:26" ht="18" customHeight="1" x14ac:dyDescent="0.15">
      <c r="A42" s="19"/>
      <c r="B42" s="204"/>
      <c r="C42" s="205"/>
      <c r="D42" s="205"/>
      <c r="E42" s="205"/>
      <c r="F42" s="206"/>
      <c r="G42" s="50"/>
      <c r="H42" s="50"/>
      <c r="I42" s="194"/>
      <c r="J42" s="195"/>
      <c r="K42" s="196"/>
      <c r="L42" s="50"/>
      <c r="M42" s="50"/>
      <c r="N42" s="176"/>
      <c r="O42" s="177"/>
      <c r="P42" s="177"/>
      <c r="Q42" s="177"/>
      <c r="R42" s="177"/>
      <c r="S42" s="178"/>
      <c r="T42" s="50"/>
      <c r="U42" s="50"/>
      <c r="V42" s="194"/>
      <c r="W42" s="195"/>
      <c r="X42" s="196"/>
      <c r="Y42" s="50"/>
      <c r="Z42" s="50"/>
    </row>
    <row r="43" spans="1:26" ht="18" customHeight="1" x14ac:dyDescent="0.15">
      <c r="A43" s="19"/>
      <c r="B43" s="204"/>
      <c r="C43" s="205"/>
      <c r="D43" s="205"/>
      <c r="E43" s="205"/>
      <c r="F43" s="206"/>
      <c r="G43" s="50"/>
      <c r="H43" s="50"/>
      <c r="I43" s="194"/>
      <c r="J43" s="195"/>
      <c r="K43" s="196"/>
      <c r="L43" s="50"/>
      <c r="M43" s="50"/>
      <c r="N43" s="176"/>
      <c r="O43" s="177"/>
      <c r="P43" s="177"/>
      <c r="Q43" s="177"/>
      <c r="R43" s="177"/>
      <c r="S43" s="178"/>
      <c r="T43" s="50"/>
      <c r="U43" s="50"/>
      <c r="V43" s="194"/>
      <c r="W43" s="195"/>
      <c r="X43" s="196"/>
      <c r="Y43" s="50"/>
      <c r="Z43" s="50"/>
    </row>
    <row r="44" spans="1:26" ht="18" customHeight="1" x14ac:dyDescent="0.15">
      <c r="A44" s="19"/>
      <c r="B44" s="200"/>
      <c r="C44" s="201"/>
      <c r="D44" s="201"/>
      <c r="E44" s="201"/>
      <c r="F44" s="202"/>
      <c r="G44" s="51"/>
      <c r="H44" s="51"/>
      <c r="I44" s="188"/>
      <c r="J44" s="189"/>
      <c r="K44" s="190"/>
      <c r="L44" s="53"/>
      <c r="M44" s="53"/>
      <c r="N44" s="168"/>
      <c r="O44" s="169"/>
      <c r="P44" s="169"/>
      <c r="Q44" s="169"/>
      <c r="R44" s="169"/>
      <c r="S44" s="170"/>
      <c r="T44" s="51"/>
      <c r="U44" s="51"/>
      <c r="V44" s="188"/>
      <c r="W44" s="189"/>
      <c r="X44" s="190"/>
      <c r="Y44" s="53"/>
      <c r="Z44" s="53"/>
    </row>
    <row r="45" spans="1:26" ht="7.5" customHeight="1" x14ac:dyDescent="0.15">
      <c r="B45" s="28"/>
      <c r="C45" s="28"/>
      <c r="D45" s="28"/>
      <c r="E45" s="28"/>
      <c r="F45" s="28"/>
      <c r="G45" s="28"/>
      <c r="H45" s="28"/>
      <c r="I45" s="28"/>
      <c r="J45" s="28"/>
      <c r="K45" s="28"/>
      <c r="L45" s="28"/>
      <c r="M45" s="28"/>
      <c r="N45" s="28"/>
      <c r="O45" s="28"/>
      <c r="P45" s="28"/>
      <c r="Q45" s="28"/>
      <c r="R45" s="28"/>
      <c r="S45" s="28"/>
      <c r="T45" s="28"/>
      <c r="U45" s="28"/>
      <c r="V45" s="28"/>
      <c r="W45" s="28"/>
      <c r="X45" s="28"/>
      <c r="Y45" s="28"/>
    </row>
    <row r="46" spans="1:26" ht="18" customHeight="1" x14ac:dyDescent="0.15">
      <c r="A46" s="203" t="s">
        <v>132</v>
      </c>
      <c r="B46" s="203"/>
      <c r="C46" s="203"/>
      <c r="D46" s="203"/>
      <c r="E46" s="203"/>
      <c r="F46" s="203"/>
      <c r="G46" s="203"/>
      <c r="H46" s="203"/>
      <c r="I46" s="203"/>
      <c r="J46" s="203"/>
      <c r="K46" s="203"/>
      <c r="L46" s="203"/>
      <c r="M46" s="203"/>
      <c r="N46" s="203"/>
      <c r="O46" s="203"/>
      <c r="P46" s="203"/>
      <c r="Q46" s="203"/>
      <c r="R46" s="203"/>
      <c r="S46" s="203"/>
      <c r="T46" s="203"/>
      <c r="U46" s="203"/>
      <c r="V46" s="203"/>
      <c r="W46" s="203"/>
      <c r="X46" s="203"/>
      <c r="Y46" s="203"/>
      <c r="Z46" s="203"/>
    </row>
    <row r="47" spans="1:26" ht="18" customHeight="1" x14ac:dyDescent="0.15">
      <c r="A47" s="203"/>
      <c r="B47" s="203"/>
      <c r="C47" s="203"/>
      <c r="D47" s="203"/>
      <c r="E47" s="203"/>
      <c r="F47" s="203"/>
      <c r="G47" s="203"/>
      <c r="H47" s="203"/>
      <c r="I47" s="203"/>
      <c r="J47" s="203"/>
      <c r="K47" s="203"/>
      <c r="L47" s="203"/>
      <c r="M47" s="203"/>
      <c r="N47" s="203"/>
      <c r="O47" s="203"/>
      <c r="P47" s="203"/>
      <c r="Q47" s="203"/>
      <c r="R47" s="203"/>
      <c r="S47" s="203"/>
      <c r="T47" s="203"/>
      <c r="U47" s="203"/>
      <c r="V47" s="203"/>
      <c r="W47" s="203"/>
      <c r="X47" s="203"/>
      <c r="Y47" s="203"/>
      <c r="Z47" s="203"/>
    </row>
    <row r="48" spans="1:26" ht="18" customHeight="1" x14ac:dyDescent="0.15">
      <c r="B48" s="112" t="s">
        <v>100</v>
      </c>
      <c r="C48" s="113"/>
      <c r="D48" s="113"/>
      <c r="E48" s="113"/>
      <c r="F48" s="114"/>
      <c r="G48" s="20" t="s">
        <v>141</v>
      </c>
      <c r="H48" s="48" t="s">
        <v>140</v>
      </c>
      <c r="I48" s="112" t="s">
        <v>101</v>
      </c>
      <c r="J48" s="113"/>
      <c r="K48" s="114"/>
      <c r="L48" s="26" t="s">
        <v>106</v>
      </c>
      <c r="M48" s="26" t="s">
        <v>108</v>
      </c>
      <c r="N48" s="112" t="s">
        <v>100</v>
      </c>
      <c r="O48" s="113"/>
      <c r="P48" s="113"/>
      <c r="Q48" s="113"/>
      <c r="R48" s="113"/>
      <c r="S48" s="114"/>
      <c r="T48" s="20" t="s">
        <v>141</v>
      </c>
      <c r="U48" s="48" t="s">
        <v>140</v>
      </c>
      <c r="V48" s="112" t="s">
        <v>101</v>
      </c>
      <c r="W48" s="113"/>
      <c r="X48" s="114"/>
      <c r="Y48" s="26" t="s">
        <v>106</v>
      </c>
      <c r="Z48" s="26" t="s">
        <v>108</v>
      </c>
    </row>
    <row r="49" spans="1:26" ht="18" customHeight="1" x14ac:dyDescent="0.15">
      <c r="A49" s="19"/>
      <c r="B49" s="207" t="s">
        <v>152</v>
      </c>
      <c r="C49" s="208"/>
      <c r="D49" s="208"/>
      <c r="E49" s="208"/>
      <c r="F49" s="209"/>
      <c r="G49" s="49">
        <v>2</v>
      </c>
      <c r="H49" s="49" t="s">
        <v>169</v>
      </c>
      <c r="I49" s="197" t="s">
        <v>168</v>
      </c>
      <c r="J49" s="198"/>
      <c r="K49" s="199"/>
      <c r="L49" s="49" t="s">
        <v>169</v>
      </c>
      <c r="M49" s="49" t="s">
        <v>169</v>
      </c>
      <c r="N49" s="182"/>
      <c r="O49" s="183"/>
      <c r="P49" s="183"/>
      <c r="Q49" s="183"/>
      <c r="R49" s="183"/>
      <c r="S49" s="184"/>
      <c r="T49" s="49"/>
      <c r="U49" s="49"/>
      <c r="V49" s="197"/>
      <c r="W49" s="198"/>
      <c r="X49" s="199"/>
      <c r="Y49" s="49"/>
      <c r="Z49" s="49"/>
    </row>
    <row r="50" spans="1:26" ht="18" customHeight="1" x14ac:dyDescent="0.15">
      <c r="A50" s="19"/>
      <c r="B50" s="204" t="str">
        <f>VLOOKUP(AB1,'(作業用)'!B4:D7,3)</f>
        <v>情報処理Ⅰ</v>
      </c>
      <c r="C50" s="205"/>
      <c r="D50" s="205"/>
      <c r="E50" s="205"/>
      <c r="F50" s="206"/>
      <c r="G50" s="50">
        <v>1</v>
      </c>
      <c r="H50" s="50" t="s">
        <v>169</v>
      </c>
      <c r="I50" s="194" t="s">
        <v>171</v>
      </c>
      <c r="J50" s="195"/>
      <c r="K50" s="196"/>
      <c r="L50" s="50" t="s">
        <v>169</v>
      </c>
      <c r="M50" s="50" t="s">
        <v>169</v>
      </c>
      <c r="N50" s="176"/>
      <c r="O50" s="177"/>
      <c r="P50" s="177"/>
      <c r="Q50" s="177"/>
      <c r="R50" s="177"/>
      <c r="S50" s="178"/>
      <c r="T50" s="50"/>
      <c r="U50" s="50"/>
      <c r="V50" s="194"/>
      <c r="W50" s="195"/>
      <c r="X50" s="196"/>
      <c r="Y50" s="50"/>
      <c r="Z50" s="50"/>
    </row>
    <row r="51" spans="1:26" ht="18" customHeight="1" x14ac:dyDescent="0.15">
      <c r="A51" s="19"/>
      <c r="B51" s="204"/>
      <c r="C51" s="205"/>
      <c r="D51" s="205"/>
      <c r="E51" s="205"/>
      <c r="F51" s="206"/>
      <c r="G51" s="50"/>
      <c r="H51" s="50"/>
      <c r="I51" s="194"/>
      <c r="J51" s="195"/>
      <c r="K51" s="196"/>
      <c r="L51" s="50"/>
      <c r="M51" s="50"/>
      <c r="N51" s="176"/>
      <c r="O51" s="177"/>
      <c r="P51" s="177"/>
      <c r="Q51" s="177"/>
      <c r="R51" s="177"/>
      <c r="S51" s="178"/>
      <c r="T51" s="50"/>
      <c r="U51" s="50"/>
      <c r="V51" s="194"/>
      <c r="W51" s="195"/>
      <c r="X51" s="196"/>
      <c r="Y51" s="50"/>
      <c r="Z51" s="50"/>
    </row>
    <row r="52" spans="1:26" ht="18" customHeight="1" x14ac:dyDescent="0.15">
      <c r="A52" s="19"/>
      <c r="B52" s="204"/>
      <c r="C52" s="205"/>
      <c r="D52" s="205"/>
      <c r="E52" s="205"/>
      <c r="F52" s="206"/>
      <c r="G52" s="50"/>
      <c r="H52" s="50"/>
      <c r="I52" s="194"/>
      <c r="J52" s="195"/>
      <c r="K52" s="196"/>
      <c r="L52" s="50"/>
      <c r="M52" s="50"/>
      <c r="N52" s="176"/>
      <c r="O52" s="177"/>
      <c r="P52" s="177"/>
      <c r="Q52" s="177"/>
      <c r="R52" s="177"/>
      <c r="S52" s="178"/>
      <c r="T52" s="50"/>
      <c r="U52" s="50"/>
      <c r="V52" s="194"/>
      <c r="W52" s="195"/>
      <c r="X52" s="196"/>
      <c r="Y52" s="50"/>
      <c r="Z52" s="50"/>
    </row>
    <row r="53" spans="1:26" ht="18" customHeight="1" x14ac:dyDescent="0.15">
      <c r="A53" s="19"/>
      <c r="B53" s="204"/>
      <c r="C53" s="205"/>
      <c r="D53" s="205"/>
      <c r="E53" s="205"/>
      <c r="F53" s="206"/>
      <c r="G53" s="50"/>
      <c r="H53" s="50"/>
      <c r="I53" s="194"/>
      <c r="J53" s="195"/>
      <c r="K53" s="196"/>
      <c r="L53" s="50"/>
      <c r="M53" s="50"/>
      <c r="N53" s="176"/>
      <c r="O53" s="177"/>
      <c r="P53" s="177"/>
      <c r="Q53" s="177"/>
      <c r="R53" s="177"/>
      <c r="S53" s="178"/>
      <c r="T53" s="50"/>
      <c r="U53" s="50"/>
      <c r="V53" s="194"/>
      <c r="W53" s="195"/>
      <c r="X53" s="196"/>
      <c r="Y53" s="50"/>
      <c r="Z53" s="50"/>
    </row>
    <row r="54" spans="1:26" ht="18" customHeight="1" x14ac:dyDescent="0.15">
      <c r="A54" s="19"/>
      <c r="B54" s="204"/>
      <c r="C54" s="205"/>
      <c r="D54" s="205"/>
      <c r="E54" s="205"/>
      <c r="F54" s="206"/>
      <c r="G54" s="50"/>
      <c r="H54" s="50"/>
      <c r="I54" s="194"/>
      <c r="J54" s="195"/>
      <c r="K54" s="196"/>
      <c r="L54" s="50"/>
      <c r="M54" s="50"/>
      <c r="N54" s="176"/>
      <c r="O54" s="177"/>
      <c r="P54" s="177"/>
      <c r="Q54" s="177"/>
      <c r="R54" s="177"/>
      <c r="S54" s="178"/>
      <c r="T54" s="50"/>
      <c r="U54" s="50"/>
      <c r="V54" s="194"/>
      <c r="W54" s="195"/>
      <c r="X54" s="196"/>
      <c r="Y54" s="50"/>
      <c r="Z54" s="50"/>
    </row>
    <row r="55" spans="1:26" ht="18" customHeight="1" x14ac:dyDescent="0.15">
      <c r="A55" s="19"/>
      <c r="B55" s="200"/>
      <c r="C55" s="201"/>
      <c r="D55" s="201"/>
      <c r="E55" s="201"/>
      <c r="F55" s="202"/>
      <c r="G55" s="51"/>
      <c r="H55" s="51"/>
      <c r="I55" s="188"/>
      <c r="J55" s="189"/>
      <c r="K55" s="190"/>
      <c r="L55" s="53"/>
      <c r="M55" s="53"/>
      <c r="N55" s="168"/>
      <c r="O55" s="169"/>
      <c r="P55" s="169"/>
      <c r="Q55" s="169"/>
      <c r="R55" s="169"/>
      <c r="S55" s="170"/>
      <c r="T55" s="51"/>
      <c r="U55" s="51"/>
      <c r="V55" s="188"/>
      <c r="W55" s="189"/>
      <c r="X55" s="190"/>
      <c r="Y55" s="53"/>
      <c r="Z55" s="53"/>
    </row>
    <row r="56" spans="1:26" ht="7.5" customHeight="1" x14ac:dyDescent="0.15">
      <c r="B56" s="28"/>
      <c r="C56" s="28"/>
      <c r="D56" s="28"/>
      <c r="E56" s="28"/>
      <c r="F56" s="28"/>
      <c r="G56" s="28"/>
      <c r="H56" s="28"/>
      <c r="I56" s="28"/>
      <c r="J56" s="28"/>
      <c r="K56" s="28"/>
      <c r="L56" s="28"/>
      <c r="M56" s="28"/>
      <c r="N56" s="28"/>
      <c r="O56" s="28"/>
      <c r="P56" s="28"/>
      <c r="Q56" s="28"/>
      <c r="R56" s="28"/>
      <c r="S56" s="28"/>
      <c r="T56" s="28"/>
      <c r="U56" s="28"/>
      <c r="V56" s="28"/>
      <c r="W56" s="28"/>
      <c r="X56" s="28"/>
      <c r="Y56" s="28"/>
    </row>
    <row r="57" spans="1:26" ht="18" customHeight="1" x14ac:dyDescent="0.15">
      <c r="A57" s="203" t="s">
        <v>133</v>
      </c>
      <c r="B57" s="203"/>
      <c r="C57" s="203"/>
      <c r="D57" s="203"/>
      <c r="E57" s="203"/>
      <c r="F57" s="203"/>
      <c r="G57" s="203"/>
      <c r="H57" s="203"/>
      <c r="I57" s="203"/>
      <c r="J57" s="203"/>
      <c r="K57" s="203"/>
      <c r="L57" s="203"/>
      <c r="M57" s="203"/>
      <c r="N57" s="203"/>
      <c r="O57" s="203"/>
      <c r="P57" s="203"/>
      <c r="Q57" s="203"/>
      <c r="R57" s="203"/>
      <c r="S57" s="203"/>
      <c r="T57" s="203"/>
      <c r="U57" s="203"/>
      <c r="V57" s="203"/>
      <c r="W57" s="203"/>
      <c r="X57" s="203"/>
      <c r="Y57" s="203"/>
      <c r="Z57" s="203"/>
    </row>
    <row r="58" spans="1:26" ht="18" customHeight="1" x14ac:dyDescent="0.15">
      <c r="A58" s="203"/>
      <c r="B58" s="203"/>
      <c r="C58" s="203"/>
      <c r="D58" s="203"/>
      <c r="E58" s="203"/>
      <c r="F58" s="203"/>
      <c r="G58" s="203"/>
      <c r="H58" s="203"/>
      <c r="I58" s="203"/>
      <c r="J58" s="203"/>
      <c r="K58" s="203"/>
      <c r="L58" s="203"/>
      <c r="M58" s="203"/>
      <c r="N58" s="203"/>
      <c r="O58" s="203"/>
      <c r="P58" s="203"/>
      <c r="Q58" s="203"/>
      <c r="R58" s="203"/>
      <c r="S58" s="203"/>
      <c r="T58" s="203"/>
      <c r="U58" s="203"/>
      <c r="V58" s="203"/>
      <c r="W58" s="203"/>
      <c r="X58" s="203"/>
      <c r="Y58" s="203"/>
      <c r="Z58" s="203"/>
    </row>
    <row r="59" spans="1:26" ht="18" customHeight="1" x14ac:dyDescent="0.15">
      <c r="B59" s="112" t="s">
        <v>100</v>
      </c>
      <c r="C59" s="113"/>
      <c r="D59" s="113"/>
      <c r="E59" s="114"/>
      <c r="F59" s="20" t="s">
        <v>141</v>
      </c>
      <c r="G59" s="48" t="s">
        <v>140</v>
      </c>
      <c r="H59" s="43" t="s">
        <v>101</v>
      </c>
      <c r="I59" s="44"/>
      <c r="J59" s="45"/>
      <c r="K59" s="26" t="s">
        <v>105</v>
      </c>
      <c r="L59" s="26" t="s">
        <v>134</v>
      </c>
      <c r="M59" s="26" t="s">
        <v>135</v>
      </c>
      <c r="N59" s="112" t="s">
        <v>100</v>
      </c>
      <c r="O59" s="113"/>
      <c r="P59" s="113"/>
      <c r="Q59" s="113"/>
      <c r="R59" s="114"/>
      <c r="S59" s="20" t="s">
        <v>141</v>
      </c>
      <c r="T59" s="48" t="s">
        <v>140</v>
      </c>
      <c r="U59" s="43" t="s">
        <v>101</v>
      </c>
      <c r="V59" s="44"/>
      <c r="W59" s="45"/>
      <c r="X59" s="26" t="s">
        <v>105</v>
      </c>
      <c r="Y59" s="26" t="s">
        <v>134</v>
      </c>
      <c r="Z59" s="26" t="s">
        <v>135</v>
      </c>
    </row>
    <row r="60" spans="1:26" ht="18" customHeight="1" x14ac:dyDescent="0.15">
      <c r="A60" s="19"/>
      <c r="B60" s="182" t="s">
        <v>152</v>
      </c>
      <c r="C60" s="183"/>
      <c r="D60" s="183"/>
      <c r="E60" s="184"/>
      <c r="F60" s="49">
        <v>2</v>
      </c>
      <c r="G60" s="49" t="s">
        <v>169</v>
      </c>
      <c r="H60" s="197" t="s">
        <v>168</v>
      </c>
      <c r="I60" s="198"/>
      <c r="J60" s="199"/>
      <c r="K60" s="56" t="s">
        <v>170</v>
      </c>
      <c r="L60" s="49" t="s">
        <v>169</v>
      </c>
      <c r="M60" s="49" t="s">
        <v>169</v>
      </c>
      <c r="N60" s="182"/>
      <c r="O60" s="183"/>
      <c r="P60" s="183"/>
      <c r="Q60" s="183"/>
      <c r="R60" s="184"/>
      <c r="S60" s="49"/>
      <c r="T60" s="49"/>
      <c r="U60" s="197"/>
      <c r="V60" s="198"/>
      <c r="W60" s="199"/>
      <c r="X60" s="56"/>
      <c r="Y60" s="49"/>
      <c r="Z60" s="49"/>
    </row>
    <row r="61" spans="1:26" ht="18" customHeight="1" x14ac:dyDescent="0.15">
      <c r="A61" s="19"/>
      <c r="B61" s="176" t="str">
        <f>VLOOKUP(AB1,'(作業用)'!B4:D7,3)</f>
        <v>情報処理Ⅰ</v>
      </c>
      <c r="C61" s="177"/>
      <c r="D61" s="177"/>
      <c r="E61" s="178"/>
      <c r="F61" s="50">
        <v>1</v>
      </c>
      <c r="G61" s="50" t="s">
        <v>169</v>
      </c>
      <c r="H61" s="194" t="s">
        <v>171</v>
      </c>
      <c r="I61" s="195"/>
      <c r="J61" s="196"/>
      <c r="K61" s="57" t="s">
        <v>170</v>
      </c>
      <c r="L61" s="50" t="s">
        <v>169</v>
      </c>
      <c r="M61" s="50" t="s">
        <v>169</v>
      </c>
      <c r="N61" s="176"/>
      <c r="O61" s="177"/>
      <c r="P61" s="177"/>
      <c r="Q61" s="177"/>
      <c r="R61" s="178"/>
      <c r="S61" s="50"/>
      <c r="T61" s="50"/>
      <c r="U61" s="194"/>
      <c r="V61" s="195"/>
      <c r="W61" s="196"/>
      <c r="X61" s="57"/>
      <c r="Y61" s="50"/>
      <c r="Z61" s="50"/>
    </row>
    <row r="62" spans="1:26" ht="18" customHeight="1" x14ac:dyDescent="0.15">
      <c r="A62" s="19"/>
      <c r="B62" s="176"/>
      <c r="C62" s="177"/>
      <c r="D62" s="177"/>
      <c r="E62" s="178"/>
      <c r="F62" s="50"/>
      <c r="G62" s="50"/>
      <c r="H62" s="194"/>
      <c r="I62" s="195"/>
      <c r="J62" s="196"/>
      <c r="K62" s="57"/>
      <c r="L62" s="50"/>
      <c r="M62" s="50"/>
      <c r="N62" s="176"/>
      <c r="O62" s="177"/>
      <c r="P62" s="177"/>
      <c r="Q62" s="177"/>
      <c r="R62" s="178"/>
      <c r="S62" s="50"/>
      <c r="T62" s="50"/>
      <c r="U62" s="194"/>
      <c r="V62" s="195"/>
      <c r="W62" s="196"/>
      <c r="X62" s="57"/>
      <c r="Y62" s="50"/>
      <c r="Z62" s="50"/>
    </row>
    <row r="63" spans="1:26" ht="18" customHeight="1" x14ac:dyDescent="0.15">
      <c r="A63" s="19"/>
      <c r="B63" s="176"/>
      <c r="C63" s="177"/>
      <c r="D63" s="177"/>
      <c r="E63" s="178"/>
      <c r="F63" s="50"/>
      <c r="G63" s="50"/>
      <c r="H63" s="194"/>
      <c r="I63" s="195"/>
      <c r="J63" s="196"/>
      <c r="K63" s="57"/>
      <c r="L63" s="50"/>
      <c r="M63" s="50"/>
      <c r="N63" s="176"/>
      <c r="O63" s="177"/>
      <c r="P63" s="177"/>
      <c r="Q63" s="177"/>
      <c r="R63" s="178"/>
      <c r="S63" s="50"/>
      <c r="T63" s="50"/>
      <c r="U63" s="194"/>
      <c r="V63" s="195"/>
      <c r="W63" s="196"/>
      <c r="X63" s="57"/>
      <c r="Y63" s="50"/>
      <c r="Z63" s="50"/>
    </row>
    <row r="64" spans="1:26" ht="18" customHeight="1" x14ac:dyDescent="0.15">
      <c r="A64" s="19"/>
      <c r="B64" s="176"/>
      <c r="C64" s="177"/>
      <c r="D64" s="177"/>
      <c r="E64" s="178"/>
      <c r="F64" s="50"/>
      <c r="G64" s="50"/>
      <c r="H64" s="194"/>
      <c r="I64" s="195"/>
      <c r="J64" s="196"/>
      <c r="K64" s="57"/>
      <c r="L64" s="50"/>
      <c r="M64" s="50"/>
      <c r="N64" s="176"/>
      <c r="O64" s="177"/>
      <c r="P64" s="177"/>
      <c r="Q64" s="177"/>
      <c r="R64" s="178"/>
      <c r="S64" s="50"/>
      <c r="T64" s="50"/>
      <c r="U64" s="194"/>
      <c r="V64" s="195"/>
      <c r="W64" s="196"/>
      <c r="X64" s="57"/>
      <c r="Y64" s="50"/>
      <c r="Z64" s="50"/>
    </row>
    <row r="65" spans="1:26" ht="18" customHeight="1" x14ac:dyDescent="0.15">
      <c r="A65" s="19"/>
      <c r="B65" s="176"/>
      <c r="C65" s="177"/>
      <c r="D65" s="177"/>
      <c r="E65" s="178"/>
      <c r="F65" s="50"/>
      <c r="G65" s="50"/>
      <c r="H65" s="194"/>
      <c r="I65" s="195"/>
      <c r="J65" s="196"/>
      <c r="K65" s="57"/>
      <c r="L65" s="50"/>
      <c r="M65" s="50"/>
      <c r="N65" s="176"/>
      <c r="O65" s="177"/>
      <c r="P65" s="177"/>
      <c r="Q65" s="177"/>
      <c r="R65" s="178"/>
      <c r="S65" s="50"/>
      <c r="T65" s="50"/>
      <c r="U65" s="194"/>
      <c r="V65" s="195"/>
      <c r="W65" s="196"/>
      <c r="X65" s="57"/>
      <c r="Y65" s="50"/>
      <c r="Z65" s="50"/>
    </row>
    <row r="66" spans="1:26" ht="18" customHeight="1" x14ac:dyDescent="0.15">
      <c r="A66" s="19"/>
      <c r="B66" s="168"/>
      <c r="C66" s="169"/>
      <c r="D66" s="169"/>
      <c r="E66" s="170"/>
      <c r="F66" s="51"/>
      <c r="G66" s="51"/>
      <c r="H66" s="188"/>
      <c r="I66" s="189"/>
      <c r="J66" s="190"/>
      <c r="K66" s="62"/>
      <c r="L66" s="53"/>
      <c r="M66" s="53"/>
      <c r="N66" s="168"/>
      <c r="O66" s="169"/>
      <c r="P66" s="169"/>
      <c r="Q66" s="169"/>
      <c r="R66" s="170"/>
      <c r="S66" s="51"/>
      <c r="T66" s="51"/>
      <c r="U66" s="188"/>
      <c r="V66" s="189"/>
      <c r="W66" s="190"/>
      <c r="X66" s="62"/>
      <c r="Y66" s="53"/>
      <c r="Z66" s="53"/>
    </row>
    <row r="67" spans="1:26" ht="7.5" customHeight="1" x14ac:dyDescent="0.15">
      <c r="B67" s="28"/>
      <c r="C67" s="28"/>
      <c r="D67" s="28"/>
      <c r="E67" s="28"/>
      <c r="F67" s="28"/>
      <c r="G67" s="28"/>
      <c r="H67" s="28"/>
      <c r="I67" s="28"/>
      <c r="J67" s="28"/>
      <c r="K67" s="28"/>
      <c r="L67" s="28"/>
      <c r="M67" s="28"/>
      <c r="N67" s="28"/>
      <c r="O67" s="28"/>
      <c r="P67" s="28"/>
      <c r="Q67" s="28"/>
      <c r="R67" s="28"/>
      <c r="S67" s="28"/>
      <c r="T67" s="28"/>
      <c r="U67" s="28"/>
      <c r="V67" s="28"/>
      <c r="W67" s="28"/>
      <c r="X67" s="28"/>
      <c r="Y67" s="28"/>
    </row>
    <row r="68" spans="1:26" ht="18" customHeight="1" x14ac:dyDescent="0.15">
      <c r="A68" s="5" t="s">
        <v>136</v>
      </c>
      <c r="L68" s="19"/>
      <c r="M68" s="19"/>
      <c r="N68" s="19"/>
      <c r="O68" s="19"/>
      <c r="P68" s="19"/>
      <c r="Q68" s="19"/>
      <c r="R68" s="19"/>
      <c r="S68" s="19"/>
      <c r="T68" s="19"/>
      <c r="U68" s="19"/>
      <c r="V68" s="19"/>
      <c r="W68" s="19"/>
      <c r="X68" s="19"/>
      <c r="Y68" s="19"/>
      <c r="Z68" s="19"/>
    </row>
    <row r="69" spans="1:26" ht="18" customHeight="1" x14ac:dyDescent="0.15">
      <c r="B69" s="112" t="s">
        <v>100</v>
      </c>
      <c r="C69" s="113"/>
      <c r="D69" s="113"/>
      <c r="E69" s="113"/>
      <c r="F69" s="114"/>
      <c r="G69" s="112" t="s">
        <v>146</v>
      </c>
      <c r="H69" s="113"/>
      <c r="I69" s="113"/>
      <c r="J69" s="113"/>
      <c r="K69" s="113"/>
      <c r="L69" s="113"/>
      <c r="M69" s="114"/>
      <c r="N69" s="191" t="s">
        <v>100</v>
      </c>
      <c r="O69" s="192"/>
      <c r="P69" s="192"/>
      <c r="Q69" s="192"/>
      <c r="R69" s="192"/>
      <c r="S69" s="193"/>
      <c r="T69" s="112" t="s">
        <v>146</v>
      </c>
      <c r="U69" s="113"/>
      <c r="V69" s="113"/>
      <c r="W69" s="113"/>
      <c r="X69" s="113"/>
      <c r="Y69" s="113"/>
      <c r="Z69" s="114"/>
    </row>
    <row r="70" spans="1:26" ht="18" customHeight="1" x14ac:dyDescent="0.15">
      <c r="A70" s="19"/>
      <c r="B70" s="182" t="s">
        <v>152</v>
      </c>
      <c r="C70" s="183"/>
      <c r="D70" s="183"/>
      <c r="E70" s="183"/>
      <c r="F70" s="184"/>
      <c r="G70" s="185" t="s">
        <v>172</v>
      </c>
      <c r="H70" s="186"/>
      <c r="I70" s="186"/>
      <c r="J70" s="186"/>
      <c r="K70" s="186"/>
      <c r="L70" s="186"/>
      <c r="M70" s="187"/>
      <c r="N70" s="182"/>
      <c r="O70" s="183"/>
      <c r="P70" s="183"/>
      <c r="Q70" s="183"/>
      <c r="R70" s="183"/>
      <c r="S70" s="184"/>
      <c r="T70" s="185"/>
      <c r="U70" s="186"/>
      <c r="V70" s="186"/>
      <c r="W70" s="186"/>
      <c r="X70" s="186"/>
      <c r="Y70" s="186"/>
      <c r="Z70" s="187"/>
    </row>
    <row r="71" spans="1:26" ht="18" customHeight="1" x14ac:dyDescent="0.15">
      <c r="A71" s="19"/>
      <c r="B71" s="176"/>
      <c r="C71" s="177"/>
      <c r="D71" s="177"/>
      <c r="E71" s="177"/>
      <c r="F71" s="178"/>
      <c r="G71" s="179"/>
      <c r="H71" s="180"/>
      <c r="I71" s="180"/>
      <c r="J71" s="180"/>
      <c r="K71" s="180"/>
      <c r="L71" s="180"/>
      <c r="M71" s="181"/>
      <c r="N71" s="176"/>
      <c r="O71" s="177"/>
      <c r="P71" s="177"/>
      <c r="Q71" s="177"/>
      <c r="R71" s="177"/>
      <c r="S71" s="178"/>
      <c r="T71" s="179"/>
      <c r="U71" s="180"/>
      <c r="V71" s="180"/>
      <c r="W71" s="180"/>
      <c r="X71" s="180"/>
      <c r="Y71" s="180"/>
      <c r="Z71" s="181"/>
    </row>
    <row r="72" spans="1:26" ht="18" customHeight="1" x14ac:dyDescent="0.15">
      <c r="A72" s="19"/>
      <c r="B72" s="176"/>
      <c r="C72" s="177"/>
      <c r="D72" s="177"/>
      <c r="E72" s="177"/>
      <c r="F72" s="178"/>
      <c r="G72" s="179"/>
      <c r="H72" s="180"/>
      <c r="I72" s="180"/>
      <c r="J72" s="180"/>
      <c r="K72" s="180"/>
      <c r="L72" s="180"/>
      <c r="M72" s="181"/>
      <c r="N72" s="176"/>
      <c r="O72" s="177"/>
      <c r="P72" s="177"/>
      <c r="Q72" s="177"/>
      <c r="R72" s="177"/>
      <c r="S72" s="178"/>
      <c r="T72" s="179"/>
      <c r="U72" s="180"/>
      <c r="V72" s="180"/>
      <c r="W72" s="180"/>
      <c r="X72" s="180"/>
      <c r="Y72" s="180"/>
      <c r="Z72" s="181"/>
    </row>
    <row r="73" spans="1:26" ht="18" customHeight="1" x14ac:dyDescent="0.15">
      <c r="A73" s="19"/>
      <c r="B73" s="176"/>
      <c r="C73" s="177"/>
      <c r="D73" s="177"/>
      <c r="E73" s="177"/>
      <c r="F73" s="178"/>
      <c r="G73" s="179"/>
      <c r="H73" s="180"/>
      <c r="I73" s="180"/>
      <c r="J73" s="180"/>
      <c r="K73" s="180"/>
      <c r="L73" s="180"/>
      <c r="M73" s="181"/>
      <c r="N73" s="176"/>
      <c r="O73" s="177"/>
      <c r="P73" s="177"/>
      <c r="Q73" s="177"/>
      <c r="R73" s="177"/>
      <c r="S73" s="178"/>
      <c r="T73" s="179"/>
      <c r="U73" s="180"/>
      <c r="V73" s="180"/>
      <c r="W73" s="180"/>
      <c r="X73" s="180"/>
      <c r="Y73" s="180"/>
      <c r="Z73" s="181"/>
    </row>
    <row r="74" spans="1:26" ht="18" customHeight="1" x14ac:dyDescent="0.15">
      <c r="A74" s="19"/>
      <c r="B74" s="176"/>
      <c r="C74" s="177"/>
      <c r="D74" s="177"/>
      <c r="E74" s="177"/>
      <c r="F74" s="178"/>
      <c r="G74" s="179"/>
      <c r="H74" s="180"/>
      <c r="I74" s="180"/>
      <c r="J74" s="180"/>
      <c r="K74" s="180"/>
      <c r="L74" s="180"/>
      <c r="M74" s="181"/>
      <c r="N74" s="176"/>
      <c r="O74" s="177"/>
      <c r="P74" s="177"/>
      <c r="Q74" s="177"/>
      <c r="R74" s="177"/>
      <c r="S74" s="178"/>
      <c r="T74" s="179"/>
      <c r="U74" s="180"/>
      <c r="V74" s="180"/>
      <c r="W74" s="180"/>
      <c r="X74" s="180"/>
      <c r="Y74" s="180"/>
      <c r="Z74" s="181"/>
    </row>
    <row r="75" spans="1:26" ht="18" customHeight="1" x14ac:dyDescent="0.15">
      <c r="A75" s="19"/>
      <c r="B75" s="176"/>
      <c r="C75" s="177"/>
      <c r="D75" s="177"/>
      <c r="E75" s="177"/>
      <c r="F75" s="178"/>
      <c r="G75" s="179"/>
      <c r="H75" s="180"/>
      <c r="I75" s="180"/>
      <c r="J75" s="180"/>
      <c r="K75" s="180"/>
      <c r="L75" s="180"/>
      <c r="M75" s="181"/>
      <c r="N75" s="176"/>
      <c r="O75" s="177"/>
      <c r="P75" s="177"/>
      <c r="Q75" s="177"/>
      <c r="R75" s="177"/>
      <c r="S75" s="178"/>
      <c r="T75" s="179"/>
      <c r="U75" s="180"/>
      <c r="V75" s="180"/>
      <c r="W75" s="180"/>
      <c r="X75" s="180"/>
      <c r="Y75" s="180"/>
      <c r="Z75" s="181"/>
    </row>
    <row r="76" spans="1:26" ht="18" customHeight="1" x14ac:dyDescent="0.15">
      <c r="A76" s="19"/>
      <c r="B76" s="168"/>
      <c r="C76" s="169"/>
      <c r="D76" s="169"/>
      <c r="E76" s="169"/>
      <c r="F76" s="170"/>
      <c r="G76" s="171"/>
      <c r="H76" s="172"/>
      <c r="I76" s="172"/>
      <c r="J76" s="172"/>
      <c r="K76" s="172"/>
      <c r="L76" s="172"/>
      <c r="M76" s="173"/>
      <c r="N76" s="168"/>
      <c r="O76" s="169"/>
      <c r="P76" s="169"/>
      <c r="Q76" s="169"/>
      <c r="R76" s="169"/>
      <c r="S76" s="170"/>
      <c r="T76" s="171"/>
      <c r="U76" s="172"/>
      <c r="V76" s="172"/>
      <c r="W76" s="172"/>
      <c r="X76" s="172"/>
      <c r="Y76" s="172"/>
      <c r="Z76" s="173"/>
    </row>
    <row r="77" spans="1:26" ht="18" customHeight="1" x14ac:dyDescent="0.15">
      <c r="A77" s="19"/>
      <c r="B77" s="55"/>
      <c r="C77" s="55"/>
      <c r="D77" s="55"/>
      <c r="E77" s="55"/>
      <c r="F77" s="55"/>
      <c r="G77" s="3"/>
      <c r="H77" s="3"/>
      <c r="I77" s="3"/>
      <c r="J77" s="3"/>
      <c r="K77" s="3"/>
      <c r="L77" s="3"/>
      <c r="M77" s="3"/>
      <c r="N77" s="55"/>
      <c r="O77" s="55"/>
      <c r="P77" s="55"/>
      <c r="Q77" s="55"/>
      <c r="R77" s="55"/>
      <c r="S77" s="55"/>
      <c r="T77" s="3"/>
      <c r="U77" s="3"/>
      <c r="V77" s="3"/>
      <c r="W77" s="3"/>
      <c r="X77" s="3"/>
      <c r="Y77" s="3"/>
      <c r="Z77" s="3"/>
    </row>
    <row r="78" spans="1:26" ht="18.75" customHeight="1" x14ac:dyDescent="0.15">
      <c r="A78" s="5" t="s">
        <v>142</v>
      </c>
    </row>
    <row r="79" spans="1:26" ht="18.75" customHeight="1" x14ac:dyDescent="0.15">
      <c r="B79" s="17" t="s">
        <v>102</v>
      </c>
      <c r="C79" s="18"/>
      <c r="D79" s="113" t="s">
        <v>103</v>
      </c>
      <c r="E79" s="113"/>
      <c r="F79" s="113"/>
      <c r="G79" s="113"/>
      <c r="H79" s="113"/>
      <c r="I79" s="113"/>
      <c r="J79" s="113"/>
      <c r="K79" s="113"/>
      <c r="L79" s="113"/>
      <c r="M79" s="113"/>
      <c r="N79" s="113"/>
      <c r="O79" s="113"/>
      <c r="P79" s="113"/>
      <c r="Q79" s="113"/>
      <c r="R79" s="113"/>
      <c r="S79" s="113"/>
      <c r="T79" s="113"/>
      <c r="U79" s="113"/>
      <c r="V79" s="113"/>
      <c r="W79" s="113"/>
      <c r="X79" s="113"/>
      <c r="Y79" s="113"/>
      <c r="Z79" s="114"/>
    </row>
    <row r="80" spans="1:26" ht="78" customHeight="1" x14ac:dyDescent="0.15">
      <c r="B80" s="150" t="s">
        <v>109</v>
      </c>
      <c r="C80" s="34" t="s">
        <v>104</v>
      </c>
      <c r="D80" s="152" t="s">
        <v>174</v>
      </c>
      <c r="E80" s="152"/>
      <c r="F80" s="152"/>
      <c r="G80" s="152"/>
      <c r="H80" s="152"/>
      <c r="I80" s="152"/>
      <c r="J80" s="152"/>
      <c r="K80" s="152"/>
      <c r="L80" s="152"/>
      <c r="M80" s="152"/>
      <c r="N80" s="152"/>
      <c r="O80" s="152"/>
      <c r="P80" s="152"/>
      <c r="Q80" s="152"/>
      <c r="R80" s="152"/>
      <c r="S80" s="152"/>
      <c r="T80" s="152"/>
      <c r="U80" s="152"/>
      <c r="V80" s="152"/>
      <c r="W80" s="152"/>
      <c r="X80" s="152"/>
      <c r="Y80" s="152"/>
      <c r="Z80" s="153"/>
    </row>
    <row r="81" spans="1:26" ht="78" customHeight="1" x14ac:dyDescent="0.15">
      <c r="B81" s="151"/>
      <c r="C81" s="46" t="s">
        <v>137</v>
      </c>
      <c r="D81" s="174" t="s">
        <v>173</v>
      </c>
      <c r="E81" s="174"/>
      <c r="F81" s="174"/>
      <c r="G81" s="174"/>
      <c r="H81" s="174"/>
      <c r="I81" s="174"/>
      <c r="J81" s="174"/>
      <c r="K81" s="174"/>
      <c r="L81" s="174"/>
      <c r="M81" s="174"/>
      <c r="N81" s="174"/>
      <c r="O81" s="174"/>
      <c r="P81" s="174"/>
      <c r="Q81" s="174"/>
      <c r="R81" s="174"/>
      <c r="S81" s="174"/>
      <c r="T81" s="174"/>
      <c r="U81" s="174"/>
      <c r="V81" s="174"/>
      <c r="W81" s="174"/>
      <c r="X81" s="174"/>
      <c r="Y81" s="174"/>
      <c r="Z81" s="175"/>
    </row>
    <row r="82" spans="1:26" ht="78" customHeight="1" x14ac:dyDescent="0.15">
      <c r="B82" s="150" t="s">
        <v>110</v>
      </c>
      <c r="C82" s="29" t="s">
        <v>127</v>
      </c>
      <c r="D82" s="162" t="s">
        <v>176</v>
      </c>
      <c r="E82" s="162"/>
      <c r="F82" s="162"/>
      <c r="G82" s="162"/>
      <c r="H82" s="162"/>
      <c r="I82" s="162"/>
      <c r="J82" s="162"/>
      <c r="K82" s="162"/>
      <c r="L82" s="162"/>
      <c r="M82" s="162"/>
      <c r="N82" s="162"/>
      <c r="O82" s="162"/>
      <c r="P82" s="162"/>
      <c r="Q82" s="162"/>
      <c r="R82" s="162"/>
      <c r="S82" s="162"/>
      <c r="T82" s="162"/>
      <c r="U82" s="162"/>
      <c r="V82" s="162"/>
      <c r="W82" s="162"/>
      <c r="X82" s="162"/>
      <c r="Y82" s="162"/>
      <c r="Z82" s="163"/>
    </row>
    <row r="83" spans="1:26" ht="78" customHeight="1" x14ac:dyDescent="0.15">
      <c r="B83" s="154"/>
      <c r="C83" s="47" t="s">
        <v>128</v>
      </c>
      <c r="D83" s="164" t="s">
        <v>175</v>
      </c>
      <c r="E83" s="164"/>
      <c r="F83" s="164"/>
      <c r="G83" s="164"/>
      <c r="H83" s="164"/>
      <c r="I83" s="164"/>
      <c r="J83" s="164"/>
      <c r="K83" s="164"/>
      <c r="L83" s="164"/>
      <c r="M83" s="164"/>
      <c r="N83" s="164"/>
      <c r="O83" s="164"/>
      <c r="P83" s="164"/>
      <c r="Q83" s="164"/>
      <c r="R83" s="164"/>
      <c r="S83" s="164"/>
      <c r="T83" s="164"/>
      <c r="U83" s="164"/>
      <c r="V83" s="164"/>
      <c r="W83" s="164"/>
      <c r="X83" s="164"/>
      <c r="Y83" s="164"/>
      <c r="Z83" s="165"/>
    </row>
    <row r="84" spans="1:26" ht="66" customHeight="1" x14ac:dyDescent="0.15">
      <c r="B84" s="150" t="s">
        <v>111</v>
      </c>
      <c r="C84" s="29" t="s">
        <v>130</v>
      </c>
      <c r="D84" s="162" t="s">
        <v>201</v>
      </c>
      <c r="E84" s="162"/>
      <c r="F84" s="162"/>
      <c r="G84" s="162"/>
      <c r="H84" s="162"/>
      <c r="I84" s="162"/>
      <c r="J84" s="162"/>
      <c r="K84" s="162"/>
      <c r="L84" s="162"/>
      <c r="M84" s="162"/>
      <c r="N84" s="162"/>
      <c r="O84" s="162"/>
      <c r="P84" s="162"/>
      <c r="Q84" s="162"/>
      <c r="R84" s="162"/>
      <c r="S84" s="162"/>
      <c r="T84" s="162"/>
      <c r="U84" s="162"/>
      <c r="V84" s="162"/>
      <c r="W84" s="162"/>
      <c r="X84" s="162"/>
      <c r="Y84" s="162"/>
      <c r="Z84" s="163"/>
    </row>
    <row r="85" spans="1:26" ht="66" customHeight="1" x14ac:dyDescent="0.15">
      <c r="B85" s="154"/>
      <c r="C85" s="31" t="s">
        <v>131</v>
      </c>
      <c r="D85" s="166" t="s">
        <v>177</v>
      </c>
      <c r="E85" s="166"/>
      <c r="F85" s="166"/>
      <c r="G85" s="166"/>
      <c r="H85" s="166"/>
      <c r="I85" s="166"/>
      <c r="J85" s="166"/>
      <c r="K85" s="166"/>
      <c r="L85" s="166"/>
      <c r="M85" s="166"/>
      <c r="N85" s="166"/>
      <c r="O85" s="166"/>
      <c r="P85" s="166"/>
      <c r="Q85" s="166"/>
      <c r="R85" s="166"/>
      <c r="S85" s="166"/>
      <c r="T85" s="166"/>
      <c r="U85" s="166"/>
      <c r="V85" s="166"/>
      <c r="W85" s="166"/>
      <c r="X85" s="166"/>
      <c r="Y85" s="166"/>
      <c r="Z85" s="167"/>
    </row>
    <row r="86" spans="1:26" ht="66" customHeight="1" x14ac:dyDescent="0.15">
      <c r="B86" s="150" t="s">
        <v>138</v>
      </c>
      <c r="C86" s="34" t="s">
        <v>106</v>
      </c>
      <c r="D86" s="152" t="s">
        <v>202</v>
      </c>
      <c r="E86" s="152"/>
      <c r="F86" s="152"/>
      <c r="G86" s="152"/>
      <c r="H86" s="152"/>
      <c r="I86" s="152"/>
      <c r="J86" s="152"/>
      <c r="K86" s="152"/>
      <c r="L86" s="152"/>
      <c r="M86" s="152"/>
      <c r="N86" s="152"/>
      <c r="O86" s="152"/>
      <c r="P86" s="152"/>
      <c r="Q86" s="152"/>
      <c r="R86" s="152"/>
      <c r="S86" s="152"/>
      <c r="T86" s="152"/>
      <c r="U86" s="152"/>
      <c r="V86" s="152"/>
      <c r="W86" s="152"/>
      <c r="X86" s="152"/>
      <c r="Y86" s="152"/>
      <c r="Z86" s="153"/>
    </row>
    <row r="87" spans="1:26" ht="66" customHeight="1" x14ac:dyDescent="0.15">
      <c r="B87" s="151"/>
      <c r="C87" s="30" t="s">
        <v>108</v>
      </c>
      <c r="D87" s="152" t="s">
        <v>183</v>
      </c>
      <c r="E87" s="152"/>
      <c r="F87" s="152"/>
      <c r="G87" s="152"/>
      <c r="H87" s="152"/>
      <c r="I87" s="152"/>
      <c r="J87" s="152"/>
      <c r="K87" s="152"/>
      <c r="L87" s="152"/>
      <c r="M87" s="152"/>
      <c r="N87" s="152"/>
      <c r="O87" s="152"/>
      <c r="P87" s="152"/>
      <c r="Q87" s="152"/>
      <c r="R87" s="152"/>
      <c r="S87" s="152"/>
      <c r="T87" s="152"/>
      <c r="U87" s="152"/>
      <c r="V87" s="152"/>
      <c r="W87" s="152"/>
      <c r="X87" s="152"/>
      <c r="Y87" s="152"/>
      <c r="Z87" s="153"/>
    </row>
    <row r="88" spans="1:26" ht="66" customHeight="1" x14ac:dyDescent="0.15">
      <c r="B88" s="150" t="s">
        <v>139</v>
      </c>
      <c r="C88" s="29" t="s">
        <v>105</v>
      </c>
      <c r="D88" s="155" t="s">
        <v>203</v>
      </c>
      <c r="E88" s="155"/>
      <c r="F88" s="155"/>
      <c r="G88" s="155"/>
      <c r="H88" s="155"/>
      <c r="I88" s="155"/>
      <c r="J88" s="155"/>
      <c r="K88" s="155"/>
      <c r="L88" s="155"/>
      <c r="M88" s="155"/>
      <c r="N88" s="155"/>
      <c r="O88" s="155"/>
      <c r="P88" s="155"/>
      <c r="Q88" s="155"/>
      <c r="R88" s="155"/>
      <c r="S88" s="155"/>
      <c r="T88" s="155"/>
      <c r="U88" s="155"/>
      <c r="V88" s="155"/>
      <c r="W88" s="155"/>
      <c r="X88" s="155"/>
      <c r="Y88" s="155"/>
      <c r="Z88" s="156"/>
    </row>
    <row r="89" spans="1:26" ht="66" customHeight="1" x14ac:dyDescent="0.15">
      <c r="B89" s="151"/>
      <c r="C89" s="30" t="s">
        <v>134</v>
      </c>
      <c r="D89" s="157" t="s">
        <v>184</v>
      </c>
      <c r="E89" s="158"/>
      <c r="F89" s="158"/>
      <c r="G89" s="158"/>
      <c r="H89" s="158"/>
      <c r="I89" s="158"/>
      <c r="J89" s="158"/>
      <c r="K89" s="158"/>
      <c r="L89" s="158"/>
      <c r="M89" s="158"/>
      <c r="N89" s="158"/>
      <c r="O89" s="158"/>
      <c r="P89" s="158"/>
      <c r="Q89" s="158"/>
      <c r="R89" s="158"/>
      <c r="S89" s="158"/>
      <c r="T89" s="158"/>
      <c r="U89" s="158"/>
      <c r="V89" s="158"/>
      <c r="W89" s="158"/>
      <c r="X89" s="158"/>
      <c r="Y89" s="158"/>
      <c r="Z89" s="159"/>
    </row>
    <row r="90" spans="1:26" ht="66" customHeight="1" x14ac:dyDescent="0.15">
      <c r="B90" s="154"/>
      <c r="C90" s="31" t="s">
        <v>135</v>
      </c>
      <c r="D90" s="160" t="s">
        <v>204</v>
      </c>
      <c r="E90" s="160"/>
      <c r="F90" s="160"/>
      <c r="G90" s="160"/>
      <c r="H90" s="160"/>
      <c r="I90" s="160"/>
      <c r="J90" s="160"/>
      <c r="K90" s="160"/>
      <c r="L90" s="160"/>
      <c r="M90" s="160"/>
      <c r="N90" s="160"/>
      <c r="O90" s="160"/>
      <c r="P90" s="160"/>
      <c r="Q90" s="160"/>
      <c r="R90" s="160"/>
      <c r="S90" s="160"/>
      <c r="T90" s="160"/>
      <c r="U90" s="160"/>
      <c r="V90" s="160"/>
      <c r="W90" s="160"/>
      <c r="X90" s="160"/>
      <c r="Y90" s="160"/>
      <c r="Z90" s="161"/>
    </row>
    <row r="91" spans="1:26" ht="6" customHeight="1" x14ac:dyDescent="0.15"/>
    <row r="92" spans="1:26" ht="18.75" customHeight="1" x14ac:dyDescent="0.15">
      <c r="A92" s="5" t="s">
        <v>143</v>
      </c>
    </row>
    <row r="93" spans="1:26" ht="18.75" customHeight="1" x14ac:dyDescent="0.15">
      <c r="B93" s="139" t="s">
        <v>209</v>
      </c>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1"/>
    </row>
    <row r="94" spans="1:26" ht="18.75" customHeight="1" x14ac:dyDescent="0.15">
      <c r="B94" s="142"/>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43"/>
    </row>
    <row r="95" spans="1:26" ht="18.75" customHeight="1" x14ac:dyDescent="0.15">
      <c r="B95" s="144"/>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6"/>
    </row>
    <row r="96" spans="1:26" ht="6" customHeight="1" x14ac:dyDescent="0.15"/>
    <row r="97" spans="1:26" ht="15" customHeight="1" x14ac:dyDescent="0.15">
      <c r="A97" s="5" t="s">
        <v>144</v>
      </c>
    </row>
    <row r="98" spans="1:26" ht="15" customHeight="1" x14ac:dyDescent="0.15">
      <c r="B98" s="147" t="str">
        <f>URL</f>
        <v>https://www.yamato-u.ac.jp/research/educational_features/mathematics_ai_data/</v>
      </c>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9"/>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L16:M22 Y27:Z33 H27:H33 H38:H44 Y38:Z44 H49:H55 Y49:Z55 Y60:Z66 L60:M66 H16:H22 U16:U22 T60:T66 U27:U33 L27:M33 U38:U44 L38:M44 U49:U55 G60:G66 L49:M55" xr:uid="{13B3D1BD-032D-4E58-AE59-DC8A614BC9B8}">
      <formula1>"○"</formula1>
    </dataValidation>
    <dataValidation type="list" allowBlank="1" showInputMessage="1" showErrorMessage="1" sqref="Z23 Z34 D34:K34 D23:K23 V16:V22 I16:I22 V27:V33 H60:H66 V38:V44 I27:I33 V49:V55 I38:I44 U60:U66 I49:I55" xr:uid="{5132D398-F748-4FED-968C-BFB545169DAA}">
      <formula1>"全学開講,一部開講"</formula1>
    </dataValidation>
    <dataValidation type="list" allowBlank="1" showInputMessage="1" showErrorMessage="1" sqref="O4" xr:uid="{F8758BBE-3891-4925-ACF4-42FDBD0A17D8}">
      <formula1>"学部・学科によって、修了要件は相違する,学部・学科によって、修了要件は相違しない"</formula1>
    </dataValidation>
    <dataValidation type="list" allowBlank="1" showInputMessage="1" showErrorMessage="1" sqref="H74:M77 G70:G77 H70:M71 T70:T77 U70:Z71 U74:Z77" xr:uid="{7752534A-51AB-4874-BC80-32B517BCB859}">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C43A1-2FB7-47A6-8CAE-A309A87E69D5}">
  <dimension ref="A1:AB98"/>
  <sheetViews>
    <sheetView showZeros="0" view="pageBreakPreview" topLeftCell="A52" zoomScaleNormal="100" zoomScaleSheetLayoutView="100" workbookViewId="0">
      <selection activeCell="G60" sqref="G60"/>
    </sheetView>
  </sheetViews>
  <sheetFormatPr defaultColWidth="9" defaultRowHeight="18.75" customHeight="1" x14ac:dyDescent="0.15"/>
  <cols>
    <col min="1" max="1" width="2.5" style="5" customWidth="1"/>
    <col min="2" max="2" width="27.75" style="5" customWidth="1"/>
    <col min="3" max="13" width="3.375" style="5" customWidth="1"/>
    <col min="14" max="14" width="8.875" style="5" customWidth="1"/>
    <col min="15" max="15" width="18.875" style="5" customWidth="1"/>
    <col min="16" max="19" width="3.375" style="5" customWidth="1"/>
    <col min="20" max="20" width="3.5" style="5" customWidth="1"/>
    <col min="21" max="26" width="3.375" style="5" customWidth="1"/>
    <col min="27" max="16384" width="9" style="5"/>
  </cols>
  <sheetData>
    <row r="1" spans="1:28" ht="15" customHeight="1" x14ac:dyDescent="0.15">
      <c r="W1" s="210" t="str">
        <f>"様式２－"&amp;AB1</f>
        <v>様式２－3</v>
      </c>
      <c r="X1" s="210"/>
      <c r="Y1" s="210"/>
      <c r="Z1" s="210"/>
      <c r="AB1" s="5">
        <v>3</v>
      </c>
    </row>
    <row r="2" spans="1:28" ht="18" customHeight="1" x14ac:dyDescent="0.15">
      <c r="A2" s="211" t="s">
        <v>67</v>
      </c>
      <c r="B2" s="211"/>
      <c r="C2" s="211"/>
      <c r="D2" s="211"/>
      <c r="E2" s="211"/>
      <c r="F2" s="211"/>
      <c r="G2" s="211"/>
      <c r="H2" s="211"/>
      <c r="I2" s="211"/>
      <c r="J2" s="211"/>
      <c r="K2" s="211"/>
      <c r="L2" s="211"/>
      <c r="M2" s="211"/>
      <c r="N2" s="211"/>
      <c r="O2" s="211"/>
      <c r="P2" s="211"/>
      <c r="Q2" s="211"/>
      <c r="R2" s="211"/>
      <c r="S2" s="211"/>
      <c r="T2" s="211"/>
      <c r="U2" s="211"/>
      <c r="V2" s="211"/>
      <c r="W2" s="211"/>
      <c r="X2" s="211"/>
      <c r="Y2" s="211"/>
      <c r="Z2" s="211"/>
    </row>
    <row r="3" spans="1:28" ht="15" customHeight="1" x14ac:dyDescent="0.15">
      <c r="B3" s="19"/>
      <c r="C3" s="19"/>
      <c r="D3" s="19"/>
      <c r="E3" s="19"/>
      <c r="F3" s="19"/>
      <c r="G3" s="19"/>
      <c r="H3" s="19"/>
      <c r="I3" s="19"/>
      <c r="J3" s="19"/>
      <c r="K3" s="19"/>
      <c r="L3" s="19"/>
      <c r="M3" s="19"/>
      <c r="N3" s="19"/>
      <c r="O3" s="19"/>
      <c r="P3" s="19"/>
      <c r="Q3" s="19"/>
      <c r="R3" s="19"/>
      <c r="S3" s="19"/>
      <c r="T3" s="19"/>
      <c r="U3" s="19"/>
      <c r="V3" s="19"/>
      <c r="W3" s="19"/>
      <c r="X3" s="19"/>
      <c r="Y3" s="19"/>
      <c r="Z3" s="19"/>
    </row>
    <row r="4" spans="1:28" ht="18" customHeight="1" x14ac:dyDescent="0.15">
      <c r="A4" s="5" t="s">
        <v>99</v>
      </c>
      <c r="B4" s="19"/>
      <c r="C4" s="19"/>
      <c r="D4" s="19"/>
      <c r="E4" s="19"/>
      <c r="F4" s="19"/>
      <c r="G4" s="19"/>
      <c r="H4" s="6" t="s">
        <v>112</v>
      </c>
      <c r="I4" s="19"/>
      <c r="J4" s="19"/>
      <c r="K4" s="19"/>
      <c r="L4" s="19"/>
      <c r="M4" s="19"/>
      <c r="N4" s="19"/>
      <c r="O4" s="112" t="s">
        <v>160</v>
      </c>
      <c r="P4" s="113"/>
      <c r="Q4" s="113"/>
      <c r="R4" s="113"/>
      <c r="S4" s="113"/>
      <c r="T4" s="113"/>
      <c r="U4" s="113"/>
      <c r="V4" s="113"/>
      <c r="W4" s="113"/>
      <c r="X4" s="113"/>
      <c r="Y4" s="113"/>
      <c r="Z4" s="114"/>
    </row>
    <row r="5" spans="1:28" ht="6" customHeight="1" x14ac:dyDescent="0.15">
      <c r="B5" s="19"/>
      <c r="C5" s="19"/>
      <c r="D5" s="19"/>
      <c r="E5" s="19"/>
      <c r="F5" s="19"/>
      <c r="G5" s="19"/>
      <c r="H5" s="19"/>
      <c r="I5" s="19"/>
      <c r="J5" s="19"/>
      <c r="K5" s="19"/>
      <c r="L5" s="19"/>
      <c r="M5" s="19"/>
      <c r="N5" s="19"/>
      <c r="O5" s="7"/>
      <c r="P5" s="19"/>
      <c r="Q5" s="19"/>
      <c r="R5" s="19"/>
      <c r="S5" s="19"/>
      <c r="T5" s="19"/>
      <c r="U5" s="19"/>
      <c r="V5" s="19"/>
      <c r="W5" s="19"/>
      <c r="X5" s="19"/>
      <c r="Y5" s="19"/>
      <c r="Z5" s="19"/>
    </row>
    <row r="6" spans="1:28" ht="18" customHeight="1" x14ac:dyDescent="0.15">
      <c r="B6" s="212" t="str">
        <f>VLOOKUP(AB1,'(作業用)'!B4:D7,2)&amp;"では、「"&amp;VLOOKUP(AB1,'(作業用)'!B4:D7,3)&amp;"」2単位と「AIデータサイエンス入門」2単位を取得すること。"</f>
        <v>理工学部では、「情報処理入門」2単位と「AIデータサイエンス入門」2単位を取得すること。</v>
      </c>
      <c r="C6" s="213"/>
      <c r="D6" s="213"/>
      <c r="E6" s="213"/>
      <c r="F6" s="213"/>
      <c r="G6" s="213"/>
      <c r="H6" s="213"/>
      <c r="I6" s="213"/>
      <c r="J6" s="213"/>
      <c r="K6" s="213"/>
      <c r="L6" s="213"/>
      <c r="M6" s="213"/>
      <c r="N6" s="213"/>
      <c r="O6" s="213"/>
      <c r="P6" s="213"/>
      <c r="Q6" s="213"/>
      <c r="R6" s="213"/>
      <c r="S6" s="213"/>
      <c r="T6" s="213"/>
      <c r="U6" s="213"/>
      <c r="V6" s="213"/>
      <c r="W6" s="213"/>
      <c r="X6" s="213"/>
      <c r="Y6" s="213"/>
      <c r="Z6" s="214"/>
    </row>
    <row r="7" spans="1:28" ht="18" customHeight="1" x14ac:dyDescent="0.15">
      <c r="B7" s="215"/>
      <c r="C7" s="216"/>
      <c r="D7" s="216"/>
      <c r="E7" s="216"/>
      <c r="F7" s="216"/>
      <c r="G7" s="216"/>
      <c r="H7" s="216"/>
      <c r="I7" s="216"/>
      <c r="J7" s="216"/>
      <c r="K7" s="216"/>
      <c r="L7" s="216"/>
      <c r="M7" s="216"/>
      <c r="N7" s="216"/>
      <c r="O7" s="216"/>
      <c r="P7" s="216"/>
      <c r="Q7" s="216"/>
      <c r="R7" s="216"/>
      <c r="S7" s="216"/>
      <c r="T7" s="216"/>
      <c r="U7" s="216"/>
      <c r="V7" s="216"/>
      <c r="W7" s="216"/>
      <c r="X7" s="216"/>
      <c r="Y7" s="216"/>
      <c r="Z7" s="217"/>
    </row>
    <row r="8" spans="1:28" ht="18" customHeight="1" x14ac:dyDescent="0.15">
      <c r="B8" s="215"/>
      <c r="C8" s="216"/>
      <c r="D8" s="216"/>
      <c r="E8" s="216"/>
      <c r="F8" s="216"/>
      <c r="G8" s="216"/>
      <c r="H8" s="216"/>
      <c r="I8" s="216"/>
      <c r="J8" s="216"/>
      <c r="K8" s="216"/>
      <c r="L8" s="216"/>
      <c r="M8" s="216"/>
      <c r="N8" s="216"/>
      <c r="O8" s="216"/>
      <c r="P8" s="216"/>
      <c r="Q8" s="216"/>
      <c r="R8" s="216"/>
      <c r="S8" s="216"/>
      <c r="T8" s="216"/>
      <c r="U8" s="216"/>
      <c r="V8" s="216"/>
      <c r="W8" s="216"/>
      <c r="X8" s="216"/>
      <c r="Y8" s="216"/>
      <c r="Z8" s="217"/>
    </row>
    <row r="9" spans="1:28" ht="18" customHeight="1" x14ac:dyDescent="0.15">
      <c r="B9" s="215"/>
      <c r="C9" s="216"/>
      <c r="D9" s="216"/>
      <c r="E9" s="216"/>
      <c r="F9" s="216"/>
      <c r="G9" s="216"/>
      <c r="H9" s="216"/>
      <c r="I9" s="216"/>
      <c r="J9" s="216"/>
      <c r="K9" s="216"/>
      <c r="L9" s="216"/>
      <c r="M9" s="216"/>
      <c r="N9" s="216"/>
      <c r="O9" s="216"/>
      <c r="P9" s="216"/>
      <c r="Q9" s="216"/>
      <c r="R9" s="216"/>
      <c r="S9" s="216"/>
      <c r="T9" s="216"/>
      <c r="U9" s="216"/>
      <c r="V9" s="216"/>
      <c r="W9" s="216"/>
      <c r="X9" s="216"/>
      <c r="Y9" s="216"/>
      <c r="Z9" s="217"/>
    </row>
    <row r="10" spans="1:28" ht="18" customHeight="1" x14ac:dyDescent="0.15">
      <c r="B10" s="215"/>
      <c r="C10" s="218"/>
      <c r="D10" s="218"/>
      <c r="E10" s="218"/>
      <c r="F10" s="218"/>
      <c r="G10" s="218"/>
      <c r="H10" s="218"/>
      <c r="I10" s="218"/>
      <c r="J10" s="218"/>
      <c r="K10" s="218"/>
      <c r="L10" s="218"/>
      <c r="M10" s="218"/>
      <c r="N10" s="218"/>
      <c r="O10" s="218"/>
      <c r="P10" s="218"/>
      <c r="Q10" s="218"/>
      <c r="R10" s="218"/>
      <c r="S10" s="218"/>
      <c r="T10" s="218"/>
      <c r="U10" s="218"/>
      <c r="V10" s="218"/>
      <c r="W10" s="218"/>
      <c r="X10" s="218"/>
      <c r="Y10" s="218"/>
      <c r="Z10" s="217"/>
    </row>
    <row r="11" spans="1:28" ht="18" customHeight="1" x14ac:dyDescent="0.15">
      <c r="B11" s="219"/>
      <c r="C11" s="220"/>
      <c r="D11" s="220"/>
      <c r="E11" s="220"/>
      <c r="F11" s="220"/>
      <c r="G11" s="220"/>
      <c r="H11" s="220"/>
      <c r="I11" s="220"/>
      <c r="J11" s="220"/>
      <c r="K11" s="220"/>
      <c r="L11" s="220"/>
      <c r="M11" s="220"/>
      <c r="N11" s="220"/>
      <c r="O11" s="220"/>
      <c r="P11" s="220"/>
      <c r="Q11" s="220"/>
      <c r="R11" s="220"/>
      <c r="S11" s="220"/>
      <c r="T11" s="220"/>
      <c r="U11" s="220"/>
      <c r="V11" s="220"/>
      <c r="W11" s="220"/>
      <c r="X11" s="220"/>
      <c r="Y11" s="220"/>
      <c r="Z11" s="221"/>
    </row>
    <row r="12" spans="1:28" ht="7.5" customHeight="1" x14ac:dyDescent="0.15">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8" ht="18" customHeight="1" x14ac:dyDescent="0.15">
      <c r="A13" s="203" t="s">
        <v>125</v>
      </c>
      <c r="B13" s="203"/>
      <c r="C13" s="203"/>
      <c r="D13" s="203"/>
      <c r="E13" s="203"/>
      <c r="F13" s="203"/>
      <c r="G13" s="203"/>
      <c r="H13" s="203"/>
      <c r="I13" s="203"/>
      <c r="J13" s="203"/>
      <c r="K13" s="203"/>
      <c r="L13" s="203"/>
      <c r="M13" s="203"/>
      <c r="N13" s="203"/>
      <c r="O13" s="203"/>
      <c r="P13" s="203"/>
      <c r="Q13" s="203"/>
      <c r="R13" s="203"/>
      <c r="S13" s="203"/>
      <c r="T13" s="203"/>
      <c r="U13" s="203"/>
      <c r="V13" s="203"/>
      <c r="W13" s="203"/>
      <c r="X13" s="203"/>
      <c r="Y13" s="203"/>
      <c r="Z13" s="203"/>
    </row>
    <row r="14" spans="1:28" ht="18" customHeight="1" x14ac:dyDescent="0.15">
      <c r="A14" s="203"/>
      <c r="B14" s="203"/>
      <c r="C14" s="203"/>
      <c r="D14" s="203"/>
      <c r="E14" s="203"/>
      <c r="F14" s="203"/>
      <c r="G14" s="203"/>
      <c r="H14" s="203"/>
      <c r="I14" s="203"/>
      <c r="J14" s="203"/>
      <c r="K14" s="203"/>
      <c r="L14" s="203"/>
      <c r="M14" s="203"/>
      <c r="N14" s="203"/>
      <c r="O14" s="203"/>
      <c r="P14" s="203"/>
      <c r="Q14" s="203"/>
      <c r="R14" s="203"/>
      <c r="S14" s="203"/>
      <c r="T14" s="203"/>
      <c r="U14" s="203"/>
      <c r="V14" s="203"/>
      <c r="W14" s="203"/>
      <c r="X14" s="203"/>
      <c r="Y14" s="203"/>
      <c r="Z14" s="203"/>
    </row>
    <row r="15" spans="1:28" ht="18" customHeight="1" x14ac:dyDescent="0.15">
      <c r="B15" s="112" t="s">
        <v>100</v>
      </c>
      <c r="C15" s="113"/>
      <c r="D15" s="113"/>
      <c r="E15" s="113"/>
      <c r="F15" s="114"/>
      <c r="G15" s="20" t="s">
        <v>141</v>
      </c>
      <c r="H15" s="48" t="s">
        <v>140</v>
      </c>
      <c r="I15" s="113" t="s">
        <v>101</v>
      </c>
      <c r="J15" s="113"/>
      <c r="K15" s="113"/>
      <c r="L15" s="26" t="s">
        <v>104</v>
      </c>
      <c r="M15" s="26" t="s">
        <v>107</v>
      </c>
      <c r="N15" s="112" t="s">
        <v>100</v>
      </c>
      <c r="O15" s="113"/>
      <c r="P15" s="113"/>
      <c r="Q15" s="113"/>
      <c r="R15" s="113"/>
      <c r="S15" s="114"/>
      <c r="T15" s="20" t="s">
        <v>141</v>
      </c>
      <c r="U15" s="48" t="s">
        <v>140</v>
      </c>
      <c r="V15" s="113" t="s">
        <v>101</v>
      </c>
      <c r="W15" s="113"/>
      <c r="X15" s="113"/>
      <c r="Y15" s="26" t="s">
        <v>104</v>
      </c>
      <c r="Z15" s="26" t="s">
        <v>107</v>
      </c>
    </row>
    <row r="16" spans="1:28" ht="18" customHeight="1" x14ac:dyDescent="0.15">
      <c r="B16" s="207" t="s">
        <v>152</v>
      </c>
      <c r="C16" s="208"/>
      <c r="D16" s="208"/>
      <c r="E16" s="208"/>
      <c r="F16" s="209"/>
      <c r="G16" s="49">
        <v>2</v>
      </c>
      <c r="H16" s="49" t="s">
        <v>169</v>
      </c>
      <c r="I16" s="197" t="s">
        <v>168</v>
      </c>
      <c r="J16" s="198"/>
      <c r="K16" s="199"/>
      <c r="L16" s="49" t="s">
        <v>169</v>
      </c>
      <c r="M16" s="49" t="s">
        <v>169</v>
      </c>
      <c r="N16" s="182"/>
      <c r="O16" s="183"/>
      <c r="P16" s="183"/>
      <c r="Q16" s="183"/>
      <c r="R16" s="183"/>
      <c r="S16" s="184"/>
      <c r="T16" s="49"/>
      <c r="U16" s="49"/>
      <c r="V16" s="197"/>
      <c r="W16" s="198"/>
      <c r="X16" s="199"/>
      <c r="Y16" s="49"/>
      <c r="Z16" s="49"/>
    </row>
    <row r="17" spans="1:26" ht="18" customHeight="1" x14ac:dyDescent="0.15">
      <c r="B17" s="204"/>
      <c r="C17" s="205"/>
      <c r="D17" s="205"/>
      <c r="E17" s="205"/>
      <c r="F17" s="206"/>
      <c r="G17" s="50"/>
      <c r="H17" s="50"/>
      <c r="I17" s="194"/>
      <c r="J17" s="195"/>
      <c r="K17" s="196"/>
      <c r="L17" s="50"/>
      <c r="M17" s="50"/>
      <c r="N17" s="176"/>
      <c r="O17" s="177"/>
      <c r="P17" s="177"/>
      <c r="Q17" s="177"/>
      <c r="R17" s="177"/>
      <c r="S17" s="178"/>
      <c r="T17" s="50"/>
      <c r="U17" s="50"/>
      <c r="V17" s="194"/>
      <c r="W17" s="195"/>
      <c r="X17" s="196"/>
      <c r="Y17" s="50"/>
      <c r="Z17" s="50"/>
    </row>
    <row r="18" spans="1:26" ht="18" customHeight="1" x14ac:dyDescent="0.15">
      <c r="B18" s="204"/>
      <c r="C18" s="205"/>
      <c r="D18" s="205"/>
      <c r="E18" s="205"/>
      <c r="F18" s="206"/>
      <c r="G18" s="50"/>
      <c r="H18" s="50"/>
      <c r="I18" s="194"/>
      <c r="J18" s="195"/>
      <c r="K18" s="196"/>
      <c r="L18" s="50"/>
      <c r="M18" s="50"/>
      <c r="N18" s="176"/>
      <c r="O18" s="177"/>
      <c r="P18" s="177"/>
      <c r="Q18" s="177"/>
      <c r="R18" s="177"/>
      <c r="S18" s="178"/>
      <c r="T18" s="50"/>
      <c r="U18" s="50"/>
      <c r="V18" s="194"/>
      <c r="W18" s="195"/>
      <c r="X18" s="196"/>
      <c r="Y18" s="50"/>
      <c r="Z18" s="50"/>
    </row>
    <row r="19" spans="1:26" ht="18" customHeight="1" x14ac:dyDescent="0.15">
      <c r="B19" s="204"/>
      <c r="C19" s="205"/>
      <c r="D19" s="205"/>
      <c r="E19" s="205"/>
      <c r="F19" s="206"/>
      <c r="G19" s="50"/>
      <c r="H19" s="50"/>
      <c r="I19" s="194"/>
      <c r="J19" s="195"/>
      <c r="K19" s="196"/>
      <c r="L19" s="50"/>
      <c r="M19" s="50"/>
      <c r="N19" s="176"/>
      <c r="O19" s="177"/>
      <c r="P19" s="177"/>
      <c r="Q19" s="177"/>
      <c r="R19" s="177"/>
      <c r="S19" s="178"/>
      <c r="T19" s="50"/>
      <c r="U19" s="50"/>
      <c r="V19" s="194"/>
      <c r="W19" s="195"/>
      <c r="X19" s="196"/>
      <c r="Y19" s="50"/>
      <c r="Z19" s="50"/>
    </row>
    <row r="20" spans="1:26" ht="18" customHeight="1" x14ac:dyDescent="0.15">
      <c r="B20" s="204"/>
      <c r="C20" s="205"/>
      <c r="D20" s="205"/>
      <c r="E20" s="205"/>
      <c r="F20" s="206"/>
      <c r="G20" s="50"/>
      <c r="H20" s="50"/>
      <c r="I20" s="194"/>
      <c r="J20" s="195"/>
      <c r="K20" s="196"/>
      <c r="L20" s="50"/>
      <c r="M20" s="50"/>
      <c r="N20" s="176"/>
      <c r="O20" s="177"/>
      <c r="P20" s="177"/>
      <c r="Q20" s="177"/>
      <c r="R20" s="177"/>
      <c r="S20" s="178"/>
      <c r="T20" s="50"/>
      <c r="U20" s="50"/>
      <c r="V20" s="194"/>
      <c r="W20" s="195"/>
      <c r="X20" s="196"/>
      <c r="Y20" s="50"/>
      <c r="Z20" s="50"/>
    </row>
    <row r="21" spans="1:26" ht="18" customHeight="1" x14ac:dyDescent="0.15">
      <c r="A21" s="19"/>
      <c r="B21" s="204"/>
      <c r="C21" s="205"/>
      <c r="D21" s="205"/>
      <c r="E21" s="205"/>
      <c r="F21" s="206"/>
      <c r="G21" s="50"/>
      <c r="H21" s="50"/>
      <c r="I21" s="194"/>
      <c r="J21" s="195"/>
      <c r="K21" s="196"/>
      <c r="L21" s="50"/>
      <c r="M21" s="50"/>
      <c r="N21" s="176"/>
      <c r="O21" s="177"/>
      <c r="P21" s="177"/>
      <c r="Q21" s="177"/>
      <c r="R21" s="177"/>
      <c r="S21" s="178"/>
      <c r="T21" s="50"/>
      <c r="U21" s="50"/>
      <c r="V21" s="194"/>
      <c r="W21" s="195"/>
      <c r="X21" s="196"/>
      <c r="Y21" s="50"/>
      <c r="Z21" s="50"/>
    </row>
    <row r="22" spans="1:26" ht="18" customHeight="1" x14ac:dyDescent="0.15">
      <c r="A22" s="19"/>
      <c r="B22" s="200"/>
      <c r="C22" s="201"/>
      <c r="D22" s="201"/>
      <c r="E22" s="201"/>
      <c r="F22" s="202"/>
      <c r="G22" s="51"/>
      <c r="H22" s="51"/>
      <c r="I22" s="188"/>
      <c r="J22" s="189"/>
      <c r="K22" s="190"/>
      <c r="L22" s="53"/>
      <c r="M22" s="53"/>
      <c r="N22" s="168"/>
      <c r="O22" s="169"/>
      <c r="P22" s="169"/>
      <c r="Q22" s="169"/>
      <c r="R22" s="169"/>
      <c r="S22" s="170"/>
      <c r="T22" s="51"/>
      <c r="U22" s="51"/>
      <c r="V22" s="188"/>
      <c r="W22" s="189"/>
      <c r="X22" s="190"/>
      <c r="Y22" s="53"/>
      <c r="Z22" s="53"/>
    </row>
    <row r="23" spans="1:26" ht="7.5" customHeight="1" x14ac:dyDescent="0.15">
      <c r="A23" s="19"/>
      <c r="B23" s="27"/>
      <c r="C23" s="27"/>
      <c r="D23" s="19"/>
      <c r="E23" s="19"/>
      <c r="F23" s="19"/>
      <c r="G23" s="19"/>
      <c r="H23" s="19"/>
      <c r="I23" s="19"/>
      <c r="J23" s="19"/>
      <c r="K23" s="19"/>
      <c r="L23" s="27"/>
      <c r="M23" s="27"/>
      <c r="N23" s="27"/>
      <c r="O23" s="27"/>
      <c r="P23" s="27"/>
      <c r="Q23" s="27"/>
      <c r="R23" s="27"/>
      <c r="S23" s="27"/>
      <c r="T23" s="27"/>
      <c r="U23" s="27"/>
      <c r="V23" s="27"/>
      <c r="W23" s="27"/>
      <c r="X23" s="27"/>
      <c r="Y23" s="27"/>
      <c r="Z23" s="19"/>
    </row>
    <row r="24" spans="1:26" ht="18" customHeight="1" x14ac:dyDescent="0.15">
      <c r="A24" s="203" t="s">
        <v>126</v>
      </c>
      <c r="B24" s="203"/>
      <c r="C24" s="203"/>
      <c r="D24" s="203"/>
      <c r="E24" s="203"/>
      <c r="F24" s="203"/>
      <c r="G24" s="203"/>
      <c r="H24" s="203"/>
      <c r="I24" s="203"/>
      <c r="J24" s="203"/>
      <c r="K24" s="203"/>
      <c r="L24" s="203"/>
      <c r="M24" s="203"/>
      <c r="N24" s="203"/>
      <c r="O24" s="203"/>
      <c r="P24" s="203"/>
      <c r="Q24" s="203"/>
      <c r="R24" s="203"/>
      <c r="S24" s="203"/>
      <c r="T24" s="203"/>
      <c r="U24" s="203"/>
      <c r="V24" s="203"/>
      <c r="W24" s="203"/>
      <c r="X24" s="203"/>
      <c r="Y24" s="203"/>
      <c r="Z24" s="203"/>
    </row>
    <row r="25" spans="1:26" ht="18" customHeight="1" x14ac:dyDescent="0.15">
      <c r="A25" s="203"/>
      <c r="B25" s="203"/>
      <c r="C25" s="203"/>
      <c r="D25" s="203"/>
      <c r="E25" s="203"/>
      <c r="F25" s="203"/>
      <c r="G25" s="203"/>
      <c r="H25" s="203"/>
      <c r="I25" s="203"/>
      <c r="J25" s="203"/>
      <c r="K25" s="203"/>
      <c r="L25" s="203"/>
      <c r="M25" s="203"/>
      <c r="N25" s="203"/>
      <c r="O25" s="203"/>
      <c r="P25" s="203"/>
      <c r="Q25" s="203"/>
      <c r="R25" s="203"/>
      <c r="S25" s="203"/>
      <c r="T25" s="203"/>
      <c r="U25" s="203"/>
      <c r="V25" s="203"/>
      <c r="W25" s="203"/>
      <c r="X25" s="203"/>
      <c r="Y25" s="203"/>
      <c r="Z25" s="203"/>
    </row>
    <row r="26" spans="1:26" ht="18" customHeight="1" x14ac:dyDescent="0.15">
      <c r="B26" s="112" t="s">
        <v>100</v>
      </c>
      <c r="C26" s="113"/>
      <c r="D26" s="113"/>
      <c r="E26" s="113"/>
      <c r="F26" s="114"/>
      <c r="G26" s="20" t="s">
        <v>141</v>
      </c>
      <c r="H26" s="48" t="s">
        <v>140</v>
      </c>
      <c r="I26" s="113" t="s">
        <v>101</v>
      </c>
      <c r="J26" s="113"/>
      <c r="K26" s="113"/>
      <c r="L26" s="26" t="s">
        <v>127</v>
      </c>
      <c r="M26" s="26" t="s">
        <v>128</v>
      </c>
      <c r="N26" s="112" t="s">
        <v>100</v>
      </c>
      <c r="O26" s="113"/>
      <c r="P26" s="113"/>
      <c r="Q26" s="113"/>
      <c r="R26" s="113"/>
      <c r="S26" s="114"/>
      <c r="T26" s="20" t="s">
        <v>141</v>
      </c>
      <c r="U26" s="48" t="s">
        <v>140</v>
      </c>
      <c r="V26" s="113" t="s">
        <v>101</v>
      </c>
      <c r="W26" s="113"/>
      <c r="X26" s="113"/>
      <c r="Y26" s="26" t="s">
        <v>127</v>
      </c>
      <c r="Z26" s="26" t="s">
        <v>128</v>
      </c>
    </row>
    <row r="27" spans="1:26" ht="18" customHeight="1" x14ac:dyDescent="0.15">
      <c r="B27" s="207" t="s">
        <v>152</v>
      </c>
      <c r="C27" s="208"/>
      <c r="D27" s="208"/>
      <c r="E27" s="208"/>
      <c r="F27" s="209"/>
      <c r="G27" s="49">
        <v>2</v>
      </c>
      <c r="H27" s="49" t="s">
        <v>169</v>
      </c>
      <c r="I27" s="197" t="s">
        <v>168</v>
      </c>
      <c r="J27" s="198"/>
      <c r="K27" s="199"/>
      <c r="L27" s="49" t="s">
        <v>169</v>
      </c>
      <c r="M27" s="49" t="s">
        <v>169</v>
      </c>
      <c r="N27" s="182"/>
      <c r="O27" s="183"/>
      <c r="P27" s="183"/>
      <c r="Q27" s="183"/>
      <c r="R27" s="183"/>
      <c r="S27" s="184"/>
      <c r="T27" s="49"/>
      <c r="U27" s="49"/>
      <c r="V27" s="197"/>
      <c r="W27" s="198"/>
      <c r="X27" s="199"/>
      <c r="Y27" s="49"/>
      <c r="Z27" s="49"/>
    </row>
    <row r="28" spans="1:26" ht="18" customHeight="1" x14ac:dyDescent="0.15">
      <c r="B28" s="204"/>
      <c r="C28" s="205"/>
      <c r="D28" s="205"/>
      <c r="E28" s="205"/>
      <c r="F28" s="206"/>
      <c r="G28" s="50"/>
      <c r="H28" s="50"/>
      <c r="I28" s="194"/>
      <c r="J28" s="195"/>
      <c r="K28" s="196"/>
      <c r="L28" s="50"/>
      <c r="M28" s="50"/>
      <c r="N28" s="176"/>
      <c r="O28" s="177"/>
      <c r="P28" s="177"/>
      <c r="Q28" s="177"/>
      <c r="R28" s="177"/>
      <c r="S28" s="178"/>
      <c r="T28" s="50"/>
      <c r="U28" s="50"/>
      <c r="V28" s="194"/>
      <c r="W28" s="195"/>
      <c r="X28" s="196"/>
      <c r="Y28" s="50"/>
      <c r="Z28" s="50"/>
    </row>
    <row r="29" spans="1:26" ht="18" customHeight="1" x14ac:dyDescent="0.15">
      <c r="B29" s="204"/>
      <c r="C29" s="205"/>
      <c r="D29" s="205"/>
      <c r="E29" s="205"/>
      <c r="F29" s="206"/>
      <c r="G29" s="50"/>
      <c r="H29" s="50"/>
      <c r="I29" s="194"/>
      <c r="J29" s="195"/>
      <c r="K29" s="196"/>
      <c r="L29" s="50"/>
      <c r="M29" s="50"/>
      <c r="N29" s="176"/>
      <c r="O29" s="177"/>
      <c r="P29" s="177"/>
      <c r="Q29" s="177"/>
      <c r="R29" s="177"/>
      <c r="S29" s="178"/>
      <c r="T29" s="50"/>
      <c r="U29" s="50"/>
      <c r="V29" s="194"/>
      <c r="W29" s="195"/>
      <c r="X29" s="196"/>
      <c r="Y29" s="50"/>
      <c r="Z29" s="50"/>
    </row>
    <row r="30" spans="1:26" ht="18" customHeight="1" x14ac:dyDescent="0.15">
      <c r="B30" s="204"/>
      <c r="C30" s="205"/>
      <c r="D30" s="205"/>
      <c r="E30" s="205"/>
      <c r="F30" s="206"/>
      <c r="G30" s="50"/>
      <c r="H30" s="50"/>
      <c r="I30" s="194"/>
      <c r="J30" s="195"/>
      <c r="K30" s="196"/>
      <c r="L30" s="50"/>
      <c r="M30" s="50"/>
      <c r="N30" s="176"/>
      <c r="O30" s="177"/>
      <c r="P30" s="177"/>
      <c r="Q30" s="177"/>
      <c r="R30" s="177"/>
      <c r="S30" s="178"/>
      <c r="T30" s="50"/>
      <c r="U30" s="50"/>
      <c r="V30" s="194"/>
      <c r="W30" s="195"/>
      <c r="X30" s="196"/>
      <c r="Y30" s="50"/>
      <c r="Z30" s="50"/>
    </row>
    <row r="31" spans="1:26" ht="18" customHeight="1" x14ac:dyDescent="0.15">
      <c r="B31" s="204"/>
      <c r="C31" s="205"/>
      <c r="D31" s="205"/>
      <c r="E31" s="205"/>
      <c r="F31" s="206"/>
      <c r="G31" s="50"/>
      <c r="H31" s="50"/>
      <c r="I31" s="194"/>
      <c r="J31" s="195"/>
      <c r="K31" s="196"/>
      <c r="L31" s="50"/>
      <c r="M31" s="50"/>
      <c r="N31" s="176"/>
      <c r="O31" s="177"/>
      <c r="P31" s="177"/>
      <c r="Q31" s="177"/>
      <c r="R31" s="177"/>
      <c r="S31" s="178"/>
      <c r="T31" s="50"/>
      <c r="U31" s="50"/>
      <c r="V31" s="194"/>
      <c r="W31" s="195"/>
      <c r="X31" s="196"/>
      <c r="Y31" s="50"/>
      <c r="Z31" s="50"/>
    </row>
    <row r="32" spans="1:26" ht="18" customHeight="1" x14ac:dyDescent="0.15">
      <c r="B32" s="204"/>
      <c r="C32" s="205"/>
      <c r="D32" s="205"/>
      <c r="E32" s="205"/>
      <c r="F32" s="206"/>
      <c r="G32" s="50"/>
      <c r="H32" s="50"/>
      <c r="I32" s="194"/>
      <c r="J32" s="195"/>
      <c r="K32" s="196"/>
      <c r="L32" s="50"/>
      <c r="M32" s="50"/>
      <c r="N32" s="176"/>
      <c r="O32" s="177"/>
      <c r="P32" s="177"/>
      <c r="Q32" s="177"/>
      <c r="R32" s="177"/>
      <c r="S32" s="178"/>
      <c r="T32" s="50"/>
      <c r="U32" s="50"/>
      <c r="V32" s="194"/>
      <c r="W32" s="195"/>
      <c r="X32" s="196"/>
      <c r="Y32" s="50"/>
      <c r="Z32" s="50"/>
    </row>
    <row r="33" spans="1:26" ht="18" customHeight="1" x14ac:dyDescent="0.15">
      <c r="B33" s="200"/>
      <c r="C33" s="201"/>
      <c r="D33" s="201"/>
      <c r="E33" s="201"/>
      <c r="F33" s="202"/>
      <c r="G33" s="51"/>
      <c r="H33" s="51"/>
      <c r="I33" s="188"/>
      <c r="J33" s="189"/>
      <c r="K33" s="190"/>
      <c r="L33" s="53"/>
      <c r="M33" s="53"/>
      <c r="N33" s="168"/>
      <c r="O33" s="169"/>
      <c r="P33" s="169"/>
      <c r="Q33" s="169"/>
      <c r="R33" s="169"/>
      <c r="S33" s="170"/>
      <c r="T33" s="51"/>
      <c r="U33" s="51"/>
      <c r="V33" s="188"/>
      <c r="W33" s="189"/>
      <c r="X33" s="190"/>
      <c r="Y33" s="53"/>
      <c r="Z33" s="53"/>
    </row>
    <row r="34" spans="1:26" ht="7.5" customHeight="1" x14ac:dyDescent="0.15">
      <c r="A34" s="19"/>
      <c r="B34" s="27"/>
      <c r="C34" s="27"/>
      <c r="D34" s="19"/>
      <c r="E34" s="19"/>
      <c r="F34" s="19"/>
      <c r="G34" s="19"/>
      <c r="H34" s="19"/>
      <c r="I34" s="19"/>
      <c r="J34" s="19"/>
      <c r="K34" s="19"/>
      <c r="L34" s="27"/>
      <c r="M34" s="27"/>
      <c r="N34" s="27"/>
      <c r="O34" s="27"/>
      <c r="P34" s="27"/>
      <c r="Q34" s="27"/>
      <c r="R34" s="27"/>
      <c r="S34" s="27"/>
      <c r="T34" s="27"/>
      <c r="U34" s="27"/>
      <c r="V34" s="27"/>
      <c r="W34" s="27"/>
      <c r="X34" s="27"/>
      <c r="Y34" s="27"/>
      <c r="Z34" s="19"/>
    </row>
    <row r="35" spans="1:26" ht="18" customHeight="1" x14ac:dyDescent="0.15">
      <c r="A35" s="203" t="s">
        <v>129</v>
      </c>
      <c r="B35" s="203"/>
      <c r="C35" s="203"/>
      <c r="D35" s="203"/>
      <c r="E35" s="203"/>
      <c r="F35" s="203"/>
      <c r="G35" s="203"/>
      <c r="H35" s="203"/>
      <c r="I35" s="203"/>
      <c r="J35" s="203"/>
      <c r="K35" s="203"/>
      <c r="L35" s="203"/>
      <c r="M35" s="203"/>
      <c r="N35" s="203"/>
      <c r="O35" s="203"/>
      <c r="P35" s="203"/>
      <c r="Q35" s="203"/>
      <c r="R35" s="203"/>
      <c r="S35" s="203"/>
      <c r="T35" s="203"/>
      <c r="U35" s="203"/>
      <c r="V35" s="203"/>
      <c r="W35" s="203"/>
      <c r="X35" s="203"/>
      <c r="Y35" s="203"/>
      <c r="Z35" s="203"/>
    </row>
    <row r="36" spans="1:26" ht="18" customHeight="1" x14ac:dyDescent="0.15">
      <c r="A36" s="203"/>
      <c r="B36" s="203"/>
      <c r="C36" s="203"/>
      <c r="D36" s="203"/>
      <c r="E36" s="203"/>
      <c r="F36" s="203"/>
      <c r="G36" s="203"/>
      <c r="H36" s="203"/>
      <c r="I36" s="203"/>
      <c r="J36" s="203"/>
      <c r="K36" s="203"/>
      <c r="L36" s="203"/>
      <c r="M36" s="203"/>
      <c r="N36" s="203"/>
      <c r="O36" s="203"/>
      <c r="P36" s="203"/>
      <c r="Q36" s="203"/>
      <c r="R36" s="203"/>
      <c r="S36" s="203"/>
      <c r="T36" s="203"/>
      <c r="U36" s="203"/>
      <c r="V36" s="203"/>
      <c r="W36" s="203"/>
      <c r="X36" s="203"/>
      <c r="Y36" s="203"/>
      <c r="Z36" s="203"/>
    </row>
    <row r="37" spans="1:26" ht="18" customHeight="1" x14ac:dyDescent="0.15">
      <c r="B37" s="112" t="s">
        <v>100</v>
      </c>
      <c r="C37" s="113"/>
      <c r="D37" s="113"/>
      <c r="E37" s="113"/>
      <c r="F37" s="114"/>
      <c r="G37" s="20" t="s">
        <v>141</v>
      </c>
      <c r="H37" s="48" t="s">
        <v>140</v>
      </c>
      <c r="I37" s="112" t="s">
        <v>101</v>
      </c>
      <c r="J37" s="113"/>
      <c r="K37" s="114"/>
      <c r="L37" s="26" t="s">
        <v>130</v>
      </c>
      <c r="M37" s="26" t="s">
        <v>131</v>
      </c>
      <c r="N37" s="112" t="s">
        <v>100</v>
      </c>
      <c r="O37" s="113"/>
      <c r="P37" s="113"/>
      <c r="Q37" s="113"/>
      <c r="R37" s="113"/>
      <c r="S37" s="114"/>
      <c r="T37" s="20" t="s">
        <v>141</v>
      </c>
      <c r="U37" s="48" t="s">
        <v>140</v>
      </c>
      <c r="V37" s="112" t="s">
        <v>101</v>
      </c>
      <c r="W37" s="113"/>
      <c r="X37" s="114"/>
      <c r="Y37" s="26" t="s">
        <v>130</v>
      </c>
      <c r="Z37" s="26" t="s">
        <v>131</v>
      </c>
    </row>
    <row r="38" spans="1:26" ht="18" customHeight="1" x14ac:dyDescent="0.15">
      <c r="A38" s="19"/>
      <c r="B38" s="207" t="s">
        <v>152</v>
      </c>
      <c r="C38" s="208"/>
      <c r="D38" s="208"/>
      <c r="E38" s="208"/>
      <c r="F38" s="209"/>
      <c r="G38" s="49">
        <v>2</v>
      </c>
      <c r="H38" s="49" t="s">
        <v>169</v>
      </c>
      <c r="I38" s="197" t="s">
        <v>168</v>
      </c>
      <c r="J38" s="198"/>
      <c r="K38" s="199"/>
      <c r="L38" s="49" t="s">
        <v>169</v>
      </c>
      <c r="M38" s="49" t="s">
        <v>169</v>
      </c>
      <c r="N38" s="182"/>
      <c r="O38" s="183"/>
      <c r="P38" s="183"/>
      <c r="Q38" s="183"/>
      <c r="R38" s="183"/>
      <c r="S38" s="184"/>
      <c r="T38" s="49"/>
      <c r="U38" s="49"/>
      <c r="V38" s="197"/>
      <c r="W38" s="198"/>
      <c r="X38" s="199"/>
      <c r="Y38" s="49"/>
      <c r="Z38" s="49"/>
    </row>
    <row r="39" spans="1:26" ht="18" customHeight="1" x14ac:dyDescent="0.15">
      <c r="A39" s="19"/>
      <c r="B39" s="204" t="str">
        <f>VLOOKUP(AB1,'(作業用)'!B4:D7,3)</f>
        <v>情報処理入門</v>
      </c>
      <c r="C39" s="205"/>
      <c r="D39" s="205"/>
      <c r="E39" s="205"/>
      <c r="F39" s="206"/>
      <c r="G39" s="50">
        <v>2</v>
      </c>
      <c r="H39" s="50" t="s">
        <v>169</v>
      </c>
      <c r="I39" s="194" t="s">
        <v>171</v>
      </c>
      <c r="J39" s="195"/>
      <c r="K39" s="196"/>
      <c r="L39" s="50" t="s">
        <v>169</v>
      </c>
      <c r="M39" s="50"/>
      <c r="N39" s="176"/>
      <c r="O39" s="177"/>
      <c r="P39" s="177"/>
      <c r="Q39" s="177"/>
      <c r="R39" s="177"/>
      <c r="S39" s="178"/>
      <c r="T39" s="50"/>
      <c r="U39" s="50"/>
      <c r="V39" s="194"/>
      <c r="W39" s="195"/>
      <c r="X39" s="196"/>
      <c r="Y39" s="50"/>
      <c r="Z39" s="50"/>
    </row>
    <row r="40" spans="1:26" ht="18" customHeight="1" x14ac:dyDescent="0.15">
      <c r="A40" s="19"/>
      <c r="B40" s="204"/>
      <c r="C40" s="205"/>
      <c r="D40" s="205"/>
      <c r="E40" s="205"/>
      <c r="F40" s="206"/>
      <c r="G40" s="50"/>
      <c r="H40" s="50"/>
      <c r="I40" s="194"/>
      <c r="J40" s="195"/>
      <c r="K40" s="196"/>
      <c r="L40" s="50"/>
      <c r="M40" s="50"/>
      <c r="N40" s="176"/>
      <c r="O40" s="177"/>
      <c r="P40" s="177"/>
      <c r="Q40" s="177"/>
      <c r="R40" s="177"/>
      <c r="S40" s="178"/>
      <c r="T40" s="50"/>
      <c r="U40" s="50"/>
      <c r="V40" s="194"/>
      <c r="W40" s="195"/>
      <c r="X40" s="196"/>
      <c r="Y40" s="50"/>
      <c r="Z40" s="50"/>
    </row>
    <row r="41" spans="1:26" ht="18" customHeight="1" x14ac:dyDescent="0.15">
      <c r="A41" s="19"/>
      <c r="B41" s="204"/>
      <c r="C41" s="205"/>
      <c r="D41" s="205"/>
      <c r="E41" s="205"/>
      <c r="F41" s="206"/>
      <c r="G41" s="50"/>
      <c r="H41" s="50"/>
      <c r="I41" s="194"/>
      <c r="J41" s="195"/>
      <c r="K41" s="196"/>
      <c r="L41" s="50"/>
      <c r="M41" s="50"/>
      <c r="N41" s="176"/>
      <c r="O41" s="177"/>
      <c r="P41" s="177"/>
      <c r="Q41" s="177"/>
      <c r="R41" s="177"/>
      <c r="S41" s="178"/>
      <c r="T41" s="50"/>
      <c r="U41" s="50"/>
      <c r="V41" s="194"/>
      <c r="W41" s="195"/>
      <c r="X41" s="196"/>
      <c r="Y41" s="50"/>
      <c r="Z41" s="50"/>
    </row>
    <row r="42" spans="1:26" ht="18" customHeight="1" x14ac:dyDescent="0.15">
      <c r="A42" s="19"/>
      <c r="B42" s="204"/>
      <c r="C42" s="205"/>
      <c r="D42" s="205"/>
      <c r="E42" s="205"/>
      <c r="F42" s="206"/>
      <c r="G42" s="50"/>
      <c r="H42" s="50"/>
      <c r="I42" s="194"/>
      <c r="J42" s="195"/>
      <c r="K42" s="196"/>
      <c r="L42" s="50"/>
      <c r="M42" s="50"/>
      <c r="N42" s="176"/>
      <c r="O42" s="177"/>
      <c r="P42" s="177"/>
      <c r="Q42" s="177"/>
      <c r="R42" s="177"/>
      <c r="S42" s="178"/>
      <c r="T42" s="50"/>
      <c r="U42" s="50"/>
      <c r="V42" s="194"/>
      <c r="W42" s="195"/>
      <c r="X42" s="196"/>
      <c r="Y42" s="50"/>
      <c r="Z42" s="50"/>
    </row>
    <row r="43" spans="1:26" ht="18" customHeight="1" x14ac:dyDescent="0.15">
      <c r="A43" s="19"/>
      <c r="B43" s="204"/>
      <c r="C43" s="205"/>
      <c r="D43" s="205"/>
      <c r="E43" s="205"/>
      <c r="F43" s="206"/>
      <c r="G43" s="50"/>
      <c r="H43" s="50"/>
      <c r="I43" s="194"/>
      <c r="J43" s="195"/>
      <c r="K43" s="196"/>
      <c r="L43" s="50"/>
      <c r="M43" s="50"/>
      <c r="N43" s="176"/>
      <c r="O43" s="177"/>
      <c r="P43" s="177"/>
      <c r="Q43" s="177"/>
      <c r="R43" s="177"/>
      <c r="S43" s="178"/>
      <c r="T43" s="50"/>
      <c r="U43" s="50"/>
      <c r="V43" s="194"/>
      <c r="W43" s="195"/>
      <c r="X43" s="196"/>
      <c r="Y43" s="50"/>
      <c r="Z43" s="50"/>
    </row>
    <row r="44" spans="1:26" ht="18" customHeight="1" x14ac:dyDescent="0.15">
      <c r="A44" s="19"/>
      <c r="B44" s="200"/>
      <c r="C44" s="201"/>
      <c r="D44" s="201"/>
      <c r="E44" s="201"/>
      <c r="F44" s="202"/>
      <c r="G44" s="51"/>
      <c r="H44" s="51"/>
      <c r="I44" s="188"/>
      <c r="J44" s="189"/>
      <c r="K44" s="190"/>
      <c r="L44" s="53"/>
      <c r="M44" s="53"/>
      <c r="N44" s="168"/>
      <c r="O44" s="169"/>
      <c r="P44" s="169"/>
      <c r="Q44" s="169"/>
      <c r="R44" s="169"/>
      <c r="S44" s="170"/>
      <c r="T44" s="51"/>
      <c r="U44" s="51"/>
      <c r="V44" s="188"/>
      <c r="W44" s="189"/>
      <c r="X44" s="190"/>
      <c r="Y44" s="53"/>
      <c r="Z44" s="53"/>
    </row>
    <row r="45" spans="1:26" ht="7.5" customHeight="1" x14ac:dyDescent="0.15">
      <c r="B45" s="28"/>
      <c r="C45" s="28"/>
      <c r="D45" s="28"/>
      <c r="E45" s="28"/>
      <c r="F45" s="28"/>
      <c r="G45" s="28"/>
      <c r="H45" s="28"/>
      <c r="I45" s="28"/>
      <c r="J45" s="28"/>
      <c r="K45" s="28"/>
      <c r="L45" s="28"/>
      <c r="M45" s="28"/>
      <c r="N45" s="28"/>
      <c r="O45" s="28"/>
      <c r="P45" s="28"/>
      <c r="Q45" s="28"/>
      <c r="R45" s="28"/>
      <c r="S45" s="28"/>
      <c r="T45" s="28"/>
      <c r="U45" s="28"/>
      <c r="V45" s="28"/>
      <c r="W45" s="28"/>
      <c r="X45" s="28"/>
      <c r="Y45" s="28"/>
    </row>
    <row r="46" spans="1:26" ht="18" customHeight="1" x14ac:dyDescent="0.15">
      <c r="A46" s="203" t="s">
        <v>132</v>
      </c>
      <c r="B46" s="203"/>
      <c r="C46" s="203"/>
      <c r="D46" s="203"/>
      <c r="E46" s="203"/>
      <c r="F46" s="203"/>
      <c r="G46" s="203"/>
      <c r="H46" s="203"/>
      <c r="I46" s="203"/>
      <c r="J46" s="203"/>
      <c r="K46" s="203"/>
      <c r="L46" s="203"/>
      <c r="M46" s="203"/>
      <c r="N46" s="203"/>
      <c r="O46" s="203"/>
      <c r="P46" s="203"/>
      <c r="Q46" s="203"/>
      <c r="R46" s="203"/>
      <c r="S46" s="203"/>
      <c r="T46" s="203"/>
      <c r="U46" s="203"/>
      <c r="V46" s="203"/>
      <c r="W46" s="203"/>
      <c r="X46" s="203"/>
      <c r="Y46" s="203"/>
      <c r="Z46" s="203"/>
    </row>
    <row r="47" spans="1:26" ht="18" customHeight="1" x14ac:dyDescent="0.15">
      <c r="A47" s="203"/>
      <c r="B47" s="203"/>
      <c r="C47" s="203"/>
      <c r="D47" s="203"/>
      <c r="E47" s="203"/>
      <c r="F47" s="203"/>
      <c r="G47" s="203"/>
      <c r="H47" s="203"/>
      <c r="I47" s="203"/>
      <c r="J47" s="203"/>
      <c r="K47" s="203"/>
      <c r="L47" s="203"/>
      <c r="M47" s="203"/>
      <c r="N47" s="203"/>
      <c r="O47" s="203"/>
      <c r="P47" s="203"/>
      <c r="Q47" s="203"/>
      <c r="R47" s="203"/>
      <c r="S47" s="203"/>
      <c r="T47" s="203"/>
      <c r="U47" s="203"/>
      <c r="V47" s="203"/>
      <c r="W47" s="203"/>
      <c r="X47" s="203"/>
      <c r="Y47" s="203"/>
      <c r="Z47" s="203"/>
    </row>
    <row r="48" spans="1:26" ht="18" customHeight="1" x14ac:dyDescent="0.15">
      <c r="B48" s="112" t="s">
        <v>100</v>
      </c>
      <c r="C48" s="113"/>
      <c r="D48" s="113"/>
      <c r="E48" s="113"/>
      <c r="F48" s="114"/>
      <c r="G48" s="20" t="s">
        <v>141</v>
      </c>
      <c r="H48" s="48" t="s">
        <v>140</v>
      </c>
      <c r="I48" s="112" t="s">
        <v>101</v>
      </c>
      <c r="J48" s="113"/>
      <c r="K48" s="114"/>
      <c r="L48" s="26" t="s">
        <v>106</v>
      </c>
      <c r="M48" s="26" t="s">
        <v>108</v>
      </c>
      <c r="N48" s="112" t="s">
        <v>100</v>
      </c>
      <c r="O48" s="113"/>
      <c r="P48" s="113"/>
      <c r="Q48" s="113"/>
      <c r="R48" s="113"/>
      <c r="S48" s="114"/>
      <c r="T48" s="20" t="s">
        <v>141</v>
      </c>
      <c r="U48" s="48" t="s">
        <v>140</v>
      </c>
      <c r="V48" s="112" t="s">
        <v>101</v>
      </c>
      <c r="W48" s="113"/>
      <c r="X48" s="114"/>
      <c r="Y48" s="26" t="s">
        <v>106</v>
      </c>
      <c r="Z48" s="26" t="s">
        <v>108</v>
      </c>
    </row>
    <row r="49" spans="1:26" ht="18" customHeight="1" x14ac:dyDescent="0.15">
      <c r="A49" s="19"/>
      <c r="B49" s="207" t="s">
        <v>152</v>
      </c>
      <c r="C49" s="208"/>
      <c r="D49" s="208"/>
      <c r="E49" s="208"/>
      <c r="F49" s="209"/>
      <c r="G49" s="49">
        <v>2</v>
      </c>
      <c r="H49" s="49" t="s">
        <v>169</v>
      </c>
      <c r="I49" s="197" t="s">
        <v>168</v>
      </c>
      <c r="J49" s="198"/>
      <c r="K49" s="199"/>
      <c r="L49" s="49" t="s">
        <v>169</v>
      </c>
      <c r="M49" s="49" t="s">
        <v>169</v>
      </c>
      <c r="N49" s="182"/>
      <c r="O49" s="183"/>
      <c r="P49" s="183"/>
      <c r="Q49" s="183"/>
      <c r="R49" s="183"/>
      <c r="S49" s="184"/>
      <c r="T49" s="49"/>
      <c r="U49" s="49"/>
      <c r="V49" s="197"/>
      <c r="W49" s="198"/>
      <c r="X49" s="199"/>
      <c r="Y49" s="49"/>
      <c r="Z49" s="49"/>
    </row>
    <row r="50" spans="1:26" ht="18" customHeight="1" x14ac:dyDescent="0.15">
      <c r="A50" s="19"/>
      <c r="B50" s="204" t="str">
        <f>VLOOKUP(AB1,'(作業用)'!B4:D7,3)</f>
        <v>情報処理入門</v>
      </c>
      <c r="C50" s="205"/>
      <c r="D50" s="205"/>
      <c r="E50" s="205"/>
      <c r="F50" s="206"/>
      <c r="G50" s="50">
        <v>2</v>
      </c>
      <c r="H50" s="50" t="s">
        <v>169</v>
      </c>
      <c r="I50" s="194" t="s">
        <v>171</v>
      </c>
      <c r="J50" s="195"/>
      <c r="K50" s="196"/>
      <c r="L50" s="50" t="s">
        <v>169</v>
      </c>
      <c r="M50" s="50" t="s">
        <v>169</v>
      </c>
      <c r="N50" s="176"/>
      <c r="O50" s="177"/>
      <c r="P50" s="177"/>
      <c r="Q50" s="177"/>
      <c r="R50" s="177"/>
      <c r="S50" s="178"/>
      <c r="T50" s="50"/>
      <c r="U50" s="50"/>
      <c r="V50" s="194"/>
      <c r="W50" s="195"/>
      <c r="X50" s="196"/>
      <c r="Y50" s="50"/>
      <c r="Z50" s="50"/>
    </row>
    <row r="51" spans="1:26" ht="18" customHeight="1" x14ac:dyDescent="0.15">
      <c r="A51" s="19"/>
      <c r="B51" s="204"/>
      <c r="C51" s="205"/>
      <c r="D51" s="205"/>
      <c r="E51" s="205"/>
      <c r="F51" s="206"/>
      <c r="G51" s="50"/>
      <c r="H51" s="50"/>
      <c r="I51" s="194"/>
      <c r="J51" s="195"/>
      <c r="K51" s="196"/>
      <c r="L51" s="50"/>
      <c r="M51" s="50"/>
      <c r="N51" s="176"/>
      <c r="O51" s="177"/>
      <c r="P51" s="177"/>
      <c r="Q51" s="177"/>
      <c r="R51" s="177"/>
      <c r="S51" s="178"/>
      <c r="T51" s="50"/>
      <c r="U51" s="50"/>
      <c r="V51" s="194"/>
      <c r="W51" s="195"/>
      <c r="X51" s="196"/>
      <c r="Y51" s="50"/>
      <c r="Z51" s="50"/>
    </row>
    <row r="52" spans="1:26" ht="18" customHeight="1" x14ac:dyDescent="0.15">
      <c r="A52" s="19"/>
      <c r="B52" s="204"/>
      <c r="C52" s="205"/>
      <c r="D52" s="205"/>
      <c r="E52" s="205"/>
      <c r="F52" s="206"/>
      <c r="G52" s="50"/>
      <c r="H52" s="50"/>
      <c r="I52" s="194"/>
      <c r="J52" s="195"/>
      <c r="K52" s="196"/>
      <c r="L52" s="50"/>
      <c r="M52" s="50"/>
      <c r="N52" s="176"/>
      <c r="O52" s="177"/>
      <c r="P52" s="177"/>
      <c r="Q52" s="177"/>
      <c r="R52" s="177"/>
      <c r="S52" s="178"/>
      <c r="T52" s="50"/>
      <c r="U52" s="50"/>
      <c r="V52" s="194"/>
      <c r="W52" s="195"/>
      <c r="X52" s="196"/>
      <c r="Y52" s="50"/>
      <c r="Z52" s="50"/>
    </row>
    <row r="53" spans="1:26" ht="18" customHeight="1" x14ac:dyDescent="0.15">
      <c r="A53" s="19"/>
      <c r="B53" s="204"/>
      <c r="C53" s="205"/>
      <c r="D53" s="205"/>
      <c r="E53" s="205"/>
      <c r="F53" s="206"/>
      <c r="G53" s="50"/>
      <c r="H53" s="50"/>
      <c r="I53" s="194"/>
      <c r="J53" s="195"/>
      <c r="K53" s="196"/>
      <c r="L53" s="50"/>
      <c r="M53" s="50"/>
      <c r="N53" s="176"/>
      <c r="O53" s="177"/>
      <c r="P53" s="177"/>
      <c r="Q53" s="177"/>
      <c r="R53" s="177"/>
      <c r="S53" s="178"/>
      <c r="T53" s="50"/>
      <c r="U53" s="50"/>
      <c r="V53" s="194"/>
      <c r="W53" s="195"/>
      <c r="X53" s="196"/>
      <c r="Y53" s="50"/>
      <c r="Z53" s="50"/>
    </row>
    <row r="54" spans="1:26" ht="18" customHeight="1" x14ac:dyDescent="0.15">
      <c r="A54" s="19"/>
      <c r="B54" s="204"/>
      <c r="C54" s="205"/>
      <c r="D54" s="205"/>
      <c r="E54" s="205"/>
      <c r="F54" s="206"/>
      <c r="G54" s="50"/>
      <c r="H54" s="50"/>
      <c r="I54" s="194"/>
      <c r="J54" s="195"/>
      <c r="K54" s="196"/>
      <c r="L54" s="50"/>
      <c r="M54" s="50"/>
      <c r="N54" s="176"/>
      <c r="O54" s="177"/>
      <c r="P54" s="177"/>
      <c r="Q54" s="177"/>
      <c r="R54" s="177"/>
      <c r="S54" s="178"/>
      <c r="T54" s="50"/>
      <c r="U54" s="50"/>
      <c r="V54" s="194"/>
      <c r="W54" s="195"/>
      <c r="X54" s="196"/>
      <c r="Y54" s="50"/>
      <c r="Z54" s="50"/>
    </row>
    <row r="55" spans="1:26" ht="18" customHeight="1" x14ac:dyDescent="0.15">
      <c r="A55" s="19"/>
      <c r="B55" s="200"/>
      <c r="C55" s="201"/>
      <c r="D55" s="201"/>
      <c r="E55" s="201"/>
      <c r="F55" s="202"/>
      <c r="G55" s="51"/>
      <c r="H55" s="51"/>
      <c r="I55" s="188"/>
      <c r="J55" s="189"/>
      <c r="K55" s="190"/>
      <c r="L55" s="53"/>
      <c r="M55" s="53"/>
      <c r="N55" s="168"/>
      <c r="O55" s="169"/>
      <c r="P55" s="169"/>
      <c r="Q55" s="169"/>
      <c r="R55" s="169"/>
      <c r="S55" s="170"/>
      <c r="T55" s="51"/>
      <c r="U55" s="51"/>
      <c r="V55" s="188"/>
      <c r="W55" s="189"/>
      <c r="X55" s="190"/>
      <c r="Y55" s="53"/>
      <c r="Z55" s="53"/>
    </row>
    <row r="56" spans="1:26" ht="7.5" customHeight="1" x14ac:dyDescent="0.15">
      <c r="B56" s="28"/>
      <c r="C56" s="28"/>
      <c r="D56" s="28"/>
      <c r="E56" s="28"/>
      <c r="F56" s="28"/>
      <c r="G56" s="28"/>
      <c r="H56" s="28"/>
      <c r="I56" s="28"/>
      <c r="J56" s="28"/>
      <c r="K56" s="28"/>
      <c r="L56" s="28"/>
      <c r="M56" s="28"/>
      <c r="N56" s="28"/>
      <c r="O56" s="28"/>
      <c r="P56" s="28"/>
      <c r="Q56" s="28"/>
      <c r="R56" s="28"/>
      <c r="S56" s="28"/>
      <c r="T56" s="28"/>
      <c r="U56" s="28"/>
      <c r="V56" s="28"/>
      <c r="W56" s="28"/>
      <c r="X56" s="28"/>
      <c r="Y56" s="28"/>
    </row>
    <row r="57" spans="1:26" ht="18" customHeight="1" x14ac:dyDescent="0.15">
      <c r="A57" s="203" t="s">
        <v>133</v>
      </c>
      <c r="B57" s="203"/>
      <c r="C57" s="203"/>
      <c r="D57" s="203"/>
      <c r="E57" s="203"/>
      <c r="F57" s="203"/>
      <c r="G57" s="203"/>
      <c r="H57" s="203"/>
      <c r="I57" s="203"/>
      <c r="J57" s="203"/>
      <c r="K57" s="203"/>
      <c r="L57" s="203"/>
      <c r="M57" s="203"/>
      <c r="N57" s="203"/>
      <c r="O57" s="203"/>
      <c r="P57" s="203"/>
      <c r="Q57" s="203"/>
      <c r="R57" s="203"/>
      <c r="S57" s="203"/>
      <c r="T57" s="203"/>
      <c r="U57" s="203"/>
      <c r="V57" s="203"/>
      <c r="W57" s="203"/>
      <c r="X57" s="203"/>
      <c r="Y57" s="203"/>
      <c r="Z57" s="203"/>
    </row>
    <row r="58" spans="1:26" ht="18" customHeight="1" x14ac:dyDescent="0.15">
      <c r="A58" s="203"/>
      <c r="B58" s="203"/>
      <c r="C58" s="203"/>
      <c r="D58" s="203"/>
      <c r="E58" s="203"/>
      <c r="F58" s="203"/>
      <c r="G58" s="203"/>
      <c r="H58" s="203"/>
      <c r="I58" s="203"/>
      <c r="J58" s="203"/>
      <c r="K58" s="203"/>
      <c r="L58" s="203"/>
      <c r="M58" s="203"/>
      <c r="N58" s="203"/>
      <c r="O58" s="203"/>
      <c r="P58" s="203"/>
      <c r="Q58" s="203"/>
      <c r="R58" s="203"/>
      <c r="S58" s="203"/>
      <c r="T58" s="203"/>
      <c r="U58" s="203"/>
      <c r="V58" s="203"/>
      <c r="W58" s="203"/>
      <c r="X58" s="203"/>
      <c r="Y58" s="203"/>
      <c r="Z58" s="203"/>
    </row>
    <row r="59" spans="1:26" ht="18" customHeight="1" x14ac:dyDescent="0.15">
      <c r="B59" s="112" t="s">
        <v>100</v>
      </c>
      <c r="C59" s="113"/>
      <c r="D59" s="113"/>
      <c r="E59" s="114"/>
      <c r="F59" s="20" t="s">
        <v>141</v>
      </c>
      <c r="G59" s="48" t="s">
        <v>140</v>
      </c>
      <c r="H59" s="43" t="s">
        <v>101</v>
      </c>
      <c r="I59" s="44"/>
      <c r="J59" s="45"/>
      <c r="K59" s="26" t="s">
        <v>105</v>
      </c>
      <c r="L59" s="26" t="s">
        <v>134</v>
      </c>
      <c r="M59" s="26" t="s">
        <v>135</v>
      </c>
      <c r="N59" s="112" t="s">
        <v>100</v>
      </c>
      <c r="O59" s="113"/>
      <c r="P59" s="113"/>
      <c r="Q59" s="113"/>
      <c r="R59" s="114"/>
      <c r="S59" s="20" t="s">
        <v>141</v>
      </c>
      <c r="T59" s="48" t="s">
        <v>140</v>
      </c>
      <c r="U59" s="43" t="s">
        <v>101</v>
      </c>
      <c r="V59" s="44"/>
      <c r="W59" s="45"/>
      <c r="X59" s="26" t="s">
        <v>105</v>
      </c>
      <c r="Y59" s="26" t="s">
        <v>134</v>
      </c>
      <c r="Z59" s="26" t="s">
        <v>135</v>
      </c>
    </row>
    <row r="60" spans="1:26" ht="18" customHeight="1" x14ac:dyDescent="0.15">
      <c r="A60" s="19"/>
      <c r="B60" s="182" t="s">
        <v>152</v>
      </c>
      <c r="C60" s="183"/>
      <c r="D60" s="183"/>
      <c r="E60" s="184"/>
      <c r="F60" s="49">
        <v>2</v>
      </c>
      <c r="G60" s="49" t="s">
        <v>169</v>
      </c>
      <c r="H60" s="197" t="s">
        <v>168</v>
      </c>
      <c r="I60" s="198"/>
      <c r="J60" s="199"/>
      <c r="K60" s="56" t="s">
        <v>170</v>
      </c>
      <c r="L60" s="49" t="s">
        <v>169</v>
      </c>
      <c r="M60" s="49" t="s">
        <v>169</v>
      </c>
      <c r="N60" s="182"/>
      <c r="O60" s="183"/>
      <c r="P60" s="183"/>
      <c r="Q60" s="183"/>
      <c r="R60" s="184"/>
      <c r="S60" s="49"/>
      <c r="T60" s="49"/>
      <c r="U60" s="197"/>
      <c r="V60" s="198"/>
      <c r="W60" s="199"/>
      <c r="X60" s="56"/>
      <c r="Y60" s="49"/>
      <c r="Z60" s="49"/>
    </row>
    <row r="61" spans="1:26" ht="18" customHeight="1" x14ac:dyDescent="0.15">
      <c r="A61" s="19"/>
      <c r="B61" s="176" t="str">
        <f>VLOOKUP(AB1,'(作業用)'!B4:D7,3)</f>
        <v>情報処理入門</v>
      </c>
      <c r="C61" s="177"/>
      <c r="D61" s="177"/>
      <c r="E61" s="178"/>
      <c r="F61" s="50">
        <v>2</v>
      </c>
      <c r="G61" s="50" t="s">
        <v>169</v>
      </c>
      <c r="H61" s="194" t="s">
        <v>171</v>
      </c>
      <c r="I61" s="195"/>
      <c r="J61" s="196"/>
      <c r="K61" s="57" t="s">
        <v>170</v>
      </c>
      <c r="L61" s="50" t="s">
        <v>169</v>
      </c>
      <c r="M61" s="50" t="s">
        <v>169</v>
      </c>
      <c r="N61" s="176"/>
      <c r="O61" s="177"/>
      <c r="P61" s="177"/>
      <c r="Q61" s="177"/>
      <c r="R61" s="178"/>
      <c r="S61" s="50"/>
      <c r="T61" s="50"/>
      <c r="U61" s="194"/>
      <c r="V61" s="195"/>
      <c r="W61" s="196"/>
      <c r="X61" s="57"/>
      <c r="Y61" s="50"/>
      <c r="Z61" s="50"/>
    </row>
    <row r="62" spans="1:26" ht="18" customHeight="1" x14ac:dyDescent="0.15">
      <c r="A62" s="19"/>
      <c r="B62" s="176"/>
      <c r="C62" s="177"/>
      <c r="D62" s="177"/>
      <c r="E62" s="178"/>
      <c r="F62" s="50"/>
      <c r="G62" s="50"/>
      <c r="H62" s="194"/>
      <c r="I62" s="195"/>
      <c r="J62" s="196"/>
      <c r="K62" s="57"/>
      <c r="L62" s="50"/>
      <c r="M62" s="50"/>
      <c r="N62" s="176"/>
      <c r="O62" s="177"/>
      <c r="P62" s="177"/>
      <c r="Q62" s="177"/>
      <c r="R62" s="178"/>
      <c r="S62" s="50"/>
      <c r="T62" s="50"/>
      <c r="U62" s="194"/>
      <c r="V62" s="195"/>
      <c r="W62" s="196"/>
      <c r="X62" s="57"/>
      <c r="Y62" s="50"/>
      <c r="Z62" s="50"/>
    </row>
    <row r="63" spans="1:26" ht="18" customHeight="1" x14ac:dyDescent="0.15">
      <c r="A63" s="19"/>
      <c r="B63" s="176"/>
      <c r="C63" s="177"/>
      <c r="D63" s="177"/>
      <c r="E63" s="178"/>
      <c r="F63" s="50"/>
      <c r="G63" s="50"/>
      <c r="H63" s="194"/>
      <c r="I63" s="195"/>
      <c r="J63" s="196"/>
      <c r="K63" s="57"/>
      <c r="L63" s="50"/>
      <c r="M63" s="50"/>
      <c r="N63" s="176"/>
      <c r="O63" s="177"/>
      <c r="P63" s="177"/>
      <c r="Q63" s="177"/>
      <c r="R63" s="178"/>
      <c r="S63" s="50"/>
      <c r="T63" s="50"/>
      <c r="U63" s="194"/>
      <c r="V63" s="195"/>
      <c r="W63" s="196"/>
      <c r="X63" s="57"/>
      <c r="Y63" s="50"/>
      <c r="Z63" s="50"/>
    </row>
    <row r="64" spans="1:26" ht="18" customHeight="1" x14ac:dyDescent="0.15">
      <c r="A64" s="19"/>
      <c r="B64" s="176"/>
      <c r="C64" s="177"/>
      <c r="D64" s="177"/>
      <c r="E64" s="178"/>
      <c r="F64" s="50"/>
      <c r="G64" s="50"/>
      <c r="H64" s="194"/>
      <c r="I64" s="195"/>
      <c r="J64" s="196"/>
      <c r="K64" s="57"/>
      <c r="L64" s="50"/>
      <c r="M64" s="50"/>
      <c r="N64" s="176"/>
      <c r="O64" s="177"/>
      <c r="P64" s="177"/>
      <c r="Q64" s="177"/>
      <c r="R64" s="178"/>
      <c r="S64" s="50"/>
      <c r="T64" s="50"/>
      <c r="U64" s="194"/>
      <c r="V64" s="195"/>
      <c r="W64" s="196"/>
      <c r="X64" s="57"/>
      <c r="Y64" s="50"/>
      <c r="Z64" s="50"/>
    </row>
    <row r="65" spans="1:26" ht="18" customHeight="1" x14ac:dyDescent="0.15">
      <c r="A65" s="19"/>
      <c r="B65" s="176"/>
      <c r="C65" s="177"/>
      <c r="D65" s="177"/>
      <c r="E65" s="178"/>
      <c r="F65" s="50"/>
      <c r="G65" s="50"/>
      <c r="H65" s="194"/>
      <c r="I65" s="195"/>
      <c r="J65" s="196"/>
      <c r="K65" s="57"/>
      <c r="L65" s="50"/>
      <c r="M65" s="50"/>
      <c r="N65" s="176"/>
      <c r="O65" s="177"/>
      <c r="P65" s="177"/>
      <c r="Q65" s="177"/>
      <c r="R65" s="178"/>
      <c r="S65" s="50"/>
      <c r="T65" s="50"/>
      <c r="U65" s="194"/>
      <c r="V65" s="195"/>
      <c r="W65" s="196"/>
      <c r="X65" s="57"/>
      <c r="Y65" s="50"/>
      <c r="Z65" s="50"/>
    </row>
    <row r="66" spans="1:26" ht="18" customHeight="1" x14ac:dyDescent="0.15">
      <c r="A66" s="19"/>
      <c r="B66" s="168"/>
      <c r="C66" s="169"/>
      <c r="D66" s="169"/>
      <c r="E66" s="170"/>
      <c r="F66" s="51"/>
      <c r="G66" s="51"/>
      <c r="H66" s="188"/>
      <c r="I66" s="189"/>
      <c r="J66" s="190"/>
      <c r="K66" s="62"/>
      <c r="L66" s="53"/>
      <c r="M66" s="53"/>
      <c r="N66" s="168"/>
      <c r="O66" s="169"/>
      <c r="P66" s="169"/>
      <c r="Q66" s="169"/>
      <c r="R66" s="170"/>
      <c r="S66" s="51"/>
      <c r="T66" s="51"/>
      <c r="U66" s="188"/>
      <c r="V66" s="189"/>
      <c r="W66" s="190"/>
      <c r="X66" s="62"/>
      <c r="Y66" s="53"/>
      <c r="Z66" s="53"/>
    </row>
    <row r="67" spans="1:26" ht="7.5" customHeight="1" x14ac:dyDescent="0.15">
      <c r="B67" s="28"/>
      <c r="C67" s="28"/>
      <c r="D67" s="28"/>
      <c r="E67" s="28"/>
      <c r="F67" s="28"/>
      <c r="G67" s="28"/>
      <c r="H67" s="28"/>
      <c r="I67" s="28"/>
      <c r="J67" s="28"/>
      <c r="K67" s="28"/>
      <c r="L67" s="28"/>
      <c r="M67" s="28"/>
      <c r="N67" s="28"/>
      <c r="O67" s="28"/>
      <c r="P67" s="28"/>
      <c r="Q67" s="28"/>
      <c r="R67" s="28"/>
      <c r="S67" s="28"/>
      <c r="T67" s="28"/>
      <c r="U67" s="28"/>
      <c r="V67" s="28"/>
      <c r="W67" s="28"/>
      <c r="X67" s="28"/>
      <c r="Y67" s="28"/>
    </row>
    <row r="68" spans="1:26" ht="18" customHeight="1" x14ac:dyDescent="0.15">
      <c r="A68" s="5" t="s">
        <v>136</v>
      </c>
      <c r="L68" s="19"/>
      <c r="M68" s="19"/>
      <c r="N68" s="19"/>
      <c r="O68" s="19"/>
      <c r="P68" s="19"/>
      <c r="Q68" s="19"/>
      <c r="R68" s="19"/>
      <c r="S68" s="19"/>
      <c r="T68" s="19"/>
      <c r="U68" s="19"/>
      <c r="V68" s="19"/>
      <c r="W68" s="19"/>
      <c r="X68" s="19"/>
      <c r="Y68" s="19"/>
      <c r="Z68" s="19"/>
    </row>
    <row r="69" spans="1:26" ht="18" customHeight="1" x14ac:dyDescent="0.15">
      <c r="B69" s="112" t="s">
        <v>100</v>
      </c>
      <c r="C69" s="113"/>
      <c r="D69" s="113"/>
      <c r="E69" s="113"/>
      <c r="F69" s="114"/>
      <c r="G69" s="112" t="s">
        <v>146</v>
      </c>
      <c r="H69" s="113"/>
      <c r="I69" s="113"/>
      <c r="J69" s="113"/>
      <c r="K69" s="113"/>
      <c r="L69" s="113"/>
      <c r="M69" s="114"/>
      <c r="N69" s="191" t="s">
        <v>100</v>
      </c>
      <c r="O69" s="192"/>
      <c r="P69" s="192"/>
      <c r="Q69" s="192"/>
      <c r="R69" s="192"/>
      <c r="S69" s="193"/>
      <c r="T69" s="112" t="s">
        <v>146</v>
      </c>
      <c r="U69" s="113"/>
      <c r="V69" s="113"/>
      <c r="W69" s="113"/>
      <c r="X69" s="113"/>
      <c r="Y69" s="113"/>
      <c r="Z69" s="114"/>
    </row>
    <row r="70" spans="1:26" ht="18" customHeight="1" x14ac:dyDescent="0.15">
      <c r="A70" s="19"/>
      <c r="B70" s="182" t="s">
        <v>152</v>
      </c>
      <c r="C70" s="183"/>
      <c r="D70" s="183"/>
      <c r="E70" s="183"/>
      <c r="F70" s="184"/>
      <c r="G70" s="185" t="s">
        <v>172</v>
      </c>
      <c r="H70" s="186"/>
      <c r="I70" s="186"/>
      <c r="J70" s="186"/>
      <c r="K70" s="186"/>
      <c r="L70" s="186"/>
      <c r="M70" s="187"/>
      <c r="N70" s="182"/>
      <c r="O70" s="183"/>
      <c r="P70" s="183"/>
      <c r="Q70" s="183"/>
      <c r="R70" s="183"/>
      <c r="S70" s="184"/>
      <c r="T70" s="185"/>
      <c r="U70" s="186"/>
      <c r="V70" s="186"/>
      <c r="W70" s="186"/>
      <c r="X70" s="186"/>
      <c r="Y70" s="186"/>
      <c r="Z70" s="187"/>
    </row>
    <row r="71" spans="1:26" ht="18" customHeight="1" x14ac:dyDescent="0.15">
      <c r="A71" s="19"/>
      <c r="B71" s="176"/>
      <c r="C71" s="177"/>
      <c r="D71" s="177"/>
      <c r="E71" s="177"/>
      <c r="F71" s="178"/>
      <c r="G71" s="179"/>
      <c r="H71" s="180"/>
      <c r="I71" s="180"/>
      <c r="J71" s="180"/>
      <c r="K71" s="180"/>
      <c r="L71" s="180"/>
      <c r="M71" s="181"/>
      <c r="N71" s="176"/>
      <c r="O71" s="177"/>
      <c r="P71" s="177"/>
      <c r="Q71" s="177"/>
      <c r="R71" s="177"/>
      <c r="S71" s="178"/>
      <c r="T71" s="179"/>
      <c r="U71" s="180"/>
      <c r="V71" s="180"/>
      <c r="W71" s="180"/>
      <c r="X71" s="180"/>
      <c r="Y71" s="180"/>
      <c r="Z71" s="181"/>
    </row>
    <row r="72" spans="1:26" ht="18" customHeight="1" x14ac:dyDescent="0.15">
      <c r="A72" s="19"/>
      <c r="B72" s="176"/>
      <c r="C72" s="177"/>
      <c r="D72" s="177"/>
      <c r="E72" s="177"/>
      <c r="F72" s="178"/>
      <c r="G72" s="179"/>
      <c r="H72" s="180"/>
      <c r="I72" s="180"/>
      <c r="J72" s="180"/>
      <c r="K72" s="180"/>
      <c r="L72" s="180"/>
      <c r="M72" s="181"/>
      <c r="N72" s="176"/>
      <c r="O72" s="177"/>
      <c r="P72" s="177"/>
      <c r="Q72" s="177"/>
      <c r="R72" s="177"/>
      <c r="S72" s="178"/>
      <c r="T72" s="179"/>
      <c r="U72" s="180"/>
      <c r="V72" s="180"/>
      <c r="W72" s="180"/>
      <c r="X72" s="180"/>
      <c r="Y72" s="180"/>
      <c r="Z72" s="181"/>
    </row>
    <row r="73" spans="1:26" ht="18" customHeight="1" x14ac:dyDescent="0.15">
      <c r="A73" s="19"/>
      <c r="B73" s="176"/>
      <c r="C73" s="177"/>
      <c r="D73" s="177"/>
      <c r="E73" s="177"/>
      <c r="F73" s="178"/>
      <c r="G73" s="179"/>
      <c r="H73" s="180"/>
      <c r="I73" s="180"/>
      <c r="J73" s="180"/>
      <c r="K73" s="180"/>
      <c r="L73" s="180"/>
      <c r="M73" s="181"/>
      <c r="N73" s="176"/>
      <c r="O73" s="177"/>
      <c r="P73" s="177"/>
      <c r="Q73" s="177"/>
      <c r="R73" s="177"/>
      <c r="S73" s="178"/>
      <c r="T73" s="179"/>
      <c r="U73" s="180"/>
      <c r="V73" s="180"/>
      <c r="W73" s="180"/>
      <c r="X73" s="180"/>
      <c r="Y73" s="180"/>
      <c r="Z73" s="181"/>
    </row>
    <row r="74" spans="1:26" ht="18" customHeight="1" x14ac:dyDescent="0.15">
      <c r="A74" s="19"/>
      <c r="B74" s="176"/>
      <c r="C74" s="177"/>
      <c r="D74" s="177"/>
      <c r="E74" s="177"/>
      <c r="F74" s="178"/>
      <c r="G74" s="179"/>
      <c r="H74" s="180"/>
      <c r="I74" s="180"/>
      <c r="J74" s="180"/>
      <c r="K74" s="180"/>
      <c r="L74" s="180"/>
      <c r="M74" s="181"/>
      <c r="N74" s="176"/>
      <c r="O74" s="177"/>
      <c r="P74" s="177"/>
      <c r="Q74" s="177"/>
      <c r="R74" s="177"/>
      <c r="S74" s="178"/>
      <c r="T74" s="179"/>
      <c r="U74" s="180"/>
      <c r="V74" s="180"/>
      <c r="W74" s="180"/>
      <c r="X74" s="180"/>
      <c r="Y74" s="180"/>
      <c r="Z74" s="181"/>
    </row>
    <row r="75" spans="1:26" ht="18" customHeight="1" x14ac:dyDescent="0.15">
      <c r="A75" s="19"/>
      <c r="B75" s="176"/>
      <c r="C75" s="177"/>
      <c r="D75" s="177"/>
      <c r="E75" s="177"/>
      <c r="F75" s="178"/>
      <c r="G75" s="179"/>
      <c r="H75" s="180"/>
      <c r="I75" s="180"/>
      <c r="J75" s="180"/>
      <c r="K75" s="180"/>
      <c r="L75" s="180"/>
      <c r="M75" s="181"/>
      <c r="N75" s="176"/>
      <c r="O75" s="177"/>
      <c r="P75" s="177"/>
      <c r="Q75" s="177"/>
      <c r="R75" s="177"/>
      <c r="S75" s="178"/>
      <c r="T75" s="179"/>
      <c r="U75" s="180"/>
      <c r="V75" s="180"/>
      <c r="W75" s="180"/>
      <c r="X75" s="180"/>
      <c r="Y75" s="180"/>
      <c r="Z75" s="181"/>
    </row>
    <row r="76" spans="1:26" ht="18" customHeight="1" x14ac:dyDescent="0.15">
      <c r="A76" s="19"/>
      <c r="B76" s="168"/>
      <c r="C76" s="169"/>
      <c r="D76" s="169"/>
      <c r="E76" s="169"/>
      <c r="F76" s="170"/>
      <c r="G76" s="171"/>
      <c r="H76" s="172"/>
      <c r="I76" s="172"/>
      <c r="J76" s="172"/>
      <c r="K76" s="172"/>
      <c r="L76" s="172"/>
      <c r="M76" s="173"/>
      <c r="N76" s="168"/>
      <c r="O76" s="169"/>
      <c r="P76" s="169"/>
      <c r="Q76" s="169"/>
      <c r="R76" s="169"/>
      <c r="S76" s="170"/>
      <c r="T76" s="171"/>
      <c r="U76" s="172"/>
      <c r="V76" s="172"/>
      <c r="W76" s="172"/>
      <c r="X76" s="172"/>
      <c r="Y76" s="172"/>
      <c r="Z76" s="173"/>
    </row>
    <row r="77" spans="1:26" ht="18" customHeight="1" x14ac:dyDescent="0.15">
      <c r="A77" s="19"/>
      <c r="B77" s="55"/>
      <c r="C77" s="55"/>
      <c r="D77" s="55"/>
      <c r="E77" s="55"/>
      <c r="F77" s="55"/>
      <c r="G77" s="3"/>
      <c r="H77" s="3"/>
      <c r="I77" s="3"/>
      <c r="J77" s="3"/>
      <c r="K77" s="3"/>
      <c r="L77" s="3"/>
      <c r="M77" s="3"/>
      <c r="N77" s="55"/>
      <c r="O77" s="55"/>
      <c r="P77" s="55"/>
      <c r="Q77" s="55"/>
      <c r="R77" s="55"/>
      <c r="S77" s="55"/>
      <c r="T77" s="3"/>
      <c r="U77" s="3"/>
      <c r="V77" s="3"/>
      <c r="W77" s="3"/>
      <c r="X77" s="3"/>
      <c r="Y77" s="3"/>
      <c r="Z77" s="3"/>
    </row>
    <row r="78" spans="1:26" ht="18.75" customHeight="1" x14ac:dyDescent="0.15">
      <c r="A78" s="5" t="s">
        <v>142</v>
      </c>
    </row>
    <row r="79" spans="1:26" ht="18.75" customHeight="1" x14ac:dyDescent="0.15">
      <c r="B79" s="17" t="s">
        <v>102</v>
      </c>
      <c r="C79" s="18"/>
      <c r="D79" s="113" t="s">
        <v>103</v>
      </c>
      <c r="E79" s="113"/>
      <c r="F79" s="113"/>
      <c r="G79" s="113"/>
      <c r="H79" s="113"/>
      <c r="I79" s="113"/>
      <c r="J79" s="113"/>
      <c r="K79" s="113"/>
      <c r="L79" s="113"/>
      <c r="M79" s="113"/>
      <c r="N79" s="113"/>
      <c r="O79" s="113"/>
      <c r="P79" s="113"/>
      <c r="Q79" s="113"/>
      <c r="R79" s="113"/>
      <c r="S79" s="113"/>
      <c r="T79" s="113"/>
      <c r="U79" s="113"/>
      <c r="V79" s="113"/>
      <c r="W79" s="113"/>
      <c r="X79" s="113"/>
      <c r="Y79" s="113"/>
      <c r="Z79" s="114"/>
    </row>
    <row r="80" spans="1:26" ht="78" customHeight="1" x14ac:dyDescent="0.15">
      <c r="B80" s="150" t="s">
        <v>109</v>
      </c>
      <c r="C80" s="34" t="s">
        <v>104</v>
      </c>
      <c r="D80" s="152" t="s">
        <v>174</v>
      </c>
      <c r="E80" s="152"/>
      <c r="F80" s="152"/>
      <c r="G80" s="152"/>
      <c r="H80" s="152"/>
      <c r="I80" s="152"/>
      <c r="J80" s="152"/>
      <c r="K80" s="152"/>
      <c r="L80" s="152"/>
      <c r="M80" s="152"/>
      <c r="N80" s="152"/>
      <c r="O80" s="152"/>
      <c r="P80" s="152"/>
      <c r="Q80" s="152"/>
      <c r="R80" s="152"/>
      <c r="S80" s="152"/>
      <c r="T80" s="152"/>
      <c r="U80" s="152"/>
      <c r="V80" s="152"/>
      <c r="W80" s="152"/>
      <c r="X80" s="152"/>
      <c r="Y80" s="152"/>
      <c r="Z80" s="153"/>
    </row>
    <row r="81" spans="1:26" ht="78" customHeight="1" x14ac:dyDescent="0.15">
      <c r="B81" s="151"/>
      <c r="C81" s="46" t="s">
        <v>137</v>
      </c>
      <c r="D81" s="174" t="s">
        <v>173</v>
      </c>
      <c r="E81" s="174"/>
      <c r="F81" s="174"/>
      <c r="G81" s="174"/>
      <c r="H81" s="174"/>
      <c r="I81" s="174"/>
      <c r="J81" s="174"/>
      <c r="K81" s="174"/>
      <c r="L81" s="174"/>
      <c r="M81" s="174"/>
      <c r="N81" s="174"/>
      <c r="O81" s="174"/>
      <c r="P81" s="174"/>
      <c r="Q81" s="174"/>
      <c r="R81" s="174"/>
      <c r="S81" s="174"/>
      <c r="T81" s="174"/>
      <c r="U81" s="174"/>
      <c r="V81" s="174"/>
      <c r="W81" s="174"/>
      <c r="X81" s="174"/>
      <c r="Y81" s="174"/>
      <c r="Z81" s="175"/>
    </row>
    <row r="82" spans="1:26" ht="78" customHeight="1" x14ac:dyDescent="0.15">
      <c r="B82" s="150" t="s">
        <v>110</v>
      </c>
      <c r="C82" s="29" t="s">
        <v>127</v>
      </c>
      <c r="D82" s="162" t="s">
        <v>176</v>
      </c>
      <c r="E82" s="162"/>
      <c r="F82" s="162"/>
      <c r="G82" s="162"/>
      <c r="H82" s="162"/>
      <c r="I82" s="162"/>
      <c r="J82" s="162"/>
      <c r="K82" s="162"/>
      <c r="L82" s="162"/>
      <c r="M82" s="162"/>
      <c r="N82" s="162"/>
      <c r="O82" s="162"/>
      <c r="P82" s="162"/>
      <c r="Q82" s="162"/>
      <c r="R82" s="162"/>
      <c r="S82" s="162"/>
      <c r="T82" s="162"/>
      <c r="U82" s="162"/>
      <c r="V82" s="162"/>
      <c r="W82" s="162"/>
      <c r="X82" s="162"/>
      <c r="Y82" s="162"/>
      <c r="Z82" s="163"/>
    </row>
    <row r="83" spans="1:26" ht="78" customHeight="1" x14ac:dyDescent="0.15">
      <c r="B83" s="154"/>
      <c r="C83" s="47" t="s">
        <v>128</v>
      </c>
      <c r="D83" s="164" t="s">
        <v>175</v>
      </c>
      <c r="E83" s="164"/>
      <c r="F83" s="164"/>
      <c r="G83" s="164"/>
      <c r="H83" s="164"/>
      <c r="I83" s="164"/>
      <c r="J83" s="164"/>
      <c r="K83" s="164"/>
      <c r="L83" s="164"/>
      <c r="M83" s="164"/>
      <c r="N83" s="164"/>
      <c r="O83" s="164"/>
      <c r="P83" s="164"/>
      <c r="Q83" s="164"/>
      <c r="R83" s="164"/>
      <c r="S83" s="164"/>
      <c r="T83" s="164"/>
      <c r="U83" s="164"/>
      <c r="V83" s="164"/>
      <c r="W83" s="164"/>
      <c r="X83" s="164"/>
      <c r="Y83" s="164"/>
      <c r="Z83" s="165"/>
    </row>
    <row r="84" spans="1:26" ht="66" customHeight="1" x14ac:dyDescent="0.15">
      <c r="B84" s="150" t="s">
        <v>111</v>
      </c>
      <c r="C84" s="29" t="s">
        <v>130</v>
      </c>
      <c r="D84" s="162" t="s">
        <v>185</v>
      </c>
      <c r="E84" s="162"/>
      <c r="F84" s="162"/>
      <c r="G84" s="162"/>
      <c r="H84" s="162"/>
      <c r="I84" s="162"/>
      <c r="J84" s="162"/>
      <c r="K84" s="162"/>
      <c r="L84" s="162"/>
      <c r="M84" s="162"/>
      <c r="N84" s="162"/>
      <c r="O84" s="162"/>
      <c r="P84" s="162"/>
      <c r="Q84" s="162"/>
      <c r="R84" s="162"/>
      <c r="S84" s="162"/>
      <c r="T84" s="162"/>
      <c r="U84" s="162"/>
      <c r="V84" s="162"/>
      <c r="W84" s="162"/>
      <c r="X84" s="162"/>
      <c r="Y84" s="162"/>
      <c r="Z84" s="163"/>
    </row>
    <row r="85" spans="1:26" ht="66" customHeight="1" x14ac:dyDescent="0.15">
      <c r="B85" s="154"/>
      <c r="C85" s="31" t="s">
        <v>131</v>
      </c>
      <c r="D85" s="166" t="s">
        <v>177</v>
      </c>
      <c r="E85" s="166"/>
      <c r="F85" s="166"/>
      <c r="G85" s="166"/>
      <c r="H85" s="166"/>
      <c r="I85" s="166"/>
      <c r="J85" s="166"/>
      <c r="K85" s="166"/>
      <c r="L85" s="166"/>
      <c r="M85" s="166"/>
      <c r="N85" s="166"/>
      <c r="O85" s="166"/>
      <c r="P85" s="166"/>
      <c r="Q85" s="166"/>
      <c r="R85" s="166"/>
      <c r="S85" s="166"/>
      <c r="T85" s="166"/>
      <c r="U85" s="166"/>
      <c r="V85" s="166"/>
      <c r="W85" s="166"/>
      <c r="X85" s="166"/>
      <c r="Y85" s="166"/>
      <c r="Z85" s="167"/>
    </row>
    <row r="86" spans="1:26" ht="66" customHeight="1" x14ac:dyDescent="0.15">
      <c r="B86" s="150" t="s">
        <v>138</v>
      </c>
      <c r="C86" s="34" t="s">
        <v>106</v>
      </c>
      <c r="D86" s="152" t="s">
        <v>189</v>
      </c>
      <c r="E86" s="152"/>
      <c r="F86" s="152"/>
      <c r="G86" s="152"/>
      <c r="H86" s="152"/>
      <c r="I86" s="152"/>
      <c r="J86" s="152"/>
      <c r="K86" s="152"/>
      <c r="L86" s="152"/>
      <c r="M86" s="152"/>
      <c r="N86" s="152"/>
      <c r="O86" s="152"/>
      <c r="P86" s="152"/>
      <c r="Q86" s="152"/>
      <c r="R86" s="152"/>
      <c r="S86" s="152"/>
      <c r="T86" s="152"/>
      <c r="U86" s="152"/>
      <c r="V86" s="152"/>
      <c r="W86" s="152"/>
      <c r="X86" s="152"/>
      <c r="Y86" s="152"/>
      <c r="Z86" s="153"/>
    </row>
    <row r="87" spans="1:26" ht="66" customHeight="1" x14ac:dyDescent="0.15">
      <c r="B87" s="151"/>
      <c r="C87" s="30" t="s">
        <v>108</v>
      </c>
      <c r="D87" s="152" t="s">
        <v>190</v>
      </c>
      <c r="E87" s="152"/>
      <c r="F87" s="152"/>
      <c r="G87" s="152"/>
      <c r="H87" s="152"/>
      <c r="I87" s="152"/>
      <c r="J87" s="152"/>
      <c r="K87" s="152"/>
      <c r="L87" s="152"/>
      <c r="M87" s="152"/>
      <c r="N87" s="152"/>
      <c r="O87" s="152"/>
      <c r="P87" s="152"/>
      <c r="Q87" s="152"/>
      <c r="R87" s="152"/>
      <c r="S87" s="152"/>
      <c r="T87" s="152"/>
      <c r="U87" s="152"/>
      <c r="V87" s="152"/>
      <c r="W87" s="152"/>
      <c r="X87" s="152"/>
      <c r="Y87" s="152"/>
      <c r="Z87" s="153"/>
    </row>
    <row r="88" spans="1:26" ht="66" customHeight="1" x14ac:dyDescent="0.15">
      <c r="B88" s="150" t="s">
        <v>139</v>
      </c>
      <c r="C88" s="29" t="s">
        <v>105</v>
      </c>
      <c r="D88" s="155" t="s">
        <v>186</v>
      </c>
      <c r="E88" s="155"/>
      <c r="F88" s="155"/>
      <c r="G88" s="155"/>
      <c r="H88" s="155"/>
      <c r="I88" s="155"/>
      <c r="J88" s="155"/>
      <c r="K88" s="155"/>
      <c r="L88" s="155"/>
      <c r="M88" s="155"/>
      <c r="N88" s="155"/>
      <c r="O88" s="155"/>
      <c r="P88" s="155"/>
      <c r="Q88" s="155"/>
      <c r="R88" s="155"/>
      <c r="S88" s="155"/>
      <c r="T88" s="155"/>
      <c r="U88" s="155"/>
      <c r="V88" s="155"/>
      <c r="W88" s="155"/>
      <c r="X88" s="155"/>
      <c r="Y88" s="155"/>
      <c r="Z88" s="156"/>
    </row>
    <row r="89" spans="1:26" ht="66" customHeight="1" x14ac:dyDescent="0.15">
      <c r="B89" s="151"/>
      <c r="C89" s="30" t="s">
        <v>134</v>
      </c>
      <c r="D89" s="157" t="s">
        <v>187</v>
      </c>
      <c r="E89" s="158"/>
      <c r="F89" s="158"/>
      <c r="G89" s="158"/>
      <c r="H89" s="158"/>
      <c r="I89" s="158"/>
      <c r="J89" s="158"/>
      <c r="K89" s="158"/>
      <c r="L89" s="158"/>
      <c r="M89" s="158"/>
      <c r="N89" s="158"/>
      <c r="O89" s="158"/>
      <c r="P89" s="158"/>
      <c r="Q89" s="158"/>
      <c r="R89" s="158"/>
      <c r="S89" s="158"/>
      <c r="T89" s="158"/>
      <c r="U89" s="158"/>
      <c r="V89" s="158"/>
      <c r="W89" s="158"/>
      <c r="X89" s="158"/>
      <c r="Y89" s="158"/>
      <c r="Z89" s="159"/>
    </row>
    <row r="90" spans="1:26" ht="66" customHeight="1" x14ac:dyDescent="0.15">
      <c r="B90" s="154"/>
      <c r="C90" s="31" t="s">
        <v>135</v>
      </c>
      <c r="D90" s="160" t="s">
        <v>188</v>
      </c>
      <c r="E90" s="160"/>
      <c r="F90" s="160"/>
      <c r="G90" s="160"/>
      <c r="H90" s="160"/>
      <c r="I90" s="160"/>
      <c r="J90" s="160"/>
      <c r="K90" s="160"/>
      <c r="L90" s="160"/>
      <c r="M90" s="160"/>
      <c r="N90" s="160"/>
      <c r="O90" s="160"/>
      <c r="P90" s="160"/>
      <c r="Q90" s="160"/>
      <c r="R90" s="160"/>
      <c r="S90" s="160"/>
      <c r="T90" s="160"/>
      <c r="U90" s="160"/>
      <c r="V90" s="160"/>
      <c r="W90" s="160"/>
      <c r="X90" s="160"/>
      <c r="Y90" s="160"/>
      <c r="Z90" s="161"/>
    </row>
    <row r="91" spans="1:26" ht="6" customHeight="1" x14ac:dyDescent="0.15"/>
    <row r="92" spans="1:26" ht="18.75" customHeight="1" x14ac:dyDescent="0.15">
      <c r="A92" s="5" t="s">
        <v>143</v>
      </c>
    </row>
    <row r="93" spans="1:26" ht="18.75" customHeight="1" x14ac:dyDescent="0.15">
      <c r="B93" s="139" t="s">
        <v>209</v>
      </c>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1"/>
    </row>
    <row r="94" spans="1:26" ht="18.75" customHeight="1" x14ac:dyDescent="0.15">
      <c r="B94" s="142"/>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43"/>
    </row>
    <row r="95" spans="1:26" ht="18.75" customHeight="1" x14ac:dyDescent="0.15">
      <c r="B95" s="144"/>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6"/>
    </row>
    <row r="96" spans="1:26" ht="6" customHeight="1" x14ac:dyDescent="0.15"/>
    <row r="97" spans="1:26" ht="15" customHeight="1" x14ac:dyDescent="0.15">
      <c r="A97" s="5" t="s">
        <v>144</v>
      </c>
    </row>
    <row r="98" spans="1:26" ht="15" customHeight="1" x14ac:dyDescent="0.15">
      <c r="B98" s="147" t="str">
        <f>URL</f>
        <v>https://www.yamato-u.ac.jp/research/educational_features/mathematics_ai_data/</v>
      </c>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9"/>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D72A3F79-06B3-4895-A030-26B9390F3E8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5B27C04B-89F6-4A92-B5C2-2194473F4C5B}">
      <formula1>"学部・学科によって、修了要件は相違する,学部・学科によって、修了要件は相違しない"</formula1>
    </dataValidation>
    <dataValidation type="list" allowBlank="1" showInputMessage="1" showErrorMessage="1" sqref="Z23 Z34 D34:K34 D23:K23 V16:V22 I16:I22 V27:V33 H60:H66 V38:V44 I27:I33 V49:V55 I38:I44 U60:U66 I49:I55" xr:uid="{651B4C03-E9BB-46D0-B568-1D775363918F}">
      <formula1>"全学開講,一部開講"</formula1>
    </dataValidation>
    <dataValidation type="list" allowBlank="1" showInputMessage="1" showErrorMessage="1" sqref="Y16:Z22 L16:M22 Y27:Z33 H27:H33 H38:H44 Y38:Z44 H49:H55 Y49:Z55 Y60:Z66 L60:M66 H16:H22 U16:U22 T60:T66 U27:U33 L27:M33 U38:U44 L38:M44 U49:U55 G60:G66 L49:M55" xr:uid="{9E22F721-72AF-47BB-8901-D4FD49613059}">
      <formula1>"○"</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AB98"/>
  <sheetViews>
    <sheetView showZeros="0" view="pageBreakPreview" topLeftCell="A49" zoomScaleNormal="100" zoomScaleSheetLayoutView="100" workbookViewId="0">
      <selection activeCell="G60" sqref="G60"/>
    </sheetView>
  </sheetViews>
  <sheetFormatPr defaultColWidth="9" defaultRowHeight="18.75" customHeight="1" x14ac:dyDescent="0.15"/>
  <cols>
    <col min="1" max="1" width="2.5" style="5" customWidth="1"/>
    <col min="2" max="2" width="27.75" style="5" customWidth="1"/>
    <col min="3" max="13" width="3.375" style="5" customWidth="1"/>
    <col min="14" max="14" width="8.875" style="5" customWidth="1"/>
    <col min="15" max="15" width="18.875" style="5" customWidth="1"/>
    <col min="16" max="19" width="3.375" style="5" customWidth="1"/>
    <col min="20" max="20" width="3.5" style="5" customWidth="1"/>
    <col min="21" max="26" width="3.375" style="5" customWidth="1"/>
    <col min="27" max="16384" width="9" style="5"/>
  </cols>
  <sheetData>
    <row r="1" spans="1:28" ht="15" customHeight="1" x14ac:dyDescent="0.15">
      <c r="W1" s="210" t="str">
        <f>"様式２－"&amp;AB1</f>
        <v>様式２－4</v>
      </c>
      <c r="X1" s="210"/>
      <c r="Y1" s="210"/>
      <c r="Z1" s="210"/>
      <c r="AB1" s="5">
        <v>4</v>
      </c>
    </row>
    <row r="2" spans="1:28" ht="18" customHeight="1" x14ac:dyDescent="0.15">
      <c r="A2" s="211" t="s">
        <v>67</v>
      </c>
      <c r="B2" s="211"/>
      <c r="C2" s="211"/>
      <c r="D2" s="211"/>
      <c r="E2" s="211"/>
      <c r="F2" s="211"/>
      <c r="G2" s="211"/>
      <c r="H2" s="211"/>
      <c r="I2" s="211"/>
      <c r="J2" s="211"/>
      <c r="K2" s="211"/>
      <c r="L2" s="211"/>
      <c r="M2" s="211"/>
      <c r="N2" s="211"/>
      <c r="O2" s="211"/>
      <c r="P2" s="211"/>
      <c r="Q2" s="211"/>
      <c r="R2" s="211"/>
      <c r="S2" s="211"/>
      <c r="T2" s="211"/>
      <c r="U2" s="211"/>
      <c r="V2" s="211"/>
      <c r="W2" s="211"/>
      <c r="X2" s="211"/>
      <c r="Y2" s="211"/>
      <c r="Z2" s="211"/>
    </row>
    <row r="3" spans="1:28" ht="15" customHeight="1" x14ac:dyDescent="0.15">
      <c r="B3" s="19"/>
      <c r="C3" s="19"/>
      <c r="D3" s="19"/>
      <c r="E3" s="19"/>
      <c r="F3" s="19"/>
      <c r="G3" s="19"/>
      <c r="H3" s="19"/>
      <c r="I3" s="19"/>
      <c r="J3" s="19"/>
      <c r="K3" s="19"/>
      <c r="L3" s="19"/>
      <c r="M3" s="19"/>
      <c r="N3" s="19"/>
      <c r="O3" s="19"/>
      <c r="P3" s="19"/>
      <c r="Q3" s="19"/>
      <c r="R3" s="19"/>
      <c r="S3" s="19"/>
      <c r="T3" s="19"/>
      <c r="U3" s="19"/>
      <c r="V3" s="19"/>
      <c r="W3" s="19"/>
      <c r="X3" s="19"/>
      <c r="Y3" s="19"/>
      <c r="Z3" s="19"/>
    </row>
    <row r="4" spans="1:28" ht="18" customHeight="1" x14ac:dyDescent="0.15">
      <c r="A4" s="5" t="s">
        <v>99</v>
      </c>
      <c r="B4" s="19"/>
      <c r="C4" s="19"/>
      <c r="D4" s="19"/>
      <c r="E4" s="19"/>
      <c r="F4" s="19"/>
      <c r="G4" s="19"/>
      <c r="H4" s="6" t="s">
        <v>112</v>
      </c>
      <c r="I4" s="19"/>
      <c r="J4" s="19"/>
      <c r="K4" s="19"/>
      <c r="L4" s="19"/>
      <c r="M4" s="19"/>
      <c r="N4" s="19"/>
      <c r="O4" s="112" t="s">
        <v>160</v>
      </c>
      <c r="P4" s="113"/>
      <c r="Q4" s="113"/>
      <c r="R4" s="113"/>
      <c r="S4" s="113"/>
      <c r="T4" s="113"/>
      <c r="U4" s="113"/>
      <c r="V4" s="113"/>
      <c r="W4" s="113"/>
      <c r="X4" s="113"/>
      <c r="Y4" s="113"/>
      <c r="Z4" s="114"/>
    </row>
    <row r="5" spans="1:28" ht="6" customHeight="1" x14ac:dyDescent="0.15">
      <c r="B5" s="19"/>
      <c r="C5" s="19"/>
      <c r="D5" s="19"/>
      <c r="E5" s="19"/>
      <c r="F5" s="19"/>
      <c r="G5" s="19"/>
      <c r="H5" s="19"/>
      <c r="I5" s="19"/>
      <c r="J5" s="19"/>
      <c r="K5" s="19"/>
      <c r="L5" s="19"/>
      <c r="M5" s="19"/>
      <c r="N5" s="19"/>
      <c r="O5" s="7"/>
      <c r="P5" s="19"/>
      <c r="Q5" s="19"/>
      <c r="R5" s="19"/>
      <c r="S5" s="19"/>
      <c r="T5" s="19"/>
      <c r="U5" s="19"/>
      <c r="V5" s="19"/>
      <c r="W5" s="19"/>
      <c r="X5" s="19"/>
      <c r="Y5" s="19"/>
      <c r="Z5" s="19"/>
    </row>
    <row r="6" spans="1:28" ht="18" customHeight="1" x14ac:dyDescent="0.15">
      <c r="B6" s="212" t="str">
        <f>VLOOKUP(AB1,'(作業用)'!B4:D7,2)&amp;"では、「"&amp;VLOOKUP(AB1,'(作業用)'!B4:D7,3)&amp;"」2単位と「AIデータサイエンス入門」2単位を取得すること。"</f>
        <v>社会学部では、「コンピュータ入門」2単位と「AIデータサイエンス入門」2単位を取得すること。</v>
      </c>
      <c r="C6" s="213"/>
      <c r="D6" s="213"/>
      <c r="E6" s="213"/>
      <c r="F6" s="213"/>
      <c r="G6" s="213"/>
      <c r="H6" s="213"/>
      <c r="I6" s="213"/>
      <c r="J6" s="213"/>
      <c r="K6" s="213"/>
      <c r="L6" s="213"/>
      <c r="M6" s="213"/>
      <c r="N6" s="213"/>
      <c r="O6" s="213"/>
      <c r="P6" s="213"/>
      <c r="Q6" s="213"/>
      <c r="R6" s="213"/>
      <c r="S6" s="213"/>
      <c r="T6" s="213"/>
      <c r="U6" s="213"/>
      <c r="V6" s="213"/>
      <c r="W6" s="213"/>
      <c r="X6" s="213"/>
      <c r="Y6" s="213"/>
      <c r="Z6" s="214"/>
    </row>
    <row r="7" spans="1:28" ht="18" customHeight="1" x14ac:dyDescent="0.15">
      <c r="B7" s="215"/>
      <c r="C7" s="216"/>
      <c r="D7" s="216"/>
      <c r="E7" s="216"/>
      <c r="F7" s="216"/>
      <c r="G7" s="216"/>
      <c r="H7" s="216"/>
      <c r="I7" s="216"/>
      <c r="J7" s="216"/>
      <c r="K7" s="216"/>
      <c r="L7" s="216"/>
      <c r="M7" s="216"/>
      <c r="N7" s="216"/>
      <c r="O7" s="216"/>
      <c r="P7" s="216"/>
      <c r="Q7" s="216"/>
      <c r="R7" s="216"/>
      <c r="S7" s="216"/>
      <c r="T7" s="216"/>
      <c r="U7" s="216"/>
      <c r="V7" s="216"/>
      <c r="W7" s="216"/>
      <c r="X7" s="216"/>
      <c r="Y7" s="216"/>
      <c r="Z7" s="217"/>
    </row>
    <row r="8" spans="1:28" ht="18" customHeight="1" x14ac:dyDescent="0.15">
      <c r="B8" s="215"/>
      <c r="C8" s="216"/>
      <c r="D8" s="216"/>
      <c r="E8" s="216"/>
      <c r="F8" s="216"/>
      <c r="G8" s="216"/>
      <c r="H8" s="216"/>
      <c r="I8" s="216"/>
      <c r="J8" s="216"/>
      <c r="K8" s="216"/>
      <c r="L8" s="216"/>
      <c r="M8" s="216"/>
      <c r="N8" s="216"/>
      <c r="O8" s="216"/>
      <c r="P8" s="216"/>
      <c r="Q8" s="216"/>
      <c r="R8" s="216"/>
      <c r="S8" s="216"/>
      <c r="T8" s="216"/>
      <c r="U8" s="216"/>
      <c r="V8" s="216"/>
      <c r="W8" s="216"/>
      <c r="X8" s="216"/>
      <c r="Y8" s="216"/>
      <c r="Z8" s="217"/>
    </row>
    <row r="9" spans="1:28" ht="18" customHeight="1" x14ac:dyDescent="0.15">
      <c r="B9" s="215"/>
      <c r="C9" s="216"/>
      <c r="D9" s="216"/>
      <c r="E9" s="216"/>
      <c r="F9" s="216"/>
      <c r="G9" s="216"/>
      <c r="H9" s="216"/>
      <c r="I9" s="216"/>
      <c r="J9" s="216"/>
      <c r="K9" s="216"/>
      <c r="L9" s="216"/>
      <c r="M9" s="216"/>
      <c r="N9" s="216"/>
      <c r="O9" s="216"/>
      <c r="P9" s="216"/>
      <c r="Q9" s="216"/>
      <c r="R9" s="216"/>
      <c r="S9" s="216"/>
      <c r="T9" s="216"/>
      <c r="U9" s="216"/>
      <c r="V9" s="216"/>
      <c r="W9" s="216"/>
      <c r="X9" s="216"/>
      <c r="Y9" s="216"/>
      <c r="Z9" s="217"/>
    </row>
    <row r="10" spans="1:28" ht="18" customHeight="1" x14ac:dyDescent="0.15">
      <c r="B10" s="215"/>
      <c r="C10" s="218"/>
      <c r="D10" s="218"/>
      <c r="E10" s="218"/>
      <c r="F10" s="218"/>
      <c r="G10" s="218"/>
      <c r="H10" s="218"/>
      <c r="I10" s="218"/>
      <c r="J10" s="218"/>
      <c r="K10" s="218"/>
      <c r="L10" s="218"/>
      <c r="M10" s="218"/>
      <c r="N10" s="218"/>
      <c r="O10" s="218"/>
      <c r="P10" s="218"/>
      <c r="Q10" s="218"/>
      <c r="R10" s="218"/>
      <c r="S10" s="218"/>
      <c r="T10" s="218"/>
      <c r="U10" s="218"/>
      <c r="V10" s="218"/>
      <c r="W10" s="218"/>
      <c r="X10" s="218"/>
      <c r="Y10" s="218"/>
      <c r="Z10" s="217"/>
    </row>
    <row r="11" spans="1:28" ht="18" customHeight="1" x14ac:dyDescent="0.15">
      <c r="B11" s="219"/>
      <c r="C11" s="220"/>
      <c r="D11" s="220"/>
      <c r="E11" s="220"/>
      <c r="F11" s="220"/>
      <c r="G11" s="220"/>
      <c r="H11" s="220"/>
      <c r="I11" s="220"/>
      <c r="J11" s="220"/>
      <c r="K11" s="220"/>
      <c r="L11" s="220"/>
      <c r="M11" s="220"/>
      <c r="N11" s="220"/>
      <c r="O11" s="220"/>
      <c r="P11" s="220"/>
      <c r="Q11" s="220"/>
      <c r="R11" s="220"/>
      <c r="S11" s="220"/>
      <c r="T11" s="220"/>
      <c r="U11" s="220"/>
      <c r="V11" s="220"/>
      <c r="W11" s="220"/>
      <c r="X11" s="220"/>
      <c r="Y11" s="220"/>
      <c r="Z11" s="221"/>
    </row>
    <row r="12" spans="1:28" ht="7.5" customHeight="1" x14ac:dyDescent="0.15">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8" ht="18" customHeight="1" x14ac:dyDescent="0.15">
      <c r="A13" s="203" t="s">
        <v>125</v>
      </c>
      <c r="B13" s="203"/>
      <c r="C13" s="203"/>
      <c r="D13" s="203"/>
      <c r="E13" s="203"/>
      <c r="F13" s="203"/>
      <c r="G13" s="203"/>
      <c r="H13" s="203"/>
      <c r="I13" s="203"/>
      <c r="J13" s="203"/>
      <c r="K13" s="203"/>
      <c r="L13" s="203"/>
      <c r="M13" s="203"/>
      <c r="N13" s="203"/>
      <c r="O13" s="203"/>
      <c r="P13" s="203"/>
      <c r="Q13" s="203"/>
      <c r="R13" s="203"/>
      <c r="S13" s="203"/>
      <c r="T13" s="203"/>
      <c r="U13" s="203"/>
      <c r="V13" s="203"/>
      <c r="W13" s="203"/>
      <c r="X13" s="203"/>
      <c r="Y13" s="203"/>
      <c r="Z13" s="203"/>
    </row>
    <row r="14" spans="1:28" ht="18" customHeight="1" x14ac:dyDescent="0.15">
      <c r="A14" s="203"/>
      <c r="B14" s="203"/>
      <c r="C14" s="203"/>
      <c r="D14" s="203"/>
      <c r="E14" s="203"/>
      <c r="F14" s="203"/>
      <c r="G14" s="203"/>
      <c r="H14" s="203"/>
      <c r="I14" s="203"/>
      <c r="J14" s="203"/>
      <c r="K14" s="203"/>
      <c r="L14" s="203"/>
      <c r="M14" s="203"/>
      <c r="N14" s="203"/>
      <c r="O14" s="203"/>
      <c r="P14" s="203"/>
      <c r="Q14" s="203"/>
      <c r="R14" s="203"/>
      <c r="S14" s="203"/>
      <c r="T14" s="203"/>
      <c r="U14" s="203"/>
      <c r="V14" s="203"/>
      <c r="W14" s="203"/>
      <c r="X14" s="203"/>
      <c r="Y14" s="203"/>
      <c r="Z14" s="203"/>
    </row>
    <row r="15" spans="1:28" ht="18" customHeight="1" x14ac:dyDescent="0.15">
      <c r="B15" s="112" t="s">
        <v>100</v>
      </c>
      <c r="C15" s="113"/>
      <c r="D15" s="113"/>
      <c r="E15" s="113"/>
      <c r="F15" s="114"/>
      <c r="G15" s="20" t="s">
        <v>141</v>
      </c>
      <c r="H15" s="48" t="s">
        <v>140</v>
      </c>
      <c r="I15" s="113" t="s">
        <v>101</v>
      </c>
      <c r="J15" s="113"/>
      <c r="K15" s="113"/>
      <c r="L15" s="26" t="s">
        <v>104</v>
      </c>
      <c r="M15" s="26" t="s">
        <v>107</v>
      </c>
      <c r="N15" s="112" t="s">
        <v>100</v>
      </c>
      <c r="O15" s="113"/>
      <c r="P15" s="113"/>
      <c r="Q15" s="113"/>
      <c r="R15" s="113"/>
      <c r="S15" s="114"/>
      <c r="T15" s="20" t="s">
        <v>141</v>
      </c>
      <c r="U15" s="48" t="s">
        <v>140</v>
      </c>
      <c r="V15" s="113" t="s">
        <v>101</v>
      </c>
      <c r="W15" s="113"/>
      <c r="X15" s="113"/>
      <c r="Y15" s="26" t="s">
        <v>104</v>
      </c>
      <c r="Z15" s="26" t="s">
        <v>107</v>
      </c>
    </row>
    <row r="16" spans="1:28" ht="18" customHeight="1" x14ac:dyDescent="0.15">
      <c r="B16" s="207" t="s">
        <v>152</v>
      </c>
      <c r="C16" s="208"/>
      <c r="D16" s="208"/>
      <c r="E16" s="208"/>
      <c r="F16" s="209"/>
      <c r="G16" s="49">
        <v>2</v>
      </c>
      <c r="H16" s="49" t="s">
        <v>169</v>
      </c>
      <c r="I16" s="197" t="s">
        <v>168</v>
      </c>
      <c r="J16" s="198"/>
      <c r="K16" s="199"/>
      <c r="L16" s="49" t="s">
        <v>169</v>
      </c>
      <c r="M16" s="49" t="s">
        <v>169</v>
      </c>
      <c r="N16" s="182"/>
      <c r="O16" s="183"/>
      <c r="P16" s="183"/>
      <c r="Q16" s="183"/>
      <c r="R16" s="183"/>
      <c r="S16" s="184"/>
      <c r="T16" s="49"/>
      <c r="U16" s="49"/>
      <c r="V16" s="197"/>
      <c r="W16" s="198"/>
      <c r="X16" s="199"/>
      <c r="Y16" s="49"/>
      <c r="Z16" s="49"/>
    </row>
    <row r="17" spans="1:26" ht="18" customHeight="1" x14ac:dyDescent="0.15">
      <c r="B17" s="204"/>
      <c r="C17" s="205"/>
      <c r="D17" s="205"/>
      <c r="E17" s="205"/>
      <c r="F17" s="206"/>
      <c r="G17" s="50"/>
      <c r="H17" s="50"/>
      <c r="I17" s="194"/>
      <c r="J17" s="195"/>
      <c r="K17" s="196"/>
      <c r="L17" s="50"/>
      <c r="M17" s="50"/>
      <c r="N17" s="176"/>
      <c r="O17" s="177"/>
      <c r="P17" s="177"/>
      <c r="Q17" s="177"/>
      <c r="R17" s="177"/>
      <c r="S17" s="178"/>
      <c r="T17" s="50"/>
      <c r="U17" s="50"/>
      <c r="V17" s="194"/>
      <c r="W17" s="195"/>
      <c r="X17" s="196"/>
      <c r="Y17" s="50"/>
      <c r="Z17" s="50"/>
    </row>
    <row r="18" spans="1:26" ht="18" customHeight="1" x14ac:dyDescent="0.15">
      <c r="B18" s="204"/>
      <c r="C18" s="205"/>
      <c r="D18" s="205"/>
      <c r="E18" s="205"/>
      <c r="F18" s="206"/>
      <c r="G18" s="50"/>
      <c r="H18" s="50"/>
      <c r="I18" s="194"/>
      <c r="J18" s="195"/>
      <c r="K18" s="196"/>
      <c r="L18" s="50"/>
      <c r="M18" s="50"/>
      <c r="N18" s="176"/>
      <c r="O18" s="177"/>
      <c r="P18" s="177"/>
      <c r="Q18" s="177"/>
      <c r="R18" s="177"/>
      <c r="S18" s="178"/>
      <c r="T18" s="50"/>
      <c r="U18" s="50"/>
      <c r="V18" s="194"/>
      <c r="W18" s="195"/>
      <c r="X18" s="196"/>
      <c r="Y18" s="50"/>
      <c r="Z18" s="50"/>
    </row>
    <row r="19" spans="1:26" ht="18" customHeight="1" x14ac:dyDescent="0.15">
      <c r="B19" s="204"/>
      <c r="C19" s="205"/>
      <c r="D19" s="205"/>
      <c r="E19" s="205"/>
      <c r="F19" s="206"/>
      <c r="G19" s="50"/>
      <c r="H19" s="50"/>
      <c r="I19" s="194"/>
      <c r="J19" s="195"/>
      <c r="K19" s="196"/>
      <c r="L19" s="50"/>
      <c r="M19" s="50"/>
      <c r="N19" s="176"/>
      <c r="O19" s="177"/>
      <c r="P19" s="177"/>
      <c r="Q19" s="177"/>
      <c r="R19" s="177"/>
      <c r="S19" s="178"/>
      <c r="T19" s="50"/>
      <c r="U19" s="50"/>
      <c r="V19" s="194"/>
      <c r="W19" s="195"/>
      <c r="X19" s="196"/>
      <c r="Y19" s="50"/>
      <c r="Z19" s="50"/>
    </row>
    <row r="20" spans="1:26" ht="18" customHeight="1" x14ac:dyDescent="0.15">
      <c r="B20" s="204"/>
      <c r="C20" s="205"/>
      <c r="D20" s="205"/>
      <c r="E20" s="205"/>
      <c r="F20" s="206"/>
      <c r="G20" s="50"/>
      <c r="H20" s="50"/>
      <c r="I20" s="194"/>
      <c r="J20" s="195"/>
      <c r="K20" s="196"/>
      <c r="L20" s="50"/>
      <c r="M20" s="50"/>
      <c r="N20" s="176"/>
      <c r="O20" s="177"/>
      <c r="P20" s="177"/>
      <c r="Q20" s="177"/>
      <c r="R20" s="177"/>
      <c r="S20" s="178"/>
      <c r="T20" s="50"/>
      <c r="U20" s="50"/>
      <c r="V20" s="194"/>
      <c r="W20" s="195"/>
      <c r="X20" s="196"/>
      <c r="Y20" s="50"/>
      <c r="Z20" s="50"/>
    </row>
    <row r="21" spans="1:26" ht="18" customHeight="1" x14ac:dyDescent="0.15">
      <c r="A21" s="19"/>
      <c r="B21" s="204"/>
      <c r="C21" s="205"/>
      <c r="D21" s="205"/>
      <c r="E21" s="205"/>
      <c r="F21" s="206"/>
      <c r="G21" s="50"/>
      <c r="H21" s="50"/>
      <c r="I21" s="194"/>
      <c r="J21" s="195"/>
      <c r="K21" s="196"/>
      <c r="L21" s="50"/>
      <c r="M21" s="50"/>
      <c r="N21" s="176"/>
      <c r="O21" s="177"/>
      <c r="P21" s="177"/>
      <c r="Q21" s="177"/>
      <c r="R21" s="177"/>
      <c r="S21" s="178"/>
      <c r="T21" s="50"/>
      <c r="U21" s="50"/>
      <c r="V21" s="194"/>
      <c r="W21" s="195"/>
      <c r="X21" s="196"/>
      <c r="Y21" s="50"/>
      <c r="Z21" s="50"/>
    </row>
    <row r="22" spans="1:26" ht="18" customHeight="1" x14ac:dyDescent="0.15">
      <c r="A22" s="19"/>
      <c r="B22" s="200"/>
      <c r="C22" s="201"/>
      <c r="D22" s="201"/>
      <c r="E22" s="201"/>
      <c r="F22" s="202"/>
      <c r="G22" s="51"/>
      <c r="H22" s="51"/>
      <c r="I22" s="188"/>
      <c r="J22" s="189"/>
      <c r="K22" s="190"/>
      <c r="L22" s="53"/>
      <c r="M22" s="53"/>
      <c r="N22" s="168"/>
      <c r="O22" s="169"/>
      <c r="P22" s="169"/>
      <c r="Q22" s="169"/>
      <c r="R22" s="169"/>
      <c r="S22" s="170"/>
      <c r="T22" s="51"/>
      <c r="U22" s="51"/>
      <c r="V22" s="188"/>
      <c r="W22" s="189"/>
      <c r="X22" s="190"/>
      <c r="Y22" s="53"/>
      <c r="Z22" s="53"/>
    </row>
    <row r="23" spans="1:26" ht="7.5" customHeight="1" x14ac:dyDescent="0.15">
      <c r="A23" s="19"/>
      <c r="B23" s="27"/>
      <c r="C23" s="27"/>
      <c r="D23" s="19"/>
      <c r="E23" s="19"/>
      <c r="F23" s="19"/>
      <c r="G23" s="19"/>
      <c r="H23" s="19"/>
      <c r="I23" s="19"/>
      <c r="J23" s="19"/>
      <c r="K23" s="19"/>
      <c r="L23" s="27"/>
      <c r="M23" s="27"/>
      <c r="N23" s="27"/>
      <c r="O23" s="27"/>
      <c r="P23" s="27"/>
      <c r="Q23" s="27"/>
      <c r="R23" s="27"/>
      <c r="S23" s="27"/>
      <c r="T23" s="27"/>
      <c r="U23" s="27"/>
      <c r="V23" s="27"/>
      <c r="W23" s="27"/>
      <c r="X23" s="27"/>
      <c r="Y23" s="27"/>
      <c r="Z23" s="19"/>
    </row>
    <row r="24" spans="1:26" ht="18" customHeight="1" x14ac:dyDescent="0.15">
      <c r="A24" s="203" t="s">
        <v>126</v>
      </c>
      <c r="B24" s="203"/>
      <c r="C24" s="203"/>
      <c r="D24" s="203"/>
      <c r="E24" s="203"/>
      <c r="F24" s="203"/>
      <c r="G24" s="203"/>
      <c r="H24" s="203"/>
      <c r="I24" s="203"/>
      <c r="J24" s="203"/>
      <c r="K24" s="203"/>
      <c r="L24" s="203"/>
      <c r="M24" s="203"/>
      <c r="N24" s="203"/>
      <c r="O24" s="203"/>
      <c r="P24" s="203"/>
      <c r="Q24" s="203"/>
      <c r="R24" s="203"/>
      <c r="S24" s="203"/>
      <c r="T24" s="203"/>
      <c r="U24" s="203"/>
      <c r="V24" s="203"/>
      <c r="W24" s="203"/>
      <c r="X24" s="203"/>
      <c r="Y24" s="203"/>
      <c r="Z24" s="203"/>
    </row>
    <row r="25" spans="1:26" ht="18" customHeight="1" x14ac:dyDescent="0.15">
      <c r="A25" s="203"/>
      <c r="B25" s="203"/>
      <c r="C25" s="203"/>
      <c r="D25" s="203"/>
      <c r="E25" s="203"/>
      <c r="F25" s="203"/>
      <c r="G25" s="203"/>
      <c r="H25" s="203"/>
      <c r="I25" s="203"/>
      <c r="J25" s="203"/>
      <c r="K25" s="203"/>
      <c r="L25" s="203"/>
      <c r="M25" s="203"/>
      <c r="N25" s="203"/>
      <c r="O25" s="203"/>
      <c r="P25" s="203"/>
      <c r="Q25" s="203"/>
      <c r="R25" s="203"/>
      <c r="S25" s="203"/>
      <c r="T25" s="203"/>
      <c r="U25" s="203"/>
      <c r="V25" s="203"/>
      <c r="W25" s="203"/>
      <c r="X25" s="203"/>
      <c r="Y25" s="203"/>
      <c r="Z25" s="203"/>
    </row>
    <row r="26" spans="1:26" ht="18" customHeight="1" x14ac:dyDescent="0.15">
      <c r="B26" s="112" t="s">
        <v>100</v>
      </c>
      <c r="C26" s="113"/>
      <c r="D26" s="113"/>
      <c r="E26" s="113"/>
      <c r="F26" s="114"/>
      <c r="G26" s="20" t="s">
        <v>141</v>
      </c>
      <c r="H26" s="48" t="s">
        <v>140</v>
      </c>
      <c r="I26" s="113" t="s">
        <v>101</v>
      </c>
      <c r="J26" s="113"/>
      <c r="K26" s="113"/>
      <c r="L26" s="26" t="s">
        <v>127</v>
      </c>
      <c r="M26" s="26" t="s">
        <v>128</v>
      </c>
      <c r="N26" s="112" t="s">
        <v>100</v>
      </c>
      <c r="O26" s="113"/>
      <c r="P26" s="113"/>
      <c r="Q26" s="113"/>
      <c r="R26" s="113"/>
      <c r="S26" s="114"/>
      <c r="T26" s="20" t="s">
        <v>141</v>
      </c>
      <c r="U26" s="48" t="s">
        <v>140</v>
      </c>
      <c r="V26" s="113" t="s">
        <v>101</v>
      </c>
      <c r="W26" s="113"/>
      <c r="X26" s="113"/>
      <c r="Y26" s="26" t="s">
        <v>127</v>
      </c>
      <c r="Z26" s="26" t="s">
        <v>128</v>
      </c>
    </row>
    <row r="27" spans="1:26" ht="18" customHeight="1" x14ac:dyDescent="0.15">
      <c r="B27" s="207" t="s">
        <v>152</v>
      </c>
      <c r="C27" s="208"/>
      <c r="D27" s="208"/>
      <c r="E27" s="208"/>
      <c r="F27" s="209"/>
      <c r="G27" s="49">
        <v>2</v>
      </c>
      <c r="H27" s="49" t="s">
        <v>169</v>
      </c>
      <c r="I27" s="197" t="s">
        <v>168</v>
      </c>
      <c r="J27" s="198"/>
      <c r="K27" s="199"/>
      <c r="L27" s="49" t="s">
        <v>169</v>
      </c>
      <c r="M27" s="49" t="s">
        <v>169</v>
      </c>
      <c r="N27" s="182"/>
      <c r="O27" s="183"/>
      <c r="P27" s="183"/>
      <c r="Q27" s="183"/>
      <c r="R27" s="183"/>
      <c r="S27" s="184"/>
      <c r="T27" s="49"/>
      <c r="U27" s="49"/>
      <c r="V27" s="197"/>
      <c r="W27" s="198"/>
      <c r="X27" s="199"/>
      <c r="Y27" s="49"/>
      <c r="Z27" s="49"/>
    </row>
    <row r="28" spans="1:26" ht="18" customHeight="1" x14ac:dyDescent="0.15">
      <c r="B28" s="204"/>
      <c r="C28" s="205"/>
      <c r="D28" s="205"/>
      <c r="E28" s="205"/>
      <c r="F28" s="206"/>
      <c r="G28" s="50"/>
      <c r="H28" s="50"/>
      <c r="I28" s="194"/>
      <c r="J28" s="195"/>
      <c r="K28" s="196"/>
      <c r="L28" s="50"/>
      <c r="M28" s="50"/>
      <c r="N28" s="176"/>
      <c r="O28" s="177"/>
      <c r="P28" s="177"/>
      <c r="Q28" s="177"/>
      <c r="R28" s="177"/>
      <c r="S28" s="178"/>
      <c r="T28" s="50"/>
      <c r="U28" s="50"/>
      <c r="V28" s="194"/>
      <c r="W28" s="195"/>
      <c r="X28" s="196"/>
      <c r="Y28" s="50"/>
      <c r="Z28" s="50"/>
    </row>
    <row r="29" spans="1:26" ht="18" customHeight="1" x14ac:dyDescent="0.15">
      <c r="B29" s="204"/>
      <c r="C29" s="205"/>
      <c r="D29" s="205"/>
      <c r="E29" s="205"/>
      <c r="F29" s="206"/>
      <c r="G29" s="50"/>
      <c r="H29" s="50"/>
      <c r="I29" s="194"/>
      <c r="J29" s="195"/>
      <c r="K29" s="196"/>
      <c r="L29" s="50"/>
      <c r="M29" s="50"/>
      <c r="N29" s="176"/>
      <c r="O29" s="177"/>
      <c r="P29" s="177"/>
      <c r="Q29" s="177"/>
      <c r="R29" s="177"/>
      <c r="S29" s="178"/>
      <c r="T29" s="50"/>
      <c r="U29" s="50"/>
      <c r="V29" s="194"/>
      <c r="W29" s="195"/>
      <c r="X29" s="196"/>
      <c r="Y29" s="50"/>
      <c r="Z29" s="50"/>
    </row>
    <row r="30" spans="1:26" ht="18" customHeight="1" x14ac:dyDescent="0.15">
      <c r="B30" s="204"/>
      <c r="C30" s="205"/>
      <c r="D30" s="205"/>
      <c r="E30" s="205"/>
      <c r="F30" s="206"/>
      <c r="G30" s="50"/>
      <c r="H30" s="50"/>
      <c r="I30" s="194"/>
      <c r="J30" s="195"/>
      <c r="K30" s="196"/>
      <c r="L30" s="50"/>
      <c r="M30" s="50"/>
      <c r="N30" s="176"/>
      <c r="O30" s="177"/>
      <c r="P30" s="177"/>
      <c r="Q30" s="177"/>
      <c r="R30" s="177"/>
      <c r="S30" s="178"/>
      <c r="T30" s="50"/>
      <c r="U30" s="50"/>
      <c r="V30" s="194"/>
      <c r="W30" s="195"/>
      <c r="X30" s="196"/>
      <c r="Y30" s="50"/>
      <c r="Z30" s="50"/>
    </row>
    <row r="31" spans="1:26" ht="18" customHeight="1" x14ac:dyDescent="0.15">
      <c r="B31" s="204"/>
      <c r="C31" s="205"/>
      <c r="D31" s="205"/>
      <c r="E31" s="205"/>
      <c r="F31" s="206"/>
      <c r="G31" s="50"/>
      <c r="H31" s="50"/>
      <c r="I31" s="194"/>
      <c r="J31" s="195"/>
      <c r="K31" s="196"/>
      <c r="L31" s="50"/>
      <c r="M31" s="50"/>
      <c r="N31" s="176"/>
      <c r="O31" s="177"/>
      <c r="P31" s="177"/>
      <c r="Q31" s="177"/>
      <c r="R31" s="177"/>
      <c r="S31" s="178"/>
      <c r="T31" s="50"/>
      <c r="U31" s="50"/>
      <c r="V31" s="194"/>
      <c r="W31" s="195"/>
      <c r="X31" s="196"/>
      <c r="Y31" s="50"/>
      <c r="Z31" s="50"/>
    </row>
    <row r="32" spans="1:26" ht="18" customHeight="1" x14ac:dyDescent="0.15">
      <c r="B32" s="204"/>
      <c r="C32" s="205"/>
      <c r="D32" s="205"/>
      <c r="E32" s="205"/>
      <c r="F32" s="206"/>
      <c r="G32" s="50"/>
      <c r="H32" s="50"/>
      <c r="I32" s="194"/>
      <c r="J32" s="195"/>
      <c r="K32" s="196"/>
      <c r="L32" s="50"/>
      <c r="M32" s="50"/>
      <c r="N32" s="176"/>
      <c r="O32" s="177"/>
      <c r="P32" s="177"/>
      <c r="Q32" s="177"/>
      <c r="R32" s="177"/>
      <c r="S32" s="178"/>
      <c r="T32" s="50"/>
      <c r="U32" s="50"/>
      <c r="V32" s="194"/>
      <c r="W32" s="195"/>
      <c r="X32" s="196"/>
      <c r="Y32" s="50"/>
      <c r="Z32" s="50"/>
    </row>
    <row r="33" spans="1:26" ht="18" customHeight="1" x14ac:dyDescent="0.15">
      <c r="B33" s="200"/>
      <c r="C33" s="201"/>
      <c r="D33" s="201"/>
      <c r="E33" s="201"/>
      <c r="F33" s="202"/>
      <c r="G33" s="51"/>
      <c r="H33" s="51"/>
      <c r="I33" s="188"/>
      <c r="J33" s="189"/>
      <c r="K33" s="190"/>
      <c r="L33" s="53"/>
      <c r="M33" s="53"/>
      <c r="N33" s="168"/>
      <c r="O33" s="169"/>
      <c r="P33" s="169"/>
      <c r="Q33" s="169"/>
      <c r="R33" s="169"/>
      <c r="S33" s="170"/>
      <c r="T33" s="51"/>
      <c r="U33" s="51"/>
      <c r="V33" s="188"/>
      <c r="W33" s="189"/>
      <c r="X33" s="190"/>
      <c r="Y33" s="53"/>
      <c r="Z33" s="53"/>
    </row>
    <row r="34" spans="1:26" ht="7.5" customHeight="1" x14ac:dyDescent="0.15">
      <c r="A34" s="19"/>
      <c r="B34" s="27"/>
      <c r="C34" s="27"/>
      <c r="D34" s="19"/>
      <c r="E34" s="19"/>
      <c r="F34" s="19"/>
      <c r="G34" s="19"/>
      <c r="H34" s="19"/>
      <c r="I34" s="19"/>
      <c r="J34" s="19"/>
      <c r="K34" s="19"/>
      <c r="L34" s="27"/>
      <c r="M34" s="27"/>
      <c r="N34" s="27"/>
      <c r="O34" s="27"/>
      <c r="P34" s="27"/>
      <c r="Q34" s="27"/>
      <c r="R34" s="27"/>
      <c r="S34" s="27"/>
      <c r="T34" s="27"/>
      <c r="U34" s="27"/>
      <c r="V34" s="27"/>
      <c r="W34" s="27"/>
      <c r="X34" s="27"/>
      <c r="Y34" s="27"/>
      <c r="Z34" s="19"/>
    </row>
    <row r="35" spans="1:26" ht="18" customHeight="1" x14ac:dyDescent="0.15">
      <c r="A35" s="203" t="s">
        <v>129</v>
      </c>
      <c r="B35" s="203"/>
      <c r="C35" s="203"/>
      <c r="D35" s="203"/>
      <c r="E35" s="203"/>
      <c r="F35" s="203"/>
      <c r="G35" s="203"/>
      <c r="H35" s="203"/>
      <c r="I35" s="203"/>
      <c r="J35" s="203"/>
      <c r="K35" s="203"/>
      <c r="L35" s="203"/>
      <c r="M35" s="203"/>
      <c r="N35" s="203"/>
      <c r="O35" s="203"/>
      <c r="P35" s="203"/>
      <c r="Q35" s="203"/>
      <c r="R35" s="203"/>
      <c r="S35" s="203"/>
      <c r="T35" s="203"/>
      <c r="U35" s="203"/>
      <c r="V35" s="203"/>
      <c r="W35" s="203"/>
      <c r="X35" s="203"/>
      <c r="Y35" s="203"/>
      <c r="Z35" s="203"/>
    </row>
    <row r="36" spans="1:26" ht="18" customHeight="1" x14ac:dyDescent="0.15">
      <c r="A36" s="203"/>
      <c r="B36" s="203"/>
      <c r="C36" s="203"/>
      <c r="D36" s="203"/>
      <c r="E36" s="203"/>
      <c r="F36" s="203"/>
      <c r="G36" s="203"/>
      <c r="H36" s="203"/>
      <c r="I36" s="203"/>
      <c r="J36" s="203"/>
      <c r="K36" s="203"/>
      <c r="L36" s="203"/>
      <c r="M36" s="203"/>
      <c r="N36" s="203"/>
      <c r="O36" s="203"/>
      <c r="P36" s="203"/>
      <c r="Q36" s="203"/>
      <c r="R36" s="203"/>
      <c r="S36" s="203"/>
      <c r="T36" s="203"/>
      <c r="U36" s="203"/>
      <c r="V36" s="203"/>
      <c r="W36" s="203"/>
      <c r="X36" s="203"/>
      <c r="Y36" s="203"/>
      <c r="Z36" s="203"/>
    </row>
    <row r="37" spans="1:26" ht="18" customHeight="1" x14ac:dyDescent="0.15">
      <c r="B37" s="112" t="s">
        <v>100</v>
      </c>
      <c r="C37" s="113"/>
      <c r="D37" s="113"/>
      <c r="E37" s="113"/>
      <c r="F37" s="114"/>
      <c r="G37" s="20" t="s">
        <v>141</v>
      </c>
      <c r="H37" s="48" t="s">
        <v>140</v>
      </c>
      <c r="I37" s="112" t="s">
        <v>101</v>
      </c>
      <c r="J37" s="113"/>
      <c r="K37" s="114"/>
      <c r="L37" s="26" t="s">
        <v>130</v>
      </c>
      <c r="M37" s="26" t="s">
        <v>131</v>
      </c>
      <c r="N37" s="112" t="s">
        <v>100</v>
      </c>
      <c r="O37" s="113"/>
      <c r="P37" s="113"/>
      <c r="Q37" s="113"/>
      <c r="R37" s="113"/>
      <c r="S37" s="114"/>
      <c r="T37" s="20" t="s">
        <v>141</v>
      </c>
      <c r="U37" s="48" t="s">
        <v>140</v>
      </c>
      <c r="V37" s="112" t="s">
        <v>101</v>
      </c>
      <c r="W37" s="113"/>
      <c r="X37" s="114"/>
      <c r="Y37" s="26" t="s">
        <v>130</v>
      </c>
      <c r="Z37" s="26" t="s">
        <v>131</v>
      </c>
    </row>
    <row r="38" spans="1:26" ht="18" customHeight="1" x14ac:dyDescent="0.15">
      <c r="A38" s="19"/>
      <c r="B38" s="207" t="s">
        <v>152</v>
      </c>
      <c r="C38" s="208"/>
      <c r="D38" s="208"/>
      <c r="E38" s="208"/>
      <c r="F38" s="209"/>
      <c r="G38" s="49">
        <v>2</v>
      </c>
      <c r="H38" s="49" t="s">
        <v>169</v>
      </c>
      <c r="I38" s="197" t="s">
        <v>168</v>
      </c>
      <c r="J38" s="198"/>
      <c r="K38" s="199"/>
      <c r="L38" s="49" t="s">
        <v>169</v>
      </c>
      <c r="M38" s="49" t="s">
        <v>169</v>
      </c>
      <c r="N38" s="182"/>
      <c r="O38" s="183"/>
      <c r="P38" s="183"/>
      <c r="Q38" s="183"/>
      <c r="R38" s="183"/>
      <c r="S38" s="184"/>
      <c r="T38" s="49"/>
      <c r="U38" s="49"/>
      <c r="V38" s="197"/>
      <c r="W38" s="198"/>
      <c r="X38" s="199"/>
      <c r="Y38" s="49"/>
      <c r="Z38" s="49"/>
    </row>
    <row r="39" spans="1:26" ht="18" customHeight="1" x14ac:dyDescent="0.15">
      <c r="A39" s="19"/>
      <c r="B39" s="204" t="str">
        <f>VLOOKUP(AB1,'(作業用)'!B4:D7,3)</f>
        <v>コンピュータ入門</v>
      </c>
      <c r="C39" s="205"/>
      <c r="D39" s="205"/>
      <c r="E39" s="205"/>
      <c r="F39" s="206"/>
      <c r="G39" s="50">
        <v>2</v>
      </c>
      <c r="H39" s="50" t="s">
        <v>169</v>
      </c>
      <c r="I39" s="194" t="s">
        <v>171</v>
      </c>
      <c r="J39" s="195"/>
      <c r="K39" s="196"/>
      <c r="L39" s="50" t="s">
        <v>169</v>
      </c>
      <c r="M39" s="50"/>
      <c r="N39" s="176"/>
      <c r="O39" s="177"/>
      <c r="P39" s="177"/>
      <c r="Q39" s="177"/>
      <c r="R39" s="177"/>
      <c r="S39" s="178"/>
      <c r="T39" s="50"/>
      <c r="U39" s="50"/>
      <c r="V39" s="194"/>
      <c r="W39" s="195"/>
      <c r="X39" s="196"/>
      <c r="Y39" s="50"/>
      <c r="Z39" s="50"/>
    </row>
    <row r="40" spans="1:26" ht="18" customHeight="1" x14ac:dyDescent="0.15">
      <c r="A40" s="19"/>
      <c r="B40" s="204"/>
      <c r="C40" s="205"/>
      <c r="D40" s="205"/>
      <c r="E40" s="205"/>
      <c r="F40" s="206"/>
      <c r="G40" s="50"/>
      <c r="H40" s="50"/>
      <c r="I40" s="194"/>
      <c r="J40" s="195"/>
      <c r="K40" s="196"/>
      <c r="L40" s="50"/>
      <c r="M40" s="50"/>
      <c r="N40" s="176"/>
      <c r="O40" s="177"/>
      <c r="P40" s="177"/>
      <c r="Q40" s="177"/>
      <c r="R40" s="177"/>
      <c r="S40" s="178"/>
      <c r="T40" s="50"/>
      <c r="U40" s="50"/>
      <c r="V40" s="194"/>
      <c r="W40" s="195"/>
      <c r="X40" s="196"/>
      <c r="Y40" s="50"/>
      <c r="Z40" s="50"/>
    </row>
    <row r="41" spans="1:26" ht="18" customHeight="1" x14ac:dyDescent="0.15">
      <c r="A41" s="19"/>
      <c r="B41" s="204"/>
      <c r="C41" s="205"/>
      <c r="D41" s="205"/>
      <c r="E41" s="205"/>
      <c r="F41" s="206"/>
      <c r="G41" s="50"/>
      <c r="H41" s="50"/>
      <c r="I41" s="194"/>
      <c r="J41" s="195"/>
      <c r="K41" s="196"/>
      <c r="L41" s="50"/>
      <c r="M41" s="50"/>
      <c r="N41" s="176"/>
      <c r="O41" s="177"/>
      <c r="P41" s="177"/>
      <c r="Q41" s="177"/>
      <c r="R41" s="177"/>
      <c r="S41" s="178"/>
      <c r="T41" s="50"/>
      <c r="U41" s="50"/>
      <c r="V41" s="194"/>
      <c r="W41" s="195"/>
      <c r="X41" s="196"/>
      <c r="Y41" s="50"/>
      <c r="Z41" s="50"/>
    </row>
    <row r="42" spans="1:26" ht="18" customHeight="1" x14ac:dyDescent="0.15">
      <c r="A42" s="19"/>
      <c r="B42" s="204"/>
      <c r="C42" s="205"/>
      <c r="D42" s="205"/>
      <c r="E42" s="205"/>
      <c r="F42" s="206"/>
      <c r="G42" s="50"/>
      <c r="H42" s="50"/>
      <c r="I42" s="194"/>
      <c r="J42" s="195"/>
      <c r="K42" s="196"/>
      <c r="L42" s="50"/>
      <c r="M42" s="50"/>
      <c r="N42" s="176"/>
      <c r="O42" s="177"/>
      <c r="P42" s="177"/>
      <c r="Q42" s="177"/>
      <c r="R42" s="177"/>
      <c r="S42" s="178"/>
      <c r="T42" s="50"/>
      <c r="U42" s="50"/>
      <c r="V42" s="194"/>
      <c r="W42" s="195"/>
      <c r="X42" s="196"/>
      <c r="Y42" s="50"/>
      <c r="Z42" s="50"/>
    </row>
    <row r="43" spans="1:26" ht="18" customHeight="1" x14ac:dyDescent="0.15">
      <c r="A43" s="19"/>
      <c r="B43" s="204"/>
      <c r="C43" s="205"/>
      <c r="D43" s="205"/>
      <c r="E43" s="205"/>
      <c r="F43" s="206"/>
      <c r="G43" s="50"/>
      <c r="H43" s="50"/>
      <c r="I43" s="194"/>
      <c r="J43" s="195"/>
      <c r="K43" s="196"/>
      <c r="L43" s="50"/>
      <c r="M43" s="50"/>
      <c r="N43" s="176"/>
      <c r="O43" s="177"/>
      <c r="P43" s="177"/>
      <c r="Q43" s="177"/>
      <c r="R43" s="177"/>
      <c r="S43" s="178"/>
      <c r="T43" s="50"/>
      <c r="U43" s="50"/>
      <c r="V43" s="194"/>
      <c r="W43" s="195"/>
      <c r="X43" s="196"/>
      <c r="Y43" s="50"/>
      <c r="Z43" s="50"/>
    </row>
    <row r="44" spans="1:26" ht="18" customHeight="1" x14ac:dyDescent="0.15">
      <c r="A44" s="19"/>
      <c r="B44" s="200"/>
      <c r="C44" s="201"/>
      <c r="D44" s="201"/>
      <c r="E44" s="201"/>
      <c r="F44" s="202"/>
      <c r="G44" s="51"/>
      <c r="H44" s="51"/>
      <c r="I44" s="188"/>
      <c r="J44" s="189"/>
      <c r="K44" s="190"/>
      <c r="L44" s="53"/>
      <c r="M44" s="53"/>
      <c r="N44" s="168"/>
      <c r="O44" s="169"/>
      <c r="P44" s="169"/>
      <c r="Q44" s="169"/>
      <c r="R44" s="169"/>
      <c r="S44" s="170"/>
      <c r="T44" s="51"/>
      <c r="U44" s="51"/>
      <c r="V44" s="188"/>
      <c r="W44" s="189"/>
      <c r="X44" s="190"/>
      <c r="Y44" s="53"/>
      <c r="Z44" s="53"/>
    </row>
    <row r="45" spans="1:26" ht="7.5" customHeight="1" x14ac:dyDescent="0.15">
      <c r="B45" s="28"/>
      <c r="C45" s="28"/>
      <c r="D45" s="28"/>
      <c r="E45" s="28"/>
      <c r="F45" s="28"/>
      <c r="G45" s="28"/>
      <c r="H45" s="28"/>
      <c r="I45" s="28"/>
      <c r="J45" s="28"/>
      <c r="K45" s="28"/>
      <c r="L45" s="28"/>
      <c r="M45" s="28"/>
      <c r="N45" s="28"/>
      <c r="O45" s="28"/>
      <c r="P45" s="28"/>
      <c r="Q45" s="28"/>
      <c r="R45" s="28"/>
      <c r="S45" s="28"/>
      <c r="T45" s="28"/>
      <c r="U45" s="28"/>
      <c r="V45" s="28"/>
      <c r="W45" s="28"/>
      <c r="X45" s="28"/>
      <c r="Y45" s="28"/>
    </row>
    <row r="46" spans="1:26" ht="18" customHeight="1" x14ac:dyDescent="0.15">
      <c r="A46" s="203" t="s">
        <v>132</v>
      </c>
      <c r="B46" s="203"/>
      <c r="C46" s="203"/>
      <c r="D46" s="203"/>
      <c r="E46" s="203"/>
      <c r="F46" s="203"/>
      <c r="G46" s="203"/>
      <c r="H46" s="203"/>
      <c r="I46" s="203"/>
      <c r="J46" s="203"/>
      <c r="K46" s="203"/>
      <c r="L46" s="203"/>
      <c r="M46" s="203"/>
      <c r="N46" s="203"/>
      <c r="O46" s="203"/>
      <c r="P46" s="203"/>
      <c r="Q46" s="203"/>
      <c r="R46" s="203"/>
      <c r="S46" s="203"/>
      <c r="T46" s="203"/>
      <c r="U46" s="203"/>
      <c r="V46" s="203"/>
      <c r="W46" s="203"/>
      <c r="X46" s="203"/>
      <c r="Y46" s="203"/>
      <c r="Z46" s="203"/>
    </row>
    <row r="47" spans="1:26" ht="18" customHeight="1" x14ac:dyDescent="0.15">
      <c r="A47" s="203"/>
      <c r="B47" s="203"/>
      <c r="C47" s="203"/>
      <c r="D47" s="203"/>
      <c r="E47" s="203"/>
      <c r="F47" s="203"/>
      <c r="G47" s="203"/>
      <c r="H47" s="203"/>
      <c r="I47" s="203"/>
      <c r="J47" s="203"/>
      <c r="K47" s="203"/>
      <c r="L47" s="203"/>
      <c r="M47" s="203"/>
      <c r="N47" s="203"/>
      <c r="O47" s="203"/>
      <c r="P47" s="203"/>
      <c r="Q47" s="203"/>
      <c r="R47" s="203"/>
      <c r="S47" s="203"/>
      <c r="T47" s="203"/>
      <c r="U47" s="203"/>
      <c r="V47" s="203"/>
      <c r="W47" s="203"/>
      <c r="X47" s="203"/>
      <c r="Y47" s="203"/>
      <c r="Z47" s="203"/>
    </row>
    <row r="48" spans="1:26" ht="18" customHeight="1" x14ac:dyDescent="0.15">
      <c r="B48" s="112" t="s">
        <v>100</v>
      </c>
      <c r="C48" s="113"/>
      <c r="D48" s="113"/>
      <c r="E48" s="113"/>
      <c r="F48" s="114"/>
      <c r="G48" s="20" t="s">
        <v>141</v>
      </c>
      <c r="H48" s="48" t="s">
        <v>140</v>
      </c>
      <c r="I48" s="112" t="s">
        <v>101</v>
      </c>
      <c r="J48" s="113"/>
      <c r="K48" s="114"/>
      <c r="L48" s="26" t="s">
        <v>106</v>
      </c>
      <c r="M48" s="26" t="s">
        <v>108</v>
      </c>
      <c r="N48" s="112" t="s">
        <v>100</v>
      </c>
      <c r="O48" s="113"/>
      <c r="P48" s="113"/>
      <c r="Q48" s="113"/>
      <c r="R48" s="113"/>
      <c r="S48" s="114"/>
      <c r="T48" s="20" t="s">
        <v>141</v>
      </c>
      <c r="U48" s="48" t="s">
        <v>140</v>
      </c>
      <c r="V48" s="112" t="s">
        <v>101</v>
      </c>
      <c r="W48" s="113"/>
      <c r="X48" s="114"/>
      <c r="Y48" s="26" t="s">
        <v>106</v>
      </c>
      <c r="Z48" s="26" t="s">
        <v>108</v>
      </c>
    </row>
    <row r="49" spans="1:26" ht="18" customHeight="1" x14ac:dyDescent="0.15">
      <c r="A49" s="19"/>
      <c r="B49" s="207" t="s">
        <v>152</v>
      </c>
      <c r="C49" s="208"/>
      <c r="D49" s="208"/>
      <c r="E49" s="208"/>
      <c r="F49" s="209"/>
      <c r="G49" s="49">
        <v>2</v>
      </c>
      <c r="H49" s="49" t="s">
        <v>169</v>
      </c>
      <c r="I49" s="197" t="s">
        <v>168</v>
      </c>
      <c r="J49" s="198"/>
      <c r="K49" s="199"/>
      <c r="L49" s="49" t="s">
        <v>169</v>
      </c>
      <c r="M49" s="49" t="s">
        <v>169</v>
      </c>
      <c r="N49" s="182"/>
      <c r="O49" s="183"/>
      <c r="P49" s="183"/>
      <c r="Q49" s="183"/>
      <c r="R49" s="183"/>
      <c r="S49" s="184"/>
      <c r="T49" s="49"/>
      <c r="U49" s="49"/>
      <c r="V49" s="197"/>
      <c r="W49" s="198"/>
      <c r="X49" s="199"/>
      <c r="Y49" s="49"/>
      <c r="Z49" s="49"/>
    </row>
    <row r="50" spans="1:26" ht="18" customHeight="1" x14ac:dyDescent="0.15">
      <c r="A50" s="19"/>
      <c r="B50" s="204" t="str">
        <f>VLOOKUP(AB1,'(作業用)'!B4:D7,3)</f>
        <v>コンピュータ入門</v>
      </c>
      <c r="C50" s="205"/>
      <c r="D50" s="205"/>
      <c r="E50" s="205"/>
      <c r="F50" s="206"/>
      <c r="G50" s="50">
        <v>2</v>
      </c>
      <c r="H50" s="50" t="s">
        <v>169</v>
      </c>
      <c r="I50" s="194" t="s">
        <v>171</v>
      </c>
      <c r="J50" s="195"/>
      <c r="K50" s="196"/>
      <c r="L50" s="50" t="s">
        <v>169</v>
      </c>
      <c r="M50" s="50" t="s">
        <v>169</v>
      </c>
      <c r="N50" s="176"/>
      <c r="O50" s="177"/>
      <c r="P50" s="177"/>
      <c r="Q50" s="177"/>
      <c r="R50" s="177"/>
      <c r="S50" s="178"/>
      <c r="T50" s="50"/>
      <c r="U50" s="50"/>
      <c r="V50" s="194"/>
      <c r="W50" s="195"/>
      <c r="X50" s="196"/>
      <c r="Y50" s="50"/>
      <c r="Z50" s="50"/>
    </row>
    <row r="51" spans="1:26" ht="18" customHeight="1" x14ac:dyDescent="0.15">
      <c r="A51" s="19"/>
      <c r="B51" s="204"/>
      <c r="C51" s="205"/>
      <c r="D51" s="205"/>
      <c r="E51" s="205"/>
      <c r="F51" s="206"/>
      <c r="G51" s="50"/>
      <c r="H51" s="50"/>
      <c r="I51" s="194"/>
      <c r="J51" s="195"/>
      <c r="K51" s="196"/>
      <c r="L51" s="50"/>
      <c r="M51" s="50"/>
      <c r="N51" s="176"/>
      <c r="O51" s="177"/>
      <c r="P51" s="177"/>
      <c r="Q51" s="177"/>
      <c r="R51" s="177"/>
      <c r="S51" s="178"/>
      <c r="T51" s="50"/>
      <c r="U51" s="50"/>
      <c r="V51" s="194"/>
      <c r="W51" s="195"/>
      <c r="X51" s="196"/>
      <c r="Y51" s="50"/>
      <c r="Z51" s="50"/>
    </row>
    <row r="52" spans="1:26" ht="18" customHeight="1" x14ac:dyDescent="0.15">
      <c r="A52" s="19"/>
      <c r="B52" s="204"/>
      <c r="C52" s="205"/>
      <c r="D52" s="205"/>
      <c r="E52" s="205"/>
      <c r="F52" s="206"/>
      <c r="G52" s="50"/>
      <c r="H52" s="50"/>
      <c r="I52" s="194"/>
      <c r="J52" s="195"/>
      <c r="K52" s="196"/>
      <c r="L52" s="50"/>
      <c r="M52" s="50"/>
      <c r="N52" s="176"/>
      <c r="O52" s="177"/>
      <c r="P52" s="177"/>
      <c r="Q52" s="177"/>
      <c r="R52" s="177"/>
      <c r="S52" s="178"/>
      <c r="T52" s="50"/>
      <c r="U52" s="50"/>
      <c r="V52" s="194"/>
      <c r="W52" s="195"/>
      <c r="X52" s="196"/>
      <c r="Y52" s="50"/>
      <c r="Z52" s="50"/>
    </row>
    <row r="53" spans="1:26" ht="18" customHeight="1" x14ac:dyDescent="0.15">
      <c r="A53" s="19"/>
      <c r="B53" s="204"/>
      <c r="C53" s="205"/>
      <c r="D53" s="205"/>
      <c r="E53" s="205"/>
      <c r="F53" s="206"/>
      <c r="G53" s="50"/>
      <c r="H53" s="50"/>
      <c r="I53" s="194"/>
      <c r="J53" s="195"/>
      <c r="K53" s="196"/>
      <c r="L53" s="50"/>
      <c r="M53" s="50"/>
      <c r="N53" s="176"/>
      <c r="O53" s="177"/>
      <c r="P53" s="177"/>
      <c r="Q53" s="177"/>
      <c r="R53" s="177"/>
      <c r="S53" s="178"/>
      <c r="T53" s="50"/>
      <c r="U53" s="50"/>
      <c r="V53" s="194"/>
      <c r="W53" s="195"/>
      <c r="X53" s="196"/>
      <c r="Y53" s="50"/>
      <c r="Z53" s="50"/>
    </row>
    <row r="54" spans="1:26" ht="18" customHeight="1" x14ac:dyDescent="0.15">
      <c r="A54" s="19"/>
      <c r="B54" s="204"/>
      <c r="C54" s="205"/>
      <c r="D54" s="205"/>
      <c r="E54" s="205"/>
      <c r="F54" s="206"/>
      <c r="G54" s="50"/>
      <c r="H54" s="50"/>
      <c r="I54" s="194"/>
      <c r="J54" s="195"/>
      <c r="K54" s="196"/>
      <c r="L54" s="50"/>
      <c r="M54" s="50"/>
      <c r="N54" s="176"/>
      <c r="O54" s="177"/>
      <c r="P54" s="177"/>
      <c r="Q54" s="177"/>
      <c r="R54" s="177"/>
      <c r="S54" s="178"/>
      <c r="T54" s="50"/>
      <c r="U54" s="50"/>
      <c r="V54" s="194"/>
      <c r="W54" s="195"/>
      <c r="X54" s="196"/>
      <c r="Y54" s="50"/>
      <c r="Z54" s="50"/>
    </row>
    <row r="55" spans="1:26" ht="18" customHeight="1" x14ac:dyDescent="0.15">
      <c r="A55" s="19"/>
      <c r="B55" s="200"/>
      <c r="C55" s="201"/>
      <c r="D55" s="201"/>
      <c r="E55" s="201"/>
      <c r="F55" s="202"/>
      <c r="G55" s="51"/>
      <c r="H55" s="51"/>
      <c r="I55" s="188"/>
      <c r="J55" s="189"/>
      <c r="K55" s="190"/>
      <c r="L55" s="53"/>
      <c r="M55" s="53"/>
      <c r="N55" s="168"/>
      <c r="O55" s="169"/>
      <c r="P55" s="169"/>
      <c r="Q55" s="169"/>
      <c r="R55" s="169"/>
      <c r="S55" s="170"/>
      <c r="T55" s="51"/>
      <c r="U55" s="51"/>
      <c r="V55" s="188"/>
      <c r="W55" s="189"/>
      <c r="X55" s="190"/>
      <c r="Y55" s="53"/>
      <c r="Z55" s="53"/>
    </row>
    <row r="56" spans="1:26" ht="7.5" customHeight="1" x14ac:dyDescent="0.15">
      <c r="B56" s="28"/>
      <c r="C56" s="28"/>
      <c r="D56" s="28"/>
      <c r="E56" s="28"/>
      <c r="F56" s="28"/>
      <c r="G56" s="28"/>
      <c r="H56" s="28"/>
      <c r="I56" s="28"/>
      <c r="J56" s="28"/>
      <c r="K56" s="28"/>
      <c r="L56" s="28"/>
      <c r="M56" s="28"/>
      <c r="N56" s="28"/>
      <c r="O56" s="28"/>
      <c r="P56" s="28"/>
      <c r="Q56" s="28"/>
      <c r="R56" s="28"/>
      <c r="S56" s="28"/>
      <c r="T56" s="28"/>
      <c r="U56" s="28"/>
      <c r="V56" s="28"/>
      <c r="W56" s="28"/>
      <c r="X56" s="28"/>
      <c r="Y56" s="28"/>
    </row>
    <row r="57" spans="1:26" ht="18" customHeight="1" x14ac:dyDescent="0.15">
      <c r="A57" s="203" t="s">
        <v>133</v>
      </c>
      <c r="B57" s="203"/>
      <c r="C57" s="203"/>
      <c r="D57" s="203"/>
      <c r="E57" s="203"/>
      <c r="F57" s="203"/>
      <c r="G57" s="203"/>
      <c r="H57" s="203"/>
      <c r="I57" s="203"/>
      <c r="J57" s="203"/>
      <c r="K57" s="203"/>
      <c r="L57" s="203"/>
      <c r="M57" s="203"/>
      <c r="N57" s="203"/>
      <c r="O57" s="203"/>
      <c r="P57" s="203"/>
      <c r="Q57" s="203"/>
      <c r="R57" s="203"/>
      <c r="S57" s="203"/>
      <c r="T57" s="203"/>
      <c r="U57" s="203"/>
      <c r="V57" s="203"/>
      <c r="W57" s="203"/>
      <c r="X57" s="203"/>
      <c r="Y57" s="203"/>
      <c r="Z57" s="203"/>
    </row>
    <row r="58" spans="1:26" ht="18" customHeight="1" x14ac:dyDescent="0.15">
      <c r="A58" s="203"/>
      <c r="B58" s="203"/>
      <c r="C58" s="203"/>
      <c r="D58" s="203"/>
      <c r="E58" s="203"/>
      <c r="F58" s="203"/>
      <c r="G58" s="203"/>
      <c r="H58" s="203"/>
      <c r="I58" s="203"/>
      <c r="J58" s="203"/>
      <c r="K58" s="203"/>
      <c r="L58" s="203"/>
      <c r="M58" s="203"/>
      <c r="N58" s="203"/>
      <c r="O58" s="203"/>
      <c r="P58" s="203"/>
      <c r="Q58" s="203"/>
      <c r="R58" s="203"/>
      <c r="S58" s="203"/>
      <c r="T58" s="203"/>
      <c r="U58" s="203"/>
      <c r="V58" s="203"/>
      <c r="W58" s="203"/>
      <c r="X58" s="203"/>
      <c r="Y58" s="203"/>
      <c r="Z58" s="203"/>
    </row>
    <row r="59" spans="1:26" ht="18" customHeight="1" x14ac:dyDescent="0.15">
      <c r="B59" s="112" t="s">
        <v>100</v>
      </c>
      <c r="C59" s="113"/>
      <c r="D59" s="113"/>
      <c r="E59" s="114"/>
      <c r="F59" s="20" t="s">
        <v>141</v>
      </c>
      <c r="G59" s="48" t="s">
        <v>140</v>
      </c>
      <c r="H59" s="43" t="s">
        <v>101</v>
      </c>
      <c r="I59" s="44"/>
      <c r="J59" s="45"/>
      <c r="K59" s="26" t="s">
        <v>105</v>
      </c>
      <c r="L59" s="26" t="s">
        <v>134</v>
      </c>
      <c r="M59" s="26" t="s">
        <v>135</v>
      </c>
      <c r="N59" s="112" t="s">
        <v>100</v>
      </c>
      <c r="O59" s="113"/>
      <c r="P59" s="113"/>
      <c r="Q59" s="113"/>
      <c r="R59" s="114"/>
      <c r="S59" s="20" t="s">
        <v>141</v>
      </c>
      <c r="T59" s="48" t="s">
        <v>140</v>
      </c>
      <c r="U59" s="43" t="s">
        <v>101</v>
      </c>
      <c r="V59" s="44"/>
      <c r="W59" s="45"/>
      <c r="X59" s="26" t="s">
        <v>105</v>
      </c>
      <c r="Y59" s="26" t="s">
        <v>134</v>
      </c>
      <c r="Z59" s="26" t="s">
        <v>135</v>
      </c>
    </row>
    <row r="60" spans="1:26" ht="18" customHeight="1" x14ac:dyDescent="0.15">
      <c r="A60" s="19"/>
      <c r="B60" s="182" t="s">
        <v>152</v>
      </c>
      <c r="C60" s="183"/>
      <c r="D60" s="183"/>
      <c r="E60" s="184"/>
      <c r="F60" s="49">
        <v>2</v>
      </c>
      <c r="G60" s="49" t="s">
        <v>169</v>
      </c>
      <c r="H60" s="197" t="s">
        <v>168</v>
      </c>
      <c r="I60" s="198"/>
      <c r="J60" s="199"/>
      <c r="K60" s="56" t="s">
        <v>170</v>
      </c>
      <c r="L60" s="49" t="s">
        <v>169</v>
      </c>
      <c r="M60" s="49" t="s">
        <v>169</v>
      </c>
      <c r="N60" s="182"/>
      <c r="O60" s="183"/>
      <c r="P60" s="183"/>
      <c r="Q60" s="183"/>
      <c r="R60" s="184"/>
      <c r="S60" s="49"/>
      <c r="T60" s="49"/>
      <c r="U60" s="197"/>
      <c r="V60" s="198"/>
      <c r="W60" s="199"/>
      <c r="X60" s="56"/>
      <c r="Y60" s="49"/>
      <c r="Z60" s="49"/>
    </row>
    <row r="61" spans="1:26" ht="18" customHeight="1" x14ac:dyDescent="0.15">
      <c r="A61" s="19"/>
      <c r="B61" s="176" t="str">
        <f>VLOOKUP(AB1,'(作業用)'!B4:D7,3)</f>
        <v>コンピュータ入門</v>
      </c>
      <c r="C61" s="177"/>
      <c r="D61" s="177"/>
      <c r="E61" s="178"/>
      <c r="F61" s="50">
        <v>2</v>
      </c>
      <c r="G61" s="50" t="s">
        <v>169</v>
      </c>
      <c r="H61" s="194" t="s">
        <v>171</v>
      </c>
      <c r="I61" s="195"/>
      <c r="J61" s="196"/>
      <c r="K61" s="57" t="s">
        <v>170</v>
      </c>
      <c r="L61" s="50" t="s">
        <v>169</v>
      </c>
      <c r="M61" s="50" t="s">
        <v>169</v>
      </c>
      <c r="N61" s="176"/>
      <c r="O61" s="177"/>
      <c r="P61" s="177"/>
      <c r="Q61" s="177"/>
      <c r="R61" s="178"/>
      <c r="S61" s="50"/>
      <c r="T61" s="50"/>
      <c r="U61" s="194"/>
      <c r="V61" s="195"/>
      <c r="W61" s="196"/>
      <c r="X61" s="57"/>
      <c r="Y61" s="50"/>
      <c r="Z61" s="50"/>
    </row>
    <row r="62" spans="1:26" ht="18" customHeight="1" x14ac:dyDescent="0.15">
      <c r="A62" s="19"/>
      <c r="B62" s="176"/>
      <c r="C62" s="177"/>
      <c r="D62" s="177"/>
      <c r="E62" s="178"/>
      <c r="F62" s="50"/>
      <c r="G62" s="50"/>
      <c r="H62" s="194"/>
      <c r="I62" s="195"/>
      <c r="J62" s="196"/>
      <c r="K62" s="57"/>
      <c r="L62" s="50"/>
      <c r="M62" s="50"/>
      <c r="N62" s="176"/>
      <c r="O62" s="177"/>
      <c r="P62" s="177"/>
      <c r="Q62" s="177"/>
      <c r="R62" s="178"/>
      <c r="S62" s="50"/>
      <c r="T62" s="50"/>
      <c r="U62" s="194"/>
      <c r="V62" s="195"/>
      <c r="W62" s="196"/>
      <c r="X62" s="57"/>
      <c r="Y62" s="50"/>
      <c r="Z62" s="50"/>
    </row>
    <row r="63" spans="1:26" ht="18" customHeight="1" x14ac:dyDescent="0.15">
      <c r="A63" s="19"/>
      <c r="B63" s="176"/>
      <c r="C63" s="177"/>
      <c r="D63" s="177"/>
      <c r="E63" s="178"/>
      <c r="F63" s="50"/>
      <c r="G63" s="50"/>
      <c r="H63" s="194"/>
      <c r="I63" s="195"/>
      <c r="J63" s="196"/>
      <c r="K63" s="57"/>
      <c r="L63" s="50"/>
      <c r="M63" s="50"/>
      <c r="N63" s="176"/>
      <c r="O63" s="177"/>
      <c r="P63" s="177"/>
      <c r="Q63" s="177"/>
      <c r="R63" s="178"/>
      <c r="S63" s="50"/>
      <c r="T63" s="50"/>
      <c r="U63" s="194"/>
      <c r="V63" s="195"/>
      <c r="W63" s="196"/>
      <c r="X63" s="57"/>
      <c r="Y63" s="50"/>
      <c r="Z63" s="50"/>
    </row>
    <row r="64" spans="1:26" ht="18" customHeight="1" x14ac:dyDescent="0.15">
      <c r="A64" s="19"/>
      <c r="B64" s="176"/>
      <c r="C64" s="177"/>
      <c r="D64" s="177"/>
      <c r="E64" s="178"/>
      <c r="F64" s="50"/>
      <c r="G64" s="50"/>
      <c r="H64" s="194"/>
      <c r="I64" s="195"/>
      <c r="J64" s="196"/>
      <c r="K64" s="57"/>
      <c r="L64" s="50"/>
      <c r="M64" s="50"/>
      <c r="N64" s="176"/>
      <c r="O64" s="177"/>
      <c r="P64" s="177"/>
      <c r="Q64" s="177"/>
      <c r="R64" s="178"/>
      <c r="S64" s="50"/>
      <c r="T64" s="50"/>
      <c r="U64" s="194"/>
      <c r="V64" s="195"/>
      <c r="W64" s="196"/>
      <c r="X64" s="57"/>
      <c r="Y64" s="50"/>
      <c r="Z64" s="50"/>
    </row>
    <row r="65" spans="1:26" ht="18" customHeight="1" x14ac:dyDescent="0.15">
      <c r="A65" s="19"/>
      <c r="B65" s="176"/>
      <c r="C65" s="177"/>
      <c r="D65" s="177"/>
      <c r="E65" s="178"/>
      <c r="F65" s="50"/>
      <c r="G65" s="50"/>
      <c r="H65" s="194"/>
      <c r="I65" s="195"/>
      <c r="J65" s="196"/>
      <c r="K65" s="57"/>
      <c r="L65" s="50"/>
      <c r="M65" s="50"/>
      <c r="N65" s="176"/>
      <c r="O65" s="177"/>
      <c r="P65" s="177"/>
      <c r="Q65" s="177"/>
      <c r="R65" s="178"/>
      <c r="S65" s="50"/>
      <c r="T65" s="50"/>
      <c r="U65" s="194"/>
      <c r="V65" s="195"/>
      <c r="W65" s="196"/>
      <c r="X65" s="57"/>
      <c r="Y65" s="50"/>
      <c r="Z65" s="50"/>
    </row>
    <row r="66" spans="1:26" ht="18" customHeight="1" x14ac:dyDescent="0.15">
      <c r="A66" s="19"/>
      <c r="B66" s="168"/>
      <c r="C66" s="169"/>
      <c r="D66" s="169"/>
      <c r="E66" s="170"/>
      <c r="F66" s="51"/>
      <c r="G66" s="51"/>
      <c r="H66" s="188"/>
      <c r="I66" s="189"/>
      <c r="J66" s="190"/>
      <c r="K66" s="62"/>
      <c r="L66" s="53"/>
      <c r="M66" s="53"/>
      <c r="N66" s="168"/>
      <c r="O66" s="169"/>
      <c r="P66" s="169"/>
      <c r="Q66" s="169"/>
      <c r="R66" s="170"/>
      <c r="S66" s="51"/>
      <c r="T66" s="51"/>
      <c r="U66" s="188"/>
      <c r="V66" s="189"/>
      <c r="W66" s="190"/>
      <c r="X66" s="62"/>
      <c r="Y66" s="53"/>
      <c r="Z66" s="53"/>
    </row>
    <row r="67" spans="1:26" ht="7.5" customHeight="1" x14ac:dyDescent="0.15">
      <c r="B67" s="28"/>
      <c r="C67" s="28"/>
      <c r="D67" s="28"/>
      <c r="E67" s="28"/>
      <c r="F67" s="28"/>
      <c r="G67" s="28"/>
      <c r="H67" s="28"/>
      <c r="I67" s="28"/>
      <c r="J67" s="28"/>
      <c r="K67" s="28"/>
      <c r="L67" s="28"/>
      <c r="M67" s="28"/>
      <c r="N67" s="28"/>
      <c r="O67" s="28"/>
      <c r="P67" s="28"/>
      <c r="Q67" s="28"/>
      <c r="R67" s="28"/>
      <c r="S67" s="28"/>
      <c r="T67" s="28"/>
      <c r="U67" s="28"/>
      <c r="V67" s="28"/>
      <c r="W67" s="28"/>
      <c r="X67" s="28"/>
      <c r="Y67" s="28"/>
    </row>
    <row r="68" spans="1:26" ht="18" customHeight="1" x14ac:dyDescent="0.15">
      <c r="A68" s="5" t="s">
        <v>136</v>
      </c>
      <c r="L68" s="19"/>
      <c r="M68" s="19"/>
      <c r="N68" s="19"/>
      <c r="O68" s="19"/>
      <c r="P68" s="19"/>
      <c r="Q68" s="19"/>
      <c r="R68" s="19"/>
      <c r="S68" s="19"/>
      <c r="T68" s="19"/>
      <c r="U68" s="19"/>
      <c r="V68" s="19"/>
      <c r="W68" s="19"/>
      <c r="X68" s="19"/>
      <c r="Y68" s="19"/>
      <c r="Z68" s="19"/>
    </row>
    <row r="69" spans="1:26" ht="18" customHeight="1" x14ac:dyDescent="0.15">
      <c r="B69" s="112" t="s">
        <v>100</v>
      </c>
      <c r="C69" s="113"/>
      <c r="D69" s="113"/>
      <c r="E69" s="113"/>
      <c r="F69" s="114"/>
      <c r="G69" s="112" t="s">
        <v>146</v>
      </c>
      <c r="H69" s="113"/>
      <c r="I69" s="113"/>
      <c r="J69" s="113"/>
      <c r="K69" s="113"/>
      <c r="L69" s="113"/>
      <c r="M69" s="114"/>
      <c r="N69" s="191" t="s">
        <v>100</v>
      </c>
      <c r="O69" s="192"/>
      <c r="P69" s="192"/>
      <c r="Q69" s="192"/>
      <c r="R69" s="192"/>
      <c r="S69" s="193"/>
      <c r="T69" s="112" t="s">
        <v>146</v>
      </c>
      <c r="U69" s="113"/>
      <c r="V69" s="113"/>
      <c r="W69" s="113"/>
      <c r="X69" s="113"/>
      <c r="Y69" s="113"/>
      <c r="Z69" s="114"/>
    </row>
    <row r="70" spans="1:26" ht="18" customHeight="1" x14ac:dyDescent="0.15">
      <c r="A70" s="19"/>
      <c r="B70" s="182" t="s">
        <v>152</v>
      </c>
      <c r="C70" s="183"/>
      <c r="D70" s="183"/>
      <c r="E70" s="183"/>
      <c r="F70" s="184"/>
      <c r="G70" s="185" t="s">
        <v>172</v>
      </c>
      <c r="H70" s="186"/>
      <c r="I70" s="186"/>
      <c r="J70" s="186"/>
      <c r="K70" s="186"/>
      <c r="L70" s="186"/>
      <c r="M70" s="187"/>
      <c r="N70" s="182"/>
      <c r="O70" s="183"/>
      <c r="P70" s="183"/>
      <c r="Q70" s="183"/>
      <c r="R70" s="183"/>
      <c r="S70" s="184"/>
      <c r="T70" s="185"/>
      <c r="U70" s="186"/>
      <c r="V70" s="186"/>
      <c r="W70" s="186"/>
      <c r="X70" s="186"/>
      <c r="Y70" s="186"/>
      <c r="Z70" s="187"/>
    </row>
    <row r="71" spans="1:26" ht="18" customHeight="1" x14ac:dyDescent="0.15">
      <c r="A71" s="19"/>
      <c r="B71" s="176"/>
      <c r="C71" s="177"/>
      <c r="D71" s="177"/>
      <c r="E71" s="177"/>
      <c r="F71" s="178"/>
      <c r="G71" s="179"/>
      <c r="H71" s="180"/>
      <c r="I71" s="180"/>
      <c r="J71" s="180"/>
      <c r="K71" s="180"/>
      <c r="L71" s="180"/>
      <c r="M71" s="181"/>
      <c r="N71" s="176"/>
      <c r="O71" s="177"/>
      <c r="P71" s="177"/>
      <c r="Q71" s="177"/>
      <c r="R71" s="177"/>
      <c r="S71" s="178"/>
      <c r="T71" s="179"/>
      <c r="U71" s="180"/>
      <c r="V71" s="180"/>
      <c r="W71" s="180"/>
      <c r="X71" s="180"/>
      <c r="Y71" s="180"/>
      <c r="Z71" s="181"/>
    </row>
    <row r="72" spans="1:26" ht="18" customHeight="1" x14ac:dyDescent="0.15">
      <c r="A72" s="19"/>
      <c r="B72" s="176"/>
      <c r="C72" s="177"/>
      <c r="D72" s="177"/>
      <c r="E72" s="177"/>
      <c r="F72" s="178"/>
      <c r="G72" s="179"/>
      <c r="H72" s="180"/>
      <c r="I72" s="180"/>
      <c r="J72" s="180"/>
      <c r="K72" s="180"/>
      <c r="L72" s="180"/>
      <c r="M72" s="181"/>
      <c r="N72" s="176"/>
      <c r="O72" s="177"/>
      <c r="P72" s="177"/>
      <c r="Q72" s="177"/>
      <c r="R72" s="177"/>
      <c r="S72" s="178"/>
      <c r="T72" s="179"/>
      <c r="U72" s="180"/>
      <c r="V72" s="180"/>
      <c r="W72" s="180"/>
      <c r="X72" s="180"/>
      <c r="Y72" s="180"/>
      <c r="Z72" s="181"/>
    </row>
    <row r="73" spans="1:26" ht="18" customHeight="1" x14ac:dyDescent="0.15">
      <c r="A73" s="19"/>
      <c r="B73" s="176"/>
      <c r="C73" s="177"/>
      <c r="D73" s="177"/>
      <c r="E73" s="177"/>
      <c r="F73" s="178"/>
      <c r="G73" s="179"/>
      <c r="H73" s="180"/>
      <c r="I73" s="180"/>
      <c r="J73" s="180"/>
      <c r="K73" s="180"/>
      <c r="L73" s="180"/>
      <c r="M73" s="181"/>
      <c r="N73" s="176"/>
      <c r="O73" s="177"/>
      <c r="P73" s="177"/>
      <c r="Q73" s="177"/>
      <c r="R73" s="177"/>
      <c r="S73" s="178"/>
      <c r="T73" s="179"/>
      <c r="U73" s="180"/>
      <c r="V73" s="180"/>
      <c r="W73" s="180"/>
      <c r="X73" s="180"/>
      <c r="Y73" s="180"/>
      <c r="Z73" s="181"/>
    </row>
    <row r="74" spans="1:26" ht="18" customHeight="1" x14ac:dyDescent="0.15">
      <c r="A74" s="19"/>
      <c r="B74" s="176"/>
      <c r="C74" s="177"/>
      <c r="D74" s="177"/>
      <c r="E74" s="177"/>
      <c r="F74" s="178"/>
      <c r="G74" s="179"/>
      <c r="H74" s="180"/>
      <c r="I74" s="180"/>
      <c r="J74" s="180"/>
      <c r="K74" s="180"/>
      <c r="L74" s="180"/>
      <c r="M74" s="181"/>
      <c r="N74" s="176"/>
      <c r="O74" s="177"/>
      <c r="P74" s="177"/>
      <c r="Q74" s="177"/>
      <c r="R74" s="177"/>
      <c r="S74" s="178"/>
      <c r="T74" s="179"/>
      <c r="U74" s="180"/>
      <c r="V74" s="180"/>
      <c r="W74" s="180"/>
      <c r="X74" s="180"/>
      <c r="Y74" s="180"/>
      <c r="Z74" s="181"/>
    </row>
    <row r="75" spans="1:26" ht="18" customHeight="1" x14ac:dyDescent="0.15">
      <c r="A75" s="19"/>
      <c r="B75" s="176"/>
      <c r="C75" s="177"/>
      <c r="D75" s="177"/>
      <c r="E75" s="177"/>
      <c r="F75" s="178"/>
      <c r="G75" s="179"/>
      <c r="H75" s="180"/>
      <c r="I75" s="180"/>
      <c r="J75" s="180"/>
      <c r="K75" s="180"/>
      <c r="L75" s="180"/>
      <c r="M75" s="181"/>
      <c r="N75" s="176"/>
      <c r="O75" s="177"/>
      <c r="P75" s="177"/>
      <c r="Q75" s="177"/>
      <c r="R75" s="177"/>
      <c r="S75" s="178"/>
      <c r="T75" s="179"/>
      <c r="U75" s="180"/>
      <c r="V75" s="180"/>
      <c r="W75" s="180"/>
      <c r="X75" s="180"/>
      <c r="Y75" s="180"/>
      <c r="Z75" s="181"/>
    </row>
    <row r="76" spans="1:26" ht="18" customHeight="1" x14ac:dyDescent="0.15">
      <c r="A76" s="19"/>
      <c r="B76" s="168"/>
      <c r="C76" s="169"/>
      <c r="D76" s="169"/>
      <c r="E76" s="169"/>
      <c r="F76" s="170"/>
      <c r="G76" s="171"/>
      <c r="H76" s="172"/>
      <c r="I76" s="172"/>
      <c r="J76" s="172"/>
      <c r="K76" s="172"/>
      <c r="L76" s="172"/>
      <c r="M76" s="173"/>
      <c r="N76" s="168"/>
      <c r="O76" s="169"/>
      <c r="P76" s="169"/>
      <c r="Q76" s="169"/>
      <c r="R76" s="169"/>
      <c r="S76" s="170"/>
      <c r="T76" s="171"/>
      <c r="U76" s="172"/>
      <c r="V76" s="172"/>
      <c r="W76" s="172"/>
      <c r="X76" s="172"/>
      <c r="Y76" s="172"/>
      <c r="Z76" s="173"/>
    </row>
    <row r="77" spans="1:26" ht="18" customHeight="1" x14ac:dyDescent="0.15">
      <c r="A77" s="19"/>
      <c r="B77" s="55"/>
      <c r="C77" s="55"/>
      <c r="D77" s="55"/>
      <c r="E77" s="55"/>
      <c r="F77" s="55"/>
      <c r="G77" s="3"/>
      <c r="H77" s="3"/>
      <c r="I77" s="3"/>
      <c r="J77" s="3"/>
      <c r="K77" s="3"/>
      <c r="L77" s="3"/>
      <c r="M77" s="3"/>
      <c r="N77" s="55"/>
      <c r="O77" s="55"/>
      <c r="P77" s="55"/>
      <c r="Q77" s="55"/>
      <c r="R77" s="55"/>
      <c r="S77" s="55"/>
      <c r="T77" s="3"/>
      <c r="U77" s="3"/>
      <c r="V77" s="3"/>
      <c r="W77" s="3"/>
      <c r="X77" s="3"/>
      <c r="Y77" s="3"/>
      <c r="Z77" s="3"/>
    </row>
    <row r="78" spans="1:26" ht="18.75" customHeight="1" x14ac:dyDescent="0.15">
      <c r="A78" s="5" t="s">
        <v>142</v>
      </c>
    </row>
    <row r="79" spans="1:26" ht="18.75" customHeight="1" x14ac:dyDescent="0.15">
      <c r="B79" s="17" t="s">
        <v>102</v>
      </c>
      <c r="C79" s="18"/>
      <c r="D79" s="113" t="s">
        <v>103</v>
      </c>
      <c r="E79" s="113"/>
      <c r="F79" s="113"/>
      <c r="G79" s="113"/>
      <c r="H79" s="113"/>
      <c r="I79" s="113"/>
      <c r="J79" s="113"/>
      <c r="K79" s="113"/>
      <c r="L79" s="113"/>
      <c r="M79" s="113"/>
      <c r="N79" s="113"/>
      <c r="O79" s="113"/>
      <c r="P79" s="113"/>
      <c r="Q79" s="113"/>
      <c r="R79" s="113"/>
      <c r="S79" s="113"/>
      <c r="T79" s="113"/>
      <c r="U79" s="113"/>
      <c r="V79" s="113"/>
      <c r="W79" s="113"/>
      <c r="X79" s="113"/>
      <c r="Y79" s="113"/>
      <c r="Z79" s="114"/>
    </row>
    <row r="80" spans="1:26" ht="78" customHeight="1" x14ac:dyDescent="0.15">
      <c r="B80" s="150" t="s">
        <v>109</v>
      </c>
      <c r="C80" s="34" t="s">
        <v>104</v>
      </c>
      <c r="D80" s="152" t="s">
        <v>174</v>
      </c>
      <c r="E80" s="152"/>
      <c r="F80" s="152"/>
      <c r="G80" s="152"/>
      <c r="H80" s="152"/>
      <c r="I80" s="152"/>
      <c r="J80" s="152"/>
      <c r="K80" s="152"/>
      <c r="L80" s="152"/>
      <c r="M80" s="152"/>
      <c r="N80" s="152"/>
      <c r="O80" s="152"/>
      <c r="P80" s="152"/>
      <c r="Q80" s="152"/>
      <c r="R80" s="152"/>
      <c r="S80" s="152"/>
      <c r="T80" s="152"/>
      <c r="U80" s="152"/>
      <c r="V80" s="152"/>
      <c r="W80" s="152"/>
      <c r="X80" s="152"/>
      <c r="Y80" s="152"/>
      <c r="Z80" s="153"/>
    </row>
    <row r="81" spans="1:26" ht="78" customHeight="1" x14ac:dyDescent="0.15">
      <c r="B81" s="151"/>
      <c r="C81" s="46" t="s">
        <v>137</v>
      </c>
      <c r="D81" s="174" t="s">
        <v>173</v>
      </c>
      <c r="E81" s="174"/>
      <c r="F81" s="174"/>
      <c r="G81" s="174"/>
      <c r="H81" s="174"/>
      <c r="I81" s="174"/>
      <c r="J81" s="174"/>
      <c r="K81" s="174"/>
      <c r="L81" s="174"/>
      <c r="M81" s="174"/>
      <c r="N81" s="174"/>
      <c r="O81" s="174"/>
      <c r="P81" s="174"/>
      <c r="Q81" s="174"/>
      <c r="R81" s="174"/>
      <c r="S81" s="174"/>
      <c r="T81" s="174"/>
      <c r="U81" s="174"/>
      <c r="V81" s="174"/>
      <c r="W81" s="174"/>
      <c r="X81" s="174"/>
      <c r="Y81" s="174"/>
      <c r="Z81" s="175"/>
    </row>
    <row r="82" spans="1:26" ht="78" customHeight="1" x14ac:dyDescent="0.15">
      <c r="B82" s="150" t="s">
        <v>110</v>
      </c>
      <c r="C82" s="29" t="s">
        <v>127</v>
      </c>
      <c r="D82" s="162" t="s">
        <v>176</v>
      </c>
      <c r="E82" s="162"/>
      <c r="F82" s="162"/>
      <c r="G82" s="162"/>
      <c r="H82" s="162"/>
      <c r="I82" s="162"/>
      <c r="J82" s="162"/>
      <c r="K82" s="162"/>
      <c r="L82" s="162"/>
      <c r="M82" s="162"/>
      <c r="N82" s="162"/>
      <c r="O82" s="162"/>
      <c r="P82" s="162"/>
      <c r="Q82" s="162"/>
      <c r="R82" s="162"/>
      <c r="S82" s="162"/>
      <c r="T82" s="162"/>
      <c r="U82" s="162"/>
      <c r="V82" s="162"/>
      <c r="W82" s="162"/>
      <c r="X82" s="162"/>
      <c r="Y82" s="162"/>
      <c r="Z82" s="163"/>
    </row>
    <row r="83" spans="1:26" ht="78" customHeight="1" x14ac:dyDescent="0.15">
      <c r="B83" s="154"/>
      <c r="C83" s="47" t="s">
        <v>128</v>
      </c>
      <c r="D83" s="164" t="s">
        <v>175</v>
      </c>
      <c r="E83" s="164"/>
      <c r="F83" s="164"/>
      <c r="G83" s="164"/>
      <c r="H83" s="164"/>
      <c r="I83" s="164"/>
      <c r="J83" s="164"/>
      <c r="K83" s="164"/>
      <c r="L83" s="164"/>
      <c r="M83" s="164"/>
      <c r="N83" s="164"/>
      <c r="O83" s="164"/>
      <c r="P83" s="164"/>
      <c r="Q83" s="164"/>
      <c r="R83" s="164"/>
      <c r="S83" s="164"/>
      <c r="T83" s="164"/>
      <c r="U83" s="164"/>
      <c r="V83" s="164"/>
      <c r="W83" s="164"/>
      <c r="X83" s="164"/>
      <c r="Y83" s="164"/>
      <c r="Z83" s="165"/>
    </row>
    <row r="84" spans="1:26" ht="66" customHeight="1" x14ac:dyDescent="0.15">
      <c r="B84" s="150" t="s">
        <v>111</v>
      </c>
      <c r="C84" s="29" t="s">
        <v>130</v>
      </c>
      <c r="D84" s="162" t="s">
        <v>191</v>
      </c>
      <c r="E84" s="162"/>
      <c r="F84" s="162"/>
      <c r="G84" s="162"/>
      <c r="H84" s="162"/>
      <c r="I84" s="162"/>
      <c r="J84" s="162"/>
      <c r="K84" s="162"/>
      <c r="L84" s="162"/>
      <c r="M84" s="162"/>
      <c r="N84" s="162"/>
      <c r="O84" s="162"/>
      <c r="P84" s="162"/>
      <c r="Q84" s="162"/>
      <c r="R84" s="162"/>
      <c r="S84" s="162"/>
      <c r="T84" s="162"/>
      <c r="U84" s="162"/>
      <c r="V84" s="162"/>
      <c r="W84" s="162"/>
      <c r="X84" s="162"/>
      <c r="Y84" s="162"/>
      <c r="Z84" s="163"/>
    </row>
    <row r="85" spans="1:26" ht="66" customHeight="1" x14ac:dyDescent="0.15">
      <c r="B85" s="154"/>
      <c r="C85" s="31" t="s">
        <v>131</v>
      </c>
      <c r="D85" s="166" t="s">
        <v>177</v>
      </c>
      <c r="E85" s="166"/>
      <c r="F85" s="166"/>
      <c r="G85" s="166"/>
      <c r="H85" s="166"/>
      <c r="I85" s="166"/>
      <c r="J85" s="166"/>
      <c r="K85" s="166"/>
      <c r="L85" s="166"/>
      <c r="M85" s="166"/>
      <c r="N85" s="166"/>
      <c r="O85" s="166"/>
      <c r="P85" s="166"/>
      <c r="Q85" s="166"/>
      <c r="R85" s="166"/>
      <c r="S85" s="166"/>
      <c r="T85" s="166"/>
      <c r="U85" s="166"/>
      <c r="V85" s="166"/>
      <c r="W85" s="166"/>
      <c r="X85" s="166"/>
      <c r="Y85" s="166"/>
      <c r="Z85" s="167"/>
    </row>
    <row r="86" spans="1:26" ht="66" customHeight="1" x14ac:dyDescent="0.15">
      <c r="B86" s="150" t="s">
        <v>138</v>
      </c>
      <c r="C86" s="34" t="s">
        <v>106</v>
      </c>
      <c r="D86" s="152" t="s">
        <v>192</v>
      </c>
      <c r="E86" s="152"/>
      <c r="F86" s="152"/>
      <c r="G86" s="152"/>
      <c r="H86" s="152"/>
      <c r="I86" s="152"/>
      <c r="J86" s="152"/>
      <c r="K86" s="152"/>
      <c r="L86" s="152"/>
      <c r="M86" s="152"/>
      <c r="N86" s="152"/>
      <c r="O86" s="152"/>
      <c r="P86" s="152"/>
      <c r="Q86" s="152"/>
      <c r="R86" s="152"/>
      <c r="S86" s="152"/>
      <c r="T86" s="152"/>
      <c r="U86" s="152"/>
      <c r="V86" s="152"/>
      <c r="W86" s="152"/>
      <c r="X86" s="152"/>
      <c r="Y86" s="152"/>
      <c r="Z86" s="153"/>
    </row>
    <row r="87" spans="1:26" ht="66" customHeight="1" x14ac:dyDescent="0.15">
      <c r="B87" s="151"/>
      <c r="C87" s="30" t="s">
        <v>108</v>
      </c>
      <c r="D87" s="152" t="s">
        <v>193</v>
      </c>
      <c r="E87" s="152"/>
      <c r="F87" s="152"/>
      <c r="G87" s="152"/>
      <c r="H87" s="152"/>
      <c r="I87" s="152"/>
      <c r="J87" s="152"/>
      <c r="K87" s="152"/>
      <c r="L87" s="152"/>
      <c r="M87" s="152"/>
      <c r="N87" s="152"/>
      <c r="O87" s="152"/>
      <c r="P87" s="152"/>
      <c r="Q87" s="152"/>
      <c r="R87" s="152"/>
      <c r="S87" s="152"/>
      <c r="T87" s="152"/>
      <c r="U87" s="152"/>
      <c r="V87" s="152"/>
      <c r="W87" s="152"/>
      <c r="X87" s="152"/>
      <c r="Y87" s="152"/>
      <c r="Z87" s="153"/>
    </row>
    <row r="88" spans="1:26" ht="66" customHeight="1" x14ac:dyDescent="0.15">
      <c r="B88" s="150" t="s">
        <v>139</v>
      </c>
      <c r="C88" s="29" t="s">
        <v>105</v>
      </c>
      <c r="D88" s="155" t="s">
        <v>194</v>
      </c>
      <c r="E88" s="155"/>
      <c r="F88" s="155"/>
      <c r="G88" s="155"/>
      <c r="H88" s="155"/>
      <c r="I88" s="155"/>
      <c r="J88" s="155"/>
      <c r="K88" s="155"/>
      <c r="L88" s="155"/>
      <c r="M88" s="155"/>
      <c r="N88" s="155"/>
      <c r="O88" s="155"/>
      <c r="P88" s="155"/>
      <c r="Q88" s="155"/>
      <c r="R88" s="155"/>
      <c r="S88" s="155"/>
      <c r="T88" s="155"/>
      <c r="U88" s="155"/>
      <c r="V88" s="155"/>
      <c r="W88" s="155"/>
      <c r="X88" s="155"/>
      <c r="Y88" s="155"/>
      <c r="Z88" s="156"/>
    </row>
    <row r="89" spans="1:26" ht="66" customHeight="1" x14ac:dyDescent="0.15">
      <c r="B89" s="151"/>
      <c r="C89" s="30" t="s">
        <v>134</v>
      </c>
      <c r="D89" s="157" t="s">
        <v>195</v>
      </c>
      <c r="E89" s="158"/>
      <c r="F89" s="158"/>
      <c r="G89" s="158"/>
      <c r="H89" s="158"/>
      <c r="I89" s="158"/>
      <c r="J89" s="158"/>
      <c r="K89" s="158"/>
      <c r="L89" s="158"/>
      <c r="M89" s="158"/>
      <c r="N89" s="158"/>
      <c r="O89" s="158"/>
      <c r="P89" s="158"/>
      <c r="Q89" s="158"/>
      <c r="R89" s="158"/>
      <c r="S89" s="158"/>
      <c r="T89" s="158"/>
      <c r="U89" s="158"/>
      <c r="V89" s="158"/>
      <c r="W89" s="158"/>
      <c r="X89" s="158"/>
      <c r="Y89" s="158"/>
      <c r="Z89" s="159"/>
    </row>
    <row r="90" spans="1:26" ht="66" customHeight="1" x14ac:dyDescent="0.15">
      <c r="B90" s="154"/>
      <c r="C90" s="31" t="s">
        <v>135</v>
      </c>
      <c r="D90" s="160" t="s">
        <v>196</v>
      </c>
      <c r="E90" s="160"/>
      <c r="F90" s="160"/>
      <c r="G90" s="160"/>
      <c r="H90" s="160"/>
      <c r="I90" s="160"/>
      <c r="J90" s="160"/>
      <c r="K90" s="160"/>
      <c r="L90" s="160"/>
      <c r="M90" s="160"/>
      <c r="N90" s="160"/>
      <c r="O90" s="160"/>
      <c r="P90" s="160"/>
      <c r="Q90" s="160"/>
      <c r="R90" s="160"/>
      <c r="S90" s="160"/>
      <c r="T90" s="160"/>
      <c r="U90" s="160"/>
      <c r="V90" s="160"/>
      <c r="W90" s="160"/>
      <c r="X90" s="160"/>
      <c r="Y90" s="160"/>
      <c r="Z90" s="161"/>
    </row>
    <row r="91" spans="1:26" ht="6" customHeight="1" x14ac:dyDescent="0.15"/>
    <row r="92" spans="1:26" ht="18.75" customHeight="1" x14ac:dyDescent="0.15">
      <c r="A92" s="5" t="s">
        <v>143</v>
      </c>
    </row>
    <row r="93" spans="1:26" ht="18.75" customHeight="1" x14ac:dyDescent="0.15">
      <c r="B93" s="139" t="s">
        <v>209</v>
      </c>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1"/>
    </row>
    <row r="94" spans="1:26" ht="18.75" customHeight="1" x14ac:dyDescent="0.15">
      <c r="B94" s="142"/>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43"/>
    </row>
    <row r="95" spans="1:26" ht="18.75" customHeight="1" x14ac:dyDescent="0.15">
      <c r="B95" s="144"/>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6"/>
    </row>
    <row r="96" spans="1:26" ht="6" customHeight="1" x14ac:dyDescent="0.15"/>
    <row r="97" spans="1:26" ht="15" customHeight="1" x14ac:dyDescent="0.15">
      <c r="A97" s="5" t="s">
        <v>144</v>
      </c>
    </row>
    <row r="98" spans="1:26" ht="15" customHeight="1" x14ac:dyDescent="0.15">
      <c r="B98" s="147" t="str">
        <f>URL</f>
        <v>https://www.yamato-u.ac.jp/research/educational_features/mathematics_ai_data/</v>
      </c>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9"/>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H27:H33 H38:H44 Y38:Z44 H49:H55 Y49:Z55 Y60:Z66 L60:M66 H16:H22 U16:U22 T60:T66 U27:U33 L27:M33 U38:U44 L38:M44 U49:U55 G60:G66 L49:M55" xr:uid="{4C0986EB-3601-4249-85F7-B678A400A117}">
      <formula1>"○"</formula1>
    </dataValidation>
    <dataValidation type="list" allowBlank="1" showInputMessage="1" showErrorMessage="1" sqref="Z23 Z34 D34:K34 D23:K23 V16:V22 I16:I22 V27:V33 H60:H66 V38:V44 I27:I33 V49:V55 I38:I44 U60:U66 I49:I55"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showGridLines="0" showZeros="0" view="pageBreakPreview" zoomScaleNormal="100" zoomScaleSheetLayoutView="100" workbookViewId="0">
      <selection activeCell="E15" sqref="E15"/>
    </sheetView>
  </sheetViews>
  <sheetFormatPr defaultColWidth="9" defaultRowHeight="18.75" customHeight="1" x14ac:dyDescent="0.15"/>
  <cols>
    <col min="1" max="1" width="2.75" style="5" customWidth="1"/>
    <col min="2" max="2" width="30" style="5" customWidth="1"/>
    <col min="3" max="17" width="6.125" style="5" customWidth="1"/>
    <col min="18" max="18" width="6.625" style="5" customWidth="1"/>
    <col min="19" max="16384" width="9" style="5"/>
  </cols>
  <sheetData>
    <row r="1" spans="1:20" ht="18" customHeight="1" x14ac:dyDescent="0.15">
      <c r="F1" s="128" t="s">
        <v>63</v>
      </c>
      <c r="G1" s="128"/>
      <c r="H1" s="128"/>
      <c r="I1" s="128"/>
      <c r="J1" s="128"/>
      <c r="K1" s="128"/>
      <c r="L1" s="128"/>
      <c r="M1" s="128"/>
      <c r="N1" s="128"/>
      <c r="O1" s="128"/>
      <c r="P1" s="128"/>
      <c r="Q1" s="128"/>
      <c r="R1" s="128"/>
    </row>
    <row r="2" spans="1:20" ht="18" customHeight="1" x14ac:dyDescent="0.15">
      <c r="A2" s="211" t="s">
        <v>89</v>
      </c>
      <c r="B2" s="211"/>
      <c r="C2" s="211"/>
      <c r="D2" s="211"/>
      <c r="E2" s="211"/>
      <c r="F2" s="211"/>
      <c r="G2" s="211"/>
      <c r="H2" s="211"/>
      <c r="I2" s="211"/>
      <c r="J2" s="211"/>
      <c r="K2" s="211"/>
      <c r="L2" s="211"/>
      <c r="M2" s="211"/>
      <c r="N2" s="211"/>
      <c r="O2" s="211"/>
      <c r="P2" s="211"/>
      <c r="Q2" s="211"/>
      <c r="R2" s="211"/>
    </row>
    <row r="3" spans="1:20" ht="7.5" customHeight="1" x14ac:dyDescent="0.15">
      <c r="A3" s="19"/>
      <c r="B3" s="19"/>
      <c r="C3" s="19"/>
      <c r="D3" s="19"/>
      <c r="E3" s="19"/>
      <c r="F3" s="19"/>
      <c r="G3" s="19"/>
      <c r="H3" s="19"/>
      <c r="I3" s="19"/>
      <c r="J3" s="19"/>
      <c r="K3" s="19"/>
      <c r="L3" s="19"/>
      <c r="M3" s="19"/>
      <c r="N3" s="19"/>
      <c r="O3" s="19"/>
      <c r="P3" s="19"/>
      <c r="Q3" s="19"/>
      <c r="R3" s="19"/>
    </row>
    <row r="4" spans="1:20" ht="18" customHeight="1" x14ac:dyDescent="0.15">
      <c r="A4" s="5" t="s">
        <v>147</v>
      </c>
      <c r="C4" s="222" t="str">
        <f>'様式１　大学等概要'!E12</f>
        <v>令和3</v>
      </c>
      <c r="D4" s="223"/>
      <c r="E4" s="19" t="s">
        <v>113</v>
      </c>
      <c r="F4" s="19"/>
      <c r="G4" s="19"/>
      <c r="H4" s="19"/>
      <c r="I4" s="19"/>
      <c r="J4" s="7"/>
      <c r="K4" s="19"/>
      <c r="L4" s="19"/>
      <c r="M4" s="55"/>
      <c r="N4" s="55"/>
      <c r="O4" s="55"/>
      <c r="P4" s="55"/>
      <c r="Q4" s="55"/>
      <c r="R4" s="55"/>
    </row>
    <row r="5" spans="1:20" ht="6" customHeight="1" x14ac:dyDescent="0.15">
      <c r="A5" s="19"/>
      <c r="B5" s="19"/>
      <c r="C5" s="19"/>
      <c r="D5" s="19"/>
      <c r="E5" s="19"/>
      <c r="F5" s="19"/>
      <c r="G5" s="19"/>
      <c r="H5" s="19"/>
      <c r="I5" s="19"/>
      <c r="J5" s="19"/>
      <c r="K5" s="19"/>
      <c r="L5" s="19"/>
      <c r="M5" s="19"/>
      <c r="N5" s="19"/>
      <c r="O5" s="19"/>
      <c r="P5" s="19"/>
      <c r="Q5" s="19"/>
      <c r="R5" s="19"/>
    </row>
    <row r="6" spans="1:20" ht="18" customHeight="1" x14ac:dyDescent="0.15">
      <c r="A6" s="5" t="s">
        <v>145</v>
      </c>
      <c r="B6" s="19"/>
      <c r="C6" s="19"/>
      <c r="D6" s="19"/>
      <c r="E6" s="19"/>
      <c r="F6" s="19"/>
      <c r="G6" s="19"/>
      <c r="H6" s="19"/>
      <c r="I6" s="19"/>
      <c r="J6" s="19"/>
      <c r="K6" s="19"/>
      <c r="L6" s="19"/>
      <c r="M6" s="19"/>
      <c r="N6" s="19"/>
      <c r="O6" s="19"/>
      <c r="P6" s="19"/>
      <c r="Q6" s="19"/>
      <c r="R6" s="19"/>
    </row>
    <row r="7" spans="1:20" ht="6" customHeight="1" x14ac:dyDescent="0.15">
      <c r="B7" s="19"/>
      <c r="C7" s="19"/>
      <c r="D7" s="19"/>
      <c r="E7" s="19"/>
      <c r="F7" s="19"/>
      <c r="G7" s="19"/>
      <c r="H7" s="19"/>
      <c r="I7" s="19"/>
      <c r="J7" s="19"/>
      <c r="K7" s="19"/>
      <c r="L7" s="19"/>
      <c r="M7" s="19"/>
      <c r="N7" s="19"/>
      <c r="O7" s="19"/>
      <c r="P7" s="19"/>
      <c r="Q7" s="19"/>
      <c r="R7" s="19"/>
    </row>
    <row r="8" spans="1:20" ht="18" customHeight="1" x14ac:dyDescent="0.15">
      <c r="B8" s="224" t="s">
        <v>79</v>
      </c>
      <c r="C8" s="226" t="s">
        <v>84</v>
      </c>
      <c r="D8" s="228" t="s">
        <v>68</v>
      </c>
      <c r="E8" s="230" t="s">
        <v>90</v>
      </c>
      <c r="F8" s="230"/>
      <c r="G8" s="230" t="s">
        <v>91</v>
      </c>
      <c r="H8" s="230"/>
      <c r="I8" s="230" t="s">
        <v>92</v>
      </c>
      <c r="J8" s="230"/>
      <c r="K8" s="197" t="s">
        <v>93</v>
      </c>
      <c r="L8" s="199"/>
      <c r="M8" s="197" t="s">
        <v>94</v>
      </c>
      <c r="N8" s="199"/>
      <c r="O8" s="197" t="s">
        <v>95</v>
      </c>
      <c r="P8" s="199"/>
      <c r="Q8" s="231" t="s">
        <v>62</v>
      </c>
      <c r="R8" s="233" t="s">
        <v>56</v>
      </c>
      <c r="T8" s="63"/>
    </row>
    <row r="9" spans="1:20" ht="18" customHeight="1" x14ac:dyDescent="0.15">
      <c r="B9" s="225"/>
      <c r="C9" s="227"/>
      <c r="D9" s="229"/>
      <c r="E9" s="64" t="s">
        <v>44</v>
      </c>
      <c r="F9" s="65" t="s">
        <v>43</v>
      </c>
      <c r="G9" s="66" t="s">
        <v>44</v>
      </c>
      <c r="H9" s="67" t="s">
        <v>43</v>
      </c>
      <c r="I9" s="64" t="s">
        <v>44</v>
      </c>
      <c r="J9" s="65" t="s">
        <v>43</v>
      </c>
      <c r="K9" s="66" t="s">
        <v>44</v>
      </c>
      <c r="L9" s="67" t="s">
        <v>43</v>
      </c>
      <c r="M9" s="64" t="s">
        <v>44</v>
      </c>
      <c r="N9" s="65" t="s">
        <v>43</v>
      </c>
      <c r="O9" s="66" t="s">
        <v>44</v>
      </c>
      <c r="P9" s="67" t="s">
        <v>43</v>
      </c>
      <c r="Q9" s="232"/>
      <c r="R9" s="234"/>
      <c r="T9" s="63"/>
    </row>
    <row r="10" spans="1:20" ht="18" customHeight="1" x14ac:dyDescent="0.15">
      <c r="A10" s="27"/>
      <c r="B10" s="68" t="s">
        <v>205</v>
      </c>
      <c r="C10" s="109">
        <v>190</v>
      </c>
      <c r="D10" s="69">
        <v>770</v>
      </c>
      <c r="E10" s="70">
        <v>12</v>
      </c>
      <c r="F10" s="71">
        <v>8</v>
      </c>
      <c r="G10" s="72"/>
      <c r="H10" s="73"/>
      <c r="I10" s="70"/>
      <c r="J10" s="71"/>
      <c r="K10" s="72"/>
      <c r="L10" s="73"/>
      <c r="M10" s="70"/>
      <c r="N10" s="71"/>
      <c r="O10" s="72"/>
      <c r="P10" s="73"/>
      <c r="Q10" s="74">
        <f>E10+G10+I10+K10+M10+O10</f>
        <v>12</v>
      </c>
      <c r="R10" s="75">
        <f>Q10/D10</f>
        <v>1.5584415584415584E-2</v>
      </c>
    </row>
    <row r="11" spans="1:20" ht="18" customHeight="1" x14ac:dyDescent="0.15">
      <c r="A11" s="27"/>
      <c r="B11" s="76" t="s">
        <v>206</v>
      </c>
      <c r="C11" s="106">
        <f t="shared" ref="C11:C14" si="0">D11/4</f>
        <v>220</v>
      </c>
      <c r="D11" s="111">
        <f>400+160*3</f>
        <v>880</v>
      </c>
      <c r="E11" s="77">
        <v>6</v>
      </c>
      <c r="F11" s="78">
        <v>6</v>
      </c>
      <c r="G11" s="79"/>
      <c r="H11" s="80"/>
      <c r="I11" s="77"/>
      <c r="J11" s="78"/>
      <c r="K11" s="79"/>
      <c r="L11" s="80"/>
      <c r="M11" s="77"/>
      <c r="N11" s="78"/>
      <c r="O11" s="79"/>
      <c r="P11" s="80"/>
      <c r="Q11" s="81">
        <f t="shared" ref="Q11:Q29" si="1">E11+G11+I11+K11+M11+O11</f>
        <v>6</v>
      </c>
      <c r="R11" s="82">
        <f t="shared" ref="R11:R29" si="2">Q11/D11</f>
        <v>6.8181818181818179E-3</v>
      </c>
    </row>
    <row r="12" spans="1:20" ht="18" customHeight="1" x14ac:dyDescent="0.15">
      <c r="A12" s="27"/>
      <c r="B12" s="76" t="s">
        <v>207</v>
      </c>
      <c r="C12" s="111">
        <f t="shared" si="0"/>
        <v>120</v>
      </c>
      <c r="D12" s="110">
        <v>480</v>
      </c>
      <c r="E12" s="77">
        <v>1</v>
      </c>
      <c r="F12" s="78">
        <v>1</v>
      </c>
      <c r="G12" s="79"/>
      <c r="H12" s="80"/>
      <c r="I12" s="77"/>
      <c r="J12" s="78"/>
      <c r="K12" s="79"/>
      <c r="L12" s="80"/>
      <c r="M12" s="77"/>
      <c r="N12" s="78"/>
      <c r="O12" s="79"/>
      <c r="P12" s="80"/>
      <c r="Q12" s="81">
        <f t="shared" si="1"/>
        <v>1</v>
      </c>
      <c r="R12" s="82">
        <f t="shared" si="2"/>
        <v>2.0833333333333333E-3</v>
      </c>
    </row>
    <row r="13" spans="1:20" ht="18" customHeight="1" x14ac:dyDescent="0.15">
      <c r="A13" s="27"/>
      <c r="B13" s="76" t="s">
        <v>156</v>
      </c>
      <c r="C13" s="111">
        <f t="shared" si="0"/>
        <v>230</v>
      </c>
      <c r="D13" s="58">
        <v>920</v>
      </c>
      <c r="E13" s="77">
        <v>8</v>
      </c>
      <c r="F13" s="78">
        <v>5</v>
      </c>
      <c r="G13" s="79"/>
      <c r="H13" s="80"/>
      <c r="I13" s="77"/>
      <c r="J13" s="78"/>
      <c r="K13" s="79"/>
      <c r="L13" s="80"/>
      <c r="M13" s="77"/>
      <c r="N13" s="78"/>
      <c r="O13" s="79"/>
      <c r="P13" s="80"/>
      <c r="Q13" s="81">
        <f t="shared" si="1"/>
        <v>8</v>
      </c>
      <c r="R13" s="82">
        <f t="shared" si="2"/>
        <v>8.6956521739130436E-3</v>
      </c>
    </row>
    <row r="14" spans="1:20" ht="18" customHeight="1" x14ac:dyDescent="0.15">
      <c r="A14" s="27"/>
      <c r="B14" s="76" t="s">
        <v>163</v>
      </c>
      <c r="C14" s="27">
        <f t="shared" si="0"/>
        <v>200</v>
      </c>
      <c r="D14" s="58">
        <v>800</v>
      </c>
      <c r="E14" s="77">
        <v>1</v>
      </c>
      <c r="F14" s="78">
        <v>1</v>
      </c>
      <c r="G14" s="79"/>
      <c r="H14" s="80"/>
      <c r="I14" s="77"/>
      <c r="J14" s="78"/>
      <c r="K14" s="79"/>
      <c r="L14" s="80"/>
      <c r="M14" s="77"/>
      <c r="N14" s="78"/>
      <c r="O14" s="79"/>
      <c r="P14" s="80"/>
      <c r="Q14" s="81">
        <f t="shared" si="1"/>
        <v>1</v>
      </c>
      <c r="R14" s="82">
        <f t="shared" si="2"/>
        <v>1.25E-3</v>
      </c>
    </row>
    <row r="15" spans="1:20" ht="18" customHeight="1" x14ac:dyDescent="0.15">
      <c r="A15" s="27"/>
      <c r="B15" s="76"/>
      <c r="C15" s="59"/>
      <c r="D15" s="58"/>
      <c r="E15" s="77"/>
      <c r="F15" s="78"/>
      <c r="G15" s="79"/>
      <c r="H15" s="80"/>
      <c r="I15" s="77"/>
      <c r="J15" s="78"/>
      <c r="K15" s="79"/>
      <c r="L15" s="80"/>
      <c r="M15" s="77"/>
      <c r="N15" s="78"/>
      <c r="O15" s="79"/>
      <c r="P15" s="80"/>
      <c r="Q15" s="81">
        <f t="shared" si="1"/>
        <v>0</v>
      </c>
      <c r="R15" s="82" t="e">
        <f t="shared" si="2"/>
        <v>#DIV/0!</v>
      </c>
    </row>
    <row r="16" spans="1:20" ht="18" customHeight="1" x14ac:dyDescent="0.15">
      <c r="A16" s="27"/>
      <c r="B16" s="76"/>
      <c r="C16" s="59"/>
      <c r="D16" s="58"/>
      <c r="E16" s="77"/>
      <c r="F16" s="78"/>
      <c r="G16" s="79"/>
      <c r="H16" s="80"/>
      <c r="I16" s="77"/>
      <c r="J16" s="78"/>
      <c r="K16" s="79"/>
      <c r="L16" s="80"/>
      <c r="M16" s="77"/>
      <c r="N16" s="78"/>
      <c r="O16" s="79"/>
      <c r="P16" s="80"/>
      <c r="Q16" s="81">
        <f t="shared" si="1"/>
        <v>0</v>
      </c>
      <c r="R16" s="82" t="e">
        <f t="shared" si="2"/>
        <v>#DIV/0!</v>
      </c>
    </row>
    <row r="17" spans="1:18" ht="18" customHeight="1" x14ac:dyDescent="0.15">
      <c r="A17" s="27"/>
      <c r="B17" s="76"/>
      <c r="C17" s="59"/>
      <c r="D17" s="58"/>
      <c r="E17" s="77"/>
      <c r="F17" s="78"/>
      <c r="G17" s="79"/>
      <c r="H17" s="80"/>
      <c r="I17" s="77"/>
      <c r="J17" s="78"/>
      <c r="K17" s="79"/>
      <c r="L17" s="80"/>
      <c r="M17" s="77"/>
      <c r="N17" s="78"/>
      <c r="O17" s="79"/>
      <c r="P17" s="80"/>
      <c r="Q17" s="81">
        <f t="shared" si="1"/>
        <v>0</v>
      </c>
      <c r="R17" s="82" t="e">
        <f t="shared" si="2"/>
        <v>#DIV/0!</v>
      </c>
    </row>
    <row r="18" spans="1:18" ht="18" customHeight="1" x14ac:dyDescent="0.15">
      <c r="A18" s="27"/>
      <c r="B18" s="76"/>
      <c r="C18" s="59"/>
      <c r="D18" s="58"/>
      <c r="E18" s="77"/>
      <c r="F18" s="78"/>
      <c r="G18" s="79"/>
      <c r="H18" s="80"/>
      <c r="I18" s="77"/>
      <c r="J18" s="78"/>
      <c r="K18" s="79"/>
      <c r="L18" s="80"/>
      <c r="M18" s="77"/>
      <c r="N18" s="78"/>
      <c r="O18" s="79"/>
      <c r="P18" s="80"/>
      <c r="Q18" s="81">
        <f>E18+G18+I18+K18+M18+O18</f>
        <v>0</v>
      </c>
      <c r="R18" s="82" t="e">
        <f t="shared" si="2"/>
        <v>#DIV/0!</v>
      </c>
    </row>
    <row r="19" spans="1:18" ht="18" customHeight="1" x14ac:dyDescent="0.15">
      <c r="A19" s="27"/>
      <c r="B19" s="76"/>
      <c r="C19" s="59"/>
      <c r="D19" s="58"/>
      <c r="E19" s="77"/>
      <c r="F19" s="78"/>
      <c r="G19" s="79"/>
      <c r="H19" s="80"/>
      <c r="I19" s="77"/>
      <c r="J19" s="78"/>
      <c r="K19" s="79"/>
      <c r="L19" s="80"/>
      <c r="M19" s="77"/>
      <c r="N19" s="78"/>
      <c r="O19" s="79"/>
      <c r="P19" s="80"/>
      <c r="Q19" s="81">
        <f t="shared" si="1"/>
        <v>0</v>
      </c>
      <c r="R19" s="82" t="e">
        <f t="shared" si="2"/>
        <v>#DIV/0!</v>
      </c>
    </row>
    <row r="20" spans="1:18" ht="18" customHeight="1" x14ac:dyDescent="0.15">
      <c r="A20" s="27"/>
      <c r="B20" s="76"/>
      <c r="C20" s="59"/>
      <c r="D20" s="58"/>
      <c r="E20" s="77"/>
      <c r="F20" s="78"/>
      <c r="G20" s="79"/>
      <c r="H20" s="80"/>
      <c r="I20" s="77"/>
      <c r="J20" s="78"/>
      <c r="K20" s="79"/>
      <c r="L20" s="80"/>
      <c r="M20" s="77"/>
      <c r="N20" s="78"/>
      <c r="O20" s="79"/>
      <c r="P20" s="80"/>
      <c r="Q20" s="81">
        <f t="shared" si="1"/>
        <v>0</v>
      </c>
      <c r="R20" s="82" t="e">
        <f t="shared" si="2"/>
        <v>#DIV/0!</v>
      </c>
    </row>
    <row r="21" spans="1:18" ht="18" customHeight="1" x14ac:dyDescent="0.15">
      <c r="A21" s="27"/>
      <c r="B21" s="76"/>
      <c r="C21" s="59"/>
      <c r="D21" s="58"/>
      <c r="E21" s="77"/>
      <c r="F21" s="78"/>
      <c r="G21" s="79"/>
      <c r="H21" s="80"/>
      <c r="I21" s="77"/>
      <c r="J21" s="78"/>
      <c r="K21" s="79"/>
      <c r="L21" s="80"/>
      <c r="M21" s="77"/>
      <c r="N21" s="78"/>
      <c r="O21" s="79"/>
      <c r="P21" s="80"/>
      <c r="Q21" s="81">
        <f t="shared" si="1"/>
        <v>0</v>
      </c>
      <c r="R21" s="82" t="e">
        <f t="shared" si="2"/>
        <v>#DIV/0!</v>
      </c>
    </row>
    <row r="22" spans="1:18" ht="18" customHeight="1" x14ac:dyDescent="0.15">
      <c r="A22" s="27"/>
      <c r="B22" s="76"/>
      <c r="C22" s="59"/>
      <c r="D22" s="58"/>
      <c r="E22" s="77"/>
      <c r="F22" s="78"/>
      <c r="G22" s="79"/>
      <c r="H22" s="80"/>
      <c r="I22" s="77"/>
      <c r="J22" s="78"/>
      <c r="K22" s="79"/>
      <c r="L22" s="80"/>
      <c r="M22" s="77"/>
      <c r="N22" s="78"/>
      <c r="O22" s="79"/>
      <c r="P22" s="80"/>
      <c r="Q22" s="81">
        <f t="shared" si="1"/>
        <v>0</v>
      </c>
      <c r="R22" s="82" t="e">
        <f t="shared" si="2"/>
        <v>#DIV/0!</v>
      </c>
    </row>
    <row r="23" spans="1:18" ht="18" customHeight="1" x14ac:dyDescent="0.15">
      <c r="A23" s="27"/>
      <c r="B23" s="76"/>
      <c r="C23" s="59"/>
      <c r="D23" s="58"/>
      <c r="E23" s="77"/>
      <c r="F23" s="78"/>
      <c r="G23" s="79"/>
      <c r="H23" s="80"/>
      <c r="I23" s="77"/>
      <c r="J23" s="78"/>
      <c r="K23" s="79"/>
      <c r="L23" s="80"/>
      <c r="M23" s="77"/>
      <c r="N23" s="78"/>
      <c r="O23" s="79"/>
      <c r="P23" s="80"/>
      <c r="Q23" s="81">
        <f t="shared" si="1"/>
        <v>0</v>
      </c>
      <c r="R23" s="82" t="e">
        <f t="shared" si="2"/>
        <v>#DIV/0!</v>
      </c>
    </row>
    <row r="24" spans="1:18" ht="18" customHeight="1" x14ac:dyDescent="0.15">
      <c r="A24" s="27"/>
      <c r="B24" s="76"/>
      <c r="C24" s="59"/>
      <c r="D24" s="58"/>
      <c r="E24" s="77"/>
      <c r="F24" s="78"/>
      <c r="G24" s="79"/>
      <c r="H24" s="80"/>
      <c r="I24" s="77"/>
      <c r="J24" s="78"/>
      <c r="K24" s="79"/>
      <c r="L24" s="80"/>
      <c r="M24" s="77"/>
      <c r="N24" s="78"/>
      <c r="O24" s="79"/>
      <c r="P24" s="80"/>
      <c r="Q24" s="81">
        <f t="shared" si="1"/>
        <v>0</v>
      </c>
      <c r="R24" s="82" t="e">
        <f t="shared" si="2"/>
        <v>#DIV/0!</v>
      </c>
    </row>
    <row r="25" spans="1:18" ht="18" customHeight="1" x14ac:dyDescent="0.15">
      <c r="A25" s="27"/>
      <c r="B25" s="76"/>
      <c r="C25" s="59"/>
      <c r="D25" s="58"/>
      <c r="E25" s="77"/>
      <c r="F25" s="78"/>
      <c r="G25" s="79"/>
      <c r="H25" s="80"/>
      <c r="I25" s="77"/>
      <c r="J25" s="78"/>
      <c r="K25" s="79"/>
      <c r="L25" s="80"/>
      <c r="M25" s="77"/>
      <c r="N25" s="78"/>
      <c r="O25" s="79"/>
      <c r="P25" s="80"/>
      <c r="Q25" s="81">
        <f t="shared" si="1"/>
        <v>0</v>
      </c>
      <c r="R25" s="82" t="e">
        <f t="shared" si="2"/>
        <v>#DIV/0!</v>
      </c>
    </row>
    <row r="26" spans="1:18" ht="18" customHeight="1" x14ac:dyDescent="0.15">
      <c r="A26" s="27"/>
      <c r="B26" s="76"/>
      <c r="C26" s="59"/>
      <c r="D26" s="58"/>
      <c r="E26" s="77"/>
      <c r="F26" s="78"/>
      <c r="G26" s="79"/>
      <c r="H26" s="80"/>
      <c r="I26" s="77"/>
      <c r="J26" s="78"/>
      <c r="K26" s="79"/>
      <c r="L26" s="80"/>
      <c r="M26" s="77"/>
      <c r="N26" s="78"/>
      <c r="O26" s="79"/>
      <c r="P26" s="80"/>
      <c r="Q26" s="81">
        <f t="shared" si="1"/>
        <v>0</v>
      </c>
      <c r="R26" s="82" t="e">
        <f t="shared" si="2"/>
        <v>#DIV/0!</v>
      </c>
    </row>
    <row r="27" spans="1:18" ht="18" customHeight="1" x14ac:dyDescent="0.15">
      <c r="A27" s="27"/>
      <c r="B27" s="76"/>
      <c r="C27" s="60"/>
      <c r="D27" s="58"/>
      <c r="E27" s="77"/>
      <c r="F27" s="78"/>
      <c r="G27" s="79"/>
      <c r="H27" s="80"/>
      <c r="I27" s="77"/>
      <c r="J27" s="78"/>
      <c r="K27" s="79"/>
      <c r="L27" s="80"/>
      <c r="M27" s="77"/>
      <c r="N27" s="78"/>
      <c r="O27" s="79"/>
      <c r="P27" s="80"/>
      <c r="Q27" s="81">
        <f t="shared" si="1"/>
        <v>0</v>
      </c>
      <c r="R27" s="82" t="e">
        <f t="shared" si="2"/>
        <v>#DIV/0!</v>
      </c>
    </row>
    <row r="28" spans="1:18" ht="18" customHeight="1" x14ac:dyDescent="0.15">
      <c r="A28" s="27"/>
      <c r="B28" s="76"/>
      <c r="C28" s="60"/>
      <c r="D28" s="58"/>
      <c r="E28" s="77"/>
      <c r="F28" s="78"/>
      <c r="G28" s="79"/>
      <c r="H28" s="80"/>
      <c r="I28" s="77"/>
      <c r="J28" s="78"/>
      <c r="K28" s="79"/>
      <c r="L28" s="80"/>
      <c r="M28" s="77"/>
      <c r="N28" s="78"/>
      <c r="O28" s="79"/>
      <c r="P28" s="80"/>
      <c r="Q28" s="81">
        <f t="shared" si="1"/>
        <v>0</v>
      </c>
      <c r="R28" s="82" t="e">
        <f t="shared" si="2"/>
        <v>#DIV/0!</v>
      </c>
    </row>
    <row r="29" spans="1:18" ht="18" customHeight="1" thickBot="1" x14ac:dyDescent="0.2">
      <c r="A29" s="27"/>
      <c r="B29" s="83"/>
      <c r="C29" s="25"/>
      <c r="D29" s="69"/>
      <c r="E29" s="70"/>
      <c r="F29" s="71"/>
      <c r="G29" s="72"/>
      <c r="H29" s="73"/>
      <c r="I29" s="70"/>
      <c r="J29" s="71"/>
      <c r="K29" s="72"/>
      <c r="L29" s="73"/>
      <c r="M29" s="70"/>
      <c r="N29" s="71"/>
      <c r="O29" s="72"/>
      <c r="P29" s="73"/>
      <c r="Q29" s="84">
        <f t="shared" si="1"/>
        <v>0</v>
      </c>
      <c r="R29" s="75" t="e">
        <f t="shared" si="2"/>
        <v>#DIV/0!</v>
      </c>
    </row>
    <row r="30" spans="1:18" ht="18" customHeight="1" thickTop="1" x14ac:dyDescent="0.15">
      <c r="B30" s="85" t="s">
        <v>57</v>
      </c>
      <c r="C30" s="86">
        <f t="shared" ref="C30:Q30" si="3">SUM(C10:C29)</f>
        <v>960</v>
      </c>
      <c r="D30" s="87">
        <f t="shared" si="3"/>
        <v>3850</v>
      </c>
      <c r="E30" s="88">
        <f t="shared" si="3"/>
        <v>28</v>
      </c>
      <c r="F30" s="89">
        <f t="shared" si="3"/>
        <v>21</v>
      </c>
      <c r="G30" s="90">
        <f t="shared" si="3"/>
        <v>0</v>
      </c>
      <c r="H30" s="91">
        <f t="shared" si="3"/>
        <v>0</v>
      </c>
      <c r="I30" s="88">
        <f t="shared" si="3"/>
        <v>0</v>
      </c>
      <c r="J30" s="89">
        <f t="shared" si="3"/>
        <v>0</v>
      </c>
      <c r="K30" s="90">
        <f t="shared" si="3"/>
        <v>0</v>
      </c>
      <c r="L30" s="91">
        <f t="shared" si="3"/>
        <v>0</v>
      </c>
      <c r="M30" s="88">
        <f t="shared" si="3"/>
        <v>0</v>
      </c>
      <c r="N30" s="89">
        <f t="shared" si="3"/>
        <v>0</v>
      </c>
      <c r="O30" s="90">
        <f t="shared" si="3"/>
        <v>0</v>
      </c>
      <c r="P30" s="91">
        <f t="shared" si="3"/>
        <v>0</v>
      </c>
      <c r="Q30" s="92">
        <f t="shared" si="3"/>
        <v>28</v>
      </c>
      <c r="R30" s="93">
        <f>Q30/D30</f>
        <v>7.2727272727272727E-3</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topLeftCell="A34" zoomScaleNormal="100" zoomScaleSheetLayoutView="100" workbookViewId="0">
      <selection activeCell="B31" sqref="B31:J44"/>
    </sheetView>
  </sheetViews>
  <sheetFormatPr defaultColWidth="11.375" defaultRowHeight="18.75" customHeight="1" x14ac:dyDescent="0.15"/>
  <cols>
    <col min="1" max="1" width="2.75" style="94" customWidth="1"/>
    <col min="2" max="2" width="16.625" style="5" customWidth="1"/>
    <col min="3" max="3" width="8.875" style="5" customWidth="1"/>
    <col min="4" max="4" width="2.25" style="5" customWidth="1"/>
    <col min="5" max="5" width="16.625" style="5" customWidth="1"/>
    <col min="6" max="6" width="8.875" style="5" customWidth="1"/>
    <col min="7" max="7" width="2.25" style="5" customWidth="1"/>
    <col min="8" max="8" width="16.625" style="5" customWidth="1"/>
    <col min="9" max="9" width="8.875" style="5" customWidth="1"/>
    <col min="10" max="10" width="2.25" style="5" customWidth="1"/>
    <col min="11" max="16384" width="11.375" style="5"/>
  </cols>
  <sheetData>
    <row r="1" spans="1:11" ht="18.75" customHeight="1" x14ac:dyDescent="0.15">
      <c r="A1" s="94" t="s">
        <v>114</v>
      </c>
      <c r="J1" s="54" t="s">
        <v>115</v>
      </c>
    </row>
    <row r="2" spans="1:11" ht="18.75" customHeight="1" x14ac:dyDescent="0.15">
      <c r="A2" s="211" t="s">
        <v>64</v>
      </c>
      <c r="B2" s="211"/>
      <c r="C2" s="211"/>
      <c r="D2" s="211"/>
      <c r="E2" s="211"/>
      <c r="F2" s="211"/>
      <c r="G2" s="211"/>
      <c r="H2" s="211"/>
      <c r="I2" s="211"/>
      <c r="J2" s="211"/>
    </row>
    <row r="3" spans="1:11" ht="7.5" customHeight="1" x14ac:dyDescent="0.15">
      <c r="B3" s="19"/>
      <c r="C3" s="19"/>
      <c r="D3" s="19"/>
      <c r="E3" s="19"/>
      <c r="F3" s="19"/>
      <c r="G3" s="19"/>
      <c r="H3" s="19"/>
      <c r="I3" s="19"/>
      <c r="J3" s="19"/>
    </row>
    <row r="4" spans="1:11" ht="18.75" customHeight="1" x14ac:dyDescent="0.15">
      <c r="A4" s="5" t="s">
        <v>6</v>
      </c>
      <c r="B4" s="5" t="s">
        <v>72</v>
      </c>
      <c r="I4" s="19"/>
      <c r="J4" s="19"/>
    </row>
    <row r="5" spans="1:11" ht="18.75" customHeight="1" x14ac:dyDescent="0.15">
      <c r="A5" s="5"/>
      <c r="B5" s="147" t="s">
        <v>197</v>
      </c>
      <c r="C5" s="148"/>
      <c r="D5" s="148"/>
      <c r="E5" s="148"/>
      <c r="F5" s="148"/>
      <c r="G5" s="148"/>
      <c r="H5" s="148"/>
      <c r="I5" s="148"/>
      <c r="J5" s="149"/>
      <c r="K5" s="5" t="str">
        <f>IF(B5="","入力してください","")</f>
        <v/>
      </c>
    </row>
    <row r="6" spans="1:11" ht="7.5" customHeight="1" x14ac:dyDescent="0.15">
      <c r="B6" s="19"/>
      <c r="C6" s="19"/>
      <c r="D6" s="19"/>
      <c r="E6" s="19"/>
      <c r="F6" s="19"/>
      <c r="G6" s="19"/>
      <c r="H6" s="19"/>
      <c r="I6" s="19"/>
      <c r="J6" s="19"/>
    </row>
    <row r="7" spans="1:11" ht="18.75" customHeight="1" x14ac:dyDescent="0.15">
      <c r="A7" s="5" t="s">
        <v>9</v>
      </c>
      <c r="B7" s="5" t="s">
        <v>39</v>
      </c>
      <c r="K7" s="6"/>
    </row>
    <row r="8" spans="1:11" ht="18.75" customHeight="1" x14ac:dyDescent="0.15">
      <c r="A8" s="28"/>
      <c r="B8" s="235" t="s">
        <v>226</v>
      </c>
      <c r="C8" s="236"/>
      <c r="D8" s="236"/>
      <c r="E8" s="236"/>
      <c r="F8" s="236"/>
      <c r="G8" s="236"/>
      <c r="H8" s="236"/>
      <c r="I8" s="244"/>
      <c r="J8" s="245"/>
      <c r="K8" s="5" t="str">
        <f>IF(B8="","入力してください","")</f>
        <v/>
      </c>
    </row>
    <row r="9" spans="1:11" ht="18.75" customHeight="1" x14ac:dyDescent="0.15">
      <c r="A9" s="28"/>
      <c r="B9" s="246"/>
      <c r="C9" s="247"/>
      <c r="D9" s="247"/>
      <c r="E9" s="247"/>
      <c r="F9" s="247"/>
      <c r="G9" s="247"/>
      <c r="H9" s="247"/>
      <c r="I9" s="247"/>
      <c r="J9" s="248"/>
    </row>
    <row r="10" spans="1:11" ht="18.75" customHeight="1" x14ac:dyDescent="0.15">
      <c r="A10" s="28"/>
      <c r="B10" s="246"/>
      <c r="C10" s="247"/>
      <c r="D10" s="247"/>
      <c r="E10" s="247"/>
      <c r="F10" s="247"/>
      <c r="G10" s="247"/>
      <c r="H10" s="247"/>
      <c r="I10" s="247"/>
      <c r="J10" s="248"/>
    </row>
    <row r="11" spans="1:11" ht="18.75" customHeight="1" x14ac:dyDescent="0.15">
      <c r="A11" s="28"/>
      <c r="B11" s="246"/>
      <c r="C11" s="247"/>
      <c r="D11" s="247"/>
      <c r="E11" s="247"/>
      <c r="F11" s="247"/>
      <c r="G11" s="247"/>
      <c r="H11" s="247"/>
      <c r="I11" s="247"/>
      <c r="J11" s="248"/>
    </row>
    <row r="12" spans="1:11" ht="31.5" customHeight="1" x14ac:dyDescent="0.15">
      <c r="A12" s="28"/>
      <c r="B12" s="249"/>
      <c r="C12" s="250"/>
      <c r="D12" s="250"/>
      <c r="E12" s="250"/>
      <c r="F12" s="250"/>
      <c r="G12" s="250"/>
      <c r="H12" s="250"/>
      <c r="I12" s="250"/>
      <c r="J12" s="251"/>
    </row>
    <row r="13" spans="1:11" ht="7.5" customHeight="1" x14ac:dyDescent="0.15">
      <c r="A13" s="28"/>
      <c r="B13" s="28"/>
      <c r="C13" s="28"/>
      <c r="D13" s="28"/>
      <c r="E13" s="28"/>
      <c r="F13" s="28"/>
      <c r="G13" s="28"/>
      <c r="H13" s="28"/>
      <c r="I13" s="28"/>
      <c r="J13" s="28"/>
    </row>
    <row r="14" spans="1:11" ht="18.75" customHeight="1" x14ac:dyDescent="0.15">
      <c r="A14" s="61" t="s">
        <v>10</v>
      </c>
      <c r="B14" s="61" t="s">
        <v>15</v>
      </c>
      <c r="C14" s="61"/>
      <c r="D14" s="61"/>
      <c r="E14" s="61"/>
      <c r="F14" s="61"/>
      <c r="G14" s="61"/>
      <c r="H14" s="61"/>
      <c r="I14" s="61"/>
      <c r="J14" s="61"/>
    </row>
    <row r="15" spans="1:11" ht="18.75" customHeight="1" x14ac:dyDescent="0.15">
      <c r="A15" s="28"/>
      <c r="B15" s="235" t="s">
        <v>210</v>
      </c>
      <c r="C15" s="236"/>
      <c r="D15" s="236"/>
      <c r="E15" s="236"/>
      <c r="F15" s="236"/>
      <c r="G15" s="236"/>
      <c r="H15" s="236"/>
      <c r="I15" s="244"/>
      <c r="J15" s="245"/>
      <c r="K15" s="5" t="str">
        <f>IF(B15="","入力してください","")</f>
        <v/>
      </c>
    </row>
    <row r="16" spans="1:11" ht="18.75" customHeight="1" x14ac:dyDescent="0.15">
      <c r="A16" s="28"/>
      <c r="B16" s="246"/>
      <c r="C16" s="247"/>
      <c r="D16" s="247"/>
      <c r="E16" s="247"/>
      <c r="F16" s="247"/>
      <c r="G16" s="247"/>
      <c r="H16" s="247"/>
      <c r="I16" s="247"/>
      <c r="J16" s="248"/>
    </row>
    <row r="17" spans="1:11" ht="18.75" customHeight="1" x14ac:dyDescent="0.15">
      <c r="A17" s="28"/>
      <c r="B17" s="246"/>
      <c r="C17" s="247"/>
      <c r="D17" s="247"/>
      <c r="E17" s="247"/>
      <c r="F17" s="247"/>
      <c r="G17" s="247"/>
      <c r="H17" s="247"/>
      <c r="I17" s="247"/>
      <c r="J17" s="248"/>
    </row>
    <row r="18" spans="1:11" ht="18.75" customHeight="1" x14ac:dyDescent="0.15">
      <c r="A18" s="28"/>
      <c r="B18" s="246"/>
      <c r="C18" s="247"/>
      <c r="D18" s="247"/>
      <c r="E18" s="247"/>
      <c r="F18" s="247"/>
      <c r="G18" s="247"/>
      <c r="H18" s="247"/>
      <c r="I18" s="247"/>
      <c r="J18" s="248"/>
    </row>
    <row r="19" spans="1:11" ht="18.75" customHeight="1" x14ac:dyDescent="0.15">
      <c r="A19" s="28"/>
      <c r="B19" s="246"/>
      <c r="C19" s="247"/>
      <c r="D19" s="247"/>
      <c r="E19" s="247"/>
      <c r="F19" s="247"/>
      <c r="G19" s="247"/>
      <c r="H19" s="247"/>
      <c r="I19" s="247"/>
      <c r="J19" s="248"/>
    </row>
    <row r="20" spans="1:11" ht="18.75" customHeight="1" x14ac:dyDescent="0.15">
      <c r="A20" s="28"/>
      <c r="B20" s="246"/>
      <c r="C20" s="247"/>
      <c r="D20" s="247"/>
      <c r="E20" s="247"/>
      <c r="F20" s="247"/>
      <c r="G20" s="247"/>
      <c r="H20" s="247"/>
      <c r="I20" s="247"/>
      <c r="J20" s="248"/>
    </row>
    <row r="21" spans="1:11" ht="18.75" customHeight="1" x14ac:dyDescent="0.15">
      <c r="A21" s="28"/>
      <c r="B21" s="246"/>
      <c r="C21" s="247"/>
      <c r="D21" s="247"/>
      <c r="E21" s="247"/>
      <c r="F21" s="247"/>
      <c r="G21" s="247"/>
      <c r="H21" s="247"/>
      <c r="I21" s="247"/>
      <c r="J21" s="248"/>
    </row>
    <row r="22" spans="1:11" ht="18.75" customHeight="1" x14ac:dyDescent="0.15">
      <c r="A22" s="28"/>
      <c r="B22" s="246"/>
      <c r="C22" s="247"/>
      <c r="D22" s="247"/>
      <c r="E22" s="247"/>
      <c r="F22" s="247"/>
      <c r="G22" s="247"/>
      <c r="H22" s="247"/>
      <c r="I22" s="247"/>
      <c r="J22" s="248"/>
    </row>
    <row r="23" spans="1:11" ht="18.75" customHeight="1" x14ac:dyDescent="0.15">
      <c r="A23" s="28"/>
      <c r="B23" s="246"/>
      <c r="C23" s="247"/>
      <c r="D23" s="247"/>
      <c r="E23" s="247"/>
      <c r="F23" s="247"/>
      <c r="G23" s="247"/>
      <c r="H23" s="247"/>
      <c r="I23" s="247"/>
      <c r="J23" s="248"/>
    </row>
    <row r="24" spans="1:11" ht="18.75" customHeight="1" x14ac:dyDescent="0.15">
      <c r="A24" s="28"/>
      <c r="B24" s="246"/>
      <c r="C24" s="247"/>
      <c r="D24" s="247"/>
      <c r="E24" s="247"/>
      <c r="F24" s="247"/>
      <c r="G24" s="247"/>
      <c r="H24" s="247"/>
      <c r="I24" s="247"/>
      <c r="J24" s="248"/>
    </row>
    <row r="25" spans="1:11" ht="18.75" customHeight="1" x14ac:dyDescent="0.15">
      <c r="A25" s="28"/>
      <c r="B25" s="249"/>
      <c r="C25" s="250"/>
      <c r="D25" s="250"/>
      <c r="E25" s="250"/>
      <c r="F25" s="250"/>
      <c r="G25" s="250"/>
      <c r="H25" s="250"/>
      <c r="I25" s="250"/>
      <c r="J25" s="251"/>
    </row>
    <row r="26" spans="1:11" ht="7.5" customHeight="1" x14ac:dyDescent="0.15">
      <c r="A26" s="95"/>
      <c r="B26" s="95"/>
      <c r="C26" s="95"/>
      <c r="D26" s="95"/>
      <c r="E26" s="95"/>
      <c r="F26" s="95"/>
      <c r="G26" s="95"/>
      <c r="H26" s="95"/>
      <c r="I26" s="95"/>
      <c r="J26" s="95"/>
    </row>
    <row r="27" spans="1:11" ht="18.75" customHeight="1" x14ac:dyDescent="0.15">
      <c r="A27" s="5" t="s">
        <v>13</v>
      </c>
      <c r="B27" s="5" t="s">
        <v>26</v>
      </c>
    </row>
    <row r="28" spans="1:11" s="19" customFormat="1" ht="18.75" customHeight="1" x14ac:dyDescent="0.15">
      <c r="B28" s="35" t="s">
        <v>116</v>
      </c>
      <c r="C28" s="36">
        <f>'様式３　履修者等数の実績'!R30</f>
        <v>7.2727272727272727E-3</v>
      </c>
      <c r="D28" s="37"/>
      <c r="E28" s="37" t="s">
        <v>117</v>
      </c>
      <c r="F28" s="36">
        <v>0.04</v>
      </c>
      <c r="G28" s="37"/>
      <c r="H28" s="37" t="s">
        <v>118</v>
      </c>
      <c r="I28" s="38">
        <v>0.28999999999999998</v>
      </c>
      <c r="J28" s="39"/>
      <c r="K28" s="5"/>
    </row>
    <row r="29" spans="1:11" s="19" customFormat="1" ht="18.75" customHeight="1" x14ac:dyDescent="0.15">
      <c r="B29" s="32" t="s">
        <v>119</v>
      </c>
      <c r="C29" s="40">
        <v>0.54</v>
      </c>
      <c r="D29" s="33"/>
      <c r="E29" s="33" t="s">
        <v>120</v>
      </c>
      <c r="F29" s="40">
        <v>0.79</v>
      </c>
      <c r="G29" s="33"/>
      <c r="H29" s="33" t="s">
        <v>121</v>
      </c>
      <c r="I29" s="41">
        <f>'様式３　履修者等数の実績'!D30</f>
        <v>3850</v>
      </c>
      <c r="J29" s="42"/>
      <c r="K29" s="6"/>
    </row>
    <row r="30" spans="1:11" ht="18.75" customHeight="1" x14ac:dyDescent="0.15">
      <c r="A30" s="5"/>
      <c r="B30" s="179" t="s">
        <v>122</v>
      </c>
      <c r="C30" s="180"/>
      <c r="D30" s="180"/>
      <c r="E30" s="180"/>
      <c r="F30" s="180"/>
      <c r="G30" s="180"/>
      <c r="H30" s="180"/>
      <c r="I30" s="180"/>
      <c r="J30" s="181"/>
      <c r="K30" s="6"/>
    </row>
    <row r="31" spans="1:11" ht="18.75" customHeight="1" x14ac:dyDescent="0.15">
      <c r="A31" s="5"/>
      <c r="B31" s="253" t="s">
        <v>222</v>
      </c>
      <c r="C31" s="254"/>
      <c r="D31" s="254"/>
      <c r="E31" s="254"/>
      <c r="F31" s="254"/>
      <c r="G31" s="254"/>
      <c r="H31" s="254"/>
      <c r="I31" s="254"/>
      <c r="J31" s="255"/>
      <c r="K31" s="6" t="str">
        <f>IF(B31="","入力してください","")</f>
        <v/>
      </c>
    </row>
    <row r="32" spans="1:11" ht="18.75" customHeight="1" x14ac:dyDescent="0.15">
      <c r="A32" s="5"/>
      <c r="B32" s="246"/>
      <c r="C32" s="247"/>
      <c r="D32" s="247"/>
      <c r="E32" s="247"/>
      <c r="F32" s="247"/>
      <c r="G32" s="247"/>
      <c r="H32" s="247"/>
      <c r="I32" s="247"/>
      <c r="J32" s="248"/>
      <c r="K32" s="6"/>
    </row>
    <row r="33" spans="1:11" ht="18.75" customHeight="1" x14ac:dyDescent="0.15">
      <c r="A33" s="5"/>
      <c r="B33" s="246"/>
      <c r="C33" s="247"/>
      <c r="D33" s="247"/>
      <c r="E33" s="247"/>
      <c r="F33" s="247"/>
      <c r="G33" s="247"/>
      <c r="H33" s="247"/>
      <c r="I33" s="247"/>
      <c r="J33" s="248"/>
      <c r="K33" s="6"/>
    </row>
    <row r="34" spans="1:11" ht="18.75" customHeight="1" x14ac:dyDescent="0.15">
      <c r="A34" s="5"/>
      <c r="B34" s="246"/>
      <c r="C34" s="247"/>
      <c r="D34" s="247"/>
      <c r="E34" s="247"/>
      <c r="F34" s="247"/>
      <c r="G34" s="247"/>
      <c r="H34" s="247"/>
      <c r="I34" s="247"/>
      <c r="J34" s="248"/>
      <c r="K34" s="6"/>
    </row>
    <row r="35" spans="1:11" ht="18.75" customHeight="1" x14ac:dyDescent="0.15">
      <c r="A35" s="5"/>
      <c r="B35" s="246"/>
      <c r="C35" s="247"/>
      <c r="D35" s="247"/>
      <c r="E35" s="247"/>
      <c r="F35" s="247"/>
      <c r="G35" s="247"/>
      <c r="H35" s="247"/>
      <c r="I35" s="247"/>
      <c r="J35" s="248"/>
      <c r="K35" s="6"/>
    </row>
    <row r="36" spans="1:11" ht="18.75" customHeight="1" x14ac:dyDescent="0.15">
      <c r="A36" s="5"/>
      <c r="B36" s="246"/>
      <c r="C36" s="247"/>
      <c r="D36" s="247"/>
      <c r="E36" s="247"/>
      <c r="F36" s="247"/>
      <c r="G36" s="247"/>
      <c r="H36" s="247"/>
      <c r="I36" s="247"/>
      <c r="J36" s="248"/>
      <c r="K36" s="6"/>
    </row>
    <row r="37" spans="1:11" ht="18.75" customHeight="1" x14ac:dyDescent="0.15">
      <c r="A37" s="5"/>
      <c r="B37" s="246"/>
      <c r="C37" s="247"/>
      <c r="D37" s="247"/>
      <c r="E37" s="247"/>
      <c r="F37" s="247"/>
      <c r="G37" s="247"/>
      <c r="H37" s="247"/>
      <c r="I37" s="247"/>
      <c r="J37" s="248"/>
      <c r="K37" s="6"/>
    </row>
    <row r="38" spans="1:11" ht="18.75" customHeight="1" x14ac:dyDescent="0.15">
      <c r="A38" s="5"/>
      <c r="B38" s="246"/>
      <c r="C38" s="247"/>
      <c r="D38" s="247"/>
      <c r="E38" s="247"/>
      <c r="F38" s="247"/>
      <c r="G38" s="247"/>
      <c r="H38" s="247"/>
      <c r="I38" s="247"/>
      <c r="J38" s="248"/>
      <c r="K38" s="6"/>
    </row>
    <row r="39" spans="1:11" ht="18.75" customHeight="1" x14ac:dyDescent="0.15">
      <c r="A39" s="5"/>
      <c r="B39" s="246"/>
      <c r="C39" s="247"/>
      <c r="D39" s="247"/>
      <c r="E39" s="247"/>
      <c r="F39" s="247"/>
      <c r="G39" s="247"/>
      <c r="H39" s="247"/>
      <c r="I39" s="247"/>
      <c r="J39" s="248"/>
      <c r="K39" s="6"/>
    </row>
    <row r="40" spans="1:11" ht="18.75" customHeight="1" x14ac:dyDescent="0.15">
      <c r="A40" s="5"/>
      <c r="B40" s="246"/>
      <c r="C40" s="247"/>
      <c r="D40" s="247"/>
      <c r="E40" s="247"/>
      <c r="F40" s="247"/>
      <c r="G40" s="247"/>
      <c r="H40" s="247"/>
      <c r="I40" s="247"/>
      <c r="J40" s="248"/>
      <c r="K40" s="6"/>
    </row>
    <row r="41" spans="1:11" ht="18.75" customHeight="1" x14ac:dyDescent="0.15">
      <c r="A41" s="5"/>
      <c r="B41" s="246"/>
      <c r="C41" s="247"/>
      <c r="D41" s="247"/>
      <c r="E41" s="247"/>
      <c r="F41" s="247"/>
      <c r="G41" s="247"/>
      <c r="H41" s="247"/>
      <c r="I41" s="247"/>
      <c r="J41" s="248"/>
      <c r="K41" s="6"/>
    </row>
    <row r="42" spans="1:11" ht="18.75" customHeight="1" x14ac:dyDescent="0.15">
      <c r="A42" s="5"/>
      <c r="B42" s="246"/>
      <c r="C42" s="247"/>
      <c r="D42" s="247"/>
      <c r="E42" s="247"/>
      <c r="F42" s="247"/>
      <c r="G42" s="247"/>
      <c r="H42" s="247"/>
      <c r="I42" s="247"/>
      <c r="J42" s="248"/>
      <c r="K42" s="6"/>
    </row>
    <row r="43" spans="1:11" ht="18.75" customHeight="1" x14ac:dyDescent="0.15">
      <c r="A43" s="95"/>
      <c r="B43" s="246"/>
      <c r="C43" s="247"/>
      <c r="D43" s="247"/>
      <c r="E43" s="247"/>
      <c r="F43" s="247"/>
      <c r="G43" s="247"/>
      <c r="H43" s="247"/>
      <c r="I43" s="247"/>
      <c r="J43" s="248"/>
      <c r="K43" s="6"/>
    </row>
    <row r="44" spans="1:11" ht="18.75" customHeight="1" x14ac:dyDescent="0.15">
      <c r="A44" s="95"/>
      <c r="B44" s="249"/>
      <c r="C44" s="250"/>
      <c r="D44" s="250"/>
      <c r="E44" s="250"/>
      <c r="F44" s="250"/>
      <c r="G44" s="250"/>
      <c r="H44" s="250"/>
      <c r="I44" s="250"/>
      <c r="J44" s="251"/>
    </row>
    <row r="45" spans="1:11" ht="18.75" customHeight="1" x14ac:dyDescent="0.15">
      <c r="A45" s="61" t="s">
        <v>11</v>
      </c>
      <c r="B45" s="5" t="s">
        <v>65</v>
      </c>
      <c r="I45" s="61"/>
      <c r="J45" s="61"/>
    </row>
    <row r="46" spans="1:11" ht="18.75" customHeight="1" x14ac:dyDescent="0.15">
      <c r="A46" s="95"/>
      <c r="B46" s="235" t="s">
        <v>228</v>
      </c>
      <c r="C46" s="236"/>
      <c r="D46" s="236"/>
      <c r="E46" s="236"/>
      <c r="F46" s="236"/>
      <c r="G46" s="236"/>
      <c r="H46" s="236"/>
      <c r="I46" s="236"/>
      <c r="J46" s="237"/>
      <c r="K46" s="5" t="str">
        <f>IF(B46="","入力してください","")</f>
        <v/>
      </c>
    </row>
    <row r="47" spans="1:11" ht="18.75" customHeight="1" x14ac:dyDescent="0.15">
      <c r="A47" s="95"/>
      <c r="B47" s="238"/>
      <c r="C47" s="239"/>
      <c r="D47" s="239"/>
      <c r="E47" s="239"/>
      <c r="F47" s="239"/>
      <c r="G47" s="239"/>
      <c r="H47" s="239"/>
      <c r="I47" s="239"/>
      <c r="J47" s="240"/>
    </row>
    <row r="48" spans="1:11" ht="18.75" customHeight="1" x14ac:dyDescent="0.15">
      <c r="A48" s="95"/>
      <c r="B48" s="238"/>
      <c r="C48" s="239"/>
      <c r="D48" s="239"/>
      <c r="E48" s="239"/>
      <c r="F48" s="239"/>
      <c r="G48" s="239"/>
      <c r="H48" s="239"/>
      <c r="I48" s="239"/>
      <c r="J48" s="240"/>
    </row>
    <row r="49" spans="1:10" ht="18.75" customHeight="1" x14ac:dyDescent="0.15">
      <c r="A49" s="95"/>
      <c r="B49" s="238"/>
      <c r="C49" s="239"/>
      <c r="D49" s="239"/>
      <c r="E49" s="239"/>
      <c r="F49" s="239"/>
      <c r="G49" s="239"/>
      <c r="H49" s="239"/>
      <c r="I49" s="239"/>
      <c r="J49" s="240"/>
    </row>
    <row r="50" spans="1:10" ht="18.75" customHeight="1" x14ac:dyDescent="0.15">
      <c r="A50" s="95"/>
      <c r="B50" s="238"/>
      <c r="C50" s="239"/>
      <c r="D50" s="239"/>
      <c r="E50" s="239"/>
      <c r="F50" s="239"/>
      <c r="G50" s="239"/>
      <c r="H50" s="239"/>
      <c r="I50" s="239"/>
      <c r="J50" s="240"/>
    </row>
    <row r="51" spans="1:10" ht="18.75" customHeight="1" x14ac:dyDescent="0.15">
      <c r="A51" s="95"/>
      <c r="B51" s="238"/>
      <c r="C51" s="239"/>
      <c r="D51" s="239"/>
      <c r="E51" s="239"/>
      <c r="F51" s="239"/>
      <c r="G51" s="239"/>
      <c r="H51" s="239"/>
      <c r="I51" s="239"/>
      <c r="J51" s="240"/>
    </row>
    <row r="52" spans="1:10" ht="18.75" customHeight="1" x14ac:dyDescent="0.15">
      <c r="A52" s="95"/>
      <c r="B52" s="238"/>
      <c r="C52" s="239"/>
      <c r="D52" s="239"/>
      <c r="E52" s="239"/>
      <c r="F52" s="239"/>
      <c r="G52" s="239"/>
      <c r="H52" s="239"/>
      <c r="I52" s="239"/>
      <c r="J52" s="240"/>
    </row>
    <row r="53" spans="1:10" ht="18.75" customHeight="1" x14ac:dyDescent="0.15">
      <c r="A53" s="95"/>
      <c r="B53" s="238"/>
      <c r="C53" s="239"/>
      <c r="D53" s="239"/>
      <c r="E53" s="239"/>
      <c r="F53" s="239"/>
      <c r="G53" s="239"/>
      <c r="H53" s="239"/>
      <c r="I53" s="239"/>
      <c r="J53" s="240"/>
    </row>
    <row r="54" spans="1:10" ht="18.75" customHeight="1" x14ac:dyDescent="0.15">
      <c r="A54" s="95"/>
      <c r="B54" s="238"/>
      <c r="C54" s="239"/>
      <c r="D54" s="239"/>
      <c r="E54" s="239"/>
      <c r="F54" s="239"/>
      <c r="G54" s="239"/>
      <c r="H54" s="239"/>
      <c r="I54" s="239"/>
      <c r="J54" s="240"/>
    </row>
    <row r="55" spans="1:10" ht="18.75" customHeight="1" x14ac:dyDescent="0.15">
      <c r="A55" s="95"/>
      <c r="B55" s="238"/>
      <c r="C55" s="239"/>
      <c r="D55" s="239"/>
      <c r="E55" s="239"/>
      <c r="F55" s="239"/>
      <c r="G55" s="239"/>
      <c r="H55" s="239"/>
      <c r="I55" s="239"/>
      <c r="J55" s="240"/>
    </row>
    <row r="56" spans="1:10" ht="18.75" customHeight="1" x14ac:dyDescent="0.15">
      <c r="A56" s="95"/>
      <c r="B56" s="238"/>
      <c r="C56" s="239"/>
      <c r="D56" s="239"/>
      <c r="E56" s="239"/>
      <c r="F56" s="239"/>
      <c r="G56" s="239"/>
      <c r="H56" s="239"/>
      <c r="I56" s="239"/>
      <c r="J56" s="240"/>
    </row>
    <row r="57" spans="1:10" ht="18.75" customHeight="1" x14ac:dyDescent="0.15">
      <c r="A57" s="95"/>
      <c r="B57" s="238"/>
      <c r="C57" s="239"/>
      <c r="D57" s="239"/>
      <c r="E57" s="239"/>
      <c r="F57" s="239"/>
      <c r="G57" s="239"/>
      <c r="H57" s="239"/>
      <c r="I57" s="239"/>
      <c r="J57" s="240"/>
    </row>
    <row r="58" spans="1:10" ht="18.75" customHeight="1" x14ac:dyDescent="0.15">
      <c r="A58" s="95"/>
      <c r="B58" s="238"/>
      <c r="C58" s="239"/>
      <c r="D58" s="239"/>
      <c r="E58" s="239"/>
      <c r="F58" s="239"/>
      <c r="G58" s="239"/>
      <c r="H58" s="239"/>
      <c r="I58" s="239"/>
      <c r="J58" s="240"/>
    </row>
    <row r="59" spans="1:10" ht="18.75" customHeight="1" x14ac:dyDescent="0.15">
      <c r="A59" s="95"/>
      <c r="B59" s="238"/>
      <c r="C59" s="239"/>
      <c r="D59" s="239"/>
      <c r="E59" s="239"/>
      <c r="F59" s="239"/>
      <c r="G59" s="239"/>
      <c r="H59" s="239"/>
      <c r="I59" s="239"/>
      <c r="J59" s="240"/>
    </row>
    <row r="60" spans="1:10" ht="18.75" customHeight="1" x14ac:dyDescent="0.15">
      <c r="A60" s="95"/>
      <c r="B60" s="238"/>
      <c r="C60" s="239"/>
      <c r="D60" s="239"/>
      <c r="E60" s="239"/>
      <c r="F60" s="239"/>
      <c r="G60" s="239"/>
      <c r="H60" s="239"/>
      <c r="I60" s="239"/>
      <c r="J60" s="240"/>
    </row>
    <row r="61" spans="1:10" ht="18.75" customHeight="1" x14ac:dyDescent="0.15">
      <c r="A61" s="95"/>
      <c r="B61" s="238"/>
      <c r="C61" s="239"/>
      <c r="D61" s="239"/>
      <c r="E61" s="239"/>
      <c r="F61" s="239"/>
      <c r="G61" s="239"/>
      <c r="H61" s="239"/>
      <c r="I61" s="239"/>
      <c r="J61" s="240"/>
    </row>
    <row r="62" spans="1:10" ht="18.75" customHeight="1" x14ac:dyDescent="0.15">
      <c r="A62" s="95"/>
      <c r="B62" s="238"/>
      <c r="C62" s="239"/>
      <c r="D62" s="239"/>
      <c r="E62" s="239"/>
      <c r="F62" s="239"/>
      <c r="G62" s="239"/>
      <c r="H62" s="239"/>
      <c r="I62" s="239"/>
      <c r="J62" s="240"/>
    </row>
    <row r="63" spans="1:10" ht="18.75" customHeight="1" x14ac:dyDescent="0.15">
      <c r="A63" s="95"/>
      <c r="B63" s="238"/>
      <c r="C63" s="239"/>
      <c r="D63" s="239"/>
      <c r="E63" s="239"/>
      <c r="F63" s="239"/>
      <c r="G63" s="239"/>
      <c r="H63" s="239"/>
      <c r="I63" s="239"/>
      <c r="J63" s="240"/>
    </row>
    <row r="64" spans="1:10" ht="18.75" customHeight="1" x14ac:dyDescent="0.15">
      <c r="A64" s="95"/>
      <c r="B64" s="238"/>
      <c r="C64" s="239"/>
      <c r="D64" s="239"/>
      <c r="E64" s="239"/>
      <c r="F64" s="239"/>
      <c r="G64" s="239"/>
      <c r="H64" s="239"/>
      <c r="I64" s="239"/>
      <c r="J64" s="240"/>
    </row>
    <row r="65" spans="1:11" ht="18.75" customHeight="1" x14ac:dyDescent="0.15">
      <c r="A65" s="95"/>
      <c r="B65" s="238"/>
      <c r="C65" s="239"/>
      <c r="D65" s="239"/>
      <c r="E65" s="239"/>
      <c r="F65" s="239"/>
      <c r="G65" s="239"/>
      <c r="H65" s="239"/>
      <c r="I65" s="239"/>
      <c r="J65" s="240"/>
    </row>
    <row r="66" spans="1:11" ht="18.75" customHeight="1" x14ac:dyDescent="0.15">
      <c r="A66" s="95"/>
      <c r="B66" s="241"/>
      <c r="C66" s="242"/>
      <c r="D66" s="242"/>
      <c r="E66" s="242"/>
      <c r="F66" s="242"/>
      <c r="G66" s="242"/>
      <c r="H66" s="242"/>
      <c r="I66" s="242"/>
      <c r="J66" s="243"/>
    </row>
    <row r="67" spans="1:11" ht="7.5" customHeight="1" x14ac:dyDescent="0.15">
      <c r="A67" s="95"/>
      <c r="B67" s="95"/>
      <c r="C67" s="95"/>
      <c r="D67" s="95"/>
      <c r="E67" s="95"/>
      <c r="F67" s="95"/>
      <c r="G67" s="95"/>
      <c r="H67" s="95"/>
      <c r="I67" s="95"/>
      <c r="J67" s="95"/>
    </row>
    <row r="68" spans="1:11" ht="18.75" customHeight="1" x14ac:dyDescent="0.15">
      <c r="A68" s="5" t="s">
        <v>14</v>
      </c>
      <c r="B68" s="5" t="s">
        <v>71</v>
      </c>
    </row>
    <row r="69" spans="1:11" ht="18.75" customHeight="1" x14ac:dyDescent="0.15">
      <c r="A69" s="5"/>
      <c r="B69" s="235" t="s">
        <v>227</v>
      </c>
      <c r="C69" s="236"/>
      <c r="D69" s="236"/>
      <c r="E69" s="236"/>
      <c r="F69" s="236"/>
      <c r="G69" s="236"/>
      <c r="H69" s="236"/>
      <c r="I69" s="244"/>
      <c r="J69" s="245"/>
      <c r="K69" s="6" t="str">
        <f>IF(B69="","入力してください","")</f>
        <v/>
      </c>
    </row>
    <row r="70" spans="1:11" ht="18.75" customHeight="1" x14ac:dyDescent="0.15">
      <c r="A70" s="5"/>
      <c r="B70" s="246"/>
      <c r="C70" s="247"/>
      <c r="D70" s="247"/>
      <c r="E70" s="247"/>
      <c r="F70" s="247"/>
      <c r="G70" s="247"/>
      <c r="H70" s="247"/>
      <c r="I70" s="247"/>
      <c r="J70" s="248"/>
      <c r="K70" s="6"/>
    </row>
    <row r="71" spans="1:11" ht="18.75" customHeight="1" x14ac:dyDescent="0.15">
      <c r="A71" s="5"/>
      <c r="B71" s="246"/>
      <c r="C71" s="247"/>
      <c r="D71" s="247"/>
      <c r="E71" s="247"/>
      <c r="F71" s="247"/>
      <c r="G71" s="247"/>
      <c r="H71" s="247"/>
      <c r="I71" s="247"/>
      <c r="J71" s="248"/>
      <c r="K71" s="6"/>
    </row>
    <row r="72" spans="1:11" ht="18.75" customHeight="1" x14ac:dyDescent="0.15">
      <c r="A72" s="5"/>
      <c r="B72" s="246"/>
      <c r="C72" s="247"/>
      <c r="D72" s="247"/>
      <c r="E72" s="247"/>
      <c r="F72" s="247"/>
      <c r="G72" s="247"/>
      <c r="H72" s="247"/>
      <c r="I72" s="247"/>
      <c r="J72" s="248"/>
      <c r="K72" s="6"/>
    </row>
    <row r="73" spans="1:11" ht="18.75" customHeight="1" x14ac:dyDescent="0.15">
      <c r="A73" s="5"/>
      <c r="B73" s="246"/>
      <c r="C73" s="247"/>
      <c r="D73" s="247"/>
      <c r="E73" s="247"/>
      <c r="F73" s="247"/>
      <c r="G73" s="247"/>
      <c r="H73" s="247"/>
      <c r="I73" s="247"/>
      <c r="J73" s="248"/>
      <c r="K73" s="6"/>
    </row>
    <row r="74" spans="1:11" ht="18.75" customHeight="1" x14ac:dyDescent="0.15">
      <c r="A74" s="5"/>
      <c r="B74" s="246"/>
      <c r="C74" s="247"/>
      <c r="D74" s="247"/>
      <c r="E74" s="247"/>
      <c r="F74" s="247"/>
      <c r="G74" s="247"/>
      <c r="H74" s="247"/>
      <c r="I74" s="247"/>
      <c r="J74" s="248"/>
      <c r="K74" s="6"/>
    </row>
    <row r="75" spans="1:11" ht="18.75" customHeight="1" x14ac:dyDescent="0.15">
      <c r="A75" s="5"/>
      <c r="B75" s="246"/>
      <c r="C75" s="247"/>
      <c r="D75" s="247"/>
      <c r="E75" s="247"/>
      <c r="F75" s="247"/>
      <c r="G75" s="247"/>
      <c r="H75" s="247"/>
      <c r="I75" s="247"/>
      <c r="J75" s="248"/>
      <c r="K75" s="6"/>
    </row>
    <row r="76" spans="1:11" ht="18.75" customHeight="1" x14ac:dyDescent="0.15">
      <c r="A76" s="5"/>
      <c r="B76" s="246"/>
      <c r="C76" s="247"/>
      <c r="D76" s="247"/>
      <c r="E76" s="247"/>
      <c r="F76" s="247"/>
      <c r="G76" s="247"/>
      <c r="H76" s="247"/>
      <c r="I76" s="247"/>
      <c r="J76" s="248"/>
      <c r="K76" s="6"/>
    </row>
    <row r="77" spans="1:11" ht="18.75" customHeight="1" x14ac:dyDescent="0.15">
      <c r="A77" s="5"/>
      <c r="B77" s="246"/>
      <c r="C77" s="247"/>
      <c r="D77" s="247"/>
      <c r="E77" s="247"/>
      <c r="F77" s="247"/>
      <c r="G77" s="247"/>
      <c r="H77" s="247"/>
      <c r="I77" s="247"/>
      <c r="J77" s="248"/>
      <c r="K77" s="6"/>
    </row>
    <row r="78" spans="1:11" ht="18.75" customHeight="1" x14ac:dyDescent="0.15">
      <c r="A78" s="5"/>
      <c r="B78" s="246"/>
      <c r="C78" s="247"/>
      <c r="D78" s="247"/>
      <c r="E78" s="247"/>
      <c r="F78" s="247"/>
      <c r="G78" s="247"/>
      <c r="H78" s="247"/>
      <c r="I78" s="247"/>
      <c r="J78" s="248"/>
      <c r="K78" s="6"/>
    </row>
    <row r="79" spans="1:11" ht="18.75" customHeight="1" x14ac:dyDescent="0.15">
      <c r="A79" s="5"/>
      <c r="B79" s="246"/>
      <c r="C79" s="247"/>
      <c r="D79" s="247"/>
      <c r="E79" s="247"/>
      <c r="F79" s="247"/>
      <c r="G79" s="247"/>
      <c r="H79" s="247"/>
      <c r="I79" s="247"/>
      <c r="J79" s="248"/>
      <c r="K79" s="6"/>
    </row>
    <row r="80" spans="1:11" ht="18.75" customHeight="1" x14ac:dyDescent="0.15">
      <c r="A80" s="5"/>
      <c r="B80" s="246"/>
      <c r="C80" s="247"/>
      <c r="D80" s="247"/>
      <c r="E80" s="247"/>
      <c r="F80" s="247"/>
      <c r="G80" s="247"/>
      <c r="H80" s="247"/>
      <c r="I80" s="247"/>
      <c r="J80" s="248"/>
      <c r="K80" s="6"/>
    </row>
    <row r="81" spans="1:11" ht="18.75" customHeight="1" x14ac:dyDescent="0.15">
      <c r="A81" s="5"/>
      <c r="B81" s="246"/>
      <c r="C81" s="247"/>
      <c r="D81" s="247"/>
      <c r="E81" s="247"/>
      <c r="F81" s="247"/>
      <c r="G81" s="247"/>
      <c r="H81" s="247"/>
      <c r="I81" s="247"/>
      <c r="J81" s="248"/>
      <c r="K81" s="6"/>
    </row>
    <row r="82" spans="1:11" ht="18.75" customHeight="1" x14ac:dyDescent="0.15">
      <c r="A82" s="5"/>
      <c r="B82" s="246"/>
      <c r="C82" s="247"/>
      <c r="D82" s="247"/>
      <c r="E82" s="247"/>
      <c r="F82" s="247"/>
      <c r="G82" s="247"/>
      <c r="H82" s="247"/>
      <c r="I82" s="247"/>
      <c r="J82" s="248"/>
      <c r="K82" s="6"/>
    </row>
    <row r="83" spans="1:11" ht="18.75" customHeight="1" x14ac:dyDescent="0.15">
      <c r="A83" s="5"/>
      <c r="B83" s="246"/>
      <c r="C83" s="247"/>
      <c r="D83" s="247"/>
      <c r="E83" s="247"/>
      <c r="F83" s="247"/>
      <c r="G83" s="247"/>
      <c r="H83" s="247"/>
      <c r="I83" s="247"/>
      <c r="J83" s="248"/>
      <c r="K83" s="6"/>
    </row>
    <row r="84" spans="1:11" ht="18.75" customHeight="1" x14ac:dyDescent="0.15">
      <c r="A84" s="5"/>
      <c r="B84" s="246"/>
      <c r="C84" s="247"/>
      <c r="D84" s="247"/>
      <c r="E84" s="247"/>
      <c r="F84" s="247"/>
      <c r="G84" s="247"/>
      <c r="H84" s="247"/>
      <c r="I84" s="247"/>
      <c r="J84" s="248"/>
      <c r="K84" s="6"/>
    </row>
    <row r="85" spans="1:11" ht="18.75" customHeight="1" x14ac:dyDescent="0.15">
      <c r="A85" s="95"/>
      <c r="B85" s="246"/>
      <c r="C85" s="247"/>
      <c r="D85" s="247"/>
      <c r="E85" s="247"/>
      <c r="F85" s="247"/>
      <c r="G85" s="247"/>
      <c r="H85" s="247"/>
      <c r="I85" s="247"/>
      <c r="J85" s="248"/>
      <c r="K85" s="6"/>
    </row>
    <row r="86" spans="1:11" ht="18.75" customHeight="1" x14ac:dyDescent="0.15">
      <c r="A86" s="95"/>
      <c r="B86" s="249"/>
      <c r="C86" s="250"/>
      <c r="D86" s="250"/>
      <c r="E86" s="250"/>
      <c r="F86" s="250"/>
      <c r="G86" s="250"/>
      <c r="H86" s="250"/>
      <c r="I86" s="250"/>
      <c r="J86" s="251"/>
      <c r="K86" s="6"/>
    </row>
    <row r="87" spans="1:11" ht="7.5" customHeight="1" x14ac:dyDescent="0.15">
      <c r="A87" s="95"/>
      <c r="B87" s="95"/>
      <c r="C87" s="95"/>
      <c r="D87" s="95"/>
      <c r="E87" s="95"/>
      <c r="F87" s="95"/>
      <c r="G87" s="95"/>
      <c r="H87" s="95"/>
      <c r="I87" s="95"/>
      <c r="J87" s="95"/>
    </row>
    <row r="88" spans="1:11" ht="18.75" customHeight="1" x14ac:dyDescent="0.15">
      <c r="A88" s="5" t="s">
        <v>12</v>
      </c>
      <c r="B88" s="5" t="s">
        <v>27</v>
      </c>
    </row>
    <row r="89" spans="1:11" ht="18.75" customHeight="1" x14ac:dyDescent="0.15">
      <c r="A89" s="5"/>
      <c r="B89" s="235" t="s">
        <v>218</v>
      </c>
      <c r="C89" s="236"/>
      <c r="D89" s="236"/>
      <c r="E89" s="236"/>
      <c r="F89" s="236"/>
      <c r="G89" s="236"/>
      <c r="H89" s="236"/>
      <c r="I89" s="244"/>
      <c r="J89" s="245"/>
    </row>
    <row r="90" spans="1:11" ht="18.75" customHeight="1" x14ac:dyDescent="0.15">
      <c r="A90" s="5"/>
      <c r="B90" s="246"/>
      <c r="C90" s="247"/>
      <c r="D90" s="247"/>
      <c r="E90" s="247"/>
      <c r="F90" s="247"/>
      <c r="G90" s="247"/>
      <c r="H90" s="247"/>
      <c r="I90" s="247"/>
      <c r="J90" s="248"/>
      <c r="K90" s="6"/>
    </row>
    <row r="91" spans="1:11" ht="18.75" customHeight="1" x14ac:dyDescent="0.15">
      <c r="A91" s="5"/>
      <c r="B91" s="246"/>
      <c r="C91" s="247"/>
      <c r="D91" s="247"/>
      <c r="E91" s="247"/>
      <c r="F91" s="247"/>
      <c r="G91" s="247"/>
      <c r="H91" s="247"/>
      <c r="I91" s="247"/>
      <c r="J91" s="248"/>
      <c r="K91" s="6" t="str">
        <f>IF(B89="","入力してください","")</f>
        <v/>
      </c>
    </row>
    <row r="92" spans="1:11" ht="18.75" customHeight="1" x14ac:dyDescent="0.15">
      <c r="A92" s="5"/>
      <c r="B92" s="246"/>
      <c r="C92" s="247"/>
      <c r="D92" s="247"/>
      <c r="E92" s="247"/>
      <c r="F92" s="247"/>
      <c r="G92" s="247"/>
      <c r="H92" s="247"/>
      <c r="I92" s="247"/>
      <c r="J92" s="248"/>
      <c r="K92" s="6"/>
    </row>
    <row r="93" spans="1:11" ht="18.75" customHeight="1" x14ac:dyDescent="0.15">
      <c r="A93" s="5"/>
      <c r="B93" s="246"/>
      <c r="C93" s="247"/>
      <c r="D93" s="247"/>
      <c r="E93" s="247"/>
      <c r="F93" s="247"/>
      <c r="G93" s="247"/>
      <c r="H93" s="247"/>
      <c r="I93" s="247"/>
      <c r="J93" s="248"/>
      <c r="K93" s="6"/>
    </row>
    <row r="94" spans="1:11" ht="18.75" customHeight="1" x14ac:dyDescent="0.15">
      <c r="A94" s="5"/>
      <c r="B94" s="246"/>
      <c r="C94" s="247"/>
      <c r="D94" s="247"/>
      <c r="E94" s="247"/>
      <c r="F94" s="247"/>
      <c r="G94" s="247"/>
      <c r="H94" s="247"/>
      <c r="I94" s="247"/>
      <c r="J94" s="248"/>
      <c r="K94" s="6"/>
    </row>
    <row r="95" spans="1:11" ht="18.75" customHeight="1" x14ac:dyDescent="0.15">
      <c r="A95" s="5"/>
      <c r="B95" s="246"/>
      <c r="C95" s="247"/>
      <c r="D95" s="247"/>
      <c r="E95" s="247"/>
      <c r="F95" s="247"/>
      <c r="G95" s="247"/>
      <c r="H95" s="247"/>
      <c r="I95" s="247"/>
      <c r="J95" s="248"/>
      <c r="K95" s="6"/>
    </row>
    <row r="96" spans="1:11" ht="18.75" customHeight="1" x14ac:dyDescent="0.15">
      <c r="A96" s="5"/>
      <c r="B96" s="246"/>
      <c r="C96" s="247"/>
      <c r="D96" s="247"/>
      <c r="E96" s="247"/>
      <c r="F96" s="247"/>
      <c r="G96" s="247"/>
      <c r="H96" s="247"/>
      <c r="I96" s="247"/>
      <c r="J96" s="248"/>
      <c r="K96" s="6"/>
    </row>
    <row r="97" spans="1:11" ht="18.75" customHeight="1" x14ac:dyDescent="0.15">
      <c r="A97" s="5"/>
      <c r="B97" s="246"/>
      <c r="C97" s="247"/>
      <c r="D97" s="247"/>
      <c r="E97" s="247"/>
      <c r="F97" s="247"/>
      <c r="G97" s="247"/>
      <c r="H97" s="247"/>
      <c r="I97" s="247"/>
      <c r="J97" s="248"/>
      <c r="K97" s="6"/>
    </row>
    <row r="98" spans="1:11" ht="18.75" customHeight="1" x14ac:dyDescent="0.15">
      <c r="A98" s="5"/>
      <c r="B98" s="246"/>
      <c r="C98" s="247"/>
      <c r="D98" s="247"/>
      <c r="E98" s="247"/>
      <c r="F98" s="247"/>
      <c r="G98" s="247"/>
      <c r="H98" s="247"/>
      <c r="I98" s="247"/>
      <c r="J98" s="248"/>
      <c r="K98" s="6"/>
    </row>
    <row r="99" spans="1:11" ht="18.75" customHeight="1" x14ac:dyDescent="0.15">
      <c r="A99" s="5"/>
      <c r="B99" s="246"/>
      <c r="C99" s="247"/>
      <c r="D99" s="247"/>
      <c r="E99" s="247"/>
      <c r="F99" s="247"/>
      <c r="G99" s="247"/>
      <c r="H99" s="247"/>
      <c r="I99" s="247"/>
      <c r="J99" s="248"/>
      <c r="K99" s="6"/>
    </row>
    <row r="100" spans="1:11" ht="18.75" customHeight="1" x14ac:dyDescent="0.15">
      <c r="A100" s="5"/>
      <c r="B100" s="246"/>
      <c r="C100" s="247"/>
      <c r="D100" s="247"/>
      <c r="E100" s="247"/>
      <c r="F100" s="247"/>
      <c r="G100" s="247"/>
      <c r="H100" s="247"/>
      <c r="I100" s="247"/>
      <c r="J100" s="248"/>
      <c r="K100" s="6"/>
    </row>
    <row r="101" spans="1:11" ht="18.75" customHeight="1" x14ac:dyDescent="0.15">
      <c r="A101" s="5"/>
      <c r="B101" s="246"/>
      <c r="C101" s="247"/>
      <c r="D101" s="247"/>
      <c r="E101" s="247"/>
      <c r="F101" s="247"/>
      <c r="G101" s="247"/>
      <c r="H101" s="247"/>
      <c r="I101" s="247"/>
      <c r="J101" s="248"/>
      <c r="K101" s="6"/>
    </row>
    <row r="102" spans="1:11" ht="18.75" customHeight="1" x14ac:dyDescent="0.15">
      <c r="A102" s="5"/>
      <c r="B102" s="246"/>
      <c r="C102" s="247"/>
      <c r="D102" s="247"/>
      <c r="E102" s="247"/>
      <c r="F102" s="247"/>
      <c r="G102" s="247"/>
      <c r="H102" s="247"/>
      <c r="I102" s="247"/>
      <c r="J102" s="248"/>
      <c r="K102" s="6"/>
    </row>
    <row r="103" spans="1:11" ht="18.75" customHeight="1" x14ac:dyDescent="0.15">
      <c r="A103" s="5"/>
      <c r="B103" s="246"/>
      <c r="C103" s="247"/>
      <c r="D103" s="247"/>
      <c r="E103" s="247"/>
      <c r="F103" s="247"/>
      <c r="G103" s="247"/>
      <c r="H103" s="247"/>
      <c r="I103" s="247"/>
      <c r="J103" s="248"/>
      <c r="K103" s="6"/>
    </row>
    <row r="104" spans="1:11" ht="18.75" customHeight="1" x14ac:dyDescent="0.15">
      <c r="A104" s="5"/>
      <c r="B104" s="246"/>
      <c r="C104" s="247"/>
      <c r="D104" s="247"/>
      <c r="E104" s="247"/>
      <c r="F104" s="247"/>
      <c r="G104" s="247"/>
      <c r="H104" s="247"/>
      <c r="I104" s="247"/>
      <c r="J104" s="248"/>
      <c r="K104" s="6"/>
    </row>
    <row r="105" spans="1:11" ht="18.75" customHeight="1" x14ac:dyDescent="0.15">
      <c r="A105" s="5"/>
      <c r="B105" s="246"/>
      <c r="C105" s="247"/>
      <c r="D105" s="247"/>
      <c r="E105" s="247"/>
      <c r="F105" s="247"/>
      <c r="G105" s="247"/>
      <c r="H105" s="247"/>
      <c r="I105" s="247"/>
      <c r="J105" s="248"/>
      <c r="K105" s="6"/>
    </row>
    <row r="106" spans="1:11" ht="18.75" customHeight="1" x14ac:dyDescent="0.15">
      <c r="A106" s="5"/>
      <c r="B106" s="246"/>
      <c r="C106" s="247"/>
      <c r="D106" s="247"/>
      <c r="E106" s="247"/>
      <c r="F106" s="247"/>
      <c r="G106" s="247"/>
      <c r="H106" s="247"/>
      <c r="I106" s="247"/>
      <c r="J106" s="248"/>
      <c r="K106" s="6"/>
    </row>
    <row r="107" spans="1:11" ht="18.75" customHeight="1" x14ac:dyDescent="0.15">
      <c r="A107" s="95"/>
      <c r="B107" s="246"/>
      <c r="C107" s="247"/>
      <c r="D107" s="247"/>
      <c r="E107" s="247"/>
      <c r="F107" s="247"/>
      <c r="G107" s="247"/>
      <c r="H107" s="247"/>
      <c r="I107" s="247"/>
      <c r="J107" s="248"/>
      <c r="K107" s="6"/>
    </row>
    <row r="108" spans="1:11" ht="18.75" customHeight="1" x14ac:dyDescent="0.15">
      <c r="A108" s="95"/>
      <c r="B108" s="249"/>
      <c r="C108" s="250"/>
      <c r="D108" s="250"/>
      <c r="E108" s="250"/>
      <c r="F108" s="250"/>
      <c r="G108" s="250"/>
      <c r="H108" s="250"/>
      <c r="I108" s="250"/>
      <c r="J108" s="251"/>
      <c r="K108" s="6"/>
    </row>
    <row r="109" spans="1:11" ht="7.5" customHeight="1" x14ac:dyDescent="0.15">
      <c r="A109" s="95"/>
      <c r="B109" s="95"/>
      <c r="C109" s="95"/>
      <c r="D109" s="95"/>
      <c r="E109" s="95"/>
      <c r="F109" s="95"/>
      <c r="G109" s="95"/>
      <c r="H109" s="95"/>
      <c r="I109" s="95"/>
      <c r="J109" s="95"/>
    </row>
    <row r="110" spans="1:11" ht="18.75" customHeight="1" x14ac:dyDescent="0.15">
      <c r="A110" s="5" t="s">
        <v>53</v>
      </c>
      <c r="B110" s="252" t="s">
        <v>82</v>
      </c>
      <c r="C110" s="252"/>
      <c r="D110" s="252"/>
      <c r="E110" s="252"/>
      <c r="F110" s="252"/>
      <c r="G110" s="252"/>
      <c r="H110" s="252"/>
      <c r="I110" s="252"/>
      <c r="J110" s="252"/>
    </row>
    <row r="111" spans="1:11" ht="18.75" customHeight="1" x14ac:dyDescent="0.15">
      <c r="A111" s="95"/>
      <c r="B111" s="235" t="s">
        <v>214</v>
      </c>
      <c r="C111" s="236"/>
      <c r="D111" s="236"/>
      <c r="E111" s="236"/>
      <c r="F111" s="236"/>
      <c r="G111" s="236"/>
      <c r="H111" s="236"/>
      <c r="I111" s="244"/>
      <c r="J111" s="245"/>
    </row>
    <row r="112" spans="1:11" ht="18.75" customHeight="1" x14ac:dyDescent="0.15">
      <c r="A112" s="95"/>
      <c r="B112" s="246"/>
      <c r="C112" s="247"/>
      <c r="D112" s="247"/>
      <c r="E112" s="247"/>
      <c r="F112" s="247"/>
      <c r="G112" s="247"/>
      <c r="H112" s="247"/>
      <c r="I112" s="247"/>
      <c r="J112" s="248"/>
      <c r="K112" s="6"/>
    </row>
    <row r="113" spans="1:11" ht="18.75" customHeight="1" x14ac:dyDescent="0.15">
      <c r="A113" s="95"/>
      <c r="B113" s="246"/>
      <c r="C113" s="247"/>
      <c r="D113" s="247"/>
      <c r="E113" s="247"/>
      <c r="F113" s="247"/>
      <c r="G113" s="247"/>
      <c r="H113" s="247"/>
      <c r="I113" s="247"/>
      <c r="J113" s="248"/>
      <c r="K113" s="5" t="str">
        <f>IF(B111="","入力してください","")</f>
        <v/>
      </c>
    </row>
    <row r="114" spans="1:11" ht="18.75" customHeight="1" x14ac:dyDescent="0.15">
      <c r="A114" s="95"/>
      <c r="B114" s="246"/>
      <c r="C114" s="247"/>
      <c r="D114" s="247"/>
      <c r="E114" s="247"/>
      <c r="F114" s="247"/>
      <c r="G114" s="247"/>
      <c r="H114" s="247"/>
      <c r="I114" s="247"/>
      <c r="J114" s="248"/>
    </row>
    <row r="115" spans="1:11" ht="18.75" customHeight="1" x14ac:dyDescent="0.15">
      <c r="A115" s="95"/>
      <c r="B115" s="246"/>
      <c r="C115" s="247"/>
      <c r="D115" s="247"/>
      <c r="E115" s="247"/>
      <c r="F115" s="247"/>
      <c r="G115" s="247"/>
      <c r="H115" s="247"/>
      <c r="I115" s="247"/>
      <c r="J115" s="248"/>
    </row>
    <row r="116" spans="1:11" ht="18.75" customHeight="1" x14ac:dyDescent="0.15">
      <c r="A116" s="95"/>
      <c r="B116" s="246"/>
      <c r="C116" s="247"/>
      <c r="D116" s="247"/>
      <c r="E116" s="247"/>
      <c r="F116" s="247"/>
      <c r="G116" s="247"/>
      <c r="H116" s="247"/>
      <c r="I116" s="247"/>
      <c r="J116" s="248"/>
    </row>
    <row r="117" spans="1:11" ht="18.75" customHeight="1" x14ac:dyDescent="0.15">
      <c r="A117" s="95"/>
      <c r="B117" s="246"/>
      <c r="C117" s="247"/>
      <c r="D117" s="247"/>
      <c r="E117" s="247"/>
      <c r="F117" s="247"/>
      <c r="G117" s="247"/>
      <c r="H117" s="247"/>
      <c r="I117" s="247"/>
      <c r="J117" s="248"/>
    </row>
    <row r="118" spans="1:11" ht="18.75" customHeight="1" x14ac:dyDescent="0.15">
      <c r="A118" s="95"/>
      <c r="B118" s="246"/>
      <c r="C118" s="247"/>
      <c r="D118" s="247"/>
      <c r="E118" s="247"/>
      <c r="F118" s="247"/>
      <c r="G118" s="247"/>
      <c r="H118" s="247"/>
      <c r="I118" s="247"/>
      <c r="J118" s="248"/>
    </row>
    <row r="119" spans="1:11" ht="18.75" customHeight="1" x14ac:dyDescent="0.15">
      <c r="A119" s="95"/>
      <c r="B119" s="246"/>
      <c r="C119" s="247"/>
      <c r="D119" s="247"/>
      <c r="E119" s="247"/>
      <c r="F119" s="247"/>
      <c r="G119" s="247"/>
      <c r="H119" s="247"/>
      <c r="I119" s="247"/>
      <c r="J119" s="248"/>
    </row>
    <row r="120" spans="1:11" ht="18.75" customHeight="1" x14ac:dyDescent="0.15">
      <c r="A120" s="95"/>
      <c r="B120" s="246"/>
      <c r="C120" s="247"/>
      <c r="D120" s="247"/>
      <c r="E120" s="247"/>
      <c r="F120" s="247"/>
      <c r="G120" s="247"/>
      <c r="H120" s="247"/>
      <c r="I120" s="247"/>
      <c r="J120" s="248"/>
    </row>
    <row r="121" spans="1:11" ht="18.75" customHeight="1" x14ac:dyDescent="0.15">
      <c r="A121" s="95"/>
      <c r="B121" s="246"/>
      <c r="C121" s="247"/>
      <c r="D121" s="247"/>
      <c r="E121" s="247"/>
      <c r="F121" s="247"/>
      <c r="G121" s="247"/>
      <c r="H121" s="247"/>
      <c r="I121" s="247"/>
      <c r="J121" s="248"/>
    </row>
    <row r="122" spans="1:11" ht="18.75" customHeight="1" x14ac:dyDescent="0.15">
      <c r="A122" s="95"/>
      <c r="B122" s="246"/>
      <c r="C122" s="247"/>
      <c r="D122" s="247"/>
      <c r="E122" s="247"/>
      <c r="F122" s="247"/>
      <c r="G122" s="247"/>
      <c r="H122" s="247"/>
      <c r="I122" s="247"/>
      <c r="J122" s="248"/>
    </row>
    <row r="123" spans="1:11" ht="18.75" customHeight="1" x14ac:dyDescent="0.15">
      <c r="A123" s="95"/>
      <c r="B123" s="246"/>
      <c r="C123" s="247"/>
      <c r="D123" s="247"/>
      <c r="E123" s="247"/>
      <c r="F123" s="247"/>
      <c r="G123" s="247"/>
      <c r="H123" s="247"/>
      <c r="I123" s="247"/>
      <c r="J123" s="248"/>
    </row>
    <row r="124" spans="1:11" ht="18.75" customHeight="1" x14ac:dyDescent="0.15">
      <c r="A124" s="95"/>
      <c r="B124" s="246"/>
      <c r="C124" s="247"/>
      <c r="D124" s="247"/>
      <c r="E124" s="247"/>
      <c r="F124" s="247"/>
      <c r="G124" s="247"/>
      <c r="H124" s="247"/>
      <c r="I124" s="247"/>
      <c r="J124" s="248"/>
    </row>
    <row r="125" spans="1:11" ht="18.75" customHeight="1" x14ac:dyDescent="0.15">
      <c r="A125" s="95"/>
      <c r="B125" s="246"/>
      <c r="C125" s="247"/>
      <c r="D125" s="247"/>
      <c r="E125" s="247"/>
      <c r="F125" s="247"/>
      <c r="G125" s="247"/>
      <c r="H125" s="247"/>
      <c r="I125" s="247"/>
      <c r="J125" s="248"/>
    </row>
    <row r="126" spans="1:11" ht="18.75" customHeight="1" x14ac:dyDescent="0.15">
      <c r="A126" s="95"/>
      <c r="B126" s="246"/>
      <c r="C126" s="247"/>
      <c r="D126" s="247"/>
      <c r="E126" s="247"/>
      <c r="F126" s="247"/>
      <c r="G126" s="247"/>
      <c r="H126" s="247"/>
      <c r="I126" s="247"/>
      <c r="J126" s="248"/>
    </row>
    <row r="127" spans="1:11" ht="18.75" customHeight="1" x14ac:dyDescent="0.15">
      <c r="A127" s="95"/>
      <c r="B127" s="246"/>
      <c r="C127" s="247"/>
      <c r="D127" s="247"/>
      <c r="E127" s="247"/>
      <c r="F127" s="247"/>
      <c r="G127" s="247"/>
      <c r="H127" s="247"/>
      <c r="I127" s="247"/>
      <c r="J127" s="248"/>
    </row>
    <row r="128" spans="1:11" ht="18.75" customHeight="1" x14ac:dyDescent="0.15">
      <c r="A128" s="95"/>
      <c r="B128" s="246"/>
      <c r="C128" s="247"/>
      <c r="D128" s="247"/>
      <c r="E128" s="247"/>
      <c r="F128" s="247"/>
      <c r="G128" s="247"/>
      <c r="H128" s="247"/>
      <c r="I128" s="247"/>
      <c r="J128" s="248"/>
    </row>
    <row r="129" spans="1:10" ht="18.75" customHeight="1" x14ac:dyDescent="0.15">
      <c r="A129" s="95"/>
      <c r="B129" s="249"/>
      <c r="C129" s="250"/>
      <c r="D129" s="250"/>
      <c r="E129" s="250"/>
      <c r="F129" s="250"/>
      <c r="G129" s="250"/>
      <c r="H129" s="250"/>
      <c r="I129" s="250"/>
      <c r="J129" s="251"/>
    </row>
    <row r="130" spans="1:10" ht="7.5" customHeight="1" x14ac:dyDescent="0.15">
      <c r="A130" s="95"/>
      <c r="B130" s="96"/>
      <c r="C130" s="96"/>
      <c r="D130" s="96"/>
      <c r="E130" s="96"/>
      <c r="F130" s="96"/>
      <c r="G130" s="96"/>
      <c r="H130" s="96"/>
      <c r="I130" s="96"/>
      <c r="J130" s="96"/>
    </row>
    <row r="131" spans="1:10" ht="18.75" customHeight="1" x14ac:dyDescent="0.15">
      <c r="A131" s="95"/>
      <c r="B131" s="95"/>
      <c r="C131" s="95"/>
      <c r="D131" s="95"/>
      <c r="E131" s="95"/>
      <c r="F131" s="95"/>
      <c r="G131" s="95"/>
      <c r="H131" s="95"/>
      <c r="I131" s="95"/>
      <c r="J131" s="95"/>
    </row>
    <row r="132" spans="1:10" ht="18.75" customHeight="1" x14ac:dyDescent="0.15">
      <c r="A132" s="95"/>
      <c r="B132" s="95"/>
      <c r="C132" s="95"/>
      <c r="D132" s="95"/>
      <c r="E132" s="95"/>
      <c r="F132" s="95"/>
      <c r="G132" s="95"/>
      <c r="H132" s="95"/>
      <c r="I132" s="95"/>
      <c r="J132" s="95"/>
    </row>
    <row r="133" spans="1:10" ht="18.75" customHeight="1" x14ac:dyDescent="0.15">
      <c r="A133" s="95"/>
      <c r="B133" s="95"/>
      <c r="C133" s="95"/>
      <c r="D133" s="95"/>
      <c r="E133" s="95"/>
      <c r="F133" s="95"/>
      <c r="G133" s="95"/>
      <c r="H133" s="95"/>
      <c r="I133" s="95"/>
      <c r="J133" s="95"/>
    </row>
    <row r="134" spans="1:10" ht="18.75" customHeight="1" x14ac:dyDescent="0.15">
      <c r="A134" s="95"/>
      <c r="B134" s="95"/>
      <c r="C134" s="95"/>
      <c r="D134" s="95"/>
      <c r="E134" s="95"/>
      <c r="F134" s="95"/>
      <c r="G134" s="95"/>
      <c r="H134" s="95"/>
      <c r="I134" s="95"/>
      <c r="J134" s="95"/>
    </row>
    <row r="135" spans="1:10" ht="18.75" customHeight="1" x14ac:dyDescent="0.15">
      <c r="A135" s="95"/>
      <c r="B135" s="95"/>
      <c r="C135" s="95"/>
      <c r="D135" s="95"/>
      <c r="E135" s="95"/>
      <c r="F135" s="95"/>
      <c r="G135" s="95"/>
      <c r="H135" s="95"/>
      <c r="I135" s="95"/>
      <c r="J135" s="95"/>
    </row>
    <row r="136" spans="1:10" ht="18.75" customHeight="1" x14ac:dyDescent="0.15">
      <c r="A136" s="95"/>
      <c r="B136" s="95"/>
      <c r="C136" s="95"/>
      <c r="D136" s="95"/>
      <c r="E136" s="95"/>
      <c r="F136" s="95"/>
      <c r="G136" s="95"/>
      <c r="H136" s="95"/>
      <c r="I136" s="95"/>
      <c r="J136" s="95"/>
    </row>
    <row r="137" spans="1:10" ht="18.75" customHeight="1" x14ac:dyDescent="0.15">
      <c r="A137" s="95"/>
      <c r="B137" s="95"/>
      <c r="C137" s="95"/>
      <c r="D137" s="95"/>
      <c r="E137" s="95"/>
      <c r="F137" s="95"/>
      <c r="G137" s="95"/>
      <c r="H137" s="95"/>
      <c r="I137" s="95"/>
      <c r="J137" s="95"/>
    </row>
    <row r="138" spans="1:10" ht="18.75" customHeight="1" x14ac:dyDescent="0.15">
      <c r="A138" s="95"/>
      <c r="B138" s="95"/>
      <c r="C138" s="95"/>
      <c r="D138" s="95"/>
      <c r="E138" s="95"/>
      <c r="F138" s="95"/>
      <c r="G138" s="95"/>
      <c r="H138" s="95"/>
      <c r="I138" s="95"/>
      <c r="J138" s="95"/>
    </row>
    <row r="139" spans="1:10" ht="18.75" customHeight="1" x14ac:dyDescent="0.15">
      <c r="A139" s="95"/>
      <c r="B139" s="95"/>
      <c r="C139" s="95"/>
      <c r="D139" s="95"/>
      <c r="E139" s="95"/>
      <c r="F139" s="95"/>
      <c r="G139" s="95"/>
      <c r="H139" s="95"/>
      <c r="I139" s="95"/>
      <c r="J139" s="95"/>
    </row>
    <row r="140" spans="1:10" ht="18.75" customHeight="1" x14ac:dyDescent="0.15">
      <c r="A140" s="95"/>
      <c r="B140" s="95"/>
      <c r="C140" s="95"/>
      <c r="D140" s="95"/>
      <c r="E140" s="95"/>
      <c r="F140" s="95"/>
      <c r="G140" s="95"/>
      <c r="H140" s="95"/>
      <c r="I140" s="95"/>
      <c r="J140" s="95"/>
    </row>
    <row r="141" spans="1:10" ht="18.75" customHeight="1" x14ac:dyDescent="0.15">
      <c r="A141" s="95"/>
      <c r="B141" s="95"/>
      <c r="C141" s="95"/>
      <c r="D141" s="95"/>
      <c r="E141" s="95"/>
      <c r="F141" s="95"/>
      <c r="G141" s="95"/>
      <c r="H141" s="95"/>
      <c r="I141" s="95"/>
      <c r="J141" s="95"/>
    </row>
    <row r="142" spans="1:10" ht="18.75" customHeight="1" x14ac:dyDescent="0.15">
      <c r="A142" s="95"/>
      <c r="B142" s="95"/>
      <c r="C142" s="95"/>
      <c r="D142" s="95"/>
      <c r="E142" s="95"/>
      <c r="F142" s="95"/>
      <c r="G142" s="95"/>
      <c r="H142" s="95"/>
      <c r="I142" s="95"/>
      <c r="J142" s="95"/>
    </row>
    <row r="143" spans="1:10" ht="14.25" x14ac:dyDescent="0.15">
      <c r="A143" s="95"/>
      <c r="B143" s="95"/>
      <c r="C143" s="95"/>
      <c r="D143" s="95"/>
      <c r="E143" s="95"/>
      <c r="F143" s="95"/>
      <c r="G143" s="95"/>
      <c r="H143" s="95"/>
      <c r="I143" s="95"/>
      <c r="J143" s="95"/>
    </row>
    <row r="144" spans="1:10" ht="7.5" customHeight="1" x14ac:dyDescent="0.15">
      <c r="A144" s="97"/>
      <c r="B144" s="97"/>
      <c r="C144" s="97"/>
      <c r="D144" s="97"/>
      <c r="E144" s="97"/>
      <c r="F144" s="97"/>
      <c r="G144" s="97"/>
      <c r="H144" s="97"/>
      <c r="I144" s="97"/>
      <c r="J144" s="97"/>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zoomScale="120" zoomScaleNormal="100" zoomScaleSheetLayoutView="120" workbookViewId="0">
      <selection activeCell="E7" sqref="E7:J7"/>
    </sheetView>
  </sheetViews>
  <sheetFormatPr defaultColWidth="11.375" defaultRowHeight="22.5" customHeight="1" x14ac:dyDescent="0.15"/>
  <cols>
    <col min="1" max="3" width="2.75" style="5" customWidth="1"/>
    <col min="4" max="4" width="22.25" style="5" customWidth="1"/>
    <col min="5" max="5" width="21.625" style="5" customWidth="1"/>
    <col min="6" max="7" width="7.75" style="5" customWidth="1"/>
    <col min="8" max="8" width="33.375" style="5" customWidth="1"/>
    <col min="9" max="9" width="24.5" style="5" customWidth="1"/>
    <col min="10" max="10" width="5.5" style="5" customWidth="1"/>
    <col min="11" max="11" width="4.125" style="5" customWidth="1"/>
    <col min="12" max="16384" width="11.375" style="5"/>
  </cols>
  <sheetData>
    <row r="1" spans="1:11" ht="18.75" customHeight="1" x14ac:dyDescent="0.15">
      <c r="A1" s="5" t="s">
        <v>123</v>
      </c>
      <c r="J1" s="105" t="s">
        <v>73</v>
      </c>
    </row>
    <row r="2" spans="1:11" ht="18.75" customHeight="1" x14ac:dyDescent="0.15">
      <c r="A2" s="211" t="s">
        <v>42</v>
      </c>
      <c r="B2" s="211"/>
      <c r="C2" s="211"/>
      <c r="D2" s="211"/>
      <c r="E2" s="211"/>
      <c r="F2" s="211"/>
      <c r="G2" s="211"/>
      <c r="H2" s="211"/>
      <c r="I2" s="211"/>
      <c r="J2" s="211"/>
    </row>
    <row r="3" spans="1:11" ht="7.5" customHeight="1" x14ac:dyDescent="0.15">
      <c r="A3" s="108"/>
      <c r="B3" s="108"/>
      <c r="C3" s="108"/>
      <c r="D3" s="108"/>
      <c r="E3" s="108"/>
      <c r="F3" s="108"/>
      <c r="G3" s="108"/>
      <c r="H3" s="108"/>
      <c r="I3" s="108"/>
      <c r="J3" s="108"/>
    </row>
    <row r="4" spans="1:11" ht="18.75" customHeight="1" x14ac:dyDescent="0.15">
      <c r="A4" s="5" t="s">
        <v>6</v>
      </c>
      <c r="B4" s="5" t="s">
        <v>41</v>
      </c>
      <c r="C4" s="95"/>
      <c r="D4" s="95"/>
      <c r="E4" s="95"/>
      <c r="F4" s="95"/>
      <c r="G4" s="95"/>
      <c r="H4" s="95"/>
      <c r="I4" s="95"/>
      <c r="J4" s="95"/>
    </row>
    <row r="5" spans="1:11" ht="18.75" customHeight="1" x14ac:dyDescent="0.15">
      <c r="B5" s="112" t="s">
        <v>38</v>
      </c>
      <c r="C5" s="113"/>
      <c r="D5" s="114"/>
      <c r="E5" s="113" t="s">
        <v>40</v>
      </c>
      <c r="F5" s="113"/>
      <c r="G5" s="113"/>
      <c r="H5" s="113"/>
      <c r="I5" s="113"/>
      <c r="J5" s="114"/>
    </row>
    <row r="6" spans="1:11" ht="18.75" customHeight="1" x14ac:dyDescent="0.15">
      <c r="B6" s="9" t="s">
        <v>28</v>
      </c>
      <c r="C6" s="95"/>
      <c r="D6" s="98"/>
      <c r="I6" s="95"/>
      <c r="J6" s="98"/>
    </row>
    <row r="7" spans="1:11" ht="207" customHeight="1" x14ac:dyDescent="0.15">
      <c r="B7" s="99"/>
      <c r="C7" s="262" t="s">
        <v>29</v>
      </c>
      <c r="D7" s="263"/>
      <c r="E7" s="268" t="s">
        <v>219</v>
      </c>
      <c r="F7" s="264"/>
      <c r="G7" s="264"/>
      <c r="H7" s="264"/>
      <c r="I7" s="264"/>
      <c r="J7" s="265"/>
      <c r="K7" s="5" t="str">
        <f>IF(E7="","入力してください","")</f>
        <v/>
      </c>
    </row>
    <row r="8" spans="1:11" ht="207" customHeight="1" x14ac:dyDescent="0.15">
      <c r="B8" s="99"/>
      <c r="C8" s="269" t="s">
        <v>30</v>
      </c>
      <c r="D8" s="270"/>
      <c r="E8" s="271" t="s">
        <v>223</v>
      </c>
      <c r="F8" s="272"/>
      <c r="G8" s="272"/>
      <c r="H8" s="272"/>
      <c r="I8" s="272"/>
      <c r="J8" s="273"/>
      <c r="K8" s="5" t="str">
        <f>IF(E8="","入力してください","")</f>
        <v/>
      </c>
    </row>
    <row r="9" spans="1:11" ht="172.5" customHeight="1" x14ac:dyDescent="0.15">
      <c r="B9" s="99"/>
      <c r="C9" s="262" t="s">
        <v>31</v>
      </c>
      <c r="D9" s="263"/>
      <c r="E9" s="268" t="s">
        <v>221</v>
      </c>
      <c r="F9" s="264"/>
      <c r="G9" s="264"/>
      <c r="H9" s="264"/>
      <c r="I9" s="264"/>
      <c r="J9" s="265"/>
      <c r="K9" s="5" t="str">
        <f>IF(E9="","入力してください","")</f>
        <v/>
      </c>
    </row>
    <row r="10" spans="1:11" ht="172.5" customHeight="1" x14ac:dyDescent="0.15">
      <c r="B10" s="99"/>
      <c r="C10" s="262" t="s">
        <v>32</v>
      </c>
      <c r="D10" s="263"/>
      <c r="E10" s="268" t="s">
        <v>215</v>
      </c>
      <c r="F10" s="264"/>
      <c r="G10" s="264"/>
      <c r="H10" s="264"/>
      <c r="I10" s="264"/>
      <c r="J10" s="265"/>
      <c r="K10" s="5" t="str">
        <f t="shared" ref="K10:K14" si="0">IF(E10="","入力してください","")</f>
        <v/>
      </c>
    </row>
    <row r="11" spans="1:11" ht="172.5" customHeight="1" x14ac:dyDescent="0.15">
      <c r="B11" s="99"/>
      <c r="C11" s="262" t="s">
        <v>33</v>
      </c>
      <c r="D11" s="263"/>
      <c r="E11" s="268" t="s">
        <v>220</v>
      </c>
      <c r="F11" s="264"/>
      <c r="G11" s="264"/>
      <c r="H11" s="264"/>
      <c r="I11" s="264"/>
      <c r="J11" s="265"/>
      <c r="K11" s="5" t="str">
        <f t="shared" si="0"/>
        <v/>
      </c>
    </row>
    <row r="12" spans="1:11" ht="18.75" customHeight="1" x14ac:dyDescent="0.15">
      <c r="B12" s="100" t="s">
        <v>34</v>
      </c>
      <c r="C12" s="101"/>
      <c r="D12" s="102"/>
      <c r="E12" s="103"/>
      <c r="F12" s="103"/>
      <c r="G12" s="103"/>
      <c r="H12" s="103"/>
      <c r="I12" s="103"/>
      <c r="J12" s="104"/>
    </row>
    <row r="13" spans="1:11" ht="244.15" customHeight="1" x14ac:dyDescent="0.15">
      <c r="B13" s="99"/>
      <c r="C13" s="262" t="s">
        <v>35</v>
      </c>
      <c r="D13" s="263"/>
      <c r="E13" s="264" t="s">
        <v>224</v>
      </c>
      <c r="F13" s="264"/>
      <c r="G13" s="264"/>
      <c r="H13" s="264"/>
      <c r="I13" s="264"/>
      <c r="J13" s="265"/>
      <c r="K13" s="5" t="str">
        <f t="shared" si="0"/>
        <v/>
      </c>
    </row>
    <row r="14" spans="1:11" ht="255" customHeight="1" x14ac:dyDescent="0.15">
      <c r="B14" s="99"/>
      <c r="C14" s="262" t="s">
        <v>36</v>
      </c>
      <c r="D14" s="263"/>
      <c r="E14" s="264" t="s">
        <v>208</v>
      </c>
      <c r="F14" s="264"/>
      <c r="G14" s="264"/>
      <c r="H14" s="264"/>
      <c r="I14" s="264"/>
      <c r="J14" s="265"/>
      <c r="K14" s="5" t="str">
        <f t="shared" si="0"/>
        <v/>
      </c>
    </row>
    <row r="15" spans="1:11" ht="243" customHeight="1" x14ac:dyDescent="0.15">
      <c r="B15" s="266" t="s">
        <v>37</v>
      </c>
      <c r="C15" s="267"/>
      <c r="D15" s="263"/>
      <c r="E15" s="264" t="s">
        <v>216</v>
      </c>
      <c r="F15" s="264"/>
      <c r="G15" s="264"/>
      <c r="H15" s="264"/>
      <c r="I15" s="264"/>
      <c r="J15" s="265"/>
      <c r="K15" s="5" t="str">
        <f>IF(E15="","入力してください","")</f>
        <v/>
      </c>
    </row>
    <row r="16" spans="1:11" ht="243" customHeight="1" x14ac:dyDescent="0.15">
      <c r="B16" s="256" t="s">
        <v>66</v>
      </c>
      <c r="C16" s="257"/>
      <c r="D16" s="258"/>
      <c r="E16" s="242" t="s">
        <v>225</v>
      </c>
      <c r="F16" s="242"/>
      <c r="G16" s="242"/>
      <c r="H16" s="242"/>
      <c r="I16" s="242"/>
      <c r="J16" s="243"/>
      <c r="K16" s="5" t="str">
        <f>IF(E16="","入力してください","")</f>
        <v/>
      </c>
    </row>
    <row r="17" spans="1:11" ht="7.5" customHeight="1" x14ac:dyDescent="0.15">
      <c r="B17" s="95"/>
      <c r="C17" s="95"/>
      <c r="D17" s="95"/>
      <c r="E17" s="95"/>
      <c r="F17" s="95"/>
      <c r="G17" s="95"/>
      <c r="H17" s="95"/>
      <c r="I17" s="95"/>
      <c r="J17" s="95"/>
    </row>
    <row r="18" spans="1:11" ht="18.75" customHeight="1" x14ac:dyDescent="0.15">
      <c r="A18" s="5" t="s">
        <v>124</v>
      </c>
      <c r="C18" s="95"/>
      <c r="D18" s="95"/>
      <c r="E18" s="95"/>
      <c r="F18" s="107"/>
      <c r="G18" s="259" t="s">
        <v>217</v>
      </c>
      <c r="H18" s="260"/>
      <c r="I18" s="260"/>
      <c r="J18" s="261"/>
      <c r="K18" s="5" t="str">
        <f>IF(G18="","入力してください","")</f>
        <v/>
      </c>
    </row>
    <row r="19" spans="1:11" ht="22.5" customHeight="1" x14ac:dyDescent="0.15">
      <c r="B19" s="95"/>
      <c r="C19" s="95"/>
      <c r="D19" s="95"/>
      <c r="E19" s="95"/>
      <c r="F19" s="95"/>
      <c r="G19" s="95"/>
      <c r="H19" s="95"/>
      <c r="I19" s="95"/>
      <c r="J19" s="95"/>
    </row>
    <row r="20" spans="1:11" ht="22.5" customHeight="1" x14ac:dyDescent="0.15">
      <c r="B20" s="95"/>
      <c r="C20" s="95"/>
      <c r="D20" s="95"/>
      <c r="E20" s="95"/>
      <c r="F20" s="95"/>
      <c r="G20" s="95"/>
      <c r="H20" s="95"/>
      <c r="I20" s="95"/>
      <c r="J20" s="95"/>
    </row>
    <row r="21" spans="1:11" ht="22.5" customHeight="1" x14ac:dyDescent="0.15">
      <c r="B21" s="95"/>
      <c r="C21" s="95"/>
      <c r="D21" s="95"/>
      <c r="E21" s="95"/>
      <c r="F21" s="95"/>
      <c r="G21" s="95"/>
      <c r="H21" s="95"/>
      <c r="I21" s="95"/>
      <c r="J21" s="95"/>
    </row>
    <row r="22" spans="1:11" ht="22.5" customHeight="1" x14ac:dyDescent="0.15">
      <c r="B22" s="95"/>
      <c r="C22" s="95"/>
      <c r="D22" s="95"/>
      <c r="E22" s="95"/>
      <c r="F22" s="95"/>
      <c r="G22" s="95"/>
      <c r="H22" s="95"/>
      <c r="I22" s="95"/>
      <c r="J22" s="95"/>
    </row>
    <row r="23" spans="1:11" ht="22.5" customHeight="1" x14ac:dyDescent="0.15">
      <c r="B23" s="95"/>
      <c r="C23" s="95"/>
      <c r="D23" s="95"/>
      <c r="E23" s="95"/>
      <c r="F23" s="95"/>
      <c r="G23" s="95"/>
      <c r="H23" s="95"/>
      <c r="I23" s="95"/>
      <c r="J23" s="95"/>
    </row>
    <row r="24" spans="1:11" ht="22.5" customHeight="1" x14ac:dyDescent="0.15">
      <c r="B24" s="28"/>
      <c r="C24" s="28"/>
      <c r="D24" s="28"/>
      <c r="E24" s="28"/>
      <c r="F24" s="28"/>
      <c r="G24" s="28"/>
      <c r="H24" s="28"/>
      <c r="I24" s="28"/>
      <c r="J24" s="28"/>
    </row>
    <row r="25" spans="1:11" ht="22.5" customHeight="1" x14ac:dyDescent="0.15">
      <c r="B25" s="28"/>
      <c r="C25" s="28"/>
      <c r="D25" s="28"/>
      <c r="E25" s="28"/>
      <c r="F25" s="28"/>
      <c r="G25" s="28"/>
      <c r="H25" s="28"/>
      <c r="I25" s="28"/>
      <c r="J25" s="28"/>
    </row>
    <row r="26" spans="1:11" ht="22.5" customHeight="1" x14ac:dyDescent="0.15">
      <c r="B26" s="28"/>
      <c r="C26" s="28"/>
      <c r="D26" s="28"/>
      <c r="E26" s="28"/>
      <c r="F26" s="28"/>
      <c r="G26" s="28"/>
      <c r="H26" s="28"/>
      <c r="I26" s="28"/>
      <c r="J26" s="28"/>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EF8BF-B0B0-4992-85DD-BE427A150DBB}">
  <dimension ref="B4:D7"/>
  <sheetViews>
    <sheetView view="pageBreakPreview" zoomScale="120" zoomScaleNormal="100" zoomScaleSheetLayoutView="120" workbookViewId="0">
      <selection activeCell="D8" sqref="D8"/>
    </sheetView>
  </sheetViews>
  <sheetFormatPr defaultRowHeight="13.5" x14ac:dyDescent="0.15"/>
  <sheetData>
    <row r="4" spans="2:4" x14ac:dyDescent="0.15">
      <c r="B4">
        <v>1</v>
      </c>
      <c r="C4" t="s">
        <v>161</v>
      </c>
      <c r="D4" t="s">
        <v>164</v>
      </c>
    </row>
    <row r="5" spans="2:4" x14ac:dyDescent="0.15">
      <c r="B5">
        <v>2</v>
      </c>
      <c r="C5" t="s">
        <v>162</v>
      </c>
      <c r="D5" t="s">
        <v>165</v>
      </c>
    </row>
    <row r="6" spans="2:4" x14ac:dyDescent="0.15">
      <c r="B6">
        <v>3</v>
      </c>
      <c r="C6" t="s">
        <v>156</v>
      </c>
      <c r="D6" t="s">
        <v>166</v>
      </c>
    </row>
    <row r="7" spans="2:4" x14ac:dyDescent="0.15">
      <c r="B7">
        <v>4</v>
      </c>
      <c r="C7" t="s">
        <v>163</v>
      </c>
      <c r="D7" t="s">
        <v>167</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10</vt:i4>
      </vt:variant>
    </vt:vector>
  </HeadingPairs>
  <TitlesOfParts>
    <vt:vector size="19" baseType="lpstr">
      <vt:lpstr>様式１　大学等概要</vt:lpstr>
      <vt:lpstr>様式２-1　プログラムを構成する授業科目</vt:lpstr>
      <vt:lpstr>様式２-2　プログラムを構成する授業科目</vt:lpstr>
      <vt:lpstr>様式２-3　プログラムを構成する授業科目</vt:lpstr>
      <vt:lpstr>様式２-4　プログラムを構成する授業科目</vt:lpstr>
      <vt:lpstr>様式３　履修者等数の実績</vt:lpstr>
      <vt:lpstr>様式４　教育の質・履修者数を向上させるための体制・計画</vt:lpstr>
      <vt:lpstr>様式５　自己点検・評価</vt:lpstr>
      <vt:lpstr>(作業用)</vt:lpstr>
      <vt:lpstr>'(作業用)'!Print_Area</vt:lpstr>
      <vt:lpstr>'様式１　大学等概要'!Print_Area</vt:lpstr>
      <vt:lpstr>'様式２-1　プログラムを構成する授業科目'!Print_Area</vt:lpstr>
      <vt:lpstr>'様式２-2　プログラムを構成する授業科目'!Print_Area</vt:lpstr>
      <vt:lpstr>'様式２-3　プログラムを構成する授業科目'!Print_Area</vt:lpstr>
      <vt:lpstr>'様式２-4　プログラムを構成する授業科目'!Print_Area</vt:lpstr>
      <vt:lpstr>'様式３　履修者等数の実績'!Print_Area</vt:lpstr>
      <vt:lpstr>'様式４　教育の質・履修者数を向上させるための体制・計画'!Print_Area</vt:lpstr>
      <vt:lpstr>'様式５　自己点検・評価'!Print_Area</vt:lpstr>
      <vt:lpstr>URL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abe</cp:lastModifiedBy>
  <cp:lastPrinted>2022-05-18T04:03:31Z</cp:lastPrinted>
  <dcterms:created xsi:type="dcterms:W3CDTF">2011-06-14T05:32:50Z</dcterms:created>
  <dcterms:modified xsi:type="dcterms:W3CDTF">2022-05-19T03:27:05Z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