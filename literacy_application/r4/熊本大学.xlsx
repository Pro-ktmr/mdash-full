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defaultThemeVersion="124226"/>
  <mc:AlternateContent xmlns:mc="http://schemas.openxmlformats.org/markup-compatibility/2006">
    <mc:Choice Requires="x15">
      <x15ac:absPath xmlns:x15ac="http://schemas.microsoft.com/office/spreadsheetml/2010/11/ac" url="\\filesv3\2022年度\00700学生支援部\00611教育支援課\02学務企画T\04学務企画担当\031 数理科学総合教育センター\4.数理データ認定プログラム\2022.05.17　【文科：確認依頼】申請内容について\2022.05.18_文科省提出版\"/>
    </mc:Choice>
  </mc:AlternateContent>
  <xr:revisionPtr revIDLastSave="0" documentId="13_ncr:1_{61C5738D-11FD-4067-91C4-3BF5D0E4C0FF}" xr6:coauthVersionLast="36" xr6:coauthVersionMax="36" xr10:uidLastSave="{00000000-0000-0000-0000-000000000000}"/>
  <bookViews>
    <workbookView xWindow="0" yWindow="495" windowWidth="44805" windowHeight="23220" tabRatio="885" activeTab="1" xr2:uid="{00000000-000D-0000-FFFF-FFFF00000000}"/>
  </bookViews>
  <sheets>
    <sheet name="様式１　大学等概要" sheetId="8" r:id="rId1"/>
    <sheet name="様式２－１　プログラムを構成する授業科目" sheetId="39" r:id="rId2"/>
    <sheet name="様式２－２　プログラムを構成する授業科目" sheetId="44" r:id="rId3"/>
    <sheet name="様式２－３　プログラムを構成する授業科目" sheetId="45" r:id="rId4"/>
    <sheet name="様式２－４　プログラムを構成する授業科目" sheetId="46" r:id="rId5"/>
    <sheet name="様式２－５　プログラムを構成する授業科目" sheetId="47" r:id="rId6"/>
    <sheet name="様式３　履修者等数の実績" sheetId="40" r:id="rId7"/>
    <sheet name="様式４　教育の質・履修者数を向上させるための体制・計画" sheetId="41" r:id="rId8"/>
    <sheet name="様式５　自己点検・評価" sheetId="42" r:id="rId9"/>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'様式２－３　プログラムを構成する授業科目'!#REF!</definedName>
    <definedName name="_xlnm._FilterDatabase" localSheetId="4" hidden="1">'様式２－４　プログラムを構成する授業科目'!#REF!</definedName>
    <definedName name="_xlnm._FilterDatabase" localSheetId="5" hidden="1">'様式２－５　プログラムを構成する授業科目'!#REF!</definedName>
    <definedName name="_xlnm._FilterDatabase" localSheetId="6" hidden="1">'様式３　履修者等数の実績'!#REF!</definedName>
    <definedName name="_xlnm.Print_Area" localSheetId="0">'様式１　大学等概要'!$A$1:$N$45</definedName>
    <definedName name="_xlnm.Print_Area" localSheetId="1">'様式２－１　プログラムを構成する授業科目'!$A$1:$Z$98</definedName>
    <definedName name="_xlnm.Print_Area" localSheetId="2">'様式２－２　プログラムを構成する授業科目'!$A$1:$Z$98</definedName>
    <definedName name="_xlnm.Print_Area" localSheetId="3">'様式２－３　プログラムを構成する授業科目'!$A$1:$Z$98</definedName>
    <definedName name="_xlnm.Print_Area" localSheetId="4">'様式２－４　プログラムを構成する授業科目'!$A$1:$Z$98</definedName>
    <definedName name="_xlnm.Print_Area" localSheetId="5">'様式２－５　プログラムを構成する授業科目'!$A$1:$Z$98</definedName>
    <definedName name="_xlnm.Print_Area" localSheetId="6">'様式３　履修者等数の実績'!$A$1:$R$30</definedName>
    <definedName name="_xlnm.Print_Area" localSheetId="7">'様式４　教育の質・履修者数を向上させるための体制・計画'!$A$1:$J$130</definedName>
    <definedName name="_xlnm.Print_Area" localSheetId="8">'様式５　自己点検・評価'!$A$1:$J$18</definedName>
  </definedNames>
  <calcPr calcId="191029"/>
</workbook>
</file>

<file path=xl/calcChain.xml><?xml version="1.0" encoding="utf-8"?>
<calcChain xmlns="http://schemas.openxmlformats.org/spreadsheetml/2006/main">
  <c r="K18" i="42" l="1"/>
  <c r="K16" i="42"/>
  <c r="K15" i="42"/>
  <c r="K14" i="42"/>
  <c r="K13" i="42"/>
  <c r="K11" i="42"/>
  <c r="K10" i="42"/>
  <c r="K9" i="42"/>
  <c r="K8" i="42"/>
  <c r="K7" i="42"/>
  <c r="K113" i="41"/>
  <c r="K91" i="41"/>
  <c r="K69" i="41"/>
  <c r="K46" i="41"/>
  <c r="K31" i="41"/>
  <c r="K15" i="41"/>
  <c r="K8" i="41"/>
  <c r="K5" i="41"/>
  <c r="Q10" i="40" l="1"/>
  <c r="Q30" i="40"/>
  <c r="C4" i="40" l="1"/>
  <c r="O45" i="8"/>
  <c r="O44" i="8"/>
  <c r="O41" i="8"/>
  <c r="O39" i="8"/>
  <c r="O37" i="8"/>
  <c r="O34" i="8"/>
  <c r="O32" i="8"/>
  <c r="O29" i="8"/>
  <c r="O20" i="8"/>
  <c r="O18" i="8"/>
  <c r="O16" i="8"/>
  <c r="O14" i="8"/>
  <c r="O12" i="8"/>
  <c r="O10" i="8"/>
  <c r="O6" i="8"/>
  <c r="O8" i="8"/>
  <c r="O4" i="8"/>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R18" i="40"/>
  <c r="Q18" i="40"/>
  <c r="Q17" i="40"/>
  <c r="R17" i="40" s="1"/>
  <c r="Q16" i="40"/>
  <c r="R16" i="40" s="1"/>
  <c r="Q15" i="40"/>
  <c r="R15" i="40" s="1"/>
  <c r="Q14" i="40"/>
  <c r="R14" i="40" s="1"/>
  <c r="Q13" i="40"/>
  <c r="R13" i="40" s="1"/>
  <c r="Q12" i="40"/>
  <c r="R12" i="40" s="1"/>
  <c r="Q11" i="40"/>
  <c r="R11" i="40" s="1"/>
  <c r="R10" i="40"/>
  <c r="R30" i="40" l="1"/>
  <c r="C28" i="41" s="1"/>
</calcChain>
</file>

<file path=xl/sharedStrings.xml><?xml version="1.0" encoding="utf-8"?>
<sst xmlns="http://schemas.openxmlformats.org/spreadsheetml/2006/main" count="987" uniqueCount="258">
  <si>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</si>
  <si>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</si>
  <si>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</si>
  <si>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</si>
  <si>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</si>
  <si>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</si>
  <si>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</si>
  <si>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</si>
  <si>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</si>
  <si>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</si>
  <si>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</si>
  <si>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</si>
  <si>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</si>
  <si>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</si>
  <si>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</si>
  <si>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</si>
  <si>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</si>
  <si>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</si>
  <si>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</si>
  <si>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</si>
  <si>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</si>
  <si>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</si>
  <si>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</si>
  <si>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</si>
  <si>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</si>
  <si>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</si>
  <si>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</si>
  <si>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</si>
  <si>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</si>
  <si>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</si>
  <si>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</si>
  <si>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</si>
  <si>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</si>
  <si>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</si>
  <si>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</si>
  <si>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</si>
  <si>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</si>
  <si>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</si>
  <si>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</si>
  <si>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</si>
  <si>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</si>
  <si>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</si>
  <si>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</si>
  <si>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</si>
  <si>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</si>
  <si>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</si>
  <si>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</si>
  <si>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</si>
  <si>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</si>
  <si>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</si>
  <si>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</si>
  <si>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</si>
  <si>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</si>
  <si>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</si>
  <si>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</si>
  <si>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</si>
  <si>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</si>
  <si>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</si>
  <si>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</si>
  <si>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</si>
  <si>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</si>
  <si>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</si>
  <si>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</si>
  <si>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</si>
  <si>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</si>
  <si>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</si>
  <si>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</si>
  <si>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</si>
  <si>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</si>
  <si>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</si>
  <si>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</si>
  <si>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</si>
  <si>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</si>
  <si>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</si>
  <si>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</si>
  <si>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</si>
  <si>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</si>
  <si>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</si>
  <si>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</si>
  <si>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</si>
  <si>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</si>
  <si>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</si>
  <si>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</si>
  <si>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</si>
  <si>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</si>
  <si>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</si>
  <si>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</si>
  <si>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</si>
  <si>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</si>
  <si>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</si>
  <si>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</si>
  <si>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</si>
  <si>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</si>
  <si>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</si>
  <si>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</si>
  <si>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</si>
  <si>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</si>
  <si>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</si>
  <si>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</si>
  <si>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</si>
  <si>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</si>
  <si>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</si>
  <si>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</si>
  <si>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</si>
  <si>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</si>
  <si>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</si>
  <si>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</si>
  <si>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</si>
  <si>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</si>
  <si>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</si>
  <si>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</si>
  <si>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</si>
  <si>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</si>
  <si>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</si>
  <si>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</si>
  <si>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</si>
  <si>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</si>
  <si>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</si>
  <si>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</si>
  <si>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</si>
  <si>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</si>
  <si>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</si>
  <si>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</si>
  <si>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</si>
  <si>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</si>
  <si>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</si>
  <si>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</si>
  <si>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</si>
  <si>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</si>
  <si>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</si>
  <si>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</si>
  <si>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</si>
  <si>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</si>
  <si>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</si>
  <si>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</si>
  <si>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</si>
  <si>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</si>
  <si>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</si>
  <si>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</si>
  <si>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</si>
  <si>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</si>
  <si>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</si>
  <si>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</si>
  <si>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</si>
  <si>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</si>
  <si>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</si>
  <si>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</si>
  <si>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</si>
  <si>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熊本大学</t>
    <rPh sb="0" eb="2">
      <t>クマモト</t>
    </rPh>
    <rPh sb="2" eb="4">
      <t>ダイガク</t>
    </rPh>
    <phoneticPr fontId="1"/>
  </si>
  <si>
    <t>国立大学法人熊本大学</t>
    <rPh sb="0" eb="10">
      <t>コクリツダイガクホウジンクマモトダイガク</t>
    </rPh>
    <phoneticPr fontId="1"/>
  </si>
  <si>
    <t>国立大学</t>
  </si>
  <si>
    <t>熊本県熊本市中央区黒髪2丁目39番1号</t>
    <rPh sb="0" eb="3">
      <t>クマモトケン</t>
    </rPh>
    <rPh sb="3" eb="6">
      <t>クマモトシ</t>
    </rPh>
    <rPh sb="6" eb="9">
      <t>チュウオウク</t>
    </rPh>
    <rPh sb="9" eb="11">
      <t>クロカミ</t>
    </rPh>
    <rPh sb="12" eb="14">
      <t>チョウメ</t>
    </rPh>
    <rPh sb="16" eb="17">
      <t>バン</t>
    </rPh>
    <rPh sb="18" eb="19">
      <t>ゴウ</t>
    </rPh>
    <phoneticPr fontId="1"/>
  </si>
  <si>
    <t>数理・データサイエンス・AI教育プログラム</t>
    <rPh sb="0" eb="2">
      <t>スウリ</t>
    </rPh>
    <rPh sb="14" eb="16">
      <t>キョウイク</t>
    </rPh>
    <phoneticPr fontId="1"/>
  </si>
  <si>
    <t>無</t>
  </si>
  <si>
    <t>令和3</t>
    <rPh sb="0" eb="2">
      <t>レイワ</t>
    </rPh>
    <phoneticPr fontId="1"/>
  </si>
  <si>
    <t>宇佐川　毅</t>
    <rPh sb="0" eb="3">
      <t>ウサガワ</t>
    </rPh>
    <rPh sb="4" eb="5">
      <t>ツヨシ</t>
    </rPh>
    <phoneticPr fontId="1"/>
  </si>
  <si>
    <t>理事・副学長</t>
    <rPh sb="0" eb="2">
      <t>リジ</t>
    </rPh>
    <rPh sb="3" eb="6">
      <t>フクガクチョウ</t>
    </rPh>
    <phoneticPr fontId="1"/>
  </si>
  <si>
    <t>教務委員会数理・データサイエンス・AI教育プログラム専門委員会</t>
    <rPh sb="0" eb="2">
      <t>キョウム</t>
    </rPh>
    <rPh sb="2" eb="5">
      <t>イインカイ</t>
    </rPh>
    <rPh sb="5" eb="7">
      <t>スウリ</t>
    </rPh>
    <rPh sb="19" eb="21">
      <t>キョウイク</t>
    </rPh>
    <rPh sb="26" eb="31">
      <t>センモンイインカイ</t>
    </rPh>
    <phoneticPr fontId="1"/>
  </si>
  <si>
    <t>原岡　喜重</t>
    <rPh sb="0" eb="2">
      <t>ハラオカ</t>
    </rPh>
    <rPh sb="3" eb="5">
      <t>ヨシシゲ</t>
    </rPh>
    <phoneticPr fontId="1"/>
  </si>
  <si>
    <t>数理科学総合教育センター副センター長</t>
    <rPh sb="0" eb="2">
      <t>スウリ</t>
    </rPh>
    <rPh sb="2" eb="4">
      <t>カガク</t>
    </rPh>
    <rPh sb="4" eb="6">
      <t>ソウゴウ</t>
    </rPh>
    <rPh sb="6" eb="8">
      <t>キョウイク</t>
    </rPh>
    <rPh sb="12" eb="13">
      <t>フク</t>
    </rPh>
    <rPh sb="17" eb="18">
      <t>チョウ</t>
    </rPh>
    <phoneticPr fontId="1"/>
  </si>
  <si>
    <t>学生支援部教育支援課学務企画担当</t>
    <rPh sb="0" eb="2">
      <t>ガクセイ</t>
    </rPh>
    <rPh sb="2" eb="5">
      <t>シエンブ</t>
    </rPh>
    <rPh sb="5" eb="7">
      <t>キョウイク</t>
    </rPh>
    <rPh sb="7" eb="10">
      <t>シエンカ</t>
    </rPh>
    <rPh sb="10" eb="12">
      <t>ガクム</t>
    </rPh>
    <rPh sb="12" eb="14">
      <t>キカク</t>
    </rPh>
    <rPh sb="14" eb="16">
      <t>タントウ</t>
    </rPh>
    <phoneticPr fontId="1"/>
  </si>
  <si>
    <t>gak-kikaku@jimu.kumamoto-u.ac.jp</t>
    <phoneticPr fontId="1"/>
  </si>
  <si>
    <t>096-342-2713</t>
    <phoneticPr fontId="1"/>
  </si>
  <si>
    <t>148（非常勤講師除く）</t>
    <rPh sb="4" eb="7">
      <t>ヒジョウキン</t>
    </rPh>
    <rPh sb="7" eb="9">
      <t>コウシ</t>
    </rPh>
    <rPh sb="9" eb="10">
      <t>ノゾ</t>
    </rPh>
    <phoneticPr fontId="1"/>
  </si>
  <si>
    <t>学部・学科によって、修了要件は相違する</t>
  </si>
  <si>
    <t>認定教育プログラム</t>
  </si>
  <si>
    <t>情報基礎A</t>
    <rPh sb="0" eb="2">
      <t>ジョウホウ</t>
    </rPh>
    <rPh sb="2" eb="4">
      <t>キソ</t>
    </rPh>
    <phoneticPr fontId="1"/>
  </si>
  <si>
    <t>情報基礎B</t>
    <rPh sb="0" eb="2">
      <t>ジョウホウ</t>
    </rPh>
    <rPh sb="2" eb="4">
      <t>キソ</t>
    </rPh>
    <phoneticPr fontId="1"/>
  </si>
  <si>
    <t>文系のための数学入門a</t>
    <rPh sb="0" eb="2">
      <t>ブンケイ</t>
    </rPh>
    <rPh sb="6" eb="8">
      <t>スウガク</t>
    </rPh>
    <rPh sb="8" eb="10">
      <t>ニュウモン</t>
    </rPh>
    <phoneticPr fontId="1"/>
  </si>
  <si>
    <t>文系のための数学入門B</t>
    <rPh sb="0" eb="2">
      <t>ブンケイ</t>
    </rPh>
    <rPh sb="6" eb="8">
      <t>スウガク</t>
    </rPh>
    <rPh sb="8" eb="10">
      <t>ニュウモン</t>
    </rPh>
    <phoneticPr fontId="1"/>
  </si>
  <si>
    <t>文系のための数学入門C</t>
    <rPh sb="0" eb="2">
      <t>ブンケイ</t>
    </rPh>
    <rPh sb="6" eb="8">
      <t>スウガク</t>
    </rPh>
    <rPh sb="8" eb="10">
      <t>ニュウモン</t>
    </rPh>
    <phoneticPr fontId="1"/>
  </si>
  <si>
    <t>○</t>
  </si>
  <si>
    <t>全学開講</t>
  </si>
  <si>
    <t>一部開講</t>
  </si>
  <si>
    <t>情報基礎A</t>
    <rPh sb="0" eb="2">
      <t>ジョウホウ</t>
    </rPh>
    <rPh sb="2" eb="4">
      <t>キソ</t>
    </rPh>
    <phoneticPr fontId="1"/>
  </si>
  <si>
    <t>情報基礎B</t>
    <rPh sb="0" eb="2">
      <t>ジョウホウ</t>
    </rPh>
    <rPh sb="2" eb="4">
      <t>キソ</t>
    </rPh>
    <phoneticPr fontId="1"/>
  </si>
  <si>
    <t>4-1統計および数理基礎</t>
  </si>
  <si>
    <t>4‐3データ構造とプログラミング基礎</t>
  </si>
  <si>
    <t>4‐7データハンドリング</t>
  </si>
  <si>
    <t>データサイエンスの手法とAIの仕組みを理解し、学習内容を応用発展させる基礎力が身に付けられる。
現代社会におけるAI・データサイエンスの利点および注意点が理解できる。</t>
    <phoneticPr fontId="1"/>
  </si>
  <si>
    <t>4‐8データ活用実践（教師あり学習）</t>
  </si>
  <si>
    <t>統計学I</t>
    <rPh sb="0" eb="3">
      <t>トウケイガク</t>
    </rPh>
    <phoneticPr fontId="1"/>
  </si>
  <si>
    <t>微分積分I</t>
    <rPh sb="0" eb="2">
      <t>ビブン</t>
    </rPh>
    <rPh sb="2" eb="4">
      <t>セキブン</t>
    </rPh>
    <phoneticPr fontId="1"/>
  </si>
  <si>
    <t>微分積分II</t>
    <rPh sb="0" eb="2">
      <t>ビブン</t>
    </rPh>
    <rPh sb="2" eb="4">
      <t>セキブン</t>
    </rPh>
    <phoneticPr fontId="1"/>
  </si>
  <si>
    <t>線形代数I</t>
    <rPh sb="0" eb="2">
      <t>センケイ</t>
    </rPh>
    <rPh sb="2" eb="4">
      <t>ダイスウ</t>
    </rPh>
    <phoneticPr fontId="1"/>
  </si>
  <si>
    <t>線形代数II</t>
    <rPh sb="0" eb="2">
      <t>センケイ</t>
    </rPh>
    <rPh sb="2" eb="4">
      <t>ダイスウ</t>
    </rPh>
    <phoneticPr fontId="1"/>
  </si>
  <si>
    <t>数学の世界c</t>
    <rPh sb="0" eb="2">
      <t>スウガク</t>
    </rPh>
    <rPh sb="3" eb="5">
      <t>セカイ</t>
    </rPh>
    <phoneticPr fontId="1"/>
  </si>
  <si>
    <t>数学概論</t>
    <rPh sb="0" eb="2">
      <t>スウガク</t>
    </rPh>
    <rPh sb="2" eb="4">
      <t>ガイロン</t>
    </rPh>
    <phoneticPr fontId="1"/>
  </si>
  <si>
    <t>統計学概論</t>
    <rPh sb="0" eb="3">
      <t>トウケイガク</t>
    </rPh>
    <rPh sb="3" eb="5">
      <t>ガイロン</t>
    </rPh>
    <phoneticPr fontId="1"/>
  </si>
  <si>
    <t>保健衛生統計学</t>
    <rPh sb="0" eb="2">
      <t>ホケン</t>
    </rPh>
    <rPh sb="2" eb="4">
      <t>エイセイ</t>
    </rPh>
    <rPh sb="4" eb="7">
      <t>トウケイガク</t>
    </rPh>
    <phoneticPr fontId="1"/>
  </si>
  <si>
    <t>保健衛生統計学</t>
    <rPh sb="0" eb="7">
      <t>ホケンエイセイトウケイガク</t>
    </rPh>
    <phoneticPr fontId="1"/>
  </si>
  <si>
    <t>確率統計</t>
    <rPh sb="0" eb="2">
      <t>カクリツ</t>
    </rPh>
    <rPh sb="2" eb="4">
      <t>トウケイ</t>
    </rPh>
    <phoneticPr fontId="1"/>
  </si>
  <si>
    <t>確率統計</t>
    <rPh sb="0" eb="4">
      <t>カクリツトウケイ</t>
    </rPh>
    <phoneticPr fontId="1"/>
  </si>
  <si>
    <t>微分積分I</t>
    <rPh sb="0" eb="4">
      <t>ビブンセキブン</t>
    </rPh>
    <phoneticPr fontId="1"/>
  </si>
  <si>
    <t>線形代数I</t>
    <rPh sb="0" eb="4">
      <t>センケイダイスウ</t>
    </rPh>
    <phoneticPr fontId="1"/>
  </si>
  <si>
    <t>線形代数II</t>
    <rPh sb="0" eb="4">
      <t>センケイダイスウ</t>
    </rPh>
    <phoneticPr fontId="1"/>
  </si>
  <si>
    <t>微分積分II</t>
    <rPh sb="0" eb="4">
      <t>ビブンセキブン</t>
    </rPh>
    <phoneticPr fontId="1"/>
  </si>
  <si>
    <t>文学部</t>
    <rPh sb="0" eb="3">
      <t>ブンガクブ</t>
    </rPh>
    <phoneticPr fontId="1"/>
  </si>
  <si>
    <t>教育学部</t>
    <rPh sb="0" eb="2">
      <t>キョウイク</t>
    </rPh>
    <rPh sb="2" eb="4">
      <t>ガクブ</t>
    </rPh>
    <phoneticPr fontId="1"/>
  </si>
  <si>
    <t>法学部</t>
    <rPh sb="0" eb="3">
      <t>ホウガクブ</t>
    </rPh>
    <phoneticPr fontId="1"/>
  </si>
  <si>
    <t>理学部</t>
    <rPh sb="0" eb="3">
      <t>リガクブ</t>
    </rPh>
    <phoneticPr fontId="1"/>
  </si>
  <si>
    <t>医学部医学科</t>
    <rPh sb="0" eb="3">
      <t>イガクブ</t>
    </rPh>
    <rPh sb="3" eb="6">
      <t>イガクカ</t>
    </rPh>
    <phoneticPr fontId="1"/>
  </si>
  <si>
    <t>医学部保健学科</t>
    <rPh sb="0" eb="3">
      <t>イガクブ</t>
    </rPh>
    <rPh sb="3" eb="5">
      <t>ホケン</t>
    </rPh>
    <rPh sb="5" eb="7">
      <t>ガッカ</t>
    </rPh>
    <phoneticPr fontId="1"/>
  </si>
  <si>
    <t>薬学部</t>
    <rPh sb="0" eb="1">
      <t>ヤク</t>
    </rPh>
    <rPh sb="1" eb="3">
      <t>ガクブ</t>
    </rPh>
    <phoneticPr fontId="1"/>
  </si>
  <si>
    <t>工学部</t>
    <rPh sb="0" eb="3">
      <t>コウガクブ</t>
    </rPh>
    <phoneticPr fontId="1"/>
  </si>
  <si>
    <t>未</t>
    <rPh sb="0" eb="1">
      <t>ミ</t>
    </rPh>
    <phoneticPr fontId="1"/>
  </si>
  <si>
    <t>熊本大学教務委員会数理・データサイエンス・AI教育プログラム専門委員会細則</t>
    <phoneticPr fontId="1"/>
  </si>
  <si>
    <t>社会におけるデータ・AI利活用「文系のための数学入門a」(1回目）
データサイエンスの手法「文系のための数学入門a」(5、6、7回目）</t>
    <phoneticPr fontId="1"/>
  </si>
  <si>
    <t>ワードプロセッサ及びフィッシング詐欺「情報基礎A」(5回目)
電子メールの暗号化「情報基礎B」(14回目)
データ・AI利活用における留意事項 「文系のための数学入門a」(4回目)</t>
    <phoneticPr fontId="1"/>
  </si>
  <si>
    <t xml:space="preserve">
データ・AI利活用における留意事項 「文系のための数学入門a」(4回目)
</t>
    <rPh sb="20" eb="22">
      <t>ブンケイ</t>
    </rPh>
    <rPh sb="34" eb="36">
      <t xml:space="preserve">カイメ </t>
    </rPh>
    <phoneticPr fontId="1"/>
  </si>
  <si>
    <t>クラウドアプリケーションを利用したデータサイエンス演習「情報基礎B」(13回目)
データリテラシー「文系のための数学入門a」(2、3回目)</t>
    <rPh sb="0" eb="3">
      <t xml:space="preserve">ブンケイカイメ _x0000__x0000__x0003__x0008__x0000__x0004__x0010__x0008__x0002__x0014__x0008__x0002_ブンケイカイメ </t>
    </rPh>
    <phoneticPr fontId="1"/>
  </si>
  <si>
    <t xml:space="preserve">スプレッドシート入門「情報基礎A」(7、8回目)
スプレッドシート総合演習「情報基礎A」(9回目)
データリテラシー「文系のための数学入門a」(2、3回目)
</t>
    <phoneticPr fontId="1"/>
  </si>
  <si>
    <t>クラウドアプリケーションを利用したデータサイエンス演習「情報基礎B」(13回目)</t>
    <phoneticPr fontId="1"/>
  </si>
  <si>
    <t>スプレッドシート入門「情報基礎A」(7、8回目)
スプレッドシート総合演習「情報基礎A」(9回目)</t>
    <phoneticPr fontId="1"/>
  </si>
  <si>
    <t>データサイエンス「統計学I」(13、14回目)</t>
    <rPh sb="20" eb="22">
      <t xml:space="preserve">カイメ </t>
    </rPh>
    <phoneticPr fontId="1"/>
  </si>
  <si>
    <t>データサイエンス「統計学I」(13、14回目)</t>
    <phoneticPr fontId="1"/>
  </si>
  <si>
    <t>ワードプロセッサ及びフィッシング詐欺「情報基礎A」(5回目)
電子メールの暗号化「情報基礎B」(14回目)
データサイエンス「統計学I」(13、14回目)</t>
    <phoneticPr fontId="1"/>
  </si>
  <si>
    <t>スプレッドシート入門「情報基礎A」(7、8回目)
スプレッドシート総合演習「情報基礎A」(9回目)
データリテラシー「文系のための数学入門a」(2、3回目)</t>
    <phoneticPr fontId="1"/>
  </si>
  <si>
    <t>社会におけるデータ・AI利活用「数学の世界c」(1回目）
データサイエンスの手法「数学の世界c」(5、6、7回目）</t>
    <phoneticPr fontId="1"/>
  </si>
  <si>
    <t>データ・AI利活用における留意事項 「数学の世界c」(4回目)</t>
    <phoneticPr fontId="1"/>
  </si>
  <si>
    <t>ワードプロセッサ及びフィッシング詐欺「情報基礎A」(5回目)
電子メールの暗号化「情報基礎B」(14回目)
データ・AI利活用における留意事項 「数学の世界c」(4回目)</t>
    <phoneticPr fontId="1"/>
  </si>
  <si>
    <t>クラウドアプリケーションを利用したデータサイエンス演習「情報基礎B」(13回目)
データリテラシー「数学の世界c」(2、3回目)</t>
    <phoneticPr fontId="1"/>
  </si>
  <si>
    <t>スプレッドシート入門「情報基礎A」(7、8回目)
スプレッドシート総合演習「情報基礎A」(9回目)
データリテラシー「数学の世界c」(2、3回目)</t>
    <phoneticPr fontId="1"/>
  </si>
  <si>
    <t>データサイエンス「保健衛生統計学」(14、15回目)</t>
    <phoneticPr fontId="1"/>
  </si>
  <si>
    <t>ワードプロセッサ及びフィッシング詐欺「情報基礎A」(5回目)
電子メールの暗号化「情報基礎B」(14回目)
データサイエンス「保健衛生統計学」(14、15回目)</t>
    <phoneticPr fontId="1"/>
  </si>
  <si>
    <t>推測統計学の基礎「保健衛生統計学」(5回目)
相関と回帰「保健衛生統計学」(11回目)
データサイエンス「保健衛生統計学」(14、15回目)</t>
    <rPh sb="19" eb="21">
      <t xml:space="preserve">カイメ </t>
    </rPh>
    <rPh sb="40" eb="42">
      <t>_x0000__x0013__x0002__x0004_</t>
    </rPh>
    <phoneticPr fontId="1"/>
  </si>
  <si>
    <t>多次元確率分布「統計学I」(8回目)
データサイエンス「統計学I」(13、14回目)</t>
    <rPh sb="9" eb="11">
      <t xml:space="preserve">カイメ </t>
    </rPh>
    <phoneticPr fontId="1"/>
  </si>
  <si>
    <t>データサイエンス概論「確率統計」(1、2回目)</t>
    <phoneticPr fontId="1"/>
  </si>
  <si>
    <t>ｔ分布と推定「確率統計」(12回目)
データサイエンス概論「確率統計」(1、2回目)</t>
    <rPh sb="15" eb="17">
      <t xml:space="preserve">カイメ </t>
    </rPh>
    <phoneticPr fontId="1"/>
  </si>
  <si>
    <t>ワードプロセッサ及びフィッシング詐欺「情報基礎A」(5回目)
電子メールの暗号化「情報基礎B」(14回目)
データサイエンス概論「確率統計」(1、2回目)</t>
    <phoneticPr fontId="1"/>
  </si>
  <si>
    <t>中村</t>
    <rPh sb="0" eb="2">
      <t>ナカムラ</t>
    </rPh>
    <phoneticPr fontId="1"/>
  </si>
  <si>
    <t>様式２－５</t>
    <phoneticPr fontId="1"/>
  </si>
  <si>
    <t>様式２－４</t>
    <phoneticPr fontId="1"/>
  </si>
  <si>
    <t>様式２－３</t>
    <phoneticPr fontId="1"/>
  </si>
  <si>
    <t>様式２－２</t>
    <phoneticPr fontId="1"/>
  </si>
  <si>
    <t>様式２－１</t>
    <phoneticPr fontId="1"/>
  </si>
  <si>
    <t>　授業アンケートのコメント等から、学生の興味がある分野をピックアップする等、授業内容の充実に取り組む。
　また、教員のネットワークを活かして、データサイエンスを用いた研究や社会への還元の事例を集め、講義に盛り込むことで講義内容を更新・充実させていく。
　数理科学総合教育センターにおいては、数理・データサイエンスセミナーを現在まで５回開催しており、最新の研究動向の把握や魅力的な講義の事例紹介（テーマ「データサイエンスとは？（統計学とどこが違う？）」、「熊本大学における数理データサイエンス教育」等）などを行って、講義内容の充実につなげている。</t>
    <phoneticPr fontId="1"/>
  </si>
  <si>
    <t>　数理・データサイエンス・AI教育プログラムを編成する科目のうち、文系学部向けの「文系のための数学入門a」は令和2年度に開設され、令和2年度の履修率は38.6％であった（履修可能学生数643名、履修者数248名）。令和3年度からは履修しやすいカテゴリーに組み入れることで、履修率は76.6％（履修可能学生数642名、履修者数492名）に向上した。
　理系学部向けには令和3年度よりリテラシーレベルのデータサイエンス科目を整備した。理系学部向けのプログラム必須科目は、履修率57.2％であった。選択科目としている数学・統計学の科目を加えると履修率は大きく向上するので、理論的な教育は広く行えていると評価できる。
　令和3年度から文系・理系共通に、既存の情報科目である情報基礎A・情報基礎Bに実データを扱う内容を加えた。令和3年度の履修率は、それぞれ99.9％、98.7％と極めて高い。
　文系学部の履修率をより向上させること、理系学部では特に工学部と医学部医学科・薬学部の履修率を向上させることが直近の課題である。この課題に対しては、新入生ガイダンスにおいてパンフレットを配布し、プログラムの周知に努めることで取り組む。</t>
    <rPh sb="227" eb="229">
      <t>ヒッス</t>
    </rPh>
    <phoneticPr fontId="1"/>
  </si>
  <si>
    <t>　アンケートの調査結果によると、情報基礎Bにおいては非常に難しかったとする回答が29.7％である一方、目標が達成できたという回答は91.8％、有意義であったという回答は87.5％で、理解度が高い水準にあることがわかる。一方理論系のプログラム必須科目については、文系学部では難しい18.2％、目標達成92.8％、有意義90.8％、理学部では難しい12.2％、目標達成91.4％、有意義90.2％、医学部医学科・薬学部では難しい10％、目標達成90％、有意義100％、医学部保健学科では難しい41.5％、目標達成83.1％、有意義90.8％となっていて、十分な理解が得られたことがわかる。一方、工学部では難しい48.5％、目標達成58.4％、有意義53.5％という結果で、半数弱の学生は十分な理解が得られていない可能性がある。ただし、この科目（確率統計）は本格的な確率論・統計学の内容が主体であり、アンケートの自由記述からは、理論の習得に難しさを感じたことが読み取れ、リテラシーレベルのデータサイエンスに関しては他学部と同程度の理解が得られたものと判断できる。</t>
    <rPh sb="120" eb="122">
      <t>ヒッス</t>
    </rPh>
    <phoneticPr fontId="1"/>
  </si>
  <si>
    <t>　文系学部向けの科目については、カテゴリーの変更により履修者数・履修率を向上することができた。今後は新入生ガイダンスにおける周知により、さらなる向上を目指す。
　理系学部のプログラム必須科目については、特に医学部医学科・薬学部向けの科目の履修者数を増やすことが課題である。新入生ガイダンスなどの機会を捉えて、医学・薬学におけるデータサイエンスの重要性を伝えることで、履修者数の向上を目指す。
　履修者数・履修率については、数理・データサイエンス・AI教育プログラム専門委員会において定期的に状況把握を行い、計画を立ててその向上に取り組む。</t>
    <rPh sb="91" eb="93">
      <t>ヒッス</t>
    </rPh>
    <phoneticPr fontId="1"/>
  </si>
  <si>
    <t>　同名科目間において、一部乖離が大きい科目があるが、概ね良好な反応を得ていると言えるため、更に授業アンケートを活用して授業改善に取り組むこととする。
　また、数理科学総合教育センターにおいては、教員を常駐させて数学やデータサイエンスに関する質問を随時受け付けることで、教育内容の理解向上に努める。また質問内容を講義にフィードバックさせることで、わかりやすさの向上に努める。（令和３年度の質問受付は、延べ６９名となっている。）</t>
    <phoneticPr fontId="1"/>
  </si>
  <si>
    <t>　学修成果については、プログラム必須科目の単位習得率により評価する。
　情報基礎A・情報基礎Bの単位習得率は、それぞれ98.3％、97.4％と極めて高い水準にある。
　理論系のプログラム必須科目の単位習得率は、文系学部91.3％、理学部89.1％、医学部医学科・薬学部88.2%、医学部保健学科98.5％、工学部84.7％といずれも高い値を実現している。
　選択科目についても、ほぼ90％を超える単位習得率となっている。
　以上により、講義内容は十分学生に伝わり、十分な学修成果が得られていると評価する。</t>
    <rPh sb="16" eb="18">
      <t>ヒッス</t>
    </rPh>
    <rPh sb="93" eb="95">
      <t>ヒッス</t>
    </rPh>
    <phoneticPr fontId="1"/>
  </si>
  <si>
    <t>http://msec.kumamoto-u.ac.jp/msdsai/index.html</t>
    <phoneticPr fontId="1"/>
  </si>
  <si>
    <t>文学部・教育学部・法学部には以下のように本プログラム必須科目と選択科目が設けられており、必須科目の単位の修得を修了要件とし、選択科目は履修を推奨する科目である。
必須科目: 「情報基礎A」(1単位)、「情報基礎B」(1単位)、「文系のための数学入門a」(1単位)
選択科目: 「文系のための数学入門B」(2単位)、「文系のための数学入門C」(2単位)</t>
  </si>
  <si>
    <t>理学部には以下のように本プログラム必須科目と選択科目が設けられており、必須科目の単位の修得を修了要件とし、選択科目は履修を推奨する科目である。
必須科目: 「情報基礎A」(1単位)、「情報基礎B」(1単位)、「統計学I（2年次開講）」(2単位)
選択科目: 「微分積分I」(2単位)、「微分積分II」(2単位)、「線形代数I」(2単位)、「線形代数II」(2単位)</t>
    <rPh sb="112" eb="114">
      <t>ネンジ</t>
    </rPh>
    <rPh sb="114" eb="116">
      <t>カイコウ</t>
    </rPh>
    <phoneticPr fontId="1"/>
  </si>
  <si>
    <t>医学部医学科・薬学部には以下のように本プログラム必須科目と選択科目が設けられており、必須科目の単位の修得を修了要件とし、選択科目は履修を推奨する科目である。
必須科目: 「情報基礎A」(1単位)、「情報基礎B」(1単位)、「数学の世界c」(1単位)
選択科目: 「数学概論」(2単位)、「統計学概論」(2単位)</t>
  </si>
  <si>
    <t>医学部保健学科には以下のように本プログラム必須科目が設けられており、これらの単位の修得を修了要件とする。
必須科目: 「情報基礎A」(1単位)、「情報基礎B」(1単位)、「保健衛生統計学」(2単位)</t>
  </si>
  <si>
    <t>工学部には以下のように本プログラム必須科目と選択科目が設けられており、必須科目の単位の修得を修了要件とし、選択科目は履修を推奨する科目である。
必須科目: 「情報基礎A」(1単位)、「情報基礎B」(1単位)、「確率統計（2年次開講）」(2単位)
選択科目: 「微分積分I」(2単位)、「微分積分II」(2単位)、「線形代数I」(2単位)、「線形代数II」(2単位)</t>
    <rPh sb="112" eb="114">
      <t>ネンジ</t>
    </rPh>
    <rPh sb="114" eb="116">
      <t>カイコウ</t>
    </rPh>
    <phoneticPr fontId="1"/>
  </si>
  <si>
    <t>数理・データサイエンス・AI教育プログラム専門委員会は、数理・データサイエンス・AI教育プログラムの編成、運営および質の向上について審議する。
また、本委員会での自己点検・評価の後、熊本大学教育会議カリキュラム評価委員会にて確認が行われる。</t>
    <rPh sb="75" eb="76">
      <t>ホン</t>
    </rPh>
    <rPh sb="76" eb="79">
      <t>イインカイ</t>
    </rPh>
    <rPh sb="81" eb="83">
      <t>ジコ</t>
    </rPh>
    <rPh sb="83" eb="85">
      <t>テンケン</t>
    </rPh>
    <rPh sb="86" eb="88">
      <t>ヒョウカ</t>
    </rPh>
    <rPh sb="89" eb="90">
      <t>ノチ</t>
    </rPh>
    <rPh sb="91" eb="93">
      <t>クマモト</t>
    </rPh>
    <rPh sb="93" eb="95">
      <t>ダイガク</t>
    </rPh>
    <rPh sb="95" eb="97">
      <t>キョウイク</t>
    </rPh>
    <rPh sb="97" eb="99">
      <t>カイギ</t>
    </rPh>
    <rPh sb="105" eb="110">
      <t>ヒョウカイインカイ</t>
    </rPh>
    <rPh sb="112" eb="114">
      <t>カクニン</t>
    </rPh>
    <rPh sb="115" eb="116">
      <t>オコナ</t>
    </rPh>
    <phoneticPr fontId="1"/>
  </si>
  <si>
    <t>数理・データサイエンス・AI教育プログラム専門委員会
大学院先端科学研究部（理学系）　　教授　原岡喜重（委員長；数学・統計学部会、数理科学総合教育センター副センター長）
総合情報統括センター　　　　　　　　　教授　戸田真志（副委員長；情報科目部会長）
大学院先端科学研究部（理学系）　　教授　千吉良直紀（数学・統計学部会副部会長）
大学院先端科学研究部（工学系）　　教授　城本啓介（数学・統計学部会）
総合情報統括センター　　　　　　　　　教授　武蔵泰雄（情報科目部会）
総合情報統括センター　　　　　　　　准教授　久保田真一郎（情報科目部会）</t>
    <rPh sb="119" eb="121">
      <t>カモク</t>
    </rPh>
    <rPh sb="160" eb="161">
      <t>フク</t>
    </rPh>
    <rPh sb="161" eb="164">
      <t>ブカイチョウ</t>
    </rPh>
    <rPh sb="183" eb="185">
      <t>キョウジュ</t>
    </rPh>
    <rPh sb="230" eb="232">
      <t>カモク</t>
    </rPh>
    <rPh sb="267" eb="269">
      <t>カモク</t>
    </rPh>
    <phoneticPr fontId="1"/>
  </si>
  <si>
    <t>　新入生ガイダンスにおいて、パンフレットを配布し説明を行うことで、数理・データサイエンス・AI教育プログラムの周知を図る。</t>
  </si>
  <si>
    <t>　熊本市が中心となり、産学官連携のデータサイエンスを推進する協議会が設立される。熊本大学はこの協議会に参加し、プログラム修了者への要望・意見を聴取するとともに、産業界や行政における課題の発掘、データサイエンスを通した連携のあり方など、多角的に取り組んでいく。</t>
  </si>
  <si>
    <t>履修率の向上に向けては、数理科学総合教育センターにおいて数理・データサイエンスセミナーを開催し、最新の知見を学び講義内容を不断に検討・検証することで、講義内容を充実させ魅力あるものになるよう取り組む。併せて数理科学総合教育センターのホームページに、数学・データサイエンスの演習問題をはじめとする資料を掲載し、学習を助けるとともに数理・データサイエンス・AIの魅力を伝える。医学部医学科・薬学部・工学部の履修者数を向上させるため、プログラム選択科目の講義においてもプログラム必須科目の履修を勧める。</t>
    <rPh sb="236" eb="238">
      <t>ヒッス</t>
    </rPh>
    <phoneticPr fontId="1"/>
  </si>
  <si>
    <t>　本教育プログラムでは、すでにすべての学部の学生全員が受講可能となる科目編成を整えている。
　実データを扱うプログラム必須科目である情報基礎A・情報基礎Bは、必修科目として全学生向けに開講されている。
　データサイエンス概論を扱うプログラム必須科目は、文系学部向けには「文系のための数学入門a」、医学部医学科・薬学部向けには「数学の世界c」を新設し、各学部の全員が受講できる。理学部、医学部保健学科、工学部においては、既設の統計学の科目の中にデータサイエンス概論の内容を盛り込んでおり、それらはそれぞれの学部において全員が受講可能となっている。</t>
    <rPh sb="59" eb="61">
      <t>ヒッス</t>
    </rPh>
    <rPh sb="120" eb="122">
      <t>ヒッス</t>
    </rPh>
    <phoneticPr fontId="1"/>
  </si>
  <si>
    <t>　プログラム必須科目のうち、「情報基礎A」「情報基礎B」は教養教育における必修科目のため、全学部の全学生が履修する。データサイエンス概論を扱う各学部向けの科目については、学部毎に次のような体制で対応している。文系学部に対しては、教養教育のパッケージというカテゴリーの中の第2タームに科目を配置し、他の選択科目との競合を避けてほぼすべての学生が履修できる体制を整えている。医学部医学科・薬学部に対しては、教養教育のパッケージ外科目として配置されており、希望する学生は全員履修できる。理学部の「統計学I」は準必修科目として開講されており、多くの学生が履修できるよう配置されている。医学部保健学科の「保健衛生統計学」は必修科目であり、工学部の「確率統計」は一部学科では必修科目となっており、他学科も選択できるようになっている。</t>
    <rPh sb="6" eb="8">
      <t>ヒッス</t>
    </rPh>
    <rPh sb="306" eb="310">
      <t>ヒッシュウカモク</t>
    </rPh>
    <rPh sb="342" eb="343">
      <t>タ</t>
    </rPh>
    <rPh sb="343" eb="345">
      <t>ガッカ</t>
    </rPh>
    <rPh sb="346" eb="348">
      <t>センタク</t>
    </rPh>
    <phoneticPr fontId="1"/>
  </si>
  <si>
    <t>　数理科学総合教育センターにおいては、教員が常駐し、学生からの質問を随時受け付ける体制を整えている。また、ホームページに数理・データサイエンスに関する演習問題（解答・解説付き）を多数掲載し、それに関わる質問のメールを受け付ける体制も整えている。</t>
    <phoneticPr fontId="1"/>
  </si>
  <si>
    <t>　アンケートの自由記述によると、データサイエンスについての認識と理解が深まり、その必要性と面白さを実感できたことが確認できる。
　このアンケートの記述については、その一部を新入生ガイダンスにおいて配布するパンフレットにも記載し、履修者数の向上に活かしていく。</t>
    <phoneticPr fontId="1"/>
  </si>
  <si>
    <t>　本プログラムは令和3年度の入学生から設置されたもので、まだ修了者は出ていない。プログラムを修了した卒業生が出てからは、就職先アンケート等の実施により、活躍状況、企業等の評価について、確認を行う予定であ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</si>
</sst>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9">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0" fontId="8" fillId="0" borderId="9" xfId="0"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53" xfId="0" applyFont="1" applyBorder="1" applyAlignment="1">
      <alignment horizontal="center" vertical="center" shrinkToFit="1"/>
    </xf>
    <xf numFmtId="9" fontId="8" fillId="0" borderId="8" xfId="0" applyNumberFormat="1" applyFont="1" applyFill="1" applyBorder="1" applyAlignment="1">
      <alignment horizontal="center" vertical="center" wrapText="1" shrinkToFit="1"/>
    </xf>
    <xf numFmtId="0" fontId="8" fillId="0" borderId="8" xfId="0" applyFont="1" applyFill="1" applyBorder="1" applyAlignment="1">
      <alignment horizontal="center" vertical="center" wrapText="1" shrinkToFit="1"/>
    </xf>
    <xf numFmtId="9" fontId="8" fillId="0" borderId="8" xfId="0" applyNumberFormat="1" applyFont="1" applyFill="1" applyBorder="1" applyAlignment="1">
      <alignment horizontal="center" vertical="center" shrinkToFit="1"/>
    </xf>
    <xf numFmtId="9" fontId="8" fillId="0" borderId="45" xfId="0" applyNumberFormat="1" applyFont="1" applyFill="1" applyBorder="1" applyAlignment="1">
      <alignment horizontal="center" vertical="center" shrinkToFit="1"/>
    </xf>
    <xf numFmtId="0" fontId="8" fillId="0" borderId="45" xfId="0" applyFont="1" applyFill="1" applyBorder="1" applyAlignment="1">
      <alignment horizontal="center" vertical="center" shrinkToFit="1"/>
    </xf>
    <xf numFmtId="176" fontId="8" fillId="0" borderId="45" xfId="0" applyNumberFormat="1" applyFont="1" applyFill="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8" fillId="0" borderId="0" xfId="0" applyFont="1" applyAlignment="1">
      <alignment vertical="center" wrapText="1"/>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44" xfId="0" applyFont="1" applyBorder="1" applyAlignment="1">
      <alignment horizontal="center" vertical="center"/>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8" fillId="0" borderId="44" xfId="0" applyFont="1" applyBorder="1" applyAlignment="1">
      <alignment horizontal="left" vertical="center" shrinkToFit="1"/>
    </xf>
    <xf numFmtId="0" fontId="8" fillId="0" borderId="45" xfId="0" applyFont="1" applyBorder="1" applyAlignment="1">
      <alignment horizontal="left" vertical="center" shrinkToFit="1"/>
    </xf>
    <xf numFmtId="0" fontId="8" fillId="0" borderId="46" xfId="0" applyFont="1" applyBorder="1" applyAlignment="1">
      <alignment horizontal="lef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21" fillId="0" borderId="32" xfId="0" applyFont="1" applyBorder="1" applyAlignment="1">
      <alignment vertical="center" wrapTex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22" xfId="0" applyFont="1" applyBorder="1" applyAlignment="1">
      <alignment horizontal="left" vertical="center" wrapText="1" shrinkToFit="1"/>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ak-kikaku@jimu.kumamoto-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msec.kumamoto-u.ac.jp/msdsai/index.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msec.kumamoto-u.ac.jp/msdsai/index.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msec.kumamoto-u.ac.jp/msdsai/index.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msec.kumamoto-u.ac.jp/msdsai/index.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msec.kumamoto-u.ac.jp/msdsai/index.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msec.kumamoto-u.ac.jp/msdsai/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P22" sqref="P22"/>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625" style="14" customWidth="1"/>
    <col min="13" max="13" width="3.375" style="14" customWidth="1"/>
    <col min="14" max="14" width="4.5" style="14" customWidth="1"/>
    <col min="15" max="15" width="9" style="31"/>
    <col min="16" max="16384" width="9" style="13"/>
  </cols>
  <sheetData>
    <row r="1" spans="1:15" ht="24" customHeight="1" x14ac:dyDescent="0.15">
      <c r="M1" s="143" t="s">
        <v>25</v>
      </c>
      <c r="N1" s="143"/>
    </row>
    <row r="2" spans="1:15" ht="24" customHeight="1" x14ac:dyDescent="0.15">
      <c r="A2" s="147" t="s">
        <v>83</v>
      </c>
      <c r="B2" s="147"/>
      <c r="C2" s="147"/>
      <c r="D2" s="147"/>
      <c r="E2" s="147"/>
      <c r="F2" s="147"/>
      <c r="G2" s="147"/>
      <c r="H2" s="147"/>
      <c r="I2" s="147"/>
      <c r="J2" s="147"/>
      <c r="K2" s="147"/>
      <c r="L2" s="147"/>
      <c r="M2" s="147"/>
      <c r="N2" s="147"/>
    </row>
    <row r="3" spans="1:15" ht="24" customHeight="1" x14ac:dyDescent="0.15"/>
    <row r="4" spans="1:15" ht="24" customHeight="1" x14ac:dyDescent="0.15">
      <c r="A4" s="14" t="s">
        <v>6</v>
      </c>
      <c r="B4" s="15" t="s">
        <v>16</v>
      </c>
      <c r="C4" s="135" t="s">
        <v>148</v>
      </c>
      <c r="D4" s="136"/>
      <c r="E4" s="136"/>
      <c r="F4" s="136"/>
      <c r="G4" s="136"/>
      <c r="H4" s="136"/>
      <c r="I4" s="136"/>
      <c r="J4" s="136"/>
      <c r="K4" s="136"/>
      <c r="L4" s="136"/>
      <c r="M4" s="136"/>
      <c r="N4" s="142"/>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35" t="s">
        <v>149</v>
      </c>
      <c r="E6" s="136"/>
      <c r="F6" s="136"/>
      <c r="G6" s="136"/>
      <c r="H6" s="142"/>
      <c r="I6" s="17" t="s">
        <v>86</v>
      </c>
      <c r="J6" s="37" t="s">
        <v>87</v>
      </c>
      <c r="K6" s="135" t="s">
        <v>150</v>
      </c>
      <c r="L6" s="136"/>
      <c r="M6" s="136"/>
      <c r="N6" s="142"/>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35" t="s">
        <v>151</v>
      </c>
      <c r="D8" s="136"/>
      <c r="E8" s="136"/>
      <c r="F8" s="136"/>
      <c r="G8" s="136"/>
      <c r="H8" s="136"/>
      <c r="I8" s="136"/>
      <c r="J8" s="136"/>
      <c r="K8" s="136"/>
      <c r="L8" s="136"/>
      <c r="M8" s="136"/>
      <c r="N8" s="142"/>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35" t="s">
        <v>152</v>
      </c>
      <c r="F10" s="136"/>
      <c r="G10" s="136"/>
      <c r="H10" s="136"/>
      <c r="I10" s="136"/>
      <c r="J10" s="136"/>
      <c r="K10" s="136"/>
      <c r="L10" s="136"/>
      <c r="M10" s="136"/>
      <c r="N10" s="142"/>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48" t="s">
        <v>154</v>
      </c>
      <c r="F12" s="149"/>
      <c r="G12" s="17" t="s">
        <v>96</v>
      </c>
      <c r="H12" s="14" t="s">
        <v>97</v>
      </c>
      <c r="N12" s="111" t="s">
        <v>153</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44" t="s">
        <v>5</v>
      </c>
      <c r="D14" s="145"/>
      <c r="E14" s="139">
        <v>1011</v>
      </c>
      <c r="F14" s="140"/>
      <c r="G14" s="18" t="s">
        <v>7</v>
      </c>
      <c r="I14" s="144" t="s">
        <v>8</v>
      </c>
      <c r="J14" s="145"/>
      <c r="K14" s="139" t="s">
        <v>163</v>
      </c>
      <c r="L14" s="146"/>
      <c r="M14" s="140"/>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27">
        <v>21</v>
      </c>
      <c r="L16" s="128"/>
      <c r="M16" s="129"/>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9">
        <v>1667</v>
      </c>
      <c r="F18" s="140"/>
      <c r="G18" s="21" t="s">
        <v>21</v>
      </c>
      <c r="H18" s="20"/>
      <c r="K18" s="141"/>
      <c r="L18" s="141"/>
      <c r="M18" s="141"/>
      <c r="N18" s="141"/>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30">
        <v>7629</v>
      </c>
      <c r="K20" s="131"/>
      <c r="L20" s="132"/>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39">
        <v>1723</v>
      </c>
      <c r="D22" s="140"/>
      <c r="E22" s="10" t="s">
        <v>22</v>
      </c>
      <c r="F22" s="20"/>
      <c r="G22" s="133" t="s">
        <v>18</v>
      </c>
      <c r="H22" s="133"/>
      <c r="I22" s="139">
        <v>1770</v>
      </c>
      <c r="J22" s="140"/>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39">
        <v>1813</v>
      </c>
      <c r="D24" s="140"/>
      <c r="E24" s="10" t="s">
        <v>22</v>
      </c>
      <c r="F24" s="20"/>
      <c r="G24" s="133" t="s">
        <v>20</v>
      </c>
      <c r="H24" s="133"/>
      <c r="I24" s="139">
        <v>1985</v>
      </c>
      <c r="J24" s="140"/>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39">
        <v>170</v>
      </c>
      <c r="D26" s="140"/>
      <c r="E26" s="10" t="s">
        <v>7</v>
      </c>
      <c r="F26" s="20"/>
      <c r="G26" s="133" t="s">
        <v>47</v>
      </c>
      <c r="H26" s="133"/>
      <c r="I26" s="139">
        <v>168</v>
      </c>
      <c r="J26" s="140"/>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34" t="s">
        <v>74</v>
      </c>
      <c r="C29" s="134"/>
      <c r="D29" s="135" t="s">
        <v>155</v>
      </c>
      <c r="E29" s="136"/>
      <c r="F29" s="136"/>
      <c r="G29" s="137" t="s">
        <v>23</v>
      </c>
      <c r="H29" s="134"/>
      <c r="I29" s="138"/>
      <c r="J29" s="135" t="s">
        <v>156</v>
      </c>
      <c r="K29" s="136"/>
      <c r="L29" s="136"/>
      <c r="M29" s="136"/>
      <c r="N29" s="142"/>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5" t="s">
        <v>157</v>
      </c>
      <c r="C32" s="136"/>
      <c r="D32" s="136"/>
      <c r="E32" s="136"/>
      <c r="F32" s="136"/>
      <c r="G32" s="136"/>
      <c r="H32" s="136"/>
      <c r="I32" s="136"/>
      <c r="J32" s="136"/>
      <c r="K32" s="136"/>
      <c r="L32" s="136"/>
      <c r="M32" s="136"/>
      <c r="N32" s="142"/>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4" t="s">
        <v>74</v>
      </c>
      <c r="C34" s="134"/>
      <c r="D34" s="135" t="s">
        <v>158</v>
      </c>
      <c r="E34" s="136"/>
      <c r="F34" s="136"/>
      <c r="G34" s="137" t="s">
        <v>55</v>
      </c>
      <c r="H34" s="134"/>
      <c r="I34" s="138"/>
      <c r="J34" s="135" t="s">
        <v>159</v>
      </c>
      <c r="K34" s="136"/>
      <c r="L34" s="136"/>
      <c r="M34" s="136"/>
      <c r="N34" s="142"/>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35" t="s">
        <v>157</v>
      </c>
      <c r="C37" s="136"/>
      <c r="D37" s="136"/>
      <c r="E37" s="136"/>
      <c r="F37" s="136"/>
      <c r="G37" s="136"/>
      <c r="H37" s="136"/>
      <c r="I37" s="136"/>
      <c r="J37" s="136"/>
      <c r="K37" s="136"/>
      <c r="L37" s="136"/>
      <c r="M37" s="136"/>
      <c r="N37" s="142"/>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34" t="s">
        <v>74</v>
      </c>
      <c r="C39" s="134"/>
      <c r="D39" s="135" t="s">
        <v>158</v>
      </c>
      <c r="E39" s="136"/>
      <c r="F39" s="136"/>
      <c r="G39" s="137" t="s">
        <v>55</v>
      </c>
      <c r="H39" s="134"/>
      <c r="I39" s="138"/>
      <c r="J39" s="135" t="s">
        <v>159</v>
      </c>
      <c r="K39" s="136"/>
      <c r="L39" s="136"/>
      <c r="M39" s="136"/>
      <c r="N39" s="142"/>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35" t="s">
        <v>165</v>
      </c>
      <c r="G41" s="136"/>
      <c r="H41" s="136"/>
      <c r="I41" s="136"/>
      <c r="J41" s="136"/>
      <c r="K41" s="136"/>
      <c r="L41" s="136"/>
      <c r="M41" s="136"/>
      <c r="N41" s="142"/>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56" t="s">
        <v>160</v>
      </c>
      <c r="D44" s="157"/>
      <c r="E44" s="157"/>
      <c r="F44" s="157"/>
      <c r="G44" s="157"/>
      <c r="H44" s="157"/>
      <c r="I44" s="26" t="s">
        <v>2</v>
      </c>
      <c r="J44" s="27"/>
      <c r="K44" s="135" t="s">
        <v>230</v>
      </c>
      <c r="L44" s="136"/>
      <c r="M44" s="136"/>
      <c r="N44" s="142"/>
      <c r="O44" s="31" t="str">
        <f>IF(OR(C44="",K44=""),"入力してください","")</f>
        <v/>
      </c>
    </row>
    <row r="45" spans="1:15" ht="24" customHeight="1" x14ac:dyDescent="0.15">
      <c r="B45" s="25" t="s">
        <v>4</v>
      </c>
      <c r="C45" s="150" t="s">
        <v>161</v>
      </c>
      <c r="D45" s="151"/>
      <c r="E45" s="151"/>
      <c r="F45" s="151"/>
      <c r="G45" s="151"/>
      <c r="H45" s="152"/>
      <c r="I45" s="26" t="s">
        <v>3</v>
      </c>
      <c r="J45" s="27"/>
      <c r="K45" s="153" t="s">
        <v>162</v>
      </c>
      <c r="L45" s="154"/>
      <c r="M45" s="154"/>
      <c r="N45" s="155"/>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1907B5DD-3021-455C-90AB-2ED6F2F8BC57}"/>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tabSelected="1" view="pageBreakPreview" topLeftCell="A67" zoomScaleNormal="100" zoomScaleSheetLayoutView="100" workbookViewId="0">
      <selection activeCell="G62" sqref="G62"/>
    </sheetView>
  </sheetViews>
  <sheetFormatPr defaultColWidth="9" defaultRowHeight="18.75" customHeight="1"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9" t="s">
        <v>235</v>
      </c>
      <c r="X1" s="179"/>
      <c r="Y1" s="179"/>
      <c r="Z1" s="179"/>
    </row>
    <row r="2" spans="1:26" ht="18" customHeight="1" x14ac:dyDescent="0.15">
      <c r="A2" s="220" t="s">
        <v>67</v>
      </c>
      <c r="B2" s="220"/>
      <c r="C2" s="220"/>
      <c r="D2" s="220"/>
      <c r="E2" s="220"/>
      <c r="F2" s="220"/>
      <c r="G2" s="220"/>
      <c r="H2" s="220"/>
      <c r="I2" s="220"/>
      <c r="J2" s="220"/>
      <c r="K2" s="220"/>
      <c r="L2" s="220"/>
      <c r="M2" s="220"/>
      <c r="N2" s="220"/>
      <c r="O2" s="220"/>
      <c r="P2" s="220"/>
      <c r="Q2" s="220"/>
      <c r="R2" s="220"/>
      <c r="S2" s="220"/>
      <c r="T2" s="220"/>
      <c r="U2" s="220"/>
      <c r="V2" s="220"/>
      <c r="W2" s="220"/>
      <c r="X2" s="220"/>
      <c r="Y2" s="220"/>
      <c r="Z2" s="220"/>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27" t="s">
        <v>164</v>
      </c>
      <c r="P4" s="128"/>
      <c r="Q4" s="128"/>
      <c r="R4" s="128"/>
      <c r="S4" s="128"/>
      <c r="T4" s="128"/>
      <c r="U4" s="128"/>
      <c r="V4" s="128"/>
      <c r="W4" s="128"/>
      <c r="X4" s="128"/>
      <c r="Y4" s="128"/>
      <c r="Z4" s="129"/>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1" t="s">
        <v>243</v>
      </c>
      <c r="C6" s="222"/>
      <c r="D6" s="222"/>
      <c r="E6" s="222"/>
      <c r="F6" s="222"/>
      <c r="G6" s="222"/>
      <c r="H6" s="222"/>
      <c r="I6" s="222"/>
      <c r="J6" s="222"/>
      <c r="K6" s="222"/>
      <c r="L6" s="222"/>
      <c r="M6" s="222"/>
      <c r="N6" s="222"/>
      <c r="O6" s="222"/>
      <c r="P6" s="222"/>
      <c r="Q6" s="222"/>
      <c r="R6" s="222"/>
      <c r="S6" s="222"/>
      <c r="T6" s="222"/>
      <c r="U6" s="222"/>
      <c r="V6" s="222"/>
      <c r="W6" s="222"/>
      <c r="X6" s="222"/>
      <c r="Y6" s="222"/>
      <c r="Z6" s="223"/>
    </row>
    <row r="7" spans="1:26" ht="18" customHeight="1" x14ac:dyDescent="0.15">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x14ac:dyDescent="0.15">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x14ac:dyDescent="0.15">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x14ac:dyDescent="0.15">
      <c r="B10" s="224"/>
      <c r="C10" s="227"/>
      <c r="D10" s="227"/>
      <c r="E10" s="227"/>
      <c r="F10" s="227"/>
      <c r="G10" s="227"/>
      <c r="H10" s="227"/>
      <c r="I10" s="227"/>
      <c r="J10" s="227"/>
      <c r="K10" s="227"/>
      <c r="L10" s="227"/>
      <c r="M10" s="227"/>
      <c r="N10" s="227"/>
      <c r="O10" s="227"/>
      <c r="P10" s="227"/>
      <c r="Q10" s="227"/>
      <c r="R10" s="227"/>
      <c r="S10" s="227"/>
      <c r="T10" s="227"/>
      <c r="U10" s="227"/>
      <c r="V10" s="227"/>
      <c r="W10" s="227"/>
      <c r="X10" s="227"/>
      <c r="Y10" s="227"/>
      <c r="Z10" s="226"/>
    </row>
    <row r="11" spans="1:26" ht="18" customHeight="1" x14ac:dyDescent="0.15">
      <c r="B11" s="228"/>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30"/>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9" t="s">
        <v>125</v>
      </c>
      <c r="B13" s="219"/>
      <c r="C13" s="219"/>
      <c r="D13" s="219"/>
      <c r="E13" s="219"/>
      <c r="F13" s="219"/>
      <c r="G13" s="219"/>
      <c r="H13" s="219"/>
      <c r="I13" s="219"/>
      <c r="J13" s="219"/>
      <c r="K13" s="219"/>
      <c r="L13" s="219"/>
      <c r="M13" s="219"/>
      <c r="N13" s="219"/>
      <c r="O13" s="219"/>
      <c r="P13" s="219"/>
      <c r="Q13" s="219"/>
      <c r="R13" s="219"/>
      <c r="S13" s="219"/>
      <c r="T13" s="219"/>
      <c r="U13" s="219"/>
      <c r="V13" s="219"/>
      <c r="W13" s="219"/>
      <c r="X13" s="219"/>
      <c r="Y13" s="219"/>
      <c r="Z13" s="219"/>
    </row>
    <row r="14" spans="1:26" ht="18" customHeight="1" x14ac:dyDescent="0.15">
      <c r="A14" s="219"/>
      <c r="B14" s="219"/>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row>
    <row r="15" spans="1:26" ht="18" customHeight="1" x14ac:dyDescent="0.15">
      <c r="A15" s="14"/>
      <c r="B15" s="127" t="s">
        <v>100</v>
      </c>
      <c r="C15" s="128"/>
      <c r="D15" s="128"/>
      <c r="E15" s="128"/>
      <c r="F15" s="129"/>
      <c r="G15" s="30" t="s">
        <v>141</v>
      </c>
      <c r="H15" s="106" t="s">
        <v>140</v>
      </c>
      <c r="I15" s="128" t="s">
        <v>101</v>
      </c>
      <c r="J15" s="128"/>
      <c r="K15" s="128"/>
      <c r="L15" s="75" t="s">
        <v>104</v>
      </c>
      <c r="M15" s="75" t="s">
        <v>107</v>
      </c>
      <c r="N15" s="127" t="s">
        <v>100</v>
      </c>
      <c r="O15" s="128"/>
      <c r="P15" s="128"/>
      <c r="Q15" s="128"/>
      <c r="R15" s="128"/>
      <c r="S15" s="129"/>
      <c r="T15" s="30" t="s">
        <v>141</v>
      </c>
      <c r="U15" s="106" t="s">
        <v>140</v>
      </c>
      <c r="V15" s="128" t="s">
        <v>101</v>
      </c>
      <c r="W15" s="128"/>
      <c r="X15" s="128"/>
      <c r="Y15" s="75" t="s">
        <v>104</v>
      </c>
      <c r="Z15" s="75" t="s">
        <v>107</v>
      </c>
    </row>
    <row r="16" spans="1:26" ht="18" customHeight="1" x14ac:dyDescent="0.15">
      <c r="A16" s="14"/>
      <c r="B16" s="180" t="s">
        <v>168</v>
      </c>
      <c r="C16" s="181"/>
      <c r="D16" s="181"/>
      <c r="E16" s="181"/>
      <c r="F16" s="182"/>
      <c r="G16" s="107">
        <v>1</v>
      </c>
      <c r="H16" s="107" t="s">
        <v>171</v>
      </c>
      <c r="I16" s="186" t="s">
        <v>173</v>
      </c>
      <c r="J16" s="187"/>
      <c r="K16" s="188"/>
      <c r="L16" s="107" t="s">
        <v>171</v>
      </c>
      <c r="M16" s="107" t="s">
        <v>171</v>
      </c>
      <c r="N16" s="158"/>
      <c r="O16" s="159"/>
      <c r="P16" s="159"/>
      <c r="Q16" s="159"/>
      <c r="R16" s="159"/>
      <c r="S16" s="160"/>
      <c r="T16" s="107"/>
      <c r="U16" s="107"/>
      <c r="V16" s="186"/>
      <c r="W16" s="187"/>
      <c r="X16" s="188"/>
      <c r="Y16" s="107"/>
      <c r="Z16" s="107"/>
    </row>
    <row r="17" spans="1:26" ht="18" customHeight="1" x14ac:dyDescent="0.15">
      <c r="A17" s="14"/>
      <c r="B17" s="173"/>
      <c r="C17" s="174"/>
      <c r="D17" s="174"/>
      <c r="E17" s="174"/>
      <c r="F17" s="175"/>
      <c r="G17" s="108"/>
      <c r="H17" s="108"/>
      <c r="I17" s="167"/>
      <c r="J17" s="168"/>
      <c r="K17" s="169"/>
      <c r="L17" s="108"/>
      <c r="M17" s="108"/>
      <c r="N17" s="161"/>
      <c r="O17" s="162"/>
      <c r="P17" s="162"/>
      <c r="Q17" s="162"/>
      <c r="R17" s="162"/>
      <c r="S17" s="163"/>
      <c r="T17" s="108"/>
      <c r="U17" s="108"/>
      <c r="V17" s="167"/>
      <c r="W17" s="168"/>
      <c r="X17" s="169"/>
      <c r="Y17" s="108"/>
      <c r="Z17" s="108"/>
    </row>
    <row r="18" spans="1:26" ht="18" customHeight="1" x14ac:dyDescent="0.15">
      <c r="A18" s="14"/>
      <c r="B18" s="173"/>
      <c r="C18" s="174"/>
      <c r="D18" s="174"/>
      <c r="E18" s="174"/>
      <c r="F18" s="175"/>
      <c r="G18" s="108"/>
      <c r="H18" s="108"/>
      <c r="I18" s="167"/>
      <c r="J18" s="168"/>
      <c r="K18" s="169"/>
      <c r="L18" s="108"/>
      <c r="M18" s="108"/>
      <c r="N18" s="161"/>
      <c r="O18" s="162"/>
      <c r="P18" s="162"/>
      <c r="Q18" s="162"/>
      <c r="R18" s="162"/>
      <c r="S18" s="163"/>
      <c r="T18" s="108"/>
      <c r="U18" s="108"/>
      <c r="V18" s="167"/>
      <c r="W18" s="168"/>
      <c r="X18" s="169"/>
      <c r="Y18" s="108"/>
      <c r="Z18" s="108"/>
    </row>
    <row r="19" spans="1:26" ht="18" customHeight="1" x14ac:dyDescent="0.15">
      <c r="A19" s="14"/>
      <c r="B19" s="173"/>
      <c r="C19" s="174"/>
      <c r="D19" s="174"/>
      <c r="E19" s="174"/>
      <c r="F19" s="175"/>
      <c r="G19" s="108"/>
      <c r="H19" s="108"/>
      <c r="I19" s="167"/>
      <c r="J19" s="168"/>
      <c r="K19" s="169"/>
      <c r="L19" s="108"/>
      <c r="M19" s="108"/>
      <c r="N19" s="161"/>
      <c r="O19" s="162"/>
      <c r="P19" s="162"/>
      <c r="Q19" s="162"/>
      <c r="R19" s="162"/>
      <c r="S19" s="163"/>
      <c r="T19" s="108"/>
      <c r="U19" s="108"/>
      <c r="V19" s="167"/>
      <c r="W19" s="168"/>
      <c r="X19" s="169"/>
      <c r="Y19" s="108"/>
      <c r="Z19" s="108"/>
    </row>
    <row r="20" spans="1:26" ht="18" customHeight="1" x14ac:dyDescent="0.15">
      <c r="A20" s="14"/>
      <c r="B20" s="173"/>
      <c r="C20" s="174"/>
      <c r="D20" s="174"/>
      <c r="E20" s="174"/>
      <c r="F20" s="175"/>
      <c r="G20" s="108"/>
      <c r="H20" s="108"/>
      <c r="I20" s="167"/>
      <c r="J20" s="168"/>
      <c r="K20" s="169"/>
      <c r="L20" s="108"/>
      <c r="M20" s="108"/>
      <c r="N20" s="161"/>
      <c r="O20" s="162"/>
      <c r="P20" s="162"/>
      <c r="Q20" s="162"/>
      <c r="R20" s="162"/>
      <c r="S20" s="163"/>
      <c r="T20" s="108"/>
      <c r="U20" s="108"/>
      <c r="V20" s="167"/>
      <c r="W20" s="168"/>
      <c r="X20" s="169"/>
      <c r="Y20" s="108"/>
      <c r="Z20" s="108"/>
    </row>
    <row r="21" spans="1:26" ht="18" customHeight="1" x14ac:dyDescent="0.15">
      <c r="A21" s="29"/>
      <c r="B21" s="173"/>
      <c r="C21" s="174"/>
      <c r="D21" s="174"/>
      <c r="E21" s="174"/>
      <c r="F21" s="175"/>
      <c r="G21" s="108"/>
      <c r="H21" s="108"/>
      <c r="I21" s="167"/>
      <c r="J21" s="168"/>
      <c r="K21" s="169"/>
      <c r="L21" s="108"/>
      <c r="M21" s="108"/>
      <c r="N21" s="161"/>
      <c r="O21" s="162"/>
      <c r="P21" s="162"/>
      <c r="Q21" s="162"/>
      <c r="R21" s="162"/>
      <c r="S21" s="163"/>
      <c r="T21" s="108"/>
      <c r="U21" s="108"/>
      <c r="V21" s="167"/>
      <c r="W21" s="168"/>
      <c r="X21" s="169"/>
      <c r="Y21" s="108"/>
      <c r="Z21" s="108"/>
    </row>
    <row r="22" spans="1:26" ht="18" customHeight="1" x14ac:dyDescent="0.15">
      <c r="A22" s="29"/>
      <c r="B22" s="176"/>
      <c r="C22" s="177"/>
      <c r="D22" s="177"/>
      <c r="E22" s="177"/>
      <c r="F22" s="178"/>
      <c r="G22" s="109"/>
      <c r="H22" s="109"/>
      <c r="I22" s="170"/>
      <c r="J22" s="171"/>
      <c r="K22" s="172"/>
      <c r="L22" s="115"/>
      <c r="M22" s="115"/>
      <c r="N22" s="164"/>
      <c r="O22" s="165"/>
      <c r="P22" s="165"/>
      <c r="Q22" s="165"/>
      <c r="R22" s="165"/>
      <c r="S22" s="166"/>
      <c r="T22" s="109"/>
      <c r="U22" s="109"/>
      <c r="V22" s="170"/>
      <c r="W22" s="171"/>
      <c r="X22" s="172"/>
      <c r="Y22" s="115"/>
      <c r="Z22" s="115"/>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9" t="s">
        <v>126</v>
      </c>
      <c r="B24" s="219"/>
      <c r="C24" s="219"/>
      <c r="D24" s="219"/>
      <c r="E24" s="219"/>
      <c r="F24" s="219"/>
      <c r="G24" s="219"/>
      <c r="H24" s="219"/>
      <c r="I24" s="219"/>
      <c r="J24" s="219"/>
      <c r="K24" s="219"/>
      <c r="L24" s="219"/>
      <c r="M24" s="219"/>
      <c r="N24" s="219"/>
      <c r="O24" s="219"/>
      <c r="P24" s="219"/>
      <c r="Q24" s="219"/>
      <c r="R24" s="219"/>
      <c r="S24" s="219"/>
      <c r="T24" s="219"/>
      <c r="U24" s="219"/>
      <c r="V24" s="219"/>
      <c r="W24" s="219"/>
      <c r="X24" s="219"/>
      <c r="Y24" s="219"/>
      <c r="Z24" s="219"/>
    </row>
    <row r="25" spans="1:26" ht="18" customHeight="1" x14ac:dyDescent="0.15">
      <c r="A25" s="219"/>
      <c r="B25" s="219"/>
      <c r="C25" s="219"/>
      <c r="D25" s="219"/>
      <c r="E25" s="219"/>
      <c r="F25" s="219"/>
      <c r="G25" s="219"/>
      <c r="H25" s="219"/>
      <c r="I25" s="219"/>
      <c r="J25" s="219"/>
      <c r="K25" s="219"/>
      <c r="L25" s="219"/>
      <c r="M25" s="219"/>
      <c r="N25" s="219"/>
      <c r="O25" s="219"/>
      <c r="P25" s="219"/>
      <c r="Q25" s="219"/>
      <c r="R25" s="219"/>
      <c r="S25" s="219"/>
      <c r="T25" s="219"/>
      <c r="U25" s="219"/>
      <c r="V25" s="219"/>
      <c r="W25" s="219"/>
      <c r="X25" s="219"/>
      <c r="Y25" s="219"/>
      <c r="Z25" s="219"/>
    </row>
    <row r="26" spans="1:26" ht="18" customHeight="1" x14ac:dyDescent="0.15">
      <c r="A26" s="14"/>
      <c r="B26" s="127" t="s">
        <v>100</v>
      </c>
      <c r="C26" s="128"/>
      <c r="D26" s="128"/>
      <c r="E26" s="128"/>
      <c r="F26" s="129"/>
      <c r="G26" s="30" t="s">
        <v>141</v>
      </c>
      <c r="H26" s="106" t="s">
        <v>140</v>
      </c>
      <c r="I26" s="128" t="s">
        <v>101</v>
      </c>
      <c r="J26" s="128"/>
      <c r="K26" s="128"/>
      <c r="L26" s="75" t="s">
        <v>127</v>
      </c>
      <c r="M26" s="75" t="s">
        <v>128</v>
      </c>
      <c r="N26" s="127" t="s">
        <v>100</v>
      </c>
      <c r="O26" s="128"/>
      <c r="P26" s="128"/>
      <c r="Q26" s="128"/>
      <c r="R26" s="128"/>
      <c r="S26" s="129"/>
      <c r="T26" s="30" t="s">
        <v>141</v>
      </c>
      <c r="U26" s="106" t="s">
        <v>140</v>
      </c>
      <c r="V26" s="128" t="s">
        <v>101</v>
      </c>
      <c r="W26" s="128"/>
      <c r="X26" s="128"/>
      <c r="Y26" s="75" t="s">
        <v>127</v>
      </c>
      <c r="Z26" s="75" t="s">
        <v>128</v>
      </c>
    </row>
    <row r="27" spans="1:26" ht="18" customHeight="1" x14ac:dyDescent="0.15">
      <c r="A27" s="14"/>
      <c r="B27" s="180" t="s">
        <v>168</v>
      </c>
      <c r="C27" s="181"/>
      <c r="D27" s="181"/>
      <c r="E27" s="181"/>
      <c r="F27" s="182"/>
      <c r="G27" s="107">
        <v>1</v>
      </c>
      <c r="H27" s="107" t="s">
        <v>171</v>
      </c>
      <c r="I27" s="186" t="s">
        <v>173</v>
      </c>
      <c r="J27" s="187"/>
      <c r="K27" s="188"/>
      <c r="L27" s="107" t="s">
        <v>171</v>
      </c>
      <c r="M27" s="107" t="s">
        <v>171</v>
      </c>
      <c r="N27" s="158"/>
      <c r="O27" s="159"/>
      <c r="P27" s="159"/>
      <c r="Q27" s="159"/>
      <c r="R27" s="159"/>
      <c r="S27" s="160"/>
      <c r="T27" s="107"/>
      <c r="U27" s="107"/>
      <c r="V27" s="186"/>
      <c r="W27" s="187"/>
      <c r="X27" s="188"/>
      <c r="Y27" s="107"/>
      <c r="Z27" s="107"/>
    </row>
    <row r="28" spans="1:26" ht="18" customHeight="1" x14ac:dyDescent="0.15">
      <c r="A28" s="14"/>
      <c r="B28" s="173"/>
      <c r="C28" s="174"/>
      <c r="D28" s="174"/>
      <c r="E28" s="174"/>
      <c r="F28" s="175"/>
      <c r="G28" s="108"/>
      <c r="H28" s="108"/>
      <c r="I28" s="167"/>
      <c r="J28" s="168"/>
      <c r="K28" s="169"/>
      <c r="L28" s="108"/>
      <c r="M28" s="108"/>
      <c r="N28" s="161"/>
      <c r="O28" s="162"/>
      <c r="P28" s="162"/>
      <c r="Q28" s="162"/>
      <c r="R28" s="162"/>
      <c r="S28" s="163"/>
      <c r="T28" s="108"/>
      <c r="U28" s="108"/>
      <c r="V28" s="167"/>
      <c r="W28" s="168"/>
      <c r="X28" s="169"/>
      <c r="Y28" s="108"/>
      <c r="Z28" s="108"/>
    </row>
    <row r="29" spans="1:26" ht="18" customHeight="1" x14ac:dyDescent="0.15">
      <c r="A29" s="14"/>
      <c r="B29" s="173"/>
      <c r="C29" s="174"/>
      <c r="D29" s="174"/>
      <c r="E29" s="174"/>
      <c r="F29" s="175"/>
      <c r="G29" s="108"/>
      <c r="H29" s="108"/>
      <c r="I29" s="167"/>
      <c r="J29" s="168"/>
      <c r="K29" s="169"/>
      <c r="L29" s="108"/>
      <c r="M29" s="108"/>
      <c r="N29" s="161"/>
      <c r="O29" s="162"/>
      <c r="P29" s="162"/>
      <c r="Q29" s="162"/>
      <c r="R29" s="162"/>
      <c r="S29" s="163"/>
      <c r="T29" s="108"/>
      <c r="U29" s="108"/>
      <c r="V29" s="167"/>
      <c r="W29" s="168"/>
      <c r="X29" s="169"/>
      <c r="Y29" s="108"/>
      <c r="Z29" s="108"/>
    </row>
    <row r="30" spans="1:26" ht="18" customHeight="1" x14ac:dyDescent="0.15">
      <c r="A30" s="14"/>
      <c r="B30" s="173"/>
      <c r="C30" s="174"/>
      <c r="D30" s="174"/>
      <c r="E30" s="174"/>
      <c r="F30" s="175"/>
      <c r="G30" s="108"/>
      <c r="H30" s="108"/>
      <c r="I30" s="167"/>
      <c r="J30" s="168"/>
      <c r="K30" s="169"/>
      <c r="L30" s="108"/>
      <c r="M30" s="108"/>
      <c r="N30" s="161"/>
      <c r="O30" s="162"/>
      <c r="P30" s="162"/>
      <c r="Q30" s="162"/>
      <c r="R30" s="162"/>
      <c r="S30" s="163"/>
      <c r="T30" s="108"/>
      <c r="U30" s="108"/>
      <c r="V30" s="167"/>
      <c r="W30" s="168"/>
      <c r="X30" s="169"/>
      <c r="Y30" s="108"/>
      <c r="Z30" s="108"/>
    </row>
    <row r="31" spans="1:26" ht="18" customHeight="1" x14ac:dyDescent="0.15">
      <c r="A31" s="14"/>
      <c r="B31" s="173"/>
      <c r="C31" s="174"/>
      <c r="D31" s="174"/>
      <c r="E31" s="174"/>
      <c r="F31" s="175"/>
      <c r="G31" s="108"/>
      <c r="H31" s="108"/>
      <c r="I31" s="167"/>
      <c r="J31" s="168"/>
      <c r="K31" s="169"/>
      <c r="L31" s="108"/>
      <c r="M31" s="108"/>
      <c r="N31" s="161"/>
      <c r="O31" s="162"/>
      <c r="P31" s="162"/>
      <c r="Q31" s="162"/>
      <c r="R31" s="162"/>
      <c r="S31" s="163"/>
      <c r="T31" s="108"/>
      <c r="U31" s="108"/>
      <c r="V31" s="167"/>
      <c r="W31" s="168"/>
      <c r="X31" s="169"/>
      <c r="Y31" s="108"/>
      <c r="Z31" s="108"/>
    </row>
    <row r="32" spans="1:26" ht="18" customHeight="1" x14ac:dyDescent="0.15">
      <c r="A32" s="14"/>
      <c r="B32" s="173"/>
      <c r="C32" s="174"/>
      <c r="D32" s="174"/>
      <c r="E32" s="174"/>
      <c r="F32" s="175"/>
      <c r="G32" s="108"/>
      <c r="H32" s="108"/>
      <c r="I32" s="167"/>
      <c r="J32" s="168"/>
      <c r="K32" s="169"/>
      <c r="L32" s="108"/>
      <c r="M32" s="108"/>
      <c r="N32" s="161"/>
      <c r="O32" s="162"/>
      <c r="P32" s="162"/>
      <c r="Q32" s="162"/>
      <c r="R32" s="162"/>
      <c r="S32" s="163"/>
      <c r="T32" s="108"/>
      <c r="U32" s="108"/>
      <c r="V32" s="167"/>
      <c r="W32" s="168"/>
      <c r="X32" s="169"/>
      <c r="Y32" s="108"/>
      <c r="Z32" s="108"/>
    </row>
    <row r="33" spans="1:26" ht="18" customHeight="1" x14ac:dyDescent="0.15">
      <c r="A33" s="14"/>
      <c r="B33" s="176"/>
      <c r="C33" s="177"/>
      <c r="D33" s="177"/>
      <c r="E33" s="177"/>
      <c r="F33" s="178"/>
      <c r="G33" s="109"/>
      <c r="H33" s="109"/>
      <c r="I33" s="170"/>
      <c r="J33" s="171"/>
      <c r="K33" s="172"/>
      <c r="L33" s="115"/>
      <c r="M33" s="115"/>
      <c r="N33" s="164"/>
      <c r="O33" s="165"/>
      <c r="P33" s="165"/>
      <c r="Q33" s="165"/>
      <c r="R33" s="165"/>
      <c r="S33" s="166"/>
      <c r="T33" s="109"/>
      <c r="U33" s="109"/>
      <c r="V33" s="170"/>
      <c r="W33" s="171"/>
      <c r="X33" s="172"/>
      <c r="Y33" s="115"/>
      <c r="Z33" s="115"/>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9" t="s">
        <v>129</v>
      </c>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row>
    <row r="36" spans="1:26" ht="18" customHeight="1" x14ac:dyDescent="0.15">
      <c r="A36" s="219"/>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row>
    <row r="37" spans="1:26" ht="18" customHeight="1" x14ac:dyDescent="0.15">
      <c r="A37" s="14"/>
      <c r="B37" s="127" t="s">
        <v>100</v>
      </c>
      <c r="C37" s="128"/>
      <c r="D37" s="128"/>
      <c r="E37" s="128"/>
      <c r="F37" s="129"/>
      <c r="G37" s="30" t="s">
        <v>141</v>
      </c>
      <c r="H37" s="106" t="s">
        <v>140</v>
      </c>
      <c r="I37" s="127" t="s">
        <v>101</v>
      </c>
      <c r="J37" s="128"/>
      <c r="K37" s="129"/>
      <c r="L37" s="75" t="s">
        <v>130</v>
      </c>
      <c r="M37" s="75" t="s">
        <v>131</v>
      </c>
      <c r="N37" s="127" t="s">
        <v>100</v>
      </c>
      <c r="O37" s="128"/>
      <c r="P37" s="128"/>
      <c r="Q37" s="128"/>
      <c r="R37" s="128"/>
      <c r="S37" s="129"/>
      <c r="T37" s="30" t="s">
        <v>141</v>
      </c>
      <c r="U37" s="106" t="s">
        <v>140</v>
      </c>
      <c r="V37" s="127" t="s">
        <v>101</v>
      </c>
      <c r="W37" s="128"/>
      <c r="X37" s="129"/>
      <c r="Y37" s="75" t="s">
        <v>130</v>
      </c>
      <c r="Z37" s="75" t="s">
        <v>131</v>
      </c>
    </row>
    <row r="38" spans="1:26" ht="18" customHeight="1" x14ac:dyDescent="0.15">
      <c r="A38" s="29"/>
      <c r="B38" s="180" t="s">
        <v>168</v>
      </c>
      <c r="C38" s="181"/>
      <c r="D38" s="181"/>
      <c r="E38" s="181"/>
      <c r="F38" s="182"/>
      <c r="G38" s="107">
        <v>1</v>
      </c>
      <c r="H38" s="107" t="s">
        <v>171</v>
      </c>
      <c r="I38" s="186" t="s">
        <v>173</v>
      </c>
      <c r="J38" s="187"/>
      <c r="K38" s="188"/>
      <c r="L38" s="107" t="s">
        <v>171</v>
      </c>
      <c r="M38" s="107" t="s">
        <v>171</v>
      </c>
      <c r="N38" s="158"/>
      <c r="O38" s="159"/>
      <c r="P38" s="159"/>
      <c r="Q38" s="159"/>
      <c r="R38" s="159"/>
      <c r="S38" s="160"/>
      <c r="T38" s="107"/>
      <c r="U38" s="107"/>
      <c r="V38" s="186"/>
      <c r="W38" s="187"/>
      <c r="X38" s="188"/>
      <c r="Y38" s="107"/>
      <c r="Z38" s="107"/>
    </row>
    <row r="39" spans="1:26" ht="18" customHeight="1" x14ac:dyDescent="0.15">
      <c r="A39" s="29"/>
      <c r="B39" s="173"/>
      <c r="C39" s="174"/>
      <c r="D39" s="174"/>
      <c r="E39" s="174"/>
      <c r="F39" s="175"/>
      <c r="G39" s="108"/>
      <c r="H39" s="108"/>
      <c r="I39" s="167"/>
      <c r="J39" s="168"/>
      <c r="K39" s="169"/>
      <c r="L39" s="108"/>
      <c r="M39" s="108"/>
      <c r="N39" s="161"/>
      <c r="O39" s="162"/>
      <c r="P39" s="162"/>
      <c r="Q39" s="162"/>
      <c r="R39" s="162"/>
      <c r="S39" s="163"/>
      <c r="T39" s="108"/>
      <c r="U39" s="108"/>
      <c r="V39" s="167"/>
      <c r="W39" s="168"/>
      <c r="X39" s="169"/>
      <c r="Y39" s="108"/>
      <c r="Z39" s="108"/>
    </row>
    <row r="40" spans="1:26" ht="18" customHeight="1" x14ac:dyDescent="0.15">
      <c r="A40" s="29"/>
      <c r="B40" s="173"/>
      <c r="C40" s="174"/>
      <c r="D40" s="174"/>
      <c r="E40" s="174"/>
      <c r="F40" s="175"/>
      <c r="G40" s="108"/>
      <c r="H40" s="108"/>
      <c r="I40" s="167"/>
      <c r="J40" s="168"/>
      <c r="K40" s="169"/>
      <c r="L40" s="108"/>
      <c r="M40" s="108"/>
      <c r="N40" s="161"/>
      <c r="O40" s="162"/>
      <c r="P40" s="162"/>
      <c r="Q40" s="162"/>
      <c r="R40" s="162"/>
      <c r="S40" s="163"/>
      <c r="T40" s="108"/>
      <c r="U40" s="108"/>
      <c r="V40" s="167"/>
      <c r="W40" s="168"/>
      <c r="X40" s="169"/>
      <c r="Y40" s="108"/>
      <c r="Z40" s="108"/>
    </row>
    <row r="41" spans="1:26" ht="18" customHeight="1" x14ac:dyDescent="0.15">
      <c r="A41" s="29"/>
      <c r="B41" s="173"/>
      <c r="C41" s="174"/>
      <c r="D41" s="174"/>
      <c r="E41" s="174"/>
      <c r="F41" s="175"/>
      <c r="G41" s="108"/>
      <c r="H41" s="108"/>
      <c r="I41" s="167"/>
      <c r="J41" s="168"/>
      <c r="K41" s="169"/>
      <c r="L41" s="108"/>
      <c r="M41" s="108"/>
      <c r="N41" s="161"/>
      <c r="O41" s="162"/>
      <c r="P41" s="162"/>
      <c r="Q41" s="162"/>
      <c r="R41" s="162"/>
      <c r="S41" s="163"/>
      <c r="T41" s="108"/>
      <c r="U41" s="108"/>
      <c r="V41" s="167"/>
      <c r="W41" s="168"/>
      <c r="X41" s="169"/>
      <c r="Y41" s="108"/>
      <c r="Z41" s="108"/>
    </row>
    <row r="42" spans="1:26" ht="18" customHeight="1" x14ac:dyDescent="0.15">
      <c r="A42" s="29"/>
      <c r="B42" s="173"/>
      <c r="C42" s="174"/>
      <c r="D42" s="174"/>
      <c r="E42" s="174"/>
      <c r="F42" s="175"/>
      <c r="G42" s="108"/>
      <c r="H42" s="108"/>
      <c r="I42" s="167"/>
      <c r="J42" s="168"/>
      <c r="K42" s="169"/>
      <c r="L42" s="108"/>
      <c r="M42" s="108"/>
      <c r="N42" s="161"/>
      <c r="O42" s="162"/>
      <c r="P42" s="162"/>
      <c r="Q42" s="162"/>
      <c r="R42" s="162"/>
      <c r="S42" s="163"/>
      <c r="T42" s="108"/>
      <c r="U42" s="108"/>
      <c r="V42" s="167"/>
      <c r="W42" s="168"/>
      <c r="X42" s="169"/>
      <c r="Y42" s="108"/>
      <c r="Z42" s="108"/>
    </row>
    <row r="43" spans="1:26" ht="18" customHeight="1" x14ac:dyDescent="0.15">
      <c r="A43" s="29"/>
      <c r="B43" s="173"/>
      <c r="C43" s="174"/>
      <c r="D43" s="174"/>
      <c r="E43" s="174"/>
      <c r="F43" s="175"/>
      <c r="G43" s="108"/>
      <c r="H43" s="108"/>
      <c r="I43" s="167"/>
      <c r="J43" s="168"/>
      <c r="K43" s="169"/>
      <c r="L43" s="108"/>
      <c r="M43" s="108"/>
      <c r="N43" s="161"/>
      <c r="O43" s="162"/>
      <c r="P43" s="162"/>
      <c r="Q43" s="162"/>
      <c r="R43" s="162"/>
      <c r="S43" s="163"/>
      <c r="T43" s="108"/>
      <c r="U43" s="108"/>
      <c r="V43" s="167"/>
      <c r="W43" s="168"/>
      <c r="X43" s="169"/>
      <c r="Y43" s="108"/>
      <c r="Z43" s="108"/>
    </row>
    <row r="44" spans="1:26" ht="18" customHeight="1" x14ac:dyDescent="0.15">
      <c r="A44" s="29"/>
      <c r="B44" s="176"/>
      <c r="C44" s="177"/>
      <c r="D44" s="177"/>
      <c r="E44" s="177"/>
      <c r="F44" s="178"/>
      <c r="G44" s="109"/>
      <c r="H44" s="109"/>
      <c r="I44" s="170"/>
      <c r="J44" s="171"/>
      <c r="K44" s="172"/>
      <c r="L44" s="115"/>
      <c r="M44" s="115"/>
      <c r="N44" s="164"/>
      <c r="O44" s="165"/>
      <c r="P44" s="165"/>
      <c r="Q44" s="165"/>
      <c r="R44" s="165"/>
      <c r="S44" s="166"/>
      <c r="T44" s="109"/>
      <c r="U44" s="109"/>
      <c r="V44" s="170"/>
      <c r="W44" s="171"/>
      <c r="X44" s="172"/>
      <c r="Y44" s="115"/>
      <c r="Z44" s="115"/>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9" t="s">
        <v>132</v>
      </c>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row>
    <row r="47" spans="1:26" ht="18" customHeight="1" x14ac:dyDescent="0.15">
      <c r="A47" s="219"/>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row>
    <row r="48" spans="1:26" ht="18" customHeight="1" x14ac:dyDescent="0.15">
      <c r="A48" s="14"/>
      <c r="B48" s="127" t="s">
        <v>100</v>
      </c>
      <c r="C48" s="128"/>
      <c r="D48" s="128"/>
      <c r="E48" s="128"/>
      <c r="F48" s="129"/>
      <c r="G48" s="30" t="s">
        <v>141</v>
      </c>
      <c r="H48" s="106" t="s">
        <v>140</v>
      </c>
      <c r="I48" s="127" t="s">
        <v>101</v>
      </c>
      <c r="J48" s="128"/>
      <c r="K48" s="129"/>
      <c r="L48" s="75" t="s">
        <v>106</v>
      </c>
      <c r="M48" s="75" t="s">
        <v>108</v>
      </c>
      <c r="N48" s="127" t="s">
        <v>100</v>
      </c>
      <c r="O48" s="128"/>
      <c r="P48" s="128"/>
      <c r="Q48" s="128"/>
      <c r="R48" s="128"/>
      <c r="S48" s="129"/>
      <c r="T48" s="30" t="s">
        <v>141</v>
      </c>
      <c r="U48" s="106" t="s">
        <v>140</v>
      </c>
      <c r="V48" s="127" t="s">
        <v>101</v>
      </c>
      <c r="W48" s="128"/>
      <c r="X48" s="129"/>
      <c r="Y48" s="75" t="s">
        <v>106</v>
      </c>
      <c r="Z48" s="75" t="s">
        <v>108</v>
      </c>
    </row>
    <row r="49" spans="1:26" ht="18" customHeight="1" x14ac:dyDescent="0.15">
      <c r="A49" s="29"/>
      <c r="B49" s="180" t="s">
        <v>166</v>
      </c>
      <c r="C49" s="181"/>
      <c r="D49" s="181"/>
      <c r="E49" s="181"/>
      <c r="F49" s="182"/>
      <c r="G49" s="107">
        <v>1</v>
      </c>
      <c r="H49" s="107" t="s">
        <v>171</v>
      </c>
      <c r="I49" s="186" t="s">
        <v>172</v>
      </c>
      <c r="J49" s="187"/>
      <c r="K49" s="188"/>
      <c r="L49" s="120"/>
      <c r="M49" s="120" t="s">
        <v>171</v>
      </c>
      <c r="N49" s="158"/>
      <c r="O49" s="159"/>
      <c r="P49" s="159"/>
      <c r="Q49" s="159"/>
      <c r="R49" s="159"/>
      <c r="S49" s="160"/>
      <c r="T49" s="107"/>
      <c r="U49" s="107"/>
      <c r="V49" s="186"/>
      <c r="W49" s="187"/>
      <c r="X49" s="188"/>
      <c r="Y49" s="107"/>
      <c r="Z49" s="107"/>
    </row>
    <row r="50" spans="1:26" ht="18" customHeight="1" x14ac:dyDescent="0.15">
      <c r="A50" s="29"/>
      <c r="B50" s="173" t="s">
        <v>167</v>
      </c>
      <c r="C50" s="174"/>
      <c r="D50" s="174"/>
      <c r="E50" s="174"/>
      <c r="F50" s="175"/>
      <c r="G50" s="108">
        <v>1</v>
      </c>
      <c r="H50" s="108" t="s">
        <v>171</v>
      </c>
      <c r="I50" s="167" t="s">
        <v>172</v>
      </c>
      <c r="J50" s="168"/>
      <c r="K50" s="169"/>
      <c r="L50" s="120"/>
      <c r="M50" s="120" t="s">
        <v>171</v>
      </c>
      <c r="N50" s="161"/>
      <c r="O50" s="162"/>
      <c r="P50" s="162"/>
      <c r="Q50" s="162"/>
      <c r="R50" s="162"/>
      <c r="S50" s="163"/>
      <c r="T50" s="108"/>
      <c r="U50" s="108"/>
      <c r="V50" s="167"/>
      <c r="W50" s="168"/>
      <c r="X50" s="169"/>
      <c r="Y50" s="108"/>
      <c r="Z50" s="108"/>
    </row>
    <row r="51" spans="1:26" ht="18" customHeight="1" x14ac:dyDescent="0.15">
      <c r="A51" s="29"/>
      <c r="B51" s="234" t="s">
        <v>168</v>
      </c>
      <c r="C51" s="235"/>
      <c r="D51" s="235"/>
      <c r="E51" s="235"/>
      <c r="F51" s="236"/>
      <c r="G51" s="120">
        <v>1</v>
      </c>
      <c r="H51" s="120" t="s">
        <v>171</v>
      </c>
      <c r="I51" s="231" t="s">
        <v>173</v>
      </c>
      <c r="J51" s="232"/>
      <c r="K51" s="233"/>
      <c r="L51" s="120" t="s">
        <v>171</v>
      </c>
      <c r="M51" s="120" t="s">
        <v>171</v>
      </c>
      <c r="N51" s="161"/>
      <c r="O51" s="162"/>
      <c r="P51" s="162"/>
      <c r="Q51" s="162"/>
      <c r="R51" s="162"/>
      <c r="S51" s="163"/>
      <c r="T51" s="108"/>
      <c r="U51" s="108"/>
      <c r="V51" s="167"/>
      <c r="W51" s="168"/>
      <c r="X51" s="169"/>
      <c r="Y51" s="108"/>
      <c r="Z51" s="108"/>
    </row>
    <row r="52" spans="1:26" ht="18" customHeight="1" x14ac:dyDescent="0.15">
      <c r="A52" s="29"/>
      <c r="B52" s="173"/>
      <c r="C52" s="174"/>
      <c r="D52" s="174"/>
      <c r="E52" s="174"/>
      <c r="F52" s="175"/>
      <c r="G52" s="108"/>
      <c r="H52" s="108"/>
      <c r="I52" s="167"/>
      <c r="J52" s="168"/>
      <c r="K52" s="169"/>
      <c r="L52" s="108"/>
      <c r="M52" s="108"/>
      <c r="N52" s="161"/>
      <c r="O52" s="162"/>
      <c r="P52" s="162"/>
      <c r="Q52" s="162"/>
      <c r="R52" s="162"/>
      <c r="S52" s="163"/>
      <c r="T52" s="108"/>
      <c r="U52" s="108"/>
      <c r="V52" s="167"/>
      <c r="W52" s="168"/>
      <c r="X52" s="169"/>
      <c r="Y52" s="108"/>
      <c r="Z52" s="108"/>
    </row>
    <row r="53" spans="1:26" ht="18" customHeight="1" x14ac:dyDescent="0.15">
      <c r="A53" s="29"/>
      <c r="B53" s="173"/>
      <c r="C53" s="174"/>
      <c r="D53" s="174"/>
      <c r="E53" s="174"/>
      <c r="F53" s="175"/>
      <c r="G53" s="108"/>
      <c r="H53" s="108"/>
      <c r="I53" s="167"/>
      <c r="J53" s="168"/>
      <c r="K53" s="169"/>
      <c r="L53" s="108"/>
      <c r="M53" s="108"/>
      <c r="N53" s="161"/>
      <c r="O53" s="162"/>
      <c r="P53" s="162"/>
      <c r="Q53" s="162"/>
      <c r="R53" s="162"/>
      <c r="S53" s="163"/>
      <c r="T53" s="108"/>
      <c r="U53" s="108"/>
      <c r="V53" s="167"/>
      <c r="W53" s="168"/>
      <c r="X53" s="169"/>
      <c r="Y53" s="108"/>
      <c r="Z53" s="108"/>
    </row>
    <row r="54" spans="1:26" ht="18" customHeight="1" x14ac:dyDescent="0.15">
      <c r="A54" s="29"/>
      <c r="B54" s="173"/>
      <c r="C54" s="174"/>
      <c r="D54" s="174"/>
      <c r="E54" s="174"/>
      <c r="F54" s="175"/>
      <c r="G54" s="108"/>
      <c r="H54" s="108"/>
      <c r="I54" s="167"/>
      <c r="J54" s="168"/>
      <c r="K54" s="169"/>
      <c r="L54" s="108"/>
      <c r="M54" s="108"/>
      <c r="N54" s="161"/>
      <c r="O54" s="162"/>
      <c r="P54" s="162"/>
      <c r="Q54" s="162"/>
      <c r="R54" s="162"/>
      <c r="S54" s="163"/>
      <c r="T54" s="108"/>
      <c r="U54" s="108"/>
      <c r="V54" s="167"/>
      <c r="W54" s="168"/>
      <c r="X54" s="169"/>
      <c r="Y54" s="108"/>
      <c r="Z54" s="108"/>
    </row>
    <row r="55" spans="1:26" ht="18" customHeight="1" x14ac:dyDescent="0.15">
      <c r="A55" s="29"/>
      <c r="B55" s="176"/>
      <c r="C55" s="177"/>
      <c r="D55" s="177"/>
      <c r="E55" s="177"/>
      <c r="F55" s="178"/>
      <c r="G55" s="109"/>
      <c r="H55" s="109"/>
      <c r="I55" s="170"/>
      <c r="J55" s="171"/>
      <c r="K55" s="172"/>
      <c r="L55" s="115"/>
      <c r="M55" s="115"/>
      <c r="N55" s="164"/>
      <c r="O55" s="165"/>
      <c r="P55" s="165"/>
      <c r="Q55" s="165"/>
      <c r="R55" s="165"/>
      <c r="S55" s="166"/>
      <c r="T55" s="109"/>
      <c r="U55" s="109"/>
      <c r="V55" s="170"/>
      <c r="W55" s="171"/>
      <c r="X55" s="172"/>
      <c r="Y55" s="115"/>
      <c r="Z55" s="115"/>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9" t="s">
        <v>133</v>
      </c>
      <c r="B57" s="219"/>
      <c r="C57" s="219"/>
      <c r="D57" s="219"/>
      <c r="E57" s="219"/>
      <c r="F57" s="219"/>
      <c r="G57" s="219"/>
      <c r="H57" s="219"/>
      <c r="I57" s="219"/>
      <c r="J57" s="219"/>
      <c r="K57" s="219"/>
      <c r="L57" s="219"/>
      <c r="M57" s="219"/>
      <c r="N57" s="219"/>
      <c r="O57" s="219"/>
      <c r="P57" s="219"/>
      <c r="Q57" s="219"/>
      <c r="R57" s="219"/>
      <c r="S57" s="219"/>
      <c r="T57" s="219"/>
      <c r="U57" s="219"/>
      <c r="V57" s="219"/>
      <c r="W57" s="219"/>
      <c r="X57" s="219"/>
      <c r="Y57" s="219"/>
      <c r="Z57" s="219"/>
    </row>
    <row r="58" spans="1:26" ht="18" customHeight="1" x14ac:dyDescent="0.15">
      <c r="A58" s="219"/>
      <c r="B58" s="219"/>
      <c r="C58" s="219"/>
      <c r="D58" s="219"/>
      <c r="E58" s="219"/>
      <c r="F58" s="219"/>
      <c r="G58" s="219"/>
      <c r="H58" s="219"/>
      <c r="I58" s="219"/>
      <c r="J58" s="219"/>
      <c r="K58" s="219"/>
      <c r="L58" s="219"/>
      <c r="M58" s="219"/>
      <c r="N58" s="219"/>
      <c r="O58" s="219"/>
      <c r="P58" s="219"/>
      <c r="Q58" s="219"/>
      <c r="R58" s="219"/>
      <c r="S58" s="219"/>
      <c r="T58" s="219"/>
      <c r="U58" s="219"/>
      <c r="V58" s="219"/>
      <c r="W58" s="219"/>
      <c r="X58" s="219"/>
      <c r="Y58" s="219"/>
      <c r="Z58" s="219"/>
    </row>
    <row r="59" spans="1:26" ht="18" customHeight="1" x14ac:dyDescent="0.15">
      <c r="A59" s="14"/>
      <c r="B59" s="127" t="s">
        <v>100</v>
      </c>
      <c r="C59" s="128"/>
      <c r="D59" s="128"/>
      <c r="E59" s="129"/>
      <c r="F59" s="30" t="s">
        <v>141</v>
      </c>
      <c r="G59" s="106" t="s">
        <v>140</v>
      </c>
      <c r="H59" s="101" t="s">
        <v>101</v>
      </c>
      <c r="I59" s="102"/>
      <c r="J59" s="103"/>
      <c r="K59" s="75" t="s">
        <v>105</v>
      </c>
      <c r="L59" s="75" t="s">
        <v>134</v>
      </c>
      <c r="M59" s="75" t="s">
        <v>135</v>
      </c>
      <c r="N59" s="127" t="s">
        <v>100</v>
      </c>
      <c r="O59" s="128"/>
      <c r="P59" s="128"/>
      <c r="Q59" s="128"/>
      <c r="R59" s="129"/>
      <c r="S59" s="30" t="s">
        <v>141</v>
      </c>
      <c r="T59" s="106" t="s">
        <v>140</v>
      </c>
      <c r="U59" s="101" t="s">
        <v>101</v>
      </c>
      <c r="V59" s="102"/>
      <c r="W59" s="103"/>
      <c r="X59" s="75" t="s">
        <v>105</v>
      </c>
      <c r="Y59" s="75" t="s">
        <v>134</v>
      </c>
      <c r="Z59" s="75" t="s">
        <v>135</v>
      </c>
    </row>
    <row r="60" spans="1:26" ht="18" customHeight="1" x14ac:dyDescent="0.15">
      <c r="A60" s="29"/>
      <c r="B60" s="158" t="s">
        <v>174</v>
      </c>
      <c r="C60" s="159"/>
      <c r="D60" s="159"/>
      <c r="E60" s="160"/>
      <c r="F60" s="107">
        <v>1</v>
      </c>
      <c r="G60" s="107" t="s">
        <v>171</v>
      </c>
      <c r="H60" s="186" t="s">
        <v>172</v>
      </c>
      <c r="I60" s="187"/>
      <c r="J60" s="188"/>
      <c r="K60" s="120"/>
      <c r="L60" s="120" t="s">
        <v>171</v>
      </c>
      <c r="M60" s="120" t="s">
        <v>171</v>
      </c>
      <c r="N60" s="158"/>
      <c r="O60" s="159"/>
      <c r="P60" s="159"/>
      <c r="Q60" s="159"/>
      <c r="R60" s="160"/>
      <c r="S60" s="107"/>
      <c r="T60" s="107"/>
      <c r="U60" s="186"/>
      <c r="V60" s="187"/>
      <c r="W60" s="188"/>
      <c r="X60" s="114"/>
      <c r="Y60" s="107"/>
      <c r="Z60" s="107"/>
    </row>
    <row r="61" spans="1:26" ht="18" customHeight="1" x14ac:dyDescent="0.15">
      <c r="A61" s="29"/>
      <c r="B61" s="161" t="s">
        <v>175</v>
      </c>
      <c r="C61" s="162"/>
      <c r="D61" s="162"/>
      <c r="E61" s="163"/>
      <c r="F61" s="108">
        <v>1</v>
      </c>
      <c r="G61" s="108" t="s">
        <v>171</v>
      </c>
      <c r="H61" s="167" t="s">
        <v>172</v>
      </c>
      <c r="I61" s="168"/>
      <c r="J61" s="169"/>
      <c r="K61" s="120" t="s">
        <v>171</v>
      </c>
      <c r="L61" s="120"/>
      <c r="M61" s="120"/>
      <c r="N61" s="161"/>
      <c r="O61" s="162"/>
      <c r="P61" s="162"/>
      <c r="Q61" s="162"/>
      <c r="R61" s="163"/>
      <c r="S61" s="108"/>
      <c r="T61" s="108"/>
      <c r="U61" s="167"/>
      <c r="V61" s="168"/>
      <c r="W61" s="169"/>
      <c r="X61" s="112"/>
      <c r="Y61" s="108"/>
      <c r="Z61" s="108"/>
    </row>
    <row r="62" spans="1:26" ht="18" customHeight="1" x14ac:dyDescent="0.15">
      <c r="A62" s="29"/>
      <c r="B62" s="161" t="s">
        <v>168</v>
      </c>
      <c r="C62" s="162"/>
      <c r="D62" s="162"/>
      <c r="E62" s="163"/>
      <c r="F62" s="120">
        <v>1</v>
      </c>
      <c r="G62" s="120" t="s">
        <v>171</v>
      </c>
      <c r="H62" s="231" t="s">
        <v>173</v>
      </c>
      <c r="I62" s="232"/>
      <c r="J62" s="233"/>
      <c r="K62" s="120" t="s">
        <v>171</v>
      </c>
      <c r="L62" s="120" t="s">
        <v>171</v>
      </c>
      <c r="M62" s="120" t="s">
        <v>171</v>
      </c>
      <c r="N62" s="161"/>
      <c r="O62" s="162"/>
      <c r="P62" s="162"/>
      <c r="Q62" s="162"/>
      <c r="R62" s="163"/>
      <c r="S62" s="108"/>
      <c r="T62" s="108"/>
      <c r="U62" s="167"/>
      <c r="V62" s="168"/>
      <c r="W62" s="169"/>
      <c r="X62" s="112"/>
      <c r="Y62" s="108"/>
      <c r="Z62" s="108"/>
    </row>
    <row r="63" spans="1:26" ht="18" customHeight="1" x14ac:dyDescent="0.15">
      <c r="A63" s="29"/>
      <c r="B63" s="161"/>
      <c r="C63" s="162"/>
      <c r="D63" s="162"/>
      <c r="E63" s="163"/>
      <c r="F63" s="108"/>
      <c r="G63" s="108"/>
      <c r="H63" s="167"/>
      <c r="I63" s="168"/>
      <c r="J63" s="169"/>
      <c r="K63" s="112"/>
      <c r="L63" s="108"/>
      <c r="M63" s="108"/>
      <c r="N63" s="161"/>
      <c r="O63" s="162"/>
      <c r="P63" s="162"/>
      <c r="Q63" s="162"/>
      <c r="R63" s="163"/>
      <c r="S63" s="108"/>
      <c r="T63" s="108"/>
      <c r="U63" s="167"/>
      <c r="V63" s="168"/>
      <c r="W63" s="169"/>
      <c r="X63" s="112"/>
      <c r="Y63" s="108"/>
      <c r="Z63" s="108"/>
    </row>
    <row r="64" spans="1:26" ht="18" customHeight="1" x14ac:dyDescent="0.15">
      <c r="A64" s="29"/>
      <c r="B64" s="161"/>
      <c r="C64" s="162"/>
      <c r="D64" s="162"/>
      <c r="E64" s="163"/>
      <c r="F64" s="108"/>
      <c r="G64" s="108"/>
      <c r="H64" s="167"/>
      <c r="I64" s="168"/>
      <c r="J64" s="169"/>
      <c r="K64" s="112"/>
      <c r="L64" s="108"/>
      <c r="M64" s="108"/>
      <c r="N64" s="161"/>
      <c r="O64" s="162"/>
      <c r="P64" s="162"/>
      <c r="Q64" s="162"/>
      <c r="R64" s="163"/>
      <c r="S64" s="108"/>
      <c r="T64" s="108"/>
      <c r="U64" s="167"/>
      <c r="V64" s="168"/>
      <c r="W64" s="169"/>
      <c r="X64" s="112"/>
      <c r="Y64" s="108"/>
      <c r="Z64" s="108"/>
    </row>
    <row r="65" spans="1:26" ht="18" customHeight="1" x14ac:dyDescent="0.15">
      <c r="A65" s="29"/>
      <c r="B65" s="161"/>
      <c r="C65" s="162"/>
      <c r="D65" s="162"/>
      <c r="E65" s="163"/>
      <c r="F65" s="108"/>
      <c r="G65" s="108"/>
      <c r="H65" s="167"/>
      <c r="I65" s="168"/>
      <c r="J65" s="169"/>
      <c r="K65" s="112"/>
      <c r="L65" s="108"/>
      <c r="M65" s="108"/>
      <c r="N65" s="161"/>
      <c r="O65" s="162"/>
      <c r="P65" s="162"/>
      <c r="Q65" s="162"/>
      <c r="R65" s="163"/>
      <c r="S65" s="108"/>
      <c r="T65" s="108"/>
      <c r="U65" s="167"/>
      <c r="V65" s="168"/>
      <c r="W65" s="169"/>
      <c r="X65" s="112"/>
      <c r="Y65" s="108"/>
      <c r="Z65" s="108"/>
    </row>
    <row r="66" spans="1:26" ht="18" customHeight="1" x14ac:dyDescent="0.15">
      <c r="A66" s="29"/>
      <c r="B66" s="164"/>
      <c r="C66" s="165"/>
      <c r="D66" s="165"/>
      <c r="E66" s="166"/>
      <c r="F66" s="109"/>
      <c r="G66" s="109"/>
      <c r="H66" s="170"/>
      <c r="I66" s="171"/>
      <c r="J66" s="172"/>
      <c r="K66" s="113"/>
      <c r="L66" s="115"/>
      <c r="M66" s="115"/>
      <c r="N66" s="164"/>
      <c r="O66" s="165"/>
      <c r="P66" s="165"/>
      <c r="Q66" s="165"/>
      <c r="R66" s="166"/>
      <c r="S66" s="109"/>
      <c r="T66" s="109"/>
      <c r="U66" s="170"/>
      <c r="V66" s="171"/>
      <c r="W66" s="172"/>
      <c r="X66" s="113"/>
      <c r="Y66" s="115"/>
      <c r="Z66" s="115"/>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7" t="s">
        <v>100</v>
      </c>
      <c r="C69" s="128"/>
      <c r="D69" s="128"/>
      <c r="E69" s="128"/>
      <c r="F69" s="129"/>
      <c r="G69" s="127" t="s">
        <v>146</v>
      </c>
      <c r="H69" s="128"/>
      <c r="I69" s="128"/>
      <c r="J69" s="128"/>
      <c r="K69" s="128"/>
      <c r="L69" s="128"/>
      <c r="M69" s="129"/>
      <c r="N69" s="183" t="s">
        <v>100</v>
      </c>
      <c r="O69" s="184"/>
      <c r="P69" s="184"/>
      <c r="Q69" s="184"/>
      <c r="R69" s="184"/>
      <c r="S69" s="185"/>
      <c r="T69" s="127" t="s">
        <v>146</v>
      </c>
      <c r="U69" s="128"/>
      <c r="V69" s="128"/>
      <c r="W69" s="128"/>
      <c r="X69" s="128"/>
      <c r="Y69" s="128"/>
      <c r="Z69" s="129"/>
    </row>
    <row r="70" spans="1:26" ht="18" customHeight="1" x14ac:dyDescent="0.15">
      <c r="A70" s="29"/>
      <c r="B70" s="158" t="s">
        <v>167</v>
      </c>
      <c r="C70" s="159"/>
      <c r="D70" s="159"/>
      <c r="E70" s="159"/>
      <c r="F70" s="160"/>
      <c r="G70" s="237" t="s">
        <v>177</v>
      </c>
      <c r="H70" s="238"/>
      <c r="I70" s="238"/>
      <c r="J70" s="238"/>
      <c r="K70" s="238"/>
      <c r="L70" s="238"/>
      <c r="M70" s="239"/>
      <c r="N70" s="158"/>
      <c r="O70" s="159"/>
      <c r="P70" s="159"/>
      <c r="Q70" s="159"/>
      <c r="R70" s="159"/>
      <c r="S70" s="160"/>
      <c r="T70" s="237"/>
      <c r="U70" s="238"/>
      <c r="V70" s="238"/>
      <c r="W70" s="238"/>
      <c r="X70" s="238"/>
      <c r="Y70" s="238"/>
      <c r="Z70" s="239"/>
    </row>
    <row r="71" spans="1:26" ht="18" customHeight="1" x14ac:dyDescent="0.15">
      <c r="A71" s="29"/>
      <c r="B71" s="161" t="s">
        <v>168</v>
      </c>
      <c r="C71" s="162"/>
      <c r="D71" s="162"/>
      <c r="E71" s="162"/>
      <c r="F71" s="163"/>
      <c r="G71" s="204" t="s">
        <v>180</v>
      </c>
      <c r="H71" s="205"/>
      <c r="I71" s="205"/>
      <c r="J71" s="205"/>
      <c r="K71" s="205"/>
      <c r="L71" s="205"/>
      <c r="M71" s="206"/>
      <c r="N71" s="161"/>
      <c r="O71" s="162"/>
      <c r="P71" s="162"/>
      <c r="Q71" s="162"/>
      <c r="R71" s="162"/>
      <c r="S71" s="163"/>
      <c r="T71" s="204"/>
      <c r="U71" s="205"/>
      <c r="V71" s="205"/>
      <c r="W71" s="205"/>
      <c r="X71" s="205"/>
      <c r="Y71" s="205"/>
      <c r="Z71" s="206"/>
    </row>
    <row r="72" spans="1:26" ht="18" customHeight="1" x14ac:dyDescent="0.15">
      <c r="A72" s="29"/>
      <c r="B72" s="161" t="s">
        <v>169</v>
      </c>
      <c r="C72" s="162"/>
      <c r="D72" s="162"/>
      <c r="E72" s="162"/>
      <c r="F72" s="163"/>
      <c r="G72" s="204" t="s">
        <v>176</v>
      </c>
      <c r="H72" s="205"/>
      <c r="I72" s="205"/>
      <c r="J72" s="205"/>
      <c r="K72" s="205"/>
      <c r="L72" s="205"/>
      <c r="M72" s="206"/>
      <c r="N72" s="161"/>
      <c r="O72" s="162"/>
      <c r="P72" s="162"/>
      <c r="Q72" s="162"/>
      <c r="R72" s="162"/>
      <c r="S72" s="163"/>
      <c r="T72" s="204"/>
      <c r="U72" s="205"/>
      <c r="V72" s="205"/>
      <c r="W72" s="205"/>
      <c r="X72" s="205"/>
      <c r="Y72" s="205"/>
      <c r="Z72" s="206"/>
    </row>
    <row r="73" spans="1:26" ht="18" customHeight="1" x14ac:dyDescent="0.15">
      <c r="A73" s="29"/>
      <c r="B73" s="161" t="s">
        <v>170</v>
      </c>
      <c r="C73" s="162"/>
      <c r="D73" s="162"/>
      <c r="E73" s="162"/>
      <c r="F73" s="163"/>
      <c r="G73" s="204" t="s">
        <v>178</v>
      </c>
      <c r="H73" s="205"/>
      <c r="I73" s="205"/>
      <c r="J73" s="205"/>
      <c r="K73" s="205"/>
      <c r="L73" s="205"/>
      <c r="M73" s="206"/>
      <c r="N73" s="161"/>
      <c r="O73" s="162"/>
      <c r="P73" s="162"/>
      <c r="Q73" s="162"/>
      <c r="R73" s="162"/>
      <c r="S73" s="163"/>
      <c r="T73" s="204"/>
      <c r="U73" s="205"/>
      <c r="V73" s="205"/>
      <c r="W73" s="205"/>
      <c r="X73" s="205"/>
      <c r="Y73" s="205"/>
      <c r="Z73" s="206"/>
    </row>
    <row r="74" spans="1:26" ht="18" customHeight="1" x14ac:dyDescent="0.15">
      <c r="A74" s="29"/>
      <c r="B74" s="161"/>
      <c r="C74" s="162"/>
      <c r="D74" s="162"/>
      <c r="E74" s="162"/>
      <c r="F74" s="163"/>
      <c r="G74" s="204"/>
      <c r="H74" s="205"/>
      <c r="I74" s="205"/>
      <c r="J74" s="205"/>
      <c r="K74" s="205"/>
      <c r="L74" s="205"/>
      <c r="M74" s="206"/>
      <c r="N74" s="161"/>
      <c r="O74" s="162"/>
      <c r="P74" s="162"/>
      <c r="Q74" s="162"/>
      <c r="R74" s="162"/>
      <c r="S74" s="163"/>
      <c r="T74" s="204"/>
      <c r="U74" s="205"/>
      <c r="V74" s="205"/>
      <c r="W74" s="205"/>
      <c r="X74" s="205"/>
      <c r="Y74" s="205"/>
      <c r="Z74" s="206"/>
    </row>
    <row r="75" spans="1:26" ht="18" customHeight="1" x14ac:dyDescent="0.15">
      <c r="A75" s="29"/>
      <c r="B75" s="161"/>
      <c r="C75" s="162"/>
      <c r="D75" s="162"/>
      <c r="E75" s="162"/>
      <c r="F75" s="163"/>
      <c r="G75" s="204"/>
      <c r="H75" s="205"/>
      <c r="I75" s="205"/>
      <c r="J75" s="205"/>
      <c r="K75" s="205"/>
      <c r="L75" s="205"/>
      <c r="M75" s="206"/>
      <c r="N75" s="161"/>
      <c r="O75" s="162"/>
      <c r="P75" s="162"/>
      <c r="Q75" s="162"/>
      <c r="R75" s="162"/>
      <c r="S75" s="163"/>
      <c r="T75" s="204"/>
      <c r="U75" s="205"/>
      <c r="V75" s="205"/>
      <c r="W75" s="205"/>
      <c r="X75" s="205"/>
      <c r="Y75" s="205"/>
      <c r="Z75" s="206"/>
    </row>
    <row r="76" spans="1:26" ht="18" customHeight="1" x14ac:dyDescent="0.15">
      <c r="A76" s="29"/>
      <c r="B76" s="164"/>
      <c r="C76" s="165"/>
      <c r="D76" s="165"/>
      <c r="E76" s="165"/>
      <c r="F76" s="166"/>
      <c r="G76" s="201"/>
      <c r="H76" s="202"/>
      <c r="I76" s="202"/>
      <c r="J76" s="202"/>
      <c r="K76" s="202"/>
      <c r="L76" s="202"/>
      <c r="M76" s="203"/>
      <c r="N76" s="164"/>
      <c r="O76" s="165"/>
      <c r="P76" s="165"/>
      <c r="Q76" s="165"/>
      <c r="R76" s="165"/>
      <c r="S76" s="166"/>
      <c r="T76" s="201"/>
      <c r="U76" s="202"/>
      <c r="V76" s="202"/>
      <c r="W76" s="202"/>
      <c r="X76" s="202"/>
      <c r="Y76" s="202"/>
      <c r="Z76" s="203"/>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142</v>
      </c>
    </row>
    <row r="79" spans="1:26" ht="18.75" customHeight="1" x14ac:dyDescent="0.15">
      <c r="B79" s="78" t="s">
        <v>102</v>
      </c>
      <c r="C79" s="79"/>
      <c r="D79" s="255" t="s">
        <v>103</v>
      </c>
      <c r="E79" s="255"/>
      <c r="F79" s="255"/>
      <c r="G79" s="255"/>
      <c r="H79" s="255"/>
      <c r="I79" s="255"/>
      <c r="J79" s="255"/>
      <c r="K79" s="255"/>
      <c r="L79" s="255"/>
      <c r="M79" s="255"/>
      <c r="N79" s="255"/>
      <c r="O79" s="255"/>
      <c r="P79" s="255"/>
      <c r="Q79" s="255"/>
      <c r="R79" s="255"/>
      <c r="S79" s="255"/>
      <c r="T79" s="255"/>
      <c r="U79" s="255"/>
      <c r="V79" s="255"/>
      <c r="W79" s="255"/>
      <c r="X79" s="255"/>
      <c r="Y79" s="255"/>
      <c r="Z79" s="256"/>
    </row>
    <row r="80" spans="1:26" ht="78" customHeight="1" x14ac:dyDescent="0.15">
      <c r="B80" s="245" t="s">
        <v>109</v>
      </c>
      <c r="C80" s="84" t="s">
        <v>104</v>
      </c>
      <c r="D80" s="207" t="s">
        <v>207</v>
      </c>
      <c r="E80" s="208"/>
      <c r="F80" s="208"/>
      <c r="G80" s="208"/>
      <c r="H80" s="208"/>
      <c r="I80" s="208"/>
      <c r="J80" s="208"/>
      <c r="K80" s="208"/>
      <c r="L80" s="208"/>
      <c r="M80" s="208"/>
      <c r="N80" s="208"/>
      <c r="O80" s="208"/>
      <c r="P80" s="208"/>
      <c r="Q80" s="208"/>
      <c r="R80" s="208"/>
      <c r="S80" s="208"/>
      <c r="T80" s="208"/>
      <c r="U80" s="208"/>
      <c r="V80" s="208"/>
      <c r="W80" s="208"/>
      <c r="X80" s="208"/>
      <c r="Y80" s="208"/>
      <c r="Z80" s="209"/>
    </row>
    <row r="81" spans="1:26" ht="78" customHeight="1" x14ac:dyDescent="0.15">
      <c r="B81" s="246"/>
      <c r="C81" s="104" t="s">
        <v>137</v>
      </c>
      <c r="D81" s="207" t="s">
        <v>207</v>
      </c>
      <c r="E81" s="208"/>
      <c r="F81" s="208"/>
      <c r="G81" s="208"/>
      <c r="H81" s="208"/>
      <c r="I81" s="208"/>
      <c r="J81" s="208"/>
      <c r="K81" s="208"/>
      <c r="L81" s="208"/>
      <c r="M81" s="208"/>
      <c r="N81" s="208"/>
      <c r="O81" s="208"/>
      <c r="P81" s="208"/>
      <c r="Q81" s="208"/>
      <c r="R81" s="208"/>
      <c r="S81" s="208"/>
      <c r="T81" s="208"/>
      <c r="U81" s="208"/>
      <c r="V81" s="208"/>
      <c r="W81" s="208"/>
      <c r="X81" s="208"/>
      <c r="Y81" s="208"/>
      <c r="Z81" s="209"/>
    </row>
    <row r="82" spans="1:26" ht="78" customHeight="1" x14ac:dyDescent="0.15">
      <c r="B82" s="243" t="s">
        <v>110</v>
      </c>
      <c r="C82" s="80" t="s">
        <v>127</v>
      </c>
      <c r="D82" s="207" t="s">
        <v>207</v>
      </c>
      <c r="E82" s="208"/>
      <c r="F82" s="208"/>
      <c r="G82" s="208"/>
      <c r="H82" s="208"/>
      <c r="I82" s="208"/>
      <c r="J82" s="208"/>
      <c r="K82" s="208"/>
      <c r="L82" s="208"/>
      <c r="M82" s="208"/>
      <c r="N82" s="208"/>
      <c r="O82" s="208"/>
      <c r="P82" s="208"/>
      <c r="Q82" s="208"/>
      <c r="R82" s="208"/>
      <c r="S82" s="208"/>
      <c r="T82" s="208"/>
      <c r="U82" s="208"/>
      <c r="V82" s="208"/>
      <c r="W82" s="208"/>
      <c r="X82" s="208"/>
      <c r="Y82" s="208"/>
      <c r="Z82" s="209"/>
    </row>
    <row r="83" spans="1:26" ht="78" customHeight="1" x14ac:dyDescent="0.15">
      <c r="B83" s="244"/>
      <c r="C83" s="105" t="s">
        <v>128</v>
      </c>
      <c r="D83" s="213" t="s">
        <v>207</v>
      </c>
      <c r="E83" s="214"/>
      <c r="F83" s="214"/>
      <c r="G83" s="214"/>
      <c r="H83" s="214"/>
      <c r="I83" s="214"/>
      <c r="J83" s="214"/>
      <c r="K83" s="214"/>
      <c r="L83" s="214"/>
      <c r="M83" s="214"/>
      <c r="N83" s="214"/>
      <c r="O83" s="214"/>
      <c r="P83" s="214"/>
      <c r="Q83" s="214"/>
      <c r="R83" s="214"/>
      <c r="S83" s="214"/>
      <c r="T83" s="214"/>
      <c r="U83" s="214"/>
      <c r="V83" s="214"/>
      <c r="W83" s="214"/>
      <c r="X83" s="214"/>
      <c r="Y83" s="214"/>
      <c r="Z83" s="215"/>
    </row>
    <row r="84" spans="1:26" ht="66" customHeight="1" x14ac:dyDescent="0.15">
      <c r="B84" s="243" t="s">
        <v>111</v>
      </c>
      <c r="C84" s="80" t="s">
        <v>130</v>
      </c>
      <c r="D84" s="216" t="s">
        <v>207</v>
      </c>
      <c r="E84" s="217"/>
      <c r="F84" s="217"/>
      <c r="G84" s="217"/>
      <c r="H84" s="217"/>
      <c r="I84" s="217"/>
      <c r="J84" s="217"/>
      <c r="K84" s="217"/>
      <c r="L84" s="217"/>
      <c r="M84" s="217"/>
      <c r="N84" s="217"/>
      <c r="O84" s="217"/>
      <c r="P84" s="217"/>
      <c r="Q84" s="217"/>
      <c r="R84" s="217"/>
      <c r="S84" s="217"/>
      <c r="T84" s="217"/>
      <c r="U84" s="217"/>
      <c r="V84" s="217"/>
      <c r="W84" s="217"/>
      <c r="X84" s="217"/>
      <c r="Y84" s="217"/>
      <c r="Z84" s="218"/>
    </row>
    <row r="85" spans="1:26" ht="66" customHeight="1" x14ac:dyDescent="0.15">
      <c r="B85" s="244"/>
      <c r="C85" s="82" t="s">
        <v>131</v>
      </c>
      <c r="D85" s="210" t="s">
        <v>207</v>
      </c>
      <c r="E85" s="211"/>
      <c r="F85" s="211"/>
      <c r="G85" s="211"/>
      <c r="H85" s="211"/>
      <c r="I85" s="211"/>
      <c r="J85" s="211"/>
      <c r="K85" s="211"/>
      <c r="L85" s="211"/>
      <c r="M85" s="211"/>
      <c r="N85" s="211"/>
      <c r="O85" s="211"/>
      <c r="P85" s="211"/>
      <c r="Q85" s="211"/>
      <c r="R85" s="211"/>
      <c r="S85" s="211"/>
      <c r="T85" s="211"/>
      <c r="U85" s="211"/>
      <c r="V85" s="211"/>
      <c r="W85" s="211"/>
      <c r="X85" s="211"/>
      <c r="Y85" s="211"/>
      <c r="Z85" s="212"/>
    </row>
    <row r="86" spans="1:26" ht="66" customHeight="1" x14ac:dyDescent="0.15">
      <c r="B86" s="245" t="s">
        <v>138</v>
      </c>
      <c r="C86" s="84" t="s">
        <v>106</v>
      </c>
      <c r="D86" s="207" t="s">
        <v>209</v>
      </c>
      <c r="E86" s="208"/>
      <c r="F86" s="208"/>
      <c r="G86" s="208"/>
      <c r="H86" s="208"/>
      <c r="I86" s="208"/>
      <c r="J86" s="208"/>
      <c r="K86" s="208"/>
      <c r="L86" s="208"/>
      <c r="M86" s="208"/>
      <c r="N86" s="208"/>
      <c r="O86" s="208"/>
      <c r="P86" s="208"/>
      <c r="Q86" s="208"/>
      <c r="R86" s="208"/>
      <c r="S86" s="208"/>
      <c r="T86" s="208"/>
      <c r="U86" s="208"/>
      <c r="V86" s="208"/>
      <c r="W86" s="208"/>
      <c r="X86" s="208"/>
      <c r="Y86" s="208"/>
      <c r="Z86" s="209"/>
    </row>
    <row r="87" spans="1:26" ht="66" customHeight="1" x14ac:dyDescent="0.15">
      <c r="B87" s="251"/>
      <c r="C87" s="81" t="s">
        <v>108</v>
      </c>
      <c r="D87" s="252" t="s">
        <v>208</v>
      </c>
      <c r="E87" s="253"/>
      <c r="F87" s="253"/>
      <c r="G87" s="253"/>
      <c r="H87" s="253"/>
      <c r="I87" s="253"/>
      <c r="J87" s="253"/>
      <c r="K87" s="253"/>
      <c r="L87" s="253"/>
      <c r="M87" s="253"/>
      <c r="N87" s="253"/>
      <c r="O87" s="253"/>
      <c r="P87" s="253"/>
      <c r="Q87" s="253"/>
      <c r="R87" s="253"/>
      <c r="S87" s="253"/>
      <c r="T87" s="253"/>
      <c r="U87" s="253"/>
      <c r="V87" s="253"/>
      <c r="W87" s="253"/>
      <c r="X87" s="253"/>
      <c r="Y87" s="253"/>
      <c r="Z87" s="254"/>
    </row>
    <row r="88" spans="1:26" ht="66" customHeight="1" x14ac:dyDescent="0.15">
      <c r="B88" s="245" t="s">
        <v>139</v>
      </c>
      <c r="C88" s="80" t="s">
        <v>105</v>
      </c>
      <c r="D88" s="247" t="s">
        <v>210</v>
      </c>
      <c r="E88" s="248"/>
      <c r="F88" s="248"/>
      <c r="G88" s="248"/>
      <c r="H88" s="248"/>
      <c r="I88" s="248"/>
      <c r="J88" s="248"/>
      <c r="K88" s="248"/>
      <c r="L88" s="248"/>
      <c r="M88" s="248"/>
      <c r="N88" s="248"/>
      <c r="O88" s="248"/>
      <c r="P88" s="248"/>
      <c r="Q88" s="248"/>
      <c r="R88" s="248"/>
      <c r="S88" s="248"/>
      <c r="T88" s="248"/>
      <c r="U88" s="248"/>
      <c r="V88" s="248"/>
      <c r="W88" s="248"/>
      <c r="X88" s="248"/>
      <c r="Y88" s="248"/>
      <c r="Z88" s="249"/>
    </row>
    <row r="89" spans="1:26" ht="66" customHeight="1" x14ac:dyDescent="0.15">
      <c r="B89" s="246"/>
      <c r="C89" s="81" t="s">
        <v>134</v>
      </c>
      <c r="D89" s="240" t="s">
        <v>217</v>
      </c>
      <c r="E89" s="241"/>
      <c r="F89" s="241"/>
      <c r="G89" s="241"/>
      <c r="H89" s="241"/>
      <c r="I89" s="241"/>
      <c r="J89" s="241"/>
      <c r="K89" s="241"/>
      <c r="L89" s="241"/>
      <c r="M89" s="241"/>
      <c r="N89" s="241"/>
      <c r="O89" s="241"/>
      <c r="P89" s="241"/>
      <c r="Q89" s="241"/>
      <c r="R89" s="241"/>
      <c r="S89" s="241"/>
      <c r="T89" s="241"/>
      <c r="U89" s="241"/>
      <c r="V89" s="241"/>
      <c r="W89" s="241"/>
      <c r="X89" s="241"/>
      <c r="Y89" s="241"/>
      <c r="Z89" s="242"/>
    </row>
    <row r="90" spans="1:26" ht="66" customHeight="1" x14ac:dyDescent="0.15">
      <c r="B90" s="244"/>
      <c r="C90" s="82" t="s">
        <v>135</v>
      </c>
      <c r="D90" s="250" t="s">
        <v>211</v>
      </c>
      <c r="E90" s="196"/>
      <c r="F90" s="196"/>
      <c r="G90" s="196"/>
      <c r="H90" s="196"/>
      <c r="I90" s="196"/>
      <c r="J90" s="196"/>
      <c r="K90" s="196"/>
      <c r="L90" s="196"/>
      <c r="M90" s="196"/>
      <c r="N90" s="196"/>
      <c r="O90" s="196"/>
      <c r="P90" s="196"/>
      <c r="Q90" s="196"/>
      <c r="R90" s="196"/>
      <c r="S90" s="196"/>
      <c r="T90" s="196"/>
      <c r="U90" s="196"/>
      <c r="V90" s="196"/>
      <c r="W90" s="196"/>
      <c r="X90" s="196"/>
      <c r="Y90" s="196"/>
      <c r="Z90" s="197"/>
    </row>
    <row r="91" spans="1:26" ht="6" customHeight="1" x14ac:dyDescent="0.15"/>
    <row r="92" spans="1:26" ht="18.75" customHeight="1" x14ac:dyDescent="0.15">
      <c r="A92" s="13" t="s">
        <v>143</v>
      </c>
    </row>
    <row r="93" spans="1:26" ht="18.75" customHeight="1" x14ac:dyDescent="0.15">
      <c r="B93" s="189" t="s">
        <v>179</v>
      </c>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1"/>
    </row>
    <row r="94" spans="1:26" ht="18.75" customHeight="1" x14ac:dyDescent="0.15">
      <c r="B94" s="192"/>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4"/>
    </row>
    <row r="95" spans="1:26" ht="18.75" customHeight="1" x14ac:dyDescent="0.15">
      <c r="B95" s="195"/>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7"/>
    </row>
    <row r="96" spans="1:26" ht="6" customHeight="1" x14ac:dyDescent="0.15"/>
    <row r="97" spans="1:26" ht="15" customHeight="1" x14ac:dyDescent="0.15">
      <c r="A97" s="13" t="s">
        <v>144</v>
      </c>
    </row>
    <row r="98" spans="1:26" ht="15" customHeight="1" x14ac:dyDescent="0.15">
      <c r="B98" s="198" t="s">
        <v>242</v>
      </c>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200"/>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H16:H22 Y27:Z33 L27:M33 H38:H44 Y38:Z44 Y49:Z55 Y60:Z66 G60:G66 L63:M66 U16:U22 H27:H33 U27:U33 T60:T66 U38:U44 L38:M44 U49:U55 L49:M55 H49:H55 K60:M62 L16:M22" xr:uid="{4C0986EB-3601-4249-85F7-B678A400A117}">
      <formula1>"○"</formula1>
    </dataValidation>
    <dataValidation type="list" allowBlank="1" showInputMessage="1" showErrorMessage="1" sqref="Z23 Z34 D34:K34 D23:K23 V16:V22 H60:H66 V27:V33 I27:I33 V38:V44 I49:I55 V49:V55 I38:I44 U60:U66 I16:I22"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U74:Z77 G70:M70 T70:T77 U70:Z71 G73:M77 G71:G7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1F076A5B-81E8-4474-AB0C-57AEC5C06DED}"/>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E666-2E00-4962-BC6C-7978D7FEB099}">
  <dimension ref="A1:Z98"/>
  <sheetViews>
    <sheetView showZeros="0" view="pageBreakPreview" topLeftCell="A88" zoomScaleNormal="100" zoomScaleSheetLayoutView="100" workbookViewId="0">
      <selection activeCell="H51" sqref="H51"/>
    </sheetView>
  </sheetViews>
  <sheetFormatPr defaultColWidth="9" defaultRowHeight="18.75" customHeight="1"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9" t="s">
        <v>234</v>
      </c>
      <c r="X1" s="179"/>
      <c r="Y1" s="179"/>
      <c r="Z1" s="179"/>
    </row>
    <row r="2" spans="1:26" ht="18" customHeight="1" x14ac:dyDescent="0.15">
      <c r="A2" s="220" t="s">
        <v>67</v>
      </c>
      <c r="B2" s="220"/>
      <c r="C2" s="220"/>
      <c r="D2" s="220"/>
      <c r="E2" s="220"/>
      <c r="F2" s="220"/>
      <c r="G2" s="220"/>
      <c r="H2" s="220"/>
      <c r="I2" s="220"/>
      <c r="J2" s="220"/>
      <c r="K2" s="220"/>
      <c r="L2" s="220"/>
      <c r="M2" s="220"/>
      <c r="N2" s="220"/>
      <c r="O2" s="220"/>
      <c r="P2" s="220"/>
      <c r="Q2" s="220"/>
      <c r="R2" s="220"/>
      <c r="S2" s="220"/>
      <c r="T2" s="220"/>
      <c r="U2" s="220"/>
      <c r="V2" s="220"/>
      <c r="W2" s="220"/>
      <c r="X2" s="220"/>
      <c r="Y2" s="220"/>
      <c r="Z2" s="220"/>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27" t="s">
        <v>164</v>
      </c>
      <c r="P4" s="128"/>
      <c r="Q4" s="128"/>
      <c r="R4" s="128"/>
      <c r="S4" s="128"/>
      <c r="T4" s="128"/>
      <c r="U4" s="128"/>
      <c r="V4" s="128"/>
      <c r="W4" s="128"/>
      <c r="X4" s="128"/>
      <c r="Y4" s="128"/>
      <c r="Z4" s="129"/>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1" t="s">
        <v>244</v>
      </c>
      <c r="C6" s="222"/>
      <c r="D6" s="222"/>
      <c r="E6" s="222"/>
      <c r="F6" s="222"/>
      <c r="G6" s="222"/>
      <c r="H6" s="222"/>
      <c r="I6" s="222"/>
      <c r="J6" s="222"/>
      <c r="K6" s="222"/>
      <c r="L6" s="222"/>
      <c r="M6" s="222"/>
      <c r="N6" s="222"/>
      <c r="O6" s="222"/>
      <c r="P6" s="222"/>
      <c r="Q6" s="222"/>
      <c r="R6" s="222"/>
      <c r="S6" s="222"/>
      <c r="T6" s="222"/>
      <c r="U6" s="222"/>
      <c r="V6" s="222"/>
      <c r="W6" s="222"/>
      <c r="X6" s="222"/>
      <c r="Y6" s="222"/>
      <c r="Z6" s="223"/>
    </row>
    <row r="7" spans="1:26" ht="18" customHeight="1" x14ac:dyDescent="0.15">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x14ac:dyDescent="0.15">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x14ac:dyDescent="0.15">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x14ac:dyDescent="0.15">
      <c r="B10" s="224"/>
      <c r="C10" s="227"/>
      <c r="D10" s="227"/>
      <c r="E10" s="227"/>
      <c r="F10" s="227"/>
      <c r="G10" s="227"/>
      <c r="H10" s="227"/>
      <c r="I10" s="227"/>
      <c r="J10" s="227"/>
      <c r="K10" s="227"/>
      <c r="L10" s="227"/>
      <c r="M10" s="227"/>
      <c r="N10" s="227"/>
      <c r="O10" s="227"/>
      <c r="P10" s="227"/>
      <c r="Q10" s="227"/>
      <c r="R10" s="227"/>
      <c r="S10" s="227"/>
      <c r="T10" s="227"/>
      <c r="U10" s="227"/>
      <c r="V10" s="227"/>
      <c r="W10" s="227"/>
      <c r="X10" s="227"/>
      <c r="Y10" s="227"/>
      <c r="Z10" s="226"/>
    </row>
    <row r="11" spans="1:26" ht="18" customHeight="1" x14ac:dyDescent="0.15">
      <c r="B11" s="228"/>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30"/>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9" t="s">
        <v>125</v>
      </c>
      <c r="B13" s="219"/>
      <c r="C13" s="219"/>
      <c r="D13" s="219"/>
      <c r="E13" s="219"/>
      <c r="F13" s="219"/>
      <c r="G13" s="219"/>
      <c r="H13" s="219"/>
      <c r="I13" s="219"/>
      <c r="J13" s="219"/>
      <c r="K13" s="219"/>
      <c r="L13" s="219"/>
      <c r="M13" s="219"/>
      <c r="N13" s="219"/>
      <c r="O13" s="219"/>
      <c r="P13" s="219"/>
      <c r="Q13" s="219"/>
      <c r="R13" s="219"/>
      <c r="S13" s="219"/>
      <c r="T13" s="219"/>
      <c r="U13" s="219"/>
      <c r="V13" s="219"/>
      <c r="W13" s="219"/>
      <c r="X13" s="219"/>
      <c r="Y13" s="219"/>
      <c r="Z13" s="219"/>
    </row>
    <row r="14" spans="1:26" ht="18" customHeight="1" x14ac:dyDescent="0.15">
      <c r="A14" s="219"/>
      <c r="B14" s="219"/>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row>
    <row r="15" spans="1:26" ht="18" customHeight="1" x14ac:dyDescent="0.15">
      <c r="A15" s="14"/>
      <c r="B15" s="127" t="s">
        <v>100</v>
      </c>
      <c r="C15" s="128"/>
      <c r="D15" s="128"/>
      <c r="E15" s="128"/>
      <c r="F15" s="129"/>
      <c r="G15" s="30" t="s">
        <v>141</v>
      </c>
      <c r="H15" s="106" t="s">
        <v>140</v>
      </c>
      <c r="I15" s="128" t="s">
        <v>101</v>
      </c>
      <c r="J15" s="128"/>
      <c r="K15" s="128"/>
      <c r="L15" s="75" t="s">
        <v>104</v>
      </c>
      <c r="M15" s="75" t="s">
        <v>107</v>
      </c>
      <c r="N15" s="127" t="s">
        <v>100</v>
      </c>
      <c r="O15" s="128"/>
      <c r="P15" s="128"/>
      <c r="Q15" s="128"/>
      <c r="R15" s="128"/>
      <c r="S15" s="129"/>
      <c r="T15" s="30" t="s">
        <v>141</v>
      </c>
      <c r="U15" s="106" t="s">
        <v>140</v>
      </c>
      <c r="V15" s="128" t="s">
        <v>101</v>
      </c>
      <c r="W15" s="128"/>
      <c r="X15" s="128"/>
      <c r="Y15" s="75" t="s">
        <v>104</v>
      </c>
      <c r="Z15" s="75" t="s">
        <v>107</v>
      </c>
    </row>
    <row r="16" spans="1:26" ht="18" customHeight="1" x14ac:dyDescent="0.15">
      <c r="A16" s="14"/>
      <c r="B16" s="180" t="s">
        <v>181</v>
      </c>
      <c r="C16" s="181"/>
      <c r="D16" s="181"/>
      <c r="E16" s="181"/>
      <c r="F16" s="182"/>
      <c r="G16" s="107">
        <v>2</v>
      </c>
      <c r="H16" s="107" t="s">
        <v>171</v>
      </c>
      <c r="I16" s="186" t="s">
        <v>173</v>
      </c>
      <c r="J16" s="187"/>
      <c r="K16" s="188"/>
      <c r="L16" s="107" t="s">
        <v>171</v>
      </c>
      <c r="M16" s="107" t="s">
        <v>171</v>
      </c>
      <c r="N16" s="158"/>
      <c r="O16" s="159"/>
      <c r="P16" s="159"/>
      <c r="Q16" s="159"/>
      <c r="R16" s="159"/>
      <c r="S16" s="160"/>
      <c r="T16" s="107"/>
      <c r="U16" s="107"/>
      <c r="V16" s="186"/>
      <c r="W16" s="187"/>
      <c r="X16" s="188"/>
      <c r="Y16" s="107"/>
      <c r="Z16" s="107"/>
    </row>
    <row r="17" spans="1:26" ht="18" customHeight="1" x14ac:dyDescent="0.15">
      <c r="A17" s="14"/>
      <c r="B17" s="173"/>
      <c r="C17" s="174"/>
      <c r="D17" s="174"/>
      <c r="E17" s="174"/>
      <c r="F17" s="175"/>
      <c r="G17" s="108"/>
      <c r="H17" s="108"/>
      <c r="I17" s="167"/>
      <c r="J17" s="168"/>
      <c r="K17" s="169"/>
      <c r="L17" s="108"/>
      <c r="M17" s="108"/>
      <c r="N17" s="161"/>
      <c r="O17" s="162"/>
      <c r="P17" s="162"/>
      <c r="Q17" s="162"/>
      <c r="R17" s="162"/>
      <c r="S17" s="163"/>
      <c r="T17" s="108"/>
      <c r="U17" s="108"/>
      <c r="V17" s="167"/>
      <c r="W17" s="168"/>
      <c r="X17" s="169"/>
      <c r="Y17" s="108"/>
      <c r="Z17" s="108"/>
    </row>
    <row r="18" spans="1:26" ht="18" customHeight="1" x14ac:dyDescent="0.15">
      <c r="A18" s="14"/>
      <c r="B18" s="173"/>
      <c r="C18" s="174"/>
      <c r="D18" s="174"/>
      <c r="E18" s="174"/>
      <c r="F18" s="175"/>
      <c r="G18" s="108"/>
      <c r="H18" s="108"/>
      <c r="I18" s="167"/>
      <c r="J18" s="168"/>
      <c r="K18" s="169"/>
      <c r="L18" s="108"/>
      <c r="M18" s="108"/>
      <c r="N18" s="161"/>
      <c r="O18" s="162"/>
      <c r="P18" s="162"/>
      <c r="Q18" s="162"/>
      <c r="R18" s="162"/>
      <c r="S18" s="163"/>
      <c r="T18" s="108"/>
      <c r="U18" s="108"/>
      <c r="V18" s="167"/>
      <c r="W18" s="168"/>
      <c r="X18" s="169"/>
      <c r="Y18" s="108"/>
      <c r="Z18" s="108"/>
    </row>
    <row r="19" spans="1:26" ht="18" customHeight="1" x14ac:dyDescent="0.15">
      <c r="A19" s="14"/>
      <c r="B19" s="173"/>
      <c r="C19" s="174"/>
      <c r="D19" s="174"/>
      <c r="E19" s="174"/>
      <c r="F19" s="175"/>
      <c r="G19" s="108"/>
      <c r="H19" s="108"/>
      <c r="I19" s="167"/>
      <c r="J19" s="168"/>
      <c r="K19" s="169"/>
      <c r="L19" s="108"/>
      <c r="M19" s="108"/>
      <c r="N19" s="161"/>
      <c r="O19" s="162"/>
      <c r="P19" s="162"/>
      <c r="Q19" s="162"/>
      <c r="R19" s="162"/>
      <c r="S19" s="163"/>
      <c r="T19" s="108"/>
      <c r="U19" s="108"/>
      <c r="V19" s="167"/>
      <c r="W19" s="168"/>
      <c r="X19" s="169"/>
      <c r="Y19" s="108"/>
      <c r="Z19" s="108"/>
    </row>
    <row r="20" spans="1:26" ht="18" customHeight="1" x14ac:dyDescent="0.15">
      <c r="A20" s="14"/>
      <c r="B20" s="173"/>
      <c r="C20" s="174"/>
      <c r="D20" s="174"/>
      <c r="E20" s="174"/>
      <c r="F20" s="175"/>
      <c r="G20" s="108"/>
      <c r="H20" s="108"/>
      <c r="I20" s="167"/>
      <c r="J20" s="168"/>
      <c r="K20" s="169"/>
      <c r="L20" s="108"/>
      <c r="M20" s="108"/>
      <c r="N20" s="161"/>
      <c r="O20" s="162"/>
      <c r="P20" s="162"/>
      <c r="Q20" s="162"/>
      <c r="R20" s="162"/>
      <c r="S20" s="163"/>
      <c r="T20" s="108"/>
      <c r="U20" s="108"/>
      <c r="V20" s="167"/>
      <c r="W20" s="168"/>
      <c r="X20" s="169"/>
      <c r="Y20" s="108"/>
      <c r="Z20" s="108"/>
    </row>
    <row r="21" spans="1:26" ht="18" customHeight="1" x14ac:dyDescent="0.15">
      <c r="A21" s="29"/>
      <c r="B21" s="173"/>
      <c r="C21" s="174"/>
      <c r="D21" s="174"/>
      <c r="E21" s="174"/>
      <c r="F21" s="175"/>
      <c r="G21" s="108"/>
      <c r="H21" s="108"/>
      <c r="I21" s="167"/>
      <c r="J21" s="168"/>
      <c r="K21" s="169"/>
      <c r="L21" s="108"/>
      <c r="M21" s="108"/>
      <c r="N21" s="161"/>
      <c r="O21" s="162"/>
      <c r="P21" s="162"/>
      <c r="Q21" s="162"/>
      <c r="R21" s="162"/>
      <c r="S21" s="163"/>
      <c r="T21" s="108"/>
      <c r="U21" s="108"/>
      <c r="V21" s="167"/>
      <c r="W21" s="168"/>
      <c r="X21" s="169"/>
      <c r="Y21" s="108"/>
      <c r="Z21" s="108"/>
    </row>
    <row r="22" spans="1:26" ht="18" customHeight="1" x14ac:dyDescent="0.15">
      <c r="A22" s="29"/>
      <c r="B22" s="176"/>
      <c r="C22" s="177"/>
      <c r="D22" s="177"/>
      <c r="E22" s="177"/>
      <c r="F22" s="178"/>
      <c r="G22" s="109"/>
      <c r="H22" s="109"/>
      <c r="I22" s="170"/>
      <c r="J22" s="171"/>
      <c r="K22" s="172"/>
      <c r="L22" s="115"/>
      <c r="M22" s="115"/>
      <c r="N22" s="164"/>
      <c r="O22" s="165"/>
      <c r="P22" s="165"/>
      <c r="Q22" s="165"/>
      <c r="R22" s="165"/>
      <c r="S22" s="166"/>
      <c r="T22" s="109"/>
      <c r="U22" s="109"/>
      <c r="V22" s="170"/>
      <c r="W22" s="171"/>
      <c r="X22" s="172"/>
      <c r="Y22" s="115"/>
      <c r="Z22" s="115"/>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9" t="s">
        <v>126</v>
      </c>
      <c r="B24" s="219"/>
      <c r="C24" s="219"/>
      <c r="D24" s="219"/>
      <c r="E24" s="219"/>
      <c r="F24" s="219"/>
      <c r="G24" s="219"/>
      <c r="H24" s="219"/>
      <c r="I24" s="219"/>
      <c r="J24" s="219"/>
      <c r="K24" s="219"/>
      <c r="L24" s="219"/>
      <c r="M24" s="219"/>
      <c r="N24" s="219"/>
      <c r="O24" s="219"/>
      <c r="P24" s="219"/>
      <c r="Q24" s="219"/>
      <c r="R24" s="219"/>
      <c r="S24" s="219"/>
      <c r="T24" s="219"/>
      <c r="U24" s="219"/>
      <c r="V24" s="219"/>
      <c r="W24" s="219"/>
      <c r="X24" s="219"/>
      <c r="Y24" s="219"/>
      <c r="Z24" s="219"/>
    </row>
    <row r="25" spans="1:26" ht="18" customHeight="1" x14ac:dyDescent="0.15">
      <c r="A25" s="219"/>
      <c r="B25" s="219"/>
      <c r="C25" s="219"/>
      <c r="D25" s="219"/>
      <c r="E25" s="219"/>
      <c r="F25" s="219"/>
      <c r="G25" s="219"/>
      <c r="H25" s="219"/>
      <c r="I25" s="219"/>
      <c r="J25" s="219"/>
      <c r="K25" s="219"/>
      <c r="L25" s="219"/>
      <c r="M25" s="219"/>
      <c r="N25" s="219"/>
      <c r="O25" s="219"/>
      <c r="P25" s="219"/>
      <c r="Q25" s="219"/>
      <c r="R25" s="219"/>
      <c r="S25" s="219"/>
      <c r="T25" s="219"/>
      <c r="U25" s="219"/>
      <c r="V25" s="219"/>
      <c r="W25" s="219"/>
      <c r="X25" s="219"/>
      <c r="Y25" s="219"/>
      <c r="Z25" s="219"/>
    </row>
    <row r="26" spans="1:26" ht="18" customHeight="1" x14ac:dyDescent="0.15">
      <c r="A26" s="14"/>
      <c r="B26" s="127" t="s">
        <v>100</v>
      </c>
      <c r="C26" s="128"/>
      <c r="D26" s="128"/>
      <c r="E26" s="128"/>
      <c r="F26" s="129"/>
      <c r="G26" s="30" t="s">
        <v>141</v>
      </c>
      <c r="H26" s="106" t="s">
        <v>140</v>
      </c>
      <c r="I26" s="128" t="s">
        <v>101</v>
      </c>
      <c r="J26" s="128"/>
      <c r="K26" s="128"/>
      <c r="L26" s="75" t="s">
        <v>127</v>
      </c>
      <c r="M26" s="75" t="s">
        <v>128</v>
      </c>
      <c r="N26" s="127" t="s">
        <v>100</v>
      </c>
      <c r="O26" s="128"/>
      <c r="P26" s="128"/>
      <c r="Q26" s="128"/>
      <c r="R26" s="128"/>
      <c r="S26" s="129"/>
      <c r="T26" s="30" t="s">
        <v>141</v>
      </c>
      <c r="U26" s="106" t="s">
        <v>140</v>
      </c>
      <c r="V26" s="128" t="s">
        <v>101</v>
      </c>
      <c r="W26" s="128"/>
      <c r="X26" s="128"/>
      <c r="Y26" s="75" t="s">
        <v>127</v>
      </c>
      <c r="Z26" s="75" t="s">
        <v>128</v>
      </c>
    </row>
    <row r="27" spans="1:26" ht="18" customHeight="1" x14ac:dyDescent="0.15">
      <c r="A27" s="14"/>
      <c r="B27" s="180" t="s">
        <v>181</v>
      </c>
      <c r="C27" s="181"/>
      <c r="D27" s="181"/>
      <c r="E27" s="181"/>
      <c r="F27" s="182"/>
      <c r="G27" s="107">
        <v>2</v>
      </c>
      <c r="H27" s="107" t="s">
        <v>171</v>
      </c>
      <c r="I27" s="186" t="s">
        <v>173</v>
      </c>
      <c r="J27" s="187"/>
      <c r="K27" s="188"/>
      <c r="L27" s="107" t="s">
        <v>171</v>
      </c>
      <c r="M27" s="107" t="s">
        <v>171</v>
      </c>
      <c r="N27" s="158"/>
      <c r="O27" s="159"/>
      <c r="P27" s="159"/>
      <c r="Q27" s="159"/>
      <c r="R27" s="159"/>
      <c r="S27" s="160"/>
      <c r="T27" s="107"/>
      <c r="U27" s="107"/>
      <c r="V27" s="186"/>
      <c r="W27" s="187"/>
      <c r="X27" s="188"/>
      <c r="Y27" s="107"/>
      <c r="Z27" s="107"/>
    </row>
    <row r="28" spans="1:26" ht="18" customHeight="1" x14ac:dyDescent="0.15">
      <c r="A28" s="14"/>
      <c r="B28" s="173"/>
      <c r="C28" s="174"/>
      <c r="D28" s="174"/>
      <c r="E28" s="174"/>
      <c r="F28" s="175"/>
      <c r="G28" s="108"/>
      <c r="H28" s="108"/>
      <c r="I28" s="167"/>
      <c r="J28" s="168"/>
      <c r="K28" s="169"/>
      <c r="L28" s="108"/>
      <c r="M28" s="108"/>
      <c r="N28" s="161"/>
      <c r="O28" s="162"/>
      <c r="P28" s="162"/>
      <c r="Q28" s="162"/>
      <c r="R28" s="162"/>
      <c r="S28" s="163"/>
      <c r="T28" s="108"/>
      <c r="U28" s="108"/>
      <c r="V28" s="167"/>
      <c r="W28" s="168"/>
      <c r="X28" s="169"/>
      <c r="Y28" s="108"/>
      <c r="Z28" s="108"/>
    </row>
    <row r="29" spans="1:26" ht="18" customHeight="1" x14ac:dyDescent="0.15">
      <c r="A29" s="14"/>
      <c r="B29" s="173"/>
      <c r="C29" s="174"/>
      <c r="D29" s="174"/>
      <c r="E29" s="174"/>
      <c r="F29" s="175"/>
      <c r="G29" s="108"/>
      <c r="H29" s="108"/>
      <c r="I29" s="167"/>
      <c r="J29" s="168"/>
      <c r="K29" s="169"/>
      <c r="L29" s="108"/>
      <c r="M29" s="108"/>
      <c r="N29" s="161"/>
      <c r="O29" s="162"/>
      <c r="P29" s="162"/>
      <c r="Q29" s="162"/>
      <c r="R29" s="162"/>
      <c r="S29" s="163"/>
      <c r="T29" s="108"/>
      <c r="U29" s="108"/>
      <c r="V29" s="167"/>
      <c r="W29" s="168"/>
      <c r="X29" s="169"/>
      <c r="Y29" s="108"/>
      <c r="Z29" s="108"/>
    </row>
    <row r="30" spans="1:26" ht="18" customHeight="1" x14ac:dyDescent="0.15">
      <c r="A30" s="14"/>
      <c r="B30" s="173"/>
      <c r="C30" s="174"/>
      <c r="D30" s="174"/>
      <c r="E30" s="174"/>
      <c r="F30" s="175"/>
      <c r="G30" s="108"/>
      <c r="H30" s="108"/>
      <c r="I30" s="167"/>
      <c r="J30" s="168"/>
      <c r="K30" s="169"/>
      <c r="L30" s="108"/>
      <c r="M30" s="108"/>
      <c r="N30" s="161"/>
      <c r="O30" s="162"/>
      <c r="P30" s="162"/>
      <c r="Q30" s="162"/>
      <c r="R30" s="162"/>
      <c r="S30" s="163"/>
      <c r="T30" s="108"/>
      <c r="U30" s="108"/>
      <c r="V30" s="167"/>
      <c r="W30" s="168"/>
      <c r="X30" s="169"/>
      <c r="Y30" s="108"/>
      <c r="Z30" s="108"/>
    </row>
    <row r="31" spans="1:26" ht="18" customHeight="1" x14ac:dyDescent="0.15">
      <c r="A31" s="14"/>
      <c r="B31" s="173"/>
      <c r="C31" s="174"/>
      <c r="D31" s="174"/>
      <c r="E31" s="174"/>
      <c r="F31" s="175"/>
      <c r="G31" s="108"/>
      <c r="H31" s="108"/>
      <c r="I31" s="167"/>
      <c r="J31" s="168"/>
      <c r="K31" s="169"/>
      <c r="L31" s="108"/>
      <c r="M31" s="108"/>
      <c r="N31" s="161"/>
      <c r="O31" s="162"/>
      <c r="P31" s="162"/>
      <c r="Q31" s="162"/>
      <c r="R31" s="162"/>
      <c r="S31" s="163"/>
      <c r="T31" s="108"/>
      <c r="U31" s="108"/>
      <c r="V31" s="167"/>
      <c r="W31" s="168"/>
      <c r="X31" s="169"/>
      <c r="Y31" s="108"/>
      <c r="Z31" s="108"/>
    </row>
    <row r="32" spans="1:26" ht="18" customHeight="1" x14ac:dyDescent="0.15">
      <c r="A32" s="14"/>
      <c r="B32" s="173"/>
      <c r="C32" s="174"/>
      <c r="D32" s="174"/>
      <c r="E32" s="174"/>
      <c r="F32" s="175"/>
      <c r="G32" s="108"/>
      <c r="H32" s="108"/>
      <c r="I32" s="167"/>
      <c r="J32" s="168"/>
      <c r="K32" s="169"/>
      <c r="L32" s="108"/>
      <c r="M32" s="108"/>
      <c r="N32" s="161"/>
      <c r="O32" s="162"/>
      <c r="P32" s="162"/>
      <c r="Q32" s="162"/>
      <c r="R32" s="162"/>
      <c r="S32" s="163"/>
      <c r="T32" s="108"/>
      <c r="U32" s="108"/>
      <c r="V32" s="167"/>
      <c r="W32" s="168"/>
      <c r="X32" s="169"/>
      <c r="Y32" s="108"/>
      <c r="Z32" s="108"/>
    </row>
    <row r="33" spans="1:26" ht="18" customHeight="1" x14ac:dyDescent="0.15">
      <c r="A33" s="14"/>
      <c r="B33" s="176"/>
      <c r="C33" s="177"/>
      <c r="D33" s="177"/>
      <c r="E33" s="177"/>
      <c r="F33" s="178"/>
      <c r="G33" s="109"/>
      <c r="H33" s="109"/>
      <c r="I33" s="170"/>
      <c r="J33" s="171"/>
      <c r="K33" s="172"/>
      <c r="L33" s="115"/>
      <c r="M33" s="115"/>
      <c r="N33" s="164"/>
      <c r="O33" s="165"/>
      <c r="P33" s="165"/>
      <c r="Q33" s="165"/>
      <c r="R33" s="165"/>
      <c r="S33" s="166"/>
      <c r="T33" s="109"/>
      <c r="U33" s="109"/>
      <c r="V33" s="170"/>
      <c r="W33" s="171"/>
      <c r="X33" s="172"/>
      <c r="Y33" s="115"/>
      <c r="Z33" s="115"/>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9" t="s">
        <v>129</v>
      </c>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row>
    <row r="36" spans="1:26" ht="18" customHeight="1" x14ac:dyDescent="0.15">
      <c r="A36" s="219"/>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row>
    <row r="37" spans="1:26" ht="18" customHeight="1" x14ac:dyDescent="0.15">
      <c r="A37" s="14"/>
      <c r="B37" s="127" t="s">
        <v>100</v>
      </c>
      <c r="C37" s="128"/>
      <c r="D37" s="128"/>
      <c r="E37" s="128"/>
      <c r="F37" s="129"/>
      <c r="G37" s="30" t="s">
        <v>141</v>
      </c>
      <c r="H37" s="106" t="s">
        <v>140</v>
      </c>
      <c r="I37" s="127" t="s">
        <v>101</v>
      </c>
      <c r="J37" s="128"/>
      <c r="K37" s="129"/>
      <c r="L37" s="75" t="s">
        <v>130</v>
      </c>
      <c r="M37" s="75" t="s">
        <v>131</v>
      </c>
      <c r="N37" s="127" t="s">
        <v>100</v>
      </c>
      <c r="O37" s="128"/>
      <c r="P37" s="128"/>
      <c r="Q37" s="128"/>
      <c r="R37" s="128"/>
      <c r="S37" s="129"/>
      <c r="T37" s="30" t="s">
        <v>141</v>
      </c>
      <c r="U37" s="106" t="s">
        <v>140</v>
      </c>
      <c r="V37" s="127" t="s">
        <v>101</v>
      </c>
      <c r="W37" s="128"/>
      <c r="X37" s="129"/>
      <c r="Y37" s="75" t="s">
        <v>130</v>
      </c>
      <c r="Z37" s="75" t="s">
        <v>131</v>
      </c>
    </row>
    <row r="38" spans="1:26" ht="18" customHeight="1" x14ac:dyDescent="0.15">
      <c r="A38" s="29"/>
      <c r="B38" s="180" t="s">
        <v>181</v>
      </c>
      <c r="C38" s="181"/>
      <c r="D38" s="181"/>
      <c r="E38" s="181"/>
      <c r="F38" s="182"/>
      <c r="G38" s="107">
        <v>2</v>
      </c>
      <c r="H38" s="107" t="s">
        <v>171</v>
      </c>
      <c r="I38" s="186" t="s">
        <v>173</v>
      </c>
      <c r="J38" s="187"/>
      <c r="K38" s="188"/>
      <c r="L38" s="107" t="s">
        <v>171</v>
      </c>
      <c r="M38" s="107" t="s">
        <v>171</v>
      </c>
      <c r="N38" s="158"/>
      <c r="O38" s="159"/>
      <c r="P38" s="159"/>
      <c r="Q38" s="159"/>
      <c r="R38" s="159"/>
      <c r="S38" s="160"/>
      <c r="T38" s="107"/>
      <c r="U38" s="107"/>
      <c r="V38" s="186"/>
      <c r="W38" s="187"/>
      <c r="X38" s="188"/>
      <c r="Y38" s="107"/>
      <c r="Z38" s="107"/>
    </row>
    <row r="39" spans="1:26" ht="18" customHeight="1" x14ac:dyDescent="0.15">
      <c r="A39" s="29"/>
      <c r="B39" s="173"/>
      <c r="C39" s="174"/>
      <c r="D39" s="174"/>
      <c r="E39" s="174"/>
      <c r="F39" s="175"/>
      <c r="G39" s="108"/>
      <c r="H39" s="108"/>
      <c r="I39" s="167"/>
      <c r="J39" s="168"/>
      <c r="K39" s="169"/>
      <c r="L39" s="108"/>
      <c r="M39" s="108"/>
      <c r="N39" s="161"/>
      <c r="O39" s="162"/>
      <c r="P39" s="162"/>
      <c r="Q39" s="162"/>
      <c r="R39" s="162"/>
      <c r="S39" s="163"/>
      <c r="T39" s="108"/>
      <c r="U39" s="108"/>
      <c r="V39" s="167"/>
      <c r="W39" s="168"/>
      <c r="X39" s="169"/>
      <c r="Y39" s="108"/>
      <c r="Z39" s="108"/>
    </row>
    <row r="40" spans="1:26" ht="18" customHeight="1" x14ac:dyDescent="0.15">
      <c r="A40" s="29"/>
      <c r="B40" s="173"/>
      <c r="C40" s="174"/>
      <c r="D40" s="174"/>
      <c r="E40" s="174"/>
      <c r="F40" s="175"/>
      <c r="G40" s="108"/>
      <c r="H40" s="108"/>
      <c r="I40" s="167"/>
      <c r="J40" s="168"/>
      <c r="K40" s="169"/>
      <c r="L40" s="108"/>
      <c r="M40" s="108"/>
      <c r="N40" s="161"/>
      <c r="O40" s="162"/>
      <c r="P40" s="162"/>
      <c r="Q40" s="162"/>
      <c r="R40" s="162"/>
      <c r="S40" s="163"/>
      <c r="T40" s="108"/>
      <c r="U40" s="108"/>
      <c r="V40" s="167"/>
      <c r="W40" s="168"/>
      <c r="X40" s="169"/>
      <c r="Y40" s="108"/>
      <c r="Z40" s="108"/>
    </row>
    <row r="41" spans="1:26" ht="18" customHeight="1" x14ac:dyDescent="0.15">
      <c r="A41" s="29"/>
      <c r="B41" s="173"/>
      <c r="C41" s="174"/>
      <c r="D41" s="174"/>
      <c r="E41" s="174"/>
      <c r="F41" s="175"/>
      <c r="G41" s="108"/>
      <c r="H41" s="108"/>
      <c r="I41" s="167"/>
      <c r="J41" s="168"/>
      <c r="K41" s="169"/>
      <c r="L41" s="108"/>
      <c r="M41" s="108"/>
      <c r="N41" s="161"/>
      <c r="O41" s="162"/>
      <c r="P41" s="162"/>
      <c r="Q41" s="162"/>
      <c r="R41" s="162"/>
      <c r="S41" s="163"/>
      <c r="T41" s="108"/>
      <c r="U41" s="108"/>
      <c r="V41" s="167"/>
      <c r="W41" s="168"/>
      <c r="X41" s="169"/>
      <c r="Y41" s="108"/>
      <c r="Z41" s="108"/>
    </row>
    <row r="42" spans="1:26" ht="18" customHeight="1" x14ac:dyDescent="0.15">
      <c r="A42" s="29"/>
      <c r="B42" s="173"/>
      <c r="C42" s="174"/>
      <c r="D42" s="174"/>
      <c r="E42" s="174"/>
      <c r="F42" s="175"/>
      <c r="G42" s="108"/>
      <c r="H42" s="108"/>
      <c r="I42" s="167"/>
      <c r="J42" s="168"/>
      <c r="K42" s="169"/>
      <c r="L42" s="108"/>
      <c r="M42" s="108"/>
      <c r="N42" s="161"/>
      <c r="O42" s="162"/>
      <c r="P42" s="162"/>
      <c r="Q42" s="162"/>
      <c r="R42" s="162"/>
      <c r="S42" s="163"/>
      <c r="T42" s="108"/>
      <c r="U42" s="108"/>
      <c r="V42" s="167"/>
      <c r="W42" s="168"/>
      <c r="X42" s="169"/>
      <c r="Y42" s="108"/>
      <c r="Z42" s="108"/>
    </row>
    <row r="43" spans="1:26" ht="18" customHeight="1" x14ac:dyDescent="0.15">
      <c r="A43" s="29"/>
      <c r="B43" s="173"/>
      <c r="C43" s="174"/>
      <c r="D43" s="174"/>
      <c r="E43" s="174"/>
      <c r="F43" s="175"/>
      <c r="G43" s="108"/>
      <c r="H43" s="108"/>
      <c r="I43" s="167"/>
      <c r="J43" s="168"/>
      <c r="K43" s="169"/>
      <c r="L43" s="108"/>
      <c r="M43" s="108"/>
      <c r="N43" s="161"/>
      <c r="O43" s="162"/>
      <c r="P43" s="162"/>
      <c r="Q43" s="162"/>
      <c r="R43" s="162"/>
      <c r="S43" s="163"/>
      <c r="T43" s="108"/>
      <c r="U43" s="108"/>
      <c r="V43" s="167"/>
      <c r="W43" s="168"/>
      <c r="X43" s="169"/>
      <c r="Y43" s="108"/>
      <c r="Z43" s="108"/>
    </row>
    <row r="44" spans="1:26" ht="18" customHeight="1" x14ac:dyDescent="0.15">
      <c r="A44" s="29"/>
      <c r="B44" s="176"/>
      <c r="C44" s="177"/>
      <c r="D44" s="177"/>
      <c r="E44" s="177"/>
      <c r="F44" s="178"/>
      <c r="G44" s="109"/>
      <c r="H44" s="109"/>
      <c r="I44" s="170"/>
      <c r="J44" s="171"/>
      <c r="K44" s="172"/>
      <c r="L44" s="115"/>
      <c r="M44" s="115"/>
      <c r="N44" s="164"/>
      <c r="O44" s="165"/>
      <c r="P44" s="165"/>
      <c r="Q44" s="165"/>
      <c r="R44" s="165"/>
      <c r="S44" s="166"/>
      <c r="T44" s="109"/>
      <c r="U44" s="109"/>
      <c r="V44" s="170"/>
      <c r="W44" s="171"/>
      <c r="X44" s="172"/>
      <c r="Y44" s="115"/>
      <c r="Z44" s="115"/>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9" t="s">
        <v>132</v>
      </c>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row>
    <row r="47" spans="1:26" ht="18" customHeight="1" x14ac:dyDescent="0.15">
      <c r="A47" s="219"/>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row>
    <row r="48" spans="1:26" ht="18" customHeight="1" x14ac:dyDescent="0.15">
      <c r="A48" s="14"/>
      <c r="B48" s="127" t="s">
        <v>100</v>
      </c>
      <c r="C48" s="128"/>
      <c r="D48" s="128"/>
      <c r="E48" s="128"/>
      <c r="F48" s="129"/>
      <c r="G48" s="30" t="s">
        <v>141</v>
      </c>
      <c r="H48" s="106" t="s">
        <v>140</v>
      </c>
      <c r="I48" s="127" t="s">
        <v>101</v>
      </c>
      <c r="J48" s="128"/>
      <c r="K48" s="129"/>
      <c r="L48" s="75" t="s">
        <v>106</v>
      </c>
      <c r="M48" s="75" t="s">
        <v>108</v>
      </c>
      <c r="N48" s="127" t="s">
        <v>100</v>
      </c>
      <c r="O48" s="128"/>
      <c r="P48" s="128"/>
      <c r="Q48" s="128"/>
      <c r="R48" s="128"/>
      <c r="S48" s="129"/>
      <c r="T48" s="30" t="s">
        <v>141</v>
      </c>
      <c r="U48" s="106" t="s">
        <v>140</v>
      </c>
      <c r="V48" s="127" t="s">
        <v>101</v>
      </c>
      <c r="W48" s="128"/>
      <c r="X48" s="129"/>
      <c r="Y48" s="75" t="s">
        <v>106</v>
      </c>
      <c r="Z48" s="75" t="s">
        <v>108</v>
      </c>
    </row>
    <row r="49" spans="1:26" ht="18" customHeight="1" x14ac:dyDescent="0.15">
      <c r="A49" s="29"/>
      <c r="B49" s="180" t="s">
        <v>166</v>
      </c>
      <c r="C49" s="181"/>
      <c r="D49" s="181"/>
      <c r="E49" s="181"/>
      <c r="F49" s="182"/>
      <c r="G49" s="107">
        <v>1</v>
      </c>
      <c r="H49" s="107" t="s">
        <v>171</v>
      </c>
      <c r="I49" s="186" t="s">
        <v>172</v>
      </c>
      <c r="J49" s="187"/>
      <c r="K49" s="188"/>
      <c r="L49" s="120"/>
      <c r="M49" s="120" t="s">
        <v>171</v>
      </c>
      <c r="N49" s="158"/>
      <c r="O49" s="159"/>
      <c r="P49" s="159"/>
      <c r="Q49" s="159"/>
      <c r="R49" s="159"/>
      <c r="S49" s="160"/>
      <c r="T49" s="107"/>
      <c r="U49" s="107"/>
      <c r="V49" s="186"/>
      <c r="W49" s="187"/>
      <c r="X49" s="188"/>
      <c r="Y49" s="107"/>
      <c r="Z49" s="107"/>
    </row>
    <row r="50" spans="1:26" ht="18" customHeight="1" x14ac:dyDescent="0.15">
      <c r="A50" s="29"/>
      <c r="B50" s="173" t="s">
        <v>167</v>
      </c>
      <c r="C50" s="174"/>
      <c r="D50" s="174"/>
      <c r="E50" s="174"/>
      <c r="F50" s="175"/>
      <c r="G50" s="108">
        <v>1</v>
      </c>
      <c r="H50" s="108" t="s">
        <v>171</v>
      </c>
      <c r="I50" s="167" t="s">
        <v>172</v>
      </c>
      <c r="J50" s="168"/>
      <c r="K50" s="169"/>
      <c r="L50" s="120"/>
      <c r="M50" s="120" t="s">
        <v>171</v>
      </c>
      <c r="N50" s="161"/>
      <c r="O50" s="162"/>
      <c r="P50" s="162"/>
      <c r="Q50" s="162"/>
      <c r="R50" s="162"/>
      <c r="S50" s="163"/>
      <c r="T50" s="108"/>
      <c r="U50" s="108"/>
      <c r="V50" s="167"/>
      <c r="W50" s="168"/>
      <c r="X50" s="169"/>
      <c r="Y50" s="108"/>
      <c r="Z50" s="108"/>
    </row>
    <row r="51" spans="1:26" ht="18" customHeight="1" x14ac:dyDescent="0.15">
      <c r="A51" s="29"/>
      <c r="B51" s="234" t="s">
        <v>181</v>
      </c>
      <c r="C51" s="235"/>
      <c r="D51" s="235"/>
      <c r="E51" s="235"/>
      <c r="F51" s="236"/>
      <c r="G51" s="120">
        <v>2</v>
      </c>
      <c r="H51" s="120" t="s">
        <v>171</v>
      </c>
      <c r="I51" s="231" t="s">
        <v>173</v>
      </c>
      <c r="J51" s="232"/>
      <c r="K51" s="233"/>
      <c r="L51" s="120" t="s">
        <v>171</v>
      </c>
      <c r="M51" s="120" t="s">
        <v>171</v>
      </c>
      <c r="N51" s="161"/>
      <c r="O51" s="162"/>
      <c r="P51" s="162"/>
      <c r="Q51" s="162"/>
      <c r="R51" s="162"/>
      <c r="S51" s="163"/>
      <c r="T51" s="108"/>
      <c r="U51" s="108"/>
      <c r="V51" s="167"/>
      <c r="W51" s="168"/>
      <c r="X51" s="169"/>
      <c r="Y51" s="108"/>
      <c r="Z51" s="108"/>
    </row>
    <row r="52" spans="1:26" ht="18" customHeight="1" x14ac:dyDescent="0.15">
      <c r="A52" s="29"/>
      <c r="B52" s="173"/>
      <c r="C52" s="174"/>
      <c r="D52" s="174"/>
      <c r="E52" s="174"/>
      <c r="F52" s="175"/>
      <c r="G52" s="108"/>
      <c r="H52" s="108"/>
      <c r="I52" s="167"/>
      <c r="J52" s="168"/>
      <c r="K52" s="169"/>
      <c r="L52" s="108"/>
      <c r="M52" s="108"/>
      <c r="N52" s="161"/>
      <c r="O52" s="162"/>
      <c r="P52" s="162"/>
      <c r="Q52" s="162"/>
      <c r="R52" s="162"/>
      <c r="S52" s="163"/>
      <c r="T52" s="108"/>
      <c r="U52" s="108"/>
      <c r="V52" s="167"/>
      <c r="W52" s="168"/>
      <c r="X52" s="169"/>
      <c r="Y52" s="108"/>
      <c r="Z52" s="108"/>
    </row>
    <row r="53" spans="1:26" ht="18" customHeight="1" x14ac:dyDescent="0.15">
      <c r="A53" s="29"/>
      <c r="B53" s="173"/>
      <c r="C53" s="174"/>
      <c r="D53" s="174"/>
      <c r="E53" s="174"/>
      <c r="F53" s="175"/>
      <c r="G53" s="108"/>
      <c r="H53" s="108"/>
      <c r="I53" s="167"/>
      <c r="J53" s="168"/>
      <c r="K53" s="169"/>
      <c r="L53" s="108"/>
      <c r="M53" s="108"/>
      <c r="N53" s="161"/>
      <c r="O53" s="162"/>
      <c r="P53" s="162"/>
      <c r="Q53" s="162"/>
      <c r="R53" s="162"/>
      <c r="S53" s="163"/>
      <c r="T53" s="108"/>
      <c r="U53" s="108"/>
      <c r="V53" s="167"/>
      <c r="W53" s="168"/>
      <c r="X53" s="169"/>
      <c r="Y53" s="108"/>
      <c r="Z53" s="108"/>
    </row>
    <row r="54" spans="1:26" ht="18" customHeight="1" x14ac:dyDescent="0.15">
      <c r="A54" s="29"/>
      <c r="B54" s="173"/>
      <c r="C54" s="174"/>
      <c r="D54" s="174"/>
      <c r="E54" s="174"/>
      <c r="F54" s="175"/>
      <c r="G54" s="108"/>
      <c r="H54" s="108"/>
      <c r="I54" s="167"/>
      <c r="J54" s="168"/>
      <c r="K54" s="169"/>
      <c r="L54" s="108"/>
      <c r="M54" s="108"/>
      <c r="N54" s="161"/>
      <c r="O54" s="162"/>
      <c r="P54" s="162"/>
      <c r="Q54" s="162"/>
      <c r="R54" s="162"/>
      <c r="S54" s="163"/>
      <c r="T54" s="108"/>
      <c r="U54" s="108"/>
      <c r="V54" s="167"/>
      <c r="W54" s="168"/>
      <c r="X54" s="169"/>
      <c r="Y54" s="108"/>
      <c r="Z54" s="108"/>
    </row>
    <row r="55" spans="1:26" ht="18" customHeight="1" x14ac:dyDescent="0.15">
      <c r="A55" s="29"/>
      <c r="B55" s="176"/>
      <c r="C55" s="177"/>
      <c r="D55" s="177"/>
      <c r="E55" s="177"/>
      <c r="F55" s="178"/>
      <c r="G55" s="109"/>
      <c r="H55" s="109"/>
      <c r="I55" s="170"/>
      <c r="J55" s="171"/>
      <c r="K55" s="172"/>
      <c r="L55" s="115"/>
      <c r="M55" s="115"/>
      <c r="N55" s="164"/>
      <c r="O55" s="165"/>
      <c r="P55" s="165"/>
      <c r="Q55" s="165"/>
      <c r="R55" s="165"/>
      <c r="S55" s="166"/>
      <c r="T55" s="109"/>
      <c r="U55" s="109"/>
      <c r="V55" s="170"/>
      <c r="W55" s="171"/>
      <c r="X55" s="172"/>
      <c r="Y55" s="115"/>
      <c r="Z55" s="115"/>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9" t="s">
        <v>133</v>
      </c>
      <c r="B57" s="219"/>
      <c r="C57" s="219"/>
      <c r="D57" s="219"/>
      <c r="E57" s="219"/>
      <c r="F57" s="219"/>
      <c r="G57" s="219"/>
      <c r="H57" s="219"/>
      <c r="I57" s="219"/>
      <c r="J57" s="219"/>
      <c r="K57" s="219"/>
      <c r="L57" s="219"/>
      <c r="M57" s="219"/>
      <c r="N57" s="219"/>
      <c r="O57" s="219"/>
      <c r="P57" s="219"/>
      <c r="Q57" s="219"/>
      <c r="R57" s="219"/>
      <c r="S57" s="219"/>
      <c r="T57" s="219"/>
      <c r="U57" s="219"/>
      <c r="V57" s="219"/>
      <c r="W57" s="219"/>
      <c r="X57" s="219"/>
      <c r="Y57" s="219"/>
      <c r="Z57" s="219"/>
    </row>
    <row r="58" spans="1:26" ht="18" customHeight="1" x14ac:dyDescent="0.15">
      <c r="A58" s="219"/>
      <c r="B58" s="219"/>
      <c r="C58" s="219"/>
      <c r="D58" s="219"/>
      <c r="E58" s="219"/>
      <c r="F58" s="219"/>
      <c r="G58" s="219"/>
      <c r="H58" s="219"/>
      <c r="I58" s="219"/>
      <c r="J58" s="219"/>
      <c r="K58" s="219"/>
      <c r="L58" s="219"/>
      <c r="M58" s="219"/>
      <c r="N58" s="219"/>
      <c r="O58" s="219"/>
      <c r="P58" s="219"/>
      <c r="Q58" s="219"/>
      <c r="R58" s="219"/>
      <c r="S58" s="219"/>
      <c r="T58" s="219"/>
      <c r="U58" s="219"/>
      <c r="V58" s="219"/>
      <c r="W58" s="219"/>
      <c r="X58" s="219"/>
      <c r="Y58" s="219"/>
      <c r="Z58" s="219"/>
    </row>
    <row r="59" spans="1:26" ht="18" customHeight="1" x14ac:dyDescent="0.15">
      <c r="A59" s="14"/>
      <c r="B59" s="127" t="s">
        <v>100</v>
      </c>
      <c r="C59" s="128"/>
      <c r="D59" s="128"/>
      <c r="E59" s="129"/>
      <c r="F59" s="30" t="s">
        <v>141</v>
      </c>
      <c r="G59" s="106" t="s">
        <v>140</v>
      </c>
      <c r="H59" s="101" t="s">
        <v>101</v>
      </c>
      <c r="I59" s="102"/>
      <c r="J59" s="103"/>
      <c r="K59" s="75" t="s">
        <v>105</v>
      </c>
      <c r="L59" s="75" t="s">
        <v>134</v>
      </c>
      <c r="M59" s="75" t="s">
        <v>135</v>
      </c>
      <c r="N59" s="127" t="s">
        <v>100</v>
      </c>
      <c r="O59" s="128"/>
      <c r="P59" s="128"/>
      <c r="Q59" s="128"/>
      <c r="R59" s="129"/>
      <c r="S59" s="30" t="s">
        <v>141</v>
      </c>
      <c r="T59" s="106" t="s">
        <v>140</v>
      </c>
      <c r="U59" s="101" t="s">
        <v>101</v>
      </c>
      <c r="V59" s="102"/>
      <c r="W59" s="103"/>
      <c r="X59" s="75" t="s">
        <v>105</v>
      </c>
      <c r="Y59" s="75" t="s">
        <v>134</v>
      </c>
      <c r="Z59" s="75" t="s">
        <v>135</v>
      </c>
    </row>
    <row r="60" spans="1:26" ht="18" customHeight="1" x14ac:dyDescent="0.15">
      <c r="A60" s="29"/>
      <c r="B60" s="158" t="s">
        <v>174</v>
      </c>
      <c r="C60" s="159"/>
      <c r="D60" s="159"/>
      <c r="E60" s="160"/>
      <c r="F60" s="107">
        <v>1</v>
      </c>
      <c r="G60" s="107" t="s">
        <v>171</v>
      </c>
      <c r="H60" s="186" t="s">
        <v>172</v>
      </c>
      <c r="I60" s="187"/>
      <c r="J60" s="188"/>
      <c r="K60" s="120"/>
      <c r="L60" s="120" t="s">
        <v>171</v>
      </c>
      <c r="M60" s="120" t="s">
        <v>171</v>
      </c>
      <c r="N60" s="158"/>
      <c r="O60" s="159"/>
      <c r="P60" s="159"/>
      <c r="Q60" s="159"/>
      <c r="R60" s="160"/>
      <c r="S60" s="107"/>
      <c r="T60" s="107"/>
      <c r="U60" s="186"/>
      <c r="V60" s="187"/>
      <c r="W60" s="188"/>
      <c r="X60" s="119"/>
      <c r="Y60" s="107"/>
      <c r="Z60" s="107"/>
    </row>
    <row r="61" spans="1:26" ht="18" customHeight="1" x14ac:dyDescent="0.15">
      <c r="A61" s="29"/>
      <c r="B61" s="161" t="s">
        <v>175</v>
      </c>
      <c r="C61" s="162"/>
      <c r="D61" s="162"/>
      <c r="E61" s="163"/>
      <c r="F61" s="108">
        <v>1</v>
      </c>
      <c r="G61" s="108" t="s">
        <v>171</v>
      </c>
      <c r="H61" s="167" t="s">
        <v>172</v>
      </c>
      <c r="I61" s="168"/>
      <c r="J61" s="169"/>
      <c r="K61" s="120" t="s">
        <v>171</v>
      </c>
      <c r="L61" s="120"/>
      <c r="M61" s="120"/>
      <c r="N61" s="161"/>
      <c r="O61" s="162"/>
      <c r="P61" s="162"/>
      <c r="Q61" s="162"/>
      <c r="R61" s="163"/>
      <c r="S61" s="108"/>
      <c r="T61" s="108"/>
      <c r="U61" s="167"/>
      <c r="V61" s="168"/>
      <c r="W61" s="169"/>
      <c r="X61" s="117"/>
      <c r="Y61" s="108"/>
      <c r="Z61" s="108"/>
    </row>
    <row r="62" spans="1:26" ht="18" customHeight="1" x14ac:dyDescent="0.15">
      <c r="A62" s="29"/>
      <c r="B62" s="161"/>
      <c r="C62" s="162"/>
      <c r="D62" s="162"/>
      <c r="E62" s="163"/>
      <c r="F62" s="120"/>
      <c r="G62" s="120"/>
      <c r="H62" s="231"/>
      <c r="I62" s="232"/>
      <c r="J62" s="233"/>
      <c r="K62" s="120"/>
      <c r="L62" s="120"/>
      <c r="M62" s="120"/>
      <c r="N62" s="161"/>
      <c r="O62" s="162"/>
      <c r="P62" s="162"/>
      <c r="Q62" s="162"/>
      <c r="R62" s="163"/>
      <c r="S62" s="108"/>
      <c r="T62" s="108"/>
      <c r="U62" s="167"/>
      <c r="V62" s="168"/>
      <c r="W62" s="169"/>
      <c r="X62" s="117"/>
      <c r="Y62" s="108"/>
      <c r="Z62" s="108"/>
    </row>
    <row r="63" spans="1:26" ht="18" customHeight="1" x14ac:dyDescent="0.15">
      <c r="A63" s="29"/>
      <c r="B63" s="161"/>
      <c r="C63" s="162"/>
      <c r="D63" s="162"/>
      <c r="E63" s="163"/>
      <c r="F63" s="108"/>
      <c r="G63" s="108"/>
      <c r="H63" s="167"/>
      <c r="I63" s="168"/>
      <c r="J63" s="169"/>
      <c r="K63" s="117"/>
      <c r="L63" s="108"/>
      <c r="M63" s="108"/>
      <c r="N63" s="161"/>
      <c r="O63" s="162"/>
      <c r="P63" s="162"/>
      <c r="Q63" s="162"/>
      <c r="R63" s="163"/>
      <c r="S63" s="108"/>
      <c r="T63" s="108"/>
      <c r="U63" s="167"/>
      <c r="V63" s="168"/>
      <c r="W63" s="169"/>
      <c r="X63" s="117"/>
      <c r="Y63" s="108"/>
      <c r="Z63" s="108"/>
    </row>
    <row r="64" spans="1:26" ht="18" customHeight="1" x14ac:dyDescent="0.15">
      <c r="A64" s="29"/>
      <c r="B64" s="161"/>
      <c r="C64" s="162"/>
      <c r="D64" s="162"/>
      <c r="E64" s="163"/>
      <c r="F64" s="108"/>
      <c r="G64" s="108"/>
      <c r="H64" s="167"/>
      <c r="I64" s="168"/>
      <c r="J64" s="169"/>
      <c r="K64" s="117"/>
      <c r="L64" s="108"/>
      <c r="M64" s="108"/>
      <c r="N64" s="161"/>
      <c r="O64" s="162"/>
      <c r="P64" s="162"/>
      <c r="Q64" s="162"/>
      <c r="R64" s="163"/>
      <c r="S64" s="108"/>
      <c r="T64" s="108"/>
      <c r="U64" s="167"/>
      <c r="V64" s="168"/>
      <c r="W64" s="169"/>
      <c r="X64" s="117"/>
      <c r="Y64" s="108"/>
      <c r="Z64" s="108"/>
    </row>
    <row r="65" spans="1:26" ht="18" customHeight="1" x14ac:dyDescent="0.15">
      <c r="A65" s="29"/>
      <c r="B65" s="161"/>
      <c r="C65" s="162"/>
      <c r="D65" s="162"/>
      <c r="E65" s="163"/>
      <c r="F65" s="108"/>
      <c r="G65" s="108"/>
      <c r="H65" s="167"/>
      <c r="I65" s="168"/>
      <c r="J65" s="169"/>
      <c r="K65" s="117"/>
      <c r="L65" s="108"/>
      <c r="M65" s="108"/>
      <c r="N65" s="161"/>
      <c r="O65" s="162"/>
      <c r="P65" s="162"/>
      <c r="Q65" s="162"/>
      <c r="R65" s="163"/>
      <c r="S65" s="108"/>
      <c r="T65" s="108"/>
      <c r="U65" s="167"/>
      <c r="V65" s="168"/>
      <c r="W65" s="169"/>
      <c r="X65" s="117"/>
      <c r="Y65" s="108"/>
      <c r="Z65" s="108"/>
    </row>
    <row r="66" spans="1:26" ht="18" customHeight="1" x14ac:dyDescent="0.15">
      <c r="A66" s="29"/>
      <c r="B66" s="164"/>
      <c r="C66" s="165"/>
      <c r="D66" s="165"/>
      <c r="E66" s="166"/>
      <c r="F66" s="109"/>
      <c r="G66" s="109"/>
      <c r="H66" s="170"/>
      <c r="I66" s="171"/>
      <c r="J66" s="172"/>
      <c r="K66" s="118"/>
      <c r="L66" s="115"/>
      <c r="M66" s="115"/>
      <c r="N66" s="164"/>
      <c r="O66" s="165"/>
      <c r="P66" s="165"/>
      <c r="Q66" s="165"/>
      <c r="R66" s="166"/>
      <c r="S66" s="109"/>
      <c r="T66" s="109"/>
      <c r="U66" s="170"/>
      <c r="V66" s="171"/>
      <c r="W66" s="172"/>
      <c r="X66" s="118"/>
      <c r="Y66" s="115"/>
      <c r="Z66" s="115"/>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7" t="s">
        <v>100</v>
      </c>
      <c r="C69" s="128"/>
      <c r="D69" s="128"/>
      <c r="E69" s="128"/>
      <c r="F69" s="129"/>
      <c r="G69" s="127" t="s">
        <v>146</v>
      </c>
      <c r="H69" s="128"/>
      <c r="I69" s="128"/>
      <c r="J69" s="128"/>
      <c r="K69" s="128"/>
      <c r="L69" s="128"/>
      <c r="M69" s="129"/>
      <c r="N69" s="183" t="s">
        <v>100</v>
      </c>
      <c r="O69" s="184"/>
      <c r="P69" s="184"/>
      <c r="Q69" s="184"/>
      <c r="R69" s="184"/>
      <c r="S69" s="185"/>
      <c r="T69" s="127" t="s">
        <v>146</v>
      </c>
      <c r="U69" s="128"/>
      <c r="V69" s="128"/>
      <c r="W69" s="128"/>
      <c r="X69" s="128"/>
      <c r="Y69" s="128"/>
      <c r="Z69" s="129"/>
    </row>
    <row r="70" spans="1:26" ht="18" customHeight="1" x14ac:dyDescent="0.15">
      <c r="A70" s="29"/>
      <c r="B70" s="158" t="s">
        <v>167</v>
      </c>
      <c r="C70" s="159"/>
      <c r="D70" s="159"/>
      <c r="E70" s="159"/>
      <c r="F70" s="160"/>
      <c r="G70" s="237" t="s">
        <v>177</v>
      </c>
      <c r="H70" s="238"/>
      <c r="I70" s="238"/>
      <c r="J70" s="238"/>
      <c r="K70" s="238"/>
      <c r="L70" s="238"/>
      <c r="M70" s="239"/>
      <c r="N70" s="158"/>
      <c r="O70" s="159"/>
      <c r="P70" s="159"/>
      <c r="Q70" s="159"/>
      <c r="R70" s="159"/>
      <c r="S70" s="160"/>
      <c r="T70" s="237"/>
      <c r="U70" s="238"/>
      <c r="V70" s="238"/>
      <c r="W70" s="238"/>
      <c r="X70" s="238"/>
      <c r="Y70" s="238"/>
      <c r="Z70" s="239"/>
    </row>
    <row r="71" spans="1:26" ht="18" customHeight="1" x14ac:dyDescent="0.15">
      <c r="A71" s="29"/>
      <c r="B71" s="161" t="s">
        <v>181</v>
      </c>
      <c r="C71" s="162"/>
      <c r="D71" s="162"/>
      <c r="E71" s="162"/>
      <c r="F71" s="163"/>
      <c r="G71" s="204" t="s">
        <v>176</v>
      </c>
      <c r="H71" s="205"/>
      <c r="I71" s="205"/>
      <c r="J71" s="205"/>
      <c r="K71" s="205"/>
      <c r="L71" s="205"/>
      <c r="M71" s="206"/>
      <c r="N71" s="161"/>
      <c r="O71" s="162"/>
      <c r="P71" s="162"/>
      <c r="Q71" s="162"/>
      <c r="R71" s="162"/>
      <c r="S71" s="163"/>
      <c r="T71" s="204"/>
      <c r="U71" s="205"/>
      <c r="V71" s="205"/>
      <c r="W71" s="205"/>
      <c r="X71" s="205"/>
      <c r="Y71" s="205"/>
      <c r="Z71" s="206"/>
    </row>
    <row r="72" spans="1:26" ht="18" customHeight="1" x14ac:dyDescent="0.15">
      <c r="A72" s="29"/>
      <c r="B72" s="161" t="s">
        <v>182</v>
      </c>
      <c r="C72" s="162"/>
      <c r="D72" s="162"/>
      <c r="E72" s="162"/>
      <c r="F72" s="163"/>
      <c r="G72" s="204" t="s">
        <v>176</v>
      </c>
      <c r="H72" s="205"/>
      <c r="I72" s="205"/>
      <c r="J72" s="205"/>
      <c r="K72" s="205"/>
      <c r="L72" s="205"/>
      <c r="M72" s="206"/>
      <c r="N72" s="161"/>
      <c r="O72" s="162"/>
      <c r="P72" s="162"/>
      <c r="Q72" s="162"/>
      <c r="R72" s="162"/>
      <c r="S72" s="163"/>
      <c r="T72" s="204"/>
      <c r="U72" s="205"/>
      <c r="V72" s="205"/>
      <c r="W72" s="205"/>
      <c r="X72" s="205"/>
      <c r="Y72" s="205"/>
      <c r="Z72" s="206"/>
    </row>
    <row r="73" spans="1:26" ht="18" customHeight="1" x14ac:dyDescent="0.15">
      <c r="A73" s="29"/>
      <c r="B73" s="161" t="s">
        <v>183</v>
      </c>
      <c r="C73" s="162"/>
      <c r="D73" s="162"/>
      <c r="E73" s="162"/>
      <c r="F73" s="163"/>
      <c r="G73" s="204" t="s">
        <v>176</v>
      </c>
      <c r="H73" s="205"/>
      <c r="I73" s="205"/>
      <c r="J73" s="205"/>
      <c r="K73" s="205"/>
      <c r="L73" s="205"/>
      <c r="M73" s="206"/>
      <c r="N73" s="161"/>
      <c r="O73" s="162"/>
      <c r="P73" s="162"/>
      <c r="Q73" s="162"/>
      <c r="R73" s="162"/>
      <c r="S73" s="163"/>
      <c r="T73" s="204"/>
      <c r="U73" s="205"/>
      <c r="V73" s="205"/>
      <c r="W73" s="205"/>
      <c r="X73" s="205"/>
      <c r="Y73" s="205"/>
      <c r="Z73" s="206"/>
    </row>
    <row r="74" spans="1:26" ht="18" customHeight="1" x14ac:dyDescent="0.15">
      <c r="A74" s="29"/>
      <c r="B74" s="161" t="s">
        <v>184</v>
      </c>
      <c r="C74" s="162"/>
      <c r="D74" s="162"/>
      <c r="E74" s="162"/>
      <c r="F74" s="163"/>
      <c r="G74" s="204" t="s">
        <v>176</v>
      </c>
      <c r="H74" s="205"/>
      <c r="I74" s="205"/>
      <c r="J74" s="205"/>
      <c r="K74" s="205"/>
      <c r="L74" s="205"/>
      <c r="M74" s="206"/>
      <c r="N74" s="161"/>
      <c r="O74" s="162"/>
      <c r="P74" s="162"/>
      <c r="Q74" s="162"/>
      <c r="R74" s="162"/>
      <c r="S74" s="163"/>
      <c r="T74" s="204"/>
      <c r="U74" s="205"/>
      <c r="V74" s="205"/>
      <c r="W74" s="205"/>
      <c r="X74" s="205"/>
      <c r="Y74" s="205"/>
      <c r="Z74" s="206"/>
    </row>
    <row r="75" spans="1:26" ht="18" customHeight="1" x14ac:dyDescent="0.15">
      <c r="A75" s="29"/>
      <c r="B75" s="161" t="s">
        <v>185</v>
      </c>
      <c r="C75" s="162"/>
      <c r="D75" s="162"/>
      <c r="E75" s="162"/>
      <c r="F75" s="163"/>
      <c r="G75" s="204" t="s">
        <v>176</v>
      </c>
      <c r="H75" s="205"/>
      <c r="I75" s="205"/>
      <c r="J75" s="205"/>
      <c r="K75" s="205"/>
      <c r="L75" s="205"/>
      <c r="M75" s="206"/>
      <c r="N75" s="161"/>
      <c r="O75" s="162"/>
      <c r="P75" s="162"/>
      <c r="Q75" s="162"/>
      <c r="R75" s="162"/>
      <c r="S75" s="163"/>
      <c r="T75" s="204"/>
      <c r="U75" s="205"/>
      <c r="V75" s="205"/>
      <c r="W75" s="205"/>
      <c r="X75" s="205"/>
      <c r="Y75" s="205"/>
      <c r="Z75" s="206"/>
    </row>
    <row r="76" spans="1:26" ht="18" customHeight="1" x14ac:dyDescent="0.15">
      <c r="A76" s="29"/>
      <c r="B76" s="164"/>
      <c r="C76" s="165"/>
      <c r="D76" s="165"/>
      <c r="E76" s="165"/>
      <c r="F76" s="166"/>
      <c r="G76" s="201"/>
      <c r="H76" s="202"/>
      <c r="I76" s="202"/>
      <c r="J76" s="202"/>
      <c r="K76" s="202"/>
      <c r="L76" s="202"/>
      <c r="M76" s="203"/>
      <c r="N76" s="164"/>
      <c r="O76" s="165"/>
      <c r="P76" s="165"/>
      <c r="Q76" s="165"/>
      <c r="R76" s="165"/>
      <c r="S76" s="166"/>
      <c r="T76" s="201"/>
      <c r="U76" s="202"/>
      <c r="V76" s="202"/>
      <c r="W76" s="202"/>
      <c r="X76" s="202"/>
      <c r="Y76" s="202"/>
      <c r="Z76" s="203"/>
    </row>
    <row r="77" spans="1:26" ht="18" customHeight="1" x14ac:dyDescent="0.15">
      <c r="A77" s="29"/>
      <c r="B77" s="116"/>
      <c r="C77" s="116"/>
      <c r="D77" s="116"/>
      <c r="E77" s="116"/>
      <c r="F77" s="116"/>
      <c r="G77" s="12"/>
      <c r="H77" s="12"/>
      <c r="I77" s="12"/>
      <c r="J77" s="12"/>
      <c r="K77" s="12"/>
      <c r="L77" s="12"/>
      <c r="M77" s="12"/>
      <c r="N77" s="116"/>
      <c r="O77" s="116"/>
      <c r="P77" s="116"/>
      <c r="Q77" s="116"/>
      <c r="R77" s="116"/>
      <c r="S77" s="116"/>
      <c r="T77" s="12"/>
      <c r="U77" s="12"/>
      <c r="V77" s="12"/>
      <c r="W77" s="12"/>
      <c r="X77" s="12"/>
      <c r="Y77" s="12"/>
      <c r="Z77" s="12"/>
    </row>
    <row r="78" spans="1:26" ht="18.75" customHeight="1" x14ac:dyDescent="0.15">
      <c r="A78" s="13" t="s">
        <v>142</v>
      </c>
    </row>
    <row r="79" spans="1:26" ht="18.75" customHeight="1" x14ac:dyDescent="0.15">
      <c r="B79" s="78" t="s">
        <v>102</v>
      </c>
      <c r="C79" s="79"/>
      <c r="D79" s="255" t="s">
        <v>103</v>
      </c>
      <c r="E79" s="255"/>
      <c r="F79" s="255"/>
      <c r="G79" s="255"/>
      <c r="H79" s="255"/>
      <c r="I79" s="255"/>
      <c r="J79" s="255"/>
      <c r="K79" s="255"/>
      <c r="L79" s="255"/>
      <c r="M79" s="255"/>
      <c r="N79" s="255"/>
      <c r="O79" s="255"/>
      <c r="P79" s="255"/>
      <c r="Q79" s="255"/>
      <c r="R79" s="255"/>
      <c r="S79" s="255"/>
      <c r="T79" s="255"/>
      <c r="U79" s="255"/>
      <c r="V79" s="255"/>
      <c r="W79" s="255"/>
      <c r="X79" s="255"/>
      <c r="Y79" s="255"/>
      <c r="Z79" s="256"/>
    </row>
    <row r="80" spans="1:26" ht="78" customHeight="1" x14ac:dyDescent="0.15">
      <c r="B80" s="245" t="s">
        <v>109</v>
      </c>
      <c r="C80" s="84" t="s">
        <v>104</v>
      </c>
      <c r="D80" s="208" t="s">
        <v>214</v>
      </c>
      <c r="E80" s="208"/>
      <c r="F80" s="208"/>
      <c r="G80" s="208"/>
      <c r="H80" s="208"/>
      <c r="I80" s="208"/>
      <c r="J80" s="208"/>
      <c r="K80" s="208"/>
      <c r="L80" s="208"/>
      <c r="M80" s="208"/>
      <c r="N80" s="208"/>
      <c r="O80" s="208"/>
      <c r="P80" s="208"/>
      <c r="Q80" s="208"/>
      <c r="R80" s="208"/>
      <c r="S80" s="208"/>
      <c r="T80" s="208"/>
      <c r="U80" s="208"/>
      <c r="V80" s="208"/>
      <c r="W80" s="208"/>
      <c r="X80" s="208"/>
      <c r="Y80" s="208"/>
      <c r="Z80" s="209"/>
    </row>
    <row r="81" spans="1:26" ht="78" customHeight="1" x14ac:dyDescent="0.15">
      <c r="B81" s="246"/>
      <c r="C81" s="104" t="s">
        <v>137</v>
      </c>
      <c r="D81" s="257" t="s">
        <v>215</v>
      </c>
      <c r="E81" s="257"/>
      <c r="F81" s="257"/>
      <c r="G81" s="257"/>
      <c r="H81" s="257"/>
      <c r="I81" s="257"/>
      <c r="J81" s="257"/>
      <c r="K81" s="257"/>
      <c r="L81" s="257"/>
      <c r="M81" s="257"/>
      <c r="N81" s="257"/>
      <c r="O81" s="257"/>
      <c r="P81" s="257"/>
      <c r="Q81" s="257"/>
      <c r="R81" s="257"/>
      <c r="S81" s="257"/>
      <c r="T81" s="257"/>
      <c r="U81" s="257"/>
      <c r="V81" s="257"/>
      <c r="W81" s="257"/>
      <c r="X81" s="257"/>
      <c r="Y81" s="257"/>
      <c r="Z81" s="258"/>
    </row>
    <row r="82" spans="1:26" ht="78" customHeight="1" x14ac:dyDescent="0.15">
      <c r="B82" s="243" t="s">
        <v>110</v>
      </c>
      <c r="C82" s="80" t="s">
        <v>127</v>
      </c>
      <c r="D82" s="217" t="s">
        <v>215</v>
      </c>
      <c r="E82" s="217"/>
      <c r="F82" s="217"/>
      <c r="G82" s="217"/>
      <c r="H82" s="217"/>
      <c r="I82" s="217"/>
      <c r="J82" s="217"/>
      <c r="K82" s="217"/>
      <c r="L82" s="217"/>
      <c r="M82" s="217"/>
      <c r="N82" s="217"/>
      <c r="O82" s="217"/>
      <c r="P82" s="217"/>
      <c r="Q82" s="217"/>
      <c r="R82" s="217"/>
      <c r="S82" s="217"/>
      <c r="T82" s="217"/>
      <c r="U82" s="217"/>
      <c r="V82" s="217"/>
      <c r="W82" s="217"/>
      <c r="X82" s="217"/>
      <c r="Y82" s="217"/>
      <c r="Z82" s="218"/>
    </row>
    <row r="83" spans="1:26" ht="78" customHeight="1" x14ac:dyDescent="0.15">
      <c r="B83" s="244"/>
      <c r="C83" s="105" t="s">
        <v>128</v>
      </c>
      <c r="D83" s="214" t="s">
        <v>215</v>
      </c>
      <c r="E83" s="214"/>
      <c r="F83" s="214"/>
      <c r="G83" s="214"/>
      <c r="H83" s="214"/>
      <c r="I83" s="214"/>
      <c r="J83" s="214"/>
      <c r="K83" s="214"/>
      <c r="L83" s="214"/>
      <c r="M83" s="214"/>
      <c r="N83" s="214"/>
      <c r="O83" s="214"/>
      <c r="P83" s="214"/>
      <c r="Q83" s="214"/>
      <c r="R83" s="214"/>
      <c r="S83" s="214"/>
      <c r="T83" s="214"/>
      <c r="U83" s="214"/>
      <c r="V83" s="214"/>
      <c r="W83" s="214"/>
      <c r="X83" s="214"/>
      <c r="Y83" s="214"/>
      <c r="Z83" s="215"/>
    </row>
    <row r="84" spans="1:26" ht="66" customHeight="1" x14ac:dyDescent="0.15">
      <c r="B84" s="243" t="s">
        <v>111</v>
      </c>
      <c r="C84" s="80" t="s">
        <v>130</v>
      </c>
      <c r="D84" s="216" t="s">
        <v>226</v>
      </c>
      <c r="E84" s="217"/>
      <c r="F84" s="217"/>
      <c r="G84" s="217"/>
      <c r="H84" s="217"/>
      <c r="I84" s="217"/>
      <c r="J84" s="217"/>
      <c r="K84" s="217"/>
      <c r="L84" s="217"/>
      <c r="M84" s="217"/>
      <c r="N84" s="217"/>
      <c r="O84" s="217"/>
      <c r="P84" s="217"/>
      <c r="Q84" s="217"/>
      <c r="R84" s="217"/>
      <c r="S84" s="217"/>
      <c r="T84" s="217"/>
      <c r="U84" s="217"/>
      <c r="V84" s="217"/>
      <c r="W84" s="217"/>
      <c r="X84" s="217"/>
      <c r="Y84" s="217"/>
      <c r="Z84" s="218"/>
    </row>
    <row r="85" spans="1:26" ht="66" customHeight="1" x14ac:dyDescent="0.15">
      <c r="B85" s="244"/>
      <c r="C85" s="82" t="s">
        <v>131</v>
      </c>
      <c r="D85" s="211" t="s">
        <v>215</v>
      </c>
      <c r="E85" s="211"/>
      <c r="F85" s="211"/>
      <c r="G85" s="211"/>
      <c r="H85" s="211"/>
      <c r="I85" s="211"/>
      <c r="J85" s="211"/>
      <c r="K85" s="211"/>
      <c r="L85" s="211"/>
      <c r="M85" s="211"/>
      <c r="N85" s="211"/>
      <c r="O85" s="211"/>
      <c r="P85" s="211"/>
      <c r="Q85" s="211"/>
      <c r="R85" s="211"/>
      <c r="S85" s="211"/>
      <c r="T85" s="211"/>
      <c r="U85" s="211"/>
      <c r="V85" s="211"/>
      <c r="W85" s="211"/>
      <c r="X85" s="211"/>
      <c r="Y85" s="211"/>
      <c r="Z85" s="212"/>
    </row>
    <row r="86" spans="1:26" ht="66" customHeight="1" x14ac:dyDescent="0.15">
      <c r="B86" s="245" t="s">
        <v>138</v>
      </c>
      <c r="C86" s="84" t="s">
        <v>106</v>
      </c>
      <c r="D86" s="208" t="s">
        <v>215</v>
      </c>
      <c r="E86" s="208"/>
      <c r="F86" s="208"/>
      <c r="G86" s="208"/>
      <c r="H86" s="208"/>
      <c r="I86" s="208"/>
      <c r="J86" s="208"/>
      <c r="K86" s="208"/>
      <c r="L86" s="208"/>
      <c r="M86" s="208"/>
      <c r="N86" s="208"/>
      <c r="O86" s="208"/>
      <c r="P86" s="208"/>
      <c r="Q86" s="208"/>
      <c r="R86" s="208"/>
      <c r="S86" s="208"/>
      <c r="T86" s="208"/>
      <c r="U86" s="208"/>
      <c r="V86" s="208"/>
      <c r="W86" s="208"/>
      <c r="X86" s="208"/>
      <c r="Y86" s="208"/>
      <c r="Z86" s="209"/>
    </row>
    <row r="87" spans="1:26" ht="66" customHeight="1" x14ac:dyDescent="0.15">
      <c r="B87" s="251"/>
      <c r="C87" s="81" t="s">
        <v>108</v>
      </c>
      <c r="D87" s="252" t="s">
        <v>216</v>
      </c>
      <c r="E87" s="253"/>
      <c r="F87" s="253"/>
      <c r="G87" s="253"/>
      <c r="H87" s="253"/>
      <c r="I87" s="253"/>
      <c r="J87" s="253"/>
      <c r="K87" s="253"/>
      <c r="L87" s="253"/>
      <c r="M87" s="253"/>
      <c r="N87" s="253"/>
      <c r="O87" s="253"/>
      <c r="P87" s="253"/>
      <c r="Q87" s="253"/>
      <c r="R87" s="253"/>
      <c r="S87" s="253"/>
      <c r="T87" s="253"/>
      <c r="U87" s="253"/>
      <c r="V87" s="253"/>
      <c r="W87" s="253"/>
      <c r="X87" s="253"/>
      <c r="Y87" s="253"/>
      <c r="Z87" s="254"/>
    </row>
    <row r="88" spans="1:26" ht="66" customHeight="1" x14ac:dyDescent="0.15">
      <c r="B88" s="245" t="s">
        <v>139</v>
      </c>
      <c r="C88" s="80" t="s">
        <v>105</v>
      </c>
      <c r="D88" s="248" t="s">
        <v>212</v>
      </c>
      <c r="E88" s="248"/>
      <c r="F88" s="248"/>
      <c r="G88" s="248"/>
      <c r="H88" s="248"/>
      <c r="I88" s="248"/>
      <c r="J88" s="248"/>
      <c r="K88" s="248"/>
      <c r="L88" s="248"/>
      <c r="M88" s="248"/>
      <c r="N88" s="248"/>
      <c r="O88" s="248"/>
      <c r="P88" s="248"/>
      <c r="Q88" s="248"/>
      <c r="R88" s="248"/>
      <c r="S88" s="248"/>
      <c r="T88" s="248"/>
      <c r="U88" s="248"/>
      <c r="V88" s="248"/>
      <c r="W88" s="248"/>
      <c r="X88" s="248"/>
      <c r="Y88" s="248"/>
      <c r="Z88" s="249"/>
    </row>
    <row r="89" spans="1:26" ht="66" customHeight="1" x14ac:dyDescent="0.15">
      <c r="B89" s="246"/>
      <c r="C89" s="81" t="s">
        <v>134</v>
      </c>
      <c r="D89" s="240" t="s">
        <v>213</v>
      </c>
      <c r="E89" s="241"/>
      <c r="F89" s="241"/>
      <c r="G89" s="241"/>
      <c r="H89" s="241"/>
      <c r="I89" s="241"/>
      <c r="J89" s="241"/>
      <c r="K89" s="241"/>
      <c r="L89" s="241"/>
      <c r="M89" s="241"/>
      <c r="N89" s="241"/>
      <c r="O89" s="241"/>
      <c r="P89" s="241"/>
      <c r="Q89" s="241"/>
      <c r="R89" s="241"/>
      <c r="S89" s="241"/>
      <c r="T89" s="241"/>
      <c r="U89" s="241"/>
      <c r="V89" s="241"/>
      <c r="W89" s="241"/>
      <c r="X89" s="241"/>
      <c r="Y89" s="241"/>
      <c r="Z89" s="242"/>
    </row>
    <row r="90" spans="1:26" ht="66" customHeight="1" x14ac:dyDescent="0.15">
      <c r="B90" s="244"/>
      <c r="C90" s="82" t="s">
        <v>135</v>
      </c>
      <c r="D90" s="250" t="s">
        <v>213</v>
      </c>
      <c r="E90" s="196"/>
      <c r="F90" s="196"/>
      <c r="G90" s="196"/>
      <c r="H90" s="196"/>
      <c r="I90" s="196"/>
      <c r="J90" s="196"/>
      <c r="K90" s="196"/>
      <c r="L90" s="196"/>
      <c r="M90" s="196"/>
      <c r="N90" s="196"/>
      <c r="O90" s="196"/>
      <c r="P90" s="196"/>
      <c r="Q90" s="196"/>
      <c r="R90" s="196"/>
      <c r="S90" s="196"/>
      <c r="T90" s="196"/>
      <c r="U90" s="196"/>
      <c r="V90" s="196"/>
      <c r="W90" s="196"/>
      <c r="X90" s="196"/>
      <c r="Y90" s="196"/>
      <c r="Z90" s="197"/>
    </row>
    <row r="91" spans="1:26" ht="6" customHeight="1" x14ac:dyDescent="0.15"/>
    <row r="92" spans="1:26" ht="18.75" customHeight="1" x14ac:dyDescent="0.15">
      <c r="A92" s="13" t="s">
        <v>143</v>
      </c>
    </row>
    <row r="93" spans="1:26" ht="18.75" customHeight="1" x14ac:dyDescent="0.15">
      <c r="B93" s="189" t="s">
        <v>179</v>
      </c>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1"/>
    </row>
    <row r="94" spans="1:26" ht="18.75" customHeight="1" x14ac:dyDescent="0.15">
      <c r="B94" s="192"/>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4"/>
    </row>
    <row r="95" spans="1:26" ht="18.75" customHeight="1" x14ac:dyDescent="0.15">
      <c r="B95" s="195"/>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7"/>
    </row>
    <row r="96" spans="1:26" ht="6" customHeight="1" x14ac:dyDescent="0.15"/>
    <row r="97" spans="1:26" ht="15" customHeight="1" x14ac:dyDescent="0.15">
      <c r="A97" s="13" t="s">
        <v>144</v>
      </c>
    </row>
    <row r="98" spans="1:26" ht="15" customHeight="1" x14ac:dyDescent="0.15">
      <c r="B98" s="198" t="s">
        <v>242</v>
      </c>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200"/>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44634622-855A-4BB0-A347-BEC2401A36C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9C39EFA9-5537-4E89-ADFD-34ED0440194A}">
      <formula1>"学部・学科によって、修了要件は相違する,学部・学科によって、修了要件は相違しない"</formula1>
    </dataValidation>
    <dataValidation type="list" allowBlank="1" showInputMessage="1" showErrorMessage="1" sqref="Z23 Z34 D34:K34 D23:K23 V16:V22 H60:H66 V27:V33 I27:I33 V38:V44 I49:I55 V49:V55 I38:I44 U60:U66 I16:I22" xr:uid="{1A91E1B0-6248-4CDE-895D-7BBC5A84B163}">
      <formula1>"全学開講,一部開講"</formula1>
    </dataValidation>
    <dataValidation type="list" allowBlank="1" showInputMessage="1" showErrorMessage="1" sqref="Y16:Z22 H16:H22 Y27:Z33 L27:M33 H38:H44 Y38:Z44 Y49:Z55 Y60:Z66 G60:G66 L63:M66 U16:U22 H27:H33 U27:U33 T60:T66 U38:U44 L38:M44 U49:U55 L49:M55 H49:H55 K60:M62 L16:M22" xr:uid="{0DD19B1C-50EF-4B76-BB4F-332B2D470BFC}">
      <formula1>"○"</formula1>
    </dataValidation>
  </dataValidations>
  <hyperlinks>
    <hyperlink ref="B98" r:id="rId1" xr:uid="{04E170DF-3032-4AEF-B09A-FE5D65BF16FE}"/>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D3E99-BDF5-46E8-97EA-99FECBFC7896}">
  <dimension ref="A1:Z98"/>
  <sheetViews>
    <sheetView showZeros="0" view="pageBreakPreview" topLeftCell="A91" zoomScaleNormal="100" zoomScaleSheetLayoutView="100" workbookViewId="0">
      <selection activeCell="G62" sqref="G62"/>
    </sheetView>
  </sheetViews>
  <sheetFormatPr defaultColWidth="9" defaultRowHeight="18.75" customHeight="1"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9" t="s">
        <v>233</v>
      </c>
      <c r="X1" s="179"/>
      <c r="Y1" s="179"/>
      <c r="Z1" s="179"/>
    </row>
    <row r="2" spans="1:26" ht="18" customHeight="1" x14ac:dyDescent="0.15">
      <c r="A2" s="220" t="s">
        <v>67</v>
      </c>
      <c r="B2" s="220"/>
      <c r="C2" s="220"/>
      <c r="D2" s="220"/>
      <c r="E2" s="220"/>
      <c r="F2" s="220"/>
      <c r="G2" s="220"/>
      <c r="H2" s="220"/>
      <c r="I2" s="220"/>
      <c r="J2" s="220"/>
      <c r="K2" s="220"/>
      <c r="L2" s="220"/>
      <c r="M2" s="220"/>
      <c r="N2" s="220"/>
      <c r="O2" s="220"/>
      <c r="P2" s="220"/>
      <c r="Q2" s="220"/>
      <c r="R2" s="220"/>
      <c r="S2" s="220"/>
      <c r="T2" s="220"/>
      <c r="U2" s="220"/>
      <c r="V2" s="220"/>
      <c r="W2" s="220"/>
      <c r="X2" s="220"/>
      <c r="Y2" s="220"/>
      <c r="Z2" s="220"/>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27" t="s">
        <v>164</v>
      </c>
      <c r="P4" s="128"/>
      <c r="Q4" s="128"/>
      <c r="R4" s="128"/>
      <c r="S4" s="128"/>
      <c r="T4" s="128"/>
      <c r="U4" s="128"/>
      <c r="V4" s="128"/>
      <c r="W4" s="128"/>
      <c r="X4" s="128"/>
      <c r="Y4" s="128"/>
      <c r="Z4" s="129"/>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1" t="s">
        <v>245</v>
      </c>
      <c r="C6" s="222"/>
      <c r="D6" s="222"/>
      <c r="E6" s="222"/>
      <c r="F6" s="222"/>
      <c r="G6" s="222"/>
      <c r="H6" s="222"/>
      <c r="I6" s="222"/>
      <c r="J6" s="222"/>
      <c r="K6" s="222"/>
      <c r="L6" s="222"/>
      <c r="M6" s="222"/>
      <c r="N6" s="222"/>
      <c r="O6" s="222"/>
      <c r="P6" s="222"/>
      <c r="Q6" s="222"/>
      <c r="R6" s="222"/>
      <c r="S6" s="222"/>
      <c r="T6" s="222"/>
      <c r="U6" s="222"/>
      <c r="V6" s="222"/>
      <c r="W6" s="222"/>
      <c r="X6" s="222"/>
      <c r="Y6" s="222"/>
      <c r="Z6" s="223"/>
    </row>
    <row r="7" spans="1:26" ht="18" customHeight="1" x14ac:dyDescent="0.15">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x14ac:dyDescent="0.15">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x14ac:dyDescent="0.15">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x14ac:dyDescent="0.15">
      <c r="B10" s="224"/>
      <c r="C10" s="227"/>
      <c r="D10" s="227"/>
      <c r="E10" s="227"/>
      <c r="F10" s="227"/>
      <c r="G10" s="227"/>
      <c r="H10" s="227"/>
      <c r="I10" s="227"/>
      <c r="J10" s="227"/>
      <c r="K10" s="227"/>
      <c r="L10" s="227"/>
      <c r="M10" s="227"/>
      <c r="N10" s="227"/>
      <c r="O10" s="227"/>
      <c r="P10" s="227"/>
      <c r="Q10" s="227"/>
      <c r="R10" s="227"/>
      <c r="S10" s="227"/>
      <c r="T10" s="227"/>
      <c r="U10" s="227"/>
      <c r="V10" s="227"/>
      <c r="W10" s="227"/>
      <c r="X10" s="227"/>
      <c r="Y10" s="227"/>
      <c r="Z10" s="226"/>
    </row>
    <row r="11" spans="1:26" ht="18" customHeight="1" x14ac:dyDescent="0.15">
      <c r="B11" s="228"/>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30"/>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9" t="s">
        <v>125</v>
      </c>
      <c r="B13" s="219"/>
      <c r="C13" s="219"/>
      <c r="D13" s="219"/>
      <c r="E13" s="219"/>
      <c r="F13" s="219"/>
      <c r="G13" s="219"/>
      <c r="H13" s="219"/>
      <c r="I13" s="219"/>
      <c r="J13" s="219"/>
      <c r="K13" s="219"/>
      <c r="L13" s="219"/>
      <c r="M13" s="219"/>
      <c r="N13" s="219"/>
      <c r="O13" s="219"/>
      <c r="P13" s="219"/>
      <c r="Q13" s="219"/>
      <c r="R13" s="219"/>
      <c r="S13" s="219"/>
      <c r="T13" s="219"/>
      <c r="U13" s="219"/>
      <c r="V13" s="219"/>
      <c r="W13" s="219"/>
      <c r="X13" s="219"/>
      <c r="Y13" s="219"/>
      <c r="Z13" s="219"/>
    </row>
    <row r="14" spans="1:26" ht="18" customHeight="1" x14ac:dyDescent="0.15">
      <c r="A14" s="219"/>
      <c r="B14" s="219"/>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row>
    <row r="15" spans="1:26" ht="18" customHeight="1" x14ac:dyDescent="0.15">
      <c r="A15" s="14"/>
      <c r="B15" s="127" t="s">
        <v>100</v>
      </c>
      <c r="C15" s="128"/>
      <c r="D15" s="128"/>
      <c r="E15" s="128"/>
      <c r="F15" s="129"/>
      <c r="G15" s="30" t="s">
        <v>141</v>
      </c>
      <c r="H15" s="106" t="s">
        <v>140</v>
      </c>
      <c r="I15" s="128" t="s">
        <v>101</v>
      </c>
      <c r="J15" s="128"/>
      <c r="K15" s="128"/>
      <c r="L15" s="75" t="s">
        <v>104</v>
      </c>
      <c r="M15" s="75" t="s">
        <v>107</v>
      </c>
      <c r="N15" s="127" t="s">
        <v>100</v>
      </c>
      <c r="O15" s="128"/>
      <c r="P15" s="128"/>
      <c r="Q15" s="128"/>
      <c r="R15" s="128"/>
      <c r="S15" s="129"/>
      <c r="T15" s="30" t="s">
        <v>141</v>
      </c>
      <c r="U15" s="106" t="s">
        <v>140</v>
      </c>
      <c r="V15" s="128" t="s">
        <v>101</v>
      </c>
      <c r="W15" s="128"/>
      <c r="X15" s="128"/>
      <c r="Y15" s="75" t="s">
        <v>104</v>
      </c>
      <c r="Z15" s="75" t="s">
        <v>107</v>
      </c>
    </row>
    <row r="16" spans="1:26" ht="18" customHeight="1" x14ac:dyDescent="0.15">
      <c r="A16" s="14"/>
      <c r="B16" s="180" t="s">
        <v>186</v>
      </c>
      <c r="C16" s="181"/>
      <c r="D16" s="181"/>
      <c r="E16" s="181"/>
      <c r="F16" s="182"/>
      <c r="G16" s="107">
        <v>1</v>
      </c>
      <c r="H16" s="107" t="s">
        <v>171</v>
      </c>
      <c r="I16" s="186" t="s">
        <v>173</v>
      </c>
      <c r="J16" s="187"/>
      <c r="K16" s="188"/>
      <c r="L16" s="107" t="s">
        <v>171</v>
      </c>
      <c r="M16" s="107" t="s">
        <v>171</v>
      </c>
      <c r="N16" s="158"/>
      <c r="O16" s="159"/>
      <c r="P16" s="159"/>
      <c r="Q16" s="159"/>
      <c r="R16" s="159"/>
      <c r="S16" s="160"/>
      <c r="T16" s="107"/>
      <c r="U16" s="107"/>
      <c r="V16" s="186"/>
      <c r="W16" s="187"/>
      <c r="X16" s="188"/>
      <c r="Y16" s="107"/>
      <c r="Z16" s="107"/>
    </row>
    <row r="17" spans="1:26" ht="18" customHeight="1" x14ac:dyDescent="0.15">
      <c r="A17" s="14"/>
      <c r="B17" s="173"/>
      <c r="C17" s="174"/>
      <c r="D17" s="174"/>
      <c r="E17" s="174"/>
      <c r="F17" s="175"/>
      <c r="G17" s="108"/>
      <c r="H17" s="108"/>
      <c r="I17" s="167"/>
      <c r="J17" s="168"/>
      <c r="K17" s="169"/>
      <c r="L17" s="108"/>
      <c r="M17" s="108"/>
      <c r="N17" s="161"/>
      <c r="O17" s="162"/>
      <c r="P17" s="162"/>
      <c r="Q17" s="162"/>
      <c r="R17" s="162"/>
      <c r="S17" s="163"/>
      <c r="T17" s="108"/>
      <c r="U17" s="108"/>
      <c r="V17" s="167"/>
      <c r="W17" s="168"/>
      <c r="X17" s="169"/>
      <c r="Y17" s="108"/>
      <c r="Z17" s="108"/>
    </row>
    <row r="18" spans="1:26" ht="18" customHeight="1" x14ac:dyDescent="0.15">
      <c r="A18" s="14"/>
      <c r="B18" s="173"/>
      <c r="C18" s="174"/>
      <c r="D18" s="174"/>
      <c r="E18" s="174"/>
      <c r="F18" s="175"/>
      <c r="G18" s="108"/>
      <c r="H18" s="108"/>
      <c r="I18" s="167"/>
      <c r="J18" s="168"/>
      <c r="K18" s="169"/>
      <c r="L18" s="108"/>
      <c r="M18" s="108"/>
      <c r="N18" s="161"/>
      <c r="O18" s="162"/>
      <c r="P18" s="162"/>
      <c r="Q18" s="162"/>
      <c r="R18" s="162"/>
      <c r="S18" s="163"/>
      <c r="T18" s="108"/>
      <c r="U18" s="108"/>
      <c r="V18" s="167"/>
      <c r="W18" s="168"/>
      <c r="X18" s="169"/>
      <c r="Y18" s="108"/>
      <c r="Z18" s="108"/>
    </row>
    <row r="19" spans="1:26" ht="18" customHeight="1" x14ac:dyDescent="0.15">
      <c r="A19" s="14"/>
      <c r="B19" s="173"/>
      <c r="C19" s="174"/>
      <c r="D19" s="174"/>
      <c r="E19" s="174"/>
      <c r="F19" s="175"/>
      <c r="G19" s="108"/>
      <c r="H19" s="108"/>
      <c r="I19" s="167"/>
      <c r="J19" s="168"/>
      <c r="K19" s="169"/>
      <c r="L19" s="108"/>
      <c r="M19" s="108"/>
      <c r="N19" s="161"/>
      <c r="O19" s="162"/>
      <c r="P19" s="162"/>
      <c r="Q19" s="162"/>
      <c r="R19" s="162"/>
      <c r="S19" s="163"/>
      <c r="T19" s="108"/>
      <c r="U19" s="108"/>
      <c r="V19" s="167"/>
      <c r="W19" s="168"/>
      <c r="X19" s="169"/>
      <c r="Y19" s="108"/>
      <c r="Z19" s="108"/>
    </row>
    <row r="20" spans="1:26" ht="18" customHeight="1" x14ac:dyDescent="0.15">
      <c r="A20" s="14"/>
      <c r="B20" s="173"/>
      <c r="C20" s="174"/>
      <c r="D20" s="174"/>
      <c r="E20" s="174"/>
      <c r="F20" s="175"/>
      <c r="G20" s="108"/>
      <c r="H20" s="108"/>
      <c r="I20" s="167"/>
      <c r="J20" s="168"/>
      <c r="K20" s="169"/>
      <c r="L20" s="108"/>
      <c r="M20" s="108"/>
      <c r="N20" s="161"/>
      <c r="O20" s="162"/>
      <c r="P20" s="162"/>
      <c r="Q20" s="162"/>
      <c r="R20" s="162"/>
      <c r="S20" s="163"/>
      <c r="T20" s="108"/>
      <c r="U20" s="108"/>
      <c r="V20" s="167"/>
      <c r="W20" s="168"/>
      <c r="X20" s="169"/>
      <c r="Y20" s="108"/>
      <c r="Z20" s="108"/>
    </row>
    <row r="21" spans="1:26" ht="18" customHeight="1" x14ac:dyDescent="0.15">
      <c r="A21" s="29"/>
      <c r="B21" s="173"/>
      <c r="C21" s="174"/>
      <c r="D21" s="174"/>
      <c r="E21" s="174"/>
      <c r="F21" s="175"/>
      <c r="G21" s="108"/>
      <c r="H21" s="108"/>
      <c r="I21" s="167"/>
      <c r="J21" s="168"/>
      <c r="K21" s="169"/>
      <c r="L21" s="108"/>
      <c r="M21" s="108"/>
      <c r="N21" s="161"/>
      <c r="O21" s="162"/>
      <c r="P21" s="162"/>
      <c r="Q21" s="162"/>
      <c r="R21" s="162"/>
      <c r="S21" s="163"/>
      <c r="T21" s="108"/>
      <c r="U21" s="108"/>
      <c r="V21" s="167"/>
      <c r="W21" s="168"/>
      <c r="X21" s="169"/>
      <c r="Y21" s="108"/>
      <c r="Z21" s="108"/>
    </row>
    <row r="22" spans="1:26" ht="18" customHeight="1" x14ac:dyDescent="0.15">
      <c r="A22" s="29"/>
      <c r="B22" s="176"/>
      <c r="C22" s="177"/>
      <c r="D22" s="177"/>
      <c r="E22" s="177"/>
      <c r="F22" s="178"/>
      <c r="G22" s="109"/>
      <c r="H22" s="109"/>
      <c r="I22" s="170"/>
      <c r="J22" s="171"/>
      <c r="K22" s="172"/>
      <c r="L22" s="115"/>
      <c r="M22" s="115"/>
      <c r="N22" s="164"/>
      <c r="O22" s="165"/>
      <c r="P22" s="165"/>
      <c r="Q22" s="165"/>
      <c r="R22" s="165"/>
      <c r="S22" s="166"/>
      <c r="T22" s="109"/>
      <c r="U22" s="109"/>
      <c r="V22" s="170"/>
      <c r="W22" s="171"/>
      <c r="X22" s="172"/>
      <c r="Y22" s="115"/>
      <c r="Z22" s="115"/>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9" t="s">
        <v>126</v>
      </c>
      <c r="B24" s="219"/>
      <c r="C24" s="219"/>
      <c r="D24" s="219"/>
      <c r="E24" s="219"/>
      <c r="F24" s="219"/>
      <c r="G24" s="219"/>
      <c r="H24" s="219"/>
      <c r="I24" s="219"/>
      <c r="J24" s="219"/>
      <c r="K24" s="219"/>
      <c r="L24" s="219"/>
      <c r="M24" s="219"/>
      <c r="N24" s="219"/>
      <c r="O24" s="219"/>
      <c r="P24" s="219"/>
      <c r="Q24" s="219"/>
      <c r="R24" s="219"/>
      <c r="S24" s="219"/>
      <c r="T24" s="219"/>
      <c r="U24" s="219"/>
      <c r="V24" s="219"/>
      <c r="W24" s="219"/>
      <c r="X24" s="219"/>
      <c r="Y24" s="219"/>
      <c r="Z24" s="219"/>
    </row>
    <row r="25" spans="1:26" ht="18" customHeight="1" x14ac:dyDescent="0.15">
      <c r="A25" s="219"/>
      <c r="B25" s="219"/>
      <c r="C25" s="219"/>
      <c r="D25" s="219"/>
      <c r="E25" s="219"/>
      <c r="F25" s="219"/>
      <c r="G25" s="219"/>
      <c r="H25" s="219"/>
      <c r="I25" s="219"/>
      <c r="J25" s="219"/>
      <c r="K25" s="219"/>
      <c r="L25" s="219"/>
      <c r="M25" s="219"/>
      <c r="N25" s="219"/>
      <c r="O25" s="219"/>
      <c r="P25" s="219"/>
      <c r="Q25" s="219"/>
      <c r="R25" s="219"/>
      <c r="S25" s="219"/>
      <c r="T25" s="219"/>
      <c r="U25" s="219"/>
      <c r="V25" s="219"/>
      <c r="W25" s="219"/>
      <c r="X25" s="219"/>
      <c r="Y25" s="219"/>
      <c r="Z25" s="219"/>
    </row>
    <row r="26" spans="1:26" ht="18" customHeight="1" x14ac:dyDescent="0.15">
      <c r="A26" s="14"/>
      <c r="B26" s="127" t="s">
        <v>100</v>
      </c>
      <c r="C26" s="128"/>
      <c r="D26" s="128"/>
      <c r="E26" s="128"/>
      <c r="F26" s="129"/>
      <c r="G26" s="30" t="s">
        <v>141</v>
      </c>
      <c r="H26" s="106" t="s">
        <v>140</v>
      </c>
      <c r="I26" s="128" t="s">
        <v>101</v>
      </c>
      <c r="J26" s="128"/>
      <c r="K26" s="128"/>
      <c r="L26" s="75" t="s">
        <v>127</v>
      </c>
      <c r="M26" s="75" t="s">
        <v>128</v>
      </c>
      <c r="N26" s="127" t="s">
        <v>100</v>
      </c>
      <c r="O26" s="128"/>
      <c r="P26" s="128"/>
      <c r="Q26" s="128"/>
      <c r="R26" s="128"/>
      <c r="S26" s="129"/>
      <c r="T26" s="30" t="s">
        <v>141</v>
      </c>
      <c r="U26" s="106" t="s">
        <v>140</v>
      </c>
      <c r="V26" s="128" t="s">
        <v>101</v>
      </c>
      <c r="W26" s="128"/>
      <c r="X26" s="128"/>
      <c r="Y26" s="75" t="s">
        <v>127</v>
      </c>
      <c r="Z26" s="75" t="s">
        <v>128</v>
      </c>
    </row>
    <row r="27" spans="1:26" ht="18" customHeight="1" x14ac:dyDescent="0.15">
      <c r="A27" s="14"/>
      <c r="B27" s="180" t="s">
        <v>186</v>
      </c>
      <c r="C27" s="181"/>
      <c r="D27" s="181"/>
      <c r="E27" s="181"/>
      <c r="F27" s="182"/>
      <c r="G27" s="107">
        <v>1</v>
      </c>
      <c r="H27" s="107" t="s">
        <v>171</v>
      </c>
      <c r="I27" s="186" t="s">
        <v>173</v>
      </c>
      <c r="J27" s="187"/>
      <c r="K27" s="188"/>
      <c r="L27" s="107" t="s">
        <v>171</v>
      </c>
      <c r="M27" s="107" t="s">
        <v>171</v>
      </c>
      <c r="N27" s="158"/>
      <c r="O27" s="159"/>
      <c r="P27" s="159"/>
      <c r="Q27" s="159"/>
      <c r="R27" s="159"/>
      <c r="S27" s="160"/>
      <c r="T27" s="107"/>
      <c r="U27" s="107"/>
      <c r="V27" s="186"/>
      <c r="W27" s="187"/>
      <c r="X27" s="188"/>
      <c r="Y27" s="107"/>
      <c r="Z27" s="107"/>
    </row>
    <row r="28" spans="1:26" ht="18" customHeight="1" x14ac:dyDescent="0.15">
      <c r="A28" s="14"/>
      <c r="B28" s="173"/>
      <c r="C28" s="174"/>
      <c r="D28" s="174"/>
      <c r="E28" s="174"/>
      <c r="F28" s="175"/>
      <c r="G28" s="108"/>
      <c r="H28" s="108"/>
      <c r="I28" s="167"/>
      <c r="J28" s="168"/>
      <c r="K28" s="169"/>
      <c r="L28" s="108"/>
      <c r="M28" s="108"/>
      <c r="N28" s="161"/>
      <c r="O28" s="162"/>
      <c r="P28" s="162"/>
      <c r="Q28" s="162"/>
      <c r="R28" s="162"/>
      <c r="S28" s="163"/>
      <c r="T28" s="108"/>
      <c r="U28" s="108"/>
      <c r="V28" s="167"/>
      <c r="W28" s="168"/>
      <c r="X28" s="169"/>
      <c r="Y28" s="108"/>
      <c r="Z28" s="108"/>
    </row>
    <row r="29" spans="1:26" ht="18" customHeight="1" x14ac:dyDescent="0.15">
      <c r="A29" s="14"/>
      <c r="B29" s="173"/>
      <c r="C29" s="174"/>
      <c r="D29" s="174"/>
      <c r="E29" s="174"/>
      <c r="F29" s="175"/>
      <c r="G29" s="108"/>
      <c r="H29" s="108"/>
      <c r="I29" s="167"/>
      <c r="J29" s="168"/>
      <c r="K29" s="169"/>
      <c r="L29" s="108"/>
      <c r="M29" s="108"/>
      <c r="N29" s="161"/>
      <c r="O29" s="162"/>
      <c r="P29" s="162"/>
      <c r="Q29" s="162"/>
      <c r="R29" s="162"/>
      <c r="S29" s="163"/>
      <c r="T29" s="108"/>
      <c r="U29" s="108"/>
      <c r="V29" s="167"/>
      <c r="W29" s="168"/>
      <c r="X29" s="169"/>
      <c r="Y29" s="108"/>
      <c r="Z29" s="108"/>
    </row>
    <row r="30" spans="1:26" ht="18" customHeight="1" x14ac:dyDescent="0.15">
      <c r="A30" s="14"/>
      <c r="B30" s="173"/>
      <c r="C30" s="174"/>
      <c r="D30" s="174"/>
      <c r="E30" s="174"/>
      <c r="F30" s="175"/>
      <c r="G30" s="108"/>
      <c r="H30" s="108"/>
      <c r="I30" s="167"/>
      <c r="J30" s="168"/>
      <c r="K30" s="169"/>
      <c r="L30" s="108"/>
      <c r="M30" s="108"/>
      <c r="N30" s="161"/>
      <c r="O30" s="162"/>
      <c r="P30" s="162"/>
      <c r="Q30" s="162"/>
      <c r="R30" s="162"/>
      <c r="S30" s="163"/>
      <c r="T30" s="108"/>
      <c r="U30" s="108"/>
      <c r="V30" s="167"/>
      <c r="W30" s="168"/>
      <c r="X30" s="169"/>
      <c r="Y30" s="108"/>
      <c r="Z30" s="108"/>
    </row>
    <row r="31" spans="1:26" ht="18" customHeight="1" x14ac:dyDescent="0.15">
      <c r="A31" s="14"/>
      <c r="B31" s="173"/>
      <c r="C31" s="174"/>
      <c r="D31" s="174"/>
      <c r="E31" s="174"/>
      <c r="F31" s="175"/>
      <c r="G31" s="108"/>
      <c r="H31" s="108"/>
      <c r="I31" s="167"/>
      <c r="J31" s="168"/>
      <c r="K31" s="169"/>
      <c r="L31" s="108"/>
      <c r="M31" s="108"/>
      <c r="N31" s="161"/>
      <c r="O31" s="162"/>
      <c r="P31" s="162"/>
      <c r="Q31" s="162"/>
      <c r="R31" s="162"/>
      <c r="S31" s="163"/>
      <c r="T31" s="108"/>
      <c r="U31" s="108"/>
      <c r="V31" s="167"/>
      <c r="W31" s="168"/>
      <c r="X31" s="169"/>
      <c r="Y31" s="108"/>
      <c r="Z31" s="108"/>
    </row>
    <row r="32" spans="1:26" ht="18" customHeight="1" x14ac:dyDescent="0.15">
      <c r="A32" s="14"/>
      <c r="B32" s="173"/>
      <c r="C32" s="174"/>
      <c r="D32" s="174"/>
      <c r="E32" s="174"/>
      <c r="F32" s="175"/>
      <c r="G32" s="108"/>
      <c r="H32" s="108"/>
      <c r="I32" s="167"/>
      <c r="J32" s="168"/>
      <c r="K32" s="169"/>
      <c r="L32" s="108"/>
      <c r="M32" s="108"/>
      <c r="N32" s="161"/>
      <c r="O32" s="162"/>
      <c r="P32" s="162"/>
      <c r="Q32" s="162"/>
      <c r="R32" s="162"/>
      <c r="S32" s="163"/>
      <c r="T32" s="108"/>
      <c r="U32" s="108"/>
      <c r="V32" s="167"/>
      <c r="W32" s="168"/>
      <c r="X32" s="169"/>
      <c r="Y32" s="108"/>
      <c r="Z32" s="108"/>
    </row>
    <row r="33" spans="1:26" ht="18" customHeight="1" x14ac:dyDescent="0.15">
      <c r="A33" s="14"/>
      <c r="B33" s="176"/>
      <c r="C33" s="177"/>
      <c r="D33" s="177"/>
      <c r="E33" s="177"/>
      <c r="F33" s="178"/>
      <c r="G33" s="109"/>
      <c r="H33" s="109"/>
      <c r="I33" s="170"/>
      <c r="J33" s="171"/>
      <c r="K33" s="172"/>
      <c r="L33" s="115"/>
      <c r="M33" s="115"/>
      <c r="N33" s="164"/>
      <c r="O33" s="165"/>
      <c r="P33" s="165"/>
      <c r="Q33" s="165"/>
      <c r="R33" s="165"/>
      <c r="S33" s="166"/>
      <c r="T33" s="109"/>
      <c r="U33" s="109"/>
      <c r="V33" s="170"/>
      <c r="W33" s="171"/>
      <c r="X33" s="172"/>
      <c r="Y33" s="115"/>
      <c r="Z33" s="115"/>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9" t="s">
        <v>129</v>
      </c>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row>
    <row r="36" spans="1:26" ht="18" customHeight="1" x14ac:dyDescent="0.15">
      <c r="A36" s="219"/>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row>
    <row r="37" spans="1:26" ht="18" customHeight="1" x14ac:dyDescent="0.15">
      <c r="A37" s="14"/>
      <c r="B37" s="127" t="s">
        <v>100</v>
      </c>
      <c r="C37" s="128"/>
      <c r="D37" s="128"/>
      <c r="E37" s="128"/>
      <c r="F37" s="129"/>
      <c r="G37" s="30" t="s">
        <v>141</v>
      </c>
      <c r="H37" s="106" t="s">
        <v>140</v>
      </c>
      <c r="I37" s="127" t="s">
        <v>101</v>
      </c>
      <c r="J37" s="128"/>
      <c r="K37" s="129"/>
      <c r="L37" s="75" t="s">
        <v>130</v>
      </c>
      <c r="M37" s="75" t="s">
        <v>131</v>
      </c>
      <c r="N37" s="127" t="s">
        <v>100</v>
      </c>
      <c r="O37" s="128"/>
      <c r="P37" s="128"/>
      <c r="Q37" s="128"/>
      <c r="R37" s="128"/>
      <c r="S37" s="129"/>
      <c r="T37" s="30" t="s">
        <v>141</v>
      </c>
      <c r="U37" s="106" t="s">
        <v>140</v>
      </c>
      <c r="V37" s="127" t="s">
        <v>101</v>
      </c>
      <c r="W37" s="128"/>
      <c r="X37" s="129"/>
      <c r="Y37" s="75" t="s">
        <v>130</v>
      </c>
      <c r="Z37" s="75" t="s">
        <v>131</v>
      </c>
    </row>
    <row r="38" spans="1:26" ht="18" customHeight="1" x14ac:dyDescent="0.15">
      <c r="A38" s="29"/>
      <c r="B38" s="180" t="s">
        <v>186</v>
      </c>
      <c r="C38" s="181"/>
      <c r="D38" s="181"/>
      <c r="E38" s="181"/>
      <c r="F38" s="182"/>
      <c r="G38" s="107">
        <v>1</v>
      </c>
      <c r="H38" s="107" t="s">
        <v>171</v>
      </c>
      <c r="I38" s="186" t="s">
        <v>173</v>
      </c>
      <c r="J38" s="187"/>
      <c r="K38" s="188"/>
      <c r="L38" s="107" t="s">
        <v>171</v>
      </c>
      <c r="M38" s="107" t="s">
        <v>171</v>
      </c>
      <c r="N38" s="158"/>
      <c r="O38" s="159"/>
      <c r="P38" s="159"/>
      <c r="Q38" s="159"/>
      <c r="R38" s="159"/>
      <c r="S38" s="160"/>
      <c r="T38" s="107"/>
      <c r="U38" s="107"/>
      <c r="V38" s="186"/>
      <c r="W38" s="187"/>
      <c r="X38" s="188"/>
      <c r="Y38" s="107"/>
      <c r="Z38" s="107"/>
    </row>
    <row r="39" spans="1:26" ht="18" customHeight="1" x14ac:dyDescent="0.15">
      <c r="A39" s="29"/>
      <c r="B39" s="173"/>
      <c r="C39" s="174"/>
      <c r="D39" s="174"/>
      <c r="E39" s="174"/>
      <c r="F39" s="175"/>
      <c r="G39" s="108"/>
      <c r="H39" s="108"/>
      <c r="I39" s="167"/>
      <c r="J39" s="168"/>
      <c r="K39" s="169"/>
      <c r="L39" s="108"/>
      <c r="M39" s="108"/>
      <c r="N39" s="161"/>
      <c r="O39" s="162"/>
      <c r="P39" s="162"/>
      <c r="Q39" s="162"/>
      <c r="R39" s="162"/>
      <c r="S39" s="163"/>
      <c r="T39" s="108"/>
      <c r="U39" s="108"/>
      <c r="V39" s="167"/>
      <c r="W39" s="168"/>
      <c r="X39" s="169"/>
      <c r="Y39" s="108"/>
      <c r="Z39" s="108"/>
    </row>
    <row r="40" spans="1:26" ht="18" customHeight="1" x14ac:dyDescent="0.15">
      <c r="A40" s="29"/>
      <c r="B40" s="173"/>
      <c r="C40" s="174"/>
      <c r="D40" s="174"/>
      <c r="E40" s="174"/>
      <c r="F40" s="175"/>
      <c r="G40" s="108"/>
      <c r="H40" s="108"/>
      <c r="I40" s="167"/>
      <c r="J40" s="168"/>
      <c r="K40" s="169"/>
      <c r="L40" s="108"/>
      <c r="M40" s="108"/>
      <c r="N40" s="161"/>
      <c r="O40" s="162"/>
      <c r="P40" s="162"/>
      <c r="Q40" s="162"/>
      <c r="R40" s="162"/>
      <c r="S40" s="163"/>
      <c r="T40" s="108"/>
      <c r="U40" s="108"/>
      <c r="V40" s="167"/>
      <c r="W40" s="168"/>
      <c r="X40" s="169"/>
      <c r="Y40" s="108"/>
      <c r="Z40" s="108"/>
    </row>
    <row r="41" spans="1:26" ht="18" customHeight="1" x14ac:dyDescent="0.15">
      <c r="A41" s="29"/>
      <c r="B41" s="173"/>
      <c r="C41" s="174"/>
      <c r="D41" s="174"/>
      <c r="E41" s="174"/>
      <c r="F41" s="175"/>
      <c r="G41" s="108"/>
      <c r="H41" s="108"/>
      <c r="I41" s="167"/>
      <c r="J41" s="168"/>
      <c r="K41" s="169"/>
      <c r="L41" s="108"/>
      <c r="M41" s="108"/>
      <c r="N41" s="161"/>
      <c r="O41" s="162"/>
      <c r="P41" s="162"/>
      <c r="Q41" s="162"/>
      <c r="R41" s="162"/>
      <c r="S41" s="163"/>
      <c r="T41" s="108"/>
      <c r="U41" s="108"/>
      <c r="V41" s="167"/>
      <c r="W41" s="168"/>
      <c r="X41" s="169"/>
      <c r="Y41" s="108"/>
      <c r="Z41" s="108"/>
    </row>
    <row r="42" spans="1:26" ht="18" customHeight="1" x14ac:dyDescent="0.15">
      <c r="A42" s="29"/>
      <c r="B42" s="173"/>
      <c r="C42" s="174"/>
      <c r="D42" s="174"/>
      <c r="E42" s="174"/>
      <c r="F42" s="175"/>
      <c r="G42" s="108"/>
      <c r="H42" s="108"/>
      <c r="I42" s="167"/>
      <c r="J42" s="168"/>
      <c r="K42" s="169"/>
      <c r="L42" s="108"/>
      <c r="M42" s="108"/>
      <c r="N42" s="161"/>
      <c r="O42" s="162"/>
      <c r="P42" s="162"/>
      <c r="Q42" s="162"/>
      <c r="R42" s="162"/>
      <c r="S42" s="163"/>
      <c r="T42" s="108"/>
      <c r="U42" s="108"/>
      <c r="V42" s="167"/>
      <c r="W42" s="168"/>
      <c r="X42" s="169"/>
      <c r="Y42" s="108"/>
      <c r="Z42" s="108"/>
    </row>
    <row r="43" spans="1:26" ht="18" customHeight="1" x14ac:dyDescent="0.15">
      <c r="A43" s="29"/>
      <c r="B43" s="173"/>
      <c r="C43" s="174"/>
      <c r="D43" s="174"/>
      <c r="E43" s="174"/>
      <c r="F43" s="175"/>
      <c r="G43" s="108"/>
      <c r="H43" s="108"/>
      <c r="I43" s="167"/>
      <c r="J43" s="168"/>
      <c r="K43" s="169"/>
      <c r="L43" s="108"/>
      <c r="M43" s="108"/>
      <c r="N43" s="161"/>
      <c r="O43" s="162"/>
      <c r="P43" s="162"/>
      <c r="Q43" s="162"/>
      <c r="R43" s="162"/>
      <c r="S43" s="163"/>
      <c r="T43" s="108"/>
      <c r="U43" s="108"/>
      <c r="V43" s="167"/>
      <c r="W43" s="168"/>
      <c r="X43" s="169"/>
      <c r="Y43" s="108"/>
      <c r="Z43" s="108"/>
    </row>
    <row r="44" spans="1:26" ht="18" customHeight="1" x14ac:dyDescent="0.15">
      <c r="A44" s="29"/>
      <c r="B44" s="176"/>
      <c r="C44" s="177"/>
      <c r="D44" s="177"/>
      <c r="E44" s="177"/>
      <c r="F44" s="178"/>
      <c r="G44" s="109"/>
      <c r="H44" s="109"/>
      <c r="I44" s="170"/>
      <c r="J44" s="171"/>
      <c r="K44" s="172"/>
      <c r="L44" s="115"/>
      <c r="M44" s="115"/>
      <c r="N44" s="164"/>
      <c r="O44" s="165"/>
      <c r="P44" s="165"/>
      <c r="Q44" s="165"/>
      <c r="R44" s="165"/>
      <c r="S44" s="166"/>
      <c r="T44" s="109"/>
      <c r="U44" s="109"/>
      <c r="V44" s="170"/>
      <c r="W44" s="171"/>
      <c r="X44" s="172"/>
      <c r="Y44" s="115"/>
      <c r="Z44" s="115"/>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9" t="s">
        <v>132</v>
      </c>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row>
    <row r="47" spans="1:26" ht="18" customHeight="1" x14ac:dyDescent="0.15">
      <c r="A47" s="219"/>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row>
    <row r="48" spans="1:26" ht="18" customHeight="1" x14ac:dyDescent="0.15">
      <c r="A48" s="14"/>
      <c r="B48" s="127" t="s">
        <v>100</v>
      </c>
      <c r="C48" s="128"/>
      <c r="D48" s="128"/>
      <c r="E48" s="128"/>
      <c r="F48" s="129"/>
      <c r="G48" s="30" t="s">
        <v>141</v>
      </c>
      <c r="H48" s="106" t="s">
        <v>140</v>
      </c>
      <c r="I48" s="127" t="s">
        <v>101</v>
      </c>
      <c r="J48" s="128"/>
      <c r="K48" s="129"/>
      <c r="L48" s="75" t="s">
        <v>106</v>
      </c>
      <c r="M48" s="75" t="s">
        <v>108</v>
      </c>
      <c r="N48" s="127" t="s">
        <v>100</v>
      </c>
      <c r="O48" s="128"/>
      <c r="P48" s="128"/>
      <c r="Q48" s="128"/>
      <c r="R48" s="128"/>
      <c r="S48" s="129"/>
      <c r="T48" s="30" t="s">
        <v>141</v>
      </c>
      <c r="U48" s="106" t="s">
        <v>140</v>
      </c>
      <c r="V48" s="127" t="s">
        <v>101</v>
      </c>
      <c r="W48" s="128"/>
      <c r="X48" s="129"/>
      <c r="Y48" s="75" t="s">
        <v>106</v>
      </c>
      <c r="Z48" s="75" t="s">
        <v>108</v>
      </c>
    </row>
    <row r="49" spans="1:26" ht="18" customHeight="1" x14ac:dyDescent="0.15">
      <c r="A49" s="29"/>
      <c r="B49" s="180" t="s">
        <v>166</v>
      </c>
      <c r="C49" s="181"/>
      <c r="D49" s="181"/>
      <c r="E49" s="181"/>
      <c r="F49" s="182"/>
      <c r="G49" s="107">
        <v>1</v>
      </c>
      <c r="H49" s="107" t="s">
        <v>171</v>
      </c>
      <c r="I49" s="186" t="s">
        <v>172</v>
      </c>
      <c r="J49" s="187"/>
      <c r="K49" s="188"/>
      <c r="L49" s="120"/>
      <c r="M49" s="120" t="s">
        <v>171</v>
      </c>
      <c r="N49" s="158"/>
      <c r="O49" s="159"/>
      <c r="P49" s="159"/>
      <c r="Q49" s="159"/>
      <c r="R49" s="159"/>
      <c r="S49" s="160"/>
      <c r="T49" s="107"/>
      <c r="U49" s="107"/>
      <c r="V49" s="186"/>
      <c r="W49" s="187"/>
      <c r="X49" s="188"/>
      <c r="Y49" s="107"/>
      <c r="Z49" s="107"/>
    </row>
    <row r="50" spans="1:26" ht="18" customHeight="1" x14ac:dyDescent="0.15">
      <c r="A50" s="29"/>
      <c r="B50" s="173" t="s">
        <v>167</v>
      </c>
      <c r="C50" s="174"/>
      <c r="D50" s="174"/>
      <c r="E50" s="174"/>
      <c r="F50" s="175"/>
      <c r="G50" s="108">
        <v>1</v>
      </c>
      <c r="H50" s="108" t="s">
        <v>171</v>
      </c>
      <c r="I50" s="167" t="s">
        <v>172</v>
      </c>
      <c r="J50" s="168"/>
      <c r="K50" s="169"/>
      <c r="L50" s="120"/>
      <c r="M50" s="120" t="s">
        <v>171</v>
      </c>
      <c r="N50" s="161"/>
      <c r="O50" s="162"/>
      <c r="P50" s="162"/>
      <c r="Q50" s="162"/>
      <c r="R50" s="162"/>
      <c r="S50" s="163"/>
      <c r="T50" s="108"/>
      <c r="U50" s="108"/>
      <c r="V50" s="167"/>
      <c r="W50" s="168"/>
      <c r="X50" s="169"/>
      <c r="Y50" s="108"/>
      <c r="Z50" s="108"/>
    </row>
    <row r="51" spans="1:26" ht="18" customHeight="1" x14ac:dyDescent="0.15">
      <c r="A51" s="29"/>
      <c r="B51" s="234" t="s">
        <v>186</v>
      </c>
      <c r="C51" s="235"/>
      <c r="D51" s="235"/>
      <c r="E51" s="235"/>
      <c r="F51" s="236"/>
      <c r="G51" s="120">
        <v>1</v>
      </c>
      <c r="H51" s="120" t="s">
        <v>171</v>
      </c>
      <c r="I51" s="231" t="s">
        <v>173</v>
      </c>
      <c r="J51" s="232"/>
      <c r="K51" s="233"/>
      <c r="L51" s="120" t="s">
        <v>171</v>
      </c>
      <c r="M51" s="120" t="s">
        <v>171</v>
      </c>
      <c r="N51" s="161"/>
      <c r="O51" s="162"/>
      <c r="P51" s="162"/>
      <c r="Q51" s="162"/>
      <c r="R51" s="162"/>
      <c r="S51" s="163"/>
      <c r="T51" s="108"/>
      <c r="U51" s="108"/>
      <c r="V51" s="167"/>
      <c r="W51" s="168"/>
      <c r="X51" s="169"/>
      <c r="Y51" s="108"/>
      <c r="Z51" s="108"/>
    </row>
    <row r="52" spans="1:26" ht="18" customHeight="1" x14ac:dyDescent="0.15">
      <c r="A52" s="29"/>
      <c r="B52" s="173"/>
      <c r="C52" s="174"/>
      <c r="D52" s="174"/>
      <c r="E52" s="174"/>
      <c r="F52" s="175"/>
      <c r="G52" s="108"/>
      <c r="H52" s="108"/>
      <c r="I52" s="167"/>
      <c r="J52" s="168"/>
      <c r="K52" s="169"/>
      <c r="L52" s="108"/>
      <c r="M52" s="108"/>
      <c r="N52" s="161"/>
      <c r="O52" s="162"/>
      <c r="P52" s="162"/>
      <c r="Q52" s="162"/>
      <c r="R52" s="162"/>
      <c r="S52" s="163"/>
      <c r="T52" s="108"/>
      <c r="U52" s="108"/>
      <c r="V52" s="167"/>
      <c r="W52" s="168"/>
      <c r="X52" s="169"/>
      <c r="Y52" s="108"/>
      <c r="Z52" s="108"/>
    </row>
    <row r="53" spans="1:26" ht="18" customHeight="1" x14ac:dyDescent="0.15">
      <c r="A53" s="29"/>
      <c r="B53" s="173"/>
      <c r="C53" s="174"/>
      <c r="D53" s="174"/>
      <c r="E53" s="174"/>
      <c r="F53" s="175"/>
      <c r="G53" s="108"/>
      <c r="H53" s="108"/>
      <c r="I53" s="167"/>
      <c r="J53" s="168"/>
      <c r="K53" s="169"/>
      <c r="L53" s="108"/>
      <c r="M53" s="108"/>
      <c r="N53" s="161"/>
      <c r="O53" s="162"/>
      <c r="P53" s="162"/>
      <c r="Q53" s="162"/>
      <c r="R53" s="162"/>
      <c r="S53" s="163"/>
      <c r="T53" s="108"/>
      <c r="U53" s="108"/>
      <c r="V53" s="167"/>
      <c r="W53" s="168"/>
      <c r="X53" s="169"/>
      <c r="Y53" s="108"/>
      <c r="Z53" s="108"/>
    </row>
    <row r="54" spans="1:26" ht="18" customHeight="1" x14ac:dyDescent="0.15">
      <c r="A54" s="29"/>
      <c r="B54" s="173"/>
      <c r="C54" s="174"/>
      <c r="D54" s="174"/>
      <c r="E54" s="174"/>
      <c r="F54" s="175"/>
      <c r="G54" s="108"/>
      <c r="H54" s="108"/>
      <c r="I54" s="167"/>
      <c r="J54" s="168"/>
      <c r="K54" s="169"/>
      <c r="L54" s="108"/>
      <c r="M54" s="108"/>
      <c r="N54" s="161"/>
      <c r="O54" s="162"/>
      <c r="P54" s="162"/>
      <c r="Q54" s="162"/>
      <c r="R54" s="162"/>
      <c r="S54" s="163"/>
      <c r="T54" s="108"/>
      <c r="U54" s="108"/>
      <c r="V54" s="167"/>
      <c r="W54" s="168"/>
      <c r="X54" s="169"/>
      <c r="Y54" s="108"/>
      <c r="Z54" s="108"/>
    </row>
    <row r="55" spans="1:26" ht="18" customHeight="1" x14ac:dyDescent="0.15">
      <c r="A55" s="29"/>
      <c r="B55" s="176"/>
      <c r="C55" s="177"/>
      <c r="D55" s="177"/>
      <c r="E55" s="177"/>
      <c r="F55" s="178"/>
      <c r="G55" s="109"/>
      <c r="H55" s="109"/>
      <c r="I55" s="170"/>
      <c r="J55" s="171"/>
      <c r="K55" s="172"/>
      <c r="L55" s="115"/>
      <c r="M55" s="115"/>
      <c r="N55" s="164"/>
      <c r="O55" s="165"/>
      <c r="P55" s="165"/>
      <c r="Q55" s="165"/>
      <c r="R55" s="165"/>
      <c r="S55" s="166"/>
      <c r="T55" s="109"/>
      <c r="U55" s="109"/>
      <c r="V55" s="170"/>
      <c r="W55" s="171"/>
      <c r="X55" s="172"/>
      <c r="Y55" s="115"/>
      <c r="Z55" s="115"/>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9" t="s">
        <v>133</v>
      </c>
      <c r="B57" s="219"/>
      <c r="C57" s="219"/>
      <c r="D57" s="219"/>
      <c r="E57" s="219"/>
      <c r="F57" s="219"/>
      <c r="G57" s="219"/>
      <c r="H57" s="219"/>
      <c r="I57" s="219"/>
      <c r="J57" s="219"/>
      <c r="K57" s="219"/>
      <c r="L57" s="219"/>
      <c r="M57" s="219"/>
      <c r="N57" s="219"/>
      <c r="O57" s="219"/>
      <c r="P57" s="219"/>
      <c r="Q57" s="219"/>
      <c r="R57" s="219"/>
      <c r="S57" s="219"/>
      <c r="T57" s="219"/>
      <c r="U57" s="219"/>
      <c r="V57" s="219"/>
      <c r="W57" s="219"/>
      <c r="X57" s="219"/>
      <c r="Y57" s="219"/>
      <c r="Z57" s="219"/>
    </row>
    <row r="58" spans="1:26" ht="18" customHeight="1" x14ac:dyDescent="0.15">
      <c r="A58" s="219"/>
      <c r="B58" s="219"/>
      <c r="C58" s="219"/>
      <c r="D58" s="219"/>
      <c r="E58" s="219"/>
      <c r="F58" s="219"/>
      <c r="G58" s="219"/>
      <c r="H58" s="219"/>
      <c r="I58" s="219"/>
      <c r="J58" s="219"/>
      <c r="K58" s="219"/>
      <c r="L58" s="219"/>
      <c r="M58" s="219"/>
      <c r="N58" s="219"/>
      <c r="O58" s="219"/>
      <c r="P58" s="219"/>
      <c r="Q58" s="219"/>
      <c r="R58" s="219"/>
      <c r="S58" s="219"/>
      <c r="T58" s="219"/>
      <c r="U58" s="219"/>
      <c r="V58" s="219"/>
      <c r="W58" s="219"/>
      <c r="X58" s="219"/>
      <c r="Y58" s="219"/>
      <c r="Z58" s="219"/>
    </row>
    <row r="59" spans="1:26" ht="18" customHeight="1" x14ac:dyDescent="0.15">
      <c r="A59" s="14"/>
      <c r="B59" s="127" t="s">
        <v>100</v>
      </c>
      <c r="C59" s="128"/>
      <c r="D59" s="128"/>
      <c r="E59" s="129"/>
      <c r="F59" s="30" t="s">
        <v>141</v>
      </c>
      <c r="G59" s="106" t="s">
        <v>140</v>
      </c>
      <c r="H59" s="101" t="s">
        <v>101</v>
      </c>
      <c r="I59" s="102"/>
      <c r="J59" s="103"/>
      <c r="K59" s="75" t="s">
        <v>105</v>
      </c>
      <c r="L59" s="75" t="s">
        <v>134</v>
      </c>
      <c r="M59" s="75" t="s">
        <v>135</v>
      </c>
      <c r="N59" s="127" t="s">
        <v>100</v>
      </c>
      <c r="O59" s="128"/>
      <c r="P59" s="128"/>
      <c r="Q59" s="128"/>
      <c r="R59" s="129"/>
      <c r="S59" s="30" t="s">
        <v>141</v>
      </c>
      <c r="T59" s="106" t="s">
        <v>140</v>
      </c>
      <c r="U59" s="101" t="s">
        <v>101</v>
      </c>
      <c r="V59" s="102"/>
      <c r="W59" s="103"/>
      <c r="X59" s="75" t="s">
        <v>105</v>
      </c>
      <c r="Y59" s="75" t="s">
        <v>134</v>
      </c>
      <c r="Z59" s="75" t="s">
        <v>135</v>
      </c>
    </row>
    <row r="60" spans="1:26" ht="18" customHeight="1" x14ac:dyDescent="0.15">
      <c r="A60" s="29"/>
      <c r="B60" s="158" t="s">
        <v>174</v>
      </c>
      <c r="C60" s="159"/>
      <c r="D60" s="159"/>
      <c r="E60" s="160"/>
      <c r="F60" s="107">
        <v>1</v>
      </c>
      <c r="G60" s="107" t="s">
        <v>171</v>
      </c>
      <c r="H60" s="186" t="s">
        <v>172</v>
      </c>
      <c r="I60" s="187"/>
      <c r="J60" s="188"/>
      <c r="K60" s="120"/>
      <c r="L60" s="120" t="s">
        <v>171</v>
      </c>
      <c r="M60" s="120" t="s">
        <v>171</v>
      </c>
      <c r="N60" s="158"/>
      <c r="O60" s="159"/>
      <c r="P60" s="159"/>
      <c r="Q60" s="159"/>
      <c r="R60" s="160"/>
      <c r="S60" s="107"/>
      <c r="T60" s="107"/>
      <c r="U60" s="186"/>
      <c r="V60" s="187"/>
      <c r="W60" s="188"/>
      <c r="X60" s="119"/>
      <c r="Y60" s="107"/>
      <c r="Z60" s="107"/>
    </row>
    <row r="61" spans="1:26" ht="18" customHeight="1" x14ac:dyDescent="0.15">
      <c r="A61" s="29"/>
      <c r="B61" s="161" t="s">
        <v>175</v>
      </c>
      <c r="C61" s="162"/>
      <c r="D61" s="162"/>
      <c r="E61" s="163"/>
      <c r="F61" s="108">
        <v>1</v>
      </c>
      <c r="G61" s="108" t="s">
        <v>171</v>
      </c>
      <c r="H61" s="167" t="s">
        <v>172</v>
      </c>
      <c r="I61" s="168"/>
      <c r="J61" s="169"/>
      <c r="K61" s="120" t="s">
        <v>171</v>
      </c>
      <c r="L61" s="120"/>
      <c r="M61" s="120"/>
      <c r="N61" s="161"/>
      <c r="O61" s="162"/>
      <c r="P61" s="162"/>
      <c r="Q61" s="162"/>
      <c r="R61" s="163"/>
      <c r="S61" s="108"/>
      <c r="T61" s="108"/>
      <c r="U61" s="167"/>
      <c r="V61" s="168"/>
      <c r="W61" s="169"/>
      <c r="X61" s="117"/>
      <c r="Y61" s="108"/>
      <c r="Z61" s="108"/>
    </row>
    <row r="62" spans="1:26" ht="18" customHeight="1" x14ac:dyDescent="0.15">
      <c r="A62" s="29"/>
      <c r="B62" s="161" t="s">
        <v>186</v>
      </c>
      <c r="C62" s="162"/>
      <c r="D62" s="162"/>
      <c r="E62" s="163"/>
      <c r="F62" s="120">
        <v>1</v>
      </c>
      <c r="G62" s="120" t="s">
        <v>171</v>
      </c>
      <c r="H62" s="231" t="s">
        <v>173</v>
      </c>
      <c r="I62" s="232"/>
      <c r="J62" s="233"/>
      <c r="K62" s="120" t="s">
        <v>171</v>
      </c>
      <c r="L62" s="120" t="s">
        <v>171</v>
      </c>
      <c r="M62" s="120" t="s">
        <v>171</v>
      </c>
      <c r="N62" s="161"/>
      <c r="O62" s="162"/>
      <c r="P62" s="162"/>
      <c r="Q62" s="162"/>
      <c r="R62" s="163"/>
      <c r="S62" s="108"/>
      <c r="T62" s="108"/>
      <c r="U62" s="167"/>
      <c r="V62" s="168"/>
      <c r="W62" s="169"/>
      <c r="X62" s="117"/>
      <c r="Y62" s="108"/>
      <c r="Z62" s="108"/>
    </row>
    <row r="63" spans="1:26" ht="18" customHeight="1" x14ac:dyDescent="0.15">
      <c r="A63" s="29"/>
      <c r="B63" s="161"/>
      <c r="C63" s="162"/>
      <c r="D63" s="162"/>
      <c r="E63" s="163"/>
      <c r="F63" s="108"/>
      <c r="G63" s="108"/>
      <c r="H63" s="167"/>
      <c r="I63" s="168"/>
      <c r="J63" s="169"/>
      <c r="K63" s="117"/>
      <c r="L63" s="108"/>
      <c r="M63" s="108"/>
      <c r="N63" s="161"/>
      <c r="O63" s="162"/>
      <c r="P63" s="162"/>
      <c r="Q63" s="162"/>
      <c r="R63" s="163"/>
      <c r="S63" s="108"/>
      <c r="T63" s="108"/>
      <c r="U63" s="167"/>
      <c r="V63" s="168"/>
      <c r="W63" s="169"/>
      <c r="X63" s="117"/>
      <c r="Y63" s="108"/>
      <c r="Z63" s="108"/>
    </row>
    <row r="64" spans="1:26" ht="18" customHeight="1" x14ac:dyDescent="0.15">
      <c r="A64" s="29"/>
      <c r="B64" s="161"/>
      <c r="C64" s="162"/>
      <c r="D64" s="162"/>
      <c r="E64" s="163"/>
      <c r="F64" s="108"/>
      <c r="G64" s="108"/>
      <c r="H64" s="167"/>
      <c r="I64" s="168"/>
      <c r="J64" s="169"/>
      <c r="K64" s="117"/>
      <c r="L64" s="108"/>
      <c r="M64" s="108"/>
      <c r="N64" s="161"/>
      <c r="O64" s="162"/>
      <c r="P64" s="162"/>
      <c r="Q64" s="162"/>
      <c r="R64" s="163"/>
      <c r="S64" s="108"/>
      <c r="T64" s="108"/>
      <c r="U64" s="167"/>
      <c r="V64" s="168"/>
      <c r="W64" s="169"/>
      <c r="X64" s="117"/>
      <c r="Y64" s="108"/>
      <c r="Z64" s="108"/>
    </row>
    <row r="65" spans="1:26" ht="18" customHeight="1" x14ac:dyDescent="0.15">
      <c r="A65" s="29"/>
      <c r="B65" s="161"/>
      <c r="C65" s="162"/>
      <c r="D65" s="162"/>
      <c r="E65" s="163"/>
      <c r="F65" s="108"/>
      <c r="G65" s="108"/>
      <c r="H65" s="167"/>
      <c r="I65" s="168"/>
      <c r="J65" s="169"/>
      <c r="K65" s="117"/>
      <c r="L65" s="108"/>
      <c r="M65" s="108"/>
      <c r="N65" s="161"/>
      <c r="O65" s="162"/>
      <c r="P65" s="162"/>
      <c r="Q65" s="162"/>
      <c r="R65" s="163"/>
      <c r="S65" s="108"/>
      <c r="T65" s="108"/>
      <c r="U65" s="167"/>
      <c r="V65" s="168"/>
      <c r="W65" s="169"/>
      <c r="X65" s="117"/>
      <c r="Y65" s="108"/>
      <c r="Z65" s="108"/>
    </row>
    <row r="66" spans="1:26" ht="18" customHeight="1" x14ac:dyDescent="0.15">
      <c r="A66" s="29"/>
      <c r="B66" s="164"/>
      <c r="C66" s="165"/>
      <c r="D66" s="165"/>
      <c r="E66" s="166"/>
      <c r="F66" s="109"/>
      <c r="G66" s="109"/>
      <c r="H66" s="170"/>
      <c r="I66" s="171"/>
      <c r="J66" s="172"/>
      <c r="K66" s="118"/>
      <c r="L66" s="115"/>
      <c r="M66" s="115"/>
      <c r="N66" s="164"/>
      <c r="O66" s="165"/>
      <c r="P66" s="165"/>
      <c r="Q66" s="165"/>
      <c r="R66" s="166"/>
      <c r="S66" s="109"/>
      <c r="T66" s="109"/>
      <c r="U66" s="170"/>
      <c r="V66" s="171"/>
      <c r="W66" s="172"/>
      <c r="X66" s="118"/>
      <c r="Y66" s="115"/>
      <c r="Z66" s="115"/>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7" t="s">
        <v>100</v>
      </c>
      <c r="C69" s="128"/>
      <c r="D69" s="128"/>
      <c r="E69" s="128"/>
      <c r="F69" s="129"/>
      <c r="G69" s="127" t="s">
        <v>146</v>
      </c>
      <c r="H69" s="128"/>
      <c r="I69" s="128"/>
      <c r="J69" s="128"/>
      <c r="K69" s="128"/>
      <c r="L69" s="128"/>
      <c r="M69" s="129"/>
      <c r="N69" s="183" t="s">
        <v>100</v>
      </c>
      <c r="O69" s="184"/>
      <c r="P69" s="184"/>
      <c r="Q69" s="184"/>
      <c r="R69" s="184"/>
      <c r="S69" s="185"/>
      <c r="T69" s="127" t="s">
        <v>146</v>
      </c>
      <c r="U69" s="128"/>
      <c r="V69" s="128"/>
      <c r="W69" s="128"/>
      <c r="X69" s="128"/>
      <c r="Y69" s="128"/>
      <c r="Z69" s="129"/>
    </row>
    <row r="70" spans="1:26" ht="18" customHeight="1" x14ac:dyDescent="0.15">
      <c r="A70" s="29"/>
      <c r="B70" s="158" t="s">
        <v>167</v>
      </c>
      <c r="C70" s="159"/>
      <c r="D70" s="159"/>
      <c r="E70" s="159"/>
      <c r="F70" s="160"/>
      <c r="G70" s="237" t="s">
        <v>177</v>
      </c>
      <c r="H70" s="238"/>
      <c r="I70" s="238"/>
      <c r="J70" s="238"/>
      <c r="K70" s="238"/>
      <c r="L70" s="238"/>
      <c r="M70" s="239"/>
      <c r="N70" s="158"/>
      <c r="O70" s="159"/>
      <c r="P70" s="159"/>
      <c r="Q70" s="159"/>
      <c r="R70" s="159"/>
      <c r="S70" s="160"/>
      <c r="T70" s="237"/>
      <c r="U70" s="238"/>
      <c r="V70" s="238"/>
      <c r="W70" s="238"/>
      <c r="X70" s="238"/>
      <c r="Y70" s="238"/>
      <c r="Z70" s="239"/>
    </row>
    <row r="71" spans="1:26" ht="18" customHeight="1" x14ac:dyDescent="0.15">
      <c r="A71" s="29"/>
      <c r="B71" s="161" t="s">
        <v>186</v>
      </c>
      <c r="C71" s="162"/>
      <c r="D71" s="162"/>
      <c r="E71" s="162"/>
      <c r="F71" s="163"/>
      <c r="G71" s="204" t="s">
        <v>180</v>
      </c>
      <c r="H71" s="205"/>
      <c r="I71" s="205"/>
      <c r="J71" s="205"/>
      <c r="K71" s="205"/>
      <c r="L71" s="205"/>
      <c r="M71" s="206"/>
      <c r="N71" s="161"/>
      <c r="O71" s="162"/>
      <c r="P71" s="162"/>
      <c r="Q71" s="162"/>
      <c r="R71" s="162"/>
      <c r="S71" s="163"/>
      <c r="T71" s="204"/>
      <c r="U71" s="205"/>
      <c r="V71" s="205"/>
      <c r="W71" s="205"/>
      <c r="X71" s="205"/>
      <c r="Y71" s="205"/>
      <c r="Z71" s="206"/>
    </row>
    <row r="72" spans="1:26" ht="18" customHeight="1" x14ac:dyDescent="0.15">
      <c r="A72" s="29"/>
      <c r="B72" s="161" t="s">
        <v>187</v>
      </c>
      <c r="C72" s="162"/>
      <c r="D72" s="162"/>
      <c r="E72" s="162"/>
      <c r="F72" s="163"/>
      <c r="G72" s="204" t="s">
        <v>176</v>
      </c>
      <c r="H72" s="205"/>
      <c r="I72" s="205"/>
      <c r="J72" s="205"/>
      <c r="K72" s="205"/>
      <c r="L72" s="205"/>
      <c r="M72" s="206"/>
      <c r="N72" s="161"/>
      <c r="O72" s="162"/>
      <c r="P72" s="162"/>
      <c r="Q72" s="162"/>
      <c r="R72" s="162"/>
      <c r="S72" s="163"/>
      <c r="T72" s="204"/>
      <c r="U72" s="205"/>
      <c r="V72" s="205"/>
      <c r="W72" s="205"/>
      <c r="X72" s="205"/>
      <c r="Y72" s="205"/>
      <c r="Z72" s="206"/>
    </row>
    <row r="73" spans="1:26" ht="18" customHeight="1" x14ac:dyDescent="0.15">
      <c r="A73" s="29"/>
      <c r="B73" s="161" t="s">
        <v>188</v>
      </c>
      <c r="C73" s="162"/>
      <c r="D73" s="162"/>
      <c r="E73" s="162"/>
      <c r="F73" s="163"/>
      <c r="G73" s="204" t="s">
        <v>176</v>
      </c>
      <c r="H73" s="205"/>
      <c r="I73" s="205"/>
      <c r="J73" s="205"/>
      <c r="K73" s="205"/>
      <c r="L73" s="205"/>
      <c r="M73" s="206"/>
      <c r="N73" s="161"/>
      <c r="O73" s="162"/>
      <c r="P73" s="162"/>
      <c r="Q73" s="162"/>
      <c r="R73" s="162"/>
      <c r="S73" s="163"/>
      <c r="T73" s="204"/>
      <c r="U73" s="205"/>
      <c r="V73" s="205"/>
      <c r="W73" s="205"/>
      <c r="X73" s="205"/>
      <c r="Y73" s="205"/>
      <c r="Z73" s="206"/>
    </row>
    <row r="74" spans="1:26" ht="18" customHeight="1" x14ac:dyDescent="0.15">
      <c r="A74" s="29"/>
      <c r="B74" s="161"/>
      <c r="C74" s="162"/>
      <c r="D74" s="162"/>
      <c r="E74" s="162"/>
      <c r="F74" s="163"/>
      <c r="G74" s="204"/>
      <c r="H74" s="205"/>
      <c r="I74" s="205"/>
      <c r="J74" s="205"/>
      <c r="K74" s="205"/>
      <c r="L74" s="205"/>
      <c r="M74" s="206"/>
      <c r="N74" s="161"/>
      <c r="O74" s="162"/>
      <c r="P74" s="162"/>
      <c r="Q74" s="162"/>
      <c r="R74" s="162"/>
      <c r="S74" s="163"/>
      <c r="T74" s="204"/>
      <c r="U74" s="205"/>
      <c r="V74" s="205"/>
      <c r="W74" s="205"/>
      <c r="X74" s="205"/>
      <c r="Y74" s="205"/>
      <c r="Z74" s="206"/>
    </row>
    <row r="75" spans="1:26" ht="18" customHeight="1" x14ac:dyDescent="0.15">
      <c r="A75" s="29"/>
      <c r="B75" s="161"/>
      <c r="C75" s="162"/>
      <c r="D75" s="162"/>
      <c r="E75" s="162"/>
      <c r="F75" s="163"/>
      <c r="G75" s="204"/>
      <c r="H75" s="205"/>
      <c r="I75" s="205"/>
      <c r="J75" s="205"/>
      <c r="K75" s="205"/>
      <c r="L75" s="205"/>
      <c r="M75" s="206"/>
      <c r="N75" s="161"/>
      <c r="O75" s="162"/>
      <c r="P75" s="162"/>
      <c r="Q75" s="162"/>
      <c r="R75" s="162"/>
      <c r="S75" s="163"/>
      <c r="T75" s="204"/>
      <c r="U75" s="205"/>
      <c r="V75" s="205"/>
      <c r="W75" s="205"/>
      <c r="X75" s="205"/>
      <c r="Y75" s="205"/>
      <c r="Z75" s="206"/>
    </row>
    <row r="76" spans="1:26" ht="18" customHeight="1" x14ac:dyDescent="0.15">
      <c r="A76" s="29"/>
      <c r="B76" s="164"/>
      <c r="C76" s="165"/>
      <c r="D76" s="165"/>
      <c r="E76" s="165"/>
      <c r="F76" s="166"/>
      <c r="G76" s="201"/>
      <c r="H76" s="202"/>
      <c r="I76" s="202"/>
      <c r="J76" s="202"/>
      <c r="K76" s="202"/>
      <c r="L76" s="202"/>
      <c r="M76" s="203"/>
      <c r="N76" s="164"/>
      <c r="O76" s="165"/>
      <c r="P76" s="165"/>
      <c r="Q76" s="165"/>
      <c r="R76" s="165"/>
      <c r="S76" s="166"/>
      <c r="T76" s="201"/>
      <c r="U76" s="202"/>
      <c r="V76" s="202"/>
      <c r="W76" s="202"/>
      <c r="X76" s="202"/>
      <c r="Y76" s="202"/>
      <c r="Z76" s="203"/>
    </row>
    <row r="77" spans="1:26" ht="18" customHeight="1" x14ac:dyDescent="0.15">
      <c r="A77" s="29"/>
      <c r="B77" s="116"/>
      <c r="C77" s="116"/>
      <c r="D77" s="116"/>
      <c r="E77" s="116"/>
      <c r="F77" s="116"/>
      <c r="G77" s="12"/>
      <c r="H77" s="12"/>
      <c r="I77" s="12"/>
      <c r="J77" s="12"/>
      <c r="K77" s="12"/>
      <c r="L77" s="12"/>
      <c r="M77" s="12"/>
      <c r="N77" s="116"/>
      <c r="O77" s="116"/>
      <c r="P77" s="116"/>
      <c r="Q77" s="116"/>
      <c r="R77" s="116"/>
      <c r="S77" s="116"/>
      <c r="T77" s="12"/>
      <c r="U77" s="12"/>
      <c r="V77" s="12"/>
      <c r="W77" s="12"/>
      <c r="X77" s="12"/>
      <c r="Y77" s="12"/>
      <c r="Z77" s="12"/>
    </row>
    <row r="78" spans="1:26" ht="18.75" customHeight="1" x14ac:dyDescent="0.15">
      <c r="A78" s="13" t="s">
        <v>142</v>
      </c>
    </row>
    <row r="79" spans="1:26" ht="18.75" customHeight="1" x14ac:dyDescent="0.15">
      <c r="B79" s="78" t="s">
        <v>102</v>
      </c>
      <c r="C79" s="79"/>
      <c r="D79" s="255" t="s">
        <v>103</v>
      </c>
      <c r="E79" s="255"/>
      <c r="F79" s="255"/>
      <c r="G79" s="255"/>
      <c r="H79" s="255"/>
      <c r="I79" s="255"/>
      <c r="J79" s="255"/>
      <c r="K79" s="255"/>
      <c r="L79" s="255"/>
      <c r="M79" s="255"/>
      <c r="N79" s="255"/>
      <c r="O79" s="255"/>
      <c r="P79" s="255"/>
      <c r="Q79" s="255"/>
      <c r="R79" s="255"/>
      <c r="S79" s="255"/>
      <c r="T79" s="255"/>
      <c r="U79" s="255"/>
      <c r="V79" s="255"/>
      <c r="W79" s="255"/>
      <c r="X79" s="255"/>
      <c r="Y79" s="255"/>
      <c r="Z79" s="256"/>
    </row>
    <row r="80" spans="1:26" ht="78" customHeight="1" x14ac:dyDescent="0.15">
      <c r="B80" s="245" t="s">
        <v>109</v>
      </c>
      <c r="C80" s="84" t="s">
        <v>104</v>
      </c>
      <c r="D80" s="207" t="s">
        <v>218</v>
      </c>
      <c r="E80" s="208"/>
      <c r="F80" s="208"/>
      <c r="G80" s="208"/>
      <c r="H80" s="208"/>
      <c r="I80" s="208"/>
      <c r="J80" s="208"/>
      <c r="K80" s="208"/>
      <c r="L80" s="208"/>
      <c r="M80" s="208"/>
      <c r="N80" s="208"/>
      <c r="O80" s="208"/>
      <c r="P80" s="208"/>
      <c r="Q80" s="208"/>
      <c r="R80" s="208"/>
      <c r="S80" s="208"/>
      <c r="T80" s="208"/>
      <c r="U80" s="208"/>
      <c r="V80" s="208"/>
      <c r="W80" s="208"/>
      <c r="X80" s="208"/>
      <c r="Y80" s="208"/>
      <c r="Z80" s="209"/>
    </row>
    <row r="81" spans="1:26" ht="78" customHeight="1" x14ac:dyDescent="0.15">
      <c r="B81" s="246"/>
      <c r="C81" s="104" t="s">
        <v>137</v>
      </c>
      <c r="D81" s="259" t="s">
        <v>218</v>
      </c>
      <c r="E81" s="257"/>
      <c r="F81" s="257"/>
      <c r="G81" s="257"/>
      <c r="H81" s="257"/>
      <c r="I81" s="257"/>
      <c r="J81" s="257"/>
      <c r="K81" s="257"/>
      <c r="L81" s="257"/>
      <c r="M81" s="257"/>
      <c r="N81" s="257"/>
      <c r="O81" s="257"/>
      <c r="P81" s="257"/>
      <c r="Q81" s="257"/>
      <c r="R81" s="257"/>
      <c r="S81" s="257"/>
      <c r="T81" s="257"/>
      <c r="U81" s="257"/>
      <c r="V81" s="257"/>
      <c r="W81" s="257"/>
      <c r="X81" s="257"/>
      <c r="Y81" s="257"/>
      <c r="Z81" s="258"/>
    </row>
    <row r="82" spans="1:26" ht="78" customHeight="1" x14ac:dyDescent="0.15">
      <c r="B82" s="243" t="s">
        <v>110</v>
      </c>
      <c r="C82" s="80" t="s">
        <v>127</v>
      </c>
      <c r="D82" s="216" t="s">
        <v>218</v>
      </c>
      <c r="E82" s="217"/>
      <c r="F82" s="217"/>
      <c r="G82" s="217"/>
      <c r="H82" s="217"/>
      <c r="I82" s="217"/>
      <c r="J82" s="217"/>
      <c r="K82" s="217"/>
      <c r="L82" s="217"/>
      <c r="M82" s="217"/>
      <c r="N82" s="217"/>
      <c r="O82" s="217"/>
      <c r="P82" s="217"/>
      <c r="Q82" s="217"/>
      <c r="R82" s="217"/>
      <c r="S82" s="217"/>
      <c r="T82" s="217"/>
      <c r="U82" s="217"/>
      <c r="V82" s="217"/>
      <c r="W82" s="217"/>
      <c r="X82" s="217"/>
      <c r="Y82" s="217"/>
      <c r="Z82" s="218"/>
    </row>
    <row r="83" spans="1:26" ht="78" customHeight="1" x14ac:dyDescent="0.15">
      <c r="B83" s="244"/>
      <c r="C83" s="105" t="s">
        <v>128</v>
      </c>
      <c r="D83" s="213" t="s">
        <v>218</v>
      </c>
      <c r="E83" s="214"/>
      <c r="F83" s="214"/>
      <c r="G83" s="214"/>
      <c r="H83" s="214"/>
      <c r="I83" s="214"/>
      <c r="J83" s="214"/>
      <c r="K83" s="214"/>
      <c r="L83" s="214"/>
      <c r="M83" s="214"/>
      <c r="N83" s="214"/>
      <c r="O83" s="214"/>
      <c r="P83" s="214"/>
      <c r="Q83" s="214"/>
      <c r="R83" s="214"/>
      <c r="S83" s="214"/>
      <c r="T83" s="214"/>
      <c r="U83" s="214"/>
      <c r="V83" s="214"/>
      <c r="W83" s="214"/>
      <c r="X83" s="214"/>
      <c r="Y83" s="214"/>
      <c r="Z83" s="215"/>
    </row>
    <row r="84" spans="1:26" ht="66" customHeight="1" x14ac:dyDescent="0.15">
      <c r="B84" s="243" t="s">
        <v>111</v>
      </c>
      <c r="C84" s="80" t="s">
        <v>130</v>
      </c>
      <c r="D84" s="216" t="s">
        <v>218</v>
      </c>
      <c r="E84" s="217"/>
      <c r="F84" s="217"/>
      <c r="G84" s="217"/>
      <c r="H84" s="217"/>
      <c r="I84" s="217"/>
      <c r="J84" s="217"/>
      <c r="K84" s="217"/>
      <c r="L84" s="217"/>
      <c r="M84" s="217"/>
      <c r="N84" s="217"/>
      <c r="O84" s="217"/>
      <c r="P84" s="217"/>
      <c r="Q84" s="217"/>
      <c r="R84" s="217"/>
      <c r="S84" s="217"/>
      <c r="T84" s="217"/>
      <c r="U84" s="217"/>
      <c r="V84" s="217"/>
      <c r="W84" s="217"/>
      <c r="X84" s="217"/>
      <c r="Y84" s="217"/>
      <c r="Z84" s="218"/>
    </row>
    <row r="85" spans="1:26" ht="66" customHeight="1" x14ac:dyDescent="0.15">
      <c r="B85" s="244"/>
      <c r="C85" s="82" t="s">
        <v>131</v>
      </c>
      <c r="D85" s="210" t="s">
        <v>218</v>
      </c>
      <c r="E85" s="211"/>
      <c r="F85" s="211"/>
      <c r="G85" s="211"/>
      <c r="H85" s="211"/>
      <c r="I85" s="211"/>
      <c r="J85" s="211"/>
      <c r="K85" s="211"/>
      <c r="L85" s="211"/>
      <c r="M85" s="211"/>
      <c r="N85" s="211"/>
      <c r="O85" s="211"/>
      <c r="P85" s="211"/>
      <c r="Q85" s="211"/>
      <c r="R85" s="211"/>
      <c r="S85" s="211"/>
      <c r="T85" s="211"/>
      <c r="U85" s="211"/>
      <c r="V85" s="211"/>
      <c r="W85" s="211"/>
      <c r="X85" s="211"/>
      <c r="Y85" s="211"/>
      <c r="Z85" s="212"/>
    </row>
    <row r="86" spans="1:26" ht="66" customHeight="1" x14ac:dyDescent="0.15">
      <c r="B86" s="245" t="s">
        <v>138</v>
      </c>
      <c r="C86" s="84" t="s">
        <v>106</v>
      </c>
      <c r="D86" s="208" t="s">
        <v>219</v>
      </c>
      <c r="E86" s="208"/>
      <c r="F86" s="208"/>
      <c r="G86" s="208"/>
      <c r="H86" s="208"/>
      <c r="I86" s="208"/>
      <c r="J86" s="208"/>
      <c r="K86" s="208"/>
      <c r="L86" s="208"/>
      <c r="M86" s="208"/>
      <c r="N86" s="208"/>
      <c r="O86" s="208"/>
      <c r="P86" s="208"/>
      <c r="Q86" s="208"/>
      <c r="R86" s="208"/>
      <c r="S86" s="208"/>
      <c r="T86" s="208"/>
      <c r="U86" s="208"/>
      <c r="V86" s="208"/>
      <c r="W86" s="208"/>
      <c r="X86" s="208"/>
      <c r="Y86" s="208"/>
      <c r="Z86" s="209"/>
    </row>
    <row r="87" spans="1:26" ht="66" customHeight="1" x14ac:dyDescent="0.15">
      <c r="B87" s="251"/>
      <c r="C87" s="81" t="s">
        <v>108</v>
      </c>
      <c r="D87" s="252" t="s">
        <v>220</v>
      </c>
      <c r="E87" s="253"/>
      <c r="F87" s="253"/>
      <c r="G87" s="253"/>
      <c r="H87" s="253"/>
      <c r="I87" s="253"/>
      <c r="J87" s="253"/>
      <c r="K87" s="253"/>
      <c r="L87" s="253"/>
      <c r="M87" s="253"/>
      <c r="N87" s="253"/>
      <c r="O87" s="253"/>
      <c r="P87" s="253"/>
      <c r="Q87" s="253"/>
      <c r="R87" s="253"/>
      <c r="S87" s="253"/>
      <c r="T87" s="253"/>
      <c r="U87" s="253"/>
      <c r="V87" s="253"/>
      <c r="W87" s="253"/>
      <c r="X87" s="253"/>
      <c r="Y87" s="253"/>
      <c r="Z87" s="254"/>
    </row>
    <row r="88" spans="1:26" ht="66" customHeight="1" x14ac:dyDescent="0.15">
      <c r="B88" s="245" t="s">
        <v>139</v>
      </c>
      <c r="C88" s="80" t="s">
        <v>105</v>
      </c>
      <c r="D88" s="247" t="s">
        <v>221</v>
      </c>
      <c r="E88" s="248"/>
      <c r="F88" s="248"/>
      <c r="G88" s="248"/>
      <c r="H88" s="248"/>
      <c r="I88" s="248"/>
      <c r="J88" s="248"/>
      <c r="K88" s="248"/>
      <c r="L88" s="248"/>
      <c r="M88" s="248"/>
      <c r="N88" s="248"/>
      <c r="O88" s="248"/>
      <c r="P88" s="248"/>
      <c r="Q88" s="248"/>
      <c r="R88" s="248"/>
      <c r="S88" s="248"/>
      <c r="T88" s="248"/>
      <c r="U88" s="248"/>
      <c r="V88" s="248"/>
      <c r="W88" s="248"/>
      <c r="X88" s="248"/>
      <c r="Y88" s="248"/>
      <c r="Z88" s="249"/>
    </row>
    <row r="89" spans="1:26" ht="66" customHeight="1" x14ac:dyDescent="0.15">
      <c r="B89" s="246"/>
      <c r="C89" s="81" t="s">
        <v>134</v>
      </c>
      <c r="D89" s="240" t="s">
        <v>222</v>
      </c>
      <c r="E89" s="241"/>
      <c r="F89" s="241"/>
      <c r="G89" s="241"/>
      <c r="H89" s="241"/>
      <c r="I89" s="241"/>
      <c r="J89" s="241"/>
      <c r="K89" s="241"/>
      <c r="L89" s="241"/>
      <c r="M89" s="241"/>
      <c r="N89" s="241"/>
      <c r="O89" s="241"/>
      <c r="P89" s="241"/>
      <c r="Q89" s="241"/>
      <c r="R89" s="241"/>
      <c r="S89" s="241"/>
      <c r="T89" s="241"/>
      <c r="U89" s="241"/>
      <c r="V89" s="241"/>
      <c r="W89" s="241"/>
      <c r="X89" s="241"/>
      <c r="Y89" s="241"/>
      <c r="Z89" s="242"/>
    </row>
    <row r="90" spans="1:26" ht="66" customHeight="1" x14ac:dyDescent="0.15">
      <c r="B90" s="244"/>
      <c r="C90" s="82" t="s">
        <v>135</v>
      </c>
      <c r="D90" s="250" t="s">
        <v>222</v>
      </c>
      <c r="E90" s="196"/>
      <c r="F90" s="196"/>
      <c r="G90" s="196"/>
      <c r="H90" s="196"/>
      <c r="I90" s="196"/>
      <c r="J90" s="196"/>
      <c r="K90" s="196"/>
      <c r="L90" s="196"/>
      <c r="M90" s="196"/>
      <c r="N90" s="196"/>
      <c r="O90" s="196"/>
      <c r="P90" s="196"/>
      <c r="Q90" s="196"/>
      <c r="R90" s="196"/>
      <c r="S90" s="196"/>
      <c r="T90" s="196"/>
      <c r="U90" s="196"/>
      <c r="V90" s="196"/>
      <c r="W90" s="196"/>
      <c r="X90" s="196"/>
      <c r="Y90" s="196"/>
      <c r="Z90" s="197"/>
    </row>
    <row r="91" spans="1:26" ht="6" customHeight="1" x14ac:dyDescent="0.15"/>
    <row r="92" spans="1:26" ht="18.75" customHeight="1" x14ac:dyDescent="0.15">
      <c r="A92" s="13" t="s">
        <v>143</v>
      </c>
    </row>
    <row r="93" spans="1:26" ht="18.75" customHeight="1" x14ac:dyDescent="0.15">
      <c r="B93" s="189" t="s">
        <v>179</v>
      </c>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1"/>
    </row>
    <row r="94" spans="1:26" ht="18.75" customHeight="1" x14ac:dyDescent="0.15">
      <c r="B94" s="192"/>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4"/>
    </row>
    <row r="95" spans="1:26" ht="18.75" customHeight="1" x14ac:dyDescent="0.15">
      <c r="B95" s="195"/>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7"/>
    </row>
    <row r="96" spans="1:26" ht="6" customHeight="1" x14ac:dyDescent="0.15"/>
    <row r="97" spans="1:26" ht="15" customHeight="1" x14ac:dyDescent="0.15">
      <c r="A97" s="13" t="s">
        <v>144</v>
      </c>
    </row>
    <row r="98" spans="1:26" ht="15" customHeight="1" x14ac:dyDescent="0.15">
      <c r="B98" s="198" t="s">
        <v>242</v>
      </c>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200"/>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H16:H22 Y27:Z33 L27:M33 H38:H44 Y38:Z44 Y49:Z55 Y60:Z66 G60:G66 L63:M66 U16:U22 H27:H33 U27:U33 T60:T66 U38:U44 L38:M44 U49:U55 L49:M55 H49:H55 K60:M62 L16:M22" xr:uid="{C293C7A8-EE92-4E54-9521-A72084344CBF}">
      <formula1>"○"</formula1>
    </dataValidation>
    <dataValidation type="list" allowBlank="1" showInputMessage="1" showErrorMessage="1" sqref="Z23 Z34 D34:K34 D23:K23 V16:V22 H60:H66 V27:V33 I27:I33 V38:V44 I49:I55 V49:V55 I38:I44 U60:U66 I16:I22" xr:uid="{EA64C286-CAC9-43F1-BD61-C7CE12F04198}">
      <formula1>"全学開講,一部開講"</formula1>
    </dataValidation>
    <dataValidation type="list" allowBlank="1" showInputMessage="1" showErrorMessage="1" sqref="O4" xr:uid="{96DFB19E-955C-4987-8778-1C1D812A28C6}">
      <formula1>"学部・学科によって、修了要件は相違する,学部・学科によって、修了要件は相違しない"</formula1>
    </dataValidation>
    <dataValidation type="list" allowBlank="1" showInputMessage="1" showErrorMessage="1" sqref="H73:M77 U74:Z77 H70:M71 T70:T77 U70:Z71 G70:G77" xr:uid="{6D642578-9F4A-4A2B-ABA0-958C53A6869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4B220D07-4FED-4089-985D-FA677939430B}"/>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24021-3CAA-4C2D-84C7-4C6DFEA17333}">
  <dimension ref="A1:Z98"/>
  <sheetViews>
    <sheetView showZeros="0" view="pageBreakPreview" topLeftCell="A43" zoomScaleNormal="100" zoomScaleSheetLayoutView="100" workbookViewId="0">
      <selection activeCell="B98" sqref="B98:Z98"/>
    </sheetView>
  </sheetViews>
  <sheetFormatPr defaultColWidth="9" defaultRowHeight="18.75" customHeight="1"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9" t="s">
        <v>232</v>
      </c>
      <c r="X1" s="179"/>
      <c r="Y1" s="179"/>
      <c r="Z1" s="179"/>
    </row>
    <row r="2" spans="1:26" ht="18" customHeight="1" x14ac:dyDescent="0.15">
      <c r="A2" s="220" t="s">
        <v>67</v>
      </c>
      <c r="B2" s="220"/>
      <c r="C2" s="220"/>
      <c r="D2" s="220"/>
      <c r="E2" s="220"/>
      <c r="F2" s="220"/>
      <c r="G2" s="220"/>
      <c r="H2" s="220"/>
      <c r="I2" s="220"/>
      <c r="J2" s="220"/>
      <c r="K2" s="220"/>
      <c r="L2" s="220"/>
      <c r="M2" s="220"/>
      <c r="N2" s="220"/>
      <c r="O2" s="220"/>
      <c r="P2" s="220"/>
      <c r="Q2" s="220"/>
      <c r="R2" s="220"/>
      <c r="S2" s="220"/>
      <c r="T2" s="220"/>
      <c r="U2" s="220"/>
      <c r="V2" s="220"/>
      <c r="W2" s="220"/>
      <c r="X2" s="220"/>
      <c r="Y2" s="220"/>
      <c r="Z2" s="220"/>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27" t="s">
        <v>164</v>
      </c>
      <c r="P4" s="128"/>
      <c r="Q4" s="128"/>
      <c r="R4" s="128"/>
      <c r="S4" s="128"/>
      <c r="T4" s="128"/>
      <c r="U4" s="128"/>
      <c r="V4" s="128"/>
      <c r="W4" s="128"/>
      <c r="X4" s="128"/>
      <c r="Y4" s="128"/>
      <c r="Z4" s="129"/>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1" t="s">
        <v>246</v>
      </c>
      <c r="C6" s="222"/>
      <c r="D6" s="222"/>
      <c r="E6" s="222"/>
      <c r="F6" s="222"/>
      <c r="G6" s="222"/>
      <c r="H6" s="222"/>
      <c r="I6" s="222"/>
      <c r="J6" s="222"/>
      <c r="K6" s="222"/>
      <c r="L6" s="222"/>
      <c r="M6" s="222"/>
      <c r="N6" s="222"/>
      <c r="O6" s="222"/>
      <c r="P6" s="222"/>
      <c r="Q6" s="222"/>
      <c r="R6" s="222"/>
      <c r="S6" s="222"/>
      <c r="T6" s="222"/>
      <c r="U6" s="222"/>
      <c r="V6" s="222"/>
      <c r="W6" s="222"/>
      <c r="X6" s="222"/>
      <c r="Y6" s="222"/>
      <c r="Z6" s="223"/>
    </row>
    <row r="7" spans="1:26" ht="18" customHeight="1" x14ac:dyDescent="0.15">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x14ac:dyDescent="0.15">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x14ac:dyDescent="0.15">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x14ac:dyDescent="0.15">
      <c r="B10" s="224"/>
      <c r="C10" s="227"/>
      <c r="D10" s="227"/>
      <c r="E10" s="227"/>
      <c r="F10" s="227"/>
      <c r="G10" s="227"/>
      <c r="H10" s="227"/>
      <c r="I10" s="227"/>
      <c r="J10" s="227"/>
      <c r="K10" s="227"/>
      <c r="L10" s="227"/>
      <c r="M10" s="227"/>
      <c r="N10" s="227"/>
      <c r="O10" s="227"/>
      <c r="P10" s="227"/>
      <c r="Q10" s="227"/>
      <c r="R10" s="227"/>
      <c r="S10" s="227"/>
      <c r="T10" s="227"/>
      <c r="U10" s="227"/>
      <c r="V10" s="227"/>
      <c r="W10" s="227"/>
      <c r="X10" s="227"/>
      <c r="Y10" s="227"/>
      <c r="Z10" s="226"/>
    </row>
    <row r="11" spans="1:26" ht="18" customHeight="1" x14ac:dyDescent="0.15">
      <c r="B11" s="228"/>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30"/>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9" t="s">
        <v>125</v>
      </c>
      <c r="B13" s="219"/>
      <c r="C13" s="219"/>
      <c r="D13" s="219"/>
      <c r="E13" s="219"/>
      <c r="F13" s="219"/>
      <c r="G13" s="219"/>
      <c r="H13" s="219"/>
      <c r="I13" s="219"/>
      <c r="J13" s="219"/>
      <c r="K13" s="219"/>
      <c r="L13" s="219"/>
      <c r="M13" s="219"/>
      <c r="N13" s="219"/>
      <c r="O13" s="219"/>
      <c r="P13" s="219"/>
      <c r="Q13" s="219"/>
      <c r="R13" s="219"/>
      <c r="S13" s="219"/>
      <c r="T13" s="219"/>
      <c r="U13" s="219"/>
      <c r="V13" s="219"/>
      <c r="W13" s="219"/>
      <c r="X13" s="219"/>
      <c r="Y13" s="219"/>
      <c r="Z13" s="219"/>
    </row>
    <row r="14" spans="1:26" ht="18" customHeight="1" x14ac:dyDescent="0.15">
      <c r="A14" s="219"/>
      <c r="B14" s="219"/>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row>
    <row r="15" spans="1:26" ht="18" customHeight="1" x14ac:dyDescent="0.15">
      <c r="A15" s="14"/>
      <c r="B15" s="127" t="s">
        <v>100</v>
      </c>
      <c r="C15" s="128"/>
      <c r="D15" s="128"/>
      <c r="E15" s="128"/>
      <c r="F15" s="129"/>
      <c r="G15" s="30" t="s">
        <v>141</v>
      </c>
      <c r="H15" s="106" t="s">
        <v>140</v>
      </c>
      <c r="I15" s="128" t="s">
        <v>101</v>
      </c>
      <c r="J15" s="128"/>
      <c r="K15" s="128"/>
      <c r="L15" s="75" t="s">
        <v>104</v>
      </c>
      <c r="M15" s="75" t="s">
        <v>107</v>
      </c>
      <c r="N15" s="127" t="s">
        <v>100</v>
      </c>
      <c r="O15" s="128"/>
      <c r="P15" s="128"/>
      <c r="Q15" s="128"/>
      <c r="R15" s="128"/>
      <c r="S15" s="129"/>
      <c r="T15" s="30" t="s">
        <v>141</v>
      </c>
      <c r="U15" s="106" t="s">
        <v>140</v>
      </c>
      <c r="V15" s="128" t="s">
        <v>101</v>
      </c>
      <c r="W15" s="128"/>
      <c r="X15" s="128"/>
      <c r="Y15" s="75" t="s">
        <v>104</v>
      </c>
      <c r="Z15" s="75" t="s">
        <v>107</v>
      </c>
    </row>
    <row r="16" spans="1:26" ht="18" customHeight="1" x14ac:dyDescent="0.15">
      <c r="A16" s="14"/>
      <c r="B16" s="180" t="s">
        <v>189</v>
      </c>
      <c r="C16" s="181"/>
      <c r="D16" s="181"/>
      <c r="E16" s="181"/>
      <c r="F16" s="182"/>
      <c r="G16" s="107">
        <v>2</v>
      </c>
      <c r="H16" s="107" t="s">
        <v>171</v>
      </c>
      <c r="I16" s="186" t="s">
        <v>173</v>
      </c>
      <c r="J16" s="187"/>
      <c r="K16" s="188"/>
      <c r="L16" s="107" t="s">
        <v>171</v>
      </c>
      <c r="M16" s="107" t="s">
        <v>171</v>
      </c>
      <c r="N16" s="158"/>
      <c r="O16" s="159"/>
      <c r="P16" s="159"/>
      <c r="Q16" s="159"/>
      <c r="R16" s="159"/>
      <c r="S16" s="160"/>
      <c r="T16" s="107"/>
      <c r="U16" s="107"/>
      <c r="V16" s="186"/>
      <c r="W16" s="187"/>
      <c r="X16" s="188"/>
      <c r="Y16" s="107"/>
      <c r="Z16" s="107"/>
    </row>
    <row r="17" spans="1:26" ht="18" customHeight="1" x14ac:dyDescent="0.15">
      <c r="A17" s="14"/>
      <c r="B17" s="173"/>
      <c r="C17" s="174"/>
      <c r="D17" s="174"/>
      <c r="E17" s="174"/>
      <c r="F17" s="175"/>
      <c r="G17" s="108"/>
      <c r="H17" s="108"/>
      <c r="I17" s="167"/>
      <c r="J17" s="168"/>
      <c r="K17" s="169"/>
      <c r="L17" s="108"/>
      <c r="M17" s="108"/>
      <c r="N17" s="161"/>
      <c r="O17" s="162"/>
      <c r="P17" s="162"/>
      <c r="Q17" s="162"/>
      <c r="R17" s="162"/>
      <c r="S17" s="163"/>
      <c r="T17" s="108"/>
      <c r="U17" s="108"/>
      <c r="V17" s="167"/>
      <c r="W17" s="168"/>
      <c r="X17" s="169"/>
      <c r="Y17" s="108"/>
      <c r="Z17" s="108"/>
    </row>
    <row r="18" spans="1:26" ht="18" customHeight="1" x14ac:dyDescent="0.15">
      <c r="A18" s="14"/>
      <c r="B18" s="173"/>
      <c r="C18" s="174"/>
      <c r="D18" s="174"/>
      <c r="E18" s="174"/>
      <c r="F18" s="175"/>
      <c r="G18" s="108"/>
      <c r="H18" s="108"/>
      <c r="I18" s="167"/>
      <c r="J18" s="168"/>
      <c r="K18" s="169"/>
      <c r="L18" s="108"/>
      <c r="M18" s="108"/>
      <c r="N18" s="161"/>
      <c r="O18" s="162"/>
      <c r="P18" s="162"/>
      <c r="Q18" s="162"/>
      <c r="R18" s="162"/>
      <c r="S18" s="163"/>
      <c r="T18" s="108"/>
      <c r="U18" s="108"/>
      <c r="V18" s="167"/>
      <c r="W18" s="168"/>
      <c r="X18" s="169"/>
      <c r="Y18" s="108"/>
      <c r="Z18" s="108"/>
    </row>
    <row r="19" spans="1:26" ht="18" customHeight="1" x14ac:dyDescent="0.15">
      <c r="A19" s="14"/>
      <c r="B19" s="173"/>
      <c r="C19" s="174"/>
      <c r="D19" s="174"/>
      <c r="E19" s="174"/>
      <c r="F19" s="175"/>
      <c r="G19" s="108"/>
      <c r="H19" s="108"/>
      <c r="I19" s="167"/>
      <c r="J19" s="168"/>
      <c r="K19" s="169"/>
      <c r="L19" s="108"/>
      <c r="M19" s="108"/>
      <c r="N19" s="161"/>
      <c r="O19" s="162"/>
      <c r="P19" s="162"/>
      <c r="Q19" s="162"/>
      <c r="R19" s="162"/>
      <c r="S19" s="163"/>
      <c r="T19" s="108"/>
      <c r="U19" s="108"/>
      <c r="V19" s="167"/>
      <c r="W19" s="168"/>
      <c r="X19" s="169"/>
      <c r="Y19" s="108"/>
      <c r="Z19" s="108"/>
    </row>
    <row r="20" spans="1:26" ht="18" customHeight="1" x14ac:dyDescent="0.15">
      <c r="A20" s="14"/>
      <c r="B20" s="173"/>
      <c r="C20" s="174"/>
      <c r="D20" s="174"/>
      <c r="E20" s="174"/>
      <c r="F20" s="175"/>
      <c r="G20" s="108"/>
      <c r="H20" s="108"/>
      <c r="I20" s="167"/>
      <c r="J20" s="168"/>
      <c r="K20" s="169"/>
      <c r="L20" s="108"/>
      <c r="M20" s="108"/>
      <c r="N20" s="161"/>
      <c r="O20" s="162"/>
      <c r="P20" s="162"/>
      <c r="Q20" s="162"/>
      <c r="R20" s="162"/>
      <c r="S20" s="163"/>
      <c r="T20" s="108"/>
      <c r="U20" s="108"/>
      <c r="V20" s="167"/>
      <c r="W20" s="168"/>
      <c r="X20" s="169"/>
      <c r="Y20" s="108"/>
      <c r="Z20" s="108"/>
    </row>
    <row r="21" spans="1:26" ht="18" customHeight="1" x14ac:dyDescent="0.15">
      <c r="A21" s="29"/>
      <c r="B21" s="173"/>
      <c r="C21" s="174"/>
      <c r="D21" s="174"/>
      <c r="E21" s="174"/>
      <c r="F21" s="175"/>
      <c r="G21" s="108"/>
      <c r="H21" s="108"/>
      <c r="I21" s="167"/>
      <c r="J21" s="168"/>
      <c r="K21" s="169"/>
      <c r="L21" s="108"/>
      <c r="M21" s="108"/>
      <c r="N21" s="161"/>
      <c r="O21" s="162"/>
      <c r="P21" s="162"/>
      <c r="Q21" s="162"/>
      <c r="R21" s="162"/>
      <c r="S21" s="163"/>
      <c r="T21" s="108"/>
      <c r="U21" s="108"/>
      <c r="V21" s="167"/>
      <c r="W21" s="168"/>
      <c r="X21" s="169"/>
      <c r="Y21" s="108"/>
      <c r="Z21" s="108"/>
    </row>
    <row r="22" spans="1:26" ht="18" customHeight="1" x14ac:dyDescent="0.15">
      <c r="A22" s="29"/>
      <c r="B22" s="176"/>
      <c r="C22" s="177"/>
      <c r="D22" s="177"/>
      <c r="E22" s="177"/>
      <c r="F22" s="178"/>
      <c r="G22" s="109"/>
      <c r="H22" s="109"/>
      <c r="I22" s="170"/>
      <c r="J22" s="171"/>
      <c r="K22" s="172"/>
      <c r="L22" s="115"/>
      <c r="M22" s="115"/>
      <c r="N22" s="164"/>
      <c r="O22" s="165"/>
      <c r="P22" s="165"/>
      <c r="Q22" s="165"/>
      <c r="R22" s="165"/>
      <c r="S22" s="166"/>
      <c r="T22" s="109"/>
      <c r="U22" s="109"/>
      <c r="V22" s="170"/>
      <c r="W22" s="171"/>
      <c r="X22" s="172"/>
      <c r="Y22" s="115"/>
      <c r="Z22" s="115"/>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9" t="s">
        <v>126</v>
      </c>
      <c r="B24" s="219"/>
      <c r="C24" s="219"/>
      <c r="D24" s="219"/>
      <c r="E24" s="219"/>
      <c r="F24" s="219"/>
      <c r="G24" s="219"/>
      <c r="H24" s="219"/>
      <c r="I24" s="219"/>
      <c r="J24" s="219"/>
      <c r="K24" s="219"/>
      <c r="L24" s="219"/>
      <c r="M24" s="219"/>
      <c r="N24" s="219"/>
      <c r="O24" s="219"/>
      <c r="P24" s="219"/>
      <c r="Q24" s="219"/>
      <c r="R24" s="219"/>
      <c r="S24" s="219"/>
      <c r="T24" s="219"/>
      <c r="U24" s="219"/>
      <c r="V24" s="219"/>
      <c r="W24" s="219"/>
      <c r="X24" s="219"/>
      <c r="Y24" s="219"/>
      <c r="Z24" s="219"/>
    </row>
    <row r="25" spans="1:26" ht="18" customHeight="1" x14ac:dyDescent="0.15">
      <c r="A25" s="219"/>
      <c r="B25" s="219"/>
      <c r="C25" s="219"/>
      <c r="D25" s="219"/>
      <c r="E25" s="219"/>
      <c r="F25" s="219"/>
      <c r="G25" s="219"/>
      <c r="H25" s="219"/>
      <c r="I25" s="219"/>
      <c r="J25" s="219"/>
      <c r="K25" s="219"/>
      <c r="L25" s="219"/>
      <c r="M25" s="219"/>
      <c r="N25" s="219"/>
      <c r="O25" s="219"/>
      <c r="P25" s="219"/>
      <c r="Q25" s="219"/>
      <c r="R25" s="219"/>
      <c r="S25" s="219"/>
      <c r="T25" s="219"/>
      <c r="U25" s="219"/>
      <c r="V25" s="219"/>
      <c r="W25" s="219"/>
      <c r="X25" s="219"/>
      <c r="Y25" s="219"/>
      <c r="Z25" s="219"/>
    </row>
    <row r="26" spans="1:26" ht="18" customHeight="1" x14ac:dyDescent="0.15">
      <c r="A26" s="14"/>
      <c r="B26" s="127" t="s">
        <v>100</v>
      </c>
      <c r="C26" s="128"/>
      <c r="D26" s="128"/>
      <c r="E26" s="128"/>
      <c r="F26" s="129"/>
      <c r="G26" s="30" t="s">
        <v>141</v>
      </c>
      <c r="H26" s="106" t="s">
        <v>140</v>
      </c>
      <c r="I26" s="128" t="s">
        <v>101</v>
      </c>
      <c r="J26" s="128"/>
      <c r="K26" s="128"/>
      <c r="L26" s="75" t="s">
        <v>127</v>
      </c>
      <c r="M26" s="75" t="s">
        <v>128</v>
      </c>
      <c r="N26" s="127" t="s">
        <v>100</v>
      </c>
      <c r="O26" s="128"/>
      <c r="P26" s="128"/>
      <c r="Q26" s="128"/>
      <c r="R26" s="128"/>
      <c r="S26" s="129"/>
      <c r="T26" s="30" t="s">
        <v>141</v>
      </c>
      <c r="U26" s="106" t="s">
        <v>140</v>
      </c>
      <c r="V26" s="128" t="s">
        <v>101</v>
      </c>
      <c r="W26" s="128"/>
      <c r="X26" s="128"/>
      <c r="Y26" s="75" t="s">
        <v>127</v>
      </c>
      <c r="Z26" s="75" t="s">
        <v>128</v>
      </c>
    </row>
    <row r="27" spans="1:26" ht="18" customHeight="1" x14ac:dyDescent="0.15">
      <c r="A27" s="14"/>
      <c r="B27" s="180" t="s">
        <v>190</v>
      </c>
      <c r="C27" s="181"/>
      <c r="D27" s="181"/>
      <c r="E27" s="181"/>
      <c r="F27" s="182"/>
      <c r="G27" s="107">
        <v>2</v>
      </c>
      <c r="H27" s="107" t="s">
        <v>171</v>
      </c>
      <c r="I27" s="186" t="s">
        <v>173</v>
      </c>
      <c r="J27" s="187"/>
      <c r="K27" s="188"/>
      <c r="L27" s="107" t="s">
        <v>171</v>
      </c>
      <c r="M27" s="107" t="s">
        <v>171</v>
      </c>
      <c r="N27" s="158"/>
      <c r="O27" s="159"/>
      <c r="P27" s="159"/>
      <c r="Q27" s="159"/>
      <c r="R27" s="159"/>
      <c r="S27" s="160"/>
      <c r="T27" s="107"/>
      <c r="U27" s="107"/>
      <c r="V27" s="186"/>
      <c r="W27" s="187"/>
      <c r="X27" s="188"/>
      <c r="Y27" s="107"/>
      <c r="Z27" s="107"/>
    </row>
    <row r="28" spans="1:26" ht="18" customHeight="1" x14ac:dyDescent="0.15">
      <c r="A28" s="14"/>
      <c r="B28" s="173"/>
      <c r="C28" s="174"/>
      <c r="D28" s="174"/>
      <c r="E28" s="174"/>
      <c r="F28" s="175"/>
      <c r="G28" s="108"/>
      <c r="H28" s="108"/>
      <c r="I28" s="167"/>
      <c r="J28" s="168"/>
      <c r="K28" s="169"/>
      <c r="L28" s="108"/>
      <c r="M28" s="108"/>
      <c r="N28" s="161"/>
      <c r="O28" s="162"/>
      <c r="P28" s="162"/>
      <c r="Q28" s="162"/>
      <c r="R28" s="162"/>
      <c r="S28" s="163"/>
      <c r="T28" s="108"/>
      <c r="U28" s="108"/>
      <c r="V28" s="167"/>
      <c r="W28" s="168"/>
      <c r="X28" s="169"/>
      <c r="Y28" s="108"/>
      <c r="Z28" s="108"/>
    </row>
    <row r="29" spans="1:26" ht="18" customHeight="1" x14ac:dyDescent="0.15">
      <c r="A29" s="14"/>
      <c r="B29" s="173"/>
      <c r="C29" s="174"/>
      <c r="D29" s="174"/>
      <c r="E29" s="174"/>
      <c r="F29" s="175"/>
      <c r="G29" s="108"/>
      <c r="H29" s="108"/>
      <c r="I29" s="167"/>
      <c r="J29" s="168"/>
      <c r="K29" s="169"/>
      <c r="L29" s="108"/>
      <c r="M29" s="108"/>
      <c r="N29" s="161"/>
      <c r="O29" s="162"/>
      <c r="P29" s="162"/>
      <c r="Q29" s="162"/>
      <c r="R29" s="162"/>
      <c r="S29" s="163"/>
      <c r="T29" s="108"/>
      <c r="U29" s="108"/>
      <c r="V29" s="167"/>
      <c r="W29" s="168"/>
      <c r="X29" s="169"/>
      <c r="Y29" s="108"/>
      <c r="Z29" s="108"/>
    </row>
    <row r="30" spans="1:26" ht="18" customHeight="1" x14ac:dyDescent="0.15">
      <c r="A30" s="14"/>
      <c r="B30" s="173"/>
      <c r="C30" s="174"/>
      <c r="D30" s="174"/>
      <c r="E30" s="174"/>
      <c r="F30" s="175"/>
      <c r="G30" s="108"/>
      <c r="H30" s="108"/>
      <c r="I30" s="167"/>
      <c r="J30" s="168"/>
      <c r="K30" s="169"/>
      <c r="L30" s="108"/>
      <c r="M30" s="108"/>
      <c r="N30" s="161"/>
      <c r="O30" s="162"/>
      <c r="P30" s="162"/>
      <c r="Q30" s="162"/>
      <c r="R30" s="162"/>
      <c r="S30" s="163"/>
      <c r="T30" s="108"/>
      <c r="U30" s="108"/>
      <c r="V30" s="167"/>
      <c r="W30" s="168"/>
      <c r="X30" s="169"/>
      <c r="Y30" s="108"/>
      <c r="Z30" s="108"/>
    </row>
    <row r="31" spans="1:26" ht="18" customHeight="1" x14ac:dyDescent="0.15">
      <c r="A31" s="14"/>
      <c r="B31" s="173"/>
      <c r="C31" s="174"/>
      <c r="D31" s="174"/>
      <c r="E31" s="174"/>
      <c r="F31" s="175"/>
      <c r="G31" s="108"/>
      <c r="H31" s="108"/>
      <c r="I31" s="167"/>
      <c r="J31" s="168"/>
      <c r="K31" s="169"/>
      <c r="L31" s="108"/>
      <c r="M31" s="108"/>
      <c r="N31" s="161"/>
      <c r="O31" s="162"/>
      <c r="P31" s="162"/>
      <c r="Q31" s="162"/>
      <c r="R31" s="162"/>
      <c r="S31" s="163"/>
      <c r="T31" s="108"/>
      <c r="U31" s="108"/>
      <c r="V31" s="167"/>
      <c r="W31" s="168"/>
      <c r="X31" s="169"/>
      <c r="Y31" s="108"/>
      <c r="Z31" s="108"/>
    </row>
    <row r="32" spans="1:26" ht="18" customHeight="1" x14ac:dyDescent="0.15">
      <c r="A32" s="14"/>
      <c r="B32" s="173"/>
      <c r="C32" s="174"/>
      <c r="D32" s="174"/>
      <c r="E32" s="174"/>
      <c r="F32" s="175"/>
      <c r="G32" s="108"/>
      <c r="H32" s="108"/>
      <c r="I32" s="167"/>
      <c r="J32" s="168"/>
      <c r="K32" s="169"/>
      <c r="L32" s="108"/>
      <c r="M32" s="108"/>
      <c r="N32" s="161"/>
      <c r="O32" s="162"/>
      <c r="P32" s="162"/>
      <c r="Q32" s="162"/>
      <c r="R32" s="162"/>
      <c r="S32" s="163"/>
      <c r="T32" s="108"/>
      <c r="U32" s="108"/>
      <c r="V32" s="167"/>
      <c r="W32" s="168"/>
      <c r="X32" s="169"/>
      <c r="Y32" s="108"/>
      <c r="Z32" s="108"/>
    </row>
    <row r="33" spans="1:26" ht="18" customHeight="1" x14ac:dyDescent="0.15">
      <c r="A33" s="14"/>
      <c r="B33" s="176"/>
      <c r="C33" s="177"/>
      <c r="D33" s="177"/>
      <c r="E33" s="177"/>
      <c r="F33" s="178"/>
      <c r="G33" s="109"/>
      <c r="H33" s="109"/>
      <c r="I33" s="170"/>
      <c r="J33" s="171"/>
      <c r="K33" s="172"/>
      <c r="L33" s="115"/>
      <c r="M33" s="115"/>
      <c r="N33" s="164"/>
      <c r="O33" s="165"/>
      <c r="P33" s="165"/>
      <c r="Q33" s="165"/>
      <c r="R33" s="165"/>
      <c r="S33" s="166"/>
      <c r="T33" s="109"/>
      <c r="U33" s="109"/>
      <c r="V33" s="170"/>
      <c r="W33" s="171"/>
      <c r="X33" s="172"/>
      <c r="Y33" s="115"/>
      <c r="Z33" s="115"/>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9" t="s">
        <v>129</v>
      </c>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row>
    <row r="36" spans="1:26" ht="18" customHeight="1" x14ac:dyDescent="0.15">
      <c r="A36" s="219"/>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row>
    <row r="37" spans="1:26" ht="18" customHeight="1" x14ac:dyDescent="0.15">
      <c r="A37" s="14"/>
      <c r="B37" s="127" t="s">
        <v>100</v>
      </c>
      <c r="C37" s="128"/>
      <c r="D37" s="128"/>
      <c r="E37" s="128"/>
      <c r="F37" s="129"/>
      <c r="G37" s="30" t="s">
        <v>141</v>
      </c>
      <c r="H37" s="106" t="s">
        <v>140</v>
      </c>
      <c r="I37" s="127" t="s">
        <v>101</v>
      </c>
      <c r="J37" s="128"/>
      <c r="K37" s="129"/>
      <c r="L37" s="75" t="s">
        <v>130</v>
      </c>
      <c r="M37" s="75" t="s">
        <v>131</v>
      </c>
      <c r="N37" s="127" t="s">
        <v>100</v>
      </c>
      <c r="O37" s="128"/>
      <c r="P37" s="128"/>
      <c r="Q37" s="128"/>
      <c r="R37" s="128"/>
      <c r="S37" s="129"/>
      <c r="T37" s="30" t="s">
        <v>141</v>
      </c>
      <c r="U37" s="106" t="s">
        <v>140</v>
      </c>
      <c r="V37" s="127" t="s">
        <v>101</v>
      </c>
      <c r="W37" s="128"/>
      <c r="X37" s="129"/>
      <c r="Y37" s="75" t="s">
        <v>130</v>
      </c>
      <c r="Z37" s="75" t="s">
        <v>131</v>
      </c>
    </row>
    <row r="38" spans="1:26" ht="18" customHeight="1" x14ac:dyDescent="0.15">
      <c r="A38" s="29"/>
      <c r="B38" s="180" t="s">
        <v>190</v>
      </c>
      <c r="C38" s="181"/>
      <c r="D38" s="181"/>
      <c r="E38" s="181"/>
      <c r="F38" s="182"/>
      <c r="G38" s="107">
        <v>2</v>
      </c>
      <c r="H38" s="107" t="s">
        <v>171</v>
      </c>
      <c r="I38" s="186" t="s">
        <v>173</v>
      </c>
      <c r="J38" s="187"/>
      <c r="K38" s="188"/>
      <c r="L38" s="107" t="s">
        <v>171</v>
      </c>
      <c r="M38" s="107" t="s">
        <v>171</v>
      </c>
      <c r="N38" s="158"/>
      <c r="O38" s="159"/>
      <c r="P38" s="159"/>
      <c r="Q38" s="159"/>
      <c r="R38" s="159"/>
      <c r="S38" s="160"/>
      <c r="T38" s="107"/>
      <c r="U38" s="107"/>
      <c r="V38" s="186"/>
      <c r="W38" s="187"/>
      <c r="X38" s="188"/>
      <c r="Y38" s="107"/>
      <c r="Z38" s="107"/>
    </row>
    <row r="39" spans="1:26" ht="18" customHeight="1" x14ac:dyDescent="0.15">
      <c r="A39" s="29"/>
      <c r="B39" s="173"/>
      <c r="C39" s="174"/>
      <c r="D39" s="174"/>
      <c r="E39" s="174"/>
      <c r="F39" s="175"/>
      <c r="G39" s="108"/>
      <c r="H39" s="108"/>
      <c r="I39" s="167"/>
      <c r="J39" s="168"/>
      <c r="K39" s="169"/>
      <c r="L39" s="108"/>
      <c r="M39" s="108"/>
      <c r="N39" s="161"/>
      <c r="O39" s="162"/>
      <c r="P39" s="162"/>
      <c r="Q39" s="162"/>
      <c r="R39" s="162"/>
      <c r="S39" s="163"/>
      <c r="T39" s="108"/>
      <c r="U39" s="108"/>
      <c r="V39" s="167"/>
      <c r="W39" s="168"/>
      <c r="X39" s="169"/>
      <c r="Y39" s="108"/>
      <c r="Z39" s="108"/>
    </row>
    <row r="40" spans="1:26" ht="18" customHeight="1" x14ac:dyDescent="0.15">
      <c r="A40" s="29"/>
      <c r="B40" s="173"/>
      <c r="C40" s="174"/>
      <c r="D40" s="174"/>
      <c r="E40" s="174"/>
      <c r="F40" s="175"/>
      <c r="G40" s="108"/>
      <c r="H40" s="108"/>
      <c r="I40" s="167"/>
      <c r="J40" s="168"/>
      <c r="K40" s="169"/>
      <c r="L40" s="108"/>
      <c r="M40" s="108"/>
      <c r="N40" s="161"/>
      <c r="O40" s="162"/>
      <c r="P40" s="162"/>
      <c r="Q40" s="162"/>
      <c r="R40" s="162"/>
      <c r="S40" s="163"/>
      <c r="T40" s="108"/>
      <c r="U40" s="108"/>
      <c r="V40" s="167"/>
      <c r="W40" s="168"/>
      <c r="X40" s="169"/>
      <c r="Y40" s="108"/>
      <c r="Z40" s="108"/>
    </row>
    <row r="41" spans="1:26" ht="18" customHeight="1" x14ac:dyDescent="0.15">
      <c r="A41" s="29"/>
      <c r="B41" s="173"/>
      <c r="C41" s="174"/>
      <c r="D41" s="174"/>
      <c r="E41" s="174"/>
      <c r="F41" s="175"/>
      <c r="G41" s="108"/>
      <c r="H41" s="108"/>
      <c r="I41" s="167"/>
      <c r="J41" s="168"/>
      <c r="K41" s="169"/>
      <c r="L41" s="108"/>
      <c r="M41" s="108"/>
      <c r="N41" s="161"/>
      <c r="O41" s="162"/>
      <c r="P41" s="162"/>
      <c r="Q41" s="162"/>
      <c r="R41" s="162"/>
      <c r="S41" s="163"/>
      <c r="T41" s="108"/>
      <c r="U41" s="108"/>
      <c r="V41" s="167"/>
      <c r="W41" s="168"/>
      <c r="X41" s="169"/>
      <c r="Y41" s="108"/>
      <c r="Z41" s="108"/>
    </row>
    <row r="42" spans="1:26" ht="18" customHeight="1" x14ac:dyDescent="0.15">
      <c r="A42" s="29"/>
      <c r="B42" s="173"/>
      <c r="C42" s="174"/>
      <c r="D42" s="174"/>
      <c r="E42" s="174"/>
      <c r="F42" s="175"/>
      <c r="G42" s="108"/>
      <c r="H42" s="108"/>
      <c r="I42" s="167"/>
      <c r="J42" s="168"/>
      <c r="K42" s="169"/>
      <c r="L42" s="108"/>
      <c r="M42" s="108"/>
      <c r="N42" s="161"/>
      <c r="O42" s="162"/>
      <c r="P42" s="162"/>
      <c r="Q42" s="162"/>
      <c r="R42" s="162"/>
      <c r="S42" s="163"/>
      <c r="T42" s="108"/>
      <c r="U42" s="108"/>
      <c r="V42" s="167"/>
      <c r="W42" s="168"/>
      <c r="X42" s="169"/>
      <c r="Y42" s="108"/>
      <c r="Z42" s="108"/>
    </row>
    <row r="43" spans="1:26" ht="18" customHeight="1" x14ac:dyDescent="0.15">
      <c r="A43" s="29"/>
      <c r="B43" s="173"/>
      <c r="C43" s="174"/>
      <c r="D43" s="174"/>
      <c r="E43" s="174"/>
      <c r="F43" s="175"/>
      <c r="G43" s="108"/>
      <c r="H43" s="108"/>
      <c r="I43" s="167"/>
      <c r="J43" s="168"/>
      <c r="K43" s="169"/>
      <c r="L43" s="108"/>
      <c r="M43" s="108"/>
      <c r="N43" s="161"/>
      <c r="O43" s="162"/>
      <c r="P43" s="162"/>
      <c r="Q43" s="162"/>
      <c r="R43" s="162"/>
      <c r="S43" s="163"/>
      <c r="T43" s="108"/>
      <c r="U43" s="108"/>
      <c r="V43" s="167"/>
      <c r="W43" s="168"/>
      <c r="X43" s="169"/>
      <c r="Y43" s="108"/>
      <c r="Z43" s="108"/>
    </row>
    <row r="44" spans="1:26" ht="18" customHeight="1" x14ac:dyDescent="0.15">
      <c r="A44" s="29"/>
      <c r="B44" s="176"/>
      <c r="C44" s="177"/>
      <c r="D44" s="177"/>
      <c r="E44" s="177"/>
      <c r="F44" s="178"/>
      <c r="G44" s="109"/>
      <c r="H44" s="109"/>
      <c r="I44" s="170"/>
      <c r="J44" s="171"/>
      <c r="K44" s="172"/>
      <c r="L44" s="115"/>
      <c r="M44" s="115"/>
      <c r="N44" s="164"/>
      <c r="O44" s="165"/>
      <c r="P44" s="165"/>
      <c r="Q44" s="165"/>
      <c r="R44" s="165"/>
      <c r="S44" s="166"/>
      <c r="T44" s="109"/>
      <c r="U44" s="109"/>
      <c r="V44" s="170"/>
      <c r="W44" s="171"/>
      <c r="X44" s="172"/>
      <c r="Y44" s="115"/>
      <c r="Z44" s="115"/>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9" t="s">
        <v>132</v>
      </c>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row>
    <row r="47" spans="1:26" ht="18" customHeight="1" x14ac:dyDescent="0.15">
      <c r="A47" s="219"/>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row>
    <row r="48" spans="1:26" ht="18" customHeight="1" x14ac:dyDescent="0.15">
      <c r="A48" s="14"/>
      <c r="B48" s="127" t="s">
        <v>100</v>
      </c>
      <c r="C48" s="128"/>
      <c r="D48" s="128"/>
      <c r="E48" s="128"/>
      <c r="F48" s="129"/>
      <c r="G48" s="30" t="s">
        <v>141</v>
      </c>
      <c r="H48" s="106" t="s">
        <v>140</v>
      </c>
      <c r="I48" s="127" t="s">
        <v>101</v>
      </c>
      <c r="J48" s="128"/>
      <c r="K48" s="129"/>
      <c r="L48" s="75" t="s">
        <v>106</v>
      </c>
      <c r="M48" s="75" t="s">
        <v>108</v>
      </c>
      <c r="N48" s="127" t="s">
        <v>100</v>
      </c>
      <c r="O48" s="128"/>
      <c r="P48" s="128"/>
      <c r="Q48" s="128"/>
      <c r="R48" s="128"/>
      <c r="S48" s="129"/>
      <c r="T48" s="30" t="s">
        <v>141</v>
      </c>
      <c r="U48" s="106" t="s">
        <v>140</v>
      </c>
      <c r="V48" s="127" t="s">
        <v>101</v>
      </c>
      <c r="W48" s="128"/>
      <c r="X48" s="129"/>
      <c r="Y48" s="75" t="s">
        <v>106</v>
      </c>
      <c r="Z48" s="75" t="s">
        <v>108</v>
      </c>
    </row>
    <row r="49" spans="1:26" ht="18" customHeight="1" x14ac:dyDescent="0.15">
      <c r="A49" s="29"/>
      <c r="B49" s="180" t="s">
        <v>166</v>
      </c>
      <c r="C49" s="181"/>
      <c r="D49" s="181"/>
      <c r="E49" s="181"/>
      <c r="F49" s="182"/>
      <c r="G49" s="107">
        <v>1</v>
      </c>
      <c r="H49" s="107" t="s">
        <v>171</v>
      </c>
      <c r="I49" s="186" t="s">
        <v>172</v>
      </c>
      <c r="J49" s="187"/>
      <c r="K49" s="188"/>
      <c r="L49" s="120"/>
      <c r="M49" s="120" t="s">
        <v>171</v>
      </c>
      <c r="N49" s="158"/>
      <c r="O49" s="159"/>
      <c r="P49" s="159"/>
      <c r="Q49" s="159"/>
      <c r="R49" s="159"/>
      <c r="S49" s="160"/>
      <c r="T49" s="107"/>
      <c r="U49" s="107"/>
      <c r="V49" s="186"/>
      <c r="W49" s="187"/>
      <c r="X49" s="188"/>
      <c r="Y49" s="107"/>
      <c r="Z49" s="107"/>
    </row>
    <row r="50" spans="1:26" ht="18" customHeight="1" x14ac:dyDescent="0.15">
      <c r="A50" s="29"/>
      <c r="B50" s="173" t="s">
        <v>167</v>
      </c>
      <c r="C50" s="174"/>
      <c r="D50" s="174"/>
      <c r="E50" s="174"/>
      <c r="F50" s="175"/>
      <c r="G50" s="108">
        <v>1</v>
      </c>
      <c r="H50" s="108" t="s">
        <v>171</v>
      </c>
      <c r="I50" s="167" t="s">
        <v>172</v>
      </c>
      <c r="J50" s="168"/>
      <c r="K50" s="169"/>
      <c r="L50" s="120"/>
      <c r="M50" s="120" t="s">
        <v>171</v>
      </c>
      <c r="N50" s="161"/>
      <c r="O50" s="162"/>
      <c r="P50" s="162"/>
      <c r="Q50" s="162"/>
      <c r="R50" s="162"/>
      <c r="S50" s="163"/>
      <c r="T50" s="108"/>
      <c r="U50" s="108"/>
      <c r="V50" s="167"/>
      <c r="W50" s="168"/>
      <c r="X50" s="169"/>
      <c r="Y50" s="108"/>
      <c r="Z50" s="108"/>
    </row>
    <row r="51" spans="1:26" ht="18" customHeight="1" x14ac:dyDescent="0.15">
      <c r="A51" s="29"/>
      <c r="B51" s="234" t="s">
        <v>190</v>
      </c>
      <c r="C51" s="235"/>
      <c r="D51" s="235"/>
      <c r="E51" s="235"/>
      <c r="F51" s="236"/>
      <c r="G51" s="120">
        <v>2</v>
      </c>
      <c r="H51" s="120" t="s">
        <v>171</v>
      </c>
      <c r="I51" s="231" t="s">
        <v>173</v>
      </c>
      <c r="J51" s="232"/>
      <c r="K51" s="233"/>
      <c r="L51" s="120" t="s">
        <v>171</v>
      </c>
      <c r="M51" s="120" t="s">
        <v>171</v>
      </c>
      <c r="N51" s="161"/>
      <c r="O51" s="162"/>
      <c r="P51" s="162"/>
      <c r="Q51" s="162"/>
      <c r="R51" s="162"/>
      <c r="S51" s="163"/>
      <c r="T51" s="108"/>
      <c r="U51" s="108"/>
      <c r="V51" s="167"/>
      <c r="W51" s="168"/>
      <c r="X51" s="169"/>
      <c r="Y51" s="108"/>
      <c r="Z51" s="108"/>
    </row>
    <row r="52" spans="1:26" ht="18" customHeight="1" x14ac:dyDescent="0.15">
      <c r="A52" s="29"/>
      <c r="B52" s="173"/>
      <c r="C52" s="174"/>
      <c r="D52" s="174"/>
      <c r="E52" s="174"/>
      <c r="F52" s="175"/>
      <c r="G52" s="108"/>
      <c r="H52" s="108"/>
      <c r="I52" s="167"/>
      <c r="J52" s="168"/>
      <c r="K52" s="169"/>
      <c r="L52" s="108"/>
      <c r="M52" s="108"/>
      <c r="N52" s="161"/>
      <c r="O52" s="162"/>
      <c r="P52" s="162"/>
      <c r="Q52" s="162"/>
      <c r="R52" s="162"/>
      <c r="S52" s="163"/>
      <c r="T52" s="108"/>
      <c r="U52" s="108"/>
      <c r="V52" s="167"/>
      <c r="W52" s="168"/>
      <c r="X52" s="169"/>
      <c r="Y52" s="108"/>
      <c r="Z52" s="108"/>
    </row>
    <row r="53" spans="1:26" ht="18" customHeight="1" x14ac:dyDescent="0.15">
      <c r="A53" s="29"/>
      <c r="B53" s="173"/>
      <c r="C53" s="174"/>
      <c r="D53" s="174"/>
      <c r="E53" s="174"/>
      <c r="F53" s="175"/>
      <c r="G53" s="108"/>
      <c r="H53" s="108"/>
      <c r="I53" s="167"/>
      <c r="J53" s="168"/>
      <c r="K53" s="169"/>
      <c r="L53" s="108"/>
      <c r="M53" s="108"/>
      <c r="N53" s="161"/>
      <c r="O53" s="162"/>
      <c r="P53" s="162"/>
      <c r="Q53" s="162"/>
      <c r="R53" s="162"/>
      <c r="S53" s="163"/>
      <c r="T53" s="108"/>
      <c r="U53" s="108"/>
      <c r="V53" s="167"/>
      <c r="W53" s="168"/>
      <c r="X53" s="169"/>
      <c r="Y53" s="108"/>
      <c r="Z53" s="108"/>
    </row>
    <row r="54" spans="1:26" ht="18" customHeight="1" x14ac:dyDescent="0.15">
      <c r="A54" s="29"/>
      <c r="B54" s="173"/>
      <c r="C54" s="174"/>
      <c r="D54" s="174"/>
      <c r="E54" s="174"/>
      <c r="F54" s="175"/>
      <c r="G54" s="108"/>
      <c r="H54" s="108"/>
      <c r="I54" s="167"/>
      <c r="J54" s="168"/>
      <c r="K54" s="169"/>
      <c r="L54" s="108"/>
      <c r="M54" s="108"/>
      <c r="N54" s="161"/>
      <c r="O54" s="162"/>
      <c r="P54" s="162"/>
      <c r="Q54" s="162"/>
      <c r="R54" s="162"/>
      <c r="S54" s="163"/>
      <c r="T54" s="108"/>
      <c r="U54" s="108"/>
      <c r="V54" s="167"/>
      <c r="W54" s="168"/>
      <c r="X54" s="169"/>
      <c r="Y54" s="108"/>
      <c r="Z54" s="108"/>
    </row>
    <row r="55" spans="1:26" ht="18" customHeight="1" x14ac:dyDescent="0.15">
      <c r="A55" s="29"/>
      <c r="B55" s="176"/>
      <c r="C55" s="177"/>
      <c r="D55" s="177"/>
      <c r="E55" s="177"/>
      <c r="F55" s="178"/>
      <c r="G55" s="109"/>
      <c r="H55" s="109"/>
      <c r="I55" s="170"/>
      <c r="J55" s="171"/>
      <c r="K55" s="172"/>
      <c r="L55" s="115"/>
      <c r="M55" s="115"/>
      <c r="N55" s="164"/>
      <c r="O55" s="165"/>
      <c r="P55" s="165"/>
      <c r="Q55" s="165"/>
      <c r="R55" s="165"/>
      <c r="S55" s="166"/>
      <c r="T55" s="109"/>
      <c r="U55" s="109"/>
      <c r="V55" s="170"/>
      <c r="W55" s="171"/>
      <c r="X55" s="172"/>
      <c r="Y55" s="115"/>
      <c r="Z55" s="115"/>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9" t="s">
        <v>133</v>
      </c>
      <c r="B57" s="219"/>
      <c r="C57" s="219"/>
      <c r="D57" s="219"/>
      <c r="E57" s="219"/>
      <c r="F57" s="219"/>
      <c r="G57" s="219"/>
      <c r="H57" s="219"/>
      <c r="I57" s="219"/>
      <c r="J57" s="219"/>
      <c r="K57" s="219"/>
      <c r="L57" s="219"/>
      <c r="M57" s="219"/>
      <c r="N57" s="219"/>
      <c r="O57" s="219"/>
      <c r="P57" s="219"/>
      <c r="Q57" s="219"/>
      <c r="R57" s="219"/>
      <c r="S57" s="219"/>
      <c r="T57" s="219"/>
      <c r="U57" s="219"/>
      <c r="V57" s="219"/>
      <c r="W57" s="219"/>
      <c r="X57" s="219"/>
      <c r="Y57" s="219"/>
      <c r="Z57" s="219"/>
    </row>
    <row r="58" spans="1:26" ht="18" customHeight="1" x14ac:dyDescent="0.15">
      <c r="A58" s="219"/>
      <c r="B58" s="219"/>
      <c r="C58" s="219"/>
      <c r="D58" s="219"/>
      <c r="E58" s="219"/>
      <c r="F58" s="219"/>
      <c r="G58" s="219"/>
      <c r="H58" s="219"/>
      <c r="I58" s="219"/>
      <c r="J58" s="219"/>
      <c r="K58" s="219"/>
      <c r="L58" s="219"/>
      <c r="M58" s="219"/>
      <c r="N58" s="219"/>
      <c r="O58" s="219"/>
      <c r="P58" s="219"/>
      <c r="Q58" s="219"/>
      <c r="R58" s="219"/>
      <c r="S58" s="219"/>
      <c r="T58" s="219"/>
      <c r="U58" s="219"/>
      <c r="V58" s="219"/>
      <c r="W58" s="219"/>
      <c r="X58" s="219"/>
      <c r="Y58" s="219"/>
      <c r="Z58" s="219"/>
    </row>
    <row r="59" spans="1:26" ht="18" customHeight="1" x14ac:dyDescent="0.15">
      <c r="A59" s="14"/>
      <c r="B59" s="127" t="s">
        <v>100</v>
      </c>
      <c r="C59" s="128"/>
      <c r="D59" s="128"/>
      <c r="E59" s="129"/>
      <c r="F59" s="30" t="s">
        <v>141</v>
      </c>
      <c r="G59" s="106" t="s">
        <v>140</v>
      </c>
      <c r="H59" s="101" t="s">
        <v>101</v>
      </c>
      <c r="I59" s="102"/>
      <c r="J59" s="103"/>
      <c r="K59" s="75" t="s">
        <v>105</v>
      </c>
      <c r="L59" s="75" t="s">
        <v>134</v>
      </c>
      <c r="M59" s="75" t="s">
        <v>135</v>
      </c>
      <c r="N59" s="127" t="s">
        <v>100</v>
      </c>
      <c r="O59" s="128"/>
      <c r="P59" s="128"/>
      <c r="Q59" s="128"/>
      <c r="R59" s="129"/>
      <c r="S59" s="30" t="s">
        <v>141</v>
      </c>
      <c r="T59" s="106" t="s">
        <v>140</v>
      </c>
      <c r="U59" s="101" t="s">
        <v>101</v>
      </c>
      <c r="V59" s="102"/>
      <c r="W59" s="103"/>
      <c r="X59" s="75" t="s">
        <v>105</v>
      </c>
      <c r="Y59" s="75" t="s">
        <v>134</v>
      </c>
      <c r="Z59" s="75" t="s">
        <v>135</v>
      </c>
    </row>
    <row r="60" spans="1:26" ht="18" customHeight="1" x14ac:dyDescent="0.15">
      <c r="A60" s="29"/>
      <c r="B60" s="158" t="s">
        <v>174</v>
      </c>
      <c r="C60" s="159"/>
      <c r="D60" s="159"/>
      <c r="E60" s="160"/>
      <c r="F60" s="107">
        <v>1</v>
      </c>
      <c r="G60" s="107" t="s">
        <v>171</v>
      </c>
      <c r="H60" s="186" t="s">
        <v>172</v>
      </c>
      <c r="I60" s="187"/>
      <c r="J60" s="188"/>
      <c r="K60" s="120"/>
      <c r="L60" s="120" t="s">
        <v>171</v>
      </c>
      <c r="M60" s="120" t="s">
        <v>171</v>
      </c>
      <c r="N60" s="158"/>
      <c r="O60" s="159"/>
      <c r="P60" s="159"/>
      <c r="Q60" s="159"/>
      <c r="R60" s="160"/>
      <c r="S60" s="107"/>
      <c r="T60" s="107"/>
      <c r="U60" s="186"/>
      <c r="V60" s="187"/>
      <c r="W60" s="188"/>
      <c r="X60" s="119"/>
      <c r="Y60" s="107"/>
      <c r="Z60" s="107"/>
    </row>
    <row r="61" spans="1:26" ht="18" customHeight="1" x14ac:dyDescent="0.15">
      <c r="A61" s="29"/>
      <c r="B61" s="161" t="s">
        <v>175</v>
      </c>
      <c r="C61" s="162"/>
      <c r="D61" s="162"/>
      <c r="E61" s="163"/>
      <c r="F61" s="108">
        <v>1</v>
      </c>
      <c r="G61" s="108" t="s">
        <v>171</v>
      </c>
      <c r="H61" s="167" t="s">
        <v>172</v>
      </c>
      <c r="I61" s="168"/>
      <c r="J61" s="169"/>
      <c r="K61" s="120" t="s">
        <v>171</v>
      </c>
      <c r="L61" s="120"/>
      <c r="M61" s="120"/>
      <c r="N61" s="161"/>
      <c r="O61" s="162"/>
      <c r="P61" s="162"/>
      <c r="Q61" s="162"/>
      <c r="R61" s="163"/>
      <c r="S61" s="108"/>
      <c r="T61" s="108"/>
      <c r="U61" s="167"/>
      <c r="V61" s="168"/>
      <c r="W61" s="169"/>
      <c r="X61" s="117"/>
      <c r="Y61" s="108"/>
      <c r="Z61" s="108"/>
    </row>
    <row r="62" spans="1:26" ht="18" customHeight="1" x14ac:dyDescent="0.15">
      <c r="A62" s="29"/>
      <c r="B62" s="161"/>
      <c r="C62" s="162"/>
      <c r="D62" s="162"/>
      <c r="E62" s="163"/>
      <c r="F62" s="120"/>
      <c r="G62" s="120"/>
      <c r="H62" s="231"/>
      <c r="I62" s="232"/>
      <c r="J62" s="233"/>
      <c r="K62" s="120"/>
      <c r="L62" s="120"/>
      <c r="M62" s="120"/>
      <c r="N62" s="161"/>
      <c r="O62" s="162"/>
      <c r="P62" s="162"/>
      <c r="Q62" s="162"/>
      <c r="R62" s="163"/>
      <c r="S62" s="108"/>
      <c r="T62" s="108"/>
      <c r="U62" s="167"/>
      <c r="V62" s="168"/>
      <c r="W62" s="169"/>
      <c r="X62" s="117"/>
      <c r="Y62" s="108"/>
      <c r="Z62" s="108"/>
    </row>
    <row r="63" spans="1:26" ht="18" customHeight="1" x14ac:dyDescent="0.15">
      <c r="A63" s="29"/>
      <c r="B63" s="161"/>
      <c r="C63" s="162"/>
      <c r="D63" s="162"/>
      <c r="E63" s="163"/>
      <c r="F63" s="108"/>
      <c r="G63" s="108"/>
      <c r="H63" s="167"/>
      <c r="I63" s="168"/>
      <c r="J63" s="169"/>
      <c r="K63" s="117"/>
      <c r="L63" s="108"/>
      <c r="M63" s="108"/>
      <c r="N63" s="161"/>
      <c r="O63" s="162"/>
      <c r="P63" s="162"/>
      <c r="Q63" s="162"/>
      <c r="R63" s="163"/>
      <c r="S63" s="108"/>
      <c r="T63" s="108"/>
      <c r="U63" s="167"/>
      <c r="V63" s="168"/>
      <c r="W63" s="169"/>
      <c r="X63" s="117"/>
      <c r="Y63" s="108"/>
      <c r="Z63" s="108"/>
    </row>
    <row r="64" spans="1:26" ht="18" customHeight="1" x14ac:dyDescent="0.15">
      <c r="A64" s="29"/>
      <c r="B64" s="161"/>
      <c r="C64" s="162"/>
      <c r="D64" s="162"/>
      <c r="E64" s="163"/>
      <c r="F64" s="108"/>
      <c r="G64" s="108"/>
      <c r="H64" s="167"/>
      <c r="I64" s="168"/>
      <c r="J64" s="169"/>
      <c r="K64" s="117"/>
      <c r="L64" s="108"/>
      <c r="M64" s="108"/>
      <c r="N64" s="161"/>
      <c r="O64" s="162"/>
      <c r="P64" s="162"/>
      <c r="Q64" s="162"/>
      <c r="R64" s="163"/>
      <c r="S64" s="108"/>
      <c r="T64" s="108"/>
      <c r="U64" s="167"/>
      <c r="V64" s="168"/>
      <c r="W64" s="169"/>
      <c r="X64" s="117"/>
      <c r="Y64" s="108"/>
      <c r="Z64" s="108"/>
    </row>
    <row r="65" spans="1:26" ht="18" customHeight="1" x14ac:dyDescent="0.15">
      <c r="A65" s="29"/>
      <c r="B65" s="161"/>
      <c r="C65" s="162"/>
      <c r="D65" s="162"/>
      <c r="E65" s="163"/>
      <c r="F65" s="108"/>
      <c r="G65" s="108"/>
      <c r="H65" s="167"/>
      <c r="I65" s="168"/>
      <c r="J65" s="169"/>
      <c r="K65" s="117"/>
      <c r="L65" s="108"/>
      <c r="M65" s="108"/>
      <c r="N65" s="161"/>
      <c r="O65" s="162"/>
      <c r="P65" s="162"/>
      <c r="Q65" s="162"/>
      <c r="R65" s="163"/>
      <c r="S65" s="108"/>
      <c r="T65" s="108"/>
      <c r="U65" s="167"/>
      <c r="V65" s="168"/>
      <c r="W65" s="169"/>
      <c r="X65" s="117"/>
      <c r="Y65" s="108"/>
      <c r="Z65" s="108"/>
    </row>
    <row r="66" spans="1:26" ht="18" customHeight="1" x14ac:dyDescent="0.15">
      <c r="A66" s="29"/>
      <c r="B66" s="164"/>
      <c r="C66" s="165"/>
      <c r="D66" s="165"/>
      <c r="E66" s="166"/>
      <c r="F66" s="109"/>
      <c r="G66" s="109"/>
      <c r="H66" s="170"/>
      <c r="I66" s="171"/>
      <c r="J66" s="172"/>
      <c r="K66" s="118"/>
      <c r="L66" s="115"/>
      <c r="M66" s="115"/>
      <c r="N66" s="164"/>
      <c r="O66" s="165"/>
      <c r="P66" s="165"/>
      <c r="Q66" s="165"/>
      <c r="R66" s="166"/>
      <c r="S66" s="109"/>
      <c r="T66" s="109"/>
      <c r="U66" s="170"/>
      <c r="V66" s="171"/>
      <c r="W66" s="172"/>
      <c r="X66" s="118"/>
      <c r="Y66" s="115"/>
      <c r="Z66" s="115"/>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7" t="s">
        <v>100</v>
      </c>
      <c r="C69" s="128"/>
      <c r="D69" s="128"/>
      <c r="E69" s="128"/>
      <c r="F69" s="129"/>
      <c r="G69" s="127" t="s">
        <v>146</v>
      </c>
      <c r="H69" s="128"/>
      <c r="I69" s="128"/>
      <c r="J69" s="128"/>
      <c r="K69" s="128"/>
      <c r="L69" s="128"/>
      <c r="M69" s="129"/>
      <c r="N69" s="183" t="s">
        <v>100</v>
      </c>
      <c r="O69" s="184"/>
      <c r="P69" s="184"/>
      <c r="Q69" s="184"/>
      <c r="R69" s="184"/>
      <c r="S69" s="185"/>
      <c r="T69" s="127" t="s">
        <v>146</v>
      </c>
      <c r="U69" s="128"/>
      <c r="V69" s="128"/>
      <c r="W69" s="128"/>
      <c r="X69" s="128"/>
      <c r="Y69" s="128"/>
      <c r="Z69" s="129"/>
    </row>
    <row r="70" spans="1:26" ht="18" customHeight="1" x14ac:dyDescent="0.15">
      <c r="A70" s="29"/>
      <c r="B70" s="158" t="s">
        <v>167</v>
      </c>
      <c r="C70" s="159"/>
      <c r="D70" s="159"/>
      <c r="E70" s="159"/>
      <c r="F70" s="160"/>
      <c r="G70" s="237" t="s">
        <v>177</v>
      </c>
      <c r="H70" s="238"/>
      <c r="I70" s="238"/>
      <c r="J70" s="238"/>
      <c r="K70" s="238"/>
      <c r="L70" s="238"/>
      <c r="M70" s="239"/>
      <c r="N70" s="158"/>
      <c r="O70" s="159"/>
      <c r="P70" s="159"/>
      <c r="Q70" s="159"/>
      <c r="R70" s="159"/>
      <c r="S70" s="160"/>
      <c r="T70" s="237"/>
      <c r="U70" s="238"/>
      <c r="V70" s="238"/>
      <c r="W70" s="238"/>
      <c r="X70" s="238"/>
      <c r="Y70" s="238"/>
      <c r="Z70" s="239"/>
    </row>
    <row r="71" spans="1:26" ht="18" customHeight="1" x14ac:dyDescent="0.15">
      <c r="A71" s="29"/>
      <c r="B71" s="161" t="s">
        <v>190</v>
      </c>
      <c r="C71" s="162"/>
      <c r="D71" s="162"/>
      <c r="E71" s="162"/>
      <c r="F71" s="163"/>
      <c r="G71" s="204" t="s">
        <v>176</v>
      </c>
      <c r="H71" s="205"/>
      <c r="I71" s="205"/>
      <c r="J71" s="205"/>
      <c r="K71" s="205"/>
      <c r="L71" s="205"/>
      <c r="M71" s="206"/>
      <c r="N71" s="161"/>
      <c r="O71" s="162"/>
      <c r="P71" s="162"/>
      <c r="Q71" s="162"/>
      <c r="R71" s="162"/>
      <c r="S71" s="163"/>
      <c r="T71" s="204"/>
      <c r="U71" s="205"/>
      <c r="V71" s="205"/>
      <c r="W71" s="205"/>
      <c r="X71" s="205"/>
      <c r="Y71" s="205"/>
      <c r="Z71" s="206"/>
    </row>
    <row r="72" spans="1:26" ht="18" customHeight="1" x14ac:dyDescent="0.15">
      <c r="A72" s="29"/>
      <c r="B72" s="161"/>
      <c r="C72" s="162"/>
      <c r="D72" s="162"/>
      <c r="E72" s="162"/>
      <c r="F72" s="163"/>
      <c r="G72" s="204"/>
      <c r="H72" s="205"/>
      <c r="I72" s="205"/>
      <c r="J72" s="205"/>
      <c r="K72" s="205"/>
      <c r="L72" s="205"/>
      <c r="M72" s="206"/>
      <c r="N72" s="161"/>
      <c r="O72" s="162"/>
      <c r="P72" s="162"/>
      <c r="Q72" s="162"/>
      <c r="R72" s="162"/>
      <c r="S72" s="163"/>
      <c r="T72" s="204"/>
      <c r="U72" s="205"/>
      <c r="V72" s="205"/>
      <c r="W72" s="205"/>
      <c r="X72" s="205"/>
      <c r="Y72" s="205"/>
      <c r="Z72" s="206"/>
    </row>
    <row r="73" spans="1:26" ht="18" customHeight="1" x14ac:dyDescent="0.15">
      <c r="A73" s="29"/>
      <c r="B73" s="161"/>
      <c r="C73" s="162"/>
      <c r="D73" s="162"/>
      <c r="E73" s="162"/>
      <c r="F73" s="163"/>
      <c r="G73" s="204"/>
      <c r="H73" s="205"/>
      <c r="I73" s="205"/>
      <c r="J73" s="205"/>
      <c r="K73" s="205"/>
      <c r="L73" s="205"/>
      <c r="M73" s="206"/>
      <c r="N73" s="161"/>
      <c r="O73" s="162"/>
      <c r="P73" s="162"/>
      <c r="Q73" s="162"/>
      <c r="R73" s="162"/>
      <c r="S73" s="163"/>
      <c r="T73" s="204"/>
      <c r="U73" s="205"/>
      <c r="V73" s="205"/>
      <c r="W73" s="205"/>
      <c r="X73" s="205"/>
      <c r="Y73" s="205"/>
      <c r="Z73" s="206"/>
    </row>
    <row r="74" spans="1:26" ht="18" customHeight="1" x14ac:dyDescent="0.15">
      <c r="A74" s="29"/>
      <c r="B74" s="161"/>
      <c r="C74" s="162"/>
      <c r="D74" s="162"/>
      <c r="E74" s="162"/>
      <c r="F74" s="163"/>
      <c r="G74" s="204"/>
      <c r="H74" s="205"/>
      <c r="I74" s="205"/>
      <c r="J74" s="205"/>
      <c r="K74" s="205"/>
      <c r="L74" s="205"/>
      <c r="M74" s="206"/>
      <c r="N74" s="161"/>
      <c r="O74" s="162"/>
      <c r="P74" s="162"/>
      <c r="Q74" s="162"/>
      <c r="R74" s="162"/>
      <c r="S74" s="163"/>
      <c r="T74" s="204"/>
      <c r="U74" s="205"/>
      <c r="V74" s="205"/>
      <c r="W74" s="205"/>
      <c r="X74" s="205"/>
      <c r="Y74" s="205"/>
      <c r="Z74" s="206"/>
    </row>
    <row r="75" spans="1:26" ht="18" customHeight="1" x14ac:dyDescent="0.15">
      <c r="A75" s="29"/>
      <c r="B75" s="161"/>
      <c r="C75" s="162"/>
      <c r="D75" s="162"/>
      <c r="E75" s="162"/>
      <c r="F75" s="163"/>
      <c r="G75" s="204"/>
      <c r="H75" s="205"/>
      <c r="I75" s="205"/>
      <c r="J75" s="205"/>
      <c r="K75" s="205"/>
      <c r="L75" s="205"/>
      <c r="M75" s="206"/>
      <c r="N75" s="161"/>
      <c r="O75" s="162"/>
      <c r="P75" s="162"/>
      <c r="Q75" s="162"/>
      <c r="R75" s="162"/>
      <c r="S75" s="163"/>
      <c r="T75" s="204"/>
      <c r="U75" s="205"/>
      <c r="V75" s="205"/>
      <c r="W75" s="205"/>
      <c r="X75" s="205"/>
      <c r="Y75" s="205"/>
      <c r="Z75" s="206"/>
    </row>
    <row r="76" spans="1:26" ht="18" customHeight="1" x14ac:dyDescent="0.15">
      <c r="A76" s="29"/>
      <c r="B76" s="164"/>
      <c r="C76" s="165"/>
      <c r="D76" s="165"/>
      <c r="E76" s="165"/>
      <c r="F76" s="166"/>
      <c r="G76" s="201"/>
      <c r="H76" s="202"/>
      <c r="I76" s="202"/>
      <c r="J76" s="202"/>
      <c r="K76" s="202"/>
      <c r="L76" s="202"/>
      <c r="M76" s="203"/>
      <c r="N76" s="164"/>
      <c r="O76" s="165"/>
      <c r="P76" s="165"/>
      <c r="Q76" s="165"/>
      <c r="R76" s="165"/>
      <c r="S76" s="166"/>
      <c r="T76" s="201"/>
      <c r="U76" s="202"/>
      <c r="V76" s="202"/>
      <c r="W76" s="202"/>
      <c r="X76" s="202"/>
      <c r="Y76" s="202"/>
      <c r="Z76" s="203"/>
    </row>
    <row r="77" spans="1:26" ht="18" customHeight="1" x14ac:dyDescent="0.15">
      <c r="A77" s="29"/>
      <c r="B77" s="116"/>
      <c r="C77" s="116"/>
      <c r="D77" s="116"/>
      <c r="E77" s="116"/>
      <c r="F77" s="116"/>
      <c r="G77" s="12"/>
      <c r="H77" s="12"/>
      <c r="I77" s="12"/>
      <c r="J77" s="12"/>
      <c r="K77" s="12"/>
      <c r="L77" s="12"/>
      <c r="M77" s="12"/>
      <c r="N77" s="116"/>
      <c r="O77" s="116"/>
      <c r="P77" s="116"/>
      <c r="Q77" s="116"/>
      <c r="R77" s="116"/>
      <c r="S77" s="116"/>
      <c r="T77" s="12"/>
      <c r="U77" s="12"/>
      <c r="V77" s="12"/>
      <c r="W77" s="12"/>
      <c r="X77" s="12"/>
      <c r="Y77" s="12"/>
      <c r="Z77" s="12"/>
    </row>
    <row r="78" spans="1:26" ht="18.75" customHeight="1" x14ac:dyDescent="0.15">
      <c r="A78" s="13" t="s">
        <v>142</v>
      </c>
    </row>
    <row r="79" spans="1:26" ht="18.75" customHeight="1" x14ac:dyDescent="0.15">
      <c r="B79" s="78" t="s">
        <v>102</v>
      </c>
      <c r="C79" s="79"/>
      <c r="D79" s="255" t="s">
        <v>103</v>
      </c>
      <c r="E79" s="255"/>
      <c r="F79" s="255"/>
      <c r="G79" s="255"/>
      <c r="H79" s="255"/>
      <c r="I79" s="255"/>
      <c r="J79" s="255"/>
      <c r="K79" s="255"/>
      <c r="L79" s="255"/>
      <c r="M79" s="255"/>
      <c r="N79" s="255"/>
      <c r="O79" s="255"/>
      <c r="P79" s="255"/>
      <c r="Q79" s="255"/>
      <c r="R79" s="255"/>
      <c r="S79" s="255"/>
      <c r="T79" s="255"/>
      <c r="U79" s="255"/>
      <c r="V79" s="255"/>
      <c r="W79" s="255"/>
      <c r="X79" s="255"/>
      <c r="Y79" s="255"/>
      <c r="Z79" s="256"/>
    </row>
    <row r="80" spans="1:26" ht="78" customHeight="1" x14ac:dyDescent="0.15">
      <c r="B80" s="245" t="s">
        <v>109</v>
      </c>
      <c r="C80" s="84" t="s">
        <v>104</v>
      </c>
      <c r="D80" s="208" t="s">
        <v>223</v>
      </c>
      <c r="E80" s="208"/>
      <c r="F80" s="208"/>
      <c r="G80" s="208"/>
      <c r="H80" s="208"/>
      <c r="I80" s="208"/>
      <c r="J80" s="208"/>
      <c r="K80" s="208"/>
      <c r="L80" s="208"/>
      <c r="M80" s="208"/>
      <c r="N80" s="208"/>
      <c r="O80" s="208"/>
      <c r="P80" s="208"/>
      <c r="Q80" s="208"/>
      <c r="R80" s="208"/>
      <c r="S80" s="208"/>
      <c r="T80" s="208"/>
      <c r="U80" s="208"/>
      <c r="V80" s="208"/>
      <c r="W80" s="208"/>
      <c r="X80" s="208"/>
      <c r="Y80" s="208"/>
      <c r="Z80" s="209"/>
    </row>
    <row r="81" spans="1:26" ht="78" customHeight="1" x14ac:dyDescent="0.15">
      <c r="B81" s="246"/>
      <c r="C81" s="104" t="s">
        <v>137</v>
      </c>
      <c r="D81" s="257" t="s">
        <v>223</v>
      </c>
      <c r="E81" s="257"/>
      <c r="F81" s="257"/>
      <c r="G81" s="257"/>
      <c r="H81" s="257"/>
      <c r="I81" s="257"/>
      <c r="J81" s="257"/>
      <c r="K81" s="257"/>
      <c r="L81" s="257"/>
      <c r="M81" s="257"/>
      <c r="N81" s="257"/>
      <c r="O81" s="257"/>
      <c r="P81" s="257"/>
      <c r="Q81" s="257"/>
      <c r="R81" s="257"/>
      <c r="S81" s="257"/>
      <c r="T81" s="257"/>
      <c r="U81" s="257"/>
      <c r="V81" s="257"/>
      <c r="W81" s="257"/>
      <c r="X81" s="257"/>
      <c r="Y81" s="257"/>
      <c r="Z81" s="258"/>
    </row>
    <row r="82" spans="1:26" ht="78" customHeight="1" x14ac:dyDescent="0.15">
      <c r="B82" s="243" t="s">
        <v>110</v>
      </c>
      <c r="C82" s="80" t="s">
        <v>127</v>
      </c>
      <c r="D82" s="217" t="s">
        <v>223</v>
      </c>
      <c r="E82" s="217"/>
      <c r="F82" s="217"/>
      <c r="G82" s="217"/>
      <c r="H82" s="217"/>
      <c r="I82" s="217"/>
      <c r="J82" s="217"/>
      <c r="K82" s="217"/>
      <c r="L82" s="217"/>
      <c r="M82" s="217"/>
      <c r="N82" s="217"/>
      <c r="O82" s="217"/>
      <c r="P82" s="217"/>
      <c r="Q82" s="217"/>
      <c r="R82" s="217"/>
      <c r="S82" s="217"/>
      <c r="T82" s="217"/>
      <c r="U82" s="217"/>
      <c r="V82" s="217"/>
      <c r="W82" s="217"/>
      <c r="X82" s="217"/>
      <c r="Y82" s="217"/>
      <c r="Z82" s="218"/>
    </row>
    <row r="83" spans="1:26" ht="78" customHeight="1" x14ac:dyDescent="0.15">
      <c r="B83" s="244"/>
      <c r="C83" s="105" t="s">
        <v>128</v>
      </c>
      <c r="D83" s="214" t="s">
        <v>223</v>
      </c>
      <c r="E83" s="214"/>
      <c r="F83" s="214"/>
      <c r="G83" s="214"/>
      <c r="H83" s="214"/>
      <c r="I83" s="214"/>
      <c r="J83" s="214"/>
      <c r="K83" s="214"/>
      <c r="L83" s="214"/>
      <c r="M83" s="214"/>
      <c r="N83" s="214"/>
      <c r="O83" s="214"/>
      <c r="P83" s="214"/>
      <c r="Q83" s="214"/>
      <c r="R83" s="214"/>
      <c r="S83" s="214"/>
      <c r="T83" s="214"/>
      <c r="U83" s="214"/>
      <c r="V83" s="214"/>
      <c r="W83" s="214"/>
      <c r="X83" s="214"/>
      <c r="Y83" s="214"/>
      <c r="Z83" s="215"/>
    </row>
    <row r="84" spans="1:26" ht="66" customHeight="1" x14ac:dyDescent="0.15">
      <c r="B84" s="243" t="s">
        <v>111</v>
      </c>
      <c r="C84" s="80" t="s">
        <v>130</v>
      </c>
      <c r="D84" s="216" t="s">
        <v>225</v>
      </c>
      <c r="E84" s="217"/>
      <c r="F84" s="217"/>
      <c r="G84" s="217"/>
      <c r="H84" s="217"/>
      <c r="I84" s="217"/>
      <c r="J84" s="217"/>
      <c r="K84" s="217"/>
      <c r="L84" s="217"/>
      <c r="M84" s="217"/>
      <c r="N84" s="217"/>
      <c r="O84" s="217"/>
      <c r="P84" s="217"/>
      <c r="Q84" s="217"/>
      <c r="R84" s="217"/>
      <c r="S84" s="217"/>
      <c r="T84" s="217"/>
      <c r="U84" s="217"/>
      <c r="V84" s="217"/>
      <c r="W84" s="217"/>
      <c r="X84" s="217"/>
      <c r="Y84" s="217"/>
      <c r="Z84" s="218"/>
    </row>
    <row r="85" spans="1:26" ht="66" customHeight="1" x14ac:dyDescent="0.15">
      <c r="B85" s="244"/>
      <c r="C85" s="82" t="s">
        <v>131</v>
      </c>
      <c r="D85" s="211" t="s">
        <v>223</v>
      </c>
      <c r="E85" s="211"/>
      <c r="F85" s="211"/>
      <c r="G85" s="211"/>
      <c r="H85" s="211"/>
      <c r="I85" s="211"/>
      <c r="J85" s="211"/>
      <c r="K85" s="211"/>
      <c r="L85" s="211"/>
      <c r="M85" s="211"/>
      <c r="N85" s="211"/>
      <c r="O85" s="211"/>
      <c r="P85" s="211"/>
      <c r="Q85" s="211"/>
      <c r="R85" s="211"/>
      <c r="S85" s="211"/>
      <c r="T85" s="211"/>
      <c r="U85" s="211"/>
      <c r="V85" s="211"/>
      <c r="W85" s="211"/>
      <c r="X85" s="211"/>
      <c r="Y85" s="211"/>
      <c r="Z85" s="212"/>
    </row>
    <row r="86" spans="1:26" ht="66" customHeight="1" x14ac:dyDescent="0.15">
      <c r="B86" s="245" t="s">
        <v>138</v>
      </c>
      <c r="C86" s="84" t="s">
        <v>106</v>
      </c>
      <c r="D86" s="208" t="s">
        <v>223</v>
      </c>
      <c r="E86" s="208"/>
      <c r="F86" s="208"/>
      <c r="G86" s="208"/>
      <c r="H86" s="208"/>
      <c r="I86" s="208"/>
      <c r="J86" s="208"/>
      <c r="K86" s="208"/>
      <c r="L86" s="208"/>
      <c r="M86" s="208"/>
      <c r="N86" s="208"/>
      <c r="O86" s="208"/>
      <c r="P86" s="208"/>
      <c r="Q86" s="208"/>
      <c r="R86" s="208"/>
      <c r="S86" s="208"/>
      <c r="T86" s="208"/>
      <c r="U86" s="208"/>
      <c r="V86" s="208"/>
      <c r="W86" s="208"/>
      <c r="X86" s="208"/>
      <c r="Y86" s="208"/>
      <c r="Z86" s="209"/>
    </row>
    <row r="87" spans="1:26" ht="66" customHeight="1" x14ac:dyDescent="0.15">
      <c r="B87" s="251"/>
      <c r="C87" s="81" t="s">
        <v>108</v>
      </c>
      <c r="D87" s="252" t="s">
        <v>224</v>
      </c>
      <c r="E87" s="253"/>
      <c r="F87" s="253"/>
      <c r="G87" s="253"/>
      <c r="H87" s="253"/>
      <c r="I87" s="253"/>
      <c r="J87" s="253"/>
      <c r="K87" s="253"/>
      <c r="L87" s="253"/>
      <c r="M87" s="253"/>
      <c r="N87" s="253"/>
      <c r="O87" s="253"/>
      <c r="P87" s="253"/>
      <c r="Q87" s="253"/>
      <c r="R87" s="253"/>
      <c r="S87" s="253"/>
      <c r="T87" s="253"/>
      <c r="U87" s="253"/>
      <c r="V87" s="253"/>
      <c r="W87" s="253"/>
      <c r="X87" s="253"/>
      <c r="Y87" s="253"/>
      <c r="Z87" s="254"/>
    </row>
    <row r="88" spans="1:26" ht="66" customHeight="1" x14ac:dyDescent="0.15">
      <c r="B88" s="245" t="s">
        <v>139</v>
      </c>
      <c r="C88" s="80" t="s">
        <v>105</v>
      </c>
      <c r="D88" s="248" t="s">
        <v>212</v>
      </c>
      <c r="E88" s="248"/>
      <c r="F88" s="248"/>
      <c r="G88" s="248"/>
      <c r="H88" s="248"/>
      <c r="I88" s="248"/>
      <c r="J88" s="248"/>
      <c r="K88" s="248"/>
      <c r="L88" s="248"/>
      <c r="M88" s="248"/>
      <c r="N88" s="248"/>
      <c r="O88" s="248"/>
      <c r="P88" s="248"/>
      <c r="Q88" s="248"/>
      <c r="R88" s="248"/>
      <c r="S88" s="248"/>
      <c r="T88" s="248"/>
      <c r="U88" s="248"/>
      <c r="V88" s="248"/>
      <c r="W88" s="248"/>
      <c r="X88" s="248"/>
      <c r="Y88" s="248"/>
      <c r="Z88" s="249"/>
    </row>
    <row r="89" spans="1:26" ht="66" customHeight="1" x14ac:dyDescent="0.15">
      <c r="B89" s="246"/>
      <c r="C89" s="81" t="s">
        <v>134</v>
      </c>
      <c r="D89" s="240" t="s">
        <v>213</v>
      </c>
      <c r="E89" s="241"/>
      <c r="F89" s="241"/>
      <c r="G89" s="241"/>
      <c r="H89" s="241"/>
      <c r="I89" s="241"/>
      <c r="J89" s="241"/>
      <c r="K89" s="241"/>
      <c r="L89" s="241"/>
      <c r="M89" s="241"/>
      <c r="N89" s="241"/>
      <c r="O89" s="241"/>
      <c r="P89" s="241"/>
      <c r="Q89" s="241"/>
      <c r="R89" s="241"/>
      <c r="S89" s="241"/>
      <c r="T89" s="241"/>
      <c r="U89" s="241"/>
      <c r="V89" s="241"/>
      <c r="W89" s="241"/>
      <c r="X89" s="241"/>
      <c r="Y89" s="241"/>
      <c r="Z89" s="242"/>
    </row>
    <row r="90" spans="1:26" ht="66" customHeight="1" x14ac:dyDescent="0.15">
      <c r="B90" s="244"/>
      <c r="C90" s="82" t="s">
        <v>135</v>
      </c>
      <c r="D90" s="250" t="s">
        <v>213</v>
      </c>
      <c r="E90" s="196"/>
      <c r="F90" s="196"/>
      <c r="G90" s="196"/>
      <c r="H90" s="196"/>
      <c r="I90" s="196"/>
      <c r="J90" s="196"/>
      <c r="K90" s="196"/>
      <c r="L90" s="196"/>
      <c r="M90" s="196"/>
      <c r="N90" s="196"/>
      <c r="O90" s="196"/>
      <c r="P90" s="196"/>
      <c r="Q90" s="196"/>
      <c r="R90" s="196"/>
      <c r="S90" s="196"/>
      <c r="T90" s="196"/>
      <c r="U90" s="196"/>
      <c r="V90" s="196"/>
      <c r="W90" s="196"/>
      <c r="X90" s="196"/>
      <c r="Y90" s="196"/>
      <c r="Z90" s="197"/>
    </row>
    <row r="91" spans="1:26" ht="6" customHeight="1" x14ac:dyDescent="0.15"/>
    <row r="92" spans="1:26" ht="18.75" customHeight="1" x14ac:dyDescent="0.15">
      <c r="A92" s="13" t="s">
        <v>143</v>
      </c>
    </row>
    <row r="93" spans="1:26" ht="18.75" customHeight="1" x14ac:dyDescent="0.15">
      <c r="B93" s="189" t="s">
        <v>179</v>
      </c>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1"/>
    </row>
    <row r="94" spans="1:26" ht="18.75" customHeight="1" x14ac:dyDescent="0.15">
      <c r="B94" s="192"/>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4"/>
    </row>
    <row r="95" spans="1:26" ht="18.75" customHeight="1" x14ac:dyDescent="0.15">
      <c r="B95" s="195"/>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7"/>
    </row>
    <row r="96" spans="1:26" ht="6" customHeight="1" x14ac:dyDescent="0.15"/>
    <row r="97" spans="1:26" ht="15" customHeight="1" x14ac:dyDescent="0.15">
      <c r="A97" s="13" t="s">
        <v>144</v>
      </c>
    </row>
    <row r="98" spans="1:26" ht="15" customHeight="1" x14ac:dyDescent="0.15">
      <c r="B98" s="198" t="s">
        <v>242</v>
      </c>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200"/>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F661A605-DCD8-452C-A521-932B14EBD75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9C78CE4A-0334-46F2-B0B7-AA5E98E9196C}">
      <formula1>"学部・学科によって、修了要件は相違する,学部・学科によって、修了要件は相違しない"</formula1>
    </dataValidation>
    <dataValidation type="list" allowBlank="1" showInputMessage="1" showErrorMessage="1" sqref="Z23 Z34 D34:K34 D23:K23 V16:V22 H60:H66 V27:V33 I27:I33 V38:V44 I49:I55 V49:V55 I38:I44 U60:U66 I16:I22" xr:uid="{FDE1C0C3-081B-463A-9B96-D754291059C8}">
      <formula1>"全学開講,一部開講"</formula1>
    </dataValidation>
    <dataValidation type="list" allowBlank="1" showInputMessage="1" showErrorMessage="1" sqref="Y16:Z22 H16:H22 Y27:Z33 L27:M33 H38:H44 Y38:Z44 Y49:Z55 Y60:Z66 G60:G66 L63:M66 U16:U22 H27:H33 U27:U33 T60:T66 U38:U44 L38:M44 U49:U55 L49:M55 H49:H55 K60:M62 L16:M22" xr:uid="{830519CF-EEE6-423E-8559-E1DBA09E4DF8}">
      <formula1>"○"</formula1>
    </dataValidation>
  </dataValidations>
  <hyperlinks>
    <hyperlink ref="B98" r:id="rId1" xr:uid="{5AF310A7-D754-4AA7-9385-07ECB7E6F9AD}"/>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D1F2B-D2E9-4D69-9ECE-3C2C8FDC9BCD}">
  <dimension ref="A1:Z98"/>
  <sheetViews>
    <sheetView showZeros="0" view="pageBreakPreview" topLeftCell="A88" zoomScaleNormal="100" zoomScaleSheetLayoutView="100" workbookViewId="0">
      <selection activeCell="H51" sqref="H51"/>
    </sheetView>
  </sheetViews>
  <sheetFormatPr defaultColWidth="9" defaultRowHeight="18.75" customHeight="1"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9" t="s">
        <v>231</v>
      </c>
      <c r="X1" s="179"/>
      <c r="Y1" s="179"/>
      <c r="Z1" s="179"/>
    </row>
    <row r="2" spans="1:26" ht="18" customHeight="1" x14ac:dyDescent="0.15">
      <c r="A2" s="220" t="s">
        <v>67</v>
      </c>
      <c r="B2" s="220"/>
      <c r="C2" s="220"/>
      <c r="D2" s="220"/>
      <c r="E2" s="220"/>
      <c r="F2" s="220"/>
      <c r="G2" s="220"/>
      <c r="H2" s="220"/>
      <c r="I2" s="220"/>
      <c r="J2" s="220"/>
      <c r="K2" s="220"/>
      <c r="L2" s="220"/>
      <c r="M2" s="220"/>
      <c r="N2" s="220"/>
      <c r="O2" s="220"/>
      <c r="P2" s="220"/>
      <c r="Q2" s="220"/>
      <c r="R2" s="220"/>
      <c r="S2" s="220"/>
      <c r="T2" s="220"/>
      <c r="U2" s="220"/>
      <c r="V2" s="220"/>
      <c r="W2" s="220"/>
      <c r="X2" s="220"/>
      <c r="Y2" s="220"/>
      <c r="Z2" s="220"/>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27" t="s">
        <v>164</v>
      </c>
      <c r="P4" s="128"/>
      <c r="Q4" s="128"/>
      <c r="R4" s="128"/>
      <c r="S4" s="128"/>
      <c r="T4" s="128"/>
      <c r="U4" s="128"/>
      <c r="V4" s="128"/>
      <c r="W4" s="128"/>
      <c r="X4" s="128"/>
      <c r="Y4" s="128"/>
      <c r="Z4" s="129"/>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1" t="s">
        <v>247</v>
      </c>
      <c r="C6" s="222"/>
      <c r="D6" s="222"/>
      <c r="E6" s="222"/>
      <c r="F6" s="222"/>
      <c r="G6" s="222"/>
      <c r="H6" s="222"/>
      <c r="I6" s="222"/>
      <c r="J6" s="222"/>
      <c r="K6" s="222"/>
      <c r="L6" s="222"/>
      <c r="M6" s="222"/>
      <c r="N6" s="222"/>
      <c r="O6" s="222"/>
      <c r="P6" s="222"/>
      <c r="Q6" s="222"/>
      <c r="R6" s="222"/>
      <c r="S6" s="222"/>
      <c r="T6" s="222"/>
      <c r="U6" s="222"/>
      <c r="V6" s="222"/>
      <c r="W6" s="222"/>
      <c r="X6" s="222"/>
      <c r="Y6" s="222"/>
      <c r="Z6" s="223"/>
    </row>
    <row r="7" spans="1:26" ht="18" customHeight="1" x14ac:dyDescent="0.15">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x14ac:dyDescent="0.15">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x14ac:dyDescent="0.15">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x14ac:dyDescent="0.15">
      <c r="B10" s="224"/>
      <c r="C10" s="227"/>
      <c r="D10" s="227"/>
      <c r="E10" s="227"/>
      <c r="F10" s="227"/>
      <c r="G10" s="227"/>
      <c r="H10" s="227"/>
      <c r="I10" s="227"/>
      <c r="J10" s="227"/>
      <c r="K10" s="227"/>
      <c r="L10" s="227"/>
      <c r="M10" s="227"/>
      <c r="N10" s="227"/>
      <c r="O10" s="227"/>
      <c r="P10" s="227"/>
      <c r="Q10" s="227"/>
      <c r="R10" s="227"/>
      <c r="S10" s="227"/>
      <c r="T10" s="227"/>
      <c r="U10" s="227"/>
      <c r="V10" s="227"/>
      <c r="W10" s="227"/>
      <c r="X10" s="227"/>
      <c r="Y10" s="227"/>
      <c r="Z10" s="226"/>
    </row>
    <row r="11" spans="1:26" ht="18" customHeight="1" x14ac:dyDescent="0.15">
      <c r="B11" s="228"/>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30"/>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9" t="s">
        <v>125</v>
      </c>
      <c r="B13" s="219"/>
      <c r="C13" s="219"/>
      <c r="D13" s="219"/>
      <c r="E13" s="219"/>
      <c r="F13" s="219"/>
      <c r="G13" s="219"/>
      <c r="H13" s="219"/>
      <c r="I13" s="219"/>
      <c r="J13" s="219"/>
      <c r="K13" s="219"/>
      <c r="L13" s="219"/>
      <c r="M13" s="219"/>
      <c r="N13" s="219"/>
      <c r="O13" s="219"/>
      <c r="P13" s="219"/>
      <c r="Q13" s="219"/>
      <c r="R13" s="219"/>
      <c r="S13" s="219"/>
      <c r="T13" s="219"/>
      <c r="U13" s="219"/>
      <c r="V13" s="219"/>
      <c r="W13" s="219"/>
      <c r="X13" s="219"/>
      <c r="Y13" s="219"/>
      <c r="Z13" s="219"/>
    </row>
    <row r="14" spans="1:26" ht="18" customHeight="1" x14ac:dyDescent="0.15">
      <c r="A14" s="219"/>
      <c r="B14" s="219"/>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row>
    <row r="15" spans="1:26" ht="18" customHeight="1" x14ac:dyDescent="0.15">
      <c r="A15" s="14"/>
      <c r="B15" s="127" t="s">
        <v>100</v>
      </c>
      <c r="C15" s="128"/>
      <c r="D15" s="128"/>
      <c r="E15" s="128"/>
      <c r="F15" s="129"/>
      <c r="G15" s="30" t="s">
        <v>141</v>
      </c>
      <c r="H15" s="106" t="s">
        <v>140</v>
      </c>
      <c r="I15" s="128" t="s">
        <v>101</v>
      </c>
      <c r="J15" s="128"/>
      <c r="K15" s="128"/>
      <c r="L15" s="75" t="s">
        <v>104</v>
      </c>
      <c r="M15" s="75" t="s">
        <v>107</v>
      </c>
      <c r="N15" s="127" t="s">
        <v>100</v>
      </c>
      <c r="O15" s="128"/>
      <c r="P15" s="128"/>
      <c r="Q15" s="128"/>
      <c r="R15" s="128"/>
      <c r="S15" s="129"/>
      <c r="T15" s="30" t="s">
        <v>141</v>
      </c>
      <c r="U15" s="106" t="s">
        <v>140</v>
      </c>
      <c r="V15" s="128" t="s">
        <v>101</v>
      </c>
      <c r="W15" s="128"/>
      <c r="X15" s="128"/>
      <c r="Y15" s="75" t="s">
        <v>104</v>
      </c>
      <c r="Z15" s="75" t="s">
        <v>107</v>
      </c>
    </row>
    <row r="16" spans="1:26" ht="18" customHeight="1" x14ac:dyDescent="0.15">
      <c r="A16" s="14"/>
      <c r="B16" s="180" t="s">
        <v>191</v>
      </c>
      <c r="C16" s="181"/>
      <c r="D16" s="181"/>
      <c r="E16" s="181"/>
      <c r="F16" s="182"/>
      <c r="G16" s="107">
        <v>2</v>
      </c>
      <c r="H16" s="107" t="s">
        <v>171</v>
      </c>
      <c r="I16" s="186" t="s">
        <v>173</v>
      </c>
      <c r="J16" s="187"/>
      <c r="K16" s="188"/>
      <c r="L16" s="107" t="s">
        <v>171</v>
      </c>
      <c r="M16" s="107" t="s">
        <v>171</v>
      </c>
      <c r="N16" s="158"/>
      <c r="O16" s="159"/>
      <c r="P16" s="159"/>
      <c r="Q16" s="159"/>
      <c r="R16" s="159"/>
      <c r="S16" s="160"/>
      <c r="T16" s="107"/>
      <c r="U16" s="107"/>
      <c r="V16" s="186"/>
      <c r="W16" s="187"/>
      <c r="X16" s="188"/>
      <c r="Y16" s="107"/>
      <c r="Z16" s="107"/>
    </row>
    <row r="17" spans="1:26" ht="18" customHeight="1" x14ac:dyDescent="0.15">
      <c r="A17" s="14"/>
      <c r="B17" s="173"/>
      <c r="C17" s="174"/>
      <c r="D17" s="174"/>
      <c r="E17" s="174"/>
      <c r="F17" s="175"/>
      <c r="G17" s="108"/>
      <c r="H17" s="108"/>
      <c r="I17" s="167"/>
      <c r="J17" s="168"/>
      <c r="K17" s="169"/>
      <c r="L17" s="108"/>
      <c r="M17" s="108"/>
      <c r="N17" s="161"/>
      <c r="O17" s="162"/>
      <c r="P17" s="162"/>
      <c r="Q17" s="162"/>
      <c r="R17" s="162"/>
      <c r="S17" s="163"/>
      <c r="T17" s="108"/>
      <c r="U17" s="108"/>
      <c r="V17" s="167"/>
      <c r="W17" s="168"/>
      <c r="X17" s="169"/>
      <c r="Y17" s="108"/>
      <c r="Z17" s="108"/>
    </row>
    <row r="18" spans="1:26" ht="18" customHeight="1" x14ac:dyDescent="0.15">
      <c r="A18" s="14"/>
      <c r="B18" s="173"/>
      <c r="C18" s="174"/>
      <c r="D18" s="174"/>
      <c r="E18" s="174"/>
      <c r="F18" s="175"/>
      <c r="G18" s="108"/>
      <c r="H18" s="108"/>
      <c r="I18" s="167"/>
      <c r="J18" s="168"/>
      <c r="K18" s="169"/>
      <c r="L18" s="108"/>
      <c r="M18" s="108"/>
      <c r="N18" s="161"/>
      <c r="O18" s="162"/>
      <c r="P18" s="162"/>
      <c r="Q18" s="162"/>
      <c r="R18" s="162"/>
      <c r="S18" s="163"/>
      <c r="T18" s="108"/>
      <c r="U18" s="108"/>
      <c r="V18" s="167"/>
      <c r="W18" s="168"/>
      <c r="X18" s="169"/>
      <c r="Y18" s="108"/>
      <c r="Z18" s="108"/>
    </row>
    <row r="19" spans="1:26" ht="18" customHeight="1" x14ac:dyDescent="0.15">
      <c r="A19" s="14"/>
      <c r="B19" s="173"/>
      <c r="C19" s="174"/>
      <c r="D19" s="174"/>
      <c r="E19" s="174"/>
      <c r="F19" s="175"/>
      <c r="G19" s="108"/>
      <c r="H19" s="108"/>
      <c r="I19" s="167"/>
      <c r="J19" s="168"/>
      <c r="K19" s="169"/>
      <c r="L19" s="108"/>
      <c r="M19" s="108"/>
      <c r="N19" s="161"/>
      <c r="O19" s="162"/>
      <c r="P19" s="162"/>
      <c r="Q19" s="162"/>
      <c r="R19" s="162"/>
      <c r="S19" s="163"/>
      <c r="T19" s="108"/>
      <c r="U19" s="108"/>
      <c r="V19" s="167"/>
      <c r="W19" s="168"/>
      <c r="X19" s="169"/>
      <c r="Y19" s="108"/>
      <c r="Z19" s="108"/>
    </row>
    <row r="20" spans="1:26" ht="18" customHeight="1" x14ac:dyDescent="0.15">
      <c r="A20" s="14"/>
      <c r="B20" s="173"/>
      <c r="C20" s="174"/>
      <c r="D20" s="174"/>
      <c r="E20" s="174"/>
      <c r="F20" s="175"/>
      <c r="G20" s="108"/>
      <c r="H20" s="108"/>
      <c r="I20" s="167"/>
      <c r="J20" s="168"/>
      <c r="K20" s="169"/>
      <c r="L20" s="108"/>
      <c r="M20" s="108"/>
      <c r="N20" s="161"/>
      <c r="O20" s="162"/>
      <c r="P20" s="162"/>
      <c r="Q20" s="162"/>
      <c r="R20" s="162"/>
      <c r="S20" s="163"/>
      <c r="T20" s="108"/>
      <c r="U20" s="108"/>
      <c r="V20" s="167"/>
      <c r="W20" s="168"/>
      <c r="X20" s="169"/>
      <c r="Y20" s="108"/>
      <c r="Z20" s="108"/>
    </row>
    <row r="21" spans="1:26" ht="18" customHeight="1" x14ac:dyDescent="0.15">
      <c r="A21" s="29"/>
      <c r="B21" s="173"/>
      <c r="C21" s="174"/>
      <c r="D21" s="174"/>
      <c r="E21" s="174"/>
      <c r="F21" s="175"/>
      <c r="G21" s="108"/>
      <c r="H21" s="108"/>
      <c r="I21" s="167"/>
      <c r="J21" s="168"/>
      <c r="K21" s="169"/>
      <c r="L21" s="108"/>
      <c r="M21" s="108"/>
      <c r="N21" s="161"/>
      <c r="O21" s="162"/>
      <c r="P21" s="162"/>
      <c r="Q21" s="162"/>
      <c r="R21" s="162"/>
      <c r="S21" s="163"/>
      <c r="T21" s="108"/>
      <c r="U21" s="108"/>
      <c r="V21" s="167"/>
      <c r="W21" s="168"/>
      <c r="X21" s="169"/>
      <c r="Y21" s="108"/>
      <c r="Z21" s="108"/>
    </row>
    <row r="22" spans="1:26" ht="18" customHeight="1" x14ac:dyDescent="0.15">
      <c r="A22" s="29"/>
      <c r="B22" s="176"/>
      <c r="C22" s="177"/>
      <c r="D22" s="177"/>
      <c r="E22" s="177"/>
      <c r="F22" s="178"/>
      <c r="G22" s="109"/>
      <c r="H22" s="109"/>
      <c r="I22" s="170"/>
      <c r="J22" s="171"/>
      <c r="K22" s="172"/>
      <c r="L22" s="115"/>
      <c r="M22" s="115"/>
      <c r="N22" s="164"/>
      <c r="O22" s="165"/>
      <c r="P22" s="165"/>
      <c r="Q22" s="165"/>
      <c r="R22" s="165"/>
      <c r="S22" s="166"/>
      <c r="T22" s="109"/>
      <c r="U22" s="109"/>
      <c r="V22" s="170"/>
      <c r="W22" s="171"/>
      <c r="X22" s="172"/>
      <c r="Y22" s="115"/>
      <c r="Z22" s="115"/>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9" t="s">
        <v>126</v>
      </c>
      <c r="B24" s="219"/>
      <c r="C24" s="219"/>
      <c r="D24" s="219"/>
      <c r="E24" s="219"/>
      <c r="F24" s="219"/>
      <c r="G24" s="219"/>
      <c r="H24" s="219"/>
      <c r="I24" s="219"/>
      <c r="J24" s="219"/>
      <c r="K24" s="219"/>
      <c r="L24" s="219"/>
      <c r="M24" s="219"/>
      <c r="N24" s="219"/>
      <c r="O24" s="219"/>
      <c r="P24" s="219"/>
      <c r="Q24" s="219"/>
      <c r="R24" s="219"/>
      <c r="S24" s="219"/>
      <c r="T24" s="219"/>
      <c r="U24" s="219"/>
      <c r="V24" s="219"/>
      <c r="W24" s="219"/>
      <c r="X24" s="219"/>
      <c r="Y24" s="219"/>
      <c r="Z24" s="219"/>
    </row>
    <row r="25" spans="1:26" ht="18" customHeight="1" x14ac:dyDescent="0.15">
      <c r="A25" s="219"/>
      <c r="B25" s="219"/>
      <c r="C25" s="219"/>
      <c r="D25" s="219"/>
      <c r="E25" s="219"/>
      <c r="F25" s="219"/>
      <c r="G25" s="219"/>
      <c r="H25" s="219"/>
      <c r="I25" s="219"/>
      <c r="J25" s="219"/>
      <c r="K25" s="219"/>
      <c r="L25" s="219"/>
      <c r="M25" s="219"/>
      <c r="N25" s="219"/>
      <c r="O25" s="219"/>
      <c r="P25" s="219"/>
      <c r="Q25" s="219"/>
      <c r="R25" s="219"/>
      <c r="S25" s="219"/>
      <c r="T25" s="219"/>
      <c r="U25" s="219"/>
      <c r="V25" s="219"/>
      <c r="W25" s="219"/>
      <c r="X25" s="219"/>
      <c r="Y25" s="219"/>
      <c r="Z25" s="219"/>
    </row>
    <row r="26" spans="1:26" ht="18" customHeight="1" x14ac:dyDescent="0.15">
      <c r="A26" s="14"/>
      <c r="B26" s="127" t="s">
        <v>100</v>
      </c>
      <c r="C26" s="128"/>
      <c r="D26" s="128"/>
      <c r="E26" s="128"/>
      <c r="F26" s="129"/>
      <c r="G26" s="30" t="s">
        <v>141</v>
      </c>
      <c r="H26" s="106" t="s">
        <v>140</v>
      </c>
      <c r="I26" s="128" t="s">
        <v>101</v>
      </c>
      <c r="J26" s="128"/>
      <c r="K26" s="128"/>
      <c r="L26" s="75" t="s">
        <v>127</v>
      </c>
      <c r="M26" s="75" t="s">
        <v>128</v>
      </c>
      <c r="N26" s="127" t="s">
        <v>100</v>
      </c>
      <c r="O26" s="128"/>
      <c r="P26" s="128"/>
      <c r="Q26" s="128"/>
      <c r="R26" s="128"/>
      <c r="S26" s="129"/>
      <c r="T26" s="30" t="s">
        <v>141</v>
      </c>
      <c r="U26" s="106" t="s">
        <v>140</v>
      </c>
      <c r="V26" s="128" t="s">
        <v>101</v>
      </c>
      <c r="W26" s="128"/>
      <c r="X26" s="128"/>
      <c r="Y26" s="75" t="s">
        <v>127</v>
      </c>
      <c r="Z26" s="75" t="s">
        <v>128</v>
      </c>
    </row>
    <row r="27" spans="1:26" ht="18" customHeight="1" x14ac:dyDescent="0.15">
      <c r="A27" s="14"/>
      <c r="B27" s="180" t="s">
        <v>192</v>
      </c>
      <c r="C27" s="181"/>
      <c r="D27" s="181"/>
      <c r="E27" s="181"/>
      <c r="F27" s="182"/>
      <c r="G27" s="107">
        <v>2</v>
      </c>
      <c r="H27" s="107" t="s">
        <v>171</v>
      </c>
      <c r="I27" s="186" t="s">
        <v>173</v>
      </c>
      <c r="J27" s="187"/>
      <c r="K27" s="188"/>
      <c r="L27" s="107" t="s">
        <v>171</v>
      </c>
      <c r="M27" s="107" t="s">
        <v>171</v>
      </c>
      <c r="N27" s="158"/>
      <c r="O27" s="159"/>
      <c r="P27" s="159"/>
      <c r="Q27" s="159"/>
      <c r="R27" s="159"/>
      <c r="S27" s="160"/>
      <c r="T27" s="107"/>
      <c r="U27" s="107"/>
      <c r="V27" s="186"/>
      <c r="W27" s="187"/>
      <c r="X27" s="188"/>
      <c r="Y27" s="107"/>
      <c r="Z27" s="107"/>
    </row>
    <row r="28" spans="1:26" ht="18" customHeight="1" x14ac:dyDescent="0.15">
      <c r="A28" s="14"/>
      <c r="B28" s="173"/>
      <c r="C28" s="174"/>
      <c r="D28" s="174"/>
      <c r="E28" s="174"/>
      <c r="F28" s="175"/>
      <c r="G28" s="108"/>
      <c r="H28" s="108"/>
      <c r="I28" s="167"/>
      <c r="J28" s="168"/>
      <c r="K28" s="169"/>
      <c r="L28" s="108"/>
      <c r="M28" s="108"/>
      <c r="N28" s="161"/>
      <c r="O28" s="162"/>
      <c r="P28" s="162"/>
      <c r="Q28" s="162"/>
      <c r="R28" s="162"/>
      <c r="S28" s="163"/>
      <c r="T28" s="108"/>
      <c r="U28" s="108"/>
      <c r="V28" s="167"/>
      <c r="W28" s="168"/>
      <c r="X28" s="169"/>
      <c r="Y28" s="108"/>
      <c r="Z28" s="108"/>
    </row>
    <row r="29" spans="1:26" ht="18" customHeight="1" x14ac:dyDescent="0.15">
      <c r="A29" s="14"/>
      <c r="B29" s="173"/>
      <c r="C29" s="174"/>
      <c r="D29" s="174"/>
      <c r="E29" s="174"/>
      <c r="F29" s="175"/>
      <c r="G29" s="108"/>
      <c r="H29" s="108"/>
      <c r="I29" s="167"/>
      <c r="J29" s="168"/>
      <c r="K29" s="169"/>
      <c r="L29" s="108"/>
      <c r="M29" s="108"/>
      <c r="N29" s="161"/>
      <c r="O29" s="162"/>
      <c r="P29" s="162"/>
      <c r="Q29" s="162"/>
      <c r="R29" s="162"/>
      <c r="S29" s="163"/>
      <c r="T29" s="108"/>
      <c r="U29" s="108"/>
      <c r="V29" s="167"/>
      <c r="W29" s="168"/>
      <c r="X29" s="169"/>
      <c r="Y29" s="108"/>
      <c r="Z29" s="108"/>
    </row>
    <row r="30" spans="1:26" ht="18" customHeight="1" x14ac:dyDescent="0.15">
      <c r="A30" s="14"/>
      <c r="B30" s="173"/>
      <c r="C30" s="174"/>
      <c r="D30" s="174"/>
      <c r="E30" s="174"/>
      <c r="F30" s="175"/>
      <c r="G30" s="108"/>
      <c r="H30" s="108"/>
      <c r="I30" s="167"/>
      <c r="J30" s="168"/>
      <c r="K30" s="169"/>
      <c r="L30" s="108"/>
      <c r="M30" s="108"/>
      <c r="N30" s="161"/>
      <c r="O30" s="162"/>
      <c r="P30" s="162"/>
      <c r="Q30" s="162"/>
      <c r="R30" s="162"/>
      <c r="S30" s="163"/>
      <c r="T30" s="108"/>
      <c r="U30" s="108"/>
      <c r="V30" s="167"/>
      <c r="W30" s="168"/>
      <c r="X30" s="169"/>
      <c r="Y30" s="108"/>
      <c r="Z30" s="108"/>
    </row>
    <row r="31" spans="1:26" ht="18" customHeight="1" x14ac:dyDescent="0.15">
      <c r="A31" s="14"/>
      <c r="B31" s="173"/>
      <c r="C31" s="174"/>
      <c r="D31" s="174"/>
      <c r="E31" s="174"/>
      <c r="F31" s="175"/>
      <c r="G31" s="108"/>
      <c r="H31" s="108"/>
      <c r="I31" s="167"/>
      <c r="J31" s="168"/>
      <c r="K31" s="169"/>
      <c r="L31" s="108"/>
      <c r="M31" s="108"/>
      <c r="N31" s="161"/>
      <c r="O31" s="162"/>
      <c r="P31" s="162"/>
      <c r="Q31" s="162"/>
      <c r="R31" s="162"/>
      <c r="S31" s="163"/>
      <c r="T31" s="108"/>
      <c r="U31" s="108"/>
      <c r="V31" s="167"/>
      <c r="W31" s="168"/>
      <c r="X31" s="169"/>
      <c r="Y31" s="108"/>
      <c r="Z31" s="108"/>
    </row>
    <row r="32" spans="1:26" ht="18" customHeight="1" x14ac:dyDescent="0.15">
      <c r="A32" s="14"/>
      <c r="B32" s="173"/>
      <c r="C32" s="174"/>
      <c r="D32" s="174"/>
      <c r="E32" s="174"/>
      <c r="F32" s="175"/>
      <c r="G32" s="108"/>
      <c r="H32" s="108"/>
      <c r="I32" s="167"/>
      <c r="J32" s="168"/>
      <c r="K32" s="169"/>
      <c r="L32" s="108"/>
      <c r="M32" s="108"/>
      <c r="N32" s="161"/>
      <c r="O32" s="162"/>
      <c r="P32" s="162"/>
      <c r="Q32" s="162"/>
      <c r="R32" s="162"/>
      <c r="S32" s="163"/>
      <c r="T32" s="108"/>
      <c r="U32" s="108"/>
      <c r="V32" s="167"/>
      <c r="W32" s="168"/>
      <c r="X32" s="169"/>
      <c r="Y32" s="108"/>
      <c r="Z32" s="108"/>
    </row>
    <row r="33" spans="1:26" ht="18" customHeight="1" x14ac:dyDescent="0.15">
      <c r="A33" s="14"/>
      <c r="B33" s="176"/>
      <c r="C33" s="177"/>
      <c r="D33" s="177"/>
      <c r="E33" s="177"/>
      <c r="F33" s="178"/>
      <c r="G33" s="109"/>
      <c r="H33" s="109"/>
      <c r="I33" s="170"/>
      <c r="J33" s="171"/>
      <c r="K33" s="172"/>
      <c r="L33" s="115"/>
      <c r="M33" s="115"/>
      <c r="N33" s="164"/>
      <c r="O33" s="165"/>
      <c r="P33" s="165"/>
      <c r="Q33" s="165"/>
      <c r="R33" s="165"/>
      <c r="S33" s="166"/>
      <c r="T33" s="109"/>
      <c r="U33" s="109"/>
      <c r="V33" s="170"/>
      <c r="W33" s="171"/>
      <c r="X33" s="172"/>
      <c r="Y33" s="115"/>
      <c r="Z33" s="115"/>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9" t="s">
        <v>129</v>
      </c>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row>
    <row r="36" spans="1:26" ht="18" customHeight="1" x14ac:dyDescent="0.15">
      <c r="A36" s="219"/>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row>
    <row r="37" spans="1:26" ht="18" customHeight="1" x14ac:dyDescent="0.15">
      <c r="A37" s="14"/>
      <c r="B37" s="127" t="s">
        <v>100</v>
      </c>
      <c r="C37" s="128"/>
      <c r="D37" s="128"/>
      <c r="E37" s="128"/>
      <c r="F37" s="129"/>
      <c r="G37" s="30" t="s">
        <v>141</v>
      </c>
      <c r="H37" s="106" t="s">
        <v>140</v>
      </c>
      <c r="I37" s="127" t="s">
        <v>101</v>
      </c>
      <c r="J37" s="128"/>
      <c r="K37" s="129"/>
      <c r="L37" s="75" t="s">
        <v>130</v>
      </c>
      <c r="M37" s="75" t="s">
        <v>131</v>
      </c>
      <c r="N37" s="127" t="s">
        <v>100</v>
      </c>
      <c r="O37" s="128"/>
      <c r="P37" s="128"/>
      <c r="Q37" s="128"/>
      <c r="R37" s="128"/>
      <c r="S37" s="129"/>
      <c r="T37" s="30" t="s">
        <v>141</v>
      </c>
      <c r="U37" s="106" t="s">
        <v>140</v>
      </c>
      <c r="V37" s="127" t="s">
        <v>101</v>
      </c>
      <c r="W37" s="128"/>
      <c r="X37" s="129"/>
      <c r="Y37" s="75" t="s">
        <v>130</v>
      </c>
      <c r="Z37" s="75" t="s">
        <v>131</v>
      </c>
    </row>
    <row r="38" spans="1:26" ht="18" customHeight="1" x14ac:dyDescent="0.15">
      <c r="A38" s="29"/>
      <c r="B38" s="180" t="s">
        <v>192</v>
      </c>
      <c r="C38" s="181"/>
      <c r="D38" s="181"/>
      <c r="E38" s="181"/>
      <c r="F38" s="182"/>
      <c r="G38" s="107">
        <v>2</v>
      </c>
      <c r="H38" s="107" t="s">
        <v>171</v>
      </c>
      <c r="I38" s="186" t="s">
        <v>173</v>
      </c>
      <c r="J38" s="187"/>
      <c r="K38" s="188"/>
      <c r="L38" s="107" t="s">
        <v>171</v>
      </c>
      <c r="M38" s="107" t="s">
        <v>171</v>
      </c>
      <c r="N38" s="158"/>
      <c r="O38" s="159"/>
      <c r="P38" s="159"/>
      <c r="Q38" s="159"/>
      <c r="R38" s="159"/>
      <c r="S38" s="160"/>
      <c r="T38" s="107"/>
      <c r="U38" s="107"/>
      <c r="V38" s="186"/>
      <c r="W38" s="187"/>
      <c r="X38" s="188"/>
      <c r="Y38" s="107"/>
      <c r="Z38" s="107"/>
    </row>
    <row r="39" spans="1:26" ht="18" customHeight="1" x14ac:dyDescent="0.15">
      <c r="A39" s="29"/>
      <c r="B39" s="173"/>
      <c r="C39" s="174"/>
      <c r="D39" s="174"/>
      <c r="E39" s="174"/>
      <c r="F39" s="175"/>
      <c r="G39" s="108"/>
      <c r="H39" s="108"/>
      <c r="I39" s="167"/>
      <c r="J39" s="168"/>
      <c r="K39" s="169"/>
      <c r="L39" s="108"/>
      <c r="M39" s="108"/>
      <c r="N39" s="161"/>
      <c r="O39" s="162"/>
      <c r="P39" s="162"/>
      <c r="Q39" s="162"/>
      <c r="R39" s="162"/>
      <c r="S39" s="163"/>
      <c r="T39" s="108"/>
      <c r="U39" s="108"/>
      <c r="V39" s="167"/>
      <c r="W39" s="168"/>
      <c r="X39" s="169"/>
      <c r="Y39" s="108"/>
      <c r="Z39" s="108"/>
    </row>
    <row r="40" spans="1:26" ht="18" customHeight="1" x14ac:dyDescent="0.15">
      <c r="A40" s="29"/>
      <c r="B40" s="173"/>
      <c r="C40" s="174"/>
      <c r="D40" s="174"/>
      <c r="E40" s="174"/>
      <c r="F40" s="175"/>
      <c r="G40" s="108"/>
      <c r="H40" s="108"/>
      <c r="I40" s="167"/>
      <c r="J40" s="168"/>
      <c r="K40" s="169"/>
      <c r="L40" s="108"/>
      <c r="M40" s="108"/>
      <c r="N40" s="161"/>
      <c r="O40" s="162"/>
      <c r="P40" s="162"/>
      <c r="Q40" s="162"/>
      <c r="R40" s="162"/>
      <c r="S40" s="163"/>
      <c r="T40" s="108"/>
      <c r="U40" s="108"/>
      <c r="V40" s="167"/>
      <c r="W40" s="168"/>
      <c r="X40" s="169"/>
      <c r="Y40" s="108"/>
      <c r="Z40" s="108"/>
    </row>
    <row r="41" spans="1:26" ht="18" customHeight="1" x14ac:dyDescent="0.15">
      <c r="A41" s="29"/>
      <c r="B41" s="173"/>
      <c r="C41" s="174"/>
      <c r="D41" s="174"/>
      <c r="E41" s="174"/>
      <c r="F41" s="175"/>
      <c r="G41" s="108"/>
      <c r="H41" s="108"/>
      <c r="I41" s="167"/>
      <c r="J41" s="168"/>
      <c r="K41" s="169"/>
      <c r="L41" s="108"/>
      <c r="M41" s="108"/>
      <c r="N41" s="161"/>
      <c r="O41" s="162"/>
      <c r="P41" s="162"/>
      <c r="Q41" s="162"/>
      <c r="R41" s="162"/>
      <c r="S41" s="163"/>
      <c r="T41" s="108"/>
      <c r="U41" s="108"/>
      <c r="V41" s="167"/>
      <c r="W41" s="168"/>
      <c r="X41" s="169"/>
      <c r="Y41" s="108"/>
      <c r="Z41" s="108"/>
    </row>
    <row r="42" spans="1:26" ht="18" customHeight="1" x14ac:dyDescent="0.15">
      <c r="A42" s="29"/>
      <c r="B42" s="173"/>
      <c r="C42" s="174"/>
      <c r="D42" s="174"/>
      <c r="E42" s="174"/>
      <c r="F42" s="175"/>
      <c r="G42" s="108"/>
      <c r="H42" s="108"/>
      <c r="I42" s="167"/>
      <c r="J42" s="168"/>
      <c r="K42" s="169"/>
      <c r="L42" s="108"/>
      <c r="M42" s="108"/>
      <c r="N42" s="161"/>
      <c r="O42" s="162"/>
      <c r="P42" s="162"/>
      <c r="Q42" s="162"/>
      <c r="R42" s="162"/>
      <c r="S42" s="163"/>
      <c r="T42" s="108"/>
      <c r="U42" s="108"/>
      <c r="V42" s="167"/>
      <c r="W42" s="168"/>
      <c r="X42" s="169"/>
      <c r="Y42" s="108"/>
      <c r="Z42" s="108"/>
    </row>
    <row r="43" spans="1:26" ht="18" customHeight="1" x14ac:dyDescent="0.15">
      <c r="A43" s="29"/>
      <c r="B43" s="173"/>
      <c r="C43" s="174"/>
      <c r="D43" s="174"/>
      <c r="E43" s="174"/>
      <c r="F43" s="175"/>
      <c r="G43" s="108"/>
      <c r="H43" s="108"/>
      <c r="I43" s="167"/>
      <c r="J43" s="168"/>
      <c r="K43" s="169"/>
      <c r="L43" s="108"/>
      <c r="M43" s="108"/>
      <c r="N43" s="161"/>
      <c r="O43" s="162"/>
      <c r="P43" s="162"/>
      <c r="Q43" s="162"/>
      <c r="R43" s="162"/>
      <c r="S43" s="163"/>
      <c r="T43" s="108"/>
      <c r="U43" s="108"/>
      <c r="V43" s="167"/>
      <c r="W43" s="168"/>
      <c r="X43" s="169"/>
      <c r="Y43" s="108"/>
      <c r="Z43" s="108"/>
    </row>
    <row r="44" spans="1:26" ht="18" customHeight="1" x14ac:dyDescent="0.15">
      <c r="A44" s="29"/>
      <c r="B44" s="176"/>
      <c r="C44" s="177"/>
      <c r="D44" s="177"/>
      <c r="E44" s="177"/>
      <c r="F44" s="178"/>
      <c r="G44" s="109"/>
      <c r="H44" s="109"/>
      <c r="I44" s="170"/>
      <c r="J44" s="171"/>
      <c r="K44" s="172"/>
      <c r="L44" s="115"/>
      <c r="M44" s="115"/>
      <c r="N44" s="164"/>
      <c r="O44" s="165"/>
      <c r="P44" s="165"/>
      <c r="Q44" s="165"/>
      <c r="R44" s="165"/>
      <c r="S44" s="166"/>
      <c r="T44" s="109"/>
      <c r="U44" s="109"/>
      <c r="V44" s="170"/>
      <c r="W44" s="171"/>
      <c r="X44" s="172"/>
      <c r="Y44" s="115"/>
      <c r="Z44" s="115"/>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9" t="s">
        <v>132</v>
      </c>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row>
    <row r="47" spans="1:26" ht="18" customHeight="1" x14ac:dyDescent="0.15">
      <c r="A47" s="219"/>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row>
    <row r="48" spans="1:26" ht="18" customHeight="1" x14ac:dyDescent="0.15">
      <c r="A48" s="14"/>
      <c r="B48" s="127" t="s">
        <v>100</v>
      </c>
      <c r="C48" s="128"/>
      <c r="D48" s="128"/>
      <c r="E48" s="128"/>
      <c r="F48" s="129"/>
      <c r="G48" s="30" t="s">
        <v>141</v>
      </c>
      <c r="H48" s="106" t="s">
        <v>140</v>
      </c>
      <c r="I48" s="127" t="s">
        <v>101</v>
      </c>
      <c r="J48" s="128"/>
      <c r="K48" s="129"/>
      <c r="L48" s="75" t="s">
        <v>106</v>
      </c>
      <c r="M48" s="75" t="s">
        <v>108</v>
      </c>
      <c r="N48" s="127" t="s">
        <v>100</v>
      </c>
      <c r="O48" s="128"/>
      <c r="P48" s="128"/>
      <c r="Q48" s="128"/>
      <c r="R48" s="128"/>
      <c r="S48" s="129"/>
      <c r="T48" s="30" t="s">
        <v>141</v>
      </c>
      <c r="U48" s="106" t="s">
        <v>140</v>
      </c>
      <c r="V48" s="127" t="s">
        <v>101</v>
      </c>
      <c r="W48" s="128"/>
      <c r="X48" s="129"/>
      <c r="Y48" s="75" t="s">
        <v>106</v>
      </c>
      <c r="Z48" s="75" t="s">
        <v>108</v>
      </c>
    </row>
    <row r="49" spans="1:26" ht="18" customHeight="1" x14ac:dyDescent="0.15">
      <c r="A49" s="29"/>
      <c r="B49" s="180" t="s">
        <v>166</v>
      </c>
      <c r="C49" s="181"/>
      <c r="D49" s="181"/>
      <c r="E49" s="181"/>
      <c r="F49" s="182"/>
      <c r="G49" s="107">
        <v>1</v>
      </c>
      <c r="H49" s="107" t="s">
        <v>171</v>
      </c>
      <c r="I49" s="186" t="s">
        <v>172</v>
      </c>
      <c r="J49" s="187"/>
      <c r="K49" s="188"/>
      <c r="L49" s="120"/>
      <c r="M49" s="120" t="s">
        <v>171</v>
      </c>
      <c r="N49" s="158"/>
      <c r="O49" s="159"/>
      <c r="P49" s="159"/>
      <c r="Q49" s="159"/>
      <c r="R49" s="159"/>
      <c r="S49" s="160"/>
      <c r="T49" s="107"/>
      <c r="U49" s="107"/>
      <c r="V49" s="186"/>
      <c r="W49" s="187"/>
      <c r="X49" s="188"/>
      <c r="Y49" s="107"/>
      <c r="Z49" s="107"/>
    </row>
    <row r="50" spans="1:26" ht="18" customHeight="1" x14ac:dyDescent="0.15">
      <c r="A50" s="29"/>
      <c r="B50" s="173" t="s">
        <v>167</v>
      </c>
      <c r="C50" s="174"/>
      <c r="D50" s="174"/>
      <c r="E50" s="174"/>
      <c r="F50" s="175"/>
      <c r="G50" s="108">
        <v>1</v>
      </c>
      <c r="H50" s="108" t="s">
        <v>171</v>
      </c>
      <c r="I50" s="167" t="s">
        <v>172</v>
      </c>
      <c r="J50" s="168"/>
      <c r="K50" s="169"/>
      <c r="L50" s="120"/>
      <c r="M50" s="120" t="s">
        <v>171</v>
      </c>
      <c r="N50" s="161"/>
      <c r="O50" s="162"/>
      <c r="P50" s="162"/>
      <c r="Q50" s="162"/>
      <c r="R50" s="162"/>
      <c r="S50" s="163"/>
      <c r="T50" s="108"/>
      <c r="U50" s="108"/>
      <c r="V50" s="167"/>
      <c r="W50" s="168"/>
      <c r="X50" s="169"/>
      <c r="Y50" s="108"/>
      <c r="Z50" s="108"/>
    </row>
    <row r="51" spans="1:26" ht="18" customHeight="1" x14ac:dyDescent="0.15">
      <c r="A51" s="29"/>
      <c r="B51" s="234" t="s">
        <v>191</v>
      </c>
      <c r="C51" s="235"/>
      <c r="D51" s="235"/>
      <c r="E51" s="235"/>
      <c r="F51" s="236"/>
      <c r="G51" s="120">
        <v>2</v>
      </c>
      <c r="H51" s="120" t="s">
        <v>171</v>
      </c>
      <c r="I51" s="231" t="s">
        <v>173</v>
      </c>
      <c r="J51" s="232"/>
      <c r="K51" s="233"/>
      <c r="L51" s="120" t="s">
        <v>171</v>
      </c>
      <c r="M51" s="120" t="s">
        <v>171</v>
      </c>
      <c r="N51" s="161"/>
      <c r="O51" s="162"/>
      <c r="P51" s="162"/>
      <c r="Q51" s="162"/>
      <c r="R51" s="162"/>
      <c r="S51" s="163"/>
      <c r="T51" s="108"/>
      <c r="U51" s="108"/>
      <c r="V51" s="167"/>
      <c r="W51" s="168"/>
      <c r="X51" s="169"/>
      <c r="Y51" s="108"/>
      <c r="Z51" s="108"/>
    </row>
    <row r="52" spans="1:26" ht="18" customHeight="1" x14ac:dyDescent="0.15">
      <c r="A52" s="29"/>
      <c r="B52" s="173"/>
      <c r="C52" s="174"/>
      <c r="D52" s="174"/>
      <c r="E52" s="174"/>
      <c r="F52" s="175"/>
      <c r="G52" s="108"/>
      <c r="H52" s="108"/>
      <c r="I52" s="167"/>
      <c r="J52" s="168"/>
      <c r="K52" s="169"/>
      <c r="L52" s="108"/>
      <c r="M52" s="108"/>
      <c r="N52" s="161"/>
      <c r="O52" s="162"/>
      <c r="P52" s="162"/>
      <c r="Q52" s="162"/>
      <c r="R52" s="162"/>
      <c r="S52" s="163"/>
      <c r="T52" s="108"/>
      <c r="U52" s="108"/>
      <c r="V52" s="167"/>
      <c r="W52" s="168"/>
      <c r="X52" s="169"/>
      <c r="Y52" s="108"/>
      <c r="Z52" s="108"/>
    </row>
    <row r="53" spans="1:26" ht="18" customHeight="1" x14ac:dyDescent="0.15">
      <c r="A53" s="29"/>
      <c r="B53" s="173"/>
      <c r="C53" s="174"/>
      <c r="D53" s="174"/>
      <c r="E53" s="174"/>
      <c r="F53" s="175"/>
      <c r="G53" s="108"/>
      <c r="H53" s="108"/>
      <c r="I53" s="167"/>
      <c r="J53" s="168"/>
      <c r="K53" s="169"/>
      <c r="L53" s="108"/>
      <c r="M53" s="108"/>
      <c r="N53" s="161"/>
      <c r="O53" s="162"/>
      <c r="P53" s="162"/>
      <c r="Q53" s="162"/>
      <c r="R53" s="162"/>
      <c r="S53" s="163"/>
      <c r="T53" s="108"/>
      <c r="U53" s="108"/>
      <c r="V53" s="167"/>
      <c r="W53" s="168"/>
      <c r="X53" s="169"/>
      <c r="Y53" s="108"/>
      <c r="Z53" s="108"/>
    </row>
    <row r="54" spans="1:26" ht="18" customHeight="1" x14ac:dyDescent="0.15">
      <c r="A54" s="29"/>
      <c r="B54" s="173"/>
      <c r="C54" s="174"/>
      <c r="D54" s="174"/>
      <c r="E54" s="174"/>
      <c r="F54" s="175"/>
      <c r="G54" s="108"/>
      <c r="H54" s="108"/>
      <c r="I54" s="167"/>
      <c r="J54" s="168"/>
      <c r="K54" s="169"/>
      <c r="L54" s="108"/>
      <c r="M54" s="108"/>
      <c r="N54" s="161"/>
      <c r="O54" s="162"/>
      <c r="P54" s="162"/>
      <c r="Q54" s="162"/>
      <c r="R54" s="162"/>
      <c r="S54" s="163"/>
      <c r="T54" s="108"/>
      <c r="U54" s="108"/>
      <c r="V54" s="167"/>
      <c r="W54" s="168"/>
      <c r="X54" s="169"/>
      <c r="Y54" s="108"/>
      <c r="Z54" s="108"/>
    </row>
    <row r="55" spans="1:26" ht="18" customHeight="1" x14ac:dyDescent="0.15">
      <c r="A55" s="29"/>
      <c r="B55" s="176"/>
      <c r="C55" s="177"/>
      <c r="D55" s="177"/>
      <c r="E55" s="177"/>
      <c r="F55" s="178"/>
      <c r="G55" s="109"/>
      <c r="H55" s="109"/>
      <c r="I55" s="170"/>
      <c r="J55" s="171"/>
      <c r="K55" s="172"/>
      <c r="L55" s="115"/>
      <c r="M55" s="115"/>
      <c r="N55" s="164"/>
      <c r="O55" s="165"/>
      <c r="P55" s="165"/>
      <c r="Q55" s="165"/>
      <c r="R55" s="165"/>
      <c r="S55" s="166"/>
      <c r="T55" s="109"/>
      <c r="U55" s="109"/>
      <c r="V55" s="170"/>
      <c r="W55" s="171"/>
      <c r="X55" s="172"/>
      <c r="Y55" s="115"/>
      <c r="Z55" s="115"/>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9" t="s">
        <v>133</v>
      </c>
      <c r="B57" s="219"/>
      <c r="C57" s="219"/>
      <c r="D57" s="219"/>
      <c r="E57" s="219"/>
      <c r="F57" s="219"/>
      <c r="G57" s="219"/>
      <c r="H57" s="219"/>
      <c r="I57" s="219"/>
      <c r="J57" s="219"/>
      <c r="K57" s="219"/>
      <c r="L57" s="219"/>
      <c r="M57" s="219"/>
      <c r="N57" s="219"/>
      <c r="O57" s="219"/>
      <c r="P57" s="219"/>
      <c r="Q57" s="219"/>
      <c r="R57" s="219"/>
      <c r="S57" s="219"/>
      <c r="T57" s="219"/>
      <c r="U57" s="219"/>
      <c r="V57" s="219"/>
      <c r="W57" s="219"/>
      <c r="X57" s="219"/>
      <c r="Y57" s="219"/>
      <c r="Z57" s="219"/>
    </row>
    <row r="58" spans="1:26" ht="18" customHeight="1" x14ac:dyDescent="0.15">
      <c r="A58" s="219"/>
      <c r="B58" s="219"/>
      <c r="C58" s="219"/>
      <c r="D58" s="219"/>
      <c r="E58" s="219"/>
      <c r="F58" s="219"/>
      <c r="G58" s="219"/>
      <c r="H58" s="219"/>
      <c r="I58" s="219"/>
      <c r="J58" s="219"/>
      <c r="K58" s="219"/>
      <c r="L58" s="219"/>
      <c r="M58" s="219"/>
      <c r="N58" s="219"/>
      <c r="O58" s="219"/>
      <c r="P58" s="219"/>
      <c r="Q58" s="219"/>
      <c r="R58" s="219"/>
      <c r="S58" s="219"/>
      <c r="T58" s="219"/>
      <c r="U58" s="219"/>
      <c r="V58" s="219"/>
      <c r="W58" s="219"/>
      <c r="X58" s="219"/>
      <c r="Y58" s="219"/>
      <c r="Z58" s="219"/>
    </row>
    <row r="59" spans="1:26" ht="18" customHeight="1" x14ac:dyDescent="0.15">
      <c r="A59" s="14"/>
      <c r="B59" s="127" t="s">
        <v>100</v>
      </c>
      <c r="C59" s="128"/>
      <c r="D59" s="128"/>
      <c r="E59" s="129"/>
      <c r="F59" s="30" t="s">
        <v>141</v>
      </c>
      <c r="G59" s="106" t="s">
        <v>140</v>
      </c>
      <c r="H59" s="101" t="s">
        <v>101</v>
      </c>
      <c r="I59" s="102"/>
      <c r="J59" s="103"/>
      <c r="K59" s="75" t="s">
        <v>105</v>
      </c>
      <c r="L59" s="75" t="s">
        <v>134</v>
      </c>
      <c r="M59" s="75" t="s">
        <v>135</v>
      </c>
      <c r="N59" s="127" t="s">
        <v>100</v>
      </c>
      <c r="O59" s="128"/>
      <c r="P59" s="128"/>
      <c r="Q59" s="128"/>
      <c r="R59" s="129"/>
      <c r="S59" s="30" t="s">
        <v>141</v>
      </c>
      <c r="T59" s="106" t="s">
        <v>140</v>
      </c>
      <c r="U59" s="101" t="s">
        <v>101</v>
      </c>
      <c r="V59" s="102"/>
      <c r="W59" s="103"/>
      <c r="X59" s="75" t="s">
        <v>105</v>
      </c>
      <c r="Y59" s="75" t="s">
        <v>134</v>
      </c>
      <c r="Z59" s="75" t="s">
        <v>135</v>
      </c>
    </row>
    <row r="60" spans="1:26" ht="18" customHeight="1" x14ac:dyDescent="0.15">
      <c r="A60" s="29"/>
      <c r="B60" s="158" t="s">
        <v>174</v>
      </c>
      <c r="C60" s="159"/>
      <c r="D60" s="159"/>
      <c r="E60" s="160"/>
      <c r="F60" s="107">
        <v>1</v>
      </c>
      <c r="G60" s="107" t="s">
        <v>171</v>
      </c>
      <c r="H60" s="186" t="s">
        <v>172</v>
      </c>
      <c r="I60" s="187"/>
      <c r="J60" s="188"/>
      <c r="K60" s="120"/>
      <c r="L60" s="120" t="s">
        <v>171</v>
      </c>
      <c r="M60" s="120" t="s">
        <v>171</v>
      </c>
      <c r="N60" s="158"/>
      <c r="O60" s="159"/>
      <c r="P60" s="159"/>
      <c r="Q60" s="159"/>
      <c r="R60" s="160"/>
      <c r="S60" s="107"/>
      <c r="T60" s="107"/>
      <c r="U60" s="186"/>
      <c r="V60" s="187"/>
      <c r="W60" s="188"/>
      <c r="X60" s="119"/>
      <c r="Y60" s="107"/>
      <c r="Z60" s="107"/>
    </row>
    <row r="61" spans="1:26" ht="18" customHeight="1" x14ac:dyDescent="0.15">
      <c r="A61" s="29"/>
      <c r="B61" s="161" t="s">
        <v>175</v>
      </c>
      <c r="C61" s="162"/>
      <c r="D61" s="162"/>
      <c r="E61" s="163"/>
      <c r="F61" s="108">
        <v>1</v>
      </c>
      <c r="G61" s="108" t="s">
        <v>171</v>
      </c>
      <c r="H61" s="167" t="s">
        <v>172</v>
      </c>
      <c r="I61" s="168"/>
      <c r="J61" s="169"/>
      <c r="K61" s="120" t="s">
        <v>171</v>
      </c>
      <c r="L61" s="120"/>
      <c r="M61" s="120"/>
      <c r="N61" s="161"/>
      <c r="O61" s="162"/>
      <c r="P61" s="162"/>
      <c r="Q61" s="162"/>
      <c r="R61" s="163"/>
      <c r="S61" s="108"/>
      <c r="T61" s="108"/>
      <c r="U61" s="167"/>
      <c r="V61" s="168"/>
      <c r="W61" s="169"/>
      <c r="X61" s="117"/>
      <c r="Y61" s="108"/>
      <c r="Z61" s="108"/>
    </row>
    <row r="62" spans="1:26" ht="18" customHeight="1" x14ac:dyDescent="0.15">
      <c r="A62" s="29"/>
      <c r="B62" s="161"/>
      <c r="C62" s="162"/>
      <c r="D62" s="162"/>
      <c r="E62" s="163"/>
      <c r="F62" s="120"/>
      <c r="G62" s="120"/>
      <c r="H62" s="231"/>
      <c r="I62" s="232"/>
      <c r="J62" s="233"/>
      <c r="K62" s="120"/>
      <c r="L62" s="120"/>
      <c r="M62" s="120"/>
      <c r="N62" s="161"/>
      <c r="O62" s="162"/>
      <c r="P62" s="162"/>
      <c r="Q62" s="162"/>
      <c r="R62" s="163"/>
      <c r="S62" s="108"/>
      <c r="T62" s="108"/>
      <c r="U62" s="167"/>
      <c r="V62" s="168"/>
      <c r="W62" s="169"/>
      <c r="X62" s="117"/>
      <c r="Y62" s="108"/>
      <c r="Z62" s="108"/>
    </row>
    <row r="63" spans="1:26" ht="18" customHeight="1" x14ac:dyDescent="0.15">
      <c r="A63" s="29"/>
      <c r="B63" s="161"/>
      <c r="C63" s="162"/>
      <c r="D63" s="162"/>
      <c r="E63" s="163"/>
      <c r="F63" s="108"/>
      <c r="G63" s="108"/>
      <c r="H63" s="167"/>
      <c r="I63" s="168"/>
      <c r="J63" s="169"/>
      <c r="K63" s="117"/>
      <c r="L63" s="108"/>
      <c r="M63" s="108"/>
      <c r="N63" s="161"/>
      <c r="O63" s="162"/>
      <c r="P63" s="162"/>
      <c r="Q63" s="162"/>
      <c r="R63" s="163"/>
      <c r="S63" s="108"/>
      <c r="T63" s="108"/>
      <c r="U63" s="167"/>
      <c r="V63" s="168"/>
      <c r="W63" s="169"/>
      <c r="X63" s="117"/>
      <c r="Y63" s="108"/>
      <c r="Z63" s="108"/>
    </row>
    <row r="64" spans="1:26" ht="18" customHeight="1" x14ac:dyDescent="0.15">
      <c r="A64" s="29"/>
      <c r="B64" s="161"/>
      <c r="C64" s="162"/>
      <c r="D64" s="162"/>
      <c r="E64" s="163"/>
      <c r="F64" s="108"/>
      <c r="G64" s="108"/>
      <c r="H64" s="167"/>
      <c r="I64" s="168"/>
      <c r="J64" s="169"/>
      <c r="K64" s="117"/>
      <c r="L64" s="108"/>
      <c r="M64" s="108"/>
      <c r="N64" s="161"/>
      <c r="O64" s="162"/>
      <c r="P64" s="162"/>
      <c r="Q64" s="162"/>
      <c r="R64" s="163"/>
      <c r="S64" s="108"/>
      <c r="T64" s="108"/>
      <c r="U64" s="167"/>
      <c r="V64" s="168"/>
      <c r="W64" s="169"/>
      <c r="X64" s="117"/>
      <c r="Y64" s="108"/>
      <c r="Z64" s="108"/>
    </row>
    <row r="65" spans="1:26" ht="18" customHeight="1" x14ac:dyDescent="0.15">
      <c r="A65" s="29"/>
      <c r="B65" s="161"/>
      <c r="C65" s="162"/>
      <c r="D65" s="162"/>
      <c r="E65" s="163"/>
      <c r="F65" s="108"/>
      <c r="G65" s="108"/>
      <c r="H65" s="167"/>
      <c r="I65" s="168"/>
      <c r="J65" s="169"/>
      <c r="K65" s="117"/>
      <c r="L65" s="108"/>
      <c r="M65" s="108"/>
      <c r="N65" s="161"/>
      <c r="O65" s="162"/>
      <c r="P65" s="162"/>
      <c r="Q65" s="162"/>
      <c r="R65" s="163"/>
      <c r="S65" s="108"/>
      <c r="T65" s="108"/>
      <c r="U65" s="167"/>
      <c r="V65" s="168"/>
      <c r="W65" s="169"/>
      <c r="X65" s="117"/>
      <c r="Y65" s="108"/>
      <c r="Z65" s="108"/>
    </row>
    <row r="66" spans="1:26" ht="18" customHeight="1" x14ac:dyDescent="0.15">
      <c r="A66" s="29"/>
      <c r="B66" s="164"/>
      <c r="C66" s="165"/>
      <c r="D66" s="165"/>
      <c r="E66" s="166"/>
      <c r="F66" s="109"/>
      <c r="G66" s="109"/>
      <c r="H66" s="170"/>
      <c r="I66" s="171"/>
      <c r="J66" s="172"/>
      <c r="K66" s="118"/>
      <c r="L66" s="115"/>
      <c r="M66" s="115"/>
      <c r="N66" s="164"/>
      <c r="O66" s="165"/>
      <c r="P66" s="165"/>
      <c r="Q66" s="165"/>
      <c r="R66" s="166"/>
      <c r="S66" s="109"/>
      <c r="T66" s="109"/>
      <c r="U66" s="170"/>
      <c r="V66" s="171"/>
      <c r="W66" s="172"/>
      <c r="X66" s="118"/>
      <c r="Y66" s="115"/>
      <c r="Z66" s="115"/>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7" t="s">
        <v>100</v>
      </c>
      <c r="C69" s="128"/>
      <c r="D69" s="128"/>
      <c r="E69" s="128"/>
      <c r="F69" s="129"/>
      <c r="G69" s="127" t="s">
        <v>146</v>
      </c>
      <c r="H69" s="128"/>
      <c r="I69" s="128"/>
      <c r="J69" s="128"/>
      <c r="K69" s="128"/>
      <c r="L69" s="128"/>
      <c r="M69" s="129"/>
      <c r="N69" s="183" t="s">
        <v>100</v>
      </c>
      <c r="O69" s="184"/>
      <c r="P69" s="184"/>
      <c r="Q69" s="184"/>
      <c r="R69" s="184"/>
      <c r="S69" s="185"/>
      <c r="T69" s="127" t="s">
        <v>146</v>
      </c>
      <c r="U69" s="128"/>
      <c r="V69" s="128"/>
      <c r="W69" s="128"/>
      <c r="X69" s="128"/>
      <c r="Y69" s="128"/>
      <c r="Z69" s="129"/>
    </row>
    <row r="70" spans="1:26" ht="18" customHeight="1" x14ac:dyDescent="0.15">
      <c r="A70" s="29"/>
      <c r="B70" s="158" t="s">
        <v>167</v>
      </c>
      <c r="C70" s="159"/>
      <c r="D70" s="159"/>
      <c r="E70" s="159"/>
      <c r="F70" s="160"/>
      <c r="G70" s="237" t="s">
        <v>177</v>
      </c>
      <c r="H70" s="238"/>
      <c r="I70" s="238"/>
      <c r="J70" s="238"/>
      <c r="K70" s="238"/>
      <c r="L70" s="238"/>
      <c r="M70" s="239"/>
      <c r="N70" s="158"/>
      <c r="O70" s="159"/>
      <c r="P70" s="159"/>
      <c r="Q70" s="159"/>
      <c r="R70" s="159"/>
      <c r="S70" s="160"/>
      <c r="T70" s="237"/>
      <c r="U70" s="238"/>
      <c r="V70" s="238"/>
      <c r="W70" s="238"/>
      <c r="X70" s="238"/>
      <c r="Y70" s="238"/>
      <c r="Z70" s="239"/>
    </row>
    <row r="71" spans="1:26" ht="18" customHeight="1" x14ac:dyDescent="0.15">
      <c r="A71" s="29"/>
      <c r="B71" s="161" t="s">
        <v>192</v>
      </c>
      <c r="C71" s="162"/>
      <c r="D71" s="162"/>
      <c r="E71" s="162"/>
      <c r="F71" s="163"/>
      <c r="G71" s="204" t="s">
        <v>176</v>
      </c>
      <c r="H71" s="205"/>
      <c r="I71" s="205"/>
      <c r="J71" s="205"/>
      <c r="K71" s="205"/>
      <c r="L71" s="205"/>
      <c r="M71" s="206"/>
      <c r="N71" s="161"/>
      <c r="O71" s="162"/>
      <c r="P71" s="162"/>
      <c r="Q71" s="162"/>
      <c r="R71" s="162"/>
      <c r="S71" s="163"/>
      <c r="T71" s="204"/>
      <c r="U71" s="205"/>
      <c r="V71" s="205"/>
      <c r="W71" s="205"/>
      <c r="X71" s="205"/>
      <c r="Y71" s="205"/>
      <c r="Z71" s="206"/>
    </row>
    <row r="72" spans="1:26" ht="18" customHeight="1" x14ac:dyDescent="0.15">
      <c r="A72" s="29"/>
      <c r="B72" s="161" t="s">
        <v>193</v>
      </c>
      <c r="C72" s="162"/>
      <c r="D72" s="162"/>
      <c r="E72" s="162"/>
      <c r="F72" s="163"/>
      <c r="G72" s="204" t="s">
        <v>176</v>
      </c>
      <c r="H72" s="205"/>
      <c r="I72" s="205"/>
      <c r="J72" s="205"/>
      <c r="K72" s="205"/>
      <c r="L72" s="205"/>
      <c r="M72" s="206"/>
      <c r="N72" s="161"/>
      <c r="O72" s="162"/>
      <c r="P72" s="162"/>
      <c r="Q72" s="162"/>
      <c r="R72" s="162"/>
      <c r="S72" s="163"/>
      <c r="T72" s="204"/>
      <c r="U72" s="205"/>
      <c r="V72" s="205"/>
      <c r="W72" s="205"/>
      <c r="X72" s="205"/>
      <c r="Y72" s="205"/>
      <c r="Z72" s="206"/>
    </row>
    <row r="73" spans="1:26" ht="18" customHeight="1" x14ac:dyDescent="0.15">
      <c r="A73" s="29"/>
      <c r="B73" s="161" t="s">
        <v>196</v>
      </c>
      <c r="C73" s="162"/>
      <c r="D73" s="162"/>
      <c r="E73" s="162"/>
      <c r="F73" s="163"/>
      <c r="G73" s="204" t="s">
        <v>176</v>
      </c>
      <c r="H73" s="205"/>
      <c r="I73" s="205"/>
      <c r="J73" s="205"/>
      <c r="K73" s="205"/>
      <c r="L73" s="205"/>
      <c r="M73" s="206"/>
      <c r="N73" s="161"/>
      <c r="O73" s="162"/>
      <c r="P73" s="162"/>
      <c r="Q73" s="162"/>
      <c r="R73" s="162"/>
      <c r="S73" s="163"/>
      <c r="T73" s="204"/>
      <c r="U73" s="205"/>
      <c r="V73" s="205"/>
      <c r="W73" s="205"/>
      <c r="X73" s="205"/>
      <c r="Y73" s="205"/>
      <c r="Z73" s="206"/>
    </row>
    <row r="74" spans="1:26" ht="18" customHeight="1" x14ac:dyDescent="0.15">
      <c r="A74" s="29"/>
      <c r="B74" s="161" t="s">
        <v>194</v>
      </c>
      <c r="C74" s="162"/>
      <c r="D74" s="162"/>
      <c r="E74" s="162"/>
      <c r="F74" s="163"/>
      <c r="G74" s="204" t="s">
        <v>176</v>
      </c>
      <c r="H74" s="205"/>
      <c r="I74" s="205"/>
      <c r="J74" s="205"/>
      <c r="K74" s="205"/>
      <c r="L74" s="205"/>
      <c r="M74" s="206"/>
      <c r="N74" s="161"/>
      <c r="O74" s="162"/>
      <c r="P74" s="162"/>
      <c r="Q74" s="162"/>
      <c r="R74" s="162"/>
      <c r="S74" s="163"/>
      <c r="T74" s="204"/>
      <c r="U74" s="205"/>
      <c r="V74" s="205"/>
      <c r="W74" s="205"/>
      <c r="X74" s="205"/>
      <c r="Y74" s="205"/>
      <c r="Z74" s="206"/>
    </row>
    <row r="75" spans="1:26" ht="18" customHeight="1" x14ac:dyDescent="0.15">
      <c r="A75" s="29"/>
      <c r="B75" s="161" t="s">
        <v>195</v>
      </c>
      <c r="C75" s="162"/>
      <c r="D75" s="162"/>
      <c r="E75" s="162"/>
      <c r="F75" s="163"/>
      <c r="G75" s="204" t="s">
        <v>176</v>
      </c>
      <c r="H75" s="205"/>
      <c r="I75" s="205"/>
      <c r="J75" s="205"/>
      <c r="K75" s="205"/>
      <c r="L75" s="205"/>
      <c r="M75" s="206"/>
      <c r="N75" s="161"/>
      <c r="O75" s="162"/>
      <c r="P75" s="162"/>
      <c r="Q75" s="162"/>
      <c r="R75" s="162"/>
      <c r="S75" s="163"/>
      <c r="T75" s="204"/>
      <c r="U75" s="205"/>
      <c r="V75" s="205"/>
      <c r="W75" s="205"/>
      <c r="X75" s="205"/>
      <c r="Y75" s="205"/>
      <c r="Z75" s="206"/>
    </row>
    <row r="76" spans="1:26" ht="18" customHeight="1" x14ac:dyDescent="0.15">
      <c r="A76" s="29"/>
      <c r="B76" s="164"/>
      <c r="C76" s="165"/>
      <c r="D76" s="165"/>
      <c r="E76" s="165"/>
      <c r="F76" s="166"/>
      <c r="G76" s="201"/>
      <c r="H76" s="202"/>
      <c r="I76" s="202"/>
      <c r="J76" s="202"/>
      <c r="K76" s="202"/>
      <c r="L76" s="202"/>
      <c r="M76" s="203"/>
      <c r="N76" s="164"/>
      <c r="O76" s="165"/>
      <c r="P76" s="165"/>
      <c r="Q76" s="165"/>
      <c r="R76" s="165"/>
      <c r="S76" s="166"/>
      <c r="T76" s="201"/>
      <c r="U76" s="202"/>
      <c r="V76" s="202"/>
      <c r="W76" s="202"/>
      <c r="X76" s="202"/>
      <c r="Y76" s="202"/>
      <c r="Z76" s="203"/>
    </row>
    <row r="77" spans="1:26" ht="18" customHeight="1" x14ac:dyDescent="0.15">
      <c r="A77" s="29"/>
      <c r="B77" s="116"/>
      <c r="C77" s="116"/>
      <c r="D77" s="116"/>
      <c r="E77" s="116"/>
      <c r="F77" s="116"/>
      <c r="G77" s="12"/>
      <c r="H77" s="12"/>
      <c r="I77" s="12"/>
      <c r="J77" s="12"/>
      <c r="K77" s="12"/>
      <c r="L77" s="12"/>
      <c r="M77" s="12"/>
      <c r="N77" s="116"/>
      <c r="O77" s="116"/>
      <c r="P77" s="116"/>
      <c r="Q77" s="116"/>
      <c r="R77" s="116"/>
      <c r="S77" s="116"/>
      <c r="T77" s="12"/>
      <c r="U77" s="12"/>
      <c r="V77" s="12"/>
      <c r="W77" s="12"/>
      <c r="X77" s="12"/>
      <c r="Y77" s="12"/>
      <c r="Z77" s="12"/>
    </row>
    <row r="78" spans="1:26" ht="18.75" customHeight="1" x14ac:dyDescent="0.15">
      <c r="A78" s="13" t="s">
        <v>142</v>
      </c>
    </row>
    <row r="79" spans="1:26" ht="18.75" customHeight="1" x14ac:dyDescent="0.15">
      <c r="B79" s="78" t="s">
        <v>102</v>
      </c>
      <c r="C79" s="79"/>
      <c r="D79" s="255" t="s">
        <v>103</v>
      </c>
      <c r="E79" s="255"/>
      <c r="F79" s="255"/>
      <c r="G79" s="255"/>
      <c r="H79" s="255"/>
      <c r="I79" s="255"/>
      <c r="J79" s="255"/>
      <c r="K79" s="255"/>
      <c r="L79" s="255"/>
      <c r="M79" s="255"/>
      <c r="N79" s="255"/>
      <c r="O79" s="255"/>
      <c r="P79" s="255"/>
      <c r="Q79" s="255"/>
      <c r="R79" s="255"/>
      <c r="S79" s="255"/>
      <c r="T79" s="255"/>
      <c r="U79" s="255"/>
      <c r="V79" s="255"/>
      <c r="W79" s="255"/>
      <c r="X79" s="255"/>
      <c r="Y79" s="255"/>
      <c r="Z79" s="256"/>
    </row>
    <row r="80" spans="1:26" ht="78" customHeight="1" x14ac:dyDescent="0.15">
      <c r="B80" s="245" t="s">
        <v>109</v>
      </c>
      <c r="C80" s="84" t="s">
        <v>104</v>
      </c>
      <c r="D80" s="208" t="s">
        <v>227</v>
      </c>
      <c r="E80" s="208"/>
      <c r="F80" s="208"/>
      <c r="G80" s="208"/>
      <c r="H80" s="208"/>
      <c r="I80" s="208"/>
      <c r="J80" s="208"/>
      <c r="K80" s="208"/>
      <c r="L80" s="208"/>
      <c r="M80" s="208"/>
      <c r="N80" s="208"/>
      <c r="O80" s="208"/>
      <c r="P80" s="208"/>
      <c r="Q80" s="208"/>
      <c r="R80" s="208"/>
      <c r="S80" s="208"/>
      <c r="T80" s="208"/>
      <c r="U80" s="208"/>
      <c r="V80" s="208"/>
      <c r="W80" s="208"/>
      <c r="X80" s="208"/>
      <c r="Y80" s="208"/>
      <c r="Z80" s="209"/>
    </row>
    <row r="81" spans="1:26" ht="78" customHeight="1" x14ac:dyDescent="0.15">
      <c r="B81" s="246"/>
      <c r="C81" s="104" t="s">
        <v>137</v>
      </c>
      <c r="D81" s="257" t="s">
        <v>227</v>
      </c>
      <c r="E81" s="257"/>
      <c r="F81" s="257"/>
      <c r="G81" s="257"/>
      <c r="H81" s="257"/>
      <c r="I81" s="257"/>
      <c r="J81" s="257"/>
      <c r="K81" s="257"/>
      <c r="L81" s="257"/>
      <c r="M81" s="257"/>
      <c r="N81" s="257"/>
      <c r="O81" s="257"/>
      <c r="P81" s="257"/>
      <c r="Q81" s="257"/>
      <c r="R81" s="257"/>
      <c r="S81" s="257"/>
      <c r="T81" s="257"/>
      <c r="U81" s="257"/>
      <c r="V81" s="257"/>
      <c r="W81" s="257"/>
      <c r="X81" s="257"/>
      <c r="Y81" s="257"/>
      <c r="Z81" s="258"/>
    </row>
    <row r="82" spans="1:26" ht="78" customHeight="1" x14ac:dyDescent="0.15">
      <c r="B82" s="243" t="s">
        <v>110</v>
      </c>
      <c r="C82" s="80" t="s">
        <v>127</v>
      </c>
      <c r="D82" s="217" t="s">
        <v>227</v>
      </c>
      <c r="E82" s="217"/>
      <c r="F82" s="217"/>
      <c r="G82" s="217"/>
      <c r="H82" s="217"/>
      <c r="I82" s="217"/>
      <c r="J82" s="217"/>
      <c r="K82" s="217"/>
      <c r="L82" s="217"/>
      <c r="M82" s="217"/>
      <c r="N82" s="217"/>
      <c r="O82" s="217"/>
      <c r="P82" s="217"/>
      <c r="Q82" s="217"/>
      <c r="R82" s="217"/>
      <c r="S82" s="217"/>
      <c r="T82" s="217"/>
      <c r="U82" s="217"/>
      <c r="V82" s="217"/>
      <c r="W82" s="217"/>
      <c r="X82" s="217"/>
      <c r="Y82" s="217"/>
      <c r="Z82" s="218"/>
    </row>
    <row r="83" spans="1:26" ht="78" customHeight="1" x14ac:dyDescent="0.15">
      <c r="B83" s="244"/>
      <c r="C83" s="105" t="s">
        <v>128</v>
      </c>
      <c r="D83" s="214" t="s">
        <v>227</v>
      </c>
      <c r="E83" s="214"/>
      <c r="F83" s="214"/>
      <c r="G83" s="214"/>
      <c r="H83" s="214"/>
      <c r="I83" s="214"/>
      <c r="J83" s="214"/>
      <c r="K83" s="214"/>
      <c r="L83" s="214"/>
      <c r="M83" s="214"/>
      <c r="N83" s="214"/>
      <c r="O83" s="214"/>
      <c r="P83" s="214"/>
      <c r="Q83" s="214"/>
      <c r="R83" s="214"/>
      <c r="S83" s="214"/>
      <c r="T83" s="214"/>
      <c r="U83" s="214"/>
      <c r="V83" s="214"/>
      <c r="W83" s="214"/>
      <c r="X83" s="214"/>
      <c r="Y83" s="214"/>
      <c r="Z83" s="215"/>
    </row>
    <row r="84" spans="1:26" ht="66" customHeight="1" x14ac:dyDescent="0.15">
      <c r="B84" s="243" t="s">
        <v>111</v>
      </c>
      <c r="C84" s="80" t="s">
        <v>130</v>
      </c>
      <c r="D84" s="216" t="s">
        <v>228</v>
      </c>
      <c r="E84" s="217"/>
      <c r="F84" s="217"/>
      <c r="G84" s="217"/>
      <c r="H84" s="217"/>
      <c r="I84" s="217"/>
      <c r="J84" s="217"/>
      <c r="K84" s="217"/>
      <c r="L84" s="217"/>
      <c r="M84" s="217"/>
      <c r="N84" s="217"/>
      <c r="O84" s="217"/>
      <c r="P84" s="217"/>
      <c r="Q84" s="217"/>
      <c r="R84" s="217"/>
      <c r="S84" s="217"/>
      <c r="T84" s="217"/>
      <c r="U84" s="217"/>
      <c r="V84" s="217"/>
      <c r="W84" s="217"/>
      <c r="X84" s="217"/>
      <c r="Y84" s="217"/>
      <c r="Z84" s="218"/>
    </row>
    <row r="85" spans="1:26" ht="66" customHeight="1" x14ac:dyDescent="0.15">
      <c r="B85" s="244"/>
      <c r="C85" s="82" t="s">
        <v>131</v>
      </c>
      <c r="D85" s="211" t="s">
        <v>227</v>
      </c>
      <c r="E85" s="211"/>
      <c r="F85" s="211"/>
      <c r="G85" s="211"/>
      <c r="H85" s="211"/>
      <c r="I85" s="211"/>
      <c r="J85" s="211"/>
      <c r="K85" s="211"/>
      <c r="L85" s="211"/>
      <c r="M85" s="211"/>
      <c r="N85" s="211"/>
      <c r="O85" s="211"/>
      <c r="P85" s="211"/>
      <c r="Q85" s="211"/>
      <c r="R85" s="211"/>
      <c r="S85" s="211"/>
      <c r="T85" s="211"/>
      <c r="U85" s="211"/>
      <c r="V85" s="211"/>
      <c r="W85" s="211"/>
      <c r="X85" s="211"/>
      <c r="Y85" s="211"/>
      <c r="Z85" s="212"/>
    </row>
    <row r="86" spans="1:26" ht="66" customHeight="1" x14ac:dyDescent="0.15">
      <c r="B86" s="245" t="s">
        <v>138</v>
      </c>
      <c r="C86" s="84" t="s">
        <v>106</v>
      </c>
      <c r="D86" s="208" t="s">
        <v>227</v>
      </c>
      <c r="E86" s="208"/>
      <c r="F86" s="208"/>
      <c r="G86" s="208"/>
      <c r="H86" s="208"/>
      <c r="I86" s="208"/>
      <c r="J86" s="208"/>
      <c r="K86" s="208"/>
      <c r="L86" s="208"/>
      <c r="M86" s="208"/>
      <c r="N86" s="208"/>
      <c r="O86" s="208"/>
      <c r="P86" s="208"/>
      <c r="Q86" s="208"/>
      <c r="R86" s="208"/>
      <c r="S86" s="208"/>
      <c r="T86" s="208"/>
      <c r="U86" s="208"/>
      <c r="V86" s="208"/>
      <c r="W86" s="208"/>
      <c r="X86" s="208"/>
      <c r="Y86" s="208"/>
      <c r="Z86" s="209"/>
    </row>
    <row r="87" spans="1:26" ht="66" customHeight="1" x14ac:dyDescent="0.15">
      <c r="B87" s="251"/>
      <c r="C87" s="81" t="s">
        <v>108</v>
      </c>
      <c r="D87" s="252" t="s">
        <v>229</v>
      </c>
      <c r="E87" s="253"/>
      <c r="F87" s="253"/>
      <c r="G87" s="253"/>
      <c r="H87" s="253"/>
      <c r="I87" s="253"/>
      <c r="J87" s="253"/>
      <c r="K87" s="253"/>
      <c r="L87" s="253"/>
      <c r="M87" s="253"/>
      <c r="N87" s="253"/>
      <c r="O87" s="253"/>
      <c r="P87" s="253"/>
      <c r="Q87" s="253"/>
      <c r="R87" s="253"/>
      <c r="S87" s="253"/>
      <c r="T87" s="253"/>
      <c r="U87" s="253"/>
      <c r="V87" s="253"/>
      <c r="W87" s="253"/>
      <c r="X87" s="253"/>
      <c r="Y87" s="253"/>
      <c r="Z87" s="254"/>
    </row>
    <row r="88" spans="1:26" ht="66" customHeight="1" x14ac:dyDescent="0.15">
      <c r="B88" s="245" t="s">
        <v>139</v>
      </c>
      <c r="C88" s="80" t="s">
        <v>105</v>
      </c>
      <c r="D88" s="248" t="s">
        <v>212</v>
      </c>
      <c r="E88" s="248"/>
      <c r="F88" s="248"/>
      <c r="G88" s="248"/>
      <c r="H88" s="248"/>
      <c r="I88" s="248"/>
      <c r="J88" s="248"/>
      <c r="K88" s="248"/>
      <c r="L88" s="248"/>
      <c r="M88" s="248"/>
      <c r="N88" s="248"/>
      <c r="O88" s="248"/>
      <c r="P88" s="248"/>
      <c r="Q88" s="248"/>
      <c r="R88" s="248"/>
      <c r="S88" s="248"/>
      <c r="T88" s="248"/>
      <c r="U88" s="248"/>
      <c r="V88" s="248"/>
      <c r="W88" s="248"/>
      <c r="X88" s="248"/>
      <c r="Y88" s="248"/>
      <c r="Z88" s="249"/>
    </row>
    <row r="89" spans="1:26" ht="66" customHeight="1" x14ac:dyDescent="0.15">
      <c r="B89" s="246"/>
      <c r="C89" s="81" t="s">
        <v>134</v>
      </c>
      <c r="D89" s="240" t="s">
        <v>213</v>
      </c>
      <c r="E89" s="241"/>
      <c r="F89" s="241"/>
      <c r="G89" s="241"/>
      <c r="H89" s="241"/>
      <c r="I89" s="241"/>
      <c r="J89" s="241"/>
      <c r="K89" s="241"/>
      <c r="L89" s="241"/>
      <c r="M89" s="241"/>
      <c r="N89" s="241"/>
      <c r="O89" s="241"/>
      <c r="P89" s="241"/>
      <c r="Q89" s="241"/>
      <c r="R89" s="241"/>
      <c r="S89" s="241"/>
      <c r="T89" s="241"/>
      <c r="U89" s="241"/>
      <c r="V89" s="241"/>
      <c r="W89" s="241"/>
      <c r="X89" s="241"/>
      <c r="Y89" s="241"/>
      <c r="Z89" s="242"/>
    </row>
    <row r="90" spans="1:26" ht="66" customHeight="1" x14ac:dyDescent="0.15">
      <c r="B90" s="244"/>
      <c r="C90" s="82" t="s">
        <v>135</v>
      </c>
      <c r="D90" s="250" t="s">
        <v>213</v>
      </c>
      <c r="E90" s="196"/>
      <c r="F90" s="196"/>
      <c r="G90" s="196"/>
      <c r="H90" s="196"/>
      <c r="I90" s="196"/>
      <c r="J90" s="196"/>
      <c r="K90" s="196"/>
      <c r="L90" s="196"/>
      <c r="M90" s="196"/>
      <c r="N90" s="196"/>
      <c r="O90" s="196"/>
      <c r="P90" s="196"/>
      <c r="Q90" s="196"/>
      <c r="R90" s="196"/>
      <c r="S90" s="196"/>
      <c r="T90" s="196"/>
      <c r="U90" s="196"/>
      <c r="V90" s="196"/>
      <c r="W90" s="196"/>
      <c r="X90" s="196"/>
      <c r="Y90" s="196"/>
      <c r="Z90" s="197"/>
    </row>
    <row r="91" spans="1:26" ht="6" customHeight="1" x14ac:dyDescent="0.15"/>
    <row r="92" spans="1:26" ht="18.75" customHeight="1" x14ac:dyDescent="0.15">
      <c r="A92" s="13" t="s">
        <v>143</v>
      </c>
    </row>
    <row r="93" spans="1:26" ht="18.75" customHeight="1" x14ac:dyDescent="0.15">
      <c r="B93" s="189" t="s">
        <v>179</v>
      </c>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1"/>
    </row>
    <row r="94" spans="1:26" ht="18.75" customHeight="1" x14ac:dyDescent="0.15">
      <c r="B94" s="192"/>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4"/>
    </row>
    <row r="95" spans="1:26" ht="18.75" customHeight="1" x14ac:dyDescent="0.15">
      <c r="B95" s="195"/>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7"/>
    </row>
    <row r="96" spans="1:26" ht="6" customHeight="1" x14ac:dyDescent="0.15"/>
    <row r="97" spans="1:26" ht="15" customHeight="1" x14ac:dyDescent="0.15">
      <c r="A97" s="13" t="s">
        <v>144</v>
      </c>
    </row>
    <row r="98" spans="1:26" ht="15" customHeight="1" x14ac:dyDescent="0.15">
      <c r="B98" s="198" t="s">
        <v>242</v>
      </c>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200"/>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H16:H22 Y27:Z33 L27:M33 H38:H44 Y38:Z44 Y49:Z55 Y60:Z66 G60:G66 L63:M66 U16:U22 H27:H33 U27:U33 T60:T66 U38:U44 L38:M44 U49:U55 L49:M55 H49:H55 K60:M62 L16:M22" xr:uid="{46BC1BCC-6CD3-4BBB-B565-D6D6B9BA0E69}">
      <formula1>"○"</formula1>
    </dataValidation>
    <dataValidation type="list" allowBlank="1" showInputMessage="1" showErrorMessage="1" sqref="Z23 Z34 D34:K34 D23:K23 V16:V22 H60:H66 V27:V33 I27:I33 V38:V44 I49:I55 V49:V55 I38:I44 U60:U66 I16:I22" xr:uid="{9AFF097B-54FC-475F-93C0-8F5059DFCEB5}">
      <formula1>"全学開講,一部開講"</formula1>
    </dataValidation>
    <dataValidation type="list" allowBlank="1" showInputMessage="1" showErrorMessage="1" sqref="O4" xr:uid="{D3257656-3314-41AD-A53A-04C3FCCB5120}">
      <formula1>"学部・学科によって、修了要件は相違する,学部・学科によって、修了要件は相違しない"</formula1>
    </dataValidation>
    <dataValidation type="list" allowBlank="1" showInputMessage="1" showErrorMessage="1" sqref="U74:Z77 T70:T77 U70:Z71 G70:M77" xr:uid="{764ABA8C-ED1A-40AF-9F5D-A741055D93D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9D44C159-BA25-4183-A3E4-97F85263953A}"/>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showZeros="0" view="pageBreakPreview" zoomScaleNormal="100" zoomScaleSheetLayoutView="100" workbookViewId="0">
      <selection activeCell="D30" sqref="D30"/>
    </sheetView>
  </sheetViews>
  <sheetFormatPr defaultColWidth="9" defaultRowHeight="18.75" customHeight="1" x14ac:dyDescent="0.15"/>
  <cols>
    <col min="1" max="1" width="2.625" style="1" customWidth="1"/>
    <col min="2" max="2" width="30" style="1" customWidth="1"/>
    <col min="3" max="17" width="6.125" style="1" customWidth="1"/>
    <col min="18" max="18" width="6.625" style="1" customWidth="1"/>
    <col min="19" max="16384" width="9" style="1"/>
  </cols>
  <sheetData>
    <row r="1" spans="1:20" ht="18" customHeight="1" x14ac:dyDescent="0.15">
      <c r="F1" s="260" t="s">
        <v>63</v>
      </c>
      <c r="G1" s="260"/>
      <c r="H1" s="260"/>
      <c r="I1" s="260"/>
      <c r="J1" s="260"/>
      <c r="K1" s="260"/>
      <c r="L1" s="260"/>
      <c r="M1" s="260"/>
      <c r="N1" s="260"/>
      <c r="O1" s="260"/>
      <c r="P1" s="260"/>
      <c r="Q1" s="260"/>
      <c r="R1" s="260"/>
    </row>
    <row r="2" spans="1:20" ht="18" customHeight="1" x14ac:dyDescent="0.15">
      <c r="A2" s="261" t="s">
        <v>89</v>
      </c>
      <c r="B2" s="261"/>
      <c r="C2" s="261"/>
      <c r="D2" s="261"/>
      <c r="E2" s="261"/>
      <c r="F2" s="261"/>
      <c r="G2" s="261"/>
      <c r="H2" s="261"/>
      <c r="I2" s="261"/>
      <c r="J2" s="261"/>
      <c r="K2" s="261"/>
      <c r="L2" s="261"/>
      <c r="M2" s="261"/>
      <c r="N2" s="261"/>
      <c r="O2" s="261"/>
      <c r="P2" s="261"/>
      <c r="Q2" s="261"/>
      <c r="R2" s="261"/>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147</v>
      </c>
      <c r="B4" s="4"/>
      <c r="C4" s="262" t="str">
        <f>'様式１　大学等概要'!E12</f>
        <v>令和3</v>
      </c>
      <c r="D4" s="263"/>
      <c r="E4" s="38" t="s">
        <v>113</v>
      </c>
      <c r="F4" s="38"/>
      <c r="G4" s="38"/>
      <c r="H4" s="38"/>
      <c r="I4" s="38"/>
      <c r="J4" s="85"/>
      <c r="K4" s="38"/>
      <c r="L4" s="38"/>
      <c r="M4" s="110"/>
      <c r="N4" s="110"/>
      <c r="O4" s="110"/>
      <c r="P4" s="110"/>
      <c r="Q4" s="110"/>
      <c r="R4" s="110"/>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145</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64" t="s">
        <v>79</v>
      </c>
      <c r="C8" s="266" t="s">
        <v>84</v>
      </c>
      <c r="D8" s="268" t="s">
        <v>68</v>
      </c>
      <c r="E8" s="270" t="s">
        <v>90</v>
      </c>
      <c r="F8" s="270"/>
      <c r="G8" s="270" t="s">
        <v>91</v>
      </c>
      <c r="H8" s="270"/>
      <c r="I8" s="270" t="s">
        <v>92</v>
      </c>
      <c r="J8" s="270"/>
      <c r="K8" s="271" t="s">
        <v>93</v>
      </c>
      <c r="L8" s="272"/>
      <c r="M8" s="271" t="s">
        <v>94</v>
      </c>
      <c r="N8" s="272"/>
      <c r="O8" s="271" t="s">
        <v>95</v>
      </c>
      <c r="P8" s="272"/>
      <c r="Q8" s="273" t="s">
        <v>62</v>
      </c>
      <c r="R8" s="275" t="s">
        <v>56</v>
      </c>
      <c r="T8" s="34"/>
    </row>
    <row r="9" spans="1:20" ht="18" customHeight="1" x14ac:dyDescent="0.15">
      <c r="A9" s="4"/>
      <c r="B9" s="265"/>
      <c r="C9" s="267"/>
      <c r="D9" s="269"/>
      <c r="E9" s="43" t="s">
        <v>44</v>
      </c>
      <c r="F9" s="44" t="s">
        <v>43</v>
      </c>
      <c r="G9" s="45" t="s">
        <v>44</v>
      </c>
      <c r="H9" s="46" t="s">
        <v>43</v>
      </c>
      <c r="I9" s="43" t="s">
        <v>44</v>
      </c>
      <c r="J9" s="44" t="s">
        <v>43</v>
      </c>
      <c r="K9" s="45" t="s">
        <v>44</v>
      </c>
      <c r="L9" s="46" t="s">
        <v>43</v>
      </c>
      <c r="M9" s="43" t="s">
        <v>44</v>
      </c>
      <c r="N9" s="44" t="s">
        <v>43</v>
      </c>
      <c r="O9" s="45" t="s">
        <v>44</v>
      </c>
      <c r="P9" s="46" t="s">
        <v>43</v>
      </c>
      <c r="Q9" s="274"/>
      <c r="R9" s="276"/>
      <c r="T9" s="34"/>
    </row>
    <row r="10" spans="1:20" ht="18" customHeight="1" x14ac:dyDescent="0.15">
      <c r="A10" s="47"/>
      <c r="B10" s="86" t="s">
        <v>197</v>
      </c>
      <c r="C10" s="47">
        <v>170</v>
      </c>
      <c r="D10" s="48">
        <v>700</v>
      </c>
      <c r="E10" s="49">
        <v>145</v>
      </c>
      <c r="F10" s="50">
        <v>136</v>
      </c>
      <c r="G10" s="51"/>
      <c r="H10" s="52"/>
      <c r="I10" s="49"/>
      <c r="J10" s="50"/>
      <c r="K10" s="51"/>
      <c r="L10" s="52"/>
      <c r="M10" s="49"/>
      <c r="N10" s="50"/>
      <c r="O10" s="51"/>
      <c r="P10" s="52"/>
      <c r="Q10" s="53">
        <f>E10+G10+I10+K10+M10+O10</f>
        <v>145</v>
      </c>
      <c r="R10" s="54">
        <f>Q10/D10</f>
        <v>0.20714285714285716</v>
      </c>
    </row>
    <row r="11" spans="1:20" ht="18" customHeight="1" x14ac:dyDescent="0.15">
      <c r="A11" s="47"/>
      <c r="B11" s="87" t="s">
        <v>198</v>
      </c>
      <c r="C11" s="63">
        <v>230</v>
      </c>
      <c r="D11" s="56">
        <v>920</v>
      </c>
      <c r="E11" s="57">
        <v>215</v>
      </c>
      <c r="F11" s="58">
        <v>198</v>
      </c>
      <c r="G11" s="59"/>
      <c r="H11" s="60"/>
      <c r="I11" s="57"/>
      <c r="J11" s="58"/>
      <c r="K11" s="59"/>
      <c r="L11" s="60"/>
      <c r="M11" s="57"/>
      <c r="N11" s="58"/>
      <c r="O11" s="59"/>
      <c r="P11" s="60"/>
      <c r="Q11" s="61">
        <f t="shared" ref="Q11:Q29" si="0">E11+G11+I11+K11+M11+O11</f>
        <v>215</v>
      </c>
      <c r="R11" s="62">
        <f t="shared" ref="R11:R29" si="1">Q11/D11</f>
        <v>0.23369565217391305</v>
      </c>
    </row>
    <row r="12" spans="1:20" ht="18" customHeight="1" x14ac:dyDescent="0.15">
      <c r="A12" s="47"/>
      <c r="B12" s="87" t="s">
        <v>199</v>
      </c>
      <c r="C12" s="63">
        <v>210</v>
      </c>
      <c r="D12" s="56">
        <v>860</v>
      </c>
      <c r="E12" s="57">
        <v>132</v>
      </c>
      <c r="F12" s="58">
        <v>115</v>
      </c>
      <c r="G12" s="59"/>
      <c r="H12" s="60"/>
      <c r="I12" s="57"/>
      <c r="J12" s="58"/>
      <c r="K12" s="59"/>
      <c r="L12" s="60"/>
      <c r="M12" s="57"/>
      <c r="N12" s="58"/>
      <c r="O12" s="59"/>
      <c r="P12" s="60"/>
      <c r="Q12" s="61">
        <f t="shared" si="0"/>
        <v>132</v>
      </c>
      <c r="R12" s="62">
        <f t="shared" si="1"/>
        <v>0.15348837209302327</v>
      </c>
    </row>
    <row r="13" spans="1:20" ht="18" customHeight="1" x14ac:dyDescent="0.15">
      <c r="A13" s="47"/>
      <c r="B13" s="87" t="s">
        <v>200</v>
      </c>
      <c r="C13" s="63">
        <v>200</v>
      </c>
      <c r="D13" s="56">
        <v>800</v>
      </c>
      <c r="E13" s="57">
        <v>199</v>
      </c>
      <c r="F13" s="58" t="s">
        <v>205</v>
      </c>
      <c r="G13" s="59"/>
      <c r="H13" s="60"/>
      <c r="I13" s="57"/>
      <c r="J13" s="58"/>
      <c r="K13" s="59"/>
      <c r="L13" s="60"/>
      <c r="M13" s="57"/>
      <c r="N13" s="58"/>
      <c r="O13" s="59"/>
      <c r="P13" s="60"/>
      <c r="Q13" s="61">
        <f t="shared" si="0"/>
        <v>199</v>
      </c>
      <c r="R13" s="62">
        <f t="shared" si="1"/>
        <v>0.24875</v>
      </c>
    </row>
    <row r="14" spans="1:20" ht="18" customHeight="1" x14ac:dyDescent="0.15">
      <c r="A14" s="47"/>
      <c r="B14" s="87" t="s">
        <v>201</v>
      </c>
      <c r="C14" s="63">
        <v>110</v>
      </c>
      <c r="D14" s="56">
        <v>680</v>
      </c>
      <c r="E14" s="57">
        <v>13</v>
      </c>
      <c r="F14" s="58">
        <v>13</v>
      </c>
      <c r="G14" s="59"/>
      <c r="H14" s="60"/>
      <c r="I14" s="57"/>
      <c r="J14" s="58"/>
      <c r="K14" s="59"/>
      <c r="L14" s="60"/>
      <c r="M14" s="57"/>
      <c r="N14" s="58"/>
      <c r="O14" s="59"/>
      <c r="P14" s="60"/>
      <c r="Q14" s="61">
        <f t="shared" si="0"/>
        <v>13</v>
      </c>
      <c r="R14" s="62">
        <f t="shared" si="1"/>
        <v>1.9117647058823531E-2</v>
      </c>
    </row>
    <row r="15" spans="1:20" ht="18" customHeight="1" x14ac:dyDescent="0.15">
      <c r="A15" s="47"/>
      <c r="B15" s="87" t="s">
        <v>202</v>
      </c>
      <c r="C15" s="63">
        <v>144</v>
      </c>
      <c r="D15" s="56">
        <v>608</v>
      </c>
      <c r="E15" s="57">
        <v>137</v>
      </c>
      <c r="F15" s="58">
        <v>135</v>
      </c>
      <c r="G15" s="59"/>
      <c r="H15" s="60"/>
      <c r="I15" s="57"/>
      <c r="J15" s="58"/>
      <c r="K15" s="59"/>
      <c r="L15" s="60"/>
      <c r="M15" s="57"/>
      <c r="N15" s="58"/>
      <c r="O15" s="59"/>
      <c r="P15" s="60"/>
      <c r="Q15" s="61">
        <f t="shared" si="0"/>
        <v>137</v>
      </c>
      <c r="R15" s="62">
        <f t="shared" si="1"/>
        <v>0.22532894736842105</v>
      </c>
    </row>
    <row r="16" spans="1:20" ht="18" customHeight="1" x14ac:dyDescent="0.15">
      <c r="A16" s="47"/>
      <c r="B16" s="87" t="s">
        <v>203</v>
      </c>
      <c r="C16" s="63">
        <v>90</v>
      </c>
      <c r="D16" s="56">
        <v>470</v>
      </c>
      <c r="E16" s="57">
        <v>21</v>
      </c>
      <c r="F16" s="58">
        <v>17</v>
      </c>
      <c r="G16" s="59"/>
      <c r="H16" s="60"/>
      <c r="I16" s="57"/>
      <c r="J16" s="58"/>
      <c r="K16" s="59"/>
      <c r="L16" s="60"/>
      <c r="M16" s="57"/>
      <c r="N16" s="58"/>
      <c r="O16" s="59"/>
      <c r="P16" s="60"/>
      <c r="Q16" s="61">
        <f t="shared" si="0"/>
        <v>21</v>
      </c>
      <c r="R16" s="62">
        <f t="shared" si="1"/>
        <v>4.4680851063829789E-2</v>
      </c>
    </row>
    <row r="17" spans="1:18" ht="18" customHeight="1" x14ac:dyDescent="0.15">
      <c r="A17" s="47"/>
      <c r="B17" s="87" t="s">
        <v>204</v>
      </c>
      <c r="C17" s="63">
        <v>513</v>
      </c>
      <c r="D17" s="56">
        <v>2142</v>
      </c>
      <c r="E17" s="57">
        <v>510</v>
      </c>
      <c r="F17" s="58" t="s">
        <v>205</v>
      </c>
      <c r="G17" s="59"/>
      <c r="H17" s="60"/>
      <c r="I17" s="57"/>
      <c r="J17" s="58"/>
      <c r="K17" s="59"/>
      <c r="L17" s="60"/>
      <c r="M17" s="57"/>
      <c r="N17" s="58"/>
      <c r="O17" s="59"/>
      <c r="P17" s="60"/>
      <c r="Q17" s="61">
        <f t="shared" si="0"/>
        <v>510</v>
      </c>
      <c r="R17" s="62">
        <f t="shared" si="1"/>
        <v>0.23809523809523808</v>
      </c>
    </row>
    <row r="18" spans="1:18" ht="18" customHeight="1" x14ac:dyDescent="0.15">
      <c r="A18" s="47"/>
      <c r="B18" s="87"/>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7"/>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7"/>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7"/>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7"/>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7"/>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7"/>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7"/>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7"/>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7"/>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7"/>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8"/>
      <c r="C29" s="89"/>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0" t="s">
        <v>57</v>
      </c>
      <c r="C30" s="91">
        <f t="shared" ref="C30:P30" si="2">SUM(C10:C29)</f>
        <v>1667</v>
      </c>
      <c r="D30" s="65">
        <f t="shared" si="2"/>
        <v>7180</v>
      </c>
      <c r="E30" s="66">
        <f t="shared" si="2"/>
        <v>1372</v>
      </c>
      <c r="F30" s="67">
        <f t="shared" si="2"/>
        <v>614</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SUM(Q10:Q29)</f>
        <v>1372</v>
      </c>
      <c r="R30" s="71">
        <f>Q30/D30</f>
        <v>0.19108635097493037</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102" zoomScaleNormal="100" zoomScaleSheetLayoutView="100" workbookViewId="0">
      <selection activeCell="B111" sqref="B111:J129"/>
    </sheetView>
  </sheetViews>
  <sheetFormatPr defaultColWidth="11.375" defaultRowHeight="18.75" customHeight="1" x14ac:dyDescent="0.15"/>
  <cols>
    <col min="1" max="1" width="2.625" style="2" customWidth="1"/>
    <col min="2" max="2" width="16.625" style="1" customWidth="1"/>
    <col min="3" max="3" width="8.875" style="1" customWidth="1"/>
    <col min="4" max="4" width="2.125" style="1" customWidth="1"/>
    <col min="5" max="5" width="16.625" style="1" customWidth="1"/>
    <col min="6" max="6" width="8.875" style="1" customWidth="1"/>
    <col min="7" max="7" width="2.125" style="1" customWidth="1"/>
    <col min="8" max="8" width="16.625" style="1" customWidth="1"/>
    <col min="9" max="9" width="8.875" style="1" customWidth="1"/>
    <col min="10" max="10" width="2.125" style="1" customWidth="1"/>
    <col min="11" max="11" width="11.375" style="31"/>
    <col min="12" max="16384" width="11.375" style="1"/>
  </cols>
  <sheetData>
    <row r="1" spans="1:11" ht="18.75" customHeight="1" x14ac:dyDescent="0.15">
      <c r="A1" s="2" t="s">
        <v>114</v>
      </c>
      <c r="J1" s="41" t="s">
        <v>115</v>
      </c>
    </row>
    <row r="2" spans="1:11" ht="18.75" customHeight="1" x14ac:dyDescent="0.15">
      <c r="A2" s="261" t="s">
        <v>64</v>
      </c>
      <c r="B2" s="261"/>
      <c r="C2" s="261"/>
      <c r="D2" s="261"/>
      <c r="E2" s="261"/>
      <c r="F2" s="261"/>
      <c r="G2" s="261"/>
      <c r="H2" s="261"/>
      <c r="I2" s="261"/>
      <c r="J2" s="261"/>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156" t="s">
        <v>206</v>
      </c>
      <c r="C5" s="157"/>
      <c r="D5" s="157"/>
      <c r="E5" s="157"/>
      <c r="F5" s="157"/>
      <c r="G5" s="157"/>
      <c r="H5" s="157"/>
      <c r="I5" s="157"/>
      <c r="J5" s="298"/>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2"/>
      <c r="B8" s="277" t="s">
        <v>248</v>
      </c>
      <c r="C8" s="278"/>
      <c r="D8" s="278"/>
      <c r="E8" s="278"/>
      <c r="F8" s="278"/>
      <c r="G8" s="278"/>
      <c r="H8" s="278"/>
      <c r="I8" s="286"/>
      <c r="J8" s="287"/>
      <c r="K8" s="31" t="str">
        <f>IF(B8="","入力してください","")</f>
        <v/>
      </c>
    </row>
    <row r="9" spans="1:11" s="4" customFormat="1" ht="18.75" customHeight="1" x14ac:dyDescent="0.15">
      <c r="A9" s="92"/>
      <c r="B9" s="288"/>
      <c r="C9" s="289"/>
      <c r="D9" s="289"/>
      <c r="E9" s="289"/>
      <c r="F9" s="289"/>
      <c r="G9" s="289"/>
      <c r="H9" s="289"/>
      <c r="I9" s="289"/>
      <c r="J9" s="290"/>
      <c r="K9" s="31"/>
    </row>
    <row r="10" spans="1:11" s="4" customFormat="1" ht="18.75" customHeight="1" x14ac:dyDescent="0.15">
      <c r="A10" s="92"/>
      <c r="B10" s="288"/>
      <c r="C10" s="289"/>
      <c r="D10" s="289"/>
      <c r="E10" s="289"/>
      <c r="F10" s="289"/>
      <c r="G10" s="289"/>
      <c r="H10" s="289"/>
      <c r="I10" s="289"/>
      <c r="J10" s="290"/>
      <c r="K10" s="31"/>
    </row>
    <row r="11" spans="1:11" s="4" customFormat="1" ht="18.75" customHeight="1" x14ac:dyDescent="0.15">
      <c r="A11" s="92"/>
      <c r="B11" s="288"/>
      <c r="C11" s="289"/>
      <c r="D11" s="289"/>
      <c r="E11" s="289"/>
      <c r="F11" s="289"/>
      <c r="G11" s="289"/>
      <c r="H11" s="289"/>
      <c r="I11" s="289"/>
      <c r="J11" s="290"/>
      <c r="K11" s="31"/>
    </row>
    <row r="12" spans="1:11" s="4" customFormat="1" ht="18.75" customHeight="1" x14ac:dyDescent="0.15">
      <c r="A12" s="92"/>
      <c r="B12" s="291"/>
      <c r="C12" s="292"/>
      <c r="D12" s="292"/>
      <c r="E12" s="292"/>
      <c r="F12" s="292"/>
      <c r="G12" s="292"/>
      <c r="H12" s="292"/>
      <c r="I12" s="292"/>
      <c r="J12" s="293"/>
      <c r="K12" s="31"/>
    </row>
    <row r="13" spans="1:11" s="4" customFormat="1" ht="7.5" customHeight="1" x14ac:dyDescent="0.15">
      <c r="A13" s="92"/>
      <c r="B13" s="92"/>
      <c r="C13" s="92"/>
      <c r="D13" s="92"/>
      <c r="E13" s="92"/>
      <c r="F13" s="92"/>
      <c r="G13" s="92"/>
      <c r="H13" s="92"/>
      <c r="I13" s="92"/>
      <c r="J13" s="92"/>
      <c r="K13" s="31"/>
    </row>
    <row r="14" spans="1:11" s="4" customFormat="1" ht="18.75" customHeight="1" x14ac:dyDescent="0.15">
      <c r="A14" s="93" t="s">
        <v>10</v>
      </c>
      <c r="B14" s="93" t="s">
        <v>15</v>
      </c>
      <c r="C14" s="93"/>
      <c r="D14" s="93"/>
      <c r="E14" s="93"/>
      <c r="F14" s="93"/>
      <c r="G14" s="93"/>
      <c r="H14" s="93"/>
      <c r="I14" s="93"/>
      <c r="J14" s="93"/>
      <c r="K14" s="31"/>
    </row>
    <row r="15" spans="1:11" s="4" customFormat="1" ht="18.75" customHeight="1" x14ac:dyDescent="0.15">
      <c r="A15" s="92"/>
      <c r="B15" s="277" t="s">
        <v>249</v>
      </c>
      <c r="C15" s="278"/>
      <c r="D15" s="278"/>
      <c r="E15" s="278"/>
      <c r="F15" s="278"/>
      <c r="G15" s="278"/>
      <c r="H15" s="278"/>
      <c r="I15" s="286"/>
      <c r="J15" s="287"/>
      <c r="K15" s="31" t="str">
        <f>IF(B15="","入力してください","")</f>
        <v/>
      </c>
    </row>
    <row r="16" spans="1:11" s="4" customFormat="1" ht="18.75" customHeight="1" x14ac:dyDescent="0.15">
      <c r="A16" s="92"/>
      <c r="B16" s="288"/>
      <c r="C16" s="289"/>
      <c r="D16" s="289"/>
      <c r="E16" s="289"/>
      <c r="F16" s="289"/>
      <c r="G16" s="289"/>
      <c r="H16" s="289"/>
      <c r="I16" s="289"/>
      <c r="J16" s="290"/>
      <c r="K16" s="31"/>
    </row>
    <row r="17" spans="1:11" s="4" customFormat="1" ht="18.75" customHeight="1" x14ac:dyDescent="0.15">
      <c r="A17" s="92"/>
      <c r="B17" s="288"/>
      <c r="C17" s="289"/>
      <c r="D17" s="289"/>
      <c r="E17" s="289"/>
      <c r="F17" s="289"/>
      <c r="G17" s="289"/>
      <c r="H17" s="289"/>
      <c r="I17" s="289"/>
      <c r="J17" s="290"/>
      <c r="K17" s="31"/>
    </row>
    <row r="18" spans="1:11" s="4" customFormat="1" ht="18.75" customHeight="1" x14ac:dyDescent="0.15">
      <c r="A18" s="92"/>
      <c r="B18" s="288"/>
      <c r="C18" s="289"/>
      <c r="D18" s="289"/>
      <c r="E18" s="289"/>
      <c r="F18" s="289"/>
      <c r="G18" s="289"/>
      <c r="H18" s="289"/>
      <c r="I18" s="289"/>
      <c r="J18" s="290"/>
      <c r="K18" s="31"/>
    </row>
    <row r="19" spans="1:11" s="4" customFormat="1" ht="18.75" customHeight="1" x14ac:dyDescent="0.15">
      <c r="A19" s="92"/>
      <c r="B19" s="288"/>
      <c r="C19" s="289"/>
      <c r="D19" s="289"/>
      <c r="E19" s="289"/>
      <c r="F19" s="289"/>
      <c r="G19" s="289"/>
      <c r="H19" s="289"/>
      <c r="I19" s="289"/>
      <c r="J19" s="290"/>
      <c r="K19" s="31"/>
    </row>
    <row r="20" spans="1:11" s="4" customFormat="1" ht="18.75" customHeight="1" x14ac:dyDescent="0.15">
      <c r="A20" s="92"/>
      <c r="B20" s="288"/>
      <c r="C20" s="289"/>
      <c r="D20" s="289"/>
      <c r="E20" s="289"/>
      <c r="F20" s="289"/>
      <c r="G20" s="289"/>
      <c r="H20" s="289"/>
      <c r="I20" s="289"/>
      <c r="J20" s="290"/>
      <c r="K20" s="31"/>
    </row>
    <row r="21" spans="1:11" s="4" customFormat="1" ht="18.75" customHeight="1" x14ac:dyDescent="0.15">
      <c r="A21" s="92"/>
      <c r="B21" s="288"/>
      <c r="C21" s="289"/>
      <c r="D21" s="289"/>
      <c r="E21" s="289"/>
      <c r="F21" s="289"/>
      <c r="G21" s="289"/>
      <c r="H21" s="289"/>
      <c r="I21" s="289"/>
      <c r="J21" s="290"/>
      <c r="K21" s="31"/>
    </row>
    <row r="22" spans="1:11" s="4" customFormat="1" ht="18.75" customHeight="1" x14ac:dyDescent="0.15">
      <c r="A22" s="92"/>
      <c r="B22" s="288"/>
      <c r="C22" s="289"/>
      <c r="D22" s="289"/>
      <c r="E22" s="289"/>
      <c r="F22" s="289"/>
      <c r="G22" s="289"/>
      <c r="H22" s="289"/>
      <c r="I22" s="289"/>
      <c r="J22" s="290"/>
      <c r="K22" s="31"/>
    </row>
    <row r="23" spans="1:11" s="4" customFormat="1" ht="18.75" customHeight="1" x14ac:dyDescent="0.15">
      <c r="A23" s="92"/>
      <c r="B23" s="288"/>
      <c r="C23" s="289"/>
      <c r="D23" s="289"/>
      <c r="E23" s="289"/>
      <c r="F23" s="289"/>
      <c r="G23" s="289"/>
      <c r="H23" s="289"/>
      <c r="I23" s="289"/>
      <c r="J23" s="290"/>
      <c r="K23" s="31"/>
    </row>
    <row r="24" spans="1:11" s="4" customFormat="1" ht="18.75" customHeight="1" x14ac:dyDescent="0.15">
      <c r="A24" s="92"/>
      <c r="B24" s="288"/>
      <c r="C24" s="289"/>
      <c r="D24" s="289"/>
      <c r="E24" s="289"/>
      <c r="F24" s="289"/>
      <c r="G24" s="289"/>
      <c r="H24" s="289"/>
      <c r="I24" s="289"/>
      <c r="J24" s="290"/>
      <c r="K24" s="31"/>
    </row>
    <row r="25" spans="1:11" s="4" customFormat="1" ht="18.75" customHeight="1" x14ac:dyDescent="0.15">
      <c r="A25" s="92"/>
      <c r="B25" s="291"/>
      <c r="C25" s="292"/>
      <c r="D25" s="292"/>
      <c r="E25" s="292"/>
      <c r="F25" s="292"/>
      <c r="G25" s="292"/>
      <c r="H25" s="292"/>
      <c r="I25" s="292"/>
      <c r="J25" s="293"/>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4" t="s">
        <v>116</v>
      </c>
      <c r="C28" s="121">
        <f>'様式３　履修者等数の実績'!R30</f>
        <v>0.19108635097493037</v>
      </c>
      <c r="D28" s="122"/>
      <c r="E28" s="122" t="s">
        <v>117</v>
      </c>
      <c r="F28" s="121">
        <v>0.3</v>
      </c>
      <c r="G28" s="122"/>
      <c r="H28" s="122" t="s">
        <v>118</v>
      </c>
      <c r="I28" s="123">
        <v>0.45</v>
      </c>
      <c r="J28" s="95"/>
      <c r="K28" s="31"/>
    </row>
    <row r="29" spans="1:11" s="29" customFormat="1" ht="18.75" customHeight="1" x14ac:dyDescent="0.15">
      <c r="B29" s="83" t="s">
        <v>119</v>
      </c>
      <c r="C29" s="124">
        <v>0.5</v>
      </c>
      <c r="D29" s="125"/>
      <c r="E29" s="125" t="s">
        <v>120</v>
      </c>
      <c r="F29" s="124">
        <v>0.55000000000000004</v>
      </c>
      <c r="G29" s="125"/>
      <c r="H29" s="125" t="s">
        <v>121</v>
      </c>
      <c r="I29" s="126">
        <f>'様式３　履修者等数の実績'!D30</f>
        <v>7180</v>
      </c>
      <c r="J29" s="96"/>
      <c r="K29" s="35"/>
    </row>
    <row r="30" spans="1:11" s="4" customFormat="1" ht="18.75" customHeight="1" x14ac:dyDescent="0.15">
      <c r="A30" s="1"/>
      <c r="B30" s="204" t="s">
        <v>122</v>
      </c>
      <c r="C30" s="205"/>
      <c r="D30" s="205"/>
      <c r="E30" s="205"/>
      <c r="F30" s="205"/>
      <c r="G30" s="205"/>
      <c r="H30" s="205"/>
      <c r="I30" s="205"/>
      <c r="J30" s="206"/>
      <c r="K30" s="35"/>
    </row>
    <row r="31" spans="1:11" s="4" customFormat="1" ht="18.75" customHeight="1" x14ac:dyDescent="0.15">
      <c r="A31" s="1"/>
      <c r="B31" s="295" t="s">
        <v>252</v>
      </c>
      <c r="C31" s="296"/>
      <c r="D31" s="296"/>
      <c r="E31" s="296"/>
      <c r="F31" s="296"/>
      <c r="G31" s="296"/>
      <c r="H31" s="296"/>
      <c r="I31" s="296"/>
      <c r="J31" s="297"/>
      <c r="K31" s="35" t="str">
        <f>IF(B31="","入力してください","")</f>
        <v/>
      </c>
    </row>
    <row r="32" spans="1:11" s="4" customFormat="1" ht="18.75" customHeight="1" x14ac:dyDescent="0.15">
      <c r="A32" s="1"/>
      <c r="B32" s="280"/>
      <c r="C32" s="281"/>
      <c r="D32" s="281"/>
      <c r="E32" s="281"/>
      <c r="F32" s="281"/>
      <c r="G32" s="281"/>
      <c r="H32" s="281"/>
      <c r="I32" s="281"/>
      <c r="J32" s="282"/>
      <c r="K32" s="35"/>
    </row>
    <row r="33" spans="1:11" s="4" customFormat="1" ht="18.75" customHeight="1" x14ac:dyDescent="0.15">
      <c r="A33" s="1"/>
      <c r="B33" s="280"/>
      <c r="C33" s="281"/>
      <c r="D33" s="281"/>
      <c r="E33" s="281"/>
      <c r="F33" s="281"/>
      <c r="G33" s="281"/>
      <c r="H33" s="281"/>
      <c r="I33" s="281"/>
      <c r="J33" s="282"/>
      <c r="K33" s="35"/>
    </row>
    <row r="34" spans="1:11" s="4" customFormat="1" ht="18.75" customHeight="1" x14ac:dyDescent="0.15">
      <c r="A34" s="1"/>
      <c r="B34" s="280"/>
      <c r="C34" s="281"/>
      <c r="D34" s="281"/>
      <c r="E34" s="281"/>
      <c r="F34" s="281"/>
      <c r="G34" s="281"/>
      <c r="H34" s="281"/>
      <c r="I34" s="281"/>
      <c r="J34" s="282"/>
      <c r="K34" s="35"/>
    </row>
    <row r="35" spans="1:11" s="4" customFormat="1" ht="18.75" customHeight="1" x14ac:dyDescent="0.15">
      <c r="A35" s="1"/>
      <c r="B35" s="280"/>
      <c r="C35" s="281"/>
      <c r="D35" s="281"/>
      <c r="E35" s="281"/>
      <c r="F35" s="281"/>
      <c r="G35" s="281"/>
      <c r="H35" s="281"/>
      <c r="I35" s="281"/>
      <c r="J35" s="282"/>
      <c r="K35" s="35"/>
    </row>
    <row r="36" spans="1:11" s="4" customFormat="1" ht="18.75" customHeight="1" x14ac:dyDescent="0.15">
      <c r="A36" s="1"/>
      <c r="B36" s="280"/>
      <c r="C36" s="281"/>
      <c r="D36" s="281"/>
      <c r="E36" s="281"/>
      <c r="F36" s="281"/>
      <c r="G36" s="281"/>
      <c r="H36" s="281"/>
      <c r="I36" s="281"/>
      <c r="J36" s="282"/>
      <c r="K36" s="35"/>
    </row>
    <row r="37" spans="1:11" s="4" customFormat="1" ht="18.75" customHeight="1" x14ac:dyDescent="0.15">
      <c r="A37" s="1"/>
      <c r="B37" s="280"/>
      <c r="C37" s="281"/>
      <c r="D37" s="281"/>
      <c r="E37" s="281"/>
      <c r="F37" s="281"/>
      <c r="G37" s="281"/>
      <c r="H37" s="281"/>
      <c r="I37" s="281"/>
      <c r="J37" s="282"/>
      <c r="K37" s="35"/>
    </row>
    <row r="38" spans="1:11" s="4" customFormat="1" ht="18.75" customHeight="1" x14ac:dyDescent="0.15">
      <c r="A38" s="1"/>
      <c r="B38" s="280"/>
      <c r="C38" s="281"/>
      <c r="D38" s="281"/>
      <c r="E38" s="281"/>
      <c r="F38" s="281"/>
      <c r="G38" s="281"/>
      <c r="H38" s="281"/>
      <c r="I38" s="281"/>
      <c r="J38" s="282"/>
      <c r="K38" s="35"/>
    </row>
    <row r="39" spans="1:11" s="4" customFormat="1" ht="18.75" customHeight="1" x14ac:dyDescent="0.15">
      <c r="A39" s="1"/>
      <c r="B39" s="280"/>
      <c r="C39" s="281"/>
      <c r="D39" s="281"/>
      <c r="E39" s="281"/>
      <c r="F39" s="281"/>
      <c r="G39" s="281"/>
      <c r="H39" s="281"/>
      <c r="I39" s="281"/>
      <c r="J39" s="282"/>
      <c r="K39" s="35"/>
    </row>
    <row r="40" spans="1:11" s="4" customFormat="1" ht="18.75" customHeight="1" x14ac:dyDescent="0.15">
      <c r="A40" s="1"/>
      <c r="B40" s="280"/>
      <c r="C40" s="281"/>
      <c r="D40" s="281"/>
      <c r="E40" s="281"/>
      <c r="F40" s="281"/>
      <c r="G40" s="281"/>
      <c r="H40" s="281"/>
      <c r="I40" s="281"/>
      <c r="J40" s="282"/>
      <c r="K40" s="35"/>
    </row>
    <row r="41" spans="1:11" s="4" customFormat="1" ht="18.75" customHeight="1" x14ac:dyDescent="0.15">
      <c r="A41" s="1"/>
      <c r="B41" s="280"/>
      <c r="C41" s="281"/>
      <c r="D41" s="281"/>
      <c r="E41" s="281"/>
      <c r="F41" s="281"/>
      <c r="G41" s="281"/>
      <c r="H41" s="281"/>
      <c r="I41" s="281"/>
      <c r="J41" s="282"/>
      <c r="K41" s="35"/>
    </row>
    <row r="42" spans="1:11" s="4" customFormat="1" ht="18.75" customHeight="1" x14ac:dyDescent="0.15">
      <c r="A42" s="1"/>
      <c r="B42" s="280"/>
      <c r="C42" s="281"/>
      <c r="D42" s="281"/>
      <c r="E42" s="281"/>
      <c r="F42" s="281"/>
      <c r="G42" s="281"/>
      <c r="H42" s="281"/>
      <c r="I42" s="281"/>
      <c r="J42" s="282"/>
      <c r="K42" s="35"/>
    </row>
    <row r="43" spans="1:11" ht="18.75" customHeight="1" x14ac:dyDescent="0.15">
      <c r="A43" s="39"/>
      <c r="B43" s="280"/>
      <c r="C43" s="281"/>
      <c r="D43" s="281"/>
      <c r="E43" s="281"/>
      <c r="F43" s="281"/>
      <c r="G43" s="281"/>
      <c r="H43" s="281"/>
      <c r="I43" s="281"/>
      <c r="J43" s="282"/>
      <c r="K43" s="35"/>
    </row>
    <row r="44" spans="1:11" ht="18.75" customHeight="1" x14ac:dyDescent="0.15">
      <c r="A44" s="39"/>
      <c r="B44" s="283"/>
      <c r="C44" s="284"/>
      <c r="D44" s="284"/>
      <c r="E44" s="284"/>
      <c r="F44" s="284"/>
      <c r="G44" s="284"/>
      <c r="H44" s="284"/>
      <c r="I44" s="284"/>
      <c r="J44" s="285"/>
    </row>
    <row r="45" spans="1:11" s="4" customFormat="1" ht="18.75" customHeight="1" x14ac:dyDescent="0.15">
      <c r="A45" s="97" t="s">
        <v>11</v>
      </c>
      <c r="B45" s="1" t="s">
        <v>65</v>
      </c>
      <c r="C45" s="1"/>
      <c r="D45" s="1"/>
      <c r="E45" s="1"/>
      <c r="F45" s="1"/>
      <c r="G45" s="1"/>
      <c r="H45" s="1"/>
      <c r="I45" s="97"/>
      <c r="J45" s="97"/>
      <c r="K45" s="31"/>
    </row>
    <row r="46" spans="1:11" ht="18.75" customHeight="1" x14ac:dyDescent="0.15">
      <c r="A46" s="39"/>
      <c r="B46" s="277" t="s">
        <v>253</v>
      </c>
      <c r="C46" s="278"/>
      <c r="D46" s="278"/>
      <c r="E46" s="278"/>
      <c r="F46" s="278"/>
      <c r="G46" s="278"/>
      <c r="H46" s="278"/>
      <c r="I46" s="278"/>
      <c r="J46" s="279"/>
      <c r="K46" s="31" t="str">
        <f>IF(B46="","入力してください","")</f>
        <v/>
      </c>
    </row>
    <row r="47" spans="1:11" ht="18.75" customHeight="1" x14ac:dyDescent="0.15">
      <c r="A47" s="39"/>
      <c r="B47" s="280"/>
      <c r="C47" s="281"/>
      <c r="D47" s="281"/>
      <c r="E47" s="281"/>
      <c r="F47" s="281"/>
      <c r="G47" s="281"/>
      <c r="H47" s="281"/>
      <c r="I47" s="281"/>
      <c r="J47" s="282"/>
    </row>
    <row r="48" spans="1:11" ht="18.75" customHeight="1" x14ac:dyDescent="0.15">
      <c r="A48" s="39"/>
      <c r="B48" s="280"/>
      <c r="C48" s="281"/>
      <c r="D48" s="281"/>
      <c r="E48" s="281"/>
      <c r="F48" s="281"/>
      <c r="G48" s="281"/>
      <c r="H48" s="281"/>
      <c r="I48" s="281"/>
      <c r="J48" s="282"/>
    </row>
    <row r="49" spans="1:10" ht="18.75" customHeight="1" x14ac:dyDescent="0.15">
      <c r="A49" s="39"/>
      <c r="B49" s="280"/>
      <c r="C49" s="281"/>
      <c r="D49" s="281"/>
      <c r="E49" s="281"/>
      <c r="F49" s="281"/>
      <c r="G49" s="281"/>
      <c r="H49" s="281"/>
      <c r="I49" s="281"/>
      <c r="J49" s="282"/>
    </row>
    <row r="50" spans="1:10" ht="18.75" customHeight="1" x14ac:dyDescent="0.15">
      <c r="A50" s="39"/>
      <c r="B50" s="280"/>
      <c r="C50" s="281"/>
      <c r="D50" s="281"/>
      <c r="E50" s="281"/>
      <c r="F50" s="281"/>
      <c r="G50" s="281"/>
      <c r="H50" s="281"/>
      <c r="I50" s="281"/>
      <c r="J50" s="282"/>
    </row>
    <row r="51" spans="1:10" ht="18.75" customHeight="1" x14ac:dyDescent="0.15">
      <c r="A51" s="39"/>
      <c r="B51" s="280"/>
      <c r="C51" s="281"/>
      <c r="D51" s="281"/>
      <c r="E51" s="281"/>
      <c r="F51" s="281"/>
      <c r="G51" s="281"/>
      <c r="H51" s="281"/>
      <c r="I51" s="281"/>
      <c r="J51" s="282"/>
    </row>
    <row r="52" spans="1:10" ht="18.75" customHeight="1" x14ac:dyDescent="0.15">
      <c r="A52" s="39"/>
      <c r="B52" s="280"/>
      <c r="C52" s="281"/>
      <c r="D52" s="281"/>
      <c r="E52" s="281"/>
      <c r="F52" s="281"/>
      <c r="G52" s="281"/>
      <c r="H52" s="281"/>
      <c r="I52" s="281"/>
      <c r="J52" s="282"/>
    </row>
    <row r="53" spans="1:10" ht="18.75" customHeight="1" x14ac:dyDescent="0.15">
      <c r="A53" s="39"/>
      <c r="B53" s="280"/>
      <c r="C53" s="281"/>
      <c r="D53" s="281"/>
      <c r="E53" s="281"/>
      <c r="F53" s="281"/>
      <c r="G53" s="281"/>
      <c r="H53" s="281"/>
      <c r="I53" s="281"/>
      <c r="J53" s="282"/>
    </row>
    <row r="54" spans="1:10" ht="18.75" customHeight="1" x14ac:dyDescent="0.15">
      <c r="A54" s="39"/>
      <c r="B54" s="280"/>
      <c r="C54" s="281"/>
      <c r="D54" s="281"/>
      <c r="E54" s="281"/>
      <c r="F54" s="281"/>
      <c r="G54" s="281"/>
      <c r="H54" s="281"/>
      <c r="I54" s="281"/>
      <c r="J54" s="282"/>
    </row>
    <row r="55" spans="1:10" ht="18.75" customHeight="1" x14ac:dyDescent="0.15">
      <c r="A55" s="39"/>
      <c r="B55" s="280"/>
      <c r="C55" s="281"/>
      <c r="D55" s="281"/>
      <c r="E55" s="281"/>
      <c r="F55" s="281"/>
      <c r="G55" s="281"/>
      <c r="H55" s="281"/>
      <c r="I55" s="281"/>
      <c r="J55" s="282"/>
    </row>
    <row r="56" spans="1:10" ht="18.75" customHeight="1" x14ac:dyDescent="0.15">
      <c r="A56" s="39"/>
      <c r="B56" s="280"/>
      <c r="C56" s="281"/>
      <c r="D56" s="281"/>
      <c r="E56" s="281"/>
      <c r="F56" s="281"/>
      <c r="G56" s="281"/>
      <c r="H56" s="281"/>
      <c r="I56" s="281"/>
      <c r="J56" s="282"/>
    </row>
    <row r="57" spans="1:10" ht="18.75" customHeight="1" x14ac:dyDescent="0.15">
      <c r="A57" s="39"/>
      <c r="B57" s="280"/>
      <c r="C57" s="281"/>
      <c r="D57" s="281"/>
      <c r="E57" s="281"/>
      <c r="F57" s="281"/>
      <c r="G57" s="281"/>
      <c r="H57" s="281"/>
      <c r="I57" s="281"/>
      <c r="J57" s="282"/>
    </row>
    <row r="58" spans="1:10" ht="18.75" customHeight="1" x14ac:dyDescent="0.15">
      <c r="A58" s="39"/>
      <c r="B58" s="280"/>
      <c r="C58" s="281"/>
      <c r="D58" s="281"/>
      <c r="E58" s="281"/>
      <c r="F58" s="281"/>
      <c r="G58" s="281"/>
      <c r="H58" s="281"/>
      <c r="I58" s="281"/>
      <c r="J58" s="282"/>
    </row>
    <row r="59" spans="1:10" ht="18.75" customHeight="1" x14ac:dyDescent="0.15">
      <c r="A59" s="39"/>
      <c r="B59" s="280"/>
      <c r="C59" s="281"/>
      <c r="D59" s="281"/>
      <c r="E59" s="281"/>
      <c r="F59" s="281"/>
      <c r="G59" s="281"/>
      <c r="H59" s="281"/>
      <c r="I59" s="281"/>
      <c r="J59" s="282"/>
    </row>
    <row r="60" spans="1:10" ht="18.75" customHeight="1" x14ac:dyDescent="0.15">
      <c r="A60" s="39"/>
      <c r="B60" s="280"/>
      <c r="C60" s="281"/>
      <c r="D60" s="281"/>
      <c r="E60" s="281"/>
      <c r="F60" s="281"/>
      <c r="G60" s="281"/>
      <c r="H60" s="281"/>
      <c r="I60" s="281"/>
      <c r="J60" s="282"/>
    </row>
    <row r="61" spans="1:10" ht="18.75" customHeight="1" x14ac:dyDescent="0.15">
      <c r="A61" s="39"/>
      <c r="B61" s="280"/>
      <c r="C61" s="281"/>
      <c r="D61" s="281"/>
      <c r="E61" s="281"/>
      <c r="F61" s="281"/>
      <c r="G61" s="281"/>
      <c r="H61" s="281"/>
      <c r="I61" s="281"/>
      <c r="J61" s="282"/>
    </row>
    <row r="62" spans="1:10" ht="18.75" customHeight="1" x14ac:dyDescent="0.15">
      <c r="A62" s="39"/>
      <c r="B62" s="280"/>
      <c r="C62" s="281"/>
      <c r="D62" s="281"/>
      <c r="E62" s="281"/>
      <c r="F62" s="281"/>
      <c r="G62" s="281"/>
      <c r="H62" s="281"/>
      <c r="I62" s="281"/>
      <c r="J62" s="282"/>
    </row>
    <row r="63" spans="1:10" ht="18.75" customHeight="1" x14ac:dyDescent="0.15">
      <c r="A63" s="39"/>
      <c r="B63" s="280"/>
      <c r="C63" s="281"/>
      <c r="D63" s="281"/>
      <c r="E63" s="281"/>
      <c r="F63" s="281"/>
      <c r="G63" s="281"/>
      <c r="H63" s="281"/>
      <c r="I63" s="281"/>
      <c r="J63" s="282"/>
    </row>
    <row r="64" spans="1:10" ht="18.75" customHeight="1" x14ac:dyDescent="0.15">
      <c r="A64" s="39"/>
      <c r="B64" s="280"/>
      <c r="C64" s="281"/>
      <c r="D64" s="281"/>
      <c r="E64" s="281"/>
      <c r="F64" s="281"/>
      <c r="G64" s="281"/>
      <c r="H64" s="281"/>
      <c r="I64" s="281"/>
      <c r="J64" s="282"/>
    </row>
    <row r="65" spans="1:11" ht="18.75" customHeight="1" x14ac:dyDescent="0.15">
      <c r="A65" s="39"/>
      <c r="B65" s="280"/>
      <c r="C65" s="281"/>
      <c r="D65" s="281"/>
      <c r="E65" s="281"/>
      <c r="F65" s="281"/>
      <c r="G65" s="281"/>
      <c r="H65" s="281"/>
      <c r="I65" s="281"/>
      <c r="J65" s="282"/>
    </row>
    <row r="66" spans="1:11" ht="18.75" customHeight="1" x14ac:dyDescent="0.15">
      <c r="A66" s="39"/>
      <c r="B66" s="283"/>
      <c r="C66" s="284"/>
      <c r="D66" s="284"/>
      <c r="E66" s="284"/>
      <c r="F66" s="284"/>
      <c r="G66" s="284"/>
      <c r="H66" s="284"/>
      <c r="I66" s="284"/>
      <c r="J66" s="285"/>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77" t="s">
        <v>250</v>
      </c>
      <c r="C69" s="278"/>
      <c r="D69" s="278"/>
      <c r="E69" s="278"/>
      <c r="F69" s="278"/>
      <c r="G69" s="278"/>
      <c r="H69" s="278"/>
      <c r="I69" s="286"/>
      <c r="J69" s="287"/>
      <c r="K69" s="35" t="str">
        <f>IF(B69="","入力してください","")</f>
        <v/>
      </c>
    </row>
    <row r="70" spans="1:11" s="4" customFormat="1" ht="18.75" customHeight="1" x14ac:dyDescent="0.15">
      <c r="A70" s="1"/>
      <c r="B70" s="288"/>
      <c r="C70" s="289"/>
      <c r="D70" s="289"/>
      <c r="E70" s="289"/>
      <c r="F70" s="289"/>
      <c r="G70" s="289"/>
      <c r="H70" s="289"/>
      <c r="I70" s="289"/>
      <c r="J70" s="290"/>
      <c r="K70" s="35"/>
    </row>
    <row r="71" spans="1:11" s="4" customFormat="1" ht="18.75" customHeight="1" x14ac:dyDescent="0.15">
      <c r="A71" s="1"/>
      <c r="B71" s="288"/>
      <c r="C71" s="289"/>
      <c r="D71" s="289"/>
      <c r="E71" s="289"/>
      <c r="F71" s="289"/>
      <c r="G71" s="289"/>
      <c r="H71" s="289"/>
      <c r="I71" s="289"/>
      <c r="J71" s="290"/>
      <c r="K71" s="35"/>
    </row>
    <row r="72" spans="1:11" s="4" customFormat="1" ht="18.75" customHeight="1" x14ac:dyDescent="0.15">
      <c r="A72" s="1"/>
      <c r="B72" s="288"/>
      <c r="C72" s="289"/>
      <c r="D72" s="289"/>
      <c r="E72" s="289"/>
      <c r="F72" s="289"/>
      <c r="G72" s="289"/>
      <c r="H72" s="289"/>
      <c r="I72" s="289"/>
      <c r="J72" s="290"/>
      <c r="K72" s="35"/>
    </row>
    <row r="73" spans="1:11" s="4" customFormat="1" ht="18.75" customHeight="1" x14ac:dyDescent="0.15">
      <c r="A73" s="1"/>
      <c r="B73" s="288"/>
      <c r="C73" s="289"/>
      <c r="D73" s="289"/>
      <c r="E73" s="289"/>
      <c r="F73" s="289"/>
      <c r="G73" s="289"/>
      <c r="H73" s="289"/>
      <c r="I73" s="289"/>
      <c r="J73" s="290"/>
      <c r="K73" s="35"/>
    </row>
    <row r="74" spans="1:11" s="4" customFormat="1" ht="18.75" customHeight="1" x14ac:dyDescent="0.15">
      <c r="A74" s="1"/>
      <c r="B74" s="288"/>
      <c r="C74" s="289"/>
      <c r="D74" s="289"/>
      <c r="E74" s="289"/>
      <c r="F74" s="289"/>
      <c r="G74" s="289"/>
      <c r="H74" s="289"/>
      <c r="I74" s="289"/>
      <c r="J74" s="290"/>
      <c r="K74" s="35"/>
    </row>
    <row r="75" spans="1:11" s="4" customFormat="1" ht="18.75" customHeight="1" x14ac:dyDescent="0.15">
      <c r="A75" s="1"/>
      <c r="B75" s="288"/>
      <c r="C75" s="289"/>
      <c r="D75" s="289"/>
      <c r="E75" s="289"/>
      <c r="F75" s="289"/>
      <c r="G75" s="289"/>
      <c r="H75" s="289"/>
      <c r="I75" s="289"/>
      <c r="J75" s="290"/>
      <c r="K75" s="35"/>
    </row>
    <row r="76" spans="1:11" s="4" customFormat="1" ht="18.75" customHeight="1" x14ac:dyDescent="0.15">
      <c r="A76" s="1"/>
      <c r="B76" s="288"/>
      <c r="C76" s="289"/>
      <c r="D76" s="289"/>
      <c r="E76" s="289"/>
      <c r="F76" s="289"/>
      <c r="G76" s="289"/>
      <c r="H76" s="289"/>
      <c r="I76" s="289"/>
      <c r="J76" s="290"/>
      <c r="K76" s="35"/>
    </row>
    <row r="77" spans="1:11" s="4" customFormat="1" ht="18.75" customHeight="1" x14ac:dyDescent="0.15">
      <c r="A77" s="1"/>
      <c r="B77" s="288"/>
      <c r="C77" s="289"/>
      <c r="D77" s="289"/>
      <c r="E77" s="289"/>
      <c r="F77" s="289"/>
      <c r="G77" s="289"/>
      <c r="H77" s="289"/>
      <c r="I77" s="289"/>
      <c r="J77" s="290"/>
      <c r="K77" s="35"/>
    </row>
    <row r="78" spans="1:11" s="4" customFormat="1" ht="18.75" customHeight="1" x14ac:dyDescent="0.15">
      <c r="A78" s="1"/>
      <c r="B78" s="288"/>
      <c r="C78" s="289"/>
      <c r="D78" s="289"/>
      <c r="E78" s="289"/>
      <c r="F78" s="289"/>
      <c r="G78" s="289"/>
      <c r="H78" s="289"/>
      <c r="I78" s="289"/>
      <c r="J78" s="290"/>
      <c r="K78" s="35"/>
    </row>
    <row r="79" spans="1:11" s="4" customFormat="1" ht="18.75" customHeight="1" x14ac:dyDescent="0.15">
      <c r="A79" s="1"/>
      <c r="B79" s="288"/>
      <c r="C79" s="289"/>
      <c r="D79" s="289"/>
      <c r="E79" s="289"/>
      <c r="F79" s="289"/>
      <c r="G79" s="289"/>
      <c r="H79" s="289"/>
      <c r="I79" s="289"/>
      <c r="J79" s="290"/>
      <c r="K79" s="35"/>
    </row>
    <row r="80" spans="1:11" s="4" customFormat="1" ht="18.75" customHeight="1" x14ac:dyDescent="0.15">
      <c r="A80" s="1"/>
      <c r="B80" s="288"/>
      <c r="C80" s="289"/>
      <c r="D80" s="289"/>
      <c r="E80" s="289"/>
      <c r="F80" s="289"/>
      <c r="G80" s="289"/>
      <c r="H80" s="289"/>
      <c r="I80" s="289"/>
      <c r="J80" s="290"/>
      <c r="K80" s="35"/>
    </row>
    <row r="81" spans="1:11" s="4" customFormat="1" ht="18.75" customHeight="1" x14ac:dyDescent="0.15">
      <c r="A81" s="1"/>
      <c r="B81" s="288"/>
      <c r="C81" s="289"/>
      <c r="D81" s="289"/>
      <c r="E81" s="289"/>
      <c r="F81" s="289"/>
      <c r="G81" s="289"/>
      <c r="H81" s="289"/>
      <c r="I81" s="289"/>
      <c r="J81" s="290"/>
      <c r="K81" s="35"/>
    </row>
    <row r="82" spans="1:11" s="4" customFormat="1" ht="18.75" customHeight="1" x14ac:dyDescent="0.15">
      <c r="A82" s="1"/>
      <c r="B82" s="288"/>
      <c r="C82" s="289"/>
      <c r="D82" s="289"/>
      <c r="E82" s="289"/>
      <c r="F82" s="289"/>
      <c r="G82" s="289"/>
      <c r="H82" s="289"/>
      <c r="I82" s="289"/>
      <c r="J82" s="290"/>
      <c r="K82" s="35"/>
    </row>
    <row r="83" spans="1:11" s="4" customFormat="1" ht="18.75" customHeight="1" x14ac:dyDescent="0.15">
      <c r="A83" s="1"/>
      <c r="B83" s="288"/>
      <c r="C83" s="289"/>
      <c r="D83" s="289"/>
      <c r="E83" s="289"/>
      <c r="F83" s="289"/>
      <c r="G83" s="289"/>
      <c r="H83" s="289"/>
      <c r="I83" s="289"/>
      <c r="J83" s="290"/>
      <c r="K83" s="35"/>
    </row>
    <row r="84" spans="1:11" s="4" customFormat="1" ht="18.75" customHeight="1" x14ac:dyDescent="0.15">
      <c r="A84" s="1"/>
      <c r="B84" s="288"/>
      <c r="C84" s="289"/>
      <c r="D84" s="289"/>
      <c r="E84" s="289"/>
      <c r="F84" s="289"/>
      <c r="G84" s="289"/>
      <c r="H84" s="289"/>
      <c r="I84" s="289"/>
      <c r="J84" s="290"/>
      <c r="K84" s="35"/>
    </row>
    <row r="85" spans="1:11" ht="18.75" customHeight="1" x14ac:dyDescent="0.15">
      <c r="A85" s="39"/>
      <c r="B85" s="288"/>
      <c r="C85" s="289"/>
      <c r="D85" s="289"/>
      <c r="E85" s="289"/>
      <c r="F85" s="289"/>
      <c r="G85" s="289"/>
      <c r="H85" s="289"/>
      <c r="I85" s="289"/>
      <c r="J85" s="290"/>
      <c r="K85" s="35"/>
    </row>
    <row r="86" spans="1:11" ht="18.75" customHeight="1" x14ac:dyDescent="0.15">
      <c r="A86" s="39"/>
      <c r="B86" s="291"/>
      <c r="C86" s="292"/>
      <c r="D86" s="292"/>
      <c r="E86" s="292"/>
      <c r="F86" s="292"/>
      <c r="G86" s="292"/>
      <c r="H86" s="292"/>
      <c r="I86" s="292"/>
      <c r="J86" s="293"/>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77" t="s">
        <v>254</v>
      </c>
      <c r="C89" s="278"/>
      <c r="D89" s="278"/>
      <c r="E89" s="278"/>
      <c r="F89" s="278"/>
      <c r="G89" s="278"/>
      <c r="H89" s="278"/>
      <c r="I89" s="286"/>
      <c r="J89" s="287"/>
      <c r="K89" s="31"/>
    </row>
    <row r="90" spans="1:11" s="4" customFormat="1" ht="18.75" customHeight="1" x14ac:dyDescent="0.15">
      <c r="A90" s="1"/>
      <c r="B90" s="288"/>
      <c r="C90" s="289"/>
      <c r="D90" s="289"/>
      <c r="E90" s="289"/>
      <c r="F90" s="289"/>
      <c r="G90" s="289"/>
      <c r="H90" s="289"/>
      <c r="I90" s="289"/>
      <c r="J90" s="290"/>
      <c r="K90" s="35"/>
    </row>
    <row r="91" spans="1:11" s="4" customFormat="1" ht="18.75" customHeight="1" x14ac:dyDescent="0.15">
      <c r="A91" s="1"/>
      <c r="B91" s="288"/>
      <c r="C91" s="289"/>
      <c r="D91" s="289"/>
      <c r="E91" s="289"/>
      <c r="F91" s="289"/>
      <c r="G91" s="289"/>
      <c r="H91" s="289"/>
      <c r="I91" s="289"/>
      <c r="J91" s="290"/>
      <c r="K91" s="35" t="str">
        <f>IF(B89="","入力してください","")</f>
        <v/>
      </c>
    </row>
    <row r="92" spans="1:11" s="4" customFormat="1" ht="18.75" customHeight="1" x14ac:dyDescent="0.15">
      <c r="A92" s="1"/>
      <c r="B92" s="288"/>
      <c r="C92" s="289"/>
      <c r="D92" s="289"/>
      <c r="E92" s="289"/>
      <c r="F92" s="289"/>
      <c r="G92" s="289"/>
      <c r="H92" s="289"/>
      <c r="I92" s="289"/>
      <c r="J92" s="290"/>
      <c r="K92" s="35"/>
    </row>
    <row r="93" spans="1:11" s="4" customFormat="1" ht="18.75" customHeight="1" x14ac:dyDescent="0.15">
      <c r="A93" s="1"/>
      <c r="B93" s="288"/>
      <c r="C93" s="289"/>
      <c r="D93" s="289"/>
      <c r="E93" s="289"/>
      <c r="F93" s="289"/>
      <c r="G93" s="289"/>
      <c r="H93" s="289"/>
      <c r="I93" s="289"/>
      <c r="J93" s="290"/>
      <c r="K93" s="35"/>
    </row>
    <row r="94" spans="1:11" s="4" customFormat="1" ht="18.75" customHeight="1" x14ac:dyDescent="0.15">
      <c r="A94" s="1"/>
      <c r="B94" s="288"/>
      <c r="C94" s="289"/>
      <c r="D94" s="289"/>
      <c r="E94" s="289"/>
      <c r="F94" s="289"/>
      <c r="G94" s="289"/>
      <c r="H94" s="289"/>
      <c r="I94" s="289"/>
      <c r="J94" s="290"/>
      <c r="K94" s="35"/>
    </row>
    <row r="95" spans="1:11" s="4" customFormat="1" ht="18.75" customHeight="1" x14ac:dyDescent="0.15">
      <c r="A95" s="1"/>
      <c r="B95" s="288"/>
      <c r="C95" s="289"/>
      <c r="D95" s="289"/>
      <c r="E95" s="289"/>
      <c r="F95" s="289"/>
      <c r="G95" s="289"/>
      <c r="H95" s="289"/>
      <c r="I95" s="289"/>
      <c r="J95" s="290"/>
      <c r="K95" s="35"/>
    </row>
    <row r="96" spans="1:11" s="4" customFormat="1" ht="18.75" customHeight="1" x14ac:dyDescent="0.15">
      <c r="A96" s="1"/>
      <c r="B96" s="288"/>
      <c r="C96" s="289"/>
      <c r="D96" s="289"/>
      <c r="E96" s="289"/>
      <c r="F96" s="289"/>
      <c r="G96" s="289"/>
      <c r="H96" s="289"/>
      <c r="I96" s="289"/>
      <c r="J96" s="290"/>
      <c r="K96" s="35"/>
    </row>
    <row r="97" spans="1:11" s="4" customFormat="1" ht="18.75" customHeight="1" x14ac:dyDescent="0.15">
      <c r="A97" s="1"/>
      <c r="B97" s="288"/>
      <c r="C97" s="289"/>
      <c r="D97" s="289"/>
      <c r="E97" s="289"/>
      <c r="F97" s="289"/>
      <c r="G97" s="289"/>
      <c r="H97" s="289"/>
      <c r="I97" s="289"/>
      <c r="J97" s="290"/>
      <c r="K97" s="35"/>
    </row>
    <row r="98" spans="1:11" s="4" customFormat="1" ht="18.75" customHeight="1" x14ac:dyDescent="0.15">
      <c r="A98" s="1"/>
      <c r="B98" s="288"/>
      <c r="C98" s="289"/>
      <c r="D98" s="289"/>
      <c r="E98" s="289"/>
      <c r="F98" s="289"/>
      <c r="G98" s="289"/>
      <c r="H98" s="289"/>
      <c r="I98" s="289"/>
      <c r="J98" s="290"/>
      <c r="K98" s="35"/>
    </row>
    <row r="99" spans="1:11" s="4" customFormat="1" ht="18.75" customHeight="1" x14ac:dyDescent="0.15">
      <c r="A99" s="1"/>
      <c r="B99" s="288"/>
      <c r="C99" s="289"/>
      <c r="D99" s="289"/>
      <c r="E99" s="289"/>
      <c r="F99" s="289"/>
      <c r="G99" s="289"/>
      <c r="H99" s="289"/>
      <c r="I99" s="289"/>
      <c r="J99" s="290"/>
      <c r="K99" s="35"/>
    </row>
    <row r="100" spans="1:11" s="4" customFormat="1" ht="18.75" customHeight="1" x14ac:dyDescent="0.15">
      <c r="A100" s="1"/>
      <c r="B100" s="288"/>
      <c r="C100" s="289"/>
      <c r="D100" s="289"/>
      <c r="E100" s="289"/>
      <c r="F100" s="289"/>
      <c r="G100" s="289"/>
      <c r="H100" s="289"/>
      <c r="I100" s="289"/>
      <c r="J100" s="290"/>
      <c r="K100" s="35"/>
    </row>
    <row r="101" spans="1:11" s="4" customFormat="1" ht="18.75" customHeight="1" x14ac:dyDescent="0.15">
      <c r="A101" s="1"/>
      <c r="B101" s="288"/>
      <c r="C101" s="289"/>
      <c r="D101" s="289"/>
      <c r="E101" s="289"/>
      <c r="F101" s="289"/>
      <c r="G101" s="289"/>
      <c r="H101" s="289"/>
      <c r="I101" s="289"/>
      <c r="J101" s="290"/>
      <c r="K101" s="35"/>
    </row>
    <row r="102" spans="1:11" s="4" customFormat="1" ht="18.75" customHeight="1" x14ac:dyDescent="0.15">
      <c r="A102" s="1"/>
      <c r="B102" s="288"/>
      <c r="C102" s="289"/>
      <c r="D102" s="289"/>
      <c r="E102" s="289"/>
      <c r="F102" s="289"/>
      <c r="G102" s="289"/>
      <c r="H102" s="289"/>
      <c r="I102" s="289"/>
      <c r="J102" s="290"/>
      <c r="K102" s="35"/>
    </row>
    <row r="103" spans="1:11" s="4" customFormat="1" ht="18.75" customHeight="1" x14ac:dyDescent="0.15">
      <c r="A103" s="1"/>
      <c r="B103" s="288"/>
      <c r="C103" s="289"/>
      <c r="D103" s="289"/>
      <c r="E103" s="289"/>
      <c r="F103" s="289"/>
      <c r="G103" s="289"/>
      <c r="H103" s="289"/>
      <c r="I103" s="289"/>
      <c r="J103" s="290"/>
      <c r="K103" s="35"/>
    </row>
    <row r="104" spans="1:11" s="4" customFormat="1" ht="18.75" customHeight="1" x14ac:dyDescent="0.15">
      <c r="A104" s="1"/>
      <c r="B104" s="288"/>
      <c r="C104" s="289"/>
      <c r="D104" s="289"/>
      <c r="E104" s="289"/>
      <c r="F104" s="289"/>
      <c r="G104" s="289"/>
      <c r="H104" s="289"/>
      <c r="I104" s="289"/>
      <c r="J104" s="290"/>
      <c r="K104" s="35"/>
    </row>
    <row r="105" spans="1:11" s="4" customFormat="1" ht="18.75" customHeight="1" x14ac:dyDescent="0.15">
      <c r="A105" s="1"/>
      <c r="B105" s="288"/>
      <c r="C105" s="289"/>
      <c r="D105" s="289"/>
      <c r="E105" s="289"/>
      <c r="F105" s="289"/>
      <c r="G105" s="289"/>
      <c r="H105" s="289"/>
      <c r="I105" s="289"/>
      <c r="J105" s="290"/>
      <c r="K105" s="35"/>
    </row>
    <row r="106" spans="1:11" s="4" customFormat="1" ht="18.75" customHeight="1" x14ac:dyDescent="0.15">
      <c r="A106" s="1"/>
      <c r="B106" s="288"/>
      <c r="C106" s="289"/>
      <c r="D106" s="289"/>
      <c r="E106" s="289"/>
      <c r="F106" s="289"/>
      <c r="G106" s="289"/>
      <c r="H106" s="289"/>
      <c r="I106" s="289"/>
      <c r="J106" s="290"/>
      <c r="K106" s="35"/>
    </row>
    <row r="107" spans="1:11" ht="18.75" customHeight="1" x14ac:dyDescent="0.15">
      <c r="A107" s="39"/>
      <c r="B107" s="288"/>
      <c r="C107" s="289"/>
      <c r="D107" s="289"/>
      <c r="E107" s="289"/>
      <c r="F107" s="289"/>
      <c r="G107" s="289"/>
      <c r="H107" s="289"/>
      <c r="I107" s="289"/>
      <c r="J107" s="290"/>
      <c r="K107" s="35"/>
    </row>
    <row r="108" spans="1:11" ht="18.75" customHeight="1" x14ac:dyDescent="0.15">
      <c r="A108" s="39"/>
      <c r="B108" s="291"/>
      <c r="C108" s="292"/>
      <c r="D108" s="292"/>
      <c r="E108" s="292"/>
      <c r="F108" s="292"/>
      <c r="G108" s="292"/>
      <c r="H108" s="292"/>
      <c r="I108" s="292"/>
      <c r="J108" s="293"/>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294" t="s">
        <v>82</v>
      </c>
      <c r="C110" s="294"/>
      <c r="D110" s="294"/>
      <c r="E110" s="294"/>
      <c r="F110" s="294"/>
      <c r="G110" s="294"/>
      <c r="H110" s="294"/>
      <c r="I110" s="294"/>
      <c r="J110" s="294"/>
      <c r="K110" s="31"/>
    </row>
    <row r="111" spans="1:11" ht="18.75" customHeight="1" x14ac:dyDescent="0.15">
      <c r="A111" s="39"/>
      <c r="B111" s="277" t="s">
        <v>255</v>
      </c>
      <c r="C111" s="278"/>
      <c r="D111" s="278"/>
      <c r="E111" s="278"/>
      <c r="F111" s="278"/>
      <c r="G111" s="278"/>
      <c r="H111" s="278"/>
      <c r="I111" s="286"/>
      <c r="J111" s="287"/>
    </row>
    <row r="112" spans="1:11" ht="18.75" customHeight="1" x14ac:dyDescent="0.15">
      <c r="A112" s="39"/>
      <c r="B112" s="288"/>
      <c r="C112" s="289"/>
      <c r="D112" s="289"/>
      <c r="E112" s="289"/>
      <c r="F112" s="289"/>
      <c r="G112" s="289"/>
      <c r="H112" s="289"/>
      <c r="I112" s="289"/>
      <c r="J112" s="290"/>
      <c r="K112" s="35"/>
    </row>
    <row r="113" spans="1:11" ht="18.75" customHeight="1" x14ac:dyDescent="0.15">
      <c r="A113" s="39"/>
      <c r="B113" s="288"/>
      <c r="C113" s="289"/>
      <c r="D113" s="289"/>
      <c r="E113" s="289"/>
      <c r="F113" s="289"/>
      <c r="G113" s="289"/>
      <c r="H113" s="289"/>
      <c r="I113" s="289"/>
      <c r="J113" s="290"/>
      <c r="K113" s="31" t="str">
        <f>IF(B111="","入力してください","")</f>
        <v/>
      </c>
    </row>
    <row r="114" spans="1:11" ht="18.75" customHeight="1" x14ac:dyDescent="0.15">
      <c r="A114" s="39"/>
      <c r="B114" s="288"/>
      <c r="C114" s="289"/>
      <c r="D114" s="289"/>
      <c r="E114" s="289"/>
      <c r="F114" s="289"/>
      <c r="G114" s="289"/>
      <c r="H114" s="289"/>
      <c r="I114" s="289"/>
      <c r="J114" s="290"/>
    </row>
    <row r="115" spans="1:11" ht="18.75" customHeight="1" x14ac:dyDescent="0.15">
      <c r="A115" s="39"/>
      <c r="B115" s="288"/>
      <c r="C115" s="289"/>
      <c r="D115" s="289"/>
      <c r="E115" s="289"/>
      <c r="F115" s="289"/>
      <c r="G115" s="289"/>
      <c r="H115" s="289"/>
      <c r="I115" s="289"/>
      <c r="J115" s="290"/>
    </row>
    <row r="116" spans="1:11" ht="18.75" customHeight="1" x14ac:dyDescent="0.15">
      <c r="A116" s="39"/>
      <c r="B116" s="288"/>
      <c r="C116" s="289"/>
      <c r="D116" s="289"/>
      <c r="E116" s="289"/>
      <c r="F116" s="289"/>
      <c r="G116" s="289"/>
      <c r="H116" s="289"/>
      <c r="I116" s="289"/>
      <c r="J116" s="290"/>
    </row>
    <row r="117" spans="1:11" ht="18.75" customHeight="1" x14ac:dyDescent="0.15">
      <c r="A117" s="39"/>
      <c r="B117" s="288"/>
      <c r="C117" s="289"/>
      <c r="D117" s="289"/>
      <c r="E117" s="289"/>
      <c r="F117" s="289"/>
      <c r="G117" s="289"/>
      <c r="H117" s="289"/>
      <c r="I117" s="289"/>
      <c r="J117" s="290"/>
    </row>
    <row r="118" spans="1:11" ht="18.75" customHeight="1" x14ac:dyDescent="0.15">
      <c r="A118" s="39"/>
      <c r="B118" s="288"/>
      <c r="C118" s="289"/>
      <c r="D118" s="289"/>
      <c r="E118" s="289"/>
      <c r="F118" s="289"/>
      <c r="G118" s="289"/>
      <c r="H118" s="289"/>
      <c r="I118" s="289"/>
      <c r="J118" s="290"/>
    </row>
    <row r="119" spans="1:11" ht="18.75" customHeight="1" x14ac:dyDescent="0.15">
      <c r="A119" s="39"/>
      <c r="B119" s="288"/>
      <c r="C119" s="289"/>
      <c r="D119" s="289"/>
      <c r="E119" s="289"/>
      <c r="F119" s="289"/>
      <c r="G119" s="289"/>
      <c r="H119" s="289"/>
      <c r="I119" s="289"/>
      <c r="J119" s="290"/>
    </row>
    <row r="120" spans="1:11" ht="18.75" customHeight="1" x14ac:dyDescent="0.15">
      <c r="A120" s="39"/>
      <c r="B120" s="288"/>
      <c r="C120" s="289"/>
      <c r="D120" s="289"/>
      <c r="E120" s="289"/>
      <c r="F120" s="289"/>
      <c r="G120" s="289"/>
      <c r="H120" s="289"/>
      <c r="I120" s="289"/>
      <c r="J120" s="290"/>
    </row>
    <row r="121" spans="1:11" ht="18.75" customHeight="1" x14ac:dyDescent="0.15">
      <c r="A121" s="39"/>
      <c r="B121" s="288"/>
      <c r="C121" s="289"/>
      <c r="D121" s="289"/>
      <c r="E121" s="289"/>
      <c r="F121" s="289"/>
      <c r="G121" s="289"/>
      <c r="H121" s="289"/>
      <c r="I121" s="289"/>
      <c r="J121" s="290"/>
    </row>
    <row r="122" spans="1:11" ht="18.75" customHeight="1" x14ac:dyDescent="0.15">
      <c r="A122" s="39"/>
      <c r="B122" s="288"/>
      <c r="C122" s="289"/>
      <c r="D122" s="289"/>
      <c r="E122" s="289"/>
      <c r="F122" s="289"/>
      <c r="G122" s="289"/>
      <c r="H122" s="289"/>
      <c r="I122" s="289"/>
      <c r="J122" s="290"/>
    </row>
    <row r="123" spans="1:11" ht="18.75" customHeight="1" x14ac:dyDescent="0.15">
      <c r="A123" s="39"/>
      <c r="B123" s="288"/>
      <c r="C123" s="289"/>
      <c r="D123" s="289"/>
      <c r="E123" s="289"/>
      <c r="F123" s="289"/>
      <c r="G123" s="289"/>
      <c r="H123" s="289"/>
      <c r="I123" s="289"/>
      <c r="J123" s="290"/>
    </row>
    <row r="124" spans="1:11" ht="18.75" customHeight="1" x14ac:dyDescent="0.15">
      <c r="A124" s="39"/>
      <c r="B124" s="288"/>
      <c r="C124" s="289"/>
      <c r="D124" s="289"/>
      <c r="E124" s="289"/>
      <c r="F124" s="289"/>
      <c r="G124" s="289"/>
      <c r="H124" s="289"/>
      <c r="I124" s="289"/>
      <c r="J124" s="290"/>
    </row>
    <row r="125" spans="1:11" ht="18.75" customHeight="1" x14ac:dyDescent="0.15">
      <c r="A125" s="39"/>
      <c r="B125" s="288"/>
      <c r="C125" s="289"/>
      <c r="D125" s="289"/>
      <c r="E125" s="289"/>
      <c r="F125" s="289"/>
      <c r="G125" s="289"/>
      <c r="H125" s="289"/>
      <c r="I125" s="289"/>
      <c r="J125" s="290"/>
    </row>
    <row r="126" spans="1:11" ht="18.75" customHeight="1" x14ac:dyDescent="0.15">
      <c r="A126" s="39"/>
      <c r="B126" s="288"/>
      <c r="C126" s="289"/>
      <c r="D126" s="289"/>
      <c r="E126" s="289"/>
      <c r="F126" s="289"/>
      <c r="G126" s="289"/>
      <c r="H126" s="289"/>
      <c r="I126" s="289"/>
      <c r="J126" s="290"/>
    </row>
    <row r="127" spans="1:11" ht="18.75" customHeight="1" x14ac:dyDescent="0.15">
      <c r="A127" s="39"/>
      <c r="B127" s="288"/>
      <c r="C127" s="289"/>
      <c r="D127" s="289"/>
      <c r="E127" s="289"/>
      <c r="F127" s="289"/>
      <c r="G127" s="289"/>
      <c r="H127" s="289"/>
      <c r="I127" s="289"/>
      <c r="J127" s="290"/>
    </row>
    <row r="128" spans="1:11" ht="18.75" customHeight="1" x14ac:dyDescent="0.15">
      <c r="A128" s="39"/>
      <c r="B128" s="288"/>
      <c r="C128" s="289"/>
      <c r="D128" s="289"/>
      <c r="E128" s="289"/>
      <c r="F128" s="289"/>
      <c r="G128" s="289"/>
      <c r="H128" s="289"/>
      <c r="I128" s="289"/>
      <c r="J128" s="290"/>
    </row>
    <row r="129" spans="1:10" ht="18.75" customHeight="1" x14ac:dyDescent="0.15">
      <c r="A129" s="39"/>
      <c r="B129" s="291"/>
      <c r="C129" s="292"/>
      <c r="D129" s="292"/>
      <c r="E129" s="292"/>
      <c r="F129" s="292"/>
      <c r="G129" s="292"/>
      <c r="H129" s="292"/>
      <c r="I129" s="292"/>
      <c r="J129" s="293"/>
    </row>
    <row r="130" spans="1:10" ht="7.5" customHeight="1" x14ac:dyDescent="0.15">
      <c r="A130" s="39"/>
      <c r="B130" s="98"/>
      <c r="C130" s="98"/>
      <c r="D130" s="98"/>
      <c r="E130" s="98"/>
      <c r="F130" s="98"/>
      <c r="G130" s="98"/>
      <c r="H130" s="98"/>
      <c r="I130" s="98"/>
      <c r="J130" s="98"/>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99"/>
      <c r="B144" s="99"/>
      <c r="C144" s="99"/>
      <c r="D144" s="99"/>
      <c r="E144" s="99"/>
      <c r="F144" s="99"/>
      <c r="G144" s="99"/>
      <c r="H144" s="99"/>
      <c r="I144" s="99"/>
      <c r="J144" s="99"/>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topLeftCell="A10" zoomScale="80" zoomScaleNormal="100" zoomScaleSheetLayoutView="80" workbookViewId="0">
      <selection activeCell="N13" sqref="N13"/>
    </sheetView>
  </sheetViews>
  <sheetFormatPr defaultColWidth="11.375" defaultRowHeight="22.5" customHeight="1" x14ac:dyDescent="0.15"/>
  <cols>
    <col min="1" max="3" width="2.625" style="1" customWidth="1"/>
    <col min="4" max="4" width="22.125" style="1" customWidth="1"/>
    <col min="5" max="5" width="21.625" style="1" customWidth="1"/>
    <col min="6" max="7" width="7.62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41" t="s">
        <v>73</v>
      </c>
    </row>
    <row r="2" spans="1:11" ht="18.75" customHeight="1" x14ac:dyDescent="0.15">
      <c r="A2" s="261" t="s">
        <v>42</v>
      </c>
      <c r="B2" s="261"/>
      <c r="C2" s="261"/>
      <c r="D2" s="261"/>
      <c r="E2" s="261"/>
      <c r="F2" s="261"/>
      <c r="G2" s="261"/>
      <c r="H2" s="261"/>
      <c r="I2" s="261"/>
      <c r="J2" s="261"/>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14" t="s">
        <v>38</v>
      </c>
      <c r="C5" s="315"/>
      <c r="D5" s="316"/>
      <c r="E5" s="317" t="s">
        <v>40</v>
      </c>
      <c r="F5" s="317"/>
      <c r="G5" s="317"/>
      <c r="H5" s="317"/>
      <c r="I5" s="317"/>
      <c r="J5" s="318"/>
    </row>
    <row r="6" spans="1:11" ht="18.75" customHeight="1" x14ac:dyDescent="0.15">
      <c r="B6" s="3" t="s">
        <v>28</v>
      </c>
      <c r="C6" s="39"/>
      <c r="D6" s="7"/>
      <c r="I6" s="40"/>
      <c r="J6" s="5"/>
    </row>
    <row r="7" spans="1:11" ht="207" customHeight="1" x14ac:dyDescent="0.15">
      <c r="B7" s="6"/>
      <c r="C7" s="305" t="s">
        <v>29</v>
      </c>
      <c r="D7" s="306"/>
      <c r="E7" s="311" t="s">
        <v>237</v>
      </c>
      <c r="F7" s="307"/>
      <c r="G7" s="307"/>
      <c r="H7" s="307"/>
      <c r="I7" s="307"/>
      <c r="J7" s="308"/>
      <c r="K7" s="31" t="str">
        <f>IF(E7="","入力してください","")</f>
        <v/>
      </c>
    </row>
    <row r="8" spans="1:11" ht="207" customHeight="1" x14ac:dyDescent="0.15">
      <c r="B8" s="6"/>
      <c r="C8" s="312" t="s">
        <v>30</v>
      </c>
      <c r="D8" s="313"/>
      <c r="E8" s="311" t="s">
        <v>241</v>
      </c>
      <c r="F8" s="307"/>
      <c r="G8" s="307"/>
      <c r="H8" s="307"/>
      <c r="I8" s="307"/>
      <c r="J8" s="308"/>
      <c r="K8" s="31" t="str">
        <f>IF(E8="","入力してください","")</f>
        <v/>
      </c>
    </row>
    <row r="9" spans="1:11" ht="172.5" customHeight="1" x14ac:dyDescent="0.15">
      <c r="B9" s="6"/>
      <c r="C9" s="305" t="s">
        <v>31</v>
      </c>
      <c r="D9" s="306"/>
      <c r="E9" s="311" t="s">
        <v>238</v>
      </c>
      <c r="F9" s="307"/>
      <c r="G9" s="307"/>
      <c r="H9" s="307"/>
      <c r="I9" s="307"/>
      <c r="J9" s="308"/>
      <c r="K9" s="31" t="str">
        <f>IF(E9="","入力してください","")</f>
        <v/>
      </c>
    </row>
    <row r="10" spans="1:11" ht="172.5" customHeight="1" x14ac:dyDescent="0.15">
      <c r="B10" s="6"/>
      <c r="C10" s="305" t="s">
        <v>32</v>
      </c>
      <c r="D10" s="306"/>
      <c r="E10" s="311" t="s">
        <v>256</v>
      </c>
      <c r="F10" s="307"/>
      <c r="G10" s="307"/>
      <c r="H10" s="307"/>
      <c r="I10" s="307"/>
      <c r="J10" s="308"/>
      <c r="K10" s="31" t="str">
        <f>IF(E10="","入力してください","")</f>
        <v/>
      </c>
    </row>
    <row r="11" spans="1:11" ht="172.5" customHeight="1" x14ac:dyDescent="0.15">
      <c r="B11" s="6"/>
      <c r="C11" s="305" t="s">
        <v>33</v>
      </c>
      <c r="D11" s="306"/>
      <c r="E11" s="311" t="s">
        <v>239</v>
      </c>
      <c r="F11" s="307"/>
      <c r="G11" s="307"/>
      <c r="H11" s="307"/>
      <c r="I11" s="307"/>
      <c r="J11" s="308"/>
      <c r="K11" s="31" t="str">
        <f>IF(E11="","入力してください","")</f>
        <v/>
      </c>
    </row>
    <row r="12" spans="1:11" ht="18.75" customHeight="1" x14ac:dyDescent="0.15">
      <c r="B12" s="9" t="s">
        <v>34</v>
      </c>
      <c r="C12" s="28"/>
      <c r="D12" s="8"/>
      <c r="E12" s="32"/>
      <c r="F12" s="32"/>
      <c r="G12" s="32"/>
      <c r="H12" s="32"/>
      <c r="I12" s="32"/>
      <c r="J12" s="33"/>
    </row>
    <row r="13" spans="1:11" ht="244.35" customHeight="1" x14ac:dyDescent="0.15">
      <c r="B13" s="6"/>
      <c r="C13" s="305" t="s">
        <v>35</v>
      </c>
      <c r="D13" s="306"/>
      <c r="E13" s="307" t="s">
        <v>257</v>
      </c>
      <c r="F13" s="307"/>
      <c r="G13" s="307"/>
      <c r="H13" s="307"/>
      <c r="I13" s="307"/>
      <c r="J13" s="308"/>
      <c r="K13" s="31" t="str">
        <f>IF(E13="","入力してください","")</f>
        <v/>
      </c>
    </row>
    <row r="14" spans="1:11" ht="255" customHeight="1" x14ac:dyDescent="0.15">
      <c r="B14" s="6"/>
      <c r="C14" s="305" t="s">
        <v>36</v>
      </c>
      <c r="D14" s="306"/>
      <c r="E14" s="307" t="s">
        <v>251</v>
      </c>
      <c r="F14" s="307"/>
      <c r="G14" s="307"/>
      <c r="H14" s="307"/>
      <c r="I14" s="307"/>
      <c r="J14" s="308"/>
      <c r="K14" s="31" t="str">
        <f>IF(E14="","入力してください","")</f>
        <v/>
      </c>
    </row>
    <row r="15" spans="1:11" ht="243" customHeight="1" x14ac:dyDescent="0.15">
      <c r="B15" s="309" t="s">
        <v>37</v>
      </c>
      <c r="C15" s="310"/>
      <c r="D15" s="306"/>
      <c r="E15" s="307" t="s">
        <v>236</v>
      </c>
      <c r="F15" s="307"/>
      <c r="G15" s="307"/>
      <c r="H15" s="307"/>
      <c r="I15" s="307"/>
      <c r="J15" s="308"/>
      <c r="K15" s="31" t="str">
        <f>IF(E15="","入力してください","")</f>
        <v/>
      </c>
    </row>
    <row r="16" spans="1:11" ht="243" customHeight="1" x14ac:dyDescent="0.15">
      <c r="A16" s="31"/>
      <c r="B16" s="299" t="s">
        <v>66</v>
      </c>
      <c r="C16" s="300"/>
      <c r="D16" s="301"/>
      <c r="E16" s="284" t="s">
        <v>240</v>
      </c>
      <c r="F16" s="284"/>
      <c r="G16" s="284"/>
      <c r="H16" s="284"/>
      <c r="I16" s="284"/>
      <c r="J16" s="285"/>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124</v>
      </c>
      <c r="B18" s="4"/>
      <c r="C18" s="39"/>
      <c r="D18" s="39"/>
      <c r="E18" s="40"/>
      <c r="F18" s="93"/>
      <c r="G18" s="302" t="s">
        <v>242</v>
      </c>
      <c r="H18" s="303"/>
      <c r="I18" s="303"/>
      <c r="J18" s="304"/>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0"/>
      <c r="C24" s="100"/>
      <c r="D24" s="100"/>
      <c r="E24" s="100"/>
      <c r="F24" s="100"/>
      <c r="G24" s="100"/>
      <c r="H24" s="100"/>
      <c r="I24" s="100"/>
      <c r="J24" s="100"/>
    </row>
    <row r="25" spans="1:11" ht="22.5" customHeight="1" x14ac:dyDescent="0.15">
      <c r="B25" s="100"/>
      <c r="C25" s="100"/>
      <c r="D25" s="100"/>
      <c r="E25" s="100"/>
      <c r="F25" s="100"/>
      <c r="G25" s="100"/>
      <c r="H25" s="100"/>
      <c r="I25" s="100"/>
      <c r="J25" s="100"/>
    </row>
    <row r="26" spans="1:11" ht="22.5" customHeight="1" x14ac:dyDescent="0.15">
      <c r="B26" s="100"/>
      <c r="C26" s="100"/>
      <c r="D26" s="100"/>
      <c r="E26" s="100"/>
      <c r="F26" s="100"/>
      <c r="G26" s="100"/>
      <c r="H26" s="100"/>
      <c r="I26" s="100"/>
      <c r="J26" s="100"/>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BD8BEE4E-69FC-4357-9C47-917AAAB5F2B5}"/>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様式１　大学等概要</vt:lpstr>
      <vt:lpstr>様式２－１　プログラムを構成する授業科目</vt:lpstr>
      <vt:lpstr>様式２－２　プログラムを構成する授業科目</vt:lpstr>
      <vt:lpstr>様式２－３　プログラムを構成する授業科目</vt:lpstr>
      <vt:lpstr>様式２－４　プログラムを構成する授業科目</vt:lpstr>
      <vt:lpstr>様式２－５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'様式２－１　プログラムを構成する授業科目'!Print_Area</vt:lpstr>
      <vt:lpstr>'様式２－２　プログラムを構成する授業科目'!Print_Area</vt:lpstr>
      <vt:lpstr>'様式２－３　プログラムを構成する授業科目'!Print_Area</vt:lpstr>
      <vt:lpstr>'様式２－４　プログラムを構成する授業科目'!Print_Area</vt:lpstr>
      <vt:lpstr>'様式２－５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中村　順子</cp:lastModifiedBy>
  <cp:lastPrinted>2022-03-29T08:55:43Z</cp:lastPrinted>
  <dcterms:created xsi:type="dcterms:W3CDTF">2011-06-14T05:32:50Z</dcterms:created>
  <dcterms:modified xsi:type="dcterms:W3CDTF">2022-05-18T01:21:51Z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