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tk_sakai\Downloads\"/>
    </mc:Choice>
  </mc:AlternateContent>
  <bookViews>
    <workbookView xWindow="0" yWindow="0" windowWidth="28800" windowHeight="14040" tabRatio="885"/>
  </bookViews>
  <sheets>
    <sheet name="様式１　大学等概要" sheetId="8" r:id="rId1"/>
    <sheet name="様式２　プログラムを構成する授業科目（IT）" sheetId="45" r:id="rId2"/>
    <sheet name="様式２　プログラムを構成する授業科目（DE）" sheetId="39"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2" hidden="1">'様式２　プログラムを構成する授業科目（DE）'!#REF!</definedName>
    <definedName name="_xlnm._FilterDatabase" localSheetId="1" hidden="1">'様式２　プログラムを構成する授業科目（IT）'!#REF!</definedName>
    <definedName name="_xlnm._FilterDatabase" localSheetId="3" hidden="1">'様式３　履修者等数の実績'!#REF!</definedName>
    <definedName name="_xlnm.Print_Area" localSheetId="0">'様式１　大学等概要'!$A$1:$N$44</definedName>
    <definedName name="_xlnm.Print_Area" localSheetId="2">'様式２　プログラムを構成する授業科目（DE）'!$A$1:$Z$94</definedName>
    <definedName name="_xlnm.Print_Area" localSheetId="1">'様式２　プログラムを構成する授業科目（IT）'!$A$1:$Z$97</definedName>
    <definedName name="_xlnm.Print_Area" localSheetId="3">'様式３　履修者等数の実績'!$A$1:$R$28</definedName>
    <definedName name="_xlnm.Print_Area" localSheetId="4">'様式４　教育の質・履修者数を向上させるための体制・計画'!$A$1:$J$105</definedName>
    <definedName name="_xlnm.Print_Area" localSheetId="5">'様式５　自己点検・評価'!$A$1:$J$18</definedName>
  </definedNames>
  <calcPr calcId="162913"/>
</workbook>
</file>

<file path=xl/calcChain.xml><?xml version="1.0" encoding="utf-8"?>
<calcChain xmlns="http://schemas.openxmlformats.org/spreadsheetml/2006/main">
  <c r="O43" i="8" l="1"/>
  <c r="K18" i="42" l="1"/>
  <c r="K16" i="42"/>
  <c r="K15" i="42"/>
  <c r="K9" i="42"/>
  <c r="K8" i="42"/>
  <c r="K7" i="42"/>
  <c r="K95" i="41"/>
  <c r="K81" i="41"/>
  <c r="K62" i="41"/>
  <c r="K41" i="41"/>
  <c r="K15" i="41"/>
  <c r="K8" i="41"/>
  <c r="K5" i="41"/>
  <c r="C4" i="40"/>
  <c r="O44" i="8"/>
  <c r="O41" i="8"/>
  <c r="O39" i="8"/>
  <c r="O37" i="8"/>
  <c r="O34" i="8"/>
  <c r="O32" i="8"/>
  <c r="O29" i="8"/>
  <c r="O20" i="8"/>
  <c r="O18" i="8"/>
  <c r="O16" i="8"/>
  <c r="O14" i="8"/>
  <c r="O12" i="8"/>
  <c r="O10" i="8"/>
  <c r="O6" i="8"/>
  <c r="O8" i="8"/>
  <c r="O4" i="8"/>
  <c r="K14" i="42"/>
  <c r="K13" i="42"/>
  <c r="K11" i="42"/>
  <c r="K10" i="42"/>
  <c r="P28" i="40" l="1"/>
  <c r="O28" i="40"/>
  <c r="N28" i="40"/>
  <c r="M28" i="40"/>
  <c r="L28" i="40"/>
  <c r="K28" i="40"/>
  <c r="J28" i="40"/>
  <c r="I28" i="40"/>
  <c r="H28" i="40"/>
  <c r="G28" i="40"/>
  <c r="F28" i="40"/>
  <c r="E28" i="40"/>
  <c r="D28" i="40"/>
  <c r="I27" i="41" s="1"/>
  <c r="C28" i="40"/>
  <c r="Q11" i="40"/>
  <c r="R11" i="40" s="1"/>
  <c r="Q10" i="40"/>
  <c r="Q28" i="40" l="1"/>
  <c r="R28" i="40" s="1"/>
  <c r="C26" i="41" s="1"/>
  <c r="R10" i="40"/>
</calcChain>
</file>

<file path=xl/sharedStrings.xml><?xml version="1.0" encoding="utf-8"?>
<sst xmlns="http://schemas.openxmlformats.org/spreadsheetml/2006/main" count="541" uniqueCount="223">
  <si>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</si>
  <si>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</si>
  <si>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</si>
  <si>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</si>
  <si>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東京国際工科専門職大学</t>
    <rPh sb="0" eb="2">
      <t>トウキョウ</t>
    </rPh>
    <rPh sb="2" eb="4">
      <t>コクサイ</t>
    </rPh>
    <rPh sb="4" eb="6">
      <t>コウカ</t>
    </rPh>
    <rPh sb="6" eb="9">
      <t>センモンショク</t>
    </rPh>
    <rPh sb="9" eb="11">
      <t>ダイガク</t>
    </rPh>
    <phoneticPr fontId="1"/>
  </si>
  <si>
    <t>②</t>
    <phoneticPr fontId="1"/>
  </si>
  <si>
    <t>大学等の設置者</t>
  </si>
  <si>
    <t>学校法人日本教育財団</t>
    <rPh sb="0" eb="2">
      <t>ガッコウ</t>
    </rPh>
    <rPh sb="2" eb="4">
      <t>ホウジン</t>
    </rPh>
    <rPh sb="4" eb="6">
      <t>ニホン</t>
    </rPh>
    <rPh sb="6" eb="8">
      <t>キョウイク</t>
    </rPh>
    <rPh sb="8" eb="10">
      <t>ザイダン</t>
    </rPh>
    <phoneticPr fontId="1"/>
  </si>
  <si>
    <t>③</t>
  </si>
  <si>
    <t>設置形態</t>
    <phoneticPr fontId="1"/>
  </si>
  <si>
    <t>私立大学</t>
  </si>
  <si>
    <t>④</t>
    <phoneticPr fontId="1"/>
  </si>
  <si>
    <t>所在地</t>
    <phoneticPr fontId="1"/>
  </si>
  <si>
    <t>東京都新宿区西新宿1-7-3</t>
    <rPh sb="0" eb="3">
      <t>トウキョウト</t>
    </rPh>
    <rPh sb="3" eb="6">
      <t>シンジュクク</t>
    </rPh>
    <rPh sb="6" eb="9">
      <t>ニシシンジュク</t>
    </rPh>
    <phoneticPr fontId="1"/>
  </si>
  <si>
    <t>⑤</t>
    <phoneticPr fontId="1"/>
  </si>
  <si>
    <t>申請するプログラム名称</t>
    <rPh sb="0" eb="2">
      <t>シンセイ</t>
    </rPh>
    <rPh sb="9" eb="11">
      <t>メイショウ</t>
    </rPh>
    <phoneticPr fontId="1"/>
  </si>
  <si>
    <t>数理・データサイエンス・ＡＩ教育リテラシープログラム</t>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</si>
  <si>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</si>
  <si>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</si>
  <si>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</si>
  <si>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</si>
  <si>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</si>
  <si>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</si>
  <si>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</si>
  <si>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</si>
  <si>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</si>
  <si>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</si>
  <si>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</si>
  <si>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</si>
  <si>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</si>
  <si>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</si>
  <si>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</si>
  <si>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</si>
  <si>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</si>
  <si>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</si>
  <si>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</si>
  <si>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</si>
  <si>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</si>
  <si>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</si>
  <si>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</si>
  <si>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</si>
  <si>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</si>
  <si>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</si>
  <si>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</si>
  <si>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冨山　哲男</t>
    <rPh sb="0" eb="5">
      <t>トミヤマ</t>
    </rPh>
    <phoneticPr fontId="1"/>
  </si>
  <si>
    <t>（役職名）</t>
    <rPh sb="1" eb="4">
      <t>ヤクショクメイ</t>
    </rPh>
    <phoneticPr fontId="1"/>
  </si>
  <si>
    <t>副学長</t>
    <rPh sb="0" eb="1">
      <t>フク</t>
    </rPh>
    <rPh sb="1" eb="3">
      <t>ガクチョウ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</si>
  <si>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</si>
  <si>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</si>
  <si>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FD委員会</t>
    <phoneticPr fontId="1"/>
  </si>
  <si>
    <t>駒井　章治</t>
    <rPh sb="0" eb="2">
      <t>コマイ</t>
    </rPh>
    <rPh sb="3" eb="5">
      <t>ショウジ</t>
    </rPh>
    <phoneticPr fontId="1"/>
  </si>
  <si>
    <t>教授</t>
    <rPh sb="0" eb="2">
      <t>キョウジュ</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</si>
  <si>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</si>
  <si>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</si>
  <si>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自己点検・評価委員会</t>
    <rPh sb="5" eb="7">
      <t>ヒョウカ</t>
    </rPh>
    <rPh sb="7" eb="10">
      <t>イインカイ</t>
    </rPh>
    <phoneticPr fontId="1"/>
  </si>
  <si>
    <t>吉川　弘之</t>
    <rPh sb="0" eb="2">
      <t>ヨシカワ</t>
    </rPh>
    <rPh sb="3" eb="5">
      <t>ヒロユキ</t>
    </rPh>
    <phoneticPr fontId="1"/>
  </si>
  <si>
    <t>学長</t>
    <rPh sb="0" eb="2">
      <t>ガクチョウ</t>
    </rPh>
    <phoneticPr fontId="1"/>
  </si>
  <si>
    <t>⑮</t>
    <phoneticPr fontId="1"/>
  </si>
  <si>
    <t>申請する認定プログラム</t>
    <rPh sb="0" eb="2">
      <t>シンセイ</t>
    </rPh>
    <rPh sb="4" eb="6">
      <t>ニンテイ</t>
    </rPh>
    <phoneticPr fontId="1"/>
  </si>
  <si>
    <t>認定教育プログラム</t>
    <phoneticPr fontId="1"/>
  </si>
  <si>
    <t>所属部署名</t>
    <rPh sb="0" eb="2">
      <t>ショゾク</t>
    </rPh>
    <rPh sb="2" eb="4">
      <t>ブショ</t>
    </rPh>
    <rPh sb="4" eb="5">
      <t>メイ</t>
    </rPh>
    <phoneticPr fontId="1"/>
  </si>
  <si>
    <t>管理部</t>
    <rPh sb="0" eb="3">
      <t>カンリブ</t>
    </rPh>
    <phoneticPr fontId="1"/>
  </si>
  <si>
    <t>担当者名</t>
    <rPh sb="0" eb="2">
      <t>タントウ</t>
    </rPh>
    <rPh sb="2" eb="3">
      <t>シャ</t>
    </rPh>
    <rPh sb="3" eb="4">
      <t>メイ</t>
    </rPh>
    <phoneticPr fontId="1"/>
  </si>
  <si>
    <t>酒井　隆行</t>
    <rPh sb="0" eb="2">
      <t>サカイ</t>
    </rPh>
    <rPh sb="3" eb="5">
      <t>タカユキ</t>
    </rPh>
    <phoneticPr fontId="1"/>
  </si>
  <si>
    <t>E-mail</t>
  </si>
  <si>
    <t>daigaku.renraku@tokyo.iput.ac.jp</t>
    <phoneticPr fontId="1"/>
  </si>
  <si>
    <t>電話番号</t>
  </si>
  <si>
    <t>03-3344-5555</t>
    <phoneticPr fontId="1"/>
  </si>
  <si>
    <t>情報工学科の「情報工学概論」「確率・統計論」「コンピュータ・システム」とデジタルエンタテ
イメント学科の「コンテンツデザイン概論」「統計論」「電子情報工学概論」は、それぞれとも
に本学の数理、データサイエンス、AIに関する基礎科目であり、各学科でな卒業必修科目
に位置付けられているため、すべての学生が履修する。
履修の状況や修得の状況は、担任の教員によるサポートがなされる。</t>
    <phoneticPr fontId="1"/>
  </si>
  <si>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</si>
  <si>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</si>
  <si>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</si>
  <si>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</si>
  <si>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</si>
  <si>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情報工学科では、１年次開講の「情報工学概論」、「コンピュータシステム」と２年次開講の「確率統計論」の各2単位の科目をすべて履修し、合計6単位を取得することにより、本プログラムの修了認定となります。</t>
    <rPh sb="0" eb="2">
      <t>ジョウホウ</t>
    </rPh>
    <rPh sb="2" eb="5">
      <t>コウガクカ</t>
    </rPh>
    <rPh sb="9" eb="11">
      <t>ネンジ</t>
    </rPh>
    <rPh sb="11" eb="13">
      <t>カイコウ</t>
    </rPh>
    <rPh sb="37" eb="39">
      <t>ネンジ</t>
    </rPh>
    <rPh sb="39" eb="41">
      <t>カイコウ</t>
    </rPh>
    <rPh sb="50" eb="51">
      <t>カク</t>
    </rPh>
    <rPh sb="52" eb="54">
      <t>タンイ</t>
    </rPh>
    <rPh sb="55" eb="57">
      <t>カモク</t>
    </rPh>
    <rPh sb="61" eb="63">
      <t>リシュウ</t>
    </rPh>
    <rPh sb="65" eb="67">
      <t>ゴウケイ</t>
    </rPh>
    <rPh sb="68" eb="70">
      <t>タンイ</t>
    </rPh>
    <rPh sb="71" eb="73">
      <t>シュトク</t>
    </rPh>
    <rPh sb="81" eb="82">
      <t>ホン</t>
    </rPh>
    <rPh sb="88" eb="90">
      <t>シュウリョウ</t>
    </rPh>
    <rPh sb="90" eb="92">
      <t>ニンテイ</t>
    </rPh>
    <phoneticPr fontId="1"/>
  </si>
  <si>
    <t>③現在進行中の社会変化（第４次産業革命、Society 5.0、データ駆動型社会等）に深く寄与しているものであり、それが自らの生活と密接に結びついている」の内容を含む授業科目</t>
  </si>
  <si>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</si>
  <si>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</si>
  <si>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</si>
  <si>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</si>
  <si>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</si>
  <si>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</si>
  <si>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情報工学概論</t>
    <rPh sb="0" eb="2">
      <t>ジョウホウ</t>
    </rPh>
    <rPh sb="2" eb="4">
      <t>コウガク</t>
    </rPh>
    <rPh sb="4" eb="6">
      <t>ガイロン</t>
    </rPh>
    <phoneticPr fontId="1"/>
  </si>
  <si>
    <t>○</t>
  </si>
  <si>
    <t>一部開講</t>
  </si>
  <si>
    <t>コンピュータシステム</t>
    <phoneticPr fontId="1"/>
  </si>
  <si>
    <t>確率統計論</t>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</si>
  <si>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</si>
  <si>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</si>
  <si>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</si>
  <si>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情報工学概論</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</si>
  <si>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</si>
  <si>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</si>
  <si>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</si>
  <si>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</si>
  <si>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</si>
  <si>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</si>
  <si>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</si>
  <si>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</si>
  <si>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</si>
  <si>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</si>
  <si>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〇</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</si>
  <si>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</si>
  <si>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</si>
  <si>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4-1統計および数理基礎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</si>
  <si>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</si>
  <si>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</si>
  <si>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</si>
  <si>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</si>
  <si>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</si>
  <si>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</si>
  <si>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</si>
  <si>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</si>
  <si>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</si>
  <si>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⑩プログラムの学修成果（学生等が身に付けられる能力等）</t>
    <phoneticPr fontId="1"/>
  </si>
  <si>
    <t xml:space="preserve">情報工学の学問体系の概要、技術動向、およびこれらの背後に存在する様々な学問体系について理解し、以下の能力・知識を獲得する。
・コンピュータを組み込んだ製品 (embedded system)、情報システムの社会での応用例についての説明能力
・AIシステム／IoTシステム／ロボットの原理、歴史、応用例に関する基礎知識
</t>
    <rPh sb="47" eb="49">
      <t>イカ</t>
    </rPh>
    <rPh sb="50" eb="52">
      <t>ノウリョク</t>
    </rPh>
    <rPh sb="53" eb="55">
      <t>チシキ</t>
    </rPh>
    <rPh sb="56" eb="58">
      <t>カクトク</t>
    </rPh>
    <rPh sb="115" eb="117">
      <t>セツメイ</t>
    </rPh>
    <rPh sb="117" eb="119">
      <t>ノウリョク</t>
    </rPh>
    <rPh sb="151" eb="152">
      <t>カン</t>
    </rPh>
    <rPh sb="154" eb="156">
      <t>キソ</t>
    </rPh>
    <rPh sb="156" eb="158">
      <t>チシキ</t>
    </rPh>
    <phoneticPr fontId="1"/>
  </si>
  <si>
    <t>⑪プログラムの授業内容等を公表しているアドレス</t>
    <phoneticPr fontId="1"/>
  </si>
  <si>
    <t>様式２－２</t>
    <phoneticPr fontId="1"/>
  </si>
  <si>
    <t>デジタルエンタテインメント学科では、１年次開講の「コンテンツデザイン概論」、「電子情報工学概論」と２年次開講の「統計論」の各2単位の科目をすべて履修し、合計6単位を取得することにより、本プログラムの修了認定となります。</t>
    <rPh sb="13" eb="15">
      <t>ガッカ</t>
    </rPh>
    <rPh sb="39" eb="43">
      <t>デンシジョウホウ</t>
    </rPh>
    <rPh sb="43" eb="45">
      <t>コウガク</t>
    </rPh>
    <rPh sb="45" eb="47">
      <t>ガイロン</t>
    </rPh>
    <rPh sb="56" eb="59">
      <t>トウケイロン</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</si>
  <si>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</si>
  <si>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コンテンツデザイン概論</t>
    <phoneticPr fontId="1"/>
  </si>
  <si>
    <t>電子情報工学概論</t>
    <phoneticPr fontId="1"/>
  </si>
  <si>
    <t>統計論</t>
    <phoneticPr fontId="1"/>
  </si>
  <si>
    <t>高度な芸術的表現能力をもった高次のコンテンツクリエータを目指すために必要な以下の能力・知識を獲得する。
・数理的知識やプログラミング能力などの論理的思考能力
・メディアテクノロジーの進展にともなうコンテンツ領域の拡大、新たなコンテンツ文化の醸成、デジタルコンテンツにおける歴史的背景に関する基礎知識</t>
    <rPh sb="28" eb="30">
      <t>メザ</t>
    </rPh>
    <rPh sb="34" eb="36">
      <t>ヒツヨウ</t>
    </rPh>
    <rPh sb="37" eb="39">
      <t>イカ</t>
    </rPh>
    <rPh sb="40" eb="42">
      <t>ノウリョク</t>
    </rPh>
    <rPh sb="43" eb="45">
      <t>チシキ</t>
    </rPh>
    <rPh sb="46" eb="48">
      <t>カクトク</t>
    </rPh>
    <rPh sb="142" eb="143">
      <t>カン</t>
    </rPh>
    <rPh sb="145" eb="147">
      <t>キソ</t>
    </rPh>
    <rPh sb="147" eb="149">
      <t>チシキ</t>
    </rPh>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</si>
  <si>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</si>
  <si>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</si>
  <si>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</si>
  <si>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</si>
  <si>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</si>
  <si>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</si>
  <si>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</si>
  <si>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</si>
  <si>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</si>
  <si>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</si>
  <si>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</si>
  <si>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</si>
  <si>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</si>
  <si>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</si>
  <si>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</si>
  <si>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</si>
  <si>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</si>
  <si>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情報工学科</t>
    <rPh sb="0" eb="2">
      <t>ジョウホウ</t>
    </rPh>
    <rPh sb="2" eb="5">
      <t>コウガッカ</t>
    </rPh>
    <phoneticPr fontId="1"/>
  </si>
  <si>
    <t>デジタルエンタテインメント学科</t>
    <rPh sb="13" eb="15">
      <t>ガッカ</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</si>
  <si>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</si>
  <si>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</si>
  <si>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</si>
  <si>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</si>
  <si>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</si>
  <si>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FD委員会規定</t>
    <rPh sb="2" eb="5">
      <t>イインカイ</t>
    </rPh>
    <rPh sb="5" eb="7">
      <t>キテイ</t>
    </rPh>
    <phoneticPr fontId="1"/>
  </si>
  <si>
    <t>体制の目的</t>
    <rPh sb="0" eb="2">
      <t>タイセイ</t>
    </rPh>
    <rPh sb="3" eb="5">
      <t>モクテキ</t>
    </rPh>
    <phoneticPr fontId="1"/>
  </si>
  <si>
    <t>本学カリキュラムの中で、「数理・データサイエンス・AI」に関する科目の履修と、教育内容の高度化を図り、当該領域の基盤を固めるとともに、接続科目との整合性を調整してし、教育効果の改善を推進していく。</t>
    <rPh sb="0" eb="2">
      <t>ホンガク</t>
    </rPh>
    <rPh sb="9" eb="10">
      <t>ナカ</t>
    </rPh>
    <rPh sb="13" eb="15">
      <t>スウリ</t>
    </rPh>
    <rPh sb="29" eb="30">
      <t>カン</t>
    </rPh>
    <rPh sb="32" eb="34">
      <t>カモク</t>
    </rPh>
    <rPh sb="35" eb="37">
      <t>リシュウ</t>
    </rPh>
    <rPh sb="39" eb="43">
      <t>キョウイクナイヨウ</t>
    </rPh>
    <rPh sb="44" eb="47">
      <t>コウドカ</t>
    </rPh>
    <rPh sb="48" eb="49">
      <t>ハカ</t>
    </rPh>
    <rPh sb="51" eb="53">
      <t>トウガイ</t>
    </rPh>
    <rPh sb="53" eb="55">
      <t>リョウイキ</t>
    </rPh>
    <rPh sb="56" eb="58">
      <t>キバン</t>
    </rPh>
    <rPh sb="59" eb="60">
      <t>カタ</t>
    </rPh>
    <rPh sb="67" eb="69">
      <t>セツゾク</t>
    </rPh>
    <rPh sb="69" eb="71">
      <t>カモク</t>
    </rPh>
    <rPh sb="73" eb="76">
      <t>セイゴウセイ</t>
    </rPh>
    <rPh sb="77" eb="79">
      <t>チョウセイ</t>
    </rPh>
    <rPh sb="83" eb="87">
      <t>キョウイクコウカ</t>
    </rPh>
    <rPh sb="88" eb="90">
      <t>カイゼン</t>
    </rPh>
    <rPh sb="91" eb="93">
      <t>スイシン</t>
    </rPh>
    <phoneticPr fontId="1"/>
  </si>
  <si>
    <t>③</t>
    <phoneticPr fontId="1"/>
  </si>
  <si>
    <t>具体的な構成員</t>
    <rPh sb="0" eb="3">
      <t>グタイテキ</t>
    </rPh>
    <rPh sb="4" eb="7">
      <t>コウセイイン</t>
    </rPh>
    <phoneticPr fontId="1"/>
  </si>
  <si>
    <t>駒井　章治（情報工学科、教授）
中谷　日出（デジタルエンタテイメント学科、教授）
鈴木　雅実（情報工学科、教授）
三宅　茂樹（情報工学科、教授）
大関　和夫（情報工学科、教授）
藤井　竜也（情報工学科　学科長、教授）
斎藤　直宏（デジタルエンタテイメント学科長　教授）</t>
    <rPh sb="0" eb="2">
      <t>コマイ</t>
    </rPh>
    <rPh sb="16" eb="18">
      <t>ナカヤ</t>
    </rPh>
    <rPh sb="19" eb="20">
      <t>ヒ</t>
    </rPh>
    <rPh sb="20" eb="21">
      <t>デ</t>
    </rPh>
    <rPh sb="89" eb="91">
      <t>フジイ</t>
    </rPh>
    <rPh sb="92" eb="94">
      <t>タツヤ</t>
    </rPh>
    <rPh sb="95" eb="100">
      <t>ジョウホウコウガクカ</t>
    </rPh>
    <rPh sb="101" eb="104">
      <t>ガッカチョウ</t>
    </rPh>
    <rPh sb="105" eb="107">
      <t>キョウジュ</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</si>
  <si>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</si>
  <si>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</si>
  <si>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</si>
  <si>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</si>
  <si>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</si>
  <si>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</si>
  <si>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</si>
  <si>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</si>
  <si>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本学ではプログラムを構成する授業科目が必修科目となっているため、現体制を維持することにより、履修者数・履修率が向上していく。</t>
    <rPh sb="0" eb="2">
      <t>ホンガク</t>
    </rPh>
    <rPh sb="10" eb="12">
      <t>コウセイ</t>
    </rPh>
    <rPh sb="14" eb="16">
      <t>ジュギョウ</t>
    </rPh>
    <rPh sb="16" eb="18">
      <t>カモク</t>
    </rPh>
    <rPh sb="19" eb="21">
      <t>ヒッシュウ</t>
    </rPh>
    <rPh sb="21" eb="23">
      <t>カモク</t>
    </rPh>
    <rPh sb="32" eb="35">
      <t>ゲンタイセイ</t>
    </rPh>
    <rPh sb="36" eb="38">
      <t>イジ</t>
    </rPh>
    <rPh sb="46" eb="49">
      <t>リシュウシャ</t>
    </rPh>
    <rPh sb="49" eb="50">
      <t>スウ</t>
    </rPh>
    <rPh sb="51" eb="54">
      <t>リシュウリツ</t>
    </rPh>
    <rPh sb="55" eb="57">
      <t>コウジョウ</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</si>
  <si>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</si>
  <si>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情報工学科の「情報工学概論」「コンピュータシステム」「確率統計論」とデジタルエンタテ
イメント学科の「コンテンツデザイン概論」「電子情報工学概論」「統計論」は、それぞれとも
に本学の数理・データサイエンス・AIに関する基礎科目であり、各学科で卒業必修科目
に位置付けられているため、すべての学生が履修する。</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</si>
  <si>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</si>
  <si>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情報工学科の「情報工学概論」「コンピュータシステム」「確率統計論」とデジタルエンタテ
イメント学科の「コンテンツデザイン概論」「電子情報工学概論」「統計論」は、それぞれとも
に本学の数理、データサイエンス、AIに関する基礎科目であり、各学科で卒業必修科目
に位置付けられている。そのため、履修登録は自動的になされすべての学生が間違いなく
履修するようになっている。</t>
    <phoneticPr fontId="1"/>
  </si>
  <si>
    <t>⑦</t>
    <phoneticPr fontId="1"/>
  </si>
  <si>
    <t>できる限り多くの学生が履修・修得できるようなサポート体制</t>
    <rPh sb="26" eb="28">
      <t>タイセイ</t>
    </rPh>
    <phoneticPr fontId="1"/>
  </si>
  <si>
    <t>情報工学科の「情報工学概論」「コンピュータシステム」「確率統計論」とデジタルエンタテ
イメント学科の「コンテンツデザイン概論」「統計論」「電子情報工学概論」は、それぞれとも
に本学の数理、データサイエンス、AIに関する基礎科目であり、各学科でな卒業必修科目
に位置付けられているため、すべての学生が履修する。
履修の状況や修得の状況は、担任の教員によるサポートがなされる。</t>
    <phoneticPr fontId="1"/>
  </si>
  <si>
    <t>授業時間内外で学習指導、質問を受け付ける具体的な仕組み</t>
    <rPh sb="20" eb="23">
      <t>グタイテキ</t>
    </rPh>
    <phoneticPr fontId="1"/>
  </si>
  <si>
    <t>全学共通の施策として以下の２点が実施されている。
(1)LMSによる課題の提出を行い、評価のフィードバックを行えるような環境を提供している。
(2)Slackにより授業の補足の情報の配信を行い、また学生から各科目の教員に質問を行う
ことができる環境を提供している。</t>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</si>
  <si>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</si>
  <si>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</si>
  <si>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</si>
  <si>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</si>
  <si>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</si>
  <si>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</si>
  <si>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</si>
  <si>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</si>
  <si>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出欠をLMSで把握、単位取得情報は成績管理システムで担任が把握出来るような仕組みが整っている。LMSの出欠情報は、毎週全教員にフィードバックされるため、担当科目の履修・修得状況の向上に努めている。</t>
    <rPh sb="51" eb="53">
      <t>シュッケツ</t>
    </rPh>
    <rPh sb="53" eb="55">
      <t>ジョウホウ</t>
    </rPh>
    <rPh sb="57" eb="59">
      <t>マイシュウ</t>
    </rPh>
    <rPh sb="59" eb="62">
      <t>ゼンキョウイン</t>
    </rPh>
    <rPh sb="76" eb="80">
      <t>タントウカモク</t>
    </rPh>
    <rPh sb="81" eb="83">
      <t>リシュウ</t>
    </rPh>
    <rPh sb="84" eb="86">
      <t>シュウトク</t>
    </rPh>
    <rPh sb="86" eb="88">
      <t>ジョウキョウ</t>
    </rPh>
    <rPh sb="89" eb="91">
      <t>コウジョウ</t>
    </rPh>
    <rPh sb="92" eb="93">
      <t>ツト</t>
    </rPh>
    <phoneticPr fontId="1"/>
  </si>
  <si>
    <t>学修成果</t>
    <rPh sb="0" eb="2">
      <t>ガクシュウ</t>
    </rPh>
    <rPh sb="2" eb="4">
      <t>セイカ</t>
    </rPh>
    <phoneticPr fontId="1"/>
  </si>
  <si>
    <t>本講義受講者全員に対してLMSなどを用いた授業アンケートを実施しており、アンケート結果をもとに、学生の理解度を分析し、学修成果の確認を行っている。</t>
    <rPh sb="59" eb="61">
      <t>ガクシュウ</t>
    </rPh>
    <rPh sb="61" eb="63">
      <t>セイカ</t>
    </rPh>
    <rPh sb="64" eb="66">
      <t>カクニン</t>
    </rPh>
    <rPh sb="67" eb="68">
      <t>オコナ</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</si>
  <si>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</si>
  <si>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授業アンケートの分析結果等により、数理の理解度が高くないことから、教員を増員するなど指導体制の強化を図っていく。</t>
    <rPh sb="0" eb="2">
      <t>ジュギョウ</t>
    </rPh>
    <rPh sb="8" eb="10">
      <t>ブンセキ</t>
    </rPh>
    <rPh sb="10" eb="12">
      <t>ケッカ</t>
    </rPh>
    <rPh sb="12" eb="13">
      <t>トウ</t>
    </rPh>
    <rPh sb="17" eb="19">
      <t>スウリ</t>
    </rPh>
    <rPh sb="20" eb="23">
      <t>リカイド</t>
    </rPh>
    <rPh sb="24" eb="25">
      <t>タカ</t>
    </rPh>
    <rPh sb="33" eb="35">
      <t>キョウイン</t>
    </rPh>
    <rPh sb="36" eb="38">
      <t>ゾウイン</t>
    </rPh>
    <rPh sb="42" eb="46">
      <t>シドウタイセイ</t>
    </rPh>
    <rPh sb="47" eb="49">
      <t>キョウカ</t>
    </rPh>
    <rPh sb="50" eb="51">
      <t>ハカ</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</si>
  <si>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</si>
  <si>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科目は必修科目のため、履修する上での先輩から後輩、他学生への推奨、という場面は特段発生しないが、ゼミ活動、Slackによる学年を超えた交流やサークル活動など上級生と下級生が交流する状況において、本教育プログラムで身につけた知識やスキル、数理、データ、AIなどの話題が学びの基盤となることを相互に共有し、また刺激しあう状況があると考えられる。</t>
    <rPh sb="80" eb="81">
      <t>キュウ</t>
    </rPh>
    <rPh sb="87" eb="89">
      <t>コウリュウ</t>
    </rPh>
    <rPh sb="99" eb="101">
      <t>キョウイク</t>
    </rPh>
    <rPh sb="119" eb="121">
      <t>スウリ</t>
    </rPh>
    <rPh sb="131" eb="133">
      <t>ワダイ</t>
    </rPh>
    <rPh sb="137" eb="139">
      <t>キバン</t>
    </rPh>
    <rPh sb="159" eb="161">
      <t>ジョウキョウ</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</si>
  <si>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</si>
  <si>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本科目は全学的な卒業必修科目に位置付けられている。卒業までにすべての履修者は本プログラムを修了することになる。</t>
    <rPh sb="36" eb="37">
      <t>シャ</t>
    </rPh>
    <rPh sb="38" eb="39">
      <t>ホン</t>
    </rPh>
    <rPh sb="45" eb="47">
      <t>シュウリョウ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</si>
  <si>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</si>
  <si>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</si>
  <si>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令和2年度から始まった講義であり、まだ修了者の進路、活躍状況、企業の評価は調査されていない。今後、卒業生調査を行うことを予定している。</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</si>
  <si>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</si>
  <si>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では、産業界からの視点を教育に反映させるため、産業界と「教育課程連携協議会」を運営し、意見を頂いている。情報工学科の「情報工学概論」科目に対して、社会情勢を鑑み、セキュリティ関連の講義があってもいいのでは、等のコメントをもらっている。また、地域共創デザイン実習や隣地実務実習に於いて、数理・データサイエンス・AIに関する基礎学力の強化を求める意見や期待が出されている。</t>
    <rPh sb="0" eb="2">
      <t>ホンガク</t>
    </rPh>
    <rPh sb="5" eb="8">
      <t>サンギョウカイ</t>
    </rPh>
    <rPh sb="11" eb="13">
      <t>シテン</t>
    </rPh>
    <rPh sb="14" eb="16">
      <t>キョウイク</t>
    </rPh>
    <rPh sb="17" eb="19">
      <t>ハンエイ</t>
    </rPh>
    <rPh sb="25" eb="28">
      <t>サンギョウカイ</t>
    </rPh>
    <rPh sb="30" eb="32">
      <t>キョウイク</t>
    </rPh>
    <rPh sb="32" eb="34">
      <t>カテイ</t>
    </rPh>
    <rPh sb="34" eb="36">
      <t>レンケイ</t>
    </rPh>
    <rPh sb="36" eb="39">
      <t>キョウギカイ</t>
    </rPh>
    <rPh sb="41" eb="43">
      <t>ウンエイ</t>
    </rPh>
    <rPh sb="45" eb="47">
      <t>イケン</t>
    </rPh>
    <rPh sb="48" eb="49">
      <t>イタダ</t>
    </rPh>
    <rPh sb="54" eb="59">
      <t>ジョウホウコウガクカ</t>
    </rPh>
    <rPh sb="61" eb="65">
      <t>ジョウホウコウガク</t>
    </rPh>
    <rPh sb="65" eb="67">
      <t>ガイロン</t>
    </rPh>
    <rPh sb="68" eb="70">
      <t>カモク</t>
    </rPh>
    <rPh sb="71" eb="72">
      <t>タイ</t>
    </rPh>
    <rPh sb="105" eb="106">
      <t>トウ</t>
    </rPh>
    <rPh sb="140" eb="141">
      <t>オ</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</si>
  <si>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</si>
  <si>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情報工学科の「情報工学概論」科目とデジタルエンタテイメント学科の「電子情報工学概論」科目では、合同で拡大授業として外部講師を招き、講演を行っている。AIに関し、深層学習で最先端であり、日本ディープラーニング協会の設立・会長を講師として招く、またアンドロイドに関する第一線の大学教授を招くなどの講演により、学びの楽しさを感じることができるような機会を与えるようにしている。</t>
    <rPh sb="0" eb="5">
      <t>ジョウホウコウガクカ</t>
    </rPh>
    <rPh sb="14" eb="16">
      <t>カモク</t>
    </rPh>
    <rPh sb="29" eb="31">
      <t>ガッカ</t>
    </rPh>
    <rPh sb="33" eb="35">
      <t>デンシ</t>
    </rPh>
    <rPh sb="35" eb="39">
      <t>ジョウホウコウガク</t>
    </rPh>
    <rPh sb="39" eb="41">
      <t>ガイロン</t>
    </rPh>
    <rPh sb="42" eb="44">
      <t>カモク</t>
    </rPh>
    <rPh sb="47" eb="49">
      <t>ゴウドウ</t>
    </rPh>
    <rPh sb="77" eb="78">
      <t>カン</t>
    </rPh>
    <rPh sb="80" eb="84">
      <t>シンソウガクシュウ</t>
    </rPh>
    <rPh sb="85" eb="88">
      <t>サイセンタン</t>
    </rPh>
    <rPh sb="92" eb="94">
      <t>ニホン</t>
    </rPh>
    <rPh sb="103" eb="105">
      <t>キョウカイ</t>
    </rPh>
    <rPh sb="106" eb="108">
      <t>セツリツ</t>
    </rPh>
    <rPh sb="109" eb="111">
      <t>カイチョウ</t>
    </rPh>
    <rPh sb="112" eb="114">
      <t>コウシ</t>
    </rPh>
    <rPh sb="117" eb="118">
      <t>マネ</t>
    </rPh>
    <rPh sb="129" eb="130">
      <t>カン</t>
    </rPh>
    <rPh sb="132" eb="133">
      <t>ダイ</t>
    </rPh>
    <rPh sb="133" eb="135">
      <t>イッセン</t>
    </rPh>
    <rPh sb="136" eb="140">
      <t>ダイガクキョウジュ</t>
    </rPh>
    <rPh sb="141" eb="142">
      <t>マネ</t>
    </rPh>
    <rPh sb="146" eb="148">
      <t>コウエン</t>
    </rPh>
    <rPh sb="152" eb="153">
      <t>マナ</t>
    </rPh>
    <rPh sb="155" eb="156">
      <t>タノ</t>
    </rPh>
    <rPh sb="159" eb="160">
      <t>カン</t>
    </rPh>
    <rPh sb="171" eb="173">
      <t>キカイ</t>
    </rPh>
    <rPh sb="174" eb="175">
      <t>アタ</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</si>
  <si>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</si>
  <si>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LMSなどを用いた授業アンケートにより、学生の意見を抽出する仕組みがあり、FD活動等を通じてより「分かりやすい」授業となるよう努めている。</t>
    <rPh sb="39" eb="41">
      <t>カツドウ</t>
    </rPh>
    <rPh sb="41" eb="42">
      <t>トウ</t>
    </rPh>
    <rPh sb="43" eb="44">
      <t>ツウ</t>
    </rPh>
    <rPh sb="49" eb="50">
      <t>ワ</t>
    </rPh>
    <rPh sb="56" eb="58">
      <t>ジュギョウ</t>
    </rPh>
    <rPh sb="63" eb="64">
      <t>ツト</t>
    </rPh>
    <phoneticPr fontId="1"/>
  </si>
  <si>
    <t>②自己点検・評価体制における意見等を公表しているアドレス</t>
    <phoneticPr fontId="1"/>
  </si>
  <si>
    <t>https://www.iput.ac.jp/assets/files/tk_suuri_datascience_ai.pdf</t>
    <phoneticPr fontId="1"/>
  </si>
  <si>
    <t>コンテンツデザイン概論：映像、ゲーム・CG・アニメといったデジタルコンテンツの企画・設計・制作を学ぶ。これらデジタルエンタテインメントの基盤となる考え方や人間と人間、人間とマシンとのコミュニケーションについてメディアテクノロジーの変遷を踏まえて解説する。多種多様なコンテンツの中において、エンタテインメントコンテンツの内容や社会的役割について説明を行う。また、制作するために必要なスキルや考え方を学修し理解する。(2,3回目)</t>
    <rPh sb="210" eb="212">
      <t>カイメ</t>
    </rPh>
    <phoneticPr fontId="1"/>
  </si>
  <si>
    <t>コンテンツデザイン概論：映像、ゲーム・CG・アニメといったデジタルコンテンツの企画・設計・制作を学ぶ。これらデジタルエンタテインメントの基盤となる考え方や人間と人間、人間とマシンとのコミュニケーションについてメディアテクノロジーの変遷を踏まえて解説する。多種多様なコンテンツの中において、エンタテインメントコンテンツの内容や社会的役割について説明を行う。また、制作するために必要なスキルや考え方を学修し理解する。(11,12回)</t>
    <rPh sb="212" eb="213">
      <t>カイ</t>
    </rPh>
    <phoneticPr fontId="1"/>
  </si>
  <si>
    <t>統計論：基本的な統計学の概念について理解し、データ処理法を学ぶ。統計に関するデータの収集、整理、解析、分布の推定方法を理解する。平均、分散、二項分布、確率分布と母集団分布、母集団と標本の違いについて学ぶ。統計学的推計など統計解析の知識を学ぶ。正規分布の典型的な場合について、性質を学び、仮説検定が行えるようにする。また相関の求め方、回帰直線の求め方を学び、実際に計算をできるようにする。また、Python言語を用い、これら典型的なデータの算出やグラフ化をできるようにする。(2,15回)</t>
    <rPh sb="241" eb="242">
      <t>カイ</t>
    </rPh>
    <phoneticPr fontId="1"/>
  </si>
  <si>
    <t>コンテンツデザイン概論：映像、ゲーム・CG・アニメといったデジタルコンテンツの企画・設計・制作を学ぶ。これらの基盤となる考え方や人間と人間、人間とマシンとのコミュニケーションについてメディアテクノロジーの変遷を踏まえて解説する。多種多様なコンテンツの中において、エンタテインメントコンテンツの内容や社会的役割について説明を行う。また、制作するために必要なスキルや考え方を学修し理解する。(13回)</t>
    <rPh sb="196" eb="197">
      <t>カイ</t>
    </rPh>
    <phoneticPr fontId="1"/>
  </si>
  <si>
    <t>電子情報工学概論：コンピュータを道具として活用するために必要となる基本的な知識と技術を学修し、コンピュータを利用した情報処理能力を身につける。ハードウェアおよびソフトウェアの動作の仕組みやオペレーティングシステムが果たす役割や、コンピュータ同士が接続されたインターネットの仕組みやクラウドについても学修する。また、コンピュータシステムにおける情報セキュリティ全般に対する学修を行う。(12,14回)</t>
    <rPh sb="197" eb="198">
      <t>カイ</t>
    </rPh>
    <phoneticPr fontId="1"/>
  </si>
  <si>
    <t>電子情報工学概論：コンピュータを道具として活用するために必要となる基本的な知識と技術を学修し、コンピュータを利用した情報処理能力を身につける。ハードウェアおよびソフトウェアの動作の仕組みやオペレーティングシステムが果たす役割や、コンピュータ同士が接続されたインターネットの仕組みやクラウドについても学修する。また、コンピュータシステムにおける情報セキュリティ全般に対する学修を行う。(13回)</t>
    <rPh sb="194" eb="195">
      <t>カイ</t>
    </rPh>
    <phoneticPr fontId="1"/>
  </si>
  <si>
    <t>統計論：基本的な統計学の概念について理解し、データ処理法を学ぶ。統計に関するデータの収集、整理、解析、分布の推定方法など統計解析の知識を学ぶ。正規分布の典型的な場合について、性質を学び、仮説検定が行えるようにする。また相関の求め方、回帰直線の求め方を学び、実際に計算をできるようにする。また、Python言語を用い、これら典型的なデータの算出やグラフ化をできるようにする。(2回)</t>
    <rPh sb="56" eb="58">
      <t>ホウホウ</t>
    </rPh>
    <rPh sb="188" eb="189">
      <t>カイ</t>
    </rPh>
    <phoneticPr fontId="1"/>
  </si>
  <si>
    <t>統計論：基本的な統計学の概念について理解し、データ処理法を学ぶ。統計に関するデータの収集、整理、解析、分布の推定方法など統計解析の知識を学ぶ。正規分布の典型的な場合について、性質を学び、仮説検定が行えるようにする。また相関の求め方、回帰直線の求め方を学び、実際に計算をできるようにする。また、Python言語を用い、これら典型的なデータの算出やグラフ化をできるようにする。(3,4,5,6,8,9,11回)</t>
    <rPh sb="201" eb="202">
      <t>カイ</t>
    </rPh>
    <phoneticPr fontId="1"/>
  </si>
  <si>
    <t>統計論：基本的な統計学の概念について理解し、データ処理法を学ぶ。統計に関するデータの収集、整理、解析、分布の推定方法など統計解析の知識を学ぶ。正規分布の典型的な場合について、性質を学び、仮説検定が行えるようにする。また相関の求め方、回帰直線の求め方を学び、実際に計算をできるようにする。また、Python言語を用い、これら典型的なデータの算出やグラフ化をできるようにする。(7,10,11回)</t>
    <rPh sb="194" eb="195">
      <t>カイ</t>
    </rPh>
    <phoneticPr fontId="1"/>
  </si>
  <si>
    <t>情報工学概論：情報工学の全体を概説した後、人工知能関連、IoTサービス関連、ロボット関連の前知識を付与すると同時に、デモセットやビデオを用いた活用事例紹介、開発模擬体験、展示会見学などを通して適応分野や技術動向を知ると同時に、そこで用いられている技術の背景に存在する様々な学問体系、それらの関連性について学習する。併せて、これからの社会では、どのような人材が求められているのか、そのために何を学ぶ必要があるのかを理解し、学科の人材育成目標とコース体系を把握する。(2回)</t>
    <rPh sb="233" eb="234">
      <t>カイ</t>
    </rPh>
    <phoneticPr fontId="1"/>
  </si>
  <si>
    <t>情報工学概論：情報工学の全体を概説した後、人工知能関連、IoTサービス関連、ロボット関連の前知識を付与すると同時に、デモセットやビデオを用いた活用事例紹介、開発模擬体験、展示会見学などを通して適応分野や技術動向を知ると同時に、そこで用いられている技術の背景に存在する様々な学問体系、それらの関連性について学習する。併せて、これからの社会では、どのような人材が求められているのか、そのために何を学ぶ必要があるのかを理解し、学科の人材育成目標とコース体系を把握する。(11,12回)</t>
    <rPh sb="237" eb="238">
      <t>カイ</t>
    </rPh>
    <phoneticPr fontId="1"/>
  </si>
  <si>
    <t>確率統計論：基本的な統計学の概念について理解し、データ処理法を学ぶ。統計に関するデータの収集、整理、解析、分布の推定方法を理解する。平均、分散、二項分布、確率分布と母集団分布、母集団と標本の違いや統計学的推計など統計解析の知識を学ぶ。正規分布の典型的な場合について、性質を学び、仮説検定が行えるようにする。また相関の求め方、回帰直線の求め方を学び、実際に計算ができるようにする。また、表計算ソフトを用い、これら典型的なデータを算出したり、グラフ化をできるようにする。(2回)</t>
    <rPh sb="6" eb="8">
      <t>キホン</t>
    </rPh>
    <rPh sb="235" eb="236">
      <t>カイ</t>
    </rPh>
    <phoneticPr fontId="1"/>
  </si>
  <si>
    <t>確率統計論：基本的な統計学の概念について理解し、データ処理法を学ぶ。統計に関するデータの収集、整理、解析、分布の推定方法を理解する。平均、分散、二項分布、確率分布と母集団分布、母集団と標本の違いや統計学的推計など統計解析の知識を学ぶ。正規分布の典型的な場合について、性質を学び、仮説検定が行えるようにする。また相関の求め方、回帰直線の求め方を学び、実際に計算ができるようにする。また、表計算ソフトを用い、これら典型的なデータを算出したり、グラフ化をできるようにする。(5,6回)</t>
    <rPh sb="6" eb="8">
      <t>キホン</t>
    </rPh>
    <rPh sb="237" eb="238">
      <t>カイ</t>
    </rPh>
    <phoneticPr fontId="1"/>
  </si>
  <si>
    <t>情報工学概論：人工知能関連、IoTサービス関連、ロボット関連の活用事例紹介、開発模擬体験、展示会見学などを通して適応分野や技術動向を知ると同時に、そこで用いられている技術の背景に存在する様々な学問体系、それらの関連性について学習する。併せて、これからの社会では、どのような人材が求められているのか、そのために何を学ぶ必要があるのかを理解する。(7,8回)</t>
    <rPh sb="0" eb="2">
      <t>ジョウホウ</t>
    </rPh>
    <rPh sb="2" eb="4">
      <t>コウガク</t>
    </rPh>
    <rPh sb="4" eb="6">
      <t>ガイロン</t>
    </rPh>
    <rPh sb="175" eb="176">
      <t>カイ</t>
    </rPh>
    <phoneticPr fontId="1"/>
  </si>
  <si>
    <t>情報工学概論：人工知能関連、IoTサービス関連、ロボット関連の活用事例紹介、開発模擬体験、展示会見学などを通して適応分野や技術動向を知ると同時に、そこで用いられている技術の背景に存在する様々な学問体系、それらの関連性について学習する。併せて、これからの社会では、どのような人材が求められているのか、そのために何を学ぶ必要があるのかを理解する。(11,12回)</t>
    <rPh sb="177" eb="178">
      <t>カイ</t>
    </rPh>
    <phoneticPr fontId="1"/>
  </si>
  <si>
    <t>コンピュータシステム：情報処理の中心となるコンピュータシステムについて、その構成要素であるハードウェアとソフトウェア、コンピュータシステム同士を接続する通信ネットワークの構成と動作原理を理解する。デジタル情報を確実に伝送するための誤り検出訂正、暗号などの符号理論を学修することで、インターネット上で展開されているアプリケーションを実現するのに必要なICT技術の重要な要素を理解する。(14回)</t>
    <rPh sb="194" eb="195">
      <t>カイ</t>
    </rPh>
    <phoneticPr fontId="1"/>
  </si>
  <si>
    <t>コンピュータシステム：情報処理の中心となるコンピュータシステムについて、その構成要素であるハードウェアとソフトウェア、コンピュータシステム同士を接続する通信ネットワークの構成と動作原理を理解する。デジタル情報を確実に伝送するための誤り検出訂正、暗号などの符号理論を学修することで、インターネット上で展開されているアプリケーションを実現するのに必要なICT技術の重要な要素を理解する。(7,8,9,10,11,12,13回)</t>
    <rPh sb="209" eb="210">
      <t>カイ</t>
    </rPh>
    <phoneticPr fontId="1"/>
  </si>
  <si>
    <t>確率統計論：基本的な統計学の概念について理解し、データ処理法を学ぶ。統計に関するデータの収集、整理、解析、分布の推定方法を理解する。母集団と標本の違いや統計学的推計など統計解析の知識を学び、仮説検定が行えるようにする。また相関の求め方、回帰直線の求め方を学び、実際に計算ができるとともに、表計算ソフトを用い、これら典型的なデータを算出したり、グラフ化をできるようにする。(2回)</t>
    <rPh sb="6" eb="8">
      <t>キホン</t>
    </rPh>
    <rPh sb="187" eb="188">
      <t>カイ</t>
    </rPh>
    <phoneticPr fontId="1"/>
  </si>
  <si>
    <t>確率統計論：基本的な統計学の概念について理解し、データ処理法を学ぶ。統計に関するデータの収集、整理、解析、分布の推定方法を理解する。母集団と標本の違いや統計学的推計など統計解析の知識を学び、仮説検定が行えるようにする。また相関の求め方、回帰直線の求め方を学び、実際に計算ができるとともに、表計算ソフトを用い、これら典型的なデータを算出したり、グラフ化をできるようにする。(7,9,12回)</t>
    <rPh sb="6" eb="8">
      <t>キホン</t>
    </rPh>
    <rPh sb="192" eb="193">
      <t>カイ</t>
    </rPh>
    <phoneticPr fontId="1"/>
  </si>
  <si>
    <t>確率統計論：基本的な統計学の概念について理解し、データ処理法を学ぶ。統計に関するデータの収集、整理、解析、分布の推定方法を理解する。母集団と標本の違いや統計学的推計など統計解析の知識を学び、仮説検定が行えるようにする。また相関の求め方、回帰直線の求め方を学び、実際に計算ができるとともに、表計算ソフトを用い、これら典型的なデータを算出したり、グラフ化をできるようにする。(6,8,10,11,13回)</t>
    <rPh sb="6" eb="8">
      <t>キホン</t>
    </rPh>
    <rPh sb="198" eb="199">
      <t>カイ</t>
    </rPh>
    <phoneticPr fontId="1"/>
  </si>
  <si>
    <t>確率統計論</t>
    <phoneticPr fontId="1"/>
  </si>
  <si>
    <t>統計論</t>
    <phoneticPr fontId="1"/>
  </si>
  <si>
    <t>https://www.iput.ac.jp/assets/files/tk_suuri_datascience_ai.pdf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</si>
</sst>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312">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4"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8" fillId="0" borderId="0" xfId="0" applyFont="1" applyAlignment="1">
      <alignment vertical="center" wrapText="1"/>
    </xf>
    <xf numFmtId="0" fontId="12" fillId="0" borderId="0" xfId="2" applyFont="1">
      <alignment vertical="center"/>
    </xf>
    <xf numFmtId="0" fontId="11" fillId="0" borderId="0" xfId="0" applyFont="1">
      <alignment vertical="center"/>
    </xf>
    <xf numFmtId="0" fontId="9" fillId="0" borderId="0" xfId="0" applyFont="1" applyAlignment="1">
      <alignment vertical="center" wrapText="1" shrinkToFit="1"/>
    </xf>
    <xf numFmtId="0" fontId="22" fillId="0" borderId="0" xfId="0" applyFont="1" applyAlignment="1">
      <alignment vertical="center" wrapText="1"/>
    </xf>
    <xf numFmtId="49" fontId="20" fillId="0" borderId="0" xfId="0" applyNumberFormat="1" applyFont="1" applyAlignment="1">
      <alignment horizontal="center" vertical="center"/>
    </xf>
    <xf numFmtId="0" fontId="13" fillId="0" borderId="20" xfId="0" applyFont="1" applyBorder="1" applyAlignment="1">
      <alignment vertical="center" shrinkToFit="1"/>
    </xf>
    <xf numFmtId="0" fontId="13" fillId="0" borderId="18" xfId="0" applyFont="1" applyBorder="1" applyAlignment="1">
      <alignmen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horizontal="center" vertical="center"/>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22" fillId="0" borderId="48" xfId="0" applyFont="1" applyBorder="1" applyAlignment="1">
      <alignment vertical="center" wrapText="1"/>
    </xf>
    <xf numFmtId="0" fontId="22" fillId="0" borderId="49" xfId="0" applyFont="1" applyBorder="1" applyAlignment="1">
      <alignment vertical="center" wrapText="1"/>
    </xf>
    <xf numFmtId="0" fontId="9" fillId="0" borderId="39"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1" fillId="0" borderId="48" xfId="0" applyFont="1" applyBorder="1" applyAlignment="1">
      <alignment vertical="center" wrapText="1"/>
    </xf>
    <xf numFmtId="0" fontId="21"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9" xfId="0" applyFont="1" applyBorder="1" applyAlignment="1">
      <alignment horizontal="left" vertical="center" wrapText="1" shrinkToFit="1"/>
    </xf>
    <xf numFmtId="0" fontId="9" fillId="0" borderId="22" xfId="0" applyFont="1" applyBorder="1" applyAlignment="1">
      <alignment horizontal="left" vertical="center" wrapText="1" shrinkToFit="1"/>
    </xf>
    <xf numFmtId="0" fontId="9" fillId="0" borderId="21" xfId="0" applyFont="1" applyBorder="1" applyAlignment="1">
      <alignment horizontal="left" vertical="center" wrapText="1"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41" xfId="0" applyFont="1" applyBorder="1" applyAlignment="1">
      <alignment horizontal="left" vertical="center" wrapText="1" shrinkToFit="1"/>
    </xf>
    <xf numFmtId="0" fontId="9" fillId="0" borderId="42" xfId="0" applyFont="1" applyBorder="1" applyAlignment="1">
      <alignment horizontal="left" vertical="center" wrapText="1" shrinkToFit="1"/>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22" fillId="0" borderId="32" xfId="0" applyFont="1" applyBorder="1" applyAlignment="1">
      <alignment vertical="center" wrapText="1"/>
    </xf>
    <xf numFmtId="0" fontId="9" fillId="0" borderId="20" xfId="0" applyFont="1" applyBorder="1" applyAlignment="1">
      <alignment horizontal="left" vertical="center" wrapText="1" shrinkToFit="1"/>
    </xf>
    <xf numFmtId="0" fontId="9" fillId="0" borderId="18" xfId="0" applyFont="1" applyBorder="1" applyAlignment="1">
      <alignment horizontal="left" vertical="center" wrapText="1" shrinkToFit="1"/>
    </xf>
    <xf numFmtId="0" fontId="9" fillId="0" borderId="39" xfId="0" applyFont="1" applyBorder="1" applyAlignment="1">
      <alignment vertical="center" wrapText="1" shrinkToFit="1"/>
    </xf>
    <xf numFmtId="0" fontId="9" fillId="0" borderId="38" xfId="0" applyFont="1" applyBorder="1" applyAlignment="1">
      <alignment vertical="center" wrapText="1" shrinkToFit="1"/>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Alignment="1">
      <alignment vertical="center" wrapTex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9" fillId="0" borderId="0" xfId="0" applyFont="1" applyAlignment="1">
      <alignment horizontal="center" vertical="center"/>
    </xf>
    <xf numFmtId="0" fontId="19" fillId="0" borderId="0" xfId="0" applyFont="1" applyAlignment="1">
      <alignment horizontal="center" vertical="center"/>
    </xf>
    <xf numFmtId="0" fontId="8"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Alignment="1">
      <alignment horizontal="left" vertical="top" shrinkToFit="1"/>
    </xf>
    <xf numFmtId="0" fontId="11" fillId="0" borderId="10" xfId="0" applyFont="1" applyBorder="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8" fillId="0" borderId="16" xfId="0" applyFont="1" applyBorder="1" applyAlignment="1">
      <alignment vertical="top" wrapText="1"/>
    </xf>
    <xf numFmtId="0" fontId="8" fillId="0" borderId="22" xfId="0" applyFont="1" applyBorder="1" applyAlignment="1">
      <alignment vertical="top" wrapText="1"/>
    </xf>
    <xf numFmtId="0" fontId="8" fillId="0" borderId="21" xfId="0" applyFont="1" applyBorder="1" applyAlignment="1">
      <alignment vertical="top" wrapText="1"/>
    </xf>
    <xf numFmtId="0" fontId="8" fillId="0" borderId="5" xfId="0" applyFont="1" applyBorder="1" applyAlignment="1">
      <alignment vertical="top" wrapText="1"/>
    </xf>
    <xf numFmtId="0" fontId="8" fillId="0" borderId="0" xfId="0" applyFont="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11" fillId="0" borderId="3" xfId="0" applyFont="1" applyBorder="1" applyAlignment="1">
      <alignment vertical="center" shrinkToFit="1"/>
    </xf>
    <xf numFmtId="0" fontId="11" fillId="0" borderId="4" xfId="0" applyFont="1" applyBorder="1" applyAlignment="1">
      <alignment vertical="center" shrinkToFit="1"/>
    </xf>
    <xf numFmtId="0" fontId="8"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0"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8" fillId="0" borderId="19" xfId="0" applyFont="1" applyBorder="1" applyAlignment="1">
      <alignment vertical="center" wrapText="1" shrinkToFit="1"/>
    </xf>
    <xf numFmtId="0" fontId="11" fillId="0" borderId="20" xfId="0" applyFont="1" applyBorder="1" applyAlignment="1">
      <alignment vertical="center" wrapText="1" shrinkToFit="1"/>
    </xf>
    <xf numFmtId="0" fontId="11" fillId="0" borderId="18" xfId="0" applyFont="1" applyBorder="1" applyAlignment="1">
      <alignment vertical="center"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8" fillId="0" borderId="6" xfId="0" applyFont="1" applyBorder="1" applyAlignment="1">
      <alignment vertical="center" wrapText="1" shrinkToFit="1"/>
    </xf>
    <xf numFmtId="0" fontId="11" fillId="0" borderId="6" xfId="0" applyFont="1" applyBorder="1" applyAlignment="1">
      <alignment vertical="center" wrapText="1" shrinkToFit="1"/>
    </xf>
    <xf numFmtId="0" fontId="11" fillId="0" borderId="12" xfId="0" applyFont="1" applyBorder="1" applyAlignment="1">
      <alignment vertical="center" wrapText="1" shrinkToFit="1"/>
    </xf>
    <xf numFmtId="0" fontId="0" fillId="0" borderId="0" xfId="0" applyAlignment="1">
      <alignment vertical="center"/>
    </xf>
    <xf numFmtId="0" fontId="8" fillId="0" borderId="20" xfId="0" applyFont="1" applyBorder="1" applyAlignment="1">
      <alignment vertical="center"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0" fillId="0" borderId="2" xfId="0" applyFont="1" applyBorder="1">
      <alignment vertical="center"/>
    </xf>
    <xf numFmtId="0" fontId="14" fillId="0" borderId="3" xfId="0" applyFont="1" applyBorder="1">
      <alignment vertical="center"/>
    </xf>
    <xf numFmtId="0" fontId="14" fillId="0" borderId="4" xfId="0" applyFont="1" applyBorder="1">
      <alignment vertical="center"/>
    </xf>
  </cellXfs>
  <cellStyles count="4">
    <cellStyle name="Hyperlink" xfId="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iput.ac.jp/assets/files/tk_suuri_datascience_ai.pdf"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put.ac.jp/assets/files/tk_suuri_datascience_ai.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3"/>
  <sheetViews>
    <sheetView tabSelected="1" view="pageBreakPreview" zoomScaleNormal="100" zoomScaleSheetLayoutView="100" workbookViewId="0">
      <selection activeCell="H18" sqref="H18"/>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875" style="14" customWidth="1"/>
    <col min="13" max="13" width="3.375" style="14" customWidth="1"/>
    <col min="14" max="14" width="4.5" style="14" customWidth="1"/>
    <col min="15" max="15" width="9" style="27"/>
    <col min="16" max="16384" width="9" style="13"/>
  </cols>
  <sheetData>
    <row r="1" spans="1:15" ht="24" customHeight="1" x14ac:dyDescent="0.15">
      <c r="M1" s="132" t="s">
        <v>0</v>
      </c>
      <c r="N1" s="132"/>
    </row>
    <row r="2" spans="1:15" ht="24" customHeight="1" x14ac:dyDescent="0.15">
      <c r="A2" s="135" t="s">
        <v>1</v>
      </c>
      <c r="B2" s="135"/>
      <c r="C2" s="135"/>
      <c r="D2" s="135"/>
      <c r="E2" s="135"/>
      <c r="F2" s="135"/>
      <c r="G2" s="135"/>
      <c r="H2" s="135"/>
      <c r="I2" s="135"/>
      <c r="J2" s="135"/>
      <c r="K2" s="135"/>
      <c r="L2" s="135"/>
      <c r="M2" s="135"/>
      <c r="N2" s="135"/>
    </row>
    <row r="3" spans="1:15" ht="24" customHeight="1" x14ac:dyDescent="0.15"/>
    <row r="4" spans="1:15" ht="24" customHeight="1" x14ac:dyDescent="0.15">
      <c r="A4" s="14" t="s">
        <v>2</v>
      </c>
      <c r="B4" s="14" t="s">
        <v>3</v>
      </c>
      <c r="C4" s="120" t="s">
        <v>4</v>
      </c>
      <c r="D4" s="121"/>
      <c r="E4" s="121"/>
      <c r="F4" s="121"/>
      <c r="G4" s="121"/>
      <c r="H4" s="121"/>
      <c r="I4" s="121"/>
      <c r="J4" s="121"/>
      <c r="K4" s="121"/>
      <c r="L4" s="121"/>
      <c r="M4" s="121"/>
      <c r="N4" s="122"/>
      <c r="O4" s="27" t="str">
        <f>IF(C4="","入力してください","")</f>
        <v/>
      </c>
    </row>
    <row r="5" spans="1:15" ht="7.5" customHeight="1" x14ac:dyDescent="0.15">
      <c r="E5" s="15"/>
      <c r="F5" s="29"/>
      <c r="G5" s="29"/>
      <c r="H5" s="29"/>
      <c r="I5" s="29"/>
      <c r="J5" s="29"/>
      <c r="K5" s="29"/>
      <c r="L5" s="29"/>
      <c r="M5" s="29"/>
      <c r="N5" s="29"/>
    </row>
    <row r="6" spans="1:15" ht="24" customHeight="1" x14ac:dyDescent="0.15">
      <c r="A6" s="14" t="s">
        <v>5</v>
      </c>
      <c r="B6" s="14" t="s">
        <v>6</v>
      </c>
      <c r="D6" s="120" t="s">
        <v>7</v>
      </c>
      <c r="E6" s="121"/>
      <c r="F6" s="121"/>
      <c r="G6" s="121"/>
      <c r="H6" s="122"/>
      <c r="I6" s="14" t="s">
        <v>8</v>
      </c>
      <c r="J6" s="29" t="s">
        <v>9</v>
      </c>
      <c r="K6" s="120" t="s">
        <v>10</v>
      </c>
      <c r="L6" s="121"/>
      <c r="M6" s="121"/>
      <c r="N6" s="122"/>
      <c r="O6" s="27" t="str">
        <f>IF(D6="","入力してください","")</f>
        <v/>
      </c>
    </row>
    <row r="7" spans="1:15" ht="7.5" customHeight="1" x14ac:dyDescent="0.15">
      <c r="E7" s="15"/>
      <c r="F7" s="29"/>
      <c r="G7" s="29"/>
      <c r="H7" s="29"/>
      <c r="I7" s="29"/>
      <c r="J7" s="29"/>
      <c r="K7" s="29"/>
      <c r="L7" s="29"/>
      <c r="M7" s="29"/>
      <c r="N7" s="29"/>
    </row>
    <row r="8" spans="1:15" ht="24" customHeight="1" x14ac:dyDescent="0.15">
      <c r="A8" s="14" t="s">
        <v>11</v>
      </c>
      <c r="B8" s="14" t="s">
        <v>12</v>
      </c>
      <c r="C8" s="120" t="s">
        <v>13</v>
      </c>
      <c r="D8" s="121"/>
      <c r="E8" s="121"/>
      <c r="F8" s="121"/>
      <c r="G8" s="121"/>
      <c r="H8" s="121"/>
      <c r="I8" s="121"/>
      <c r="J8" s="121"/>
      <c r="K8" s="121"/>
      <c r="L8" s="121"/>
      <c r="M8" s="121"/>
      <c r="N8" s="122"/>
      <c r="O8" s="27" t="str">
        <f>IF(C8="","入力してください","")</f>
        <v/>
      </c>
    </row>
    <row r="9" spans="1:15" ht="7.5" customHeight="1" x14ac:dyDescent="0.15">
      <c r="E9" s="15"/>
      <c r="F9" s="29"/>
      <c r="G9" s="29"/>
      <c r="H9" s="29"/>
      <c r="I9" s="29"/>
      <c r="J9" s="29"/>
      <c r="K9" s="29"/>
      <c r="L9" s="29"/>
      <c r="M9" s="29"/>
      <c r="N9" s="29"/>
    </row>
    <row r="10" spans="1:15" ht="24" customHeight="1" x14ac:dyDescent="0.15">
      <c r="A10" s="14" t="s">
        <v>14</v>
      </c>
      <c r="B10" s="14" t="s">
        <v>15</v>
      </c>
      <c r="E10" s="120" t="s">
        <v>16</v>
      </c>
      <c r="F10" s="121"/>
      <c r="G10" s="121"/>
      <c r="H10" s="121"/>
      <c r="I10" s="121"/>
      <c r="J10" s="121"/>
      <c r="K10" s="121"/>
      <c r="L10" s="121"/>
      <c r="M10" s="121"/>
      <c r="N10" s="122"/>
      <c r="O10" s="27" t="str">
        <f>IF(E10="","入力してください","")</f>
        <v/>
      </c>
    </row>
    <row r="11" spans="1:15" ht="7.5" customHeight="1" x14ac:dyDescent="0.15">
      <c r="B11" s="15"/>
      <c r="C11" s="15"/>
      <c r="D11" s="15"/>
      <c r="E11" s="15"/>
      <c r="F11" s="29"/>
      <c r="G11" s="29"/>
      <c r="H11" s="29"/>
      <c r="I11" s="29"/>
      <c r="J11" s="29"/>
      <c r="K11" s="29"/>
      <c r="L11" s="29"/>
      <c r="M11" s="29"/>
      <c r="N11" s="29"/>
    </row>
    <row r="12" spans="1:15" ht="24" customHeight="1" x14ac:dyDescent="0.15">
      <c r="A12" s="14" t="s">
        <v>17</v>
      </c>
      <c r="B12" s="15" t="s">
        <v>18</v>
      </c>
      <c r="C12" s="15"/>
      <c r="D12" s="15"/>
      <c r="E12" s="136">
        <v>2021</v>
      </c>
      <c r="F12" s="137"/>
      <c r="G12" s="14" t="s">
        <v>19</v>
      </c>
      <c r="H12" s="14" t="s">
        <v>20</v>
      </c>
      <c r="N12" s="103" t="s">
        <v>21</v>
      </c>
      <c r="O12" s="27" t="str">
        <f>IF(E12="","入力してください","")</f>
        <v/>
      </c>
    </row>
    <row r="13" spans="1:15" ht="7.5" customHeight="1" x14ac:dyDescent="0.15">
      <c r="B13" s="15"/>
      <c r="C13" s="15"/>
      <c r="D13" s="15"/>
      <c r="E13" s="15"/>
      <c r="F13" s="29"/>
      <c r="G13" s="29"/>
      <c r="H13" s="29"/>
      <c r="I13" s="29"/>
      <c r="J13" s="29"/>
      <c r="K13" s="29"/>
      <c r="L13" s="29"/>
      <c r="M13" s="29"/>
      <c r="N13" s="29"/>
    </row>
    <row r="14" spans="1:15" ht="24" customHeight="1" x14ac:dyDescent="0.15">
      <c r="A14" s="14" t="s">
        <v>22</v>
      </c>
      <c r="B14" s="14" t="s">
        <v>23</v>
      </c>
      <c r="C14" s="132" t="s">
        <v>24</v>
      </c>
      <c r="D14" s="133"/>
      <c r="E14" s="116">
        <v>39</v>
      </c>
      <c r="F14" s="117"/>
      <c r="G14" s="16" t="s">
        <v>25</v>
      </c>
      <c r="I14" s="132" t="s">
        <v>26</v>
      </c>
      <c r="J14" s="133"/>
      <c r="K14" s="116">
        <v>19</v>
      </c>
      <c r="L14" s="134"/>
      <c r="M14" s="117"/>
      <c r="N14" s="17" t="s">
        <v>25</v>
      </c>
      <c r="O14" s="27" t="str">
        <f>IF(OR(E14="",K14=""),"入力してください","")</f>
        <v/>
      </c>
    </row>
    <row r="15" spans="1:15" ht="7.5" customHeight="1" x14ac:dyDescent="0.15">
      <c r="M15" s="17"/>
      <c r="N15" s="17"/>
    </row>
    <row r="16" spans="1:15" ht="24" customHeight="1" x14ac:dyDescent="0.15">
      <c r="A16" s="14" t="s">
        <v>27</v>
      </c>
      <c r="B16" s="14" t="s">
        <v>28</v>
      </c>
      <c r="K16" s="136">
        <v>10</v>
      </c>
      <c r="L16" s="138"/>
      <c r="M16" s="137"/>
      <c r="N16" s="17" t="s">
        <v>25</v>
      </c>
      <c r="O16" s="27" t="str">
        <f>IF(K16="","入力してください","")</f>
        <v/>
      </c>
    </row>
    <row r="17" spans="1:15" ht="7.5" customHeight="1" x14ac:dyDescent="0.15">
      <c r="M17" s="17"/>
      <c r="N17" s="17"/>
    </row>
    <row r="18" spans="1:15" ht="24" customHeight="1" x14ac:dyDescent="0.15">
      <c r="A18" s="14" t="s">
        <v>29</v>
      </c>
      <c r="B18" s="14" t="s">
        <v>30</v>
      </c>
      <c r="E18" s="116">
        <v>200</v>
      </c>
      <c r="F18" s="117"/>
      <c r="G18" s="18" t="s">
        <v>31</v>
      </c>
      <c r="K18" s="142"/>
      <c r="L18" s="142"/>
      <c r="M18" s="142"/>
      <c r="N18" s="142"/>
      <c r="O18" s="27" t="str">
        <f>IF(E18="","入力してください","")</f>
        <v/>
      </c>
    </row>
    <row r="19" spans="1:15" ht="7.5" customHeight="1" x14ac:dyDescent="0.15">
      <c r="E19" s="10"/>
      <c r="L19" s="25"/>
      <c r="M19" s="25"/>
      <c r="N19" s="17"/>
    </row>
    <row r="20" spans="1:15" ht="24" customHeight="1" x14ac:dyDescent="0.15">
      <c r="A20" s="14" t="s">
        <v>32</v>
      </c>
      <c r="B20" s="14" t="s">
        <v>33</v>
      </c>
      <c r="E20" s="10"/>
      <c r="H20" s="14" t="s">
        <v>34</v>
      </c>
      <c r="J20" s="139">
        <v>431</v>
      </c>
      <c r="K20" s="140"/>
      <c r="L20" s="141"/>
      <c r="M20" s="25" t="s">
        <v>25</v>
      </c>
      <c r="N20" s="17"/>
      <c r="O20" s="27" t="str">
        <f>IF(J20="","入力してください","")</f>
        <v/>
      </c>
    </row>
    <row r="21" spans="1:15" ht="7.5" customHeight="1" x14ac:dyDescent="0.15">
      <c r="E21" s="10"/>
      <c r="L21" s="25"/>
      <c r="M21" s="25"/>
      <c r="N21" s="17"/>
    </row>
    <row r="22" spans="1:15" ht="24" customHeight="1" x14ac:dyDescent="0.15">
      <c r="B22" s="25" t="s">
        <v>35</v>
      </c>
      <c r="C22" s="116">
        <v>232</v>
      </c>
      <c r="D22" s="117"/>
      <c r="E22" s="10" t="s">
        <v>25</v>
      </c>
      <c r="G22" s="143" t="s">
        <v>36</v>
      </c>
      <c r="H22" s="143"/>
      <c r="I22" s="116">
        <v>199</v>
      </c>
      <c r="J22" s="117"/>
      <c r="K22" s="14" t="s">
        <v>25</v>
      </c>
      <c r="M22" s="25"/>
      <c r="N22" s="17"/>
    </row>
    <row r="23" spans="1:15" ht="7.5" customHeight="1" x14ac:dyDescent="0.15">
      <c r="B23" s="25"/>
      <c r="C23" s="11"/>
      <c r="D23" s="11"/>
      <c r="E23" s="10"/>
      <c r="G23" s="25"/>
      <c r="H23" s="25"/>
      <c r="I23" s="11"/>
      <c r="J23" s="11"/>
      <c r="M23" s="25"/>
      <c r="N23" s="17"/>
    </row>
    <row r="24" spans="1:15" ht="24" customHeight="1" x14ac:dyDescent="0.15">
      <c r="B24" s="25" t="s">
        <v>37</v>
      </c>
      <c r="C24" s="116"/>
      <c r="D24" s="117"/>
      <c r="E24" s="10" t="s">
        <v>25</v>
      </c>
      <c r="G24" s="143" t="s">
        <v>38</v>
      </c>
      <c r="H24" s="143"/>
      <c r="I24" s="116"/>
      <c r="J24" s="117"/>
      <c r="K24" s="14" t="s">
        <v>25</v>
      </c>
      <c r="M24" s="25"/>
      <c r="N24" s="17"/>
    </row>
    <row r="25" spans="1:15" ht="7.5" customHeight="1" x14ac:dyDescent="0.15">
      <c r="B25" s="25"/>
      <c r="C25" s="11"/>
      <c r="D25" s="11"/>
      <c r="E25" s="10"/>
      <c r="G25" s="25"/>
      <c r="H25" s="25"/>
      <c r="I25" s="11"/>
      <c r="J25" s="11"/>
      <c r="M25" s="25"/>
      <c r="N25" s="17"/>
    </row>
    <row r="26" spans="1:15" ht="24" customHeight="1" x14ac:dyDescent="0.15">
      <c r="B26" s="25" t="s">
        <v>39</v>
      </c>
      <c r="C26" s="116"/>
      <c r="D26" s="117"/>
      <c r="E26" s="10" t="s">
        <v>25</v>
      </c>
      <c r="G26" s="143" t="s">
        <v>40</v>
      </c>
      <c r="H26" s="143"/>
      <c r="I26" s="116"/>
      <c r="J26" s="117"/>
      <c r="K26" s="14" t="s">
        <v>25</v>
      </c>
      <c r="M26" s="25"/>
      <c r="N26" s="17"/>
    </row>
    <row r="27" spans="1:15" ht="7.5" customHeight="1" x14ac:dyDescent="0.15">
      <c r="M27" s="19"/>
      <c r="N27" s="19"/>
    </row>
    <row r="28" spans="1:15" ht="24" customHeight="1" x14ac:dyDescent="0.15">
      <c r="A28" s="14" t="s">
        <v>41</v>
      </c>
      <c r="B28" s="14" t="s">
        <v>42</v>
      </c>
      <c r="G28" s="29"/>
      <c r="H28" s="29"/>
      <c r="I28" s="29"/>
      <c r="J28" s="20"/>
      <c r="K28" s="20"/>
      <c r="L28" s="20"/>
      <c r="M28" s="20"/>
      <c r="N28" s="20"/>
    </row>
    <row r="29" spans="1:15" s="14" customFormat="1" ht="24" customHeight="1" x14ac:dyDescent="0.15">
      <c r="B29" s="129" t="s">
        <v>43</v>
      </c>
      <c r="C29" s="129"/>
      <c r="D29" s="120" t="s">
        <v>44</v>
      </c>
      <c r="E29" s="121"/>
      <c r="F29" s="121"/>
      <c r="G29" s="130" t="s">
        <v>45</v>
      </c>
      <c r="H29" s="129"/>
      <c r="I29" s="131"/>
      <c r="J29" s="120" t="s">
        <v>46</v>
      </c>
      <c r="K29" s="121"/>
      <c r="L29" s="121"/>
      <c r="M29" s="121"/>
      <c r="N29" s="122"/>
      <c r="O29" s="27" t="str">
        <f>IF(OR(D29="",J29=""),"入力してください","")</f>
        <v/>
      </c>
    </row>
    <row r="30" spans="1:15" ht="7.5" customHeight="1" x14ac:dyDescent="0.15">
      <c r="M30" s="19"/>
      <c r="N30" s="19"/>
    </row>
    <row r="31" spans="1:15" ht="24" customHeight="1" x14ac:dyDescent="0.15">
      <c r="A31" s="14" t="s">
        <v>47</v>
      </c>
      <c r="B31" s="14" t="s">
        <v>48</v>
      </c>
      <c r="G31" s="20"/>
      <c r="H31" s="20"/>
      <c r="I31" s="20"/>
      <c r="J31" s="20"/>
      <c r="K31" s="20"/>
      <c r="L31" s="20"/>
      <c r="M31" s="20"/>
      <c r="N31" s="20"/>
    </row>
    <row r="32" spans="1:15" ht="24" customHeight="1" x14ac:dyDescent="0.15">
      <c r="B32" s="120" t="s">
        <v>49</v>
      </c>
      <c r="C32" s="121"/>
      <c r="D32" s="121"/>
      <c r="E32" s="121"/>
      <c r="F32" s="121"/>
      <c r="G32" s="121"/>
      <c r="H32" s="121"/>
      <c r="I32" s="121"/>
      <c r="J32" s="121"/>
      <c r="K32" s="121"/>
      <c r="L32" s="121"/>
      <c r="M32" s="121"/>
      <c r="N32" s="122"/>
      <c r="O32" s="27"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29" t="s">
        <v>43</v>
      </c>
      <c r="C34" s="129"/>
      <c r="D34" s="120" t="s">
        <v>50</v>
      </c>
      <c r="E34" s="121"/>
      <c r="F34" s="121"/>
      <c r="G34" s="130" t="s">
        <v>45</v>
      </c>
      <c r="H34" s="129"/>
      <c r="I34" s="131"/>
      <c r="J34" s="120" t="s">
        <v>51</v>
      </c>
      <c r="K34" s="121"/>
      <c r="L34" s="121"/>
      <c r="M34" s="121"/>
      <c r="N34" s="122"/>
      <c r="O34" s="27" t="str">
        <f>IF(OR(D34="",J34=""),"入力してください","")</f>
        <v/>
      </c>
    </row>
    <row r="35" spans="1:15" ht="7.5" customHeight="1" x14ac:dyDescent="0.15">
      <c r="F35" s="29"/>
      <c r="G35" s="29"/>
      <c r="H35" s="29"/>
      <c r="I35" s="29"/>
      <c r="J35" s="29"/>
      <c r="K35" s="29"/>
      <c r="L35" s="29"/>
      <c r="M35" s="29"/>
      <c r="N35" s="29"/>
    </row>
    <row r="36" spans="1:15" ht="24" customHeight="1" x14ac:dyDescent="0.15">
      <c r="A36" s="14" t="s">
        <v>52</v>
      </c>
      <c r="B36" s="14" t="s">
        <v>53</v>
      </c>
      <c r="M36" s="19"/>
      <c r="N36" s="19"/>
    </row>
    <row r="37" spans="1:15" ht="24" customHeight="1" x14ac:dyDescent="0.15">
      <c r="B37" s="120" t="s">
        <v>54</v>
      </c>
      <c r="C37" s="121"/>
      <c r="D37" s="121"/>
      <c r="E37" s="121"/>
      <c r="F37" s="121"/>
      <c r="G37" s="121"/>
      <c r="H37" s="121"/>
      <c r="I37" s="121"/>
      <c r="J37" s="121"/>
      <c r="K37" s="121"/>
      <c r="L37" s="121"/>
      <c r="M37" s="121"/>
      <c r="N37" s="122"/>
      <c r="O37" s="27" t="str">
        <f>IF(B37="","入力してください","")</f>
        <v/>
      </c>
    </row>
    <row r="38" spans="1:15" ht="7.5" customHeight="1" x14ac:dyDescent="0.15">
      <c r="F38" s="29"/>
      <c r="G38" s="29"/>
      <c r="H38" s="29"/>
      <c r="I38" s="29"/>
      <c r="J38" s="29"/>
      <c r="K38" s="29"/>
      <c r="L38" s="29"/>
      <c r="M38" s="29"/>
      <c r="N38" s="29"/>
    </row>
    <row r="39" spans="1:15" s="14" customFormat="1" ht="24" customHeight="1" x14ac:dyDescent="0.15">
      <c r="B39" s="129" t="s">
        <v>43</v>
      </c>
      <c r="C39" s="129"/>
      <c r="D39" s="120" t="s">
        <v>55</v>
      </c>
      <c r="E39" s="121"/>
      <c r="F39" s="121"/>
      <c r="G39" s="130" t="s">
        <v>45</v>
      </c>
      <c r="H39" s="129"/>
      <c r="I39" s="131"/>
      <c r="J39" s="120" t="s">
        <v>56</v>
      </c>
      <c r="K39" s="121"/>
      <c r="L39" s="121"/>
      <c r="M39" s="121"/>
      <c r="N39" s="122"/>
      <c r="O39" s="27" t="str">
        <f>IF(OR(D39="",J39=""),"入力してください","")</f>
        <v/>
      </c>
    </row>
    <row r="40" spans="1:15" ht="7.5" customHeight="1" x14ac:dyDescent="0.15">
      <c r="F40" s="29"/>
      <c r="G40" s="29"/>
      <c r="H40" s="29"/>
      <c r="I40" s="29"/>
      <c r="J40" s="29"/>
      <c r="K40" s="29"/>
      <c r="L40" s="29"/>
      <c r="M40" s="29"/>
      <c r="N40" s="29"/>
    </row>
    <row r="41" spans="1:15" ht="24" customHeight="1" x14ac:dyDescent="0.15">
      <c r="A41" s="14" t="s">
        <v>57</v>
      </c>
      <c r="B41" s="14" t="s">
        <v>58</v>
      </c>
      <c r="E41" s="64"/>
      <c r="F41" s="120" t="s">
        <v>59</v>
      </c>
      <c r="G41" s="121"/>
      <c r="H41" s="121"/>
      <c r="I41" s="121"/>
      <c r="J41" s="121"/>
      <c r="K41" s="121"/>
      <c r="L41" s="121"/>
      <c r="M41" s="121"/>
      <c r="N41" s="122"/>
      <c r="O41" s="27" t="str">
        <f>IF(F41="","入力してください","")</f>
        <v/>
      </c>
    </row>
    <row r="42" spans="1:15" ht="7.5" customHeight="1" x14ac:dyDescent="0.15">
      <c r="F42" s="29"/>
      <c r="G42" s="29"/>
      <c r="H42" s="29"/>
      <c r="I42" s="29"/>
      <c r="J42" s="29"/>
      <c r="K42" s="29"/>
      <c r="L42" s="29"/>
      <c r="M42" s="29"/>
      <c r="N42" s="29"/>
    </row>
    <row r="43" spans="1:15" ht="24" customHeight="1" x14ac:dyDescent="0.15">
      <c r="B43" s="26" t="s">
        <v>60</v>
      </c>
      <c r="C43" s="118" t="s">
        <v>61</v>
      </c>
      <c r="D43" s="119"/>
      <c r="E43" s="119"/>
      <c r="F43" s="119"/>
      <c r="G43" s="119"/>
      <c r="H43" s="119"/>
      <c r="I43" s="22" t="s">
        <v>62</v>
      </c>
      <c r="J43" s="23"/>
      <c r="K43" s="120" t="s">
        <v>63</v>
      </c>
      <c r="L43" s="121"/>
      <c r="M43" s="121"/>
      <c r="N43" s="122"/>
      <c r="O43" s="27" t="str">
        <f>IF(OR(C43="",K43=""),"入力してください","")</f>
        <v/>
      </c>
    </row>
    <row r="44" spans="1:15" ht="24.95" customHeight="1" x14ac:dyDescent="0.15">
      <c r="B44" s="21" t="s">
        <v>64</v>
      </c>
      <c r="C44" s="123" t="s">
        <v>65</v>
      </c>
      <c r="D44" s="124"/>
      <c r="E44" s="124"/>
      <c r="F44" s="124"/>
      <c r="G44" s="124"/>
      <c r="H44" s="125"/>
      <c r="I44" s="22" t="s">
        <v>66</v>
      </c>
      <c r="J44" s="23"/>
      <c r="K44" s="126" t="s">
        <v>67</v>
      </c>
      <c r="L44" s="127"/>
      <c r="M44" s="127"/>
      <c r="N44" s="128"/>
      <c r="O44" s="27" t="str">
        <f>IF(OR(C44="",K44=""),"入力してください","")</f>
        <v/>
      </c>
    </row>
    <row r="83" spans="2:2" ht="18.75" customHeight="1" x14ac:dyDescent="0.15">
      <c r="B83" s="108" t="s">
        <v>68</v>
      </c>
    </row>
  </sheetData>
  <mergeCells count="44">
    <mergeCell ref="B37:N37"/>
    <mergeCell ref="K16:M16"/>
    <mergeCell ref="J20:L20"/>
    <mergeCell ref="B29:C29"/>
    <mergeCell ref="D29:F29"/>
    <mergeCell ref="G29:I29"/>
    <mergeCell ref="K18:N18"/>
    <mergeCell ref="E18:F18"/>
    <mergeCell ref="C22:D22"/>
    <mergeCell ref="G22:H22"/>
    <mergeCell ref="I22:J22"/>
    <mergeCell ref="C24:D24"/>
    <mergeCell ref="G24:H24"/>
    <mergeCell ref="I24:J24"/>
    <mergeCell ref="C26:D26"/>
    <mergeCell ref="G26:H26"/>
    <mergeCell ref="M1:N1"/>
    <mergeCell ref="C14:D14"/>
    <mergeCell ref="C8:N8"/>
    <mergeCell ref="K14:M14"/>
    <mergeCell ref="C4:N4"/>
    <mergeCell ref="A2:N2"/>
    <mergeCell ref="E14:F14"/>
    <mergeCell ref="I14:J14"/>
    <mergeCell ref="E10:N10"/>
    <mergeCell ref="K6:N6"/>
    <mergeCell ref="D6:H6"/>
    <mergeCell ref="E12:F12"/>
    <mergeCell ref="I26:J26"/>
    <mergeCell ref="C43:H43"/>
    <mergeCell ref="K43:N43"/>
    <mergeCell ref="C44:H44"/>
    <mergeCell ref="K44:N44"/>
    <mergeCell ref="B34:C34"/>
    <mergeCell ref="J34:N34"/>
    <mergeCell ref="D34:F34"/>
    <mergeCell ref="G34:I34"/>
    <mergeCell ref="B39:C39"/>
    <mergeCell ref="D39:F39"/>
    <mergeCell ref="G39:I39"/>
    <mergeCell ref="F41:N41"/>
    <mergeCell ref="J29:N29"/>
    <mergeCell ref="J39:N39"/>
    <mergeCell ref="B32:N32"/>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7"/>
  <sheetViews>
    <sheetView showZeros="0" view="pageBreakPreview" topLeftCell="A85" zoomScaleNormal="100" zoomScaleSheetLayoutView="100" workbookViewId="0">
      <selection activeCell="D102" sqref="D102"/>
    </sheetView>
  </sheetViews>
  <sheetFormatPr defaultColWidth="9" defaultRowHeight="18.75" customHeight="1" x14ac:dyDescent="0.15"/>
  <cols>
    <col min="1" max="1" width="2.5" style="13" customWidth="1"/>
    <col min="2" max="2" width="27.8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19" t="s">
        <v>69</v>
      </c>
      <c r="X1" s="219"/>
      <c r="Y1" s="219"/>
      <c r="Z1" s="219"/>
    </row>
    <row r="2" spans="1:26" ht="18" customHeight="1" x14ac:dyDescent="0.15">
      <c r="A2" s="220" t="s">
        <v>70</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71</v>
      </c>
      <c r="B4" s="25"/>
      <c r="C4" s="25"/>
      <c r="D4" s="25"/>
      <c r="E4" s="25"/>
      <c r="F4" s="25"/>
      <c r="G4" s="25"/>
      <c r="H4" s="14" t="s">
        <v>72</v>
      </c>
      <c r="I4" s="25"/>
      <c r="J4" s="25"/>
      <c r="K4" s="25"/>
      <c r="L4" s="25"/>
      <c r="M4" s="25"/>
      <c r="N4" s="25"/>
      <c r="O4" s="136" t="s">
        <v>73</v>
      </c>
      <c r="P4" s="138"/>
      <c r="Q4" s="138"/>
      <c r="R4" s="138"/>
      <c r="S4" s="138"/>
      <c r="T4" s="138"/>
      <c r="U4" s="138"/>
      <c r="V4" s="138"/>
      <c r="W4" s="138"/>
      <c r="X4" s="138"/>
      <c r="Y4" s="138"/>
      <c r="Z4" s="137"/>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21" t="s">
        <v>74</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6"/>
    </row>
    <row r="11" spans="1:26" ht="18" customHeight="1" x14ac:dyDescent="0.15">
      <c r="B11" s="227"/>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9"/>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212" t="s">
        <v>75</v>
      </c>
      <c r="B13" s="212"/>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row>
    <row r="14" spans="1:26" ht="18" customHeight="1" x14ac:dyDescent="0.15">
      <c r="A14" s="212"/>
      <c r="B14" s="212"/>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row>
    <row r="15" spans="1:26" ht="18" customHeight="1" x14ac:dyDescent="0.15">
      <c r="A15" s="14"/>
      <c r="B15" s="136" t="s">
        <v>76</v>
      </c>
      <c r="C15" s="138"/>
      <c r="D15" s="138"/>
      <c r="E15" s="138"/>
      <c r="F15" s="137"/>
      <c r="G15" s="26" t="s">
        <v>77</v>
      </c>
      <c r="H15" s="99" t="s">
        <v>78</v>
      </c>
      <c r="I15" s="138" t="s">
        <v>79</v>
      </c>
      <c r="J15" s="138"/>
      <c r="K15" s="138"/>
      <c r="L15" s="65" t="s">
        <v>80</v>
      </c>
      <c r="M15" s="65" t="s">
        <v>81</v>
      </c>
      <c r="N15" s="136" t="s">
        <v>76</v>
      </c>
      <c r="O15" s="138"/>
      <c r="P15" s="138"/>
      <c r="Q15" s="138"/>
      <c r="R15" s="138"/>
      <c r="S15" s="137"/>
      <c r="T15" s="26" t="s">
        <v>77</v>
      </c>
      <c r="U15" s="99" t="s">
        <v>78</v>
      </c>
      <c r="V15" s="138" t="s">
        <v>79</v>
      </c>
      <c r="W15" s="138"/>
      <c r="X15" s="138"/>
      <c r="Y15" s="65" t="s">
        <v>80</v>
      </c>
      <c r="Z15" s="65" t="s">
        <v>81</v>
      </c>
    </row>
    <row r="16" spans="1:26" ht="18" customHeight="1" x14ac:dyDescent="0.15">
      <c r="A16" s="14"/>
      <c r="B16" s="216" t="s">
        <v>82</v>
      </c>
      <c r="C16" s="217"/>
      <c r="D16" s="217"/>
      <c r="E16" s="217"/>
      <c r="F16" s="218"/>
      <c r="G16" s="100">
        <v>2</v>
      </c>
      <c r="H16" s="100" t="s">
        <v>83</v>
      </c>
      <c r="I16" s="209" t="s">
        <v>84</v>
      </c>
      <c r="J16" s="210"/>
      <c r="K16" s="211"/>
      <c r="L16" s="100" t="s">
        <v>83</v>
      </c>
      <c r="M16" s="100" t="s">
        <v>83</v>
      </c>
      <c r="N16" s="200"/>
      <c r="O16" s="201"/>
      <c r="P16" s="201"/>
      <c r="Q16" s="201"/>
      <c r="R16" s="201"/>
      <c r="S16" s="202"/>
      <c r="T16" s="100"/>
      <c r="U16" s="100"/>
      <c r="V16" s="209"/>
      <c r="W16" s="210"/>
      <c r="X16" s="211"/>
      <c r="Y16" s="100"/>
      <c r="Z16" s="100"/>
    </row>
    <row r="17" spans="1:26" ht="18" customHeight="1" x14ac:dyDescent="0.15">
      <c r="A17" s="14"/>
      <c r="B17" s="213" t="s">
        <v>85</v>
      </c>
      <c r="C17" s="214"/>
      <c r="D17" s="214"/>
      <c r="E17" s="214"/>
      <c r="F17" s="215"/>
      <c r="G17" s="101">
        <v>2</v>
      </c>
      <c r="H17" s="101" t="s">
        <v>83</v>
      </c>
      <c r="I17" s="159" t="s">
        <v>84</v>
      </c>
      <c r="J17" s="160"/>
      <c r="K17" s="161"/>
      <c r="L17" s="101" t="s">
        <v>83</v>
      </c>
      <c r="M17" s="101" t="s">
        <v>83</v>
      </c>
      <c r="N17" s="156"/>
      <c r="O17" s="157"/>
      <c r="P17" s="157"/>
      <c r="Q17" s="157"/>
      <c r="R17" s="157"/>
      <c r="S17" s="158"/>
      <c r="T17" s="101"/>
      <c r="U17" s="101"/>
      <c r="V17" s="159"/>
      <c r="W17" s="160"/>
      <c r="X17" s="161"/>
      <c r="Y17" s="101"/>
      <c r="Z17" s="101"/>
    </row>
    <row r="18" spans="1:26" ht="18" customHeight="1" x14ac:dyDescent="0.15">
      <c r="A18" s="14"/>
      <c r="B18" s="213" t="s">
        <v>86</v>
      </c>
      <c r="C18" s="214"/>
      <c r="D18" s="214"/>
      <c r="E18" s="214"/>
      <c r="F18" s="215"/>
      <c r="G18" s="101">
        <v>2</v>
      </c>
      <c r="H18" s="101" t="s">
        <v>83</v>
      </c>
      <c r="I18" s="159" t="s">
        <v>84</v>
      </c>
      <c r="J18" s="160"/>
      <c r="K18" s="161"/>
      <c r="L18" s="101"/>
      <c r="M18" s="101"/>
      <c r="N18" s="156"/>
      <c r="O18" s="157"/>
      <c r="P18" s="157"/>
      <c r="Q18" s="157"/>
      <c r="R18" s="157"/>
      <c r="S18" s="158"/>
      <c r="T18" s="101"/>
      <c r="U18" s="101"/>
      <c r="V18" s="159"/>
      <c r="W18" s="160"/>
      <c r="X18" s="161"/>
      <c r="Y18" s="101"/>
      <c r="Z18" s="101"/>
    </row>
    <row r="19" spans="1:26" ht="18" customHeight="1" x14ac:dyDescent="0.15">
      <c r="A19" s="14"/>
      <c r="B19" s="213"/>
      <c r="C19" s="214"/>
      <c r="D19" s="214"/>
      <c r="E19" s="214"/>
      <c r="F19" s="215"/>
      <c r="G19" s="101"/>
      <c r="H19" s="101"/>
      <c r="I19" s="159"/>
      <c r="J19" s="160"/>
      <c r="K19" s="161"/>
      <c r="L19" s="101"/>
      <c r="M19" s="101"/>
      <c r="N19" s="156"/>
      <c r="O19" s="157"/>
      <c r="P19" s="157"/>
      <c r="Q19" s="157"/>
      <c r="R19" s="157"/>
      <c r="S19" s="158"/>
      <c r="T19" s="101"/>
      <c r="U19" s="101"/>
      <c r="V19" s="159"/>
      <c r="W19" s="160"/>
      <c r="X19" s="161"/>
      <c r="Y19" s="101"/>
      <c r="Z19" s="101"/>
    </row>
    <row r="20" spans="1:26" ht="18" customHeight="1" x14ac:dyDescent="0.15">
      <c r="A20" s="14"/>
      <c r="B20" s="213"/>
      <c r="C20" s="214"/>
      <c r="D20" s="214"/>
      <c r="E20" s="214"/>
      <c r="F20" s="215"/>
      <c r="G20" s="101"/>
      <c r="H20" s="101"/>
      <c r="I20" s="159"/>
      <c r="J20" s="160"/>
      <c r="K20" s="161"/>
      <c r="L20" s="101"/>
      <c r="M20" s="101"/>
      <c r="N20" s="156"/>
      <c r="O20" s="157"/>
      <c r="P20" s="157"/>
      <c r="Q20" s="157"/>
      <c r="R20" s="157"/>
      <c r="S20" s="158"/>
      <c r="T20" s="101"/>
      <c r="U20" s="101"/>
      <c r="V20" s="159"/>
      <c r="W20" s="160"/>
      <c r="X20" s="161"/>
      <c r="Y20" s="101"/>
      <c r="Z20" s="101"/>
    </row>
    <row r="21" spans="1:26" ht="18" customHeight="1" x14ac:dyDescent="0.15">
      <c r="A21" s="25"/>
      <c r="B21" s="144"/>
      <c r="C21" s="145"/>
      <c r="D21" s="145"/>
      <c r="E21" s="145"/>
      <c r="F21" s="146"/>
      <c r="G21" s="102"/>
      <c r="H21" s="102"/>
      <c r="I21" s="147"/>
      <c r="J21" s="148"/>
      <c r="K21" s="149"/>
      <c r="L21" s="107"/>
      <c r="M21" s="107"/>
      <c r="N21" s="150"/>
      <c r="O21" s="151"/>
      <c r="P21" s="151"/>
      <c r="Q21" s="151"/>
      <c r="R21" s="151"/>
      <c r="S21" s="152"/>
      <c r="T21" s="102"/>
      <c r="U21" s="102"/>
      <c r="V21" s="147"/>
      <c r="W21" s="148"/>
      <c r="X21" s="149"/>
      <c r="Y21" s="107"/>
      <c r="Z21" s="107"/>
    </row>
    <row r="22" spans="1:26" ht="7.5" customHeight="1" x14ac:dyDescent="0.15">
      <c r="A22" s="25"/>
      <c r="B22" s="29"/>
      <c r="C22" s="29"/>
      <c r="D22" s="25"/>
      <c r="E22" s="25"/>
      <c r="F22" s="25"/>
      <c r="G22" s="25"/>
      <c r="H22" s="25"/>
      <c r="I22" s="25"/>
      <c r="J22" s="25"/>
      <c r="K22" s="25"/>
      <c r="L22" s="29"/>
      <c r="M22" s="29"/>
      <c r="N22" s="29"/>
      <c r="O22" s="29"/>
      <c r="P22" s="29"/>
      <c r="Q22" s="29"/>
      <c r="R22" s="29"/>
      <c r="S22" s="29"/>
      <c r="T22" s="29"/>
      <c r="U22" s="29"/>
      <c r="V22" s="29"/>
      <c r="W22" s="29"/>
      <c r="X22" s="29"/>
      <c r="Y22" s="29"/>
      <c r="Z22" s="25"/>
    </row>
    <row r="23" spans="1:26" ht="18" customHeight="1" x14ac:dyDescent="0.15">
      <c r="A23" s="212" t="s">
        <v>87</v>
      </c>
      <c r="B23" s="212"/>
      <c r="C23" s="212"/>
      <c r="D23" s="212"/>
      <c r="E23" s="212"/>
      <c r="F23" s="212"/>
      <c r="G23" s="212"/>
      <c r="H23" s="212"/>
      <c r="I23" s="212"/>
      <c r="J23" s="212"/>
      <c r="K23" s="212"/>
      <c r="L23" s="212"/>
      <c r="M23" s="212"/>
      <c r="N23" s="212"/>
      <c r="O23" s="212"/>
      <c r="P23" s="212"/>
      <c r="Q23" s="212"/>
      <c r="R23" s="212"/>
      <c r="S23" s="212"/>
      <c r="T23" s="212"/>
      <c r="U23" s="212"/>
      <c r="V23" s="212"/>
      <c r="W23" s="212"/>
      <c r="X23" s="212"/>
      <c r="Y23" s="212"/>
      <c r="Z23" s="212"/>
    </row>
    <row r="24" spans="1:26" ht="18" customHeight="1" x14ac:dyDescent="0.15">
      <c r="A24" s="212"/>
      <c r="B24" s="212"/>
      <c r="C24" s="212"/>
      <c r="D24" s="212"/>
      <c r="E24" s="212"/>
      <c r="F24" s="212"/>
      <c r="G24" s="212"/>
      <c r="H24" s="212"/>
      <c r="I24" s="212"/>
      <c r="J24" s="212"/>
      <c r="K24" s="212"/>
      <c r="L24" s="212"/>
      <c r="M24" s="212"/>
      <c r="N24" s="212"/>
      <c r="O24" s="212"/>
      <c r="P24" s="212"/>
      <c r="Q24" s="212"/>
      <c r="R24" s="212"/>
      <c r="S24" s="212"/>
      <c r="T24" s="212"/>
      <c r="U24" s="212"/>
      <c r="V24" s="212"/>
      <c r="W24" s="212"/>
      <c r="X24" s="212"/>
      <c r="Y24" s="212"/>
      <c r="Z24" s="212"/>
    </row>
    <row r="25" spans="1:26" ht="18" customHeight="1" x14ac:dyDescent="0.15">
      <c r="A25" s="14"/>
      <c r="B25" s="136" t="s">
        <v>76</v>
      </c>
      <c r="C25" s="138"/>
      <c r="D25" s="138"/>
      <c r="E25" s="138"/>
      <c r="F25" s="137"/>
      <c r="G25" s="26" t="s">
        <v>77</v>
      </c>
      <c r="H25" s="99" t="s">
        <v>78</v>
      </c>
      <c r="I25" s="138" t="s">
        <v>79</v>
      </c>
      <c r="J25" s="138"/>
      <c r="K25" s="138"/>
      <c r="L25" s="65" t="s">
        <v>88</v>
      </c>
      <c r="M25" s="65" t="s">
        <v>89</v>
      </c>
      <c r="N25" s="136" t="s">
        <v>76</v>
      </c>
      <c r="O25" s="138"/>
      <c r="P25" s="138"/>
      <c r="Q25" s="138"/>
      <c r="R25" s="138"/>
      <c r="S25" s="137"/>
      <c r="T25" s="26" t="s">
        <v>77</v>
      </c>
      <c r="U25" s="99" t="s">
        <v>78</v>
      </c>
      <c r="V25" s="138" t="s">
        <v>79</v>
      </c>
      <c r="W25" s="138"/>
      <c r="X25" s="138"/>
      <c r="Y25" s="65" t="s">
        <v>88</v>
      </c>
      <c r="Z25" s="65" t="s">
        <v>89</v>
      </c>
    </row>
    <row r="26" spans="1:26" ht="18" customHeight="1" x14ac:dyDescent="0.15">
      <c r="A26" s="14"/>
      <c r="B26" s="216" t="s">
        <v>90</v>
      </c>
      <c r="C26" s="217"/>
      <c r="D26" s="217"/>
      <c r="E26" s="217"/>
      <c r="F26" s="218"/>
      <c r="G26" s="100">
        <v>2</v>
      </c>
      <c r="H26" s="100" t="s">
        <v>83</v>
      </c>
      <c r="I26" s="209" t="s">
        <v>84</v>
      </c>
      <c r="J26" s="210"/>
      <c r="K26" s="211"/>
      <c r="L26" s="100" t="s">
        <v>83</v>
      </c>
      <c r="M26" s="100" t="s">
        <v>83</v>
      </c>
      <c r="N26" s="200"/>
      <c r="O26" s="201"/>
      <c r="P26" s="201"/>
      <c r="Q26" s="201"/>
      <c r="R26" s="201"/>
      <c r="S26" s="202"/>
      <c r="T26" s="100"/>
      <c r="U26" s="100"/>
      <c r="V26" s="209"/>
      <c r="W26" s="210"/>
      <c r="X26" s="211"/>
      <c r="Y26" s="100"/>
      <c r="Z26" s="100"/>
    </row>
    <row r="27" spans="1:26" ht="18" customHeight="1" x14ac:dyDescent="0.15">
      <c r="A27" s="14"/>
      <c r="B27" s="213" t="s">
        <v>85</v>
      </c>
      <c r="C27" s="214"/>
      <c r="D27" s="214"/>
      <c r="E27" s="214"/>
      <c r="F27" s="215"/>
      <c r="G27" s="101">
        <v>2</v>
      </c>
      <c r="H27" s="101" t="s">
        <v>83</v>
      </c>
      <c r="I27" s="159" t="s">
        <v>84</v>
      </c>
      <c r="J27" s="160"/>
      <c r="K27" s="161"/>
      <c r="L27" s="101" t="s">
        <v>83</v>
      </c>
      <c r="M27" s="101" t="s">
        <v>83</v>
      </c>
      <c r="N27" s="156"/>
      <c r="O27" s="157"/>
      <c r="P27" s="157"/>
      <c r="Q27" s="157"/>
      <c r="R27" s="157"/>
      <c r="S27" s="158"/>
      <c r="T27" s="101"/>
      <c r="U27" s="101"/>
      <c r="V27" s="159"/>
      <c r="W27" s="160"/>
      <c r="X27" s="161"/>
      <c r="Y27" s="101"/>
      <c r="Z27" s="101"/>
    </row>
    <row r="28" spans="1:26" ht="18" customHeight="1" x14ac:dyDescent="0.15">
      <c r="A28" s="14"/>
      <c r="B28" s="213" t="s">
        <v>86</v>
      </c>
      <c r="C28" s="214"/>
      <c r="D28" s="214"/>
      <c r="E28" s="214"/>
      <c r="F28" s="215"/>
      <c r="G28" s="101">
        <v>2</v>
      </c>
      <c r="H28" s="101" t="s">
        <v>83</v>
      </c>
      <c r="I28" s="159" t="s">
        <v>84</v>
      </c>
      <c r="J28" s="160"/>
      <c r="K28" s="161"/>
      <c r="L28" s="101" t="s">
        <v>83</v>
      </c>
      <c r="M28" s="101" t="s">
        <v>83</v>
      </c>
      <c r="N28" s="156"/>
      <c r="O28" s="157"/>
      <c r="P28" s="157"/>
      <c r="Q28" s="157"/>
      <c r="R28" s="157"/>
      <c r="S28" s="158"/>
      <c r="T28" s="101"/>
      <c r="U28" s="101"/>
      <c r="V28" s="159"/>
      <c r="W28" s="160"/>
      <c r="X28" s="161"/>
      <c r="Y28" s="101"/>
      <c r="Z28" s="101"/>
    </row>
    <row r="29" spans="1:26" ht="18" customHeight="1" x14ac:dyDescent="0.15">
      <c r="A29" s="14"/>
      <c r="B29" s="213"/>
      <c r="C29" s="214"/>
      <c r="D29" s="214"/>
      <c r="E29" s="214"/>
      <c r="F29" s="215"/>
      <c r="G29" s="101"/>
      <c r="H29" s="101"/>
      <c r="I29" s="159"/>
      <c r="J29" s="160"/>
      <c r="K29" s="161"/>
      <c r="L29" s="101"/>
      <c r="M29" s="101"/>
      <c r="N29" s="156"/>
      <c r="O29" s="157"/>
      <c r="P29" s="157"/>
      <c r="Q29" s="157"/>
      <c r="R29" s="157"/>
      <c r="S29" s="158"/>
      <c r="T29" s="101"/>
      <c r="U29" s="101"/>
      <c r="V29" s="159"/>
      <c r="W29" s="160"/>
      <c r="X29" s="161"/>
      <c r="Y29" s="101"/>
      <c r="Z29" s="101"/>
    </row>
    <row r="30" spans="1:26" ht="18" customHeight="1" x14ac:dyDescent="0.15">
      <c r="A30" s="14"/>
      <c r="B30" s="213"/>
      <c r="C30" s="214"/>
      <c r="D30" s="214"/>
      <c r="E30" s="214"/>
      <c r="F30" s="215"/>
      <c r="G30" s="101"/>
      <c r="H30" s="101"/>
      <c r="I30" s="159"/>
      <c r="J30" s="160"/>
      <c r="K30" s="161"/>
      <c r="L30" s="101"/>
      <c r="M30" s="101"/>
      <c r="N30" s="156"/>
      <c r="O30" s="157"/>
      <c r="P30" s="157"/>
      <c r="Q30" s="157"/>
      <c r="R30" s="157"/>
      <c r="S30" s="158"/>
      <c r="T30" s="101"/>
      <c r="U30" s="101"/>
      <c r="V30" s="159"/>
      <c r="W30" s="160"/>
      <c r="X30" s="161"/>
      <c r="Y30" s="101"/>
      <c r="Z30" s="101"/>
    </row>
    <row r="31" spans="1:26" ht="18" customHeight="1" x14ac:dyDescent="0.15">
      <c r="A31" s="14"/>
      <c r="B31" s="144"/>
      <c r="C31" s="145"/>
      <c r="D31" s="145"/>
      <c r="E31" s="145"/>
      <c r="F31" s="146"/>
      <c r="G31" s="102"/>
      <c r="H31" s="102"/>
      <c r="I31" s="147"/>
      <c r="J31" s="148"/>
      <c r="K31" s="149"/>
      <c r="L31" s="107"/>
      <c r="M31" s="107"/>
      <c r="N31" s="150"/>
      <c r="O31" s="151"/>
      <c r="P31" s="151"/>
      <c r="Q31" s="151"/>
      <c r="R31" s="151"/>
      <c r="S31" s="152"/>
      <c r="T31" s="102"/>
      <c r="U31" s="102"/>
      <c r="V31" s="147"/>
      <c r="W31" s="148"/>
      <c r="X31" s="149"/>
      <c r="Y31" s="107"/>
      <c r="Z31" s="107"/>
    </row>
    <row r="32" spans="1:26" ht="7.5" customHeight="1" x14ac:dyDescent="0.15">
      <c r="A32" s="25"/>
      <c r="B32" s="29"/>
      <c r="C32" s="29"/>
      <c r="D32" s="25"/>
      <c r="E32" s="25"/>
      <c r="F32" s="25"/>
      <c r="G32" s="25"/>
      <c r="H32" s="25"/>
      <c r="I32" s="25"/>
      <c r="J32" s="25"/>
      <c r="K32" s="25"/>
      <c r="L32" s="29"/>
      <c r="M32" s="29"/>
      <c r="N32" s="29"/>
      <c r="O32" s="29"/>
      <c r="P32" s="29"/>
      <c r="Q32" s="29"/>
      <c r="R32" s="29"/>
      <c r="S32" s="29"/>
      <c r="T32" s="29"/>
      <c r="U32" s="29"/>
      <c r="V32" s="29"/>
      <c r="W32" s="29"/>
      <c r="X32" s="29"/>
      <c r="Y32" s="29"/>
      <c r="Z32" s="25"/>
    </row>
    <row r="33" spans="1:26" ht="18" customHeight="1" x14ac:dyDescent="0.15">
      <c r="A33" s="212" t="s">
        <v>91</v>
      </c>
      <c r="B33" s="212"/>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row>
    <row r="34" spans="1:26" ht="18" customHeight="1" x14ac:dyDescent="0.15">
      <c r="A34" s="212"/>
      <c r="B34" s="212"/>
      <c r="C34" s="212"/>
      <c r="D34" s="212"/>
      <c r="E34" s="212"/>
      <c r="F34" s="212"/>
      <c r="G34" s="212"/>
      <c r="H34" s="212"/>
      <c r="I34" s="212"/>
      <c r="J34" s="212"/>
      <c r="K34" s="212"/>
      <c r="L34" s="212"/>
      <c r="M34" s="212"/>
      <c r="N34" s="212"/>
      <c r="O34" s="212"/>
      <c r="P34" s="212"/>
      <c r="Q34" s="212"/>
      <c r="R34" s="212"/>
      <c r="S34" s="212"/>
      <c r="T34" s="212"/>
      <c r="U34" s="212"/>
      <c r="V34" s="212"/>
      <c r="W34" s="212"/>
      <c r="X34" s="212"/>
      <c r="Y34" s="212"/>
      <c r="Z34" s="212"/>
    </row>
    <row r="35" spans="1:26" ht="18" customHeight="1" x14ac:dyDescent="0.15">
      <c r="A35" s="14"/>
      <c r="B35" s="136" t="s">
        <v>76</v>
      </c>
      <c r="C35" s="138"/>
      <c r="D35" s="138"/>
      <c r="E35" s="138"/>
      <c r="F35" s="137"/>
      <c r="G35" s="26" t="s">
        <v>77</v>
      </c>
      <c r="H35" s="99" t="s">
        <v>78</v>
      </c>
      <c r="I35" s="136" t="s">
        <v>79</v>
      </c>
      <c r="J35" s="138"/>
      <c r="K35" s="137"/>
      <c r="L35" s="65" t="s">
        <v>92</v>
      </c>
      <c r="M35" s="65" t="s">
        <v>93</v>
      </c>
      <c r="N35" s="136" t="s">
        <v>76</v>
      </c>
      <c r="O35" s="138"/>
      <c r="P35" s="138"/>
      <c r="Q35" s="138"/>
      <c r="R35" s="138"/>
      <c r="S35" s="137"/>
      <c r="T35" s="26" t="s">
        <v>77</v>
      </c>
      <c r="U35" s="99" t="s">
        <v>78</v>
      </c>
      <c r="V35" s="136" t="s">
        <v>79</v>
      </c>
      <c r="W35" s="138"/>
      <c r="X35" s="137"/>
      <c r="Y35" s="65" t="s">
        <v>92</v>
      </c>
      <c r="Z35" s="65" t="s">
        <v>93</v>
      </c>
    </row>
    <row r="36" spans="1:26" ht="18" customHeight="1" x14ac:dyDescent="0.15">
      <c r="A36" s="25"/>
      <c r="B36" s="216" t="s">
        <v>90</v>
      </c>
      <c r="C36" s="217"/>
      <c r="D36" s="217"/>
      <c r="E36" s="217"/>
      <c r="F36" s="218"/>
      <c r="G36" s="100">
        <v>2</v>
      </c>
      <c r="H36" s="100" t="s">
        <v>83</v>
      </c>
      <c r="I36" s="209" t="s">
        <v>84</v>
      </c>
      <c r="J36" s="210"/>
      <c r="K36" s="211"/>
      <c r="L36" s="100" t="s">
        <v>83</v>
      </c>
      <c r="M36" s="100" t="s">
        <v>83</v>
      </c>
      <c r="N36" s="200"/>
      <c r="O36" s="201"/>
      <c r="P36" s="201"/>
      <c r="Q36" s="201"/>
      <c r="R36" s="201"/>
      <c r="S36" s="202"/>
      <c r="T36" s="100"/>
      <c r="U36" s="100"/>
      <c r="V36" s="209"/>
      <c r="W36" s="210"/>
      <c r="X36" s="211"/>
      <c r="Y36" s="100"/>
      <c r="Z36" s="100"/>
    </row>
    <row r="37" spans="1:26" ht="18" customHeight="1" x14ac:dyDescent="0.15">
      <c r="A37" s="25"/>
      <c r="B37" s="213" t="s">
        <v>85</v>
      </c>
      <c r="C37" s="214"/>
      <c r="D37" s="214"/>
      <c r="E37" s="214"/>
      <c r="F37" s="215"/>
      <c r="G37" s="101">
        <v>2</v>
      </c>
      <c r="H37" s="101" t="s">
        <v>83</v>
      </c>
      <c r="I37" s="159" t="s">
        <v>84</v>
      </c>
      <c r="J37" s="160"/>
      <c r="K37" s="161"/>
      <c r="L37" s="101" t="s">
        <v>83</v>
      </c>
      <c r="M37" s="101" t="s">
        <v>83</v>
      </c>
      <c r="N37" s="156"/>
      <c r="O37" s="157"/>
      <c r="P37" s="157"/>
      <c r="Q37" s="157"/>
      <c r="R37" s="157"/>
      <c r="S37" s="158"/>
      <c r="T37" s="101"/>
      <c r="U37" s="101"/>
      <c r="V37" s="159"/>
      <c r="W37" s="160"/>
      <c r="X37" s="161"/>
      <c r="Y37" s="101"/>
      <c r="Z37" s="101"/>
    </row>
    <row r="38" spans="1:26" ht="18" customHeight="1" x14ac:dyDescent="0.15">
      <c r="A38" s="25"/>
      <c r="B38" s="213" t="s">
        <v>86</v>
      </c>
      <c r="C38" s="214"/>
      <c r="D38" s="214"/>
      <c r="E38" s="214"/>
      <c r="F38" s="215"/>
      <c r="G38" s="101">
        <v>2</v>
      </c>
      <c r="H38" s="101" t="s">
        <v>83</v>
      </c>
      <c r="I38" s="159" t="s">
        <v>84</v>
      </c>
      <c r="J38" s="160"/>
      <c r="K38" s="161"/>
      <c r="L38" s="101" t="s">
        <v>83</v>
      </c>
      <c r="M38" s="101" t="s">
        <v>83</v>
      </c>
      <c r="N38" s="156"/>
      <c r="O38" s="157"/>
      <c r="P38" s="157"/>
      <c r="Q38" s="157"/>
      <c r="R38" s="157"/>
      <c r="S38" s="158"/>
      <c r="T38" s="101"/>
      <c r="U38" s="101"/>
      <c r="V38" s="159"/>
      <c r="W38" s="160"/>
      <c r="X38" s="161"/>
      <c r="Y38" s="101"/>
      <c r="Z38" s="101"/>
    </row>
    <row r="39" spans="1:26" ht="18" customHeight="1" x14ac:dyDescent="0.15">
      <c r="A39" s="25"/>
      <c r="B39" s="213"/>
      <c r="C39" s="214"/>
      <c r="D39" s="214"/>
      <c r="E39" s="214"/>
      <c r="F39" s="215"/>
      <c r="G39" s="101"/>
      <c r="H39" s="101"/>
      <c r="I39" s="159"/>
      <c r="J39" s="160"/>
      <c r="K39" s="161"/>
      <c r="L39" s="101"/>
      <c r="M39" s="101"/>
      <c r="N39" s="156"/>
      <c r="O39" s="157"/>
      <c r="P39" s="157"/>
      <c r="Q39" s="157"/>
      <c r="R39" s="157"/>
      <c r="S39" s="158"/>
      <c r="T39" s="101"/>
      <c r="U39" s="101"/>
      <c r="V39" s="159"/>
      <c r="W39" s="160"/>
      <c r="X39" s="161"/>
      <c r="Y39" s="101"/>
      <c r="Z39" s="101"/>
    </row>
    <row r="40" spans="1:26" ht="18" customHeight="1" x14ac:dyDescent="0.15">
      <c r="A40" s="25"/>
      <c r="B40" s="213"/>
      <c r="C40" s="214"/>
      <c r="D40" s="214"/>
      <c r="E40" s="214"/>
      <c r="F40" s="215"/>
      <c r="G40" s="101"/>
      <c r="H40" s="101"/>
      <c r="I40" s="159"/>
      <c r="J40" s="160"/>
      <c r="K40" s="161"/>
      <c r="L40" s="101"/>
      <c r="M40" s="101"/>
      <c r="N40" s="156"/>
      <c r="O40" s="157"/>
      <c r="P40" s="157"/>
      <c r="Q40" s="157"/>
      <c r="R40" s="157"/>
      <c r="S40" s="158"/>
      <c r="T40" s="101"/>
      <c r="U40" s="101"/>
      <c r="V40" s="159"/>
      <c r="W40" s="160"/>
      <c r="X40" s="161"/>
      <c r="Y40" s="101"/>
      <c r="Z40" s="101"/>
    </row>
    <row r="41" spans="1:26" ht="18" customHeight="1" x14ac:dyDescent="0.15">
      <c r="A41" s="25"/>
      <c r="B41" s="144"/>
      <c r="C41" s="145"/>
      <c r="D41" s="145"/>
      <c r="E41" s="145"/>
      <c r="F41" s="146"/>
      <c r="G41" s="102"/>
      <c r="H41" s="102"/>
      <c r="I41" s="147"/>
      <c r="J41" s="148"/>
      <c r="K41" s="149"/>
      <c r="L41" s="107"/>
      <c r="M41" s="107"/>
      <c r="N41" s="150"/>
      <c r="O41" s="151"/>
      <c r="P41" s="151"/>
      <c r="Q41" s="151"/>
      <c r="R41" s="151"/>
      <c r="S41" s="152"/>
      <c r="T41" s="102"/>
      <c r="U41" s="102"/>
      <c r="V41" s="147"/>
      <c r="W41" s="148"/>
      <c r="X41" s="149"/>
      <c r="Y41" s="107"/>
      <c r="Z41" s="107"/>
    </row>
    <row r="42" spans="1:26" ht="24.95" customHeight="1" x14ac:dyDescent="0.15">
      <c r="B42" s="66"/>
      <c r="C42" s="66"/>
      <c r="D42" s="66"/>
      <c r="E42" s="66"/>
      <c r="F42" s="66"/>
      <c r="G42" s="66"/>
      <c r="H42" s="66"/>
      <c r="I42" s="66"/>
      <c r="J42" s="66"/>
      <c r="K42" s="66"/>
      <c r="L42" s="66"/>
      <c r="M42" s="66"/>
      <c r="N42" s="66"/>
      <c r="O42" s="66"/>
      <c r="P42" s="66"/>
      <c r="Q42" s="66"/>
      <c r="R42" s="66"/>
      <c r="S42" s="66"/>
      <c r="T42" s="66"/>
      <c r="U42" s="66"/>
      <c r="V42" s="66"/>
      <c r="W42" s="66"/>
      <c r="X42" s="66"/>
      <c r="Y42" s="66"/>
    </row>
    <row r="43" spans="1:26" ht="18" customHeight="1" x14ac:dyDescent="0.15">
      <c r="A43" s="212" t="s">
        <v>94</v>
      </c>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row>
    <row r="44" spans="1:26" ht="18" customHeight="1" x14ac:dyDescent="0.15">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row>
    <row r="45" spans="1:26" ht="18" customHeight="1" x14ac:dyDescent="0.15">
      <c r="A45" s="14"/>
      <c r="B45" s="136" t="s">
        <v>76</v>
      </c>
      <c r="C45" s="138"/>
      <c r="D45" s="138"/>
      <c r="E45" s="138"/>
      <c r="F45" s="137"/>
      <c r="G45" s="26" t="s">
        <v>77</v>
      </c>
      <c r="H45" s="99" t="s">
        <v>78</v>
      </c>
      <c r="I45" s="136" t="s">
        <v>79</v>
      </c>
      <c r="J45" s="138"/>
      <c r="K45" s="137"/>
      <c r="L45" s="65" t="s">
        <v>95</v>
      </c>
      <c r="M45" s="65" t="s">
        <v>96</v>
      </c>
      <c r="N45" s="136" t="s">
        <v>76</v>
      </c>
      <c r="O45" s="138"/>
      <c r="P45" s="138"/>
      <c r="Q45" s="138"/>
      <c r="R45" s="138"/>
      <c r="S45" s="137"/>
      <c r="T45" s="26" t="s">
        <v>77</v>
      </c>
      <c r="U45" s="99" t="s">
        <v>78</v>
      </c>
      <c r="V45" s="136" t="s">
        <v>79</v>
      </c>
      <c r="W45" s="138"/>
      <c r="X45" s="137"/>
      <c r="Y45" s="65" t="s">
        <v>95</v>
      </c>
      <c r="Z45" s="65" t="s">
        <v>96</v>
      </c>
    </row>
    <row r="46" spans="1:26" ht="18" customHeight="1" x14ac:dyDescent="0.15">
      <c r="A46" s="25"/>
      <c r="B46" s="216" t="s">
        <v>90</v>
      </c>
      <c r="C46" s="217"/>
      <c r="D46" s="217"/>
      <c r="E46" s="217"/>
      <c r="F46" s="218"/>
      <c r="G46" s="100">
        <v>2</v>
      </c>
      <c r="H46" s="100" t="s">
        <v>83</v>
      </c>
      <c r="I46" s="209" t="s">
        <v>84</v>
      </c>
      <c r="J46" s="210"/>
      <c r="K46" s="211"/>
      <c r="L46" s="100" t="s">
        <v>83</v>
      </c>
      <c r="M46" s="100" t="s">
        <v>83</v>
      </c>
      <c r="N46" s="200"/>
      <c r="O46" s="201"/>
      <c r="P46" s="201"/>
      <c r="Q46" s="201"/>
      <c r="R46" s="201"/>
      <c r="S46" s="202"/>
      <c r="T46" s="100"/>
      <c r="U46" s="100"/>
      <c r="V46" s="209"/>
      <c r="W46" s="210"/>
      <c r="X46" s="211"/>
      <c r="Y46" s="100"/>
      <c r="Z46" s="100"/>
    </row>
    <row r="47" spans="1:26" ht="18" customHeight="1" x14ac:dyDescent="0.15">
      <c r="A47" s="25"/>
      <c r="B47" s="213" t="s">
        <v>85</v>
      </c>
      <c r="C47" s="214"/>
      <c r="D47" s="214"/>
      <c r="E47" s="214"/>
      <c r="F47" s="215"/>
      <c r="G47" s="101">
        <v>2</v>
      </c>
      <c r="H47" s="101" t="s">
        <v>83</v>
      </c>
      <c r="I47" s="159" t="s">
        <v>84</v>
      </c>
      <c r="J47" s="160"/>
      <c r="K47" s="161"/>
      <c r="L47" s="101" t="s">
        <v>83</v>
      </c>
      <c r="M47" s="101" t="s">
        <v>83</v>
      </c>
      <c r="N47" s="156"/>
      <c r="O47" s="157"/>
      <c r="P47" s="157"/>
      <c r="Q47" s="157"/>
      <c r="R47" s="157"/>
      <c r="S47" s="158"/>
      <c r="T47" s="101"/>
      <c r="U47" s="101"/>
      <c r="V47" s="159"/>
      <c r="W47" s="160"/>
      <c r="X47" s="161"/>
      <c r="Y47" s="101"/>
      <c r="Z47" s="101"/>
    </row>
    <row r="48" spans="1:26" ht="18" customHeight="1" x14ac:dyDescent="0.15">
      <c r="A48" s="25"/>
      <c r="B48" s="213" t="s">
        <v>86</v>
      </c>
      <c r="C48" s="214"/>
      <c r="D48" s="214"/>
      <c r="E48" s="214"/>
      <c r="F48" s="215"/>
      <c r="G48" s="101">
        <v>2</v>
      </c>
      <c r="H48" s="101" t="s">
        <v>83</v>
      </c>
      <c r="I48" s="159" t="s">
        <v>84</v>
      </c>
      <c r="J48" s="160"/>
      <c r="K48" s="161"/>
      <c r="L48" s="101"/>
      <c r="M48" s="101"/>
      <c r="N48" s="156"/>
      <c r="O48" s="157"/>
      <c r="P48" s="157"/>
      <c r="Q48" s="157"/>
      <c r="R48" s="157"/>
      <c r="S48" s="158"/>
      <c r="T48" s="101"/>
      <c r="U48" s="101"/>
      <c r="V48" s="159"/>
      <c r="W48" s="160"/>
      <c r="X48" s="161"/>
      <c r="Y48" s="101"/>
      <c r="Z48" s="101"/>
    </row>
    <row r="49" spans="1:26" ht="18" customHeight="1" x14ac:dyDescent="0.15">
      <c r="A49" s="25"/>
      <c r="B49" s="213"/>
      <c r="C49" s="214"/>
      <c r="D49" s="214"/>
      <c r="E49" s="214"/>
      <c r="F49" s="215"/>
      <c r="G49" s="101"/>
      <c r="H49" s="101"/>
      <c r="I49" s="159"/>
      <c r="J49" s="160"/>
      <c r="K49" s="161"/>
      <c r="L49" s="101"/>
      <c r="M49" s="101"/>
      <c r="N49" s="156"/>
      <c r="O49" s="157"/>
      <c r="P49" s="157"/>
      <c r="Q49" s="157"/>
      <c r="R49" s="157"/>
      <c r="S49" s="158"/>
      <c r="T49" s="101"/>
      <c r="U49" s="101"/>
      <c r="V49" s="159"/>
      <c r="W49" s="160"/>
      <c r="X49" s="161"/>
      <c r="Y49" s="101"/>
      <c r="Z49" s="101"/>
    </row>
    <row r="50" spans="1:26" ht="18" customHeight="1" x14ac:dyDescent="0.15">
      <c r="A50" s="25"/>
      <c r="B50" s="213"/>
      <c r="C50" s="214"/>
      <c r="D50" s="214"/>
      <c r="E50" s="214"/>
      <c r="F50" s="215"/>
      <c r="G50" s="101"/>
      <c r="H50" s="101"/>
      <c r="I50" s="159"/>
      <c r="J50" s="160"/>
      <c r="K50" s="161"/>
      <c r="L50" s="101"/>
      <c r="M50" s="101"/>
      <c r="N50" s="156"/>
      <c r="O50" s="157"/>
      <c r="P50" s="157"/>
      <c r="Q50" s="157"/>
      <c r="R50" s="157"/>
      <c r="S50" s="158"/>
      <c r="T50" s="101"/>
      <c r="U50" s="101"/>
      <c r="V50" s="159"/>
      <c r="W50" s="160"/>
      <c r="X50" s="161"/>
      <c r="Y50" s="101"/>
      <c r="Z50" s="101"/>
    </row>
    <row r="51" spans="1:26" ht="18" customHeight="1" x14ac:dyDescent="0.15">
      <c r="A51" s="25"/>
      <c r="B51" s="144"/>
      <c r="C51" s="145"/>
      <c r="D51" s="145"/>
      <c r="E51" s="145"/>
      <c r="F51" s="146"/>
      <c r="G51" s="102"/>
      <c r="H51" s="102"/>
      <c r="I51" s="147"/>
      <c r="J51" s="148"/>
      <c r="K51" s="149"/>
      <c r="L51" s="107"/>
      <c r="M51" s="107"/>
      <c r="N51" s="150"/>
      <c r="O51" s="151"/>
      <c r="P51" s="151"/>
      <c r="Q51" s="151"/>
      <c r="R51" s="151"/>
      <c r="S51" s="152"/>
      <c r="T51" s="102"/>
      <c r="U51" s="102"/>
      <c r="V51" s="147"/>
      <c r="W51" s="148"/>
      <c r="X51" s="149"/>
      <c r="Y51" s="107"/>
      <c r="Z51" s="107"/>
    </row>
    <row r="52" spans="1:26" ht="7.5" customHeight="1" x14ac:dyDescent="0.15">
      <c r="B52" s="66"/>
      <c r="C52" s="66"/>
      <c r="D52" s="66"/>
      <c r="E52" s="66"/>
      <c r="F52" s="66"/>
      <c r="G52" s="66"/>
      <c r="H52" s="66"/>
      <c r="I52" s="66"/>
      <c r="J52" s="66"/>
      <c r="K52" s="66"/>
      <c r="L52" s="66"/>
      <c r="M52" s="66"/>
      <c r="N52" s="66"/>
      <c r="O52" s="66"/>
      <c r="P52" s="66"/>
      <c r="Q52" s="66"/>
      <c r="R52" s="66"/>
      <c r="S52" s="66"/>
      <c r="T52" s="66"/>
      <c r="U52" s="66"/>
      <c r="V52" s="66"/>
      <c r="W52" s="66"/>
      <c r="X52" s="66"/>
      <c r="Y52" s="66"/>
    </row>
    <row r="53" spans="1:26" ht="18" customHeight="1" x14ac:dyDescent="0.15">
      <c r="A53" s="212" t="s">
        <v>97</v>
      </c>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row>
    <row r="54" spans="1:26" ht="18" customHeight="1" x14ac:dyDescent="0.15">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row>
    <row r="55" spans="1:26" ht="18" customHeight="1" x14ac:dyDescent="0.15">
      <c r="A55" s="14"/>
      <c r="B55" s="136" t="s">
        <v>76</v>
      </c>
      <c r="C55" s="138"/>
      <c r="D55" s="138"/>
      <c r="E55" s="137"/>
      <c r="F55" s="26" t="s">
        <v>77</v>
      </c>
      <c r="G55" s="99" t="s">
        <v>78</v>
      </c>
      <c r="H55" s="22" t="s">
        <v>79</v>
      </c>
      <c r="I55" s="96"/>
      <c r="J55" s="23"/>
      <c r="K55" s="65" t="s">
        <v>98</v>
      </c>
      <c r="L55" s="65" t="s">
        <v>99</v>
      </c>
      <c r="M55" s="65" t="s">
        <v>100</v>
      </c>
      <c r="N55" s="136" t="s">
        <v>76</v>
      </c>
      <c r="O55" s="138"/>
      <c r="P55" s="138"/>
      <c r="Q55" s="138"/>
      <c r="R55" s="137"/>
      <c r="S55" s="26" t="s">
        <v>77</v>
      </c>
      <c r="T55" s="99" t="s">
        <v>78</v>
      </c>
      <c r="U55" s="22" t="s">
        <v>79</v>
      </c>
      <c r="V55" s="96"/>
      <c r="W55" s="23"/>
      <c r="X55" s="65" t="s">
        <v>98</v>
      </c>
      <c r="Y55" s="65" t="s">
        <v>99</v>
      </c>
      <c r="Z55" s="65" t="s">
        <v>100</v>
      </c>
    </row>
    <row r="56" spans="1:26" ht="18" customHeight="1" x14ac:dyDescent="0.15">
      <c r="A56" s="25"/>
      <c r="B56" s="200" t="s">
        <v>90</v>
      </c>
      <c r="C56" s="201"/>
      <c r="D56" s="201"/>
      <c r="E56" s="202"/>
      <c r="F56" s="100">
        <v>2</v>
      </c>
      <c r="G56" s="100" t="s">
        <v>83</v>
      </c>
      <c r="H56" s="209" t="s">
        <v>84</v>
      </c>
      <c r="I56" s="210"/>
      <c r="J56" s="211"/>
      <c r="K56" s="106"/>
      <c r="L56" s="100"/>
      <c r="M56" s="100"/>
      <c r="N56" s="200"/>
      <c r="O56" s="201"/>
      <c r="P56" s="201"/>
      <c r="Q56" s="201"/>
      <c r="R56" s="202"/>
      <c r="S56" s="100"/>
      <c r="T56" s="100"/>
      <c r="U56" s="209"/>
      <c r="V56" s="210"/>
      <c r="W56" s="211"/>
      <c r="X56" s="106"/>
      <c r="Y56" s="100"/>
      <c r="Z56" s="100"/>
    </row>
    <row r="57" spans="1:26" ht="18" customHeight="1" x14ac:dyDescent="0.15">
      <c r="A57" s="25"/>
      <c r="B57" s="156" t="s">
        <v>85</v>
      </c>
      <c r="C57" s="157"/>
      <c r="D57" s="157"/>
      <c r="E57" s="158"/>
      <c r="F57" s="101">
        <v>2</v>
      </c>
      <c r="G57" s="101" t="s">
        <v>83</v>
      </c>
      <c r="H57" s="159" t="s">
        <v>84</v>
      </c>
      <c r="I57" s="160"/>
      <c r="J57" s="161"/>
      <c r="K57" s="104"/>
      <c r="L57" s="101"/>
      <c r="M57" s="101"/>
      <c r="N57" s="156"/>
      <c r="O57" s="157"/>
      <c r="P57" s="157"/>
      <c r="Q57" s="157"/>
      <c r="R57" s="158"/>
      <c r="S57" s="101"/>
      <c r="T57" s="101"/>
      <c r="U57" s="159"/>
      <c r="V57" s="160"/>
      <c r="W57" s="161"/>
      <c r="X57" s="104"/>
      <c r="Y57" s="101"/>
      <c r="Z57" s="101"/>
    </row>
    <row r="58" spans="1:26" ht="18" customHeight="1" x14ac:dyDescent="0.15">
      <c r="A58" s="25"/>
      <c r="B58" s="156" t="s">
        <v>86</v>
      </c>
      <c r="C58" s="157"/>
      <c r="D58" s="157"/>
      <c r="E58" s="158"/>
      <c r="F58" s="101">
        <v>2</v>
      </c>
      <c r="G58" s="101" t="s">
        <v>83</v>
      </c>
      <c r="H58" s="159" t="s">
        <v>84</v>
      </c>
      <c r="I58" s="160"/>
      <c r="J58" s="161"/>
      <c r="K58" s="104" t="s">
        <v>101</v>
      </c>
      <c r="L58" s="101" t="s">
        <v>83</v>
      </c>
      <c r="M58" s="101" t="s">
        <v>83</v>
      </c>
      <c r="N58" s="156"/>
      <c r="O58" s="157"/>
      <c r="P58" s="157"/>
      <c r="Q58" s="157"/>
      <c r="R58" s="158"/>
      <c r="S58" s="101"/>
      <c r="T58" s="101"/>
      <c r="U58" s="159"/>
      <c r="V58" s="160"/>
      <c r="W58" s="161"/>
      <c r="X58" s="104"/>
      <c r="Y58" s="101"/>
      <c r="Z58" s="101"/>
    </row>
    <row r="59" spans="1:26" ht="18" customHeight="1" x14ac:dyDescent="0.15">
      <c r="A59" s="25"/>
      <c r="B59" s="156"/>
      <c r="C59" s="157"/>
      <c r="D59" s="157"/>
      <c r="E59" s="158"/>
      <c r="F59" s="101"/>
      <c r="G59" s="101"/>
      <c r="H59" s="159"/>
      <c r="I59" s="160"/>
      <c r="J59" s="161"/>
      <c r="K59" s="104"/>
      <c r="L59" s="101"/>
      <c r="M59" s="101"/>
      <c r="N59" s="156"/>
      <c r="O59" s="157"/>
      <c r="P59" s="157"/>
      <c r="Q59" s="157"/>
      <c r="R59" s="158"/>
      <c r="S59" s="101"/>
      <c r="T59" s="101"/>
      <c r="U59" s="159"/>
      <c r="V59" s="160"/>
      <c r="W59" s="161"/>
      <c r="X59" s="104"/>
      <c r="Y59" s="101"/>
      <c r="Z59" s="101"/>
    </row>
    <row r="60" spans="1:26" ht="18" customHeight="1" x14ac:dyDescent="0.15">
      <c r="A60" s="25"/>
      <c r="B60" s="156"/>
      <c r="C60" s="157"/>
      <c r="D60" s="157"/>
      <c r="E60" s="158"/>
      <c r="F60" s="101"/>
      <c r="G60" s="101"/>
      <c r="H60" s="159"/>
      <c r="I60" s="160"/>
      <c r="J60" s="161"/>
      <c r="K60" s="104"/>
      <c r="L60" s="101"/>
      <c r="M60" s="101"/>
      <c r="N60" s="156"/>
      <c r="O60" s="157"/>
      <c r="P60" s="157"/>
      <c r="Q60" s="157"/>
      <c r="R60" s="158"/>
      <c r="S60" s="101"/>
      <c r="T60" s="101"/>
      <c r="U60" s="159"/>
      <c r="V60" s="160"/>
      <c r="W60" s="161"/>
      <c r="X60" s="104"/>
      <c r="Y60" s="101"/>
      <c r="Z60" s="101"/>
    </row>
    <row r="61" spans="1:26" ht="18" customHeight="1" x14ac:dyDescent="0.15">
      <c r="A61" s="25"/>
      <c r="B61" s="156"/>
      <c r="C61" s="157"/>
      <c r="D61" s="157"/>
      <c r="E61" s="158"/>
      <c r="F61" s="101"/>
      <c r="G61" s="101"/>
      <c r="H61" s="159"/>
      <c r="I61" s="160"/>
      <c r="J61" s="161"/>
      <c r="K61" s="104"/>
      <c r="L61" s="101"/>
      <c r="M61" s="101"/>
      <c r="N61" s="156"/>
      <c r="O61" s="157"/>
      <c r="P61" s="157"/>
      <c r="Q61" s="157"/>
      <c r="R61" s="158"/>
      <c r="S61" s="101"/>
      <c r="T61" s="101"/>
      <c r="U61" s="159"/>
      <c r="V61" s="160"/>
      <c r="W61" s="161"/>
      <c r="X61" s="104"/>
      <c r="Y61" s="101"/>
      <c r="Z61" s="101"/>
    </row>
    <row r="62" spans="1:26" ht="18" customHeight="1" x14ac:dyDescent="0.15">
      <c r="A62" s="25"/>
      <c r="B62" s="150"/>
      <c r="C62" s="151"/>
      <c r="D62" s="151"/>
      <c r="E62" s="152"/>
      <c r="F62" s="102"/>
      <c r="G62" s="102"/>
      <c r="H62" s="147"/>
      <c r="I62" s="148"/>
      <c r="J62" s="149"/>
      <c r="K62" s="105"/>
      <c r="L62" s="107"/>
      <c r="M62" s="107"/>
      <c r="N62" s="150"/>
      <c r="O62" s="151"/>
      <c r="P62" s="151"/>
      <c r="Q62" s="151"/>
      <c r="R62" s="152"/>
      <c r="S62" s="102"/>
      <c r="T62" s="102"/>
      <c r="U62" s="147"/>
      <c r="V62" s="148"/>
      <c r="W62" s="149"/>
      <c r="X62" s="105"/>
      <c r="Y62" s="107"/>
      <c r="Z62" s="107"/>
    </row>
    <row r="63" spans="1:26" ht="7.5" customHeight="1" x14ac:dyDescent="0.15">
      <c r="B63" s="66"/>
      <c r="C63" s="66"/>
      <c r="D63" s="66"/>
      <c r="E63" s="66"/>
      <c r="F63" s="66"/>
      <c r="G63" s="66"/>
      <c r="H63" s="66"/>
      <c r="I63" s="66"/>
      <c r="J63" s="66"/>
      <c r="K63" s="66"/>
      <c r="L63" s="66"/>
      <c r="M63" s="66"/>
      <c r="N63" s="66"/>
      <c r="O63" s="66"/>
      <c r="P63" s="66"/>
      <c r="Q63" s="66"/>
      <c r="R63" s="66"/>
      <c r="S63" s="66"/>
      <c r="T63" s="66"/>
      <c r="U63" s="66"/>
      <c r="V63" s="66"/>
      <c r="W63" s="66"/>
      <c r="X63" s="66"/>
      <c r="Y63" s="66"/>
    </row>
    <row r="64" spans="1:26" ht="18" customHeight="1" x14ac:dyDescent="0.15">
      <c r="A64" s="14" t="s">
        <v>102</v>
      </c>
      <c r="B64" s="14"/>
      <c r="C64" s="14"/>
      <c r="D64" s="14"/>
      <c r="E64" s="14"/>
      <c r="F64" s="14"/>
      <c r="G64" s="14"/>
      <c r="H64" s="14"/>
      <c r="I64" s="14"/>
      <c r="J64" s="14"/>
      <c r="K64" s="14"/>
      <c r="L64" s="25"/>
      <c r="M64" s="25"/>
      <c r="N64" s="25"/>
      <c r="O64" s="25"/>
      <c r="P64" s="25"/>
      <c r="Q64" s="25"/>
      <c r="R64" s="25"/>
      <c r="S64" s="25"/>
      <c r="T64" s="25"/>
      <c r="U64" s="25"/>
      <c r="V64" s="25"/>
      <c r="W64" s="25"/>
      <c r="X64" s="25"/>
      <c r="Y64" s="25"/>
      <c r="Z64" s="25"/>
    </row>
    <row r="65" spans="1:26" ht="18" customHeight="1" x14ac:dyDescent="0.15">
      <c r="A65" s="14"/>
      <c r="B65" s="136" t="s">
        <v>76</v>
      </c>
      <c r="C65" s="138"/>
      <c r="D65" s="138"/>
      <c r="E65" s="138"/>
      <c r="F65" s="137"/>
      <c r="G65" s="136" t="s">
        <v>103</v>
      </c>
      <c r="H65" s="138"/>
      <c r="I65" s="138"/>
      <c r="J65" s="138"/>
      <c r="K65" s="138"/>
      <c r="L65" s="138"/>
      <c r="M65" s="137"/>
      <c r="N65" s="153" t="s">
        <v>76</v>
      </c>
      <c r="O65" s="154"/>
      <c r="P65" s="154"/>
      <c r="Q65" s="154"/>
      <c r="R65" s="154"/>
      <c r="S65" s="155"/>
      <c r="T65" s="136" t="s">
        <v>103</v>
      </c>
      <c r="U65" s="138"/>
      <c r="V65" s="138"/>
      <c r="W65" s="138"/>
      <c r="X65" s="138"/>
      <c r="Y65" s="138"/>
      <c r="Z65" s="137"/>
    </row>
    <row r="66" spans="1:26" ht="18" customHeight="1" x14ac:dyDescent="0.15">
      <c r="A66" s="25"/>
      <c r="B66" s="200" t="s">
        <v>220</v>
      </c>
      <c r="C66" s="201"/>
      <c r="D66" s="201"/>
      <c r="E66" s="201"/>
      <c r="F66" s="202"/>
      <c r="G66" s="203" t="s">
        <v>104</v>
      </c>
      <c r="H66" s="204"/>
      <c r="I66" s="204"/>
      <c r="J66" s="204"/>
      <c r="K66" s="204"/>
      <c r="L66" s="204"/>
      <c r="M66" s="205"/>
      <c r="N66" s="200"/>
      <c r="O66" s="201"/>
      <c r="P66" s="201"/>
      <c r="Q66" s="201"/>
      <c r="R66" s="201"/>
      <c r="S66" s="202"/>
      <c r="T66" s="203"/>
      <c r="U66" s="204"/>
      <c r="V66" s="204"/>
      <c r="W66" s="204"/>
      <c r="X66" s="204"/>
      <c r="Y66" s="204"/>
      <c r="Z66" s="205"/>
    </row>
    <row r="67" spans="1:26" ht="18" customHeight="1" x14ac:dyDescent="0.15">
      <c r="A67" s="25"/>
      <c r="B67" s="156"/>
      <c r="C67" s="157"/>
      <c r="D67" s="157"/>
      <c r="E67" s="157"/>
      <c r="F67" s="158"/>
      <c r="G67" s="176"/>
      <c r="H67" s="177"/>
      <c r="I67" s="177"/>
      <c r="J67" s="177"/>
      <c r="K67" s="177"/>
      <c r="L67" s="177"/>
      <c r="M67" s="178"/>
      <c r="N67" s="156"/>
      <c r="O67" s="157"/>
      <c r="P67" s="157"/>
      <c r="Q67" s="157"/>
      <c r="R67" s="157"/>
      <c r="S67" s="158"/>
      <c r="T67" s="176"/>
      <c r="U67" s="177"/>
      <c r="V67" s="177"/>
      <c r="W67" s="177"/>
      <c r="X67" s="177"/>
      <c r="Y67" s="177"/>
      <c r="Z67" s="178"/>
    </row>
    <row r="68" spans="1:26" ht="18" customHeight="1" x14ac:dyDescent="0.15">
      <c r="A68" s="25"/>
      <c r="B68" s="156"/>
      <c r="C68" s="157"/>
      <c r="D68" s="157"/>
      <c r="E68" s="157"/>
      <c r="F68" s="158"/>
      <c r="G68" s="176"/>
      <c r="H68" s="177"/>
      <c r="I68" s="177"/>
      <c r="J68" s="177"/>
      <c r="K68" s="177"/>
      <c r="L68" s="177"/>
      <c r="M68" s="178"/>
      <c r="N68" s="156"/>
      <c r="O68" s="157"/>
      <c r="P68" s="157"/>
      <c r="Q68" s="157"/>
      <c r="R68" s="157"/>
      <c r="S68" s="158"/>
      <c r="T68" s="176"/>
      <c r="U68" s="177"/>
      <c r="V68" s="177"/>
      <c r="W68" s="177"/>
      <c r="X68" s="177"/>
      <c r="Y68" s="177"/>
      <c r="Z68" s="178"/>
    </row>
    <row r="69" spans="1:26" ht="18" customHeight="1" x14ac:dyDescent="0.15">
      <c r="A69" s="25"/>
      <c r="B69" s="156"/>
      <c r="C69" s="157"/>
      <c r="D69" s="157"/>
      <c r="E69" s="157"/>
      <c r="F69" s="158"/>
      <c r="G69" s="176"/>
      <c r="H69" s="177"/>
      <c r="I69" s="177"/>
      <c r="J69" s="177"/>
      <c r="K69" s="177"/>
      <c r="L69" s="177"/>
      <c r="M69" s="178"/>
      <c r="N69" s="156"/>
      <c r="O69" s="157"/>
      <c r="P69" s="157"/>
      <c r="Q69" s="157"/>
      <c r="R69" s="157"/>
      <c r="S69" s="158"/>
      <c r="T69" s="176"/>
      <c r="U69" s="177"/>
      <c r="V69" s="177"/>
      <c r="W69" s="177"/>
      <c r="X69" s="177"/>
      <c r="Y69" s="177"/>
      <c r="Z69" s="178"/>
    </row>
    <row r="70" spans="1:26" ht="18" customHeight="1" x14ac:dyDescent="0.15">
      <c r="A70" s="25"/>
      <c r="B70" s="150"/>
      <c r="C70" s="151"/>
      <c r="D70" s="151"/>
      <c r="E70" s="151"/>
      <c r="F70" s="152"/>
      <c r="G70" s="206"/>
      <c r="H70" s="207"/>
      <c r="I70" s="207"/>
      <c r="J70" s="207"/>
      <c r="K70" s="207"/>
      <c r="L70" s="207"/>
      <c r="M70" s="208"/>
      <c r="N70" s="150"/>
      <c r="O70" s="151"/>
      <c r="P70" s="151"/>
      <c r="Q70" s="151"/>
      <c r="R70" s="151"/>
      <c r="S70" s="152"/>
      <c r="T70" s="206"/>
      <c r="U70" s="207"/>
      <c r="V70" s="207"/>
      <c r="W70" s="207"/>
      <c r="X70" s="207"/>
      <c r="Y70" s="207"/>
      <c r="Z70" s="208"/>
    </row>
    <row r="71" spans="1:26" ht="18" customHeight="1" x14ac:dyDescent="0.15">
      <c r="A71" s="25"/>
      <c r="B71" s="29"/>
      <c r="C71" s="29"/>
      <c r="D71" s="29"/>
      <c r="E71" s="29"/>
      <c r="F71" s="29"/>
      <c r="G71" s="12"/>
      <c r="H71" s="12"/>
      <c r="I71" s="12"/>
      <c r="J71" s="12"/>
      <c r="K71" s="12"/>
      <c r="L71" s="12"/>
      <c r="M71" s="12"/>
      <c r="N71" s="29"/>
      <c r="O71" s="29"/>
      <c r="P71" s="29"/>
      <c r="Q71" s="29"/>
      <c r="R71" s="29"/>
      <c r="S71" s="29"/>
      <c r="T71" s="12"/>
      <c r="U71" s="12"/>
      <c r="V71" s="12"/>
      <c r="W71" s="12"/>
      <c r="X71" s="12"/>
      <c r="Y71" s="12"/>
      <c r="Z71" s="12"/>
    </row>
    <row r="72" spans="1:26" ht="18.75" customHeight="1" x14ac:dyDescent="0.15">
      <c r="A72" s="13" t="s">
        <v>105</v>
      </c>
    </row>
    <row r="73" spans="1:26" ht="18.75" customHeight="1" x14ac:dyDescent="0.15">
      <c r="B73" s="67" t="s">
        <v>106</v>
      </c>
      <c r="C73" s="68"/>
      <c r="D73" s="168" t="s">
        <v>107</v>
      </c>
      <c r="E73" s="168"/>
      <c r="F73" s="168"/>
      <c r="G73" s="168"/>
      <c r="H73" s="168"/>
      <c r="I73" s="168"/>
      <c r="J73" s="168"/>
      <c r="K73" s="168"/>
      <c r="L73" s="168"/>
      <c r="M73" s="168"/>
      <c r="N73" s="168"/>
      <c r="O73" s="168"/>
      <c r="P73" s="168"/>
      <c r="Q73" s="168"/>
      <c r="R73" s="168"/>
      <c r="S73" s="168"/>
      <c r="T73" s="168"/>
      <c r="U73" s="168"/>
      <c r="V73" s="168"/>
      <c r="W73" s="168"/>
      <c r="X73" s="168"/>
      <c r="Y73" s="168"/>
      <c r="Z73" s="169"/>
    </row>
    <row r="74" spans="1:26" ht="78" customHeight="1" x14ac:dyDescent="0.15">
      <c r="B74" s="170" t="s">
        <v>108</v>
      </c>
      <c r="C74" s="74" t="s">
        <v>80</v>
      </c>
      <c r="D74" s="172" t="s">
        <v>209</v>
      </c>
      <c r="E74" s="172"/>
      <c r="F74" s="172"/>
      <c r="G74" s="172"/>
      <c r="H74" s="172"/>
      <c r="I74" s="172"/>
      <c r="J74" s="172"/>
      <c r="K74" s="172"/>
      <c r="L74" s="172"/>
      <c r="M74" s="172"/>
      <c r="N74" s="172"/>
      <c r="O74" s="172"/>
      <c r="P74" s="172"/>
      <c r="Q74" s="172"/>
      <c r="R74" s="172"/>
      <c r="S74" s="172"/>
      <c r="T74" s="172"/>
      <c r="U74" s="172"/>
      <c r="V74" s="172"/>
      <c r="W74" s="172"/>
      <c r="X74" s="172"/>
      <c r="Y74" s="172"/>
      <c r="Z74" s="173"/>
    </row>
    <row r="75" spans="1:26" ht="78" customHeight="1" x14ac:dyDescent="0.15">
      <c r="B75" s="171"/>
      <c r="C75" s="97" t="s">
        <v>109</v>
      </c>
      <c r="D75" s="174" t="s">
        <v>210</v>
      </c>
      <c r="E75" s="174"/>
      <c r="F75" s="174"/>
      <c r="G75" s="174"/>
      <c r="H75" s="174"/>
      <c r="I75" s="174"/>
      <c r="J75" s="174"/>
      <c r="K75" s="174"/>
      <c r="L75" s="174"/>
      <c r="M75" s="174"/>
      <c r="N75" s="174"/>
      <c r="O75" s="174"/>
      <c r="P75" s="174"/>
      <c r="Q75" s="174"/>
      <c r="R75" s="174"/>
      <c r="S75" s="174"/>
      <c r="T75" s="174"/>
      <c r="U75" s="174"/>
      <c r="V75" s="174"/>
      <c r="W75" s="174"/>
      <c r="X75" s="174"/>
      <c r="Y75" s="174"/>
      <c r="Z75" s="175"/>
    </row>
    <row r="76" spans="1:26" ht="78" customHeight="1" x14ac:dyDescent="0.15">
      <c r="B76" s="162" t="s">
        <v>110</v>
      </c>
      <c r="C76" s="69" t="s">
        <v>88</v>
      </c>
      <c r="D76" s="164" t="s">
        <v>211</v>
      </c>
      <c r="E76" s="164"/>
      <c r="F76" s="164"/>
      <c r="G76" s="164"/>
      <c r="H76" s="164"/>
      <c r="I76" s="164"/>
      <c r="J76" s="164"/>
      <c r="K76" s="164"/>
      <c r="L76" s="164"/>
      <c r="M76" s="164"/>
      <c r="N76" s="164"/>
      <c r="O76" s="164"/>
      <c r="P76" s="164"/>
      <c r="Q76" s="164"/>
      <c r="R76" s="164"/>
      <c r="S76" s="164"/>
      <c r="T76" s="164"/>
      <c r="U76" s="164"/>
      <c r="V76" s="164"/>
      <c r="W76" s="164"/>
      <c r="X76" s="164"/>
      <c r="Y76" s="164"/>
      <c r="Z76" s="165"/>
    </row>
    <row r="77" spans="1:26" ht="78" customHeight="1" x14ac:dyDescent="0.15">
      <c r="B77" s="163"/>
      <c r="C77" s="98" t="s">
        <v>89</v>
      </c>
      <c r="D77" s="179" t="s">
        <v>212</v>
      </c>
      <c r="E77" s="179"/>
      <c r="F77" s="179"/>
      <c r="G77" s="179"/>
      <c r="H77" s="179"/>
      <c r="I77" s="179"/>
      <c r="J77" s="179"/>
      <c r="K77" s="179"/>
      <c r="L77" s="179"/>
      <c r="M77" s="179"/>
      <c r="N77" s="179"/>
      <c r="O77" s="179"/>
      <c r="P77" s="179"/>
      <c r="Q77" s="179"/>
      <c r="R77" s="179"/>
      <c r="S77" s="179"/>
      <c r="T77" s="179"/>
      <c r="U77" s="179"/>
      <c r="V77" s="179"/>
      <c r="W77" s="179"/>
      <c r="X77" s="179"/>
      <c r="Y77" s="179"/>
      <c r="Z77" s="180"/>
    </row>
    <row r="78" spans="1:26" ht="66" customHeight="1" x14ac:dyDescent="0.15">
      <c r="B78" s="162" t="s">
        <v>111</v>
      </c>
      <c r="C78" s="69" t="s">
        <v>92</v>
      </c>
      <c r="D78" s="164" t="s">
        <v>213</v>
      </c>
      <c r="E78" s="164"/>
      <c r="F78" s="164"/>
      <c r="G78" s="164"/>
      <c r="H78" s="164"/>
      <c r="I78" s="164"/>
      <c r="J78" s="164"/>
      <c r="K78" s="164"/>
      <c r="L78" s="164"/>
      <c r="M78" s="164"/>
      <c r="N78" s="164"/>
      <c r="O78" s="164"/>
      <c r="P78" s="164"/>
      <c r="Q78" s="164"/>
      <c r="R78" s="164"/>
      <c r="S78" s="164"/>
      <c r="T78" s="164"/>
      <c r="U78" s="164"/>
      <c r="V78" s="164"/>
      <c r="W78" s="164"/>
      <c r="X78" s="164"/>
      <c r="Y78" s="164"/>
      <c r="Z78" s="165"/>
    </row>
    <row r="79" spans="1:26" ht="66" customHeight="1" x14ac:dyDescent="0.15">
      <c r="B79" s="163"/>
      <c r="C79" s="71" t="s">
        <v>93</v>
      </c>
      <c r="D79" s="166" t="s">
        <v>214</v>
      </c>
      <c r="E79" s="166"/>
      <c r="F79" s="166"/>
      <c r="G79" s="166"/>
      <c r="H79" s="166"/>
      <c r="I79" s="166"/>
      <c r="J79" s="166"/>
      <c r="K79" s="166"/>
      <c r="L79" s="166"/>
      <c r="M79" s="166"/>
      <c r="N79" s="166"/>
      <c r="O79" s="166"/>
      <c r="P79" s="166"/>
      <c r="Q79" s="166"/>
      <c r="R79" s="166"/>
      <c r="S79" s="166"/>
      <c r="T79" s="166"/>
      <c r="U79" s="166"/>
      <c r="V79" s="166"/>
      <c r="W79" s="166"/>
      <c r="X79" s="166"/>
      <c r="Y79" s="166"/>
      <c r="Z79" s="167"/>
    </row>
    <row r="80" spans="1:26" ht="75" customHeight="1" x14ac:dyDescent="0.15">
      <c r="B80" s="170" t="s">
        <v>112</v>
      </c>
      <c r="C80" s="74" t="s">
        <v>95</v>
      </c>
      <c r="D80" s="172" t="s">
        <v>216</v>
      </c>
      <c r="E80" s="172"/>
      <c r="F80" s="172"/>
      <c r="G80" s="172"/>
      <c r="H80" s="172"/>
      <c r="I80" s="172"/>
      <c r="J80" s="172"/>
      <c r="K80" s="172"/>
      <c r="L80" s="172"/>
      <c r="M80" s="172"/>
      <c r="N80" s="172"/>
      <c r="O80" s="172"/>
      <c r="P80" s="172"/>
      <c r="Q80" s="172"/>
      <c r="R80" s="172"/>
      <c r="S80" s="172"/>
      <c r="T80" s="172"/>
      <c r="U80" s="172"/>
      <c r="V80" s="172"/>
      <c r="W80" s="172"/>
      <c r="X80" s="172"/>
      <c r="Y80" s="172"/>
      <c r="Z80" s="173"/>
    </row>
    <row r="81" spans="1:26" ht="66" customHeight="1" x14ac:dyDescent="0.15">
      <c r="B81" s="190"/>
      <c r="C81" s="70" t="s">
        <v>96</v>
      </c>
      <c r="D81" s="191" t="s">
        <v>215</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66" customHeight="1" x14ac:dyDescent="0.15">
      <c r="B82" s="170" t="s">
        <v>113</v>
      </c>
      <c r="C82" s="69" t="s">
        <v>98</v>
      </c>
      <c r="D82" s="193" t="s">
        <v>217</v>
      </c>
      <c r="E82" s="193"/>
      <c r="F82" s="193"/>
      <c r="G82" s="193"/>
      <c r="H82" s="193"/>
      <c r="I82" s="193"/>
      <c r="J82" s="193"/>
      <c r="K82" s="193"/>
      <c r="L82" s="193"/>
      <c r="M82" s="193"/>
      <c r="N82" s="193"/>
      <c r="O82" s="193"/>
      <c r="P82" s="193"/>
      <c r="Q82" s="193"/>
      <c r="R82" s="193"/>
      <c r="S82" s="193"/>
      <c r="T82" s="193"/>
      <c r="U82" s="193"/>
      <c r="V82" s="193"/>
      <c r="W82" s="193"/>
      <c r="X82" s="193"/>
      <c r="Y82" s="193"/>
      <c r="Z82" s="194"/>
    </row>
    <row r="83" spans="1:26" ht="66" customHeight="1" x14ac:dyDescent="0.15">
      <c r="B83" s="171"/>
      <c r="C83" s="70" t="s">
        <v>99</v>
      </c>
      <c r="D83" s="195" t="s">
        <v>218</v>
      </c>
      <c r="E83" s="196"/>
      <c r="F83" s="196"/>
      <c r="G83" s="196"/>
      <c r="H83" s="196"/>
      <c r="I83" s="196"/>
      <c r="J83" s="196"/>
      <c r="K83" s="196"/>
      <c r="L83" s="196"/>
      <c r="M83" s="196"/>
      <c r="N83" s="196"/>
      <c r="O83" s="196"/>
      <c r="P83" s="196"/>
      <c r="Q83" s="196"/>
      <c r="R83" s="196"/>
      <c r="S83" s="196"/>
      <c r="T83" s="196"/>
      <c r="U83" s="196"/>
      <c r="V83" s="196"/>
      <c r="W83" s="196"/>
      <c r="X83" s="196"/>
      <c r="Y83" s="196"/>
      <c r="Z83" s="197"/>
    </row>
    <row r="84" spans="1:26" ht="66" customHeight="1" x14ac:dyDescent="0.15">
      <c r="B84" s="163"/>
      <c r="C84" s="71" t="s">
        <v>100</v>
      </c>
      <c r="D84" s="198" t="s">
        <v>219</v>
      </c>
      <c r="E84" s="198"/>
      <c r="F84" s="198"/>
      <c r="G84" s="198"/>
      <c r="H84" s="198"/>
      <c r="I84" s="198"/>
      <c r="J84" s="198"/>
      <c r="K84" s="198"/>
      <c r="L84" s="198"/>
      <c r="M84" s="198"/>
      <c r="N84" s="198"/>
      <c r="O84" s="198"/>
      <c r="P84" s="198"/>
      <c r="Q84" s="198"/>
      <c r="R84" s="198"/>
      <c r="S84" s="198"/>
      <c r="T84" s="198"/>
      <c r="U84" s="198"/>
      <c r="V84" s="198"/>
      <c r="W84" s="198"/>
      <c r="X84" s="198"/>
      <c r="Y84" s="198"/>
      <c r="Z84" s="199"/>
    </row>
    <row r="85" spans="1:26" ht="24.6" customHeight="1" x14ac:dyDescent="0.15">
      <c r="B85" s="112"/>
      <c r="C85" s="113"/>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spans="1:26" ht="30.95" customHeight="1" x14ac:dyDescent="0.15">
      <c r="B86" s="112"/>
      <c r="C86" s="113"/>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spans="1:26" ht="17.100000000000001" customHeight="1" x14ac:dyDescent="0.15">
      <c r="B87" s="112"/>
      <c r="C87" s="113"/>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spans="1:26" ht="6" customHeight="1" x14ac:dyDescent="0.15"/>
    <row r="89" spans="1:26" ht="6" customHeight="1" x14ac:dyDescent="0.15"/>
    <row r="90" spans="1:26" ht="6" customHeight="1" x14ac:dyDescent="0.15"/>
    <row r="91" spans="1:26" ht="18.75" customHeight="1" x14ac:dyDescent="0.15">
      <c r="A91" s="13" t="s">
        <v>114</v>
      </c>
    </row>
    <row r="92" spans="1:26" ht="18.75" customHeight="1" x14ac:dyDescent="0.15">
      <c r="B92" s="181" t="s">
        <v>115</v>
      </c>
      <c r="C92" s="182"/>
      <c r="D92" s="182"/>
      <c r="E92" s="182"/>
      <c r="F92" s="182"/>
      <c r="G92" s="182"/>
      <c r="H92" s="182"/>
      <c r="I92" s="182"/>
      <c r="J92" s="182"/>
      <c r="K92" s="182"/>
      <c r="L92" s="182"/>
      <c r="M92" s="182"/>
      <c r="N92" s="182"/>
      <c r="O92" s="182"/>
      <c r="P92" s="182"/>
      <c r="Q92" s="182"/>
      <c r="R92" s="182"/>
      <c r="S92" s="182"/>
      <c r="T92" s="182"/>
      <c r="U92" s="182"/>
      <c r="V92" s="182"/>
      <c r="W92" s="182"/>
      <c r="X92" s="182"/>
      <c r="Y92" s="182"/>
      <c r="Z92" s="183"/>
    </row>
    <row r="93" spans="1:26" ht="18.75" customHeight="1" x14ac:dyDescent="0.15">
      <c r="B93" s="184"/>
      <c r="C93" s="185"/>
      <c r="D93" s="185"/>
      <c r="E93" s="185"/>
      <c r="F93" s="185"/>
      <c r="G93" s="185"/>
      <c r="H93" s="185"/>
      <c r="I93" s="185"/>
      <c r="J93" s="185"/>
      <c r="K93" s="185"/>
      <c r="L93" s="185"/>
      <c r="M93" s="185"/>
      <c r="N93" s="185"/>
      <c r="O93" s="185"/>
      <c r="P93" s="185"/>
      <c r="Q93" s="185"/>
      <c r="R93" s="185"/>
      <c r="S93" s="185"/>
      <c r="T93" s="185"/>
      <c r="U93" s="185"/>
      <c r="V93" s="185"/>
      <c r="W93" s="185"/>
      <c r="X93" s="185"/>
      <c r="Y93" s="185"/>
      <c r="Z93" s="186"/>
    </row>
    <row r="94" spans="1:26" ht="18.75" customHeight="1" x14ac:dyDescent="0.15">
      <c r="B94" s="187"/>
      <c r="C94" s="188"/>
      <c r="D94" s="188"/>
      <c r="E94" s="188"/>
      <c r="F94" s="188"/>
      <c r="G94" s="188"/>
      <c r="H94" s="188"/>
      <c r="I94" s="188"/>
      <c r="J94" s="188"/>
      <c r="K94" s="188"/>
      <c r="L94" s="188"/>
      <c r="M94" s="188"/>
      <c r="N94" s="188"/>
      <c r="O94" s="188"/>
      <c r="P94" s="188"/>
      <c r="Q94" s="188"/>
      <c r="R94" s="188"/>
      <c r="S94" s="188"/>
      <c r="T94" s="188"/>
      <c r="U94" s="188"/>
      <c r="V94" s="188"/>
      <c r="W94" s="188"/>
      <c r="X94" s="188"/>
      <c r="Y94" s="188"/>
      <c r="Z94" s="189"/>
    </row>
    <row r="95" spans="1:26" ht="6" customHeight="1" x14ac:dyDescent="0.15"/>
    <row r="96" spans="1:26" ht="15" customHeight="1" x14ac:dyDescent="0.15">
      <c r="A96" s="13" t="s">
        <v>116</v>
      </c>
      <c r="O96" s="27"/>
      <c r="P96" s="110"/>
      <c r="Q96" s="110"/>
      <c r="R96" s="110"/>
      <c r="S96" s="110"/>
      <c r="T96" s="110"/>
      <c r="U96" s="110"/>
      <c r="V96" s="110"/>
      <c r="W96" s="110"/>
    </row>
    <row r="97" spans="2:26" ht="18" customHeight="1" x14ac:dyDescent="0.15">
      <c r="B97" s="309" t="s">
        <v>222</v>
      </c>
      <c r="C97" s="310"/>
      <c r="D97" s="310"/>
      <c r="E97" s="310"/>
      <c r="F97" s="310"/>
      <c r="G97" s="310"/>
      <c r="H97" s="310"/>
      <c r="I97" s="310"/>
      <c r="J97" s="310"/>
      <c r="K97" s="310"/>
      <c r="L97" s="310"/>
      <c r="M97" s="310"/>
      <c r="N97" s="310"/>
      <c r="O97" s="310"/>
      <c r="P97" s="310"/>
      <c r="Q97" s="310"/>
      <c r="R97" s="310"/>
      <c r="S97" s="310"/>
      <c r="T97" s="310"/>
      <c r="U97" s="310"/>
      <c r="V97" s="310"/>
      <c r="W97" s="310"/>
      <c r="X97" s="310"/>
      <c r="Y97" s="310"/>
      <c r="Z97" s="311"/>
    </row>
  </sheetData>
  <mergeCells count="194">
    <mergeCell ref="W1:Z1"/>
    <mergeCell ref="A2:Z2"/>
    <mergeCell ref="O4:Z4"/>
    <mergeCell ref="B6:Z11"/>
    <mergeCell ref="A13:Z14"/>
    <mergeCell ref="B15:F15"/>
    <mergeCell ref="I15:K15"/>
    <mergeCell ref="N15:S15"/>
    <mergeCell ref="V15:X15"/>
    <mergeCell ref="B18:F18"/>
    <mergeCell ref="I18:K18"/>
    <mergeCell ref="N18:S18"/>
    <mergeCell ref="V18:X18"/>
    <mergeCell ref="B20:F20"/>
    <mergeCell ref="I20:K20"/>
    <mergeCell ref="N20:S20"/>
    <mergeCell ref="V20:X20"/>
    <mergeCell ref="B16:F16"/>
    <mergeCell ref="I16:K16"/>
    <mergeCell ref="N16:S16"/>
    <mergeCell ref="V16:X16"/>
    <mergeCell ref="B17:F17"/>
    <mergeCell ref="I17:K17"/>
    <mergeCell ref="N17:S17"/>
    <mergeCell ref="V17:X17"/>
    <mergeCell ref="B19:F19"/>
    <mergeCell ref="I19:K19"/>
    <mergeCell ref="N19:S19"/>
    <mergeCell ref="V19:X19"/>
    <mergeCell ref="B26:F26"/>
    <mergeCell ref="I26:K26"/>
    <mergeCell ref="N26:S26"/>
    <mergeCell ref="V26:X26"/>
    <mergeCell ref="B27:F27"/>
    <mergeCell ref="I27:K27"/>
    <mergeCell ref="N27:S27"/>
    <mergeCell ref="V27:X27"/>
    <mergeCell ref="A23:Z24"/>
    <mergeCell ref="B25:F25"/>
    <mergeCell ref="I25:K25"/>
    <mergeCell ref="N25:S25"/>
    <mergeCell ref="V25:X25"/>
    <mergeCell ref="B30:F30"/>
    <mergeCell ref="I30:K30"/>
    <mergeCell ref="N30:S30"/>
    <mergeCell ref="V30:X30"/>
    <mergeCell ref="B28:F28"/>
    <mergeCell ref="I28:K28"/>
    <mergeCell ref="N28:S28"/>
    <mergeCell ref="V28:X28"/>
    <mergeCell ref="B29:F29"/>
    <mergeCell ref="I29:K29"/>
    <mergeCell ref="N29:S29"/>
    <mergeCell ref="V29:X29"/>
    <mergeCell ref="B36:F36"/>
    <mergeCell ref="I36:K36"/>
    <mergeCell ref="N36:S36"/>
    <mergeCell ref="V36:X36"/>
    <mergeCell ref="B37:F37"/>
    <mergeCell ref="I37:K37"/>
    <mergeCell ref="N37:S37"/>
    <mergeCell ref="V37:X37"/>
    <mergeCell ref="B31:F31"/>
    <mergeCell ref="I31:K31"/>
    <mergeCell ref="N31:S31"/>
    <mergeCell ref="V31:X31"/>
    <mergeCell ref="A33:Z34"/>
    <mergeCell ref="B35:F35"/>
    <mergeCell ref="I35:K35"/>
    <mergeCell ref="N35:S35"/>
    <mergeCell ref="V35:X35"/>
    <mergeCell ref="B40:F40"/>
    <mergeCell ref="I40:K40"/>
    <mergeCell ref="N40:S40"/>
    <mergeCell ref="V40:X40"/>
    <mergeCell ref="B38:F38"/>
    <mergeCell ref="I38:K38"/>
    <mergeCell ref="N38:S38"/>
    <mergeCell ref="V38:X38"/>
    <mergeCell ref="B39:F39"/>
    <mergeCell ref="I39:K39"/>
    <mergeCell ref="N39:S39"/>
    <mergeCell ref="V39:X39"/>
    <mergeCell ref="B46:F46"/>
    <mergeCell ref="I46:K46"/>
    <mergeCell ref="N46:S46"/>
    <mergeCell ref="V46:X46"/>
    <mergeCell ref="B47:F47"/>
    <mergeCell ref="I47:K47"/>
    <mergeCell ref="N47:S47"/>
    <mergeCell ref="V47:X47"/>
    <mergeCell ref="A43:Z44"/>
    <mergeCell ref="B45:F45"/>
    <mergeCell ref="I45:K45"/>
    <mergeCell ref="N45:S45"/>
    <mergeCell ref="V45:X45"/>
    <mergeCell ref="B50:F50"/>
    <mergeCell ref="I50:K50"/>
    <mergeCell ref="N50:S50"/>
    <mergeCell ref="V50:X50"/>
    <mergeCell ref="B48:F48"/>
    <mergeCell ref="I48:K48"/>
    <mergeCell ref="N48:S48"/>
    <mergeCell ref="V48:X48"/>
    <mergeCell ref="B49:F49"/>
    <mergeCell ref="I49:K49"/>
    <mergeCell ref="N49:S49"/>
    <mergeCell ref="V49:X49"/>
    <mergeCell ref="B56:E56"/>
    <mergeCell ref="H56:J56"/>
    <mergeCell ref="N56:R56"/>
    <mergeCell ref="U56:W56"/>
    <mergeCell ref="B57:E57"/>
    <mergeCell ref="H57:J57"/>
    <mergeCell ref="N57:R57"/>
    <mergeCell ref="U57:W57"/>
    <mergeCell ref="A53:Z54"/>
    <mergeCell ref="B55:E55"/>
    <mergeCell ref="N55:R55"/>
    <mergeCell ref="B61:E61"/>
    <mergeCell ref="H61:J61"/>
    <mergeCell ref="N61:R61"/>
    <mergeCell ref="U61:W61"/>
    <mergeCell ref="B58:E58"/>
    <mergeCell ref="H58:J58"/>
    <mergeCell ref="N58:R58"/>
    <mergeCell ref="U58:W58"/>
    <mergeCell ref="B59:E59"/>
    <mergeCell ref="H59:J59"/>
    <mergeCell ref="N59:R59"/>
    <mergeCell ref="U59:W59"/>
    <mergeCell ref="B66:F66"/>
    <mergeCell ref="G66:M66"/>
    <mergeCell ref="N66:S66"/>
    <mergeCell ref="T66:Z66"/>
    <mergeCell ref="B67:F67"/>
    <mergeCell ref="G67:M67"/>
    <mergeCell ref="N67:S67"/>
    <mergeCell ref="T67:Z67"/>
    <mergeCell ref="B70:F70"/>
    <mergeCell ref="G70:M70"/>
    <mergeCell ref="N70:S70"/>
    <mergeCell ref="T70:Z70"/>
    <mergeCell ref="B92:Z94"/>
    <mergeCell ref="B97:Z97"/>
    <mergeCell ref="B80:B81"/>
    <mergeCell ref="D80:Z80"/>
    <mergeCell ref="D81:Z81"/>
    <mergeCell ref="B82:B84"/>
    <mergeCell ref="D82:Z82"/>
    <mergeCell ref="D83:Z83"/>
    <mergeCell ref="D84:Z84"/>
    <mergeCell ref="B78:B79"/>
    <mergeCell ref="D78:Z78"/>
    <mergeCell ref="D79:Z79"/>
    <mergeCell ref="D73:Z73"/>
    <mergeCell ref="B74:B75"/>
    <mergeCell ref="D74:Z74"/>
    <mergeCell ref="D75:Z75"/>
    <mergeCell ref="B68:F68"/>
    <mergeCell ref="G68:M68"/>
    <mergeCell ref="N68:S68"/>
    <mergeCell ref="T68:Z68"/>
    <mergeCell ref="B69:F69"/>
    <mergeCell ref="G69:M69"/>
    <mergeCell ref="N69:S69"/>
    <mergeCell ref="T69:Z69"/>
    <mergeCell ref="B76:B77"/>
    <mergeCell ref="D76:Z76"/>
    <mergeCell ref="D77:Z77"/>
    <mergeCell ref="B21:F21"/>
    <mergeCell ref="I21:K21"/>
    <mergeCell ref="N21:S21"/>
    <mergeCell ref="V21:X21"/>
    <mergeCell ref="B62:E62"/>
    <mergeCell ref="H62:J62"/>
    <mergeCell ref="N62:R62"/>
    <mergeCell ref="U62:W62"/>
    <mergeCell ref="B65:F65"/>
    <mergeCell ref="G65:M65"/>
    <mergeCell ref="N65:S65"/>
    <mergeCell ref="T65:Z65"/>
    <mergeCell ref="B60:E60"/>
    <mergeCell ref="H60:J60"/>
    <mergeCell ref="N60:R60"/>
    <mergeCell ref="U60:W60"/>
    <mergeCell ref="B41:F41"/>
    <mergeCell ref="I41:K41"/>
    <mergeCell ref="N41:S41"/>
    <mergeCell ref="V41:X41"/>
    <mergeCell ref="B51:F51"/>
    <mergeCell ref="I51:K51"/>
    <mergeCell ref="N51:S51"/>
    <mergeCell ref="V51:X51"/>
  </mergeCells>
  <phoneticPr fontId="1"/>
  <dataValidations count="4">
    <dataValidation type="list" allowBlank="1" showInputMessage="1" showErrorMessage="1" sqref="H66:M67 U66:Z67 U70:Z71 G66:G70 G71:M71 T66:T71 H70:M7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2 Z32 D32:K32 D22:K22 I36:I41 I46:I51 V36:V41 U56:U62 H56:H62 V26:V31 I26:I31 V46:V51 I16:I21 V16:V21">
      <formula1>"全学開講,一部開講"</formula1>
    </dataValidation>
    <dataValidation type="list" allowBlank="1" showInputMessage="1" showErrorMessage="1" sqref="Y36:Z41 H36:H41 Y46:Z51 H46:H51 Y56:Z62 L56:M62 U36:U41 U46:U51 L36:M41 G56:G62 T56:T62 Y26:Z31 U26:U31 H26:H31 L26:M31 L46:M51 L16:M21 Y16:Z21 U16:U21 H16:H21">
      <formula1>"○"</formula1>
    </dataValidation>
  </dataValidations>
  <hyperlinks>
    <hyperlink ref="B97:Z97" r:id="rId1" display="https://www.iput.ac.jp/assets/files/tk_suuri_datascience_ai.pdf"/>
  </hyperlinks>
  <printOptions horizontalCentered="1"/>
  <pageMargins left="0.70866141732283472" right="0.70866141732283472" top="0.74803149606299213" bottom="0.74803149606299213" header="0.31496062992125984" footer="0.31496062992125984"/>
  <pageSetup paperSize="9" scale="98" orientation="landscape" r:id="rId2"/>
  <rowBreaks count="3" manualBreakCount="3">
    <brk id="32" max="25" man="1"/>
    <brk id="63" max="25" man="1"/>
    <brk id="77"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4"/>
  <sheetViews>
    <sheetView showZeros="0" view="pageBreakPreview" topLeftCell="A88" zoomScaleNormal="100" zoomScaleSheetLayoutView="100" workbookViewId="0">
      <selection activeCell="B94" sqref="B94:Z94"/>
    </sheetView>
  </sheetViews>
  <sheetFormatPr defaultColWidth="9" defaultRowHeight="18.75" customHeight="1" x14ac:dyDescent="0.15"/>
  <cols>
    <col min="1" max="1" width="2.5" style="13" customWidth="1"/>
    <col min="2" max="2" width="27.8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19" t="s">
        <v>117</v>
      </c>
      <c r="X1" s="219"/>
      <c r="Y1" s="219"/>
      <c r="Z1" s="219"/>
    </row>
    <row r="2" spans="1:26" ht="18" customHeight="1" x14ac:dyDescent="0.15">
      <c r="A2" s="220" t="s">
        <v>70</v>
      </c>
      <c r="B2" s="220"/>
      <c r="C2" s="220"/>
      <c r="D2" s="220"/>
      <c r="E2" s="220"/>
      <c r="F2" s="220"/>
      <c r="G2" s="220"/>
      <c r="H2" s="220"/>
      <c r="I2" s="220"/>
      <c r="J2" s="220"/>
      <c r="K2" s="220"/>
      <c r="L2" s="220"/>
      <c r="M2" s="220"/>
      <c r="N2" s="220"/>
      <c r="O2" s="220"/>
      <c r="P2" s="220"/>
      <c r="Q2" s="220"/>
      <c r="R2" s="220"/>
      <c r="S2" s="220"/>
      <c r="T2" s="220"/>
      <c r="U2" s="220"/>
      <c r="V2" s="220"/>
      <c r="W2" s="220"/>
      <c r="X2" s="220"/>
      <c r="Y2" s="220"/>
      <c r="Z2" s="220"/>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71</v>
      </c>
      <c r="B4" s="25"/>
      <c r="C4" s="25"/>
      <c r="D4" s="25"/>
      <c r="E4" s="25"/>
      <c r="F4" s="25"/>
      <c r="G4" s="25"/>
      <c r="H4" s="14" t="s">
        <v>72</v>
      </c>
      <c r="I4" s="25"/>
      <c r="J4" s="25"/>
      <c r="K4" s="25"/>
      <c r="L4" s="25"/>
      <c r="M4" s="25"/>
      <c r="N4" s="25"/>
      <c r="O4" s="136" t="s">
        <v>73</v>
      </c>
      <c r="P4" s="138"/>
      <c r="Q4" s="138"/>
      <c r="R4" s="138"/>
      <c r="S4" s="138"/>
      <c r="T4" s="138"/>
      <c r="U4" s="138"/>
      <c r="V4" s="138"/>
      <c r="W4" s="138"/>
      <c r="X4" s="138"/>
      <c r="Y4" s="138"/>
      <c r="Z4" s="137"/>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21" t="s">
        <v>118</v>
      </c>
      <c r="C6" s="222"/>
      <c r="D6" s="222"/>
      <c r="E6" s="222"/>
      <c r="F6" s="222"/>
      <c r="G6" s="222"/>
      <c r="H6" s="222"/>
      <c r="I6" s="222"/>
      <c r="J6" s="222"/>
      <c r="K6" s="222"/>
      <c r="L6" s="222"/>
      <c r="M6" s="222"/>
      <c r="N6" s="222"/>
      <c r="O6" s="222"/>
      <c r="P6" s="222"/>
      <c r="Q6" s="222"/>
      <c r="R6" s="222"/>
      <c r="S6" s="222"/>
      <c r="T6" s="222"/>
      <c r="U6" s="222"/>
      <c r="V6" s="222"/>
      <c r="W6" s="222"/>
      <c r="X6" s="222"/>
      <c r="Y6" s="222"/>
      <c r="Z6" s="223"/>
    </row>
    <row r="7" spans="1:26" ht="18" customHeight="1" x14ac:dyDescent="0.15">
      <c r="B7" s="224"/>
      <c r="C7" s="225"/>
      <c r="D7" s="225"/>
      <c r="E7" s="225"/>
      <c r="F7" s="225"/>
      <c r="G7" s="225"/>
      <c r="H7" s="225"/>
      <c r="I7" s="225"/>
      <c r="J7" s="225"/>
      <c r="K7" s="225"/>
      <c r="L7" s="225"/>
      <c r="M7" s="225"/>
      <c r="N7" s="225"/>
      <c r="O7" s="225"/>
      <c r="P7" s="225"/>
      <c r="Q7" s="225"/>
      <c r="R7" s="225"/>
      <c r="S7" s="225"/>
      <c r="T7" s="225"/>
      <c r="U7" s="225"/>
      <c r="V7" s="225"/>
      <c r="W7" s="225"/>
      <c r="X7" s="225"/>
      <c r="Y7" s="225"/>
      <c r="Z7" s="226"/>
    </row>
    <row r="8" spans="1:26" ht="18" customHeight="1" x14ac:dyDescent="0.15">
      <c r="B8" s="224"/>
      <c r="C8" s="225"/>
      <c r="D8" s="225"/>
      <c r="E8" s="225"/>
      <c r="F8" s="225"/>
      <c r="G8" s="225"/>
      <c r="H8" s="225"/>
      <c r="I8" s="225"/>
      <c r="J8" s="225"/>
      <c r="K8" s="225"/>
      <c r="L8" s="225"/>
      <c r="M8" s="225"/>
      <c r="N8" s="225"/>
      <c r="O8" s="225"/>
      <c r="P8" s="225"/>
      <c r="Q8" s="225"/>
      <c r="R8" s="225"/>
      <c r="S8" s="225"/>
      <c r="T8" s="225"/>
      <c r="U8" s="225"/>
      <c r="V8" s="225"/>
      <c r="W8" s="225"/>
      <c r="X8" s="225"/>
      <c r="Y8" s="225"/>
      <c r="Z8" s="226"/>
    </row>
    <row r="9" spans="1:26" ht="18" customHeight="1" x14ac:dyDescent="0.15">
      <c r="B9" s="224"/>
      <c r="C9" s="225"/>
      <c r="D9" s="225"/>
      <c r="E9" s="225"/>
      <c r="F9" s="225"/>
      <c r="G9" s="225"/>
      <c r="H9" s="225"/>
      <c r="I9" s="225"/>
      <c r="J9" s="225"/>
      <c r="K9" s="225"/>
      <c r="L9" s="225"/>
      <c r="M9" s="225"/>
      <c r="N9" s="225"/>
      <c r="O9" s="225"/>
      <c r="P9" s="225"/>
      <c r="Q9" s="225"/>
      <c r="R9" s="225"/>
      <c r="S9" s="225"/>
      <c r="T9" s="225"/>
      <c r="U9" s="225"/>
      <c r="V9" s="225"/>
      <c r="W9" s="225"/>
      <c r="X9" s="225"/>
      <c r="Y9" s="225"/>
      <c r="Z9" s="226"/>
    </row>
    <row r="10" spans="1:26" ht="18" customHeight="1" x14ac:dyDescent="0.15">
      <c r="B10" s="224"/>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6"/>
    </row>
    <row r="11" spans="1:26" ht="18" customHeight="1" x14ac:dyDescent="0.15">
      <c r="B11" s="227"/>
      <c r="C11" s="228"/>
      <c r="D11" s="228"/>
      <c r="E11" s="228"/>
      <c r="F11" s="228"/>
      <c r="G11" s="228"/>
      <c r="H11" s="228"/>
      <c r="I11" s="228"/>
      <c r="J11" s="228"/>
      <c r="K11" s="228"/>
      <c r="L11" s="228"/>
      <c r="M11" s="228"/>
      <c r="N11" s="228"/>
      <c r="O11" s="228"/>
      <c r="P11" s="228"/>
      <c r="Q11" s="228"/>
      <c r="R11" s="228"/>
      <c r="S11" s="228"/>
      <c r="T11" s="228"/>
      <c r="U11" s="228"/>
      <c r="V11" s="228"/>
      <c r="W11" s="228"/>
      <c r="X11" s="228"/>
      <c r="Y11" s="228"/>
      <c r="Z11" s="229"/>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212" t="s">
        <v>119</v>
      </c>
      <c r="B13" s="212"/>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row>
    <row r="14" spans="1:26" ht="18" customHeight="1" x14ac:dyDescent="0.15">
      <c r="A14" s="212"/>
      <c r="B14" s="212"/>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row>
    <row r="15" spans="1:26" ht="18" customHeight="1" x14ac:dyDescent="0.15">
      <c r="A15" s="14"/>
      <c r="B15" s="136" t="s">
        <v>76</v>
      </c>
      <c r="C15" s="138"/>
      <c r="D15" s="138"/>
      <c r="E15" s="138"/>
      <c r="F15" s="137"/>
      <c r="G15" s="26" t="s">
        <v>77</v>
      </c>
      <c r="H15" s="99" t="s">
        <v>78</v>
      </c>
      <c r="I15" s="138" t="s">
        <v>79</v>
      </c>
      <c r="J15" s="138"/>
      <c r="K15" s="138"/>
      <c r="L15" s="65" t="s">
        <v>80</v>
      </c>
      <c r="M15" s="65" t="s">
        <v>81</v>
      </c>
      <c r="N15" s="136" t="s">
        <v>76</v>
      </c>
      <c r="O15" s="138"/>
      <c r="P15" s="138"/>
      <c r="Q15" s="138"/>
      <c r="R15" s="138"/>
      <c r="S15" s="137"/>
      <c r="T15" s="26" t="s">
        <v>77</v>
      </c>
      <c r="U15" s="99" t="s">
        <v>78</v>
      </c>
      <c r="V15" s="138" t="s">
        <v>79</v>
      </c>
      <c r="W15" s="138"/>
      <c r="X15" s="138"/>
      <c r="Y15" s="65" t="s">
        <v>80</v>
      </c>
      <c r="Z15" s="65" t="s">
        <v>81</v>
      </c>
    </row>
    <row r="16" spans="1:26" ht="18" customHeight="1" x14ac:dyDescent="0.15">
      <c r="A16" s="14"/>
      <c r="B16" s="216" t="s">
        <v>120</v>
      </c>
      <c r="C16" s="217"/>
      <c r="D16" s="217"/>
      <c r="E16" s="217"/>
      <c r="F16" s="218"/>
      <c r="G16" s="100">
        <v>2</v>
      </c>
      <c r="H16" s="100" t="s">
        <v>83</v>
      </c>
      <c r="I16" s="209" t="s">
        <v>84</v>
      </c>
      <c r="J16" s="210"/>
      <c r="K16" s="211"/>
      <c r="L16" s="100" t="s">
        <v>83</v>
      </c>
      <c r="M16" s="100" t="s">
        <v>83</v>
      </c>
      <c r="N16" s="200"/>
      <c r="O16" s="201"/>
      <c r="P16" s="201"/>
      <c r="Q16" s="201"/>
      <c r="R16" s="201"/>
      <c r="S16" s="202"/>
      <c r="T16" s="100"/>
      <c r="U16" s="100"/>
      <c r="V16" s="209"/>
      <c r="W16" s="210"/>
      <c r="X16" s="211"/>
      <c r="Y16" s="100"/>
      <c r="Z16" s="100"/>
    </row>
    <row r="17" spans="1:26" ht="18" customHeight="1" x14ac:dyDescent="0.15">
      <c r="A17" s="14"/>
      <c r="B17" s="213" t="s">
        <v>121</v>
      </c>
      <c r="C17" s="214"/>
      <c r="D17" s="214"/>
      <c r="E17" s="214"/>
      <c r="F17" s="215"/>
      <c r="G17" s="101">
        <v>2</v>
      </c>
      <c r="H17" s="101" t="s">
        <v>83</v>
      </c>
      <c r="I17" s="159" t="s">
        <v>84</v>
      </c>
      <c r="J17" s="160"/>
      <c r="K17" s="161"/>
      <c r="L17" s="101" t="s">
        <v>83</v>
      </c>
      <c r="M17" s="101" t="s">
        <v>83</v>
      </c>
      <c r="N17" s="156"/>
      <c r="O17" s="157"/>
      <c r="P17" s="157"/>
      <c r="Q17" s="157"/>
      <c r="R17" s="157"/>
      <c r="S17" s="158"/>
      <c r="T17" s="101"/>
      <c r="U17" s="101"/>
      <c r="V17" s="159"/>
      <c r="W17" s="160"/>
      <c r="X17" s="161"/>
      <c r="Y17" s="101"/>
      <c r="Z17" s="101"/>
    </row>
    <row r="18" spans="1:26" ht="18" customHeight="1" x14ac:dyDescent="0.15">
      <c r="A18" s="14"/>
      <c r="B18" s="213" t="s">
        <v>122</v>
      </c>
      <c r="C18" s="214"/>
      <c r="D18" s="214"/>
      <c r="E18" s="214"/>
      <c r="F18" s="215"/>
      <c r="G18" s="101">
        <v>2</v>
      </c>
      <c r="H18" s="101" t="s">
        <v>83</v>
      </c>
      <c r="I18" s="159" t="s">
        <v>84</v>
      </c>
      <c r="J18" s="160"/>
      <c r="K18" s="161"/>
      <c r="L18" s="101"/>
      <c r="M18" s="101"/>
      <c r="N18" s="156"/>
      <c r="O18" s="157"/>
      <c r="P18" s="157"/>
      <c r="Q18" s="157"/>
      <c r="R18" s="157"/>
      <c r="S18" s="158"/>
      <c r="T18" s="101"/>
      <c r="U18" s="101"/>
      <c r="V18" s="159"/>
      <c r="W18" s="160"/>
      <c r="X18" s="161"/>
      <c r="Y18" s="101"/>
      <c r="Z18" s="101"/>
    </row>
    <row r="19" spans="1:26" ht="18" customHeight="1" x14ac:dyDescent="0.15">
      <c r="A19" s="14"/>
      <c r="B19" s="213"/>
      <c r="C19" s="214"/>
      <c r="D19" s="214"/>
      <c r="E19" s="214"/>
      <c r="F19" s="215"/>
      <c r="G19" s="101"/>
      <c r="H19" s="101"/>
      <c r="I19" s="159"/>
      <c r="J19" s="160"/>
      <c r="K19" s="161"/>
      <c r="L19" s="101"/>
      <c r="M19" s="101"/>
      <c r="N19" s="156"/>
      <c r="O19" s="157"/>
      <c r="P19" s="157"/>
      <c r="Q19" s="157"/>
      <c r="R19" s="157"/>
      <c r="S19" s="158"/>
      <c r="T19" s="101"/>
      <c r="U19" s="101"/>
      <c r="V19" s="159"/>
      <c r="W19" s="160"/>
      <c r="X19" s="161"/>
      <c r="Y19" s="101"/>
      <c r="Z19" s="101"/>
    </row>
    <row r="20" spans="1:26" ht="18" customHeight="1" x14ac:dyDescent="0.15">
      <c r="A20" s="14"/>
      <c r="B20" s="213"/>
      <c r="C20" s="214"/>
      <c r="D20" s="214"/>
      <c r="E20" s="214"/>
      <c r="F20" s="215"/>
      <c r="G20" s="101"/>
      <c r="H20" s="101"/>
      <c r="I20" s="159"/>
      <c r="J20" s="160"/>
      <c r="K20" s="161"/>
      <c r="L20" s="101"/>
      <c r="M20" s="101"/>
      <c r="N20" s="156"/>
      <c r="O20" s="157"/>
      <c r="P20" s="157"/>
      <c r="Q20" s="157"/>
      <c r="R20" s="157"/>
      <c r="S20" s="158"/>
      <c r="T20" s="101"/>
      <c r="U20" s="101"/>
      <c r="V20" s="159"/>
      <c r="W20" s="160"/>
      <c r="X20" s="161"/>
      <c r="Y20" s="101"/>
      <c r="Z20" s="101"/>
    </row>
    <row r="21" spans="1:26" ht="18" customHeight="1" x14ac:dyDescent="0.15">
      <c r="A21" s="25"/>
      <c r="B21" s="144"/>
      <c r="C21" s="145"/>
      <c r="D21" s="145"/>
      <c r="E21" s="145"/>
      <c r="F21" s="146"/>
      <c r="G21" s="102"/>
      <c r="H21" s="102"/>
      <c r="I21" s="147"/>
      <c r="J21" s="148"/>
      <c r="K21" s="149"/>
      <c r="L21" s="107"/>
      <c r="M21" s="107"/>
      <c r="N21" s="150"/>
      <c r="O21" s="151"/>
      <c r="P21" s="151"/>
      <c r="Q21" s="151"/>
      <c r="R21" s="151"/>
      <c r="S21" s="152"/>
      <c r="T21" s="102"/>
      <c r="U21" s="102"/>
      <c r="V21" s="147"/>
      <c r="W21" s="148"/>
      <c r="X21" s="149"/>
      <c r="Y21" s="107"/>
      <c r="Z21" s="107"/>
    </row>
    <row r="22" spans="1:26" ht="7.5" customHeight="1" x14ac:dyDescent="0.15">
      <c r="A22" s="25"/>
      <c r="B22" s="29"/>
      <c r="C22" s="29"/>
      <c r="D22" s="25"/>
      <c r="E22" s="25"/>
      <c r="F22" s="25"/>
      <c r="G22" s="25"/>
      <c r="H22" s="25"/>
      <c r="I22" s="25"/>
      <c r="J22" s="25"/>
      <c r="K22" s="25"/>
      <c r="L22" s="29"/>
      <c r="M22" s="29"/>
      <c r="N22" s="29"/>
      <c r="O22" s="29"/>
      <c r="P22" s="29"/>
      <c r="Q22" s="29"/>
      <c r="R22" s="29"/>
      <c r="S22" s="29"/>
      <c r="T22" s="29"/>
      <c r="U22" s="29"/>
      <c r="V22" s="29"/>
      <c r="W22" s="29"/>
      <c r="X22" s="29"/>
      <c r="Y22" s="29"/>
      <c r="Z22" s="25"/>
    </row>
    <row r="23" spans="1:26" ht="18" customHeight="1" x14ac:dyDescent="0.15">
      <c r="A23" s="212" t="s">
        <v>87</v>
      </c>
      <c r="B23" s="212"/>
      <c r="C23" s="212"/>
      <c r="D23" s="212"/>
      <c r="E23" s="212"/>
      <c r="F23" s="212"/>
      <c r="G23" s="212"/>
      <c r="H23" s="212"/>
      <c r="I23" s="212"/>
      <c r="J23" s="212"/>
      <c r="K23" s="212"/>
      <c r="L23" s="212"/>
      <c r="M23" s="212"/>
      <c r="N23" s="212"/>
      <c r="O23" s="212"/>
      <c r="P23" s="212"/>
      <c r="Q23" s="212"/>
      <c r="R23" s="212"/>
      <c r="S23" s="212"/>
      <c r="T23" s="212"/>
      <c r="U23" s="212"/>
      <c r="V23" s="212"/>
      <c r="W23" s="212"/>
      <c r="X23" s="212"/>
      <c r="Y23" s="212"/>
      <c r="Z23" s="212"/>
    </row>
    <row r="24" spans="1:26" ht="18" customHeight="1" x14ac:dyDescent="0.15">
      <c r="A24" s="212"/>
      <c r="B24" s="212"/>
      <c r="C24" s="212"/>
      <c r="D24" s="212"/>
      <c r="E24" s="212"/>
      <c r="F24" s="212"/>
      <c r="G24" s="212"/>
      <c r="H24" s="212"/>
      <c r="I24" s="212"/>
      <c r="J24" s="212"/>
      <c r="K24" s="212"/>
      <c r="L24" s="212"/>
      <c r="M24" s="212"/>
      <c r="N24" s="212"/>
      <c r="O24" s="212"/>
      <c r="P24" s="212"/>
      <c r="Q24" s="212"/>
      <c r="R24" s="212"/>
      <c r="S24" s="212"/>
      <c r="T24" s="212"/>
      <c r="U24" s="212"/>
      <c r="V24" s="212"/>
      <c r="W24" s="212"/>
      <c r="X24" s="212"/>
      <c r="Y24" s="212"/>
      <c r="Z24" s="212"/>
    </row>
    <row r="25" spans="1:26" ht="18" customHeight="1" x14ac:dyDescent="0.15">
      <c r="A25" s="14"/>
      <c r="B25" s="136" t="s">
        <v>76</v>
      </c>
      <c r="C25" s="138"/>
      <c r="D25" s="138"/>
      <c r="E25" s="138"/>
      <c r="F25" s="137"/>
      <c r="G25" s="26" t="s">
        <v>77</v>
      </c>
      <c r="H25" s="99" t="s">
        <v>78</v>
      </c>
      <c r="I25" s="138" t="s">
        <v>79</v>
      </c>
      <c r="J25" s="138"/>
      <c r="K25" s="138"/>
      <c r="L25" s="65" t="s">
        <v>88</v>
      </c>
      <c r="M25" s="65" t="s">
        <v>89</v>
      </c>
      <c r="N25" s="136" t="s">
        <v>76</v>
      </c>
      <c r="O25" s="138"/>
      <c r="P25" s="138"/>
      <c r="Q25" s="138"/>
      <c r="R25" s="138"/>
      <c r="S25" s="137"/>
      <c r="T25" s="26" t="s">
        <v>77</v>
      </c>
      <c r="U25" s="99" t="s">
        <v>78</v>
      </c>
      <c r="V25" s="138" t="s">
        <v>79</v>
      </c>
      <c r="W25" s="138"/>
      <c r="X25" s="138"/>
      <c r="Y25" s="65" t="s">
        <v>88</v>
      </c>
      <c r="Z25" s="65" t="s">
        <v>89</v>
      </c>
    </row>
    <row r="26" spans="1:26" ht="18" customHeight="1" x14ac:dyDescent="0.15">
      <c r="A26" s="14"/>
      <c r="B26" s="216" t="s">
        <v>120</v>
      </c>
      <c r="C26" s="217"/>
      <c r="D26" s="217"/>
      <c r="E26" s="217"/>
      <c r="F26" s="218"/>
      <c r="G26" s="100">
        <v>2</v>
      </c>
      <c r="H26" s="100" t="s">
        <v>83</v>
      </c>
      <c r="I26" s="209" t="s">
        <v>84</v>
      </c>
      <c r="J26" s="210"/>
      <c r="K26" s="211"/>
      <c r="L26" s="100" t="s">
        <v>83</v>
      </c>
      <c r="M26" s="100" t="s">
        <v>83</v>
      </c>
      <c r="N26" s="200"/>
      <c r="O26" s="201"/>
      <c r="P26" s="201"/>
      <c r="Q26" s="201"/>
      <c r="R26" s="201"/>
      <c r="S26" s="202"/>
      <c r="T26" s="100"/>
      <c r="U26" s="100"/>
      <c r="V26" s="209"/>
      <c r="W26" s="210"/>
      <c r="X26" s="211"/>
      <c r="Y26" s="100"/>
      <c r="Z26" s="100"/>
    </row>
    <row r="27" spans="1:26" ht="18" customHeight="1" x14ac:dyDescent="0.15">
      <c r="A27" s="14"/>
      <c r="B27" s="213" t="s">
        <v>121</v>
      </c>
      <c r="C27" s="214"/>
      <c r="D27" s="214"/>
      <c r="E27" s="214"/>
      <c r="F27" s="215"/>
      <c r="G27" s="101">
        <v>2</v>
      </c>
      <c r="H27" s="101" t="s">
        <v>83</v>
      </c>
      <c r="I27" s="159" t="s">
        <v>84</v>
      </c>
      <c r="J27" s="160"/>
      <c r="K27" s="161"/>
      <c r="L27" s="101" t="s">
        <v>83</v>
      </c>
      <c r="M27" s="101" t="s">
        <v>83</v>
      </c>
      <c r="N27" s="156"/>
      <c r="O27" s="157"/>
      <c r="P27" s="157"/>
      <c r="Q27" s="157"/>
      <c r="R27" s="157"/>
      <c r="S27" s="158"/>
      <c r="T27" s="101"/>
      <c r="U27" s="101"/>
      <c r="V27" s="159"/>
      <c r="W27" s="160"/>
      <c r="X27" s="161"/>
      <c r="Y27" s="101"/>
      <c r="Z27" s="101"/>
    </row>
    <row r="28" spans="1:26" ht="18" customHeight="1" x14ac:dyDescent="0.15">
      <c r="A28" s="14"/>
      <c r="B28" s="213" t="s">
        <v>122</v>
      </c>
      <c r="C28" s="214"/>
      <c r="D28" s="214"/>
      <c r="E28" s="214"/>
      <c r="F28" s="215"/>
      <c r="G28" s="101">
        <v>2</v>
      </c>
      <c r="H28" s="101" t="s">
        <v>83</v>
      </c>
      <c r="I28" s="159" t="s">
        <v>84</v>
      </c>
      <c r="J28" s="160"/>
      <c r="K28" s="161"/>
      <c r="L28" s="101" t="s">
        <v>83</v>
      </c>
      <c r="M28" s="101" t="s">
        <v>83</v>
      </c>
      <c r="N28" s="156"/>
      <c r="O28" s="157"/>
      <c r="P28" s="157"/>
      <c r="Q28" s="157"/>
      <c r="R28" s="157"/>
      <c r="S28" s="158"/>
      <c r="T28" s="101"/>
      <c r="U28" s="101"/>
      <c r="V28" s="159"/>
      <c r="W28" s="160"/>
      <c r="X28" s="161"/>
      <c r="Y28" s="101"/>
      <c r="Z28" s="101"/>
    </row>
    <row r="29" spans="1:26" ht="18" customHeight="1" x14ac:dyDescent="0.15">
      <c r="A29" s="14"/>
      <c r="B29" s="213"/>
      <c r="C29" s="214"/>
      <c r="D29" s="214"/>
      <c r="E29" s="214"/>
      <c r="F29" s="215"/>
      <c r="G29" s="101"/>
      <c r="H29" s="101"/>
      <c r="I29" s="159"/>
      <c r="J29" s="160"/>
      <c r="K29" s="161"/>
      <c r="L29" s="101"/>
      <c r="M29" s="101"/>
      <c r="N29" s="156"/>
      <c r="O29" s="157"/>
      <c r="P29" s="157"/>
      <c r="Q29" s="157"/>
      <c r="R29" s="157"/>
      <c r="S29" s="158"/>
      <c r="T29" s="101"/>
      <c r="U29" s="101"/>
      <c r="V29" s="159"/>
      <c r="W29" s="160"/>
      <c r="X29" s="161"/>
      <c r="Y29" s="101"/>
      <c r="Z29" s="101"/>
    </row>
    <row r="30" spans="1:26" ht="18" customHeight="1" x14ac:dyDescent="0.15">
      <c r="A30" s="14"/>
      <c r="B30" s="213"/>
      <c r="C30" s="214"/>
      <c r="D30" s="214"/>
      <c r="E30" s="214"/>
      <c r="F30" s="215"/>
      <c r="G30" s="101"/>
      <c r="H30" s="101"/>
      <c r="I30" s="159"/>
      <c r="J30" s="160"/>
      <c r="K30" s="161"/>
      <c r="L30" s="101"/>
      <c r="M30" s="101"/>
      <c r="N30" s="156"/>
      <c r="O30" s="157"/>
      <c r="P30" s="157"/>
      <c r="Q30" s="157"/>
      <c r="R30" s="157"/>
      <c r="S30" s="158"/>
      <c r="T30" s="101"/>
      <c r="U30" s="101"/>
      <c r="V30" s="159"/>
      <c r="W30" s="160"/>
      <c r="X30" s="161"/>
      <c r="Y30" s="101"/>
      <c r="Z30" s="101"/>
    </row>
    <row r="31" spans="1:26" ht="18" customHeight="1" x14ac:dyDescent="0.15">
      <c r="A31" s="14"/>
      <c r="B31" s="144"/>
      <c r="C31" s="145"/>
      <c r="D31" s="145"/>
      <c r="E31" s="145"/>
      <c r="F31" s="146"/>
      <c r="G31" s="102"/>
      <c r="H31" s="102"/>
      <c r="I31" s="147"/>
      <c r="J31" s="148"/>
      <c r="K31" s="149"/>
      <c r="L31" s="107"/>
      <c r="M31" s="107"/>
      <c r="N31" s="150"/>
      <c r="O31" s="151"/>
      <c r="P31" s="151"/>
      <c r="Q31" s="151"/>
      <c r="R31" s="151"/>
      <c r="S31" s="152"/>
      <c r="T31" s="102"/>
      <c r="U31" s="102"/>
      <c r="V31" s="147"/>
      <c r="W31" s="148"/>
      <c r="X31" s="149"/>
      <c r="Y31" s="107"/>
      <c r="Z31" s="107"/>
    </row>
    <row r="32" spans="1:26" ht="7.5" customHeight="1" x14ac:dyDescent="0.15">
      <c r="A32" s="25"/>
      <c r="B32" s="29"/>
      <c r="C32" s="29"/>
      <c r="D32" s="25"/>
      <c r="E32" s="25"/>
      <c r="F32" s="25"/>
      <c r="G32" s="25"/>
      <c r="H32" s="25"/>
      <c r="I32" s="25"/>
      <c r="J32" s="25"/>
      <c r="K32" s="25"/>
      <c r="L32" s="29"/>
      <c r="M32" s="29"/>
      <c r="N32" s="29"/>
      <c r="O32" s="29"/>
      <c r="P32" s="29"/>
      <c r="Q32" s="29"/>
      <c r="R32" s="29"/>
      <c r="S32" s="29"/>
      <c r="T32" s="29"/>
      <c r="U32" s="29"/>
      <c r="V32" s="29"/>
      <c r="W32" s="29"/>
      <c r="X32" s="29"/>
      <c r="Y32" s="29"/>
      <c r="Z32" s="25"/>
    </row>
    <row r="33" spans="1:26" ht="18" customHeight="1" x14ac:dyDescent="0.15">
      <c r="A33" s="212" t="s">
        <v>91</v>
      </c>
      <c r="B33" s="212"/>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row>
    <row r="34" spans="1:26" ht="18" customHeight="1" x14ac:dyDescent="0.15">
      <c r="A34" s="212"/>
      <c r="B34" s="212"/>
      <c r="C34" s="212"/>
      <c r="D34" s="212"/>
      <c r="E34" s="212"/>
      <c r="F34" s="212"/>
      <c r="G34" s="212"/>
      <c r="H34" s="212"/>
      <c r="I34" s="212"/>
      <c r="J34" s="212"/>
      <c r="K34" s="212"/>
      <c r="L34" s="212"/>
      <c r="M34" s="212"/>
      <c r="N34" s="212"/>
      <c r="O34" s="212"/>
      <c r="P34" s="212"/>
      <c r="Q34" s="212"/>
      <c r="R34" s="212"/>
      <c r="S34" s="212"/>
      <c r="T34" s="212"/>
      <c r="U34" s="212"/>
      <c r="V34" s="212"/>
      <c r="W34" s="212"/>
      <c r="X34" s="212"/>
      <c r="Y34" s="212"/>
      <c r="Z34" s="212"/>
    </row>
    <row r="35" spans="1:26" ht="18" customHeight="1" x14ac:dyDescent="0.15">
      <c r="A35" s="14"/>
      <c r="B35" s="136" t="s">
        <v>76</v>
      </c>
      <c r="C35" s="138"/>
      <c r="D35" s="138"/>
      <c r="E35" s="138"/>
      <c r="F35" s="137"/>
      <c r="G35" s="26" t="s">
        <v>77</v>
      </c>
      <c r="H35" s="99" t="s">
        <v>78</v>
      </c>
      <c r="I35" s="136" t="s">
        <v>79</v>
      </c>
      <c r="J35" s="138"/>
      <c r="K35" s="137"/>
      <c r="L35" s="65" t="s">
        <v>92</v>
      </c>
      <c r="M35" s="65" t="s">
        <v>93</v>
      </c>
      <c r="N35" s="136" t="s">
        <v>76</v>
      </c>
      <c r="O35" s="138"/>
      <c r="P35" s="138"/>
      <c r="Q35" s="138"/>
      <c r="R35" s="138"/>
      <c r="S35" s="137"/>
      <c r="T35" s="26" t="s">
        <v>77</v>
      </c>
      <c r="U35" s="99" t="s">
        <v>78</v>
      </c>
      <c r="V35" s="136" t="s">
        <v>79</v>
      </c>
      <c r="W35" s="138"/>
      <c r="X35" s="137"/>
      <c r="Y35" s="65" t="s">
        <v>92</v>
      </c>
      <c r="Z35" s="65" t="s">
        <v>93</v>
      </c>
    </row>
    <row r="36" spans="1:26" ht="18" customHeight="1" x14ac:dyDescent="0.15">
      <c r="A36" s="25"/>
      <c r="B36" s="216" t="s">
        <v>120</v>
      </c>
      <c r="C36" s="217"/>
      <c r="D36" s="217"/>
      <c r="E36" s="217"/>
      <c r="F36" s="218"/>
      <c r="G36" s="100">
        <v>2</v>
      </c>
      <c r="H36" s="100" t="s">
        <v>83</v>
      </c>
      <c r="I36" s="209" t="s">
        <v>84</v>
      </c>
      <c r="J36" s="210"/>
      <c r="K36" s="211"/>
      <c r="L36" s="100" t="s">
        <v>83</v>
      </c>
      <c r="M36" s="100" t="s">
        <v>83</v>
      </c>
      <c r="N36" s="200"/>
      <c r="O36" s="201"/>
      <c r="P36" s="201"/>
      <c r="Q36" s="201"/>
      <c r="R36" s="201"/>
      <c r="S36" s="202"/>
      <c r="T36" s="100"/>
      <c r="U36" s="100"/>
      <c r="V36" s="209"/>
      <c r="W36" s="210"/>
      <c r="X36" s="211"/>
      <c r="Y36" s="100"/>
      <c r="Z36" s="100"/>
    </row>
    <row r="37" spans="1:26" ht="18" customHeight="1" x14ac:dyDescent="0.15">
      <c r="A37" s="25"/>
      <c r="B37" s="213" t="s">
        <v>121</v>
      </c>
      <c r="C37" s="214"/>
      <c r="D37" s="214"/>
      <c r="E37" s="214"/>
      <c r="F37" s="215"/>
      <c r="G37" s="101">
        <v>2</v>
      </c>
      <c r="H37" s="101" t="s">
        <v>83</v>
      </c>
      <c r="I37" s="159" t="s">
        <v>84</v>
      </c>
      <c r="J37" s="160"/>
      <c r="K37" s="161"/>
      <c r="L37" s="101" t="s">
        <v>83</v>
      </c>
      <c r="M37" s="101" t="s">
        <v>83</v>
      </c>
      <c r="N37" s="156"/>
      <c r="O37" s="157"/>
      <c r="P37" s="157"/>
      <c r="Q37" s="157"/>
      <c r="R37" s="157"/>
      <c r="S37" s="158"/>
      <c r="T37" s="101"/>
      <c r="U37" s="101"/>
      <c r="V37" s="159"/>
      <c r="W37" s="160"/>
      <c r="X37" s="161"/>
      <c r="Y37" s="101"/>
      <c r="Z37" s="101"/>
    </row>
    <row r="38" spans="1:26" ht="18" customHeight="1" x14ac:dyDescent="0.15">
      <c r="A38" s="25"/>
      <c r="B38" s="213" t="s">
        <v>122</v>
      </c>
      <c r="C38" s="214"/>
      <c r="D38" s="214"/>
      <c r="E38" s="214"/>
      <c r="F38" s="215"/>
      <c r="G38" s="101">
        <v>2</v>
      </c>
      <c r="H38" s="101" t="s">
        <v>83</v>
      </c>
      <c r="I38" s="159" t="s">
        <v>84</v>
      </c>
      <c r="J38" s="160"/>
      <c r="K38" s="161"/>
      <c r="L38" s="101" t="s">
        <v>83</v>
      </c>
      <c r="M38" s="101" t="s">
        <v>83</v>
      </c>
      <c r="N38" s="156"/>
      <c r="O38" s="157"/>
      <c r="P38" s="157"/>
      <c r="Q38" s="157"/>
      <c r="R38" s="157"/>
      <c r="S38" s="158"/>
      <c r="T38" s="101"/>
      <c r="U38" s="101"/>
      <c r="V38" s="159"/>
      <c r="W38" s="160"/>
      <c r="X38" s="161"/>
      <c r="Y38" s="101"/>
      <c r="Z38" s="101"/>
    </row>
    <row r="39" spans="1:26" ht="18" customHeight="1" x14ac:dyDescent="0.15">
      <c r="A39" s="25"/>
      <c r="B39" s="213"/>
      <c r="C39" s="214"/>
      <c r="D39" s="214"/>
      <c r="E39" s="214"/>
      <c r="F39" s="215"/>
      <c r="G39" s="101"/>
      <c r="H39" s="101"/>
      <c r="I39" s="159"/>
      <c r="J39" s="160"/>
      <c r="K39" s="161"/>
      <c r="L39" s="101"/>
      <c r="M39" s="101"/>
      <c r="N39" s="156"/>
      <c r="O39" s="157"/>
      <c r="P39" s="157"/>
      <c r="Q39" s="157"/>
      <c r="R39" s="157"/>
      <c r="S39" s="158"/>
      <c r="T39" s="101"/>
      <c r="U39" s="101"/>
      <c r="V39" s="159"/>
      <c r="W39" s="160"/>
      <c r="X39" s="161"/>
      <c r="Y39" s="101"/>
      <c r="Z39" s="101"/>
    </row>
    <row r="40" spans="1:26" ht="18" customHeight="1" x14ac:dyDescent="0.15">
      <c r="A40" s="25"/>
      <c r="B40" s="213"/>
      <c r="C40" s="214"/>
      <c r="D40" s="214"/>
      <c r="E40" s="214"/>
      <c r="F40" s="215"/>
      <c r="G40" s="101"/>
      <c r="H40" s="101"/>
      <c r="I40" s="159"/>
      <c r="J40" s="160"/>
      <c r="K40" s="161"/>
      <c r="L40" s="101"/>
      <c r="M40" s="101"/>
      <c r="N40" s="156"/>
      <c r="O40" s="157"/>
      <c r="P40" s="157"/>
      <c r="Q40" s="157"/>
      <c r="R40" s="157"/>
      <c r="S40" s="158"/>
      <c r="T40" s="101"/>
      <c r="U40" s="101"/>
      <c r="V40" s="159"/>
      <c r="W40" s="160"/>
      <c r="X40" s="161"/>
      <c r="Y40" s="101"/>
      <c r="Z40" s="101"/>
    </row>
    <row r="41" spans="1:26" ht="18" customHeight="1" x14ac:dyDescent="0.15">
      <c r="A41" s="25"/>
      <c r="B41" s="144"/>
      <c r="C41" s="145"/>
      <c r="D41" s="145"/>
      <c r="E41" s="145"/>
      <c r="F41" s="146"/>
      <c r="G41" s="102"/>
      <c r="H41" s="102"/>
      <c r="I41" s="147"/>
      <c r="J41" s="148"/>
      <c r="K41" s="149"/>
      <c r="L41" s="107"/>
      <c r="M41" s="107"/>
      <c r="N41" s="150"/>
      <c r="O41" s="151"/>
      <c r="P41" s="151"/>
      <c r="Q41" s="151"/>
      <c r="R41" s="151"/>
      <c r="S41" s="152"/>
      <c r="T41" s="102"/>
      <c r="U41" s="102"/>
      <c r="V41" s="147"/>
      <c r="W41" s="148"/>
      <c r="X41" s="149"/>
      <c r="Y41" s="107"/>
      <c r="Z41" s="107"/>
    </row>
    <row r="42" spans="1:26" ht="24.95" customHeight="1" x14ac:dyDescent="0.15">
      <c r="B42" s="66"/>
      <c r="C42" s="66"/>
      <c r="D42" s="66"/>
      <c r="E42" s="66"/>
      <c r="F42" s="66"/>
      <c r="G42" s="66"/>
      <c r="H42" s="66"/>
      <c r="I42" s="66"/>
      <c r="J42" s="66"/>
      <c r="K42" s="66"/>
      <c r="L42" s="66"/>
      <c r="M42" s="66"/>
      <c r="N42" s="66"/>
      <c r="O42" s="66"/>
      <c r="P42" s="66"/>
      <c r="Q42" s="66"/>
      <c r="R42" s="66"/>
      <c r="S42" s="66"/>
      <c r="T42" s="66"/>
      <c r="U42" s="66"/>
      <c r="V42" s="66"/>
      <c r="W42" s="66"/>
      <c r="X42" s="66"/>
      <c r="Y42" s="66"/>
    </row>
    <row r="43" spans="1:26" ht="18" customHeight="1" x14ac:dyDescent="0.15">
      <c r="A43" s="212" t="s">
        <v>94</v>
      </c>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row>
    <row r="44" spans="1:26" ht="18" customHeight="1" x14ac:dyDescent="0.15">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row>
    <row r="45" spans="1:26" ht="18" customHeight="1" x14ac:dyDescent="0.15">
      <c r="A45" s="14"/>
      <c r="B45" s="136" t="s">
        <v>76</v>
      </c>
      <c r="C45" s="138"/>
      <c r="D45" s="138"/>
      <c r="E45" s="138"/>
      <c r="F45" s="137"/>
      <c r="G45" s="26" t="s">
        <v>77</v>
      </c>
      <c r="H45" s="99" t="s">
        <v>78</v>
      </c>
      <c r="I45" s="136" t="s">
        <v>79</v>
      </c>
      <c r="J45" s="138"/>
      <c r="K45" s="137"/>
      <c r="L45" s="65" t="s">
        <v>95</v>
      </c>
      <c r="M45" s="65" t="s">
        <v>96</v>
      </c>
      <c r="N45" s="136" t="s">
        <v>76</v>
      </c>
      <c r="O45" s="138"/>
      <c r="P45" s="138"/>
      <c r="Q45" s="138"/>
      <c r="R45" s="138"/>
      <c r="S45" s="137"/>
      <c r="T45" s="26" t="s">
        <v>77</v>
      </c>
      <c r="U45" s="99" t="s">
        <v>78</v>
      </c>
      <c r="V45" s="136" t="s">
        <v>79</v>
      </c>
      <c r="W45" s="138"/>
      <c r="X45" s="137"/>
      <c r="Y45" s="65" t="s">
        <v>95</v>
      </c>
      <c r="Z45" s="65" t="s">
        <v>96</v>
      </c>
    </row>
    <row r="46" spans="1:26" ht="18" customHeight="1" x14ac:dyDescent="0.15">
      <c r="A46" s="25"/>
      <c r="B46" s="216" t="s">
        <v>120</v>
      </c>
      <c r="C46" s="217"/>
      <c r="D46" s="217"/>
      <c r="E46" s="217"/>
      <c r="F46" s="218"/>
      <c r="G46" s="100">
        <v>2</v>
      </c>
      <c r="H46" s="100" t="s">
        <v>83</v>
      </c>
      <c r="I46" s="209" t="s">
        <v>84</v>
      </c>
      <c r="J46" s="210"/>
      <c r="K46" s="211"/>
      <c r="L46" s="100" t="s">
        <v>83</v>
      </c>
      <c r="M46" s="100" t="s">
        <v>83</v>
      </c>
      <c r="N46" s="200"/>
      <c r="O46" s="201"/>
      <c r="P46" s="201"/>
      <c r="Q46" s="201"/>
      <c r="R46" s="201"/>
      <c r="S46" s="202"/>
      <c r="T46" s="100"/>
      <c r="U46" s="100"/>
      <c r="V46" s="209"/>
      <c r="W46" s="210"/>
      <c r="X46" s="211"/>
      <c r="Y46" s="100"/>
      <c r="Z46" s="100"/>
    </row>
    <row r="47" spans="1:26" ht="18" customHeight="1" x14ac:dyDescent="0.15">
      <c r="A47" s="25"/>
      <c r="B47" s="213" t="s">
        <v>121</v>
      </c>
      <c r="C47" s="214"/>
      <c r="D47" s="214"/>
      <c r="E47" s="214"/>
      <c r="F47" s="215"/>
      <c r="G47" s="101">
        <v>2</v>
      </c>
      <c r="H47" s="101" t="s">
        <v>83</v>
      </c>
      <c r="I47" s="159" t="s">
        <v>84</v>
      </c>
      <c r="J47" s="160"/>
      <c r="K47" s="161"/>
      <c r="L47" s="101" t="s">
        <v>83</v>
      </c>
      <c r="M47" s="101" t="s">
        <v>83</v>
      </c>
      <c r="N47" s="156"/>
      <c r="O47" s="157"/>
      <c r="P47" s="157"/>
      <c r="Q47" s="157"/>
      <c r="R47" s="157"/>
      <c r="S47" s="158"/>
      <c r="T47" s="101"/>
      <c r="U47" s="101"/>
      <c r="V47" s="159"/>
      <c r="W47" s="160"/>
      <c r="X47" s="161"/>
      <c r="Y47" s="101"/>
      <c r="Z47" s="101"/>
    </row>
    <row r="48" spans="1:26" ht="18" customHeight="1" x14ac:dyDescent="0.15">
      <c r="A48" s="25"/>
      <c r="B48" s="213" t="s">
        <v>122</v>
      </c>
      <c r="C48" s="214"/>
      <c r="D48" s="214"/>
      <c r="E48" s="214"/>
      <c r="F48" s="215"/>
      <c r="G48" s="101">
        <v>2</v>
      </c>
      <c r="H48" s="101" t="s">
        <v>83</v>
      </c>
      <c r="I48" s="159" t="s">
        <v>84</v>
      </c>
      <c r="J48" s="160"/>
      <c r="K48" s="161"/>
      <c r="L48" s="101"/>
      <c r="M48" s="101"/>
      <c r="N48" s="156"/>
      <c r="O48" s="157"/>
      <c r="P48" s="157"/>
      <c r="Q48" s="157"/>
      <c r="R48" s="157"/>
      <c r="S48" s="158"/>
      <c r="T48" s="101"/>
      <c r="U48" s="101"/>
      <c r="V48" s="159"/>
      <c r="W48" s="160"/>
      <c r="X48" s="161"/>
      <c r="Y48" s="101"/>
      <c r="Z48" s="101"/>
    </row>
    <row r="49" spans="1:26" ht="18" customHeight="1" x14ac:dyDescent="0.15">
      <c r="A49" s="25"/>
      <c r="B49" s="213"/>
      <c r="C49" s="214"/>
      <c r="D49" s="214"/>
      <c r="E49" s="214"/>
      <c r="F49" s="215"/>
      <c r="G49" s="101"/>
      <c r="H49" s="101"/>
      <c r="I49" s="159"/>
      <c r="J49" s="160"/>
      <c r="K49" s="161"/>
      <c r="L49" s="101"/>
      <c r="M49" s="101"/>
      <c r="N49" s="156"/>
      <c r="O49" s="157"/>
      <c r="P49" s="157"/>
      <c r="Q49" s="157"/>
      <c r="R49" s="157"/>
      <c r="S49" s="158"/>
      <c r="T49" s="101"/>
      <c r="U49" s="101"/>
      <c r="V49" s="159"/>
      <c r="W49" s="160"/>
      <c r="X49" s="161"/>
      <c r="Y49" s="101"/>
      <c r="Z49" s="101"/>
    </row>
    <row r="50" spans="1:26" ht="18" customHeight="1" x14ac:dyDescent="0.15">
      <c r="A50" s="25"/>
      <c r="B50" s="213"/>
      <c r="C50" s="214"/>
      <c r="D50" s="214"/>
      <c r="E50" s="214"/>
      <c r="F50" s="215"/>
      <c r="G50" s="101"/>
      <c r="H50" s="101"/>
      <c r="I50" s="159"/>
      <c r="J50" s="160"/>
      <c r="K50" s="161"/>
      <c r="L50" s="101"/>
      <c r="M50" s="101"/>
      <c r="N50" s="156"/>
      <c r="O50" s="157"/>
      <c r="P50" s="157"/>
      <c r="Q50" s="157"/>
      <c r="R50" s="157"/>
      <c r="S50" s="158"/>
      <c r="T50" s="101"/>
      <c r="U50" s="101"/>
      <c r="V50" s="159"/>
      <c r="W50" s="160"/>
      <c r="X50" s="161"/>
      <c r="Y50" s="101"/>
      <c r="Z50" s="101"/>
    </row>
    <row r="51" spans="1:26" ht="18" customHeight="1" x14ac:dyDescent="0.15">
      <c r="A51" s="25"/>
      <c r="B51" s="144"/>
      <c r="C51" s="145"/>
      <c r="D51" s="145"/>
      <c r="E51" s="145"/>
      <c r="F51" s="146"/>
      <c r="G51" s="102"/>
      <c r="H51" s="102"/>
      <c r="I51" s="147"/>
      <c r="J51" s="148"/>
      <c r="K51" s="149"/>
      <c r="L51" s="107"/>
      <c r="M51" s="107"/>
      <c r="N51" s="150"/>
      <c r="O51" s="151"/>
      <c r="P51" s="151"/>
      <c r="Q51" s="151"/>
      <c r="R51" s="151"/>
      <c r="S51" s="152"/>
      <c r="T51" s="102"/>
      <c r="U51" s="102"/>
      <c r="V51" s="147"/>
      <c r="W51" s="148"/>
      <c r="X51" s="149"/>
      <c r="Y51" s="107"/>
      <c r="Z51" s="107"/>
    </row>
    <row r="52" spans="1:26" ht="7.5" customHeight="1" x14ac:dyDescent="0.15">
      <c r="B52" s="66"/>
      <c r="C52" s="66"/>
      <c r="D52" s="66"/>
      <c r="E52" s="66"/>
      <c r="F52" s="66"/>
      <c r="G52" s="66"/>
      <c r="H52" s="66"/>
      <c r="I52" s="66"/>
      <c r="J52" s="66"/>
      <c r="K52" s="66"/>
      <c r="L52" s="66"/>
      <c r="M52" s="66"/>
      <c r="N52" s="66"/>
      <c r="O52" s="66"/>
      <c r="P52" s="66"/>
      <c r="Q52" s="66"/>
      <c r="R52" s="66"/>
      <c r="S52" s="66"/>
      <c r="T52" s="66"/>
      <c r="U52" s="66"/>
      <c r="V52" s="66"/>
      <c r="W52" s="66"/>
      <c r="X52" s="66"/>
      <c r="Y52" s="66"/>
    </row>
    <row r="53" spans="1:26" ht="18" customHeight="1" x14ac:dyDescent="0.15">
      <c r="A53" s="212" t="s">
        <v>97</v>
      </c>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row>
    <row r="54" spans="1:26" ht="18" customHeight="1" x14ac:dyDescent="0.15">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row>
    <row r="55" spans="1:26" ht="18" customHeight="1" x14ac:dyDescent="0.15">
      <c r="A55" s="14"/>
      <c r="B55" s="136" t="s">
        <v>76</v>
      </c>
      <c r="C55" s="138"/>
      <c r="D55" s="138"/>
      <c r="E55" s="137"/>
      <c r="F55" s="26" t="s">
        <v>77</v>
      </c>
      <c r="G55" s="99" t="s">
        <v>78</v>
      </c>
      <c r="H55" s="22" t="s">
        <v>79</v>
      </c>
      <c r="I55" s="96"/>
      <c r="J55" s="23"/>
      <c r="K55" s="65" t="s">
        <v>98</v>
      </c>
      <c r="L55" s="65" t="s">
        <v>99</v>
      </c>
      <c r="M55" s="65" t="s">
        <v>100</v>
      </c>
      <c r="N55" s="136" t="s">
        <v>76</v>
      </c>
      <c r="O55" s="138"/>
      <c r="P55" s="138"/>
      <c r="Q55" s="138"/>
      <c r="R55" s="137"/>
      <c r="S55" s="26" t="s">
        <v>77</v>
      </c>
      <c r="T55" s="99" t="s">
        <v>78</v>
      </c>
      <c r="U55" s="22" t="s">
        <v>79</v>
      </c>
      <c r="V55" s="96"/>
      <c r="W55" s="23"/>
      <c r="X55" s="65" t="s">
        <v>98</v>
      </c>
      <c r="Y55" s="65" t="s">
        <v>99</v>
      </c>
      <c r="Z55" s="65" t="s">
        <v>100</v>
      </c>
    </row>
    <row r="56" spans="1:26" ht="18" customHeight="1" x14ac:dyDescent="0.15">
      <c r="A56" s="25"/>
      <c r="B56" s="200" t="s">
        <v>120</v>
      </c>
      <c r="C56" s="201"/>
      <c r="D56" s="201"/>
      <c r="E56" s="202"/>
      <c r="F56" s="100">
        <v>2</v>
      </c>
      <c r="G56" s="100" t="s">
        <v>83</v>
      </c>
      <c r="H56" s="209" t="s">
        <v>84</v>
      </c>
      <c r="I56" s="210"/>
      <c r="J56" s="211"/>
      <c r="K56" s="106"/>
      <c r="L56" s="100"/>
      <c r="M56" s="100"/>
      <c r="N56" s="200"/>
      <c r="O56" s="201"/>
      <c r="P56" s="201"/>
      <c r="Q56" s="201"/>
      <c r="R56" s="202"/>
      <c r="S56" s="100"/>
      <c r="T56" s="100"/>
      <c r="U56" s="209"/>
      <c r="V56" s="210"/>
      <c r="W56" s="211"/>
      <c r="X56" s="106"/>
      <c r="Y56" s="100"/>
      <c r="Z56" s="100"/>
    </row>
    <row r="57" spans="1:26" ht="18" customHeight="1" x14ac:dyDescent="0.15">
      <c r="A57" s="25"/>
      <c r="B57" s="156" t="s">
        <v>121</v>
      </c>
      <c r="C57" s="157"/>
      <c r="D57" s="157"/>
      <c r="E57" s="158"/>
      <c r="F57" s="101">
        <v>2</v>
      </c>
      <c r="G57" s="101" t="s">
        <v>83</v>
      </c>
      <c r="H57" s="159" t="s">
        <v>84</v>
      </c>
      <c r="I57" s="160"/>
      <c r="J57" s="161"/>
      <c r="K57" s="104"/>
      <c r="L57" s="101"/>
      <c r="M57" s="101"/>
      <c r="N57" s="156"/>
      <c r="O57" s="157"/>
      <c r="P57" s="157"/>
      <c r="Q57" s="157"/>
      <c r="R57" s="158"/>
      <c r="S57" s="101"/>
      <c r="T57" s="101"/>
      <c r="U57" s="159"/>
      <c r="V57" s="160"/>
      <c r="W57" s="161"/>
      <c r="X57" s="104"/>
      <c r="Y57" s="101"/>
      <c r="Z57" s="101"/>
    </row>
    <row r="58" spans="1:26" ht="18" customHeight="1" x14ac:dyDescent="0.15">
      <c r="A58" s="25"/>
      <c r="B58" s="156" t="s">
        <v>122</v>
      </c>
      <c r="C58" s="157"/>
      <c r="D58" s="157"/>
      <c r="E58" s="158"/>
      <c r="F58" s="101">
        <v>2</v>
      </c>
      <c r="G58" s="101" t="s">
        <v>83</v>
      </c>
      <c r="H58" s="159" t="s">
        <v>84</v>
      </c>
      <c r="I58" s="160"/>
      <c r="J58" s="161"/>
      <c r="K58" s="104" t="s">
        <v>101</v>
      </c>
      <c r="L58" s="101" t="s">
        <v>83</v>
      </c>
      <c r="M58" s="101" t="s">
        <v>83</v>
      </c>
      <c r="N58" s="156"/>
      <c r="O58" s="157"/>
      <c r="P58" s="157"/>
      <c r="Q58" s="157"/>
      <c r="R58" s="158"/>
      <c r="S58" s="101"/>
      <c r="T58" s="101"/>
      <c r="U58" s="159"/>
      <c r="V58" s="160"/>
      <c r="W58" s="161"/>
      <c r="X58" s="104"/>
      <c r="Y58" s="101"/>
      <c r="Z58" s="101"/>
    </row>
    <row r="59" spans="1:26" ht="18" customHeight="1" x14ac:dyDescent="0.15">
      <c r="A59" s="25"/>
      <c r="B59" s="156"/>
      <c r="C59" s="157"/>
      <c r="D59" s="157"/>
      <c r="E59" s="158"/>
      <c r="F59" s="101"/>
      <c r="G59" s="101"/>
      <c r="H59" s="159"/>
      <c r="I59" s="160"/>
      <c r="J59" s="161"/>
      <c r="K59" s="104"/>
      <c r="L59" s="101"/>
      <c r="M59" s="101"/>
      <c r="N59" s="156"/>
      <c r="O59" s="157"/>
      <c r="P59" s="157"/>
      <c r="Q59" s="157"/>
      <c r="R59" s="158"/>
      <c r="S59" s="101"/>
      <c r="T59" s="101"/>
      <c r="U59" s="159"/>
      <c r="V59" s="160"/>
      <c r="W59" s="161"/>
      <c r="X59" s="104"/>
      <c r="Y59" s="101"/>
      <c r="Z59" s="101"/>
    </row>
    <row r="60" spans="1:26" ht="18" customHeight="1" x14ac:dyDescent="0.15">
      <c r="A60" s="25"/>
      <c r="B60" s="156"/>
      <c r="C60" s="157"/>
      <c r="D60" s="157"/>
      <c r="E60" s="158"/>
      <c r="F60" s="101"/>
      <c r="G60" s="101"/>
      <c r="H60" s="159"/>
      <c r="I60" s="160"/>
      <c r="J60" s="161"/>
      <c r="K60" s="104"/>
      <c r="L60" s="101"/>
      <c r="M60" s="101"/>
      <c r="N60" s="156"/>
      <c r="O60" s="157"/>
      <c r="P60" s="157"/>
      <c r="Q60" s="157"/>
      <c r="R60" s="158"/>
      <c r="S60" s="101"/>
      <c r="T60" s="101"/>
      <c r="U60" s="159"/>
      <c r="V60" s="160"/>
      <c r="W60" s="161"/>
      <c r="X60" s="104"/>
      <c r="Y60" s="101"/>
      <c r="Z60" s="101"/>
    </row>
    <row r="61" spans="1:26" ht="18" customHeight="1" x14ac:dyDescent="0.15">
      <c r="A61" s="25"/>
      <c r="B61" s="156"/>
      <c r="C61" s="157"/>
      <c r="D61" s="157"/>
      <c r="E61" s="158"/>
      <c r="F61" s="101"/>
      <c r="G61" s="101"/>
      <c r="H61" s="159"/>
      <c r="I61" s="160"/>
      <c r="J61" s="161"/>
      <c r="K61" s="104"/>
      <c r="L61" s="101"/>
      <c r="M61" s="101"/>
      <c r="N61" s="156"/>
      <c r="O61" s="157"/>
      <c r="P61" s="157"/>
      <c r="Q61" s="157"/>
      <c r="R61" s="158"/>
      <c r="S61" s="101"/>
      <c r="T61" s="101"/>
      <c r="U61" s="159"/>
      <c r="V61" s="160"/>
      <c r="W61" s="161"/>
      <c r="X61" s="104"/>
      <c r="Y61" s="101"/>
      <c r="Z61" s="101"/>
    </row>
    <row r="62" spans="1:26" ht="18" customHeight="1" x14ac:dyDescent="0.15">
      <c r="A62" s="25"/>
      <c r="B62" s="150"/>
      <c r="C62" s="151"/>
      <c r="D62" s="151"/>
      <c r="E62" s="152"/>
      <c r="F62" s="102"/>
      <c r="G62" s="102"/>
      <c r="H62" s="147"/>
      <c r="I62" s="148"/>
      <c r="J62" s="149"/>
      <c r="K62" s="105"/>
      <c r="L62" s="107"/>
      <c r="M62" s="107"/>
      <c r="N62" s="150"/>
      <c r="O62" s="151"/>
      <c r="P62" s="151"/>
      <c r="Q62" s="151"/>
      <c r="R62" s="152"/>
      <c r="S62" s="102"/>
      <c r="T62" s="102"/>
      <c r="U62" s="147"/>
      <c r="V62" s="148"/>
      <c r="W62" s="149"/>
      <c r="X62" s="105"/>
      <c r="Y62" s="107"/>
      <c r="Z62" s="107"/>
    </row>
    <row r="63" spans="1:26" ht="7.5" customHeight="1" x14ac:dyDescent="0.15">
      <c r="B63" s="66"/>
      <c r="C63" s="66"/>
      <c r="D63" s="66"/>
      <c r="E63" s="66"/>
      <c r="F63" s="66"/>
      <c r="G63" s="66"/>
      <c r="H63" s="66"/>
      <c r="I63" s="66"/>
      <c r="J63" s="66"/>
      <c r="K63" s="66"/>
      <c r="L63" s="66"/>
      <c r="M63" s="66"/>
      <c r="N63" s="66"/>
      <c r="O63" s="66"/>
      <c r="P63" s="66"/>
      <c r="Q63" s="66"/>
      <c r="R63" s="66"/>
      <c r="S63" s="66"/>
      <c r="T63" s="66"/>
      <c r="U63" s="66"/>
      <c r="V63" s="66"/>
      <c r="W63" s="66"/>
      <c r="X63" s="66"/>
      <c r="Y63" s="66"/>
    </row>
    <row r="64" spans="1:26" ht="18" customHeight="1" x14ac:dyDescent="0.15">
      <c r="A64" s="14" t="s">
        <v>102</v>
      </c>
      <c r="B64" s="14"/>
      <c r="C64" s="14"/>
      <c r="D64" s="14"/>
      <c r="E64" s="14"/>
      <c r="F64" s="14"/>
      <c r="G64" s="14"/>
      <c r="H64" s="14"/>
      <c r="I64" s="14"/>
      <c r="J64" s="14"/>
      <c r="K64" s="14"/>
      <c r="L64" s="25"/>
      <c r="M64" s="25"/>
      <c r="N64" s="25"/>
      <c r="O64" s="25"/>
      <c r="P64" s="25"/>
      <c r="Q64" s="25"/>
      <c r="R64" s="25"/>
      <c r="S64" s="25"/>
      <c r="T64" s="25"/>
      <c r="U64" s="25"/>
      <c r="V64" s="25"/>
      <c r="W64" s="25"/>
      <c r="X64" s="25"/>
      <c r="Y64" s="25"/>
      <c r="Z64" s="25"/>
    </row>
    <row r="65" spans="1:26" ht="18" customHeight="1" x14ac:dyDescent="0.15">
      <c r="A65" s="14"/>
      <c r="B65" s="136" t="s">
        <v>76</v>
      </c>
      <c r="C65" s="138"/>
      <c r="D65" s="138"/>
      <c r="E65" s="138"/>
      <c r="F65" s="137"/>
      <c r="G65" s="136" t="s">
        <v>103</v>
      </c>
      <c r="H65" s="138"/>
      <c r="I65" s="138"/>
      <c r="J65" s="138"/>
      <c r="K65" s="138"/>
      <c r="L65" s="138"/>
      <c r="M65" s="137"/>
      <c r="N65" s="153" t="s">
        <v>76</v>
      </c>
      <c r="O65" s="154"/>
      <c r="P65" s="154"/>
      <c r="Q65" s="154"/>
      <c r="R65" s="154"/>
      <c r="S65" s="155"/>
      <c r="T65" s="136" t="s">
        <v>103</v>
      </c>
      <c r="U65" s="138"/>
      <c r="V65" s="138"/>
      <c r="W65" s="138"/>
      <c r="X65" s="138"/>
      <c r="Y65" s="138"/>
      <c r="Z65" s="137"/>
    </row>
    <row r="66" spans="1:26" ht="18" customHeight="1" x14ac:dyDescent="0.15">
      <c r="A66" s="25"/>
      <c r="B66" s="200" t="s">
        <v>221</v>
      </c>
      <c r="C66" s="201"/>
      <c r="D66" s="201"/>
      <c r="E66" s="201"/>
      <c r="F66" s="202"/>
      <c r="G66" s="203" t="s">
        <v>104</v>
      </c>
      <c r="H66" s="204"/>
      <c r="I66" s="204"/>
      <c r="J66" s="204"/>
      <c r="K66" s="204"/>
      <c r="L66" s="204"/>
      <c r="M66" s="205"/>
      <c r="N66" s="200"/>
      <c r="O66" s="201"/>
      <c r="P66" s="201"/>
      <c r="Q66" s="201"/>
      <c r="R66" s="201"/>
      <c r="S66" s="202"/>
      <c r="T66" s="203"/>
      <c r="U66" s="204"/>
      <c r="V66" s="204"/>
      <c r="W66" s="204"/>
      <c r="X66" s="204"/>
      <c r="Y66" s="204"/>
      <c r="Z66" s="205"/>
    </row>
    <row r="67" spans="1:26" ht="18" customHeight="1" x14ac:dyDescent="0.15">
      <c r="A67" s="25"/>
      <c r="B67" s="156"/>
      <c r="C67" s="157"/>
      <c r="D67" s="157"/>
      <c r="E67" s="157"/>
      <c r="F67" s="158"/>
      <c r="G67" s="176"/>
      <c r="H67" s="177"/>
      <c r="I67" s="177"/>
      <c r="J67" s="177"/>
      <c r="K67" s="177"/>
      <c r="L67" s="177"/>
      <c r="M67" s="178"/>
      <c r="N67" s="156"/>
      <c r="O67" s="157"/>
      <c r="P67" s="157"/>
      <c r="Q67" s="157"/>
      <c r="R67" s="157"/>
      <c r="S67" s="158"/>
      <c r="T67" s="176"/>
      <c r="U67" s="177"/>
      <c r="V67" s="177"/>
      <c r="W67" s="177"/>
      <c r="X67" s="177"/>
      <c r="Y67" s="177"/>
      <c r="Z67" s="178"/>
    </row>
    <row r="68" spans="1:26" ht="18" customHeight="1" x14ac:dyDescent="0.15">
      <c r="A68" s="25"/>
      <c r="B68" s="156"/>
      <c r="C68" s="157"/>
      <c r="D68" s="157"/>
      <c r="E68" s="157"/>
      <c r="F68" s="158"/>
      <c r="G68" s="176"/>
      <c r="H68" s="177"/>
      <c r="I68" s="177"/>
      <c r="J68" s="177"/>
      <c r="K68" s="177"/>
      <c r="L68" s="177"/>
      <c r="M68" s="178"/>
      <c r="N68" s="156"/>
      <c r="O68" s="157"/>
      <c r="P68" s="157"/>
      <c r="Q68" s="157"/>
      <c r="R68" s="157"/>
      <c r="S68" s="158"/>
      <c r="T68" s="176"/>
      <c r="U68" s="177"/>
      <c r="V68" s="177"/>
      <c r="W68" s="177"/>
      <c r="X68" s="177"/>
      <c r="Y68" s="177"/>
      <c r="Z68" s="178"/>
    </row>
    <row r="69" spans="1:26" ht="18" customHeight="1" x14ac:dyDescent="0.15">
      <c r="A69" s="25"/>
      <c r="B69" s="156"/>
      <c r="C69" s="157"/>
      <c r="D69" s="157"/>
      <c r="E69" s="157"/>
      <c r="F69" s="158"/>
      <c r="G69" s="176"/>
      <c r="H69" s="177"/>
      <c r="I69" s="177"/>
      <c r="J69" s="177"/>
      <c r="K69" s="177"/>
      <c r="L69" s="177"/>
      <c r="M69" s="178"/>
      <c r="N69" s="156"/>
      <c r="O69" s="157"/>
      <c r="P69" s="157"/>
      <c r="Q69" s="157"/>
      <c r="R69" s="157"/>
      <c r="S69" s="158"/>
      <c r="T69" s="176"/>
      <c r="U69" s="177"/>
      <c r="V69" s="177"/>
      <c r="W69" s="177"/>
      <c r="X69" s="177"/>
      <c r="Y69" s="177"/>
      <c r="Z69" s="178"/>
    </row>
    <row r="70" spans="1:26" ht="18" customHeight="1" x14ac:dyDescent="0.15">
      <c r="A70" s="25"/>
      <c r="B70" s="150"/>
      <c r="C70" s="151"/>
      <c r="D70" s="151"/>
      <c r="E70" s="151"/>
      <c r="F70" s="152"/>
      <c r="G70" s="206"/>
      <c r="H70" s="207"/>
      <c r="I70" s="207"/>
      <c r="J70" s="207"/>
      <c r="K70" s="207"/>
      <c r="L70" s="207"/>
      <c r="M70" s="208"/>
      <c r="N70" s="150"/>
      <c r="O70" s="151"/>
      <c r="P70" s="151"/>
      <c r="Q70" s="151"/>
      <c r="R70" s="151"/>
      <c r="S70" s="152"/>
      <c r="T70" s="206"/>
      <c r="U70" s="207"/>
      <c r="V70" s="207"/>
      <c r="W70" s="207"/>
      <c r="X70" s="207"/>
      <c r="Y70" s="207"/>
      <c r="Z70" s="208"/>
    </row>
    <row r="71" spans="1:26" ht="18" customHeight="1" x14ac:dyDescent="0.15">
      <c r="A71" s="25"/>
      <c r="B71" s="29"/>
      <c r="C71" s="29"/>
      <c r="D71" s="29"/>
      <c r="E71" s="29"/>
      <c r="F71" s="29"/>
      <c r="G71" s="12"/>
      <c r="H71" s="12"/>
      <c r="I71" s="12"/>
      <c r="J71" s="12"/>
      <c r="K71" s="12"/>
      <c r="L71" s="12"/>
      <c r="M71" s="12"/>
      <c r="N71" s="29"/>
      <c r="O71" s="29"/>
      <c r="P71" s="29"/>
      <c r="Q71" s="29"/>
      <c r="R71" s="29"/>
      <c r="S71" s="29"/>
      <c r="T71" s="12"/>
      <c r="U71" s="12"/>
      <c r="V71" s="12"/>
      <c r="W71" s="12"/>
      <c r="X71" s="12"/>
      <c r="Y71" s="12"/>
      <c r="Z71" s="12"/>
    </row>
    <row r="72" spans="1:26" ht="18.75" customHeight="1" x14ac:dyDescent="0.15">
      <c r="A72" s="13" t="s">
        <v>105</v>
      </c>
    </row>
    <row r="73" spans="1:26" ht="18.75" customHeight="1" x14ac:dyDescent="0.15">
      <c r="B73" s="67" t="s">
        <v>106</v>
      </c>
      <c r="C73" s="68"/>
      <c r="D73" s="168" t="s">
        <v>107</v>
      </c>
      <c r="E73" s="168"/>
      <c r="F73" s="168"/>
      <c r="G73" s="168"/>
      <c r="H73" s="168"/>
      <c r="I73" s="168"/>
      <c r="J73" s="168"/>
      <c r="K73" s="168"/>
      <c r="L73" s="168"/>
      <c r="M73" s="168"/>
      <c r="N73" s="168"/>
      <c r="O73" s="168"/>
      <c r="P73" s="168"/>
      <c r="Q73" s="168"/>
      <c r="R73" s="168"/>
      <c r="S73" s="168"/>
      <c r="T73" s="168"/>
      <c r="U73" s="168"/>
      <c r="V73" s="168"/>
      <c r="W73" s="168"/>
      <c r="X73" s="168"/>
      <c r="Y73" s="168"/>
      <c r="Z73" s="169"/>
    </row>
    <row r="74" spans="1:26" ht="78" customHeight="1" x14ac:dyDescent="0.15">
      <c r="B74" s="170" t="s">
        <v>108</v>
      </c>
      <c r="C74" s="74" t="s">
        <v>80</v>
      </c>
      <c r="D74" s="172" t="s">
        <v>200</v>
      </c>
      <c r="E74" s="172"/>
      <c r="F74" s="172"/>
      <c r="G74" s="172"/>
      <c r="H74" s="172"/>
      <c r="I74" s="172"/>
      <c r="J74" s="172"/>
      <c r="K74" s="172"/>
      <c r="L74" s="172"/>
      <c r="M74" s="172"/>
      <c r="N74" s="172"/>
      <c r="O74" s="172"/>
      <c r="P74" s="172"/>
      <c r="Q74" s="172"/>
      <c r="R74" s="172"/>
      <c r="S74" s="172"/>
      <c r="T74" s="172"/>
      <c r="U74" s="172"/>
      <c r="V74" s="172"/>
      <c r="W74" s="172"/>
      <c r="X74" s="172"/>
      <c r="Y74" s="172"/>
      <c r="Z74" s="173"/>
    </row>
    <row r="75" spans="1:26" ht="78" customHeight="1" x14ac:dyDescent="0.15">
      <c r="B75" s="171"/>
      <c r="C75" s="97" t="s">
        <v>109</v>
      </c>
      <c r="D75" s="174" t="s">
        <v>201</v>
      </c>
      <c r="E75" s="174"/>
      <c r="F75" s="174"/>
      <c r="G75" s="174"/>
      <c r="H75" s="174"/>
      <c r="I75" s="174"/>
      <c r="J75" s="174"/>
      <c r="K75" s="174"/>
      <c r="L75" s="174"/>
      <c r="M75" s="174"/>
      <c r="N75" s="174"/>
      <c r="O75" s="174"/>
      <c r="P75" s="174"/>
      <c r="Q75" s="174"/>
      <c r="R75" s="174"/>
      <c r="S75" s="174"/>
      <c r="T75" s="174"/>
      <c r="U75" s="174"/>
      <c r="V75" s="174"/>
      <c r="W75" s="174"/>
      <c r="X75" s="174"/>
      <c r="Y75" s="174"/>
      <c r="Z75" s="175"/>
    </row>
    <row r="76" spans="1:26" ht="78" customHeight="1" x14ac:dyDescent="0.15">
      <c r="B76" s="162" t="s">
        <v>110</v>
      </c>
      <c r="C76" s="69" t="s">
        <v>88</v>
      </c>
      <c r="D76" s="164" t="s">
        <v>202</v>
      </c>
      <c r="E76" s="164"/>
      <c r="F76" s="164"/>
      <c r="G76" s="164"/>
      <c r="H76" s="164"/>
      <c r="I76" s="164"/>
      <c r="J76" s="164"/>
      <c r="K76" s="164"/>
      <c r="L76" s="164"/>
      <c r="M76" s="164"/>
      <c r="N76" s="164"/>
      <c r="O76" s="164"/>
      <c r="P76" s="164"/>
      <c r="Q76" s="164"/>
      <c r="R76" s="164"/>
      <c r="S76" s="164"/>
      <c r="T76" s="164"/>
      <c r="U76" s="164"/>
      <c r="V76" s="164"/>
      <c r="W76" s="164"/>
      <c r="X76" s="164"/>
      <c r="Y76" s="164"/>
      <c r="Z76" s="165"/>
    </row>
    <row r="77" spans="1:26" ht="78" customHeight="1" x14ac:dyDescent="0.15">
      <c r="B77" s="163"/>
      <c r="C77" s="98" t="s">
        <v>89</v>
      </c>
      <c r="D77" s="179" t="s">
        <v>202</v>
      </c>
      <c r="E77" s="179"/>
      <c r="F77" s="179"/>
      <c r="G77" s="179"/>
      <c r="H77" s="179"/>
      <c r="I77" s="179"/>
      <c r="J77" s="179"/>
      <c r="K77" s="179"/>
      <c r="L77" s="179"/>
      <c r="M77" s="179"/>
      <c r="N77" s="179"/>
      <c r="O77" s="179"/>
      <c r="P77" s="179"/>
      <c r="Q77" s="179"/>
      <c r="R77" s="179"/>
      <c r="S77" s="179"/>
      <c r="T77" s="179"/>
      <c r="U77" s="179"/>
      <c r="V77" s="179"/>
      <c r="W77" s="179"/>
      <c r="X77" s="179"/>
      <c r="Y77" s="179"/>
      <c r="Z77" s="180"/>
    </row>
    <row r="78" spans="1:26" ht="66" customHeight="1" x14ac:dyDescent="0.15">
      <c r="B78" s="162" t="s">
        <v>111</v>
      </c>
      <c r="C78" s="69" t="s">
        <v>92</v>
      </c>
      <c r="D78" s="164" t="s">
        <v>203</v>
      </c>
      <c r="E78" s="164"/>
      <c r="F78" s="164"/>
      <c r="G78" s="164"/>
      <c r="H78" s="164"/>
      <c r="I78" s="164"/>
      <c r="J78" s="164"/>
      <c r="K78" s="164"/>
      <c r="L78" s="164"/>
      <c r="M78" s="164"/>
      <c r="N78" s="164"/>
      <c r="O78" s="164"/>
      <c r="P78" s="164"/>
      <c r="Q78" s="164"/>
      <c r="R78" s="164"/>
      <c r="S78" s="164"/>
      <c r="T78" s="164"/>
      <c r="U78" s="164"/>
      <c r="V78" s="164"/>
      <c r="W78" s="164"/>
      <c r="X78" s="164"/>
      <c r="Y78" s="164"/>
      <c r="Z78" s="165"/>
    </row>
    <row r="79" spans="1:26" ht="66" customHeight="1" x14ac:dyDescent="0.15">
      <c r="B79" s="163"/>
      <c r="C79" s="71" t="s">
        <v>93</v>
      </c>
      <c r="D79" s="166" t="s">
        <v>203</v>
      </c>
      <c r="E79" s="166"/>
      <c r="F79" s="166"/>
      <c r="G79" s="166"/>
      <c r="H79" s="166"/>
      <c r="I79" s="166"/>
      <c r="J79" s="166"/>
      <c r="K79" s="166"/>
      <c r="L79" s="166"/>
      <c r="M79" s="166"/>
      <c r="N79" s="166"/>
      <c r="O79" s="166"/>
      <c r="P79" s="166"/>
      <c r="Q79" s="166"/>
      <c r="R79" s="166"/>
      <c r="S79" s="166"/>
      <c r="T79" s="166"/>
      <c r="U79" s="166"/>
      <c r="V79" s="166"/>
      <c r="W79" s="166"/>
      <c r="X79" s="166"/>
      <c r="Y79" s="166"/>
      <c r="Z79" s="167"/>
    </row>
    <row r="80" spans="1:26" ht="66" customHeight="1" x14ac:dyDescent="0.15">
      <c r="B80" s="170" t="s">
        <v>112</v>
      </c>
      <c r="C80" s="74" t="s">
        <v>95</v>
      </c>
      <c r="D80" s="172" t="s">
        <v>205</v>
      </c>
      <c r="E80" s="230"/>
      <c r="F80" s="230"/>
      <c r="G80" s="230"/>
      <c r="H80" s="230"/>
      <c r="I80" s="230"/>
      <c r="J80" s="230"/>
      <c r="K80" s="230"/>
      <c r="L80" s="230"/>
      <c r="M80" s="230"/>
      <c r="N80" s="230"/>
      <c r="O80" s="230"/>
      <c r="P80" s="230"/>
      <c r="Q80" s="230"/>
      <c r="R80" s="230"/>
      <c r="S80" s="230"/>
      <c r="T80" s="230"/>
      <c r="U80" s="230"/>
      <c r="V80" s="230"/>
      <c r="W80" s="230"/>
      <c r="X80" s="230"/>
      <c r="Y80" s="230"/>
      <c r="Z80" s="231"/>
    </row>
    <row r="81" spans="1:26" ht="66" customHeight="1" x14ac:dyDescent="0.15">
      <c r="B81" s="190"/>
      <c r="C81" s="70" t="s">
        <v>96</v>
      </c>
      <c r="D81" s="191" t="s">
        <v>204</v>
      </c>
      <c r="E81" s="191"/>
      <c r="F81" s="191"/>
      <c r="G81" s="191"/>
      <c r="H81" s="191"/>
      <c r="I81" s="191"/>
      <c r="J81" s="191"/>
      <c r="K81" s="191"/>
      <c r="L81" s="191"/>
      <c r="M81" s="191"/>
      <c r="N81" s="191"/>
      <c r="O81" s="191"/>
      <c r="P81" s="191"/>
      <c r="Q81" s="191"/>
      <c r="R81" s="191"/>
      <c r="S81" s="191"/>
      <c r="T81" s="191"/>
      <c r="U81" s="191"/>
      <c r="V81" s="191"/>
      <c r="W81" s="191"/>
      <c r="X81" s="191"/>
      <c r="Y81" s="191"/>
      <c r="Z81" s="192"/>
    </row>
    <row r="82" spans="1:26" ht="66" customHeight="1" x14ac:dyDescent="0.15">
      <c r="B82" s="170" t="s">
        <v>113</v>
      </c>
      <c r="C82" s="69" t="s">
        <v>98</v>
      </c>
      <c r="D82" s="193" t="s">
        <v>206</v>
      </c>
      <c r="E82" s="193"/>
      <c r="F82" s="193"/>
      <c r="G82" s="193"/>
      <c r="H82" s="193"/>
      <c r="I82" s="193"/>
      <c r="J82" s="193"/>
      <c r="K82" s="193"/>
      <c r="L82" s="193"/>
      <c r="M82" s="193"/>
      <c r="N82" s="193"/>
      <c r="O82" s="193"/>
      <c r="P82" s="193"/>
      <c r="Q82" s="193"/>
      <c r="R82" s="193"/>
      <c r="S82" s="193"/>
      <c r="T82" s="193"/>
      <c r="U82" s="193"/>
      <c r="V82" s="193"/>
      <c r="W82" s="193"/>
      <c r="X82" s="193"/>
      <c r="Y82" s="193"/>
      <c r="Z82" s="194"/>
    </row>
    <row r="83" spans="1:26" ht="66" customHeight="1" x14ac:dyDescent="0.15">
      <c r="B83" s="171"/>
      <c r="C83" s="70" t="s">
        <v>99</v>
      </c>
      <c r="D83" s="195" t="s">
        <v>208</v>
      </c>
      <c r="E83" s="196"/>
      <c r="F83" s="196"/>
      <c r="G83" s="196"/>
      <c r="H83" s="196"/>
      <c r="I83" s="196"/>
      <c r="J83" s="196"/>
      <c r="K83" s="196"/>
      <c r="L83" s="196"/>
      <c r="M83" s="196"/>
      <c r="N83" s="196"/>
      <c r="O83" s="196"/>
      <c r="P83" s="196"/>
      <c r="Q83" s="196"/>
      <c r="R83" s="196"/>
      <c r="S83" s="196"/>
      <c r="T83" s="196"/>
      <c r="U83" s="196"/>
      <c r="V83" s="196"/>
      <c r="W83" s="196"/>
      <c r="X83" s="196"/>
      <c r="Y83" s="196"/>
      <c r="Z83" s="197"/>
    </row>
    <row r="84" spans="1:26" ht="66" customHeight="1" x14ac:dyDescent="0.15">
      <c r="B84" s="163"/>
      <c r="C84" s="71" t="s">
        <v>100</v>
      </c>
      <c r="D84" s="198" t="s">
        <v>207</v>
      </c>
      <c r="E84" s="198"/>
      <c r="F84" s="198"/>
      <c r="G84" s="198"/>
      <c r="H84" s="198"/>
      <c r="I84" s="198"/>
      <c r="J84" s="198"/>
      <c r="K84" s="198"/>
      <c r="L84" s="198"/>
      <c r="M84" s="198"/>
      <c r="N84" s="198"/>
      <c r="O84" s="198"/>
      <c r="P84" s="198"/>
      <c r="Q84" s="198"/>
      <c r="R84" s="198"/>
      <c r="S84" s="198"/>
      <c r="T84" s="198"/>
      <c r="U84" s="198"/>
      <c r="V84" s="198"/>
      <c r="W84" s="198"/>
      <c r="X84" s="198"/>
      <c r="Y84" s="198"/>
      <c r="Z84" s="199"/>
    </row>
    <row r="85" spans="1:26" ht="37.5" customHeight="1" x14ac:dyDescent="0.15">
      <c r="B85" s="112"/>
      <c r="C85" s="113"/>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spans="1:26" ht="23.45" customHeight="1" x14ac:dyDescent="0.15">
      <c r="B86" s="112"/>
      <c r="C86" s="113"/>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spans="1:26" ht="6" customHeight="1" x14ac:dyDescent="0.15"/>
    <row r="88" spans="1:26" ht="18.75" customHeight="1" x14ac:dyDescent="0.15">
      <c r="A88" s="13" t="s">
        <v>114</v>
      </c>
    </row>
    <row r="89" spans="1:26" ht="18.75" customHeight="1" x14ac:dyDescent="0.15">
      <c r="B89" s="181" t="s">
        <v>123</v>
      </c>
      <c r="C89" s="182"/>
      <c r="D89" s="182"/>
      <c r="E89" s="182"/>
      <c r="F89" s="182"/>
      <c r="G89" s="182"/>
      <c r="H89" s="182"/>
      <c r="I89" s="182"/>
      <c r="J89" s="182"/>
      <c r="K89" s="182"/>
      <c r="L89" s="182"/>
      <c r="M89" s="182"/>
      <c r="N89" s="182"/>
      <c r="O89" s="182"/>
      <c r="P89" s="182"/>
      <c r="Q89" s="182"/>
      <c r="R89" s="182"/>
      <c r="S89" s="182"/>
      <c r="T89" s="182"/>
      <c r="U89" s="182"/>
      <c r="V89" s="182"/>
      <c r="W89" s="182"/>
      <c r="X89" s="182"/>
      <c r="Y89" s="182"/>
      <c r="Z89" s="183"/>
    </row>
    <row r="90" spans="1:26" ht="18.75" customHeight="1" x14ac:dyDescent="0.15">
      <c r="B90" s="184"/>
      <c r="C90" s="185"/>
      <c r="D90" s="185"/>
      <c r="E90" s="185"/>
      <c r="F90" s="185"/>
      <c r="G90" s="185"/>
      <c r="H90" s="185"/>
      <c r="I90" s="185"/>
      <c r="J90" s="185"/>
      <c r="K90" s="185"/>
      <c r="L90" s="185"/>
      <c r="M90" s="185"/>
      <c r="N90" s="185"/>
      <c r="O90" s="185"/>
      <c r="P90" s="185"/>
      <c r="Q90" s="185"/>
      <c r="R90" s="185"/>
      <c r="S90" s="185"/>
      <c r="T90" s="185"/>
      <c r="U90" s="185"/>
      <c r="V90" s="185"/>
      <c r="W90" s="185"/>
      <c r="X90" s="185"/>
      <c r="Y90" s="185"/>
      <c r="Z90" s="186"/>
    </row>
    <row r="91" spans="1:26" ht="18.75" customHeight="1" x14ac:dyDescent="0.15">
      <c r="B91" s="187"/>
      <c r="C91" s="188"/>
      <c r="D91" s="188"/>
      <c r="E91" s="188"/>
      <c r="F91" s="188"/>
      <c r="G91" s="188"/>
      <c r="H91" s="188"/>
      <c r="I91" s="188"/>
      <c r="J91" s="188"/>
      <c r="K91" s="188"/>
      <c r="L91" s="188"/>
      <c r="M91" s="188"/>
      <c r="N91" s="188"/>
      <c r="O91" s="188"/>
      <c r="P91" s="188"/>
      <c r="Q91" s="188"/>
      <c r="R91" s="188"/>
      <c r="S91" s="188"/>
      <c r="T91" s="188"/>
      <c r="U91" s="188"/>
      <c r="V91" s="188"/>
      <c r="W91" s="188"/>
      <c r="X91" s="188"/>
      <c r="Y91" s="188"/>
      <c r="Z91" s="189"/>
    </row>
    <row r="92" spans="1:26" ht="6" customHeight="1" x14ac:dyDescent="0.15"/>
    <row r="93" spans="1:26" ht="15" customHeight="1" x14ac:dyDescent="0.15">
      <c r="A93" s="13" t="s">
        <v>116</v>
      </c>
      <c r="O93" s="109"/>
      <c r="P93" s="110"/>
      <c r="Q93" s="110"/>
      <c r="R93" s="110"/>
      <c r="S93" s="110"/>
      <c r="T93" s="110"/>
      <c r="U93" s="110"/>
      <c r="V93" s="110"/>
    </row>
    <row r="94" spans="1:26" ht="18" customHeight="1" x14ac:dyDescent="0.15">
      <c r="B94" s="309" t="s">
        <v>222</v>
      </c>
      <c r="C94" s="310"/>
      <c r="D94" s="310"/>
      <c r="E94" s="310"/>
      <c r="F94" s="310"/>
      <c r="G94" s="310"/>
      <c r="H94" s="310"/>
      <c r="I94" s="310"/>
      <c r="J94" s="310"/>
      <c r="K94" s="310"/>
      <c r="L94" s="310"/>
      <c r="M94" s="310"/>
      <c r="N94" s="310"/>
      <c r="O94" s="310"/>
      <c r="P94" s="310"/>
      <c r="Q94" s="310"/>
      <c r="R94" s="310"/>
      <c r="S94" s="310"/>
      <c r="T94" s="310"/>
      <c r="U94" s="310"/>
      <c r="V94" s="310"/>
      <c r="W94" s="310"/>
      <c r="X94" s="310"/>
      <c r="Y94" s="310"/>
      <c r="Z94" s="311"/>
    </row>
  </sheetData>
  <mergeCells count="194">
    <mergeCell ref="B28:F28"/>
    <mergeCell ref="B29:F29"/>
    <mergeCell ref="B30:F30"/>
    <mergeCell ref="B31:F31"/>
    <mergeCell ref="N45:S45"/>
    <mergeCell ref="N46:S46"/>
    <mergeCell ref="N47:S47"/>
    <mergeCell ref="N48:S48"/>
    <mergeCell ref="N49:S49"/>
    <mergeCell ref="I37:K37"/>
    <mergeCell ref="I45:K45"/>
    <mergeCell ref="N35:S35"/>
    <mergeCell ref="N36:S36"/>
    <mergeCell ref="N37:S37"/>
    <mergeCell ref="N38:S38"/>
    <mergeCell ref="N39:S39"/>
    <mergeCell ref="N40:S40"/>
    <mergeCell ref="N25:S25"/>
    <mergeCell ref="N26:S26"/>
    <mergeCell ref="N27:S27"/>
    <mergeCell ref="N28:S28"/>
    <mergeCell ref="N29:S29"/>
    <mergeCell ref="N30:S30"/>
    <mergeCell ref="N31:S31"/>
    <mergeCell ref="W1:Z1"/>
    <mergeCell ref="B15:F15"/>
    <mergeCell ref="B16:F16"/>
    <mergeCell ref="B17:F17"/>
    <mergeCell ref="B18:F18"/>
    <mergeCell ref="B19:F19"/>
    <mergeCell ref="B20:F20"/>
    <mergeCell ref="N15:S15"/>
    <mergeCell ref="N16:S16"/>
    <mergeCell ref="N17:S17"/>
    <mergeCell ref="N18:S18"/>
    <mergeCell ref="N19:S19"/>
    <mergeCell ref="N20:S20"/>
    <mergeCell ref="I17:K17"/>
    <mergeCell ref="I20:K20"/>
    <mergeCell ref="A23:Z24"/>
    <mergeCell ref="A2:Z2"/>
    <mergeCell ref="B89:Z91"/>
    <mergeCell ref="B94:Z94"/>
    <mergeCell ref="B67:F67"/>
    <mergeCell ref="G67:M67"/>
    <mergeCell ref="N67:S67"/>
    <mergeCell ref="T67:Z67"/>
    <mergeCell ref="B68:F68"/>
    <mergeCell ref="B56:E56"/>
    <mergeCell ref="B57:E57"/>
    <mergeCell ref="B58:E58"/>
    <mergeCell ref="B59:E59"/>
    <mergeCell ref="B60:E60"/>
    <mergeCell ref="B61:E61"/>
    <mergeCell ref="B62:E62"/>
    <mergeCell ref="D75:Z75"/>
    <mergeCell ref="D76:Z76"/>
    <mergeCell ref="D79:Z79"/>
    <mergeCell ref="D77:Z77"/>
    <mergeCell ref="N56:R56"/>
    <mergeCell ref="N57:R57"/>
    <mergeCell ref="N58:R58"/>
    <mergeCell ref="N59:R59"/>
    <mergeCell ref="N60:R60"/>
    <mergeCell ref="N61:R61"/>
    <mergeCell ref="B65:F65"/>
    <mergeCell ref="G65:M65"/>
    <mergeCell ref="N65:S65"/>
    <mergeCell ref="H56:J56"/>
    <mergeCell ref="H57:J57"/>
    <mergeCell ref="B55:E55"/>
    <mergeCell ref="N55:R55"/>
    <mergeCell ref="B39:F39"/>
    <mergeCell ref="B40:F40"/>
    <mergeCell ref="I47:K47"/>
    <mergeCell ref="I48:K48"/>
    <mergeCell ref="B51:F51"/>
    <mergeCell ref="I51:K51"/>
    <mergeCell ref="N51:S51"/>
    <mergeCell ref="N62:R62"/>
    <mergeCell ref="H60:J60"/>
    <mergeCell ref="I39:K39"/>
    <mergeCell ref="H61:J61"/>
    <mergeCell ref="H62:J62"/>
    <mergeCell ref="N50:S50"/>
    <mergeCell ref="B6:Z11"/>
    <mergeCell ref="A13:Z14"/>
    <mergeCell ref="I15:K15"/>
    <mergeCell ref="I16:K16"/>
    <mergeCell ref="V15:X15"/>
    <mergeCell ref="V16:X16"/>
    <mergeCell ref="O4:Z4"/>
    <mergeCell ref="V17:X17"/>
    <mergeCell ref="V20:X20"/>
    <mergeCell ref="I18:K18"/>
    <mergeCell ref="I19:K19"/>
    <mergeCell ref="V18:X18"/>
    <mergeCell ref="V19:X19"/>
    <mergeCell ref="V38:X38"/>
    <mergeCell ref="A33:Z34"/>
    <mergeCell ref="V39:X39"/>
    <mergeCell ref="I30:K30"/>
    <mergeCell ref="I31:K31"/>
    <mergeCell ref="H58:J58"/>
    <mergeCell ref="H59:J59"/>
    <mergeCell ref="U58:W58"/>
    <mergeCell ref="U59:W59"/>
    <mergeCell ref="V45:X45"/>
    <mergeCell ref="I46:K46"/>
    <mergeCell ref="V48:X48"/>
    <mergeCell ref="I49:K49"/>
    <mergeCell ref="V49:X49"/>
    <mergeCell ref="A53:Z54"/>
    <mergeCell ref="I50:K50"/>
    <mergeCell ref="V37:X37"/>
    <mergeCell ref="I35:K35"/>
    <mergeCell ref="B35:F35"/>
    <mergeCell ref="B36:F36"/>
    <mergeCell ref="B37:F37"/>
    <mergeCell ref="B38:F38"/>
    <mergeCell ref="A43:Z44"/>
    <mergeCell ref="V46:X46"/>
    <mergeCell ref="D81:Z81"/>
    <mergeCell ref="D73:Z73"/>
    <mergeCell ref="D74:Z74"/>
    <mergeCell ref="D78:Z78"/>
    <mergeCell ref="B70:F70"/>
    <mergeCell ref="G70:M70"/>
    <mergeCell ref="N70:S70"/>
    <mergeCell ref="T70:Z70"/>
    <mergeCell ref="I25:K25"/>
    <mergeCell ref="I26:K26"/>
    <mergeCell ref="I27:K27"/>
    <mergeCell ref="B25:F25"/>
    <mergeCell ref="B26:F26"/>
    <mergeCell ref="B27:F27"/>
    <mergeCell ref="U56:W56"/>
    <mergeCell ref="U57:W57"/>
    <mergeCell ref="U60:W60"/>
    <mergeCell ref="V50:X50"/>
    <mergeCell ref="B48:F48"/>
    <mergeCell ref="B49:F49"/>
    <mergeCell ref="B50:F50"/>
    <mergeCell ref="V47:X47"/>
    <mergeCell ref="B45:F45"/>
    <mergeCell ref="B46:F46"/>
    <mergeCell ref="B21:F21"/>
    <mergeCell ref="I21:K21"/>
    <mergeCell ref="N21:S21"/>
    <mergeCell ref="V21:X21"/>
    <mergeCell ref="B41:F41"/>
    <mergeCell ref="I41:K41"/>
    <mergeCell ref="N41:S41"/>
    <mergeCell ref="V41:X41"/>
    <mergeCell ref="D83:Z83"/>
    <mergeCell ref="B69:F69"/>
    <mergeCell ref="G68:M68"/>
    <mergeCell ref="G69:M69"/>
    <mergeCell ref="N68:S68"/>
    <mergeCell ref="N69:S69"/>
    <mergeCell ref="T68:Z68"/>
    <mergeCell ref="T69:Z69"/>
    <mergeCell ref="B76:B77"/>
    <mergeCell ref="B78:B79"/>
    <mergeCell ref="B74:B75"/>
    <mergeCell ref="B82:B84"/>
    <mergeCell ref="D82:Z82"/>
    <mergeCell ref="D84:Z84"/>
    <mergeCell ref="B80:B81"/>
    <mergeCell ref="D80:Z80"/>
    <mergeCell ref="N66:S66"/>
    <mergeCell ref="T66:Z66"/>
    <mergeCell ref="T65:Z65"/>
    <mergeCell ref="B66:F66"/>
    <mergeCell ref="G66:M66"/>
    <mergeCell ref="V25:X25"/>
    <mergeCell ref="V26:X26"/>
    <mergeCell ref="V27:X27"/>
    <mergeCell ref="V51:X51"/>
    <mergeCell ref="B47:F47"/>
    <mergeCell ref="V30:X30"/>
    <mergeCell ref="V31:X31"/>
    <mergeCell ref="I40:K40"/>
    <mergeCell ref="V40:X40"/>
    <mergeCell ref="V35:X35"/>
    <mergeCell ref="I36:K36"/>
    <mergeCell ref="V36:X36"/>
    <mergeCell ref="U61:W61"/>
    <mergeCell ref="U62:W62"/>
    <mergeCell ref="I28:K28"/>
    <mergeCell ref="I29:K29"/>
    <mergeCell ref="V28:X28"/>
    <mergeCell ref="V29:X29"/>
    <mergeCell ref="I38:K38"/>
  </mergeCells>
  <phoneticPr fontId="1"/>
  <dataValidations count="4">
    <dataValidation type="list" allowBlank="1" showInputMessage="1" showErrorMessage="1" sqref="Y36:Z41 H36:H41 Y46:Z51 H46:H51 Y56:Z62 L56:M62 U36:U41 H16:H21 U46:U51 L36:M41 G56:G62 T56:T62 Y26:Z31 U26:U31 H26:H31 L26:M31 U16:U21 Y16:Z21 L16:M21 L46:M51">
      <formula1>"○"</formula1>
    </dataValidation>
    <dataValidation type="list" allowBlank="1" showInputMessage="1" showErrorMessage="1" sqref="Z22 Z32 D32:K32 D22:K22 I36:I41 V16:V21 I46:I51 V36:V41 U56:U62 H56:H62 V26:V31 I26:I31 I16:I21 V46:V51">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66:M67 U66:Z67 U70:Z71 G66:G70 G71:M71 T66:T71 H70:M7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4:Z94" r:id="rId1" display="https://www.iput.ac.jp/assets/files/tk_suuri_datascience_ai.pdf"/>
  </hyperlinks>
  <printOptions horizontalCentered="1"/>
  <pageMargins left="0.70866141732283472" right="0.70866141732283472" top="0.74803149606299213" bottom="0.74803149606299213" header="0.31496062992125984" footer="0.31496062992125984"/>
  <pageSetup paperSize="9" scale="98" orientation="landscape" r:id="rId2"/>
  <rowBreaks count="4" manualBreakCount="4">
    <brk id="32" max="25" man="1"/>
    <brk id="63" max="25" man="1"/>
    <brk id="77" max="25" man="1"/>
    <brk id="86"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9"/>
  <sheetViews>
    <sheetView view="pageBreakPreview" zoomScaleNormal="100" zoomScaleSheetLayoutView="100" workbookViewId="0">
      <selection activeCell="G16" sqref="G16"/>
    </sheetView>
  </sheetViews>
  <sheetFormatPr defaultColWidth="9" defaultRowHeight="18.75" customHeight="1" x14ac:dyDescent="0.15"/>
  <cols>
    <col min="1" max="1" width="2.875" style="1" customWidth="1"/>
    <col min="2" max="2" width="30" style="1" customWidth="1"/>
    <col min="3" max="17" width="6.125" style="1" customWidth="1"/>
    <col min="18" max="18" width="6.625" style="1" customWidth="1"/>
    <col min="19" max="16384" width="9" style="1"/>
  </cols>
  <sheetData>
    <row r="1" spans="1:20" ht="18" customHeight="1" x14ac:dyDescent="0.15">
      <c r="F1" s="232" t="s">
        <v>124</v>
      </c>
      <c r="G1" s="232"/>
      <c r="H1" s="232"/>
      <c r="I1" s="232"/>
      <c r="J1" s="232"/>
      <c r="K1" s="232"/>
      <c r="L1" s="232"/>
      <c r="M1" s="232"/>
      <c r="N1" s="232"/>
      <c r="O1" s="232"/>
      <c r="P1" s="232"/>
      <c r="Q1" s="232"/>
      <c r="R1" s="232"/>
    </row>
    <row r="2" spans="1:20" ht="18" customHeight="1" x14ac:dyDescent="0.15">
      <c r="A2" s="233" t="s">
        <v>125</v>
      </c>
      <c r="B2" s="233"/>
      <c r="C2" s="233"/>
      <c r="D2" s="233"/>
      <c r="E2" s="233"/>
      <c r="F2" s="233"/>
      <c r="G2" s="233"/>
      <c r="H2" s="233"/>
      <c r="I2" s="233"/>
      <c r="J2" s="233"/>
      <c r="K2" s="233"/>
      <c r="L2" s="233"/>
      <c r="M2" s="233"/>
      <c r="N2" s="233"/>
      <c r="O2" s="233"/>
      <c r="P2" s="233"/>
      <c r="Q2" s="233"/>
      <c r="R2" s="233"/>
      <c r="S2" s="4"/>
    </row>
    <row r="3" spans="1:20" ht="7.5" customHeight="1" x14ac:dyDescent="0.15">
      <c r="A3" s="30"/>
      <c r="B3" s="30"/>
      <c r="C3" s="30"/>
      <c r="D3" s="30"/>
      <c r="E3" s="30"/>
      <c r="F3" s="30"/>
      <c r="G3" s="30"/>
      <c r="H3" s="30"/>
      <c r="I3" s="30"/>
      <c r="J3" s="30"/>
      <c r="K3" s="30"/>
      <c r="L3" s="30"/>
      <c r="M3" s="30"/>
      <c r="N3" s="30"/>
      <c r="O3" s="30"/>
      <c r="P3" s="30"/>
      <c r="Q3" s="30"/>
      <c r="R3" s="30"/>
    </row>
    <row r="4" spans="1:20" ht="18" customHeight="1" x14ac:dyDescent="0.15">
      <c r="A4" s="4" t="s">
        <v>126</v>
      </c>
      <c r="B4" s="4"/>
      <c r="C4" s="234">
        <f>'様式１　大学等概要'!E12</f>
        <v>2021</v>
      </c>
      <c r="D4" s="235"/>
      <c r="E4" s="30" t="s">
        <v>19</v>
      </c>
      <c r="F4" s="30"/>
      <c r="G4" s="30"/>
      <c r="H4" s="30"/>
      <c r="I4" s="30"/>
      <c r="J4" s="75"/>
      <c r="K4" s="30"/>
      <c r="L4" s="30"/>
      <c r="M4" s="39"/>
      <c r="N4" s="39"/>
      <c r="O4" s="39"/>
      <c r="P4" s="39"/>
      <c r="Q4" s="39"/>
      <c r="R4" s="39"/>
    </row>
    <row r="5" spans="1:20" ht="6" customHeight="1" x14ac:dyDescent="0.15">
      <c r="A5" s="30"/>
      <c r="B5" s="30"/>
      <c r="C5" s="30"/>
      <c r="D5" s="30"/>
      <c r="E5" s="30"/>
      <c r="F5" s="30"/>
      <c r="G5" s="30"/>
      <c r="H5" s="30"/>
      <c r="I5" s="30"/>
      <c r="J5" s="30"/>
      <c r="K5" s="30"/>
      <c r="L5" s="30"/>
      <c r="M5" s="30"/>
      <c r="N5" s="30"/>
      <c r="O5" s="30"/>
      <c r="P5" s="30"/>
      <c r="Q5" s="30"/>
      <c r="R5" s="30"/>
    </row>
    <row r="6" spans="1:20" ht="18" customHeight="1" x14ac:dyDescent="0.15">
      <c r="A6" s="4" t="s">
        <v>127</v>
      </c>
      <c r="B6" s="30"/>
      <c r="C6" s="30"/>
      <c r="D6" s="30"/>
      <c r="E6" s="30"/>
      <c r="F6" s="30"/>
      <c r="G6" s="30"/>
      <c r="H6" s="30"/>
      <c r="I6" s="30"/>
      <c r="J6" s="30"/>
      <c r="K6" s="30"/>
      <c r="L6" s="30"/>
      <c r="M6" s="30"/>
      <c r="N6" s="30"/>
      <c r="O6" s="30"/>
      <c r="P6" s="30"/>
      <c r="Q6" s="30"/>
      <c r="R6" s="30"/>
    </row>
    <row r="7" spans="1:20" ht="6" customHeight="1" x14ac:dyDescent="0.15">
      <c r="A7" s="4"/>
      <c r="B7" s="30"/>
      <c r="C7" s="30"/>
      <c r="D7" s="30"/>
      <c r="E7" s="30"/>
      <c r="F7" s="30"/>
      <c r="G7" s="30"/>
      <c r="H7" s="30"/>
      <c r="I7" s="30"/>
      <c r="J7" s="30"/>
      <c r="K7" s="30"/>
      <c r="L7" s="30"/>
      <c r="M7" s="30"/>
      <c r="N7" s="30"/>
      <c r="O7" s="30"/>
      <c r="P7" s="30"/>
      <c r="Q7" s="30"/>
      <c r="R7" s="30"/>
    </row>
    <row r="8" spans="1:20" ht="18" customHeight="1" x14ac:dyDescent="0.15">
      <c r="B8" s="236" t="s">
        <v>128</v>
      </c>
      <c r="C8" s="238" t="s">
        <v>129</v>
      </c>
      <c r="D8" s="240" t="s">
        <v>130</v>
      </c>
      <c r="E8" s="242" t="s">
        <v>131</v>
      </c>
      <c r="F8" s="242"/>
      <c r="G8" s="242" t="s">
        <v>132</v>
      </c>
      <c r="H8" s="242"/>
      <c r="I8" s="242" t="s">
        <v>133</v>
      </c>
      <c r="J8" s="242"/>
      <c r="K8" s="243" t="s">
        <v>134</v>
      </c>
      <c r="L8" s="244"/>
      <c r="M8" s="243" t="s">
        <v>135</v>
      </c>
      <c r="N8" s="244"/>
      <c r="O8" s="243" t="s">
        <v>136</v>
      </c>
      <c r="P8" s="244"/>
      <c r="Q8" s="245" t="s">
        <v>137</v>
      </c>
      <c r="R8" s="247" t="s">
        <v>138</v>
      </c>
      <c r="T8" s="28"/>
    </row>
    <row r="9" spans="1:20" ht="18" customHeight="1" x14ac:dyDescent="0.15">
      <c r="A9" s="4"/>
      <c r="B9" s="237"/>
      <c r="C9" s="239"/>
      <c r="D9" s="241"/>
      <c r="E9" s="35" t="s">
        <v>139</v>
      </c>
      <c r="F9" s="36" t="s">
        <v>140</v>
      </c>
      <c r="G9" s="37" t="s">
        <v>139</v>
      </c>
      <c r="H9" s="38" t="s">
        <v>140</v>
      </c>
      <c r="I9" s="35" t="s">
        <v>139</v>
      </c>
      <c r="J9" s="36" t="s">
        <v>140</v>
      </c>
      <c r="K9" s="37" t="s">
        <v>139</v>
      </c>
      <c r="L9" s="38" t="s">
        <v>140</v>
      </c>
      <c r="M9" s="35" t="s">
        <v>139</v>
      </c>
      <c r="N9" s="36" t="s">
        <v>140</v>
      </c>
      <c r="O9" s="37" t="s">
        <v>139</v>
      </c>
      <c r="P9" s="38" t="s">
        <v>140</v>
      </c>
      <c r="Q9" s="246"/>
      <c r="R9" s="248"/>
      <c r="T9" s="28"/>
    </row>
    <row r="10" spans="1:20" ht="18" customHeight="1" x14ac:dyDescent="0.15">
      <c r="A10" s="39"/>
      <c r="B10" s="76" t="s">
        <v>141</v>
      </c>
      <c r="C10" s="39">
        <v>120</v>
      </c>
      <c r="D10" s="40">
        <v>480</v>
      </c>
      <c r="E10" s="41">
        <v>110</v>
      </c>
      <c r="F10" s="42">
        <v>99</v>
      </c>
      <c r="G10" s="43"/>
      <c r="H10" s="44"/>
      <c r="I10" s="41"/>
      <c r="J10" s="42"/>
      <c r="K10" s="43"/>
      <c r="L10" s="44"/>
      <c r="M10" s="41"/>
      <c r="N10" s="42"/>
      <c r="O10" s="43"/>
      <c r="P10" s="44"/>
      <c r="Q10" s="45">
        <f>E10+G10+I10+K10+M10+O10</f>
        <v>110</v>
      </c>
      <c r="R10" s="46">
        <f>Q10/D10</f>
        <v>0.22916666666666666</v>
      </c>
    </row>
    <row r="11" spans="1:20" ht="18" customHeight="1" x14ac:dyDescent="0.15">
      <c r="A11" s="39"/>
      <c r="B11" s="77" t="s">
        <v>142</v>
      </c>
      <c r="C11" s="55">
        <v>80</v>
      </c>
      <c r="D11" s="48">
        <v>320</v>
      </c>
      <c r="E11" s="49">
        <v>78</v>
      </c>
      <c r="F11" s="50">
        <v>75</v>
      </c>
      <c r="G11" s="51"/>
      <c r="H11" s="52"/>
      <c r="I11" s="49"/>
      <c r="J11" s="50"/>
      <c r="K11" s="51"/>
      <c r="L11" s="52"/>
      <c r="M11" s="49"/>
      <c r="N11" s="50"/>
      <c r="O11" s="51"/>
      <c r="P11" s="52"/>
      <c r="Q11" s="53">
        <f t="shared" ref="Q11" si="0">E11+G11+I11+K11+M11+O11</f>
        <v>78</v>
      </c>
      <c r="R11" s="54">
        <f t="shared" ref="R11" si="1">Q11/D11</f>
        <v>0.24374999999999999</v>
      </c>
    </row>
    <row r="12" spans="1:20" ht="18" customHeight="1" x14ac:dyDescent="0.15">
      <c r="A12" s="39"/>
      <c r="B12" s="77"/>
      <c r="C12" s="55"/>
      <c r="D12" s="48"/>
      <c r="E12" s="49"/>
      <c r="F12" s="50"/>
      <c r="G12" s="51"/>
      <c r="H12" s="52"/>
      <c r="I12" s="49"/>
      <c r="J12" s="50"/>
      <c r="K12" s="51"/>
      <c r="L12" s="52"/>
      <c r="M12" s="49"/>
      <c r="N12" s="50"/>
      <c r="O12" s="51"/>
      <c r="P12" s="52"/>
      <c r="Q12" s="53"/>
      <c r="R12" s="54"/>
    </row>
    <row r="13" spans="1:20" ht="18" customHeight="1" x14ac:dyDescent="0.15">
      <c r="A13" s="39"/>
      <c r="B13" s="77"/>
      <c r="C13" s="55"/>
      <c r="D13" s="48"/>
      <c r="E13" s="49"/>
      <c r="F13" s="50"/>
      <c r="G13" s="51"/>
      <c r="H13" s="52"/>
      <c r="I13" s="49"/>
      <c r="J13" s="50"/>
      <c r="K13" s="51"/>
      <c r="L13" s="52"/>
      <c r="M13" s="49"/>
      <c r="N13" s="50"/>
      <c r="O13" s="51"/>
      <c r="P13" s="52"/>
      <c r="Q13" s="53"/>
      <c r="R13" s="54"/>
    </row>
    <row r="14" spans="1:20" ht="18" customHeight="1" x14ac:dyDescent="0.15">
      <c r="A14" s="39"/>
      <c r="B14" s="77"/>
      <c r="C14" s="55"/>
      <c r="D14" s="48"/>
      <c r="E14" s="49"/>
      <c r="F14" s="50"/>
      <c r="G14" s="51"/>
      <c r="H14" s="52"/>
      <c r="I14" s="49"/>
      <c r="J14" s="50"/>
      <c r="K14" s="51"/>
      <c r="L14" s="52"/>
      <c r="M14" s="49"/>
      <c r="N14" s="50"/>
      <c r="O14" s="51"/>
      <c r="P14" s="52"/>
      <c r="Q14" s="53"/>
      <c r="R14" s="54"/>
    </row>
    <row r="15" spans="1:20" ht="18" customHeight="1" x14ac:dyDescent="0.15">
      <c r="A15" s="39"/>
      <c r="B15" s="77"/>
      <c r="C15" s="55"/>
      <c r="D15" s="48"/>
      <c r="E15" s="49"/>
      <c r="F15" s="50"/>
      <c r="G15" s="51"/>
      <c r="H15" s="52"/>
      <c r="I15" s="49"/>
      <c r="J15" s="50"/>
      <c r="K15" s="51"/>
      <c r="L15" s="52"/>
      <c r="M15" s="49"/>
      <c r="N15" s="50"/>
      <c r="O15" s="51"/>
      <c r="P15" s="52"/>
      <c r="Q15" s="53"/>
      <c r="R15" s="54"/>
    </row>
    <row r="16" spans="1:20" ht="18" customHeight="1" x14ac:dyDescent="0.15">
      <c r="A16" s="39"/>
      <c r="B16" s="77"/>
      <c r="C16" s="55"/>
      <c r="D16" s="48"/>
      <c r="E16" s="49"/>
      <c r="F16" s="50"/>
      <c r="G16" s="51"/>
      <c r="H16" s="52"/>
      <c r="I16" s="49"/>
      <c r="J16" s="50"/>
      <c r="K16" s="51"/>
      <c r="L16" s="52"/>
      <c r="M16" s="49"/>
      <c r="N16" s="50"/>
      <c r="O16" s="51"/>
      <c r="P16" s="52"/>
      <c r="Q16" s="53"/>
      <c r="R16" s="54"/>
    </row>
    <row r="17" spans="1:18" ht="18" customHeight="1" x14ac:dyDescent="0.15">
      <c r="A17" s="39"/>
      <c r="B17" s="77"/>
      <c r="C17" s="55"/>
      <c r="D17" s="48"/>
      <c r="E17" s="49"/>
      <c r="F17" s="50"/>
      <c r="G17" s="51"/>
      <c r="H17" s="52"/>
      <c r="I17" s="49"/>
      <c r="J17" s="50"/>
      <c r="K17" s="51"/>
      <c r="L17" s="52"/>
      <c r="M17" s="49"/>
      <c r="N17" s="50"/>
      <c r="O17" s="51"/>
      <c r="P17" s="52"/>
      <c r="Q17" s="53"/>
      <c r="R17" s="54"/>
    </row>
    <row r="18" spans="1:18" ht="18" customHeight="1" x14ac:dyDescent="0.15">
      <c r="A18" s="39"/>
      <c r="B18" s="77"/>
      <c r="C18" s="55"/>
      <c r="D18" s="48"/>
      <c r="E18" s="49"/>
      <c r="F18" s="50"/>
      <c r="G18" s="51"/>
      <c r="H18" s="52"/>
      <c r="I18" s="49"/>
      <c r="J18" s="50"/>
      <c r="K18" s="51"/>
      <c r="L18" s="52"/>
      <c r="M18" s="49"/>
      <c r="N18" s="50"/>
      <c r="O18" s="51"/>
      <c r="P18" s="52"/>
      <c r="Q18" s="53"/>
      <c r="R18" s="54"/>
    </row>
    <row r="19" spans="1:18" ht="18" customHeight="1" x14ac:dyDescent="0.15">
      <c r="A19" s="39"/>
      <c r="B19" s="77"/>
      <c r="C19" s="55"/>
      <c r="D19" s="48"/>
      <c r="E19" s="49"/>
      <c r="F19" s="50"/>
      <c r="G19" s="51"/>
      <c r="H19" s="52"/>
      <c r="I19" s="49"/>
      <c r="J19" s="50"/>
      <c r="K19" s="51"/>
      <c r="L19" s="52"/>
      <c r="M19" s="49"/>
      <c r="N19" s="50"/>
      <c r="O19" s="51"/>
      <c r="P19" s="52"/>
      <c r="Q19" s="53"/>
      <c r="R19" s="54"/>
    </row>
    <row r="20" spans="1:18" ht="18" customHeight="1" x14ac:dyDescent="0.15">
      <c r="A20" s="39"/>
      <c r="B20" s="77"/>
      <c r="C20" s="55"/>
      <c r="D20" s="48"/>
      <c r="E20" s="49"/>
      <c r="F20" s="50"/>
      <c r="G20" s="51"/>
      <c r="H20" s="52"/>
      <c r="I20" s="49"/>
      <c r="J20" s="50"/>
      <c r="K20" s="51"/>
      <c r="L20" s="52"/>
      <c r="M20" s="49"/>
      <c r="N20" s="50"/>
      <c r="O20" s="51"/>
      <c r="P20" s="52"/>
      <c r="Q20" s="53"/>
      <c r="R20" s="54"/>
    </row>
    <row r="21" spans="1:18" ht="18" customHeight="1" x14ac:dyDescent="0.15">
      <c r="A21" s="39"/>
      <c r="B21" s="77"/>
      <c r="C21" s="55"/>
      <c r="D21" s="48"/>
      <c r="E21" s="49"/>
      <c r="F21" s="50"/>
      <c r="G21" s="51"/>
      <c r="H21" s="52"/>
      <c r="I21" s="49"/>
      <c r="J21" s="50"/>
      <c r="K21" s="51"/>
      <c r="L21" s="52"/>
      <c r="M21" s="49"/>
      <c r="N21" s="50"/>
      <c r="O21" s="51"/>
      <c r="P21" s="52"/>
      <c r="Q21" s="53"/>
      <c r="R21" s="54"/>
    </row>
    <row r="22" spans="1:18" ht="18" customHeight="1" x14ac:dyDescent="0.15">
      <c r="A22" s="39"/>
      <c r="B22" s="77"/>
      <c r="C22" s="55"/>
      <c r="D22" s="48"/>
      <c r="E22" s="49"/>
      <c r="F22" s="50"/>
      <c r="G22" s="51"/>
      <c r="H22" s="52"/>
      <c r="I22" s="49"/>
      <c r="J22" s="50"/>
      <c r="K22" s="51"/>
      <c r="L22" s="52"/>
      <c r="M22" s="49"/>
      <c r="N22" s="50"/>
      <c r="O22" s="51"/>
      <c r="P22" s="52"/>
      <c r="Q22" s="53"/>
      <c r="R22" s="54"/>
    </row>
    <row r="23" spans="1:18" ht="18" customHeight="1" x14ac:dyDescent="0.15">
      <c r="A23" s="39"/>
      <c r="B23" s="77"/>
      <c r="C23" s="55"/>
      <c r="D23" s="48"/>
      <c r="E23" s="49"/>
      <c r="F23" s="50"/>
      <c r="G23" s="51"/>
      <c r="H23" s="52"/>
      <c r="I23" s="49"/>
      <c r="J23" s="50"/>
      <c r="K23" s="51"/>
      <c r="L23" s="52"/>
      <c r="M23" s="49"/>
      <c r="N23" s="50"/>
      <c r="O23" s="51"/>
      <c r="P23" s="52"/>
      <c r="Q23" s="53"/>
      <c r="R23" s="54"/>
    </row>
    <row r="24" spans="1:18" ht="18" customHeight="1" x14ac:dyDescent="0.15">
      <c r="A24" s="39"/>
      <c r="B24" s="77"/>
      <c r="C24" s="55"/>
      <c r="D24" s="48"/>
      <c r="E24" s="49"/>
      <c r="F24" s="50"/>
      <c r="G24" s="51"/>
      <c r="H24" s="52"/>
      <c r="I24" s="49"/>
      <c r="J24" s="50"/>
      <c r="K24" s="51"/>
      <c r="L24" s="52"/>
      <c r="M24" s="49"/>
      <c r="N24" s="50"/>
      <c r="O24" s="51"/>
      <c r="P24" s="52"/>
      <c r="Q24" s="53"/>
      <c r="R24" s="54"/>
    </row>
    <row r="25" spans="1:18" ht="18" customHeight="1" x14ac:dyDescent="0.15">
      <c r="A25" s="39"/>
      <c r="B25" s="77"/>
      <c r="C25" s="47"/>
      <c r="D25" s="48"/>
      <c r="E25" s="49"/>
      <c r="F25" s="50"/>
      <c r="G25" s="51"/>
      <c r="H25" s="52"/>
      <c r="I25" s="49"/>
      <c r="J25" s="50"/>
      <c r="K25" s="51"/>
      <c r="L25" s="52"/>
      <c r="M25" s="49"/>
      <c r="N25" s="50"/>
      <c r="O25" s="51"/>
      <c r="P25" s="52"/>
      <c r="Q25" s="53"/>
      <c r="R25" s="54"/>
    </row>
    <row r="26" spans="1:18" ht="18" customHeight="1" x14ac:dyDescent="0.15">
      <c r="A26" s="39"/>
      <c r="B26" s="77"/>
      <c r="C26" s="47"/>
      <c r="D26" s="48"/>
      <c r="E26" s="49"/>
      <c r="F26" s="50"/>
      <c r="G26" s="51"/>
      <c r="H26" s="52"/>
      <c r="I26" s="49"/>
      <c r="J26" s="50"/>
      <c r="K26" s="51"/>
      <c r="L26" s="52"/>
      <c r="M26" s="49"/>
      <c r="N26" s="50"/>
      <c r="O26" s="51"/>
      <c r="P26" s="52"/>
      <c r="Q26" s="53"/>
      <c r="R26" s="54"/>
    </row>
    <row r="27" spans="1:18" ht="18" customHeight="1" thickBot="1" x14ac:dyDescent="0.2">
      <c r="A27" s="39"/>
      <c r="B27" s="78"/>
      <c r="C27" s="79"/>
      <c r="D27" s="40"/>
      <c r="E27" s="41"/>
      <c r="F27" s="42"/>
      <c r="G27" s="43"/>
      <c r="H27" s="44"/>
      <c r="I27" s="41"/>
      <c r="J27" s="42"/>
      <c r="K27" s="43"/>
      <c r="L27" s="44"/>
      <c r="M27" s="41"/>
      <c r="N27" s="42"/>
      <c r="O27" s="43"/>
      <c r="P27" s="44"/>
      <c r="Q27" s="56"/>
      <c r="R27" s="46"/>
    </row>
    <row r="28" spans="1:18" ht="18" customHeight="1" thickTop="1" x14ac:dyDescent="0.15">
      <c r="B28" s="80" t="s">
        <v>143</v>
      </c>
      <c r="C28" s="81">
        <f t="shared" ref="C28:Q28" si="2">SUM(C10:C27)</f>
        <v>200</v>
      </c>
      <c r="D28" s="57">
        <f t="shared" si="2"/>
        <v>800</v>
      </c>
      <c r="E28" s="58">
        <f t="shared" si="2"/>
        <v>188</v>
      </c>
      <c r="F28" s="59">
        <f t="shared" si="2"/>
        <v>174</v>
      </c>
      <c r="G28" s="60">
        <f t="shared" si="2"/>
        <v>0</v>
      </c>
      <c r="H28" s="61">
        <f t="shared" si="2"/>
        <v>0</v>
      </c>
      <c r="I28" s="58">
        <f t="shared" si="2"/>
        <v>0</v>
      </c>
      <c r="J28" s="59">
        <f t="shared" si="2"/>
        <v>0</v>
      </c>
      <c r="K28" s="60">
        <f t="shared" si="2"/>
        <v>0</v>
      </c>
      <c r="L28" s="61">
        <f t="shared" si="2"/>
        <v>0</v>
      </c>
      <c r="M28" s="58">
        <f t="shared" si="2"/>
        <v>0</v>
      </c>
      <c r="N28" s="59">
        <f t="shared" si="2"/>
        <v>0</v>
      </c>
      <c r="O28" s="60">
        <f t="shared" si="2"/>
        <v>0</v>
      </c>
      <c r="P28" s="61">
        <f t="shared" si="2"/>
        <v>0</v>
      </c>
      <c r="Q28" s="62">
        <f t="shared" si="2"/>
        <v>188</v>
      </c>
      <c r="R28" s="63">
        <f>Q28/D28</f>
        <v>0.23499999999999999</v>
      </c>
    </row>
    <row r="40" ht="24.95" customHeight="1" x14ac:dyDescent="0.15"/>
    <row r="79" spans="2:2" ht="18.75" customHeight="1" x14ac:dyDescent="0.15">
      <c r="B79" s="92" t="s">
        <v>68</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showZeros="0" view="pageBreakPreview" zoomScaleNormal="100" zoomScaleSheetLayoutView="100" workbookViewId="0">
      <selection activeCell="B93" sqref="B93:J104"/>
    </sheetView>
  </sheetViews>
  <sheetFormatPr defaultColWidth="11.375" defaultRowHeight="18.75" customHeight="1" x14ac:dyDescent="0.15"/>
  <cols>
    <col min="1" max="1" width="2.875" style="2" customWidth="1"/>
    <col min="2" max="2" width="16.625" style="1" customWidth="1"/>
    <col min="3" max="3" width="8.875" style="1" customWidth="1"/>
    <col min="4" max="4" width="2.125" style="1" customWidth="1"/>
    <col min="5" max="5" width="16.625" style="1" customWidth="1"/>
    <col min="6" max="6" width="8.875" style="1" customWidth="1"/>
    <col min="7" max="7" width="2.125" style="1" customWidth="1"/>
    <col min="8" max="8" width="16.625" style="1" customWidth="1"/>
    <col min="9" max="9" width="8.875" style="1" customWidth="1"/>
    <col min="10" max="10" width="2.125" style="1" customWidth="1"/>
    <col min="11" max="11" width="11.375" style="27"/>
    <col min="12" max="16384" width="11.375" style="1"/>
  </cols>
  <sheetData>
    <row r="1" spans="1:11" ht="18.75" customHeight="1" x14ac:dyDescent="0.15">
      <c r="A1" s="2" t="s">
        <v>144</v>
      </c>
      <c r="J1" s="33" t="s">
        <v>145</v>
      </c>
    </row>
    <row r="2" spans="1:11" ht="18.75" customHeight="1" x14ac:dyDescent="0.15">
      <c r="A2" s="233" t="s">
        <v>146</v>
      </c>
      <c r="B2" s="233"/>
      <c r="C2" s="233"/>
      <c r="D2" s="233"/>
      <c r="E2" s="233"/>
      <c r="F2" s="233"/>
      <c r="G2" s="233"/>
      <c r="H2" s="233"/>
      <c r="I2" s="233"/>
      <c r="J2" s="233"/>
    </row>
    <row r="3" spans="1:11" ht="7.5" customHeight="1" x14ac:dyDescent="0.15">
      <c r="B3" s="30"/>
      <c r="C3" s="30"/>
      <c r="D3" s="30"/>
      <c r="E3" s="30"/>
      <c r="F3" s="30"/>
      <c r="G3" s="30"/>
      <c r="H3" s="30"/>
      <c r="I3" s="30"/>
      <c r="J3" s="30"/>
    </row>
    <row r="4" spans="1:11" ht="18.75" customHeight="1" x14ac:dyDescent="0.15">
      <c r="A4" s="1" t="s">
        <v>2</v>
      </c>
      <c r="B4" s="4" t="s">
        <v>147</v>
      </c>
      <c r="C4" s="4"/>
      <c r="D4" s="4"/>
      <c r="E4" s="4"/>
      <c r="F4" s="4"/>
      <c r="G4" s="4"/>
      <c r="H4" s="4"/>
      <c r="I4" s="30"/>
      <c r="J4" s="30"/>
    </row>
    <row r="5" spans="1:11" ht="18.75" customHeight="1" x14ac:dyDescent="0.15">
      <c r="A5" s="1"/>
      <c r="B5" s="118" t="s">
        <v>148</v>
      </c>
      <c r="C5" s="258"/>
      <c r="D5" s="258"/>
      <c r="E5" s="258"/>
      <c r="F5" s="258"/>
      <c r="G5" s="258"/>
      <c r="H5" s="258"/>
      <c r="I5" s="258"/>
      <c r="J5" s="259"/>
      <c r="K5" s="27" t="str">
        <f>IF(B5="","入力してください","")</f>
        <v/>
      </c>
    </row>
    <row r="6" spans="1:11" ht="7.5" customHeight="1" x14ac:dyDescent="0.15">
      <c r="B6" s="30"/>
      <c r="C6" s="30"/>
      <c r="D6" s="30"/>
      <c r="E6" s="30"/>
      <c r="F6" s="30"/>
      <c r="G6" s="30"/>
      <c r="H6" s="30"/>
      <c r="I6" s="30"/>
      <c r="J6" s="30"/>
    </row>
    <row r="7" spans="1:11" s="4" customFormat="1" ht="18.75" customHeight="1" x14ac:dyDescent="0.15">
      <c r="A7" s="1" t="s">
        <v>5</v>
      </c>
      <c r="B7" s="1" t="s">
        <v>149</v>
      </c>
      <c r="C7" s="1"/>
      <c r="D7" s="1"/>
      <c r="E7" s="1"/>
      <c r="F7" s="1"/>
      <c r="G7" s="1"/>
      <c r="H7" s="1"/>
      <c r="I7" s="1"/>
      <c r="J7" s="1"/>
      <c r="K7" s="27"/>
    </row>
    <row r="8" spans="1:11" s="4" customFormat="1" ht="18.75" customHeight="1" x14ac:dyDescent="0.15">
      <c r="A8" s="82"/>
      <c r="B8" s="260" t="s">
        <v>150</v>
      </c>
      <c r="C8" s="261"/>
      <c r="D8" s="261"/>
      <c r="E8" s="261"/>
      <c r="F8" s="261"/>
      <c r="G8" s="261"/>
      <c r="H8" s="261"/>
      <c r="I8" s="262"/>
      <c r="J8" s="263"/>
      <c r="K8" s="27" t="str">
        <f>IF(B8="","入力してください","")</f>
        <v/>
      </c>
    </row>
    <row r="9" spans="1:11" s="4" customFormat="1" ht="18.75" customHeight="1" x14ac:dyDescent="0.15">
      <c r="A9" s="82"/>
      <c r="B9" s="264"/>
      <c r="C9" s="265"/>
      <c r="D9" s="265"/>
      <c r="E9" s="265"/>
      <c r="F9" s="265"/>
      <c r="G9" s="265"/>
      <c r="H9" s="265"/>
      <c r="I9" s="265"/>
      <c r="J9" s="266"/>
      <c r="K9" s="27"/>
    </row>
    <row r="10" spans="1:11" s="4" customFormat="1" ht="18.75" customHeight="1" x14ac:dyDescent="0.15">
      <c r="A10" s="82"/>
      <c r="B10" s="264"/>
      <c r="C10" s="265"/>
      <c r="D10" s="265"/>
      <c r="E10" s="265"/>
      <c r="F10" s="265"/>
      <c r="G10" s="265"/>
      <c r="H10" s="265"/>
      <c r="I10" s="265"/>
      <c r="J10" s="266"/>
      <c r="K10" s="27"/>
    </row>
    <row r="11" spans="1:11" s="4" customFormat="1" ht="18.75" customHeight="1" x14ac:dyDescent="0.15">
      <c r="A11" s="82"/>
      <c r="B11" s="264"/>
      <c r="C11" s="265"/>
      <c r="D11" s="265"/>
      <c r="E11" s="265"/>
      <c r="F11" s="265"/>
      <c r="G11" s="265"/>
      <c r="H11" s="265"/>
      <c r="I11" s="265"/>
      <c r="J11" s="266"/>
      <c r="K11" s="27"/>
    </row>
    <row r="12" spans="1:11" s="4" customFormat="1" ht="18.75" customHeight="1" x14ac:dyDescent="0.15">
      <c r="A12" s="82"/>
      <c r="B12" s="267"/>
      <c r="C12" s="268"/>
      <c r="D12" s="268"/>
      <c r="E12" s="268"/>
      <c r="F12" s="268"/>
      <c r="G12" s="268"/>
      <c r="H12" s="268"/>
      <c r="I12" s="268"/>
      <c r="J12" s="269"/>
      <c r="K12" s="27"/>
    </row>
    <row r="13" spans="1:11" s="4" customFormat="1" ht="7.5" customHeight="1" x14ac:dyDescent="0.15">
      <c r="A13" s="82"/>
      <c r="B13" s="82"/>
      <c r="C13" s="82"/>
      <c r="D13" s="82"/>
      <c r="E13" s="82"/>
      <c r="F13" s="82"/>
      <c r="G13" s="82"/>
      <c r="H13" s="82"/>
      <c r="I13" s="82"/>
      <c r="J13" s="82"/>
      <c r="K13" s="27"/>
    </row>
    <row r="14" spans="1:11" s="4" customFormat="1" ht="18.75" customHeight="1" x14ac:dyDescent="0.15">
      <c r="A14" s="83" t="s">
        <v>151</v>
      </c>
      <c r="B14" s="83" t="s">
        <v>152</v>
      </c>
      <c r="C14" s="83"/>
      <c r="D14" s="83"/>
      <c r="E14" s="83"/>
      <c r="F14" s="83"/>
      <c r="G14" s="83"/>
      <c r="H14" s="83"/>
      <c r="I14" s="83"/>
      <c r="J14" s="83"/>
      <c r="K14" s="27"/>
    </row>
    <row r="15" spans="1:11" s="4" customFormat="1" ht="18.75" customHeight="1" x14ac:dyDescent="0.15">
      <c r="A15" s="82"/>
      <c r="B15" s="260" t="s">
        <v>153</v>
      </c>
      <c r="C15" s="261"/>
      <c r="D15" s="261"/>
      <c r="E15" s="261"/>
      <c r="F15" s="261"/>
      <c r="G15" s="261"/>
      <c r="H15" s="261"/>
      <c r="I15" s="270"/>
      <c r="J15" s="271"/>
      <c r="K15" s="27" t="str">
        <f>IF(B15="","入力してください","")</f>
        <v/>
      </c>
    </row>
    <row r="16" spans="1:11" s="4" customFormat="1" ht="18.75" customHeight="1" x14ac:dyDescent="0.15">
      <c r="A16" s="82"/>
      <c r="B16" s="272"/>
      <c r="C16" s="273"/>
      <c r="D16" s="273"/>
      <c r="E16" s="273"/>
      <c r="F16" s="273"/>
      <c r="G16" s="273"/>
      <c r="H16" s="273"/>
      <c r="I16" s="273"/>
      <c r="J16" s="274"/>
      <c r="K16" s="27"/>
    </row>
    <row r="17" spans="1:11" s="4" customFormat="1" ht="18.75" customHeight="1" x14ac:dyDescent="0.15">
      <c r="A17" s="82"/>
      <c r="B17" s="272"/>
      <c r="C17" s="273"/>
      <c r="D17" s="273"/>
      <c r="E17" s="273"/>
      <c r="F17" s="273"/>
      <c r="G17" s="273"/>
      <c r="H17" s="273"/>
      <c r="I17" s="273"/>
      <c r="J17" s="274"/>
      <c r="K17" s="27"/>
    </row>
    <row r="18" spans="1:11" s="4" customFormat="1" ht="18.75" customHeight="1" x14ac:dyDescent="0.15">
      <c r="A18" s="82"/>
      <c r="B18" s="272"/>
      <c r="C18" s="273"/>
      <c r="D18" s="273"/>
      <c r="E18" s="273"/>
      <c r="F18" s="273"/>
      <c r="G18" s="273"/>
      <c r="H18" s="273"/>
      <c r="I18" s="273"/>
      <c r="J18" s="274"/>
      <c r="K18" s="27"/>
    </row>
    <row r="19" spans="1:11" s="4" customFormat="1" ht="18.75" customHeight="1" x14ac:dyDescent="0.15">
      <c r="A19" s="82"/>
      <c r="B19" s="272"/>
      <c r="C19" s="273"/>
      <c r="D19" s="273"/>
      <c r="E19" s="273"/>
      <c r="F19" s="273"/>
      <c r="G19" s="273"/>
      <c r="H19" s="273"/>
      <c r="I19" s="273"/>
      <c r="J19" s="274"/>
      <c r="K19" s="27"/>
    </row>
    <row r="20" spans="1:11" s="4" customFormat="1" ht="18.75" customHeight="1" x14ac:dyDescent="0.15">
      <c r="A20" s="82"/>
      <c r="B20" s="272"/>
      <c r="C20" s="273"/>
      <c r="D20" s="273"/>
      <c r="E20" s="273"/>
      <c r="F20" s="273"/>
      <c r="G20" s="273"/>
      <c r="H20" s="273"/>
      <c r="I20" s="273"/>
      <c r="J20" s="274"/>
      <c r="K20" s="27"/>
    </row>
    <row r="21" spans="1:11" s="4" customFormat="1" ht="18.75" customHeight="1" x14ac:dyDescent="0.15">
      <c r="A21" s="82"/>
      <c r="B21" s="272"/>
      <c r="C21" s="273"/>
      <c r="D21" s="273"/>
      <c r="E21" s="273"/>
      <c r="F21" s="273"/>
      <c r="G21" s="273"/>
      <c r="H21" s="273"/>
      <c r="I21" s="273"/>
      <c r="J21" s="274"/>
      <c r="K21" s="27"/>
    </row>
    <row r="22" spans="1:11" s="4" customFormat="1" ht="18.75" customHeight="1" x14ac:dyDescent="0.15">
      <c r="A22" s="82"/>
      <c r="B22" s="272"/>
      <c r="C22" s="273"/>
      <c r="D22" s="273"/>
      <c r="E22" s="273"/>
      <c r="F22" s="273"/>
      <c r="G22" s="273"/>
      <c r="H22" s="273"/>
      <c r="I22" s="273"/>
      <c r="J22" s="274"/>
      <c r="K22" s="27"/>
    </row>
    <row r="23" spans="1:11" s="4" customFormat="1" ht="18.75" customHeight="1" x14ac:dyDescent="0.15">
      <c r="A23" s="82"/>
      <c r="B23" s="275"/>
      <c r="C23" s="276"/>
      <c r="D23" s="276"/>
      <c r="E23" s="276"/>
      <c r="F23" s="276"/>
      <c r="G23" s="276"/>
      <c r="H23" s="276"/>
      <c r="I23" s="276"/>
      <c r="J23" s="277"/>
      <c r="K23" s="27"/>
    </row>
    <row r="24" spans="1:11" ht="7.5" customHeight="1" x14ac:dyDescent="0.15">
      <c r="A24" s="31"/>
      <c r="B24" s="31"/>
      <c r="C24" s="31"/>
      <c r="D24" s="31"/>
      <c r="E24" s="31"/>
      <c r="F24" s="31"/>
      <c r="G24" s="31"/>
      <c r="H24" s="31"/>
      <c r="I24" s="31"/>
      <c r="J24" s="31"/>
    </row>
    <row r="25" spans="1:11" s="4" customFormat="1" ht="18.75" customHeight="1" x14ac:dyDescent="0.15">
      <c r="A25" s="1" t="s">
        <v>11</v>
      </c>
      <c r="B25" s="1" t="s">
        <v>154</v>
      </c>
      <c r="C25" s="1"/>
      <c r="D25" s="1"/>
      <c r="E25" s="1"/>
      <c r="F25" s="1"/>
      <c r="G25" s="1"/>
      <c r="H25" s="1"/>
      <c r="I25" s="1"/>
      <c r="J25" s="1"/>
      <c r="K25" s="27"/>
    </row>
    <row r="26" spans="1:11" s="25" customFormat="1" ht="18.75" customHeight="1" x14ac:dyDescent="0.15">
      <c r="B26" s="84" t="s">
        <v>155</v>
      </c>
      <c r="C26" s="85">
        <f>'様式３　履修者等数の実績'!R28</f>
        <v>0.23499999999999999</v>
      </c>
      <c r="D26" s="86"/>
      <c r="E26" s="86" t="s">
        <v>156</v>
      </c>
      <c r="F26" s="85">
        <v>0.48</v>
      </c>
      <c r="G26" s="86"/>
      <c r="H26" s="86" t="s">
        <v>157</v>
      </c>
      <c r="I26" s="87">
        <v>0.72</v>
      </c>
      <c r="J26" s="88"/>
      <c r="K26" s="27"/>
    </row>
    <row r="27" spans="1:11" s="25" customFormat="1" ht="18.75" customHeight="1" x14ac:dyDescent="0.15">
      <c r="B27" s="72" t="s">
        <v>158</v>
      </c>
      <c r="C27" s="89">
        <v>0.96</v>
      </c>
      <c r="D27" s="73"/>
      <c r="E27" s="73" t="s">
        <v>159</v>
      </c>
      <c r="F27" s="89">
        <v>0.96</v>
      </c>
      <c r="G27" s="73"/>
      <c r="H27" s="73" t="s">
        <v>160</v>
      </c>
      <c r="I27" s="90">
        <f>'様式３　履修者等数の実績'!D28</f>
        <v>800</v>
      </c>
      <c r="J27" s="91"/>
      <c r="K27" s="27"/>
    </row>
    <row r="28" spans="1:11" s="4" customFormat="1" ht="18.75" customHeight="1" x14ac:dyDescent="0.15">
      <c r="A28" s="1"/>
      <c r="B28" s="176" t="s">
        <v>161</v>
      </c>
      <c r="C28" s="177"/>
      <c r="D28" s="177"/>
      <c r="E28" s="177"/>
      <c r="F28" s="177"/>
      <c r="G28" s="177"/>
      <c r="H28" s="177"/>
      <c r="I28" s="177"/>
      <c r="J28" s="178"/>
      <c r="K28" s="27"/>
    </row>
    <row r="29" spans="1:11" s="4" customFormat="1" ht="18.75" customHeight="1" x14ac:dyDescent="0.15">
      <c r="A29" s="1"/>
      <c r="B29" s="249" t="s">
        <v>162</v>
      </c>
      <c r="C29" s="250"/>
      <c r="D29" s="250"/>
      <c r="E29" s="250"/>
      <c r="F29" s="250"/>
      <c r="G29" s="250"/>
      <c r="H29" s="250"/>
      <c r="I29" s="250"/>
      <c r="J29" s="251"/>
      <c r="K29" s="27"/>
    </row>
    <row r="30" spans="1:11" s="4" customFormat="1" ht="18.75" customHeight="1" x14ac:dyDescent="0.15">
      <c r="A30" s="1"/>
      <c r="B30" s="252"/>
      <c r="C30" s="253"/>
      <c r="D30" s="253"/>
      <c r="E30" s="253"/>
      <c r="F30" s="253"/>
      <c r="G30" s="253"/>
      <c r="H30" s="253"/>
      <c r="I30" s="253"/>
      <c r="J30" s="254"/>
      <c r="K30" s="27"/>
    </row>
    <row r="31" spans="1:11" s="4" customFormat="1" ht="18.75" customHeight="1" x14ac:dyDescent="0.15">
      <c r="A31" s="1"/>
      <c r="B31" s="252"/>
      <c r="C31" s="253"/>
      <c r="D31" s="253"/>
      <c r="E31" s="253"/>
      <c r="F31" s="253"/>
      <c r="G31" s="253"/>
      <c r="H31" s="253"/>
      <c r="I31" s="253"/>
      <c r="J31" s="254"/>
      <c r="K31" s="27"/>
    </row>
    <row r="32" spans="1:11" s="4" customFormat="1" ht="18.75" customHeight="1" x14ac:dyDescent="0.15">
      <c r="A32" s="1"/>
      <c r="B32" s="252"/>
      <c r="C32" s="253"/>
      <c r="D32" s="253"/>
      <c r="E32" s="253"/>
      <c r="F32" s="253"/>
      <c r="G32" s="253"/>
      <c r="H32" s="253"/>
      <c r="I32" s="253"/>
      <c r="J32" s="254"/>
      <c r="K32" s="27"/>
    </row>
    <row r="33" spans="1:11" s="4" customFormat="1" ht="18.75" customHeight="1" x14ac:dyDescent="0.15">
      <c r="A33" s="1"/>
      <c r="B33" s="252"/>
      <c r="C33" s="253"/>
      <c r="D33" s="253"/>
      <c r="E33" s="253"/>
      <c r="F33" s="253"/>
      <c r="G33" s="253"/>
      <c r="H33" s="253"/>
      <c r="I33" s="253"/>
      <c r="J33" s="254"/>
      <c r="K33" s="27"/>
    </row>
    <row r="34" spans="1:11" s="4" customFormat="1" ht="18.75" customHeight="1" x14ac:dyDescent="0.15">
      <c r="A34" s="1"/>
      <c r="B34" s="252"/>
      <c r="C34" s="253"/>
      <c r="D34" s="253"/>
      <c r="E34" s="253"/>
      <c r="F34" s="253"/>
      <c r="G34" s="253"/>
      <c r="H34" s="253"/>
      <c r="I34" s="253"/>
      <c r="J34" s="254"/>
      <c r="K34" s="27"/>
    </row>
    <row r="35" spans="1:11" s="4" customFormat="1" ht="18.75" customHeight="1" x14ac:dyDescent="0.15">
      <c r="A35" s="1"/>
      <c r="B35" s="252"/>
      <c r="C35" s="253"/>
      <c r="D35" s="253"/>
      <c r="E35" s="253"/>
      <c r="F35" s="253"/>
      <c r="G35" s="253"/>
      <c r="H35" s="253"/>
      <c r="I35" s="253"/>
      <c r="J35" s="254"/>
      <c r="K35" s="27"/>
    </row>
    <row r="36" spans="1:11" s="4" customFormat="1" ht="18.75" customHeight="1" x14ac:dyDescent="0.15">
      <c r="A36" s="1"/>
      <c r="B36" s="252"/>
      <c r="C36" s="253"/>
      <c r="D36" s="253"/>
      <c r="E36" s="253"/>
      <c r="F36" s="253"/>
      <c r="G36" s="253"/>
      <c r="H36" s="253"/>
      <c r="I36" s="253"/>
      <c r="J36" s="254"/>
      <c r="K36" s="27"/>
    </row>
    <row r="37" spans="1:11" s="4" customFormat="1" ht="18.75" customHeight="1" x14ac:dyDescent="0.15">
      <c r="A37" s="1"/>
      <c r="B37" s="252"/>
      <c r="C37" s="253"/>
      <c r="D37" s="253"/>
      <c r="E37" s="253"/>
      <c r="F37" s="253"/>
      <c r="G37" s="253"/>
      <c r="H37" s="253"/>
      <c r="I37" s="253"/>
      <c r="J37" s="254"/>
      <c r="K37" s="27"/>
    </row>
    <row r="38" spans="1:11" s="4" customFormat="1" ht="18.75" customHeight="1" x14ac:dyDescent="0.15">
      <c r="A38" s="1"/>
      <c r="B38" s="252"/>
      <c r="C38" s="253"/>
      <c r="D38" s="253"/>
      <c r="E38" s="253"/>
      <c r="F38" s="253"/>
      <c r="G38" s="253"/>
      <c r="H38" s="253"/>
      <c r="I38" s="253"/>
      <c r="J38" s="254"/>
      <c r="K38" s="27"/>
    </row>
    <row r="39" spans="1:11" s="4" customFormat="1" ht="18.75" customHeight="1" x14ac:dyDescent="0.15">
      <c r="A39" s="1"/>
      <c r="B39" s="255"/>
      <c r="C39" s="256"/>
      <c r="D39" s="256"/>
      <c r="E39" s="256"/>
      <c r="F39" s="256"/>
      <c r="G39" s="256"/>
      <c r="H39" s="256"/>
      <c r="I39" s="256"/>
      <c r="J39" s="257"/>
      <c r="K39" s="27"/>
    </row>
    <row r="40" spans="1:11" s="4" customFormat="1" ht="24.95" customHeight="1" x14ac:dyDescent="0.15">
      <c r="A40" s="92" t="s">
        <v>14</v>
      </c>
      <c r="B40" s="1" t="s">
        <v>163</v>
      </c>
      <c r="C40" s="1"/>
      <c r="D40" s="1"/>
      <c r="E40" s="1"/>
      <c r="F40" s="1"/>
      <c r="G40" s="1"/>
      <c r="H40" s="1"/>
      <c r="I40" s="92"/>
      <c r="J40" s="92"/>
      <c r="K40" s="27"/>
    </row>
    <row r="41" spans="1:11" ht="18.75" customHeight="1" x14ac:dyDescent="0.15">
      <c r="A41" s="31"/>
      <c r="B41" s="260" t="s">
        <v>164</v>
      </c>
      <c r="C41" s="278"/>
      <c r="D41" s="278"/>
      <c r="E41" s="278"/>
      <c r="F41" s="278"/>
      <c r="G41" s="278"/>
      <c r="H41" s="278"/>
      <c r="I41" s="261"/>
      <c r="J41" s="279"/>
      <c r="K41" s="27" t="str">
        <f>IF(B41="","入力してください","")</f>
        <v/>
      </c>
    </row>
    <row r="42" spans="1:11" ht="18.75" customHeight="1" x14ac:dyDescent="0.15">
      <c r="A42" s="31"/>
      <c r="B42" s="280"/>
      <c r="C42" s="281"/>
      <c r="D42" s="281"/>
      <c r="E42" s="281"/>
      <c r="F42" s="281"/>
      <c r="G42" s="281"/>
      <c r="H42" s="281"/>
      <c r="I42" s="281"/>
      <c r="J42" s="282"/>
    </row>
    <row r="43" spans="1:11" ht="18.75" customHeight="1" x14ac:dyDescent="0.15">
      <c r="A43" s="31"/>
      <c r="B43" s="280"/>
      <c r="C43" s="281"/>
      <c r="D43" s="281"/>
      <c r="E43" s="281"/>
      <c r="F43" s="281"/>
      <c r="G43" s="281"/>
      <c r="H43" s="281"/>
      <c r="I43" s="281"/>
      <c r="J43" s="282"/>
    </row>
    <row r="44" spans="1:11" ht="18.75" customHeight="1" x14ac:dyDescent="0.15">
      <c r="A44" s="31"/>
      <c r="B44" s="280"/>
      <c r="C44" s="281"/>
      <c r="D44" s="281"/>
      <c r="E44" s="281"/>
      <c r="F44" s="281"/>
      <c r="G44" s="281"/>
      <c r="H44" s="281"/>
      <c r="I44" s="281"/>
      <c r="J44" s="282"/>
    </row>
    <row r="45" spans="1:11" ht="18.75" customHeight="1" x14ac:dyDescent="0.15">
      <c r="A45" s="31"/>
      <c r="B45" s="280"/>
      <c r="C45" s="281"/>
      <c r="D45" s="281"/>
      <c r="E45" s="281"/>
      <c r="F45" s="281"/>
      <c r="G45" s="281"/>
      <c r="H45" s="281"/>
      <c r="I45" s="281"/>
      <c r="J45" s="282"/>
    </row>
    <row r="46" spans="1:11" ht="18.75" customHeight="1" x14ac:dyDescent="0.15">
      <c r="A46" s="31"/>
      <c r="B46" s="280"/>
      <c r="C46" s="281"/>
      <c r="D46" s="281"/>
      <c r="E46" s="281"/>
      <c r="F46" s="281"/>
      <c r="G46" s="281"/>
      <c r="H46" s="281"/>
      <c r="I46" s="281"/>
      <c r="J46" s="282"/>
    </row>
    <row r="47" spans="1:11" ht="18.75" customHeight="1" x14ac:dyDescent="0.15">
      <c r="A47" s="31"/>
      <c r="B47" s="280"/>
      <c r="C47" s="281"/>
      <c r="D47" s="281"/>
      <c r="E47" s="281"/>
      <c r="F47" s="281"/>
      <c r="G47" s="281"/>
      <c r="H47" s="281"/>
      <c r="I47" s="281"/>
      <c r="J47" s="282"/>
    </row>
    <row r="48" spans="1:11" ht="18.75" customHeight="1" x14ac:dyDescent="0.15">
      <c r="A48" s="31"/>
      <c r="B48" s="280"/>
      <c r="C48" s="281"/>
      <c r="D48" s="281"/>
      <c r="E48" s="281"/>
      <c r="F48" s="281"/>
      <c r="G48" s="281"/>
      <c r="H48" s="281"/>
      <c r="I48" s="281"/>
      <c r="J48" s="282"/>
    </row>
    <row r="49" spans="1:11" ht="18.75" customHeight="1" x14ac:dyDescent="0.15">
      <c r="A49" s="31"/>
      <c r="B49" s="280"/>
      <c r="C49" s="281"/>
      <c r="D49" s="281"/>
      <c r="E49" s="281"/>
      <c r="F49" s="281"/>
      <c r="G49" s="281"/>
      <c r="H49" s="281"/>
      <c r="I49" s="281"/>
      <c r="J49" s="282"/>
    </row>
    <row r="50" spans="1:11" ht="18.75" customHeight="1" x14ac:dyDescent="0.15">
      <c r="A50" s="31"/>
      <c r="B50" s="280"/>
      <c r="C50" s="281"/>
      <c r="D50" s="281"/>
      <c r="E50" s="281"/>
      <c r="F50" s="281"/>
      <c r="G50" s="281"/>
      <c r="H50" s="281"/>
      <c r="I50" s="281"/>
      <c r="J50" s="282"/>
    </row>
    <row r="51" spans="1:11" ht="18.75" customHeight="1" x14ac:dyDescent="0.15">
      <c r="A51" s="31"/>
      <c r="B51" s="280"/>
      <c r="C51" s="281"/>
      <c r="D51" s="281"/>
      <c r="E51" s="281"/>
      <c r="F51" s="281"/>
      <c r="G51" s="281"/>
      <c r="H51" s="281"/>
      <c r="I51" s="281"/>
      <c r="J51" s="282"/>
    </row>
    <row r="52" spans="1:11" ht="18.75" customHeight="1" x14ac:dyDescent="0.15">
      <c r="A52" s="31"/>
      <c r="B52" s="280"/>
      <c r="C52" s="281"/>
      <c r="D52" s="281"/>
      <c r="E52" s="281"/>
      <c r="F52" s="281"/>
      <c r="G52" s="281"/>
      <c r="H52" s="281"/>
      <c r="I52" s="281"/>
      <c r="J52" s="282"/>
    </row>
    <row r="53" spans="1:11" ht="18.75" customHeight="1" x14ac:dyDescent="0.15">
      <c r="A53" s="31"/>
      <c r="B53" s="280"/>
      <c r="C53" s="281"/>
      <c r="D53" s="281"/>
      <c r="E53" s="281"/>
      <c r="F53" s="281"/>
      <c r="G53" s="281"/>
      <c r="H53" s="281"/>
      <c r="I53" s="281"/>
      <c r="J53" s="282"/>
    </row>
    <row r="54" spans="1:11" ht="18.75" customHeight="1" x14ac:dyDescent="0.15">
      <c r="A54" s="31"/>
      <c r="B54" s="280"/>
      <c r="C54" s="281"/>
      <c r="D54" s="281"/>
      <c r="E54" s="281"/>
      <c r="F54" s="281"/>
      <c r="G54" s="281"/>
      <c r="H54" s="281"/>
      <c r="I54" s="281"/>
      <c r="J54" s="282"/>
    </row>
    <row r="55" spans="1:11" ht="18.75" customHeight="1" x14ac:dyDescent="0.15">
      <c r="A55" s="31"/>
      <c r="B55" s="280"/>
      <c r="C55" s="281"/>
      <c r="D55" s="281"/>
      <c r="E55" s="281"/>
      <c r="F55" s="281"/>
      <c r="G55" s="281"/>
      <c r="H55" s="281"/>
      <c r="I55" s="281"/>
      <c r="J55" s="282"/>
    </row>
    <row r="56" spans="1:11" ht="18.75" customHeight="1" x14ac:dyDescent="0.15">
      <c r="A56" s="31"/>
      <c r="B56" s="280"/>
      <c r="C56" s="281"/>
      <c r="D56" s="281"/>
      <c r="E56" s="281"/>
      <c r="F56" s="281"/>
      <c r="G56" s="281"/>
      <c r="H56" s="281"/>
      <c r="I56" s="281"/>
      <c r="J56" s="282"/>
    </row>
    <row r="57" spans="1:11" ht="18.75" customHeight="1" x14ac:dyDescent="0.15">
      <c r="A57" s="31"/>
      <c r="B57" s="280"/>
      <c r="C57" s="281"/>
      <c r="D57" s="281"/>
      <c r="E57" s="281"/>
      <c r="F57" s="281"/>
      <c r="G57" s="281"/>
      <c r="H57" s="281"/>
      <c r="I57" s="281"/>
      <c r="J57" s="282"/>
    </row>
    <row r="58" spans="1:11" ht="18.75" customHeight="1" x14ac:dyDescent="0.15">
      <c r="A58" s="31"/>
      <c r="B58" s="280"/>
      <c r="C58" s="281"/>
      <c r="D58" s="281"/>
      <c r="E58" s="281"/>
      <c r="F58" s="281"/>
      <c r="G58" s="281"/>
      <c r="H58" s="281"/>
      <c r="I58" s="281"/>
      <c r="J58" s="282"/>
    </row>
    <row r="59" spans="1:11" ht="18.75" customHeight="1" x14ac:dyDescent="0.15">
      <c r="A59" s="31"/>
      <c r="B59" s="283"/>
      <c r="C59" s="284"/>
      <c r="D59" s="284"/>
      <c r="E59" s="284"/>
      <c r="F59" s="284"/>
      <c r="G59" s="284"/>
      <c r="H59" s="284"/>
      <c r="I59" s="284"/>
      <c r="J59" s="285"/>
    </row>
    <row r="60" spans="1:11" ht="7.5" customHeight="1" x14ac:dyDescent="0.15">
      <c r="A60" s="31"/>
      <c r="B60" s="31"/>
      <c r="C60" s="31"/>
      <c r="D60" s="31"/>
      <c r="E60" s="31"/>
      <c r="F60" s="31"/>
      <c r="G60" s="31"/>
      <c r="H60" s="31"/>
      <c r="I60" s="31"/>
      <c r="J60" s="31"/>
    </row>
    <row r="61" spans="1:11" s="4" customFormat="1" ht="18.75" customHeight="1" x14ac:dyDescent="0.15">
      <c r="A61" s="1" t="s">
        <v>17</v>
      </c>
      <c r="B61" s="1" t="s">
        <v>165</v>
      </c>
      <c r="C61" s="1"/>
      <c r="D61" s="1"/>
      <c r="E61" s="1"/>
      <c r="F61" s="1"/>
      <c r="G61" s="1"/>
      <c r="H61" s="1"/>
      <c r="I61" s="1"/>
      <c r="J61" s="1"/>
      <c r="K61" s="27"/>
    </row>
    <row r="62" spans="1:11" s="4" customFormat="1" ht="18.75" customHeight="1" x14ac:dyDescent="0.15">
      <c r="A62" s="1"/>
      <c r="B62" s="260" t="s">
        <v>166</v>
      </c>
      <c r="C62" s="278"/>
      <c r="D62" s="278"/>
      <c r="E62" s="278"/>
      <c r="F62" s="278"/>
      <c r="G62" s="278"/>
      <c r="H62" s="278"/>
      <c r="I62" s="262"/>
      <c r="J62" s="263"/>
      <c r="K62" s="27" t="str">
        <f>IF(B62="","入力してください","")</f>
        <v/>
      </c>
    </row>
    <row r="63" spans="1:11" s="4" customFormat="1" ht="18.75" customHeight="1" x14ac:dyDescent="0.15">
      <c r="A63" s="1"/>
      <c r="B63" s="264"/>
      <c r="C63" s="265"/>
      <c r="D63" s="265"/>
      <c r="E63" s="265"/>
      <c r="F63" s="265"/>
      <c r="G63" s="265"/>
      <c r="H63" s="265"/>
      <c r="I63" s="265"/>
      <c r="J63" s="266"/>
      <c r="K63" s="27"/>
    </row>
    <row r="64" spans="1:11" s="4" customFormat="1" ht="18.75" customHeight="1" x14ac:dyDescent="0.15">
      <c r="A64" s="1"/>
      <c r="B64" s="264"/>
      <c r="C64" s="265"/>
      <c r="D64" s="265"/>
      <c r="E64" s="265"/>
      <c r="F64" s="265"/>
      <c r="G64" s="265"/>
      <c r="H64" s="265"/>
      <c r="I64" s="265"/>
      <c r="J64" s="266"/>
      <c r="K64" s="27"/>
    </row>
    <row r="65" spans="1:11" s="4" customFormat="1" ht="18.75" customHeight="1" x14ac:dyDescent="0.15">
      <c r="A65" s="1"/>
      <c r="B65" s="264"/>
      <c r="C65" s="265"/>
      <c r="D65" s="265"/>
      <c r="E65" s="265"/>
      <c r="F65" s="265"/>
      <c r="G65" s="265"/>
      <c r="H65" s="265"/>
      <c r="I65" s="265"/>
      <c r="J65" s="266"/>
      <c r="K65" s="27"/>
    </row>
    <row r="66" spans="1:11" s="4" customFormat="1" ht="18.75" customHeight="1" x14ac:dyDescent="0.15">
      <c r="A66" s="1"/>
      <c r="B66" s="264"/>
      <c r="C66" s="265"/>
      <c r="D66" s="265"/>
      <c r="E66" s="265"/>
      <c r="F66" s="265"/>
      <c r="G66" s="265"/>
      <c r="H66" s="265"/>
      <c r="I66" s="265"/>
      <c r="J66" s="266"/>
      <c r="K66" s="27"/>
    </row>
    <row r="67" spans="1:11" s="4" customFormat="1" ht="18.75" customHeight="1" x14ac:dyDescent="0.15">
      <c r="A67" s="1"/>
      <c r="B67" s="264"/>
      <c r="C67" s="265"/>
      <c r="D67" s="265"/>
      <c r="E67" s="265"/>
      <c r="F67" s="265"/>
      <c r="G67" s="265"/>
      <c r="H67" s="265"/>
      <c r="I67" s="265"/>
      <c r="J67" s="266"/>
      <c r="K67" s="27"/>
    </row>
    <row r="68" spans="1:11" s="4" customFormat="1" ht="18.75" customHeight="1" x14ac:dyDescent="0.15">
      <c r="A68" s="1"/>
      <c r="B68" s="264"/>
      <c r="C68" s="265"/>
      <c r="D68" s="265"/>
      <c r="E68" s="265"/>
      <c r="F68" s="265"/>
      <c r="G68" s="265"/>
      <c r="H68" s="265"/>
      <c r="I68" s="265"/>
      <c r="J68" s="266"/>
      <c r="K68" s="27"/>
    </row>
    <row r="69" spans="1:11" s="4" customFormat="1" ht="18.75" customHeight="1" x14ac:dyDescent="0.15">
      <c r="A69" s="1"/>
      <c r="B69" s="264"/>
      <c r="C69" s="265"/>
      <c r="D69" s="265"/>
      <c r="E69" s="265"/>
      <c r="F69" s="265"/>
      <c r="G69" s="265"/>
      <c r="H69" s="265"/>
      <c r="I69" s="265"/>
      <c r="J69" s="266"/>
      <c r="K69" s="27"/>
    </row>
    <row r="70" spans="1:11" s="4" customFormat="1" ht="18.75" customHeight="1" x14ac:dyDescent="0.15">
      <c r="A70" s="1"/>
      <c r="B70" s="264"/>
      <c r="C70" s="265"/>
      <c r="D70" s="265"/>
      <c r="E70" s="265"/>
      <c r="F70" s="265"/>
      <c r="G70" s="265"/>
      <c r="H70" s="265"/>
      <c r="I70" s="265"/>
      <c r="J70" s="266"/>
      <c r="K70" s="27"/>
    </row>
    <row r="71" spans="1:11" s="4" customFormat="1" ht="18.75" customHeight="1" x14ac:dyDescent="0.15">
      <c r="A71" s="1"/>
      <c r="B71" s="264"/>
      <c r="C71" s="265"/>
      <c r="D71" s="265"/>
      <c r="E71" s="265"/>
      <c r="F71" s="265"/>
      <c r="G71" s="265"/>
      <c r="H71" s="265"/>
      <c r="I71" s="265"/>
      <c r="J71" s="266"/>
      <c r="K71" s="27"/>
    </row>
    <row r="72" spans="1:11" s="4" customFormat="1" ht="18.75" customHeight="1" x14ac:dyDescent="0.15">
      <c r="A72" s="1"/>
      <c r="B72" s="264"/>
      <c r="C72" s="265"/>
      <c r="D72" s="265"/>
      <c r="E72" s="265"/>
      <c r="F72" s="265"/>
      <c r="G72" s="265"/>
      <c r="H72" s="265"/>
      <c r="I72" s="265"/>
      <c r="J72" s="266"/>
      <c r="K72" s="27"/>
    </row>
    <row r="73" spans="1:11" s="4" customFormat="1" ht="18.75" customHeight="1" x14ac:dyDescent="0.15">
      <c r="A73" s="1"/>
      <c r="B73" s="264"/>
      <c r="C73" s="265"/>
      <c r="D73" s="265"/>
      <c r="E73" s="265"/>
      <c r="F73" s="265"/>
      <c r="G73" s="265"/>
      <c r="H73" s="265"/>
      <c r="I73" s="265"/>
      <c r="J73" s="266"/>
      <c r="K73" s="27"/>
    </row>
    <row r="74" spans="1:11" s="4" customFormat="1" ht="18.75" customHeight="1" x14ac:dyDescent="0.15">
      <c r="A74" s="1"/>
      <c r="B74" s="264"/>
      <c r="C74" s="265"/>
      <c r="D74" s="265"/>
      <c r="E74" s="265"/>
      <c r="F74" s="265"/>
      <c r="G74" s="265"/>
      <c r="H74" s="265"/>
      <c r="I74" s="265"/>
      <c r="J74" s="266"/>
      <c r="K74" s="27"/>
    </row>
    <row r="75" spans="1:11" ht="18.75" customHeight="1" x14ac:dyDescent="0.15">
      <c r="A75" s="31"/>
      <c r="B75" s="264"/>
      <c r="C75" s="265"/>
      <c r="D75" s="265"/>
      <c r="E75" s="265"/>
      <c r="F75" s="265"/>
      <c r="G75" s="265"/>
      <c r="H75" s="265"/>
      <c r="I75" s="265"/>
      <c r="J75" s="266"/>
    </row>
    <row r="76" spans="1:11" ht="18.75" customHeight="1" x14ac:dyDescent="0.15">
      <c r="A76" s="31"/>
      <c r="B76" s="267"/>
      <c r="C76" s="268"/>
      <c r="D76" s="268"/>
      <c r="E76" s="268"/>
      <c r="F76" s="268"/>
      <c r="G76" s="268"/>
      <c r="H76" s="268"/>
      <c r="I76" s="268"/>
      <c r="J76" s="269"/>
    </row>
    <row r="77" spans="1:11" ht="7.5" customHeight="1" x14ac:dyDescent="0.15">
      <c r="A77" s="31"/>
      <c r="B77" s="31"/>
      <c r="C77" s="31"/>
      <c r="D77" s="31"/>
      <c r="E77" s="31"/>
      <c r="F77" s="31"/>
      <c r="G77" s="31"/>
      <c r="H77" s="31"/>
      <c r="I77" s="31"/>
      <c r="J77" s="31"/>
    </row>
    <row r="78" spans="1:11" s="4" customFormat="1" ht="18.75" customHeight="1" x14ac:dyDescent="0.15">
      <c r="A78" s="1" t="s">
        <v>167</v>
      </c>
      <c r="B78" s="1" t="s">
        <v>168</v>
      </c>
      <c r="C78" s="1"/>
      <c r="D78" s="1"/>
      <c r="E78" s="1"/>
      <c r="F78" s="1"/>
      <c r="G78" s="1"/>
      <c r="H78" s="1"/>
      <c r="I78" s="1"/>
      <c r="J78" s="1"/>
      <c r="K78" s="27"/>
    </row>
    <row r="79" spans="1:11" s="4" customFormat="1" ht="18.75" customHeight="1" x14ac:dyDescent="0.15">
      <c r="A79" s="1"/>
      <c r="B79" s="260" t="s">
        <v>169</v>
      </c>
      <c r="C79" s="278"/>
      <c r="D79" s="278"/>
      <c r="E79" s="278"/>
      <c r="F79" s="278"/>
      <c r="G79" s="278"/>
      <c r="H79" s="278"/>
      <c r="I79" s="262"/>
      <c r="J79" s="263"/>
      <c r="K79" s="27"/>
    </row>
    <row r="80" spans="1:11" s="4" customFormat="1" ht="18.75" customHeight="1" x14ac:dyDescent="0.15">
      <c r="A80" s="1"/>
      <c r="B80" s="264"/>
      <c r="C80" s="265"/>
      <c r="D80" s="265"/>
      <c r="E80" s="265"/>
      <c r="F80" s="265"/>
      <c r="G80" s="265"/>
      <c r="H80" s="265"/>
      <c r="I80" s="265"/>
      <c r="J80" s="266"/>
      <c r="K80" s="27"/>
    </row>
    <row r="81" spans="1:11" s="4" customFormat="1" ht="18.75" customHeight="1" x14ac:dyDescent="0.15">
      <c r="A81" s="1"/>
      <c r="B81" s="264"/>
      <c r="C81" s="265"/>
      <c r="D81" s="265"/>
      <c r="E81" s="265"/>
      <c r="F81" s="265"/>
      <c r="G81" s="265"/>
      <c r="H81" s="265"/>
      <c r="I81" s="265"/>
      <c r="J81" s="266"/>
      <c r="K81" s="27" t="str">
        <f>IF(B79="","入力してください","")</f>
        <v/>
      </c>
    </row>
    <row r="82" spans="1:11" s="4" customFormat="1" ht="18.75" customHeight="1" x14ac:dyDescent="0.15">
      <c r="A82" s="1"/>
      <c r="B82" s="264"/>
      <c r="C82" s="265"/>
      <c r="D82" s="265"/>
      <c r="E82" s="265"/>
      <c r="F82" s="265"/>
      <c r="G82" s="265"/>
      <c r="H82" s="265"/>
      <c r="I82" s="265"/>
      <c r="J82" s="266"/>
      <c r="K82" s="27"/>
    </row>
    <row r="83" spans="1:11" s="4" customFormat="1" ht="18.75" customHeight="1" x14ac:dyDescent="0.15">
      <c r="A83" s="1"/>
      <c r="B83" s="264"/>
      <c r="C83" s="265"/>
      <c r="D83" s="265"/>
      <c r="E83" s="265"/>
      <c r="F83" s="265"/>
      <c r="G83" s="265"/>
      <c r="H83" s="265"/>
      <c r="I83" s="265"/>
      <c r="J83" s="266"/>
      <c r="K83" s="27"/>
    </row>
    <row r="84" spans="1:11" s="4" customFormat="1" ht="18.75" customHeight="1" x14ac:dyDescent="0.15">
      <c r="A84" s="1"/>
      <c r="B84" s="264"/>
      <c r="C84" s="265"/>
      <c r="D84" s="265"/>
      <c r="E84" s="265"/>
      <c r="F84" s="265"/>
      <c r="G84" s="265"/>
      <c r="H84" s="265"/>
      <c r="I84" s="265"/>
      <c r="J84" s="266"/>
      <c r="K84" s="27"/>
    </row>
    <row r="85" spans="1:11" s="4" customFormat="1" ht="18.75" customHeight="1" x14ac:dyDescent="0.15">
      <c r="A85" s="1"/>
      <c r="B85" s="264"/>
      <c r="C85" s="265"/>
      <c r="D85" s="265"/>
      <c r="E85" s="265"/>
      <c r="F85" s="265"/>
      <c r="G85" s="265"/>
      <c r="H85" s="265"/>
      <c r="I85" s="265"/>
      <c r="J85" s="266"/>
      <c r="K85" s="27"/>
    </row>
    <row r="86" spans="1:11" s="4" customFormat="1" ht="18.75" customHeight="1" x14ac:dyDescent="0.15">
      <c r="A86" s="1"/>
      <c r="B86" s="264"/>
      <c r="C86" s="265"/>
      <c r="D86" s="265"/>
      <c r="E86" s="265"/>
      <c r="F86" s="265"/>
      <c r="G86" s="265"/>
      <c r="H86" s="265"/>
      <c r="I86" s="265"/>
      <c r="J86" s="266"/>
      <c r="K86" s="27"/>
    </row>
    <row r="87" spans="1:11" s="4" customFormat="1" ht="18.75" customHeight="1" x14ac:dyDescent="0.15">
      <c r="A87" s="1"/>
      <c r="B87" s="264"/>
      <c r="C87" s="265"/>
      <c r="D87" s="265"/>
      <c r="E87" s="265"/>
      <c r="F87" s="265"/>
      <c r="G87" s="265"/>
      <c r="H87" s="265"/>
      <c r="I87" s="265"/>
      <c r="J87" s="266"/>
      <c r="K87" s="27"/>
    </row>
    <row r="88" spans="1:11" s="4" customFormat="1" ht="18.75" customHeight="1" x14ac:dyDescent="0.15">
      <c r="A88" s="1"/>
      <c r="B88" s="264"/>
      <c r="C88" s="265"/>
      <c r="D88" s="265"/>
      <c r="E88" s="265"/>
      <c r="F88" s="265"/>
      <c r="G88" s="265"/>
      <c r="H88" s="265"/>
      <c r="I88" s="265"/>
      <c r="J88" s="266"/>
      <c r="K88" s="27"/>
    </row>
    <row r="89" spans="1:11" ht="18.75" customHeight="1" x14ac:dyDescent="0.15">
      <c r="A89" s="31"/>
      <c r="B89" s="264"/>
      <c r="C89" s="265"/>
      <c r="D89" s="265"/>
      <c r="E89" s="265"/>
      <c r="F89" s="265"/>
      <c r="G89" s="265"/>
      <c r="H89" s="265"/>
      <c r="I89" s="265"/>
      <c r="J89" s="266"/>
    </row>
    <row r="90" spans="1:11" ht="18.75" customHeight="1" x14ac:dyDescent="0.15">
      <c r="A90" s="31"/>
      <c r="B90" s="267"/>
      <c r="C90" s="268"/>
      <c r="D90" s="268"/>
      <c r="E90" s="268"/>
      <c r="F90" s="268"/>
      <c r="G90" s="268"/>
      <c r="H90" s="268"/>
      <c r="I90" s="268"/>
      <c r="J90" s="269"/>
    </row>
    <row r="91" spans="1:11" ht="7.5" customHeight="1" x14ac:dyDescent="0.15">
      <c r="A91" s="31"/>
      <c r="B91" s="31"/>
      <c r="C91" s="31"/>
      <c r="D91" s="31"/>
      <c r="E91" s="31"/>
      <c r="F91" s="31"/>
      <c r="G91" s="31"/>
      <c r="H91" s="31"/>
      <c r="I91" s="31"/>
      <c r="J91" s="31"/>
    </row>
    <row r="92" spans="1:11" s="4" customFormat="1" ht="18.75" customHeight="1" x14ac:dyDescent="0.15">
      <c r="A92" s="1" t="s">
        <v>22</v>
      </c>
      <c r="B92" s="286" t="s">
        <v>170</v>
      </c>
      <c r="C92" s="286"/>
      <c r="D92" s="286"/>
      <c r="E92" s="286"/>
      <c r="F92" s="286"/>
      <c r="G92" s="286"/>
      <c r="H92" s="286"/>
      <c r="I92" s="286"/>
      <c r="J92" s="286"/>
      <c r="K92" s="27"/>
    </row>
    <row r="93" spans="1:11" ht="18.75" customHeight="1" x14ac:dyDescent="0.15">
      <c r="A93" s="31"/>
      <c r="B93" s="260" t="s">
        <v>171</v>
      </c>
      <c r="C93" s="278"/>
      <c r="D93" s="278"/>
      <c r="E93" s="278"/>
      <c r="F93" s="278"/>
      <c r="G93" s="278"/>
      <c r="H93" s="278"/>
      <c r="I93" s="262"/>
      <c r="J93" s="263"/>
    </row>
    <row r="94" spans="1:11" ht="18.75" customHeight="1" x14ac:dyDescent="0.15">
      <c r="A94" s="31"/>
      <c r="B94" s="264"/>
      <c r="C94" s="265"/>
      <c r="D94" s="265"/>
      <c r="E94" s="265"/>
      <c r="F94" s="265"/>
      <c r="G94" s="265"/>
      <c r="H94" s="265"/>
      <c r="I94" s="265"/>
      <c r="J94" s="266"/>
    </row>
    <row r="95" spans="1:11" ht="18.75" customHeight="1" x14ac:dyDescent="0.15">
      <c r="A95" s="31"/>
      <c r="B95" s="264"/>
      <c r="C95" s="265"/>
      <c r="D95" s="265"/>
      <c r="E95" s="265"/>
      <c r="F95" s="265"/>
      <c r="G95" s="265"/>
      <c r="H95" s="265"/>
      <c r="I95" s="265"/>
      <c r="J95" s="266"/>
      <c r="K95" s="27" t="str">
        <f>IF(B93="","入力してください","")</f>
        <v/>
      </c>
    </row>
    <row r="96" spans="1:11" ht="18.75" customHeight="1" x14ac:dyDescent="0.15">
      <c r="A96" s="31"/>
      <c r="B96" s="264"/>
      <c r="C96" s="265"/>
      <c r="D96" s="265"/>
      <c r="E96" s="265"/>
      <c r="F96" s="265"/>
      <c r="G96" s="265"/>
      <c r="H96" s="265"/>
      <c r="I96" s="265"/>
      <c r="J96" s="266"/>
    </row>
    <row r="97" spans="1:10" ht="18.75" customHeight="1" x14ac:dyDescent="0.15">
      <c r="A97" s="31"/>
      <c r="B97" s="264"/>
      <c r="C97" s="265"/>
      <c r="D97" s="265"/>
      <c r="E97" s="265"/>
      <c r="F97" s="265"/>
      <c r="G97" s="265"/>
      <c r="H97" s="265"/>
      <c r="I97" s="265"/>
      <c r="J97" s="266"/>
    </row>
    <row r="98" spans="1:10" ht="18.75" customHeight="1" x14ac:dyDescent="0.15">
      <c r="A98" s="31"/>
      <c r="B98" s="264"/>
      <c r="C98" s="265"/>
      <c r="D98" s="265"/>
      <c r="E98" s="265"/>
      <c r="F98" s="265"/>
      <c r="G98" s="265"/>
      <c r="H98" s="265"/>
      <c r="I98" s="265"/>
      <c r="J98" s="266"/>
    </row>
    <row r="99" spans="1:10" ht="18.75" customHeight="1" x14ac:dyDescent="0.15">
      <c r="A99" s="31"/>
      <c r="B99" s="264"/>
      <c r="C99" s="265"/>
      <c r="D99" s="265"/>
      <c r="E99" s="265"/>
      <c r="F99" s="265"/>
      <c r="G99" s="265"/>
      <c r="H99" s="265"/>
      <c r="I99" s="265"/>
      <c r="J99" s="266"/>
    </row>
    <row r="100" spans="1:10" ht="18.75" customHeight="1" x14ac:dyDescent="0.15">
      <c r="A100" s="31"/>
      <c r="B100" s="264"/>
      <c r="C100" s="265"/>
      <c r="D100" s="265"/>
      <c r="E100" s="265"/>
      <c r="F100" s="265"/>
      <c r="G100" s="265"/>
      <c r="H100" s="265"/>
      <c r="I100" s="265"/>
      <c r="J100" s="266"/>
    </row>
    <row r="101" spans="1:10" ht="18.75" customHeight="1" x14ac:dyDescent="0.15">
      <c r="A101" s="31"/>
      <c r="B101" s="264"/>
      <c r="C101" s="265"/>
      <c r="D101" s="265"/>
      <c r="E101" s="265"/>
      <c r="F101" s="265"/>
      <c r="G101" s="265"/>
      <c r="H101" s="265"/>
      <c r="I101" s="265"/>
      <c r="J101" s="266"/>
    </row>
    <row r="102" spans="1:10" ht="18.75" customHeight="1" x14ac:dyDescent="0.15">
      <c r="A102" s="31"/>
      <c r="B102" s="264"/>
      <c r="C102" s="265"/>
      <c r="D102" s="265"/>
      <c r="E102" s="265"/>
      <c r="F102" s="265"/>
      <c r="G102" s="265"/>
      <c r="H102" s="265"/>
      <c r="I102" s="265"/>
      <c r="J102" s="266"/>
    </row>
    <row r="103" spans="1:10" ht="18.75" customHeight="1" x14ac:dyDescent="0.15">
      <c r="A103" s="31"/>
      <c r="B103" s="264"/>
      <c r="C103" s="265"/>
      <c r="D103" s="265"/>
      <c r="E103" s="265"/>
      <c r="F103" s="265"/>
      <c r="G103" s="265"/>
      <c r="H103" s="265"/>
      <c r="I103" s="265"/>
      <c r="J103" s="266"/>
    </row>
    <row r="104" spans="1:10" ht="18.75" customHeight="1" x14ac:dyDescent="0.15">
      <c r="A104" s="31"/>
      <c r="B104" s="267"/>
      <c r="C104" s="268"/>
      <c r="D104" s="268"/>
      <c r="E104" s="268"/>
      <c r="F104" s="268"/>
      <c r="G104" s="268"/>
      <c r="H104" s="268"/>
      <c r="I104" s="268"/>
      <c r="J104" s="269"/>
    </row>
    <row r="105" spans="1:10" ht="7.5" customHeight="1" x14ac:dyDescent="0.15">
      <c r="A105" s="31"/>
      <c r="B105" s="93"/>
      <c r="C105" s="93"/>
      <c r="D105" s="93"/>
      <c r="E105" s="93"/>
      <c r="F105" s="93"/>
      <c r="G105" s="93"/>
      <c r="H105" s="93"/>
      <c r="I105" s="93"/>
      <c r="J105" s="93"/>
    </row>
    <row r="106" spans="1:10" ht="18.75" customHeight="1" x14ac:dyDescent="0.15">
      <c r="A106" s="31"/>
      <c r="B106" s="31"/>
      <c r="C106" s="31"/>
      <c r="D106" s="31"/>
      <c r="E106" s="31"/>
      <c r="F106" s="31"/>
      <c r="G106" s="31"/>
      <c r="H106" s="31"/>
      <c r="I106" s="31"/>
      <c r="J106" s="31"/>
    </row>
    <row r="107" spans="1:10" ht="18.75" customHeight="1" x14ac:dyDescent="0.15">
      <c r="A107" s="31"/>
      <c r="B107" s="31"/>
      <c r="C107" s="31"/>
      <c r="D107" s="31"/>
      <c r="E107" s="31"/>
      <c r="F107" s="31"/>
      <c r="G107" s="31"/>
      <c r="H107" s="31"/>
      <c r="I107" s="31"/>
      <c r="J107" s="31"/>
    </row>
    <row r="108" spans="1:10" ht="18.75" customHeight="1" x14ac:dyDescent="0.15">
      <c r="A108" s="31"/>
      <c r="B108" s="31"/>
      <c r="C108" s="31"/>
      <c r="D108" s="31"/>
      <c r="E108" s="31"/>
      <c r="F108" s="31"/>
      <c r="G108" s="31"/>
      <c r="H108" s="31"/>
      <c r="I108" s="31"/>
      <c r="J108" s="31"/>
    </row>
    <row r="109" spans="1:10" ht="18.75" customHeight="1" x14ac:dyDescent="0.15">
      <c r="A109" s="31"/>
      <c r="B109" s="31"/>
      <c r="C109" s="31"/>
      <c r="D109" s="31"/>
      <c r="E109" s="31"/>
      <c r="F109" s="31"/>
      <c r="G109" s="31"/>
      <c r="H109" s="31"/>
      <c r="I109" s="31"/>
      <c r="J109" s="31"/>
    </row>
    <row r="110" spans="1:10" ht="18.75" customHeight="1" x14ac:dyDescent="0.15">
      <c r="A110" s="31"/>
      <c r="B110" s="31"/>
      <c r="C110" s="31"/>
      <c r="D110" s="31"/>
      <c r="E110" s="31"/>
      <c r="F110" s="31"/>
      <c r="G110" s="31"/>
      <c r="H110" s="31"/>
      <c r="I110" s="31"/>
      <c r="J110" s="31"/>
    </row>
    <row r="111" spans="1:10" ht="18.75" customHeight="1" x14ac:dyDescent="0.15">
      <c r="A111" s="31"/>
      <c r="B111" s="31"/>
      <c r="C111" s="31"/>
      <c r="D111" s="31"/>
      <c r="E111" s="31"/>
      <c r="F111" s="31"/>
      <c r="G111" s="31"/>
      <c r="H111" s="31"/>
      <c r="I111" s="31"/>
      <c r="J111" s="31"/>
    </row>
    <row r="112" spans="1:10" ht="18.75" customHeight="1" x14ac:dyDescent="0.15">
      <c r="A112" s="31"/>
      <c r="B112" s="31"/>
      <c r="C112" s="31"/>
      <c r="D112" s="31"/>
      <c r="E112" s="31"/>
      <c r="F112" s="31"/>
      <c r="G112" s="31"/>
      <c r="H112" s="31"/>
      <c r="I112" s="31"/>
      <c r="J112" s="31"/>
    </row>
    <row r="113" spans="1:10" ht="18.75" customHeight="1" x14ac:dyDescent="0.15">
      <c r="A113" s="31"/>
      <c r="B113" s="31"/>
      <c r="C113" s="31"/>
      <c r="D113" s="31"/>
      <c r="E113" s="31"/>
      <c r="F113" s="31"/>
      <c r="G113" s="31"/>
      <c r="H113" s="31"/>
      <c r="I113" s="31"/>
      <c r="J113" s="31"/>
    </row>
    <row r="114" spans="1:10" ht="18.75" customHeight="1" x14ac:dyDescent="0.15">
      <c r="A114" s="31"/>
      <c r="B114" s="31"/>
      <c r="C114" s="31"/>
      <c r="D114" s="31"/>
      <c r="E114" s="31"/>
      <c r="F114" s="31"/>
      <c r="G114" s="31"/>
      <c r="H114" s="31"/>
      <c r="I114" s="31"/>
      <c r="J114" s="31"/>
    </row>
    <row r="115" spans="1:10" ht="18.75" customHeight="1" x14ac:dyDescent="0.15">
      <c r="A115" s="31"/>
      <c r="B115" s="31"/>
      <c r="C115" s="31"/>
      <c r="D115" s="31"/>
      <c r="E115" s="31"/>
      <c r="F115" s="31"/>
      <c r="G115" s="31"/>
      <c r="H115" s="31"/>
      <c r="I115" s="31"/>
      <c r="J115" s="31"/>
    </row>
    <row r="116" spans="1:10" ht="18.75" customHeight="1" x14ac:dyDescent="0.15">
      <c r="A116" s="31"/>
      <c r="B116" s="31"/>
      <c r="C116" s="31"/>
      <c r="D116" s="31"/>
      <c r="E116" s="31"/>
      <c r="F116" s="31"/>
      <c r="G116" s="31"/>
      <c r="H116" s="31"/>
      <c r="I116" s="31"/>
      <c r="J116" s="31"/>
    </row>
    <row r="117" spans="1:10" ht="18.75" customHeight="1" x14ac:dyDescent="0.15">
      <c r="A117" s="31"/>
      <c r="B117" s="31"/>
      <c r="C117" s="31"/>
      <c r="D117" s="31"/>
      <c r="E117" s="31"/>
      <c r="F117" s="31"/>
      <c r="G117" s="31"/>
      <c r="H117" s="31"/>
      <c r="I117" s="31"/>
      <c r="J117" s="31"/>
    </row>
    <row r="118" spans="1:10" ht="14.25" x14ac:dyDescent="0.15">
      <c r="A118" s="31"/>
      <c r="B118" s="31"/>
      <c r="C118" s="31"/>
      <c r="D118" s="31"/>
      <c r="E118" s="31"/>
      <c r="F118" s="31"/>
      <c r="G118" s="31"/>
      <c r="H118" s="31"/>
      <c r="I118" s="31"/>
      <c r="J118" s="31"/>
    </row>
    <row r="119" spans="1:10" ht="7.5" customHeight="1" x14ac:dyDescent="0.15">
      <c r="A119" s="94"/>
      <c r="B119" s="94"/>
      <c r="C119" s="94"/>
      <c r="D119" s="94"/>
      <c r="E119" s="94"/>
      <c r="F119" s="94"/>
      <c r="G119" s="94"/>
      <c r="H119" s="94"/>
      <c r="I119" s="94"/>
      <c r="J119" s="94"/>
    </row>
  </sheetData>
  <mergeCells count="11">
    <mergeCell ref="B41:J59"/>
    <mergeCell ref="B62:J76"/>
    <mergeCell ref="B79:J90"/>
    <mergeCell ref="B92:J92"/>
    <mergeCell ref="B93:J104"/>
    <mergeCell ref="B29:J39"/>
    <mergeCell ref="A2:J2"/>
    <mergeCell ref="B5:J5"/>
    <mergeCell ref="B8:J12"/>
    <mergeCell ref="B15:J23"/>
    <mergeCell ref="B28:J28"/>
  </mergeCells>
  <phoneticPr fontId="1"/>
  <printOptions horizontalCentered="1"/>
  <pageMargins left="0.70866141732283472" right="0.70866141732283472" top="0.74803149606299213" bottom="0.74803149606299213" header="0.31496062992125984" footer="0.31496062992125984"/>
  <pageSetup paperSize="9" orientation="portrait" r:id="rId1"/>
  <rowBreaks count="2" manualBreakCount="2">
    <brk id="39" max="9" man="1"/>
    <brk id="7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showZeros="0" view="pageBreakPreview" topLeftCell="A13" zoomScaleNormal="100" zoomScaleSheetLayoutView="100" workbookViewId="0">
      <selection activeCell="H19" sqref="H19"/>
    </sheetView>
  </sheetViews>
  <sheetFormatPr defaultColWidth="11.375" defaultRowHeight="22.5" customHeight="1" x14ac:dyDescent="0.15"/>
  <cols>
    <col min="1" max="3" width="2.875" style="1" customWidth="1"/>
    <col min="4" max="4" width="22.125" style="1" customWidth="1"/>
    <col min="5" max="5" width="21.625" style="1" customWidth="1"/>
    <col min="6" max="7" width="7.875" style="1" customWidth="1"/>
    <col min="8" max="8" width="33.375" style="1" customWidth="1"/>
    <col min="9" max="9" width="24.5" style="1" customWidth="1"/>
    <col min="10" max="10" width="5.5" style="1" customWidth="1"/>
    <col min="11" max="11" width="4.125" style="27" customWidth="1"/>
    <col min="12" max="16384" width="11.375" style="1"/>
  </cols>
  <sheetData>
    <row r="1" spans="1:11" ht="18.75" customHeight="1" x14ac:dyDescent="0.15">
      <c r="A1" s="1" t="s">
        <v>172</v>
      </c>
      <c r="J1" s="33" t="s">
        <v>173</v>
      </c>
    </row>
    <row r="2" spans="1:11" ht="18.75" customHeight="1" x14ac:dyDescent="0.15">
      <c r="A2" s="233" t="s">
        <v>174</v>
      </c>
      <c r="B2" s="233"/>
      <c r="C2" s="233"/>
      <c r="D2" s="233"/>
      <c r="E2" s="233"/>
      <c r="F2" s="233"/>
      <c r="G2" s="233"/>
      <c r="H2" s="233"/>
      <c r="I2" s="233"/>
      <c r="J2" s="233"/>
    </row>
    <row r="3" spans="1:11" ht="7.5" customHeight="1" x14ac:dyDescent="0.15">
      <c r="A3" s="34"/>
      <c r="B3" s="34"/>
      <c r="C3" s="34"/>
      <c r="D3" s="34"/>
      <c r="E3" s="34"/>
      <c r="F3" s="34"/>
      <c r="G3" s="34"/>
      <c r="H3" s="34"/>
      <c r="I3" s="34"/>
      <c r="J3" s="34"/>
    </row>
    <row r="4" spans="1:11" ht="18.75" customHeight="1" x14ac:dyDescent="0.15">
      <c r="A4" s="1" t="s">
        <v>2</v>
      </c>
      <c r="B4" s="4" t="s">
        <v>175</v>
      </c>
      <c r="C4" s="31"/>
      <c r="D4" s="31"/>
      <c r="E4" s="32"/>
      <c r="F4" s="32"/>
      <c r="G4" s="32"/>
      <c r="H4" s="32"/>
      <c r="I4" s="32"/>
      <c r="J4" s="32"/>
    </row>
    <row r="5" spans="1:11" ht="18.75" customHeight="1" x14ac:dyDescent="0.15">
      <c r="B5" s="292" t="s">
        <v>176</v>
      </c>
      <c r="C5" s="293"/>
      <c r="D5" s="294"/>
      <c r="E5" s="295" t="s">
        <v>177</v>
      </c>
      <c r="F5" s="295"/>
      <c r="G5" s="295"/>
      <c r="H5" s="295"/>
      <c r="I5" s="295"/>
      <c r="J5" s="296"/>
    </row>
    <row r="6" spans="1:11" ht="18.75" customHeight="1" x14ac:dyDescent="0.15">
      <c r="B6" s="3" t="s">
        <v>178</v>
      </c>
      <c r="C6" s="31"/>
      <c r="D6" s="7"/>
      <c r="I6" s="32"/>
      <c r="J6" s="5"/>
    </row>
    <row r="7" spans="1:11" ht="93.75" customHeight="1" x14ac:dyDescent="0.15">
      <c r="B7" s="6"/>
      <c r="C7" s="297" t="s">
        <v>179</v>
      </c>
      <c r="D7" s="298"/>
      <c r="E7" s="289" t="s">
        <v>180</v>
      </c>
      <c r="F7" s="290"/>
      <c r="G7" s="290"/>
      <c r="H7" s="290"/>
      <c r="I7" s="290"/>
      <c r="J7" s="291"/>
      <c r="K7" s="27" t="str">
        <f>IF(E7="","入力してください","")</f>
        <v/>
      </c>
    </row>
    <row r="8" spans="1:11" ht="93.75" customHeight="1" x14ac:dyDescent="0.15">
      <c r="B8" s="6"/>
      <c r="C8" s="287" t="s">
        <v>181</v>
      </c>
      <c r="D8" s="288"/>
      <c r="E8" s="289" t="s">
        <v>182</v>
      </c>
      <c r="F8" s="290"/>
      <c r="G8" s="290"/>
      <c r="H8" s="290"/>
      <c r="I8" s="290"/>
      <c r="J8" s="291"/>
      <c r="K8" s="27" t="str">
        <f>IF(E8="","入力してください","")</f>
        <v/>
      </c>
    </row>
    <row r="9" spans="1:11" ht="93.75" customHeight="1" x14ac:dyDescent="0.15">
      <c r="B9" s="6"/>
      <c r="C9" s="297" t="s">
        <v>183</v>
      </c>
      <c r="D9" s="298"/>
      <c r="E9" s="289" t="s">
        <v>184</v>
      </c>
      <c r="F9" s="290"/>
      <c r="G9" s="290"/>
      <c r="H9" s="290"/>
      <c r="I9" s="290"/>
      <c r="J9" s="291"/>
      <c r="K9" s="27" t="str">
        <f>IF(E9="","入力してください","")</f>
        <v/>
      </c>
    </row>
    <row r="10" spans="1:11" ht="93.75" customHeight="1" x14ac:dyDescent="0.15">
      <c r="B10" s="6"/>
      <c r="C10" s="297" t="s">
        <v>185</v>
      </c>
      <c r="D10" s="298"/>
      <c r="E10" s="289" t="s">
        <v>186</v>
      </c>
      <c r="F10" s="290"/>
      <c r="G10" s="290"/>
      <c r="H10" s="290"/>
      <c r="I10" s="290"/>
      <c r="J10" s="291"/>
      <c r="K10" s="27" t="str">
        <f t="shared" ref="K10:K14" si="0">IF(E10="","入力してください","")</f>
        <v/>
      </c>
    </row>
    <row r="11" spans="1:11" ht="93.75" customHeight="1" x14ac:dyDescent="0.15">
      <c r="B11" s="6"/>
      <c r="C11" s="297" t="s">
        <v>187</v>
      </c>
      <c r="D11" s="298"/>
      <c r="E11" s="289" t="s">
        <v>188</v>
      </c>
      <c r="F11" s="290"/>
      <c r="G11" s="290"/>
      <c r="H11" s="290"/>
      <c r="I11" s="290"/>
      <c r="J11" s="291"/>
      <c r="K11" s="27" t="str">
        <f t="shared" si="0"/>
        <v/>
      </c>
    </row>
    <row r="12" spans="1:11" ht="18.75" customHeight="1" x14ac:dyDescent="0.15">
      <c r="B12" s="9" t="s">
        <v>189</v>
      </c>
      <c r="C12" s="24"/>
      <c r="D12" s="8"/>
      <c r="E12" s="114"/>
      <c r="F12" s="114"/>
      <c r="G12" s="114"/>
      <c r="H12" s="114"/>
      <c r="I12" s="114"/>
      <c r="J12" s="115"/>
    </row>
    <row r="13" spans="1:11" ht="93.75" customHeight="1" x14ac:dyDescent="0.15">
      <c r="B13" s="6"/>
      <c r="C13" s="297" t="s">
        <v>190</v>
      </c>
      <c r="D13" s="298"/>
      <c r="E13" s="306" t="s">
        <v>191</v>
      </c>
      <c r="F13" s="290"/>
      <c r="G13" s="290"/>
      <c r="H13" s="290"/>
      <c r="I13" s="290"/>
      <c r="J13" s="291"/>
      <c r="K13" s="27" t="str">
        <f t="shared" si="0"/>
        <v/>
      </c>
    </row>
    <row r="14" spans="1:11" ht="93.75" customHeight="1" x14ac:dyDescent="0.15">
      <c r="B14" s="6"/>
      <c r="C14" s="297" t="s">
        <v>192</v>
      </c>
      <c r="D14" s="298"/>
      <c r="E14" s="306" t="s">
        <v>193</v>
      </c>
      <c r="F14" s="290"/>
      <c r="G14" s="290"/>
      <c r="H14" s="290"/>
      <c r="I14" s="290"/>
      <c r="J14" s="291"/>
      <c r="K14" s="27" t="str">
        <f t="shared" si="0"/>
        <v/>
      </c>
    </row>
    <row r="15" spans="1:11" ht="93.75" customHeight="1" x14ac:dyDescent="0.15">
      <c r="B15" s="307" t="s">
        <v>194</v>
      </c>
      <c r="C15" s="308"/>
      <c r="D15" s="298"/>
      <c r="E15" s="306" t="s">
        <v>195</v>
      </c>
      <c r="F15" s="290"/>
      <c r="G15" s="290"/>
      <c r="H15" s="290"/>
      <c r="I15" s="290"/>
      <c r="J15" s="291"/>
      <c r="K15" s="27" t="str">
        <f>IF(E15="","入力してください","")</f>
        <v/>
      </c>
    </row>
    <row r="16" spans="1:11" ht="93.75" customHeight="1" x14ac:dyDescent="0.15">
      <c r="A16" s="27"/>
      <c r="B16" s="299" t="s">
        <v>196</v>
      </c>
      <c r="C16" s="300"/>
      <c r="D16" s="301"/>
      <c r="E16" s="302" t="s">
        <v>197</v>
      </c>
      <c r="F16" s="303"/>
      <c r="G16" s="303"/>
      <c r="H16" s="303"/>
      <c r="I16" s="303"/>
      <c r="J16" s="304"/>
      <c r="K16" s="27" t="str">
        <f>IF(E16="","入力してください","")</f>
        <v/>
      </c>
    </row>
    <row r="17" spans="1:11" ht="7.5" customHeight="1" x14ac:dyDescent="0.15">
      <c r="B17" s="31"/>
      <c r="C17" s="31"/>
      <c r="D17" s="31"/>
      <c r="E17" s="32"/>
      <c r="F17" s="32"/>
      <c r="G17" s="32"/>
      <c r="H17" s="32"/>
      <c r="I17" s="32"/>
      <c r="J17" s="32"/>
    </row>
    <row r="18" spans="1:11" ht="18.75" customHeight="1" x14ac:dyDescent="0.15">
      <c r="A18" s="1" t="s">
        <v>198</v>
      </c>
      <c r="B18" s="4"/>
      <c r="C18" s="31"/>
      <c r="D18" s="31"/>
      <c r="E18" s="32"/>
      <c r="F18" s="83"/>
      <c r="G18" s="305" t="s">
        <v>199</v>
      </c>
      <c r="H18" s="305"/>
      <c r="I18" s="305"/>
      <c r="J18" s="305"/>
      <c r="K18" s="27" t="str">
        <f>IF(G18="","入力してください","")</f>
        <v/>
      </c>
    </row>
    <row r="19" spans="1:11" ht="22.5" customHeight="1" x14ac:dyDescent="0.15">
      <c r="B19" s="31"/>
      <c r="C19" s="31"/>
      <c r="D19" s="31"/>
      <c r="E19" s="32"/>
      <c r="F19" s="32"/>
      <c r="G19" s="32"/>
      <c r="H19" s="32"/>
      <c r="I19" s="32"/>
      <c r="J19" s="32"/>
    </row>
    <row r="20" spans="1:11" ht="22.5" customHeight="1" x14ac:dyDescent="0.15">
      <c r="B20" s="31"/>
      <c r="C20" s="31"/>
      <c r="D20" s="31"/>
      <c r="E20" s="32"/>
      <c r="F20" s="32"/>
      <c r="G20" s="32"/>
      <c r="H20" s="32"/>
      <c r="I20" s="32"/>
      <c r="J20" s="32"/>
    </row>
    <row r="21" spans="1:11" ht="22.5" customHeight="1" x14ac:dyDescent="0.15">
      <c r="B21" s="31"/>
      <c r="C21" s="31"/>
      <c r="D21" s="31"/>
      <c r="E21" s="32"/>
      <c r="F21" s="32"/>
      <c r="G21" s="32"/>
      <c r="H21" s="32"/>
      <c r="I21" s="32"/>
      <c r="J21" s="32"/>
    </row>
    <row r="22" spans="1:11" ht="22.5" customHeight="1" x14ac:dyDescent="0.15">
      <c r="B22" s="31"/>
      <c r="C22" s="31"/>
      <c r="D22" s="31"/>
      <c r="E22" s="32"/>
      <c r="F22" s="32"/>
      <c r="G22" s="32"/>
      <c r="H22" s="32"/>
      <c r="I22" s="32"/>
      <c r="J22" s="32"/>
    </row>
    <row r="23" spans="1:11" ht="22.5" customHeight="1" x14ac:dyDescent="0.15">
      <c r="B23" s="31"/>
      <c r="C23" s="31"/>
      <c r="D23" s="31"/>
      <c r="E23" s="32"/>
      <c r="F23" s="32"/>
      <c r="G23" s="32"/>
      <c r="H23" s="32"/>
      <c r="I23" s="32"/>
      <c r="J23" s="32"/>
    </row>
    <row r="24" spans="1:11" ht="22.5" customHeight="1" x14ac:dyDescent="0.15">
      <c r="B24" s="95"/>
      <c r="C24" s="95"/>
      <c r="D24" s="95"/>
      <c r="E24" s="95"/>
      <c r="F24" s="95"/>
      <c r="G24" s="95"/>
      <c r="H24" s="95"/>
      <c r="I24" s="95"/>
      <c r="J24" s="95"/>
    </row>
    <row r="25" spans="1:11" ht="22.5" customHeight="1" x14ac:dyDescent="0.15">
      <c r="B25" s="95"/>
      <c r="C25" s="95"/>
      <c r="D25" s="95"/>
      <c r="E25" s="95"/>
      <c r="F25" s="95"/>
      <c r="G25" s="95"/>
      <c r="H25" s="95"/>
      <c r="I25" s="95"/>
      <c r="J25" s="95"/>
    </row>
    <row r="26" spans="1:11" ht="22.5" customHeight="1" x14ac:dyDescent="0.15">
      <c r="B26" s="95"/>
      <c r="C26" s="95"/>
      <c r="D26" s="95"/>
      <c r="E26" s="95"/>
      <c r="F26" s="95"/>
      <c r="G26" s="95"/>
      <c r="H26" s="95"/>
      <c r="I26" s="95"/>
      <c r="J26" s="95"/>
    </row>
    <row r="43" ht="15" customHeight="1" x14ac:dyDescent="0.15"/>
    <row r="44" ht="23.1" customHeight="1" x14ac:dyDescent="0.15"/>
    <row r="45" ht="24.95" customHeight="1" x14ac:dyDescent="0.15"/>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0866141732283472" right="0.70866141732283472" top="0.74803149606299213" bottom="0.74803149606299213" header="0.31496062992125984" footer="0.31496062992125984"/>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e7baca3-13c5-487c-bcae-15cd1135d1de" xsi:nil="true"/>
    <lcf76f155ced4ddcb4097134ff3c332f xmlns="c90faebe-4769-4107-b6d2-2a97a14f88f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C267E3BC1F47C4695C0CED949613E19" ma:contentTypeVersion="17" ma:contentTypeDescription="新しいドキュメントを作成します。" ma:contentTypeScope="" ma:versionID="b3866ded860e1f0dd921852a040fd90c">
  <xsd:schema xmlns:xsd="http://www.w3.org/2001/XMLSchema" xmlns:xs="http://www.w3.org/2001/XMLSchema" xmlns:p="http://schemas.microsoft.com/office/2006/metadata/properties" xmlns:ns2="c90faebe-4769-4107-b6d2-2a97a14f88f4" xmlns:ns3="5e7baca3-13c5-487c-bcae-15cd1135d1de" targetNamespace="http://schemas.microsoft.com/office/2006/metadata/properties" ma:root="true" ma:fieldsID="3b28fd34c053caad14121c319c3fd590" ns2:_="" ns3:_="">
    <xsd:import namespace="c90faebe-4769-4107-b6d2-2a97a14f88f4"/>
    <xsd:import namespace="5e7baca3-13c5-487c-bcae-15cd1135d1d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0faebe-4769-4107-b6d2-2a97a14f88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a86adb34-9094-409a-90b9-a7c5bc646ef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e7baca3-13c5-487c-bcae-15cd1135d1de"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a9f04997-c3aa-4259-acc7-be4fa4d5afbe}" ma:internalName="TaxCatchAll" ma:showField="CatchAllData" ma:web="5e7baca3-13c5-487c-bcae-15cd1135d1d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35244A-95A4-4D18-8A30-B4B5FA7751F6}">
  <ds:schemaRefs>
    <ds:schemaRef ds:uri="http://schemas.microsoft.com/sharepoint/v3/contenttype/forms"/>
  </ds:schemaRefs>
</ds:datastoreItem>
</file>

<file path=customXml/itemProps2.xml><?xml version="1.0" encoding="utf-8"?>
<ds:datastoreItem xmlns:ds="http://schemas.openxmlformats.org/officeDocument/2006/customXml" ds:itemID="{B7ED0D72-1008-480C-8743-CEFC295DF652}">
  <ds:schemaRefs>
    <ds:schemaRef ds:uri="http://schemas.microsoft.com/office/2006/documentManagement/types"/>
    <ds:schemaRef ds:uri="http://purl.org/dc/elements/1.1/"/>
    <ds:schemaRef ds:uri="http://purl.org/dc/terms/"/>
    <ds:schemaRef ds:uri="http://www.w3.org/XML/1998/namespace"/>
    <ds:schemaRef ds:uri="http://schemas.microsoft.com/office/infopath/2007/PartnerControls"/>
    <ds:schemaRef ds:uri="http://purl.org/dc/dcmitype/"/>
    <ds:schemaRef ds:uri="http://schemas.openxmlformats.org/package/2006/metadata/core-properties"/>
    <ds:schemaRef ds:uri="5e7baca3-13c5-487c-bcae-15cd1135d1de"/>
    <ds:schemaRef ds:uri="c90faebe-4769-4107-b6d2-2a97a14f88f4"/>
    <ds:schemaRef ds:uri="http://schemas.microsoft.com/office/2006/metadata/properties"/>
  </ds:schemaRefs>
</ds:datastoreItem>
</file>

<file path=customXml/itemProps3.xml><?xml version="1.0" encoding="utf-8"?>
<ds:datastoreItem xmlns:ds="http://schemas.openxmlformats.org/officeDocument/2006/customXml" ds:itemID="{B0A07307-C69B-4306-AB5A-C581A18602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0faebe-4769-4107-b6d2-2a97a14f88f4"/>
    <ds:schemaRef ds:uri="5e7baca3-13c5-487c-bcae-15cd1135d1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プログラムを構成する授業科目（IT）</vt:lpstr>
      <vt:lpstr>様式２　プログラムを構成する授業科目（DE）</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プログラムを構成する授業科目（DE）'!Print_Area</vt:lpstr>
      <vt:lpstr>'様式２　プログラムを構成する授業科目（IT）'!Print_Area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Windows ユーザー</cp:lastModifiedBy>
  <cp:revision/>
  <cp:lastPrinted>2022-06-02T01:24:04Z</cp:lastPrinted>
  <dcterms:created xsi:type="dcterms:W3CDTF">2011-06-14T05:32:50Z</dcterms:created>
  <dcterms:modified xsi:type="dcterms:W3CDTF">2022-07-07T01:22:15Z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0x0101002C267E3BC1F47C4695C0CED949613E19</vt:lpwstr>
  </property>
  <property fmtid="{D5CDD505-2E9C-101B-9397-08002B2CF9AE}" pid="10" name="MediaServiceImageTags">
    <vt:lpwstr/>
  </property>
</Properties>
</file>