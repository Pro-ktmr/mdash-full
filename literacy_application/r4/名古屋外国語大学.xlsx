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C:\Users\ynakamura\Desktop\New01名古屋外国語大学_リテラシー\"/>
    </mc:Choice>
  </mc:AlternateContent>
  <xr:revisionPtr revIDLastSave="0" documentId="13_ncr:1_{9359286D-62F4-4AFF-A936-AC6C24902179}" xr6:coauthVersionLast="47" xr6:coauthVersionMax="47" xr10:uidLastSave="{00000000-0000-0000-0000-000000000000}"/>
  <bookViews>
    <workbookView xWindow="-28920" yWindow="15" windowWidth="29040" windowHeight="15840" tabRatio="885"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3" i="40"/>
  <c r="R13" i="40" s="1"/>
  <c r="Q12" i="40"/>
  <c r="R12" i="40" s="1"/>
  <c r="Q11" i="40"/>
  <c r="R11" i="40" s="1"/>
  <c r="Q10" i="40"/>
  <c r="Q30" i="40" l="1"/>
  <c r="R30" i="40" s="1"/>
  <c r="C28" i="41" s="1"/>
  <c r="R10" i="40"/>
</calcChain>
</file>

<file path=xl/sharedStrings.xml><?xml version="1.0" encoding="utf-8"?>
<sst xmlns="http://schemas.openxmlformats.org/spreadsheetml/2006/main" count="338" uniqueCount="212">
  <si>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</si>
  <si>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</si>
  <si>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</si>
  <si>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</si>
  <si>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</si>
  <si>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</si>
  <si>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</si>
  <si>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</si>
  <si>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</si>
  <si>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</si>
  <si>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</si>
  <si>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</si>
  <si>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</si>
  <si>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</si>
  <si>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</si>
  <si>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</si>
  <si>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</si>
  <si>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</si>
  <si>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</si>
  <si>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</si>
  <si>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</si>
  <si>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</si>
  <si>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</si>
  <si>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</si>
  <si>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</si>
  <si>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</si>
  <si>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</si>
  <si>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</si>
  <si>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</si>
  <si>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</si>
  <si>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</si>
  <si>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</si>
  <si>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</si>
  <si>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</si>
  <si>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</si>
  <si>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</si>
  <si>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</si>
  <si>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</si>
  <si>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</si>
  <si>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</si>
  <si>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</si>
  <si>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</si>
  <si>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</si>
  <si>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</si>
  <si>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</si>
  <si>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</si>
  <si>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</si>
  <si>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</si>
  <si>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</si>
  <si>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</si>
  <si>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</si>
  <si>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</si>
  <si>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</si>
  <si>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</si>
  <si>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</si>
  <si>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</si>
  <si>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</si>
  <si>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</si>
  <si>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</si>
  <si>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</si>
  <si>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</si>
  <si>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</si>
  <si>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</si>
  <si>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</si>
  <si>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</si>
  <si>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</si>
  <si>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</si>
  <si>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</si>
  <si>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</si>
  <si>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</si>
  <si>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</si>
  <si>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</si>
  <si>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</si>
  <si>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</si>
  <si>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</si>
  <si>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</si>
  <si>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</si>
  <si>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</si>
  <si>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</si>
  <si>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</si>
  <si>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</si>
  <si>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</si>
  <si>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</si>
  <si>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</si>
  <si>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</si>
  <si>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</si>
  <si>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</si>
  <si>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</si>
  <si>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</si>
  <si>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</si>
  <si>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</si>
  <si>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</si>
  <si>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</si>
  <si>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</si>
  <si>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</si>
  <si>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</si>
  <si>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</si>
  <si>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</si>
  <si>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</si>
  <si>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</si>
  <si>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</si>
  <si>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</si>
  <si>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</si>
  <si>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</si>
  <si>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</si>
  <si>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</si>
  <si>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</si>
  <si>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</si>
  <si>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</si>
  <si>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</si>
  <si>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</si>
  <si>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</si>
  <si>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</si>
  <si>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</si>
  <si>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</si>
  <si>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</si>
  <si>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</si>
  <si>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</si>
  <si>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</si>
  <si>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</si>
  <si>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</si>
  <si>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</si>
  <si>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</si>
  <si>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</si>
  <si>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</si>
  <si>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</si>
  <si>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</si>
  <si>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</si>
  <si>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</si>
  <si>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</si>
  <si>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</si>
  <si>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</si>
  <si>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</si>
  <si>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</si>
  <si>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</si>
  <si>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</si>
  <si>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</si>
  <si>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</si>
  <si>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</si>
  <si>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</si>
  <si>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</si>
  <si>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</si>
  <si>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</si>
  <si>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</si>
  <si>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</si>
  <si>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</si>
  <si>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</si>
  <si>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</si>
  <si>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名古屋外国語大学</t>
  </si>
  <si>
    <t>学校法人中西学園</t>
  </si>
  <si>
    <t>私立大学</t>
  </si>
  <si>
    <t>愛知県日進市岩崎町竹ノ山57番地</t>
  </si>
  <si>
    <t>数理・データサイエンス教育プログラム（略称：MDS）</t>
    <rPh sb="19" eb="21">
      <t>リャクショウ</t>
    </rPh>
    <phoneticPr fontId="1"/>
  </si>
  <si>
    <t>令和3</t>
    <rPh sb="0" eb="2">
      <t>レイワ</t>
    </rPh>
    <phoneticPr fontId="1"/>
  </si>
  <si>
    <t>無</t>
  </si>
  <si>
    <t>山本　恵</t>
    <rPh sb="0" eb="2">
      <t>ヤマモト</t>
    </rPh>
    <rPh sb="3" eb="4">
      <t>メグミ</t>
    </rPh>
    <phoneticPr fontId="1"/>
  </si>
  <si>
    <t>メディア情報・データ科学センター長</t>
  </si>
  <si>
    <t>メディア情報・データ科学センター データ科学教育研究部門</t>
  </si>
  <si>
    <t>眞鍋　和弘</t>
    <rPh sb="0" eb="2">
      <t>マナベ</t>
    </rPh>
    <rPh sb="3" eb="5">
      <t>カズヒロ</t>
    </rPh>
    <phoneticPr fontId="1"/>
  </si>
  <si>
    <t>部門長</t>
    <rPh sb="0" eb="3">
      <t>ブモンチョウ</t>
    </rPh>
    <phoneticPr fontId="1"/>
  </si>
  <si>
    <t>部門長</t>
  </si>
  <si>
    <t>認定教育プログラム</t>
  </si>
  <si>
    <t>現代国際学部グローバルビジネス学科</t>
    <rPh sb="0" eb="6">
      <t>ゲンダイコクサイガクブ</t>
    </rPh>
    <rPh sb="15" eb="17">
      <t>ガッカ</t>
    </rPh>
    <phoneticPr fontId="1"/>
  </si>
  <si>
    <t>mds_gg@nufs.ac.jp</t>
  </si>
  <si>
    <t>0561-75-2685</t>
  </si>
  <si>
    <t>学部・学科によって、修了要件は相違しない</t>
  </si>
  <si>
    <t>AI・データサイエンス入門</t>
  </si>
  <si>
    <t>全学開講</t>
  </si>
  <si>
    <t>○</t>
  </si>
  <si>
    <t>表計算ソフトウェア演習</t>
  </si>
  <si>
    <t>ＩＣＴ活用演習</t>
  </si>
  <si>
    <t>プログラミング言語</t>
  </si>
  <si>
    <t>4-1統計および数理基礎</t>
  </si>
  <si>
    <t>4‐4時系列データ解析</t>
  </si>
  <si>
    <t>4‐3データ構造とプログラミング基礎</t>
  </si>
  <si>
    <t>・ビッグデータ、AI「AI・データサイエンス入門」（第３回）
・AIの非連続的進化「AI・データサイエンス入門」（第4，5，6回）
・第4次産業革命「AI・データサイエンス入門」（第1回）
・複数技術を組み合わせたAIサービス「AI・データサイエンス入門」（第6回）
・データを起点としたものの見方、人間の知的活動を起点としたものの見方「AI・データサイエンス入門」（第9，10回）</t>
    <phoneticPr fontId="1"/>
  </si>
  <si>
    <t>・AI等を活用した新しいビジネスモデル(シェアリングエコノミー、商品のレコメンデーションなど) 「AI・データサイエンス入門」（第9回）
・AI最新技術の活用例（深層生成モデル、敵対的生成ネットワーク、強化学習、転移学習など）「AI・データサイエンス入門」（第10回）</t>
    <phoneticPr fontId="1"/>
  </si>
  <si>
    <t>・調査データ、実験データ、人の行動ログデータ、機械の稼働ログデータなど「AI・データサイエンス入門」（第10回）
・構造化データ、非構造化データ（文章、画像/動画、音声/音楽など）「AI・データサイエンス入門」（第10回）</t>
    <phoneticPr fontId="1"/>
  </si>
  <si>
    <t>・研究開発、調達、製造、物流、販売、マーケティング、サービスなど「AI・データサイエンス入門」（第14回）</t>
    <phoneticPr fontId="1"/>
  </si>
  <si>
    <t>・データ解析：予測、グルーピング、パターン発見「AI・データサイエンス入門」（第4回）
・AIとビッグデータ「AI・データサイエンス入門」（第3回）
・データ可視化：複合グラフ、2軸グラフ、多次元の可視化、関係性の可視化「表計算ソフトウェア演習」(5，6回目)
・データ可視化：複合グラフ、2軸グラフ、多次元の可視化、関係性の可視化、地図上の可視化、挙動・軌跡の可視化、リアルタイム可視化など「ICT活用演習」（第3回）</t>
    <phoneticPr fontId="1"/>
  </si>
  <si>
    <t>・流通、製造、金融、サービス、インフラ、公共、ヘルスケア等におけるデータ・AI利活用事例紹介「AI・データサイエンス入門」（第6，7，9回）</t>
    <phoneticPr fontId="1"/>
  </si>
  <si>
    <t>・AI社会原則（公平性、説明責任、透明性、人間中心の判断）「AI・データサイエンス入門」（第11回）
・データバイアス、アルゴリズムバイアス「AI・データサイエンス入門」（第11回）</t>
    <phoneticPr fontId="1"/>
  </si>
  <si>
    <t>・情報セキュリティ：機密性、完全性、可用性「AI・データサイエンス入門」（第12回）</t>
    <phoneticPr fontId="1"/>
  </si>
  <si>
    <t>・データの分布(ヒストグラム)と代表値（平均値、中央値、最頻値）「表計算ソフトウェア演習」(2回目)
・クロス集計表「表計算ソフトウェア演習」(12回目)
・データの分布(ヒストグラム)と代表値（平均値、中央値、最頻値）「ＩＣＴ活用演習」（第3，4回）
・データのばらつき（分散、標準偏差、偏差値）「ＩＣＴ活用演習」（第4回）
・相関と因果（相関係数、擬似相関、交絡）「ＩＣＴ活用演習」（第5回）
・クロス集計表「ＩＣＴ活用演習」（第13回）</t>
    <phoneticPr fontId="1"/>
  </si>
  <si>
    <t>・データ表現（棒グラフ、折線グラフ、散布図、ヒートマップ）「表計算ソフトウェア演習」(6回目)
・データ表現（棒グラフ、折線グラフ、散布図、ヒートマップ）「ＩＣＴ活用演習」（第3回）</t>
    <phoneticPr fontId="1"/>
  </si>
  <si>
    <t>数理・データサイエンス・AIを日常生活、仕事等の場で使いこなすことができる基礎的な素養を身に付ける。また、それらの知識・技能をもとに、人間中心の適切な判断ができ、不安なく自らの意思でAI等の恩恵を享受し、これらを説明し、活用できる思考力・判断力を身に付ける。</t>
    <phoneticPr fontId="1"/>
  </si>
  <si>
    <t>https://www.nufs.ac.jp/feature/mds/</t>
    <phoneticPr fontId="1"/>
  </si>
  <si>
    <t>外国語学部</t>
    <rPh sb="0" eb="5">
      <t>ガイコクゴガクブ</t>
    </rPh>
    <phoneticPr fontId="1"/>
  </si>
  <si>
    <t>現代国際学部</t>
    <rPh sb="0" eb="6">
      <t>ゲンダイコクサイガクブ</t>
    </rPh>
    <phoneticPr fontId="1"/>
  </si>
  <si>
    <t>世界共生学部</t>
    <rPh sb="0" eb="6">
      <t>セカイキョウセイガクブ</t>
    </rPh>
    <phoneticPr fontId="1"/>
  </si>
  <si>
    <t>世界教養学部</t>
    <rPh sb="0" eb="6">
      <t>セカイキョウヨウガクブ</t>
    </rPh>
    <phoneticPr fontId="1"/>
  </si>
  <si>
    <t xml:space="preserve">名古屋外国語大学メディア情報・データ科学センター規程　＊開発、運用、点検・評価　
名古屋外国語大学教学マネジメント会議規程　　　　　　　　　＊点検・評価　　　　　　　 </t>
    <phoneticPr fontId="1"/>
  </si>
  <si>
    <t>部門長　眞鍋　和弘　（現代国際学部 グローバルビジネス学科准教授）
部門員　若山　公威　（教養教育推進センター副センター長・世界教養学部世界教養学科教授）
部門員　矢後　智子　（外国語学部英米語学科講師）</t>
    <phoneticPr fontId="1"/>
  </si>
  <si>
    <t>目標を実現するため、令和3年度より、履修ガイダンス等で学生に呼びかけるとともに、本学の公式WEBサイトにプログラムに関する情報を掲載する事により、学生への周知を図っている。また、初年次の情報科目の履修者に対して、当該プログラムに関する説明も行っている。
令和4年度からは、学生に配布する履修要項にも当該プログラムに関する情報を掲載している。また、プログラムを一部変更し、初年次生を対象とする情報科目である「情報リテラシー」をプログラムの必修科目に含めた。この科目は、大学の履修要件において全学部生の必修科目であるため、多くの学生の履修が期待できる。このことにより、より多くの学生に対して、数理・データサイエンス・AIに関する教育を実施する。</t>
    <phoneticPr fontId="1"/>
  </si>
  <si>
    <t>プログラムを構成する全科目が各学部における開講科目または全学部開放科目となっており、学部・学科に関わらず受講が可能な体制である。プログラムの申請手続きをする必要はなく、修了要件を満たしている（必要科目の単位を修得している）場合は、プログラム修了として認定される。</t>
    <phoneticPr fontId="1"/>
  </si>
  <si>
    <t>本教育プログラムの概要・特徴や獲得できる能力・スキルについて、各年度初めに実施する学年別履修ガイダンスで丁寧に説明して周知を図る。全学部の履修要項にプログラムの修了要件の詳細を明記している。さらに、本学の公式WEBサイトにも掲載することにより学生が履修に関しての情報を受け取りやすい環境を整備する。</t>
    <phoneticPr fontId="1"/>
  </si>
  <si>
    <t>LMSを活用し、対面授業とオンライン授業の両方に対応可能な授業体制を整えている。パソコンの購入が困難な学生には、無償のパソコン貸与（１年間）を実施しており、学内には１１のパソコン教室を設けて学習環境の充実に努めている。また、学内関連部署と連携してプログラムを実施している。令和4年度からは必修科目をプログラムの一部に組み込んでおり、学修機会の確保に努めている。</t>
    <phoneticPr fontId="1"/>
  </si>
  <si>
    <t>授業内でパソコンを用いて学習をする授業では、履修者数や授業難度の必要に応じて講義アシスタントを教室内に配置している。授業中のトラブルや質問の対応や、授業進度から遅れた履修者のサポートを行う。授業時間外も教員は履修者からの質問や問い合わせに対応をしている。授業担当教員へ質問できるシステムを構築し、本学の公式WEBサイトのプログラム説明ページに問い合わせについて記載済みである。</t>
    <phoneticPr fontId="1"/>
  </si>
  <si>
    <t>メディア情報・データ科学センター データ科学教育研究部門において、プログラムの履修・取得状況の分析を実施し、現状の把握と改善に取り組んでいる。数理・データサイエンス教育プログラム（略称：MDS）の中心となる科目「AI・データサイエンス入門」と「表計算ソフトウェア演習」の2020年度以降の履修状況は下記のとおりであった。
AI・データサイエンス入門 2020年 2期 98人
                                     2021年 1期 48人
                                     2021年 2期 90人
表計算ソフトウェア　        2020年 2期 657人
                                     2021年 2期 572人
また当該プログラムの初年度にあたる2021年度の修了者数は下記のとおりであった。
　　　　　　　　　　　　　　　　外国語学部44 人
　　　　　　　　　　　　　　　　現代国際学部22人 
　　　　　　　　　　　　　　　　世界共生学部12 人
　　　　　　　　　　　　　　　　世界教養学部16 人</t>
    <phoneticPr fontId="1"/>
  </si>
  <si>
    <t>プログラムに含まれる授業科目では様々なアンケートを実施しているが、授業への満足度も高く、また授業毎に実施する確認課題を行っているが理解度も高い。また、多くの学生がより発展的な内容に関心を持っており、「ICT活用演習」や「プログラミング言語」など科目の履修者が増加傾向にある。この結果を教学マネジメント会議と連携し、本教育プログラムの自己点検・評価に活用している。</t>
    <phoneticPr fontId="1"/>
  </si>
  <si>
    <t>令和3年度より、履修ガイダンス等で学生に呼びかけるとともに、本学の公式WEBサイトにプログラムに関する情報を掲載する事により、学生への周知を図っている。令和4年度からは、学生に配布する履修要項にも当該プログラムに関する情報を掲載している。また、プログラムを一部変更し、初年次生を対象とする情報科目である「情報リテラシー」をプログラムの必修科目に含めた。このことにより、令和3年度には履修率2割程度であったが、令和4年度には初年次生の9割程度が当該プログラムを履修し、5割程度が修了すると予想される。</t>
    <phoneticPr fontId="1"/>
  </si>
  <si>
    <t>当該プログラムは令和3年度から始まったものであり、まだ修了者の進路、活躍状況、企業等の評価を得る段階にはない。一方、本学では継続的に就活生や卒業生へのアンケートを実施している。今後、当該プログラムの修了生が就職活動をおこなう際などに改めてアンケートを実施する体制を整えていく。</t>
    <phoneticPr fontId="1"/>
  </si>
  <si>
    <t>上記のとおり、当該プログラムは令和3年度から始まったものであり、まだ修了者の進路、活躍状況、企業等の評価を得る段階にはない。そのため、当該プログラム科目を担当する企業のデータサイエンティストから意見を聴取し、プログラム全体の改善に役立てている。</t>
    <phoneticPr fontId="1"/>
  </si>
  <si>
    <t>LMSに教材をアップロードなどすることにより、授業内容の前後学習を支援することを通じて、学生の理解が容易になるように心掛けている。また授業時間外における履修者からの質問や問い合わせに対応するシステムを構築しており、教員はそれに対応している。</t>
    <phoneticPr fontId="1"/>
  </si>
  <si>
    <t>様式２－１</t>
    <phoneticPr fontId="1"/>
  </si>
  <si>
    <t>メディア情報・データ科学センター データ科学教育研究部門
教学マネジメント会議</t>
    <rPh sb="29" eb="31">
      <t>キョウガク</t>
    </rPh>
    <rPh sb="37" eb="39">
      <t>カイギ</t>
    </rPh>
    <phoneticPr fontId="1"/>
  </si>
  <si>
    <t>・データの集計（和、平均）「表計算ソフトウェア演習」(2回目)
・データの並び替え、ランキング「表計算ソフトウェア演習」(11回目)
・データ解析ツール（スプレッドシート）「表計算ソフトウェア演習」(1回目)
・データの集計（和、平均）「ＩＣＴ活用演習」（第4回）
・データの並び替え、ランキング「ＩＣＴ活用演習」（第2回）
・データ解析ツール（スプレッドシート）「ＩＣＴ活用演習」（第1回）
・データ解析ツール（スプレッドシート）「プログラミング言語」（第1～10回）
・表形式のデータ（csv）「プログラミング言語」（第14回）</t>
    <phoneticPr fontId="1"/>
  </si>
  <si>
    <t xml:space="preserve">名古屋外国語大学メディア情報・データ科学センター第7条第1項第三号で規定されるデータ科学教育研究部門が中心となって、データ科学やＡＩ関連分野に関する文系向けカリキュラムの開発と運用、および当該プログラムの自己点検・評価を実施する。
また、名古屋外国語大学教学マネジメント会議は、教育プログラムの点検・評価を審議する組織である。本組織のメンバーである名古屋外国語大学メディア情報・データ科学センター長が、データ科学教育研究部門によって点検・評価された結果を会議に提示し、意見を聞くものである。
審議結果を本学の公式WEBサイトで公開する。
</t>
    <rPh sb="34" eb="36">
      <t>キテイ</t>
    </rPh>
    <rPh sb="42" eb="44">
      <t>カガク</t>
    </rPh>
    <rPh sb="44" eb="50">
      <t>キョウイクケンキュウブモン</t>
    </rPh>
    <rPh sb="51" eb="53">
      <t>チュウシン</t>
    </rPh>
    <rPh sb="88" eb="90">
      <t>ウンヨウ</t>
    </rPh>
    <rPh sb="94" eb="96">
      <t>トウガイ</t>
    </rPh>
    <rPh sb="110" eb="112">
      <t>ジッシ</t>
    </rPh>
    <rPh sb="150" eb="152">
      <t>ヒョウカ</t>
    </rPh>
    <rPh sb="153" eb="155">
      <t>シンギ</t>
    </rPh>
    <rPh sb="157" eb="159">
      <t>ソシキ</t>
    </rPh>
    <rPh sb="163" eb="166">
      <t>ホンソシキ</t>
    </rPh>
    <rPh sb="186" eb="188">
      <t>ジョウホウ</t>
    </rPh>
    <rPh sb="192" eb="194">
      <t>カガク</t>
    </rPh>
    <rPh sb="198" eb="199">
      <t>チョウ</t>
    </rPh>
    <rPh sb="216" eb="218">
      <t>テンケン</t>
    </rPh>
    <rPh sb="227" eb="229">
      <t>カイギ</t>
    </rPh>
    <rPh sb="230" eb="232">
      <t>テイジ</t>
    </rPh>
    <rPh sb="234" eb="236">
      <t>イケン</t>
    </rPh>
    <rPh sb="237" eb="238">
      <t>キ</t>
    </rPh>
    <rPh sb="246" eb="250">
      <t>シンギケッカ</t>
    </rPh>
    <rPh sb="251" eb="253">
      <t>ホンガク</t>
    </rPh>
    <rPh sb="254" eb="256">
      <t>コウシキ</t>
    </rPh>
    <rPh sb="263" eb="265">
      <t>コウカイ</t>
    </rPh>
    <phoneticPr fontId="1"/>
  </si>
  <si>
    <t>課題の取組等から、授業内容の理解度は高い。また、FD委員会により毎年度、全学的に実施している「名古屋外国語大学における授業改善のためのアンケート調査」によれば、学生による授業内容の満足度は高い。その要因として、その他の質問項目から、教員の説明が平易であったこと、授業アシスタントによるサポート体制が十分であること、授業の難易度および進み具合が適切であったことなどが確認されている。</t>
    <rPh sb="47" eb="55">
      <t>ナゴヤガイコクゴダイガク</t>
    </rPh>
    <phoneticPr fontId="1"/>
  </si>
  <si>
    <t>前項で述べた「名古屋外国語大学における授業改善のためのアンケート調査」では、後輩学生へ推薦度に関する情報を得ることはできない。
当該プログラムの運営を主におこなう『メディア情報・データ科学センター データ科学教育研究部門』が当該プログラムの科目を対象として独自のアンケートを実施し、後輩学生へ推薦度に関する情報等を得ることを検討している。</t>
    <rPh sb="7" eb="15">
      <t>ナゴヤガイコクゴダイガク</t>
    </rPh>
    <phoneticPr fontId="1"/>
  </si>
  <si>
    <t>最先端の研究や、先端的企業の実例を多く取り上げるとともに、実生活に身近な具体例を挙げるなどして、学生の興味をひき起こすことを心掛けている。</t>
    <phoneticPr fontId="1"/>
  </si>
  <si>
    <t>「AI・データサイエンス入門」および「表計算ソフトウェア演習」の合計2科目4単位を取得することを要件とする。
「ICT活用演習」および「プログラミング言語」は選択科目である。</t>
    <rPh sb="59" eb="63">
      <t>カツヨウエンシュウ</t>
    </rPh>
    <rPh sb="75" eb="77">
      <t>ゲンゴ</t>
    </rPh>
    <rPh sb="79" eb="83">
      <t>センタクカモク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</si>
</sst>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2" xfId="0" applyFont="1" applyBorder="1" applyAlignment="1">
      <alignment horizontal="center" vertical="center" wrapText="1" shrinkToFit="1"/>
    </xf>
    <xf numFmtId="0" fontId="8" fillId="0" borderId="3" xfId="0" applyFont="1" applyBorder="1" applyAlignment="1">
      <alignment horizontal="center" vertical="center" wrapText="1" shrinkToFit="1"/>
    </xf>
    <xf numFmtId="0" fontId="8" fillId="0" borderId="4" xfId="0" applyFont="1" applyBorder="1" applyAlignment="1">
      <alignment horizontal="center" vertical="center" wrapText="1"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8"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2" xfId="0" applyFont="1" applyBorder="1" applyAlignment="1">
      <alignment vertical="center" wrapText="1"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8" fillId="0" borderId="7" xfId="0" applyFont="1" applyBorder="1" applyAlignment="1">
      <alignment horizontal="lef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ufs.ac.jp/feature/md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ufs.ac.jp/feature/m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B41" sqref="B4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1" t="s">
        <v>25</v>
      </c>
      <c r="N1" s="141"/>
    </row>
    <row r="2" spans="1:15" ht="24" customHeight="1" x14ac:dyDescent="0.15">
      <c r="A2" s="145" t="s">
        <v>83</v>
      </c>
      <c r="B2" s="145"/>
      <c r="C2" s="145"/>
      <c r="D2" s="145"/>
      <c r="E2" s="145"/>
      <c r="F2" s="145"/>
      <c r="G2" s="145"/>
      <c r="H2" s="145"/>
      <c r="I2" s="145"/>
      <c r="J2" s="145"/>
      <c r="K2" s="145"/>
      <c r="L2" s="145"/>
      <c r="M2" s="145"/>
      <c r="N2" s="145"/>
    </row>
    <row r="3" spans="1:15" ht="24" customHeight="1" x14ac:dyDescent="0.15"/>
    <row r="4" spans="1:15" ht="24" customHeight="1" x14ac:dyDescent="0.15">
      <c r="A4" s="14" t="s">
        <v>6</v>
      </c>
      <c r="B4" s="15" t="s">
        <v>16</v>
      </c>
      <c r="C4" s="130" t="s">
        <v>148</v>
      </c>
      <c r="D4" s="131"/>
      <c r="E4" s="131"/>
      <c r="F4" s="131"/>
      <c r="G4" s="131"/>
      <c r="H4" s="131"/>
      <c r="I4" s="131"/>
      <c r="J4" s="131"/>
      <c r="K4" s="131"/>
      <c r="L4" s="131"/>
      <c r="M4" s="131"/>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0" t="s">
        <v>149</v>
      </c>
      <c r="E6" s="131"/>
      <c r="F6" s="131"/>
      <c r="G6" s="131"/>
      <c r="H6" s="137"/>
      <c r="I6" s="17" t="s">
        <v>86</v>
      </c>
      <c r="J6" s="37" t="s">
        <v>87</v>
      </c>
      <c r="K6" s="130" t="s">
        <v>150</v>
      </c>
      <c r="L6" s="131"/>
      <c r="M6" s="131"/>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0" t="s">
        <v>151</v>
      </c>
      <c r="D8" s="131"/>
      <c r="E8" s="131"/>
      <c r="F8" s="131"/>
      <c r="G8" s="131"/>
      <c r="H8" s="131"/>
      <c r="I8" s="131"/>
      <c r="J8" s="131"/>
      <c r="K8" s="131"/>
      <c r="L8" s="131"/>
      <c r="M8" s="131"/>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0" t="s">
        <v>152</v>
      </c>
      <c r="F10" s="131"/>
      <c r="G10" s="131"/>
      <c r="H10" s="131"/>
      <c r="I10" s="131"/>
      <c r="J10" s="131"/>
      <c r="K10" s="131"/>
      <c r="L10" s="131"/>
      <c r="M10" s="131"/>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6" t="s">
        <v>153</v>
      </c>
      <c r="F12" s="147"/>
      <c r="G12" s="17" t="s">
        <v>96</v>
      </c>
      <c r="H12" s="14" t="s">
        <v>97</v>
      </c>
      <c r="N12" s="117" t="s">
        <v>154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2" t="s">
        <v>5</v>
      </c>
      <c r="D14" s="143"/>
      <c r="E14" s="134">
        <v>181</v>
      </c>
      <c r="F14" s="135"/>
      <c r="G14" s="18" t="s">
        <v>7</v>
      </c>
      <c r="I14" s="142" t="s">
        <v>8</v>
      </c>
      <c r="J14" s="143"/>
      <c r="K14" s="134">
        <v>323</v>
      </c>
      <c r="L14" s="144"/>
      <c r="M14" s="135"/>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2">
        <v>7</v>
      </c>
      <c r="L16" s="123"/>
      <c r="M16" s="124"/>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4">
        <v>1099</v>
      </c>
      <c r="F18" s="135"/>
      <c r="G18" s="21" t="s">
        <v>21</v>
      </c>
      <c r="H18" s="20"/>
      <c r="K18" s="136"/>
      <c r="L18" s="136"/>
      <c r="M18" s="136"/>
      <c r="N18" s="136"/>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25">
        <v>4543</v>
      </c>
      <c r="K20" s="126"/>
      <c r="L20" s="127"/>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4">
        <v>1038</v>
      </c>
      <c r="D22" s="135"/>
      <c r="E22" s="10" t="s">
        <v>22</v>
      </c>
      <c r="F22" s="20"/>
      <c r="G22" s="128" t="s">
        <v>18</v>
      </c>
      <c r="H22" s="128"/>
      <c r="I22" s="134">
        <v>1115</v>
      </c>
      <c r="J22" s="135"/>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4">
        <v>1122</v>
      </c>
      <c r="D24" s="135"/>
      <c r="E24" s="10" t="s">
        <v>22</v>
      </c>
      <c r="F24" s="20"/>
      <c r="G24" s="128" t="s">
        <v>20</v>
      </c>
      <c r="H24" s="128"/>
      <c r="I24" s="134">
        <v>1268</v>
      </c>
      <c r="J24" s="135"/>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4"/>
      <c r="D26" s="135"/>
      <c r="E26" s="10" t="s">
        <v>7</v>
      </c>
      <c r="F26" s="20"/>
      <c r="G26" s="128" t="s">
        <v>47</v>
      </c>
      <c r="H26" s="128"/>
      <c r="I26" s="134"/>
      <c r="J26" s="135"/>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29" t="s">
        <v>74</v>
      </c>
      <c r="C29" s="129"/>
      <c r="D29" s="130" t="s">
        <v>155</v>
      </c>
      <c r="E29" s="131"/>
      <c r="F29" s="131"/>
      <c r="G29" s="132" t="s">
        <v>23</v>
      </c>
      <c r="H29" s="129"/>
      <c r="I29" s="133"/>
      <c r="J29" s="130" t="s">
        <v>156</v>
      </c>
      <c r="K29" s="131"/>
      <c r="L29" s="131"/>
      <c r="M29" s="131"/>
      <c r="N29" s="137"/>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0" t="s">
        <v>157</v>
      </c>
      <c r="C32" s="131"/>
      <c r="D32" s="131"/>
      <c r="E32" s="131"/>
      <c r="F32" s="131"/>
      <c r="G32" s="131"/>
      <c r="H32" s="131"/>
      <c r="I32" s="131"/>
      <c r="J32" s="131"/>
      <c r="K32" s="131"/>
      <c r="L32" s="131"/>
      <c r="M32" s="131"/>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74</v>
      </c>
      <c r="C34" s="129"/>
      <c r="D34" s="130" t="s">
        <v>158</v>
      </c>
      <c r="E34" s="131"/>
      <c r="F34" s="131"/>
      <c r="G34" s="132" t="s">
        <v>55</v>
      </c>
      <c r="H34" s="129"/>
      <c r="I34" s="133"/>
      <c r="J34" s="130" t="s">
        <v>159</v>
      </c>
      <c r="K34" s="131"/>
      <c r="L34" s="131"/>
      <c r="M34" s="131"/>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37.5" customHeight="1" x14ac:dyDescent="0.15">
      <c r="B37" s="138" t="s">
        <v>205</v>
      </c>
      <c r="C37" s="139"/>
      <c r="D37" s="139"/>
      <c r="E37" s="139"/>
      <c r="F37" s="139"/>
      <c r="G37" s="139"/>
      <c r="H37" s="139"/>
      <c r="I37" s="139"/>
      <c r="J37" s="139"/>
      <c r="K37" s="139"/>
      <c r="L37" s="139"/>
      <c r="M37" s="139"/>
      <c r="N37" s="140"/>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29" t="s">
        <v>74</v>
      </c>
      <c r="C39" s="129"/>
      <c r="D39" s="130" t="s">
        <v>158</v>
      </c>
      <c r="E39" s="131"/>
      <c r="F39" s="131"/>
      <c r="G39" s="132" t="s">
        <v>55</v>
      </c>
      <c r="H39" s="129"/>
      <c r="I39" s="133"/>
      <c r="J39" s="130" t="s">
        <v>160</v>
      </c>
      <c r="K39" s="131"/>
      <c r="L39" s="131"/>
      <c r="M39" s="131"/>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0" t="s">
        <v>161</v>
      </c>
      <c r="G41" s="131"/>
      <c r="H41" s="131"/>
      <c r="I41" s="131"/>
      <c r="J41" s="131"/>
      <c r="K41" s="131"/>
      <c r="L41" s="131"/>
      <c r="M41" s="131"/>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4" t="s">
        <v>162</v>
      </c>
      <c r="D44" s="155"/>
      <c r="E44" s="155"/>
      <c r="F44" s="155"/>
      <c r="G44" s="155"/>
      <c r="H44" s="155"/>
      <c r="I44" s="26" t="s">
        <v>2</v>
      </c>
      <c r="J44" s="27"/>
      <c r="K44" s="130" t="s">
        <v>158</v>
      </c>
      <c r="L44" s="131"/>
      <c r="M44" s="131"/>
      <c r="N44" s="137"/>
      <c r="O44" s="31" t="str">
        <f>IF(OR(C44="",K44=""),"入力してください","")</f>
        <v/>
      </c>
    </row>
    <row r="45" spans="1:15" ht="24" customHeight="1" x14ac:dyDescent="0.15">
      <c r="B45" s="25" t="s">
        <v>4</v>
      </c>
      <c r="C45" s="148" t="s">
        <v>163</v>
      </c>
      <c r="D45" s="149"/>
      <c r="E45" s="149"/>
      <c r="F45" s="149"/>
      <c r="G45" s="149"/>
      <c r="H45" s="150"/>
      <c r="I45" s="26" t="s">
        <v>3</v>
      </c>
      <c r="J45" s="27"/>
      <c r="K45" s="151" t="s">
        <v>164</v>
      </c>
      <c r="L45" s="152"/>
      <c r="M45" s="152"/>
      <c r="N45" s="153"/>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zoomScaleNormal="100" zoomScaleSheetLayoutView="100" workbookViewId="0">
      <selection activeCell="B12" sqref="B1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7" t="s">
        <v>204</v>
      </c>
      <c r="X1" s="177"/>
      <c r="Y1" s="177"/>
      <c r="Z1" s="177"/>
    </row>
    <row r="2" spans="1:26" ht="18" customHeight="1" x14ac:dyDescent="0.15">
      <c r="A2" s="217" t="s">
        <v>67</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2" t="s">
        <v>165</v>
      </c>
      <c r="P4" s="123"/>
      <c r="Q4" s="123"/>
      <c r="R4" s="123"/>
      <c r="S4" s="123"/>
      <c r="T4" s="123"/>
      <c r="U4" s="123"/>
      <c r="V4" s="123"/>
      <c r="W4" s="123"/>
      <c r="X4" s="123"/>
      <c r="Y4" s="123"/>
      <c r="Z4" s="12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310" t="s">
        <v>211</v>
      </c>
      <c r="C6" s="218"/>
      <c r="D6" s="218"/>
      <c r="E6" s="218"/>
      <c r="F6" s="218"/>
      <c r="G6" s="218"/>
      <c r="H6" s="218"/>
      <c r="I6" s="218"/>
      <c r="J6" s="218"/>
      <c r="K6" s="218"/>
      <c r="L6" s="218"/>
      <c r="M6" s="218"/>
      <c r="N6" s="218"/>
      <c r="O6" s="218"/>
      <c r="P6" s="218"/>
      <c r="Q6" s="218"/>
      <c r="R6" s="218"/>
      <c r="S6" s="218"/>
      <c r="T6" s="218"/>
      <c r="U6" s="218"/>
      <c r="V6" s="218"/>
      <c r="W6" s="218"/>
      <c r="X6" s="218"/>
      <c r="Y6" s="218"/>
      <c r="Z6" s="219"/>
    </row>
    <row r="7" spans="1:26" ht="18" customHeight="1" x14ac:dyDescent="0.15">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x14ac:dyDescent="0.15">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x14ac:dyDescent="0.15">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x14ac:dyDescent="0.15">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6" t="s">
        <v>125</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4"/>
      <c r="B15" s="122" t="s">
        <v>100</v>
      </c>
      <c r="C15" s="123"/>
      <c r="D15" s="123"/>
      <c r="E15" s="123"/>
      <c r="F15" s="124"/>
      <c r="G15" s="30" t="s">
        <v>141</v>
      </c>
      <c r="H15" s="112" t="s">
        <v>140</v>
      </c>
      <c r="I15" s="123" t="s">
        <v>101</v>
      </c>
      <c r="J15" s="123"/>
      <c r="K15" s="123"/>
      <c r="L15" s="75" t="s">
        <v>104</v>
      </c>
      <c r="M15" s="75" t="s">
        <v>107</v>
      </c>
      <c r="N15" s="122" t="s">
        <v>100</v>
      </c>
      <c r="O15" s="123"/>
      <c r="P15" s="123"/>
      <c r="Q15" s="123"/>
      <c r="R15" s="123"/>
      <c r="S15" s="124"/>
      <c r="T15" s="30" t="s">
        <v>141</v>
      </c>
      <c r="U15" s="112" t="s">
        <v>140</v>
      </c>
      <c r="V15" s="123" t="s">
        <v>101</v>
      </c>
      <c r="W15" s="123"/>
      <c r="X15" s="123"/>
      <c r="Y15" s="75" t="s">
        <v>104</v>
      </c>
      <c r="Z15" s="75" t="s">
        <v>107</v>
      </c>
    </row>
    <row r="16" spans="1:26" ht="18" customHeight="1" x14ac:dyDescent="0.15">
      <c r="A16" s="14"/>
      <c r="B16" s="178" t="s">
        <v>166</v>
      </c>
      <c r="C16" s="179"/>
      <c r="D16" s="179"/>
      <c r="E16" s="179"/>
      <c r="F16" s="180"/>
      <c r="G16" s="113">
        <v>2</v>
      </c>
      <c r="H16" s="113" t="s">
        <v>168</v>
      </c>
      <c r="I16" s="184" t="s">
        <v>167</v>
      </c>
      <c r="J16" s="185"/>
      <c r="K16" s="186"/>
      <c r="L16" s="113" t="s">
        <v>168</v>
      </c>
      <c r="M16" s="113" t="s">
        <v>168</v>
      </c>
      <c r="N16" s="156"/>
      <c r="O16" s="157"/>
      <c r="P16" s="157"/>
      <c r="Q16" s="157"/>
      <c r="R16" s="157"/>
      <c r="S16" s="158"/>
      <c r="T16" s="113"/>
      <c r="U16" s="113"/>
      <c r="V16" s="184"/>
      <c r="W16" s="185"/>
      <c r="X16" s="186"/>
      <c r="Y16" s="113"/>
      <c r="Z16" s="113"/>
    </row>
    <row r="17" spans="1:26" ht="18" customHeight="1" x14ac:dyDescent="0.15">
      <c r="A17" s="14"/>
      <c r="B17" s="171"/>
      <c r="C17" s="172"/>
      <c r="D17" s="172"/>
      <c r="E17" s="172"/>
      <c r="F17" s="173"/>
      <c r="G17" s="114"/>
      <c r="H17" s="114"/>
      <c r="I17" s="165"/>
      <c r="J17" s="166"/>
      <c r="K17" s="167"/>
      <c r="L17" s="114"/>
      <c r="M17" s="114"/>
      <c r="N17" s="159"/>
      <c r="O17" s="160"/>
      <c r="P17" s="160"/>
      <c r="Q17" s="160"/>
      <c r="R17" s="160"/>
      <c r="S17" s="161"/>
      <c r="T17" s="114"/>
      <c r="U17" s="114"/>
      <c r="V17" s="165"/>
      <c r="W17" s="166"/>
      <c r="X17" s="167"/>
      <c r="Y17" s="114"/>
      <c r="Z17" s="114"/>
    </row>
    <row r="18" spans="1:26" ht="18" customHeight="1" x14ac:dyDescent="0.15">
      <c r="A18" s="14"/>
      <c r="B18" s="171"/>
      <c r="C18" s="172"/>
      <c r="D18" s="172"/>
      <c r="E18" s="172"/>
      <c r="F18" s="173"/>
      <c r="G18" s="114"/>
      <c r="H18" s="114"/>
      <c r="I18" s="165"/>
      <c r="J18" s="166"/>
      <c r="K18" s="167"/>
      <c r="L18" s="114"/>
      <c r="M18" s="114"/>
      <c r="N18" s="159"/>
      <c r="O18" s="160"/>
      <c r="P18" s="160"/>
      <c r="Q18" s="160"/>
      <c r="R18" s="160"/>
      <c r="S18" s="161"/>
      <c r="T18" s="114"/>
      <c r="U18" s="114"/>
      <c r="V18" s="165"/>
      <c r="W18" s="166"/>
      <c r="X18" s="167"/>
      <c r="Y18" s="114"/>
      <c r="Z18" s="114"/>
    </row>
    <row r="19" spans="1:26" ht="18" customHeight="1" x14ac:dyDescent="0.15">
      <c r="A19" s="14"/>
      <c r="B19" s="171"/>
      <c r="C19" s="172"/>
      <c r="D19" s="172"/>
      <c r="E19" s="172"/>
      <c r="F19" s="173"/>
      <c r="G19" s="114"/>
      <c r="H19" s="114"/>
      <c r="I19" s="165"/>
      <c r="J19" s="166"/>
      <c r="K19" s="167"/>
      <c r="L19" s="114"/>
      <c r="M19" s="114"/>
      <c r="N19" s="159"/>
      <c r="O19" s="160"/>
      <c r="P19" s="160"/>
      <c r="Q19" s="160"/>
      <c r="R19" s="160"/>
      <c r="S19" s="161"/>
      <c r="T19" s="114"/>
      <c r="U19" s="114"/>
      <c r="V19" s="165"/>
      <c r="W19" s="166"/>
      <c r="X19" s="167"/>
      <c r="Y19" s="114"/>
      <c r="Z19" s="114"/>
    </row>
    <row r="20" spans="1:26" ht="18" customHeight="1" x14ac:dyDescent="0.15">
      <c r="A20" s="14"/>
      <c r="B20" s="171"/>
      <c r="C20" s="172"/>
      <c r="D20" s="172"/>
      <c r="E20" s="172"/>
      <c r="F20" s="173"/>
      <c r="G20" s="114"/>
      <c r="H20" s="114"/>
      <c r="I20" s="165"/>
      <c r="J20" s="166"/>
      <c r="K20" s="167"/>
      <c r="L20" s="114"/>
      <c r="M20" s="114"/>
      <c r="N20" s="159"/>
      <c r="O20" s="160"/>
      <c r="P20" s="160"/>
      <c r="Q20" s="160"/>
      <c r="R20" s="160"/>
      <c r="S20" s="161"/>
      <c r="T20" s="114"/>
      <c r="U20" s="114"/>
      <c r="V20" s="165"/>
      <c r="W20" s="166"/>
      <c r="X20" s="167"/>
      <c r="Y20" s="114"/>
      <c r="Z20" s="114"/>
    </row>
    <row r="21" spans="1:26" ht="18" customHeight="1" x14ac:dyDescent="0.15">
      <c r="A21" s="29"/>
      <c r="B21" s="171"/>
      <c r="C21" s="172"/>
      <c r="D21" s="172"/>
      <c r="E21" s="172"/>
      <c r="F21" s="173"/>
      <c r="G21" s="114"/>
      <c r="H21" s="114"/>
      <c r="I21" s="165"/>
      <c r="J21" s="166"/>
      <c r="K21" s="167"/>
      <c r="L21" s="114"/>
      <c r="M21" s="114"/>
      <c r="N21" s="159"/>
      <c r="O21" s="160"/>
      <c r="P21" s="160"/>
      <c r="Q21" s="160"/>
      <c r="R21" s="160"/>
      <c r="S21" s="161"/>
      <c r="T21" s="114"/>
      <c r="U21" s="114"/>
      <c r="V21" s="165"/>
      <c r="W21" s="166"/>
      <c r="X21" s="167"/>
      <c r="Y21" s="114"/>
      <c r="Z21" s="114"/>
    </row>
    <row r="22" spans="1:26" ht="18" customHeight="1" x14ac:dyDescent="0.15">
      <c r="A22" s="29"/>
      <c r="B22" s="174"/>
      <c r="C22" s="175"/>
      <c r="D22" s="175"/>
      <c r="E22" s="175"/>
      <c r="F22" s="176"/>
      <c r="G22" s="115"/>
      <c r="H22" s="115"/>
      <c r="I22" s="168"/>
      <c r="J22" s="169"/>
      <c r="K22" s="170"/>
      <c r="L22" s="121"/>
      <c r="M22" s="121"/>
      <c r="N22" s="162"/>
      <c r="O22" s="163"/>
      <c r="P22" s="163"/>
      <c r="Q22" s="163"/>
      <c r="R22" s="163"/>
      <c r="S22" s="164"/>
      <c r="T22" s="115"/>
      <c r="U22" s="115"/>
      <c r="V22" s="168"/>
      <c r="W22" s="169"/>
      <c r="X22" s="170"/>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6" t="s">
        <v>126</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4"/>
      <c r="B26" s="122" t="s">
        <v>100</v>
      </c>
      <c r="C26" s="123"/>
      <c r="D26" s="123"/>
      <c r="E26" s="123"/>
      <c r="F26" s="124"/>
      <c r="G26" s="30" t="s">
        <v>141</v>
      </c>
      <c r="H26" s="112" t="s">
        <v>140</v>
      </c>
      <c r="I26" s="123" t="s">
        <v>101</v>
      </c>
      <c r="J26" s="123"/>
      <c r="K26" s="123"/>
      <c r="L26" s="75" t="s">
        <v>127</v>
      </c>
      <c r="M26" s="75" t="s">
        <v>128</v>
      </c>
      <c r="N26" s="122" t="s">
        <v>100</v>
      </c>
      <c r="O26" s="123"/>
      <c r="P26" s="123"/>
      <c r="Q26" s="123"/>
      <c r="R26" s="123"/>
      <c r="S26" s="124"/>
      <c r="T26" s="30" t="s">
        <v>141</v>
      </c>
      <c r="U26" s="112" t="s">
        <v>140</v>
      </c>
      <c r="V26" s="123" t="s">
        <v>101</v>
      </c>
      <c r="W26" s="123"/>
      <c r="X26" s="123"/>
      <c r="Y26" s="75" t="s">
        <v>127</v>
      </c>
      <c r="Z26" s="75" t="s">
        <v>128</v>
      </c>
    </row>
    <row r="27" spans="1:26" ht="18" customHeight="1" x14ac:dyDescent="0.15">
      <c r="A27" s="14"/>
      <c r="B27" s="178" t="s">
        <v>166</v>
      </c>
      <c r="C27" s="179"/>
      <c r="D27" s="179"/>
      <c r="E27" s="179"/>
      <c r="F27" s="180"/>
      <c r="G27" s="113">
        <v>2</v>
      </c>
      <c r="H27" s="113" t="s">
        <v>168</v>
      </c>
      <c r="I27" s="184" t="s">
        <v>167</v>
      </c>
      <c r="J27" s="185"/>
      <c r="K27" s="186"/>
      <c r="L27" s="113" t="s">
        <v>168</v>
      </c>
      <c r="M27" s="113" t="s">
        <v>168</v>
      </c>
      <c r="N27" s="156"/>
      <c r="O27" s="157"/>
      <c r="P27" s="157"/>
      <c r="Q27" s="157"/>
      <c r="R27" s="157"/>
      <c r="S27" s="158"/>
      <c r="T27" s="113"/>
      <c r="U27" s="113"/>
      <c r="V27" s="184"/>
      <c r="W27" s="185"/>
      <c r="X27" s="186"/>
      <c r="Y27" s="113"/>
      <c r="Z27" s="113"/>
    </row>
    <row r="28" spans="1:26" ht="18" customHeight="1" x14ac:dyDescent="0.15">
      <c r="A28" s="14"/>
      <c r="B28" s="171"/>
      <c r="C28" s="172"/>
      <c r="D28" s="172"/>
      <c r="E28" s="172"/>
      <c r="F28" s="173"/>
      <c r="G28" s="114"/>
      <c r="H28" s="114"/>
      <c r="I28" s="165"/>
      <c r="J28" s="166"/>
      <c r="K28" s="167"/>
      <c r="L28" s="114"/>
      <c r="M28" s="114"/>
      <c r="N28" s="159"/>
      <c r="O28" s="160"/>
      <c r="P28" s="160"/>
      <c r="Q28" s="160"/>
      <c r="R28" s="160"/>
      <c r="S28" s="161"/>
      <c r="T28" s="114"/>
      <c r="U28" s="114"/>
      <c r="V28" s="165"/>
      <c r="W28" s="166"/>
      <c r="X28" s="167"/>
      <c r="Y28" s="114"/>
      <c r="Z28" s="114"/>
    </row>
    <row r="29" spans="1:26" ht="18" customHeight="1" x14ac:dyDescent="0.15">
      <c r="A29" s="14"/>
      <c r="B29" s="171"/>
      <c r="C29" s="172"/>
      <c r="D29" s="172"/>
      <c r="E29" s="172"/>
      <c r="F29" s="173"/>
      <c r="G29" s="114"/>
      <c r="H29" s="114"/>
      <c r="I29" s="165"/>
      <c r="J29" s="166"/>
      <c r="K29" s="167"/>
      <c r="L29" s="114"/>
      <c r="M29" s="114"/>
      <c r="N29" s="159"/>
      <c r="O29" s="160"/>
      <c r="P29" s="160"/>
      <c r="Q29" s="160"/>
      <c r="R29" s="160"/>
      <c r="S29" s="161"/>
      <c r="T29" s="114"/>
      <c r="U29" s="114"/>
      <c r="V29" s="165"/>
      <c r="W29" s="166"/>
      <c r="X29" s="167"/>
      <c r="Y29" s="114"/>
      <c r="Z29" s="114"/>
    </row>
    <row r="30" spans="1:26" ht="18" customHeight="1" x14ac:dyDescent="0.15">
      <c r="A30" s="14"/>
      <c r="B30" s="171"/>
      <c r="C30" s="172"/>
      <c r="D30" s="172"/>
      <c r="E30" s="172"/>
      <c r="F30" s="173"/>
      <c r="G30" s="114"/>
      <c r="H30" s="114"/>
      <c r="I30" s="165"/>
      <c r="J30" s="166"/>
      <c r="K30" s="167"/>
      <c r="L30" s="114"/>
      <c r="M30" s="114"/>
      <c r="N30" s="159"/>
      <c r="O30" s="160"/>
      <c r="P30" s="160"/>
      <c r="Q30" s="160"/>
      <c r="R30" s="160"/>
      <c r="S30" s="161"/>
      <c r="T30" s="114"/>
      <c r="U30" s="114"/>
      <c r="V30" s="165"/>
      <c r="W30" s="166"/>
      <c r="X30" s="167"/>
      <c r="Y30" s="114"/>
      <c r="Z30" s="114"/>
    </row>
    <row r="31" spans="1:26" ht="18" customHeight="1" x14ac:dyDescent="0.15">
      <c r="A31" s="14"/>
      <c r="B31" s="171"/>
      <c r="C31" s="172"/>
      <c r="D31" s="172"/>
      <c r="E31" s="172"/>
      <c r="F31" s="173"/>
      <c r="G31" s="114"/>
      <c r="H31" s="114"/>
      <c r="I31" s="165"/>
      <c r="J31" s="166"/>
      <c r="K31" s="167"/>
      <c r="L31" s="114"/>
      <c r="M31" s="114"/>
      <c r="N31" s="159"/>
      <c r="O31" s="160"/>
      <c r="P31" s="160"/>
      <c r="Q31" s="160"/>
      <c r="R31" s="160"/>
      <c r="S31" s="161"/>
      <c r="T31" s="114"/>
      <c r="U31" s="114"/>
      <c r="V31" s="165"/>
      <c r="W31" s="166"/>
      <c r="X31" s="167"/>
      <c r="Y31" s="114"/>
      <c r="Z31" s="114"/>
    </row>
    <row r="32" spans="1:26" ht="18" customHeight="1" x14ac:dyDescent="0.15">
      <c r="A32" s="14"/>
      <c r="B32" s="171"/>
      <c r="C32" s="172"/>
      <c r="D32" s="172"/>
      <c r="E32" s="172"/>
      <c r="F32" s="173"/>
      <c r="G32" s="114"/>
      <c r="H32" s="114"/>
      <c r="I32" s="165"/>
      <c r="J32" s="166"/>
      <c r="K32" s="167"/>
      <c r="L32" s="114"/>
      <c r="M32" s="114"/>
      <c r="N32" s="159"/>
      <c r="O32" s="160"/>
      <c r="P32" s="160"/>
      <c r="Q32" s="160"/>
      <c r="R32" s="160"/>
      <c r="S32" s="161"/>
      <c r="T32" s="114"/>
      <c r="U32" s="114"/>
      <c r="V32" s="165"/>
      <c r="W32" s="166"/>
      <c r="X32" s="167"/>
      <c r="Y32" s="114"/>
      <c r="Z32" s="114"/>
    </row>
    <row r="33" spans="1:26" ht="18" customHeight="1" x14ac:dyDescent="0.15">
      <c r="A33" s="14"/>
      <c r="B33" s="174"/>
      <c r="C33" s="175"/>
      <c r="D33" s="175"/>
      <c r="E33" s="175"/>
      <c r="F33" s="176"/>
      <c r="G33" s="115"/>
      <c r="H33" s="115"/>
      <c r="I33" s="168"/>
      <c r="J33" s="169"/>
      <c r="K33" s="170"/>
      <c r="L33" s="121"/>
      <c r="M33" s="121"/>
      <c r="N33" s="162"/>
      <c r="O33" s="163"/>
      <c r="P33" s="163"/>
      <c r="Q33" s="163"/>
      <c r="R33" s="163"/>
      <c r="S33" s="164"/>
      <c r="T33" s="115"/>
      <c r="U33" s="115"/>
      <c r="V33" s="168"/>
      <c r="W33" s="169"/>
      <c r="X33" s="170"/>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6" t="s">
        <v>129</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4"/>
      <c r="B37" s="122" t="s">
        <v>100</v>
      </c>
      <c r="C37" s="123"/>
      <c r="D37" s="123"/>
      <c r="E37" s="123"/>
      <c r="F37" s="124"/>
      <c r="G37" s="30" t="s">
        <v>141</v>
      </c>
      <c r="H37" s="112" t="s">
        <v>140</v>
      </c>
      <c r="I37" s="122" t="s">
        <v>101</v>
      </c>
      <c r="J37" s="123"/>
      <c r="K37" s="124"/>
      <c r="L37" s="75" t="s">
        <v>130</v>
      </c>
      <c r="M37" s="75" t="s">
        <v>131</v>
      </c>
      <c r="N37" s="122" t="s">
        <v>100</v>
      </c>
      <c r="O37" s="123"/>
      <c r="P37" s="123"/>
      <c r="Q37" s="123"/>
      <c r="R37" s="123"/>
      <c r="S37" s="124"/>
      <c r="T37" s="30" t="s">
        <v>141</v>
      </c>
      <c r="U37" s="112" t="s">
        <v>140</v>
      </c>
      <c r="V37" s="122" t="s">
        <v>101</v>
      </c>
      <c r="W37" s="123"/>
      <c r="X37" s="124"/>
      <c r="Y37" s="75" t="s">
        <v>130</v>
      </c>
      <c r="Z37" s="75" t="s">
        <v>131</v>
      </c>
    </row>
    <row r="38" spans="1:26" ht="18" customHeight="1" x14ac:dyDescent="0.15">
      <c r="A38" s="29"/>
      <c r="B38" s="178" t="s">
        <v>166</v>
      </c>
      <c r="C38" s="179"/>
      <c r="D38" s="179"/>
      <c r="E38" s="179"/>
      <c r="F38" s="180"/>
      <c r="G38" s="113">
        <v>2</v>
      </c>
      <c r="H38" s="113" t="s">
        <v>168</v>
      </c>
      <c r="I38" s="184" t="s">
        <v>167</v>
      </c>
      <c r="J38" s="185"/>
      <c r="K38" s="186"/>
      <c r="L38" s="113" t="s">
        <v>168</v>
      </c>
      <c r="M38" s="113" t="s">
        <v>168</v>
      </c>
      <c r="N38" s="156"/>
      <c r="O38" s="157"/>
      <c r="P38" s="157"/>
      <c r="Q38" s="157"/>
      <c r="R38" s="157"/>
      <c r="S38" s="158"/>
      <c r="T38" s="113"/>
      <c r="U38" s="113"/>
      <c r="V38" s="184"/>
      <c r="W38" s="185"/>
      <c r="X38" s="186"/>
      <c r="Y38" s="113"/>
      <c r="Z38" s="113"/>
    </row>
    <row r="39" spans="1:26" ht="18" customHeight="1" x14ac:dyDescent="0.15">
      <c r="A39" s="29"/>
      <c r="B39" s="171" t="s">
        <v>169</v>
      </c>
      <c r="C39" s="172"/>
      <c r="D39" s="172"/>
      <c r="E39" s="172"/>
      <c r="F39" s="173"/>
      <c r="G39" s="114">
        <v>2</v>
      </c>
      <c r="H39" s="114" t="s">
        <v>168</v>
      </c>
      <c r="I39" s="165" t="s">
        <v>167</v>
      </c>
      <c r="J39" s="166"/>
      <c r="K39" s="167"/>
      <c r="L39" s="114" t="s">
        <v>168</v>
      </c>
      <c r="M39" s="114"/>
      <c r="N39" s="159"/>
      <c r="O39" s="160"/>
      <c r="P39" s="160"/>
      <c r="Q39" s="160"/>
      <c r="R39" s="160"/>
      <c r="S39" s="161"/>
      <c r="T39" s="114"/>
      <c r="U39" s="114"/>
      <c r="V39" s="165"/>
      <c r="W39" s="166"/>
      <c r="X39" s="167"/>
      <c r="Y39" s="114"/>
      <c r="Z39" s="114"/>
    </row>
    <row r="40" spans="1:26" ht="18" customHeight="1" x14ac:dyDescent="0.15">
      <c r="A40" s="29"/>
      <c r="B40" s="171" t="s">
        <v>170</v>
      </c>
      <c r="C40" s="172"/>
      <c r="D40" s="172"/>
      <c r="E40" s="172"/>
      <c r="F40" s="173"/>
      <c r="G40" s="114">
        <v>2</v>
      </c>
      <c r="H40" s="114"/>
      <c r="I40" s="165" t="s">
        <v>167</v>
      </c>
      <c r="J40" s="166"/>
      <c r="K40" s="167"/>
      <c r="L40" s="114" t="s">
        <v>168</v>
      </c>
      <c r="M40" s="114"/>
      <c r="N40" s="159"/>
      <c r="O40" s="160"/>
      <c r="P40" s="160"/>
      <c r="Q40" s="160"/>
      <c r="R40" s="160"/>
      <c r="S40" s="161"/>
      <c r="T40" s="114"/>
      <c r="U40" s="114"/>
      <c r="V40" s="165"/>
      <c r="W40" s="166"/>
      <c r="X40" s="167"/>
      <c r="Y40" s="114"/>
      <c r="Z40" s="114"/>
    </row>
    <row r="41" spans="1:26" ht="18" customHeight="1" x14ac:dyDescent="0.15">
      <c r="A41" s="29"/>
      <c r="B41" s="171"/>
      <c r="C41" s="172"/>
      <c r="D41" s="172"/>
      <c r="E41" s="172"/>
      <c r="F41" s="173"/>
      <c r="G41" s="114"/>
      <c r="H41" s="114"/>
      <c r="I41" s="165"/>
      <c r="J41" s="166"/>
      <c r="K41" s="167"/>
      <c r="L41" s="114"/>
      <c r="M41" s="114"/>
      <c r="N41" s="159"/>
      <c r="O41" s="160"/>
      <c r="P41" s="160"/>
      <c r="Q41" s="160"/>
      <c r="R41" s="160"/>
      <c r="S41" s="161"/>
      <c r="T41" s="114"/>
      <c r="U41" s="114"/>
      <c r="V41" s="165"/>
      <c r="W41" s="166"/>
      <c r="X41" s="167"/>
      <c r="Y41" s="114"/>
      <c r="Z41" s="114"/>
    </row>
    <row r="42" spans="1:26" ht="18" customHeight="1" x14ac:dyDescent="0.15">
      <c r="A42" s="29"/>
      <c r="B42" s="171"/>
      <c r="C42" s="172"/>
      <c r="D42" s="172"/>
      <c r="E42" s="172"/>
      <c r="F42" s="173"/>
      <c r="G42" s="114"/>
      <c r="H42" s="114"/>
      <c r="I42" s="165"/>
      <c r="J42" s="166"/>
      <c r="K42" s="167"/>
      <c r="L42" s="114"/>
      <c r="M42" s="114"/>
      <c r="N42" s="159"/>
      <c r="O42" s="160"/>
      <c r="P42" s="160"/>
      <c r="Q42" s="160"/>
      <c r="R42" s="160"/>
      <c r="S42" s="161"/>
      <c r="T42" s="114"/>
      <c r="U42" s="114"/>
      <c r="V42" s="165"/>
      <c r="W42" s="166"/>
      <c r="X42" s="167"/>
      <c r="Y42" s="114"/>
      <c r="Z42" s="114"/>
    </row>
    <row r="43" spans="1:26" ht="18" customHeight="1" x14ac:dyDescent="0.15">
      <c r="A43" s="29"/>
      <c r="B43" s="171"/>
      <c r="C43" s="172"/>
      <c r="D43" s="172"/>
      <c r="E43" s="172"/>
      <c r="F43" s="173"/>
      <c r="G43" s="114"/>
      <c r="H43" s="114"/>
      <c r="I43" s="165"/>
      <c r="J43" s="166"/>
      <c r="K43" s="167"/>
      <c r="L43" s="114"/>
      <c r="M43" s="114"/>
      <c r="N43" s="159"/>
      <c r="O43" s="160"/>
      <c r="P43" s="160"/>
      <c r="Q43" s="160"/>
      <c r="R43" s="160"/>
      <c r="S43" s="161"/>
      <c r="T43" s="114"/>
      <c r="U43" s="114"/>
      <c r="V43" s="165"/>
      <c r="W43" s="166"/>
      <c r="X43" s="167"/>
      <c r="Y43" s="114"/>
      <c r="Z43" s="114"/>
    </row>
    <row r="44" spans="1:26" ht="18" customHeight="1" x14ac:dyDescent="0.15">
      <c r="A44" s="29"/>
      <c r="B44" s="174"/>
      <c r="C44" s="175"/>
      <c r="D44" s="175"/>
      <c r="E44" s="175"/>
      <c r="F44" s="176"/>
      <c r="G44" s="115"/>
      <c r="H44" s="115"/>
      <c r="I44" s="168"/>
      <c r="J44" s="169"/>
      <c r="K44" s="170"/>
      <c r="L44" s="121"/>
      <c r="M44" s="121"/>
      <c r="N44" s="162"/>
      <c r="O44" s="163"/>
      <c r="P44" s="163"/>
      <c r="Q44" s="163"/>
      <c r="R44" s="163"/>
      <c r="S44" s="164"/>
      <c r="T44" s="115"/>
      <c r="U44" s="115"/>
      <c r="V44" s="168"/>
      <c r="W44" s="169"/>
      <c r="X44" s="170"/>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6" t="s">
        <v>132</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4"/>
      <c r="B48" s="122" t="s">
        <v>100</v>
      </c>
      <c r="C48" s="123"/>
      <c r="D48" s="123"/>
      <c r="E48" s="123"/>
      <c r="F48" s="124"/>
      <c r="G48" s="30" t="s">
        <v>141</v>
      </c>
      <c r="H48" s="112" t="s">
        <v>140</v>
      </c>
      <c r="I48" s="122" t="s">
        <v>101</v>
      </c>
      <c r="J48" s="123"/>
      <c r="K48" s="124"/>
      <c r="L48" s="75" t="s">
        <v>106</v>
      </c>
      <c r="M48" s="75" t="s">
        <v>108</v>
      </c>
      <c r="N48" s="122" t="s">
        <v>100</v>
      </c>
      <c r="O48" s="123"/>
      <c r="P48" s="123"/>
      <c r="Q48" s="123"/>
      <c r="R48" s="123"/>
      <c r="S48" s="124"/>
      <c r="T48" s="30" t="s">
        <v>141</v>
      </c>
      <c r="U48" s="112" t="s">
        <v>140</v>
      </c>
      <c r="V48" s="122" t="s">
        <v>101</v>
      </c>
      <c r="W48" s="123"/>
      <c r="X48" s="124"/>
      <c r="Y48" s="75" t="s">
        <v>106</v>
      </c>
      <c r="Z48" s="75" t="s">
        <v>108</v>
      </c>
    </row>
    <row r="49" spans="1:26" ht="18" customHeight="1" x14ac:dyDescent="0.15">
      <c r="A49" s="29"/>
      <c r="B49" s="178" t="s">
        <v>166</v>
      </c>
      <c r="C49" s="179"/>
      <c r="D49" s="179"/>
      <c r="E49" s="179"/>
      <c r="F49" s="180"/>
      <c r="G49" s="113">
        <v>2</v>
      </c>
      <c r="H49" s="113" t="s">
        <v>168</v>
      </c>
      <c r="I49" s="184" t="s">
        <v>167</v>
      </c>
      <c r="J49" s="185"/>
      <c r="K49" s="186"/>
      <c r="L49" s="113" t="s">
        <v>168</v>
      </c>
      <c r="M49" s="113" t="s">
        <v>168</v>
      </c>
      <c r="N49" s="156"/>
      <c r="O49" s="157"/>
      <c r="P49" s="157"/>
      <c r="Q49" s="157"/>
      <c r="R49" s="157"/>
      <c r="S49" s="158"/>
      <c r="T49" s="113"/>
      <c r="U49" s="113"/>
      <c r="V49" s="184"/>
      <c r="W49" s="185"/>
      <c r="X49" s="186"/>
      <c r="Y49" s="113"/>
      <c r="Z49" s="113"/>
    </row>
    <row r="50" spans="1:26" ht="18" customHeight="1" x14ac:dyDescent="0.15">
      <c r="A50" s="29"/>
      <c r="B50" s="171"/>
      <c r="C50" s="172"/>
      <c r="D50" s="172"/>
      <c r="E50" s="172"/>
      <c r="F50" s="173"/>
      <c r="G50" s="114"/>
      <c r="H50" s="114"/>
      <c r="I50" s="165"/>
      <c r="J50" s="166"/>
      <c r="K50" s="167"/>
      <c r="L50" s="114"/>
      <c r="M50" s="114"/>
      <c r="N50" s="159"/>
      <c r="O50" s="160"/>
      <c r="P50" s="160"/>
      <c r="Q50" s="160"/>
      <c r="R50" s="160"/>
      <c r="S50" s="161"/>
      <c r="T50" s="114"/>
      <c r="U50" s="114"/>
      <c r="V50" s="165"/>
      <c r="W50" s="166"/>
      <c r="X50" s="167"/>
      <c r="Y50" s="114"/>
      <c r="Z50" s="114"/>
    </row>
    <row r="51" spans="1:26" ht="18" customHeight="1" x14ac:dyDescent="0.15">
      <c r="A51" s="29"/>
      <c r="B51" s="171"/>
      <c r="C51" s="172"/>
      <c r="D51" s="172"/>
      <c r="E51" s="172"/>
      <c r="F51" s="173"/>
      <c r="G51" s="114"/>
      <c r="H51" s="114"/>
      <c r="I51" s="165"/>
      <c r="J51" s="166"/>
      <c r="K51" s="167"/>
      <c r="L51" s="114"/>
      <c r="M51" s="114"/>
      <c r="N51" s="159"/>
      <c r="O51" s="160"/>
      <c r="P51" s="160"/>
      <c r="Q51" s="160"/>
      <c r="R51" s="160"/>
      <c r="S51" s="161"/>
      <c r="T51" s="114"/>
      <c r="U51" s="114"/>
      <c r="V51" s="165"/>
      <c r="W51" s="166"/>
      <c r="X51" s="167"/>
      <c r="Y51" s="114"/>
      <c r="Z51" s="114"/>
    </row>
    <row r="52" spans="1:26" ht="18" customHeight="1" x14ac:dyDescent="0.15">
      <c r="A52" s="29"/>
      <c r="B52" s="171"/>
      <c r="C52" s="172"/>
      <c r="D52" s="172"/>
      <c r="E52" s="172"/>
      <c r="F52" s="173"/>
      <c r="G52" s="114"/>
      <c r="H52" s="114"/>
      <c r="I52" s="165"/>
      <c r="J52" s="166"/>
      <c r="K52" s="167"/>
      <c r="L52" s="114"/>
      <c r="M52" s="114"/>
      <c r="N52" s="159"/>
      <c r="O52" s="160"/>
      <c r="P52" s="160"/>
      <c r="Q52" s="160"/>
      <c r="R52" s="160"/>
      <c r="S52" s="161"/>
      <c r="T52" s="114"/>
      <c r="U52" s="114"/>
      <c r="V52" s="165"/>
      <c r="W52" s="166"/>
      <c r="X52" s="167"/>
      <c r="Y52" s="114"/>
      <c r="Z52" s="114"/>
    </row>
    <row r="53" spans="1:26" ht="18" customHeight="1" x14ac:dyDescent="0.15">
      <c r="A53" s="29"/>
      <c r="B53" s="171"/>
      <c r="C53" s="172"/>
      <c r="D53" s="172"/>
      <c r="E53" s="172"/>
      <c r="F53" s="173"/>
      <c r="G53" s="114"/>
      <c r="H53" s="114"/>
      <c r="I53" s="165"/>
      <c r="J53" s="166"/>
      <c r="K53" s="167"/>
      <c r="L53" s="114"/>
      <c r="M53" s="114"/>
      <c r="N53" s="159"/>
      <c r="O53" s="160"/>
      <c r="P53" s="160"/>
      <c r="Q53" s="160"/>
      <c r="R53" s="160"/>
      <c r="S53" s="161"/>
      <c r="T53" s="114"/>
      <c r="U53" s="114"/>
      <c r="V53" s="165"/>
      <c r="W53" s="166"/>
      <c r="X53" s="167"/>
      <c r="Y53" s="114"/>
      <c r="Z53" s="114"/>
    </row>
    <row r="54" spans="1:26" ht="18" customHeight="1" x14ac:dyDescent="0.15">
      <c r="A54" s="29"/>
      <c r="B54" s="171"/>
      <c r="C54" s="172"/>
      <c r="D54" s="172"/>
      <c r="E54" s="172"/>
      <c r="F54" s="173"/>
      <c r="G54" s="114"/>
      <c r="H54" s="114"/>
      <c r="I54" s="165"/>
      <c r="J54" s="166"/>
      <c r="K54" s="167"/>
      <c r="L54" s="114"/>
      <c r="M54" s="114"/>
      <c r="N54" s="159"/>
      <c r="O54" s="160"/>
      <c r="P54" s="160"/>
      <c r="Q54" s="160"/>
      <c r="R54" s="160"/>
      <c r="S54" s="161"/>
      <c r="T54" s="114"/>
      <c r="U54" s="114"/>
      <c r="V54" s="165"/>
      <c r="W54" s="166"/>
      <c r="X54" s="167"/>
      <c r="Y54" s="114"/>
      <c r="Z54" s="114"/>
    </row>
    <row r="55" spans="1:26" ht="18" customHeight="1" x14ac:dyDescent="0.15">
      <c r="A55" s="29"/>
      <c r="B55" s="174"/>
      <c r="C55" s="175"/>
      <c r="D55" s="175"/>
      <c r="E55" s="175"/>
      <c r="F55" s="176"/>
      <c r="G55" s="115"/>
      <c r="H55" s="115"/>
      <c r="I55" s="168"/>
      <c r="J55" s="169"/>
      <c r="K55" s="170"/>
      <c r="L55" s="121"/>
      <c r="M55" s="121"/>
      <c r="N55" s="162"/>
      <c r="O55" s="163"/>
      <c r="P55" s="163"/>
      <c r="Q55" s="163"/>
      <c r="R55" s="163"/>
      <c r="S55" s="164"/>
      <c r="T55" s="115"/>
      <c r="U55" s="115"/>
      <c r="V55" s="168"/>
      <c r="W55" s="169"/>
      <c r="X55" s="170"/>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6" t="s">
        <v>133</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4"/>
      <c r="B59" s="122" t="s">
        <v>100</v>
      </c>
      <c r="C59" s="123"/>
      <c r="D59" s="123"/>
      <c r="E59" s="124"/>
      <c r="F59" s="30" t="s">
        <v>141</v>
      </c>
      <c r="G59" s="112" t="s">
        <v>140</v>
      </c>
      <c r="H59" s="107" t="s">
        <v>101</v>
      </c>
      <c r="I59" s="108"/>
      <c r="J59" s="109"/>
      <c r="K59" s="75" t="s">
        <v>105</v>
      </c>
      <c r="L59" s="75" t="s">
        <v>134</v>
      </c>
      <c r="M59" s="75" t="s">
        <v>135</v>
      </c>
      <c r="N59" s="122" t="s">
        <v>100</v>
      </c>
      <c r="O59" s="123"/>
      <c r="P59" s="123"/>
      <c r="Q59" s="123"/>
      <c r="R59" s="124"/>
      <c r="S59" s="30" t="s">
        <v>141</v>
      </c>
      <c r="T59" s="112" t="s">
        <v>140</v>
      </c>
      <c r="U59" s="107" t="s">
        <v>101</v>
      </c>
      <c r="V59" s="108"/>
      <c r="W59" s="109"/>
      <c r="X59" s="75" t="s">
        <v>105</v>
      </c>
      <c r="Y59" s="75" t="s">
        <v>134</v>
      </c>
      <c r="Z59" s="75" t="s">
        <v>135</v>
      </c>
    </row>
    <row r="60" spans="1:26" ht="18" customHeight="1" x14ac:dyDescent="0.15">
      <c r="A60" s="29"/>
      <c r="B60" s="156" t="s">
        <v>169</v>
      </c>
      <c r="C60" s="157"/>
      <c r="D60" s="157"/>
      <c r="E60" s="158"/>
      <c r="F60" s="113">
        <v>2</v>
      </c>
      <c r="G60" s="113" t="s">
        <v>168</v>
      </c>
      <c r="H60" s="184" t="s">
        <v>167</v>
      </c>
      <c r="I60" s="185"/>
      <c r="J60" s="186"/>
      <c r="K60" s="113" t="s">
        <v>168</v>
      </c>
      <c r="L60" s="113" t="s">
        <v>168</v>
      </c>
      <c r="M60" s="113" t="s">
        <v>168</v>
      </c>
      <c r="N60" s="156"/>
      <c r="O60" s="157"/>
      <c r="P60" s="157"/>
      <c r="Q60" s="157"/>
      <c r="R60" s="158"/>
      <c r="S60" s="113"/>
      <c r="T60" s="113"/>
      <c r="U60" s="184"/>
      <c r="V60" s="185"/>
      <c r="W60" s="186"/>
      <c r="X60" s="120"/>
      <c r="Y60" s="113"/>
      <c r="Z60" s="113"/>
    </row>
    <row r="61" spans="1:26" ht="18" customHeight="1" x14ac:dyDescent="0.15">
      <c r="A61" s="29"/>
      <c r="B61" s="159" t="s">
        <v>170</v>
      </c>
      <c r="C61" s="160"/>
      <c r="D61" s="160"/>
      <c r="E61" s="161"/>
      <c r="F61" s="114">
        <v>2</v>
      </c>
      <c r="G61" s="114"/>
      <c r="H61" s="165" t="s">
        <v>167</v>
      </c>
      <c r="I61" s="166"/>
      <c r="J61" s="167"/>
      <c r="K61" s="114" t="s">
        <v>168</v>
      </c>
      <c r="L61" s="114" t="s">
        <v>168</v>
      </c>
      <c r="M61" s="114" t="s">
        <v>168</v>
      </c>
      <c r="N61" s="159"/>
      <c r="O61" s="160"/>
      <c r="P61" s="160"/>
      <c r="Q61" s="160"/>
      <c r="R61" s="161"/>
      <c r="S61" s="114"/>
      <c r="T61" s="114"/>
      <c r="U61" s="165"/>
      <c r="V61" s="166"/>
      <c r="W61" s="167"/>
      <c r="X61" s="118"/>
      <c r="Y61" s="114"/>
      <c r="Z61" s="114"/>
    </row>
    <row r="62" spans="1:26" ht="18" customHeight="1" x14ac:dyDescent="0.15">
      <c r="A62" s="29"/>
      <c r="B62" s="159" t="s">
        <v>171</v>
      </c>
      <c r="C62" s="160"/>
      <c r="D62" s="160"/>
      <c r="E62" s="161"/>
      <c r="F62" s="114">
        <v>2</v>
      </c>
      <c r="G62" s="114"/>
      <c r="H62" s="165" t="s">
        <v>167</v>
      </c>
      <c r="I62" s="166"/>
      <c r="J62" s="167"/>
      <c r="K62" s="114"/>
      <c r="L62" s="114"/>
      <c r="M62" s="114" t="s">
        <v>168</v>
      </c>
      <c r="N62" s="159"/>
      <c r="O62" s="160"/>
      <c r="P62" s="160"/>
      <c r="Q62" s="160"/>
      <c r="R62" s="161"/>
      <c r="S62" s="114"/>
      <c r="T62" s="114"/>
      <c r="U62" s="165"/>
      <c r="V62" s="166"/>
      <c r="W62" s="167"/>
      <c r="X62" s="118"/>
      <c r="Y62" s="114"/>
      <c r="Z62" s="114"/>
    </row>
    <row r="63" spans="1:26" ht="18" customHeight="1" x14ac:dyDescent="0.15">
      <c r="A63" s="29"/>
      <c r="B63" s="159"/>
      <c r="C63" s="160"/>
      <c r="D63" s="160"/>
      <c r="E63" s="161"/>
      <c r="F63" s="114"/>
      <c r="G63" s="114"/>
      <c r="H63" s="165"/>
      <c r="I63" s="166"/>
      <c r="J63" s="167"/>
      <c r="K63" s="114"/>
      <c r="L63" s="114"/>
      <c r="M63" s="114"/>
      <c r="N63" s="159"/>
      <c r="O63" s="160"/>
      <c r="P63" s="160"/>
      <c r="Q63" s="160"/>
      <c r="R63" s="161"/>
      <c r="S63" s="114"/>
      <c r="T63" s="114"/>
      <c r="U63" s="165"/>
      <c r="V63" s="166"/>
      <c r="W63" s="167"/>
      <c r="X63" s="118"/>
      <c r="Y63" s="114"/>
      <c r="Z63" s="114"/>
    </row>
    <row r="64" spans="1:26" ht="18" customHeight="1" x14ac:dyDescent="0.15">
      <c r="A64" s="29"/>
      <c r="B64" s="159"/>
      <c r="C64" s="160"/>
      <c r="D64" s="160"/>
      <c r="E64" s="161"/>
      <c r="F64" s="114"/>
      <c r="G64" s="114"/>
      <c r="H64" s="165"/>
      <c r="I64" s="166"/>
      <c r="J64" s="167"/>
      <c r="K64" s="114"/>
      <c r="L64" s="114"/>
      <c r="M64" s="114"/>
      <c r="N64" s="159"/>
      <c r="O64" s="160"/>
      <c r="P64" s="160"/>
      <c r="Q64" s="160"/>
      <c r="R64" s="161"/>
      <c r="S64" s="114"/>
      <c r="T64" s="114"/>
      <c r="U64" s="165"/>
      <c r="V64" s="166"/>
      <c r="W64" s="167"/>
      <c r="X64" s="118"/>
      <c r="Y64" s="114"/>
      <c r="Z64" s="114"/>
    </row>
    <row r="65" spans="1:26" ht="18" customHeight="1" x14ac:dyDescent="0.15">
      <c r="A65" s="29"/>
      <c r="B65" s="159"/>
      <c r="C65" s="160"/>
      <c r="D65" s="160"/>
      <c r="E65" s="161"/>
      <c r="F65" s="114"/>
      <c r="G65" s="114"/>
      <c r="H65" s="165"/>
      <c r="I65" s="166"/>
      <c r="J65" s="167"/>
      <c r="K65" s="114"/>
      <c r="L65" s="114"/>
      <c r="M65" s="114"/>
      <c r="N65" s="159"/>
      <c r="O65" s="160"/>
      <c r="P65" s="160"/>
      <c r="Q65" s="160"/>
      <c r="R65" s="161"/>
      <c r="S65" s="114"/>
      <c r="T65" s="114"/>
      <c r="U65" s="165"/>
      <c r="V65" s="166"/>
      <c r="W65" s="167"/>
      <c r="X65" s="118"/>
      <c r="Y65" s="114"/>
      <c r="Z65" s="114"/>
    </row>
    <row r="66" spans="1:26" ht="18" customHeight="1" x14ac:dyDescent="0.15">
      <c r="A66" s="29"/>
      <c r="B66" s="162"/>
      <c r="C66" s="163"/>
      <c r="D66" s="163"/>
      <c r="E66" s="164"/>
      <c r="F66" s="115"/>
      <c r="G66" s="115"/>
      <c r="H66" s="168"/>
      <c r="I66" s="169"/>
      <c r="J66" s="170"/>
      <c r="K66" s="121"/>
      <c r="L66" s="121"/>
      <c r="M66" s="121"/>
      <c r="N66" s="162"/>
      <c r="O66" s="163"/>
      <c r="P66" s="163"/>
      <c r="Q66" s="163"/>
      <c r="R66" s="164"/>
      <c r="S66" s="115"/>
      <c r="T66" s="115"/>
      <c r="U66" s="168"/>
      <c r="V66" s="169"/>
      <c r="W66" s="170"/>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2" t="s">
        <v>100</v>
      </c>
      <c r="C69" s="123"/>
      <c r="D69" s="123"/>
      <c r="E69" s="123"/>
      <c r="F69" s="124"/>
      <c r="G69" s="122" t="s">
        <v>146</v>
      </c>
      <c r="H69" s="123"/>
      <c r="I69" s="123"/>
      <c r="J69" s="123"/>
      <c r="K69" s="123"/>
      <c r="L69" s="123"/>
      <c r="M69" s="124"/>
      <c r="N69" s="181" t="s">
        <v>100</v>
      </c>
      <c r="O69" s="182"/>
      <c r="P69" s="182"/>
      <c r="Q69" s="182"/>
      <c r="R69" s="182"/>
      <c r="S69" s="183"/>
      <c r="T69" s="122" t="s">
        <v>146</v>
      </c>
      <c r="U69" s="123"/>
      <c r="V69" s="123"/>
      <c r="W69" s="123"/>
      <c r="X69" s="123"/>
      <c r="Y69" s="123"/>
      <c r="Z69" s="124"/>
    </row>
    <row r="70" spans="1:26" ht="18" customHeight="1" x14ac:dyDescent="0.15">
      <c r="A70" s="29"/>
      <c r="B70" s="156" t="s">
        <v>169</v>
      </c>
      <c r="C70" s="157"/>
      <c r="D70" s="157"/>
      <c r="E70" s="157"/>
      <c r="F70" s="158"/>
      <c r="G70" s="227" t="s">
        <v>172</v>
      </c>
      <c r="H70" s="228"/>
      <c r="I70" s="228"/>
      <c r="J70" s="228"/>
      <c r="K70" s="228"/>
      <c r="L70" s="228"/>
      <c r="M70" s="229"/>
      <c r="N70" s="156"/>
      <c r="O70" s="157"/>
      <c r="P70" s="157"/>
      <c r="Q70" s="157"/>
      <c r="R70" s="157"/>
      <c r="S70" s="158"/>
      <c r="T70" s="227"/>
      <c r="U70" s="228"/>
      <c r="V70" s="228"/>
      <c r="W70" s="228"/>
      <c r="X70" s="228"/>
      <c r="Y70" s="228"/>
      <c r="Z70" s="229"/>
    </row>
    <row r="71" spans="1:26" ht="18" customHeight="1" x14ac:dyDescent="0.15">
      <c r="A71" s="29"/>
      <c r="B71" s="159" t="s">
        <v>170</v>
      </c>
      <c r="C71" s="160"/>
      <c r="D71" s="160"/>
      <c r="E71" s="160"/>
      <c r="F71" s="161"/>
      <c r="G71" s="202" t="s">
        <v>173</v>
      </c>
      <c r="H71" s="203"/>
      <c r="I71" s="203"/>
      <c r="J71" s="203"/>
      <c r="K71" s="203"/>
      <c r="L71" s="203"/>
      <c r="M71" s="204"/>
      <c r="N71" s="159"/>
      <c r="O71" s="160"/>
      <c r="P71" s="160"/>
      <c r="Q71" s="160"/>
      <c r="R71" s="160"/>
      <c r="S71" s="161"/>
      <c r="T71" s="202"/>
      <c r="U71" s="203"/>
      <c r="V71" s="203"/>
      <c r="W71" s="203"/>
      <c r="X71" s="203"/>
      <c r="Y71" s="203"/>
      <c r="Z71" s="204"/>
    </row>
    <row r="72" spans="1:26" ht="18" customHeight="1" x14ac:dyDescent="0.15">
      <c r="A72" s="29"/>
      <c r="B72" s="159" t="s">
        <v>171</v>
      </c>
      <c r="C72" s="160"/>
      <c r="D72" s="160"/>
      <c r="E72" s="160"/>
      <c r="F72" s="161"/>
      <c r="G72" s="202" t="s">
        <v>174</v>
      </c>
      <c r="H72" s="203"/>
      <c r="I72" s="203"/>
      <c r="J72" s="203"/>
      <c r="K72" s="203"/>
      <c r="L72" s="203"/>
      <c r="M72" s="204"/>
      <c r="N72" s="159"/>
      <c r="O72" s="160"/>
      <c r="P72" s="160"/>
      <c r="Q72" s="160"/>
      <c r="R72" s="160"/>
      <c r="S72" s="161"/>
      <c r="T72" s="202"/>
      <c r="U72" s="203"/>
      <c r="V72" s="203"/>
      <c r="W72" s="203"/>
      <c r="X72" s="203"/>
      <c r="Y72" s="203"/>
      <c r="Z72" s="204"/>
    </row>
    <row r="73" spans="1:26" ht="18" customHeight="1" x14ac:dyDescent="0.15">
      <c r="A73" s="29"/>
      <c r="B73" s="159"/>
      <c r="C73" s="160"/>
      <c r="D73" s="160"/>
      <c r="E73" s="160"/>
      <c r="F73" s="161"/>
      <c r="G73" s="202"/>
      <c r="H73" s="203"/>
      <c r="I73" s="203"/>
      <c r="J73" s="203"/>
      <c r="K73" s="203"/>
      <c r="L73" s="203"/>
      <c r="M73" s="204"/>
      <c r="N73" s="159"/>
      <c r="O73" s="160"/>
      <c r="P73" s="160"/>
      <c r="Q73" s="160"/>
      <c r="R73" s="160"/>
      <c r="S73" s="161"/>
      <c r="T73" s="202"/>
      <c r="U73" s="203"/>
      <c r="V73" s="203"/>
      <c r="W73" s="203"/>
      <c r="X73" s="203"/>
      <c r="Y73" s="203"/>
      <c r="Z73" s="204"/>
    </row>
    <row r="74" spans="1:26" ht="18" customHeight="1" x14ac:dyDescent="0.15">
      <c r="A74" s="29"/>
      <c r="B74" s="159"/>
      <c r="C74" s="160"/>
      <c r="D74" s="160"/>
      <c r="E74" s="160"/>
      <c r="F74" s="161"/>
      <c r="G74" s="202"/>
      <c r="H74" s="203"/>
      <c r="I74" s="203"/>
      <c r="J74" s="203"/>
      <c r="K74" s="203"/>
      <c r="L74" s="203"/>
      <c r="M74" s="204"/>
      <c r="N74" s="159"/>
      <c r="O74" s="160"/>
      <c r="P74" s="160"/>
      <c r="Q74" s="160"/>
      <c r="R74" s="160"/>
      <c r="S74" s="161"/>
      <c r="T74" s="202"/>
      <c r="U74" s="203"/>
      <c r="V74" s="203"/>
      <c r="W74" s="203"/>
      <c r="X74" s="203"/>
      <c r="Y74" s="203"/>
      <c r="Z74" s="204"/>
    </row>
    <row r="75" spans="1:26" ht="18" customHeight="1" x14ac:dyDescent="0.15">
      <c r="A75" s="29"/>
      <c r="B75" s="159"/>
      <c r="C75" s="160"/>
      <c r="D75" s="160"/>
      <c r="E75" s="160"/>
      <c r="F75" s="161"/>
      <c r="G75" s="202"/>
      <c r="H75" s="203"/>
      <c r="I75" s="203"/>
      <c r="J75" s="203"/>
      <c r="K75" s="203"/>
      <c r="L75" s="203"/>
      <c r="M75" s="204"/>
      <c r="N75" s="159"/>
      <c r="O75" s="160"/>
      <c r="P75" s="160"/>
      <c r="Q75" s="160"/>
      <c r="R75" s="160"/>
      <c r="S75" s="161"/>
      <c r="T75" s="202"/>
      <c r="U75" s="203"/>
      <c r="V75" s="203"/>
      <c r="W75" s="203"/>
      <c r="X75" s="203"/>
      <c r="Y75" s="203"/>
      <c r="Z75" s="204"/>
    </row>
    <row r="76" spans="1:26" ht="18" customHeight="1" x14ac:dyDescent="0.15">
      <c r="A76" s="29"/>
      <c r="B76" s="162"/>
      <c r="C76" s="163"/>
      <c r="D76" s="163"/>
      <c r="E76" s="163"/>
      <c r="F76" s="164"/>
      <c r="G76" s="199"/>
      <c r="H76" s="200"/>
      <c r="I76" s="200"/>
      <c r="J76" s="200"/>
      <c r="K76" s="200"/>
      <c r="L76" s="200"/>
      <c r="M76" s="201"/>
      <c r="N76" s="162"/>
      <c r="O76" s="163"/>
      <c r="P76" s="163"/>
      <c r="Q76" s="163"/>
      <c r="R76" s="163"/>
      <c r="S76" s="164"/>
      <c r="T76" s="199"/>
      <c r="U76" s="200"/>
      <c r="V76" s="200"/>
      <c r="W76" s="200"/>
      <c r="X76" s="200"/>
      <c r="Y76" s="200"/>
      <c r="Z76" s="201"/>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248" t="s">
        <v>103</v>
      </c>
      <c r="E79" s="248"/>
      <c r="F79" s="248"/>
      <c r="G79" s="248"/>
      <c r="H79" s="248"/>
      <c r="I79" s="248"/>
      <c r="J79" s="248"/>
      <c r="K79" s="248"/>
      <c r="L79" s="248"/>
      <c r="M79" s="248"/>
      <c r="N79" s="248"/>
      <c r="O79" s="248"/>
      <c r="P79" s="248"/>
      <c r="Q79" s="248"/>
      <c r="R79" s="248"/>
      <c r="S79" s="248"/>
      <c r="T79" s="248"/>
      <c r="U79" s="248"/>
      <c r="V79" s="248"/>
      <c r="W79" s="248"/>
      <c r="X79" s="248"/>
      <c r="Y79" s="248"/>
      <c r="Z79" s="249"/>
    </row>
    <row r="80" spans="1:26" ht="92.25" customHeight="1" x14ac:dyDescent="0.15">
      <c r="B80" s="235" t="s">
        <v>109</v>
      </c>
      <c r="C80" s="85" t="s">
        <v>104</v>
      </c>
      <c r="D80" s="243" t="s">
        <v>175</v>
      </c>
      <c r="E80" s="244"/>
      <c r="F80" s="244"/>
      <c r="G80" s="244"/>
      <c r="H80" s="244"/>
      <c r="I80" s="244"/>
      <c r="J80" s="244"/>
      <c r="K80" s="244"/>
      <c r="L80" s="244"/>
      <c r="M80" s="244"/>
      <c r="N80" s="244"/>
      <c r="O80" s="244"/>
      <c r="P80" s="244"/>
      <c r="Q80" s="244"/>
      <c r="R80" s="244"/>
      <c r="S80" s="244"/>
      <c r="T80" s="244"/>
      <c r="U80" s="244"/>
      <c r="V80" s="244"/>
      <c r="W80" s="244"/>
      <c r="X80" s="244"/>
      <c r="Y80" s="244"/>
      <c r="Z80" s="245"/>
    </row>
    <row r="81" spans="1:26" ht="69" customHeight="1" x14ac:dyDescent="0.15">
      <c r="B81" s="236"/>
      <c r="C81" s="110" t="s">
        <v>137</v>
      </c>
      <c r="D81" s="205" t="s">
        <v>176</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78" customHeight="1" x14ac:dyDescent="0.15">
      <c r="B82" s="233" t="s">
        <v>110</v>
      </c>
      <c r="C82" s="80" t="s">
        <v>127</v>
      </c>
      <c r="D82" s="208" t="s">
        <v>177</v>
      </c>
      <c r="E82" s="209"/>
      <c r="F82" s="209"/>
      <c r="G82" s="209"/>
      <c r="H82" s="209"/>
      <c r="I82" s="209"/>
      <c r="J82" s="209"/>
      <c r="K82" s="209"/>
      <c r="L82" s="209"/>
      <c r="M82" s="209"/>
      <c r="N82" s="209"/>
      <c r="O82" s="209"/>
      <c r="P82" s="209"/>
      <c r="Q82" s="209"/>
      <c r="R82" s="209"/>
      <c r="S82" s="209"/>
      <c r="T82" s="209"/>
      <c r="U82" s="209"/>
      <c r="V82" s="209"/>
      <c r="W82" s="209"/>
      <c r="X82" s="209"/>
      <c r="Y82" s="209"/>
      <c r="Z82" s="210"/>
    </row>
    <row r="83" spans="1:26" ht="78" customHeight="1" x14ac:dyDescent="0.15">
      <c r="B83" s="234"/>
      <c r="C83" s="111" t="s">
        <v>128</v>
      </c>
      <c r="D83" s="213" t="s">
        <v>178</v>
      </c>
      <c r="E83" s="213"/>
      <c r="F83" s="213"/>
      <c r="G83" s="213"/>
      <c r="H83" s="213"/>
      <c r="I83" s="213"/>
      <c r="J83" s="213"/>
      <c r="K83" s="213"/>
      <c r="L83" s="213"/>
      <c r="M83" s="213"/>
      <c r="N83" s="213"/>
      <c r="O83" s="213"/>
      <c r="P83" s="213"/>
      <c r="Q83" s="213"/>
      <c r="R83" s="213"/>
      <c r="S83" s="213"/>
      <c r="T83" s="213"/>
      <c r="U83" s="213"/>
      <c r="V83" s="213"/>
      <c r="W83" s="213"/>
      <c r="X83" s="213"/>
      <c r="Y83" s="213"/>
      <c r="Z83" s="214"/>
    </row>
    <row r="84" spans="1:26" ht="91.5" customHeight="1" x14ac:dyDescent="0.15">
      <c r="B84" s="233" t="s">
        <v>111</v>
      </c>
      <c r="C84" s="80" t="s">
        <v>130</v>
      </c>
      <c r="D84" s="208" t="s">
        <v>179</v>
      </c>
      <c r="E84" s="208"/>
      <c r="F84" s="208"/>
      <c r="G84" s="208"/>
      <c r="H84" s="208"/>
      <c r="I84" s="208"/>
      <c r="J84" s="208"/>
      <c r="K84" s="208"/>
      <c r="L84" s="208"/>
      <c r="M84" s="208"/>
      <c r="N84" s="208"/>
      <c r="O84" s="208"/>
      <c r="P84" s="208"/>
      <c r="Q84" s="208"/>
      <c r="R84" s="208"/>
      <c r="S84" s="208"/>
      <c r="T84" s="208"/>
      <c r="U84" s="208"/>
      <c r="V84" s="208"/>
      <c r="W84" s="208"/>
      <c r="X84" s="208"/>
      <c r="Y84" s="208"/>
      <c r="Z84" s="215"/>
    </row>
    <row r="85" spans="1:26" ht="39.200000000000003" customHeight="1" x14ac:dyDescent="0.15">
      <c r="B85" s="234"/>
      <c r="C85" s="82" t="s">
        <v>131</v>
      </c>
      <c r="D85" s="211" t="s">
        <v>180</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48.2" customHeight="1" x14ac:dyDescent="0.15">
      <c r="B86" s="235" t="s">
        <v>138</v>
      </c>
      <c r="C86" s="85" t="s">
        <v>106</v>
      </c>
      <c r="D86" s="243" t="s">
        <v>181</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32.25" customHeight="1" x14ac:dyDescent="0.15">
      <c r="B87" s="242"/>
      <c r="C87" s="81" t="s">
        <v>108</v>
      </c>
      <c r="D87" s="246" t="s">
        <v>182</v>
      </c>
      <c r="E87" s="246"/>
      <c r="F87" s="246"/>
      <c r="G87" s="246"/>
      <c r="H87" s="246"/>
      <c r="I87" s="246"/>
      <c r="J87" s="246"/>
      <c r="K87" s="246"/>
      <c r="L87" s="246"/>
      <c r="M87" s="246"/>
      <c r="N87" s="246"/>
      <c r="O87" s="246"/>
      <c r="P87" s="246"/>
      <c r="Q87" s="246"/>
      <c r="R87" s="246"/>
      <c r="S87" s="246"/>
      <c r="T87" s="246"/>
      <c r="U87" s="246"/>
      <c r="V87" s="246"/>
      <c r="W87" s="246"/>
      <c r="X87" s="246"/>
      <c r="Y87" s="246"/>
      <c r="Z87" s="247"/>
    </row>
    <row r="88" spans="1:26" ht="100.5" customHeight="1" x14ac:dyDescent="0.15">
      <c r="B88" s="235" t="s">
        <v>139</v>
      </c>
      <c r="C88" s="80" t="s">
        <v>105</v>
      </c>
      <c r="D88" s="237" t="s">
        <v>183</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36.75" customHeight="1" x14ac:dyDescent="0.15">
      <c r="B89" s="236"/>
      <c r="C89" s="81" t="s">
        <v>134</v>
      </c>
      <c r="D89" s="230" t="s">
        <v>184</v>
      </c>
      <c r="E89" s="231"/>
      <c r="F89" s="231"/>
      <c r="G89" s="231"/>
      <c r="H89" s="231"/>
      <c r="I89" s="231"/>
      <c r="J89" s="231"/>
      <c r="K89" s="231"/>
      <c r="L89" s="231"/>
      <c r="M89" s="231"/>
      <c r="N89" s="231"/>
      <c r="O89" s="231"/>
      <c r="P89" s="231"/>
      <c r="Q89" s="231"/>
      <c r="R89" s="231"/>
      <c r="S89" s="231"/>
      <c r="T89" s="231"/>
      <c r="U89" s="231"/>
      <c r="V89" s="231"/>
      <c r="W89" s="231"/>
      <c r="X89" s="231"/>
      <c r="Y89" s="231"/>
      <c r="Z89" s="232"/>
    </row>
    <row r="90" spans="1:26" ht="129.75" customHeight="1" x14ac:dyDescent="0.15">
      <c r="B90" s="234"/>
      <c r="C90" s="82" t="s">
        <v>135</v>
      </c>
      <c r="D90" s="194" t="s">
        <v>206</v>
      </c>
      <c r="E90" s="240"/>
      <c r="F90" s="240"/>
      <c r="G90" s="240"/>
      <c r="H90" s="240"/>
      <c r="I90" s="240"/>
      <c r="J90" s="240"/>
      <c r="K90" s="240"/>
      <c r="L90" s="240"/>
      <c r="M90" s="240"/>
      <c r="N90" s="240"/>
      <c r="O90" s="240"/>
      <c r="P90" s="240"/>
      <c r="Q90" s="240"/>
      <c r="R90" s="240"/>
      <c r="S90" s="240"/>
      <c r="T90" s="240"/>
      <c r="U90" s="240"/>
      <c r="V90" s="240"/>
      <c r="W90" s="240"/>
      <c r="X90" s="240"/>
      <c r="Y90" s="240"/>
      <c r="Z90" s="241"/>
    </row>
    <row r="91" spans="1:26" ht="6" customHeight="1" x14ac:dyDescent="0.15"/>
    <row r="92" spans="1:26" ht="18.75" customHeight="1" x14ac:dyDescent="0.15">
      <c r="A92" s="13" t="s">
        <v>143</v>
      </c>
    </row>
    <row r="93" spans="1:26" ht="13.7" customHeight="1" x14ac:dyDescent="0.15">
      <c r="B93" s="187" t="s">
        <v>185</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3.7" customHeight="1" x14ac:dyDescent="0.15">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3.7" customHeight="1" x14ac:dyDescent="0.15">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x14ac:dyDescent="0.15"/>
    <row r="97" spans="1:26" ht="15" customHeight="1" x14ac:dyDescent="0.15">
      <c r="A97" s="13" t="s">
        <v>144</v>
      </c>
    </row>
    <row r="98" spans="1:26" ht="15" customHeight="1" x14ac:dyDescent="0.15">
      <c r="B98" s="196" t="s">
        <v>186</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K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60828529-8171-4C41-A86E-EA77767DDD9C}"/>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P14" sqref="P1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0" t="s">
        <v>63</v>
      </c>
      <c r="G1" s="250"/>
      <c r="H1" s="250"/>
      <c r="I1" s="250"/>
      <c r="J1" s="250"/>
      <c r="K1" s="250"/>
      <c r="L1" s="250"/>
      <c r="M1" s="250"/>
      <c r="N1" s="250"/>
      <c r="O1" s="250"/>
      <c r="P1" s="250"/>
      <c r="Q1" s="250"/>
      <c r="R1" s="250"/>
    </row>
    <row r="2" spans="1:20" ht="18" customHeight="1" x14ac:dyDescent="0.15">
      <c r="A2" s="251" t="s">
        <v>89</v>
      </c>
      <c r="B2" s="251"/>
      <c r="C2" s="251"/>
      <c r="D2" s="251"/>
      <c r="E2" s="251"/>
      <c r="F2" s="251"/>
      <c r="G2" s="251"/>
      <c r="H2" s="251"/>
      <c r="I2" s="251"/>
      <c r="J2" s="251"/>
      <c r="K2" s="251"/>
      <c r="L2" s="251"/>
      <c r="M2" s="251"/>
      <c r="N2" s="251"/>
      <c r="O2" s="251"/>
      <c r="P2" s="251"/>
      <c r="Q2" s="251"/>
      <c r="R2" s="251"/>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52" t="str">
        <f>'様式１　大学等概要'!E12</f>
        <v>令和3</v>
      </c>
      <c r="D4" s="253"/>
      <c r="E4" s="38" t="s">
        <v>113</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4" t="s">
        <v>79</v>
      </c>
      <c r="C8" s="256" t="s">
        <v>84</v>
      </c>
      <c r="D8" s="258" t="s">
        <v>68</v>
      </c>
      <c r="E8" s="260" t="s">
        <v>90</v>
      </c>
      <c r="F8" s="260"/>
      <c r="G8" s="260" t="s">
        <v>91</v>
      </c>
      <c r="H8" s="260"/>
      <c r="I8" s="260" t="s">
        <v>92</v>
      </c>
      <c r="J8" s="260"/>
      <c r="K8" s="261" t="s">
        <v>93</v>
      </c>
      <c r="L8" s="262"/>
      <c r="M8" s="261" t="s">
        <v>94</v>
      </c>
      <c r="N8" s="262"/>
      <c r="O8" s="261" t="s">
        <v>95</v>
      </c>
      <c r="P8" s="262"/>
      <c r="Q8" s="263" t="s">
        <v>62</v>
      </c>
      <c r="R8" s="265" t="s">
        <v>56</v>
      </c>
      <c r="T8" s="34"/>
    </row>
    <row r="9" spans="1:20" ht="18" customHeight="1" x14ac:dyDescent="0.15">
      <c r="A9" s="4"/>
      <c r="B9" s="255"/>
      <c r="C9" s="257"/>
      <c r="D9" s="259"/>
      <c r="E9" s="43" t="s">
        <v>44</v>
      </c>
      <c r="F9" s="44" t="s">
        <v>43</v>
      </c>
      <c r="G9" s="45" t="s">
        <v>44</v>
      </c>
      <c r="H9" s="46" t="s">
        <v>43</v>
      </c>
      <c r="I9" s="43" t="s">
        <v>44</v>
      </c>
      <c r="J9" s="44" t="s">
        <v>43</v>
      </c>
      <c r="K9" s="45" t="s">
        <v>44</v>
      </c>
      <c r="L9" s="46" t="s">
        <v>43</v>
      </c>
      <c r="M9" s="43" t="s">
        <v>44</v>
      </c>
      <c r="N9" s="44" t="s">
        <v>43</v>
      </c>
      <c r="O9" s="45" t="s">
        <v>44</v>
      </c>
      <c r="P9" s="46" t="s">
        <v>43</v>
      </c>
      <c r="Q9" s="264"/>
      <c r="R9" s="266"/>
      <c r="T9" s="34"/>
    </row>
    <row r="10" spans="1:20" ht="18" customHeight="1" x14ac:dyDescent="0.15">
      <c r="A10" s="47"/>
      <c r="B10" s="87" t="s">
        <v>187</v>
      </c>
      <c r="C10" s="47">
        <v>540</v>
      </c>
      <c r="D10" s="48">
        <v>2220</v>
      </c>
      <c r="E10" s="49">
        <v>324</v>
      </c>
      <c r="F10" s="50">
        <v>44</v>
      </c>
      <c r="G10" s="51"/>
      <c r="H10" s="52"/>
      <c r="I10" s="49"/>
      <c r="J10" s="50"/>
      <c r="K10" s="51"/>
      <c r="L10" s="52"/>
      <c r="M10" s="49"/>
      <c r="N10" s="50"/>
      <c r="O10" s="51"/>
      <c r="P10" s="52"/>
      <c r="Q10" s="53">
        <f>E10+G10+I10+K10+M10+O10</f>
        <v>324</v>
      </c>
      <c r="R10" s="54">
        <f>Q10/D10</f>
        <v>0.14594594594594595</v>
      </c>
    </row>
    <row r="11" spans="1:20" ht="18" customHeight="1" x14ac:dyDescent="0.15">
      <c r="A11" s="47"/>
      <c r="B11" s="88" t="s">
        <v>188</v>
      </c>
      <c r="C11" s="63">
        <v>299</v>
      </c>
      <c r="D11" s="56">
        <v>1197</v>
      </c>
      <c r="E11" s="57">
        <v>285</v>
      </c>
      <c r="F11" s="58">
        <v>22</v>
      </c>
      <c r="G11" s="59"/>
      <c r="H11" s="60"/>
      <c r="I11" s="57"/>
      <c r="J11" s="58"/>
      <c r="K11" s="59"/>
      <c r="L11" s="60"/>
      <c r="M11" s="57"/>
      <c r="N11" s="58"/>
      <c r="O11" s="59"/>
      <c r="P11" s="60"/>
      <c r="Q11" s="61">
        <f t="shared" ref="Q11:Q13" si="0">E11+G11+I11+K11+M11+O11</f>
        <v>285</v>
      </c>
      <c r="R11" s="62">
        <f t="shared" ref="R11:R13" si="1">Q11/D11</f>
        <v>0.23809523809523808</v>
      </c>
    </row>
    <row r="12" spans="1:20" ht="18" customHeight="1" x14ac:dyDescent="0.15">
      <c r="A12" s="47"/>
      <c r="B12" s="88" t="s">
        <v>189</v>
      </c>
      <c r="C12" s="63">
        <v>100</v>
      </c>
      <c r="D12" s="56">
        <v>400</v>
      </c>
      <c r="E12" s="57">
        <v>91</v>
      </c>
      <c r="F12" s="58">
        <v>12</v>
      </c>
      <c r="G12" s="59"/>
      <c r="H12" s="60"/>
      <c r="I12" s="57"/>
      <c r="J12" s="58"/>
      <c r="K12" s="59"/>
      <c r="L12" s="60"/>
      <c r="M12" s="57"/>
      <c r="N12" s="58"/>
      <c r="O12" s="59"/>
      <c r="P12" s="60"/>
      <c r="Q12" s="61">
        <f t="shared" si="0"/>
        <v>91</v>
      </c>
      <c r="R12" s="62">
        <f t="shared" si="1"/>
        <v>0.22750000000000001</v>
      </c>
    </row>
    <row r="13" spans="1:20" ht="18" customHeight="1" x14ac:dyDescent="0.15">
      <c r="A13" s="47"/>
      <c r="B13" s="88" t="s">
        <v>190</v>
      </c>
      <c r="C13" s="63">
        <v>160</v>
      </c>
      <c r="D13" s="56">
        <v>480</v>
      </c>
      <c r="E13" s="57">
        <v>119</v>
      </c>
      <c r="F13" s="58">
        <v>16</v>
      </c>
      <c r="G13" s="59"/>
      <c r="H13" s="60"/>
      <c r="I13" s="57"/>
      <c r="J13" s="58"/>
      <c r="K13" s="59"/>
      <c r="L13" s="60"/>
      <c r="M13" s="57"/>
      <c r="N13" s="58"/>
      <c r="O13" s="59"/>
      <c r="P13" s="60"/>
      <c r="Q13" s="61">
        <f t="shared" si="0"/>
        <v>119</v>
      </c>
      <c r="R13" s="62">
        <f t="shared" si="1"/>
        <v>0.24791666666666667</v>
      </c>
    </row>
    <row r="14" spans="1:20" ht="18" customHeight="1" x14ac:dyDescent="0.15">
      <c r="A14" s="47"/>
      <c r="B14" s="88"/>
      <c r="C14" s="63"/>
      <c r="D14" s="56"/>
      <c r="E14" s="57"/>
      <c r="F14" s="58"/>
      <c r="G14" s="59"/>
      <c r="H14" s="60"/>
      <c r="I14" s="57"/>
      <c r="J14" s="58"/>
      <c r="K14" s="59"/>
      <c r="L14" s="60"/>
      <c r="M14" s="57"/>
      <c r="N14" s="58"/>
      <c r="O14" s="59"/>
      <c r="P14" s="60"/>
      <c r="Q14" s="61"/>
      <c r="R14" s="62"/>
    </row>
    <row r="15" spans="1:20" ht="18" customHeight="1" x14ac:dyDescent="0.15">
      <c r="A15" s="47"/>
      <c r="B15" s="88"/>
      <c r="C15" s="63"/>
      <c r="D15" s="56"/>
      <c r="E15" s="57"/>
      <c r="F15" s="58"/>
      <c r="G15" s="59"/>
      <c r="H15" s="60"/>
      <c r="I15" s="57"/>
      <c r="J15" s="58"/>
      <c r="K15" s="59"/>
      <c r="L15" s="60"/>
      <c r="M15" s="57"/>
      <c r="N15" s="58"/>
      <c r="O15" s="59"/>
      <c r="P15" s="60"/>
      <c r="Q15" s="61"/>
      <c r="R15" s="62"/>
    </row>
    <row r="16" spans="1:20" ht="18" customHeight="1" x14ac:dyDescent="0.15">
      <c r="A16" s="47"/>
      <c r="B16" s="88"/>
      <c r="C16" s="63"/>
      <c r="D16" s="56"/>
      <c r="E16" s="57"/>
      <c r="F16" s="58"/>
      <c r="G16" s="59"/>
      <c r="H16" s="60"/>
      <c r="I16" s="57"/>
      <c r="J16" s="58"/>
      <c r="K16" s="59"/>
      <c r="L16" s="60"/>
      <c r="M16" s="57"/>
      <c r="N16" s="58"/>
      <c r="O16" s="59"/>
      <c r="P16" s="60"/>
      <c r="Q16" s="61"/>
      <c r="R16" s="62"/>
    </row>
    <row r="17" spans="1:18" ht="18" customHeight="1" x14ac:dyDescent="0.15">
      <c r="A17" s="47"/>
      <c r="B17" s="88"/>
      <c r="C17" s="63"/>
      <c r="D17" s="56"/>
      <c r="E17" s="57"/>
      <c r="F17" s="58"/>
      <c r="G17" s="59"/>
      <c r="H17" s="60"/>
      <c r="I17" s="57"/>
      <c r="J17" s="58"/>
      <c r="K17" s="59"/>
      <c r="L17" s="60"/>
      <c r="M17" s="57"/>
      <c r="N17" s="58"/>
      <c r="O17" s="59"/>
      <c r="P17" s="60"/>
      <c r="Q17" s="61"/>
      <c r="R17" s="62"/>
    </row>
    <row r="18" spans="1:18" ht="18" customHeight="1" x14ac:dyDescent="0.15">
      <c r="A18" s="47"/>
      <c r="B18" s="88"/>
      <c r="C18" s="63"/>
      <c r="D18" s="56"/>
      <c r="E18" s="57"/>
      <c r="F18" s="58"/>
      <c r="G18" s="59"/>
      <c r="H18" s="60"/>
      <c r="I18" s="57"/>
      <c r="J18" s="58"/>
      <c r="K18" s="59"/>
      <c r="L18" s="60"/>
      <c r="M18" s="57"/>
      <c r="N18" s="58"/>
      <c r="O18" s="59"/>
      <c r="P18" s="60"/>
      <c r="Q18" s="61"/>
      <c r="R18" s="62"/>
    </row>
    <row r="19" spans="1:18" ht="18" customHeight="1" x14ac:dyDescent="0.15">
      <c r="A19" s="47"/>
      <c r="B19" s="88"/>
      <c r="C19" s="63"/>
      <c r="D19" s="56"/>
      <c r="E19" s="57"/>
      <c r="F19" s="58"/>
      <c r="G19" s="59"/>
      <c r="H19" s="60"/>
      <c r="I19" s="57"/>
      <c r="J19" s="58"/>
      <c r="K19" s="59"/>
      <c r="L19" s="60"/>
      <c r="M19" s="57"/>
      <c r="N19" s="58"/>
      <c r="O19" s="59"/>
      <c r="P19" s="60"/>
      <c r="Q19" s="61"/>
      <c r="R19" s="62"/>
    </row>
    <row r="20" spans="1:18" ht="18" customHeight="1" x14ac:dyDescent="0.15">
      <c r="A20" s="47"/>
      <c r="B20" s="88"/>
      <c r="C20" s="63"/>
      <c r="D20" s="56"/>
      <c r="E20" s="57"/>
      <c r="F20" s="58"/>
      <c r="G20" s="59"/>
      <c r="H20" s="60"/>
      <c r="I20" s="57"/>
      <c r="J20" s="58"/>
      <c r="K20" s="59"/>
      <c r="L20" s="60"/>
      <c r="M20" s="57"/>
      <c r="N20" s="58"/>
      <c r="O20" s="59"/>
      <c r="P20" s="60"/>
      <c r="Q20" s="61"/>
      <c r="R20" s="62"/>
    </row>
    <row r="21" spans="1:18" ht="18" customHeight="1" x14ac:dyDescent="0.15">
      <c r="A21" s="47"/>
      <c r="B21" s="88"/>
      <c r="C21" s="63"/>
      <c r="D21" s="56"/>
      <c r="E21" s="57"/>
      <c r="F21" s="58"/>
      <c r="G21" s="59"/>
      <c r="H21" s="60"/>
      <c r="I21" s="57"/>
      <c r="J21" s="58"/>
      <c r="K21" s="59"/>
      <c r="L21" s="60"/>
      <c r="M21" s="57"/>
      <c r="N21" s="58"/>
      <c r="O21" s="59"/>
      <c r="P21" s="60"/>
      <c r="Q21" s="61"/>
      <c r="R21" s="62"/>
    </row>
    <row r="22" spans="1:18" ht="18" customHeight="1" x14ac:dyDescent="0.15">
      <c r="A22" s="47"/>
      <c r="B22" s="88"/>
      <c r="C22" s="63"/>
      <c r="D22" s="56"/>
      <c r="E22" s="57"/>
      <c r="F22" s="58"/>
      <c r="G22" s="59"/>
      <c r="H22" s="60"/>
      <c r="I22" s="57"/>
      <c r="J22" s="58"/>
      <c r="K22" s="59"/>
      <c r="L22" s="60"/>
      <c r="M22" s="57"/>
      <c r="N22" s="58"/>
      <c r="O22" s="59"/>
      <c r="P22" s="60"/>
      <c r="Q22" s="61"/>
      <c r="R22" s="62"/>
    </row>
    <row r="23" spans="1:18" ht="18" customHeight="1" x14ac:dyDescent="0.15">
      <c r="A23" s="47"/>
      <c r="B23" s="88"/>
      <c r="C23" s="63"/>
      <c r="D23" s="56"/>
      <c r="E23" s="57"/>
      <c r="F23" s="58"/>
      <c r="G23" s="59"/>
      <c r="H23" s="60"/>
      <c r="I23" s="57"/>
      <c r="J23" s="58"/>
      <c r="K23" s="59"/>
      <c r="L23" s="60"/>
      <c r="M23" s="57"/>
      <c r="N23" s="58"/>
      <c r="O23" s="59"/>
      <c r="P23" s="60"/>
      <c r="Q23" s="61"/>
      <c r="R23" s="62"/>
    </row>
    <row r="24" spans="1:18" ht="18" customHeight="1" x14ac:dyDescent="0.15">
      <c r="A24" s="47"/>
      <c r="B24" s="88"/>
      <c r="C24" s="63"/>
      <c r="D24" s="56"/>
      <c r="E24" s="57"/>
      <c r="F24" s="58"/>
      <c r="G24" s="59"/>
      <c r="H24" s="60"/>
      <c r="I24" s="57"/>
      <c r="J24" s="58"/>
      <c r="K24" s="59"/>
      <c r="L24" s="60"/>
      <c r="M24" s="57"/>
      <c r="N24" s="58"/>
      <c r="O24" s="59"/>
      <c r="P24" s="60"/>
      <c r="Q24" s="61"/>
      <c r="R24" s="62"/>
    </row>
    <row r="25" spans="1:18" ht="18" customHeight="1" x14ac:dyDescent="0.15">
      <c r="A25" s="47"/>
      <c r="B25" s="88"/>
      <c r="C25" s="63"/>
      <c r="D25" s="56"/>
      <c r="E25" s="57"/>
      <c r="F25" s="58"/>
      <c r="G25" s="59"/>
      <c r="H25" s="60"/>
      <c r="I25" s="57"/>
      <c r="J25" s="58"/>
      <c r="K25" s="59"/>
      <c r="L25" s="60"/>
      <c r="M25" s="57"/>
      <c r="N25" s="58"/>
      <c r="O25" s="59"/>
      <c r="P25" s="60"/>
      <c r="Q25" s="61"/>
      <c r="R25" s="62"/>
    </row>
    <row r="26" spans="1:18" ht="18" customHeight="1" x14ac:dyDescent="0.15">
      <c r="A26" s="47"/>
      <c r="B26" s="88"/>
      <c r="C26" s="63"/>
      <c r="D26" s="56"/>
      <c r="E26" s="57"/>
      <c r="F26" s="58"/>
      <c r="G26" s="59"/>
      <c r="H26" s="60"/>
      <c r="I26" s="57"/>
      <c r="J26" s="58"/>
      <c r="K26" s="59"/>
      <c r="L26" s="60"/>
      <c r="M26" s="57"/>
      <c r="N26" s="58"/>
      <c r="O26" s="59"/>
      <c r="P26" s="60"/>
      <c r="Q26" s="61"/>
      <c r="R26" s="62"/>
    </row>
    <row r="27" spans="1:18" ht="18" customHeight="1" x14ac:dyDescent="0.15">
      <c r="A27" s="47"/>
      <c r="B27" s="88"/>
      <c r="C27" s="55"/>
      <c r="D27" s="56"/>
      <c r="E27" s="57"/>
      <c r="F27" s="58"/>
      <c r="G27" s="59"/>
      <c r="H27" s="60"/>
      <c r="I27" s="57"/>
      <c r="J27" s="58"/>
      <c r="K27" s="59"/>
      <c r="L27" s="60"/>
      <c r="M27" s="57"/>
      <c r="N27" s="58"/>
      <c r="O27" s="59"/>
      <c r="P27" s="60"/>
      <c r="Q27" s="61"/>
      <c r="R27" s="62"/>
    </row>
    <row r="28" spans="1:18" ht="18" customHeight="1" x14ac:dyDescent="0.15">
      <c r="A28" s="47"/>
      <c r="B28" s="88"/>
      <c r="C28" s="55"/>
      <c r="D28" s="56"/>
      <c r="E28" s="57"/>
      <c r="F28" s="58"/>
      <c r="G28" s="59"/>
      <c r="H28" s="60"/>
      <c r="I28" s="57"/>
      <c r="J28" s="58"/>
      <c r="K28" s="59"/>
      <c r="L28" s="60"/>
      <c r="M28" s="57"/>
      <c r="N28" s="58"/>
      <c r="O28" s="59"/>
      <c r="P28" s="60"/>
      <c r="Q28" s="61"/>
      <c r="R28" s="62"/>
    </row>
    <row r="29" spans="1:18" ht="18" customHeight="1" thickBot="1" x14ac:dyDescent="0.2">
      <c r="A29" s="47"/>
      <c r="B29" s="89"/>
      <c r="C29" s="90"/>
      <c r="D29" s="48"/>
      <c r="E29" s="49"/>
      <c r="F29" s="50"/>
      <c r="G29" s="51"/>
      <c r="H29" s="52"/>
      <c r="I29" s="49"/>
      <c r="J29" s="50"/>
      <c r="K29" s="51"/>
      <c r="L29" s="52"/>
      <c r="M29" s="49"/>
      <c r="N29" s="50"/>
      <c r="O29" s="51"/>
      <c r="P29" s="52"/>
      <c r="Q29" s="64"/>
      <c r="R29" s="54"/>
    </row>
    <row r="30" spans="1:18" ht="18" customHeight="1" thickTop="1" x14ac:dyDescent="0.15">
      <c r="B30" s="91" t="s">
        <v>57</v>
      </c>
      <c r="C30" s="92">
        <f t="shared" ref="C30:Q30" si="2">SUM(C10:C29)</f>
        <v>1099</v>
      </c>
      <c r="D30" s="65">
        <f t="shared" si="2"/>
        <v>4297</v>
      </c>
      <c r="E30" s="66">
        <f t="shared" si="2"/>
        <v>819</v>
      </c>
      <c r="F30" s="67">
        <f t="shared" si="2"/>
        <v>94</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819</v>
      </c>
      <c r="R30" s="71">
        <f>Q30/D30</f>
        <v>0.19059809169187805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13" sqref="B13"/>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51" t="s">
        <v>64</v>
      </c>
      <c r="B2" s="251"/>
      <c r="C2" s="251"/>
      <c r="D2" s="251"/>
      <c r="E2" s="251"/>
      <c r="F2" s="251"/>
      <c r="G2" s="251"/>
      <c r="H2" s="251"/>
      <c r="I2" s="251"/>
      <c r="J2" s="251"/>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37.5" customHeight="1" x14ac:dyDescent="0.15">
      <c r="A5" s="1"/>
      <c r="B5" s="288" t="s">
        <v>191</v>
      </c>
      <c r="C5" s="155"/>
      <c r="D5" s="155"/>
      <c r="E5" s="155"/>
      <c r="F5" s="155"/>
      <c r="G5" s="155"/>
      <c r="H5" s="155"/>
      <c r="I5" s="155"/>
      <c r="J5" s="289"/>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27.75" customHeight="1" x14ac:dyDescent="0.15">
      <c r="A8" s="93"/>
      <c r="B8" s="267" t="s">
        <v>207</v>
      </c>
      <c r="C8" s="268"/>
      <c r="D8" s="268"/>
      <c r="E8" s="268"/>
      <c r="F8" s="268"/>
      <c r="G8" s="268"/>
      <c r="H8" s="268"/>
      <c r="I8" s="276"/>
      <c r="J8" s="277"/>
      <c r="K8" s="31" t="str">
        <f>IF(B8="","入力してください","")</f>
        <v/>
      </c>
    </row>
    <row r="9" spans="1:11" s="4" customFormat="1" ht="27.75" customHeight="1" x14ac:dyDescent="0.15">
      <c r="A9" s="93"/>
      <c r="B9" s="278"/>
      <c r="C9" s="279"/>
      <c r="D9" s="279"/>
      <c r="E9" s="279"/>
      <c r="F9" s="279"/>
      <c r="G9" s="279"/>
      <c r="H9" s="279"/>
      <c r="I9" s="279"/>
      <c r="J9" s="280"/>
      <c r="K9" s="31"/>
    </row>
    <row r="10" spans="1:11" s="4" customFormat="1" ht="27.75" customHeight="1" x14ac:dyDescent="0.15">
      <c r="A10" s="93"/>
      <c r="B10" s="278"/>
      <c r="C10" s="279"/>
      <c r="D10" s="279"/>
      <c r="E10" s="279"/>
      <c r="F10" s="279"/>
      <c r="G10" s="279"/>
      <c r="H10" s="279"/>
      <c r="I10" s="279"/>
      <c r="J10" s="280"/>
      <c r="K10" s="31"/>
    </row>
    <row r="11" spans="1:11" s="4" customFormat="1" ht="27.75" customHeight="1" x14ac:dyDescent="0.15">
      <c r="A11" s="93"/>
      <c r="B11" s="278"/>
      <c r="C11" s="279"/>
      <c r="D11" s="279"/>
      <c r="E11" s="279"/>
      <c r="F11" s="279"/>
      <c r="G11" s="279"/>
      <c r="H11" s="279"/>
      <c r="I11" s="279"/>
      <c r="J11" s="280"/>
      <c r="K11" s="31"/>
    </row>
    <row r="12" spans="1:11" s="4" customFormat="1" ht="27.75" customHeight="1" x14ac:dyDescent="0.15">
      <c r="A12" s="93"/>
      <c r="B12" s="281"/>
      <c r="C12" s="282"/>
      <c r="D12" s="282"/>
      <c r="E12" s="282"/>
      <c r="F12" s="282"/>
      <c r="G12" s="282"/>
      <c r="H12" s="282"/>
      <c r="I12" s="282"/>
      <c r="J12" s="283"/>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0.15" customHeight="1" x14ac:dyDescent="0.15">
      <c r="A15" s="93"/>
      <c r="B15" s="267" t="s">
        <v>192</v>
      </c>
      <c r="C15" s="268"/>
      <c r="D15" s="268"/>
      <c r="E15" s="268"/>
      <c r="F15" s="268"/>
      <c r="G15" s="268"/>
      <c r="H15" s="268"/>
      <c r="I15" s="276"/>
      <c r="J15" s="277"/>
      <c r="K15" s="31" t="str">
        <f>IF(B15="","入力してください","")</f>
        <v/>
      </c>
    </row>
    <row r="16" spans="1:11" s="4" customFormat="1" ht="10.15" customHeight="1" x14ac:dyDescent="0.15">
      <c r="A16" s="93"/>
      <c r="B16" s="278"/>
      <c r="C16" s="279"/>
      <c r="D16" s="279"/>
      <c r="E16" s="279"/>
      <c r="F16" s="279"/>
      <c r="G16" s="279"/>
      <c r="H16" s="279"/>
      <c r="I16" s="279"/>
      <c r="J16" s="280"/>
      <c r="K16" s="31"/>
    </row>
    <row r="17" spans="1:11" s="4" customFormat="1" ht="10.15" customHeight="1" x14ac:dyDescent="0.15">
      <c r="A17" s="93"/>
      <c r="B17" s="278"/>
      <c r="C17" s="279"/>
      <c r="D17" s="279"/>
      <c r="E17" s="279"/>
      <c r="F17" s="279"/>
      <c r="G17" s="279"/>
      <c r="H17" s="279"/>
      <c r="I17" s="279"/>
      <c r="J17" s="280"/>
      <c r="K17" s="31"/>
    </row>
    <row r="18" spans="1:11" s="4" customFormat="1" ht="10.15" customHeight="1" x14ac:dyDescent="0.15">
      <c r="A18" s="93"/>
      <c r="B18" s="278"/>
      <c r="C18" s="279"/>
      <c r="D18" s="279"/>
      <c r="E18" s="279"/>
      <c r="F18" s="279"/>
      <c r="G18" s="279"/>
      <c r="H18" s="279"/>
      <c r="I18" s="279"/>
      <c r="J18" s="280"/>
      <c r="K18" s="31"/>
    </row>
    <row r="19" spans="1:11" s="4" customFormat="1" ht="10.15" customHeight="1" x14ac:dyDescent="0.15">
      <c r="A19" s="93"/>
      <c r="B19" s="278"/>
      <c r="C19" s="279"/>
      <c r="D19" s="279"/>
      <c r="E19" s="279"/>
      <c r="F19" s="279"/>
      <c r="G19" s="279"/>
      <c r="H19" s="279"/>
      <c r="I19" s="279"/>
      <c r="J19" s="280"/>
      <c r="K19" s="31"/>
    </row>
    <row r="20" spans="1:11" s="4" customFormat="1" ht="10.15" customHeight="1" x14ac:dyDescent="0.15">
      <c r="A20" s="93"/>
      <c r="B20" s="278"/>
      <c r="C20" s="279"/>
      <c r="D20" s="279"/>
      <c r="E20" s="279"/>
      <c r="F20" s="279"/>
      <c r="G20" s="279"/>
      <c r="H20" s="279"/>
      <c r="I20" s="279"/>
      <c r="J20" s="280"/>
      <c r="K20" s="31"/>
    </row>
    <row r="21" spans="1:11" s="4" customFormat="1" ht="10.15" customHeight="1" x14ac:dyDescent="0.15">
      <c r="A21" s="93"/>
      <c r="B21" s="278"/>
      <c r="C21" s="279"/>
      <c r="D21" s="279"/>
      <c r="E21" s="279"/>
      <c r="F21" s="279"/>
      <c r="G21" s="279"/>
      <c r="H21" s="279"/>
      <c r="I21" s="279"/>
      <c r="J21" s="280"/>
      <c r="K21" s="31"/>
    </row>
    <row r="22" spans="1:11" s="4" customFormat="1" ht="10.15" customHeight="1" x14ac:dyDescent="0.15">
      <c r="A22" s="93"/>
      <c r="B22" s="278"/>
      <c r="C22" s="279"/>
      <c r="D22" s="279"/>
      <c r="E22" s="279"/>
      <c r="F22" s="279"/>
      <c r="G22" s="279"/>
      <c r="H22" s="279"/>
      <c r="I22" s="279"/>
      <c r="J22" s="280"/>
      <c r="K22" s="31"/>
    </row>
    <row r="23" spans="1:11" s="4" customFormat="1" ht="10.15" customHeight="1" x14ac:dyDescent="0.15">
      <c r="A23" s="93"/>
      <c r="B23" s="278"/>
      <c r="C23" s="279"/>
      <c r="D23" s="279"/>
      <c r="E23" s="279"/>
      <c r="F23" s="279"/>
      <c r="G23" s="279"/>
      <c r="H23" s="279"/>
      <c r="I23" s="279"/>
      <c r="J23" s="280"/>
      <c r="K23" s="31"/>
    </row>
    <row r="24" spans="1:11" s="4" customFormat="1" ht="10.15" customHeight="1" x14ac:dyDescent="0.15">
      <c r="A24" s="93"/>
      <c r="B24" s="278"/>
      <c r="C24" s="279"/>
      <c r="D24" s="279"/>
      <c r="E24" s="279"/>
      <c r="F24" s="279"/>
      <c r="G24" s="279"/>
      <c r="H24" s="279"/>
      <c r="I24" s="279"/>
      <c r="J24" s="280"/>
      <c r="K24" s="31"/>
    </row>
    <row r="25" spans="1:11" s="4" customFormat="1" ht="10.15" customHeight="1" x14ac:dyDescent="0.15">
      <c r="A25" s="93"/>
      <c r="B25" s="281"/>
      <c r="C25" s="282"/>
      <c r="D25" s="282"/>
      <c r="E25" s="282"/>
      <c r="F25" s="282"/>
      <c r="G25" s="282"/>
      <c r="H25" s="282"/>
      <c r="I25" s="282"/>
      <c r="J25" s="283"/>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116</v>
      </c>
      <c r="C28" s="96">
        <f>'様式３　履修者等数の実績'!R30</f>
        <v>0.19059809169187805</v>
      </c>
      <c r="D28" s="97"/>
      <c r="E28" s="97" t="s">
        <v>117</v>
      </c>
      <c r="F28" s="96">
        <v>0.2</v>
      </c>
      <c r="G28" s="97"/>
      <c r="H28" s="97" t="s">
        <v>118</v>
      </c>
      <c r="I28" s="98">
        <v>0.25</v>
      </c>
      <c r="J28" s="99"/>
      <c r="K28" s="31"/>
    </row>
    <row r="29" spans="1:11" s="29" customFormat="1" ht="18.75" customHeight="1" x14ac:dyDescent="0.15">
      <c r="B29" s="83" t="s">
        <v>119</v>
      </c>
      <c r="C29" s="100">
        <v>0.25</v>
      </c>
      <c r="D29" s="84"/>
      <c r="E29" s="84" t="s">
        <v>120</v>
      </c>
      <c r="F29" s="100">
        <v>0.25</v>
      </c>
      <c r="G29" s="84"/>
      <c r="H29" s="84" t="s">
        <v>121</v>
      </c>
      <c r="I29" s="101">
        <f>'様式３　履修者等数の実績'!D30</f>
        <v>4297</v>
      </c>
      <c r="J29" s="102"/>
      <c r="K29" s="35"/>
    </row>
    <row r="30" spans="1:11" s="4" customFormat="1" ht="18.75" customHeight="1" x14ac:dyDescent="0.15">
      <c r="A30" s="1"/>
      <c r="B30" s="202" t="s">
        <v>122</v>
      </c>
      <c r="C30" s="203"/>
      <c r="D30" s="203"/>
      <c r="E30" s="203"/>
      <c r="F30" s="203"/>
      <c r="G30" s="203"/>
      <c r="H30" s="203"/>
      <c r="I30" s="203"/>
      <c r="J30" s="204"/>
      <c r="K30" s="35"/>
    </row>
    <row r="31" spans="1:11" s="4" customFormat="1" ht="18.75" customHeight="1" x14ac:dyDescent="0.15">
      <c r="A31" s="1"/>
      <c r="B31" s="285" t="s">
        <v>193</v>
      </c>
      <c r="C31" s="286"/>
      <c r="D31" s="286"/>
      <c r="E31" s="286"/>
      <c r="F31" s="286"/>
      <c r="G31" s="286"/>
      <c r="H31" s="286"/>
      <c r="I31" s="286"/>
      <c r="J31" s="287"/>
      <c r="K31" s="35" t="str">
        <f>IF(B31="","入力してください","")</f>
        <v/>
      </c>
    </row>
    <row r="32" spans="1:11" s="4" customFormat="1" ht="18.75" customHeight="1" x14ac:dyDescent="0.15">
      <c r="A32" s="1"/>
      <c r="B32" s="278"/>
      <c r="C32" s="279"/>
      <c r="D32" s="279"/>
      <c r="E32" s="279"/>
      <c r="F32" s="279"/>
      <c r="G32" s="279"/>
      <c r="H32" s="279"/>
      <c r="I32" s="279"/>
      <c r="J32" s="280"/>
      <c r="K32" s="35"/>
    </row>
    <row r="33" spans="1:11" s="4" customFormat="1" ht="18.75" customHeight="1" x14ac:dyDescent="0.15">
      <c r="A33" s="1"/>
      <c r="B33" s="278"/>
      <c r="C33" s="279"/>
      <c r="D33" s="279"/>
      <c r="E33" s="279"/>
      <c r="F33" s="279"/>
      <c r="G33" s="279"/>
      <c r="H33" s="279"/>
      <c r="I33" s="279"/>
      <c r="J33" s="280"/>
      <c r="K33" s="35"/>
    </row>
    <row r="34" spans="1:11" s="4" customFormat="1" ht="18.75" customHeight="1" x14ac:dyDescent="0.15">
      <c r="A34" s="1"/>
      <c r="B34" s="278"/>
      <c r="C34" s="279"/>
      <c r="D34" s="279"/>
      <c r="E34" s="279"/>
      <c r="F34" s="279"/>
      <c r="G34" s="279"/>
      <c r="H34" s="279"/>
      <c r="I34" s="279"/>
      <c r="J34" s="280"/>
      <c r="K34" s="35"/>
    </row>
    <row r="35" spans="1:11" s="4" customFormat="1" ht="18.75" customHeight="1" x14ac:dyDescent="0.15">
      <c r="A35" s="1"/>
      <c r="B35" s="278"/>
      <c r="C35" s="279"/>
      <c r="D35" s="279"/>
      <c r="E35" s="279"/>
      <c r="F35" s="279"/>
      <c r="G35" s="279"/>
      <c r="H35" s="279"/>
      <c r="I35" s="279"/>
      <c r="J35" s="280"/>
      <c r="K35" s="35"/>
    </row>
    <row r="36" spans="1:11" s="4" customFormat="1" ht="18.75" customHeight="1" x14ac:dyDescent="0.15">
      <c r="A36" s="1"/>
      <c r="B36" s="278"/>
      <c r="C36" s="279"/>
      <c r="D36" s="279"/>
      <c r="E36" s="279"/>
      <c r="F36" s="279"/>
      <c r="G36" s="279"/>
      <c r="H36" s="279"/>
      <c r="I36" s="279"/>
      <c r="J36" s="280"/>
      <c r="K36" s="35"/>
    </row>
    <row r="37" spans="1:11" s="4" customFormat="1" ht="18.75" customHeight="1" x14ac:dyDescent="0.15">
      <c r="A37" s="1"/>
      <c r="B37" s="278"/>
      <c r="C37" s="279"/>
      <c r="D37" s="279"/>
      <c r="E37" s="279"/>
      <c r="F37" s="279"/>
      <c r="G37" s="279"/>
      <c r="H37" s="279"/>
      <c r="I37" s="279"/>
      <c r="J37" s="280"/>
      <c r="K37" s="35"/>
    </row>
    <row r="38" spans="1:11" s="4" customFormat="1" ht="18.75" customHeight="1" x14ac:dyDescent="0.15">
      <c r="A38" s="1"/>
      <c r="B38" s="278"/>
      <c r="C38" s="279"/>
      <c r="D38" s="279"/>
      <c r="E38" s="279"/>
      <c r="F38" s="279"/>
      <c r="G38" s="279"/>
      <c r="H38" s="279"/>
      <c r="I38" s="279"/>
      <c r="J38" s="280"/>
      <c r="K38" s="35"/>
    </row>
    <row r="39" spans="1:11" s="4" customFormat="1" ht="18.75" customHeight="1" x14ac:dyDescent="0.15">
      <c r="A39" s="1"/>
      <c r="B39" s="278"/>
      <c r="C39" s="279"/>
      <c r="D39" s="279"/>
      <c r="E39" s="279"/>
      <c r="F39" s="279"/>
      <c r="G39" s="279"/>
      <c r="H39" s="279"/>
      <c r="I39" s="279"/>
      <c r="J39" s="280"/>
      <c r="K39" s="35"/>
    </row>
    <row r="40" spans="1:11" s="4" customFormat="1" ht="18.75" customHeight="1" x14ac:dyDescent="0.15">
      <c r="A40" s="1"/>
      <c r="B40" s="278"/>
      <c r="C40" s="279"/>
      <c r="D40" s="279"/>
      <c r="E40" s="279"/>
      <c r="F40" s="279"/>
      <c r="G40" s="279"/>
      <c r="H40" s="279"/>
      <c r="I40" s="279"/>
      <c r="J40" s="280"/>
      <c r="K40" s="35"/>
    </row>
    <row r="41" spans="1:11" s="4" customFormat="1" ht="18.75" customHeight="1" x14ac:dyDescent="0.15">
      <c r="A41" s="1"/>
      <c r="B41" s="278"/>
      <c r="C41" s="279"/>
      <c r="D41" s="279"/>
      <c r="E41" s="279"/>
      <c r="F41" s="279"/>
      <c r="G41" s="279"/>
      <c r="H41" s="279"/>
      <c r="I41" s="279"/>
      <c r="J41" s="280"/>
      <c r="K41" s="35"/>
    </row>
    <row r="42" spans="1:11" s="4" customFormat="1" ht="18.75" customHeight="1" x14ac:dyDescent="0.15">
      <c r="A42" s="1"/>
      <c r="B42" s="278"/>
      <c r="C42" s="279"/>
      <c r="D42" s="279"/>
      <c r="E42" s="279"/>
      <c r="F42" s="279"/>
      <c r="G42" s="279"/>
      <c r="H42" s="279"/>
      <c r="I42" s="279"/>
      <c r="J42" s="280"/>
      <c r="K42" s="35"/>
    </row>
    <row r="43" spans="1:11" ht="18.75" customHeight="1" x14ac:dyDescent="0.15">
      <c r="A43" s="39"/>
      <c r="B43" s="278"/>
      <c r="C43" s="279"/>
      <c r="D43" s="279"/>
      <c r="E43" s="279"/>
      <c r="F43" s="279"/>
      <c r="G43" s="279"/>
      <c r="H43" s="279"/>
      <c r="I43" s="279"/>
      <c r="J43" s="280"/>
      <c r="K43" s="35"/>
    </row>
    <row r="44" spans="1:11" ht="18.75" customHeight="1" x14ac:dyDescent="0.15">
      <c r="A44" s="39"/>
      <c r="B44" s="281"/>
      <c r="C44" s="282"/>
      <c r="D44" s="282"/>
      <c r="E44" s="282"/>
      <c r="F44" s="282"/>
      <c r="G44" s="282"/>
      <c r="H44" s="282"/>
      <c r="I44" s="282"/>
      <c r="J44" s="283"/>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67" t="s">
        <v>194</v>
      </c>
      <c r="C46" s="268"/>
      <c r="D46" s="268"/>
      <c r="E46" s="268"/>
      <c r="F46" s="268"/>
      <c r="G46" s="268"/>
      <c r="H46" s="268"/>
      <c r="I46" s="268"/>
      <c r="J46" s="269"/>
      <c r="K46" s="31" t="str">
        <f>IF(B46="","入力してください","")</f>
        <v/>
      </c>
    </row>
    <row r="47" spans="1:11" ht="18.75" customHeight="1" x14ac:dyDescent="0.15">
      <c r="A47" s="39"/>
      <c r="B47" s="270"/>
      <c r="C47" s="271"/>
      <c r="D47" s="271"/>
      <c r="E47" s="271"/>
      <c r="F47" s="271"/>
      <c r="G47" s="271"/>
      <c r="H47" s="271"/>
      <c r="I47" s="271"/>
      <c r="J47" s="272"/>
    </row>
    <row r="48" spans="1:11" ht="18.75" customHeight="1" x14ac:dyDescent="0.15">
      <c r="A48" s="39"/>
      <c r="B48" s="270"/>
      <c r="C48" s="271"/>
      <c r="D48" s="271"/>
      <c r="E48" s="271"/>
      <c r="F48" s="271"/>
      <c r="G48" s="271"/>
      <c r="H48" s="271"/>
      <c r="I48" s="271"/>
      <c r="J48" s="272"/>
    </row>
    <row r="49" spans="1:10" ht="18.75" customHeight="1" x14ac:dyDescent="0.15">
      <c r="A49" s="39"/>
      <c r="B49" s="270"/>
      <c r="C49" s="271"/>
      <c r="D49" s="271"/>
      <c r="E49" s="271"/>
      <c r="F49" s="271"/>
      <c r="G49" s="271"/>
      <c r="H49" s="271"/>
      <c r="I49" s="271"/>
      <c r="J49" s="272"/>
    </row>
    <row r="50" spans="1:10" ht="18.75" customHeight="1" x14ac:dyDescent="0.15">
      <c r="A50" s="39"/>
      <c r="B50" s="270"/>
      <c r="C50" s="271"/>
      <c r="D50" s="271"/>
      <c r="E50" s="271"/>
      <c r="F50" s="271"/>
      <c r="G50" s="271"/>
      <c r="H50" s="271"/>
      <c r="I50" s="271"/>
      <c r="J50" s="272"/>
    </row>
    <row r="51" spans="1:10" ht="18.75" customHeight="1" x14ac:dyDescent="0.15">
      <c r="A51" s="39"/>
      <c r="B51" s="270"/>
      <c r="C51" s="271"/>
      <c r="D51" s="271"/>
      <c r="E51" s="271"/>
      <c r="F51" s="271"/>
      <c r="G51" s="271"/>
      <c r="H51" s="271"/>
      <c r="I51" s="271"/>
      <c r="J51" s="272"/>
    </row>
    <row r="52" spans="1:10" ht="18.75" customHeight="1" x14ac:dyDescent="0.15">
      <c r="A52" s="39"/>
      <c r="B52" s="270"/>
      <c r="C52" s="271"/>
      <c r="D52" s="271"/>
      <c r="E52" s="271"/>
      <c r="F52" s="271"/>
      <c r="G52" s="271"/>
      <c r="H52" s="271"/>
      <c r="I52" s="271"/>
      <c r="J52" s="272"/>
    </row>
    <row r="53" spans="1:10" ht="18.75" customHeight="1" x14ac:dyDescent="0.15">
      <c r="A53" s="39"/>
      <c r="B53" s="270"/>
      <c r="C53" s="271"/>
      <c r="D53" s="271"/>
      <c r="E53" s="271"/>
      <c r="F53" s="271"/>
      <c r="G53" s="271"/>
      <c r="H53" s="271"/>
      <c r="I53" s="271"/>
      <c r="J53" s="272"/>
    </row>
    <row r="54" spans="1:10" ht="18.75" customHeight="1" x14ac:dyDescent="0.15">
      <c r="A54" s="39"/>
      <c r="B54" s="270"/>
      <c r="C54" s="271"/>
      <c r="D54" s="271"/>
      <c r="E54" s="271"/>
      <c r="F54" s="271"/>
      <c r="G54" s="271"/>
      <c r="H54" s="271"/>
      <c r="I54" s="271"/>
      <c r="J54" s="272"/>
    </row>
    <row r="55" spans="1:10" ht="18.75" customHeight="1" x14ac:dyDescent="0.15">
      <c r="A55" s="39"/>
      <c r="B55" s="270"/>
      <c r="C55" s="271"/>
      <c r="D55" s="271"/>
      <c r="E55" s="271"/>
      <c r="F55" s="271"/>
      <c r="G55" s="271"/>
      <c r="H55" s="271"/>
      <c r="I55" s="271"/>
      <c r="J55" s="272"/>
    </row>
    <row r="56" spans="1:10" ht="18.75" customHeight="1" x14ac:dyDescent="0.15">
      <c r="A56" s="39"/>
      <c r="B56" s="270"/>
      <c r="C56" s="271"/>
      <c r="D56" s="271"/>
      <c r="E56" s="271"/>
      <c r="F56" s="271"/>
      <c r="G56" s="271"/>
      <c r="H56" s="271"/>
      <c r="I56" s="271"/>
      <c r="J56" s="272"/>
    </row>
    <row r="57" spans="1:10" ht="18.75" customHeight="1" x14ac:dyDescent="0.15">
      <c r="A57" s="39"/>
      <c r="B57" s="270"/>
      <c r="C57" s="271"/>
      <c r="D57" s="271"/>
      <c r="E57" s="271"/>
      <c r="F57" s="271"/>
      <c r="G57" s="271"/>
      <c r="H57" s="271"/>
      <c r="I57" s="271"/>
      <c r="J57" s="272"/>
    </row>
    <row r="58" spans="1:10" ht="18.75" customHeight="1" x14ac:dyDescent="0.15">
      <c r="A58" s="39"/>
      <c r="B58" s="270"/>
      <c r="C58" s="271"/>
      <c r="D58" s="271"/>
      <c r="E58" s="271"/>
      <c r="F58" s="271"/>
      <c r="G58" s="271"/>
      <c r="H58" s="271"/>
      <c r="I58" s="271"/>
      <c r="J58" s="272"/>
    </row>
    <row r="59" spans="1:10" ht="18.75" customHeight="1" x14ac:dyDescent="0.15">
      <c r="A59" s="39"/>
      <c r="B59" s="270"/>
      <c r="C59" s="271"/>
      <c r="D59" s="271"/>
      <c r="E59" s="271"/>
      <c r="F59" s="271"/>
      <c r="G59" s="271"/>
      <c r="H59" s="271"/>
      <c r="I59" s="271"/>
      <c r="J59" s="272"/>
    </row>
    <row r="60" spans="1:10" ht="18.75" customHeight="1" x14ac:dyDescent="0.15">
      <c r="A60" s="39"/>
      <c r="B60" s="270"/>
      <c r="C60" s="271"/>
      <c r="D60" s="271"/>
      <c r="E60" s="271"/>
      <c r="F60" s="271"/>
      <c r="G60" s="271"/>
      <c r="H60" s="271"/>
      <c r="I60" s="271"/>
      <c r="J60" s="272"/>
    </row>
    <row r="61" spans="1:10" ht="18.75" customHeight="1" x14ac:dyDescent="0.15">
      <c r="A61" s="39"/>
      <c r="B61" s="270"/>
      <c r="C61" s="271"/>
      <c r="D61" s="271"/>
      <c r="E61" s="271"/>
      <c r="F61" s="271"/>
      <c r="G61" s="271"/>
      <c r="H61" s="271"/>
      <c r="I61" s="271"/>
      <c r="J61" s="272"/>
    </row>
    <row r="62" spans="1:10" ht="18.75" customHeight="1" x14ac:dyDescent="0.15">
      <c r="A62" s="39"/>
      <c r="B62" s="270"/>
      <c r="C62" s="271"/>
      <c r="D62" s="271"/>
      <c r="E62" s="271"/>
      <c r="F62" s="271"/>
      <c r="G62" s="271"/>
      <c r="H62" s="271"/>
      <c r="I62" s="271"/>
      <c r="J62" s="272"/>
    </row>
    <row r="63" spans="1:10" ht="18.75" customHeight="1" x14ac:dyDescent="0.15">
      <c r="A63" s="39"/>
      <c r="B63" s="270"/>
      <c r="C63" s="271"/>
      <c r="D63" s="271"/>
      <c r="E63" s="271"/>
      <c r="F63" s="271"/>
      <c r="G63" s="271"/>
      <c r="H63" s="271"/>
      <c r="I63" s="271"/>
      <c r="J63" s="272"/>
    </row>
    <row r="64" spans="1:10" ht="18.75" customHeight="1" x14ac:dyDescent="0.15">
      <c r="A64" s="39"/>
      <c r="B64" s="270"/>
      <c r="C64" s="271"/>
      <c r="D64" s="271"/>
      <c r="E64" s="271"/>
      <c r="F64" s="271"/>
      <c r="G64" s="271"/>
      <c r="H64" s="271"/>
      <c r="I64" s="271"/>
      <c r="J64" s="272"/>
    </row>
    <row r="65" spans="1:11" ht="18.75" customHeight="1" x14ac:dyDescent="0.15">
      <c r="A65" s="39"/>
      <c r="B65" s="270"/>
      <c r="C65" s="271"/>
      <c r="D65" s="271"/>
      <c r="E65" s="271"/>
      <c r="F65" s="271"/>
      <c r="G65" s="271"/>
      <c r="H65" s="271"/>
      <c r="I65" s="271"/>
      <c r="J65" s="272"/>
    </row>
    <row r="66" spans="1:11" ht="18.75" customHeight="1" x14ac:dyDescent="0.15">
      <c r="A66" s="39"/>
      <c r="B66" s="273"/>
      <c r="C66" s="274"/>
      <c r="D66" s="274"/>
      <c r="E66" s="274"/>
      <c r="F66" s="274"/>
      <c r="G66" s="274"/>
      <c r="H66" s="274"/>
      <c r="I66" s="274"/>
      <c r="J66" s="275"/>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67" t="s">
        <v>195</v>
      </c>
      <c r="C69" s="268"/>
      <c r="D69" s="268"/>
      <c r="E69" s="268"/>
      <c r="F69" s="268"/>
      <c r="G69" s="268"/>
      <c r="H69" s="268"/>
      <c r="I69" s="276"/>
      <c r="J69" s="277"/>
      <c r="K69" s="35" t="str">
        <f>IF(B69="","入力してください","")</f>
        <v/>
      </c>
    </row>
    <row r="70" spans="1:11" s="4" customFormat="1" ht="18.75" customHeight="1" x14ac:dyDescent="0.15">
      <c r="A70" s="1"/>
      <c r="B70" s="278"/>
      <c r="C70" s="279"/>
      <c r="D70" s="279"/>
      <c r="E70" s="279"/>
      <c r="F70" s="279"/>
      <c r="G70" s="279"/>
      <c r="H70" s="279"/>
      <c r="I70" s="279"/>
      <c r="J70" s="280"/>
      <c r="K70" s="35"/>
    </row>
    <row r="71" spans="1:11" s="4" customFormat="1" ht="18.75" customHeight="1" x14ac:dyDescent="0.15">
      <c r="A71" s="1"/>
      <c r="B71" s="278"/>
      <c r="C71" s="279"/>
      <c r="D71" s="279"/>
      <c r="E71" s="279"/>
      <c r="F71" s="279"/>
      <c r="G71" s="279"/>
      <c r="H71" s="279"/>
      <c r="I71" s="279"/>
      <c r="J71" s="280"/>
      <c r="K71" s="35"/>
    </row>
    <row r="72" spans="1:11" s="4" customFormat="1" ht="18.75" customHeight="1" x14ac:dyDescent="0.15">
      <c r="A72" s="1"/>
      <c r="B72" s="278"/>
      <c r="C72" s="279"/>
      <c r="D72" s="279"/>
      <c r="E72" s="279"/>
      <c r="F72" s="279"/>
      <c r="G72" s="279"/>
      <c r="H72" s="279"/>
      <c r="I72" s="279"/>
      <c r="J72" s="280"/>
      <c r="K72" s="35"/>
    </row>
    <row r="73" spans="1:11" s="4" customFormat="1" ht="18.75" customHeight="1" x14ac:dyDescent="0.15">
      <c r="A73" s="1"/>
      <c r="B73" s="278"/>
      <c r="C73" s="279"/>
      <c r="D73" s="279"/>
      <c r="E73" s="279"/>
      <c r="F73" s="279"/>
      <c r="G73" s="279"/>
      <c r="H73" s="279"/>
      <c r="I73" s="279"/>
      <c r="J73" s="280"/>
      <c r="K73" s="35"/>
    </row>
    <row r="74" spans="1:11" s="4" customFormat="1" ht="18.75" customHeight="1" x14ac:dyDescent="0.15">
      <c r="A74" s="1"/>
      <c r="B74" s="278"/>
      <c r="C74" s="279"/>
      <c r="D74" s="279"/>
      <c r="E74" s="279"/>
      <c r="F74" s="279"/>
      <c r="G74" s="279"/>
      <c r="H74" s="279"/>
      <c r="I74" s="279"/>
      <c r="J74" s="280"/>
      <c r="K74" s="35"/>
    </row>
    <row r="75" spans="1:11" s="4" customFormat="1" ht="18.75" customHeight="1" x14ac:dyDescent="0.15">
      <c r="A75" s="1"/>
      <c r="B75" s="278"/>
      <c r="C75" s="279"/>
      <c r="D75" s="279"/>
      <c r="E75" s="279"/>
      <c r="F75" s="279"/>
      <c r="G75" s="279"/>
      <c r="H75" s="279"/>
      <c r="I75" s="279"/>
      <c r="J75" s="280"/>
      <c r="K75" s="35"/>
    </row>
    <row r="76" spans="1:11" s="4" customFormat="1" ht="18.75" customHeight="1" x14ac:dyDescent="0.15">
      <c r="A76" s="1"/>
      <c r="B76" s="278"/>
      <c r="C76" s="279"/>
      <c r="D76" s="279"/>
      <c r="E76" s="279"/>
      <c r="F76" s="279"/>
      <c r="G76" s="279"/>
      <c r="H76" s="279"/>
      <c r="I76" s="279"/>
      <c r="J76" s="280"/>
      <c r="K76" s="35"/>
    </row>
    <row r="77" spans="1:11" s="4" customFormat="1" ht="18.75" customHeight="1" x14ac:dyDescent="0.15">
      <c r="A77" s="1"/>
      <c r="B77" s="278"/>
      <c r="C77" s="279"/>
      <c r="D77" s="279"/>
      <c r="E77" s="279"/>
      <c r="F77" s="279"/>
      <c r="G77" s="279"/>
      <c r="H77" s="279"/>
      <c r="I77" s="279"/>
      <c r="J77" s="280"/>
      <c r="K77" s="35"/>
    </row>
    <row r="78" spans="1:11" s="4" customFormat="1" ht="18.75" customHeight="1" x14ac:dyDescent="0.15">
      <c r="A78" s="1"/>
      <c r="B78" s="278"/>
      <c r="C78" s="279"/>
      <c r="D78" s="279"/>
      <c r="E78" s="279"/>
      <c r="F78" s="279"/>
      <c r="G78" s="279"/>
      <c r="H78" s="279"/>
      <c r="I78" s="279"/>
      <c r="J78" s="280"/>
      <c r="K78" s="35"/>
    </row>
    <row r="79" spans="1:11" s="4" customFormat="1" ht="18.75" customHeight="1" x14ac:dyDescent="0.15">
      <c r="A79" s="1"/>
      <c r="B79" s="278"/>
      <c r="C79" s="279"/>
      <c r="D79" s="279"/>
      <c r="E79" s="279"/>
      <c r="F79" s="279"/>
      <c r="G79" s="279"/>
      <c r="H79" s="279"/>
      <c r="I79" s="279"/>
      <c r="J79" s="280"/>
      <c r="K79" s="35"/>
    </row>
    <row r="80" spans="1:11" s="4" customFormat="1" ht="18.75" customHeight="1" x14ac:dyDescent="0.15">
      <c r="A80" s="1"/>
      <c r="B80" s="278"/>
      <c r="C80" s="279"/>
      <c r="D80" s="279"/>
      <c r="E80" s="279"/>
      <c r="F80" s="279"/>
      <c r="G80" s="279"/>
      <c r="H80" s="279"/>
      <c r="I80" s="279"/>
      <c r="J80" s="280"/>
      <c r="K80" s="35"/>
    </row>
    <row r="81" spans="1:11" s="4" customFormat="1" ht="18.75" customHeight="1" x14ac:dyDescent="0.15">
      <c r="A81" s="1"/>
      <c r="B81" s="278"/>
      <c r="C81" s="279"/>
      <c r="D81" s="279"/>
      <c r="E81" s="279"/>
      <c r="F81" s="279"/>
      <c r="G81" s="279"/>
      <c r="H81" s="279"/>
      <c r="I81" s="279"/>
      <c r="J81" s="280"/>
      <c r="K81" s="35"/>
    </row>
    <row r="82" spans="1:11" s="4" customFormat="1" ht="18.75" customHeight="1" x14ac:dyDescent="0.15">
      <c r="A82" s="1"/>
      <c r="B82" s="278"/>
      <c r="C82" s="279"/>
      <c r="D82" s="279"/>
      <c r="E82" s="279"/>
      <c r="F82" s="279"/>
      <c r="G82" s="279"/>
      <c r="H82" s="279"/>
      <c r="I82" s="279"/>
      <c r="J82" s="280"/>
      <c r="K82" s="35"/>
    </row>
    <row r="83" spans="1:11" s="4" customFormat="1" ht="18.75" customHeight="1" x14ac:dyDescent="0.15">
      <c r="A83" s="1"/>
      <c r="B83" s="278"/>
      <c r="C83" s="279"/>
      <c r="D83" s="279"/>
      <c r="E83" s="279"/>
      <c r="F83" s="279"/>
      <c r="G83" s="279"/>
      <c r="H83" s="279"/>
      <c r="I83" s="279"/>
      <c r="J83" s="280"/>
      <c r="K83" s="35"/>
    </row>
    <row r="84" spans="1:11" s="4" customFormat="1" ht="18.75" customHeight="1" x14ac:dyDescent="0.15">
      <c r="A84" s="1"/>
      <c r="B84" s="278"/>
      <c r="C84" s="279"/>
      <c r="D84" s="279"/>
      <c r="E84" s="279"/>
      <c r="F84" s="279"/>
      <c r="G84" s="279"/>
      <c r="H84" s="279"/>
      <c r="I84" s="279"/>
      <c r="J84" s="280"/>
      <c r="K84" s="35"/>
    </row>
    <row r="85" spans="1:11" ht="18.75" customHeight="1" x14ac:dyDescent="0.15">
      <c r="A85" s="39"/>
      <c r="B85" s="278"/>
      <c r="C85" s="279"/>
      <c r="D85" s="279"/>
      <c r="E85" s="279"/>
      <c r="F85" s="279"/>
      <c r="G85" s="279"/>
      <c r="H85" s="279"/>
      <c r="I85" s="279"/>
      <c r="J85" s="280"/>
      <c r="K85" s="35"/>
    </row>
    <row r="86" spans="1:11" ht="18.75" customHeight="1" x14ac:dyDescent="0.15">
      <c r="A86" s="39"/>
      <c r="B86" s="281"/>
      <c r="C86" s="282"/>
      <c r="D86" s="282"/>
      <c r="E86" s="282"/>
      <c r="F86" s="282"/>
      <c r="G86" s="282"/>
      <c r="H86" s="282"/>
      <c r="I86" s="282"/>
      <c r="J86" s="283"/>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67" t="s">
        <v>196</v>
      </c>
      <c r="C89" s="268"/>
      <c r="D89" s="268"/>
      <c r="E89" s="268"/>
      <c r="F89" s="268"/>
      <c r="G89" s="268"/>
      <c r="H89" s="268"/>
      <c r="I89" s="276"/>
      <c r="J89" s="277"/>
      <c r="K89" s="31"/>
    </row>
    <row r="90" spans="1:11" s="4" customFormat="1" ht="18.75" customHeight="1" x14ac:dyDescent="0.15">
      <c r="A90" s="1"/>
      <c r="B90" s="278"/>
      <c r="C90" s="279"/>
      <c r="D90" s="279"/>
      <c r="E90" s="279"/>
      <c r="F90" s="279"/>
      <c r="G90" s="279"/>
      <c r="H90" s="279"/>
      <c r="I90" s="279"/>
      <c r="J90" s="280"/>
      <c r="K90" s="35"/>
    </row>
    <row r="91" spans="1:11" s="4" customFormat="1" ht="18.75" customHeight="1" x14ac:dyDescent="0.15">
      <c r="A91" s="1"/>
      <c r="B91" s="278"/>
      <c r="C91" s="279"/>
      <c r="D91" s="279"/>
      <c r="E91" s="279"/>
      <c r="F91" s="279"/>
      <c r="G91" s="279"/>
      <c r="H91" s="279"/>
      <c r="I91" s="279"/>
      <c r="J91" s="280"/>
      <c r="K91" s="35" t="str">
        <f>IF(B89="","入力してください","")</f>
        <v/>
      </c>
    </row>
    <row r="92" spans="1:11" s="4" customFormat="1" ht="18.75" customHeight="1" x14ac:dyDescent="0.15">
      <c r="A92" s="1"/>
      <c r="B92" s="278"/>
      <c r="C92" s="279"/>
      <c r="D92" s="279"/>
      <c r="E92" s="279"/>
      <c r="F92" s="279"/>
      <c r="G92" s="279"/>
      <c r="H92" s="279"/>
      <c r="I92" s="279"/>
      <c r="J92" s="280"/>
      <c r="K92" s="35"/>
    </row>
    <row r="93" spans="1:11" s="4" customFormat="1" ht="18.75" customHeight="1" x14ac:dyDescent="0.15">
      <c r="A93" s="1"/>
      <c r="B93" s="278"/>
      <c r="C93" s="279"/>
      <c r="D93" s="279"/>
      <c r="E93" s="279"/>
      <c r="F93" s="279"/>
      <c r="G93" s="279"/>
      <c r="H93" s="279"/>
      <c r="I93" s="279"/>
      <c r="J93" s="280"/>
      <c r="K93" s="35"/>
    </row>
    <row r="94" spans="1:11" s="4" customFormat="1" ht="18.75" customHeight="1" x14ac:dyDescent="0.15">
      <c r="A94" s="1"/>
      <c r="B94" s="278"/>
      <c r="C94" s="279"/>
      <c r="D94" s="279"/>
      <c r="E94" s="279"/>
      <c r="F94" s="279"/>
      <c r="G94" s="279"/>
      <c r="H94" s="279"/>
      <c r="I94" s="279"/>
      <c r="J94" s="280"/>
      <c r="K94" s="35"/>
    </row>
    <row r="95" spans="1:11" s="4" customFormat="1" ht="18.75" customHeight="1" x14ac:dyDescent="0.15">
      <c r="A95" s="1"/>
      <c r="B95" s="278"/>
      <c r="C95" s="279"/>
      <c r="D95" s="279"/>
      <c r="E95" s="279"/>
      <c r="F95" s="279"/>
      <c r="G95" s="279"/>
      <c r="H95" s="279"/>
      <c r="I95" s="279"/>
      <c r="J95" s="280"/>
      <c r="K95" s="35"/>
    </row>
    <row r="96" spans="1:11" s="4" customFormat="1" ht="18.75" customHeight="1" x14ac:dyDescent="0.15">
      <c r="A96" s="1"/>
      <c r="B96" s="278"/>
      <c r="C96" s="279"/>
      <c r="D96" s="279"/>
      <c r="E96" s="279"/>
      <c r="F96" s="279"/>
      <c r="G96" s="279"/>
      <c r="H96" s="279"/>
      <c r="I96" s="279"/>
      <c r="J96" s="280"/>
      <c r="K96" s="35"/>
    </row>
    <row r="97" spans="1:11" s="4" customFormat="1" ht="18.75" customHeight="1" x14ac:dyDescent="0.15">
      <c r="A97" s="1"/>
      <c r="B97" s="278"/>
      <c r="C97" s="279"/>
      <c r="D97" s="279"/>
      <c r="E97" s="279"/>
      <c r="F97" s="279"/>
      <c r="G97" s="279"/>
      <c r="H97" s="279"/>
      <c r="I97" s="279"/>
      <c r="J97" s="280"/>
      <c r="K97" s="35"/>
    </row>
    <row r="98" spans="1:11" s="4" customFormat="1" ht="18.75" customHeight="1" x14ac:dyDescent="0.15">
      <c r="A98" s="1"/>
      <c r="B98" s="278"/>
      <c r="C98" s="279"/>
      <c r="D98" s="279"/>
      <c r="E98" s="279"/>
      <c r="F98" s="279"/>
      <c r="G98" s="279"/>
      <c r="H98" s="279"/>
      <c r="I98" s="279"/>
      <c r="J98" s="280"/>
      <c r="K98" s="35"/>
    </row>
    <row r="99" spans="1:11" s="4" customFormat="1" ht="18.75" customHeight="1" x14ac:dyDescent="0.15">
      <c r="A99" s="1"/>
      <c r="B99" s="278"/>
      <c r="C99" s="279"/>
      <c r="D99" s="279"/>
      <c r="E99" s="279"/>
      <c r="F99" s="279"/>
      <c r="G99" s="279"/>
      <c r="H99" s="279"/>
      <c r="I99" s="279"/>
      <c r="J99" s="280"/>
      <c r="K99" s="35"/>
    </row>
    <row r="100" spans="1:11" s="4" customFormat="1" ht="18.75" customHeight="1" x14ac:dyDescent="0.15">
      <c r="A100" s="1"/>
      <c r="B100" s="278"/>
      <c r="C100" s="279"/>
      <c r="D100" s="279"/>
      <c r="E100" s="279"/>
      <c r="F100" s="279"/>
      <c r="G100" s="279"/>
      <c r="H100" s="279"/>
      <c r="I100" s="279"/>
      <c r="J100" s="280"/>
      <c r="K100" s="35"/>
    </row>
    <row r="101" spans="1:11" s="4" customFormat="1" ht="18.75" customHeight="1" x14ac:dyDescent="0.15">
      <c r="A101" s="1"/>
      <c r="B101" s="278"/>
      <c r="C101" s="279"/>
      <c r="D101" s="279"/>
      <c r="E101" s="279"/>
      <c r="F101" s="279"/>
      <c r="G101" s="279"/>
      <c r="H101" s="279"/>
      <c r="I101" s="279"/>
      <c r="J101" s="280"/>
      <c r="K101" s="35"/>
    </row>
    <row r="102" spans="1:11" s="4" customFormat="1" ht="18.75" customHeight="1" x14ac:dyDescent="0.15">
      <c r="A102" s="1"/>
      <c r="B102" s="278"/>
      <c r="C102" s="279"/>
      <c r="D102" s="279"/>
      <c r="E102" s="279"/>
      <c r="F102" s="279"/>
      <c r="G102" s="279"/>
      <c r="H102" s="279"/>
      <c r="I102" s="279"/>
      <c r="J102" s="280"/>
      <c r="K102" s="35"/>
    </row>
    <row r="103" spans="1:11" s="4" customFormat="1" ht="18.75" customHeight="1" x14ac:dyDescent="0.15">
      <c r="A103" s="1"/>
      <c r="B103" s="278"/>
      <c r="C103" s="279"/>
      <c r="D103" s="279"/>
      <c r="E103" s="279"/>
      <c r="F103" s="279"/>
      <c r="G103" s="279"/>
      <c r="H103" s="279"/>
      <c r="I103" s="279"/>
      <c r="J103" s="280"/>
      <c r="K103" s="35"/>
    </row>
    <row r="104" spans="1:11" s="4" customFormat="1" ht="18.75" customHeight="1" x14ac:dyDescent="0.15">
      <c r="A104" s="1"/>
      <c r="B104" s="278"/>
      <c r="C104" s="279"/>
      <c r="D104" s="279"/>
      <c r="E104" s="279"/>
      <c r="F104" s="279"/>
      <c r="G104" s="279"/>
      <c r="H104" s="279"/>
      <c r="I104" s="279"/>
      <c r="J104" s="280"/>
      <c r="K104" s="35"/>
    </row>
    <row r="105" spans="1:11" s="4" customFormat="1" ht="18.75" customHeight="1" x14ac:dyDescent="0.15">
      <c r="A105" s="1"/>
      <c r="B105" s="278"/>
      <c r="C105" s="279"/>
      <c r="D105" s="279"/>
      <c r="E105" s="279"/>
      <c r="F105" s="279"/>
      <c r="G105" s="279"/>
      <c r="H105" s="279"/>
      <c r="I105" s="279"/>
      <c r="J105" s="280"/>
      <c r="K105" s="35"/>
    </row>
    <row r="106" spans="1:11" s="4" customFormat="1" ht="18.75" customHeight="1" x14ac:dyDescent="0.15">
      <c r="A106" s="1"/>
      <c r="B106" s="278"/>
      <c r="C106" s="279"/>
      <c r="D106" s="279"/>
      <c r="E106" s="279"/>
      <c r="F106" s="279"/>
      <c r="G106" s="279"/>
      <c r="H106" s="279"/>
      <c r="I106" s="279"/>
      <c r="J106" s="280"/>
      <c r="K106" s="35"/>
    </row>
    <row r="107" spans="1:11" ht="18.75" customHeight="1" x14ac:dyDescent="0.15">
      <c r="A107" s="39"/>
      <c r="B107" s="278"/>
      <c r="C107" s="279"/>
      <c r="D107" s="279"/>
      <c r="E107" s="279"/>
      <c r="F107" s="279"/>
      <c r="G107" s="279"/>
      <c r="H107" s="279"/>
      <c r="I107" s="279"/>
      <c r="J107" s="280"/>
      <c r="K107" s="35"/>
    </row>
    <row r="108" spans="1:11" ht="18.75" customHeight="1" x14ac:dyDescent="0.15">
      <c r="A108" s="39"/>
      <c r="B108" s="281"/>
      <c r="C108" s="282"/>
      <c r="D108" s="282"/>
      <c r="E108" s="282"/>
      <c r="F108" s="282"/>
      <c r="G108" s="282"/>
      <c r="H108" s="282"/>
      <c r="I108" s="282"/>
      <c r="J108" s="283"/>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84" t="s">
        <v>82</v>
      </c>
      <c r="C110" s="284"/>
      <c r="D110" s="284"/>
      <c r="E110" s="284"/>
      <c r="F110" s="284"/>
      <c r="G110" s="284"/>
      <c r="H110" s="284"/>
      <c r="I110" s="284"/>
      <c r="J110" s="284"/>
      <c r="K110" s="31"/>
    </row>
    <row r="111" spans="1:11" ht="18.75" customHeight="1" x14ac:dyDescent="0.15">
      <c r="A111" s="39"/>
      <c r="B111" s="267" t="s">
        <v>197</v>
      </c>
      <c r="C111" s="268"/>
      <c r="D111" s="268"/>
      <c r="E111" s="268"/>
      <c r="F111" s="268"/>
      <c r="G111" s="268"/>
      <c r="H111" s="268"/>
      <c r="I111" s="276"/>
      <c r="J111" s="277"/>
    </row>
    <row r="112" spans="1:11" ht="18.75" customHeight="1" x14ac:dyDescent="0.15">
      <c r="A112" s="39"/>
      <c r="B112" s="278"/>
      <c r="C112" s="279"/>
      <c r="D112" s="279"/>
      <c r="E112" s="279"/>
      <c r="F112" s="279"/>
      <c r="G112" s="279"/>
      <c r="H112" s="279"/>
      <c r="I112" s="279"/>
      <c r="J112" s="280"/>
      <c r="K112" s="35"/>
    </row>
    <row r="113" spans="1:11" ht="18.75" customHeight="1" x14ac:dyDescent="0.15">
      <c r="A113" s="39"/>
      <c r="B113" s="278"/>
      <c r="C113" s="279"/>
      <c r="D113" s="279"/>
      <c r="E113" s="279"/>
      <c r="F113" s="279"/>
      <c r="G113" s="279"/>
      <c r="H113" s="279"/>
      <c r="I113" s="279"/>
      <c r="J113" s="280"/>
      <c r="K113" s="31" t="str">
        <f>IF(B111="","入力してください","")</f>
        <v/>
      </c>
    </row>
    <row r="114" spans="1:11" ht="18.75" customHeight="1" x14ac:dyDescent="0.15">
      <c r="A114" s="39"/>
      <c r="B114" s="278"/>
      <c r="C114" s="279"/>
      <c r="D114" s="279"/>
      <c r="E114" s="279"/>
      <c r="F114" s="279"/>
      <c r="G114" s="279"/>
      <c r="H114" s="279"/>
      <c r="I114" s="279"/>
      <c r="J114" s="280"/>
    </row>
    <row r="115" spans="1:11" ht="18.75" customHeight="1" x14ac:dyDescent="0.15">
      <c r="A115" s="39"/>
      <c r="B115" s="278"/>
      <c r="C115" s="279"/>
      <c r="D115" s="279"/>
      <c r="E115" s="279"/>
      <c r="F115" s="279"/>
      <c r="G115" s="279"/>
      <c r="H115" s="279"/>
      <c r="I115" s="279"/>
      <c r="J115" s="280"/>
    </row>
    <row r="116" spans="1:11" ht="18.75" customHeight="1" x14ac:dyDescent="0.15">
      <c r="A116" s="39"/>
      <c r="B116" s="278"/>
      <c r="C116" s="279"/>
      <c r="D116" s="279"/>
      <c r="E116" s="279"/>
      <c r="F116" s="279"/>
      <c r="G116" s="279"/>
      <c r="H116" s="279"/>
      <c r="I116" s="279"/>
      <c r="J116" s="280"/>
    </row>
    <row r="117" spans="1:11" ht="18.75" customHeight="1" x14ac:dyDescent="0.15">
      <c r="A117" s="39"/>
      <c r="B117" s="278"/>
      <c r="C117" s="279"/>
      <c r="D117" s="279"/>
      <c r="E117" s="279"/>
      <c r="F117" s="279"/>
      <c r="G117" s="279"/>
      <c r="H117" s="279"/>
      <c r="I117" s="279"/>
      <c r="J117" s="280"/>
    </row>
    <row r="118" spans="1:11" ht="18.75" customHeight="1" x14ac:dyDescent="0.15">
      <c r="A118" s="39"/>
      <c r="B118" s="278"/>
      <c r="C118" s="279"/>
      <c r="D118" s="279"/>
      <c r="E118" s="279"/>
      <c r="F118" s="279"/>
      <c r="G118" s="279"/>
      <c r="H118" s="279"/>
      <c r="I118" s="279"/>
      <c r="J118" s="280"/>
    </row>
    <row r="119" spans="1:11" ht="18.75" customHeight="1" x14ac:dyDescent="0.15">
      <c r="A119" s="39"/>
      <c r="B119" s="278"/>
      <c r="C119" s="279"/>
      <c r="D119" s="279"/>
      <c r="E119" s="279"/>
      <c r="F119" s="279"/>
      <c r="G119" s="279"/>
      <c r="H119" s="279"/>
      <c r="I119" s="279"/>
      <c r="J119" s="280"/>
    </row>
    <row r="120" spans="1:11" ht="18.75" customHeight="1" x14ac:dyDescent="0.15">
      <c r="A120" s="39"/>
      <c r="B120" s="278"/>
      <c r="C120" s="279"/>
      <c r="D120" s="279"/>
      <c r="E120" s="279"/>
      <c r="F120" s="279"/>
      <c r="G120" s="279"/>
      <c r="H120" s="279"/>
      <c r="I120" s="279"/>
      <c r="J120" s="280"/>
    </row>
    <row r="121" spans="1:11" ht="18.75" customHeight="1" x14ac:dyDescent="0.15">
      <c r="A121" s="39"/>
      <c r="B121" s="278"/>
      <c r="C121" s="279"/>
      <c r="D121" s="279"/>
      <c r="E121" s="279"/>
      <c r="F121" s="279"/>
      <c r="G121" s="279"/>
      <c r="H121" s="279"/>
      <c r="I121" s="279"/>
      <c r="J121" s="280"/>
    </row>
    <row r="122" spans="1:11" ht="18.75" customHeight="1" x14ac:dyDescent="0.15">
      <c r="A122" s="39"/>
      <c r="B122" s="278"/>
      <c r="C122" s="279"/>
      <c r="D122" s="279"/>
      <c r="E122" s="279"/>
      <c r="F122" s="279"/>
      <c r="G122" s="279"/>
      <c r="H122" s="279"/>
      <c r="I122" s="279"/>
      <c r="J122" s="280"/>
    </row>
    <row r="123" spans="1:11" ht="18.75" customHeight="1" x14ac:dyDescent="0.15">
      <c r="A123" s="39"/>
      <c r="B123" s="278"/>
      <c r="C123" s="279"/>
      <c r="D123" s="279"/>
      <c r="E123" s="279"/>
      <c r="F123" s="279"/>
      <c r="G123" s="279"/>
      <c r="H123" s="279"/>
      <c r="I123" s="279"/>
      <c r="J123" s="280"/>
    </row>
    <row r="124" spans="1:11" ht="18.75" customHeight="1" x14ac:dyDescent="0.15">
      <c r="A124" s="39"/>
      <c r="B124" s="278"/>
      <c r="C124" s="279"/>
      <c r="D124" s="279"/>
      <c r="E124" s="279"/>
      <c r="F124" s="279"/>
      <c r="G124" s="279"/>
      <c r="H124" s="279"/>
      <c r="I124" s="279"/>
      <c r="J124" s="280"/>
    </row>
    <row r="125" spans="1:11" ht="18.75" customHeight="1" x14ac:dyDescent="0.15">
      <c r="A125" s="39"/>
      <c r="B125" s="278"/>
      <c r="C125" s="279"/>
      <c r="D125" s="279"/>
      <c r="E125" s="279"/>
      <c r="F125" s="279"/>
      <c r="G125" s="279"/>
      <c r="H125" s="279"/>
      <c r="I125" s="279"/>
      <c r="J125" s="280"/>
    </row>
    <row r="126" spans="1:11" ht="18.75" customHeight="1" x14ac:dyDescent="0.15">
      <c r="A126" s="39"/>
      <c r="B126" s="278"/>
      <c r="C126" s="279"/>
      <c r="D126" s="279"/>
      <c r="E126" s="279"/>
      <c r="F126" s="279"/>
      <c r="G126" s="279"/>
      <c r="H126" s="279"/>
      <c r="I126" s="279"/>
      <c r="J126" s="280"/>
    </row>
    <row r="127" spans="1:11" ht="18.75" customHeight="1" x14ac:dyDescent="0.15">
      <c r="A127" s="39"/>
      <c r="B127" s="278"/>
      <c r="C127" s="279"/>
      <c r="D127" s="279"/>
      <c r="E127" s="279"/>
      <c r="F127" s="279"/>
      <c r="G127" s="279"/>
      <c r="H127" s="279"/>
      <c r="I127" s="279"/>
      <c r="J127" s="280"/>
    </row>
    <row r="128" spans="1:11" ht="18.75" customHeight="1" x14ac:dyDescent="0.15">
      <c r="A128" s="39"/>
      <c r="B128" s="278"/>
      <c r="C128" s="279"/>
      <c r="D128" s="279"/>
      <c r="E128" s="279"/>
      <c r="F128" s="279"/>
      <c r="G128" s="279"/>
      <c r="H128" s="279"/>
      <c r="I128" s="279"/>
      <c r="J128" s="280"/>
    </row>
    <row r="129" spans="1:10" ht="18.75" customHeight="1" x14ac:dyDescent="0.15">
      <c r="A129" s="39"/>
      <c r="B129" s="281"/>
      <c r="C129" s="282"/>
      <c r="D129" s="282"/>
      <c r="E129" s="282"/>
      <c r="F129" s="282"/>
      <c r="G129" s="282"/>
      <c r="H129" s="282"/>
      <c r="I129" s="282"/>
      <c r="J129" s="283"/>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85" zoomScaleNormal="100" zoomScaleSheetLayoutView="85" workbookViewId="0">
      <selection activeCell="E16" sqref="E16:J16"/>
    </sheetView>
  </sheetViews>
  <sheetFormatPr defaultColWidth="11.375" defaultRowHeight="22.7"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51" t="s">
        <v>42</v>
      </c>
      <c r="B2" s="251"/>
      <c r="C2" s="251"/>
      <c r="D2" s="251"/>
      <c r="E2" s="251"/>
      <c r="F2" s="251"/>
      <c r="G2" s="251"/>
      <c r="H2" s="251"/>
      <c r="I2" s="251"/>
      <c r="J2" s="251"/>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05" t="s">
        <v>38</v>
      </c>
      <c r="C5" s="306"/>
      <c r="D5" s="307"/>
      <c r="E5" s="308" t="s">
        <v>40</v>
      </c>
      <c r="F5" s="308"/>
      <c r="G5" s="308"/>
      <c r="H5" s="308"/>
      <c r="I5" s="308"/>
      <c r="J5" s="309"/>
    </row>
    <row r="6" spans="1:11" ht="18.75" customHeight="1" x14ac:dyDescent="0.15">
      <c r="B6" s="3" t="s">
        <v>28</v>
      </c>
      <c r="C6" s="39"/>
      <c r="D6" s="7"/>
      <c r="I6" s="40"/>
      <c r="J6" s="5"/>
    </row>
    <row r="7" spans="1:11" ht="207" customHeight="1" x14ac:dyDescent="0.15">
      <c r="B7" s="6"/>
      <c r="C7" s="296" t="s">
        <v>29</v>
      </c>
      <c r="D7" s="297"/>
      <c r="E7" s="302" t="s">
        <v>198</v>
      </c>
      <c r="F7" s="298"/>
      <c r="G7" s="298"/>
      <c r="H7" s="298"/>
      <c r="I7" s="298"/>
      <c r="J7" s="299"/>
      <c r="K7" s="31" t="str">
        <f>IF(E7="","入力してください","")</f>
        <v/>
      </c>
    </row>
    <row r="8" spans="1:11" ht="207" customHeight="1" x14ac:dyDescent="0.15">
      <c r="B8" s="6"/>
      <c r="C8" s="303" t="s">
        <v>30</v>
      </c>
      <c r="D8" s="304"/>
      <c r="E8" s="302" t="s">
        <v>199</v>
      </c>
      <c r="F8" s="298"/>
      <c r="G8" s="298"/>
      <c r="H8" s="298"/>
      <c r="I8" s="298"/>
      <c r="J8" s="299"/>
      <c r="K8" s="31" t="str">
        <f>IF(E8="","入力してください","")</f>
        <v/>
      </c>
    </row>
    <row r="9" spans="1:11" ht="172.5" customHeight="1" x14ac:dyDescent="0.15">
      <c r="B9" s="6"/>
      <c r="C9" s="296" t="s">
        <v>31</v>
      </c>
      <c r="D9" s="297"/>
      <c r="E9" s="302" t="s">
        <v>208</v>
      </c>
      <c r="F9" s="298"/>
      <c r="G9" s="298"/>
      <c r="H9" s="298"/>
      <c r="I9" s="298"/>
      <c r="J9" s="299"/>
      <c r="K9" s="31" t="str">
        <f>IF(E9="","入力してください","")</f>
        <v/>
      </c>
    </row>
    <row r="10" spans="1:11" ht="172.5" customHeight="1" x14ac:dyDescent="0.15">
      <c r="B10" s="6"/>
      <c r="C10" s="296" t="s">
        <v>32</v>
      </c>
      <c r="D10" s="297"/>
      <c r="E10" s="302" t="s">
        <v>209</v>
      </c>
      <c r="F10" s="298"/>
      <c r="G10" s="298"/>
      <c r="H10" s="298"/>
      <c r="I10" s="298"/>
      <c r="J10" s="299"/>
      <c r="K10" s="31" t="str">
        <f t="shared" ref="K10:K14" si="0">IF(E10="","入力してください","")</f>
        <v/>
      </c>
    </row>
    <row r="11" spans="1:11" ht="172.5" customHeight="1" x14ac:dyDescent="0.15">
      <c r="B11" s="6"/>
      <c r="C11" s="296" t="s">
        <v>33</v>
      </c>
      <c r="D11" s="297"/>
      <c r="E11" s="302" t="s">
        <v>200</v>
      </c>
      <c r="F11" s="298"/>
      <c r="G11" s="298"/>
      <c r="H11" s="298"/>
      <c r="I11" s="298"/>
      <c r="J11" s="299"/>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296" t="s">
        <v>35</v>
      </c>
      <c r="D13" s="297"/>
      <c r="E13" s="298" t="s">
        <v>201</v>
      </c>
      <c r="F13" s="298"/>
      <c r="G13" s="298"/>
      <c r="H13" s="298"/>
      <c r="I13" s="298"/>
      <c r="J13" s="299"/>
      <c r="K13" s="31" t="str">
        <f t="shared" si="0"/>
        <v/>
      </c>
    </row>
    <row r="14" spans="1:11" ht="255.2" customHeight="1" x14ac:dyDescent="0.15">
      <c r="B14" s="6"/>
      <c r="C14" s="296" t="s">
        <v>36</v>
      </c>
      <c r="D14" s="297"/>
      <c r="E14" s="298" t="s">
        <v>202</v>
      </c>
      <c r="F14" s="298"/>
      <c r="G14" s="298"/>
      <c r="H14" s="298"/>
      <c r="I14" s="298"/>
      <c r="J14" s="299"/>
      <c r="K14" s="31" t="str">
        <f t="shared" si="0"/>
        <v/>
      </c>
    </row>
    <row r="15" spans="1:11" ht="243" customHeight="1" x14ac:dyDescent="0.15">
      <c r="B15" s="300" t="s">
        <v>37</v>
      </c>
      <c r="C15" s="301"/>
      <c r="D15" s="297"/>
      <c r="E15" s="298" t="s">
        <v>210</v>
      </c>
      <c r="F15" s="298"/>
      <c r="G15" s="298"/>
      <c r="H15" s="298"/>
      <c r="I15" s="298"/>
      <c r="J15" s="299"/>
      <c r="K15" s="31" t="str">
        <f>IF(E15="","入力してください","")</f>
        <v/>
      </c>
    </row>
    <row r="16" spans="1:11" ht="243" customHeight="1" x14ac:dyDescent="0.15">
      <c r="A16" s="31"/>
      <c r="B16" s="290" t="s">
        <v>66</v>
      </c>
      <c r="C16" s="291"/>
      <c r="D16" s="292"/>
      <c r="E16" s="274" t="s">
        <v>203</v>
      </c>
      <c r="F16" s="274"/>
      <c r="G16" s="274"/>
      <c r="H16" s="274"/>
      <c r="I16" s="274"/>
      <c r="J16" s="275"/>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4"/>
      <c r="G18" s="293" t="s">
        <v>186</v>
      </c>
      <c r="H18" s="294"/>
      <c r="I18" s="294"/>
      <c r="J18" s="295"/>
      <c r="K18" s="31" t="str">
        <f>IF(G18="","入力してください","")</f>
        <v/>
      </c>
    </row>
    <row r="19" spans="1:11" ht="22.7" customHeight="1" x14ac:dyDescent="0.15">
      <c r="B19" s="39"/>
      <c r="C19" s="39"/>
      <c r="D19" s="39"/>
      <c r="E19" s="40"/>
      <c r="F19" s="40"/>
      <c r="G19" s="40"/>
      <c r="H19" s="40"/>
      <c r="I19" s="40"/>
      <c r="J19" s="40"/>
    </row>
    <row r="20" spans="1:11" ht="22.7" customHeight="1" x14ac:dyDescent="0.15">
      <c r="B20" s="39"/>
      <c r="C20" s="39"/>
      <c r="D20" s="39"/>
      <c r="E20" s="40"/>
      <c r="F20" s="40"/>
      <c r="G20" s="40"/>
      <c r="H20" s="40"/>
      <c r="I20" s="40"/>
      <c r="J20" s="40"/>
    </row>
    <row r="21" spans="1:11" ht="22.7" customHeight="1" x14ac:dyDescent="0.15">
      <c r="B21" s="39"/>
      <c r="C21" s="39"/>
      <c r="D21" s="39"/>
      <c r="E21" s="40"/>
      <c r="F21" s="40"/>
      <c r="G21" s="40"/>
      <c r="H21" s="40"/>
      <c r="I21" s="40"/>
      <c r="J21" s="40"/>
    </row>
    <row r="22" spans="1:11" ht="22.7" customHeight="1" x14ac:dyDescent="0.15">
      <c r="B22" s="39"/>
      <c r="C22" s="39"/>
      <c r="D22" s="39"/>
      <c r="E22" s="40"/>
      <c r="F22" s="40"/>
      <c r="G22" s="40"/>
      <c r="H22" s="40"/>
      <c r="I22" s="40"/>
      <c r="J22" s="40"/>
    </row>
    <row r="23" spans="1:11" ht="22.7" customHeight="1" x14ac:dyDescent="0.15">
      <c r="B23" s="39"/>
      <c r="C23" s="39"/>
      <c r="D23" s="39"/>
      <c r="E23" s="40"/>
      <c r="F23" s="40"/>
      <c r="G23" s="40"/>
      <c r="H23" s="40"/>
      <c r="I23" s="40"/>
      <c r="J23" s="40"/>
    </row>
    <row r="24" spans="1:11" ht="22.7" customHeight="1" x14ac:dyDescent="0.15">
      <c r="B24" s="106"/>
      <c r="C24" s="106"/>
      <c r="D24" s="106"/>
      <c r="E24" s="106"/>
      <c r="F24" s="106"/>
      <c r="G24" s="106"/>
      <c r="H24" s="106"/>
      <c r="I24" s="106"/>
      <c r="J24" s="106"/>
    </row>
    <row r="25" spans="1:11" ht="22.7" customHeight="1" x14ac:dyDescent="0.15">
      <c r="B25" s="106"/>
      <c r="C25" s="106"/>
      <c r="D25" s="106"/>
      <c r="E25" s="106"/>
      <c r="F25" s="106"/>
      <c r="G25" s="106"/>
      <c r="H25" s="106"/>
      <c r="I25" s="106"/>
      <c r="J25" s="106"/>
    </row>
    <row r="26" spans="1:11" ht="22.7"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A8D3FA6D-580B-4C03-8DE4-AF2881AB7473}"/>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ynakamur</cp:lastModifiedBy>
  <cp:lastPrinted>2022-05-19T06:39:16Z</cp:lastPrinted>
  <dcterms:created xsi:type="dcterms:W3CDTF">2011-06-14T05:32:50Z</dcterms:created>
  <dcterms:modified xsi:type="dcterms:W3CDTF">2022-06-15T06:18:59Z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