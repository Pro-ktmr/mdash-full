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C:\Users\k-yos\Desktop\データサイエンスセンタ\プログラム申請\申請提出資料\"/>
    </mc:Choice>
  </mc:AlternateContent>
  <xr:revisionPtr revIDLastSave="0" documentId="13_ncr:1_{E8294A90-0EEE-4EB4-9FDF-F70487F38355}" xr6:coauthVersionLast="47" xr6:coauthVersionMax="47" xr10:uidLastSave="{00000000-0000-0000-0000-000000000000}"/>
  <bookViews>
    <workbookView xWindow="-15930" yWindow="855" windowWidth="15540" windowHeight="13380" tabRatio="885" firstSheet="5" activeTab="6" xr2:uid="{00000000-000D-0000-FFFF-FFFF00000000}"/>
  </bookViews>
  <sheets>
    <sheet name="様式１　大学等概要" sheetId="8" r:id="rId1"/>
    <sheet name="様式2-1　プログラムを構成する授業科目" sheetId="44" r:id="rId2"/>
    <sheet name="様式2-2　プログラムを構成する授業科目" sheetId="45" r:id="rId3"/>
    <sheet name="様式2-3　プログラムを構成する授業科目" sheetId="39" r:id="rId4"/>
    <sheet name="様式３　履修者等数の実績" sheetId="40" r:id="rId5"/>
    <sheet name="様式４　教育の質・履修者数を向上させるための体制・計画" sheetId="41" r:id="rId6"/>
    <sheet name="様式５　自己点検・評価" sheetId="42" r:id="rId7"/>
  </sheets>
  <definedNames>
    <definedName name="_xlnm._FilterDatabase" localSheetId="1" hidden="1">'様式2-1　プログラムを構成する授業科目'!#REF!</definedName>
    <definedName name="_xlnm._FilterDatabase" localSheetId="2" hidden="1">'様式2-2　プログラムを構成する授業科目'!#REF!</definedName>
    <definedName name="_xlnm._FilterDatabase" localSheetId="3" hidden="1">'様式2-3　プログラムを構成する授業科目'!#REF!</definedName>
    <definedName name="_xlnm._FilterDatabase" localSheetId="4" hidden="1">'様式３　履修者等数の実績'!#REF!</definedName>
    <definedName name="_xlnm.Print_Area" localSheetId="0">'様式１　大学等概要'!$A$1:$N$45</definedName>
    <definedName name="_xlnm.Print_Area" localSheetId="1">'様式2-1　プログラムを構成する授業科目'!$A$1:$Z$98</definedName>
    <definedName name="_xlnm.Print_Area" localSheetId="2">'様式2-2　プログラムを構成する授業科目'!$A$1:$Z$98</definedName>
    <definedName name="_xlnm.Print_Area" localSheetId="3">'様式2-3　プログラムを構成する授業科目'!$A$1:$Z$97</definedName>
    <definedName name="_xlnm.Print_Area" localSheetId="4">'様式３　履修者等数の実績'!$A$1:$R$28</definedName>
    <definedName name="_xlnm.Print_Area" localSheetId="5">'様式４　教育の質・履修者数を向上させるための体制・計画'!$A$1:$J$127</definedName>
    <definedName name="_xlnm.Print_Area" localSheetId="6">'様式５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1" i="40" l="1"/>
  <c r="D10" i="40"/>
  <c r="R10" i="40"/>
  <c r="Q21" i="40"/>
  <c r="R21" i="40" s="1"/>
  <c r="K18" i="42" l="1"/>
  <c r="K16" i="42"/>
  <c r="K15" i="42"/>
  <c r="K9" i="42"/>
  <c r="K8" i="42"/>
  <c r="K7" i="42"/>
  <c r="K111" i="41"/>
  <c r="K89" i="41"/>
  <c r="K68" i="41"/>
  <c r="K45" i="41"/>
  <c r="K31" i="41"/>
  <c r="K15" i="41"/>
  <c r="K8" i="41"/>
  <c r="K5" i="41"/>
  <c r="C4" i="40"/>
  <c r="O45" i="8"/>
  <c r="O44" i="8"/>
  <c r="O41" i="8"/>
  <c r="O39" i="8"/>
  <c r="O37" i="8"/>
  <c r="O34" i="8"/>
  <c r="O32" i="8"/>
  <c r="O29" i="8"/>
  <c r="O20" i="8"/>
  <c r="O18" i="8"/>
  <c r="O16" i="8"/>
  <c r="O14" i="8"/>
  <c r="O12" i="8"/>
  <c r="O10" i="8"/>
  <c r="O6" i="8"/>
  <c r="O8" i="8"/>
  <c r="O4" i="8"/>
  <c r="K14" i="42"/>
  <c r="K13" i="42"/>
  <c r="K11" i="42"/>
  <c r="K10" i="42"/>
  <c r="P28" i="40" l="1"/>
  <c r="O28" i="40"/>
  <c r="N28" i="40"/>
  <c r="M28" i="40"/>
  <c r="L28" i="40"/>
  <c r="K28" i="40"/>
  <c r="J28" i="40"/>
  <c r="I28" i="40"/>
  <c r="H28" i="40"/>
  <c r="G28" i="40"/>
  <c r="F28" i="40"/>
  <c r="E28" i="40"/>
  <c r="D28" i="40"/>
  <c r="I29" i="41" s="1"/>
  <c r="C28" i="40"/>
  <c r="Q27" i="40"/>
  <c r="R27" i="40" s="1"/>
  <c r="Q26" i="40"/>
  <c r="R26" i="40" s="1"/>
  <c r="Q25" i="40"/>
  <c r="R25" i="40" s="1"/>
  <c r="Q24" i="40"/>
  <c r="R24" i="40" s="1"/>
  <c r="Q23" i="40"/>
  <c r="R23" i="40" s="1"/>
  <c r="Q22" i="40"/>
  <c r="R22" i="40" s="1"/>
  <c r="Q20" i="40"/>
  <c r="R20" i="40" s="1"/>
  <c r="Q19" i="40"/>
  <c r="R19" i="40" s="1"/>
  <c r="Q18" i="40"/>
  <c r="R18" i="40" s="1"/>
  <c r="Q17" i="40"/>
  <c r="R17" i="40" s="1"/>
  <c r="Q16" i="40"/>
  <c r="R16" i="40" s="1"/>
  <c r="Q15" i="40"/>
  <c r="R15" i="40" s="1"/>
  <c r="Q14" i="40"/>
  <c r="R14" i="40" s="1"/>
  <c r="Q13" i="40"/>
  <c r="R13" i="40" s="1"/>
  <c r="Q12" i="40"/>
  <c r="R12" i="40" s="1"/>
  <c r="Q11" i="40"/>
  <c r="R11" i="40" s="1"/>
  <c r="Q10" i="40"/>
  <c r="Q28" i="40" l="1"/>
  <c r="R28" i="40" s="1"/>
  <c r="C28" i="41" s="1"/>
</calcChain>
</file>

<file path=xl/sharedStrings.xml><?xml version="1.0" encoding="utf-8"?>
<sst xmlns="http://schemas.openxmlformats.org/spreadsheetml/2006/main" count="638" uniqueCount="243">
  <si>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</si>
  <si>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</si>
  <si>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</si>
  <si>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</si>
  <si>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日本薬科大学</t>
    <phoneticPr fontId="1"/>
  </si>
  <si>
    <t>②</t>
    <phoneticPr fontId="1"/>
  </si>
  <si>
    <t>大学等の設置者</t>
  </si>
  <si>
    <t>学校法人都築学園</t>
  </si>
  <si>
    <t>③</t>
  </si>
  <si>
    <t>設置形態</t>
    <phoneticPr fontId="1"/>
  </si>
  <si>
    <t>私立大学</t>
  </si>
  <si>
    <t>④</t>
    <phoneticPr fontId="1"/>
  </si>
  <si>
    <t>所在地</t>
    <phoneticPr fontId="1"/>
  </si>
  <si>
    <t>埼玉県北足立郡伊奈町小室10281</t>
    <phoneticPr fontId="1"/>
  </si>
  <si>
    <t>⑤</t>
    <phoneticPr fontId="1"/>
  </si>
  <si>
    <t>申請するプログラム名称</t>
    <rPh sb="0" eb="2">
      <t>シンセイ</t>
    </rPh>
    <rPh sb="9" eb="11">
      <t>メイショウ</t>
    </rPh>
    <phoneticPr fontId="1"/>
  </si>
  <si>
    <t>健康・医療データサイエンス教育プログラム</t>
  </si>
  <si>
    <t>⑥</t>
    <phoneticPr fontId="1"/>
  </si>
  <si>
    <t>プログラムの開設年度</t>
    <rPh sb="6" eb="8">
      <t>カイセツ</t>
    </rPh>
    <rPh sb="8" eb="10">
      <t>ネンド</t>
    </rPh>
    <phoneticPr fontId="1"/>
  </si>
  <si>
    <t>令和3</t>
  </si>
  <si>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</si>
  <si>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</si>
  <si>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</si>
  <si>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</si>
  <si>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</si>
  <si>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</si>
  <si>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</si>
  <si>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</si>
  <si>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</si>
  <si>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</si>
  <si>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</si>
  <si>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</si>
  <si>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</si>
  <si>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</si>
  <si>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</si>
  <si>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</si>
  <si>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</si>
  <si>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</si>
  <si>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</si>
  <si>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</si>
  <si>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</si>
  <si>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</si>
  <si>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</si>
  <si>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</si>
  <si>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</si>
  <si>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（役職名）</t>
    <rPh sb="1" eb="4">
      <t>ヤクショクメイ</t>
    </rPh>
    <phoneticPr fontId="1"/>
  </si>
  <si>
    <t>薬学部長</t>
  </si>
  <si>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</si>
  <si>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</si>
  <si>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データサイエンスセンター委員会</t>
    <rPh sb="12" eb="15">
      <t>イインカイ</t>
    </rPh>
    <phoneticPr fontId="1"/>
  </si>
  <si>
    <t>大田祥子</t>
    <rPh sb="0" eb="4">
      <t>オオタサチコ</t>
    </rPh>
    <phoneticPr fontId="1"/>
  </si>
  <si>
    <t>データサイエンスセンター委員長</t>
    <rPh sb="12" eb="14">
      <t>イイン</t>
    </rPh>
    <rPh sb="14" eb="15">
      <t>チョウ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</si>
  <si>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</si>
  <si>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</si>
  <si>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自己点検・評価委員会、データサイエンスセンター委員会</t>
    <rPh sb="23" eb="26">
      <t>イインカイ</t>
    </rPh>
    <phoneticPr fontId="1"/>
  </si>
  <si>
    <t>松田佳和、大田祥子</t>
  </si>
  <si>
    <t>自己点検・評価委員長
データサイエンスセンター委員長</t>
    <rPh sb="23" eb="25">
      <t>イイン</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</si>
  <si>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</si>
  <si>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</si>
  <si>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</si>
  <si>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</si>
  <si>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</si>
  <si>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データサイエンスセンター</t>
    <phoneticPr fontId="1"/>
  </si>
  <si>
    <t>担当者名</t>
    <rPh sb="0" eb="2">
      <t>タントウ</t>
    </rPh>
    <rPh sb="2" eb="3">
      <t>シャ</t>
    </rPh>
    <rPh sb="3" eb="4">
      <t>メイ</t>
    </rPh>
    <phoneticPr fontId="1"/>
  </si>
  <si>
    <t>吉田剛三</t>
    <rPh sb="0" eb="2">
      <t>ヨシダ</t>
    </rPh>
    <rPh sb="2" eb="3">
      <t>ツヨシ</t>
    </rPh>
    <rPh sb="3" eb="4">
      <t>サン</t>
    </rPh>
    <phoneticPr fontId="1"/>
  </si>
  <si>
    <t>E-mail</t>
  </si>
  <si>
    <t>data-science@nichiyaku.ac.jp</t>
  </si>
  <si>
    <t>電話番号</t>
  </si>
  <si>
    <t>03-5812-9011</t>
    <phoneticPr fontId="1"/>
  </si>
  <si>
    <t>様式2－1</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</si>
  <si>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</si>
  <si>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</si>
  <si>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</si>
  <si>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</si>
  <si>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薬学部薬学科
プログラムを構成する下記3科目の3単位を取得すること。
・情報リテラシー(1単位)
・薬学数学(1単位)
・情報処理演習Ⅰ(1単位)</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</si>
  <si>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</si>
  <si>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</si>
  <si>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</si>
  <si>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</si>
  <si>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</si>
  <si>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</si>
  <si>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</si>
  <si>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薬学数学</t>
    <phoneticPr fontId="1"/>
  </si>
  <si>
    <t>○</t>
  </si>
  <si>
    <t>一部開講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</si>
  <si>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</si>
  <si>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</si>
  <si>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</si>
  <si>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</si>
  <si>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</si>
  <si>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</si>
  <si>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</si>
  <si>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</si>
  <si>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</si>
  <si>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情報リテラシー</t>
    <rPh sb="0" eb="2">
      <t>ジョウホウ</t>
    </rPh>
    <phoneticPr fontId="1"/>
  </si>
  <si>
    <t>全学開講</t>
  </si>
  <si>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</si>
  <si>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</si>
  <si>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</si>
  <si>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</si>
  <si>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薬学数学</t>
    <rPh sb="0" eb="2">
      <t>ヤクガク</t>
    </rPh>
    <rPh sb="2" eb="4">
      <t>スウガク</t>
    </rPh>
    <phoneticPr fontId="1"/>
  </si>
  <si>
    <t>情報処理演習Ⅰ</t>
    <rPh sb="0" eb="2">
      <t>ジョウホウ</t>
    </rPh>
    <rPh sb="2" eb="6">
      <t>ショリエンシュウ</t>
    </rPh>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</si>
  <si>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</si>
  <si>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</si>
  <si>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医薬品情報</t>
    <rPh sb="0" eb="3">
      <t>イヤクヒン</t>
    </rPh>
    <rPh sb="3" eb="5">
      <t>ジョウホウ</t>
    </rPh>
    <phoneticPr fontId="1"/>
  </si>
  <si>
    <t>4-1統計および数理基礎</t>
  </si>
  <si>
    <t>4‐8データ活用実践（教師あり学習）</t>
  </si>
  <si>
    <t>実践医療統計学</t>
    <rPh sb="0" eb="4">
      <t>ジッセンイリョウ</t>
    </rPh>
    <rPh sb="4" eb="7">
      <t>トウケイガク</t>
    </rPh>
    <phoneticPr fontId="1"/>
  </si>
  <si>
    <t>情報処理演習Ⅱ</t>
    <rPh sb="0" eb="2">
      <t>ジョウホウ</t>
    </rPh>
    <rPh sb="2" eb="6">
      <t>ショリエンシュウ</t>
    </rPh>
    <phoneticPr fontId="1"/>
  </si>
  <si>
    <t>4‐2アルゴリズム基礎</t>
  </si>
  <si>
    <t>4‐3データ構造とプログラミング基礎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</si>
  <si>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</si>
  <si>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</si>
  <si>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</si>
  <si>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</si>
  <si>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・現在進行中の社会変化（第 4 次産業革命、Society 5.0、データ駆動型社会等）の潮流
「薬学数学」(9回目)</t>
  </si>
  <si>
    <t>1-6</t>
    <phoneticPr fontId="1"/>
  </si>
  <si>
    <t>・数理・データサイエンス・AIにおける様々な適用領域（流通、製造、金融、サービス、インフラ、公共、
ヘルスケア等）「薬学数学」(9回目)</t>
  </si>
  <si>
    <t>（２）「社会で活用されているデータ」や「データの活用領域」は非常に広範囲であって、日常生活や社会の課題を解決する有用なツールになり得るもの</t>
    <phoneticPr fontId="1"/>
  </si>
  <si>
    <t>・数理・データサイエンス・AI を活用して、様々な適用領域の知見を組み合わせることで新たな価値
を創出する事例「薬学数学」(9回目)</t>
  </si>
  <si>
    <t>・数理・データサイエンス・AIにおける様々な適用領域(流通、製造、金融、サービス、インフラ、公共、
ヘルスケア等)「薬学数学」(9回目)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</si>
  <si>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</si>
  <si>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・統計と AI の違い「薬学数学」(10回目)
・AI で扱うデータの特徴「薬学数学」(10回目)
・一般的な AI でのモデル構築手順「薬学数学」(10回目)
・一般的な AI モデル構築の課題「薬学数学」(10回目)</t>
  </si>
  <si>
    <t>（４）活用に当たっての様々な留意事項（ELSI、個人情報、データ倫理、ＡＩ社会原則等）を考慮し、情報セキュリティや情報漏洩等、データを守る上での留意事項への理解をする</t>
    <phoneticPr fontId="1"/>
  </si>
  <si>
    <t>・情報倫理の観点から、情報を取り扱う上での注意点「情報リテラシー」(9回目)</t>
  </si>
  <si>
    <t>・情報を守る上でのセキュリティ技術「情報リテラシー」(10回目)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</si>
  <si>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</si>
  <si>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・基本的な統計量「薬学数学」(1回目)
・順列と組み合わせ「薬学数学」 (2回目)
・確率分布表の作成「薬学数学」 (3回目)
・反復試行の定理「薬学数学」(4回目)
・二項分布「薬学数学」 (5回目)
・正規分布「薬学数学」 (6回目)
・母集団と標本「薬学数学」 (7回目)
・推定と検定「薬学数学」(8回目)</t>
  </si>
  <si>
    <t>・表計算の基本的な操作 「情報処理演習Ⅰ」(4回目)
・表計算の関数 「情報処理演習Ⅰ」 (5回目)
・表計算のデータベース 「情報処理演習Ⅰ」 (6回目)
・表計算による課題解決「情報処理演習Ⅰ」 (7回目)</t>
  </si>
  <si>
    <t>・表計算の技本的な操作 「情報処理演習Ⅰ」 (4回目)
・表計算の関数 「情報処理演習Ⅰ」 (5回目)
・表計算のデータベース  「情報処理演習Ⅰ」(6回目)
・表計算による課題解決 「情報処理演習Ⅰ」 (7回目)</t>
  </si>
  <si>
    <t>⑩プログラムの学修成果（学生等が身に付けられる能力等）</t>
    <phoneticPr fontId="1"/>
  </si>
  <si>
    <t>AIやデータサイエンスの基礎知識を身につけ、卒業後の社会におけるAIやデータサイエンスの活用の基礎力を醸成する。
・医療分野において、AIやデータサイエンスがどのように活用されているか、社会の変化を知り、問題解決に繋がっていることを理解する。
・AIやデータサイエンスの活用の倫理を知り、情報セキュリティや個人情報保護の観点から、有用性のみならず、脅威や留意事項を知る。
・医療・健康・薬剤に関連するオープンデータ（例:National Data Baseなど）や、各コースの専門に関連した実データなどを活用し、統計処理やデータ分析を行い、数理的知識と理論、方法を体系的に理解し実践する。演習を取り入れ、理解を深める。</t>
    <phoneticPr fontId="1"/>
  </si>
  <si>
    <t>⑪プログラムの授業内容等を公表しているアドレス</t>
    <phoneticPr fontId="1"/>
  </si>
  <si>
    <t>https://www.nichiyaku.ac.jp/course-information/datascience-center/educational-programs/
https://syllabus.nihonyakka.jp/web/show.php</t>
    <phoneticPr fontId="1"/>
  </si>
  <si>
    <t>様式2－2</t>
    <phoneticPr fontId="1"/>
  </si>
  <si>
    <t>薬学部医療ビジネス薬科学科スポーツ薬学コース、栄養薬学コース
プログラムを構成する下記4科目の7単位を取得すること。
・情報リテラシー(2単位)
・数学・統計学の基礎(2単位)
・コンピュータスキル(2単位)
・研究方法論演習Ⅰ(1単位)</t>
  </si>
  <si>
    <t>コンピュータスキル</t>
    <phoneticPr fontId="1"/>
  </si>
  <si>
    <t>一部開講</t>
    <phoneticPr fontId="1"/>
  </si>
  <si>
    <t>数学・統計学の基礎</t>
    <rPh sb="0" eb="2">
      <t>スウガク</t>
    </rPh>
    <rPh sb="3" eb="6">
      <t>トウケイガク</t>
    </rPh>
    <rPh sb="7" eb="9">
      <t>キソ</t>
    </rPh>
    <phoneticPr fontId="1"/>
  </si>
  <si>
    <t>研究方法論演習Ⅰ</t>
    <rPh sb="0" eb="2">
      <t>ケンキュウ</t>
    </rPh>
    <rPh sb="2" eb="5">
      <t>ホウホウロン</t>
    </rPh>
    <rPh sb="5" eb="7">
      <t>エンシュウ</t>
    </rPh>
    <phoneticPr fontId="1"/>
  </si>
  <si>
    <t>・ビッグデータ、IoT、人工知能、Soceity5.0 における社会の変化「情報リテラシー」(4回目)</t>
  </si>
  <si>
    <t>・現在進行中の 社会変化 (第 4 次産業革命、Society 5.0、データ駆動型社会等) の潮流
「コンピュータスキル」(13回目)</t>
  </si>
  <si>
    <t>・人工知能を実現するための技術「情報リテラシー」(5回目)
・人工知能を活用した事例「情報リテラシー」(5回目)</t>
  </si>
  <si>
    <t>・どのようなデータがどのように活用されているのか、様々な適用領域（流通・製造・金融・サービス・
 インフラ・ヘルスケア）の事例「コンピュータスキル」(14回目)</t>
  </si>
  <si>
    <t>・数理・データサイエンス・AIを活用して、様々な適用領域の知見を組み合わせることで新たな価値
を創出する事例、AI での活用事例を通して医療分野での数理・データ 
サイエンス・AI の活用「コンピュータスキル」(15回目)</t>
  </si>
  <si>
    <t>・メディアリテラシー、個人情報保護、肖像権とパブリシティ権、著作権「情報リテラシー」(3回目)</t>
  </si>
  <si>
    <t>・情報セキュリティ、ネット犯罪とその対策、暗号、安全なパスワードの作成方法、迷惑メールの対応法、ネット利用のリスク「情報リテラシー」(2回目)</t>
  </si>
  <si>
    <t>・グラフ、割合、比率、図形、四則演算および指数・対数、順列、組み合わせ、確率、データのばらつき
 の度合、確率変数と確率分布「数学・統計学の基礎」(2～11回目)</t>
  </si>
  <si>
    <t>・運動生理学など基礎科学的な研究におけるデータ収集方法および実験の方法
「研究方法論演習Ⅰ」(5回目)
・スポーツ社会学的研究におけるデータ収集方法および質問紙の作成やインタビュー調査の方法
「研究方法論演習Ⅰ」(6回目)
・データ処理の基礎知識として、測定尺度と解析目的に応じた統計処理の種類や手法の基礎的知識
「研究方法論演習Ⅰ」(7回目)
　</t>
    <phoneticPr fontId="1"/>
  </si>
  <si>
    <t>・表計算の基本操作、各種関数、グラフ、データベース「コンピュータスキル」(6～11回目)
・運動生理学など基礎科学的な研究におけるデータ収集方法および実験の方法
「研究方法論演習」(5回目)
・スポーツ社会学的研究におけるデータ収集方法および質問紙の作成やインタビュー調査の方法
「研究方法論演習Ⅰ」(6回目)
・データ処理の基礎知識として、測定尺度と解析目的に応じた統計処理の種類や手法の基礎的知識
「研究方法論演習Ⅰ」(7回目)
　</t>
    <phoneticPr fontId="1"/>
  </si>
  <si>
    <t>様式2－3</t>
    <phoneticPr fontId="1"/>
  </si>
  <si>
    <t>薬学部医療ビジネス薬科学科ビジネス薬学コース、情報薬学コース
プログラムを構成する医療統計学とコンピュータスキル実践学のいずれか1科目を選択し、それ以外の3科目の計4科目、8単位を取得すること。
・情報リテラシー(2単位)
・数学・統計学の基礎(2単位)
・コンピュータスキル(2単位)
・医療統計学(2単位)
・コンピュータスキル実践学(2単位)</t>
  </si>
  <si>
    <t>医療統計学</t>
    <rPh sb="0" eb="2">
      <t>イリョウ</t>
    </rPh>
    <rPh sb="2" eb="5">
      <t>トウケイガク</t>
    </rPh>
    <phoneticPr fontId="1"/>
  </si>
  <si>
    <t>コンピュータスキル実践学</t>
    <rPh sb="9" eb="12">
      <t>ジッセンガク</t>
    </rPh>
    <phoneticPr fontId="1"/>
  </si>
  <si>
    <t>pythonを使った統計解析の基礎</t>
    <phoneticPr fontId="1"/>
  </si>
  <si>
    <t>pythonプログラミングの基礎と応用</t>
    <phoneticPr fontId="1"/>
  </si>
  <si>
    <t>・情報化社会で起きている変化「情報リテラシー」(3回目)
・現在進行中の社会変化(第４次産業革命、Society5.0、データ駆動型社会等)の潮流
　「コンピュータスキル」(13回目)</t>
  </si>
  <si>
    <t>・数理・データサイエンス・AI の様々な 適用領域 (流通、製造、金融、サービス、インフラ、公共、
　ヘルスケア等) 　「コンピュータスキル」(14回目)</t>
    <phoneticPr fontId="1"/>
  </si>
  <si>
    <t>・身近な情報システム、ビッグデータと組込みシステムや IoT 、AI 、ユニバーサルデザイン
「情報リテラシー」(3回目)</t>
    <phoneticPr fontId="1"/>
  </si>
  <si>
    <t>・どのようなデータがどのように活用されているのか、様々な適用領域（流通・製造・金融・サービス・インフラ・ヘルスケア）の事例「コンピュータスキル」(14回目)</t>
    <phoneticPr fontId="1"/>
  </si>
  <si>
    <t>・数理・データサイエンス・AIを活用して、様々な適用領域の知見を組み合わせることで新たな価値
を創出する事例、AI での活用事例を通して医療分野での数理・データ 
サイエンス・AI の活用「コンピュータスキル」(15回目)</t>
    <phoneticPr fontId="1"/>
  </si>
  <si>
    <t>・数理・データサイエンス・AIを活用して、様々な適用領域の知見を組み合わせることで新たな価値
を創出する事例、AI での活用事例を通して医療分野での数理・データサイエンス・AI の活用
「コンピュータスキル」(15回目)</t>
    <rPh sb="107" eb="109">
      <t>カイメ</t>
    </rPh>
    <phoneticPr fontId="1"/>
  </si>
  <si>
    <t>・メディアリテラシ、情報操作の原因とその影響、著作権と肖像権・パブリシティ権、データ・AIを扱う上での留意事項「情報リテラシー」(2回目)</t>
    <phoneticPr fontId="1"/>
  </si>
  <si>
    <t>・SNSの危険性、情報発信の注意点、コンピュータウイルスとその対策、ネット犯罪とその対策、ネット利用のリスク、暗号、安全なパスワードの作成方法、データを守る上での留意事項「情報リテラシー」(1回目)</t>
  </si>
  <si>
    <t>・グラフ「数学・統計学の基礎」(2回目)
・割合、比率「数学・統計学の基礎」(3回目)
・図形「数学・統計学の基礎」(4～6回目)
・四則演算および指数・対数「数学・統計学の基礎」(7～9回目)
・順列「数学・統計学の基礎」(10回目)
・組合せ「数学・統計学の基礎」(11回目)
・確率「数学・統計学の基礎」(12回目)
・データのばらつき　の度合「数学・統計学の基礎」(13回目)
・確率変数と確率分布「数学・統計学の基礎」(14回目)</t>
  </si>
  <si>
    <t>・データの収集「医療統計学」(2回目)
・データの視覚化「医療統計学」(3回目)
・データの集団の性質「医療統計学」(4～5回目)
・データの関係「医療統計学」(6回目)
・分布(確率、正規分布)「医療統計学」(7～8回目)
・推定「医療統計学」(9～10回目)
・検定「医療統計学」(11～13回目)
・データの活用「医療統計学」14～15回目)
・Excelを使用したデータ分析「コンピュータスキル実践学」(13～14回目)</t>
    <rPh sb="5" eb="7">
      <t>シュウシュウ</t>
    </rPh>
    <rPh sb="25" eb="28">
      <t>シカクカ</t>
    </rPh>
    <rPh sb="46" eb="48">
      <t>シュウダン</t>
    </rPh>
    <rPh sb="49" eb="51">
      <t>セイシツ</t>
    </rPh>
    <rPh sb="71" eb="73">
      <t>カンケイ</t>
    </rPh>
    <rPh sb="87" eb="89">
      <t>ブンプ</t>
    </rPh>
    <rPh sb="90" eb="92">
      <t>カクリツ</t>
    </rPh>
    <rPh sb="93" eb="97">
      <t>セイキブンプ</t>
    </rPh>
    <rPh sb="114" eb="116">
      <t>スイテイ</t>
    </rPh>
    <rPh sb="133" eb="135">
      <t>ケンテイ</t>
    </rPh>
    <rPh sb="157" eb="159">
      <t>カツヨウ</t>
    </rPh>
    <rPh sb="160" eb="165">
      <t>イリョウトウケイガク</t>
    </rPh>
    <rPh sb="171" eb="173">
      <t>カイメ</t>
    </rPh>
    <rPh sb="182" eb="184">
      <t>シヨウ</t>
    </rPh>
    <rPh sb="189" eb="191">
      <t>ブンセキ</t>
    </rPh>
    <rPh sb="201" eb="204">
      <t>ジッセンガク</t>
    </rPh>
    <rPh sb="211" eb="213">
      <t>カイメ</t>
    </rPh>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</si>
  <si>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</si>
  <si>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</si>
  <si>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</si>
  <si>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</si>
  <si>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</si>
  <si>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</si>
  <si>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</si>
  <si>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</si>
  <si>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</si>
  <si>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</si>
  <si>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</si>
  <si>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</si>
  <si>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</si>
  <si>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</si>
  <si>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</si>
  <si>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</si>
  <si>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</si>
  <si>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薬学部薬学科</t>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</si>
  <si>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</si>
  <si>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</si>
  <si>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</si>
  <si>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</si>
  <si>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</si>
  <si>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日本薬科大学データサイエンスセンター委員会規程</t>
  </si>
  <si>
    <t>体制の目的</t>
    <rPh sb="0" eb="2">
      <t>タイセイ</t>
    </rPh>
    <rPh sb="3" eb="5">
      <t>モクテキ</t>
    </rPh>
    <phoneticPr fontId="1"/>
  </si>
  <si>
    <t>データサイエンスセンター委員会は、データサイエンスに係る教育・研究活動の活性化や人材育成を目的に設立された。学生に向けた、数理・データサイエンス・ＡＩ教育プログラムの設置、改善において、教務委員会や、科目担当教員とともに内容の議論等を継続的に行う。</t>
    <rPh sb="12" eb="15">
      <t xml:space="preserve">イインカイ </t>
    </rPh>
    <rPh sb="100" eb="102">
      <t xml:space="preserve">カモク </t>
    </rPh>
    <rPh sb="102" eb="104">
      <t xml:space="preserve">タントウ </t>
    </rPh>
    <rPh sb="104" eb="106">
      <t xml:space="preserve">キョウイｎ </t>
    </rPh>
    <phoneticPr fontId="1"/>
  </si>
  <si>
    <t>③</t>
    <phoneticPr fontId="1"/>
  </si>
  <si>
    <t>具体的な構成員</t>
    <rPh sb="0" eb="3">
      <t>グタイテキ</t>
    </rPh>
    <rPh sb="4" eb="7">
      <t>コウセイイン</t>
    </rPh>
    <phoneticPr fontId="1"/>
  </si>
  <si>
    <t>データサイエンスセンター委員会
委員長
　教授　大田祥子
委員
　教授　村井保之
　講師　佐古兼一
　事務職員　吉田剛三</t>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</si>
  <si>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</si>
  <si>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</si>
  <si>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</si>
  <si>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</si>
  <si>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</si>
  <si>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</si>
  <si>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</si>
  <si>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</si>
  <si>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</si>
  <si>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</si>
  <si>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r>
      <t>・全学科・コースの学生に向けた直接的な働きかけ
入学後のガイダンスで、健康・医療データサイエンス教育プログラムの意義、重要性について説明し、履修希望調査を実施している。また、プログラムを構成する科目が実施される年次のガイダンスにおいても、継続学習を促すために再度プログラムの説明を実施する。
ガイダンス後は、MS Teams</t>
    </r>
    <r>
      <rPr>
        <vertAlign val="superscript"/>
        <sz val="12"/>
        <rFont val="ＭＳ Ｐゴシック"/>
        <family val="3"/>
        <charset val="128"/>
        <scheme val="minor"/>
      </rPr>
      <t>Ⓡ</t>
    </r>
    <r>
      <rPr>
        <sz val="12"/>
        <rFont val="ＭＳ Ｐゴシック"/>
        <family val="3"/>
        <charset val="128"/>
        <scheme val="minor"/>
      </rPr>
      <t>上で、全学科・コースの学生に向けたアナウンスによるリマインドを実施し、全学生に周知徹底している。
・情報の公開
データサイエンスセンターのウェブページ上にプログラムを公開し、履修要件、ガイダンス資料、体制などを公表している。該当のウェブページは、日本薬科大学ウェブサイトホームページからリンクされている。</t>
    </r>
    <phoneticPr fontId="1"/>
  </si>
  <si>
    <t>⑦</t>
    <phoneticPr fontId="1"/>
  </si>
  <si>
    <t>できる限り多くの学生が履修・修得できるようなサポート体制</t>
    <rPh sb="26" eb="28">
      <t>タイセイ</t>
    </rPh>
    <phoneticPr fontId="1"/>
  </si>
  <si>
    <r>
      <t>オンデマンド教材や、ライブ配信した場合の講義録画は、LMS上に置き、全学生が場所や時間、学生自身の体調等の制約を受けることなく視聴できるような環境を構築している。また、MS Teams</t>
    </r>
    <r>
      <rPr>
        <vertAlign val="superscript"/>
        <sz val="12"/>
        <rFont val="ＭＳ Ｐゴシック"/>
        <family val="3"/>
        <charset val="128"/>
      </rPr>
      <t>Ⓡ</t>
    </r>
    <r>
      <rPr>
        <sz val="12"/>
        <rFont val="ＭＳ Ｐゴシック"/>
        <family val="3"/>
        <charset val="128"/>
        <scheme val="minor"/>
      </rPr>
      <t>を活用し、適時科目担当教員へチャット等による質問ができる体制をとっている。</t>
    </r>
    <rPh sb="6" eb="8">
      <t xml:space="preserve">キョウザイ </t>
    </rPh>
    <rPh sb="13" eb="15">
      <t xml:space="preserve">ハイシｎ </t>
    </rPh>
    <rPh sb="17" eb="19">
      <t xml:space="preserve">バアイ </t>
    </rPh>
    <rPh sb="20" eb="22">
      <t xml:space="preserve">コウギ </t>
    </rPh>
    <rPh sb="22" eb="24">
      <t xml:space="preserve">ロクガ </t>
    </rPh>
    <rPh sb="29" eb="30">
      <t xml:space="preserve">ジョウ </t>
    </rPh>
    <rPh sb="31" eb="32">
      <t xml:space="preserve">オク </t>
    </rPh>
    <rPh sb="38" eb="40">
      <t xml:space="preserve">バショ </t>
    </rPh>
    <rPh sb="41" eb="43">
      <t xml:space="preserve">ジカｎ </t>
    </rPh>
    <rPh sb="44" eb="46">
      <t xml:space="preserve">ガクセイ </t>
    </rPh>
    <rPh sb="46" eb="48">
      <t xml:space="preserve">ジシｎ </t>
    </rPh>
    <rPh sb="49" eb="51">
      <t xml:space="preserve">タイチョウ </t>
    </rPh>
    <rPh sb="51" eb="52">
      <t xml:space="preserve">トウ </t>
    </rPh>
    <rPh sb="53" eb="55">
      <t xml:space="preserve">セイヤク </t>
    </rPh>
    <rPh sb="56" eb="57">
      <t xml:space="preserve">ウケル </t>
    </rPh>
    <rPh sb="70" eb="72">
      <t xml:space="preserve">カンキョウ </t>
    </rPh>
    <rPh sb="73" eb="75">
      <t xml:space="preserve">コウチク </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</si>
  <si>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</si>
  <si>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</si>
  <si>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</si>
  <si>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</si>
  <si>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</si>
  <si>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</si>
  <si>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</si>
  <si>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</si>
  <si>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</si>
  <si>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データサイエンスセンター委員会においてその都度プログラムの履修、修得状況を把握している。
具体的には、構成科目の担当教員がLMSにより出欠状況、課題等の提出状況を管理しており、データサイエンスセンター委員会が、本プログラムの対象科目の履修登録状況の確認および成績確定時に、教務課あるいは担当教員に単位の修得状況を確認することにより、状況把握が可能となる。</t>
  </si>
  <si>
    <t>学修成果</t>
    <rPh sb="0" eb="2">
      <t>ガクシュウ</t>
    </rPh>
    <rPh sb="2" eb="4">
      <t>セイカ</t>
    </rPh>
    <phoneticPr fontId="1"/>
  </si>
  <si>
    <t>教務課が作成した、科目毎の学生の成績データとその成績分布から、学生の理解度を把握できる。その結果をデータサイエンスセンター委員会が把握し、本教育プログラムの評価・改善に活用している。
また、教務課が、科目終了時に授業評価アンケートを実施しており、そのうちの「総合的に授業に満足できましたか」「説明は理解しやすかったですか」などの項目や自由記述から、授業に対する学生の満足度や理解度を把握できる。その結果をデータサイエンスセンター委員会と共有し、本教育プログラムの評価・改善に活用している。</t>
    <rPh sb="4" eb="6">
      <t>サクセイ</t>
    </rPh>
    <rPh sb="9" eb="12">
      <t xml:space="preserve">カモクゴト </t>
    </rPh>
    <rPh sb="13" eb="15">
      <t xml:space="preserve">ガクセイ </t>
    </rPh>
    <rPh sb="24" eb="26">
      <t xml:space="preserve">セイセキ </t>
    </rPh>
    <rPh sb="31" eb="33">
      <t xml:space="preserve">ガクセイ </t>
    </rPh>
    <rPh sb="34" eb="37">
      <t xml:space="preserve">リカイド </t>
    </rPh>
    <rPh sb="38" eb="40">
      <t xml:space="preserve">ハアク </t>
    </rPh>
    <rPh sb="46" eb="48">
      <t xml:space="preserve">ケッカ </t>
    </rPh>
    <rPh sb="61" eb="64">
      <t>イインカイ</t>
    </rPh>
    <rPh sb="65" eb="67">
      <t>ハアク</t>
    </rPh>
    <rPh sb="69" eb="70">
      <t>ホン</t>
    </rPh>
    <rPh sb="70" eb="72">
      <t>キョウイク</t>
    </rPh>
    <rPh sb="78" eb="80">
      <t>ヒョウカ</t>
    </rPh>
    <rPh sb="81" eb="83">
      <t>カイゼン</t>
    </rPh>
    <rPh sb="84" eb="86">
      <t>カツヨウ</t>
    </rPh>
    <rPh sb="95" eb="98">
      <t>キョウムカ</t>
    </rPh>
    <rPh sb="100" eb="102">
      <t xml:space="preserve">カモク </t>
    </rPh>
    <rPh sb="102" eb="105">
      <t xml:space="preserve">シュウリョウジ </t>
    </rPh>
    <rPh sb="106" eb="108">
      <t>ジュギョウ</t>
    </rPh>
    <rPh sb="108" eb="110">
      <t>ヒョウカ</t>
    </rPh>
    <rPh sb="116" eb="118">
      <t xml:space="preserve">ジッシ </t>
    </rPh>
    <rPh sb="129" eb="132">
      <t xml:space="preserve">ソウゴウテキ </t>
    </rPh>
    <rPh sb="133" eb="135">
      <t xml:space="preserve">ジュギョウ </t>
    </rPh>
    <rPh sb="136" eb="138">
      <t xml:space="preserve">マンゾク </t>
    </rPh>
    <rPh sb="146" eb="148">
      <t xml:space="preserve">セツメイ </t>
    </rPh>
    <rPh sb="149" eb="151">
      <t xml:space="preserve">リカイ </t>
    </rPh>
    <rPh sb="164" eb="166">
      <t xml:space="preserve">コウモク </t>
    </rPh>
    <rPh sb="167" eb="171">
      <t xml:space="preserve">ジユウキジュツ </t>
    </rPh>
    <rPh sb="174" eb="176">
      <t xml:space="preserve">ジュギョウ </t>
    </rPh>
    <rPh sb="177" eb="178">
      <t xml:space="preserve">タイスル </t>
    </rPh>
    <rPh sb="180" eb="182">
      <t xml:space="preserve">ガクセイ </t>
    </rPh>
    <rPh sb="183" eb="186">
      <t xml:space="preserve">マンゾクド </t>
    </rPh>
    <rPh sb="187" eb="190">
      <t xml:space="preserve">リカイド </t>
    </rPh>
    <rPh sb="191" eb="193">
      <t xml:space="preserve">ハアク </t>
    </rPh>
    <rPh sb="199" eb="201">
      <t>ケッカ</t>
    </rPh>
    <rPh sb="214" eb="217">
      <t>イインカイ</t>
    </rPh>
    <rPh sb="218" eb="220">
      <t>キョウユウ</t>
    </rPh>
    <rPh sb="222" eb="225">
      <t>ホンキョウイク</t>
    </rPh>
    <rPh sb="231" eb="233">
      <t>ヒョウカ</t>
    </rPh>
    <rPh sb="234" eb="236">
      <t>カイゼン</t>
    </rPh>
    <rPh sb="237" eb="239">
      <t>カツヨウ</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</si>
  <si>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</si>
  <si>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教務課が実施した、科目ごとの授業評価アンケートで、学生の理解度や科目への要望を確認した。
令和3年度に、講義が「理解できた」と回答した学生の割合は高かった。自由記述で記載された要望は、今後の授業内容で反映する。
・薬学科
情報リテラシー　93%
薬学数学   98%
・医療ビジネス薬科学科スポーツ薬学コース、栄養薬学コース
数学・統計学の基礎    100%　
コンピュータスキル      100%
・医療ビジネス薬科学科ビジネス薬学コース、情報薬学コース
情報リテラシー   　　 　　96%　        
数学・統計学の基礎 　　98%　
コンピュータスキル　 　　95%</t>
    <rPh sb="0" eb="3">
      <t xml:space="preserve">キョウムカ </t>
    </rPh>
    <rPh sb="4" eb="6">
      <t xml:space="preserve">ジッシ </t>
    </rPh>
    <rPh sb="9" eb="11">
      <t xml:space="preserve">カモクゴト </t>
    </rPh>
    <rPh sb="16" eb="18">
      <t xml:space="preserve">ヒョウカ </t>
    </rPh>
    <rPh sb="45" eb="47">
      <t xml:space="preserve">レイワ </t>
    </rPh>
    <rPh sb="52" eb="54">
      <t xml:space="preserve">コウギ </t>
    </rPh>
    <rPh sb="63" eb="65">
      <t xml:space="preserve">カイトウ </t>
    </rPh>
    <rPh sb="67" eb="69">
      <t xml:space="preserve">ガクセイ </t>
    </rPh>
    <rPh sb="70" eb="72">
      <t xml:space="preserve">ワリアイ </t>
    </rPh>
    <rPh sb="73" eb="74">
      <t xml:space="preserve">タカク </t>
    </rPh>
    <rPh sb="83" eb="85">
      <t xml:space="preserve">キサイ </t>
    </rPh>
    <rPh sb="88" eb="90">
      <t xml:space="preserve">ヨウボウ </t>
    </rPh>
    <rPh sb="92" eb="94">
      <t xml:space="preserve">コンゴ </t>
    </rPh>
    <rPh sb="97" eb="99">
      <t xml:space="preserve">ナイヨウ </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</si>
  <si>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</si>
  <si>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科目終了時の授業評価アンケートは後輩等他の学生への推奨度を確認できる内容とはなっていないため、教務課とアンケート内容を検討するかプログラム対象科目の独自のアンケートを実施するよう検討する。
また、プログラム修了後、学生へプログラム全体を評価するアンケート調査(2023年3月又は2024年3月に予定）を実施予定である。アンケート調査結果を学生のコメントやそれに対する教員のコメントなども含めてウェブページに公表することで、後輩学生への推奨に活かす。</t>
    <rPh sb="0" eb="1">
      <t xml:space="preserve">トウ </t>
    </rPh>
    <rPh sb="1" eb="3">
      <t xml:space="preserve">ダイガク </t>
    </rPh>
    <rPh sb="6" eb="8">
      <t xml:space="preserve">ニュウガク </t>
    </rPh>
    <rPh sb="8" eb="9">
      <t xml:space="preserve">マエ </t>
    </rPh>
    <rPh sb="17" eb="20">
      <t xml:space="preserve">ニュウガクゴ </t>
    </rPh>
    <rPh sb="33" eb="35">
      <t xml:space="preserve">ジッシ </t>
    </rPh>
    <rPh sb="44" eb="46">
      <t xml:space="preserve">モクテキ </t>
    </rPh>
    <rPh sb="51" eb="53">
      <t xml:space="preserve">センパイ </t>
    </rPh>
    <rPh sb="53" eb="55">
      <t xml:space="preserve">ガクセイガ </t>
    </rPh>
    <rPh sb="56" eb="59">
      <t xml:space="preserve">ソツギョウセイ </t>
    </rPh>
    <rPh sb="60" eb="62">
      <t xml:space="preserve">コウハイ </t>
    </rPh>
    <rPh sb="62" eb="64">
      <t xml:space="preserve">ガクセイ </t>
    </rPh>
    <rPh sb="65" eb="67">
      <t xml:space="preserve">コウリュウ </t>
    </rPh>
    <rPh sb="71" eb="73">
      <t xml:space="preserve">コウハイ </t>
    </rPh>
    <rPh sb="75" eb="77">
      <t xml:space="preserve">センパイ </t>
    </rPh>
    <rPh sb="78" eb="79">
      <t xml:space="preserve">タイスル </t>
    </rPh>
    <rPh sb="81" eb="83">
      <t xml:space="preserve">コウギ </t>
    </rPh>
    <rPh sb="84" eb="86">
      <t xml:space="preserve">ガクセイ </t>
    </rPh>
    <rPh sb="86" eb="88">
      <t xml:space="preserve">セイカツ </t>
    </rPh>
    <rPh sb="89" eb="91">
      <t xml:space="preserve">カンレｎ </t>
    </rPh>
    <rPh sb="93" eb="95">
      <t xml:space="preserve">シツモｎ </t>
    </rPh>
    <rPh sb="96" eb="98">
      <t xml:space="preserve">カイトウ </t>
    </rPh>
    <rPh sb="99" eb="101">
      <t xml:space="preserve">ミウケラレル </t>
    </rPh>
    <rPh sb="106" eb="108">
      <t xml:space="preserve">ケンコウ </t>
    </rPh>
    <rPh sb="109" eb="111">
      <t xml:space="preserve">イリョウ </t>
    </rPh>
    <rPh sb="125" eb="127">
      <t xml:space="preserve">リシュウ </t>
    </rPh>
    <rPh sb="127" eb="129">
      <t xml:space="preserve">キボウ </t>
    </rPh>
    <rPh sb="134" eb="135">
      <t>ネン</t>
    </rPh>
    <rPh sb="136" eb="137">
      <t>ガツヨテイ</t>
    </rPh>
    <rPh sb="137" eb="138">
      <t>マタ</t>
    </rPh>
    <rPh sb="143" eb="144">
      <t>ネン</t>
    </rPh>
    <rPh sb="145" eb="146">
      <t>ガツ</t>
    </rPh>
    <rPh sb="152" eb="154">
      <t xml:space="preserve">ニュウガク </t>
    </rPh>
    <rPh sb="154" eb="155">
      <t xml:space="preserve">ジ </t>
    </rPh>
    <rPh sb="156" eb="158">
      <t xml:space="preserve">チョウサ </t>
    </rPh>
    <rPh sb="170" eb="172">
      <t xml:space="preserve">コウリュウ </t>
    </rPh>
    <rPh sb="173" eb="175">
      <t xml:space="preserve">ジカｎ </t>
    </rPh>
    <rPh sb="176" eb="178">
      <t xml:space="preserve">カツヨウ </t>
    </rPh>
    <rPh sb="180" eb="182">
      <t xml:space="preserve">スイショウ </t>
    </rPh>
    <rPh sb="183" eb="184">
      <t xml:space="preserve">ハカル </t>
    </rPh>
    <rPh sb="195" eb="198">
      <t xml:space="preserve">シュウリョウゴ </t>
    </rPh>
    <rPh sb="199" eb="201">
      <t xml:space="preserve">ガクセイ </t>
    </rPh>
    <rPh sb="207" eb="209">
      <t xml:space="preserve">ゼンタイ </t>
    </rPh>
    <rPh sb="210" eb="212">
      <t xml:space="preserve">ヒョウカ </t>
    </rPh>
    <rPh sb="219" eb="221">
      <t xml:space="preserve">チョウサ </t>
    </rPh>
    <rPh sb="222" eb="224">
      <t xml:space="preserve">ジッシ チョウサ ケッカ ガクセイ タイスル キョウイｎ フクメテ コウヒョウ コウハイ ガクセイ スイショウ イカス ヨテイ </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</si>
  <si>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</si>
  <si>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履修者数の向上のため、複数年度にわたる履修プログラムでは、毎年度のガイダンス時およびプログラム構成科目の開始時に、説明や履修推奨のリマインドを行って、周知徹底をはかる。
また、令和3年度のプログラムは、2～3ケ年で修了するプログラムとしていたが、構成科目を修了した学生の意見も取り入れ、令和4年度からは、薬学科に向けた「データサイエンス入門」、医療ビジネス薬科学科に向けた「データサイエンス概論」を新設し、導入からデータの扱いまでを途切れることなく履修できるようにした。プログラムが整備されたことで、履修しやすさが向上し、履修率の向上につながるものと考えている。</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</si>
  <si>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</si>
  <si>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</si>
  <si>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教育プログラムは、開講後1年であるため、卒業生を出していないが、卒業後に進路や活躍状況を、就職課とともに調査する予定である。また、本学では、年1度、合同企業研究会を実施したり、実務実習やインターンシップ等の実施がある。これらで協力頂く企業などに意見の収集を行い、教育プログラムの修了者の需要、内容においての要望等を得て、カリキュラム向上を目指す。</t>
    <rPh sb="66" eb="68">
      <t>ホンガク</t>
    </rPh>
    <rPh sb="79" eb="81">
      <t>ケンキュウ</t>
    </rPh>
    <rPh sb="89" eb="91">
      <t>ジツム</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</si>
  <si>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</si>
  <si>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数理・データサイエンス・ＡＩを「学ぶ楽しさ」「学ぶことの意義」を理解させること</t>
    <phoneticPr fontId="1"/>
  </si>
  <si>
    <t>担当教員は、AIの最新知識が豊富で様々な事例の提示ができる。関連する時事やトレンドなどのうち、薬剤や医療など、本学に関連のある事例をもとにＡＩ等が社会でどのように活用をされているかを中心に示し、好奇心を促す講義内容としている。また、社会の変化によって学生達自身の将来がどのように変わりうるかなどの課題を与え、積極的に講義に参加できるようスモールグループディスカッションを取り入れ、学ぶことの楽しさや意義を理解させる工夫をしている。</t>
    <rPh sb="9" eb="11">
      <t xml:space="preserve">サイシｎ </t>
    </rPh>
    <rPh sb="11" eb="13">
      <t xml:space="preserve">チシキ </t>
    </rPh>
    <rPh sb="14" eb="16">
      <t xml:space="preserve">ホウフ </t>
    </rPh>
    <rPh sb="17" eb="18">
      <t xml:space="preserve">サマザマナ </t>
    </rPh>
    <rPh sb="20" eb="22">
      <t xml:space="preserve">ジレイ </t>
    </rPh>
    <rPh sb="23" eb="25">
      <t xml:space="preserve">テイジ </t>
    </rPh>
    <rPh sb="30" eb="32">
      <t xml:space="preserve">カンレｎ </t>
    </rPh>
    <rPh sb="34" eb="36">
      <t xml:space="preserve">ジジ </t>
    </rPh>
    <rPh sb="47" eb="49">
      <t xml:space="preserve">ヤクザイ </t>
    </rPh>
    <rPh sb="50" eb="52">
      <t xml:space="preserve">イリョウ </t>
    </rPh>
    <rPh sb="55" eb="57">
      <t>ホンガク</t>
    </rPh>
    <rPh sb="58" eb="60">
      <t xml:space="preserve">カンレｎ </t>
    </rPh>
    <rPh sb="63" eb="65">
      <t xml:space="preserve">ジレイ </t>
    </rPh>
    <rPh sb="71" eb="72">
      <t xml:space="preserve">トウ </t>
    </rPh>
    <rPh sb="73" eb="75">
      <t xml:space="preserve">シャカイ </t>
    </rPh>
    <rPh sb="81" eb="83">
      <t xml:space="preserve">カツヨウ </t>
    </rPh>
    <rPh sb="91" eb="93">
      <t xml:space="preserve">チュウシｎ </t>
    </rPh>
    <rPh sb="94" eb="95">
      <t xml:space="preserve">シメシ </t>
    </rPh>
    <rPh sb="97" eb="100">
      <t xml:space="preserve">コウキシｎ </t>
    </rPh>
    <rPh sb="101" eb="102">
      <t xml:space="preserve">ウナガス </t>
    </rPh>
    <rPh sb="103" eb="105">
      <t xml:space="preserve">コウギ </t>
    </rPh>
    <rPh sb="105" eb="107">
      <t xml:space="preserve">ナイヨウ </t>
    </rPh>
    <rPh sb="116" eb="118">
      <t xml:space="preserve">シャカイ </t>
    </rPh>
    <rPh sb="119" eb="121">
      <t xml:space="preserve">ヘンカ </t>
    </rPh>
    <rPh sb="125" eb="127">
      <t xml:space="preserve">ガクセイ </t>
    </rPh>
    <rPh sb="127" eb="128">
      <t xml:space="preserve">タチ </t>
    </rPh>
    <rPh sb="128" eb="130">
      <t xml:space="preserve">ジシｎ </t>
    </rPh>
    <rPh sb="131" eb="133">
      <t xml:space="preserve">ショウライ </t>
    </rPh>
    <rPh sb="139" eb="140">
      <t xml:space="preserve">カワリウルカ </t>
    </rPh>
    <rPh sb="148" eb="150">
      <t xml:space="preserve">カダイ </t>
    </rPh>
    <rPh sb="151" eb="152">
      <t xml:space="preserve">アタエ </t>
    </rPh>
    <rPh sb="154" eb="157">
      <t xml:space="preserve">セッキョクテキ </t>
    </rPh>
    <rPh sb="158" eb="160">
      <t xml:space="preserve">コウギ </t>
    </rPh>
    <rPh sb="161" eb="163">
      <t xml:space="preserve">サンカ </t>
    </rPh>
    <rPh sb="185" eb="186">
      <t xml:space="preserve">トリイレ </t>
    </rPh>
    <rPh sb="190" eb="191">
      <t xml:space="preserve">マナブ </t>
    </rPh>
    <rPh sb="195" eb="196">
      <t xml:space="preserve">タノシサ </t>
    </rPh>
    <rPh sb="199" eb="201">
      <t xml:space="preserve">イギ </t>
    </rPh>
    <rPh sb="207" eb="209">
      <t xml:space="preserve">クフウ リカイ </t>
    </rPh>
    <phoneticPr fontId="1"/>
  </si>
  <si>
    <t>内容・水準を維持・向上しつつ、より「分かりやすい」授業とすること</t>
    <phoneticPr fontId="1"/>
  </si>
  <si>
    <t>各科目修了後の授業評価アンケートや、本教育プログラム修了後のプログラム評価アンケートの結果を、自由記述を含めて分析し、学生のわかりやすさの観点から、講義の内容や実施方法の見直しを検討する。
また、教育プログラム全体の水準の維持・向上の評価は、自己点検・評価委員会、教務委員会、データサイエンスセンター委員会が連携して検討する。</t>
    <rPh sb="47" eb="49">
      <t xml:space="preserve">ジユウ </t>
    </rPh>
    <rPh sb="49" eb="51">
      <t xml:space="preserve">キジュツ </t>
    </rPh>
    <rPh sb="69" eb="71">
      <t xml:space="preserve">カンテｎ </t>
    </rPh>
    <rPh sb="74" eb="76">
      <t xml:space="preserve">コウギ </t>
    </rPh>
    <rPh sb="77" eb="79">
      <t xml:space="preserve">ナイヨウ </t>
    </rPh>
    <rPh sb="80" eb="82">
      <t xml:space="preserve">ジッシ </t>
    </rPh>
    <rPh sb="82" eb="84">
      <t xml:space="preserve">ホウホウ </t>
    </rPh>
    <rPh sb="85" eb="87">
      <t xml:space="preserve">ミナオシ </t>
    </rPh>
    <rPh sb="89" eb="91">
      <t xml:space="preserve">ケントウ </t>
    </rPh>
    <rPh sb="94" eb="108">
      <t xml:space="preserve">ナイヨウ </t>
    </rPh>
    <rPh sb="108" eb="109">
      <t xml:space="preserve">スイジュｎ </t>
    </rPh>
    <rPh sb="110" eb="112">
      <t xml:space="preserve">イジ </t>
    </rPh>
    <rPh sb="113" eb="115">
      <t xml:space="preserve">コウジョウ </t>
    </rPh>
    <rPh sb="116" eb="118">
      <t xml:space="preserve">ヒョウカ </t>
    </rPh>
    <rPh sb="149" eb="152">
      <t xml:space="preserve">イインカイ </t>
    </rPh>
    <rPh sb="156" eb="158">
      <t xml:space="preserve">ジッシ </t>
    </rPh>
    <rPh sb="158" eb="160">
      <t xml:space="preserve">ケントウ </t>
    </rPh>
    <phoneticPr fontId="1"/>
  </si>
  <si>
    <t>②自己点検・評価体制における意見等を公表しているアドレス</t>
    <phoneticPr fontId="1"/>
  </si>
  <si>
    <t>松田佳和</t>
    <rPh sb="0" eb="2">
      <t xml:space="preserve">マツダ </t>
    </rPh>
    <rPh sb="2" eb="4">
      <t xml:space="preserve">ヨシカズ </t>
    </rPh>
    <phoneticPr fontId="1"/>
  </si>
  <si>
    <r>
      <t>講義内容の充実について、令和3年度は、データサイエンスセンター委員会が中心となり、既存科目の精査、専門講師による講義内容の検討・追加をし、「健康・医療データサイエンス教育プログラム」を開講した。令和4年度は、低学年から体系的な学習を実現するために、薬学科に「データサイエンス入門」、医療ビジネス薬科学科に「データサイエンス概論」を開講する。
学習支援については、COVID-19のパンデミック後、大学全体としてオンライン受講に向けた基盤整備がされた。大学内のWiFiの整備、学習管理システム（以下LMS）の導入、Microsoft（以下MS） Office365</t>
    </r>
    <r>
      <rPr>
        <vertAlign val="superscript"/>
        <sz val="12"/>
        <rFont val="ＭＳ Ｐゴシック"/>
        <family val="3"/>
        <charset val="128"/>
        <scheme val="minor"/>
      </rPr>
      <t>Ⓡ</t>
    </r>
    <r>
      <rPr>
        <sz val="12"/>
        <rFont val="ＭＳ Ｐゴシック"/>
        <family val="3"/>
        <charset val="128"/>
        <scheme val="minor"/>
      </rPr>
      <t>の導入である。これにより、全学的にオンラインでライブ講義やオンデマンド講義受講が可能になった。ライブ講義の場合は、録画をLMS上に置き、講義時間外でも繰り返し自宅等で学習できる環境とした。令和4年度は、科目によって対面講義もあるが、オンラインとの同時配信を基本とし、対面で受講できない学生も学習可能とする。
学習指導や質問の受付は、MS Teams</t>
    </r>
    <r>
      <rPr>
        <vertAlign val="superscript"/>
        <sz val="12"/>
        <rFont val="ＭＳ Ｐゴシック"/>
        <family val="3"/>
        <charset val="128"/>
        <scheme val="minor"/>
      </rPr>
      <t>Ⓡ</t>
    </r>
    <r>
      <rPr>
        <sz val="12"/>
        <rFont val="ＭＳ Ｐゴシック"/>
        <family val="3"/>
        <charset val="128"/>
        <scheme val="minor"/>
      </rPr>
      <t>を活用し、チャットで科目担当教員へ直接質問が可能で、質疑応答の利便性を向上させている。</t>
    </r>
    <rPh sb="297" eb="298">
      <t xml:space="preserve">テキ </t>
    </rPh>
    <rPh sb="319" eb="321">
      <t xml:space="preserve">ジュコウ </t>
    </rPh>
    <phoneticPr fontId="1"/>
  </si>
  <si>
    <t>・学内全学科・コースの学生に向けた教育プログラム作成の体制・取組
委員会の設置により、全学科・コースの既存科目を調査、整理し、学科・コースに関係なく希望する学生が受講可能な教育プログラムを作成支援する体制が整った。委員会は、専門教員の教育コンテンツ作成にあたり、内容の充実に向けた支援も行う。これらの取組は、教務委員会と連携し実施する。
・希望学生の継続学習支援の体制・取組
ライブ配信された講義録画やオンデマンド教材はＬＭＳ上に置き、希望する学生の、時間や場所の制約のない、繰り返しかつ継続的な学習を促進している。
・データサイエンスセンター委員会　事務職員の設置
データサイエンスセンター委員会　事務職員を設置し、履修管理や履修推奨、問い合わせ先の一元化によって、本プログラムを全学的に支援・促進する。</t>
    <rPh sb="1" eb="3">
      <t xml:space="preserve">ガクナイ </t>
    </rPh>
    <rPh sb="3" eb="4">
      <t xml:space="preserve">ゼｎ </t>
    </rPh>
    <rPh sb="4" eb="6">
      <t xml:space="preserve">ガッカ </t>
    </rPh>
    <rPh sb="11" eb="13">
      <t xml:space="preserve">ガクセイ </t>
    </rPh>
    <rPh sb="14" eb="15">
      <t xml:space="preserve">ムケタ </t>
    </rPh>
    <rPh sb="17" eb="19">
      <t xml:space="preserve">キョウイク </t>
    </rPh>
    <rPh sb="24" eb="26">
      <t xml:space="preserve">サクセイ </t>
    </rPh>
    <rPh sb="27" eb="29">
      <t xml:space="preserve">タイセイ </t>
    </rPh>
    <rPh sb="30" eb="32">
      <t xml:space="preserve">トリクミ </t>
    </rPh>
    <rPh sb="33" eb="36">
      <t xml:space="preserve">イインカイ </t>
    </rPh>
    <rPh sb="37" eb="39">
      <t xml:space="preserve">セッチ </t>
    </rPh>
    <rPh sb="43" eb="44">
      <t xml:space="preserve">ゼｎ </t>
    </rPh>
    <rPh sb="44" eb="46">
      <t xml:space="preserve">ガッカ </t>
    </rPh>
    <rPh sb="51" eb="53">
      <t xml:space="preserve">キゾｎ </t>
    </rPh>
    <rPh sb="53" eb="55">
      <t xml:space="preserve">カモク </t>
    </rPh>
    <rPh sb="56" eb="58">
      <t xml:space="preserve">チョウサ </t>
    </rPh>
    <rPh sb="59" eb="61">
      <t xml:space="preserve">セイリ </t>
    </rPh>
    <rPh sb="63" eb="65">
      <t xml:space="preserve">ガッカ </t>
    </rPh>
    <rPh sb="70" eb="72">
      <t xml:space="preserve">カンケイ </t>
    </rPh>
    <rPh sb="74" eb="76">
      <t xml:space="preserve">キボウ </t>
    </rPh>
    <rPh sb="78" eb="80">
      <t xml:space="preserve">ガクセイ </t>
    </rPh>
    <rPh sb="81" eb="83">
      <t xml:space="preserve">ジュコウ </t>
    </rPh>
    <rPh sb="83" eb="85">
      <t xml:space="preserve">カノウ </t>
    </rPh>
    <rPh sb="86" eb="88">
      <t xml:space="preserve">キョウイク </t>
    </rPh>
    <rPh sb="94" eb="96">
      <t xml:space="preserve">サクセイ </t>
    </rPh>
    <rPh sb="96" eb="98">
      <t xml:space="preserve">シエｎ </t>
    </rPh>
    <rPh sb="100" eb="102">
      <t xml:space="preserve">タイセイ </t>
    </rPh>
    <rPh sb="103" eb="104">
      <t xml:space="preserve">トトノッタ </t>
    </rPh>
    <rPh sb="107" eb="110">
      <t xml:space="preserve">ホンイインカイ </t>
    </rPh>
    <rPh sb="117" eb="118">
      <t xml:space="preserve">アラタナ </t>
    </rPh>
    <rPh sb="126" eb="127">
      <t xml:space="preserve">ダイガク </t>
    </rPh>
    <rPh sb="128" eb="131">
      <t xml:space="preserve">ホウコウセイ </t>
    </rPh>
    <rPh sb="132" eb="133">
      <t xml:space="preserve">ムケタ </t>
    </rPh>
    <rPh sb="135" eb="136">
      <t xml:space="preserve">シエｎ </t>
    </rPh>
    <rPh sb="138" eb="139">
      <t xml:space="preserve">オコナウ </t>
    </rPh>
    <rPh sb="143" eb="145">
      <t xml:space="preserve">トリクミ </t>
    </rPh>
    <rPh sb="147" eb="149">
      <t xml:space="preserve">キョウム </t>
    </rPh>
    <rPh sb="149" eb="152">
      <t xml:space="preserve">イインカイ </t>
    </rPh>
    <rPh sb="153" eb="155">
      <t xml:space="preserve">レンケイヲ </t>
    </rPh>
    <rPh sb="159" eb="161">
      <t xml:space="preserve">ジッシ </t>
    </rPh>
    <rPh sb="163" eb="164">
      <t xml:space="preserve">ヒツヨウ </t>
    </rPh>
    <rPh sb="167" eb="169">
      <t xml:space="preserve">ガクセイ </t>
    </rPh>
    <rPh sb="169" eb="170">
      <t xml:space="preserve">ゼンイｎ </t>
    </rPh>
    <rPh sb="170" eb="174">
      <t xml:space="preserve">キボウガクセイ </t>
    </rPh>
    <rPh sb="175" eb="177">
      <t xml:space="preserve">ケイゾク </t>
    </rPh>
    <rPh sb="177" eb="179">
      <t xml:space="preserve">ガクシュウ </t>
    </rPh>
    <rPh sb="179" eb="181">
      <t xml:space="preserve">シエｎ </t>
    </rPh>
    <rPh sb="183" eb="184">
      <t xml:space="preserve">ホｎ </t>
    </rPh>
    <rPh sb="184" eb="185">
      <t xml:space="preserve">ガク </t>
    </rPh>
    <rPh sb="191" eb="193">
      <t xml:space="preserve">コウギ </t>
    </rPh>
    <rPh sb="193" eb="195">
      <t xml:space="preserve">ロクガ </t>
    </rPh>
    <rPh sb="202" eb="204">
      <t xml:space="preserve">キョウザイ </t>
    </rPh>
    <rPh sb="208" eb="209">
      <t xml:space="preserve">ジョウ </t>
    </rPh>
    <rPh sb="210" eb="211">
      <t xml:space="preserve">オキ </t>
    </rPh>
    <rPh sb="214" eb="215">
      <t xml:space="preserve">クリカエシ </t>
    </rPh>
    <rPh sb="218" eb="220">
      <t xml:space="preserve">キボウ </t>
    </rPh>
    <rPh sb="222" eb="224">
      <t xml:space="preserve">ガクセイ </t>
    </rPh>
    <rPh sb="226" eb="228">
      <t xml:space="preserve">ジカｎ </t>
    </rPh>
    <rPh sb="229" eb="231">
      <t xml:space="preserve">バショノ </t>
    </rPh>
    <rPh sb="232" eb="234">
      <t xml:space="preserve">セイヤｋ </t>
    </rPh>
    <rPh sb="239" eb="242">
      <t xml:space="preserve">ケイゾクテキ </t>
    </rPh>
    <rPh sb="243" eb="245">
      <t xml:space="preserve">ガクシュウ </t>
    </rPh>
    <rPh sb="246" eb="248">
      <t xml:space="preserve">ソクシｎ </t>
    </rPh>
    <rPh sb="258" eb="259">
      <t xml:space="preserve">カンリ </t>
    </rPh>
    <rPh sb="260" eb="262">
      <t xml:space="preserve">イインカイ </t>
    </rPh>
    <rPh sb="274" eb="276">
      <t xml:space="preserve">イイｎ </t>
    </rPh>
    <rPh sb="276" eb="277">
      <t xml:space="preserve">カイ </t>
    </rPh>
    <rPh sb="278" eb="282">
      <t xml:space="preserve">ジムショクイｎ </t>
    </rPh>
    <rPh sb="283" eb="285">
      <t xml:space="preserve">セッチ </t>
    </rPh>
    <rPh sb="298" eb="301">
      <t xml:space="preserve">イインカイ </t>
    </rPh>
    <rPh sb="302" eb="306">
      <t xml:space="preserve">ジムショクイｎ </t>
    </rPh>
    <rPh sb="307" eb="309">
      <t xml:space="preserve">セッチ </t>
    </rPh>
    <rPh sb="313" eb="315">
      <t xml:space="preserve">ゼンガクテキ </t>
    </rPh>
    <rPh sb="316" eb="318">
      <t xml:space="preserve">リシュウ </t>
    </rPh>
    <rPh sb="318" eb="320">
      <t xml:space="preserve">スイショウ </t>
    </rPh>
    <rPh sb="321" eb="322">
      <t xml:space="preserve">トイアワセサキ </t>
    </rPh>
    <rPh sb="328" eb="331">
      <t xml:space="preserve">イチゲンカ </t>
    </rPh>
    <rPh sb="335" eb="336">
      <t xml:space="preserve">リシュウ </t>
    </rPh>
    <rPh sb="336" eb="338">
      <t xml:space="preserve">スイショウ </t>
    </rPh>
    <rPh sb="339" eb="341">
      <t xml:space="preserve">リシュウ </t>
    </rPh>
    <rPh sb="341" eb="342">
      <t xml:space="preserve">カンリ </t>
    </rPh>
    <rPh sb="344" eb="345">
      <t xml:space="preserve">オコナイ </t>
    </rPh>
    <rPh sb="347" eb="349">
      <t xml:space="preserve">シエｎ </t>
    </rPh>
    <rPh sb="350" eb="352">
      <t xml:space="preserve">ソクシｎ </t>
    </rPh>
    <phoneticPr fontId="1"/>
  </si>
  <si>
    <r>
      <t>それぞれの対象科目において、学生の質問への対応要領をシラバスに記載し、学生対応を実施している。具体的には対面での対応のほか、MS Teams</t>
    </r>
    <r>
      <rPr>
        <vertAlign val="superscript"/>
        <sz val="12"/>
        <rFont val="ＭＳ Ｐゴシック"/>
        <family val="3"/>
        <charset val="128"/>
      </rPr>
      <t>Ⓡ</t>
    </r>
    <r>
      <rPr>
        <sz val="12"/>
        <rFont val="ＭＳ Ｐゴシック"/>
        <family val="3"/>
        <charset val="128"/>
        <scheme val="minor"/>
      </rPr>
      <t>でのチャット対応などにより授業時間外も対応している。担当教員は、個別の学生に回答をする他、科目履修者全体への回答が必要な場合は、MS Teams</t>
    </r>
    <r>
      <rPr>
        <vertAlign val="superscript"/>
        <sz val="12"/>
        <rFont val="ＭＳ Ｐゴシック"/>
        <family val="3"/>
        <charset val="128"/>
      </rPr>
      <t>Ⓡ</t>
    </r>
    <r>
      <rPr>
        <sz val="12"/>
        <rFont val="ＭＳ Ｐゴシック"/>
        <family val="3"/>
        <charset val="128"/>
        <scheme val="minor"/>
      </rPr>
      <t>等を使ってアナウンスを行う。</t>
    </r>
    <phoneticPr fontId="1"/>
  </si>
  <si>
    <t>健康・医療データサイエンス教育プログラムの構成科目担当者として、実際に企業で活躍をしている実務家教員がデータサイエンスセンター委員会とともにカリキュラム検討に加わっており、産業界からの視点を含めた講義内容になっている。
一方、データサイエンスセンター委員会委員は、企業、行政等とビッグデータを活用した課題解決に向けた共同研究なども進めている。研究には学生も参加しており、今後は、研究を推進する中で、産業界が要望する健康・医療データサイエンス教育プログラムの内容や手法に対する意見を頂くことも検討していく。</t>
    <rPh sb="0" eb="2">
      <t xml:space="preserve">ケンコウ </t>
    </rPh>
    <rPh sb="3" eb="5">
      <t xml:space="preserve">イリョウ </t>
    </rPh>
    <phoneticPr fontId="1"/>
  </si>
  <si>
    <t>薬学部医療ビジネス薬科学科</t>
    <phoneticPr fontId="1"/>
  </si>
  <si>
    <t>https://www.nichiyaku.ac.jp/course-information/datascience-center/educational-programs/
https://www.nichiyaku.ac.jp/uploads/2022/04/9922afb796d058644a4f31a02c5c3577.pdf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</si>
</sst>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name val="ＭＳ Ｐゴシック"/>
      <family val="2"/>
      <charset val="128"/>
      <scheme val="minor"/>
    </font>
    <font>
      <vertAlign val="superscript"/>
      <sz val="12"/>
      <name val="ＭＳ Ｐゴシック"/>
      <family val="3"/>
      <charset val="128"/>
    </font>
    <font>
      <sz val="12"/>
      <name val="ＭＳ Ｐゴシック"/>
      <family val="3"/>
      <charset val="128"/>
    </font>
    <font>
      <vertAlign val="superscript"/>
      <sz val="12"/>
      <name val="ＭＳ Ｐゴシック"/>
      <family val="3"/>
      <charset val="128"/>
      <scheme val="minor"/>
    </font>
    <font>
      <sz val="10"/>
      <name val="ＭＳ Ｐゴシック"/>
      <family val="3"/>
      <charset val="128"/>
      <scheme val="minor"/>
    </font>
    <font>
      <u/>
      <sz val="9"/>
      <name val="ＭＳ Ｐゴシック"/>
      <family val="3"/>
      <charset val="128"/>
      <scheme val="minor"/>
    </font>
  </fonts>
  <fills count="2">
    <fill>
      <patternFill patternType="none"/>
    </fill>
    <fill>
      <patternFill patternType="gray125"/>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top style="hair">
        <color auto="1"/>
      </top>
      <bottom style="thin">
        <color rgb="FF000000"/>
      </bottom>
      <diagonal/>
    </border>
    <border>
      <left/>
      <right/>
      <top style="hair">
        <color auto="1"/>
      </top>
      <bottom style="thin">
        <color rgb="FF000000"/>
      </bottom>
      <diagonal/>
    </border>
    <border>
      <left/>
      <right style="thin">
        <color auto="1"/>
      </right>
      <top style="hair">
        <color auto="1"/>
      </top>
      <bottom style="thin">
        <color rgb="FF000000"/>
      </bottom>
      <diagonal/>
    </border>
    <border>
      <left style="thin">
        <color indexed="64"/>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auto="1"/>
      </left>
      <right/>
      <top style="thin">
        <color rgb="FF000000"/>
      </top>
      <bottom style="hair">
        <color indexed="64"/>
      </bottom>
      <diagonal/>
    </border>
    <border>
      <left/>
      <right/>
      <top style="thin">
        <color rgb="FF000000"/>
      </top>
      <bottom style="hair">
        <color indexed="64"/>
      </bottom>
      <diagonal/>
    </border>
    <border>
      <left/>
      <right style="thin">
        <color rgb="FF000000"/>
      </right>
      <top style="thin">
        <color rgb="FF000000"/>
      </top>
      <bottom style="hair">
        <color indexed="64"/>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20" xfId="0" applyFont="1" applyBorder="1" applyAlignment="1">
      <alignment vertical="top" shrinkToFit="1"/>
    </xf>
    <xf numFmtId="0" fontId="11" fillId="0" borderId="18" xfId="0" applyFont="1" applyBorder="1" applyAlignment="1">
      <alignment vertical="top" shrinkToFit="1"/>
    </xf>
    <xf numFmtId="0" fontId="12"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3" fillId="0" borderId="23" xfId="0" applyFont="1" applyBorder="1" applyAlignment="1">
      <alignment horizontal="left" vertical="center" wrapText="1" shrinkToFit="1"/>
    </xf>
    <xf numFmtId="0" fontId="8" fillId="0" borderId="0" xfId="0" applyFont="1" applyAlignment="1">
      <alignment horizontal="right" vertical="center" shrinkToFit="1"/>
    </xf>
    <xf numFmtId="176" fontId="8" fillId="0" borderId="3" xfId="0" applyNumberFormat="1" applyFont="1" applyBorder="1" applyAlignment="1">
      <alignment vertical="center" shrinkToFit="1"/>
    </xf>
    <xf numFmtId="0" fontId="8" fillId="0" borderId="0" xfId="0" applyFont="1" applyAlignment="1">
      <alignment vertical="center" wrapText="1"/>
    </xf>
    <xf numFmtId="0" fontId="0" fillId="0" borderId="57" xfId="0" applyBorder="1" applyAlignment="1">
      <alignment vertical="center"/>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27" fillId="0" borderId="2" xfId="0" applyFont="1" applyBorder="1" applyAlignment="1">
      <alignment horizontal="center" vertical="center" wrapText="1" shrinkToFit="1"/>
    </xf>
    <xf numFmtId="0" fontId="27" fillId="0" borderId="3" xfId="0" applyFont="1" applyBorder="1" applyAlignment="1">
      <alignment horizontal="center" vertical="center" shrinkToFit="1"/>
    </xf>
    <xf numFmtId="0" fontId="27" fillId="0" borderId="4" xfId="0" applyFont="1" applyBorder="1" applyAlignment="1">
      <alignment horizontal="center" vertical="center" shrinkToFit="1"/>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9" fillId="0" borderId="0" xfId="0" applyFont="1" applyAlignment="1">
      <alignment horizontal="center" vertical="center"/>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1" fillId="0" borderId="48" xfId="0" applyFont="1" applyBorder="1" applyAlignment="1">
      <alignment vertical="center" wrapText="1"/>
    </xf>
    <xf numFmtId="0" fontId="21" fillId="0" borderId="49" xfId="0" applyFont="1" applyBorder="1" applyAlignment="1">
      <alignment vertical="center" wrapText="1"/>
    </xf>
    <xf numFmtId="0" fontId="8" fillId="0" borderId="39" xfId="0" applyFont="1" applyBorder="1" applyAlignment="1">
      <alignment horizontal="left" vertical="center" wrapText="1" shrinkToFit="1"/>
    </xf>
    <xf numFmtId="0" fontId="8" fillId="0" borderId="41"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1" fillId="0" borderId="32" xfId="0" applyFont="1" applyBorder="1" applyAlignment="1">
      <alignment vertical="center" wrapTex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9"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17" fillId="0" borderId="2" xfId="2" applyFont="1" applyFill="1" applyBorder="1" applyAlignment="1">
      <alignment vertical="center" wrapText="1" shrinkToFit="1"/>
    </xf>
    <xf numFmtId="0" fontId="8" fillId="0" borderId="4" xfId="0" applyFont="1" applyBorder="1" applyAlignment="1">
      <alignment vertical="center" shrinkToFit="1"/>
    </xf>
    <xf numFmtId="0" fontId="8" fillId="0" borderId="20" xfId="0" applyFont="1" applyBorder="1" applyAlignment="1">
      <alignment horizontal="left" vertical="center" wrapText="1" shrinkToFit="1"/>
    </xf>
    <xf numFmtId="0" fontId="8" fillId="0" borderId="39" xfId="0" applyFont="1" applyBorder="1" applyAlignment="1">
      <alignment vertical="center" wrapText="1" shrinkToFit="1"/>
    </xf>
    <xf numFmtId="0" fontId="8" fillId="0" borderId="19" xfId="0" applyFont="1" applyBorder="1" applyAlignment="1">
      <alignment vertical="center" wrapText="1"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3" fillId="0" borderId="2" xfId="2" applyFont="1" applyBorder="1" applyAlignment="1">
      <alignment vertical="center" wrapText="1"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6" xfId="0" applyFont="1" applyBorder="1" applyAlignment="1">
      <alignment vertical="center"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8" fillId="0" borderId="56" xfId="0" applyFont="1" applyBorder="1" applyAlignment="1">
      <alignment vertical="top" wrapText="1" shrinkToFit="1"/>
    </xf>
    <xf numFmtId="0" fontId="8" fillId="0" borderId="57" xfId="0" applyFont="1" applyBorder="1" applyAlignment="1">
      <alignment vertical="top" wrapText="1" shrinkToFit="1"/>
    </xf>
    <xf numFmtId="0" fontId="8" fillId="0" borderId="5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53" xfId="0" applyFont="1" applyBorder="1" applyAlignment="1">
      <alignment vertical="top" wrapText="1" shrinkToFit="1"/>
    </xf>
    <xf numFmtId="0" fontId="8" fillId="0" borderId="54" xfId="0" applyFont="1" applyBorder="1" applyAlignment="1">
      <alignment vertical="top" wrapText="1" shrinkToFit="1"/>
    </xf>
    <xf numFmtId="0" fontId="8" fillId="0" borderId="55" xfId="0" applyFont="1" applyBorder="1" applyAlignment="1">
      <alignment vertical="top" wrapText="1" shrinkToFit="1"/>
    </xf>
    <xf numFmtId="0" fontId="8" fillId="0" borderId="59" xfId="0" applyFont="1" applyBorder="1" applyAlignment="1">
      <alignment vertical="top" wrapText="1"/>
    </xf>
    <xf numFmtId="0" fontId="25" fillId="0" borderId="60" xfId="0" applyFont="1" applyBorder="1" applyAlignment="1">
      <alignment vertical="top" wrapText="1"/>
    </xf>
    <xf numFmtId="0" fontId="25" fillId="0" borderId="61" xfId="0" applyFont="1" applyBorder="1" applyAlignment="1">
      <alignment vertical="top"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8" fillId="0" borderId="2" xfId="2" applyFont="1" applyBorder="1" applyAlignment="1">
      <alignment horizontal="center" vertical="center" wrapText="1" shrinkToFit="1"/>
    </xf>
    <xf numFmtId="0" fontId="28" fillId="0" borderId="3" xfId="2" applyFont="1" applyBorder="1" applyAlignment="1">
      <alignment horizontal="center" vertical="center" shrinkToFit="1"/>
    </xf>
    <xf numFmtId="0" fontId="28"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ichiyaku.ac.jp/course-information/datascience-center/educational-program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nichiyaku.ac.jp/course-information/datascience-center/educational-programs/"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nichiyaku.ac.jp/course-information/datascience-center/educational-program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nichiyaku.ac.jp/course-information/datascience-center/educational-progra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9" zoomScaleNormal="100" zoomScaleSheetLayoutView="100" workbookViewId="0">
      <selection activeCell="F41" sqref="F41:N41"/>
    </sheetView>
  </sheetViews>
  <sheetFormatPr defaultColWidth="9" defaultRowHeight="18.75" customHeight="1" x14ac:dyDescent="0.2"/>
  <cols>
    <col min="1" max="1" width="3.33203125" style="13" customWidth="1"/>
    <col min="2" max="2" width="11.109375" style="13" customWidth="1"/>
    <col min="3" max="8" width="6.6640625" style="13" customWidth="1"/>
    <col min="9" max="9" width="3.33203125" style="13" customWidth="1"/>
    <col min="10" max="10" width="10" style="13" customWidth="1"/>
    <col min="11" max="11" width="3.33203125" style="13" customWidth="1"/>
    <col min="12" max="12" width="7.6640625" style="13" customWidth="1"/>
    <col min="13" max="13" width="3.33203125" style="13" customWidth="1"/>
    <col min="14" max="14" width="4.44140625" style="13" customWidth="1"/>
    <col min="15" max="15" width="9" style="26"/>
    <col min="16" max="16384" width="9" style="12"/>
  </cols>
  <sheetData>
    <row r="1" spans="1:15" ht="18.75" customHeight="1" x14ac:dyDescent="0.2">
      <c r="M1" s="128" t="s">
        <v>0</v>
      </c>
      <c r="N1" s="128"/>
    </row>
    <row r="2" spans="1:15" ht="18.75" customHeight="1" x14ac:dyDescent="0.2">
      <c r="A2" s="131" t="s">
        <v>1</v>
      </c>
      <c r="B2" s="131"/>
      <c r="C2" s="131"/>
      <c r="D2" s="131"/>
      <c r="E2" s="131"/>
      <c r="F2" s="131"/>
      <c r="G2" s="131"/>
      <c r="H2" s="131"/>
      <c r="I2" s="131"/>
      <c r="J2" s="131"/>
      <c r="K2" s="131"/>
      <c r="L2" s="131"/>
      <c r="M2" s="131"/>
      <c r="N2" s="131"/>
    </row>
    <row r="3" spans="1:15" ht="9" customHeight="1" x14ac:dyDescent="0.2"/>
    <row r="4" spans="1:15" ht="22.5" customHeight="1" x14ac:dyDescent="0.2">
      <c r="A4" s="13" t="s">
        <v>2</v>
      </c>
      <c r="B4" s="13" t="s">
        <v>3</v>
      </c>
      <c r="C4" s="118" t="s">
        <v>4</v>
      </c>
      <c r="D4" s="119"/>
      <c r="E4" s="119"/>
      <c r="F4" s="119"/>
      <c r="G4" s="119"/>
      <c r="H4" s="119"/>
      <c r="I4" s="119"/>
      <c r="J4" s="119"/>
      <c r="K4" s="119"/>
      <c r="L4" s="119"/>
      <c r="M4" s="119"/>
      <c r="N4" s="120"/>
      <c r="O4" s="26" t="str">
        <f>IF(C4="","入力してください","")</f>
        <v/>
      </c>
    </row>
    <row r="5" spans="1:15" ht="7.5" customHeight="1" x14ac:dyDescent="0.2">
      <c r="E5" s="14"/>
      <c r="F5" s="30"/>
      <c r="G5" s="30"/>
      <c r="H5" s="30"/>
      <c r="I5" s="30"/>
      <c r="J5" s="30"/>
      <c r="K5" s="30"/>
      <c r="L5" s="30"/>
      <c r="M5" s="30"/>
      <c r="N5" s="30"/>
    </row>
    <row r="6" spans="1:15" ht="24" customHeight="1" x14ac:dyDescent="0.2">
      <c r="A6" s="13" t="s">
        <v>5</v>
      </c>
      <c r="B6" s="13" t="s">
        <v>6</v>
      </c>
      <c r="D6" s="118" t="s">
        <v>7</v>
      </c>
      <c r="E6" s="119"/>
      <c r="F6" s="119"/>
      <c r="G6" s="119"/>
      <c r="H6" s="120"/>
      <c r="I6" s="13" t="s">
        <v>8</v>
      </c>
      <c r="J6" s="30" t="s">
        <v>9</v>
      </c>
      <c r="K6" s="118" t="s">
        <v>10</v>
      </c>
      <c r="L6" s="119"/>
      <c r="M6" s="119"/>
      <c r="N6" s="120"/>
      <c r="O6" s="26" t="str">
        <f>IF(D6="","入力してください","")</f>
        <v/>
      </c>
    </row>
    <row r="7" spans="1:15" ht="7.5" customHeight="1" x14ac:dyDescent="0.2">
      <c r="E7" s="14"/>
      <c r="F7" s="30"/>
      <c r="G7" s="30"/>
      <c r="H7" s="30"/>
      <c r="I7" s="30"/>
      <c r="J7" s="30"/>
      <c r="K7" s="30"/>
      <c r="L7" s="30"/>
      <c r="M7" s="30"/>
      <c r="N7" s="30"/>
    </row>
    <row r="8" spans="1:15" ht="24" customHeight="1" x14ac:dyDescent="0.2">
      <c r="A8" s="13" t="s">
        <v>11</v>
      </c>
      <c r="B8" s="13" t="s">
        <v>12</v>
      </c>
      <c r="C8" s="118" t="s">
        <v>13</v>
      </c>
      <c r="D8" s="119"/>
      <c r="E8" s="119"/>
      <c r="F8" s="119"/>
      <c r="G8" s="119"/>
      <c r="H8" s="119"/>
      <c r="I8" s="119"/>
      <c r="J8" s="119"/>
      <c r="K8" s="119"/>
      <c r="L8" s="119"/>
      <c r="M8" s="119"/>
      <c r="N8" s="120"/>
      <c r="O8" s="26" t="str">
        <f>IF(C8="","入力してください","")</f>
        <v/>
      </c>
    </row>
    <row r="9" spans="1:15" ht="7.5" customHeight="1" x14ac:dyDescent="0.2">
      <c r="E9" s="14"/>
      <c r="F9" s="30"/>
      <c r="G9" s="30"/>
      <c r="H9" s="30"/>
      <c r="I9" s="30"/>
      <c r="J9" s="30"/>
      <c r="K9" s="30"/>
      <c r="L9" s="30"/>
      <c r="M9" s="30"/>
      <c r="N9" s="30"/>
    </row>
    <row r="10" spans="1:15" ht="24" customHeight="1" x14ac:dyDescent="0.2">
      <c r="A10" s="13" t="s">
        <v>14</v>
      </c>
      <c r="B10" s="13" t="s">
        <v>15</v>
      </c>
      <c r="E10" s="118" t="s">
        <v>16</v>
      </c>
      <c r="F10" s="119"/>
      <c r="G10" s="119"/>
      <c r="H10" s="119"/>
      <c r="I10" s="119"/>
      <c r="J10" s="119"/>
      <c r="K10" s="119"/>
      <c r="L10" s="119"/>
      <c r="M10" s="119"/>
      <c r="N10" s="120"/>
      <c r="O10" s="26" t="str">
        <f>IF(E10="","入力してください","")</f>
        <v/>
      </c>
    </row>
    <row r="11" spans="1:15" ht="7.5" customHeight="1" x14ac:dyDescent="0.2">
      <c r="B11" s="14"/>
      <c r="C11" s="14"/>
      <c r="D11" s="14"/>
      <c r="E11" s="14"/>
      <c r="F11" s="30"/>
      <c r="G11" s="30"/>
      <c r="H11" s="30"/>
      <c r="I11" s="30"/>
      <c r="J11" s="30"/>
      <c r="K11" s="30"/>
      <c r="L11" s="30"/>
      <c r="M11" s="30"/>
      <c r="N11" s="30"/>
    </row>
    <row r="12" spans="1:15" ht="24" customHeight="1" x14ac:dyDescent="0.2">
      <c r="A12" s="13" t="s">
        <v>17</v>
      </c>
      <c r="B12" s="14" t="s">
        <v>18</v>
      </c>
      <c r="C12" s="14"/>
      <c r="D12" s="14"/>
      <c r="E12" s="132" t="s">
        <v>19</v>
      </c>
      <c r="F12" s="133"/>
      <c r="G12" s="13" t="s">
        <v>20</v>
      </c>
      <c r="H12" s="13" t="s">
        <v>21</v>
      </c>
      <c r="N12" s="104" t="s">
        <v>22</v>
      </c>
      <c r="O12" s="26" t="str">
        <f>IF(E12="","入力してください","")</f>
        <v/>
      </c>
    </row>
    <row r="13" spans="1:15" ht="7.5" customHeight="1" x14ac:dyDescent="0.2">
      <c r="B13" s="14"/>
      <c r="C13" s="14"/>
      <c r="D13" s="14"/>
      <c r="E13" s="14"/>
      <c r="F13" s="30"/>
      <c r="G13" s="30"/>
      <c r="H13" s="30"/>
      <c r="I13" s="30"/>
      <c r="J13" s="30"/>
      <c r="K13" s="30"/>
      <c r="L13" s="30"/>
      <c r="M13" s="30"/>
      <c r="N13" s="30"/>
    </row>
    <row r="14" spans="1:15" ht="24" customHeight="1" x14ac:dyDescent="0.2">
      <c r="A14" s="13" t="s">
        <v>23</v>
      </c>
      <c r="B14" s="13" t="s">
        <v>24</v>
      </c>
      <c r="C14" s="128" t="s">
        <v>25</v>
      </c>
      <c r="D14" s="129"/>
      <c r="E14" s="121">
        <v>71</v>
      </c>
      <c r="F14" s="122"/>
      <c r="G14" s="15" t="s">
        <v>26</v>
      </c>
      <c r="I14" s="128" t="s">
        <v>27</v>
      </c>
      <c r="J14" s="129"/>
      <c r="K14" s="121">
        <v>63</v>
      </c>
      <c r="L14" s="130"/>
      <c r="M14" s="122"/>
      <c r="N14" s="16" t="s">
        <v>26</v>
      </c>
      <c r="O14" s="26" t="str">
        <f>IF(OR(E14="",K14=""),"入力してください","")</f>
        <v/>
      </c>
    </row>
    <row r="15" spans="1:15" ht="7.5" customHeight="1" x14ac:dyDescent="0.2">
      <c r="M15" s="16"/>
      <c r="N15" s="16"/>
    </row>
    <row r="16" spans="1:15" ht="24" customHeight="1" x14ac:dyDescent="0.2">
      <c r="A16" s="13" t="s">
        <v>28</v>
      </c>
      <c r="B16" s="13" t="s">
        <v>29</v>
      </c>
      <c r="K16" s="132">
        <v>8</v>
      </c>
      <c r="L16" s="137"/>
      <c r="M16" s="133"/>
      <c r="N16" s="16" t="s">
        <v>26</v>
      </c>
      <c r="O16" s="26" t="str">
        <f>IF(K16="","入力してください","")</f>
        <v/>
      </c>
    </row>
    <row r="17" spans="1:15" ht="7.5" customHeight="1" x14ac:dyDescent="0.2">
      <c r="M17" s="16"/>
      <c r="N17" s="16"/>
    </row>
    <row r="18" spans="1:15" ht="24" customHeight="1" x14ac:dyDescent="0.2">
      <c r="A18" s="13" t="s">
        <v>30</v>
      </c>
      <c r="B18" s="13" t="s">
        <v>31</v>
      </c>
      <c r="E18" s="121">
        <v>360</v>
      </c>
      <c r="F18" s="122"/>
      <c r="G18" s="17" t="s">
        <v>32</v>
      </c>
      <c r="K18" s="141"/>
      <c r="L18" s="141"/>
      <c r="M18" s="141"/>
      <c r="N18" s="141"/>
      <c r="O18" s="26" t="str">
        <f>IF(E18="","入力してください","")</f>
        <v/>
      </c>
    </row>
    <row r="19" spans="1:15" ht="7.5" customHeight="1" x14ac:dyDescent="0.2">
      <c r="E19" s="10"/>
      <c r="L19" s="24"/>
      <c r="M19" s="24"/>
      <c r="N19" s="16"/>
    </row>
    <row r="20" spans="1:15" ht="24" customHeight="1" x14ac:dyDescent="0.2">
      <c r="A20" s="13" t="s">
        <v>33</v>
      </c>
      <c r="B20" s="13" t="s">
        <v>34</v>
      </c>
      <c r="E20" s="10"/>
      <c r="H20" s="13" t="s">
        <v>35</v>
      </c>
      <c r="J20" s="138">
        <v>1544</v>
      </c>
      <c r="K20" s="139"/>
      <c r="L20" s="140"/>
      <c r="M20" s="24" t="s">
        <v>26</v>
      </c>
      <c r="N20" s="16"/>
      <c r="O20" s="26" t="str">
        <f>IF(J20="","入力してください","")</f>
        <v/>
      </c>
    </row>
    <row r="21" spans="1:15" ht="7.5" customHeight="1" x14ac:dyDescent="0.2">
      <c r="E21" s="10"/>
      <c r="L21" s="24"/>
      <c r="M21" s="24"/>
      <c r="N21" s="16"/>
    </row>
    <row r="22" spans="1:15" ht="24" customHeight="1" x14ac:dyDescent="0.2">
      <c r="B22" s="24" t="s">
        <v>36</v>
      </c>
      <c r="C22" s="121">
        <v>238</v>
      </c>
      <c r="D22" s="122"/>
      <c r="E22" s="10" t="s">
        <v>26</v>
      </c>
      <c r="G22" s="117" t="s">
        <v>37</v>
      </c>
      <c r="H22" s="117"/>
      <c r="I22" s="121">
        <v>369</v>
      </c>
      <c r="J22" s="122"/>
      <c r="K22" s="13" t="s">
        <v>26</v>
      </c>
      <c r="M22" s="24"/>
      <c r="N22" s="16"/>
    </row>
    <row r="23" spans="1:15" ht="7.5" customHeight="1" x14ac:dyDescent="0.2">
      <c r="B23" s="24"/>
      <c r="C23" s="111"/>
      <c r="D23" s="111"/>
      <c r="E23" s="10"/>
      <c r="G23" s="24"/>
      <c r="H23" s="24"/>
      <c r="I23" s="111"/>
      <c r="J23" s="111"/>
      <c r="M23" s="24"/>
      <c r="N23" s="16"/>
    </row>
    <row r="24" spans="1:15" ht="24" customHeight="1" x14ac:dyDescent="0.2">
      <c r="B24" s="24" t="s">
        <v>38</v>
      </c>
      <c r="C24" s="121">
        <v>283</v>
      </c>
      <c r="D24" s="122"/>
      <c r="E24" s="10" t="s">
        <v>26</v>
      </c>
      <c r="G24" s="117" t="s">
        <v>39</v>
      </c>
      <c r="H24" s="117"/>
      <c r="I24" s="121">
        <v>302</v>
      </c>
      <c r="J24" s="122"/>
      <c r="K24" s="13" t="s">
        <v>26</v>
      </c>
      <c r="M24" s="24"/>
      <c r="N24" s="16"/>
    </row>
    <row r="25" spans="1:15" ht="7.5" customHeight="1" x14ac:dyDescent="0.2">
      <c r="B25" s="24"/>
      <c r="C25" s="111"/>
      <c r="D25" s="111"/>
      <c r="E25" s="10"/>
      <c r="G25" s="24"/>
      <c r="H25" s="24"/>
      <c r="I25" s="111"/>
      <c r="J25" s="111"/>
      <c r="M25" s="24"/>
      <c r="N25" s="16"/>
    </row>
    <row r="26" spans="1:15" ht="24" customHeight="1" x14ac:dyDescent="0.2">
      <c r="B26" s="24" t="s">
        <v>40</v>
      </c>
      <c r="C26" s="121">
        <v>146</v>
      </c>
      <c r="D26" s="122"/>
      <c r="E26" s="10" t="s">
        <v>26</v>
      </c>
      <c r="G26" s="117" t="s">
        <v>41</v>
      </c>
      <c r="H26" s="117"/>
      <c r="I26" s="121">
        <v>206</v>
      </c>
      <c r="J26" s="122"/>
      <c r="K26" s="13" t="s">
        <v>26</v>
      </c>
      <c r="M26" s="24"/>
      <c r="N26" s="16"/>
    </row>
    <row r="27" spans="1:15" ht="7.5" customHeight="1" x14ac:dyDescent="0.2">
      <c r="M27" s="18"/>
      <c r="N27" s="18"/>
    </row>
    <row r="28" spans="1:15" ht="24" customHeight="1" x14ac:dyDescent="0.2">
      <c r="A28" s="13" t="s">
        <v>42</v>
      </c>
      <c r="B28" s="13" t="s">
        <v>43</v>
      </c>
      <c r="G28" s="30"/>
      <c r="H28" s="30"/>
      <c r="I28" s="30"/>
      <c r="J28" s="19"/>
      <c r="K28" s="19"/>
      <c r="L28" s="19"/>
      <c r="M28" s="19"/>
      <c r="N28" s="19"/>
    </row>
    <row r="29" spans="1:15" s="13" customFormat="1" ht="24" customHeight="1" x14ac:dyDescent="0.2">
      <c r="B29" s="125" t="s">
        <v>44</v>
      </c>
      <c r="C29" s="125"/>
      <c r="D29" s="118" t="s">
        <v>236</v>
      </c>
      <c r="E29" s="119"/>
      <c r="F29" s="119"/>
      <c r="G29" s="126" t="s">
        <v>45</v>
      </c>
      <c r="H29" s="125"/>
      <c r="I29" s="127"/>
      <c r="J29" s="118" t="s">
        <v>46</v>
      </c>
      <c r="K29" s="119"/>
      <c r="L29" s="119"/>
      <c r="M29" s="119"/>
      <c r="N29" s="120"/>
      <c r="O29" s="26" t="str">
        <f>IF(OR(D29="",J29=""),"入力してください","")</f>
        <v/>
      </c>
    </row>
    <row r="30" spans="1:15" ht="7.5" customHeight="1" x14ac:dyDescent="0.2">
      <c r="M30" s="18"/>
      <c r="N30" s="18"/>
    </row>
    <row r="31" spans="1:15" ht="24" customHeight="1" x14ac:dyDescent="0.2">
      <c r="A31" s="13" t="s">
        <v>47</v>
      </c>
      <c r="B31" s="13" t="s">
        <v>48</v>
      </c>
      <c r="G31" s="19"/>
      <c r="H31" s="19"/>
      <c r="I31" s="19"/>
      <c r="J31" s="19"/>
      <c r="K31" s="19"/>
      <c r="L31" s="19"/>
      <c r="M31" s="19"/>
      <c r="N31" s="19"/>
    </row>
    <row r="32" spans="1:15" ht="24" customHeight="1" x14ac:dyDescent="0.2">
      <c r="B32" s="118" t="s">
        <v>49</v>
      </c>
      <c r="C32" s="119"/>
      <c r="D32" s="119"/>
      <c r="E32" s="119"/>
      <c r="F32" s="119"/>
      <c r="G32" s="119"/>
      <c r="H32" s="119"/>
      <c r="I32" s="119"/>
      <c r="J32" s="119"/>
      <c r="K32" s="119"/>
      <c r="L32" s="119"/>
      <c r="M32" s="119"/>
      <c r="N32" s="120"/>
      <c r="O32" s="26" t="str">
        <f>IF(B32="","入力してください","")</f>
        <v/>
      </c>
    </row>
    <row r="33" spans="1:15" ht="7.5" customHeight="1" x14ac:dyDescent="0.2">
      <c r="B33" s="11"/>
      <c r="C33" s="11"/>
      <c r="D33" s="11"/>
      <c r="E33" s="11"/>
      <c r="F33" s="11"/>
      <c r="G33" s="11"/>
      <c r="H33" s="11"/>
      <c r="I33" s="11"/>
      <c r="J33" s="11"/>
      <c r="K33" s="11"/>
      <c r="L33" s="11"/>
      <c r="M33" s="11"/>
      <c r="N33" s="11"/>
    </row>
    <row r="34" spans="1:15" s="13" customFormat="1" ht="24" customHeight="1" x14ac:dyDescent="0.2">
      <c r="B34" s="125" t="s">
        <v>44</v>
      </c>
      <c r="C34" s="125"/>
      <c r="D34" s="118" t="s">
        <v>50</v>
      </c>
      <c r="E34" s="119"/>
      <c r="F34" s="119"/>
      <c r="G34" s="126" t="s">
        <v>45</v>
      </c>
      <c r="H34" s="125"/>
      <c r="I34" s="127"/>
      <c r="J34" s="118" t="s">
        <v>51</v>
      </c>
      <c r="K34" s="119"/>
      <c r="L34" s="119"/>
      <c r="M34" s="119"/>
      <c r="N34" s="120"/>
      <c r="O34" s="26" t="str">
        <f>IF(OR(D34="",J34=""),"入力してください","")</f>
        <v/>
      </c>
    </row>
    <row r="35" spans="1:15" ht="7.5" customHeight="1" x14ac:dyDescent="0.2">
      <c r="F35" s="30"/>
      <c r="G35" s="30"/>
      <c r="H35" s="30"/>
      <c r="I35" s="30"/>
      <c r="J35" s="30"/>
      <c r="K35" s="30"/>
      <c r="L35" s="30"/>
      <c r="M35" s="30"/>
      <c r="N35" s="30"/>
    </row>
    <row r="36" spans="1:15" ht="24" customHeight="1" x14ac:dyDescent="0.2">
      <c r="A36" s="13" t="s">
        <v>52</v>
      </c>
      <c r="B36" s="13" t="s">
        <v>53</v>
      </c>
      <c r="M36" s="18"/>
      <c r="N36" s="18"/>
    </row>
    <row r="37" spans="1:15" ht="24" customHeight="1" x14ac:dyDescent="0.2">
      <c r="B37" s="118" t="s">
        <v>54</v>
      </c>
      <c r="C37" s="119"/>
      <c r="D37" s="119"/>
      <c r="E37" s="119"/>
      <c r="F37" s="119"/>
      <c r="G37" s="119"/>
      <c r="H37" s="119"/>
      <c r="I37" s="119"/>
      <c r="J37" s="119"/>
      <c r="K37" s="119"/>
      <c r="L37" s="119"/>
      <c r="M37" s="119"/>
      <c r="N37" s="120"/>
      <c r="O37" s="26" t="str">
        <f>IF(B37="","入力してください","")</f>
        <v/>
      </c>
    </row>
    <row r="38" spans="1:15" ht="7.5" customHeight="1" x14ac:dyDescent="0.2">
      <c r="F38" s="30"/>
      <c r="G38" s="30"/>
      <c r="H38" s="30"/>
      <c r="I38" s="30"/>
      <c r="J38" s="30"/>
      <c r="K38" s="30"/>
      <c r="L38" s="30"/>
      <c r="M38" s="30"/>
      <c r="N38" s="30"/>
    </row>
    <row r="39" spans="1:15" s="13" customFormat="1" ht="31.95" customHeight="1" x14ac:dyDescent="0.2">
      <c r="B39" s="125" t="s">
        <v>44</v>
      </c>
      <c r="C39" s="125"/>
      <c r="D39" s="118" t="s">
        <v>55</v>
      </c>
      <c r="E39" s="119"/>
      <c r="F39" s="119"/>
      <c r="G39" s="126" t="s">
        <v>45</v>
      </c>
      <c r="H39" s="125"/>
      <c r="I39" s="127"/>
      <c r="J39" s="134" t="s">
        <v>56</v>
      </c>
      <c r="K39" s="135"/>
      <c r="L39" s="135"/>
      <c r="M39" s="135"/>
      <c r="N39" s="136"/>
      <c r="O39" s="26" t="str">
        <f>IF(OR(D39="",J39=""),"入力してください","")</f>
        <v/>
      </c>
    </row>
    <row r="40" spans="1:15" s="13" customFormat="1" ht="8.25" customHeight="1" x14ac:dyDescent="0.2">
      <c r="B40" s="110"/>
      <c r="C40" s="110"/>
      <c r="D40" s="11"/>
      <c r="E40" s="11"/>
      <c r="F40" s="11"/>
      <c r="G40" s="110"/>
      <c r="H40" s="110"/>
      <c r="I40" s="110"/>
      <c r="J40" s="11"/>
      <c r="K40" s="11"/>
      <c r="L40" s="11"/>
      <c r="M40" s="11"/>
      <c r="N40" s="11"/>
      <c r="O40" s="26"/>
    </row>
    <row r="41" spans="1:15" ht="24" customHeight="1" x14ac:dyDescent="0.2">
      <c r="A41" s="13" t="s">
        <v>57</v>
      </c>
      <c r="B41" s="13" t="s">
        <v>58</v>
      </c>
      <c r="E41" s="65"/>
      <c r="F41" s="118" t="s">
        <v>59</v>
      </c>
      <c r="G41" s="119"/>
      <c r="H41" s="119"/>
      <c r="I41" s="119"/>
      <c r="J41" s="119"/>
      <c r="K41" s="119"/>
      <c r="L41" s="119"/>
      <c r="M41" s="119"/>
      <c r="N41" s="120"/>
      <c r="O41" s="26" t="str">
        <f>IF(F41="","入力してください","")</f>
        <v/>
      </c>
    </row>
    <row r="42" spans="1:15" ht="7.5" customHeight="1" x14ac:dyDescent="0.2">
      <c r="F42" s="30"/>
      <c r="G42" s="30"/>
      <c r="H42" s="30"/>
      <c r="I42" s="30"/>
      <c r="J42" s="30"/>
      <c r="K42" s="30"/>
      <c r="L42" s="30"/>
      <c r="M42" s="30"/>
      <c r="N42" s="30"/>
    </row>
    <row r="43" spans="1:15" ht="16.5" customHeight="1" x14ac:dyDescent="0.2">
      <c r="A43" s="13" t="s">
        <v>60</v>
      </c>
    </row>
    <row r="44" spans="1:15" ht="19.5" customHeight="1" x14ac:dyDescent="0.2">
      <c r="B44" s="25" t="s">
        <v>61</v>
      </c>
      <c r="C44" s="123" t="s">
        <v>62</v>
      </c>
      <c r="D44" s="124"/>
      <c r="E44" s="124"/>
      <c r="F44" s="124"/>
      <c r="G44" s="124"/>
      <c r="H44" s="124"/>
      <c r="I44" s="21" t="s">
        <v>63</v>
      </c>
      <c r="J44" s="22"/>
      <c r="K44" s="118" t="s">
        <v>64</v>
      </c>
      <c r="L44" s="119"/>
      <c r="M44" s="119"/>
      <c r="N44" s="120"/>
      <c r="O44" s="26" t="str">
        <f>IF(OR(C44="",K44=""),"入力してください","")</f>
        <v/>
      </c>
    </row>
    <row r="45" spans="1:15" ht="19.5" customHeight="1" x14ac:dyDescent="0.2">
      <c r="B45" s="20" t="s">
        <v>65</v>
      </c>
      <c r="C45" s="113" t="s">
        <v>66</v>
      </c>
      <c r="D45" s="113"/>
      <c r="E45" s="113"/>
      <c r="F45" s="113"/>
      <c r="G45" s="113"/>
      <c r="H45" s="113"/>
      <c r="I45" s="21" t="s">
        <v>67</v>
      </c>
      <c r="J45" s="22"/>
      <c r="K45" s="114" t="s">
        <v>68</v>
      </c>
      <c r="L45" s="115"/>
      <c r="M45" s="115"/>
      <c r="N45" s="116"/>
      <c r="O45" s="26"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 xr:uid="{9EE188D0-CEFE-4254-822B-1CEC04E1833C}">
      <formula1>"認定教育プログラム,認定教育プログラムと認定教育プログラム+（プラス）"</formula1>
    </dataValidation>
  </dataValidations>
  <printOptions horizontalCentered="1"/>
  <pageMargins left="0.78740157480314998" right="0.78740157480314998" top="0.78740157480314998" bottom="0.39370078740157499" header="0.31496062992126" footer="0.31496062992126"/>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50D38-5D57-4549-89AF-8EC5FEF5D002}">
  <dimension ref="A1:Z98"/>
  <sheetViews>
    <sheetView showZeros="0" view="pageBreakPreview" topLeftCell="A94" zoomScaleNormal="100" zoomScaleSheetLayoutView="100" workbookViewId="0">
      <selection activeCell="D90" sqref="D90:Z90"/>
    </sheetView>
  </sheetViews>
  <sheetFormatPr defaultColWidth="9" defaultRowHeight="18.75" customHeight="1" x14ac:dyDescent="0.2"/>
  <cols>
    <col min="1" max="1" width="2.44140625" style="12" customWidth="1"/>
    <col min="2" max="2" width="27.6640625" style="12" customWidth="1"/>
    <col min="3" max="13" width="3.33203125" style="12" customWidth="1"/>
    <col min="14" max="14" width="8.77734375" style="12" customWidth="1"/>
    <col min="15" max="15" width="18.77734375" style="12" customWidth="1"/>
    <col min="16" max="19" width="3.33203125" style="12" customWidth="1"/>
    <col min="20" max="20" width="3.44140625" style="12" customWidth="1"/>
    <col min="21" max="26" width="3.33203125" style="12" customWidth="1"/>
    <col min="27" max="16384" width="9" style="12"/>
  </cols>
  <sheetData>
    <row r="1" spans="1:26" ht="15" customHeight="1" x14ac:dyDescent="0.2">
      <c r="W1" s="160" t="s">
        <v>69</v>
      </c>
      <c r="X1" s="160"/>
      <c r="Y1" s="160"/>
      <c r="Z1" s="160"/>
    </row>
    <row r="2" spans="1:26" ht="18" customHeight="1" x14ac:dyDescent="0.2">
      <c r="A2" s="161" t="s">
        <v>70</v>
      </c>
      <c r="B2" s="161"/>
      <c r="C2" s="161"/>
      <c r="D2" s="161"/>
      <c r="E2" s="161"/>
      <c r="F2" s="161"/>
      <c r="G2" s="161"/>
      <c r="H2" s="161"/>
      <c r="I2" s="161"/>
      <c r="J2" s="161"/>
      <c r="K2" s="161"/>
      <c r="L2" s="161"/>
      <c r="M2" s="161"/>
      <c r="N2" s="161"/>
      <c r="O2" s="161"/>
      <c r="P2" s="161"/>
      <c r="Q2" s="161"/>
      <c r="R2" s="161"/>
      <c r="S2" s="161"/>
      <c r="T2" s="161"/>
      <c r="U2" s="161"/>
      <c r="V2" s="161"/>
      <c r="W2" s="161"/>
      <c r="X2" s="161"/>
      <c r="Y2" s="161"/>
      <c r="Z2" s="161"/>
    </row>
    <row r="3" spans="1:26" ht="15" customHeight="1" x14ac:dyDescent="0.2">
      <c r="B3" s="24"/>
      <c r="C3" s="24"/>
      <c r="D3" s="24"/>
      <c r="E3" s="24"/>
      <c r="F3" s="24"/>
      <c r="G3" s="24"/>
      <c r="H3" s="24"/>
      <c r="I3" s="24"/>
      <c r="J3" s="24"/>
      <c r="K3" s="24"/>
      <c r="L3" s="24"/>
      <c r="M3" s="24"/>
      <c r="N3" s="24"/>
      <c r="O3" s="24"/>
      <c r="P3" s="24"/>
      <c r="Q3" s="24"/>
      <c r="R3" s="24"/>
      <c r="S3" s="24"/>
      <c r="T3" s="24"/>
      <c r="U3" s="24"/>
      <c r="V3" s="24"/>
      <c r="W3" s="24"/>
      <c r="X3" s="24"/>
      <c r="Y3" s="24"/>
      <c r="Z3" s="24"/>
    </row>
    <row r="4" spans="1:26" ht="18" customHeight="1" x14ac:dyDescent="0.2">
      <c r="A4" s="12" t="s">
        <v>71</v>
      </c>
      <c r="B4" s="24"/>
      <c r="C4" s="24"/>
      <c r="D4" s="24"/>
      <c r="E4" s="24"/>
      <c r="F4" s="24"/>
      <c r="G4" s="24"/>
      <c r="H4" s="13" t="s">
        <v>72</v>
      </c>
      <c r="I4" s="24"/>
      <c r="J4" s="24"/>
      <c r="K4" s="24"/>
      <c r="L4" s="24"/>
      <c r="M4" s="24"/>
      <c r="N4" s="24"/>
      <c r="O4" s="132" t="s">
        <v>73</v>
      </c>
      <c r="P4" s="137"/>
      <c r="Q4" s="137"/>
      <c r="R4" s="137"/>
      <c r="S4" s="137"/>
      <c r="T4" s="137"/>
      <c r="U4" s="137"/>
      <c r="V4" s="137"/>
      <c r="W4" s="137"/>
      <c r="X4" s="137"/>
      <c r="Y4" s="137"/>
      <c r="Z4" s="133"/>
    </row>
    <row r="5" spans="1:26" ht="6" customHeight="1" x14ac:dyDescent="0.2">
      <c r="B5" s="24"/>
      <c r="C5" s="24"/>
      <c r="D5" s="24"/>
      <c r="E5" s="24"/>
      <c r="F5" s="24"/>
      <c r="G5" s="24"/>
      <c r="H5" s="24"/>
      <c r="I5" s="24"/>
      <c r="J5" s="24"/>
      <c r="K5" s="24"/>
      <c r="L5" s="24"/>
      <c r="M5" s="24"/>
      <c r="N5" s="24"/>
      <c r="O5" s="14"/>
      <c r="P5" s="24"/>
      <c r="Q5" s="24"/>
      <c r="R5" s="24"/>
      <c r="S5" s="24"/>
      <c r="T5" s="24"/>
      <c r="U5" s="24"/>
      <c r="V5" s="24"/>
      <c r="W5" s="24"/>
      <c r="X5" s="24"/>
      <c r="Y5" s="24"/>
      <c r="Z5" s="24"/>
    </row>
    <row r="6" spans="1:26" ht="18" customHeight="1" x14ac:dyDescent="0.2">
      <c r="B6" s="162" t="s">
        <v>74</v>
      </c>
      <c r="C6" s="163"/>
      <c r="D6" s="163"/>
      <c r="E6" s="163"/>
      <c r="F6" s="163"/>
      <c r="G6" s="163"/>
      <c r="H6" s="163"/>
      <c r="I6" s="163"/>
      <c r="J6" s="163"/>
      <c r="K6" s="163"/>
      <c r="L6" s="163"/>
      <c r="M6" s="163"/>
      <c r="N6" s="163"/>
      <c r="O6" s="163"/>
      <c r="P6" s="163"/>
      <c r="Q6" s="163"/>
      <c r="R6" s="163"/>
      <c r="S6" s="163"/>
      <c r="T6" s="163"/>
      <c r="U6" s="163"/>
      <c r="V6" s="163"/>
      <c r="W6" s="163"/>
      <c r="X6" s="163"/>
      <c r="Y6" s="163"/>
      <c r="Z6" s="164"/>
    </row>
    <row r="7" spans="1:26" ht="18" customHeight="1" x14ac:dyDescent="0.2">
      <c r="B7" s="165"/>
      <c r="C7" s="166"/>
      <c r="D7" s="166"/>
      <c r="E7" s="166"/>
      <c r="F7" s="166"/>
      <c r="G7" s="166"/>
      <c r="H7" s="166"/>
      <c r="I7" s="166"/>
      <c r="J7" s="166"/>
      <c r="K7" s="166"/>
      <c r="L7" s="166"/>
      <c r="M7" s="166"/>
      <c r="N7" s="166"/>
      <c r="O7" s="166"/>
      <c r="P7" s="166"/>
      <c r="Q7" s="166"/>
      <c r="R7" s="166"/>
      <c r="S7" s="166"/>
      <c r="T7" s="166"/>
      <c r="U7" s="166"/>
      <c r="V7" s="166"/>
      <c r="W7" s="166"/>
      <c r="X7" s="166"/>
      <c r="Y7" s="166"/>
      <c r="Z7" s="167"/>
    </row>
    <row r="8" spans="1:26" ht="18" customHeight="1" x14ac:dyDescent="0.2">
      <c r="B8" s="165"/>
      <c r="C8" s="166"/>
      <c r="D8" s="166"/>
      <c r="E8" s="166"/>
      <c r="F8" s="166"/>
      <c r="G8" s="166"/>
      <c r="H8" s="166"/>
      <c r="I8" s="166"/>
      <c r="J8" s="166"/>
      <c r="K8" s="166"/>
      <c r="L8" s="166"/>
      <c r="M8" s="166"/>
      <c r="N8" s="166"/>
      <c r="O8" s="166"/>
      <c r="P8" s="166"/>
      <c r="Q8" s="166"/>
      <c r="R8" s="166"/>
      <c r="S8" s="166"/>
      <c r="T8" s="166"/>
      <c r="U8" s="166"/>
      <c r="V8" s="166"/>
      <c r="W8" s="166"/>
      <c r="X8" s="166"/>
      <c r="Y8" s="166"/>
      <c r="Z8" s="167"/>
    </row>
    <row r="9" spans="1:26" ht="18" customHeight="1" x14ac:dyDescent="0.2">
      <c r="B9" s="165"/>
      <c r="C9" s="166"/>
      <c r="D9" s="166"/>
      <c r="E9" s="166"/>
      <c r="F9" s="166"/>
      <c r="G9" s="166"/>
      <c r="H9" s="166"/>
      <c r="I9" s="166"/>
      <c r="J9" s="166"/>
      <c r="K9" s="166"/>
      <c r="L9" s="166"/>
      <c r="M9" s="166"/>
      <c r="N9" s="166"/>
      <c r="O9" s="166"/>
      <c r="P9" s="166"/>
      <c r="Q9" s="166"/>
      <c r="R9" s="166"/>
      <c r="S9" s="166"/>
      <c r="T9" s="166"/>
      <c r="U9" s="166"/>
      <c r="V9" s="166"/>
      <c r="W9" s="166"/>
      <c r="X9" s="166"/>
      <c r="Y9" s="166"/>
      <c r="Z9" s="167"/>
    </row>
    <row r="10" spans="1:26" ht="18" customHeight="1" x14ac:dyDescent="0.2">
      <c r="B10" s="165"/>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7"/>
    </row>
    <row r="11" spans="1:26" ht="18" customHeight="1" x14ac:dyDescent="0.2">
      <c r="B11" s="168"/>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70"/>
    </row>
    <row r="12" spans="1:26" ht="7.5" customHeight="1" x14ac:dyDescent="0.2">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8" customHeight="1" x14ac:dyDescent="0.2">
      <c r="A13" s="171" t="s">
        <v>75</v>
      </c>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row>
    <row r="14" spans="1:26" ht="18" customHeight="1" x14ac:dyDescent="0.2">
      <c r="A14" s="171"/>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row>
    <row r="15" spans="1:26" ht="18" customHeight="1" x14ac:dyDescent="0.2">
      <c r="A15" s="13"/>
      <c r="B15" s="132" t="s">
        <v>76</v>
      </c>
      <c r="C15" s="137"/>
      <c r="D15" s="137"/>
      <c r="E15" s="137"/>
      <c r="F15" s="133"/>
      <c r="G15" s="25" t="s">
        <v>77</v>
      </c>
      <c r="H15" s="100" t="s">
        <v>78</v>
      </c>
      <c r="I15" s="137" t="s">
        <v>79</v>
      </c>
      <c r="J15" s="137"/>
      <c r="K15" s="137"/>
      <c r="L15" s="66" t="s">
        <v>80</v>
      </c>
      <c r="M15" s="66" t="s">
        <v>81</v>
      </c>
      <c r="N15" s="132" t="s">
        <v>76</v>
      </c>
      <c r="O15" s="137"/>
      <c r="P15" s="137"/>
      <c r="Q15" s="137"/>
      <c r="R15" s="137"/>
      <c r="S15" s="133"/>
      <c r="T15" s="25" t="s">
        <v>77</v>
      </c>
      <c r="U15" s="100" t="s">
        <v>78</v>
      </c>
      <c r="V15" s="137" t="s">
        <v>79</v>
      </c>
      <c r="W15" s="137"/>
      <c r="X15" s="137"/>
      <c r="Y15" s="66" t="s">
        <v>80</v>
      </c>
      <c r="Z15" s="66" t="s">
        <v>81</v>
      </c>
    </row>
    <row r="16" spans="1:26" ht="18" customHeight="1" x14ac:dyDescent="0.2">
      <c r="A16" s="13"/>
      <c r="B16" s="142" t="s">
        <v>82</v>
      </c>
      <c r="C16" s="143"/>
      <c r="D16" s="143"/>
      <c r="E16" s="143"/>
      <c r="F16" s="144"/>
      <c r="G16" s="101">
        <v>1</v>
      </c>
      <c r="H16" s="101" t="s">
        <v>83</v>
      </c>
      <c r="I16" s="145" t="s">
        <v>84</v>
      </c>
      <c r="J16" s="146"/>
      <c r="K16" s="147"/>
      <c r="L16" s="101" t="s">
        <v>83</v>
      </c>
      <c r="M16" s="101" t="s">
        <v>83</v>
      </c>
      <c r="N16" s="148"/>
      <c r="O16" s="149"/>
      <c r="P16" s="149"/>
      <c r="Q16" s="149"/>
      <c r="R16" s="149"/>
      <c r="S16" s="150"/>
      <c r="T16" s="101"/>
      <c r="U16" s="101"/>
      <c r="V16" s="145"/>
      <c r="W16" s="146"/>
      <c r="X16" s="147"/>
      <c r="Y16" s="101"/>
      <c r="Z16" s="101"/>
    </row>
    <row r="17" spans="1:26" ht="18" customHeight="1" x14ac:dyDescent="0.2">
      <c r="A17" s="13"/>
      <c r="B17" s="151"/>
      <c r="C17" s="152"/>
      <c r="D17" s="152"/>
      <c r="E17" s="152"/>
      <c r="F17" s="153"/>
      <c r="G17" s="102"/>
      <c r="H17" s="102"/>
      <c r="I17" s="154"/>
      <c r="J17" s="155"/>
      <c r="K17" s="156"/>
      <c r="L17" s="102"/>
      <c r="M17" s="102"/>
      <c r="N17" s="157"/>
      <c r="O17" s="158"/>
      <c r="P17" s="158"/>
      <c r="Q17" s="158"/>
      <c r="R17" s="158"/>
      <c r="S17" s="159"/>
      <c r="T17" s="102"/>
      <c r="U17" s="102"/>
      <c r="V17" s="154"/>
      <c r="W17" s="155"/>
      <c r="X17" s="156"/>
      <c r="Y17" s="102"/>
      <c r="Z17" s="102"/>
    </row>
    <row r="18" spans="1:26" ht="18" customHeight="1" x14ac:dyDescent="0.2">
      <c r="A18" s="13"/>
      <c r="B18" s="151"/>
      <c r="C18" s="152"/>
      <c r="D18" s="152"/>
      <c r="E18" s="152"/>
      <c r="F18" s="153"/>
      <c r="G18" s="102"/>
      <c r="H18" s="102"/>
      <c r="I18" s="154"/>
      <c r="J18" s="155"/>
      <c r="K18" s="156"/>
      <c r="L18" s="102"/>
      <c r="M18" s="102"/>
      <c r="N18" s="157"/>
      <c r="O18" s="158"/>
      <c r="P18" s="158"/>
      <c r="Q18" s="158"/>
      <c r="R18" s="158"/>
      <c r="S18" s="159"/>
      <c r="T18" s="102"/>
      <c r="U18" s="102"/>
      <c r="V18" s="154"/>
      <c r="W18" s="155"/>
      <c r="X18" s="156"/>
      <c r="Y18" s="102"/>
      <c r="Z18" s="102"/>
    </row>
    <row r="19" spans="1:26" ht="18" customHeight="1" x14ac:dyDescent="0.2">
      <c r="A19" s="13"/>
      <c r="B19" s="151"/>
      <c r="C19" s="152"/>
      <c r="D19" s="152"/>
      <c r="E19" s="152"/>
      <c r="F19" s="153"/>
      <c r="G19" s="102"/>
      <c r="H19" s="102"/>
      <c r="I19" s="154"/>
      <c r="J19" s="155"/>
      <c r="K19" s="156"/>
      <c r="L19" s="102"/>
      <c r="M19" s="102"/>
      <c r="N19" s="157"/>
      <c r="O19" s="158"/>
      <c r="P19" s="158"/>
      <c r="Q19" s="158"/>
      <c r="R19" s="158"/>
      <c r="S19" s="159"/>
      <c r="T19" s="102"/>
      <c r="U19" s="102"/>
      <c r="V19" s="154"/>
      <c r="W19" s="155"/>
      <c r="X19" s="156"/>
      <c r="Y19" s="102"/>
      <c r="Z19" s="102"/>
    </row>
    <row r="20" spans="1:26" ht="18" customHeight="1" x14ac:dyDescent="0.2">
      <c r="A20" s="13"/>
      <c r="B20" s="151"/>
      <c r="C20" s="152"/>
      <c r="D20" s="152"/>
      <c r="E20" s="152"/>
      <c r="F20" s="153"/>
      <c r="G20" s="102"/>
      <c r="H20" s="102"/>
      <c r="I20" s="154"/>
      <c r="J20" s="155"/>
      <c r="K20" s="156"/>
      <c r="L20" s="102"/>
      <c r="M20" s="102"/>
      <c r="N20" s="157"/>
      <c r="O20" s="158"/>
      <c r="P20" s="158"/>
      <c r="Q20" s="158"/>
      <c r="R20" s="158"/>
      <c r="S20" s="159"/>
      <c r="T20" s="102"/>
      <c r="U20" s="102"/>
      <c r="V20" s="154"/>
      <c r="W20" s="155"/>
      <c r="X20" s="156"/>
      <c r="Y20" s="102"/>
      <c r="Z20" s="102"/>
    </row>
    <row r="21" spans="1:26" ht="18" customHeight="1" x14ac:dyDescent="0.2">
      <c r="A21" s="24"/>
      <c r="B21" s="151"/>
      <c r="C21" s="152"/>
      <c r="D21" s="152"/>
      <c r="E21" s="152"/>
      <c r="F21" s="153"/>
      <c r="G21" s="102"/>
      <c r="H21" s="102"/>
      <c r="I21" s="154"/>
      <c r="J21" s="155"/>
      <c r="K21" s="156"/>
      <c r="L21" s="102"/>
      <c r="M21" s="102"/>
      <c r="N21" s="157"/>
      <c r="O21" s="158"/>
      <c r="P21" s="158"/>
      <c r="Q21" s="158"/>
      <c r="R21" s="158"/>
      <c r="S21" s="159"/>
      <c r="T21" s="102"/>
      <c r="U21" s="102"/>
      <c r="V21" s="154"/>
      <c r="W21" s="155"/>
      <c r="X21" s="156"/>
      <c r="Y21" s="102"/>
      <c r="Z21" s="102"/>
    </row>
    <row r="22" spans="1:26" ht="18" customHeight="1" x14ac:dyDescent="0.2">
      <c r="A22" s="24"/>
      <c r="B22" s="172"/>
      <c r="C22" s="173"/>
      <c r="D22" s="173"/>
      <c r="E22" s="173"/>
      <c r="F22" s="174"/>
      <c r="G22" s="103"/>
      <c r="H22" s="103"/>
      <c r="I22" s="175"/>
      <c r="J22" s="176"/>
      <c r="K22" s="177"/>
      <c r="L22" s="108"/>
      <c r="M22" s="108"/>
      <c r="N22" s="178"/>
      <c r="O22" s="179"/>
      <c r="P22" s="179"/>
      <c r="Q22" s="179"/>
      <c r="R22" s="179"/>
      <c r="S22" s="180"/>
      <c r="T22" s="103"/>
      <c r="U22" s="103"/>
      <c r="V22" s="175"/>
      <c r="W22" s="176"/>
      <c r="X22" s="177"/>
      <c r="Y22" s="108"/>
      <c r="Z22" s="108"/>
    </row>
    <row r="23" spans="1:26" ht="7.5" customHeight="1" x14ac:dyDescent="0.2">
      <c r="A23" s="24"/>
      <c r="B23" s="30"/>
      <c r="C23" s="30"/>
      <c r="D23" s="24"/>
      <c r="E23" s="24"/>
      <c r="F23" s="24"/>
      <c r="G23" s="24"/>
      <c r="H23" s="24"/>
      <c r="I23" s="24"/>
      <c r="J23" s="24"/>
      <c r="K23" s="24"/>
      <c r="L23" s="30"/>
      <c r="M23" s="30"/>
      <c r="N23" s="30"/>
      <c r="O23" s="30"/>
      <c r="P23" s="30"/>
      <c r="Q23" s="30"/>
      <c r="R23" s="30"/>
      <c r="S23" s="30"/>
      <c r="T23" s="30"/>
      <c r="U23" s="30"/>
      <c r="V23" s="30"/>
      <c r="W23" s="30"/>
      <c r="X23" s="30"/>
      <c r="Y23" s="30"/>
      <c r="Z23" s="24"/>
    </row>
    <row r="24" spans="1:26" ht="18" customHeight="1" x14ac:dyDescent="0.2">
      <c r="A24" s="171" t="s">
        <v>85</v>
      </c>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row>
    <row r="25" spans="1:26" ht="18" customHeight="1" x14ac:dyDescent="0.2">
      <c r="A25" s="171"/>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row>
    <row r="26" spans="1:26" ht="18" customHeight="1" x14ac:dyDescent="0.2">
      <c r="A26" s="13"/>
      <c r="B26" s="132" t="s">
        <v>76</v>
      </c>
      <c r="C26" s="137"/>
      <c r="D26" s="137"/>
      <c r="E26" s="137"/>
      <c r="F26" s="133"/>
      <c r="G26" s="25" t="s">
        <v>77</v>
      </c>
      <c r="H26" s="100" t="s">
        <v>78</v>
      </c>
      <c r="I26" s="137" t="s">
        <v>79</v>
      </c>
      <c r="J26" s="137"/>
      <c r="K26" s="137"/>
      <c r="L26" s="66" t="s">
        <v>86</v>
      </c>
      <c r="M26" s="66" t="s">
        <v>87</v>
      </c>
      <c r="N26" s="132" t="s">
        <v>76</v>
      </c>
      <c r="O26" s="137"/>
      <c r="P26" s="137"/>
      <c r="Q26" s="137"/>
      <c r="R26" s="137"/>
      <c r="S26" s="133"/>
      <c r="T26" s="25" t="s">
        <v>77</v>
      </c>
      <c r="U26" s="100" t="s">
        <v>78</v>
      </c>
      <c r="V26" s="137" t="s">
        <v>79</v>
      </c>
      <c r="W26" s="137"/>
      <c r="X26" s="137"/>
      <c r="Y26" s="66" t="s">
        <v>86</v>
      </c>
      <c r="Z26" s="66" t="s">
        <v>87</v>
      </c>
    </row>
    <row r="27" spans="1:26" ht="18" customHeight="1" x14ac:dyDescent="0.2">
      <c r="A27" s="13"/>
      <c r="B27" s="142" t="s">
        <v>82</v>
      </c>
      <c r="C27" s="143"/>
      <c r="D27" s="143"/>
      <c r="E27" s="143"/>
      <c r="F27" s="144"/>
      <c r="G27" s="101">
        <v>1</v>
      </c>
      <c r="H27" s="101" t="s">
        <v>83</v>
      </c>
      <c r="I27" s="145" t="s">
        <v>84</v>
      </c>
      <c r="J27" s="146"/>
      <c r="K27" s="147"/>
      <c r="L27" s="101" t="s">
        <v>83</v>
      </c>
      <c r="M27" s="101" t="s">
        <v>83</v>
      </c>
      <c r="N27" s="148"/>
      <c r="O27" s="149"/>
      <c r="P27" s="149"/>
      <c r="Q27" s="149"/>
      <c r="R27" s="149"/>
      <c r="S27" s="150"/>
      <c r="T27" s="101"/>
      <c r="U27" s="101"/>
      <c r="V27" s="145"/>
      <c r="W27" s="146"/>
      <c r="X27" s="147"/>
      <c r="Y27" s="101"/>
      <c r="Z27" s="101"/>
    </row>
    <row r="28" spans="1:26" ht="18" customHeight="1" x14ac:dyDescent="0.2">
      <c r="A28" s="13"/>
      <c r="B28" s="151"/>
      <c r="C28" s="152"/>
      <c r="D28" s="152"/>
      <c r="E28" s="152"/>
      <c r="F28" s="153"/>
      <c r="G28" s="102"/>
      <c r="H28" s="102"/>
      <c r="I28" s="154"/>
      <c r="J28" s="155"/>
      <c r="K28" s="156"/>
      <c r="L28" s="102"/>
      <c r="M28" s="102"/>
      <c r="N28" s="157"/>
      <c r="O28" s="158"/>
      <c r="P28" s="158"/>
      <c r="Q28" s="158"/>
      <c r="R28" s="158"/>
      <c r="S28" s="159"/>
      <c r="T28" s="102"/>
      <c r="U28" s="102"/>
      <c r="V28" s="154"/>
      <c r="W28" s="155"/>
      <c r="X28" s="156"/>
      <c r="Y28" s="102"/>
      <c r="Z28" s="102"/>
    </row>
    <row r="29" spans="1:26" ht="18" customHeight="1" x14ac:dyDescent="0.2">
      <c r="A29" s="13"/>
      <c r="B29" s="151"/>
      <c r="C29" s="152"/>
      <c r="D29" s="152"/>
      <c r="E29" s="152"/>
      <c r="F29" s="153"/>
      <c r="G29" s="102"/>
      <c r="H29" s="102"/>
      <c r="I29" s="154"/>
      <c r="J29" s="155"/>
      <c r="K29" s="156"/>
      <c r="L29" s="102"/>
      <c r="M29" s="102"/>
      <c r="N29" s="157"/>
      <c r="O29" s="158"/>
      <c r="P29" s="158"/>
      <c r="Q29" s="158"/>
      <c r="R29" s="158"/>
      <c r="S29" s="159"/>
      <c r="T29" s="102"/>
      <c r="U29" s="102"/>
      <c r="V29" s="154"/>
      <c r="W29" s="155"/>
      <c r="X29" s="156"/>
      <c r="Y29" s="102"/>
      <c r="Z29" s="102"/>
    </row>
    <row r="30" spans="1:26" ht="18" customHeight="1" x14ac:dyDescent="0.2">
      <c r="A30" s="13"/>
      <c r="B30" s="151"/>
      <c r="C30" s="152"/>
      <c r="D30" s="152"/>
      <c r="E30" s="152"/>
      <c r="F30" s="153"/>
      <c r="G30" s="102"/>
      <c r="H30" s="102"/>
      <c r="I30" s="154"/>
      <c r="J30" s="155"/>
      <c r="K30" s="156"/>
      <c r="L30" s="102"/>
      <c r="M30" s="102"/>
      <c r="N30" s="157"/>
      <c r="O30" s="158"/>
      <c r="P30" s="158"/>
      <c r="Q30" s="158"/>
      <c r="R30" s="158"/>
      <c r="S30" s="159"/>
      <c r="T30" s="102"/>
      <c r="U30" s="102"/>
      <c r="V30" s="154"/>
      <c r="W30" s="155"/>
      <c r="X30" s="156"/>
      <c r="Y30" s="102"/>
      <c r="Z30" s="102"/>
    </row>
    <row r="31" spans="1:26" ht="18" customHeight="1" x14ac:dyDescent="0.2">
      <c r="A31" s="13"/>
      <c r="B31" s="151"/>
      <c r="C31" s="152"/>
      <c r="D31" s="152"/>
      <c r="E31" s="152"/>
      <c r="F31" s="153"/>
      <c r="G31" s="102"/>
      <c r="H31" s="102"/>
      <c r="I31" s="154"/>
      <c r="J31" s="155"/>
      <c r="K31" s="156"/>
      <c r="L31" s="102"/>
      <c r="M31" s="102"/>
      <c r="N31" s="157"/>
      <c r="O31" s="158"/>
      <c r="P31" s="158"/>
      <c r="Q31" s="158"/>
      <c r="R31" s="158"/>
      <c r="S31" s="159"/>
      <c r="T31" s="102"/>
      <c r="U31" s="102"/>
      <c r="V31" s="154"/>
      <c r="W31" s="155"/>
      <c r="X31" s="156"/>
      <c r="Y31" s="102"/>
      <c r="Z31" s="102"/>
    </row>
    <row r="32" spans="1:26" ht="18" customHeight="1" x14ac:dyDescent="0.2">
      <c r="A32" s="13"/>
      <c r="B32" s="151"/>
      <c r="C32" s="152"/>
      <c r="D32" s="152"/>
      <c r="E32" s="152"/>
      <c r="F32" s="153"/>
      <c r="G32" s="102"/>
      <c r="H32" s="102"/>
      <c r="I32" s="154"/>
      <c r="J32" s="155"/>
      <c r="K32" s="156"/>
      <c r="L32" s="102"/>
      <c r="M32" s="102"/>
      <c r="N32" s="157"/>
      <c r="O32" s="158"/>
      <c r="P32" s="158"/>
      <c r="Q32" s="158"/>
      <c r="R32" s="158"/>
      <c r="S32" s="159"/>
      <c r="T32" s="102"/>
      <c r="U32" s="102"/>
      <c r="V32" s="154"/>
      <c r="W32" s="155"/>
      <c r="X32" s="156"/>
      <c r="Y32" s="102"/>
      <c r="Z32" s="102"/>
    </row>
    <row r="33" spans="1:26" ht="18" customHeight="1" x14ac:dyDescent="0.2">
      <c r="A33" s="13"/>
      <c r="B33" s="172"/>
      <c r="C33" s="173"/>
      <c r="D33" s="173"/>
      <c r="E33" s="173"/>
      <c r="F33" s="174"/>
      <c r="G33" s="103"/>
      <c r="H33" s="103"/>
      <c r="I33" s="175"/>
      <c r="J33" s="176"/>
      <c r="K33" s="177"/>
      <c r="L33" s="108"/>
      <c r="M33" s="108"/>
      <c r="N33" s="178"/>
      <c r="O33" s="179"/>
      <c r="P33" s="179"/>
      <c r="Q33" s="179"/>
      <c r="R33" s="179"/>
      <c r="S33" s="180"/>
      <c r="T33" s="103"/>
      <c r="U33" s="103"/>
      <c r="V33" s="175"/>
      <c r="W33" s="176"/>
      <c r="X33" s="177"/>
      <c r="Y33" s="108"/>
      <c r="Z33" s="108"/>
    </row>
    <row r="34" spans="1:26" ht="7.5" customHeight="1" x14ac:dyDescent="0.2">
      <c r="A34" s="24"/>
      <c r="B34" s="30"/>
      <c r="C34" s="30"/>
      <c r="D34" s="24"/>
      <c r="E34" s="24"/>
      <c r="F34" s="24"/>
      <c r="G34" s="24"/>
      <c r="H34" s="24"/>
      <c r="I34" s="24"/>
      <c r="J34" s="24"/>
      <c r="K34" s="24"/>
      <c r="L34" s="30"/>
      <c r="M34" s="30"/>
      <c r="N34" s="30"/>
      <c r="O34" s="30"/>
      <c r="P34" s="30"/>
      <c r="Q34" s="30"/>
      <c r="R34" s="30"/>
      <c r="S34" s="30"/>
      <c r="T34" s="30"/>
      <c r="U34" s="30"/>
      <c r="V34" s="30"/>
      <c r="W34" s="30"/>
      <c r="X34" s="30"/>
      <c r="Y34" s="30"/>
      <c r="Z34" s="24"/>
    </row>
    <row r="35" spans="1:26" ht="18" customHeight="1" x14ac:dyDescent="0.2">
      <c r="A35" s="171" t="s">
        <v>88</v>
      </c>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row>
    <row r="36" spans="1:26" ht="18" customHeight="1" x14ac:dyDescent="0.2">
      <c r="A36" s="171"/>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row>
    <row r="37" spans="1:26" ht="18" customHeight="1" x14ac:dyDescent="0.2">
      <c r="A37" s="13"/>
      <c r="B37" s="132" t="s">
        <v>76</v>
      </c>
      <c r="C37" s="137"/>
      <c r="D37" s="137"/>
      <c r="E37" s="137"/>
      <c r="F37" s="133"/>
      <c r="G37" s="25" t="s">
        <v>77</v>
      </c>
      <c r="H37" s="100" t="s">
        <v>78</v>
      </c>
      <c r="I37" s="132" t="s">
        <v>79</v>
      </c>
      <c r="J37" s="137"/>
      <c r="K37" s="133"/>
      <c r="L37" s="66" t="s">
        <v>89</v>
      </c>
      <c r="M37" s="66" t="s">
        <v>90</v>
      </c>
      <c r="N37" s="132" t="s">
        <v>76</v>
      </c>
      <c r="O37" s="137"/>
      <c r="P37" s="137"/>
      <c r="Q37" s="137"/>
      <c r="R37" s="137"/>
      <c r="S37" s="133"/>
      <c r="T37" s="25" t="s">
        <v>77</v>
      </c>
      <c r="U37" s="100" t="s">
        <v>78</v>
      </c>
      <c r="V37" s="132" t="s">
        <v>79</v>
      </c>
      <c r="W37" s="137"/>
      <c r="X37" s="133"/>
      <c r="Y37" s="66" t="s">
        <v>89</v>
      </c>
      <c r="Z37" s="66" t="s">
        <v>90</v>
      </c>
    </row>
    <row r="38" spans="1:26" ht="18" customHeight="1" x14ac:dyDescent="0.2">
      <c r="A38" s="24"/>
      <c r="B38" s="142" t="s">
        <v>82</v>
      </c>
      <c r="C38" s="143"/>
      <c r="D38" s="143"/>
      <c r="E38" s="143"/>
      <c r="F38" s="144"/>
      <c r="G38" s="101">
        <v>1</v>
      </c>
      <c r="H38" s="101" t="s">
        <v>83</v>
      </c>
      <c r="I38" s="145" t="s">
        <v>84</v>
      </c>
      <c r="J38" s="146"/>
      <c r="K38" s="147"/>
      <c r="L38" s="101" t="s">
        <v>83</v>
      </c>
      <c r="M38" s="101" t="s">
        <v>83</v>
      </c>
      <c r="N38" s="148"/>
      <c r="O38" s="149"/>
      <c r="P38" s="149"/>
      <c r="Q38" s="149"/>
      <c r="R38" s="149"/>
      <c r="S38" s="150"/>
      <c r="T38" s="101"/>
      <c r="U38" s="101"/>
      <c r="V38" s="145"/>
      <c r="W38" s="146"/>
      <c r="X38" s="147"/>
      <c r="Y38" s="101"/>
      <c r="Z38" s="101"/>
    </row>
    <row r="39" spans="1:26" ht="18" customHeight="1" x14ac:dyDescent="0.2">
      <c r="A39" s="24"/>
      <c r="B39" s="151"/>
      <c r="C39" s="152"/>
      <c r="D39" s="152"/>
      <c r="E39" s="152"/>
      <c r="F39" s="153"/>
      <c r="G39" s="102"/>
      <c r="H39" s="102"/>
      <c r="I39" s="154"/>
      <c r="J39" s="155"/>
      <c r="K39" s="156"/>
      <c r="L39" s="102"/>
      <c r="M39" s="102"/>
      <c r="N39" s="157"/>
      <c r="O39" s="158"/>
      <c r="P39" s="158"/>
      <c r="Q39" s="158"/>
      <c r="R39" s="158"/>
      <c r="S39" s="159"/>
      <c r="T39" s="102"/>
      <c r="U39" s="102"/>
      <c r="V39" s="154"/>
      <c r="W39" s="155"/>
      <c r="X39" s="156"/>
      <c r="Y39" s="102"/>
      <c r="Z39" s="102"/>
    </row>
    <row r="40" spans="1:26" ht="18" customHeight="1" x14ac:dyDescent="0.2">
      <c r="A40" s="24"/>
      <c r="B40" s="151"/>
      <c r="C40" s="152"/>
      <c r="D40" s="152"/>
      <c r="E40" s="152"/>
      <c r="F40" s="153"/>
      <c r="G40" s="102"/>
      <c r="H40" s="102"/>
      <c r="I40" s="154"/>
      <c r="J40" s="155"/>
      <c r="K40" s="156"/>
      <c r="L40" s="102"/>
      <c r="M40" s="102"/>
      <c r="N40" s="157"/>
      <c r="O40" s="158"/>
      <c r="P40" s="158"/>
      <c r="Q40" s="158"/>
      <c r="R40" s="158"/>
      <c r="S40" s="159"/>
      <c r="T40" s="102"/>
      <c r="U40" s="102"/>
      <c r="V40" s="154"/>
      <c r="W40" s="155"/>
      <c r="X40" s="156"/>
      <c r="Y40" s="102"/>
      <c r="Z40" s="102"/>
    </row>
    <row r="41" spans="1:26" ht="18" customHeight="1" x14ac:dyDescent="0.2">
      <c r="A41" s="24"/>
      <c r="B41" s="151"/>
      <c r="C41" s="152"/>
      <c r="D41" s="152"/>
      <c r="E41" s="152"/>
      <c r="F41" s="153"/>
      <c r="G41" s="102"/>
      <c r="H41" s="102"/>
      <c r="I41" s="154"/>
      <c r="J41" s="155"/>
      <c r="K41" s="156"/>
      <c r="L41" s="102"/>
      <c r="M41" s="102"/>
      <c r="N41" s="157"/>
      <c r="O41" s="158"/>
      <c r="P41" s="158"/>
      <c r="Q41" s="158"/>
      <c r="R41" s="158"/>
      <c r="S41" s="159"/>
      <c r="T41" s="102"/>
      <c r="U41" s="102"/>
      <c r="V41" s="154"/>
      <c r="W41" s="155"/>
      <c r="X41" s="156"/>
      <c r="Y41" s="102"/>
      <c r="Z41" s="102"/>
    </row>
    <row r="42" spans="1:26" ht="18" customHeight="1" x14ac:dyDescent="0.2">
      <c r="A42" s="24"/>
      <c r="B42" s="151"/>
      <c r="C42" s="152"/>
      <c r="D42" s="152"/>
      <c r="E42" s="152"/>
      <c r="F42" s="153"/>
      <c r="G42" s="102"/>
      <c r="H42" s="102"/>
      <c r="I42" s="154"/>
      <c r="J42" s="155"/>
      <c r="K42" s="156"/>
      <c r="L42" s="102"/>
      <c r="M42" s="102"/>
      <c r="N42" s="157"/>
      <c r="O42" s="158"/>
      <c r="P42" s="158"/>
      <c r="Q42" s="158"/>
      <c r="R42" s="158"/>
      <c r="S42" s="159"/>
      <c r="T42" s="102"/>
      <c r="U42" s="102"/>
      <c r="V42" s="154"/>
      <c r="W42" s="155"/>
      <c r="X42" s="156"/>
      <c r="Y42" s="102"/>
      <c r="Z42" s="102"/>
    </row>
    <row r="43" spans="1:26" ht="18" customHeight="1" x14ac:dyDescent="0.2">
      <c r="A43" s="24"/>
      <c r="B43" s="151"/>
      <c r="C43" s="152"/>
      <c r="D43" s="152"/>
      <c r="E43" s="152"/>
      <c r="F43" s="153"/>
      <c r="G43" s="102"/>
      <c r="H43" s="102"/>
      <c r="I43" s="154"/>
      <c r="J43" s="155"/>
      <c r="K43" s="156"/>
      <c r="L43" s="102"/>
      <c r="M43" s="102"/>
      <c r="N43" s="157"/>
      <c r="O43" s="158"/>
      <c r="P43" s="158"/>
      <c r="Q43" s="158"/>
      <c r="R43" s="158"/>
      <c r="S43" s="159"/>
      <c r="T43" s="102"/>
      <c r="U43" s="102"/>
      <c r="V43" s="154"/>
      <c r="W43" s="155"/>
      <c r="X43" s="156"/>
      <c r="Y43" s="102"/>
      <c r="Z43" s="102"/>
    </row>
    <row r="44" spans="1:26" ht="18" customHeight="1" x14ac:dyDescent="0.2">
      <c r="A44" s="24"/>
      <c r="B44" s="172"/>
      <c r="C44" s="173"/>
      <c r="D44" s="173"/>
      <c r="E44" s="173"/>
      <c r="F44" s="174"/>
      <c r="G44" s="103"/>
      <c r="H44" s="103"/>
      <c r="I44" s="175"/>
      <c r="J44" s="176"/>
      <c r="K44" s="177"/>
      <c r="L44" s="108"/>
      <c r="M44" s="108"/>
      <c r="N44" s="178"/>
      <c r="O44" s="179"/>
      <c r="P44" s="179"/>
      <c r="Q44" s="179"/>
      <c r="R44" s="179"/>
      <c r="S44" s="180"/>
      <c r="T44" s="103"/>
      <c r="U44" s="103"/>
      <c r="V44" s="175"/>
      <c r="W44" s="176"/>
      <c r="X44" s="177"/>
      <c r="Y44" s="108"/>
      <c r="Z44" s="108"/>
    </row>
    <row r="45" spans="1:26" ht="7.5" customHeight="1" x14ac:dyDescent="0.2">
      <c r="B45" s="67"/>
      <c r="C45" s="67"/>
      <c r="D45" s="67"/>
      <c r="E45" s="67"/>
      <c r="F45" s="67"/>
      <c r="G45" s="67"/>
      <c r="H45" s="67"/>
      <c r="I45" s="67"/>
      <c r="J45" s="67"/>
      <c r="K45" s="67"/>
      <c r="L45" s="67"/>
      <c r="M45" s="67"/>
      <c r="N45" s="67"/>
      <c r="O45" s="67"/>
      <c r="P45" s="67"/>
      <c r="Q45" s="67"/>
      <c r="R45" s="67"/>
      <c r="S45" s="67"/>
      <c r="T45" s="67"/>
      <c r="U45" s="67"/>
      <c r="V45" s="67"/>
      <c r="W45" s="67"/>
      <c r="X45" s="67"/>
      <c r="Y45" s="67"/>
    </row>
    <row r="46" spans="1:26" ht="18" customHeight="1" x14ac:dyDescent="0.2">
      <c r="A46" s="171" t="s">
        <v>91</v>
      </c>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row>
    <row r="47" spans="1:26" ht="18" customHeight="1" x14ac:dyDescent="0.2">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row>
    <row r="48" spans="1:26" ht="18" customHeight="1" x14ac:dyDescent="0.2">
      <c r="A48" s="13"/>
      <c r="B48" s="132" t="s">
        <v>76</v>
      </c>
      <c r="C48" s="137"/>
      <c r="D48" s="137"/>
      <c r="E48" s="137"/>
      <c r="F48" s="133"/>
      <c r="G48" s="25" t="s">
        <v>77</v>
      </c>
      <c r="H48" s="100" t="s">
        <v>78</v>
      </c>
      <c r="I48" s="132" t="s">
        <v>79</v>
      </c>
      <c r="J48" s="137"/>
      <c r="K48" s="133"/>
      <c r="L48" s="66" t="s">
        <v>92</v>
      </c>
      <c r="M48" s="66" t="s">
        <v>93</v>
      </c>
      <c r="N48" s="132" t="s">
        <v>76</v>
      </c>
      <c r="O48" s="137"/>
      <c r="P48" s="137"/>
      <c r="Q48" s="137"/>
      <c r="R48" s="137"/>
      <c r="S48" s="133"/>
      <c r="T48" s="25" t="s">
        <v>77</v>
      </c>
      <c r="U48" s="100" t="s">
        <v>78</v>
      </c>
      <c r="V48" s="132" t="s">
        <v>79</v>
      </c>
      <c r="W48" s="137"/>
      <c r="X48" s="133"/>
      <c r="Y48" s="66" t="s">
        <v>92</v>
      </c>
      <c r="Z48" s="66" t="s">
        <v>93</v>
      </c>
    </row>
    <row r="49" spans="1:26" ht="18" customHeight="1" x14ac:dyDescent="0.2">
      <c r="A49" s="24"/>
      <c r="B49" s="142" t="s">
        <v>94</v>
      </c>
      <c r="C49" s="143"/>
      <c r="D49" s="143"/>
      <c r="E49" s="143"/>
      <c r="F49" s="144"/>
      <c r="G49" s="101">
        <v>1</v>
      </c>
      <c r="H49" s="101" t="s">
        <v>83</v>
      </c>
      <c r="I49" s="145" t="s">
        <v>95</v>
      </c>
      <c r="J49" s="146"/>
      <c r="K49" s="147"/>
      <c r="L49" s="101" t="s">
        <v>83</v>
      </c>
      <c r="M49" s="101" t="s">
        <v>83</v>
      </c>
      <c r="N49" s="148"/>
      <c r="O49" s="149"/>
      <c r="P49" s="149"/>
      <c r="Q49" s="149"/>
      <c r="R49" s="149"/>
      <c r="S49" s="150"/>
      <c r="T49" s="101"/>
      <c r="U49" s="101"/>
      <c r="V49" s="145"/>
      <c r="W49" s="146"/>
      <c r="X49" s="147"/>
      <c r="Y49" s="101"/>
      <c r="Z49" s="101"/>
    </row>
    <row r="50" spans="1:26" ht="18" customHeight="1" x14ac:dyDescent="0.2">
      <c r="A50" s="24"/>
      <c r="B50" s="151"/>
      <c r="C50" s="152"/>
      <c r="D50" s="152"/>
      <c r="E50" s="152"/>
      <c r="F50" s="153"/>
      <c r="G50" s="102"/>
      <c r="H50" s="102"/>
      <c r="I50" s="154"/>
      <c r="J50" s="155"/>
      <c r="K50" s="156"/>
      <c r="L50" s="102"/>
      <c r="M50" s="102"/>
      <c r="N50" s="157"/>
      <c r="O50" s="158"/>
      <c r="P50" s="158"/>
      <c r="Q50" s="158"/>
      <c r="R50" s="158"/>
      <c r="S50" s="159"/>
      <c r="T50" s="102"/>
      <c r="U50" s="102"/>
      <c r="V50" s="154"/>
      <c r="W50" s="155"/>
      <c r="X50" s="156"/>
      <c r="Y50" s="102"/>
      <c r="Z50" s="102"/>
    </row>
    <row r="51" spans="1:26" ht="18" customHeight="1" x14ac:dyDescent="0.2">
      <c r="A51" s="24"/>
      <c r="B51" s="151"/>
      <c r="C51" s="152"/>
      <c r="D51" s="152"/>
      <c r="E51" s="152"/>
      <c r="F51" s="153"/>
      <c r="G51" s="102"/>
      <c r="H51" s="102"/>
      <c r="I51" s="154"/>
      <c r="J51" s="155"/>
      <c r="K51" s="156"/>
      <c r="L51" s="102"/>
      <c r="M51" s="102"/>
      <c r="N51" s="157"/>
      <c r="O51" s="158"/>
      <c r="P51" s="158"/>
      <c r="Q51" s="158"/>
      <c r="R51" s="158"/>
      <c r="S51" s="159"/>
      <c r="T51" s="102"/>
      <c r="U51" s="102"/>
      <c r="V51" s="154"/>
      <c r="W51" s="155"/>
      <c r="X51" s="156"/>
      <c r="Y51" s="102"/>
      <c r="Z51" s="102"/>
    </row>
    <row r="52" spans="1:26" ht="18" customHeight="1" x14ac:dyDescent="0.2">
      <c r="A52" s="24"/>
      <c r="B52" s="151"/>
      <c r="C52" s="152"/>
      <c r="D52" s="152"/>
      <c r="E52" s="152"/>
      <c r="F52" s="153"/>
      <c r="G52" s="102"/>
      <c r="H52" s="102"/>
      <c r="I52" s="154"/>
      <c r="J52" s="155"/>
      <c r="K52" s="156"/>
      <c r="L52" s="102"/>
      <c r="M52" s="102"/>
      <c r="N52" s="157"/>
      <c r="O52" s="158"/>
      <c r="P52" s="158"/>
      <c r="Q52" s="158"/>
      <c r="R52" s="158"/>
      <c r="S52" s="159"/>
      <c r="T52" s="102"/>
      <c r="U52" s="102"/>
      <c r="V52" s="154"/>
      <c r="W52" s="155"/>
      <c r="X52" s="156"/>
      <c r="Y52" s="102"/>
      <c r="Z52" s="102"/>
    </row>
    <row r="53" spans="1:26" ht="18" customHeight="1" x14ac:dyDescent="0.2">
      <c r="A53" s="24"/>
      <c r="B53" s="151"/>
      <c r="C53" s="152"/>
      <c r="D53" s="152"/>
      <c r="E53" s="152"/>
      <c r="F53" s="153"/>
      <c r="G53" s="102"/>
      <c r="H53" s="102"/>
      <c r="I53" s="154"/>
      <c r="J53" s="155"/>
      <c r="K53" s="156"/>
      <c r="L53" s="102"/>
      <c r="M53" s="102"/>
      <c r="N53" s="157"/>
      <c r="O53" s="158"/>
      <c r="P53" s="158"/>
      <c r="Q53" s="158"/>
      <c r="R53" s="158"/>
      <c r="S53" s="159"/>
      <c r="T53" s="102"/>
      <c r="U53" s="102"/>
      <c r="V53" s="154"/>
      <c r="W53" s="155"/>
      <c r="X53" s="156"/>
      <c r="Y53" s="102"/>
      <c r="Z53" s="102"/>
    </row>
    <row r="54" spans="1:26" ht="18" customHeight="1" x14ac:dyDescent="0.2">
      <c r="A54" s="24"/>
      <c r="B54" s="151"/>
      <c r="C54" s="152"/>
      <c r="D54" s="152"/>
      <c r="E54" s="152"/>
      <c r="F54" s="153"/>
      <c r="G54" s="102"/>
      <c r="H54" s="102"/>
      <c r="I54" s="154"/>
      <c r="J54" s="155"/>
      <c r="K54" s="156"/>
      <c r="L54" s="102"/>
      <c r="M54" s="102"/>
      <c r="N54" s="157"/>
      <c r="O54" s="158"/>
      <c r="P54" s="158"/>
      <c r="Q54" s="158"/>
      <c r="R54" s="158"/>
      <c r="S54" s="159"/>
      <c r="T54" s="102"/>
      <c r="U54" s="102"/>
      <c r="V54" s="154"/>
      <c r="W54" s="155"/>
      <c r="X54" s="156"/>
      <c r="Y54" s="102"/>
      <c r="Z54" s="102"/>
    </row>
    <row r="55" spans="1:26" ht="18" customHeight="1" x14ac:dyDescent="0.2">
      <c r="A55" s="24"/>
      <c r="B55" s="172"/>
      <c r="C55" s="173"/>
      <c r="D55" s="173"/>
      <c r="E55" s="173"/>
      <c r="F55" s="174"/>
      <c r="G55" s="103"/>
      <c r="H55" s="103"/>
      <c r="I55" s="175"/>
      <c r="J55" s="176"/>
      <c r="K55" s="177"/>
      <c r="L55" s="108"/>
      <c r="M55" s="108"/>
      <c r="N55" s="178"/>
      <c r="O55" s="179"/>
      <c r="P55" s="179"/>
      <c r="Q55" s="179"/>
      <c r="R55" s="179"/>
      <c r="S55" s="180"/>
      <c r="T55" s="103"/>
      <c r="U55" s="103"/>
      <c r="V55" s="175"/>
      <c r="W55" s="176"/>
      <c r="X55" s="177"/>
      <c r="Y55" s="108"/>
      <c r="Z55" s="108"/>
    </row>
    <row r="56" spans="1:26" ht="7.5" customHeight="1" x14ac:dyDescent="0.2">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6" ht="18" customHeight="1" x14ac:dyDescent="0.2">
      <c r="A57" s="171" t="s">
        <v>96</v>
      </c>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row>
    <row r="58" spans="1:26" ht="18" customHeight="1" x14ac:dyDescent="0.2">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row>
    <row r="59" spans="1:26" ht="18" customHeight="1" x14ac:dyDescent="0.2">
      <c r="A59" s="13"/>
      <c r="B59" s="132" t="s">
        <v>76</v>
      </c>
      <c r="C59" s="137"/>
      <c r="D59" s="137"/>
      <c r="E59" s="133"/>
      <c r="F59" s="25" t="s">
        <v>77</v>
      </c>
      <c r="G59" s="100" t="s">
        <v>78</v>
      </c>
      <c r="H59" s="21" t="s">
        <v>79</v>
      </c>
      <c r="I59" s="97"/>
      <c r="J59" s="22"/>
      <c r="K59" s="66" t="s">
        <v>97</v>
      </c>
      <c r="L59" s="66" t="s">
        <v>98</v>
      </c>
      <c r="M59" s="66" t="s">
        <v>99</v>
      </c>
      <c r="N59" s="132" t="s">
        <v>76</v>
      </c>
      <c r="O59" s="137"/>
      <c r="P59" s="137"/>
      <c r="Q59" s="137"/>
      <c r="R59" s="133"/>
      <c r="S59" s="25" t="s">
        <v>77</v>
      </c>
      <c r="T59" s="100" t="s">
        <v>78</v>
      </c>
      <c r="U59" s="21" t="s">
        <v>79</v>
      </c>
      <c r="V59" s="97"/>
      <c r="W59" s="22"/>
      <c r="X59" s="66" t="s">
        <v>97</v>
      </c>
      <c r="Y59" s="66" t="s">
        <v>98</v>
      </c>
      <c r="Z59" s="66" t="s">
        <v>99</v>
      </c>
    </row>
    <row r="60" spans="1:26" ht="18" customHeight="1" x14ac:dyDescent="0.2">
      <c r="A60" s="24"/>
      <c r="B60" s="148" t="s">
        <v>100</v>
      </c>
      <c r="C60" s="149"/>
      <c r="D60" s="149"/>
      <c r="E60" s="150"/>
      <c r="F60" s="101">
        <v>1</v>
      </c>
      <c r="G60" s="101" t="s">
        <v>83</v>
      </c>
      <c r="H60" s="145" t="s">
        <v>84</v>
      </c>
      <c r="I60" s="146"/>
      <c r="J60" s="147"/>
      <c r="K60" s="101" t="s">
        <v>83</v>
      </c>
      <c r="L60" s="101"/>
      <c r="M60" s="101"/>
      <c r="N60" s="148"/>
      <c r="O60" s="149"/>
      <c r="P60" s="149"/>
      <c r="Q60" s="149"/>
      <c r="R60" s="150"/>
      <c r="S60" s="101"/>
      <c r="T60" s="101"/>
      <c r="U60" s="145"/>
      <c r="V60" s="146"/>
      <c r="W60" s="147"/>
      <c r="X60" s="107"/>
      <c r="Y60" s="101"/>
      <c r="Z60" s="101"/>
    </row>
    <row r="61" spans="1:26" ht="18" customHeight="1" x14ac:dyDescent="0.2">
      <c r="A61" s="24"/>
      <c r="B61" s="157" t="s">
        <v>101</v>
      </c>
      <c r="C61" s="158"/>
      <c r="D61" s="158"/>
      <c r="E61" s="159"/>
      <c r="F61" s="102">
        <v>1</v>
      </c>
      <c r="G61" s="102" t="s">
        <v>83</v>
      </c>
      <c r="H61" s="154" t="s">
        <v>84</v>
      </c>
      <c r="I61" s="155"/>
      <c r="J61" s="156"/>
      <c r="K61" s="105"/>
      <c r="L61" s="102" t="s">
        <v>83</v>
      </c>
      <c r="M61" s="102" t="s">
        <v>83</v>
      </c>
      <c r="N61" s="157"/>
      <c r="O61" s="158"/>
      <c r="P61" s="158"/>
      <c r="Q61" s="158"/>
      <c r="R61" s="159"/>
      <c r="S61" s="102"/>
      <c r="T61" s="102"/>
      <c r="U61" s="154"/>
      <c r="V61" s="155"/>
      <c r="W61" s="156"/>
      <c r="X61" s="105"/>
      <c r="Y61" s="102"/>
      <c r="Z61" s="102"/>
    </row>
    <row r="62" spans="1:26" ht="18" customHeight="1" x14ac:dyDescent="0.2">
      <c r="A62" s="24"/>
      <c r="B62" s="157"/>
      <c r="C62" s="158"/>
      <c r="D62" s="158"/>
      <c r="E62" s="159"/>
      <c r="F62" s="102"/>
      <c r="G62" s="102"/>
      <c r="H62" s="154"/>
      <c r="I62" s="155"/>
      <c r="J62" s="156"/>
      <c r="K62" s="105"/>
      <c r="L62" s="102"/>
      <c r="M62" s="102"/>
      <c r="N62" s="157"/>
      <c r="O62" s="158"/>
      <c r="P62" s="158"/>
      <c r="Q62" s="158"/>
      <c r="R62" s="159"/>
      <c r="S62" s="102"/>
      <c r="T62" s="102"/>
      <c r="U62" s="154"/>
      <c r="V62" s="155"/>
      <c r="W62" s="156"/>
      <c r="X62" s="105"/>
      <c r="Y62" s="102"/>
      <c r="Z62" s="102"/>
    </row>
    <row r="63" spans="1:26" ht="18" customHeight="1" x14ac:dyDescent="0.2">
      <c r="A63" s="24"/>
      <c r="B63" s="157"/>
      <c r="C63" s="158"/>
      <c r="D63" s="158"/>
      <c r="E63" s="159"/>
      <c r="F63" s="102"/>
      <c r="G63" s="102"/>
      <c r="H63" s="154"/>
      <c r="I63" s="155"/>
      <c r="J63" s="156"/>
      <c r="K63" s="105"/>
      <c r="L63" s="102"/>
      <c r="M63" s="102"/>
      <c r="N63" s="157"/>
      <c r="O63" s="158"/>
      <c r="P63" s="158"/>
      <c r="Q63" s="158"/>
      <c r="R63" s="159"/>
      <c r="S63" s="102"/>
      <c r="T63" s="102"/>
      <c r="U63" s="154"/>
      <c r="V63" s="155"/>
      <c r="W63" s="156"/>
      <c r="X63" s="105"/>
      <c r="Y63" s="102"/>
      <c r="Z63" s="102"/>
    </row>
    <row r="64" spans="1:26" ht="18" customHeight="1" x14ac:dyDescent="0.2">
      <c r="A64" s="24"/>
      <c r="B64" s="157"/>
      <c r="C64" s="158"/>
      <c r="D64" s="158"/>
      <c r="E64" s="159"/>
      <c r="F64" s="102"/>
      <c r="G64" s="102"/>
      <c r="H64" s="154"/>
      <c r="I64" s="155"/>
      <c r="J64" s="156"/>
      <c r="K64" s="105"/>
      <c r="L64" s="102"/>
      <c r="M64" s="102"/>
      <c r="N64" s="157"/>
      <c r="O64" s="158"/>
      <c r="P64" s="158"/>
      <c r="Q64" s="158"/>
      <c r="R64" s="159"/>
      <c r="S64" s="102"/>
      <c r="T64" s="102"/>
      <c r="U64" s="154"/>
      <c r="V64" s="155"/>
      <c r="W64" s="156"/>
      <c r="X64" s="105"/>
      <c r="Y64" s="102"/>
      <c r="Z64" s="102"/>
    </row>
    <row r="65" spans="1:26" ht="18" customHeight="1" x14ac:dyDescent="0.2">
      <c r="A65" s="24"/>
      <c r="B65" s="157"/>
      <c r="C65" s="158"/>
      <c r="D65" s="158"/>
      <c r="E65" s="159"/>
      <c r="F65" s="102"/>
      <c r="G65" s="102"/>
      <c r="H65" s="154"/>
      <c r="I65" s="155"/>
      <c r="J65" s="156"/>
      <c r="K65" s="105"/>
      <c r="L65" s="102"/>
      <c r="M65" s="102"/>
      <c r="N65" s="157"/>
      <c r="O65" s="158"/>
      <c r="P65" s="158"/>
      <c r="Q65" s="158"/>
      <c r="R65" s="159"/>
      <c r="S65" s="102"/>
      <c r="T65" s="102"/>
      <c r="U65" s="154"/>
      <c r="V65" s="155"/>
      <c r="W65" s="156"/>
      <c r="X65" s="105"/>
      <c r="Y65" s="102"/>
      <c r="Z65" s="102"/>
    </row>
    <row r="66" spans="1:26" ht="18" customHeight="1" x14ac:dyDescent="0.2">
      <c r="A66" s="24"/>
      <c r="B66" s="178"/>
      <c r="C66" s="179"/>
      <c r="D66" s="179"/>
      <c r="E66" s="180"/>
      <c r="F66" s="103"/>
      <c r="G66" s="103"/>
      <c r="H66" s="175"/>
      <c r="I66" s="176"/>
      <c r="J66" s="177"/>
      <c r="K66" s="106"/>
      <c r="L66" s="108"/>
      <c r="M66" s="108"/>
      <c r="N66" s="178"/>
      <c r="O66" s="179"/>
      <c r="P66" s="179"/>
      <c r="Q66" s="179"/>
      <c r="R66" s="180"/>
      <c r="S66" s="103"/>
      <c r="T66" s="103"/>
      <c r="U66" s="175"/>
      <c r="V66" s="176"/>
      <c r="W66" s="177"/>
      <c r="X66" s="106"/>
      <c r="Y66" s="108"/>
      <c r="Z66" s="108"/>
    </row>
    <row r="67" spans="1:26" ht="7.5" customHeight="1" x14ac:dyDescent="0.2">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6" ht="18" customHeight="1" x14ac:dyDescent="0.2">
      <c r="A68" s="13" t="s">
        <v>102</v>
      </c>
      <c r="B68" s="13"/>
      <c r="C68" s="13"/>
      <c r="D68" s="13"/>
      <c r="E68" s="13"/>
      <c r="F68" s="13"/>
      <c r="G68" s="13"/>
      <c r="H68" s="13"/>
      <c r="I68" s="13"/>
      <c r="J68" s="13"/>
      <c r="K68" s="13"/>
      <c r="L68" s="24"/>
      <c r="M68" s="24"/>
      <c r="N68" s="24"/>
      <c r="O68" s="24"/>
      <c r="P68" s="24"/>
      <c r="Q68" s="24"/>
      <c r="R68" s="24"/>
      <c r="S68" s="24"/>
      <c r="T68" s="24"/>
      <c r="U68" s="24"/>
      <c r="V68" s="24"/>
      <c r="W68" s="24"/>
      <c r="X68" s="24"/>
      <c r="Y68" s="24"/>
      <c r="Z68" s="24"/>
    </row>
    <row r="69" spans="1:26" ht="18" customHeight="1" x14ac:dyDescent="0.2">
      <c r="A69" s="13"/>
      <c r="B69" s="132" t="s">
        <v>76</v>
      </c>
      <c r="C69" s="137"/>
      <c r="D69" s="137"/>
      <c r="E69" s="137"/>
      <c r="F69" s="133"/>
      <c r="G69" s="132" t="s">
        <v>103</v>
      </c>
      <c r="H69" s="137"/>
      <c r="I69" s="137"/>
      <c r="J69" s="137"/>
      <c r="K69" s="137"/>
      <c r="L69" s="137"/>
      <c r="M69" s="133"/>
      <c r="N69" s="187" t="s">
        <v>76</v>
      </c>
      <c r="O69" s="188"/>
      <c r="P69" s="188"/>
      <c r="Q69" s="188"/>
      <c r="R69" s="188"/>
      <c r="S69" s="189"/>
      <c r="T69" s="132" t="s">
        <v>103</v>
      </c>
      <c r="U69" s="137"/>
      <c r="V69" s="137"/>
      <c r="W69" s="137"/>
      <c r="X69" s="137"/>
      <c r="Y69" s="137"/>
      <c r="Z69" s="133"/>
    </row>
    <row r="70" spans="1:26" ht="18" customHeight="1" x14ac:dyDescent="0.2">
      <c r="A70" s="24"/>
      <c r="B70" s="148" t="s">
        <v>104</v>
      </c>
      <c r="C70" s="149"/>
      <c r="D70" s="149"/>
      <c r="E70" s="149"/>
      <c r="F70" s="150"/>
      <c r="G70" s="142" t="s">
        <v>105</v>
      </c>
      <c r="H70" s="143"/>
      <c r="I70" s="143"/>
      <c r="J70" s="143"/>
      <c r="K70" s="143"/>
      <c r="L70" s="143"/>
      <c r="M70" s="144"/>
      <c r="N70" s="148"/>
      <c r="O70" s="149"/>
      <c r="P70" s="149"/>
      <c r="Q70" s="149"/>
      <c r="R70" s="149"/>
      <c r="S70" s="150"/>
      <c r="T70" s="181"/>
      <c r="U70" s="182"/>
      <c r="V70" s="182"/>
      <c r="W70" s="182"/>
      <c r="X70" s="182"/>
      <c r="Y70" s="182"/>
      <c r="Z70" s="183"/>
    </row>
    <row r="71" spans="1:26" ht="18" customHeight="1" x14ac:dyDescent="0.2">
      <c r="A71" s="24"/>
      <c r="B71" s="148" t="s">
        <v>104</v>
      </c>
      <c r="C71" s="149"/>
      <c r="D71" s="149"/>
      <c r="E71" s="149"/>
      <c r="F71" s="150"/>
      <c r="G71" s="151" t="s">
        <v>106</v>
      </c>
      <c r="H71" s="152"/>
      <c r="I71" s="152"/>
      <c r="J71" s="152"/>
      <c r="K71" s="152"/>
      <c r="L71" s="152"/>
      <c r="M71" s="153"/>
      <c r="N71" s="157"/>
      <c r="O71" s="158"/>
      <c r="P71" s="158"/>
      <c r="Q71" s="158"/>
      <c r="R71" s="158"/>
      <c r="S71" s="159"/>
      <c r="T71" s="184"/>
      <c r="U71" s="185"/>
      <c r="V71" s="185"/>
      <c r="W71" s="185"/>
      <c r="X71" s="185"/>
      <c r="Y71" s="185"/>
      <c r="Z71" s="186"/>
    </row>
    <row r="72" spans="1:26" ht="18" customHeight="1" x14ac:dyDescent="0.2">
      <c r="A72" s="24"/>
      <c r="B72" s="157" t="s">
        <v>107</v>
      </c>
      <c r="C72" s="158"/>
      <c r="D72" s="158"/>
      <c r="E72" s="158"/>
      <c r="F72" s="159"/>
      <c r="G72" s="151" t="s">
        <v>105</v>
      </c>
      <c r="H72" s="152"/>
      <c r="I72" s="152"/>
      <c r="J72" s="152"/>
      <c r="K72" s="152"/>
      <c r="L72" s="152"/>
      <c r="M72" s="153"/>
      <c r="N72" s="157"/>
      <c r="O72" s="158"/>
      <c r="P72" s="158"/>
      <c r="Q72" s="158"/>
      <c r="R72" s="158"/>
      <c r="S72" s="159"/>
      <c r="T72" s="184"/>
      <c r="U72" s="185"/>
      <c r="V72" s="185"/>
      <c r="W72" s="185"/>
      <c r="X72" s="185"/>
      <c r="Y72" s="185"/>
      <c r="Z72" s="186"/>
    </row>
    <row r="73" spans="1:26" ht="18" customHeight="1" x14ac:dyDescent="0.2">
      <c r="A73" s="24"/>
      <c r="B73" s="157" t="s">
        <v>107</v>
      </c>
      <c r="C73" s="158"/>
      <c r="D73" s="158"/>
      <c r="E73" s="158"/>
      <c r="F73" s="159"/>
      <c r="G73" s="151" t="s">
        <v>106</v>
      </c>
      <c r="H73" s="152"/>
      <c r="I73" s="152"/>
      <c r="J73" s="152"/>
      <c r="K73" s="152"/>
      <c r="L73" s="152"/>
      <c r="M73" s="153"/>
      <c r="N73" s="157"/>
      <c r="O73" s="158"/>
      <c r="P73" s="158"/>
      <c r="Q73" s="158"/>
      <c r="R73" s="158"/>
      <c r="S73" s="159"/>
      <c r="T73" s="184"/>
      <c r="U73" s="185"/>
      <c r="V73" s="185"/>
      <c r="W73" s="185"/>
      <c r="X73" s="185"/>
      <c r="Y73" s="185"/>
      <c r="Z73" s="186"/>
    </row>
    <row r="74" spans="1:26" ht="18" customHeight="1" x14ac:dyDescent="0.2">
      <c r="A74" s="24"/>
      <c r="B74" s="157" t="s">
        <v>108</v>
      </c>
      <c r="C74" s="158"/>
      <c r="D74" s="158"/>
      <c r="E74" s="158"/>
      <c r="F74" s="159"/>
      <c r="G74" s="151" t="s">
        <v>105</v>
      </c>
      <c r="H74" s="152"/>
      <c r="I74" s="152"/>
      <c r="J74" s="152"/>
      <c r="K74" s="152"/>
      <c r="L74" s="152"/>
      <c r="M74" s="153"/>
      <c r="N74" s="157"/>
      <c r="O74" s="158"/>
      <c r="P74" s="158"/>
      <c r="Q74" s="158"/>
      <c r="R74" s="158"/>
      <c r="S74" s="159"/>
      <c r="T74" s="184"/>
      <c r="U74" s="185"/>
      <c r="V74" s="185"/>
      <c r="W74" s="185"/>
      <c r="X74" s="185"/>
      <c r="Y74" s="185"/>
      <c r="Z74" s="186"/>
    </row>
    <row r="75" spans="1:26" ht="18" customHeight="1" x14ac:dyDescent="0.2">
      <c r="A75" s="24"/>
      <c r="B75" s="157" t="s">
        <v>108</v>
      </c>
      <c r="C75" s="158"/>
      <c r="D75" s="158"/>
      <c r="E75" s="158"/>
      <c r="F75" s="159"/>
      <c r="G75" s="151" t="s">
        <v>109</v>
      </c>
      <c r="H75" s="152"/>
      <c r="I75" s="152"/>
      <c r="J75" s="152"/>
      <c r="K75" s="152"/>
      <c r="L75" s="152"/>
      <c r="M75" s="153"/>
      <c r="N75" s="157"/>
      <c r="O75" s="158"/>
      <c r="P75" s="158"/>
      <c r="Q75" s="158"/>
      <c r="R75" s="158"/>
      <c r="S75" s="159"/>
      <c r="T75" s="184"/>
      <c r="U75" s="185"/>
      <c r="V75" s="185"/>
      <c r="W75" s="185"/>
      <c r="X75" s="185"/>
      <c r="Y75" s="185"/>
      <c r="Z75" s="186"/>
    </row>
    <row r="76" spans="1:26" ht="18" customHeight="1" x14ac:dyDescent="0.2">
      <c r="A76" s="24"/>
      <c r="B76" s="157" t="s">
        <v>108</v>
      </c>
      <c r="C76" s="158"/>
      <c r="D76" s="158"/>
      <c r="E76" s="158"/>
      <c r="F76" s="159"/>
      <c r="G76" s="172" t="s">
        <v>110</v>
      </c>
      <c r="H76" s="173"/>
      <c r="I76" s="173"/>
      <c r="J76" s="173"/>
      <c r="K76" s="173"/>
      <c r="L76" s="173"/>
      <c r="M76" s="174"/>
      <c r="N76" s="178"/>
      <c r="O76" s="179"/>
      <c r="P76" s="179"/>
      <c r="Q76" s="179"/>
      <c r="R76" s="179"/>
      <c r="S76" s="180"/>
      <c r="T76" s="197"/>
      <c r="U76" s="198"/>
      <c r="V76" s="198"/>
      <c r="W76" s="198"/>
      <c r="X76" s="198"/>
      <c r="Y76" s="198"/>
      <c r="Z76" s="199"/>
    </row>
    <row r="77" spans="1:26" ht="18" customHeight="1" x14ac:dyDescent="0.2">
      <c r="A77" s="24"/>
      <c r="B77" s="30"/>
      <c r="C77" s="30"/>
      <c r="D77" s="30"/>
      <c r="E77" s="30"/>
      <c r="F77" s="30"/>
      <c r="G77" s="11"/>
      <c r="H77" s="11"/>
      <c r="I77" s="11"/>
      <c r="J77" s="11"/>
      <c r="K77" s="11"/>
      <c r="L77" s="11"/>
      <c r="M77" s="11"/>
      <c r="N77" s="30"/>
      <c r="O77" s="30"/>
      <c r="P77" s="30"/>
      <c r="Q77" s="30"/>
      <c r="R77" s="30"/>
      <c r="S77" s="30"/>
      <c r="T77" s="11"/>
      <c r="U77" s="11"/>
      <c r="V77" s="11"/>
      <c r="W77" s="11"/>
      <c r="X77" s="11"/>
      <c r="Y77" s="11"/>
      <c r="Z77" s="11"/>
    </row>
    <row r="78" spans="1:26" ht="18.75" customHeight="1" x14ac:dyDescent="0.2">
      <c r="A78" s="12" t="s">
        <v>111</v>
      </c>
    </row>
    <row r="79" spans="1:26" ht="18.75" customHeight="1" x14ac:dyDescent="0.2">
      <c r="B79" s="68" t="s">
        <v>112</v>
      </c>
      <c r="C79" s="69"/>
      <c r="D79" s="200" t="s">
        <v>113</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78" customHeight="1" x14ac:dyDescent="0.2">
      <c r="B80" s="190" t="s">
        <v>114</v>
      </c>
      <c r="C80" s="75" t="s">
        <v>80</v>
      </c>
      <c r="D80" s="203" t="s">
        <v>115</v>
      </c>
      <c r="E80" s="204"/>
      <c r="F80" s="204"/>
      <c r="G80" s="204"/>
      <c r="H80" s="204"/>
      <c r="I80" s="204"/>
      <c r="J80" s="204"/>
      <c r="K80" s="204"/>
      <c r="L80" s="204"/>
      <c r="M80" s="204"/>
      <c r="N80" s="204"/>
      <c r="O80" s="204"/>
      <c r="P80" s="204"/>
      <c r="Q80" s="204"/>
      <c r="R80" s="204"/>
      <c r="S80" s="204"/>
      <c r="T80" s="204"/>
      <c r="U80" s="204"/>
      <c r="V80" s="204"/>
      <c r="W80" s="204"/>
      <c r="X80" s="204"/>
      <c r="Y80" s="204"/>
      <c r="Z80" s="205"/>
    </row>
    <row r="81" spans="1:26" ht="78" customHeight="1" x14ac:dyDescent="0.2">
      <c r="B81" s="202"/>
      <c r="C81" s="98" t="s">
        <v>116</v>
      </c>
      <c r="D81" s="206" t="s">
        <v>117</v>
      </c>
      <c r="E81" s="207"/>
      <c r="F81" s="207"/>
      <c r="G81" s="207"/>
      <c r="H81" s="207"/>
      <c r="I81" s="207"/>
      <c r="J81" s="207"/>
      <c r="K81" s="207"/>
      <c r="L81" s="207"/>
      <c r="M81" s="207"/>
      <c r="N81" s="207"/>
      <c r="O81" s="207"/>
      <c r="P81" s="207"/>
      <c r="Q81" s="207"/>
      <c r="R81" s="207"/>
      <c r="S81" s="207"/>
      <c r="T81" s="207"/>
      <c r="U81" s="207"/>
      <c r="V81" s="207"/>
      <c r="W81" s="207"/>
      <c r="X81" s="207"/>
      <c r="Y81" s="207"/>
      <c r="Z81" s="208"/>
    </row>
    <row r="82" spans="1:26" ht="78" customHeight="1" x14ac:dyDescent="0.2">
      <c r="B82" s="190" t="s">
        <v>118</v>
      </c>
      <c r="C82" s="70" t="s">
        <v>86</v>
      </c>
      <c r="D82" s="192" t="s">
        <v>119</v>
      </c>
      <c r="E82" s="143"/>
      <c r="F82" s="143"/>
      <c r="G82" s="143"/>
      <c r="H82" s="143"/>
      <c r="I82" s="143"/>
      <c r="J82" s="143"/>
      <c r="K82" s="143"/>
      <c r="L82" s="143"/>
      <c r="M82" s="143"/>
      <c r="N82" s="143"/>
      <c r="O82" s="143"/>
      <c r="P82" s="143"/>
      <c r="Q82" s="143"/>
      <c r="R82" s="143"/>
      <c r="S82" s="143"/>
      <c r="T82" s="143"/>
      <c r="U82" s="143"/>
      <c r="V82" s="143"/>
      <c r="W82" s="143"/>
      <c r="X82" s="143"/>
      <c r="Y82" s="143"/>
      <c r="Z82" s="144"/>
    </row>
    <row r="83" spans="1:26" ht="78" customHeight="1" x14ac:dyDescent="0.2">
      <c r="B83" s="191"/>
      <c r="C83" s="99" t="s">
        <v>87</v>
      </c>
      <c r="D83" s="193" t="s">
        <v>120</v>
      </c>
      <c r="E83" s="173"/>
      <c r="F83" s="173"/>
      <c r="G83" s="173"/>
      <c r="H83" s="173"/>
      <c r="I83" s="173"/>
      <c r="J83" s="173"/>
      <c r="K83" s="173"/>
      <c r="L83" s="173"/>
      <c r="M83" s="173"/>
      <c r="N83" s="173"/>
      <c r="O83" s="173"/>
      <c r="P83" s="173"/>
      <c r="Q83" s="173"/>
      <c r="R83" s="173"/>
      <c r="S83" s="173"/>
      <c r="T83" s="173"/>
      <c r="U83" s="173"/>
      <c r="V83" s="173"/>
      <c r="W83" s="173"/>
      <c r="X83" s="173"/>
      <c r="Y83" s="173"/>
      <c r="Z83" s="174"/>
    </row>
    <row r="84" spans="1:26" ht="85.95" customHeight="1" x14ac:dyDescent="0.2">
      <c r="B84" s="190" t="s">
        <v>121</v>
      </c>
      <c r="C84" s="70" t="s">
        <v>89</v>
      </c>
      <c r="D84" s="192" t="s">
        <v>122</v>
      </c>
      <c r="E84" s="143"/>
      <c r="F84" s="143"/>
      <c r="G84" s="143"/>
      <c r="H84" s="143"/>
      <c r="I84" s="143"/>
      <c r="J84" s="143"/>
      <c r="K84" s="143"/>
      <c r="L84" s="143"/>
      <c r="M84" s="143"/>
      <c r="N84" s="143"/>
      <c r="O84" s="143"/>
      <c r="P84" s="143"/>
      <c r="Q84" s="143"/>
      <c r="R84" s="143"/>
      <c r="S84" s="143"/>
      <c r="T84" s="143"/>
      <c r="U84" s="143"/>
      <c r="V84" s="143"/>
      <c r="W84" s="143"/>
      <c r="X84" s="143"/>
      <c r="Y84" s="143"/>
      <c r="Z84" s="144"/>
    </row>
    <row r="85" spans="1:26" ht="55.95" customHeight="1" x14ac:dyDescent="0.2">
      <c r="B85" s="191"/>
      <c r="C85" s="72" t="s">
        <v>90</v>
      </c>
      <c r="D85" s="194" t="s">
        <v>119</v>
      </c>
      <c r="E85" s="195"/>
      <c r="F85" s="195"/>
      <c r="G85" s="195"/>
      <c r="H85" s="195"/>
      <c r="I85" s="195"/>
      <c r="J85" s="195"/>
      <c r="K85" s="195"/>
      <c r="L85" s="195"/>
      <c r="M85" s="195"/>
      <c r="N85" s="195"/>
      <c r="O85" s="195"/>
      <c r="P85" s="195"/>
      <c r="Q85" s="195"/>
      <c r="R85" s="195"/>
      <c r="S85" s="195"/>
      <c r="T85" s="195"/>
      <c r="U85" s="195"/>
      <c r="V85" s="195"/>
      <c r="W85" s="195"/>
      <c r="X85" s="195"/>
      <c r="Y85" s="195"/>
      <c r="Z85" s="196"/>
    </row>
    <row r="86" spans="1:26" ht="66" customHeight="1" x14ac:dyDescent="0.2">
      <c r="B86" s="190" t="s">
        <v>123</v>
      </c>
      <c r="C86" s="75" t="s">
        <v>92</v>
      </c>
      <c r="D86" s="203" t="s">
        <v>124</v>
      </c>
      <c r="E86" s="204"/>
      <c r="F86" s="204"/>
      <c r="G86" s="204"/>
      <c r="H86" s="204"/>
      <c r="I86" s="204"/>
      <c r="J86" s="204"/>
      <c r="K86" s="204"/>
      <c r="L86" s="204"/>
      <c r="M86" s="204"/>
      <c r="N86" s="204"/>
      <c r="O86" s="204"/>
      <c r="P86" s="204"/>
      <c r="Q86" s="204"/>
      <c r="R86" s="204"/>
      <c r="S86" s="204"/>
      <c r="T86" s="204"/>
      <c r="U86" s="204"/>
      <c r="V86" s="204"/>
      <c r="W86" s="204"/>
      <c r="X86" s="204"/>
      <c r="Y86" s="204"/>
      <c r="Z86" s="205"/>
    </row>
    <row r="87" spans="1:26" ht="66" customHeight="1" x14ac:dyDescent="0.2">
      <c r="B87" s="202"/>
      <c r="C87" s="71" t="s">
        <v>93</v>
      </c>
      <c r="D87" s="219" t="s">
        <v>125</v>
      </c>
      <c r="E87" s="152"/>
      <c r="F87" s="152"/>
      <c r="G87" s="152"/>
      <c r="H87" s="152"/>
      <c r="I87" s="152"/>
      <c r="J87" s="152"/>
      <c r="K87" s="152"/>
      <c r="L87" s="152"/>
      <c r="M87" s="152"/>
      <c r="N87" s="152"/>
      <c r="O87" s="152"/>
      <c r="P87" s="152"/>
      <c r="Q87" s="152"/>
      <c r="R87" s="152"/>
      <c r="S87" s="152"/>
      <c r="T87" s="152"/>
      <c r="U87" s="152"/>
      <c r="V87" s="152"/>
      <c r="W87" s="152"/>
      <c r="X87" s="152"/>
      <c r="Y87" s="152"/>
      <c r="Z87" s="153"/>
    </row>
    <row r="88" spans="1:26" ht="171" customHeight="1" x14ac:dyDescent="0.2">
      <c r="B88" s="190" t="s">
        <v>126</v>
      </c>
      <c r="C88" s="70" t="s">
        <v>97</v>
      </c>
      <c r="D88" s="220" t="s">
        <v>127</v>
      </c>
      <c r="E88" s="149"/>
      <c r="F88" s="149"/>
      <c r="G88" s="149"/>
      <c r="H88" s="149"/>
      <c r="I88" s="149"/>
      <c r="J88" s="149"/>
      <c r="K88" s="149"/>
      <c r="L88" s="149"/>
      <c r="M88" s="149"/>
      <c r="N88" s="149"/>
      <c r="O88" s="149"/>
      <c r="P88" s="149"/>
      <c r="Q88" s="149"/>
      <c r="R88" s="149"/>
      <c r="S88" s="149"/>
      <c r="T88" s="149"/>
      <c r="U88" s="149"/>
      <c r="V88" s="149"/>
      <c r="W88" s="149"/>
      <c r="X88" s="149"/>
      <c r="Y88" s="149"/>
      <c r="Z88" s="150"/>
    </row>
    <row r="89" spans="1:26" ht="109.2" customHeight="1" x14ac:dyDescent="0.2">
      <c r="B89" s="202"/>
      <c r="C89" s="71" t="s">
        <v>98</v>
      </c>
      <c r="D89" s="221" t="s">
        <v>128</v>
      </c>
      <c r="E89" s="158"/>
      <c r="F89" s="158"/>
      <c r="G89" s="158"/>
      <c r="H89" s="158"/>
      <c r="I89" s="158"/>
      <c r="J89" s="158"/>
      <c r="K89" s="158"/>
      <c r="L89" s="158"/>
      <c r="M89" s="158"/>
      <c r="N89" s="158"/>
      <c r="O89" s="158"/>
      <c r="P89" s="158"/>
      <c r="Q89" s="158"/>
      <c r="R89" s="158"/>
      <c r="S89" s="158"/>
      <c r="T89" s="158"/>
      <c r="U89" s="158"/>
      <c r="V89" s="158"/>
      <c r="W89" s="158"/>
      <c r="X89" s="158"/>
      <c r="Y89" s="158"/>
      <c r="Z89" s="159"/>
    </row>
    <row r="90" spans="1:26" ht="92.55" customHeight="1" x14ac:dyDescent="0.2">
      <c r="B90" s="191"/>
      <c r="C90" s="72" t="s">
        <v>99</v>
      </c>
      <c r="D90" s="221" t="s">
        <v>129</v>
      </c>
      <c r="E90" s="158"/>
      <c r="F90" s="158"/>
      <c r="G90" s="158"/>
      <c r="H90" s="158"/>
      <c r="I90" s="158"/>
      <c r="J90" s="158"/>
      <c r="K90" s="158"/>
      <c r="L90" s="158"/>
      <c r="M90" s="158"/>
      <c r="N90" s="158"/>
      <c r="O90" s="158"/>
      <c r="P90" s="158"/>
      <c r="Q90" s="158"/>
      <c r="R90" s="158"/>
      <c r="S90" s="158"/>
      <c r="T90" s="158"/>
      <c r="U90" s="158"/>
      <c r="V90" s="158"/>
      <c r="W90" s="158"/>
      <c r="X90" s="158"/>
      <c r="Y90" s="158"/>
      <c r="Z90" s="159"/>
    </row>
    <row r="91" spans="1:26" ht="6" customHeight="1" x14ac:dyDescent="0.2">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8.75" customHeight="1" x14ac:dyDescent="0.2">
      <c r="A92" s="12" t="s">
        <v>130</v>
      </c>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8.75" customHeight="1" x14ac:dyDescent="0.2">
      <c r="B93" s="209" t="s">
        <v>131</v>
      </c>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1"/>
    </row>
    <row r="94" spans="1:26" ht="18.75" customHeight="1" x14ac:dyDescent="0.2">
      <c r="B94" s="212"/>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213"/>
    </row>
    <row r="95" spans="1:26" ht="51" customHeight="1" x14ac:dyDescent="0.2">
      <c r="B95" s="214"/>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6"/>
    </row>
    <row r="96" spans="1:26" ht="6" customHeight="1" x14ac:dyDescent="0.2">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 customHeight="1" x14ac:dyDescent="0.2">
      <c r="A97" s="12" t="s">
        <v>132</v>
      </c>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33.450000000000003" customHeight="1" x14ac:dyDescent="0.2">
      <c r="B98" s="217" t="s">
        <v>133</v>
      </c>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21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8169DA37-5E21-4612-9D29-EFE280857F8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F975ACA0-4477-4F71-81D2-D75392E5B755}">
      <formula1>"学部・学科によって、修了要件は相違する,学部・学科によって、修了要件は相違しない"</formula1>
    </dataValidation>
    <dataValidation type="list" allowBlank="1" showInputMessage="1" showErrorMessage="1" sqref="Z23 Z34 D34:K34 D23:K23 V16:V22 I16:I22 V27:V33 H60:H66 V38:V44 I27:I33 V49:V55 I38:I44 U60:U66 I49:I55" xr:uid="{A6C9EA81-43D0-40E3-A092-6E25DEBECA72}">
      <formula1>"全学開講,一部開講"</formula1>
    </dataValidation>
    <dataValidation type="list" allowBlank="1" showInputMessage="1" showErrorMessage="1" sqref="Y16:Z22 L16:M22 Y27:Z33 H27:H33 H38:H44 Y38:Z44 H49:H55 Y49:Z55 Y60:Z66 L60:M66 H16:H22 U16:U22 T60:T66 U27:U33 L27:M33 U38:U44 L38:M44 U49:U55 G60:G66 L49:M55 K60" xr:uid="{67AE801A-D571-4FF0-A637-322BA2142E1D}">
      <formula1>"○"</formula1>
    </dataValidation>
  </dataValidations>
  <hyperlinks>
    <hyperlink ref="B98" r:id="rId1" display="https://www.nichiyaku.ac.jp/course-information/datascience-center/educational-programs/" xr:uid="{60B05CE4-6F07-4C03-B12A-226A0A8B113B}"/>
  </hyperlinks>
  <printOptions horizontalCentered="1"/>
  <pageMargins left="0.78740157480314998" right="0.78740157480314998" top="0.78740157480314998" bottom="0.39370078740157499" header="0.31496062992126" footer="0.31496062992126"/>
  <pageSetup paperSize="9" scale="92"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B3FA-2171-4454-8E40-B4977013F5FC}">
  <dimension ref="A1:Z98"/>
  <sheetViews>
    <sheetView showZeros="0" view="pageBreakPreview" zoomScaleNormal="100" zoomScaleSheetLayoutView="100" workbookViewId="0">
      <selection activeCell="T33" sqref="T33"/>
    </sheetView>
  </sheetViews>
  <sheetFormatPr defaultColWidth="9" defaultRowHeight="18.75" customHeight="1" x14ac:dyDescent="0.2"/>
  <cols>
    <col min="1" max="1" width="2.44140625" style="12" customWidth="1"/>
    <col min="2" max="2" width="27.6640625" style="12" customWidth="1"/>
    <col min="3" max="13" width="3.33203125" style="12" customWidth="1"/>
    <col min="14" max="14" width="8.77734375" style="12" customWidth="1"/>
    <col min="15" max="15" width="18.77734375" style="12" customWidth="1"/>
    <col min="16" max="19" width="3.33203125" style="12" customWidth="1"/>
    <col min="20" max="20" width="3.44140625" style="12" customWidth="1"/>
    <col min="21" max="26" width="3.33203125" style="12" customWidth="1"/>
    <col min="27" max="16384" width="9" style="12"/>
  </cols>
  <sheetData>
    <row r="1" spans="1:26" ht="15" customHeight="1" x14ac:dyDescent="0.2">
      <c r="W1" s="160" t="s">
        <v>134</v>
      </c>
      <c r="X1" s="160"/>
      <c r="Y1" s="160"/>
      <c r="Z1" s="160"/>
    </row>
    <row r="2" spans="1:26" ht="18" customHeight="1" x14ac:dyDescent="0.2">
      <c r="A2" s="161" t="s">
        <v>70</v>
      </c>
      <c r="B2" s="161"/>
      <c r="C2" s="161"/>
      <c r="D2" s="161"/>
      <c r="E2" s="161"/>
      <c r="F2" s="161"/>
      <c r="G2" s="161"/>
      <c r="H2" s="161"/>
      <c r="I2" s="161"/>
      <c r="J2" s="161"/>
      <c r="K2" s="161"/>
      <c r="L2" s="161"/>
      <c r="M2" s="161"/>
      <c r="N2" s="161"/>
      <c r="O2" s="161"/>
      <c r="P2" s="161"/>
      <c r="Q2" s="161"/>
      <c r="R2" s="161"/>
      <c r="S2" s="161"/>
      <c r="T2" s="161"/>
      <c r="U2" s="161"/>
      <c r="V2" s="161"/>
      <c r="W2" s="161"/>
      <c r="X2" s="161"/>
      <c r="Y2" s="161"/>
      <c r="Z2" s="161"/>
    </row>
    <row r="3" spans="1:26" ht="15" customHeight="1" x14ac:dyDescent="0.2">
      <c r="B3" s="24"/>
      <c r="C3" s="24"/>
      <c r="D3" s="24"/>
      <c r="E3" s="24"/>
      <c r="F3" s="24"/>
      <c r="G3" s="24"/>
      <c r="H3" s="24"/>
      <c r="I3" s="24"/>
      <c r="J3" s="24"/>
      <c r="K3" s="24"/>
      <c r="L3" s="24"/>
      <c r="M3" s="24"/>
      <c r="N3" s="24"/>
      <c r="O3" s="24"/>
      <c r="P3" s="24"/>
      <c r="Q3" s="24"/>
      <c r="R3" s="24"/>
      <c r="S3" s="24"/>
      <c r="T3" s="24"/>
      <c r="U3" s="24"/>
      <c r="V3" s="24"/>
      <c r="W3" s="24"/>
      <c r="X3" s="24"/>
      <c r="Y3" s="24"/>
      <c r="Z3" s="24"/>
    </row>
    <row r="4" spans="1:26" ht="18" customHeight="1" x14ac:dyDescent="0.2">
      <c r="A4" s="12" t="s">
        <v>71</v>
      </c>
      <c r="B4" s="24"/>
      <c r="C4" s="24"/>
      <c r="D4" s="24"/>
      <c r="E4" s="24"/>
      <c r="F4" s="24"/>
      <c r="G4" s="24"/>
      <c r="H4" s="13" t="s">
        <v>72</v>
      </c>
      <c r="I4" s="24"/>
      <c r="J4" s="24"/>
      <c r="K4" s="24"/>
      <c r="L4" s="24"/>
      <c r="M4" s="24"/>
      <c r="N4" s="24"/>
      <c r="O4" s="132" t="s">
        <v>73</v>
      </c>
      <c r="P4" s="137"/>
      <c r="Q4" s="137"/>
      <c r="R4" s="137"/>
      <c r="S4" s="137"/>
      <c r="T4" s="137"/>
      <c r="U4" s="137"/>
      <c r="V4" s="137"/>
      <c r="W4" s="137"/>
      <c r="X4" s="137"/>
      <c r="Y4" s="137"/>
      <c r="Z4" s="133"/>
    </row>
    <row r="5" spans="1:26" ht="6" customHeight="1" x14ac:dyDescent="0.2">
      <c r="B5" s="24"/>
      <c r="C5" s="24"/>
      <c r="D5" s="24"/>
      <c r="E5" s="24"/>
      <c r="F5" s="24"/>
      <c r="G5" s="24"/>
      <c r="H5" s="24"/>
      <c r="I5" s="24"/>
      <c r="J5" s="24"/>
      <c r="K5" s="24"/>
      <c r="L5" s="24"/>
      <c r="M5" s="24"/>
      <c r="N5" s="24"/>
      <c r="O5" s="14"/>
      <c r="P5" s="24"/>
      <c r="Q5" s="24"/>
      <c r="R5" s="24"/>
      <c r="S5" s="24"/>
      <c r="T5" s="24"/>
      <c r="U5" s="24"/>
      <c r="V5" s="24"/>
      <c r="W5" s="24"/>
      <c r="X5" s="24"/>
      <c r="Y5" s="24"/>
      <c r="Z5" s="24"/>
    </row>
    <row r="6" spans="1:26" ht="18" customHeight="1" x14ac:dyDescent="0.2">
      <c r="B6" s="162" t="s">
        <v>135</v>
      </c>
      <c r="C6" s="163"/>
      <c r="D6" s="163"/>
      <c r="E6" s="163"/>
      <c r="F6" s="163"/>
      <c r="G6" s="163"/>
      <c r="H6" s="163"/>
      <c r="I6" s="163"/>
      <c r="J6" s="163"/>
      <c r="K6" s="163"/>
      <c r="L6" s="163"/>
      <c r="M6" s="163"/>
      <c r="N6" s="163"/>
      <c r="O6" s="163"/>
      <c r="P6" s="163"/>
      <c r="Q6" s="163"/>
      <c r="R6" s="163"/>
      <c r="S6" s="163"/>
      <c r="T6" s="163"/>
      <c r="U6" s="163"/>
      <c r="V6" s="163"/>
      <c r="W6" s="163"/>
      <c r="X6" s="163"/>
      <c r="Y6" s="163"/>
      <c r="Z6" s="164"/>
    </row>
    <row r="7" spans="1:26" ht="18" customHeight="1" x14ac:dyDescent="0.2">
      <c r="B7" s="165"/>
      <c r="C7" s="166"/>
      <c r="D7" s="166"/>
      <c r="E7" s="166"/>
      <c r="F7" s="166"/>
      <c r="G7" s="166"/>
      <c r="H7" s="166"/>
      <c r="I7" s="166"/>
      <c r="J7" s="166"/>
      <c r="K7" s="166"/>
      <c r="L7" s="166"/>
      <c r="M7" s="166"/>
      <c r="N7" s="166"/>
      <c r="O7" s="166"/>
      <c r="P7" s="166"/>
      <c r="Q7" s="166"/>
      <c r="R7" s="166"/>
      <c r="S7" s="166"/>
      <c r="T7" s="166"/>
      <c r="U7" s="166"/>
      <c r="V7" s="166"/>
      <c r="W7" s="166"/>
      <c r="X7" s="166"/>
      <c r="Y7" s="166"/>
      <c r="Z7" s="167"/>
    </row>
    <row r="8" spans="1:26" ht="18" customHeight="1" x14ac:dyDescent="0.2">
      <c r="B8" s="165"/>
      <c r="C8" s="166"/>
      <c r="D8" s="166"/>
      <c r="E8" s="166"/>
      <c r="F8" s="166"/>
      <c r="G8" s="166"/>
      <c r="H8" s="166"/>
      <c r="I8" s="166"/>
      <c r="J8" s="166"/>
      <c r="K8" s="166"/>
      <c r="L8" s="166"/>
      <c r="M8" s="166"/>
      <c r="N8" s="166"/>
      <c r="O8" s="166"/>
      <c r="P8" s="166"/>
      <c r="Q8" s="166"/>
      <c r="R8" s="166"/>
      <c r="S8" s="166"/>
      <c r="T8" s="166"/>
      <c r="U8" s="166"/>
      <c r="V8" s="166"/>
      <c r="W8" s="166"/>
      <c r="X8" s="166"/>
      <c r="Y8" s="166"/>
      <c r="Z8" s="167"/>
    </row>
    <row r="9" spans="1:26" ht="18" customHeight="1" x14ac:dyDescent="0.2">
      <c r="B9" s="165"/>
      <c r="C9" s="166"/>
      <c r="D9" s="166"/>
      <c r="E9" s="166"/>
      <c r="F9" s="166"/>
      <c r="G9" s="166"/>
      <c r="H9" s="166"/>
      <c r="I9" s="166"/>
      <c r="J9" s="166"/>
      <c r="K9" s="166"/>
      <c r="L9" s="166"/>
      <c r="M9" s="166"/>
      <c r="N9" s="166"/>
      <c r="O9" s="166"/>
      <c r="P9" s="166"/>
      <c r="Q9" s="166"/>
      <c r="R9" s="166"/>
      <c r="S9" s="166"/>
      <c r="T9" s="166"/>
      <c r="U9" s="166"/>
      <c r="V9" s="166"/>
      <c r="W9" s="166"/>
      <c r="X9" s="166"/>
      <c r="Y9" s="166"/>
      <c r="Z9" s="167"/>
    </row>
    <row r="10" spans="1:26" ht="18" customHeight="1" x14ac:dyDescent="0.2">
      <c r="B10" s="165"/>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7"/>
    </row>
    <row r="11" spans="1:26" ht="18" customHeight="1" x14ac:dyDescent="0.2">
      <c r="B11" s="168"/>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70"/>
    </row>
    <row r="12" spans="1:26" ht="7.5" customHeight="1" x14ac:dyDescent="0.2">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8" customHeight="1" x14ac:dyDescent="0.2">
      <c r="A13" s="171" t="s">
        <v>75</v>
      </c>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row>
    <row r="14" spans="1:26" ht="18" customHeight="1" x14ac:dyDescent="0.2">
      <c r="A14" s="171"/>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row>
    <row r="15" spans="1:26" ht="18" customHeight="1" x14ac:dyDescent="0.2">
      <c r="A15" s="13"/>
      <c r="B15" s="132" t="s">
        <v>76</v>
      </c>
      <c r="C15" s="137"/>
      <c r="D15" s="137"/>
      <c r="E15" s="137"/>
      <c r="F15" s="133"/>
      <c r="G15" s="25" t="s">
        <v>77</v>
      </c>
      <c r="H15" s="100" t="s">
        <v>78</v>
      </c>
      <c r="I15" s="137" t="s">
        <v>79</v>
      </c>
      <c r="J15" s="137"/>
      <c r="K15" s="137"/>
      <c r="L15" s="66" t="s">
        <v>80</v>
      </c>
      <c r="M15" s="66" t="s">
        <v>81</v>
      </c>
      <c r="N15" s="132" t="s">
        <v>76</v>
      </c>
      <c r="O15" s="137"/>
      <c r="P15" s="137"/>
      <c r="Q15" s="137"/>
      <c r="R15" s="137"/>
      <c r="S15" s="133"/>
      <c r="T15" s="25" t="s">
        <v>77</v>
      </c>
      <c r="U15" s="100" t="s">
        <v>78</v>
      </c>
      <c r="V15" s="137" t="s">
        <v>79</v>
      </c>
      <c r="W15" s="137"/>
      <c r="X15" s="137"/>
      <c r="Y15" s="66" t="s">
        <v>80</v>
      </c>
      <c r="Z15" s="66" t="s">
        <v>81</v>
      </c>
    </row>
    <row r="16" spans="1:26" ht="18" customHeight="1" x14ac:dyDescent="0.2">
      <c r="A16" s="13"/>
      <c r="B16" s="142" t="s">
        <v>94</v>
      </c>
      <c r="C16" s="143"/>
      <c r="D16" s="143"/>
      <c r="E16" s="143"/>
      <c r="F16" s="144"/>
      <c r="G16" s="101">
        <v>2</v>
      </c>
      <c r="H16" s="101" t="s">
        <v>83</v>
      </c>
      <c r="I16" s="145" t="s">
        <v>95</v>
      </c>
      <c r="J16" s="146"/>
      <c r="K16" s="147"/>
      <c r="L16" s="101" t="s">
        <v>83</v>
      </c>
      <c r="M16" s="101"/>
      <c r="N16" s="148"/>
      <c r="O16" s="149"/>
      <c r="P16" s="149"/>
      <c r="Q16" s="149"/>
      <c r="R16" s="149"/>
      <c r="S16" s="150"/>
      <c r="T16" s="101"/>
      <c r="U16" s="101"/>
      <c r="V16" s="145"/>
      <c r="W16" s="146"/>
      <c r="X16" s="147"/>
      <c r="Y16" s="101"/>
      <c r="Z16" s="101"/>
    </row>
    <row r="17" spans="1:26" ht="18" customHeight="1" x14ac:dyDescent="0.2">
      <c r="A17" s="13"/>
      <c r="B17" s="151" t="s">
        <v>136</v>
      </c>
      <c r="C17" s="152"/>
      <c r="D17" s="152"/>
      <c r="E17" s="152"/>
      <c r="F17" s="153"/>
      <c r="G17" s="102">
        <v>2</v>
      </c>
      <c r="H17" s="102" t="s">
        <v>83</v>
      </c>
      <c r="I17" s="154" t="s">
        <v>84</v>
      </c>
      <c r="J17" s="155"/>
      <c r="K17" s="156"/>
      <c r="L17" s="102"/>
      <c r="M17" s="102" t="s">
        <v>83</v>
      </c>
      <c r="N17" s="157"/>
      <c r="O17" s="158"/>
      <c r="P17" s="158"/>
      <c r="Q17" s="158"/>
      <c r="R17" s="158"/>
      <c r="S17" s="159"/>
      <c r="T17" s="102"/>
      <c r="U17" s="102"/>
      <c r="V17" s="154"/>
      <c r="W17" s="155"/>
      <c r="X17" s="156"/>
      <c r="Y17" s="102"/>
      <c r="Z17" s="102"/>
    </row>
    <row r="18" spans="1:26" ht="18" customHeight="1" x14ac:dyDescent="0.2">
      <c r="A18" s="13"/>
      <c r="B18" s="151"/>
      <c r="C18" s="152"/>
      <c r="D18" s="152"/>
      <c r="E18" s="152"/>
      <c r="F18" s="153"/>
      <c r="G18" s="102"/>
      <c r="H18" s="102"/>
      <c r="I18" s="154"/>
      <c r="J18" s="155"/>
      <c r="K18" s="156"/>
      <c r="L18" s="102"/>
      <c r="M18" s="102"/>
      <c r="N18" s="157"/>
      <c r="O18" s="158"/>
      <c r="P18" s="158"/>
      <c r="Q18" s="158"/>
      <c r="R18" s="158"/>
      <c r="S18" s="159"/>
      <c r="T18" s="102"/>
      <c r="U18" s="102"/>
      <c r="V18" s="154"/>
      <c r="W18" s="155"/>
      <c r="X18" s="156"/>
      <c r="Y18" s="102"/>
      <c r="Z18" s="102"/>
    </row>
    <row r="19" spans="1:26" ht="18" customHeight="1" x14ac:dyDescent="0.2">
      <c r="A19" s="13"/>
      <c r="B19" s="151"/>
      <c r="C19" s="152"/>
      <c r="D19" s="152"/>
      <c r="E19" s="152"/>
      <c r="F19" s="153"/>
      <c r="G19" s="102"/>
      <c r="H19" s="102"/>
      <c r="I19" s="154"/>
      <c r="J19" s="155"/>
      <c r="K19" s="156"/>
      <c r="L19" s="102"/>
      <c r="M19" s="102"/>
      <c r="N19" s="157"/>
      <c r="O19" s="158"/>
      <c r="P19" s="158"/>
      <c r="Q19" s="158"/>
      <c r="R19" s="158"/>
      <c r="S19" s="159"/>
      <c r="T19" s="102"/>
      <c r="U19" s="102"/>
      <c r="V19" s="154"/>
      <c r="W19" s="155"/>
      <c r="X19" s="156"/>
      <c r="Y19" s="102"/>
      <c r="Z19" s="102"/>
    </row>
    <row r="20" spans="1:26" ht="18" customHeight="1" x14ac:dyDescent="0.2">
      <c r="A20" s="13"/>
      <c r="B20" s="151"/>
      <c r="C20" s="152"/>
      <c r="D20" s="152"/>
      <c r="E20" s="152"/>
      <c r="F20" s="153"/>
      <c r="G20" s="102"/>
      <c r="H20" s="102"/>
      <c r="I20" s="154"/>
      <c r="J20" s="155"/>
      <c r="K20" s="156"/>
      <c r="L20" s="102"/>
      <c r="M20" s="102"/>
      <c r="N20" s="157"/>
      <c r="O20" s="158"/>
      <c r="P20" s="158"/>
      <c r="Q20" s="158"/>
      <c r="R20" s="158"/>
      <c r="S20" s="159"/>
      <c r="T20" s="102"/>
      <c r="U20" s="102"/>
      <c r="V20" s="154"/>
      <c r="W20" s="155"/>
      <c r="X20" s="156"/>
      <c r="Y20" s="102"/>
      <c r="Z20" s="102"/>
    </row>
    <row r="21" spans="1:26" ht="18" customHeight="1" x14ac:dyDescent="0.2">
      <c r="A21" s="24"/>
      <c r="B21" s="151"/>
      <c r="C21" s="152"/>
      <c r="D21" s="152"/>
      <c r="E21" s="152"/>
      <c r="F21" s="153"/>
      <c r="G21" s="102"/>
      <c r="H21" s="102"/>
      <c r="I21" s="154"/>
      <c r="J21" s="155"/>
      <c r="K21" s="156"/>
      <c r="L21" s="102"/>
      <c r="M21" s="102"/>
      <c r="N21" s="157"/>
      <c r="O21" s="158"/>
      <c r="P21" s="158"/>
      <c r="Q21" s="158"/>
      <c r="R21" s="158"/>
      <c r="S21" s="159"/>
      <c r="T21" s="102"/>
      <c r="U21" s="102"/>
      <c r="V21" s="154"/>
      <c r="W21" s="155"/>
      <c r="X21" s="156"/>
      <c r="Y21" s="102"/>
      <c r="Z21" s="102"/>
    </row>
    <row r="22" spans="1:26" ht="18" customHeight="1" x14ac:dyDescent="0.2">
      <c r="A22" s="24"/>
      <c r="B22" s="172"/>
      <c r="C22" s="173"/>
      <c r="D22" s="173"/>
      <c r="E22" s="173"/>
      <c r="F22" s="174"/>
      <c r="G22" s="103"/>
      <c r="H22" s="103"/>
      <c r="I22" s="175"/>
      <c r="J22" s="176"/>
      <c r="K22" s="177"/>
      <c r="L22" s="108"/>
      <c r="M22" s="108"/>
      <c r="N22" s="178"/>
      <c r="O22" s="179"/>
      <c r="P22" s="179"/>
      <c r="Q22" s="179"/>
      <c r="R22" s="179"/>
      <c r="S22" s="180"/>
      <c r="T22" s="103"/>
      <c r="U22" s="103"/>
      <c r="V22" s="175"/>
      <c r="W22" s="176"/>
      <c r="X22" s="177"/>
      <c r="Y22" s="108"/>
      <c r="Z22" s="108"/>
    </row>
    <row r="23" spans="1:26" ht="7.5" customHeight="1" x14ac:dyDescent="0.2">
      <c r="A23" s="24"/>
      <c r="B23" s="30"/>
      <c r="C23" s="30"/>
      <c r="D23" s="24"/>
      <c r="E23" s="24"/>
      <c r="F23" s="24"/>
      <c r="G23" s="24"/>
      <c r="H23" s="24"/>
      <c r="I23" s="24"/>
      <c r="J23" s="24"/>
      <c r="K23" s="24"/>
      <c r="L23" s="30"/>
      <c r="M23" s="30"/>
      <c r="N23" s="30"/>
      <c r="O23" s="30"/>
      <c r="P23" s="30"/>
      <c r="Q23" s="30"/>
      <c r="R23" s="30"/>
      <c r="S23" s="30"/>
      <c r="T23" s="30"/>
      <c r="U23" s="30"/>
      <c r="V23" s="30"/>
      <c r="W23" s="30"/>
      <c r="X23" s="30"/>
      <c r="Y23" s="30"/>
      <c r="Z23" s="24"/>
    </row>
    <row r="24" spans="1:26" ht="18" customHeight="1" x14ac:dyDescent="0.2">
      <c r="A24" s="171" t="s">
        <v>85</v>
      </c>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row>
    <row r="25" spans="1:26" ht="18" customHeight="1" x14ac:dyDescent="0.2">
      <c r="A25" s="171"/>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row>
    <row r="26" spans="1:26" ht="18" customHeight="1" x14ac:dyDescent="0.2">
      <c r="A26" s="13"/>
      <c r="B26" s="132" t="s">
        <v>76</v>
      </c>
      <c r="C26" s="137"/>
      <c r="D26" s="137"/>
      <c r="E26" s="137"/>
      <c r="F26" s="133"/>
      <c r="G26" s="25" t="s">
        <v>77</v>
      </c>
      <c r="H26" s="100" t="s">
        <v>78</v>
      </c>
      <c r="I26" s="137" t="s">
        <v>79</v>
      </c>
      <c r="J26" s="137"/>
      <c r="K26" s="137"/>
      <c r="L26" s="66" t="s">
        <v>86</v>
      </c>
      <c r="M26" s="66" t="s">
        <v>87</v>
      </c>
      <c r="N26" s="132" t="s">
        <v>76</v>
      </c>
      <c r="O26" s="137"/>
      <c r="P26" s="137"/>
      <c r="Q26" s="137"/>
      <c r="R26" s="137"/>
      <c r="S26" s="133"/>
      <c r="T26" s="25" t="s">
        <v>77</v>
      </c>
      <c r="U26" s="100" t="s">
        <v>78</v>
      </c>
      <c r="V26" s="137" t="s">
        <v>79</v>
      </c>
      <c r="W26" s="137"/>
      <c r="X26" s="137"/>
      <c r="Y26" s="66" t="s">
        <v>86</v>
      </c>
      <c r="Z26" s="66" t="s">
        <v>87</v>
      </c>
    </row>
    <row r="27" spans="1:26" ht="18" customHeight="1" x14ac:dyDescent="0.2">
      <c r="A27" s="13"/>
      <c r="B27" s="142" t="s">
        <v>94</v>
      </c>
      <c r="C27" s="143"/>
      <c r="D27" s="143"/>
      <c r="E27" s="143"/>
      <c r="F27" s="144"/>
      <c r="G27" s="101">
        <v>2</v>
      </c>
      <c r="H27" s="101" t="s">
        <v>83</v>
      </c>
      <c r="I27" s="145" t="s">
        <v>95</v>
      </c>
      <c r="J27" s="146"/>
      <c r="K27" s="147"/>
      <c r="L27" s="101" t="s">
        <v>83</v>
      </c>
      <c r="M27" s="101"/>
      <c r="N27" s="148"/>
      <c r="O27" s="149"/>
      <c r="P27" s="149"/>
      <c r="Q27" s="149"/>
      <c r="R27" s="149"/>
      <c r="S27" s="150"/>
      <c r="T27" s="101"/>
      <c r="U27" s="101"/>
      <c r="V27" s="145"/>
      <c r="W27" s="146"/>
      <c r="X27" s="147"/>
      <c r="Y27" s="101"/>
      <c r="Z27" s="101"/>
    </row>
    <row r="28" spans="1:26" ht="18" customHeight="1" x14ac:dyDescent="0.2">
      <c r="A28" s="13"/>
      <c r="B28" s="151" t="s">
        <v>136</v>
      </c>
      <c r="C28" s="152"/>
      <c r="D28" s="152"/>
      <c r="E28" s="152"/>
      <c r="F28" s="153"/>
      <c r="G28" s="102">
        <v>2</v>
      </c>
      <c r="H28" s="102" t="s">
        <v>83</v>
      </c>
      <c r="I28" s="154" t="s">
        <v>137</v>
      </c>
      <c r="J28" s="155"/>
      <c r="K28" s="156"/>
      <c r="L28" s="102"/>
      <c r="M28" s="102" t="s">
        <v>83</v>
      </c>
      <c r="N28" s="157"/>
      <c r="O28" s="158"/>
      <c r="P28" s="158"/>
      <c r="Q28" s="158"/>
      <c r="R28" s="158"/>
      <c r="S28" s="159"/>
      <c r="T28" s="102"/>
      <c r="U28" s="102"/>
      <c r="V28" s="154"/>
      <c r="W28" s="155"/>
      <c r="X28" s="156"/>
      <c r="Y28" s="102"/>
      <c r="Z28" s="102"/>
    </row>
    <row r="29" spans="1:26" ht="18" customHeight="1" x14ac:dyDescent="0.2">
      <c r="A29" s="13"/>
      <c r="B29" s="151"/>
      <c r="C29" s="152"/>
      <c r="D29" s="152"/>
      <c r="E29" s="152"/>
      <c r="F29" s="153"/>
      <c r="G29" s="102"/>
      <c r="H29" s="102"/>
      <c r="I29" s="154"/>
      <c r="J29" s="155"/>
      <c r="K29" s="156"/>
      <c r="L29" s="102"/>
      <c r="M29" s="102"/>
      <c r="N29" s="157"/>
      <c r="O29" s="158"/>
      <c r="P29" s="158"/>
      <c r="Q29" s="158"/>
      <c r="R29" s="158"/>
      <c r="S29" s="159"/>
      <c r="T29" s="102"/>
      <c r="U29" s="102"/>
      <c r="V29" s="154"/>
      <c r="W29" s="155"/>
      <c r="X29" s="156"/>
      <c r="Y29" s="102"/>
      <c r="Z29" s="102"/>
    </row>
    <row r="30" spans="1:26" ht="18" customHeight="1" x14ac:dyDescent="0.2">
      <c r="A30" s="13"/>
      <c r="B30" s="151"/>
      <c r="C30" s="152"/>
      <c r="D30" s="152"/>
      <c r="E30" s="152"/>
      <c r="F30" s="153"/>
      <c r="G30" s="102"/>
      <c r="H30" s="102"/>
      <c r="I30" s="154"/>
      <c r="J30" s="155"/>
      <c r="K30" s="156"/>
      <c r="L30" s="102"/>
      <c r="M30" s="102"/>
      <c r="N30" s="157"/>
      <c r="O30" s="158"/>
      <c r="P30" s="158"/>
      <c r="Q30" s="158"/>
      <c r="R30" s="158"/>
      <c r="S30" s="159"/>
      <c r="T30" s="102"/>
      <c r="U30" s="102"/>
      <c r="V30" s="154"/>
      <c r="W30" s="155"/>
      <c r="X30" s="156"/>
      <c r="Y30" s="102"/>
      <c r="Z30" s="102"/>
    </row>
    <row r="31" spans="1:26" ht="18" customHeight="1" x14ac:dyDescent="0.2">
      <c r="A31" s="13"/>
      <c r="B31" s="151"/>
      <c r="C31" s="152"/>
      <c r="D31" s="152"/>
      <c r="E31" s="152"/>
      <c r="F31" s="153"/>
      <c r="G31" s="102"/>
      <c r="H31" s="102"/>
      <c r="I31" s="154"/>
      <c r="J31" s="155"/>
      <c r="K31" s="156"/>
      <c r="L31" s="102"/>
      <c r="M31" s="102"/>
      <c r="N31" s="157"/>
      <c r="O31" s="158"/>
      <c r="P31" s="158"/>
      <c r="Q31" s="158"/>
      <c r="R31" s="158"/>
      <c r="S31" s="159"/>
      <c r="T31" s="102"/>
      <c r="U31" s="102"/>
      <c r="V31" s="154"/>
      <c r="W31" s="155"/>
      <c r="X31" s="156"/>
      <c r="Y31" s="102"/>
      <c r="Z31" s="102"/>
    </row>
    <row r="32" spans="1:26" ht="18" customHeight="1" x14ac:dyDescent="0.2">
      <c r="A32" s="13"/>
      <c r="B32" s="151"/>
      <c r="C32" s="152"/>
      <c r="D32" s="152"/>
      <c r="E32" s="152"/>
      <c r="F32" s="153"/>
      <c r="G32" s="102"/>
      <c r="H32" s="102"/>
      <c r="I32" s="154"/>
      <c r="J32" s="155"/>
      <c r="K32" s="156"/>
      <c r="L32" s="102"/>
      <c r="M32" s="102"/>
      <c r="N32" s="157"/>
      <c r="O32" s="158"/>
      <c r="P32" s="158"/>
      <c r="Q32" s="158"/>
      <c r="R32" s="158"/>
      <c r="S32" s="159"/>
      <c r="T32" s="102"/>
      <c r="U32" s="102"/>
      <c r="V32" s="154"/>
      <c r="W32" s="155"/>
      <c r="X32" s="156"/>
      <c r="Y32" s="102"/>
      <c r="Z32" s="102"/>
    </row>
    <row r="33" spans="1:26" ht="18" customHeight="1" x14ac:dyDescent="0.2">
      <c r="A33" s="13"/>
      <c r="B33" s="172"/>
      <c r="C33" s="173"/>
      <c r="D33" s="173"/>
      <c r="E33" s="173"/>
      <c r="F33" s="174"/>
      <c r="G33" s="103"/>
      <c r="H33" s="103"/>
      <c r="I33" s="175"/>
      <c r="J33" s="176"/>
      <c r="K33" s="177"/>
      <c r="L33" s="108"/>
      <c r="M33" s="108"/>
      <c r="N33" s="178"/>
      <c r="O33" s="179"/>
      <c r="P33" s="179"/>
      <c r="Q33" s="179"/>
      <c r="R33" s="179"/>
      <c r="S33" s="180"/>
      <c r="T33" s="103"/>
      <c r="U33" s="103"/>
      <c r="V33" s="175"/>
      <c r="W33" s="176"/>
      <c r="X33" s="177"/>
      <c r="Y33" s="108"/>
      <c r="Z33" s="108"/>
    </row>
    <row r="34" spans="1:26" ht="7.5" customHeight="1" x14ac:dyDescent="0.2">
      <c r="A34" s="24"/>
      <c r="B34" s="30"/>
      <c r="C34" s="30"/>
      <c r="D34" s="24"/>
      <c r="E34" s="24"/>
      <c r="F34" s="24"/>
      <c r="G34" s="24"/>
      <c r="H34" s="24"/>
      <c r="I34" s="24"/>
      <c r="J34" s="24"/>
      <c r="K34" s="24"/>
      <c r="L34" s="30"/>
      <c r="M34" s="30"/>
      <c r="N34" s="30"/>
      <c r="O34" s="30"/>
      <c r="P34" s="30"/>
      <c r="Q34" s="30"/>
      <c r="R34" s="30"/>
      <c r="S34" s="30"/>
      <c r="T34" s="30"/>
      <c r="U34" s="30"/>
      <c r="V34" s="30"/>
      <c r="W34" s="30"/>
      <c r="X34" s="30"/>
      <c r="Y34" s="30"/>
      <c r="Z34" s="24"/>
    </row>
    <row r="35" spans="1:26" ht="18" customHeight="1" x14ac:dyDescent="0.2">
      <c r="A35" s="171" t="s">
        <v>88</v>
      </c>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row>
    <row r="36" spans="1:26" ht="18" customHeight="1" x14ac:dyDescent="0.2">
      <c r="A36" s="171"/>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row>
    <row r="37" spans="1:26" ht="18" customHeight="1" x14ac:dyDescent="0.2">
      <c r="A37" s="13"/>
      <c r="B37" s="132" t="s">
        <v>76</v>
      </c>
      <c r="C37" s="137"/>
      <c r="D37" s="137"/>
      <c r="E37" s="137"/>
      <c r="F37" s="133"/>
      <c r="G37" s="25" t="s">
        <v>77</v>
      </c>
      <c r="H37" s="100" t="s">
        <v>78</v>
      </c>
      <c r="I37" s="132" t="s">
        <v>79</v>
      </c>
      <c r="J37" s="137"/>
      <c r="K37" s="133"/>
      <c r="L37" s="66" t="s">
        <v>89</v>
      </c>
      <c r="M37" s="66" t="s">
        <v>90</v>
      </c>
      <c r="N37" s="132" t="s">
        <v>76</v>
      </c>
      <c r="O37" s="137"/>
      <c r="P37" s="137"/>
      <c r="Q37" s="137"/>
      <c r="R37" s="137"/>
      <c r="S37" s="133"/>
      <c r="T37" s="25" t="s">
        <v>77</v>
      </c>
      <c r="U37" s="100" t="s">
        <v>78</v>
      </c>
      <c r="V37" s="132" t="s">
        <v>79</v>
      </c>
      <c r="W37" s="137"/>
      <c r="X37" s="133"/>
      <c r="Y37" s="66" t="s">
        <v>89</v>
      </c>
      <c r="Z37" s="66" t="s">
        <v>90</v>
      </c>
    </row>
    <row r="38" spans="1:26" ht="18" customHeight="1" x14ac:dyDescent="0.2">
      <c r="A38" s="24"/>
      <c r="B38" s="151" t="s">
        <v>136</v>
      </c>
      <c r="C38" s="152"/>
      <c r="D38" s="152"/>
      <c r="E38" s="152"/>
      <c r="F38" s="153"/>
      <c r="G38" s="102">
        <v>2</v>
      </c>
      <c r="H38" s="102" t="s">
        <v>83</v>
      </c>
      <c r="I38" s="154" t="s">
        <v>84</v>
      </c>
      <c r="J38" s="155"/>
      <c r="K38" s="156"/>
      <c r="L38" s="102" t="s">
        <v>83</v>
      </c>
      <c r="M38" s="102" t="s">
        <v>83</v>
      </c>
      <c r="N38" s="148"/>
      <c r="O38" s="149"/>
      <c r="P38" s="149"/>
      <c r="Q38" s="149"/>
      <c r="R38" s="149"/>
      <c r="S38" s="150"/>
      <c r="T38" s="101"/>
      <c r="U38" s="101"/>
      <c r="V38" s="145"/>
      <c r="W38" s="146"/>
      <c r="X38" s="147"/>
      <c r="Y38" s="101"/>
      <c r="Z38" s="101"/>
    </row>
    <row r="39" spans="1:26" ht="18" customHeight="1" x14ac:dyDescent="0.2">
      <c r="A39" s="24"/>
      <c r="B39" s="151"/>
      <c r="C39" s="152"/>
      <c r="D39" s="152"/>
      <c r="E39" s="152"/>
      <c r="F39" s="153"/>
      <c r="G39" s="102"/>
      <c r="H39" s="102"/>
      <c r="I39" s="154"/>
      <c r="J39" s="155"/>
      <c r="K39" s="156"/>
      <c r="L39" s="102"/>
      <c r="M39" s="102"/>
      <c r="N39" s="157"/>
      <c r="O39" s="158"/>
      <c r="P39" s="158"/>
      <c r="Q39" s="158"/>
      <c r="R39" s="158"/>
      <c r="S39" s="159"/>
      <c r="T39" s="102"/>
      <c r="U39" s="102"/>
      <c r="V39" s="154"/>
      <c r="W39" s="155"/>
      <c r="X39" s="156"/>
      <c r="Y39" s="102"/>
      <c r="Z39" s="102"/>
    </row>
    <row r="40" spans="1:26" ht="18" customHeight="1" x14ac:dyDescent="0.2">
      <c r="A40" s="24"/>
      <c r="B40" s="151"/>
      <c r="C40" s="152"/>
      <c r="D40" s="152"/>
      <c r="E40" s="152"/>
      <c r="F40" s="153"/>
      <c r="G40" s="102"/>
      <c r="H40" s="102"/>
      <c r="I40" s="154"/>
      <c r="J40" s="155"/>
      <c r="K40" s="156"/>
      <c r="L40" s="102"/>
      <c r="M40" s="102"/>
      <c r="N40" s="157"/>
      <c r="O40" s="158"/>
      <c r="P40" s="158"/>
      <c r="Q40" s="158"/>
      <c r="R40" s="158"/>
      <c r="S40" s="159"/>
      <c r="T40" s="102"/>
      <c r="U40" s="102"/>
      <c r="V40" s="154"/>
      <c r="W40" s="155"/>
      <c r="X40" s="156"/>
      <c r="Y40" s="102"/>
      <c r="Z40" s="102"/>
    </row>
    <row r="41" spans="1:26" ht="18" customHeight="1" x14ac:dyDescent="0.2">
      <c r="A41" s="24"/>
      <c r="B41" s="151"/>
      <c r="C41" s="152"/>
      <c r="D41" s="152"/>
      <c r="E41" s="152"/>
      <c r="F41" s="153"/>
      <c r="G41" s="102"/>
      <c r="H41" s="102"/>
      <c r="I41" s="154"/>
      <c r="J41" s="155"/>
      <c r="K41" s="156"/>
      <c r="L41" s="102"/>
      <c r="M41" s="102"/>
      <c r="N41" s="157"/>
      <c r="O41" s="158"/>
      <c r="P41" s="158"/>
      <c r="Q41" s="158"/>
      <c r="R41" s="158"/>
      <c r="S41" s="159"/>
      <c r="T41" s="102"/>
      <c r="U41" s="102"/>
      <c r="V41" s="154"/>
      <c r="W41" s="155"/>
      <c r="X41" s="156"/>
      <c r="Y41" s="102"/>
      <c r="Z41" s="102"/>
    </row>
    <row r="42" spans="1:26" ht="18" customHeight="1" x14ac:dyDescent="0.2">
      <c r="A42" s="24"/>
      <c r="B42" s="151"/>
      <c r="C42" s="152"/>
      <c r="D42" s="152"/>
      <c r="E42" s="152"/>
      <c r="F42" s="153"/>
      <c r="G42" s="102"/>
      <c r="H42" s="102"/>
      <c r="I42" s="154"/>
      <c r="J42" s="155"/>
      <c r="K42" s="156"/>
      <c r="L42" s="102"/>
      <c r="M42" s="102"/>
      <c r="N42" s="157"/>
      <c r="O42" s="158"/>
      <c r="P42" s="158"/>
      <c r="Q42" s="158"/>
      <c r="R42" s="158"/>
      <c r="S42" s="159"/>
      <c r="T42" s="102"/>
      <c r="U42" s="102"/>
      <c r="V42" s="154"/>
      <c r="W42" s="155"/>
      <c r="X42" s="156"/>
      <c r="Y42" s="102"/>
      <c r="Z42" s="102"/>
    </row>
    <row r="43" spans="1:26" ht="18" customHeight="1" x14ac:dyDescent="0.2">
      <c r="A43" s="24"/>
      <c r="B43" s="151"/>
      <c r="C43" s="152"/>
      <c r="D43" s="152"/>
      <c r="E43" s="152"/>
      <c r="F43" s="153"/>
      <c r="G43" s="102"/>
      <c r="H43" s="102"/>
      <c r="I43" s="154"/>
      <c r="J43" s="155"/>
      <c r="K43" s="156"/>
      <c r="L43" s="102"/>
      <c r="M43" s="102"/>
      <c r="N43" s="157"/>
      <c r="O43" s="158"/>
      <c r="P43" s="158"/>
      <c r="Q43" s="158"/>
      <c r="R43" s="158"/>
      <c r="S43" s="159"/>
      <c r="T43" s="102"/>
      <c r="U43" s="102"/>
      <c r="V43" s="154"/>
      <c r="W43" s="155"/>
      <c r="X43" s="156"/>
      <c r="Y43" s="102"/>
      <c r="Z43" s="102"/>
    </row>
    <row r="44" spans="1:26" ht="18" customHeight="1" x14ac:dyDescent="0.2">
      <c r="A44" s="24"/>
      <c r="B44" s="172"/>
      <c r="C44" s="173"/>
      <c r="D44" s="173"/>
      <c r="E44" s="173"/>
      <c r="F44" s="174"/>
      <c r="G44" s="103"/>
      <c r="H44" s="103"/>
      <c r="I44" s="175"/>
      <c r="J44" s="176"/>
      <c r="K44" s="177"/>
      <c r="L44" s="108"/>
      <c r="M44" s="108"/>
      <c r="N44" s="178"/>
      <c r="O44" s="179"/>
      <c r="P44" s="179"/>
      <c r="Q44" s="179"/>
      <c r="R44" s="179"/>
      <c r="S44" s="180"/>
      <c r="T44" s="103"/>
      <c r="U44" s="103"/>
      <c r="V44" s="175"/>
      <c r="W44" s="176"/>
      <c r="X44" s="177"/>
      <c r="Y44" s="108"/>
      <c r="Z44" s="108"/>
    </row>
    <row r="45" spans="1:26" ht="7.5" customHeight="1" x14ac:dyDescent="0.2">
      <c r="B45" s="67"/>
      <c r="C45" s="67"/>
      <c r="D45" s="67"/>
      <c r="E45" s="67"/>
      <c r="F45" s="67"/>
      <c r="G45" s="67"/>
      <c r="H45" s="67"/>
      <c r="I45" s="67"/>
      <c r="J45" s="67"/>
      <c r="K45" s="67"/>
      <c r="L45" s="67"/>
      <c r="M45" s="67"/>
      <c r="N45" s="67"/>
      <c r="O45" s="67"/>
      <c r="P45" s="67"/>
      <c r="Q45" s="67"/>
      <c r="R45" s="67"/>
      <c r="S45" s="67"/>
      <c r="T45" s="67"/>
      <c r="U45" s="67"/>
      <c r="V45" s="67"/>
      <c r="W45" s="67"/>
      <c r="X45" s="67"/>
      <c r="Y45" s="67"/>
    </row>
    <row r="46" spans="1:26" ht="18" customHeight="1" x14ac:dyDescent="0.2">
      <c r="A46" s="171" t="s">
        <v>91</v>
      </c>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row>
    <row r="47" spans="1:26" ht="18" customHeight="1" x14ac:dyDescent="0.2">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row>
    <row r="48" spans="1:26" ht="18" customHeight="1" x14ac:dyDescent="0.2">
      <c r="A48" s="13"/>
      <c r="B48" s="132" t="s">
        <v>76</v>
      </c>
      <c r="C48" s="137"/>
      <c r="D48" s="137"/>
      <c r="E48" s="137"/>
      <c r="F48" s="133"/>
      <c r="G48" s="25" t="s">
        <v>77</v>
      </c>
      <c r="H48" s="100" t="s">
        <v>78</v>
      </c>
      <c r="I48" s="132" t="s">
        <v>79</v>
      </c>
      <c r="J48" s="137"/>
      <c r="K48" s="133"/>
      <c r="L48" s="66" t="s">
        <v>92</v>
      </c>
      <c r="M48" s="66" t="s">
        <v>93</v>
      </c>
      <c r="N48" s="132" t="s">
        <v>76</v>
      </c>
      <c r="O48" s="137"/>
      <c r="P48" s="137"/>
      <c r="Q48" s="137"/>
      <c r="R48" s="137"/>
      <c r="S48" s="133"/>
      <c r="T48" s="25" t="s">
        <v>77</v>
      </c>
      <c r="U48" s="100" t="s">
        <v>78</v>
      </c>
      <c r="V48" s="132" t="s">
        <v>79</v>
      </c>
      <c r="W48" s="137"/>
      <c r="X48" s="133"/>
      <c r="Y48" s="66" t="s">
        <v>92</v>
      </c>
      <c r="Z48" s="66" t="s">
        <v>93</v>
      </c>
    </row>
    <row r="49" spans="1:26" ht="18" customHeight="1" x14ac:dyDescent="0.2">
      <c r="A49" s="24"/>
      <c r="B49" s="142" t="s">
        <v>94</v>
      </c>
      <c r="C49" s="143"/>
      <c r="D49" s="143"/>
      <c r="E49" s="143"/>
      <c r="F49" s="144"/>
      <c r="G49" s="101">
        <v>2</v>
      </c>
      <c r="H49" s="101" t="s">
        <v>83</v>
      </c>
      <c r="I49" s="145" t="s">
        <v>95</v>
      </c>
      <c r="J49" s="146"/>
      <c r="K49" s="147"/>
      <c r="L49" s="101" t="s">
        <v>83</v>
      </c>
      <c r="M49" s="101" t="s">
        <v>83</v>
      </c>
      <c r="N49" s="148"/>
      <c r="O49" s="149"/>
      <c r="P49" s="149"/>
      <c r="Q49" s="149"/>
      <c r="R49" s="149"/>
      <c r="S49" s="150"/>
      <c r="T49" s="101"/>
      <c r="U49" s="101"/>
      <c r="V49" s="145"/>
      <c r="W49" s="146"/>
      <c r="X49" s="147"/>
      <c r="Y49" s="101"/>
      <c r="Z49" s="101"/>
    </row>
    <row r="50" spans="1:26" ht="18" customHeight="1" x14ac:dyDescent="0.2">
      <c r="A50" s="24"/>
      <c r="B50" s="151"/>
      <c r="C50" s="152"/>
      <c r="D50" s="152"/>
      <c r="E50" s="152"/>
      <c r="F50" s="153"/>
      <c r="G50" s="102"/>
      <c r="H50" s="102"/>
      <c r="I50" s="154"/>
      <c r="J50" s="155"/>
      <c r="K50" s="156"/>
      <c r="L50" s="102"/>
      <c r="M50" s="102"/>
      <c r="N50" s="157"/>
      <c r="O50" s="158"/>
      <c r="P50" s="158"/>
      <c r="Q50" s="158"/>
      <c r="R50" s="158"/>
      <c r="S50" s="159"/>
      <c r="T50" s="102"/>
      <c r="U50" s="102"/>
      <c r="V50" s="154"/>
      <c r="W50" s="155"/>
      <c r="X50" s="156"/>
      <c r="Y50" s="102"/>
      <c r="Z50" s="102"/>
    </row>
    <row r="51" spans="1:26" ht="18" customHeight="1" x14ac:dyDescent="0.2">
      <c r="A51" s="24"/>
      <c r="B51" s="151"/>
      <c r="C51" s="152"/>
      <c r="D51" s="152"/>
      <c r="E51" s="152"/>
      <c r="F51" s="153"/>
      <c r="G51" s="102"/>
      <c r="H51" s="102"/>
      <c r="I51" s="154"/>
      <c r="J51" s="155"/>
      <c r="K51" s="156"/>
      <c r="L51" s="102"/>
      <c r="M51" s="102"/>
      <c r="N51" s="157"/>
      <c r="O51" s="158"/>
      <c r="P51" s="158"/>
      <c r="Q51" s="158"/>
      <c r="R51" s="158"/>
      <c r="S51" s="159"/>
      <c r="T51" s="102"/>
      <c r="U51" s="102"/>
      <c r="V51" s="154"/>
      <c r="W51" s="155"/>
      <c r="X51" s="156"/>
      <c r="Y51" s="102"/>
      <c r="Z51" s="102"/>
    </row>
    <row r="52" spans="1:26" ht="18" customHeight="1" x14ac:dyDescent="0.2">
      <c r="A52" s="24"/>
      <c r="B52" s="151"/>
      <c r="C52" s="152"/>
      <c r="D52" s="152"/>
      <c r="E52" s="152"/>
      <c r="F52" s="153"/>
      <c r="G52" s="102"/>
      <c r="H52" s="102"/>
      <c r="I52" s="154"/>
      <c r="J52" s="155"/>
      <c r="K52" s="156"/>
      <c r="L52" s="102"/>
      <c r="M52" s="102"/>
      <c r="N52" s="157"/>
      <c r="O52" s="158"/>
      <c r="P52" s="158"/>
      <c r="Q52" s="158"/>
      <c r="R52" s="158"/>
      <c r="S52" s="159"/>
      <c r="T52" s="102"/>
      <c r="U52" s="102"/>
      <c r="V52" s="154"/>
      <c r="W52" s="155"/>
      <c r="X52" s="156"/>
      <c r="Y52" s="102"/>
      <c r="Z52" s="102"/>
    </row>
    <row r="53" spans="1:26" ht="18" customHeight="1" x14ac:dyDescent="0.2">
      <c r="A53" s="24"/>
      <c r="B53" s="151"/>
      <c r="C53" s="152"/>
      <c r="D53" s="152"/>
      <c r="E53" s="152"/>
      <c r="F53" s="153"/>
      <c r="G53" s="102"/>
      <c r="H53" s="102"/>
      <c r="I53" s="154"/>
      <c r="J53" s="155"/>
      <c r="K53" s="156"/>
      <c r="L53" s="102"/>
      <c r="M53" s="102"/>
      <c r="N53" s="157"/>
      <c r="O53" s="158"/>
      <c r="P53" s="158"/>
      <c r="Q53" s="158"/>
      <c r="R53" s="158"/>
      <c r="S53" s="159"/>
      <c r="T53" s="102"/>
      <c r="U53" s="102"/>
      <c r="V53" s="154"/>
      <c r="W53" s="155"/>
      <c r="X53" s="156"/>
      <c r="Y53" s="102"/>
      <c r="Z53" s="102"/>
    </row>
    <row r="54" spans="1:26" ht="18" customHeight="1" x14ac:dyDescent="0.2">
      <c r="A54" s="24"/>
      <c r="B54" s="151"/>
      <c r="C54" s="152"/>
      <c r="D54" s="152"/>
      <c r="E54" s="152"/>
      <c r="F54" s="153"/>
      <c r="G54" s="102"/>
      <c r="H54" s="102"/>
      <c r="I54" s="154"/>
      <c r="J54" s="155"/>
      <c r="K54" s="156"/>
      <c r="L54" s="102"/>
      <c r="M54" s="102"/>
      <c r="N54" s="157"/>
      <c r="O54" s="158"/>
      <c r="P54" s="158"/>
      <c r="Q54" s="158"/>
      <c r="R54" s="158"/>
      <c r="S54" s="159"/>
      <c r="T54" s="102"/>
      <c r="U54" s="102"/>
      <c r="V54" s="154"/>
      <c r="W54" s="155"/>
      <c r="X54" s="156"/>
      <c r="Y54" s="102"/>
      <c r="Z54" s="102"/>
    </row>
    <row r="55" spans="1:26" ht="18" customHeight="1" x14ac:dyDescent="0.2">
      <c r="A55" s="24"/>
      <c r="B55" s="172"/>
      <c r="C55" s="173"/>
      <c r="D55" s="173"/>
      <c r="E55" s="173"/>
      <c r="F55" s="174"/>
      <c r="G55" s="103"/>
      <c r="H55" s="103"/>
      <c r="I55" s="175"/>
      <c r="J55" s="176"/>
      <c r="K55" s="177"/>
      <c r="L55" s="108"/>
      <c r="M55" s="108"/>
      <c r="N55" s="178"/>
      <c r="O55" s="179"/>
      <c r="P55" s="179"/>
      <c r="Q55" s="179"/>
      <c r="R55" s="179"/>
      <c r="S55" s="180"/>
      <c r="T55" s="103"/>
      <c r="U55" s="103"/>
      <c r="V55" s="175"/>
      <c r="W55" s="176"/>
      <c r="X55" s="177"/>
      <c r="Y55" s="108"/>
      <c r="Z55" s="108"/>
    </row>
    <row r="56" spans="1:26" ht="7.5" customHeight="1" x14ac:dyDescent="0.2">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6" ht="18" customHeight="1" x14ac:dyDescent="0.2">
      <c r="A57" s="171" t="s">
        <v>96</v>
      </c>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row>
    <row r="58" spans="1:26" ht="18" customHeight="1" x14ac:dyDescent="0.2">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row>
    <row r="59" spans="1:26" ht="18" customHeight="1" x14ac:dyDescent="0.2">
      <c r="A59" s="13"/>
      <c r="B59" s="132" t="s">
        <v>76</v>
      </c>
      <c r="C59" s="137"/>
      <c r="D59" s="137"/>
      <c r="E59" s="133"/>
      <c r="F59" s="25" t="s">
        <v>77</v>
      </c>
      <c r="G59" s="100" t="s">
        <v>78</v>
      </c>
      <c r="H59" s="21" t="s">
        <v>79</v>
      </c>
      <c r="I59" s="97"/>
      <c r="J59" s="22"/>
      <c r="K59" s="66" t="s">
        <v>97</v>
      </c>
      <c r="L59" s="66" t="s">
        <v>98</v>
      </c>
      <c r="M59" s="66" t="s">
        <v>99</v>
      </c>
      <c r="N59" s="132" t="s">
        <v>76</v>
      </c>
      <c r="O59" s="137"/>
      <c r="P59" s="137"/>
      <c r="Q59" s="137"/>
      <c r="R59" s="133"/>
      <c r="S59" s="25" t="s">
        <v>77</v>
      </c>
      <c r="T59" s="100" t="s">
        <v>78</v>
      </c>
      <c r="U59" s="21" t="s">
        <v>79</v>
      </c>
      <c r="V59" s="97"/>
      <c r="W59" s="22"/>
      <c r="X59" s="66" t="s">
        <v>97</v>
      </c>
      <c r="Y59" s="66" t="s">
        <v>98</v>
      </c>
      <c r="Z59" s="66" t="s">
        <v>99</v>
      </c>
    </row>
    <row r="60" spans="1:26" ht="18" customHeight="1" x14ac:dyDescent="0.2">
      <c r="A60" s="24"/>
      <c r="B60" s="148" t="s">
        <v>136</v>
      </c>
      <c r="C60" s="149"/>
      <c r="D60" s="149"/>
      <c r="E60" s="150"/>
      <c r="F60" s="102">
        <v>2</v>
      </c>
      <c r="G60" s="102" t="s">
        <v>83</v>
      </c>
      <c r="H60" s="154" t="s">
        <v>84</v>
      </c>
      <c r="I60" s="155"/>
      <c r="J60" s="156"/>
      <c r="K60" s="102"/>
      <c r="L60" s="102"/>
      <c r="M60" s="101" t="s">
        <v>83</v>
      </c>
      <c r="N60" s="148"/>
      <c r="O60" s="149"/>
      <c r="P60" s="149"/>
      <c r="Q60" s="149"/>
      <c r="R60" s="150"/>
      <c r="S60" s="101"/>
      <c r="T60" s="101"/>
      <c r="U60" s="145"/>
      <c r="V60" s="146"/>
      <c r="W60" s="147"/>
      <c r="X60" s="107"/>
      <c r="Y60" s="101"/>
      <c r="Z60" s="101"/>
    </row>
    <row r="61" spans="1:26" ht="18" customHeight="1" x14ac:dyDescent="0.2">
      <c r="A61" s="24"/>
      <c r="B61" s="157" t="s">
        <v>138</v>
      </c>
      <c r="C61" s="158"/>
      <c r="D61" s="158"/>
      <c r="E61" s="159"/>
      <c r="F61" s="102">
        <v>2</v>
      </c>
      <c r="G61" s="102" t="s">
        <v>83</v>
      </c>
      <c r="H61" s="154" t="s">
        <v>84</v>
      </c>
      <c r="I61" s="155"/>
      <c r="J61" s="156"/>
      <c r="K61" s="102" t="s">
        <v>83</v>
      </c>
      <c r="L61" s="102"/>
      <c r="M61" s="102"/>
      <c r="N61" s="157"/>
      <c r="O61" s="158"/>
      <c r="P61" s="158"/>
      <c r="Q61" s="158"/>
      <c r="R61" s="159"/>
      <c r="S61" s="102"/>
      <c r="T61" s="102"/>
      <c r="U61" s="154"/>
      <c r="V61" s="155"/>
      <c r="W61" s="156"/>
      <c r="X61" s="105"/>
      <c r="Y61" s="102"/>
      <c r="Z61" s="102"/>
    </row>
    <row r="62" spans="1:26" ht="18" customHeight="1" x14ac:dyDescent="0.2">
      <c r="A62" s="24"/>
      <c r="B62" s="157" t="s">
        <v>139</v>
      </c>
      <c r="C62" s="158"/>
      <c r="D62" s="158"/>
      <c r="E62" s="159"/>
      <c r="F62" s="102">
        <v>1</v>
      </c>
      <c r="G62" s="102" t="s">
        <v>83</v>
      </c>
      <c r="H62" s="154" t="s">
        <v>84</v>
      </c>
      <c r="I62" s="155"/>
      <c r="J62" s="156"/>
      <c r="K62" s="102"/>
      <c r="L62" s="102" t="s">
        <v>83</v>
      </c>
      <c r="M62" s="102" t="s">
        <v>83</v>
      </c>
      <c r="N62" s="157"/>
      <c r="O62" s="158"/>
      <c r="P62" s="158"/>
      <c r="Q62" s="158"/>
      <c r="R62" s="159"/>
      <c r="S62" s="102"/>
      <c r="T62" s="102"/>
      <c r="U62" s="154"/>
      <c r="V62" s="155"/>
      <c r="W62" s="156"/>
      <c r="X62" s="105"/>
      <c r="Y62" s="102"/>
      <c r="Z62" s="102"/>
    </row>
    <row r="63" spans="1:26" ht="18" customHeight="1" x14ac:dyDescent="0.2">
      <c r="A63" s="24"/>
      <c r="B63" s="157"/>
      <c r="C63" s="158"/>
      <c r="D63" s="158"/>
      <c r="E63" s="159"/>
      <c r="F63" s="102"/>
      <c r="G63" s="102"/>
      <c r="H63" s="154"/>
      <c r="I63" s="155"/>
      <c r="J63" s="156"/>
      <c r="K63" s="105"/>
      <c r="L63" s="102"/>
      <c r="M63" s="102"/>
      <c r="N63" s="157"/>
      <c r="O63" s="158"/>
      <c r="P63" s="158"/>
      <c r="Q63" s="158"/>
      <c r="R63" s="159"/>
      <c r="S63" s="102"/>
      <c r="T63" s="102"/>
      <c r="U63" s="154"/>
      <c r="V63" s="155"/>
      <c r="W63" s="156"/>
      <c r="X63" s="105"/>
      <c r="Y63" s="102"/>
      <c r="Z63" s="102"/>
    </row>
    <row r="64" spans="1:26" ht="18" customHeight="1" x14ac:dyDescent="0.2">
      <c r="A64" s="24"/>
      <c r="B64" s="157"/>
      <c r="C64" s="158"/>
      <c r="D64" s="158"/>
      <c r="E64" s="159"/>
      <c r="F64" s="102"/>
      <c r="G64" s="102"/>
      <c r="H64" s="154"/>
      <c r="I64" s="155"/>
      <c r="J64" s="156"/>
      <c r="K64" s="105"/>
      <c r="L64" s="102"/>
      <c r="M64" s="102"/>
      <c r="N64" s="157"/>
      <c r="O64" s="158"/>
      <c r="P64" s="158"/>
      <c r="Q64" s="158"/>
      <c r="R64" s="159"/>
      <c r="S64" s="102"/>
      <c r="T64" s="102"/>
      <c r="U64" s="154"/>
      <c r="V64" s="155"/>
      <c r="W64" s="156"/>
      <c r="X64" s="105"/>
      <c r="Y64" s="102"/>
      <c r="Z64" s="102"/>
    </row>
    <row r="65" spans="1:26" ht="18" customHeight="1" x14ac:dyDescent="0.2">
      <c r="A65" s="24"/>
      <c r="B65" s="157"/>
      <c r="C65" s="158"/>
      <c r="D65" s="158"/>
      <c r="E65" s="159"/>
      <c r="F65" s="102"/>
      <c r="G65" s="102"/>
      <c r="H65" s="154"/>
      <c r="I65" s="155"/>
      <c r="J65" s="156"/>
      <c r="K65" s="105"/>
      <c r="L65" s="102"/>
      <c r="M65" s="102"/>
      <c r="N65" s="157"/>
      <c r="O65" s="158"/>
      <c r="P65" s="158"/>
      <c r="Q65" s="158"/>
      <c r="R65" s="159"/>
      <c r="S65" s="102"/>
      <c r="T65" s="102"/>
      <c r="U65" s="154"/>
      <c r="V65" s="155"/>
      <c r="W65" s="156"/>
      <c r="X65" s="105"/>
      <c r="Y65" s="102"/>
      <c r="Z65" s="102"/>
    </row>
    <row r="66" spans="1:26" ht="18" customHeight="1" x14ac:dyDescent="0.2">
      <c r="A66" s="24"/>
      <c r="B66" s="178"/>
      <c r="C66" s="179"/>
      <c r="D66" s="179"/>
      <c r="E66" s="180"/>
      <c r="F66" s="103"/>
      <c r="G66" s="103"/>
      <c r="H66" s="175"/>
      <c r="I66" s="176"/>
      <c r="J66" s="177"/>
      <c r="K66" s="106"/>
      <c r="L66" s="108"/>
      <c r="M66" s="108"/>
      <c r="N66" s="178"/>
      <c r="O66" s="179"/>
      <c r="P66" s="179"/>
      <c r="Q66" s="179"/>
      <c r="R66" s="180"/>
      <c r="S66" s="103"/>
      <c r="T66" s="103"/>
      <c r="U66" s="175"/>
      <c r="V66" s="176"/>
      <c r="W66" s="177"/>
      <c r="X66" s="106"/>
      <c r="Y66" s="108"/>
      <c r="Z66" s="108"/>
    </row>
    <row r="67" spans="1:26" ht="7.5" customHeight="1" x14ac:dyDescent="0.2">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6" ht="18" customHeight="1" x14ac:dyDescent="0.2">
      <c r="A68" s="13" t="s">
        <v>102</v>
      </c>
      <c r="B68" s="13"/>
      <c r="C68" s="13"/>
      <c r="D68" s="13"/>
      <c r="E68" s="13"/>
      <c r="F68" s="13"/>
      <c r="G68" s="13"/>
      <c r="H68" s="13"/>
      <c r="I68" s="13"/>
      <c r="J68" s="13"/>
      <c r="K68" s="13"/>
      <c r="L68" s="24"/>
      <c r="M68" s="24"/>
      <c r="N68" s="24"/>
      <c r="O68" s="24"/>
      <c r="P68" s="24"/>
      <c r="Q68" s="24"/>
      <c r="R68" s="24"/>
      <c r="S68" s="24"/>
      <c r="T68" s="24"/>
      <c r="U68" s="24"/>
      <c r="V68" s="24"/>
      <c r="W68" s="24"/>
      <c r="X68" s="24"/>
      <c r="Y68" s="24"/>
      <c r="Z68" s="24"/>
    </row>
    <row r="69" spans="1:26" ht="18" customHeight="1" x14ac:dyDescent="0.2">
      <c r="A69" s="13"/>
      <c r="B69" s="132" t="s">
        <v>76</v>
      </c>
      <c r="C69" s="137"/>
      <c r="D69" s="137"/>
      <c r="E69" s="137"/>
      <c r="F69" s="133"/>
      <c r="G69" s="132" t="s">
        <v>103</v>
      </c>
      <c r="H69" s="137"/>
      <c r="I69" s="137"/>
      <c r="J69" s="137"/>
      <c r="K69" s="137"/>
      <c r="L69" s="137"/>
      <c r="M69" s="133"/>
      <c r="N69" s="187" t="s">
        <v>76</v>
      </c>
      <c r="O69" s="188"/>
      <c r="P69" s="188"/>
      <c r="Q69" s="188"/>
      <c r="R69" s="188"/>
      <c r="S69" s="189"/>
      <c r="T69" s="132" t="s">
        <v>103</v>
      </c>
      <c r="U69" s="137"/>
      <c r="V69" s="137"/>
      <c r="W69" s="137"/>
      <c r="X69" s="137"/>
      <c r="Y69" s="137"/>
      <c r="Z69" s="133"/>
    </row>
    <row r="70" spans="1:26" ht="18" customHeight="1" x14ac:dyDescent="0.2">
      <c r="A70" s="24"/>
      <c r="B70" s="148"/>
      <c r="C70" s="149"/>
      <c r="D70" s="149"/>
      <c r="E70" s="149"/>
      <c r="F70" s="150"/>
      <c r="G70" s="181"/>
      <c r="H70" s="182"/>
      <c r="I70" s="182"/>
      <c r="J70" s="182"/>
      <c r="K70" s="182"/>
      <c r="L70" s="182"/>
      <c r="M70" s="183"/>
      <c r="N70" s="148"/>
      <c r="O70" s="149"/>
      <c r="P70" s="149"/>
      <c r="Q70" s="149"/>
      <c r="R70" s="149"/>
      <c r="S70" s="150"/>
      <c r="T70" s="181"/>
      <c r="U70" s="182"/>
      <c r="V70" s="182"/>
      <c r="W70" s="182"/>
      <c r="X70" s="182"/>
      <c r="Y70" s="182"/>
      <c r="Z70" s="183"/>
    </row>
    <row r="71" spans="1:26" ht="18" customHeight="1" x14ac:dyDescent="0.2">
      <c r="A71" s="24"/>
      <c r="B71" s="157"/>
      <c r="C71" s="158"/>
      <c r="D71" s="158"/>
      <c r="E71" s="158"/>
      <c r="F71" s="159"/>
      <c r="G71" s="184"/>
      <c r="H71" s="185"/>
      <c r="I71" s="185"/>
      <c r="J71" s="185"/>
      <c r="K71" s="185"/>
      <c r="L71" s="185"/>
      <c r="M71" s="186"/>
      <c r="N71" s="157"/>
      <c r="O71" s="158"/>
      <c r="P71" s="158"/>
      <c r="Q71" s="158"/>
      <c r="R71" s="158"/>
      <c r="S71" s="159"/>
      <c r="T71" s="184"/>
      <c r="U71" s="185"/>
      <c r="V71" s="185"/>
      <c r="W71" s="185"/>
      <c r="X71" s="185"/>
      <c r="Y71" s="185"/>
      <c r="Z71" s="186"/>
    </row>
    <row r="72" spans="1:26" ht="18" customHeight="1" x14ac:dyDescent="0.2">
      <c r="A72" s="24"/>
      <c r="B72" s="157"/>
      <c r="C72" s="158"/>
      <c r="D72" s="158"/>
      <c r="E72" s="158"/>
      <c r="F72" s="159"/>
      <c r="G72" s="184"/>
      <c r="H72" s="185"/>
      <c r="I72" s="185"/>
      <c r="J72" s="185"/>
      <c r="K72" s="185"/>
      <c r="L72" s="185"/>
      <c r="M72" s="186"/>
      <c r="N72" s="157"/>
      <c r="O72" s="158"/>
      <c r="P72" s="158"/>
      <c r="Q72" s="158"/>
      <c r="R72" s="158"/>
      <c r="S72" s="159"/>
      <c r="T72" s="184"/>
      <c r="U72" s="185"/>
      <c r="V72" s="185"/>
      <c r="W72" s="185"/>
      <c r="X72" s="185"/>
      <c r="Y72" s="185"/>
      <c r="Z72" s="186"/>
    </row>
    <row r="73" spans="1:26" ht="18" customHeight="1" x14ac:dyDescent="0.2">
      <c r="A73" s="24"/>
      <c r="B73" s="157"/>
      <c r="C73" s="158"/>
      <c r="D73" s="158"/>
      <c r="E73" s="158"/>
      <c r="F73" s="159"/>
      <c r="G73" s="184"/>
      <c r="H73" s="185"/>
      <c r="I73" s="185"/>
      <c r="J73" s="185"/>
      <c r="K73" s="185"/>
      <c r="L73" s="185"/>
      <c r="M73" s="186"/>
      <c r="N73" s="157"/>
      <c r="O73" s="158"/>
      <c r="P73" s="158"/>
      <c r="Q73" s="158"/>
      <c r="R73" s="158"/>
      <c r="S73" s="159"/>
      <c r="T73" s="184"/>
      <c r="U73" s="185"/>
      <c r="V73" s="185"/>
      <c r="W73" s="185"/>
      <c r="X73" s="185"/>
      <c r="Y73" s="185"/>
      <c r="Z73" s="186"/>
    </row>
    <row r="74" spans="1:26" ht="18" customHeight="1" x14ac:dyDescent="0.2">
      <c r="A74" s="24"/>
      <c r="B74" s="157"/>
      <c r="C74" s="158"/>
      <c r="D74" s="158"/>
      <c r="E74" s="158"/>
      <c r="F74" s="159"/>
      <c r="G74" s="184"/>
      <c r="H74" s="185"/>
      <c r="I74" s="185"/>
      <c r="J74" s="185"/>
      <c r="K74" s="185"/>
      <c r="L74" s="185"/>
      <c r="M74" s="186"/>
      <c r="N74" s="157"/>
      <c r="O74" s="158"/>
      <c r="P74" s="158"/>
      <c r="Q74" s="158"/>
      <c r="R74" s="158"/>
      <c r="S74" s="159"/>
      <c r="T74" s="184"/>
      <c r="U74" s="185"/>
      <c r="V74" s="185"/>
      <c r="W74" s="185"/>
      <c r="X74" s="185"/>
      <c r="Y74" s="185"/>
      <c r="Z74" s="186"/>
    </row>
    <row r="75" spans="1:26" ht="18" customHeight="1" x14ac:dyDescent="0.2">
      <c r="A75" s="24"/>
      <c r="B75" s="157"/>
      <c r="C75" s="158"/>
      <c r="D75" s="158"/>
      <c r="E75" s="158"/>
      <c r="F75" s="159"/>
      <c r="G75" s="184"/>
      <c r="H75" s="185"/>
      <c r="I75" s="185"/>
      <c r="J75" s="185"/>
      <c r="K75" s="185"/>
      <c r="L75" s="185"/>
      <c r="M75" s="186"/>
      <c r="N75" s="157"/>
      <c r="O75" s="158"/>
      <c r="P75" s="158"/>
      <c r="Q75" s="158"/>
      <c r="R75" s="158"/>
      <c r="S75" s="159"/>
      <c r="T75" s="184"/>
      <c r="U75" s="185"/>
      <c r="V75" s="185"/>
      <c r="W75" s="185"/>
      <c r="X75" s="185"/>
      <c r="Y75" s="185"/>
      <c r="Z75" s="186"/>
    </row>
    <row r="76" spans="1:26" ht="18" customHeight="1" x14ac:dyDescent="0.2">
      <c r="A76" s="24"/>
      <c r="B76" s="178"/>
      <c r="C76" s="179"/>
      <c r="D76" s="179"/>
      <c r="E76" s="179"/>
      <c r="F76" s="180"/>
      <c r="G76" s="197"/>
      <c r="H76" s="198"/>
      <c r="I76" s="198"/>
      <c r="J76" s="198"/>
      <c r="K76" s="198"/>
      <c r="L76" s="198"/>
      <c r="M76" s="199"/>
      <c r="N76" s="178"/>
      <c r="O76" s="179"/>
      <c r="P76" s="179"/>
      <c r="Q76" s="179"/>
      <c r="R76" s="179"/>
      <c r="S76" s="180"/>
      <c r="T76" s="197"/>
      <c r="U76" s="198"/>
      <c r="V76" s="198"/>
      <c r="W76" s="198"/>
      <c r="X76" s="198"/>
      <c r="Y76" s="198"/>
      <c r="Z76" s="199"/>
    </row>
    <row r="77" spans="1:26" ht="18" customHeight="1" x14ac:dyDescent="0.2">
      <c r="A77" s="24"/>
      <c r="B77" s="30"/>
      <c r="C77" s="30"/>
      <c r="D77" s="30"/>
      <c r="E77" s="30"/>
      <c r="F77" s="30"/>
      <c r="G77" s="11"/>
      <c r="H77" s="11"/>
      <c r="I77" s="11"/>
      <c r="J77" s="11"/>
      <c r="K77" s="11"/>
      <c r="L77" s="11"/>
      <c r="M77" s="11"/>
      <c r="N77" s="30"/>
      <c r="O77" s="30"/>
      <c r="P77" s="30"/>
      <c r="Q77" s="30"/>
      <c r="R77" s="30"/>
      <c r="S77" s="30"/>
      <c r="T77" s="11"/>
      <c r="U77" s="11"/>
      <c r="V77" s="11"/>
      <c r="W77" s="11"/>
      <c r="X77" s="11"/>
      <c r="Y77" s="11"/>
      <c r="Z77" s="11"/>
    </row>
    <row r="78" spans="1:26" ht="18.75" customHeight="1" x14ac:dyDescent="0.2">
      <c r="A78" s="12" t="s">
        <v>111</v>
      </c>
    </row>
    <row r="79" spans="1:26" ht="18.75" customHeight="1" x14ac:dyDescent="0.2">
      <c r="B79" s="68" t="s">
        <v>112</v>
      </c>
      <c r="C79" s="69"/>
      <c r="D79" s="200" t="s">
        <v>113</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78" customHeight="1" x14ac:dyDescent="0.2">
      <c r="B80" s="228" t="s">
        <v>114</v>
      </c>
      <c r="C80" s="75" t="s">
        <v>80</v>
      </c>
      <c r="D80" s="230" t="s">
        <v>140</v>
      </c>
      <c r="E80" s="231"/>
      <c r="F80" s="231"/>
      <c r="G80" s="231"/>
      <c r="H80" s="231"/>
      <c r="I80" s="231"/>
      <c r="J80" s="231"/>
      <c r="K80" s="231"/>
      <c r="L80" s="231"/>
      <c r="M80" s="231"/>
      <c r="N80" s="231"/>
      <c r="O80" s="231"/>
      <c r="P80" s="231"/>
      <c r="Q80" s="231"/>
      <c r="R80" s="231"/>
      <c r="S80" s="231"/>
      <c r="T80" s="231"/>
      <c r="U80" s="231"/>
      <c r="V80" s="231"/>
      <c r="W80" s="231"/>
      <c r="X80" s="231"/>
      <c r="Y80" s="231"/>
      <c r="Z80" s="232"/>
    </row>
    <row r="81" spans="1:26" ht="78" customHeight="1" x14ac:dyDescent="0.2">
      <c r="B81" s="229"/>
      <c r="C81" s="98" t="s">
        <v>116</v>
      </c>
      <c r="D81" s="233" t="s">
        <v>141</v>
      </c>
      <c r="E81" s="234"/>
      <c r="F81" s="234"/>
      <c r="G81" s="234"/>
      <c r="H81" s="234"/>
      <c r="I81" s="234"/>
      <c r="J81" s="234"/>
      <c r="K81" s="234"/>
      <c r="L81" s="234"/>
      <c r="M81" s="234"/>
      <c r="N81" s="234"/>
      <c r="O81" s="234"/>
      <c r="P81" s="234"/>
      <c r="Q81" s="234"/>
      <c r="R81" s="234"/>
      <c r="S81" s="234"/>
      <c r="T81" s="234"/>
      <c r="U81" s="234"/>
      <c r="V81" s="234"/>
      <c r="W81" s="234"/>
      <c r="X81" s="234"/>
      <c r="Y81" s="234"/>
      <c r="Z81" s="235"/>
    </row>
    <row r="82" spans="1:26" ht="78" customHeight="1" x14ac:dyDescent="0.2">
      <c r="B82" s="190" t="s">
        <v>118</v>
      </c>
      <c r="C82" s="70" t="s">
        <v>86</v>
      </c>
      <c r="D82" s="222" t="s">
        <v>142</v>
      </c>
      <c r="E82" s="223"/>
      <c r="F82" s="223"/>
      <c r="G82" s="223"/>
      <c r="H82" s="223"/>
      <c r="I82" s="223"/>
      <c r="J82" s="223"/>
      <c r="K82" s="223"/>
      <c r="L82" s="223"/>
      <c r="M82" s="223"/>
      <c r="N82" s="223"/>
      <c r="O82" s="223"/>
      <c r="P82" s="223"/>
      <c r="Q82" s="223"/>
      <c r="R82" s="223"/>
      <c r="S82" s="223"/>
      <c r="T82" s="223"/>
      <c r="U82" s="223"/>
      <c r="V82" s="223"/>
      <c r="W82" s="223"/>
      <c r="X82" s="223"/>
      <c r="Y82" s="223"/>
      <c r="Z82" s="224"/>
    </row>
    <row r="83" spans="1:26" ht="78" customHeight="1" x14ac:dyDescent="0.2">
      <c r="B83" s="191"/>
      <c r="C83" s="99" t="s">
        <v>87</v>
      </c>
      <c r="D83" s="225" t="s">
        <v>143</v>
      </c>
      <c r="E83" s="226"/>
      <c r="F83" s="226"/>
      <c r="G83" s="226"/>
      <c r="H83" s="226"/>
      <c r="I83" s="226"/>
      <c r="J83" s="226"/>
      <c r="K83" s="226"/>
      <c r="L83" s="226"/>
      <c r="M83" s="226"/>
      <c r="N83" s="226"/>
      <c r="O83" s="226"/>
      <c r="P83" s="226"/>
      <c r="Q83" s="226"/>
      <c r="R83" s="226"/>
      <c r="S83" s="226"/>
      <c r="T83" s="226"/>
      <c r="U83" s="226"/>
      <c r="V83" s="226"/>
      <c r="W83" s="226"/>
      <c r="X83" s="226"/>
      <c r="Y83" s="226"/>
      <c r="Z83" s="227"/>
    </row>
    <row r="84" spans="1:26" ht="106.95" customHeight="1" x14ac:dyDescent="0.2">
      <c r="B84" s="190" t="s">
        <v>121</v>
      </c>
      <c r="C84" s="70" t="s">
        <v>89</v>
      </c>
      <c r="D84" s="222" t="s">
        <v>144</v>
      </c>
      <c r="E84" s="223"/>
      <c r="F84" s="223"/>
      <c r="G84" s="223"/>
      <c r="H84" s="223"/>
      <c r="I84" s="223"/>
      <c r="J84" s="223"/>
      <c r="K84" s="223"/>
      <c r="L84" s="223"/>
      <c r="M84" s="223"/>
      <c r="N84" s="223"/>
      <c r="O84" s="223"/>
      <c r="P84" s="223"/>
      <c r="Q84" s="223"/>
      <c r="R84" s="223"/>
      <c r="S84" s="223"/>
      <c r="T84" s="223"/>
      <c r="U84" s="223"/>
      <c r="V84" s="223"/>
      <c r="W84" s="223"/>
      <c r="X84" s="223"/>
      <c r="Y84" s="223"/>
      <c r="Z84" s="224"/>
    </row>
    <row r="85" spans="1:26" ht="106.95" customHeight="1" x14ac:dyDescent="0.2">
      <c r="B85" s="191"/>
      <c r="C85" s="72" t="s">
        <v>90</v>
      </c>
      <c r="D85" s="222" t="s">
        <v>144</v>
      </c>
      <c r="E85" s="223"/>
      <c r="F85" s="223"/>
      <c r="G85" s="223"/>
      <c r="H85" s="223"/>
      <c r="I85" s="223"/>
      <c r="J85" s="223"/>
      <c r="K85" s="223"/>
      <c r="L85" s="223"/>
      <c r="M85" s="223"/>
      <c r="N85" s="223"/>
      <c r="O85" s="223"/>
      <c r="P85" s="223"/>
      <c r="Q85" s="223"/>
      <c r="R85" s="223"/>
      <c r="S85" s="223"/>
      <c r="T85" s="223"/>
      <c r="U85" s="223"/>
      <c r="V85" s="223"/>
      <c r="W85" s="223"/>
      <c r="X85" s="223"/>
      <c r="Y85" s="223"/>
      <c r="Z85" s="224"/>
    </row>
    <row r="86" spans="1:26" ht="44.55" customHeight="1" x14ac:dyDescent="0.2">
      <c r="B86" s="228" t="s">
        <v>123</v>
      </c>
      <c r="C86" s="75" t="s">
        <v>92</v>
      </c>
      <c r="D86" s="230" t="s">
        <v>145</v>
      </c>
      <c r="E86" s="231"/>
      <c r="F86" s="231"/>
      <c r="G86" s="231"/>
      <c r="H86" s="231"/>
      <c r="I86" s="231"/>
      <c r="J86" s="231"/>
      <c r="K86" s="231"/>
      <c r="L86" s="231"/>
      <c r="M86" s="231"/>
      <c r="N86" s="231"/>
      <c r="O86" s="231"/>
      <c r="P86" s="231"/>
      <c r="Q86" s="231"/>
      <c r="R86" s="231"/>
      <c r="S86" s="231"/>
      <c r="T86" s="231"/>
      <c r="U86" s="231"/>
      <c r="V86" s="231"/>
      <c r="W86" s="231"/>
      <c r="X86" s="231"/>
      <c r="Y86" s="231"/>
      <c r="Z86" s="232"/>
    </row>
    <row r="87" spans="1:26" ht="103.95" customHeight="1" x14ac:dyDescent="0.2">
      <c r="B87" s="202"/>
      <c r="C87" s="71" t="s">
        <v>93</v>
      </c>
      <c r="D87" s="245" t="s">
        <v>146</v>
      </c>
      <c r="E87" s="246"/>
      <c r="F87" s="246"/>
      <c r="G87" s="246"/>
      <c r="H87" s="246"/>
      <c r="I87" s="246"/>
      <c r="J87" s="246"/>
      <c r="K87" s="246"/>
      <c r="L87" s="246"/>
      <c r="M87" s="246"/>
      <c r="N87" s="246"/>
      <c r="O87" s="246"/>
      <c r="P87" s="246"/>
      <c r="Q87" s="246"/>
      <c r="R87" s="246"/>
      <c r="S87" s="246"/>
      <c r="T87" s="246"/>
      <c r="U87" s="246"/>
      <c r="V87" s="246"/>
      <c r="W87" s="246"/>
      <c r="X87" s="246"/>
      <c r="Y87" s="246"/>
      <c r="Z87" s="247"/>
    </row>
    <row r="88" spans="1:26" ht="76.2" customHeight="1" x14ac:dyDescent="0.2">
      <c r="B88" s="228" t="s">
        <v>126</v>
      </c>
      <c r="C88" s="70" t="s">
        <v>97</v>
      </c>
      <c r="D88" s="248" t="s">
        <v>147</v>
      </c>
      <c r="E88" s="249"/>
      <c r="F88" s="249"/>
      <c r="G88" s="249"/>
      <c r="H88" s="249"/>
      <c r="I88" s="249"/>
      <c r="J88" s="249"/>
      <c r="K88" s="249"/>
      <c r="L88" s="249"/>
      <c r="M88" s="249"/>
      <c r="N88" s="249"/>
      <c r="O88" s="249"/>
      <c r="P88" s="249"/>
      <c r="Q88" s="249"/>
      <c r="R88" s="249"/>
      <c r="S88" s="249"/>
      <c r="T88" s="249"/>
      <c r="U88" s="249"/>
      <c r="V88" s="249"/>
      <c r="W88" s="249"/>
      <c r="X88" s="249"/>
      <c r="Y88" s="249"/>
      <c r="Z88" s="250"/>
    </row>
    <row r="89" spans="1:26" ht="130.19999999999999" customHeight="1" x14ac:dyDescent="0.2">
      <c r="B89" s="229"/>
      <c r="C89" s="71" t="s">
        <v>98</v>
      </c>
      <c r="D89" s="251" t="s">
        <v>148</v>
      </c>
      <c r="E89" s="252"/>
      <c r="F89" s="252"/>
      <c r="G89" s="252"/>
      <c r="H89" s="252"/>
      <c r="I89" s="252"/>
      <c r="J89" s="252"/>
      <c r="K89" s="252"/>
      <c r="L89" s="252"/>
      <c r="M89" s="252"/>
      <c r="N89" s="252"/>
      <c r="O89" s="252"/>
      <c r="P89" s="252"/>
      <c r="Q89" s="252"/>
      <c r="R89" s="252"/>
      <c r="S89" s="252"/>
      <c r="T89" s="252"/>
      <c r="U89" s="252"/>
      <c r="V89" s="252"/>
      <c r="W89" s="252"/>
      <c r="X89" s="252"/>
      <c r="Y89" s="252"/>
      <c r="Z89" s="253"/>
    </row>
    <row r="90" spans="1:26" ht="174" customHeight="1" x14ac:dyDescent="0.2">
      <c r="B90" s="191"/>
      <c r="C90" s="72" t="s">
        <v>99</v>
      </c>
      <c r="D90" s="254" t="s">
        <v>149</v>
      </c>
      <c r="E90" s="242"/>
      <c r="F90" s="242"/>
      <c r="G90" s="242"/>
      <c r="H90" s="242"/>
      <c r="I90" s="242"/>
      <c r="J90" s="242"/>
      <c r="K90" s="242"/>
      <c r="L90" s="242"/>
      <c r="M90" s="242"/>
      <c r="N90" s="242"/>
      <c r="O90" s="242"/>
      <c r="P90" s="242"/>
      <c r="Q90" s="242"/>
      <c r="R90" s="242"/>
      <c r="S90" s="242"/>
      <c r="T90" s="242"/>
      <c r="U90" s="242"/>
      <c r="V90" s="242"/>
      <c r="W90" s="242"/>
      <c r="X90" s="242"/>
      <c r="Y90" s="242"/>
      <c r="Z90" s="243"/>
    </row>
    <row r="91" spans="1:26" ht="6" customHeight="1" x14ac:dyDescent="0.2"/>
    <row r="92" spans="1:26" ht="18.75" customHeight="1" x14ac:dyDescent="0.2">
      <c r="A92" s="12" t="s">
        <v>130</v>
      </c>
    </row>
    <row r="93" spans="1:26" ht="35.549999999999997" customHeight="1" x14ac:dyDescent="0.2">
      <c r="B93" s="209" t="s">
        <v>131</v>
      </c>
      <c r="C93" s="236"/>
      <c r="D93" s="236"/>
      <c r="E93" s="236"/>
      <c r="F93" s="236"/>
      <c r="G93" s="236"/>
      <c r="H93" s="236"/>
      <c r="I93" s="236"/>
      <c r="J93" s="236"/>
      <c r="K93" s="236"/>
      <c r="L93" s="236"/>
      <c r="M93" s="236"/>
      <c r="N93" s="236"/>
      <c r="O93" s="236"/>
      <c r="P93" s="236"/>
      <c r="Q93" s="236"/>
      <c r="R93" s="236"/>
      <c r="S93" s="236"/>
      <c r="T93" s="236"/>
      <c r="U93" s="236"/>
      <c r="V93" s="236"/>
      <c r="W93" s="236"/>
      <c r="X93" s="236"/>
      <c r="Y93" s="236"/>
      <c r="Z93" s="237"/>
    </row>
    <row r="94" spans="1:26" ht="35.549999999999997" customHeight="1" x14ac:dyDescent="0.2">
      <c r="B94" s="238"/>
      <c r="C94" s="239"/>
      <c r="D94" s="239"/>
      <c r="E94" s="239"/>
      <c r="F94" s="239"/>
      <c r="G94" s="239"/>
      <c r="H94" s="239"/>
      <c r="I94" s="239"/>
      <c r="J94" s="239"/>
      <c r="K94" s="239"/>
      <c r="L94" s="239"/>
      <c r="M94" s="239"/>
      <c r="N94" s="239"/>
      <c r="O94" s="239"/>
      <c r="P94" s="239"/>
      <c r="Q94" s="239"/>
      <c r="R94" s="239"/>
      <c r="S94" s="239"/>
      <c r="T94" s="239"/>
      <c r="U94" s="239"/>
      <c r="V94" s="239"/>
      <c r="W94" s="239"/>
      <c r="X94" s="239"/>
      <c r="Y94" s="239"/>
      <c r="Z94" s="240"/>
    </row>
    <row r="95" spans="1:26" ht="19.95" customHeight="1" x14ac:dyDescent="0.2">
      <c r="B95" s="241"/>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3"/>
    </row>
    <row r="96" spans="1:26" ht="6" customHeight="1" x14ac:dyDescent="0.2"/>
    <row r="97" spans="1:26" ht="15" customHeight="1" x14ac:dyDescent="0.2">
      <c r="A97" s="12" t="s">
        <v>132</v>
      </c>
    </row>
    <row r="98" spans="1:26" ht="33.450000000000003" customHeight="1" x14ac:dyDescent="0.2">
      <c r="B98" s="244" t="s">
        <v>133</v>
      </c>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21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H27:H33 H38:H44 Y38:Z44 H49:H55 Y49:Z55 Y60:Z66 G60:G66 H16:H22 U16:U22 T60:T66 U27:U33 L27:M33 U38:U44 L38:M44 U49:U55 L49:M55 M60:M66 K60:L62 L63:L66" xr:uid="{ED5B2E17-E964-4B1E-8ADE-A35324490F51}">
      <formula1>"○"</formula1>
    </dataValidation>
    <dataValidation type="list" allowBlank="1" showInputMessage="1" showErrorMessage="1" sqref="Z23 Z34 D34:K34 D23:K23 V16:V22 I16:I22 V27:V33 I49:I55 V38:V44 I27:I33 V49:V55 I38:I44 U60:U66 H60:H66" xr:uid="{737DB8CE-AFA2-40A3-B20D-400FD2FF480C}">
      <formula1>"全学開講,一部開講"</formula1>
    </dataValidation>
    <dataValidation type="list" allowBlank="1" showInputMessage="1" showErrorMessage="1" sqref="O4" xr:uid="{004748C6-B17D-4F46-B3AA-86669383E16C}">
      <formula1>"学部・学科によって、修了要件は相違する,学部・学科によって、修了要件は相違しない"</formula1>
    </dataValidation>
    <dataValidation type="list" allowBlank="1" showInputMessage="1" showErrorMessage="1" sqref="H74:M77 G70:G77 H70:M71 T70:T77 U70:Z71 U74:Z77" xr:uid="{F2DBB3A1-5516-4660-8B63-A6D5B762AC1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display="https://www.nichiyaku.ac.jp/course-information/datascience-center/educational-programs/" xr:uid="{8799F606-839D-4697-9235-DBECD1980910}"/>
  </hyperlinks>
  <printOptions horizontalCentered="1"/>
  <pageMargins left="0.78740157480314998" right="0.78740157480314998" top="0.78740157480314998" bottom="0.39370078740157499" header="0.31496062992126" footer="0.31496062992126"/>
  <pageSetup paperSize="9" scale="92"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7"/>
  <sheetViews>
    <sheetView showZeros="0" view="pageBreakPreview" zoomScaleNormal="100" zoomScaleSheetLayoutView="100" workbookViewId="0">
      <selection activeCell="T33" sqref="T33"/>
    </sheetView>
  </sheetViews>
  <sheetFormatPr defaultColWidth="9" defaultRowHeight="18.75" customHeight="1" x14ac:dyDescent="0.2"/>
  <cols>
    <col min="1" max="1" width="2.44140625" style="12" customWidth="1"/>
    <col min="2" max="2" width="27.6640625" style="12" customWidth="1"/>
    <col min="3" max="13" width="3.33203125" style="12" customWidth="1"/>
    <col min="14" max="14" width="8.77734375" style="12" customWidth="1"/>
    <col min="15" max="15" width="18.77734375" style="12" customWidth="1"/>
    <col min="16" max="19" width="3.33203125" style="12" customWidth="1"/>
    <col min="20" max="20" width="3.44140625" style="12" customWidth="1"/>
    <col min="21" max="26" width="3.33203125" style="12" customWidth="1"/>
    <col min="27" max="16384" width="9" style="12"/>
  </cols>
  <sheetData>
    <row r="1" spans="1:26" ht="15" customHeight="1" x14ac:dyDescent="0.2">
      <c r="W1" s="160" t="s">
        <v>150</v>
      </c>
      <c r="X1" s="160"/>
      <c r="Y1" s="160"/>
      <c r="Z1" s="160"/>
    </row>
    <row r="2" spans="1:26" ht="18" customHeight="1" x14ac:dyDescent="0.2">
      <c r="A2" s="161" t="s">
        <v>70</v>
      </c>
      <c r="B2" s="161"/>
      <c r="C2" s="161"/>
      <c r="D2" s="161"/>
      <c r="E2" s="161"/>
      <c r="F2" s="161"/>
      <c r="G2" s="161"/>
      <c r="H2" s="161"/>
      <c r="I2" s="161"/>
      <c r="J2" s="161"/>
      <c r="K2" s="161"/>
      <c r="L2" s="161"/>
      <c r="M2" s="161"/>
      <c r="N2" s="161"/>
      <c r="O2" s="161"/>
      <c r="P2" s="161"/>
      <c r="Q2" s="161"/>
      <c r="R2" s="161"/>
      <c r="S2" s="161"/>
      <c r="T2" s="161"/>
      <c r="U2" s="161"/>
      <c r="V2" s="161"/>
      <c r="W2" s="161"/>
      <c r="X2" s="161"/>
      <c r="Y2" s="161"/>
      <c r="Z2" s="161"/>
    </row>
    <row r="3" spans="1:26" ht="15" customHeight="1" x14ac:dyDescent="0.2">
      <c r="B3" s="24"/>
      <c r="C3" s="24"/>
      <c r="D3" s="24"/>
      <c r="E3" s="24"/>
      <c r="F3" s="24"/>
      <c r="G3" s="24"/>
      <c r="H3" s="24"/>
      <c r="I3" s="24"/>
      <c r="J3" s="24"/>
      <c r="K3" s="24"/>
      <c r="L3" s="24"/>
      <c r="M3" s="24"/>
      <c r="N3" s="24"/>
      <c r="O3" s="24"/>
      <c r="P3" s="24"/>
      <c r="Q3" s="24"/>
      <c r="R3" s="24"/>
      <c r="S3" s="24"/>
      <c r="T3" s="24"/>
      <c r="U3" s="24"/>
      <c r="V3" s="24"/>
      <c r="W3" s="24"/>
      <c r="X3" s="24"/>
      <c r="Y3" s="24"/>
      <c r="Z3" s="24"/>
    </row>
    <row r="4" spans="1:26" ht="18" customHeight="1" x14ac:dyDescent="0.2">
      <c r="A4" s="12" t="s">
        <v>71</v>
      </c>
      <c r="B4" s="24"/>
      <c r="C4" s="24"/>
      <c r="D4" s="24"/>
      <c r="E4" s="24"/>
      <c r="F4" s="24"/>
      <c r="G4" s="24"/>
      <c r="H4" s="13" t="s">
        <v>72</v>
      </c>
      <c r="I4" s="24"/>
      <c r="J4" s="24"/>
      <c r="K4" s="24"/>
      <c r="L4" s="24"/>
      <c r="M4" s="24"/>
      <c r="N4" s="24"/>
      <c r="O4" s="132" t="s">
        <v>73</v>
      </c>
      <c r="P4" s="137"/>
      <c r="Q4" s="137"/>
      <c r="R4" s="137"/>
      <c r="S4" s="137"/>
      <c r="T4" s="137"/>
      <c r="U4" s="137"/>
      <c r="V4" s="137"/>
      <c r="W4" s="137"/>
      <c r="X4" s="137"/>
      <c r="Y4" s="137"/>
      <c r="Z4" s="133"/>
    </row>
    <row r="5" spans="1:26" ht="6" customHeight="1" x14ac:dyDescent="0.2">
      <c r="B5" s="24"/>
      <c r="C5" s="24"/>
      <c r="D5" s="24"/>
      <c r="E5" s="24"/>
      <c r="F5" s="24"/>
      <c r="G5" s="24"/>
      <c r="H5" s="24"/>
      <c r="I5" s="24"/>
      <c r="J5" s="24"/>
      <c r="K5" s="24"/>
      <c r="L5" s="24"/>
      <c r="M5" s="24"/>
      <c r="N5" s="24"/>
      <c r="O5" s="14"/>
      <c r="P5" s="24"/>
      <c r="Q5" s="24"/>
      <c r="R5" s="24"/>
      <c r="S5" s="24"/>
      <c r="T5" s="24"/>
      <c r="U5" s="24"/>
      <c r="V5" s="24"/>
      <c r="W5" s="24"/>
      <c r="X5" s="24"/>
      <c r="Y5" s="24"/>
      <c r="Z5" s="24"/>
    </row>
    <row r="6" spans="1:26" ht="18" customHeight="1" x14ac:dyDescent="0.2">
      <c r="B6" s="162" t="s">
        <v>151</v>
      </c>
      <c r="C6" s="163"/>
      <c r="D6" s="163"/>
      <c r="E6" s="163"/>
      <c r="F6" s="163"/>
      <c r="G6" s="163"/>
      <c r="H6" s="163"/>
      <c r="I6" s="163"/>
      <c r="J6" s="163"/>
      <c r="K6" s="163"/>
      <c r="L6" s="163"/>
      <c r="M6" s="163"/>
      <c r="N6" s="163"/>
      <c r="O6" s="163"/>
      <c r="P6" s="163"/>
      <c r="Q6" s="163"/>
      <c r="R6" s="163"/>
      <c r="S6" s="163"/>
      <c r="T6" s="163"/>
      <c r="U6" s="163"/>
      <c r="V6" s="163"/>
      <c r="W6" s="163"/>
      <c r="X6" s="163"/>
      <c r="Y6" s="163"/>
      <c r="Z6" s="164"/>
    </row>
    <row r="7" spans="1:26" ht="18" customHeight="1" x14ac:dyDescent="0.2">
      <c r="B7" s="165"/>
      <c r="C7" s="166"/>
      <c r="D7" s="166"/>
      <c r="E7" s="166"/>
      <c r="F7" s="166"/>
      <c r="G7" s="166"/>
      <c r="H7" s="166"/>
      <c r="I7" s="166"/>
      <c r="J7" s="166"/>
      <c r="K7" s="166"/>
      <c r="L7" s="166"/>
      <c r="M7" s="166"/>
      <c r="N7" s="166"/>
      <c r="O7" s="166"/>
      <c r="P7" s="166"/>
      <c r="Q7" s="166"/>
      <c r="R7" s="166"/>
      <c r="S7" s="166"/>
      <c r="T7" s="166"/>
      <c r="U7" s="166"/>
      <c r="V7" s="166"/>
      <c r="W7" s="166"/>
      <c r="X7" s="166"/>
      <c r="Y7" s="166"/>
      <c r="Z7" s="167"/>
    </row>
    <row r="8" spans="1:26" ht="18" customHeight="1" x14ac:dyDescent="0.2">
      <c r="B8" s="165"/>
      <c r="C8" s="166"/>
      <c r="D8" s="166"/>
      <c r="E8" s="166"/>
      <c r="F8" s="166"/>
      <c r="G8" s="166"/>
      <c r="H8" s="166"/>
      <c r="I8" s="166"/>
      <c r="J8" s="166"/>
      <c r="K8" s="166"/>
      <c r="L8" s="166"/>
      <c r="M8" s="166"/>
      <c r="N8" s="166"/>
      <c r="O8" s="166"/>
      <c r="P8" s="166"/>
      <c r="Q8" s="166"/>
      <c r="R8" s="166"/>
      <c r="S8" s="166"/>
      <c r="T8" s="166"/>
      <c r="U8" s="166"/>
      <c r="V8" s="166"/>
      <c r="W8" s="166"/>
      <c r="X8" s="166"/>
      <c r="Y8" s="166"/>
      <c r="Z8" s="167"/>
    </row>
    <row r="9" spans="1:26" ht="18" customHeight="1" x14ac:dyDescent="0.2">
      <c r="B9" s="165"/>
      <c r="C9" s="166"/>
      <c r="D9" s="166"/>
      <c r="E9" s="166"/>
      <c r="F9" s="166"/>
      <c r="G9" s="166"/>
      <c r="H9" s="166"/>
      <c r="I9" s="166"/>
      <c r="J9" s="166"/>
      <c r="K9" s="166"/>
      <c r="L9" s="166"/>
      <c r="M9" s="166"/>
      <c r="N9" s="166"/>
      <c r="O9" s="166"/>
      <c r="P9" s="166"/>
      <c r="Q9" s="166"/>
      <c r="R9" s="166"/>
      <c r="S9" s="166"/>
      <c r="T9" s="166"/>
      <c r="U9" s="166"/>
      <c r="V9" s="166"/>
      <c r="W9" s="166"/>
      <c r="X9" s="166"/>
      <c r="Y9" s="166"/>
      <c r="Z9" s="167"/>
    </row>
    <row r="10" spans="1:26" ht="18" customHeight="1" x14ac:dyDescent="0.2">
      <c r="B10" s="165"/>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7"/>
    </row>
    <row r="11" spans="1:26" ht="31.95" customHeight="1" x14ac:dyDescent="0.2">
      <c r="B11" s="168"/>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70"/>
    </row>
    <row r="12" spans="1:26" ht="7.5" customHeight="1" x14ac:dyDescent="0.2">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8" customHeight="1" x14ac:dyDescent="0.2">
      <c r="A13" s="171" t="s">
        <v>75</v>
      </c>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row>
    <row r="14" spans="1:26" ht="18" customHeight="1" x14ac:dyDescent="0.2">
      <c r="A14" s="171"/>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row>
    <row r="15" spans="1:26" ht="18" customHeight="1" x14ac:dyDescent="0.2">
      <c r="A15" s="13"/>
      <c r="B15" s="132" t="s">
        <v>76</v>
      </c>
      <c r="C15" s="137"/>
      <c r="D15" s="137"/>
      <c r="E15" s="137"/>
      <c r="F15" s="133"/>
      <c r="G15" s="25" t="s">
        <v>77</v>
      </c>
      <c r="H15" s="100" t="s">
        <v>78</v>
      </c>
      <c r="I15" s="137" t="s">
        <v>79</v>
      </c>
      <c r="J15" s="137"/>
      <c r="K15" s="137"/>
      <c r="L15" s="66" t="s">
        <v>80</v>
      </c>
      <c r="M15" s="66" t="s">
        <v>81</v>
      </c>
      <c r="N15" s="132" t="s">
        <v>76</v>
      </c>
      <c r="O15" s="137"/>
      <c r="P15" s="137"/>
      <c r="Q15" s="137"/>
      <c r="R15" s="137"/>
      <c r="S15" s="133"/>
      <c r="T15" s="25" t="s">
        <v>77</v>
      </c>
      <c r="U15" s="100" t="s">
        <v>78</v>
      </c>
      <c r="V15" s="137" t="s">
        <v>79</v>
      </c>
      <c r="W15" s="137"/>
      <c r="X15" s="137"/>
      <c r="Y15" s="66" t="s">
        <v>80</v>
      </c>
      <c r="Z15" s="66" t="s">
        <v>81</v>
      </c>
    </row>
    <row r="16" spans="1:26" ht="18" customHeight="1" x14ac:dyDescent="0.2">
      <c r="A16" s="13"/>
      <c r="B16" s="142" t="s">
        <v>94</v>
      </c>
      <c r="C16" s="143"/>
      <c r="D16" s="143"/>
      <c r="E16" s="143"/>
      <c r="F16" s="144"/>
      <c r="G16" s="101">
        <v>2</v>
      </c>
      <c r="H16" s="101" t="s">
        <v>83</v>
      </c>
      <c r="I16" s="145" t="s">
        <v>95</v>
      </c>
      <c r="J16" s="146"/>
      <c r="K16" s="147"/>
      <c r="L16" s="101" t="s">
        <v>83</v>
      </c>
      <c r="M16" s="101"/>
      <c r="N16" s="148"/>
      <c r="O16" s="149"/>
      <c r="P16" s="149"/>
      <c r="Q16" s="149"/>
      <c r="R16" s="149"/>
      <c r="S16" s="150"/>
      <c r="T16" s="101"/>
      <c r="U16" s="101"/>
      <c r="V16" s="145"/>
      <c r="W16" s="146"/>
      <c r="X16" s="147"/>
      <c r="Y16" s="101"/>
      <c r="Z16" s="101"/>
    </row>
    <row r="17" spans="1:26" ht="18" customHeight="1" x14ac:dyDescent="0.2">
      <c r="A17" s="13"/>
      <c r="B17" s="151" t="s">
        <v>136</v>
      </c>
      <c r="C17" s="152"/>
      <c r="D17" s="152"/>
      <c r="E17" s="152"/>
      <c r="F17" s="153"/>
      <c r="G17" s="102">
        <v>2</v>
      </c>
      <c r="H17" s="101" t="s">
        <v>83</v>
      </c>
      <c r="I17" s="154" t="s">
        <v>84</v>
      </c>
      <c r="J17" s="155"/>
      <c r="K17" s="156"/>
      <c r="L17" s="102" t="s">
        <v>83</v>
      </c>
      <c r="M17" s="102" t="s">
        <v>83</v>
      </c>
      <c r="N17" s="157"/>
      <c r="O17" s="158"/>
      <c r="P17" s="158"/>
      <c r="Q17" s="158"/>
      <c r="R17" s="158"/>
      <c r="S17" s="159"/>
      <c r="T17" s="102"/>
      <c r="U17" s="102"/>
      <c r="V17" s="154"/>
      <c r="W17" s="155"/>
      <c r="X17" s="156"/>
      <c r="Y17" s="102"/>
      <c r="Z17" s="102"/>
    </row>
    <row r="18" spans="1:26" ht="18" customHeight="1" x14ac:dyDescent="0.2">
      <c r="A18" s="13"/>
      <c r="B18" s="151"/>
      <c r="C18" s="152"/>
      <c r="D18" s="152"/>
      <c r="E18" s="152"/>
      <c r="F18" s="153"/>
      <c r="G18" s="102"/>
      <c r="H18" s="102"/>
      <c r="I18" s="154"/>
      <c r="J18" s="155"/>
      <c r="K18" s="156"/>
      <c r="L18" s="102"/>
      <c r="M18" s="102"/>
      <c r="N18" s="157"/>
      <c r="O18" s="158"/>
      <c r="P18" s="158"/>
      <c r="Q18" s="158"/>
      <c r="R18" s="158"/>
      <c r="S18" s="159"/>
      <c r="T18" s="102"/>
      <c r="U18" s="102"/>
      <c r="V18" s="154"/>
      <c r="W18" s="155"/>
      <c r="X18" s="156"/>
      <c r="Y18" s="102"/>
      <c r="Z18" s="102"/>
    </row>
    <row r="19" spans="1:26" ht="18" customHeight="1" x14ac:dyDescent="0.2">
      <c r="A19" s="13"/>
      <c r="B19" s="151"/>
      <c r="C19" s="152"/>
      <c r="D19" s="152"/>
      <c r="E19" s="152"/>
      <c r="F19" s="153"/>
      <c r="G19" s="102"/>
      <c r="H19" s="102"/>
      <c r="I19" s="154"/>
      <c r="J19" s="155"/>
      <c r="K19" s="156"/>
      <c r="L19" s="102"/>
      <c r="M19" s="102"/>
      <c r="N19" s="157"/>
      <c r="O19" s="158"/>
      <c r="P19" s="158"/>
      <c r="Q19" s="158"/>
      <c r="R19" s="158"/>
      <c r="S19" s="159"/>
      <c r="T19" s="102"/>
      <c r="U19" s="102"/>
      <c r="V19" s="154"/>
      <c r="W19" s="155"/>
      <c r="X19" s="156"/>
      <c r="Y19" s="102"/>
      <c r="Z19" s="102"/>
    </row>
    <row r="20" spans="1:26" ht="18" customHeight="1" x14ac:dyDescent="0.2">
      <c r="A20" s="13"/>
      <c r="B20" s="151"/>
      <c r="C20" s="152"/>
      <c r="D20" s="152"/>
      <c r="E20" s="152"/>
      <c r="F20" s="153"/>
      <c r="G20" s="102"/>
      <c r="H20" s="102"/>
      <c r="I20" s="154"/>
      <c r="J20" s="155"/>
      <c r="K20" s="156"/>
      <c r="L20" s="102"/>
      <c r="M20" s="102"/>
      <c r="N20" s="157"/>
      <c r="O20" s="158"/>
      <c r="P20" s="158"/>
      <c r="Q20" s="158"/>
      <c r="R20" s="158"/>
      <c r="S20" s="159"/>
      <c r="T20" s="102"/>
      <c r="U20" s="102"/>
      <c r="V20" s="154"/>
      <c r="W20" s="155"/>
      <c r="X20" s="156"/>
      <c r="Y20" s="102"/>
      <c r="Z20" s="102"/>
    </row>
    <row r="21" spans="1:26" ht="18" customHeight="1" x14ac:dyDescent="0.2">
      <c r="A21" s="24"/>
      <c r="B21" s="151"/>
      <c r="C21" s="152"/>
      <c r="D21" s="152"/>
      <c r="E21" s="152"/>
      <c r="F21" s="153"/>
      <c r="G21" s="102"/>
      <c r="H21" s="102"/>
      <c r="I21" s="154"/>
      <c r="J21" s="155"/>
      <c r="K21" s="156"/>
      <c r="L21" s="102"/>
      <c r="M21" s="102"/>
      <c r="N21" s="157"/>
      <c r="O21" s="158"/>
      <c r="P21" s="158"/>
      <c r="Q21" s="158"/>
      <c r="R21" s="158"/>
      <c r="S21" s="159"/>
      <c r="T21" s="102"/>
      <c r="U21" s="102"/>
      <c r="V21" s="154"/>
      <c r="W21" s="155"/>
      <c r="X21" s="156"/>
      <c r="Y21" s="102"/>
      <c r="Z21" s="102"/>
    </row>
    <row r="22" spans="1:26" ht="18" customHeight="1" x14ac:dyDescent="0.2">
      <c r="A22" s="24"/>
      <c r="B22" s="172"/>
      <c r="C22" s="173"/>
      <c r="D22" s="173"/>
      <c r="E22" s="173"/>
      <c r="F22" s="174"/>
      <c r="G22" s="103"/>
      <c r="H22" s="103"/>
      <c r="I22" s="175"/>
      <c r="J22" s="176"/>
      <c r="K22" s="177"/>
      <c r="L22" s="108"/>
      <c r="M22" s="108"/>
      <c r="N22" s="178"/>
      <c r="O22" s="179"/>
      <c r="P22" s="179"/>
      <c r="Q22" s="179"/>
      <c r="R22" s="179"/>
      <c r="S22" s="180"/>
      <c r="T22" s="103"/>
      <c r="U22" s="103"/>
      <c r="V22" s="175"/>
      <c r="W22" s="176"/>
      <c r="X22" s="177"/>
      <c r="Y22" s="108"/>
      <c r="Z22" s="108"/>
    </row>
    <row r="23" spans="1:26" ht="7.5" customHeight="1" x14ac:dyDescent="0.2">
      <c r="A23" s="24"/>
      <c r="B23" s="30"/>
      <c r="C23" s="30"/>
      <c r="D23" s="24"/>
      <c r="E23" s="24"/>
      <c r="F23" s="24"/>
      <c r="G23" s="24"/>
      <c r="H23" s="24"/>
      <c r="I23" s="24"/>
      <c r="J23" s="24"/>
      <c r="K23" s="24"/>
      <c r="L23" s="30"/>
      <c r="M23" s="30"/>
      <c r="N23" s="30"/>
      <c r="O23" s="30"/>
      <c r="P23" s="30"/>
      <c r="Q23" s="30"/>
      <c r="R23" s="30"/>
      <c r="S23" s="30"/>
      <c r="T23" s="30"/>
      <c r="U23" s="30"/>
      <c r="V23" s="30"/>
      <c r="W23" s="30"/>
      <c r="X23" s="30"/>
      <c r="Y23" s="30"/>
      <c r="Z23" s="24"/>
    </row>
    <row r="24" spans="1:26" ht="18" customHeight="1" x14ac:dyDescent="0.2">
      <c r="A24" s="171" t="s">
        <v>85</v>
      </c>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row>
    <row r="25" spans="1:26" ht="18" customHeight="1" x14ac:dyDescent="0.2">
      <c r="A25" s="171"/>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row>
    <row r="26" spans="1:26" ht="18" customHeight="1" x14ac:dyDescent="0.2">
      <c r="A26" s="13"/>
      <c r="B26" s="132" t="s">
        <v>76</v>
      </c>
      <c r="C26" s="137"/>
      <c r="D26" s="137"/>
      <c r="E26" s="137"/>
      <c r="F26" s="133"/>
      <c r="G26" s="25" t="s">
        <v>77</v>
      </c>
      <c r="H26" s="100" t="s">
        <v>78</v>
      </c>
      <c r="I26" s="137" t="s">
        <v>79</v>
      </c>
      <c r="J26" s="137"/>
      <c r="K26" s="137"/>
      <c r="L26" s="66" t="s">
        <v>86</v>
      </c>
      <c r="M26" s="66" t="s">
        <v>87</v>
      </c>
      <c r="N26" s="132" t="s">
        <v>76</v>
      </c>
      <c r="O26" s="137"/>
      <c r="P26" s="137"/>
      <c r="Q26" s="137"/>
      <c r="R26" s="137"/>
      <c r="S26" s="133"/>
      <c r="T26" s="25" t="s">
        <v>77</v>
      </c>
      <c r="U26" s="100" t="s">
        <v>78</v>
      </c>
      <c r="V26" s="137" t="s">
        <v>79</v>
      </c>
      <c r="W26" s="137"/>
      <c r="X26" s="137"/>
      <c r="Y26" s="66" t="s">
        <v>86</v>
      </c>
      <c r="Z26" s="66" t="s">
        <v>87</v>
      </c>
    </row>
    <row r="27" spans="1:26" ht="18" customHeight="1" x14ac:dyDescent="0.2">
      <c r="A27" s="13"/>
      <c r="B27" s="142" t="s">
        <v>94</v>
      </c>
      <c r="C27" s="143"/>
      <c r="D27" s="143"/>
      <c r="E27" s="143"/>
      <c r="F27" s="144"/>
      <c r="G27" s="101">
        <v>2</v>
      </c>
      <c r="H27" s="101" t="s">
        <v>83</v>
      </c>
      <c r="I27" s="145" t="s">
        <v>95</v>
      </c>
      <c r="J27" s="146"/>
      <c r="K27" s="147"/>
      <c r="L27" s="101" t="s">
        <v>83</v>
      </c>
      <c r="M27" s="101"/>
      <c r="N27" s="148"/>
      <c r="O27" s="149"/>
      <c r="P27" s="149"/>
      <c r="Q27" s="149"/>
      <c r="R27" s="149"/>
      <c r="S27" s="150"/>
      <c r="T27" s="101"/>
      <c r="U27" s="101"/>
      <c r="V27" s="145"/>
      <c r="W27" s="146"/>
      <c r="X27" s="147"/>
      <c r="Y27" s="101"/>
      <c r="Z27" s="101"/>
    </row>
    <row r="28" spans="1:26" ht="18" customHeight="1" x14ac:dyDescent="0.2">
      <c r="A28" s="13"/>
      <c r="B28" s="151" t="s">
        <v>136</v>
      </c>
      <c r="C28" s="152"/>
      <c r="D28" s="152"/>
      <c r="E28" s="152"/>
      <c r="F28" s="153"/>
      <c r="G28" s="102">
        <v>2</v>
      </c>
      <c r="H28" s="102" t="s">
        <v>83</v>
      </c>
      <c r="I28" s="154" t="s">
        <v>84</v>
      </c>
      <c r="J28" s="155"/>
      <c r="K28" s="156"/>
      <c r="L28" s="102"/>
      <c r="M28" s="102" t="s">
        <v>83</v>
      </c>
      <c r="N28" s="157"/>
      <c r="O28" s="158"/>
      <c r="P28" s="158"/>
      <c r="Q28" s="158"/>
      <c r="R28" s="158"/>
      <c r="S28" s="159"/>
      <c r="T28" s="102"/>
      <c r="U28" s="102"/>
      <c r="V28" s="154"/>
      <c r="W28" s="155"/>
      <c r="X28" s="156"/>
      <c r="Y28" s="102"/>
      <c r="Z28" s="102"/>
    </row>
    <row r="29" spans="1:26" ht="18" customHeight="1" x14ac:dyDescent="0.2">
      <c r="A29" s="13"/>
      <c r="B29" s="151"/>
      <c r="C29" s="152"/>
      <c r="D29" s="152"/>
      <c r="E29" s="152"/>
      <c r="F29" s="153"/>
      <c r="G29" s="102"/>
      <c r="H29" s="102"/>
      <c r="I29" s="154"/>
      <c r="J29" s="155"/>
      <c r="K29" s="156"/>
      <c r="L29" s="102"/>
      <c r="M29" s="102"/>
      <c r="N29" s="157"/>
      <c r="O29" s="158"/>
      <c r="P29" s="158"/>
      <c r="Q29" s="158"/>
      <c r="R29" s="158"/>
      <c r="S29" s="159"/>
      <c r="T29" s="102"/>
      <c r="U29" s="102"/>
      <c r="V29" s="154"/>
      <c r="W29" s="155"/>
      <c r="X29" s="156"/>
      <c r="Y29" s="102"/>
      <c r="Z29" s="102"/>
    </row>
    <row r="30" spans="1:26" ht="18" customHeight="1" x14ac:dyDescent="0.2">
      <c r="A30" s="13"/>
      <c r="B30" s="151"/>
      <c r="C30" s="152"/>
      <c r="D30" s="152"/>
      <c r="E30" s="152"/>
      <c r="F30" s="153"/>
      <c r="G30" s="102"/>
      <c r="H30" s="102"/>
      <c r="I30" s="154"/>
      <c r="J30" s="155"/>
      <c r="K30" s="156"/>
      <c r="L30" s="102"/>
      <c r="M30" s="102"/>
      <c r="N30" s="157"/>
      <c r="O30" s="158"/>
      <c r="P30" s="158"/>
      <c r="Q30" s="158"/>
      <c r="R30" s="158"/>
      <c r="S30" s="159"/>
      <c r="T30" s="102"/>
      <c r="U30" s="102"/>
      <c r="V30" s="154"/>
      <c r="W30" s="155"/>
      <c r="X30" s="156"/>
      <c r="Y30" s="102"/>
      <c r="Z30" s="102"/>
    </row>
    <row r="31" spans="1:26" ht="18" customHeight="1" x14ac:dyDescent="0.2">
      <c r="A31" s="13"/>
      <c r="B31" s="151"/>
      <c r="C31" s="152"/>
      <c r="D31" s="152"/>
      <c r="E31" s="152"/>
      <c r="F31" s="153"/>
      <c r="G31" s="102"/>
      <c r="H31" s="102"/>
      <c r="I31" s="154"/>
      <c r="J31" s="155"/>
      <c r="K31" s="156"/>
      <c r="L31" s="102"/>
      <c r="M31" s="102"/>
      <c r="N31" s="157"/>
      <c r="O31" s="158"/>
      <c r="P31" s="158"/>
      <c r="Q31" s="158"/>
      <c r="R31" s="158"/>
      <c r="S31" s="159"/>
      <c r="T31" s="102"/>
      <c r="U31" s="102"/>
      <c r="V31" s="154"/>
      <c r="W31" s="155"/>
      <c r="X31" s="156"/>
      <c r="Y31" s="102"/>
      <c r="Z31" s="102"/>
    </row>
    <row r="32" spans="1:26" ht="18" customHeight="1" x14ac:dyDescent="0.2">
      <c r="A32" s="13"/>
      <c r="B32" s="151"/>
      <c r="C32" s="152"/>
      <c r="D32" s="152"/>
      <c r="E32" s="152"/>
      <c r="F32" s="153"/>
      <c r="G32" s="102"/>
      <c r="H32" s="102"/>
      <c r="I32" s="154"/>
      <c r="J32" s="155"/>
      <c r="K32" s="156"/>
      <c r="L32" s="102"/>
      <c r="M32" s="102"/>
      <c r="N32" s="157"/>
      <c r="O32" s="158"/>
      <c r="P32" s="158"/>
      <c r="Q32" s="158"/>
      <c r="R32" s="158"/>
      <c r="S32" s="159"/>
      <c r="T32" s="102"/>
      <c r="U32" s="102"/>
      <c r="V32" s="154"/>
      <c r="W32" s="155"/>
      <c r="X32" s="156"/>
      <c r="Y32" s="102"/>
      <c r="Z32" s="102"/>
    </row>
    <row r="33" spans="1:26" ht="18" customHeight="1" x14ac:dyDescent="0.2">
      <c r="A33" s="13"/>
      <c r="B33" s="172"/>
      <c r="C33" s="173"/>
      <c r="D33" s="173"/>
      <c r="E33" s="173"/>
      <c r="F33" s="174"/>
      <c r="G33" s="103"/>
      <c r="H33" s="103"/>
      <c r="I33" s="175"/>
      <c r="J33" s="176"/>
      <c r="K33" s="177"/>
      <c r="L33" s="108"/>
      <c r="M33" s="108"/>
      <c r="N33" s="178"/>
      <c r="O33" s="179"/>
      <c r="P33" s="179"/>
      <c r="Q33" s="179"/>
      <c r="R33" s="179"/>
      <c r="S33" s="180"/>
      <c r="T33" s="103"/>
      <c r="U33" s="103"/>
      <c r="V33" s="175"/>
      <c r="W33" s="176"/>
      <c r="X33" s="177"/>
      <c r="Y33" s="108"/>
      <c r="Z33" s="108"/>
    </row>
    <row r="34" spans="1:26" ht="7.5" customHeight="1" x14ac:dyDescent="0.2">
      <c r="A34" s="24"/>
      <c r="B34" s="30"/>
      <c r="C34" s="30"/>
      <c r="D34" s="24"/>
      <c r="E34" s="24"/>
      <c r="F34" s="24"/>
      <c r="G34" s="24"/>
      <c r="H34" s="24"/>
      <c r="I34" s="24"/>
      <c r="J34" s="24"/>
      <c r="K34" s="24"/>
      <c r="L34" s="30"/>
      <c r="M34" s="30"/>
      <c r="N34" s="30"/>
      <c r="O34" s="30"/>
      <c r="P34" s="30"/>
      <c r="Q34" s="30"/>
      <c r="R34" s="30"/>
      <c r="S34" s="30"/>
      <c r="T34" s="30"/>
      <c r="U34" s="30"/>
      <c r="V34" s="30"/>
      <c r="W34" s="30"/>
      <c r="X34" s="30"/>
      <c r="Y34" s="30"/>
      <c r="Z34" s="24"/>
    </row>
    <row r="35" spans="1:26" ht="18" customHeight="1" x14ac:dyDescent="0.2">
      <c r="A35" s="171" t="s">
        <v>88</v>
      </c>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row>
    <row r="36" spans="1:26" ht="18" customHeight="1" x14ac:dyDescent="0.2">
      <c r="A36" s="171"/>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row>
    <row r="37" spans="1:26" ht="18" customHeight="1" x14ac:dyDescent="0.2">
      <c r="A37" s="13"/>
      <c r="B37" s="132" t="s">
        <v>76</v>
      </c>
      <c r="C37" s="137"/>
      <c r="D37" s="137"/>
      <c r="E37" s="137"/>
      <c r="F37" s="133"/>
      <c r="G37" s="25" t="s">
        <v>77</v>
      </c>
      <c r="H37" s="100" t="s">
        <v>78</v>
      </c>
      <c r="I37" s="132" t="s">
        <v>79</v>
      </c>
      <c r="J37" s="137"/>
      <c r="K37" s="133"/>
      <c r="L37" s="66" t="s">
        <v>89</v>
      </c>
      <c r="M37" s="66" t="s">
        <v>90</v>
      </c>
      <c r="N37" s="132" t="s">
        <v>76</v>
      </c>
      <c r="O37" s="137"/>
      <c r="P37" s="137"/>
      <c r="Q37" s="137"/>
      <c r="R37" s="137"/>
      <c r="S37" s="133"/>
      <c r="T37" s="25" t="s">
        <v>77</v>
      </c>
      <c r="U37" s="100" t="s">
        <v>78</v>
      </c>
      <c r="V37" s="132" t="s">
        <v>79</v>
      </c>
      <c r="W37" s="137"/>
      <c r="X37" s="133"/>
      <c r="Y37" s="66" t="s">
        <v>89</v>
      </c>
      <c r="Z37" s="66" t="s">
        <v>90</v>
      </c>
    </row>
    <row r="38" spans="1:26" ht="18" customHeight="1" x14ac:dyDescent="0.2">
      <c r="A38" s="24"/>
      <c r="B38" s="151" t="s">
        <v>136</v>
      </c>
      <c r="C38" s="152"/>
      <c r="D38" s="152"/>
      <c r="E38" s="152"/>
      <c r="F38" s="153"/>
      <c r="G38" s="102">
        <v>2</v>
      </c>
      <c r="H38" s="102" t="s">
        <v>83</v>
      </c>
      <c r="I38" s="154" t="s">
        <v>84</v>
      </c>
      <c r="J38" s="155"/>
      <c r="K38" s="156"/>
      <c r="L38" s="102" t="s">
        <v>83</v>
      </c>
      <c r="M38" s="102" t="s">
        <v>83</v>
      </c>
      <c r="N38" s="148"/>
      <c r="O38" s="149"/>
      <c r="P38" s="149"/>
      <c r="Q38" s="149"/>
      <c r="R38" s="149"/>
      <c r="S38" s="150"/>
      <c r="T38" s="101"/>
      <c r="U38" s="101"/>
      <c r="V38" s="145"/>
      <c r="W38" s="146"/>
      <c r="X38" s="147"/>
      <c r="Y38" s="101"/>
      <c r="Z38" s="101"/>
    </row>
    <row r="39" spans="1:26" ht="18" customHeight="1" x14ac:dyDescent="0.2">
      <c r="A39" s="24"/>
      <c r="B39" s="151"/>
      <c r="C39" s="152"/>
      <c r="D39" s="152"/>
      <c r="E39" s="152"/>
      <c r="F39" s="153"/>
      <c r="G39" s="102"/>
      <c r="H39" s="102"/>
      <c r="I39" s="154"/>
      <c r="J39" s="155"/>
      <c r="K39" s="156"/>
      <c r="L39" s="102"/>
      <c r="M39" s="102"/>
      <c r="N39" s="157"/>
      <c r="O39" s="158"/>
      <c r="P39" s="158"/>
      <c r="Q39" s="158"/>
      <c r="R39" s="158"/>
      <c r="S39" s="159"/>
      <c r="T39" s="102"/>
      <c r="U39" s="102"/>
      <c r="V39" s="154"/>
      <c r="W39" s="155"/>
      <c r="X39" s="156"/>
      <c r="Y39" s="102"/>
      <c r="Z39" s="102"/>
    </row>
    <row r="40" spans="1:26" ht="18" customHeight="1" x14ac:dyDescent="0.2">
      <c r="A40" s="24"/>
      <c r="B40" s="151"/>
      <c r="C40" s="152"/>
      <c r="D40" s="152"/>
      <c r="E40" s="152"/>
      <c r="F40" s="153"/>
      <c r="G40" s="102"/>
      <c r="H40" s="102"/>
      <c r="I40" s="154"/>
      <c r="J40" s="155"/>
      <c r="K40" s="156"/>
      <c r="L40" s="102"/>
      <c r="M40" s="102"/>
      <c r="N40" s="157"/>
      <c r="O40" s="158"/>
      <c r="P40" s="158"/>
      <c r="Q40" s="158"/>
      <c r="R40" s="158"/>
      <c r="S40" s="159"/>
      <c r="T40" s="102"/>
      <c r="U40" s="102"/>
      <c r="V40" s="154"/>
      <c r="W40" s="155"/>
      <c r="X40" s="156"/>
      <c r="Y40" s="102"/>
      <c r="Z40" s="102"/>
    </row>
    <row r="41" spans="1:26" ht="18" customHeight="1" x14ac:dyDescent="0.2">
      <c r="A41" s="24"/>
      <c r="B41" s="151"/>
      <c r="C41" s="152"/>
      <c r="D41" s="152"/>
      <c r="E41" s="152"/>
      <c r="F41" s="153"/>
      <c r="G41" s="102"/>
      <c r="H41" s="102"/>
      <c r="I41" s="154"/>
      <c r="J41" s="155"/>
      <c r="K41" s="156"/>
      <c r="L41" s="102"/>
      <c r="M41" s="102"/>
      <c r="N41" s="157"/>
      <c r="O41" s="158"/>
      <c r="P41" s="158"/>
      <c r="Q41" s="158"/>
      <c r="R41" s="158"/>
      <c r="S41" s="159"/>
      <c r="T41" s="102"/>
      <c r="U41" s="102"/>
      <c r="V41" s="154"/>
      <c r="W41" s="155"/>
      <c r="X41" s="156"/>
      <c r="Y41" s="102"/>
      <c r="Z41" s="102"/>
    </row>
    <row r="42" spans="1:26" ht="18" customHeight="1" x14ac:dyDescent="0.2">
      <c r="A42" s="24"/>
      <c r="B42" s="151"/>
      <c r="C42" s="152"/>
      <c r="D42" s="152"/>
      <c r="E42" s="152"/>
      <c r="F42" s="153"/>
      <c r="G42" s="102"/>
      <c r="H42" s="102"/>
      <c r="I42" s="154"/>
      <c r="J42" s="155"/>
      <c r="K42" s="156"/>
      <c r="L42" s="102"/>
      <c r="M42" s="102"/>
      <c r="N42" s="157"/>
      <c r="O42" s="158"/>
      <c r="P42" s="158"/>
      <c r="Q42" s="158"/>
      <c r="R42" s="158"/>
      <c r="S42" s="159"/>
      <c r="T42" s="102"/>
      <c r="U42" s="102"/>
      <c r="V42" s="154"/>
      <c r="W42" s="155"/>
      <c r="X42" s="156"/>
      <c r="Y42" s="102"/>
      <c r="Z42" s="102"/>
    </row>
    <row r="43" spans="1:26" ht="18" customHeight="1" x14ac:dyDescent="0.2">
      <c r="A43" s="24"/>
      <c r="B43" s="151"/>
      <c r="C43" s="152"/>
      <c r="D43" s="152"/>
      <c r="E43" s="152"/>
      <c r="F43" s="153"/>
      <c r="G43" s="102"/>
      <c r="H43" s="102"/>
      <c r="I43" s="154"/>
      <c r="J43" s="155"/>
      <c r="K43" s="156"/>
      <c r="L43" s="102"/>
      <c r="M43" s="102"/>
      <c r="N43" s="157"/>
      <c r="O43" s="158"/>
      <c r="P43" s="158"/>
      <c r="Q43" s="158"/>
      <c r="R43" s="158"/>
      <c r="S43" s="159"/>
      <c r="T43" s="102"/>
      <c r="U43" s="102"/>
      <c r="V43" s="154"/>
      <c r="W43" s="155"/>
      <c r="X43" s="156"/>
      <c r="Y43" s="102"/>
      <c r="Z43" s="102"/>
    </row>
    <row r="44" spans="1:26" ht="18" customHeight="1" x14ac:dyDescent="0.2">
      <c r="A44" s="24"/>
      <c r="B44" s="172"/>
      <c r="C44" s="173"/>
      <c r="D44" s="173"/>
      <c r="E44" s="173"/>
      <c r="F44" s="174"/>
      <c r="G44" s="103"/>
      <c r="H44" s="103"/>
      <c r="I44" s="175"/>
      <c r="J44" s="176"/>
      <c r="K44" s="177"/>
      <c r="L44" s="108"/>
      <c r="M44" s="108"/>
      <c r="N44" s="178"/>
      <c r="O44" s="179"/>
      <c r="P44" s="179"/>
      <c r="Q44" s="179"/>
      <c r="R44" s="179"/>
      <c r="S44" s="180"/>
      <c r="T44" s="103"/>
      <c r="U44" s="103"/>
      <c r="V44" s="175"/>
      <c r="W44" s="176"/>
      <c r="X44" s="177"/>
      <c r="Y44" s="108"/>
      <c r="Z44" s="108"/>
    </row>
    <row r="45" spans="1:26" ht="7.5" customHeight="1" x14ac:dyDescent="0.2">
      <c r="B45" s="67"/>
      <c r="C45" s="67"/>
      <c r="D45" s="67"/>
      <c r="E45" s="67"/>
      <c r="F45" s="67"/>
      <c r="G45" s="67"/>
      <c r="H45" s="67"/>
      <c r="I45" s="67"/>
      <c r="J45" s="67"/>
      <c r="K45" s="67"/>
      <c r="L45" s="67"/>
      <c r="M45" s="67"/>
      <c r="N45" s="67"/>
      <c r="O45" s="67"/>
      <c r="P45" s="67"/>
      <c r="Q45" s="67"/>
      <c r="R45" s="67"/>
      <c r="S45" s="67"/>
      <c r="T45" s="67"/>
      <c r="U45" s="67"/>
      <c r="V45" s="67"/>
      <c r="W45" s="67"/>
      <c r="X45" s="67"/>
      <c r="Y45" s="67"/>
    </row>
    <row r="46" spans="1:26" ht="18" customHeight="1" x14ac:dyDescent="0.2">
      <c r="A46" s="171" t="s">
        <v>91</v>
      </c>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row>
    <row r="47" spans="1:26" ht="18" customHeight="1" x14ac:dyDescent="0.2">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row>
    <row r="48" spans="1:26" ht="18" customHeight="1" x14ac:dyDescent="0.2">
      <c r="A48" s="13"/>
      <c r="B48" s="132" t="s">
        <v>76</v>
      </c>
      <c r="C48" s="137"/>
      <c r="D48" s="137"/>
      <c r="E48" s="137"/>
      <c r="F48" s="133"/>
      <c r="G48" s="25" t="s">
        <v>77</v>
      </c>
      <c r="H48" s="100" t="s">
        <v>78</v>
      </c>
      <c r="I48" s="132" t="s">
        <v>79</v>
      </c>
      <c r="J48" s="137"/>
      <c r="K48" s="133"/>
      <c r="L48" s="66" t="s">
        <v>92</v>
      </c>
      <c r="M48" s="66" t="s">
        <v>93</v>
      </c>
      <c r="N48" s="132" t="s">
        <v>76</v>
      </c>
      <c r="O48" s="137"/>
      <c r="P48" s="137"/>
      <c r="Q48" s="137"/>
      <c r="R48" s="137"/>
      <c r="S48" s="133"/>
      <c r="T48" s="25" t="s">
        <v>77</v>
      </c>
      <c r="U48" s="100" t="s">
        <v>78</v>
      </c>
      <c r="V48" s="132" t="s">
        <v>79</v>
      </c>
      <c r="W48" s="137"/>
      <c r="X48" s="133"/>
      <c r="Y48" s="66" t="s">
        <v>92</v>
      </c>
      <c r="Z48" s="66" t="s">
        <v>93</v>
      </c>
    </row>
    <row r="49" spans="1:26" ht="18" customHeight="1" x14ac:dyDescent="0.2">
      <c r="A49" s="24"/>
      <c r="B49" s="142" t="s">
        <v>94</v>
      </c>
      <c r="C49" s="143"/>
      <c r="D49" s="143"/>
      <c r="E49" s="143"/>
      <c r="F49" s="144"/>
      <c r="G49" s="101">
        <v>2</v>
      </c>
      <c r="H49" s="101" t="s">
        <v>83</v>
      </c>
      <c r="I49" s="145" t="s">
        <v>95</v>
      </c>
      <c r="J49" s="146"/>
      <c r="K49" s="147"/>
      <c r="L49" s="101" t="s">
        <v>83</v>
      </c>
      <c r="M49" s="101" t="s">
        <v>83</v>
      </c>
      <c r="N49" s="148"/>
      <c r="O49" s="149"/>
      <c r="P49" s="149"/>
      <c r="Q49" s="149"/>
      <c r="R49" s="149"/>
      <c r="S49" s="150"/>
      <c r="T49" s="101"/>
      <c r="U49" s="101"/>
      <c r="V49" s="145"/>
      <c r="W49" s="146"/>
      <c r="X49" s="147"/>
      <c r="Y49" s="101"/>
      <c r="Z49" s="101"/>
    </row>
    <row r="50" spans="1:26" ht="18" customHeight="1" x14ac:dyDescent="0.2">
      <c r="A50" s="24"/>
      <c r="B50" s="151"/>
      <c r="C50" s="152"/>
      <c r="D50" s="152"/>
      <c r="E50" s="152"/>
      <c r="F50" s="153"/>
      <c r="G50" s="102"/>
      <c r="H50" s="102"/>
      <c r="I50" s="154"/>
      <c r="J50" s="155"/>
      <c r="K50" s="156"/>
      <c r="L50" s="102"/>
      <c r="M50" s="102"/>
      <c r="N50" s="157"/>
      <c r="O50" s="158"/>
      <c r="P50" s="158"/>
      <c r="Q50" s="158"/>
      <c r="R50" s="158"/>
      <c r="S50" s="159"/>
      <c r="T50" s="102"/>
      <c r="U50" s="102"/>
      <c r="V50" s="154"/>
      <c r="W50" s="155"/>
      <c r="X50" s="156"/>
      <c r="Y50" s="102"/>
      <c r="Z50" s="102"/>
    </row>
    <row r="51" spans="1:26" ht="18" customHeight="1" x14ac:dyDescent="0.2">
      <c r="A51" s="24"/>
      <c r="B51" s="151"/>
      <c r="C51" s="152"/>
      <c r="D51" s="152"/>
      <c r="E51" s="152"/>
      <c r="F51" s="153"/>
      <c r="G51" s="102"/>
      <c r="H51" s="102"/>
      <c r="I51" s="154"/>
      <c r="J51" s="155"/>
      <c r="K51" s="156"/>
      <c r="L51" s="102"/>
      <c r="M51" s="102"/>
      <c r="N51" s="157"/>
      <c r="O51" s="158"/>
      <c r="P51" s="158"/>
      <c r="Q51" s="158"/>
      <c r="R51" s="158"/>
      <c r="S51" s="159"/>
      <c r="T51" s="102"/>
      <c r="U51" s="102"/>
      <c r="V51" s="154"/>
      <c r="W51" s="155"/>
      <c r="X51" s="156"/>
      <c r="Y51" s="102"/>
      <c r="Z51" s="102"/>
    </row>
    <row r="52" spans="1:26" ht="18" customHeight="1" x14ac:dyDescent="0.2">
      <c r="A52" s="24"/>
      <c r="B52" s="151"/>
      <c r="C52" s="152"/>
      <c r="D52" s="152"/>
      <c r="E52" s="152"/>
      <c r="F52" s="153"/>
      <c r="G52" s="102"/>
      <c r="H52" s="102"/>
      <c r="I52" s="154"/>
      <c r="J52" s="155"/>
      <c r="K52" s="156"/>
      <c r="L52" s="102"/>
      <c r="M52" s="102"/>
      <c r="N52" s="157"/>
      <c r="O52" s="158"/>
      <c r="P52" s="158"/>
      <c r="Q52" s="158"/>
      <c r="R52" s="158"/>
      <c r="S52" s="159"/>
      <c r="T52" s="102"/>
      <c r="U52" s="102"/>
      <c r="V52" s="154"/>
      <c r="W52" s="155"/>
      <c r="X52" s="156"/>
      <c r="Y52" s="102"/>
      <c r="Z52" s="102"/>
    </row>
    <row r="53" spans="1:26" ht="18" customHeight="1" x14ac:dyDescent="0.2">
      <c r="A53" s="24"/>
      <c r="B53" s="151"/>
      <c r="C53" s="152"/>
      <c r="D53" s="152"/>
      <c r="E53" s="152"/>
      <c r="F53" s="153"/>
      <c r="G53" s="102"/>
      <c r="H53" s="102"/>
      <c r="I53" s="154"/>
      <c r="J53" s="155"/>
      <c r="K53" s="156"/>
      <c r="L53" s="102"/>
      <c r="M53" s="102"/>
      <c r="N53" s="157"/>
      <c r="O53" s="158"/>
      <c r="P53" s="158"/>
      <c r="Q53" s="158"/>
      <c r="R53" s="158"/>
      <c r="S53" s="159"/>
      <c r="T53" s="102"/>
      <c r="U53" s="102"/>
      <c r="V53" s="154"/>
      <c r="W53" s="155"/>
      <c r="X53" s="156"/>
      <c r="Y53" s="102"/>
      <c r="Z53" s="102"/>
    </row>
    <row r="54" spans="1:26" ht="18" customHeight="1" x14ac:dyDescent="0.2">
      <c r="A54" s="24"/>
      <c r="B54" s="151"/>
      <c r="C54" s="152"/>
      <c r="D54" s="152"/>
      <c r="E54" s="152"/>
      <c r="F54" s="153"/>
      <c r="G54" s="102"/>
      <c r="H54" s="102"/>
      <c r="I54" s="154"/>
      <c r="J54" s="155"/>
      <c r="K54" s="156"/>
      <c r="L54" s="102"/>
      <c r="M54" s="102"/>
      <c r="N54" s="157"/>
      <c r="O54" s="158"/>
      <c r="P54" s="158"/>
      <c r="Q54" s="158"/>
      <c r="R54" s="158"/>
      <c r="S54" s="159"/>
      <c r="T54" s="102"/>
      <c r="U54" s="102"/>
      <c r="V54" s="154"/>
      <c r="W54" s="155"/>
      <c r="X54" s="156"/>
      <c r="Y54" s="102"/>
      <c r="Z54" s="102"/>
    </row>
    <row r="55" spans="1:26" ht="18" customHeight="1" x14ac:dyDescent="0.2">
      <c r="A55" s="24"/>
      <c r="B55" s="172"/>
      <c r="C55" s="173"/>
      <c r="D55" s="173"/>
      <c r="E55" s="173"/>
      <c r="F55" s="174"/>
      <c r="G55" s="103"/>
      <c r="H55" s="103"/>
      <c r="I55" s="175"/>
      <c r="J55" s="176"/>
      <c r="K55" s="177"/>
      <c r="L55" s="108"/>
      <c r="M55" s="108"/>
      <c r="N55" s="178"/>
      <c r="O55" s="179"/>
      <c r="P55" s="179"/>
      <c r="Q55" s="179"/>
      <c r="R55" s="179"/>
      <c r="S55" s="180"/>
      <c r="T55" s="103"/>
      <c r="U55" s="103"/>
      <c r="V55" s="175"/>
      <c r="W55" s="176"/>
      <c r="X55" s="177"/>
      <c r="Y55" s="108"/>
      <c r="Z55" s="108"/>
    </row>
    <row r="56" spans="1:26" ht="7.5" customHeight="1" x14ac:dyDescent="0.2">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6" ht="18" customHeight="1" x14ac:dyDescent="0.2">
      <c r="A57" s="171" t="s">
        <v>96</v>
      </c>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row>
    <row r="58" spans="1:26" ht="18" customHeight="1" x14ac:dyDescent="0.2">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row>
    <row r="59" spans="1:26" ht="18" customHeight="1" x14ac:dyDescent="0.2">
      <c r="A59" s="13"/>
      <c r="B59" s="132" t="s">
        <v>76</v>
      </c>
      <c r="C59" s="137"/>
      <c r="D59" s="137"/>
      <c r="E59" s="133"/>
      <c r="F59" s="25" t="s">
        <v>77</v>
      </c>
      <c r="G59" s="100" t="s">
        <v>78</v>
      </c>
      <c r="H59" s="21" t="s">
        <v>79</v>
      </c>
      <c r="I59" s="97"/>
      <c r="J59" s="22"/>
      <c r="K59" s="66" t="s">
        <v>97</v>
      </c>
      <c r="L59" s="66" t="s">
        <v>98</v>
      </c>
      <c r="M59" s="66" t="s">
        <v>99</v>
      </c>
      <c r="N59" s="132" t="s">
        <v>76</v>
      </c>
      <c r="O59" s="137"/>
      <c r="P59" s="137"/>
      <c r="Q59" s="137"/>
      <c r="R59" s="133"/>
      <c r="S59" s="25" t="s">
        <v>77</v>
      </c>
      <c r="T59" s="100" t="s">
        <v>78</v>
      </c>
      <c r="U59" s="21" t="s">
        <v>79</v>
      </c>
      <c r="V59" s="97"/>
      <c r="W59" s="22"/>
      <c r="X59" s="66" t="s">
        <v>97</v>
      </c>
      <c r="Y59" s="66" t="s">
        <v>98</v>
      </c>
      <c r="Z59" s="66" t="s">
        <v>99</v>
      </c>
    </row>
    <row r="60" spans="1:26" ht="18" customHeight="1" x14ac:dyDescent="0.2">
      <c r="A60" s="24"/>
      <c r="B60" s="157" t="s">
        <v>138</v>
      </c>
      <c r="C60" s="158"/>
      <c r="D60" s="158"/>
      <c r="E60" s="159"/>
      <c r="F60" s="102">
        <v>2</v>
      </c>
      <c r="G60" s="102" t="s">
        <v>83</v>
      </c>
      <c r="H60" s="154" t="s">
        <v>84</v>
      </c>
      <c r="I60" s="155"/>
      <c r="J60" s="156"/>
      <c r="K60" s="102" t="s">
        <v>83</v>
      </c>
      <c r="L60" s="102"/>
      <c r="M60" s="102"/>
      <c r="N60" s="148"/>
      <c r="O60" s="149"/>
      <c r="P60" s="149"/>
      <c r="Q60" s="149"/>
      <c r="R60" s="150"/>
      <c r="S60" s="101"/>
      <c r="T60" s="101"/>
      <c r="U60" s="145"/>
      <c r="V60" s="146"/>
      <c r="W60" s="147"/>
      <c r="X60" s="107"/>
      <c r="Y60" s="101"/>
      <c r="Z60" s="101"/>
    </row>
    <row r="61" spans="1:26" ht="18" customHeight="1" x14ac:dyDescent="0.2">
      <c r="A61" s="24"/>
      <c r="B61" s="157" t="s">
        <v>152</v>
      </c>
      <c r="C61" s="158"/>
      <c r="D61" s="158"/>
      <c r="E61" s="159"/>
      <c r="F61" s="102">
        <v>2</v>
      </c>
      <c r="G61" s="102"/>
      <c r="H61" s="154" t="s">
        <v>84</v>
      </c>
      <c r="I61" s="155"/>
      <c r="J61" s="156"/>
      <c r="K61" s="102"/>
      <c r="L61" s="102" t="s">
        <v>83</v>
      </c>
      <c r="M61" s="102" t="s">
        <v>83</v>
      </c>
      <c r="N61" s="157"/>
      <c r="O61" s="158"/>
      <c r="P61" s="158"/>
      <c r="Q61" s="158"/>
      <c r="R61" s="159"/>
      <c r="S61" s="102"/>
      <c r="T61" s="102"/>
      <c r="U61" s="154"/>
      <c r="V61" s="155"/>
      <c r="W61" s="156"/>
      <c r="X61" s="105"/>
      <c r="Y61" s="102"/>
      <c r="Z61" s="102"/>
    </row>
    <row r="62" spans="1:26" ht="18" customHeight="1" x14ac:dyDescent="0.2">
      <c r="A62" s="24"/>
      <c r="B62" s="157" t="s">
        <v>153</v>
      </c>
      <c r="C62" s="158"/>
      <c r="D62" s="158"/>
      <c r="E62" s="159"/>
      <c r="F62" s="102">
        <v>2</v>
      </c>
      <c r="G62" s="102"/>
      <c r="H62" s="154" t="s">
        <v>84</v>
      </c>
      <c r="I62" s="155"/>
      <c r="J62" s="156"/>
      <c r="K62" s="102"/>
      <c r="L62" s="102" t="s">
        <v>83</v>
      </c>
      <c r="M62" s="102" t="s">
        <v>83</v>
      </c>
      <c r="N62" s="157"/>
      <c r="O62" s="158"/>
      <c r="P62" s="158"/>
      <c r="Q62" s="158"/>
      <c r="R62" s="159"/>
      <c r="S62" s="102"/>
      <c r="T62" s="102"/>
      <c r="U62" s="154"/>
      <c r="V62" s="155"/>
      <c r="W62" s="156"/>
      <c r="X62" s="105"/>
      <c r="Y62" s="102"/>
      <c r="Z62" s="102"/>
    </row>
    <row r="63" spans="1:26" ht="18" customHeight="1" x14ac:dyDescent="0.2">
      <c r="A63" s="24"/>
      <c r="B63" s="157"/>
      <c r="C63" s="158"/>
      <c r="D63" s="158"/>
      <c r="E63" s="159"/>
      <c r="F63" s="102"/>
      <c r="G63" s="102"/>
      <c r="H63" s="154"/>
      <c r="I63" s="155"/>
      <c r="J63" s="156"/>
      <c r="K63" s="105"/>
      <c r="L63" s="102"/>
      <c r="M63" s="102"/>
      <c r="N63" s="157"/>
      <c r="O63" s="158"/>
      <c r="P63" s="158"/>
      <c r="Q63" s="158"/>
      <c r="R63" s="159"/>
      <c r="S63" s="102"/>
      <c r="T63" s="102"/>
      <c r="U63" s="154"/>
      <c r="V63" s="155"/>
      <c r="W63" s="156"/>
      <c r="X63" s="105"/>
      <c r="Y63" s="102"/>
      <c r="Z63" s="102"/>
    </row>
    <row r="64" spans="1:26" ht="18" customHeight="1" x14ac:dyDescent="0.2">
      <c r="A64" s="24"/>
      <c r="B64" s="157"/>
      <c r="C64" s="158"/>
      <c r="D64" s="158"/>
      <c r="E64" s="159"/>
      <c r="F64" s="102"/>
      <c r="G64" s="102"/>
      <c r="H64" s="154"/>
      <c r="I64" s="155"/>
      <c r="J64" s="156"/>
      <c r="K64" s="105"/>
      <c r="L64" s="102"/>
      <c r="M64" s="102"/>
      <c r="N64" s="157"/>
      <c r="O64" s="158"/>
      <c r="P64" s="158"/>
      <c r="Q64" s="158"/>
      <c r="R64" s="159"/>
      <c r="S64" s="102"/>
      <c r="T64" s="102"/>
      <c r="U64" s="154"/>
      <c r="V64" s="155"/>
      <c r="W64" s="156"/>
      <c r="X64" s="105"/>
      <c r="Y64" s="102"/>
      <c r="Z64" s="102"/>
    </row>
    <row r="65" spans="1:26" ht="18" customHeight="1" x14ac:dyDescent="0.2">
      <c r="A65" s="24"/>
      <c r="B65" s="157"/>
      <c r="C65" s="158"/>
      <c r="D65" s="158"/>
      <c r="E65" s="159"/>
      <c r="F65" s="102"/>
      <c r="G65" s="102"/>
      <c r="H65" s="154"/>
      <c r="I65" s="155"/>
      <c r="J65" s="156"/>
      <c r="K65" s="105"/>
      <c r="L65" s="102"/>
      <c r="M65" s="102"/>
      <c r="N65" s="157"/>
      <c r="O65" s="158"/>
      <c r="P65" s="158"/>
      <c r="Q65" s="158"/>
      <c r="R65" s="159"/>
      <c r="S65" s="102"/>
      <c r="T65" s="102"/>
      <c r="U65" s="154"/>
      <c r="V65" s="155"/>
      <c r="W65" s="156"/>
      <c r="X65" s="105"/>
      <c r="Y65" s="102"/>
      <c r="Z65" s="102"/>
    </row>
    <row r="66" spans="1:26" ht="18" customHeight="1" x14ac:dyDescent="0.2">
      <c r="A66" s="24"/>
      <c r="B66" s="178"/>
      <c r="C66" s="179"/>
      <c r="D66" s="179"/>
      <c r="E66" s="180"/>
      <c r="F66" s="103"/>
      <c r="G66" s="103"/>
      <c r="H66" s="175"/>
      <c r="I66" s="176"/>
      <c r="J66" s="177"/>
      <c r="K66" s="106"/>
      <c r="L66" s="108"/>
      <c r="M66" s="108"/>
      <c r="N66" s="178"/>
      <c r="O66" s="179"/>
      <c r="P66" s="179"/>
      <c r="Q66" s="179"/>
      <c r="R66" s="180"/>
      <c r="S66" s="103"/>
      <c r="T66" s="103"/>
      <c r="U66" s="175"/>
      <c r="V66" s="176"/>
      <c r="W66" s="177"/>
      <c r="X66" s="106"/>
      <c r="Y66" s="108"/>
      <c r="Z66" s="108"/>
    </row>
    <row r="67" spans="1:26" ht="7.5" customHeight="1" x14ac:dyDescent="0.2">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6" ht="18" customHeight="1" x14ac:dyDescent="0.2">
      <c r="A68" s="13" t="s">
        <v>102</v>
      </c>
      <c r="B68" s="13"/>
      <c r="C68" s="13"/>
      <c r="D68" s="13"/>
      <c r="E68" s="13"/>
      <c r="F68" s="13"/>
      <c r="G68" s="13"/>
      <c r="H68" s="13"/>
      <c r="I68" s="13"/>
      <c r="J68" s="13"/>
      <c r="K68" s="13"/>
      <c r="L68" s="24"/>
      <c r="M68" s="24"/>
      <c r="N68" s="24"/>
      <c r="O68" s="24"/>
      <c r="P68" s="24"/>
      <c r="Q68" s="24"/>
      <c r="R68" s="24"/>
      <c r="S68" s="24"/>
      <c r="T68" s="24"/>
      <c r="U68" s="24"/>
      <c r="V68" s="24"/>
      <c r="W68" s="24"/>
      <c r="X68" s="24"/>
      <c r="Y68" s="24"/>
      <c r="Z68" s="24"/>
    </row>
    <row r="69" spans="1:26" ht="18" customHeight="1" x14ac:dyDescent="0.2">
      <c r="A69" s="13"/>
      <c r="B69" s="132" t="s">
        <v>76</v>
      </c>
      <c r="C69" s="137"/>
      <c r="D69" s="137"/>
      <c r="E69" s="137"/>
      <c r="F69" s="133"/>
      <c r="G69" s="132" t="s">
        <v>103</v>
      </c>
      <c r="H69" s="137"/>
      <c r="I69" s="137"/>
      <c r="J69" s="137"/>
      <c r="K69" s="137"/>
      <c r="L69" s="137"/>
      <c r="M69" s="133"/>
      <c r="N69" s="187" t="s">
        <v>76</v>
      </c>
      <c r="O69" s="188"/>
      <c r="P69" s="188"/>
      <c r="Q69" s="188"/>
      <c r="R69" s="188"/>
      <c r="S69" s="189"/>
      <c r="T69" s="132" t="s">
        <v>103</v>
      </c>
      <c r="U69" s="137"/>
      <c r="V69" s="137"/>
      <c r="W69" s="137"/>
      <c r="X69" s="137"/>
      <c r="Y69" s="137"/>
      <c r="Z69" s="133"/>
    </row>
    <row r="70" spans="1:26" ht="18" customHeight="1" x14ac:dyDescent="0.2">
      <c r="A70" s="24"/>
      <c r="B70" s="148" t="s">
        <v>154</v>
      </c>
      <c r="C70" s="149"/>
      <c r="D70" s="149"/>
      <c r="E70" s="149"/>
      <c r="F70" s="150"/>
      <c r="G70" s="181" t="s">
        <v>105</v>
      </c>
      <c r="H70" s="182"/>
      <c r="I70" s="182"/>
      <c r="J70" s="182"/>
      <c r="K70" s="182"/>
      <c r="L70" s="182"/>
      <c r="M70" s="183"/>
      <c r="N70" s="148"/>
      <c r="O70" s="149"/>
      <c r="P70" s="149"/>
      <c r="Q70" s="149"/>
      <c r="R70" s="149"/>
      <c r="S70" s="150"/>
      <c r="T70" s="181"/>
      <c r="U70" s="182"/>
      <c r="V70" s="182"/>
      <c r="W70" s="182"/>
      <c r="X70" s="182"/>
      <c r="Y70" s="182"/>
      <c r="Z70" s="183"/>
    </row>
    <row r="71" spans="1:26" ht="18" customHeight="1" x14ac:dyDescent="0.2">
      <c r="A71" s="24"/>
      <c r="B71" s="157" t="s">
        <v>155</v>
      </c>
      <c r="C71" s="158"/>
      <c r="D71" s="158"/>
      <c r="E71" s="158"/>
      <c r="F71" s="159"/>
      <c r="G71" s="184" t="s">
        <v>110</v>
      </c>
      <c r="H71" s="185"/>
      <c r="I71" s="185"/>
      <c r="J71" s="185"/>
      <c r="K71" s="185"/>
      <c r="L71" s="185"/>
      <c r="M71" s="186"/>
      <c r="N71" s="157"/>
      <c r="O71" s="158"/>
      <c r="P71" s="158"/>
      <c r="Q71" s="158"/>
      <c r="R71" s="158"/>
      <c r="S71" s="159"/>
      <c r="T71" s="184"/>
      <c r="U71" s="185"/>
      <c r="V71" s="185"/>
      <c r="W71" s="185"/>
      <c r="X71" s="185"/>
      <c r="Y71" s="185"/>
      <c r="Z71" s="186"/>
    </row>
    <row r="72" spans="1:26" ht="18" customHeight="1" x14ac:dyDescent="0.2">
      <c r="A72" s="24"/>
      <c r="B72" s="157"/>
      <c r="C72" s="158"/>
      <c r="D72" s="158"/>
      <c r="E72" s="158"/>
      <c r="F72" s="159"/>
      <c r="G72" s="184"/>
      <c r="H72" s="185"/>
      <c r="I72" s="185"/>
      <c r="J72" s="185"/>
      <c r="K72" s="185"/>
      <c r="L72" s="185"/>
      <c r="M72" s="186"/>
      <c r="N72" s="157"/>
      <c r="O72" s="158"/>
      <c r="P72" s="158"/>
      <c r="Q72" s="158"/>
      <c r="R72" s="158"/>
      <c r="S72" s="159"/>
      <c r="T72" s="184"/>
      <c r="U72" s="185"/>
      <c r="V72" s="185"/>
      <c r="W72" s="185"/>
      <c r="X72" s="185"/>
      <c r="Y72" s="185"/>
      <c r="Z72" s="186"/>
    </row>
    <row r="73" spans="1:26" ht="18" customHeight="1" x14ac:dyDescent="0.2">
      <c r="A73" s="24"/>
      <c r="B73" s="157"/>
      <c r="C73" s="158"/>
      <c r="D73" s="158"/>
      <c r="E73" s="158"/>
      <c r="F73" s="159"/>
      <c r="G73" s="184"/>
      <c r="H73" s="185"/>
      <c r="I73" s="185"/>
      <c r="J73" s="185"/>
      <c r="K73" s="185"/>
      <c r="L73" s="185"/>
      <c r="M73" s="186"/>
      <c r="N73" s="157"/>
      <c r="O73" s="158"/>
      <c r="P73" s="158"/>
      <c r="Q73" s="158"/>
      <c r="R73" s="158"/>
      <c r="S73" s="159"/>
      <c r="T73" s="184"/>
      <c r="U73" s="185"/>
      <c r="V73" s="185"/>
      <c r="W73" s="185"/>
      <c r="X73" s="185"/>
      <c r="Y73" s="185"/>
      <c r="Z73" s="186"/>
    </row>
    <row r="74" spans="1:26" ht="18" customHeight="1" x14ac:dyDescent="0.2">
      <c r="A74" s="24"/>
      <c r="B74" s="157"/>
      <c r="C74" s="158"/>
      <c r="D74" s="158"/>
      <c r="E74" s="158"/>
      <c r="F74" s="159"/>
      <c r="G74" s="184"/>
      <c r="H74" s="185"/>
      <c r="I74" s="185"/>
      <c r="J74" s="185"/>
      <c r="K74" s="185"/>
      <c r="L74" s="185"/>
      <c r="M74" s="186"/>
      <c r="N74" s="157"/>
      <c r="O74" s="158"/>
      <c r="P74" s="158"/>
      <c r="Q74" s="158"/>
      <c r="R74" s="158"/>
      <c r="S74" s="159"/>
      <c r="T74" s="184"/>
      <c r="U74" s="185"/>
      <c r="V74" s="185"/>
      <c r="W74" s="185"/>
      <c r="X74" s="185"/>
      <c r="Y74" s="185"/>
      <c r="Z74" s="186"/>
    </row>
    <row r="75" spans="1:26" ht="18" customHeight="1" x14ac:dyDescent="0.2">
      <c r="A75" s="24"/>
      <c r="B75" s="178"/>
      <c r="C75" s="179"/>
      <c r="D75" s="179"/>
      <c r="E75" s="179"/>
      <c r="F75" s="180"/>
      <c r="G75" s="197"/>
      <c r="H75" s="198"/>
      <c r="I75" s="198"/>
      <c r="J75" s="198"/>
      <c r="K75" s="198"/>
      <c r="L75" s="198"/>
      <c r="M75" s="199"/>
      <c r="N75" s="178"/>
      <c r="O75" s="179"/>
      <c r="P75" s="179"/>
      <c r="Q75" s="179"/>
      <c r="R75" s="179"/>
      <c r="S75" s="180"/>
      <c r="T75" s="197"/>
      <c r="U75" s="198"/>
      <c r="V75" s="198"/>
      <c r="W75" s="198"/>
      <c r="X75" s="198"/>
      <c r="Y75" s="198"/>
      <c r="Z75" s="199"/>
    </row>
    <row r="76" spans="1:26" ht="18" customHeight="1" x14ac:dyDescent="0.2">
      <c r="A76" s="24"/>
      <c r="B76" s="30"/>
      <c r="C76" s="30"/>
      <c r="D76" s="30"/>
      <c r="E76" s="30"/>
      <c r="F76" s="30"/>
      <c r="G76" s="11"/>
      <c r="H76" s="11"/>
      <c r="I76" s="11"/>
      <c r="J76" s="11"/>
      <c r="K76" s="11"/>
      <c r="L76" s="11"/>
      <c r="M76" s="11"/>
      <c r="N76" s="30"/>
      <c r="O76" s="30"/>
      <c r="P76" s="30"/>
      <c r="Q76" s="30"/>
      <c r="R76" s="30"/>
      <c r="S76" s="30"/>
      <c r="T76" s="11"/>
      <c r="U76" s="11"/>
      <c r="V76" s="11"/>
      <c r="W76" s="11"/>
      <c r="X76" s="11"/>
      <c r="Y76" s="11"/>
      <c r="Z76" s="11"/>
    </row>
    <row r="77" spans="1:26" ht="18.75" customHeight="1" x14ac:dyDescent="0.2">
      <c r="A77" s="12" t="s">
        <v>111</v>
      </c>
    </row>
    <row r="78" spans="1:26" ht="18.75" customHeight="1" x14ac:dyDescent="0.2">
      <c r="B78" s="68" t="s">
        <v>112</v>
      </c>
      <c r="C78" s="69"/>
      <c r="D78" s="200" t="s">
        <v>113</v>
      </c>
      <c r="E78" s="200"/>
      <c r="F78" s="200"/>
      <c r="G78" s="200"/>
      <c r="H78" s="200"/>
      <c r="I78" s="200"/>
      <c r="J78" s="200"/>
      <c r="K78" s="200"/>
      <c r="L78" s="200"/>
      <c r="M78" s="200"/>
      <c r="N78" s="200"/>
      <c r="O78" s="200"/>
      <c r="P78" s="200"/>
      <c r="Q78" s="200"/>
      <c r="R78" s="200"/>
      <c r="S78" s="200"/>
      <c r="T78" s="200"/>
      <c r="U78" s="200"/>
      <c r="V78" s="200"/>
      <c r="W78" s="200"/>
      <c r="X78" s="200"/>
      <c r="Y78" s="200"/>
      <c r="Z78" s="201"/>
    </row>
    <row r="79" spans="1:26" ht="67.95" customHeight="1" x14ac:dyDescent="0.2">
      <c r="B79" s="228" t="s">
        <v>114</v>
      </c>
      <c r="C79" s="75" t="s">
        <v>80</v>
      </c>
      <c r="D79" s="230" t="s">
        <v>156</v>
      </c>
      <c r="E79" s="231"/>
      <c r="F79" s="231"/>
      <c r="G79" s="231"/>
      <c r="H79" s="231"/>
      <c r="I79" s="231"/>
      <c r="J79" s="231"/>
      <c r="K79" s="231"/>
      <c r="L79" s="231"/>
      <c r="M79" s="231"/>
      <c r="N79" s="231"/>
      <c r="O79" s="231"/>
      <c r="P79" s="231"/>
      <c r="Q79" s="231"/>
      <c r="R79" s="231"/>
      <c r="S79" s="231"/>
      <c r="T79" s="231"/>
      <c r="U79" s="231"/>
      <c r="V79" s="231"/>
      <c r="W79" s="231"/>
      <c r="X79" s="231"/>
      <c r="Y79" s="231"/>
      <c r="Z79" s="232"/>
    </row>
    <row r="80" spans="1:26" ht="56.55" customHeight="1" x14ac:dyDescent="0.2">
      <c r="B80" s="229"/>
      <c r="C80" s="98" t="s">
        <v>116</v>
      </c>
      <c r="D80" s="233" t="s">
        <v>157</v>
      </c>
      <c r="E80" s="234"/>
      <c r="F80" s="234"/>
      <c r="G80" s="234"/>
      <c r="H80" s="234"/>
      <c r="I80" s="234"/>
      <c r="J80" s="234"/>
      <c r="K80" s="234"/>
      <c r="L80" s="234"/>
      <c r="M80" s="234"/>
      <c r="N80" s="234"/>
      <c r="O80" s="234"/>
      <c r="P80" s="234"/>
      <c r="Q80" s="234"/>
      <c r="R80" s="234"/>
      <c r="S80" s="234"/>
      <c r="T80" s="234"/>
      <c r="U80" s="234"/>
      <c r="V80" s="234"/>
      <c r="W80" s="234"/>
      <c r="X80" s="234"/>
      <c r="Y80" s="234"/>
      <c r="Z80" s="235"/>
    </row>
    <row r="81" spans="1:26" ht="86.55" customHeight="1" x14ac:dyDescent="0.2">
      <c r="B81" s="190" t="s">
        <v>118</v>
      </c>
      <c r="C81" s="70" t="s">
        <v>86</v>
      </c>
      <c r="D81" s="222" t="s">
        <v>158</v>
      </c>
      <c r="E81" s="223"/>
      <c r="F81" s="223"/>
      <c r="G81" s="223"/>
      <c r="H81" s="223"/>
      <c r="I81" s="223"/>
      <c r="J81" s="223"/>
      <c r="K81" s="223"/>
      <c r="L81" s="223"/>
      <c r="M81" s="223"/>
      <c r="N81" s="223"/>
      <c r="O81" s="223"/>
      <c r="P81" s="223"/>
      <c r="Q81" s="223"/>
      <c r="R81" s="223"/>
      <c r="S81" s="223"/>
      <c r="T81" s="223"/>
      <c r="U81" s="223"/>
      <c r="V81" s="223"/>
      <c r="W81" s="223"/>
      <c r="X81" s="223"/>
      <c r="Y81" s="223"/>
      <c r="Z81" s="224"/>
    </row>
    <row r="82" spans="1:26" ht="72" customHeight="1" x14ac:dyDescent="0.2">
      <c r="B82" s="191"/>
      <c r="C82" s="99" t="s">
        <v>87</v>
      </c>
      <c r="D82" s="222" t="s">
        <v>159</v>
      </c>
      <c r="E82" s="223"/>
      <c r="F82" s="223"/>
      <c r="G82" s="223"/>
      <c r="H82" s="223"/>
      <c r="I82" s="223"/>
      <c r="J82" s="223"/>
      <c r="K82" s="223"/>
      <c r="L82" s="223"/>
      <c r="M82" s="223"/>
      <c r="N82" s="223"/>
      <c r="O82" s="223"/>
      <c r="P82" s="223"/>
      <c r="Q82" s="223"/>
      <c r="R82" s="223"/>
      <c r="S82" s="223"/>
      <c r="T82" s="223"/>
      <c r="U82" s="223"/>
      <c r="V82" s="223"/>
      <c r="W82" s="223"/>
      <c r="X82" s="223"/>
      <c r="Y82" s="223"/>
      <c r="Z82" s="224"/>
    </row>
    <row r="83" spans="1:26" ht="127.2" customHeight="1" x14ac:dyDescent="0.2">
      <c r="B83" s="190" t="s">
        <v>121</v>
      </c>
      <c r="C83" s="70" t="s">
        <v>89</v>
      </c>
      <c r="D83" s="222" t="s">
        <v>160</v>
      </c>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127.2" customHeight="1" x14ac:dyDescent="0.2">
      <c r="B84" s="191"/>
      <c r="C84" s="72" t="s">
        <v>90</v>
      </c>
      <c r="D84" s="222" t="s">
        <v>161</v>
      </c>
      <c r="E84" s="223"/>
      <c r="F84" s="223"/>
      <c r="G84" s="223"/>
      <c r="H84" s="223"/>
      <c r="I84" s="223"/>
      <c r="J84" s="223"/>
      <c r="K84" s="223"/>
      <c r="L84" s="223"/>
      <c r="M84" s="223"/>
      <c r="N84" s="223"/>
      <c r="O84" s="223"/>
      <c r="P84" s="223"/>
      <c r="Q84" s="223"/>
      <c r="R84" s="223"/>
      <c r="S84" s="223"/>
      <c r="T84" s="223"/>
      <c r="U84" s="223"/>
      <c r="V84" s="223"/>
      <c r="W84" s="223"/>
      <c r="X84" s="223"/>
      <c r="Y84" s="223"/>
      <c r="Z84" s="224"/>
    </row>
    <row r="85" spans="1:26" ht="120.45" customHeight="1" x14ac:dyDescent="0.2">
      <c r="B85" s="228" t="s">
        <v>123</v>
      </c>
      <c r="C85" s="75" t="s">
        <v>92</v>
      </c>
      <c r="D85" s="230" t="s">
        <v>162</v>
      </c>
      <c r="E85" s="231"/>
      <c r="F85" s="231"/>
      <c r="G85" s="231"/>
      <c r="H85" s="231"/>
      <c r="I85" s="231"/>
      <c r="J85" s="231"/>
      <c r="K85" s="231"/>
      <c r="L85" s="231"/>
      <c r="M85" s="231"/>
      <c r="N85" s="231"/>
      <c r="O85" s="231"/>
      <c r="P85" s="231"/>
      <c r="Q85" s="231"/>
      <c r="R85" s="231"/>
      <c r="S85" s="231"/>
      <c r="T85" s="231"/>
      <c r="U85" s="231"/>
      <c r="V85" s="231"/>
      <c r="W85" s="231"/>
      <c r="X85" s="231"/>
      <c r="Y85" s="231"/>
      <c r="Z85" s="232"/>
    </row>
    <row r="86" spans="1:26" ht="137.25" customHeight="1" x14ac:dyDescent="0.2">
      <c r="B86" s="202"/>
      <c r="C86" s="71" t="s">
        <v>93</v>
      </c>
      <c r="D86" s="245" t="s">
        <v>163</v>
      </c>
      <c r="E86" s="246"/>
      <c r="F86" s="246"/>
      <c r="G86" s="246"/>
      <c r="H86" s="246"/>
      <c r="I86" s="246"/>
      <c r="J86" s="246"/>
      <c r="K86" s="246"/>
      <c r="L86" s="246"/>
      <c r="M86" s="246"/>
      <c r="N86" s="246"/>
      <c r="O86" s="246"/>
      <c r="P86" s="246"/>
      <c r="Q86" s="246"/>
      <c r="R86" s="246"/>
      <c r="S86" s="246"/>
      <c r="T86" s="246"/>
      <c r="U86" s="246"/>
      <c r="V86" s="246"/>
      <c r="W86" s="246"/>
      <c r="X86" s="246"/>
      <c r="Y86" s="246"/>
      <c r="Z86" s="247"/>
    </row>
    <row r="87" spans="1:26" ht="131.25" customHeight="1" x14ac:dyDescent="0.2">
      <c r="B87" s="228" t="s">
        <v>126</v>
      </c>
      <c r="C87" s="70" t="s">
        <v>97</v>
      </c>
      <c r="D87" s="248" t="s">
        <v>164</v>
      </c>
      <c r="E87" s="249"/>
      <c r="F87" s="249"/>
      <c r="G87" s="249"/>
      <c r="H87" s="249"/>
      <c r="I87" s="249"/>
      <c r="J87" s="249"/>
      <c r="K87" s="249"/>
      <c r="L87" s="249"/>
      <c r="M87" s="249"/>
      <c r="N87" s="249"/>
      <c r="O87" s="249"/>
      <c r="P87" s="249"/>
      <c r="Q87" s="249"/>
      <c r="R87" s="249"/>
      <c r="S87" s="249"/>
      <c r="T87" s="249"/>
      <c r="U87" s="249"/>
      <c r="V87" s="249"/>
      <c r="W87" s="249"/>
      <c r="X87" s="249"/>
      <c r="Y87" s="249"/>
      <c r="Z87" s="250"/>
    </row>
    <row r="88" spans="1:26" ht="136.94999999999999" customHeight="1" x14ac:dyDescent="0.2">
      <c r="B88" s="229"/>
      <c r="C88" s="71" t="s">
        <v>98</v>
      </c>
      <c r="D88" s="251" t="s">
        <v>165</v>
      </c>
      <c r="E88" s="252"/>
      <c r="F88" s="252"/>
      <c r="G88" s="252"/>
      <c r="H88" s="252"/>
      <c r="I88" s="252"/>
      <c r="J88" s="252"/>
      <c r="K88" s="252"/>
      <c r="L88" s="252"/>
      <c r="M88" s="252"/>
      <c r="N88" s="252"/>
      <c r="O88" s="252"/>
      <c r="P88" s="252"/>
      <c r="Q88" s="252"/>
      <c r="R88" s="252"/>
      <c r="S88" s="252"/>
      <c r="T88" s="252"/>
      <c r="U88" s="252"/>
      <c r="V88" s="252"/>
      <c r="W88" s="252"/>
      <c r="X88" s="252"/>
      <c r="Y88" s="252"/>
      <c r="Z88" s="253"/>
    </row>
    <row r="89" spans="1:26" ht="144" customHeight="1" x14ac:dyDescent="0.2">
      <c r="B89" s="191"/>
      <c r="C89" s="72" t="s">
        <v>99</v>
      </c>
      <c r="D89" s="251" t="s">
        <v>165</v>
      </c>
      <c r="E89" s="252"/>
      <c r="F89" s="252"/>
      <c r="G89" s="252"/>
      <c r="H89" s="252"/>
      <c r="I89" s="252"/>
      <c r="J89" s="252"/>
      <c r="K89" s="252"/>
      <c r="L89" s="252"/>
      <c r="M89" s="252"/>
      <c r="N89" s="252"/>
      <c r="O89" s="252"/>
      <c r="P89" s="252"/>
      <c r="Q89" s="252"/>
      <c r="R89" s="252"/>
      <c r="S89" s="252"/>
      <c r="T89" s="252"/>
      <c r="U89" s="252"/>
      <c r="V89" s="252"/>
      <c r="W89" s="252"/>
      <c r="X89" s="252"/>
      <c r="Y89" s="252"/>
      <c r="Z89" s="253"/>
    </row>
    <row r="90" spans="1:26" ht="6" customHeight="1" x14ac:dyDescent="0.2"/>
    <row r="91" spans="1:26" ht="18.75" customHeight="1" x14ac:dyDescent="0.2">
      <c r="A91" s="12" t="s">
        <v>130</v>
      </c>
    </row>
    <row r="92" spans="1:26" ht="18.75" customHeight="1" x14ac:dyDescent="0.2">
      <c r="B92" s="209" t="s">
        <v>131</v>
      </c>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1"/>
    </row>
    <row r="93" spans="1:26" ht="18.75" customHeight="1" x14ac:dyDescent="0.2">
      <c r="B93" s="212"/>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213"/>
    </row>
    <row r="94" spans="1:26" ht="53.55" customHeight="1" x14ac:dyDescent="0.2">
      <c r="B94" s="214"/>
      <c r="C94" s="215"/>
      <c r="D94" s="215"/>
      <c r="E94" s="215"/>
      <c r="F94" s="215"/>
      <c r="G94" s="215"/>
      <c r="H94" s="215"/>
      <c r="I94" s="215"/>
      <c r="J94" s="215"/>
      <c r="K94" s="215"/>
      <c r="L94" s="215"/>
      <c r="M94" s="215"/>
      <c r="N94" s="215"/>
      <c r="O94" s="215"/>
      <c r="P94" s="215"/>
      <c r="Q94" s="215"/>
      <c r="R94" s="215"/>
      <c r="S94" s="215"/>
      <c r="T94" s="215"/>
      <c r="U94" s="215"/>
      <c r="V94" s="215"/>
      <c r="W94" s="215"/>
      <c r="X94" s="215"/>
      <c r="Y94" s="215"/>
      <c r="Z94" s="216"/>
    </row>
    <row r="95" spans="1:26" ht="6" customHeight="1" x14ac:dyDescent="0.2">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 customHeight="1" x14ac:dyDescent="0.2">
      <c r="A96" s="12" t="s">
        <v>132</v>
      </c>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2:26" ht="32.549999999999997" customHeight="1" x14ac:dyDescent="0.2">
      <c r="B97" s="217" t="s">
        <v>133</v>
      </c>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218"/>
    </row>
  </sheetData>
  <mergeCells count="214">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A57:Z58"/>
    <mergeCell ref="I53:K53"/>
    <mergeCell ref="V53:X53"/>
    <mergeCell ref="I54:K54"/>
    <mergeCell ref="V54:X54"/>
    <mergeCell ref="I55:K55"/>
    <mergeCell ref="B51:F51"/>
    <mergeCell ref="B52:F52"/>
    <mergeCell ref="B53:F53"/>
    <mergeCell ref="B54:F54"/>
    <mergeCell ref="B55:F55"/>
    <mergeCell ref="B41:F41"/>
    <mergeCell ref="B42:F42"/>
    <mergeCell ref="B43:F43"/>
    <mergeCell ref="B44:F44"/>
    <mergeCell ref="N37:S37"/>
    <mergeCell ref="N38:S38"/>
    <mergeCell ref="N39:S39"/>
    <mergeCell ref="N40:S40"/>
    <mergeCell ref="N41:S41"/>
    <mergeCell ref="N42:S42"/>
    <mergeCell ref="N43:S43"/>
    <mergeCell ref="N44:S44"/>
    <mergeCell ref="I43:K43"/>
    <mergeCell ref="B37:F37"/>
    <mergeCell ref="B38:F38"/>
    <mergeCell ref="B39:F39"/>
    <mergeCell ref="B40:F40"/>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2:Z94"/>
    <mergeCell ref="B97:Z97"/>
    <mergeCell ref="T75:Z75"/>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0:Z80"/>
    <mergeCell ref="D81:Z81"/>
    <mergeCell ref="D84:Z84"/>
    <mergeCell ref="D82:Z82"/>
    <mergeCell ref="D83:Z83"/>
    <mergeCell ref="B75:F75"/>
    <mergeCell ref="G75:M75"/>
    <mergeCell ref="N75:S75"/>
    <mergeCell ref="V43:X43"/>
    <mergeCell ref="I44:K44"/>
    <mergeCell ref="V44:X44"/>
    <mergeCell ref="I50:K50"/>
    <mergeCell ref="V50:X50"/>
    <mergeCell ref="B48:F48"/>
    <mergeCell ref="B49:F49"/>
    <mergeCell ref="B50:F50"/>
    <mergeCell ref="A46:Z47"/>
    <mergeCell ref="I48:K48"/>
    <mergeCell ref="V49:X49"/>
    <mergeCell ref="I51:K51"/>
    <mergeCell ref="V51:X51"/>
    <mergeCell ref="I52:K52"/>
    <mergeCell ref="V52:X52"/>
    <mergeCell ref="V55:X55"/>
    <mergeCell ref="V32:X32"/>
    <mergeCell ref="V33:X33"/>
    <mergeCell ref="I42:K42"/>
    <mergeCell ref="V42:X42"/>
    <mergeCell ref="V37:X37"/>
    <mergeCell ref="I38:K38"/>
    <mergeCell ref="V38:X38"/>
    <mergeCell ref="I39:K39"/>
    <mergeCell ref="V39:X39"/>
    <mergeCell ref="I37:K37"/>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8:Z88"/>
    <mergeCell ref="B73:F73"/>
    <mergeCell ref="G72:M72"/>
    <mergeCell ref="G73:M73"/>
    <mergeCell ref="N72:S72"/>
    <mergeCell ref="N73:S73"/>
    <mergeCell ref="T72:Z72"/>
    <mergeCell ref="T73:Z73"/>
    <mergeCell ref="B81:B82"/>
    <mergeCell ref="B83:B84"/>
    <mergeCell ref="B79:B80"/>
    <mergeCell ref="B87:B89"/>
    <mergeCell ref="D87:Z87"/>
    <mergeCell ref="D89:Z89"/>
    <mergeCell ref="B85:B86"/>
    <mergeCell ref="D85:Z85"/>
    <mergeCell ref="D86:Z86"/>
    <mergeCell ref="D78:Z78"/>
    <mergeCell ref="D79:Z79"/>
  </mergeCells>
  <phoneticPr fontId="1"/>
  <dataValidations count="4">
    <dataValidation type="list" allowBlank="1" showInputMessage="1" showErrorMessage="1" sqref="Y16:Z22 K60:M62 Y27:Z33 H38:H44 Y38:Z44 H49:H55 Y49:Z55 Y60:Z66 G60:G66 T60:T66 U16:U22 L16:M22 U27:U33 H27:H33 U38:U44 L38:M44 U49:U55 L49:M55 L63:M66 L27:M33 H16:H22" xr:uid="{4C0986EB-3601-4249-85F7-B678A400A117}">
      <formula1>"○"</formula1>
    </dataValidation>
    <dataValidation type="list" allowBlank="1" showInputMessage="1" showErrorMessage="1" sqref="Z23 Z34 D34:K34 D23:K23 V16:V22 I49:I55 V27:V33 I16:I22 V38:V44 I27:I33 V49:V55 I38:I44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U70:Z71 H70:M71 G70:G76 T70:T76 U74:Z76 H74:M76"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7" r:id="rId1" display="https://www.nichiyaku.ac.jp/course-information/datascience-center/educational-programs/" xr:uid="{192AC1DA-117F-44EC-908D-C11C86644030}"/>
  </hyperlinks>
  <printOptions horizontalCentered="1"/>
  <pageMargins left="0.78740157480314998" right="0.78740157480314998" top="0.78740157480314998" bottom="0.39370078740157499" header="0.31496062992126" footer="0.31496062992126"/>
  <pageSetup paperSize="9" scale="92" orientation="landscape" r:id="rId2"/>
  <rowBreaks count="3" manualBreakCount="3">
    <brk id="34" max="25" man="1"/>
    <brk id="67" max="25" man="1"/>
    <brk id="82"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28"/>
  <sheetViews>
    <sheetView showZeros="0" view="pageBreakPreview" zoomScaleNormal="100" zoomScaleSheetLayoutView="100" workbookViewId="0">
      <selection activeCell="B15" sqref="B15"/>
    </sheetView>
  </sheetViews>
  <sheetFormatPr defaultColWidth="9" defaultRowHeight="18.75" customHeight="1" x14ac:dyDescent="0.2"/>
  <cols>
    <col min="1" max="1" width="2.6640625" style="1" customWidth="1"/>
    <col min="2" max="2" width="30" style="1" customWidth="1"/>
    <col min="3" max="17" width="6.109375" style="1" customWidth="1"/>
    <col min="18" max="18" width="6.6640625" style="1" customWidth="1"/>
    <col min="19" max="16384" width="9" style="1"/>
  </cols>
  <sheetData>
    <row r="1" spans="1:20" ht="18" customHeight="1" x14ac:dyDescent="0.2">
      <c r="F1" s="255" t="s">
        <v>166</v>
      </c>
      <c r="G1" s="255"/>
      <c r="H1" s="255"/>
      <c r="I1" s="255"/>
      <c r="J1" s="255"/>
      <c r="K1" s="255"/>
      <c r="L1" s="255"/>
      <c r="M1" s="255"/>
      <c r="N1" s="255"/>
      <c r="O1" s="255"/>
      <c r="P1" s="255"/>
      <c r="Q1" s="255"/>
      <c r="R1" s="255"/>
    </row>
    <row r="2" spans="1:20" ht="18" customHeight="1" x14ac:dyDescent="0.2">
      <c r="A2" s="256" t="s">
        <v>167</v>
      </c>
      <c r="B2" s="256"/>
      <c r="C2" s="256"/>
      <c r="D2" s="256"/>
      <c r="E2" s="256"/>
      <c r="F2" s="256"/>
      <c r="G2" s="256"/>
      <c r="H2" s="256"/>
      <c r="I2" s="256"/>
      <c r="J2" s="256"/>
      <c r="K2" s="256"/>
      <c r="L2" s="256"/>
      <c r="M2" s="256"/>
      <c r="N2" s="256"/>
      <c r="O2" s="256"/>
      <c r="P2" s="256"/>
      <c r="Q2" s="256"/>
      <c r="R2" s="256"/>
      <c r="S2" s="4"/>
    </row>
    <row r="3" spans="1:20" ht="7.5" customHeight="1" x14ac:dyDescent="0.2">
      <c r="A3" s="31"/>
      <c r="B3" s="31"/>
      <c r="C3" s="31"/>
      <c r="D3" s="31"/>
      <c r="E3" s="31"/>
      <c r="F3" s="31"/>
      <c r="G3" s="31"/>
      <c r="H3" s="31"/>
      <c r="I3" s="31"/>
      <c r="J3" s="31"/>
      <c r="K3" s="31"/>
      <c r="L3" s="31"/>
      <c r="M3" s="31"/>
      <c r="N3" s="31"/>
      <c r="O3" s="31"/>
      <c r="P3" s="31"/>
      <c r="Q3" s="31"/>
      <c r="R3" s="31"/>
    </row>
    <row r="4" spans="1:20" ht="18" customHeight="1" x14ac:dyDescent="0.2">
      <c r="A4" s="4" t="s">
        <v>168</v>
      </c>
      <c r="B4" s="4"/>
      <c r="C4" s="257" t="str">
        <f>'様式１　大学等概要'!E12</f>
        <v>令和3</v>
      </c>
      <c r="D4" s="258"/>
      <c r="E4" s="31" t="s">
        <v>20</v>
      </c>
      <c r="F4" s="31"/>
      <c r="G4" s="31"/>
      <c r="H4" s="31"/>
      <c r="I4" s="31"/>
      <c r="J4" s="76"/>
      <c r="K4" s="31"/>
      <c r="L4" s="31"/>
      <c r="M4" s="40"/>
      <c r="N4" s="40"/>
      <c r="O4" s="40"/>
      <c r="P4" s="40"/>
      <c r="Q4" s="40"/>
      <c r="R4" s="40"/>
    </row>
    <row r="5" spans="1:20" ht="6" customHeight="1" x14ac:dyDescent="0.2">
      <c r="A5" s="31"/>
      <c r="B5" s="31"/>
      <c r="C5" s="31"/>
      <c r="D5" s="31"/>
      <c r="E5" s="31"/>
      <c r="F5" s="31"/>
      <c r="G5" s="31"/>
      <c r="H5" s="31"/>
      <c r="I5" s="31"/>
      <c r="J5" s="31"/>
      <c r="K5" s="31"/>
      <c r="L5" s="31"/>
      <c r="M5" s="31"/>
      <c r="N5" s="31"/>
      <c r="O5" s="31"/>
      <c r="P5" s="31"/>
      <c r="Q5" s="31"/>
      <c r="R5" s="31"/>
    </row>
    <row r="6" spans="1:20" ht="18" customHeight="1" x14ac:dyDescent="0.2">
      <c r="A6" s="4" t="s">
        <v>169</v>
      </c>
      <c r="B6" s="31"/>
      <c r="C6" s="31"/>
      <c r="D6" s="31"/>
      <c r="E6" s="31"/>
      <c r="F6" s="31"/>
      <c r="G6" s="31"/>
      <c r="H6" s="31"/>
      <c r="I6" s="31"/>
      <c r="J6" s="31"/>
      <c r="K6" s="31"/>
      <c r="L6" s="31"/>
      <c r="M6" s="31"/>
      <c r="N6" s="31"/>
      <c r="O6" s="31"/>
      <c r="P6" s="31"/>
      <c r="Q6" s="31"/>
      <c r="R6" s="31"/>
    </row>
    <row r="7" spans="1:20" ht="6" customHeight="1" x14ac:dyDescent="0.2">
      <c r="A7" s="4"/>
      <c r="B7" s="31"/>
      <c r="C7" s="31"/>
      <c r="D7" s="31"/>
      <c r="E7" s="31"/>
      <c r="F7" s="31"/>
      <c r="G7" s="31"/>
      <c r="H7" s="31"/>
      <c r="I7" s="31"/>
      <c r="J7" s="31"/>
      <c r="K7" s="31"/>
      <c r="L7" s="31"/>
      <c r="M7" s="31"/>
      <c r="N7" s="31"/>
      <c r="O7" s="31"/>
      <c r="P7" s="31"/>
      <c r="Q7" s="31"/>
      <c r="R7" s="31"/>
    </row>
    <row r="8" spans="1:20" ht="18" customHeight="1" x14ac:dyDescent="0.2">
      <c r="B8" s="259" t="s">
        <v>170</v>
      </c>
      <c r="C8" s="261" t="s">
        <v>171</v>
      </c>
      <c r="D8" s="263" t="s">
        <v>172</v>
      </c>
      <c r="E8" s="265" t="s">
        <v>173</v>
      </c>
      <c r="F8" s="265"/>
      <c r="G8" s="265" t="s">
        <v>174</v>
      </c>
      <c r="H8" s="265"/>
      <c r="I8" s="265" t="s">
        <v>175</v>
      </c>
      <c r="J8" s="265"/>
      <c r="K8" s="266" t="s">
        <v>176</v>
      </c>
      <c r="L8" s="267"/>
      <c r="M8" s="266" t="s">
        <v>177</v>
      </c>
      <c r="N8" s="267"/>
      <c r="O8" s="266" t="s">
        <v>178</v>
      </c>
      <c r="P8" s="267"/>
      <c r="Q8" s="268" t="s">
        <v>179</v>
      </c>
      <c r="R8" s="270" t="s">
        <v>180</v>
      </c>
      <c r="T8" s="29"/>
    </row>
    <row r="9" spans="1:20" ht="18" customHeight="1" x14ac:dyDescent="0.2">
      <c r="A9" s="4"/>
      <c r="B9" s="260"/>
      <c r="C9" s="262"/>
      <c r="D9" s="264"/>
      <c r="E9" s="36" t="s">
        <v>181</v>
      </c>
      <c r="F9" s="37" t="s">
        <v>182</v>
      </c>
      <c r="G9" s="38" t="s">
        <v>181</v>
      </c>
      <c r="H9" s="39" t="s">
        <v>182</v>
      </c>
      <c r="I9" s="36" t="s">
        <v>181</v>
      </c>
      <c r="J9" s="37" t="s">
        <v>182</v>
      </c>
      <c r="K9" s="38" t="s">
        <v>181</v>
      </c>
      <c r="L9" s="39" t="s">
        <v>182</v>
      </c>
      <c r="M9" s="36" t="s">
        <v>181</v>
      </c>
      <c r="N9" s="37" t="s">
        <v>182</v>
      </c>
      <c r="O9" s="38" t="s">
        <v>181</v>
      </c>
      <c r="P9" s="39" t="s">
        <v>182</v>
      </c>
      <c r="Q9" s="269"/>
      <c r="R9" s="271"/>
      <c r="T9" s="29"/>
    </row>
    <row r="10" spans="1:20" ht="28.2" customHeight="1" x14ac:dyDescent="0.2">
      <c r="A10" s="40"/>
      <c r="B10" s="77" t="s">
        <v>183</v>
      </c>
      <c r="C10" s="40">
        <v>240</v>
      </c>
      <c r="D10" s="41">
        <f>240+260*5</f>
        <v>1540</v>
      </c>
      <c r="E10" s="42">
        <v>35</v>
      </c>
      <c r="F10" s="43"/>
      <c r="G10" s="44"/>
      <c r="H10" s="45"/>
      <c r="I10" s="42"/>
      <c r="J10" s="43"/>
      <c r="K10" s="44"/>
      <c r="L10" s="45"/>
      <c r="M10" s="42"/>
      <c r="N10" s="43"/>
      <c r="O10" s="44"/>
      <c r="P10" s="45"/>
      <c r="Q10" s="46">
        <f>E10+G10+I10+K10+M10+O10</f>
        <v>35</v>
      </c>
      <c r="R10" s="47">
        <f>Q10/D10</f>
        <v>2.2727272727272728E-2</v>
      </c>
    </row>
    <row r="11" spans="1:20" ht="28.2" customHeight="1" x14ac:dyDescent="0.2">
      <c r="A11" s="40"/>
      <c r="B11" s="109" t="s">
        <v>241</v>
      </c>
      <c r="C11" s="56">
        <v>120</v>
      </c>
      <c r="D11" s="49">
        <f>120+90*3</f>
        <v>390</v>
      </c>
      <c r="E11" s="50">
        <v>28</v>
      </c>
      <c r="F11" s="51"/>
      <c r="G11" s="52"/>
      <c r="H11" s="53"/>
      <c r="I11" s="50"/>
      <c r="J11" s="51"/>
      <c r="K11" s="52"/>
      <c r="L11" s="53"/>
      <c r="M11" s="50"/>
      <c r="N11" s="51"/>
      <c r="O11" s="52"/>
      <c r="P11" s="53"/>
      <c r="Q11" s="54">
        <f t="shared" ref="Q11:Q27" si="0">E11+G11+I11+K11+M11+O11</f>
        <v>28</v>
      </c>
      <c r="R11" s="55">
        <f t="shared" ref="R11:R27" si="1">Q11/D11</f>
        <v>7.179487179487179E-2</v>
      </c>
    </row>
    <row r="12" spans="1:20" ht="28.2" customHeight="1" x14ac:dyDescent="0.2">
      <c r="A12" s="40"/>
      <c r="B12" s="109"/>
      <c r="C12" s="56"/>
      <c r="D12" s="49"/>
      <c r="E12" s="50"/>
      <c r="F12" s="51"/>
      <c r="G12" s="52"/>
      <c r="H12" s="53"/>
      <c r="I12" s="50"/>
      <c r="J12" s="51"/>
      <c r="K12" s="52"/>
      <c r="L12" s="53"/>
      <c r="M12" s="50"/>
      <c r="N12" s="51"/>
      <c r="O12" s="52"/>
      <c r="P12" s="53"/>
      <c r="Q12" s="54">
        <f t="shared" si="0"/>
        <v>0</v>
      </c>
      <c r="R12" s="55" t="e">
        <f t="shared" si="1"/>
        <v>#DIV/0!</v>
      </c>
    </row>
    <row r="13" spans="1:20" ht="18" customHeight="1" x14ac:dyDescent="0.2">
      <c r="A13" s="40"/>
      <c r="B13" s="78"/>
      <c r="C13" s="56"/>
      <c r="D13" s="49"/>
      <c r="E13" s="50"/>
      <c r="F13" s="51"/>
      <c r="G13" s="52"/>
      <c r="H13" s="53"/>
      <c r="I13" s="50"/>
      <c r="J13" s="51"/>
      <c r="K13" s="52"/>
      <c r="L13" s="53"/>
      <c r="M13" s="50"/>
      <c r="N13" s="51"/>
      <c r="O13" s="52"/>
      <c r="P13" s="53"/>
      <c r="Q13" s="54">
        <f t="shared" si="0"/>
        <v>0</v>
      </c>
      <c r="R13" s="55" t="e">
        <f t="shared" si="1"/>
        <v>#DIV/0!</v>
      </c>
    </row>
    <row r="14" spans="1:20" ht="18" customHeight="1" x14ac:dyDescent="0.2">
      <c r="A14" s="40"/>
      <c r="B14" s="78"/>
      <c r="C14" s="56"/>
      <c r="D14" s="49"/>
      <c r="E14" s="50"/>
      <c r="F14" s="51"/>
      <c r="G14" s="52"/>
      <c r="H14" s="53"/>
      <c r="I14" s="50"/>
      <c r="J14" s="51"/>
      <c r="K14" s="52"/>
      <c r="L14" s="53"/>
      <c r="M14" s="50"/>
      <c r="N14" s="51"/>
      <c r="O14" s="52"/>
      <c r="P14" s="53"/>
      <c r="Q14" s="54">
        <f t="shared" si="0"/>
        <v>0</v>
      </c>
      <c r="R14" s="55" t="e">
        <f t="shared" si="1"/>
        <v>#DIV/0!</v>
      </c>
    </row>
    <row r="15" spans="1:20" ht="18" customHeight="1" x14ac:dyDescent="0.2">
      <c r="A15" s="40"/>
      <c r="B15" s="78"/>
      <c r="C15" s="56"/>
      <c r="D15" s="49"/>
      <c r="E15" s="50"/>
      <c r="F15" s="51"/>
      <c r="G15" s="52"/>
      <c r="H15" s="53"/>
      <c r="I15" s="50"/>
      <c r="J15" s="51"/>
      <c r="K15" s="52"/>
      <c r="L15" s="53"/>
      <c r="M15" s="50"/>
      <c r="N15" s="51"/>
      <c r="O15" s="52"/>
      <c r="P15" s="53"/>
      <c r="Q15" s="54">
        <f t="shared" si="0"/>
        <v>0</v>
      </c>
      <c r="R15" s="55" t="e">
        <f t="shared" si="1"/>
        <v>#DIV/0!</v>
      </c>
    </row>
    <row r="16" spans="1:20" ht="18" customHeight="1" x14ac:dyDescent="0.2">
      <c r="A16" s="40"/>
      <c r="B16" s="78"/>
      <c r="C16" s="56"/>
      <c r="D16" s="49"/>
      <c r="E16" s="50"/>
      <c r="F16" s="51"/>
      <c r="G16" s="52"/>
      <c r="H16" s="53"/>
      <c r="I16" s="50"/>
      <c r="J16" s="51"/>
      <c r="K16" s="52"/>
      <c r="L16" s="53"/>
      <c r="M16" s="50"/>
      <c r="N16" s="51"/>
      <c r="O16" s="52"/>
      <c r="P16" s="53"/>
      <c r="Q16" s="54">
        <f t="shared" si="0"/>
        <v>0</v>
      </c>
      <c r="R16" s="55" t="e">
        <f t="shared" si="1"/>
        <v>#DIV/0!</v>
      </c>
    </row>
    <row r="17" spans="1:18" ht="18" customHeight="1" x14ac:dyDescent="0.2">
      <c r="A17" s="40"/>
      <c r="B17" s="78"/>
      <c r="C17" s="56"/>
      <c r="D17" s="49"/>
      <c r="E17" s="50"/>
      <c r="F17" s="51"/>
      <c r="G17" s="52"/>
      <c r="H17" s="53"/>
      <c r="I17" s="50"/>
      <c r="J17" s="51"/>
      <c r="K17" s="52"/>
      <c r="L17" s="53"/>
      <c r="M17" s="50"/>
      <c r="N17" s="51"/>
      <c r="O17" s="52"/>
      <c r="P17" s="53"/>
      <c r="Q17" s="54">
        <f t="shared" si="0"/>
        <v>0</v>
      </c>
      <c r="R17" s="55" t="e">
        <f t="shared" si="1"/>
        <v>#DIV/0!</v>
      </c>
    </row>
    <row r="18" spans="1:18" ht="18" customHeight="1" x14ac:dyDescent="0.2">
      <c r="A18" s="40"/>
      <c r="B18" s="78"/>
      <c r="C18" s="56"/>
      <c r="D18" s="49"/>
      <c r="E18" s="50"/>
      <c r="F18" s="51"/>
      <c r="G18" s="52"/>
      <c r="H18" s="53"/>
      <c r="I18" s="50"/>
      <c r="J18" s="51"/>
      <c r="K18" s="52"/>
      <c r="L18" s="53"/>
      <c r="M18" s="50"/>
      <c r="N18" s="51"/>
      <c r="O18" s="52"/>
      <c r="P18" s="53"/>
      <c r="Q18" s="54">
        <f>E18+G18+I18+K18+M18+O18</f>
        <v>0</v>
      </c>
      <c r="R18" s="55" t="e">
        <f t="shared" si="1"/>
        <v>#DIV/0!</v>
      </c>
    </row>
    <row r="19" spans="1:18" ht="18" customHeight="1" x14ac:dyDescent="0.2">
      <c r="A19" s="40"/>
      <c r="B19" s="78"/>
      <c r="C19" s="56"/>
      <c r="D19" s="49"/>
      <c r="E19" s="50"/>
      <c r="F19" s="51"/>
      <c r="G19" s="52"/>
      <c r="H19" s="53"/>
      <c r="I19" s="50"/>
      <c r="J19" s="51"/>
      <c r="K19" s="52"/>
      <c r="L19" s="53"/>
      <c r="M19" s="50"/>
      <c r="N19" s="51"/>
      <c r="O19" s="52"/>
      <c r="P19" s="53"/>
      <c r="Q19" s="54">
        <f t="shared" si="0"/>
        <v>0</v>
      </c>
      <c r="R19" s="55" t="e">
        <f t="shared" si="1"/>
        <v>#DIV/0!</v>
      </c>
    </row>
    <row r="20" spans="1:18" ht="18" customHeight="1" x14ac:dyDescent="0.2">
      <c r="A20" s="40"/>
      <c r="B20" s="78"/>
      <c r="C20" s="56"/>
      <c r="D20" s="49"/>
      <c r="E20" s="50"/>
      <c r="F20" s="51"/>
      <c r="G20" s="52"/>
      <c r="H20" s="53"/>
      <c r="I20" s="50"/>
      <c r="J20" s="51"/>
      <c r="K20" s="52"/>
      <c r="L20" s="53"/>
      <c r="M20" s="50"/>
      <c r="N20" s="51"/>
      <c r="O20" s="52"/>
      <c r="P20" s="53"/>
      <c r="Q20" s="54">
        <f t="shared" si="0"/>
        <v>0</v>
      </c>
      <c r="R20" s="55" t="e">
        <f t="shared" si="1"/>
        <v>#DIV/0!</v>
      </c>
    </row>
    <row r="21" spans="1:18" ht="18" customHeight="1" x14ac:dyDescent="0.2">
      <c r="A21" s="40"/>
      <c r="B21" s="78"/>
      <c r="C21" s="56"/>
      <c r="D21" s="49"/>
      <c r="E21" s="50"/>
      <c r="F21" s="51"/>
      <c r="G21" s="52"/>
      <c r="H21" s="53"/>
      <c r="I21" s="50"/>
      <c r="J21" s="51"/>
      <c r="K21" s="52"/>
      <c r="L21" s="53"/>
      <c r="M21" s="50"/>
      <c r="N21" s="51"/>
      <c r="O21" s="52"/>
      <c r="P21" s="53"/>
      <c r="Q21" s="54">
        <f t="shared" si="0"/>
        <v>0</v>
      </c>
      <c r="R21" s="55" t="e">
        <f t="shared" si="1"/>
        <v>#DIV/0!</v>
      </c>
    </row>
    <row r="22" spans="1:18" ht="18" customHeight="1" x14ac:dyDescent="0.2">
      <c r="A22" s="40"/>
      <c r="B22" s="78"/>
      <c r="C22" s="56"/>
      <c r="D22" s="49"/>
      <c r="E22" s="50"/>
      <c r="F22" s="51"/>
      <c r="G22" s="52"/>
      <c r="H22" s="53"/>
      <c r="I22" s="50"/>
      <c r="J22" s="51"/>
      <c r="K22" s="52"/>
      <c r="L22" s="53"/>
      <c r="M22" s="50"/>
      <c r="N22" s="51"/>
      <c r="O22" s="52"/>
      <c r="P22" s="53"/>
      <c r="Q22" s="54">
        <f t="shared" si="0"/>
        <v>0</v>
      </c>
      <c r="R22" s="55" t="e">
        <f t="shared" si="1"/>
        <v>#DIV/0!</v>
      </c>
    </row>
    <row r="23" spans="1:18" ht="18" customHeight="1" x14ac:dyDescent="0.2">
      <c r="A23" s="40"/>
      <c r="B23" s="78"/>
      <c r="C23" s="56"/>
      <c r="D23" s="49"/>
      <c r="E23" s="50"/>
      <c r="F23" s="51"/>
      <c r="G23" s="52"/>
      <c r="H23" s="53"/>
      <c r="I23" s="50"/>
      <c r="J23" s="51"/>
      <c r="K23" s="52"/>
      <c r="L23" s="53"/>
      <c r="M23" s="50"/>
      <c r="N23" s="51"/>
      <c r="O23" s="52"/>
      <c r="P23" s="53"/>
      <c r="Q23" s="54">
        <f t="shared" si="0"/>
        <v>0</v>
      </c>
      <c r="R23" s="55" t="e">
        <f t="shared" si="1"/>
        <v>#DIV/0!</v>
      </c>
    </row>
    <row r="24" spans="1:18" ht="18" customHeight="1" x14ac:dyDescent="0.2">
      <c r="A24" s="40"/>
      <c r="B24" s="78"/>
      <c r="C24" s="56"/>
      <c r="D24" s="49"/>
      <c r="E24" s="50"/>
      <c r="F24" s="51"/>
      <c r="G24" s="52"/>
      <c r="H24" s="53"/>
      <c r="I24" s="50"/>
      <c r="J24" s="51"/>
      <c r="K24" s="52"/>
      <c r="L24" s="53"/>
      <c r="M24" s="50"/>
      <c r="N24" s="51"/>
      <c r="O24" s="52"/>
      <c r="P24" s="53"/>
      <c r="Q24" s="54">
        <f t="shared" si="0"/>
        <v>0</v>
      </c>
      <c r="R24" s="55" t="e">
        <f t="shared" si="1"/>
        <v>#DIV/0!</v>
      </c>
    </row>
    <row r="25" spans="1:18" ht="18" customHeight="1" x14ac:dyDescent="0.2">
      <c r="A25" s="40"/>
      <c r="B25" s="78"/>
      <c r="C25" s="48"/>
      <c r="D25" s="49"/>
      <c r="E25" s="50"/>
      <c r="F25" s="51"/>
      <c r="G25" s="52"/>
      <c r="H25" s="53"/>
      <c r="I25" s="50"/>
      <c r="J25" s="51"/>
      <c r="K25" s="52"/>
      <c r="L25" s="53"/>
      <c r="M25" s="50"/>
      <c r="N25" s="51"/>
      <c r="O25" s="52"/>
      <c r="P25" s="53"/>
      <c r="Q25" s="54">
        <f t="shared" si="0"/>
        <v>0</v>
      </c>
      <c r="R25" s="55" t="e">
        <f t="shared" si="1"/>
        <v>#DIV/0!</v>
      </c>
    </row>
    <row r="26" spans="1:18" ht="18" customHeight="1" x14ac:dyDescent="0.2">
      <c r="A26" s="40"/>
      <c r="B26" s="78"/>
      <c r="C26" s="48"/>
      <c r="D26" s="49"/>
      <c r="E26" s="50"/>
      <c r="F26" s="51"/>
      <c r="G26" s="52"/>
      <c r="H26" s="53"/>
      <c r="I26" s="50"/>
      <c r="J26" s="51"/>
      <c r="K26" s="52"/>
      <c r="L26" s="53"/>
      <c r="M26" s="50"/>
      <c r="N26" s="51"/>
      <c r="O26" s="52"/>
      <c r="P26" s="53"/>
      <c r="Q26" s="54">
        <f t="shared" si="0"/>
        <v>0</v>
      </c>
      <c r="R26" s="55" t="e">
        <f t="shared" si="1"/>
        <v>#DIV/0!</v>
      </c>
    </row>
    <row r="27" spans="1:18" ht="18" customHeight="1" thickBot="1" x14ac:dyDescent="0.25">
      <c r="A27" s="40"/>
      <c r="B27" s="79"/>
      <c r="C27" s="80"/>
      <c r="D27" s="41"/>
      <c r="E27" s="42"/>
      <c r="F27" s="43"/>
      <c r="G27" s="44"/>
      <c r="H27" s="45"/>
      <c r="I27" s="42"/>
      <c r="J27" s="43"/>
      <c r="K27" s="44"/>
      <c r="L27" s="45"/>
      <c r="M27" s="42"/>
      <c r="N27" s="43"/>
      <c r="O27" s="44"/>
      <c r="P27" s="45"/>
      <c r="Q27" s="57">
        <f t="shared" si="0"/>
        <v>0</v>
      </c>
      <c r="R27" s="47" t="e">
        <f t="shared" si="1"/>
        <v>#DIV/0!</v>
      </c>
    </row>
    <row r="28" spans="1:18" ht="18" customHeight="1" thickTop="1" x14ac:dyDescent="0.2">
      <c r="B28" s="81" t="s">
        <v>184</v>
      </c>
      <c r="C28" s="82">
        <f t="shared" ref="C28:Q28" si="2">SUM(C10:C27)</f>
        <v>360</v>
      </c>
      <c r="D28" s="58">
        <f t="shared" si="2"/>
        <v>1930</v>
      </c>
      <c r="E28" s="59">
        <f t="shared" si="2"/>
        <v>63</v>
      </c>
      <c r="F28" s="60">
        <f t="shared" si="2"/>
        <v>0</v>
      </c>
      <c r="G28" s="61">
        <f t="shared" si="2"/>
        <v>0</v>
      </c>
      <c r="H28" s="62">
        <f t="shared" si="2"/>
        <v>0</v>
      </c>
      <c r="I28" s="59">
        <f t="shared" si="2"/>
        <v>0</v>
      </c>
      <c r="J28" s="60">
        <f t="shared" si="2"/>
        <v>0</v>
      </c>
      <c r="K28" s="61">
        <f t="shared" si="2"/>
        <v>0</v>
      </c>
      <c r="L28" s="62">
        <f t="shared" si="2"/>
        <v>0</v>
      </c>
      <c r="M28" s="59">
        <f t="shared" si="2"/>
        <v>0</v>
      </c>
      <c r="N28" s="60">
        <f t="shared" si="2"/>
        <v>0</v>
      </c>
      <c r="O28" s="61">
        <f t="shared" si="2"/>
        <v>0</v>
      </c>
      <c r="P28" s="62">
        <f t="shared" si="2"/>
        <v>0</v>
      </c>
      <c r="Q28" s="63">
        <f t="shared" si="2"/>
        <v>63</v>
      </c>
      <c r="R28" s="64">
        <f>Q28/D28</f>
        <v>3.2642487046632127E-2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98" right="0.78740157480314998" top="0.78740157480314998" bottom="0.39370078740157499" header="0.31496062992126" footer="0.31496062992126"/>
  <pageSetup paperSize="9" scale="9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1"/>
  <sheetViews>
    <sheetView showZeros="0" view="pageBreakPreview" topLeftCell="A110" zoomScaleNormal="100" zoomScaleSheetLayoutView="100" workbookViewId="0">
      <selection activeCell="L118" sqref="L118"/>
    </sheetView>
  </sheetViews>
  <sheetFormatPr defaultColWidth="11.33203125" defaultRowHeight="18.75" customHeight="1" x14ac:dyDescent="0.2"/>
  <cols>
    <col min="1" max="1" width="2.6640625" style="2" customWidth="1"/>
    <col min="2" max="2" width="16.6640625" style="1" customWidth="1"/>
    <col min="3" max="3" width="8.77734375" style="1" customWidth="1"/>
    <col min="4" max="4" width="2.109375" style="1" customWidth="1"/>
    <col min="5" max="5" width="16.6640625" style="1" customWidth="1"/>
    <col min="6" max="6" width="8.77734375" style="1" customWidth="1"/>
    <col min="7" max="7" width="2.109375" style="1" customWidth="1"/>
    <col min="8" max="8" width="16.6640625" style="1" customWidth="1"/>
    <col min="9" max="9" width="8.77734375" style="1" customWidth="1"/>
    <col min="10" max="10" width="2.109375" style="1" customWidth="1"/>
    <col min="11" max="11" width="11.33203125" style="26"/>
    <col min="12" max="16384" width="11.33203125" style="1"/>
  </cols>
  <sheetData>
    <row r="1" spans="1:11" ht="18.75" customHeight="1" x14ac:dyDescent="0.2">
      <c r="A1" s="2" t="s">
        <v>185</v>
      </c>
      <c r="J1" s="34" t="s">
        <v>186</v>
      </c>
    </row>
    <row r="2" spans="1:11" ht="18.75" customHeight="1" x14ac:dyDescent="0.2">
      <c r="A2" s="256" t="s">
        <v>187</v>
      </c>
      <c r="B2" s="256"/>
      <c r="C2" s="256"/>
      <c r="D2" s="256"/>
      <c r="E2" s="256"/>
      <c r="F2" s="256"/>
      <c r="G2" s="256"/>
      <c r="H2" s="256"/>
      <c r="I2" s="256"/>
      <c r="J2" s="256"/>
    </row>
    <row r="3" spans="1:11" ht="7.5" customHeight="1" x14ac:dyDescent="0.2">
      <c r="B3" s="31"/>
      <c r="C3" s="31"/>
      <c r="D3" s="31"/>
      <c r="E3" s="31"/>
      <c r="F3" s="31"/>
      <c r="G3" s="31"/>
      <c r="H3" s="31"/>
      <c r="I3" s="31"/>
      <c r="J3" s="31"/>
    </row>
    <row r="4" spans="1:11" ht="18.75" customHeight="1" x14ac:dyDescent="0.2">
      <c r="A4" s="1" t="s">
        <v>2</v>
      </c>
      <c r="B4" s="4" t="s">
        <v>188</v>
      </c>
      <c r="C4" s="4"/>
      <c r="D4" s="4"/>
      <c r="E4" s="4"/>
      <c r="F4" s="4"/>
      <c r="G4" s="4"/>
      <c r="H4" s="4"/>
      <c r="I4" s="31"/>
      <c r="J4" s="31"/>
    </row>
    <row r="5" spans="1:11" ht="18.75" customHeight="1" x14ac:dyDescent="0.2">
      <c r="A5" s="1"/>
      <c r="B5" s="123" t="s">
        <v>189</v>
      </c>
      <c r="C5" s="124"/>
      <c r="D5" s="124"/>
      <c r="E5" s="124"/>
      <c r="F5" s="124"/>
      <c r="G5" s="124"/>
      <c r="H5" s="124"/>
      <c r="I5" s="124"/>
      <c r="J5" s="218"/>
      <c r="K5" s="26" t="str">
        <f>IF(B5="","入力してください","")</f>
        <v/>
      </c>
    </row>
    <row r="6" spans="1:11" ht="7.5" customHeight="1" x14ac:dyDescent="0.2">
      <c r="B6" s="31"/>
      <c r="C6" s="31"/>
      <c r="D6" s="31"/>
      <c r="E6" s="31"/>
      <c r="F6" s="31"/>
      <c r="G6" s="31"/>
      <c r="H6" s="31"/>
      <c r="I6" s="31"/>
      <c r="J6" s="31"/>
    </row>
    <row r="7" spans="1:11" s="4" customFormat="1" ht="18.75" customHeight="1" x14ac:dyDescent="0.2">
      <c r="A7" s="1" t="s">
        <v>5</v>
      </c>
      <c r="B7" s="1" t="s">
        <v>190</v>
      </c>
      <c r="C7" s="1"/>
      <c r="D7" s="1"/>
      <c r="E7" s="1"/>
      <c r="F7" s="1"/>
      <c r="G7" s="1"/>
      <c r="H7" s="1"/>
      <c r="I7" s="1"/>
      <c r="J7" s="1"/>
      <c r="K7" s="26"/>
    </row>
    <row r="8" spans="1:11" s="4" customFormat="1" ht="18.75" customHeight="1" x14ac:dyDescent="0.2">
      <c r="A8" s="83"/>
      <c r="B8" s="281" t="s">
        <v>191</v>
      </c>
      <c r="C8" s="282"/>
      <c r="D8" s="282"/>
      <c r="E8" s="282"/>
      <c r="F8" s="282"/>
      <c r="G8" s="282"/>
      <c r="H8" s="282"/>
      <c r="I8" s="283"/>
      <c r="J8" s="284"/>
      <c r="K8" s="26" t="str">
        <f>IF(B8="","入力してください","")</f>
        <v/>
      </c>
    </row>
    <row r="9" spans="1:11" s="4" customFormat="1" ht="18.75" customHeight="1" x14ac:dyDescent="0.2">
      <c r="A9" s="83"/>
      <c r="B9" s="275"/>
      <c r="C9" s="276"/>
      <c r="D9" s="276"/>
      <c r="E9" s="276"/>
      <c r="F9" s="276"/>
      <c r="G9" s="276"/>
      <c r="H9" s="276"/>
      <c r="I9" s="276"/>
      <c r="J9" s="277"/>
      <c r="K9" s="26"/>
    </row>
    <row r="10" spans="1:11" s="4" customFormat="1" ht="18.75" customHeight="1" x14ac:dyDescent="0.2">
      <c r="A10" s="83"/>
      <c r="B10" s="275"/>
      <c r="C10" s="276"/>
      <c r="D10" s="276"/>
      <c r="E10" s="276"/>
      <c r="F10" s="276"/>
      <c r="G10" s="276"/>
      <c r="H10" s="276"/>
      <c r="I10" s="276"/>
      <c r="J10" s="277"/>
      <c r="K10" s="26"/>
    </row>
    <row r="11" spans="1:11" s="4" customFormat="1" ht="18.75" customHeight="1" x14ac:dyDescent="0.2">
      <c r="A11" s="83"/>
      <c r="B11" s="275"/>
      <c r="C11" s="276"/>
      <c r="D11" s="276"/>
      <c r="E11" s="276"/>
      <c r="F11" s="276"/>
      <c r="G11" s="276"/>
      <c r="H11" s="276"/>
      <c r="I11" s="276"/>
      <c r="J11" s="277"/>
      <c r="K11" s="26"/>
    </row>
    <row r="12" spans="1:11" s="4" customFormat="1" ht="18.75" customHeight="1" x14ac:dyDescent="0.2">
      <c r="A12" s="83"/>
      <c r="B12" s="278"/>
      <c r="C12" s="279"/>
      <c r="D12" s="279"/>
      <c r="E12" s="279"/>
      <c r="F12" s="279"/>
      <c r="G12" s="279"/>
      <c r="H12" s="279"/>
      <c r="I12" s="279"/>
      <c r="J12" s="280"/>
      <c r="K12" s="26"/>
    </row>
    <row r="13" spans="1:11" s="4" customFormat="1" ht="7.5" customHeight="1" x14ac:dyDescent="0.2">
      <c r="A13" s="83"/>
      <c r="B13" s="67"/>
      <c r="C13" s="67"/>
      <c r="D13" s="67"/>
      <c r="E13" s="67"/>
      <c r="F13" s="67"/>
      <c r="G13" s="67"/>
      <c r="H13" s="67"/>
      <c r="I13" s="67"/>
      <c r="J13" s="67"/>
      <c r="K13" s="26"/>
    </row>
    <row r="14" spans="1:11" s="4" customFormat="1" ht="18.75" customHeight="1" x14ac:dyDescent="0.2">
      <c r="A14" s="84" t="s">
        <v>192</v>
      </c>
      <c r="B14" s="112" t="s">
        <v>193</v>
      </c>
      <c r="C14" s="112"/>
      <c r="D14" s="112"/>
      <c r="E14" s="112"/>
      <c r="F14" s="112"/>
      <c r="G14" s="112"/>
      <c r="H14" s="112"/>
      <c r="I14" s="112"/>
      <c r="J14" s="112"/>
      <c r="K14" s="26"/>
    </row>
    <row r="15" spans="1:11" s="4" customFormat="1" ht="18.75" customHeight="1" x14ac:dyDescent="0.2">
      <c r="A15" s="83"/>
      <c r="B15" s="281" t="s">
        <v>194</v>
      </c>
      <c r="C15" s="282"/>
      <c r="D15" s="282"/>
      <c r="E15" s="282"/>
      <c r="F15" s="282"/>
      <c r="G15" s="282"/>
      <c r="H15" s="282"/>
      <c r="I15" s="283"/>
      <c r="J15" s="284"/>
      <c r="K15" s="26" t="str">
        <f>IF(B15="","入力してください","")</f>
        <v/>
      </c>
    </row>
    <row r="16" spans="1:11" s="4" customFormat="1" ht="18.75" customHeight="1" x14ac:dyDescent="0.2">
      <c r="A16" s="83"/>
      <c r="B16" s="275"/>
      <c r="C16" s="276"/>
      <c r="D16" s="276"/>
      <c r="E16" s="276"/>
      <c r="F16" s="276"/>
      <c r="G16" s="276"/>
      <c r="H16" s="276"/>
      <c r="I16" s="276"/>
      <c r="J16" s="277"/>
      <c r="K16" s="26"/>
    </row>
    <row r="17" spans="1:11" s="4" customFormat="1" ht="18.75" customHeight="1" x14ac:dyDescent="0.2">
      <c r="A17" s="83"/>
      <c r="B17" s="275"/>
      <c r="C17" s="276"/>
      <c r="D17" s="276"/>
      <c r="E17" s="276"/>
      <c r="F17" s="276"/>
      <c r="G17" s="276"/>
      <c r="H17" s="276"/>
      <c r="I17" s="276"/>
      <c r="J17" s="277"/>
      <c r="K17" s="26"/>
    </row>
    <row r="18" spans="1:11" s="4" customFormat="1" ht="18.75" customHeight="1" x14ac:dyDescent="0.2">
      <c r="A18" s="83"/>
      <c r="B18" s="275"/>
      <c r="C18" s="276"/>
      <c r="D18" s="276"/>
      <c r="E18" s="276"/>
      <c r="F18" s="276"/>
      <c r="G18" s="276"/>
      <c r="H18" s="276"/>
      <c r="I18" s="276"/>
      <c r="J18" s="277"/>
      <c r="K18" s="26"/>
    </row>
    <row r="19" spans="1:11" s="4" customFormat="1" ht="18.75" customHeight="1" x14ac:dyDescent="0.2">
      <c r="A19" s="83"/>
      <c r="B19" s="275"/>
      <c r="C19" s="276"/>
      <c r="D19" s="276"/>
      <c r="E19" s="276"/>
      <c r="F19" s="276"/>
      <c r="G19" s="276"/>
      <c r="H19" s="276"/>
      <c r="I19" s="276"/>
      <c r="J19" s="277"/>
      <c r="K19" s="26"/>
    </row>
    <row r="20" spans="1:11" s="4" customFormat="1" ht="18.75" customHeight="1" x14ac:dyDescent="0.2">
      <c r="A20" s="83"/>
      <c r="B20" s="275"/>
      <c r="C20" s="276"/>
      <c r="D20" s="276"/>
      <c r="E20" s="276"/>
      <c r="F20" s="276"/>
      <c r="G20" s="276"/>
      <c r="H20" s="276"/>
      <c r="I20" s="276"/>
      <c r="J20" s="277"/>
      <c r="K20" s="26"/>
    </row>
    <row r="21" spans="1:11" s="4" customFormat="1" ht="18.75" customHeight="1" x14ac:dyDescent="0.2">
      <c r="A21" s="83"/>
      <c r="B21" s="275"/>
      <c r="C21" s="276"/>
      <c r="D21" s="276"/>
      <c r="E21" s="276"/>
      <c r="F21" s="276"/>
      <c r="G21" s="276"/>
      <c r="H21" s="276"/>
      <c r="I21" s="276"/>
      <c r="J21" s="277"/>
      <c r="K21" s="26"/>
    </row>
    <row r="22" spans="1:11" s="4" customFormat="1" ht="18.75" customHeight="1" x14ac:dyDescent="0.2">
      <c r="A22" s="83"/>
      <c r="B22" s="275"/>
      <c r="C22" s="276"/>
      <c r="D22" s="276"/>
      <c r="E22" s="276"/>
      <c r="F22" s="276"/>
      <c r="G22" s="276"/>
      <c r="H22" s="276"/>
      <c r="I22" s="276"/>
      <c r="J22" s="277"/>
      <c r="K22" s="26"/>
    </row>
    <row r="23" spans="1:11" s="4" customFormat="1" ht="18.75" customHeight="1" x14ac:dyDescent="0.2">
      <c r="A23" s="83"/>
      <c r="B23" s="275"/>
      <c r="C23" s="276"/>
      <c r="D23" s="276"/>
      <c r="E23" s="276"/>
      <c r="F23" s="276"/>
      <c r="G23" s="276"/>
      <c r="H23" s="276"/>
      <c r="I23" s="276"/>
      <c r="J23" s="277"/>
      <c r="K23" s="26"/>
    </row>
    <row r="24" spans="1:11" s="4" customFormat="1" ht="18.75" customHeight="1" x14ac:dyDescent="0.2">
      <c r="A24" s="83"/>
      <c r="B24" s="275"/>
      <c r="C24" s="276"/>
      <c r="D24" s="276"/>
      <c r="E24" s="276"/>
      <c r="F24" s="276"/>
      <c r="G24" s="276"/>
      <c r="H24" s="276"/>
      <c r="I24" s="276"/>
      <c r="J24" s="277"/>
      <c r="K24" s="26"/>
    </row>
    <row r="25" spans="1:11" s="4" customFormat="1" ht="18.75" customHeight="1" x14ac:dyDescent="0.2">
      <c r="A25" s="83"/>
      <c r="B25" s="278"/>
      <c r="C25" s="279"/>
      <c r="D25" s="279"/>
      <c r="E25" s="279"/>
      <c r="F25" s="279"/>
      <c r="G25" s="279"/>
      <c r="H25" s="279"/>
      <c r="I25" s="279"/>
      <c r="J25" s="280"/>
      <c r="K25" s="26"/>
    </row>
    <row r="26" spans="1:11" ht="7.5" customHeight="1" x14ac:dyDescent="0.2">
      <c r="A26" s="32"/>
      <c r="B26" s="32"/>
      <c r="C26" s="32"/>
      <c r="D26" s="32"/>
      <c r="E26" s="32"/>
      <c r="F26" s="32"/>
      <c r="G26" s="32"/>
      <c r="H26" s="32"/>
      <c r="I26" s="32"/>
      <c r="J26" s="32"/>
    </row>
    <row r="27" spans="1:11" s="4" customFormat="1" ht="18.75" customHeight="1" x14ac:dyDescent="0.2">
      <c r="A27" s="1" t="s">
        <v>11</v>
      </c>
      <c r="B27" s="1" t="s">
        <v>195</v>
      </c>
      <c r="C27" s="1"/>
      <c r="D27" s="1"/>
      <c r="E27" s="1"/>
      <c r="F27" s="1"/>
      <c r="G27" s="1"/>
      <c r="H27" s="1"/>
      <c r="I27" s="1"/>
      <c r="J27" s="1"/>
      <c r="K27" s="26"/>
    </row>
    <row r="28" spans="1:11" s="24" customFormat="1" ht="18.75" customHeight="1" x14ac:dyDescent="0.2">
      <c r="B28" s="85" t="s">
        <v>196</v>
      </c>
      <c r="C28" s="86">
        <f>'様式３　履修者等数の実績'!R28</f>
        <v>3.2642487046632127E-2</v>
      </c>
      <c r="D28" s="87"/>
      <c r="E28" s="87" t="s">
        <v>197</v>
      </c>
      <c r="F28" s="86">
        <v>0.15</v>
      </c>
      <c r="G28" s="87"/>
      <c r="H28" s="87" t="s">
        <v>198</v>
      </c>
      <c r="I28" s="88">
        <v>0.5</v>
      </c>
      <c r="J28" s="89"/>
      <c r="K28" s="26"/>
    </row>
    <row r="29" spans="1:11" s="24" customFormat="1" ht="18.75" customHeight="1" x14ac:dyDescent="0.2">
      <c r="B29" s="73" t="s">
        <v>199</v>
      </c>
      <c r="C29" s="90">
        <v>0.6</v>
      </c>
      <c r="D29" s="74"/>
      <c r="E29" s="74" t="s">
        <v>200</v>
      </c>
      <c r="F29" s="90">
        <v>0.7</v>
      </c>
      <c r="G29" s="74"/>
      <c r="H29" s="74" t="s">
        <v>201</v>
      </c>
      <c r="I29" s="91">
        <f>'様式３　履修者等数の実績'!D28</f>
        <v>1930</v>
      </c>
      <c r="J29" s="92"/>
      <c r="K29" s="26"/>
    </row>
    <row r="30" spans="1:11" s="4" customFormat="1" ht="18.75" customHeight="1" x14ac:dyDescent="0.2">
      <c r="A30" s="1"/>
      <c r="B30" s="184" t="s">
        <v>202</v>
      </c>
      <c r="C30" s="185"/>
      <c r="D30" s="185"/>
      <c r="E30" s="185"/>
      <c r="F30" s="185"/>
      <c r="G30" s="185"/>
      <c r="H30" s="185"/>
      <c r="I30" s="185"/>
      <c r="J30" s="186"/>
      <c r="K30" s="26"/>
    </row>
    <row r="31" spans="1:11" s="4" customFormat="1" ht="18.75" customHeight="1" x14ac:dyDescent="0.2">
      <c r="A31" s="1"/>
      <c r="B31" s="272" t="s">
        <v>237</v>
      </c>
      <c r="C31" s="273"/>
      <c r="D31" s="273"/>
      <c r="E31" s="273"/>
      <c r="F31" s="273"/>
      <c r="G31" s="273"/>
      <c r="H31" s="273"/>
      <c r="I31" s="273"/>
      <c r="J31" s="274"/>
      <c r="K31" s="26" t="str">
        <f>IF(B31="","入力してください","")</f>
        <v/>
      </c>
    </row>
    <row r="32" spans="1:11" s="4" customFormat="1" ht="18.75" customHeight="1" x14ac:dyDescent="0.2">
      <c r="A32" s="1"/>
      <c r="B32" s="275"/>
      <c r="C32" s="276"/>
      <c r="D32" s="276"/>
      <c r="E32" s="276"/>
      <c r="F32" s="276"/>
      <c r="G32" s="276"/>
      <c r="H32" s="276"/>
      <c r="I32" s="276"/>
      <c r="J32" s="277"/>
      <c r="K32" s="26"/>
    </row>
    <row r="33" spans="1:11" s="4" customFormat="1" ht="18.75" customHeight="1" x14ac:dyDescent="0.2">
      <c r="A33" s="1"/>
      <c r="B33" s="275"/>
      <c r="C33" s="276"/>
      <c r="D33" s="276"/>
      <c r="E33" s="276"/>
      <c r="F33" s="276"/>
      <c r="G33" s="276"/>
      <c r="H33" s="276"/>
      <c r="I33" s="276"/>
      <c r="J33" s="277"/>
      <c r="K33" s="26"/>
    </row>
    <row r="34" spans="1:11" s="4" customFormat="1" ht="18.75" customHeight="1" x14ac:dyDescent="0.2">
      <c r="A34" s="1"/>
      <c r="B34" s="275"/>
      <c r="C34" s="276"/>
      <c r="D34" s="276"/>
      <c r="E34" s="276"/>
      <c r="F34" s="276"/>
      <c r="G34" s="276"/>
      <c r="H34" s="276"/>
      <c r="I34" s="276"/>
      <c r="J34" s="277"/>
      <c r="K34" s="26"/>
    </row>
    <row r="35" spans="1:11" s="4" customFormat="1" ht="18.75" customHeight="1" x14ac:dyDescent="0.2">
      <c r="A35" s="1"/>
      <c r="B35" s="275"/>
      <c r="C35" s="276"/>
      <c r="D35" s="276"/>
      <c r="E35" s="276"/>
      <c r="F35" s="276"/>
      <c r="G35" s="276"/>
      <c r="H35" s="276"/>
      <c r="I35" s="276"/>
      <c r="J35" s="277"/>
      <c r="K35" s="26"/>
    </row>
    <row r="36" spans="1:11" s="4" customFormat="1" ht="18.75" customHeight="1" x14ac:dyDescent="0.2">
      <c r="A36" s="1"/>
      <c r="B36" s="275"/>
      <c r="C36" s="276"/>
      <c r="D36" s="276"/>
      <c r="E36" s="276"/>
      <c r="F36" s="276"/>
      <c r="G36" s="276"/>
      <c r="H36" s="276"/>
      <c r="I36" s="276"/>
      <c r="J36" s="277"/>
      <c r="K36" s="26"/>
    </row>
    <row r="37" spans="1:11" s="4" customFormat="1" ht="18.75" customHeight="1" x14ac:dyDescent="0.2">
      <c r="A37" s="1"/>
      <c r="B37" s="275"/>
      <c r="C37" s="276"/>
      <c r="D37" s="276"/>
      <c r="E37" s="276"/>
      <c r="F37" s="276"/>
      <c r="G37" s="276"/>
      <c r="H37" s="276"/>
      <c r="I37" s="276"/>
      <c r="J37" s="277"/>
      <c r="K37" s="26"/>
    </row>
    <row r="38" spans="1:11" s="4" customFormat="1" ht="18.75" customHeight="1" x14ac:dyDescent="0.2">
      <c r="A38" s="1"/>
      <c r="B38" s="275"/>
      <c r="C38" s="276"/>
      <c r="D38" s="276"/>
      <c r="E38" s="276"/>
      <c r="F38" s="276"/>
      <c r="G38" s="276"/>
      <c r="H38" s="276"/>
      <c r="I38" s="276"/>
      <c r="J38" s="277"/>
      <c r="K38" s="26"/>
    </row>
    <row r="39" spans="1:11" s="4" customFormat="1" ht="18.75" customHeight="1" x14ac:dyDescent="0.2">
      <c r="A39" s="1"/>
      <c r="B39" s="275"/>
      <c r="C39" s="276"/>
      <c r="D39" s="276"/>
      <c r="E39" s="276"/>
      <c r="F39" s="276"/>
      <c r="G39" s="276"/>
      <c r="H39" s="276"/>
      <c r="I39" s="276"/>
      <c r="J39" s="277"/>
      <c r="K39" s="26"/>
    </row>
    <row r="40" spans="1:11" s="4" customFormat="1" ht="18.75" customHeight="1" x14ac:dyDescent="0.2">
      <c r="A40" s="1"/>
      <c r="B40" s="275"/>
      <c r="C40" s="276"/>
      <c r="D40" s="276"/>
      <c r="E40" s="276"/>
      <c r="F40" s="276"/>
      <c r="G40" s="276"/>
      <c r="H40" s="276"/>
      <c r="I40" s="276"/>
      <c r="J40" s="277"/>
      <c r="K40" s="26"/>
    </row>
    <row r="41" spans="1:11" s="4" customFormat="1" ht="18.75" customHeight="1" x14ac:dyDescent="0.2">
      <c r="A41" s="1"/>
      <c r="B41" s="275"/>
      <c r="C41" s="276"/>
      <c r="D41" s="276"/>
      <c r="E41" s="276"/>
      <c r="F41" s="276"/>
      <c r="G41" s="276"/>
      <c r="H41" s="276"/>
      <c r="I41" s="276"/>
      <c r="J41" s="277"/>
      <c r="K41" s="26"/>
    </row>
    <row r="42" spans="1:11" ht="18.75" customHeight="1" x14ac:dyDescent="0.2">
      <c r="A42" s="32"/>
      <c r="B42" s="275"/>
      <c r="C42" s="276"/>
      <c r="D42" s="276"/>
      <c r="E42" s="276"/>
      <c r="F42" s="276"/>
      <c r="G42" s="276"/>
      <c r="H42" s="276"/>
      <c r="I42" s="276"/>
      <c r="J42" s="277"/>
    </row>
    <row r="43" spans="1:11" ht="18.75" customHeight="1" x14ac:dyDescent="0.2">
      <c r="A43" s="32"/>
      <c r="B43" s="278"/>
      <c r="C43" s="279"/>
      <c r="D43" s="279"/>
      <c r="E43" s="279"/>
      <c r="F43" s="279"/>
      <c r="G43" s="279"/>
      <c r="H43" s="279"/>
      <c r="I43" s="279"/>
      <c r="J43" s="280"/>
    </row>
    <row r="44" spans="1:11" s="4" customFormat="1" ht="18.75" customHeight="1" x14ac:dyDescent="0.2">
      <c r="A44" s="93" t="s">
        <v>14</v>
      </c>
      <c r="B44" s="1" t="s">
        <v>203</v>
      </c>
      <c r="C44" s="1"/>
      <c r="D44" s="1"/>
      <c r="E44" s="1"/>
      <c r="F44" s="1"/>
      <c r="G44" s="1"/>
      <c r="H44" s="1"/>
      <c r="I44" s="93"/>
      <c r="J44" s="93"/>
      <c r="K44" s="26"/>
    </row>
    <row r="45" spans="1:11" ht="18.75" customHeight="1" x14ac:dyDescent="0.2">
      <c r="A45" s="32"/>
      <c r="B45" s="281" t="s">
        <v>238</v>
      </c>
      <c r="C45" s="282"/>
      <c r="D45" s="282"/>
      <c r="E45" s="282"/>
      <c r="F45" s="282"/>
      <c r="G45" s="282"/>
      <c r="H45" s="282"/>
      <c r="I45" s="282"/>
      <c r="J45" s="285"/>
      <c r="K45" s="26" t="str">
        <f>IF(B45="","入力してください","")</f>
        <v/>
      </c>
    </row>
    <row r="46" spans="1:11" ht="18.75" customHeight="1" x14ac:dyDescent="0.2">
      <c r="A46" s="32"/>
      <c r="B46" s="286"/>
      <c r="C46" s="287"/>
      <c r="D46" s="287"/>
      <c r="E46" s="287"/>
      <c r="F46" s="287"/>
      <c r="G46" s="287"/>
      <c r="H46" s="287"/>
      <c r="I46" s="287"/>
      <c r="J46" s="288"/>
    </row>
    <row r="47" spans="1:11" ht="18.75" customHeight="1" x14ac:dyDescent="0.2">
      <c r="A47" s="32"/>
      <c r="B47" s="286"/>
      <c r="C47" s="287"/>
      <c r="D47" s="287"/>
      <c r="E47" s="287"/>
      <c r="F47" s="287"/>
      <c r="G47" s="287"/>
      <c r="H47" s="287"/>
      <c r="I47" s="287"/>
      <c r="J47" s="288"/>
    </row>
    <row r="48" spans="1:11" ht="18.75" customHeight="1" x14ac:dyDescent="0.2">
      <c r="A48" s="32"/>
      <c r="B48" s="286"/>
      <c r="C48" s="287"/>
      <c r="D48" s="287"/>
      <c r="E48" s="287"/>
      <c r="F48" s="287"/>
      <c r="G48" s="287"/>
      <c r="H48" s="287"/>
      <c r="I48" s="287"/>
      <c r="J48" s="288"/>
    </row>
    <row r="49" spans="1:10" ht="18.75" customHeight="1" x14ac:dyDescent="0.2">
      <c r="A49" s="32"/>
      <c r="B49" s="286"/>
      <c r="C49" s="287"/>
      <c r="D49" s="287"/>
      <c r="E49" s="287"/>
      <c r="F49" s="287"/>
      <c r="G49" s="287"/>
      <c r="H49" s="287"/>
      <c r="I49" s="287"/>
      <c r="J49" s="288"/>
    </row>
    <row r="50" spans="1:10" ht="18.75" customHeight="1" x14ac:dyDescent="0.2">
      <c r="A50" s="32"/>
      <c r="B50" s="286"/>
      <c r="C50" s="287"/>
      <c r="D50" s="287"/>
      <c r="E50" s="287"/>
      <c r="F50" s="287"/>
      <c r="G50" s="287"/>
      <c r="H50" s="287"/>
      <c r="I50" s="287"/>
      <c r="J50" s="288"/>
    </row>
    <row r="51" spans="1:10" ht="18.75" customHeight="1" x14ac:dyDescent="0.2">
      <c r="A51" s="32"/>
      <c r="B51" s="286"/>
      <c r="C51" s="287"/>
      <c r="D51" s="287"/>
      <c r="E51" s="287"/>
      <c r="F51" s="287"/>
      <c r="G51" s="287"/>
      <c r="H51" s="287"/>
      <c r="I51" s="287"/>
      <c r="J51" s="288"/>
    </row>
    <row r="52" spans="1:10" ht="18.75" customHeight="1" x14ac:dyDescent="0.2">
      <c r="A52" s="32"/>
      <c r="B52" s="286"/>
      <c r="C52" s="287"/>
      <c r="D52" s="287"/>
      <c r="E52" s="287"/>
      <c r="F52" s="287"/>
      <c r="G52" s="287"/>
      <c r="H52" s="287"/>
      <c r="I52" s="287"/>
      <c r="J52" s="288"/>
    </row>
    <row r="53" spans="1:10" ht="18.75" customHeight="1" x14ac:dyDescent="0.2">
      <c r="A53" s="32"/>
      <c r="B53" s="286"/>
      <c r="C53" s="287"/>
      <c r="D53" s="287"/>
      <c r="E53" s="287"/>
      <c r="F53" s="287"/>
      <c r="G53" s="287"/>
      <c r="H53" s="287"/>
      <c r="I53" s="287"/>
      <c r="J53" s="288"/>
    </row>
    <row r="54" spans="1:10" ht="18.75" customHeight="1" x14ac:dyDescent="0.2">
      <c r="A54" s="32"/>
      <c r="B54" s="286"/>
      <c r="C54" s="287"/>
      <c r="D54" s="287"/>
      <c r="E54" s="287"/>
      <c r="F54" s="287"/>
      <c r="G54" s="287"/>
      <c r="H54" s="287"/>
      <c r="I54" s="287"/>
      <c r="J54" s="288"/>
    </row>
    <row r="55" spans="1:10" ht="18.75" customHeight="1" x14ac:dyDescent="0.2">
      <c r="A55" s="32"/>
      <c r="B55" s="286"/>
      <c r="C55" s="287"/>
      <c r="D55" s="287"/>
      <c r="E55" s="287"/>
      <c r="F55" s="287"/>
      <c r="G55" s="287"/>
      <c r="H55" s="287"/>
      <c r="I55" s="287"/>
      <c r="J55" s="288"/>
    </row>
    <row r="56" spans="1:10" ht="18.75" customHeight="1" x14ac:dyDescent="0.2">
      <c r="A56" s="32"/>
      <c r="B56" s="286"/>
      <c r="C56" s="287"/>
      <c r="D56" s="287"/>
      <c r="E56" s="287"/>
      <c r="F56" s="287"/>
      <c r="G56" s="287"/>
      <c r="H56" s="287"/>
      <c r="I56" s="287"/>
      <c r="J56" s="288"/>
    </row>
    <row r="57" spans="1:10" ht="18.75" customHeight="1" x14ac:dyDescent="0.2">
      <c r="A57" s="32"/>
      <c r="B57" s="286"/>
      <c r="C57" s="287"/>
      <c r="D57" s="287"/>
      <c r="E57" s="287"/>
      <c r="F57" s="287"/>
      <c r="G57" s="287"/>
      <c r="H57" s="287"/>
      <c r="I57" s="287"/>
      <c r="J57" s="288"/>
    </row>
    <row r="58" spans="1:10" ht="18.75" customHeight="1" x14ac:dyDescent="0.2">
      <c r="A58" s="32"/>
      <c r="B58" s="286"/>
      <c r="C58" s="287"/>
      <c r="D58" s="287"/>
      <c r="E58" s="287"/>
      <c r="F58" s="287"/>
      <c r="G58" s="287"/>
      <c r="H58" s="287"/>
      <c r="I58" s="287"/>
      <c r="J58" s="288"/>
    </row>
    <row r="59" spans="1:10" ht="18.75" customHeight="1" x14ac:dyDescent="0.2">
      <c r="A59" s="32"/>
      <c r="B59" s="286"/>
      <c r="C59" s="287"/>
      <c r="D59" s="287"/>
      <c r="E59" s="287"/>
      <c r="F59" s="287"/>
      <c r="G59" s="287"/>
      <c r="H59" s="287"/>
      <c r="I59" s="287"/>
      <c r="J59" s="288"/>
    </row>
    <row r="60" spans="1:10" ht="18.75" customHeight="1" x14ac:dyDescent="0.2">
      <c r="A60" s="32"/>
      <c r="B60" s="286"/>
      <c r="C60" s="287"/>
      <c r="D60" s="287"/>
      <c r="E60" s="287"/>
      <c r="F60" s="287"/>
      <c r="G60" s="287"/>
      <c r="H60" s="287"/>
      <c r="I60" s="287"/>
      <c r="J60" s="288"/>
    </row>
    <row r="61" spans="1:10" ht="18.75" customHeight="1" x14ac:dyDescent="0.2">
      <c r="A61" s="32"/>
      <c r="B61" s="286"/>
      <c r="C61" s="287"/>
      <c r="D61" s="287"/>
      <c r="E61" s="287"/>
      <c r="F61" s="287"/>
      <c r="G61" s="287"/>
      <c r="H61" s="287"/>
      <c r="I61" s="287"/>
      <c r="J61" s="288"/>
    </row>
    <row r="62" spans="1:10" ht="18.75" customHeight="1" x14ac:dyDescent="0.2">
      <c r="A62" s="32"/>
      <c r="B62" s="286"/>
      <c r="C62" s="287"/>
      <c r="D62" s="287"/>
      <c r="E62" s="287"/>
      <c r="F62" s="287"/>
      <c r="G62" s="287"/>
      <c r="H62" s="287"/>
      <c r="I62" s="287"/>
      <c r="J62" s="288"/>
    </row>
    <row r="63" spans="1:10" ht="18.75" customHeight="1" x14ac:dyDescent="0.2">
      <c r="A63" s="32"/>
      <c r="B63" s="286"/>
      <c r="C63" s="287"/>
      <c r="D63" s="287"/>
      <c r="E63" s="287"/>
      <c r="F63" s="287"/>
      <c r="G63" s="287"/>
      <c r="H63" s="287"/>
      <c r="I63" s="287"/>
      <c r="J63" s="288"/>
    </row>
    <row r="64" spans="1:10" ht="18.75" customHeight="1" x14ac:dyDescent="0.2">
      <c r="A64" s="32"/>
      <c r="B64" s="286"/>
      <c r="C64" s="287"/>
      <c r="D64" s="287"/>
      <c r="E64" s="287"/>
      <c r="F64" s="287"/>
      <c r="G64" s="287"/>
      <c r="H64" s="287"/>
      <c r="I64" s="287"/>
      <c r="J64" s="288"/>
    </row>
    <row r="65" spans="1:11" ht="18.75" customHeight="1" x14ac:dyDescent="0.2">
      <c r="A65" s="32"/>
      <c r="B65" s="289"/>
      <c r="C65" s="290"/>
      <c r="D65" s="290"/>
      <c r="E65" s="290"/>
      <c r="F65" s="290"/>
      <c r="G65" s="290"/>
      <c r="H65" s="290"/>
      <c r="I65" s="290"/>
      <c r="J65" s="291"/>
    </row>
    <row r="66" spans="1:11" ht="7.5" customHeight="1" x14ac:dyDescent="0.2">
      <c r="A66" s="32"/>
      <c r="B66" s="32"/>
      <c r="C66" s="32"/>
      <c r="D66" s="32"/>
      <c r="E66" s="32"/>
      <c r="F66" s="32"/>
      <c r="G66" s="32"/>
      <c r="H66" s="32"/>
      <c r="I66" s="32"/>
      <c r="J66" s="32"/>
    </row>
    <row r="67" spans="1:11" s="4" customFormat="1" ht="18.75" customHeight="1" x14ac:dyDescent="0.2">
      <c r="A67" s="1" t="s">
        <v>17</v>
      </c>
      <c r="B67" s="1" t="s">
        <v>204</v>
      </c>
      <c r="C67" s="1"/>
      <c r="D67" s="1"/>
      <c r="E67" s="1"/>
      <c r="F67" s="1"/>
      <c r="G67" s="1"/>
      <c r="H67" s="1"/>
      <c r="I67" s="1"/>
      <c r="J67" s="1"/>
      <c r="K67" s="26"/>
    </row>
    <row r="68" spans="1:11" s="4" customFormat="1" ht="18.75" customHeight="1" x14ac:dyDescent="0.2">
      <c r="A68" s="1"/>
      <c r="B68" s="281" t="s">
        <v>205</v>
      </c>
      <c r="C68" s="282"/>
      <c r="D68" s="282"/>
      <c r="E68" s="282"/>
      <c r="F68" s="282"/>
      <c r="G68" s="282"/>
      <c r="H68" s="282"/>
      <c r="I68" s="283"/>
      <c r="J68" s="284"/>
      <c r="K68" s="26" t="str">
        <f>IF(B68="","入力してください","")</f>
        <v/>
      </c>
    </row>
    <row r="69" spans="1:11" s="4" customFormat="1" ht="18.75" customHeight="1" x14ac:dyDescent="0.2">
      <c r="A69" s="1"/>
      <c r="B69" s="275"/>
      <c r="C69" s="276"/>
      <c r="D69" s="276"/>
      <c r="E69" s="276"/>
      <c r="F69" s="276"/>
      <c r="G69" s="276"/>
      <c r="H69" s="276"/>
      <c r="I69" s="276"/>
      <c r="J69" s="277"/>
      <c r="K69" s="26"/>
    </row>
    <row r="70" spans="1:11" s="4" customFormat="1" ht="18.75" customHeight="1" x14ac:dyDescent="0.2">
      <c r="A70" s="1"/>
      <c r="B70" s="275"/>
      <c r="C70" s="276"/>
      <c r="D70" s="276"/>
      <c r="E70" s="276"/>
      <c r="F70" s="276"/>
      <c r="G70" s="276"/>
      <c r="H70" s="276"/>
      <c r="I70" s="276"/>
      <c r="J70" s="277"/>
      <c r="K70" s="26"/>
    </row>
    <row r="71" spans="1:11" s="4" customFormat="1" ht="18.75" customHeight="1" x14ac:dyDescent="0.2">
      <c r="A71" s="1"/>
      <c r="B71" s="275"/>
      <c r="C71" s="276"/>
      <c r="D71" s="276"/>
      <c r="E71" s="276"/>
      <c r="F71" s="276"/>
      <c r="G71" s="276"/>
      <c r="H71" s="276"/>
      <c r="I71" s="276"/>
      <c r="J71" s="277"/>
      <c r="K71" s="26"/>
    </row>
    <row r="72" spans="1:11" s="4" customFormat="1" ht="18.75" customHeight="1" x14ac:dyDescent="0.2">
      <c r="A72" s="1"/>
      <c r="B72" s="275"/>
      <c r="C72" s="276"/>
      <c r="D72" s="276"/>
      <c r="E72" s="276"/>
      <c r="F72" s="276"/>
      <c r="G72" s="276"/>
      <c r="H72" s="276"/>
      <c r="I72" s="276"/>
      <c r="J72" s="277"/>
      <c r="K72" s="26"/>
    </row>
    <row r="73" spans="1:11" s="4" customFormat="1" ht="18.75" customHeight="1" x14ac:dyDescent="0.2">
      <c r="A73" s="1"/>
      <c r="B73" s="275"/>
      <c r="C73" s="276"/>
      <c r="D73" s="276"/>
      <c r="E73" s="276"/>
      <c r="F73" s="276"/>
      <c r="G73" s="276"/>
      <c r="H73" s="276"/>
      <c r="I73" s="276"/>
      <c r="J73" s="277"/>
      <c r="K73" s="26"/>
    </row>
    <row r="74" spans="1:11" s="4" customFormat="1" ht="18.75" customHeight="1" x14ac:dyDescent="0.2">
      <c r="A74" s="1"/>
      <c r="B74" s="275"/>
      <c r="C74" s="276"/>
      <c r="D74" s="276"/>
      <c r="E74" s="276"/>
      <c r="F74" s="276"/>
      <c r="G74" s="276"/>
      <c r="H74" s="276"/>
      <c r="I74" s="276"/>
      <c r="J74" s="277"/>
      <c r="K74" s="26"/>
    </row>
    <row r="75" spans="1:11" s="4" customFormat="1" ht="18.75" customHeight="1" x14ac:dyDescent="0.2">
      <c r="A75" s="1"/>
      <c r="B75" s="275"/>
      <c r="C75" s="276"/>
      <c r="D75" s="276"/>
      <c r="E75" s="276"/>
      <c r="F75" s="276"/>
      <c r="G75" s="276"/>
      <c r="H75" s="276"/>
      <c r="I75" s="276"/>
      <c r="J75" s="277"/>
      <c r="K75" s="26"/>
    </row>
    <row r="76" spans="1:11" s="4" customFormat="1" ht="18.75" customHeight="1" x14ac:dyDescent="0.2">
      <c r="A76" s="1"/>
      <c r="B76" s="275"/>
      <c r="C76" s="276"/>
      <c r="D76" s="276"/>
      <c r="E76" s="276"/>
      <c r="F76" s="276"/>
      <c r="G76" s="276"/>
      <c r="H76" s="276"/>
      <c r="I76" s="276"/>
      <c r="J76" s="277"/>
      <c r="K76" s="26"/>
    </row>
    <row r="77" spans="1:11" s="4" customFormat="1" ht="18.75" customHeight="1" x14ac:dyDescent="0.2">
      <c r="A77" s="1"/>
      <c r="B77" s="275"/>
      <c r="C77" s="276"/>
      <c r="D77" s="276"/>
      <c r="E77" s="276"/>
      <c r="F77" s="276"/>
      <c r="G77" s="276"/>
      <c r="H77" s="276"/>
      <c r="I77" s="276"/>
      <c r="J77" s="277"/>
      <c r="K77" s="26"/>
    </row>
    <row r="78" spans="1:11" s="4" customFormat="1" ht="18.75" customHeight="1" x14ac:dyDescent="0.2">
      <c r="A78" s="1"/>
      <c r="B78" s="275"/>
      <c r="C78" s="276"/>
      <c r="D78" s="276"/>
      <c r="E78" s="276"/>
      <c r="F78" s="276"/>
      <c r="G78" s="276"/>
      <c r="H78" s="276"/>
      <c r="I78" s="276"/>
      <c r="J78" s="277"/>
      <c r="K78" s="26"/>
    </row>
    <row r="79" spans="1:11" s="4" customFormat="1" ht="18.75" customHeight="1" x14ac:dyDescent="0.2">
      <c r="A79" s="1"/>
      <c r="B79" s="275"/>
      <c r="C79" s="276"/>
      <c r="D79" s="276"/>
      <c r="E79" s="276"/>
      <c r="F79" s="276"/>
      <c r="G79" s="276"/>
      <c r="H79" s="276"/>
      <c r="I79" s="276"/>
      <c r="J79" s="277"/>
      <c r="K79" s="26"/>
    </row>
    <row r="80" spans="1:11" s="4" customFormat="1" ht="18.75" customHeight="1" x14ac:dyDescent="0.2">
      <c r="A80" s="1"/>
      <c r="B80" s="275"/>
      <c r="C80" s="276"/>
      <c r="D80" s="276"/>
      <c r="E80" s="276"/>
      <c r="F80" s="276"/>
      <c r="G80" s="276"/>
      <c r="H80" s="276"/>
      <c r="I80" s="276"/>
      <c r="J80" s="277"/>
      <c r="K80" s="26"/>
    </row>
    <row r="81" spans="1:11" s="4" customFormat="1" ht="18.75" customHeight="1" x14ac:dyDescent="0.2">
      <c r="A81" s="1"/>
      <c r="B81" s="275"/>
      <c r="C81" s="276"/>
      <c r="D81" s="276"/>
      <c r="E81" s="276"/>
      <c r="F81" s="276"/>
      <c r="G81" s="276"/>
      <c r="H81" s="276"/>
      <c r="I81" s="276"/>
      <c r="J81" s="277"/>
      <c r="K81" s="26"/>
    </row>
    <row r="82" spans="1:11" s="4" customFormat="1" ht="18.75" customHeight="1" x14ac:dyDescent="0.2">
      <c r="A82" s="1"/>
      <c r="B82" s="275"/>
      <c r="C82" s="276"/>
      <c r="D82" s="276"/>
      <c r="E82" s="276"/>
      <c r="F82" s="276"/>
      <c r="G82" s="276"/>
      <c r="H82" s="276"/>
      <c r="I82" s="276"/>
      <c r="J82" s="277"/>
      <c r="K82" s="26"/>
    </row>
    <row r="83" spans="1:11" ht="18.75" customHeight="1" x14ac:dyDescent="0.2">
      <c r="A83" s="32"/>
      <c r="B83" s="275"/>
      <c r="C83" s="276"/>
      <c r="D83" s="276"/>
      <c r="E83" s="276"/>
      <c r="F83" s="276"/>
      <c r="G83" s="276"/>
      <c r="H83" s="276"/>
      <c r="I83" s="276"/>
      <c r="J83" s="277"/>
    </row>
    <row r="84" spans="1:11" ht="18.75" customHeight="1" x14ac:dyDescent="0.2">
      <c r="A84" s="32"/>
      <c r="B84" s="278"/>
      <c r="C84" s="279"/>
      <c r="D84" s="279"/>
      <c r="E84" s="279"/>
      <c r="F84" s="279"/>
      <c r="G84" s="279"/>
      <c r="H84" s="279"/>
      <c r="I84" s="279"/>
      <c r="J84" s="280"/>
    </row>
    <row r="85" spans="1:11" ht="7.5" customHeight="1" x14ac:dyDescent="0.2">
      <c r="A85" s="32"/>
      <c r="B85" s="32"/>
      <c r="C85" s="32"/>
      <c r="D85" s="32"/>
      <c r="E85" s="32"/>
      <c r="F85" s="32"/>
      <c r="G85" s="32"/>
      <c r="H85" s="32"/>
      <c r="I85" s="32"/>
      <c r="J85" s="32"/>
    </row>
    <row r="86" spans="1:11" s="4" customFormat="1" ht="18.75" customHeight="1" x14ac:dyDescent="0.2">
      <c r="A86" s="1" t="s">
        <v>206</v>
      </c>
      <c r="B86" s="1" t="s">
        <v>207</v>
      </c>
      <c r="C86" s="1"/>
      <c r="D86" s="1"/>
      <c r="E86" s="1"/>
      <c r="F86" s="1"/>
      <c r="G86" s="1"/>
      <c r="H86" s="1"/>
      <c r="I86" s="1"/>
      <c r="J86" s="1"/>
      <c r="K86" s="26"/>
    </row>
    <row r="87" spans="1:11" s="4" customFormat="1" ht="18.75" customHeight="1" x14ac:dyDescent="0.2">
      <c r="A87" s="1"/>
      <c r="B87" s="281" t="s">
        <v>208</v>
      </c>
      <c r="C87" s="282"/>
      <c r="D87" s="282"/>
      <c r="E87" s="282"/>
      <c r="F87" s="282"/>
      <c r="G87" s="282"/>
      <c r="H87" s="282"/>
      <c r="I87" s="283"/>
      <c r="J87" s="284"/>
      <c r="K87" s="26"/>
    </row>
    <row r="88" spans="1:11" s="4" customFormat="1" ht="18.75" customHeight="1" x14ac:dyDescent="0.2">
      <c r="A88" s="1"/>
      <c r="B88" s="275"/>
      <c r="C88" s="276"/>
      <c r="D88" s="276"/>
      <c r="E88" s="276"/>
      <c r="F88" s="276"/>
      <c r="G88" s="276"/>
      <c r="H88" s="276"/>
      <c r="I88" s="276"/>
      <c r="J88" s="277"/>
      <c r="K88" s="26"/>
    </row>
    <row r="89" spans="1:11" s="4" customFormat="1" ht="18.75" customHeight="1" x14ac:dyDescent="0.2">
      <c r="A89" s="1"/>
      <c r="B89" s="275"/>
      <c r="C89" s="276"/>
      <c r="D89" s="276"/>
      <c r="E89" s="276"/>
      <c r="F89" s="276"/>
      <c r="G89" s="276"/>
      <c r="H89" s="276"/>
      <c r="I89" s="276"/>
      <c r="J89" s="277"/>
      <c r="K89" s="26" t="str">
        <f>IF(B87="","入力してください","")</f>
        <v/>
      </c>
    </row>
    <row r="90" spans="1:11" s="4" customFormat="1" ht="18.75" customHeight="1" x14ac:dyDescent="0.2">
      <c r="A90" s="1"/>
      <c r="B90" s="275"/>
      <c r="C90" s="276"/>
      <c r="D90" s="276"/>
      <c r="E90" s="276"/>
      <c r="F90" s="276"/>
      <c r="G90" s="276"/>
      <c r="H90" s="276"/>
      <c r="I90" s="276"/>
      <c r="J90" s="277"/>
      <c r="K90" s="26"/>
    </row>
    <row r="91" spans="1:11" s="4" customFormat="1" ht="18.75" customHeight="1" x14ac:dyDescent="0.2">
      <c r="A91" s="1"/>
      <c r="B91" s="275"/>
      <c r="C91" s="276"/>
      <c r="D91" s="276"/>
      <c r="E91" s="276"/>
      <c r="F91" s="276"/>
      <c r="G91" s="276"/>
      <c r="H91" s="276"/>
      <c r="I91" s="276"/>
      <c r="J91" s="277"/>
      <c r="K91" s="26"/>
    </row>
    <row r="92" spans="1:11" s="4" customFormat="1" ht="18.75" customHeight="1" x14ac:dyDescent="0.2">
      <c r="A92" s="1"/>
      <c r="B92" s="275"/>
      <c r="C92" s="276"/>
      <c r="D92" s="276"/>
      <c r="E92" s="276"/>
      <c r="F92" s="276"/>
      <c r="G92" s="276"/>
      <c r="H92" s="276"/>
      <c r="I92" s="276"/>
      <c r="J92" s="277"/>
      <c r="K92" s="26"/>
    </row>
    <row r="93" spans="1:11" s="4" customFormat="1" ht="18.75" customHeight="1" x14ac:dyDescent="0.2">
      <c r="A93" s="1"/>
      <c r="B93" s="275"/>
      <c r="C93" s="276"/>
      <c r="D93" s="276"/>
      <c r="E93" s="276"/>
      <c r="F93" s="276"/>
      <c r="G93" s="276"/>
      <c r="H93" s="276"/>
      <c r="I93" s="276"/>
      <c r="J93" s="277"/>
      <c r="K93" s="26"/>
    </row>
    <row r="94" spans="1:11" s="4" customFormat="1" ht="18.75" customHeight="1" x14ac:dyDescent="0.2">
      <c r="A94" s="1"/>
      <c r="B94" s="275"/>
      <c r="C94" s="276"/>
      <c r="D94" s="276"/>
      <c r="E94" s="276"/>
      <c r="F94" s="276"/>
      <c r="G94" s="276"/>
      <c r="H94" s="276"/>
      <c r="I94" s="276"/>
      <c r="J94" s="277"/>
      <c r="K94" s="26"/>
    </row>
    <row r="95" spans="1:11" s="4" customFormat="1" ht="18.75" customHeight="1" x14ac:dyDescent="0.2">
      <c r="A95" s="1"/>
      <c r="B95" s="275"/>
      <c r="C95" s="276"/>
      <c r="D95" s="276"/>
      <c r="E95" s="276"/>
      <c r="F95" s="276"/>
      <c r="G95" s="276"/>
      <c r="H95" s="276"/>
      <c r="I95" s="276"/>
      <c r="J95" s="277"/>
      <c r="K95" s="26"/>
    </row>
    <row r="96" spans="1:11" s="4" customFormat="1" ht="18.75" customHeight="1" x14ac:dyDescent="0.2">
      <c r="A96" s="1"/>
      <c r="B96" s="275"/>
      <c r="C96" s="276"/>
      <c r="D96" s="276"/>
      <c r="E96" s="276"/>
      <c r="F96" s="276"/>
      <c r="G96" s="276"/>
      <c r="H96" s="276"/>
      <c r="I96" s="276"/>
      <c r="J96" s="277"/>
      <c r="K96" s="26"/>
    </row>
    <row r="97" spans="1:11" s="4" customFormat="1" ht="18.75" customHeight="1" x14ac:dyDescent="0.2">
      <c r="A97" s="1"/>
      <c r="B97" s="275"/>
      <c r="C97" s="276"/>
      <c r="D97" s="276"/>
      <c r="E97" s="276"/>
      <c r="F97" s="276"/>
      <c r="G97" s="276"/>
      <c r="H97" s="276"/>
      <c r="I97" s="276"/>
      <c r="J97" s="277"/>
      <c r="K97" s="26"/>
    </row>
    <row r="98" spans="1:11" s="4" customFormat="1" ht="18.75" customHeight="1" x14ac:dyDescent="0.2">
      <c r="A98" s="1"/>
      <c r="B98" s="275"/>
      <c r="C98" s="276"/>
      <c r="D98" s="276"/>
      <c r="E98" s="276"/>
      <c r="F98" s="276"/>
      <c r="G98" s="276"/>
      <c r="H98" s="276"/>
      <c r="I98" s="276"/>
      <c r="J98" s="277"/>
      <c r="K98" s="26"/>
    </row>
    <row r="99" spans="1:11" s="4" customFormat="1" ht="18.75" customHeight="1" x14ac:dyDescent="0.2">
      <c r="A99" s="1"/>
      <c r="B99" s="275"/>
      <c r="C99" s="276"/>
      <c r="D99" s="276"/>
      <c r="E99" s="276"/>
      <c r="F99" s="276"/>
      <c r="G99" s="276"/>
      <c r="H99" s="276"/>
      <c r="I99" s="276"/>
      <c r="J99" s="277"/>
      <c r="K99" s="26"/>
    </row>
    <row r="100" spans="1:11" s="4" customFormat="1" ht="18.75" customHeight="1" x14ac:dyDescent="0.2">
      <c r="A100" s="1"/>
      <c r="B100" s="275"/>
      <c r="C100" s="276"/>
      <c r="D100" s="276"/>
      <c r="E100" s="276"/>
      <c r="F100" s="276"/>
      <c r="G100" s="276"/>
      <c r="H100" s="276"/>
      <c r="I100" s="276"/>
      <c r="J100" s="277"/>
      <c r="K100" s="26"/>
    </row>
    <row r="101" spans="1:11" s="4" customFormat="1" ht="18.75" customHeight="1" x14ac:dyDescent="0.2">
      <c r="A101" s="1"/>
      <c r="B101" s="275"/>
      <c r="C101" s="276"/>
      <c r="D101" s="276"/>
      <c r="E101" s="276"/>
      <c r="F101" s="276"/>
      <c r="G101" s="276"/>
      <c r="H101" s="276"/>
      <c r="I101" s="276"/>
      <c r="J101" s="277"/>
      <c r="K101" s="26"/>
    </row>
    <row r="102" spans="1:11" s="4" customFormat="1" ht="18.75" customHeight="1" x14ac:dyDescent="0.2">
      <c r="A102" s="1"/>
      <c r="B102" s="275"/>
      <c r="C102" s="276"/>
      <c r="D102" s="276"/>
      <c r="E102" s="276"/>
      <c r="F102" s="276"/>
      <c r="G102" s="276"/>
      <c r="H102" s="276"/>
      <c r="I102" s="276"/>
      <c r="J102" s="277"/>
      <c r="K102" s="26"/>
    </row>
    <row r="103" spans="1:11" s="4" customFormat="1" ht="18.75" customHeight="1" x14ac:dyDescent="0.2">
      <c r="A103" s="1"/>
      <c r="B103" s="275"/>
      <c r="C103" s="276"/>
      <c r="D103" s="276"/>
      <c r="E103" s="276"/>
      <c r="F103" s="276"/>
      <c r="G103" s="276"/>
      <c r="H103" s="276"/>
      <c r="I103" s="276"/>
      <c r="J103" s="277"/>
      <c r="K103" s="26"/>
    </row>
    <row r="104" spans="1:11" s="4" customFormat="1" ht="18.75" customHeight="1" x14ac:dyDescent="0.2">
      <c r="A104" s="1"/>
      <c r="B104" s="275"/>
      <c r="C104" s="276"/>
      <c r="D104" s="276"/>
      <c r="E104" s="276"/>
      <c r="F104" s="276"/>
      <c r="G104" s="276"/>
      <c r="H104" s="276"/>
      <c r="I104" s="276"/>
      <c r="J104" s="277"/>
      <c r="K104" s="26"/>
    </row>
    <row r="105" spans="1:11" ht="18.75" customHeight="1" x14ac:dyDescent="0.2">
      <c r="A105" s="32"/>
      <c r="B105" s="275"/>
      <c r="C105" s="276"/>
      <c r="D105" s="276"/>
      <c r="E105" s="276"/>
      <c r="F105" s="276"/>
      <c r="G105" s="276"/>
      <c r="H105" s="276"/>
      <c r="I105" s="276"/>
      <c r="J105" s="277"/>
    </row>
    <row r="106" spans="1:11" ht="18.75" customHeight="1" x14ac:dyDescent="0.2">
      <c r="A106" s="32"/>
      <c r="B106" s="278"/>
      <c r="C106" s="279"/>
      <c r="D106" s="279"/>
      <c r="E106" s="279"/>
      <c r="F106" s="279"/>
      <c r="G106" s="279"/>
      <c r="H106" s="279"/>
      <c r="I106" s="279"/>
      <c r="J106" s="280"/>
    </row>
    <row r="107" spans="1:11" ht="7.5" customHeight="1" x14ac:dyDescent="0.2">
      <c r="A107" s="32"/>
      <c r="B107" s="32"/>
      <c r="C107" s="32"/>
      <c r="D107" s="32"/>
      <c r="E107" s="32"/>
      <c r="F107" s="32"/>
      <c r="G107" s="32"/>
      <c r="H107" s="32"/>
      <c r="I107" s="32"/>
      <c r="J107" s="32"/>
    </row>
    <row r="108" spans="1:11" s="4" customFormat="1" ht="18.75" customHeight="1" x14ac:dyDescent="0.2">
      <c r="A108" s="1" t="s">
        <v>23</v>
      </c>
      <c r="B108" s="292" t="s">
        <v>209</v>
      </c>
      <c r="C108" s="292"/>
      <c r="D108" s="292"/>
      <c r="E108" s="292"/>
      <c r="F108" s="292"/>
      <c r="G108" s="292"/>
      <c r="H108" s="292"/>
      <c r="I108" s="292"/>
      <c r="J108" s="292"/>
      <c r="K108" s="26"/>
    </row>
    <row r="109" spans="1:11" ht="18.75" customHeight="1" x14ac:dyDescent="0.2">
      <c r="A109" s="32"/>
      <c r="B109" s="281" t="s">
        <v>239</v>
      </c>
      <c r="C109" s="282"/>
      <c r="D109" s="282"/>
      <c r="E109" s="282"/>
      <c r="F109" s="282"/>
      <c r="G109" s="282"/>
      <c r="H109" s="282"/>
      <c r="I109" s="283"/>
      <c r="J109" s="284"/>
    </row>
    <row r="110" spans="1:11" ht="18.75" customHeight="1" x14ac:dyDescent="0.2">
      <c r="A110" s="32"/>
      <c r="B110" s="275"/>
      <c r="C110" s="276"/>
      <c r="D110" s="276"/>
      <c r="E110" s="276"/>
      <c r="F110" s="276"/>
      <c r="G110" s="276"/>
      <c r="H110" s="276"/>
      <c r="I110" s="276"/>
      <c r="J110" s="277"/>
    </row>
    <row r="111" spans="1:11" ht="18.75" customHeight="1" x14ac:dyDescent="0.2">
      <c r="A111" s="32"/>
      <c r="B111" s="275"/>
      <c r="C111" s="276"/>
      <c r="D111" s="276"/>
      <c r="E111" s="276"/>
      <c r="F111" s="276"/>
      <c r="G111" s="276"/>
      <c r="H111" s="276"/>
      <c r="I111" s="276"/>
      <c r="J111" s="277"/>
      <c r="K111" s="26" t="str">
        <f>IF(B109="","入力してください","")</f>
        <v/>
      </c>
    </row>
    <row r="112" spans="1:11" ht="18.75" customHeight="1" x14ac:dyDescent="0.2">
      <c r="A112" s="32"/>
      <c r="B112" s="275"/>
      <c r="C112" s="276"/>
      <c r="D112" s="276"/>
      <c r="E112" s="276"/>
      <c r="F112" s="276"/>
      <c r="G112" s="276"/>
      <c r="H112" s="276"/>
      <c r="I112" s="276"/>
      <c r="J112" s="277"/>
    </row>
    <row r="113" spans="1:10" ht="18.75" customHeight="1" x14ac:dyDescent="0.2">
      <c r="A113" s="32"/>
      <c r="B113" s="275"/>
      <c r="C113" s="276"/>
      <c r="D113" s="276"/>
      <c r="E113" s="276"/>
      <c r="F113" s="276"/>
      <c r="G113" s="276"/>
      <c r="H113" s="276"/>
      <c r="I113" s="276"/>
      <c r="J113" s="277"/>
    </row>
    <row r="114" spans="1:10" ht="18.75" customHeight="1" x14ac:dyDescent="0.2">
      <c r="A114" s="32"/>
      <c r="B114" s="275"/>
      <c r="C114" s="276"/>
      <c r="D114" s="276"/>
      <c r="E114" s="276"/>
      <c r="F114" s="276"/>
      <c r="G114" s="276"/>
      <c r="H114" s="276"/>
      <c r="I114" s="276"/>
      <c r="J114" s="277"/>
    </row>
    <row r="115" spans="1:10" ht="18.75" customHeight="1" x14ac:dyDescent="0.2">
      <c r="A115" s="32"/>
      <c r="B115" s="275"/>
      <c r="C115" s="276"/>
      <c r="D115" s="276"/>
      <c r="E115" s="276"/>
      <c r="F115" s="276"/>
      <c r="G115" s="276"/>
      <c r="H115" s="276"/>
      <c r="I115" s="276"/>
      <c r="J115" s="277"/>
    </row>
    <row r="116" spans="1:10" ht="18.75" customHeight="1" x14ac:dyDescent="0.2">
      <c r="A116" s="32"/>
      <c r="B116" s="275"/>
      <c r="C116" s="276"/>
      <c r="D116" s="276"/>
      <c r="E116" s="276"/>
      <c r="F116" s="276"/>
      <c r="G116" s="276"/>
      <c r="H116" s="276"/>
      <c r="I116" s="276"/>
      <c r="J116" s="277"/>
    </row>
    <row r="117" spans="1:10" ht="18.75" customHeight="1" x14ac:dyDescent="0.2">
      <c r="A117" s="32"/>
      <c r="B117" s="275"/>
      <c r="C117" s="276"/>
      <c r="D117" s="276"/>
      <c r="E117" s="276"/>
      <c r="F117" s="276"/>
      <c r="G117" s="276"/>
      <c r="H117" s="276"/>
      <c r="I117" s="276"/>
      <c r="J117" s="277"/>
    </row>
    <row r="118" spans="1:10" ht="18.75" customHeight="1" x14ac:dyDescent="0.2">
      <c r="A118" s="32"/>
      <c r="B118" s="275"/>
      <c r="C118" s="276"/>
      <c r="D118" s="276"/>
      <c r="E118" s="276"/>
      <c r="F118" s="276"/>
      <c r="G118" s="276"/>
      <c r="H118" s="276"/>
      <c r="I118" s="276"/>
      <c r="J118" s="277"/>
    </row>
    <row r="119" spans="1:10" ht="18.75" customHeight="1" x14ac:dyDescent="0.2">
      <c r="A119" s="32"/>
      <c r="B119" s="275"/>
      <c r="C119" s="276"/>
      <c r="D119" s="276"/>
      <c r="E119" s="276"/>
      <c r="F119" s="276"/>
      <c r="G119" s="276"/>
      <c r="H119" s="276"/>
      <c r="I119" s="276"/>
      <c r="J119" s="277"/>
    </row>
    <row r="120" spans="1:10" ht="18.75" customHeight="1" x14ac:dyDescent="0.2">
      <c r="A120" s="32"/>
      <c r="B120" s="275"/>
      <c r="C120" s="276"/>
      <c r="D120" s="276"/>
      <c r="E120" s="276"/>
      <c r="F120" s="276"/>
      <c r="G120" s="276"/>
      <c r="H120" s="276"/>
      <c r="I120" s="276"/>
      <c r="J120" s="277"/>
    </row>
    <row r="121" spans="1:10" ht="18.75" customHeight="1" x14ac:dyDescent="0.2">
      <c r="A121" s="32"/>
      <c r="B121" s="275"/>
      <c r="C121" s="276"/>
      <c r="D121" s="276"/>
      <c r="E121" s="276"/>
      <c r="F121" s="276"/>
      <c r="G121" s="276"/>
      <c r="H121" s="276"/>
      <c r="I121" s="276"/>
      <c r="J121" s="277"/>
    </row>
    <row r="122" spans="1:10" ht="18.75" customHeight="1" x14ac:dyDescent="0.2">
      <c r="A122" s="32"/>
      <c r="B122" s="275"/>
      <c r="C122" s="276"/>
      <c r="D122" s="276"/>
      <c r="E122" s="276"/>
      <c r="F122" s="276"/>
      <c r="G122" s="276"/>
      <c r="H122" s="276"/>
      <c r="I122" s="276"/>
      <c r="J122" s="277"/>
    </row>
    <row r="123" spans="1:10" ht="18.75" customHeight="1" x14ac:dyDescent="0.2">
      <c r="A123" s="32"/>
      <c r="B123" s="275"/>
      <c r="C123" s="276"/>
      <c r="D123" s="276"/>
      <c r="E123" s="276"/>
      <c r="F123" s="276"/>
      <c r="G123" s="276"/>
      <c r="H123" s="276"/>
      <c r="I123" s="276"/>
      <c r="J123" s="277"/>
    </row>
    <row r="124" spans="1:10" ht="18.75" customHeight="1" x14ac:dyDescent="0.2">
      <c r="A124" s="32"/>
      <c r="B124" s="275"/>
      <c r="C124" s="276"/>
      <c r="D124" s="276"/>
      <c r="E124" s="276"/>
      <c r="F124" s="276"/>
      <c r="G124" s="276"/>
      <c r="H124" s="276"/>
      <c r="I124" s="276"/>
      <c r="J124" s="277"/>
    </row>
    <row r="125" spans="1:10" ht="18.75" customHeight="1" x14ac:dyDescent="0.2">
      <c r="A125" s="32"/>
      <c r="B125" s="275"/>
      <c r="C125" s="276"/>
      <c r="D125" s="276"/>
      <c r="E125" s="276"/>
      <c r="F125" s="276"/>
      <c r="G125" s="276"/>
      <c r="H125" s="276"/>
      <c r="I125" s="276"/>
      <c r="J125" s="277"/>
    </row>
    <row r="126" spans="1:10" ht="18.75" customHeight="1" x14ac:dyDescent="0.2">
      <c r="A126" s="32"/>
      <c r="B126" s="278"/>
      <c r="C126" s="279"/>
      <c r="D126" s="279"/>
      <c r="E126" s="279"/>
      <c r="F126" s="279"/>
      <c r="G126" s="279"/>
      <c r="H126" s="279"/>
      <c r="I126" s="279"/>
      <c r="J126" s="280"/>
    </row>
    <row r="127" spans="1:10" ht="7.5" customHeight="1" x14ac:dyDescent="0.2">
      <c r="A127" s="32"/>
      <c r="B127" s="94"/>
      <c r="C127" s="94"/>
      <c r="D127" s="94"/>
      <c r="E127" s="94"/>
      <c r="F127" s="94"/>
      <c r="G127" s="94"/>
      <c r="H127" s="94"/>
      <c r="I127" s="94"/>
      <c r="J127" s="94"/>
    </row>
    <row r="128" spans="1:10" ht="18.75" customHeight="1" x14ac:dyDescent="0.2">
      <c r="A128" s="32"/>
      <c r="B128" s="32"/>
      <c r="C128" s="32"/>
      <c r="D128" s="32"/>
      <c r="E128" s="32"/>
      <c r="F128" s="32"/>
      <c r="G128" s="32"/>
      <c r="H128" s="32"/>
      <c r="I128" s="32"/>
      <c r="J128" s="32"/>
    </row>
    <row r="129" spans="1:10" ht="18.75" customHeight="1" x14ac:dyDescent="0.2">
      <c r="A129" s="32"/>
      <c r="B129" s="32"/>
      <c r="C129" s="32"/>
      <c r="D129" s="32"/>
      <c r="E129" s="32"/>
      <c r="F129" s="32"/>
      <c r="G129" s="32"/>
      <c r="H129" s="32"/>
      <c r="I129" s="32"/>
      <c r="J129" s="32"/>
    </row>
    <row r="130" spans="1:10" ht="18.75" customHeight="1" x14ac:dyDescent="0.2">
      <c r="A130" s="32"/>
      <c r="B130" s="32"/>
      <c r="C130" s="32"/>
      <c r="D130" s="32"/>
      <c r="E130" s="32"/>
      <c r="F130" s="32"/>
      <c r="G130" s="32"/>
      <c r="H130" s="32"/>
      <c r="I130" s="32"/>
      <c r="J130" s="32"/>
    </row>
    <row r="131" spans="1:10" ht="18.75" customHeight="1" x14ac:dyDescent="0.2">
      <c r="A131" s="32"/>
      <c r="B131" s="32"/>
      <c r="C131" s="32"/>
      <c r="D131" s="32"/>
      <c r="E131" s="32"/>
      <c r="F131" s="32"/>
      <c r="G131" s="32"/>
      <c r="H131" s="32"/>
      <c r="I131" s="32"/>
      <c r="J131" s="32"/>
    </row>
    <row r="132" spans="1:10" ht="18.75" customHeight="1" x14ac:dyDescent="0.2">
      <c r="A132" s="32"/>
      <c r="B132" s="32"/>
      <c r="C132" s="32"/>
      <c r="D132" s="32"/>
      <c r="E132" s="32"/>
      <c r="F132" s="32"/>
      <c r="G132" s="32"/>
      <c r="H132" s="32"/>
      <c r="I132" s="32"/>
      <c r="J132" s="32"/>
    </row>
    <row r="133" spans="1:10" ht="18.75" customHeight="1" x14ac:dyDescent="0.2">
      <c r="A133" s="32"/>
      <c r="B133" s="32"/>
      <c r="C133" s="32"/>
      <c r="D133" s="32"/>
      <c r="E133" s="32"/>
      <c r="F133" s="32"/>
      <c r="G133" s="32"/>
      <c r="H133" s="32"/>
      <c r="I133" s="32"/>
      <c r="J133" s="32"/>
    </row>
    <row r="134" spans="1:10" ht="18.75" customHeight="1" x14ac:dyDescent="0.2">
      <c r="A134" s="32"/>
      <c r="B134" s="32"/>
      <c r="C134" s="32"/>
      <c r="D134" s="32"/>
      <c r="E134" s="32"/>
      <c r="F134" s="32"/>
      <c r="G134" s="32"/>
      <c r="H134" s="32"/>
      <c r="I134" s="32"/>
      <c r="J134" s="32"/>
    </row>
    <row r="135" spans="1:10" ht="18.75" customHeight="1" x14ac:dyDescent="0.2">
      <c r="A135" s="32"/>
      <c r="B135" s="32"/>
      <c r="C135" s="32"/>
      <c r="D135" s="32"/>
      <c r="E135" s="32"/>
      <c r="F135" s="32"/>
      <c r="G135" s="32"/>
      <c r="H135" s="32"/>
      <c r="I135" s="32"/>
      <c r="J135" s="32"/>
    </row>
    <row r="136" spans="1:10" ht="18.75" customHeight="1" x14ac:dyDescent="0.2">
      <c r="A136" s="32"/>
      <c r="B136" s="32"/>
      <c r="C136" s="32"/>
      <c r="D136" s="32"/>
      <c r="E136" s="32"/>
      <c r="F136" s="32"/>
      <c r="G136" s="32"/>
      <c r="H136" s="32"/>
      <c r="I136" s="32"/>
      <c r="J136" s="32"/>
    </row>
    <row r="137" spans="1:10" ht="18.75" customHeight="1" x14ac:dyDescent="0.2">
      <c r="A137" s="32"/>
      <c r="B137" s="32"/>
      <c r="C137" s="32"/>
      <c r="D137" s="32"/>
      <c r="E137" s="32"/>
      <c r="F137" s="32"/>
      <c r="G137" s="32"/>
      <c r="H137" s="32"/>
      <c r="I137" s="32"/>
      <c r="J137" s="32"/>
    </row>
    <row r="138" spans="1:10" ht="18.75" customHeight="1" x14ac:dyDescent="0.2">
      <c r="A138" s="32"/>
      <c r="B138" s="32"/>
      <c r="C138" s="32"/>
      <c r="D138" s="32"/>
      <c r="E138" s="32"/>
      <c r="F138" s="32"/>
      <c r="G138" s="32"/>
      <c r="H138" s="32"/>
      <c r="I138" s="32"/>
      <c r="J138" s="32"/>
    </row>
    <row r="139" spans="1:10" ht="18.75" customHeight="1" x14ac:dyDescent="0.2">
      <c r="A139" s="32"/>
      <c r="B139" s="32"/>
      <c r="C139" s="32"/>
      <c r="D139" s="32"/>
      <c r="E139" s="32"/>
      <c r="F139" s="32"/>
      <c r="G139" s="32"/>
      <c r="H139" s="32"/>
      <c r="I139" s="32"/>
      <c r="J139" s="32"/>
    </row>
    <row r="140" spans="1:10" ht="14.4" x14ac:dyDescent="0.2">
      <c r="A140" s="32"/>
      <c r="B140" s="32"/>
      <c r="C140" s="32"/>
      <c r="D140" s="32"/>
      <c r="E140" s="32"/>
      <c r="F140" s="32"/>
      <c r="G140" s="32"/>
      <c r="H140" s="32"/>
      <c r="I140" s="32"/>
      <c r="J140" s="32"/>
    </row>
    <row r="141" spans="1:10" ht="7.5" customHeight="1" x14ac:dyDescent="0.2">
      <c r="A141" s="95"/>
      <c r="B141" s="95"/>
      <c r="C141" s="95"/>
      <c r="D141" s="95"/>
      <c r="E141" s="95"/>
      <c r="F141" s="95"/>
      <c r="G141" s="95"/>
      <c r="H141" s="95"/>
      <c r="I141" s="95"/>
      <c r="J141" s="95"/>
    </row>
  </sheetData>
  <mergeCells count="11">
    <mergeCell ref="B45:J65"/>
    <mergeCell ref="B68:J84"/>
    <mergeCell ref="B87:J106"/>
    <mergeCell ref="B108:J108"/>
    <mergeCell ref="B109:J126"/>
    <mergeCell ref="B31:J43"/>
    <mergeCell ref="A2:J2"/>
    <mergeCell ref="B5:J5"/>
    <mergeCell ref="B8:J12"/>
    <mergeCell ref="B15:J25"/>
    <mergeCell ref="B30:J30"/>
  </mergeCells>
  <phoneticPr fontId="1"/>
  <printOptions horizontalCentered="1"/>
  <pageMargins left="0.78740157480314998" right="0.78740157480314998" top="0.78740157480314998" bottom="0.39370078740157499" header="0.31496062992126" footer="0.31496062992126"/>
  <pageSetup paperSize="9" scale="92" orientation="portrait" r:id="rId1"/>
  <rowBreaks count="2" manualBreakCount="2">
    <brk id="43" max="9" man="1"/>
    <brk id="85"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tabSelected="1" view="pageBreakPreview" topLeftCell="A16" zoomScaleNormal="100" zoomScaleSheetLayoutView="100" workbookViewId="0">
      <selection activeCell="G20" sqref="G20"/>
    </sheetView>
  </sheetViews>
  <sheetFormatPr defaultColWidth="11.33203125" defaultRowHeight="22.5" customHeight="1" x14ac:dyDescent="0.2"/>
  <cols>
    <col min="1" max="3" width="2.6640625" style="1" customWidth="1"/>
    <col min="4" max="4" width="22.109375" style="1" customWidth="1"/>
    <col min="5" max="5" width="21.6640625" style="1" customWidth="1"/>
    <col min="6" max="7" width="7.6640625" style="1" customWidth="1"/>
    <col min="8" max="8" width="33.33203125" style="1" customWidth="1"/>
    <col min="9" max="9" width="24.44140625" style="1" customWidth="1"/>
    <col min="10" max="10" width="5.44140625" style="1" customWidth="1"/>
    <col min="11" max="11" width="4.109375" style="26" customWidth="1"/>
    <col min="12" max="16384" width="11.33203125" style="1"/>
  </cols>
  <sheetData>
    <row r="1" spans="1:11" ht="18.75" customHeight="1" x14ac:dyDescent="0.2">
      <c r="A1" s="1" t="s">
        <v>210</v>
      </c>
      <c r="J1" s="34" t="s">
        <v>211</v>
      </c>
    </row>
    <row r="2" spans="1:11" ht="18.75" customHeight="1" x14ac:dyDescent="0.2">
      <c r="A2" s="256" t="s">
        <v>212</v>
      </c>
      <c r="B2" s="256"/>
      <c r="C2" s="256"/>
      <c r="D2" s="256"/>
      <c r="E2" s="256"/>
      <c r="F2" s="256"/>
      <c r="G2" s="256"/>
      <c r="H2" s="256"/>
      <c r="I2" s="256"/>
      <c r="J2" s="256"/>
    </row>
    <row r="3" spans="1:11" ht="7.5" customHeight="1" x14ac:dyDescent="0.2">
      <c r="A3" s="35"/>
      <c r="B3" s="35"/>
      <c r="C3" s="35"/>
      <c r="D3" s="35"/>
      <c r="E3" s="35"/>
      <c r="F3" s="35"/>
      <c r="G3" s="35"/>
      <c r="H3" s="35"/>
      <c r="I3" s="35"/>
      <c r="J3" s="35"/>
    </row>
    <row r="4" spans="1:11" ht="18.75" customHeight="1" x14ac:dyDescent="0.2">
      <c r="A4" s="1" t="s">
        <v>2</v>
      </c>
      <c r="B4" s="4" t="s">
        <v>213</v>
      </c>
      <c r="C4" s="32"/>
      <c r="D4" s="32"/>
      <c r="E4" s="33"/>
      <c r="F4" s="33"/>
      <c r="G4" s="33"/>
      <c r="H4" s="33"/>
      <c r="I4" s="33"/>
      <c r="J4" s="33"/>
    </row>
    <row r="5" spans="1:11" ht="18.75" customHeight="1" x14ac:dyDescent="0.2">
      <c r="B5" s="298" t="s">
        <v>214</v>
      </c>
      <c r="C5" s="299"/>
      <c r="D5" s="300"/>
      <c r="E5" s="301" t="s">
        <v>215</v>
      </c>
      <c r="F5" s="301"/>
      <c r="G5" s="301"/>
      <c r="H5" s="301"/>
      <c r="I5" s="301"/>
      <c r="J5" s="302"/>
    </row>
    <row r="6" spans="1:11" ht="18.75" customHeight="1" x14ac:dyDescent="0.2">
      <c r="B6" s="3" t="s">
        <v>216</v>
      </c>
      <c r="C6" s="32"/>
      <c r="D6" s="7"/>
      <c r="I6" s="33"/>
      <c r="J6" s="5"/>
    </row>
    <row r="7" spans="1:11" ht="157.94999999999999" customHeight="1" x14ac:dyDescent="0.2">
      <c r="B7" s="6"/>
      <c r="C7" s="303" t="s">
        <v>217</v>
      </c>
      <c r="D7" s="304"/>
      <c r="E7" s="305" t="s">
        <v>218</v>
      </c>
      <c r="F7" s="306"/>
      <c r="G7" s="306"/>
      <c r="H7" s="306"/>
      <c r="I7" s="306"/>
      <c r="J7" s="307"/>
      <c r="K7" s="26" t="str">
        <f>IF(E7="","入力してください","")</f>
        <v/>
      </c>
    </row>
    <row r="8" spans="1:11" ht="207" customHeight="1" x14ac:dyDescent="0.2">
      <c r="B8" s="6"/>
      <c r="C8" s="293" t="s">
        <v>219</v>
      </c>
      <c r="D8" s="294"/>
      <c r="E8" s="295" t="s">
        <v>220</v>
      </c>
      <c r="F8" s="296"/>
      <c r="G8" s="296"/>
      <c r="H8" s="296"/>
      <c r="I8" s="296"/>
      <c r="J8" s="297"/>
      <c r="K8" s="26" t="str">
        <f>IF(E8="","入力してください","")</f>
        <v/>
      </c>
    </row>
    <row r="9" spans="1:11" ht="243.45" customHeight="1" x14ac:dyDescent="0.2">
      <c r="B9" s="6"/>
      <c r="C9" s="303" t="s">
        <v>221</v>
      </c>
      <c r="D9" s="304"/>
      <c r="E9" s="295" t="s">
        <v>222</v>
      </c>
      <c r="F9" s="296"/>
      <c r="G9" s="296"/>
      <c r="H9" s="296"/>
      <c r="I9" s="296"/>
      <c r="J9" s="297"/>
      <c r="K9" s="26" t="str">
        <f>IF(E9="","入力してください","")</f>
        <v/>
      </c>
    </row>
    <row r="10" spans="1:11" ht="177.45" customHeight="1" x14ac:dyDescent="0.2">
      <c r="B10" s="6"/>
      <c r="C10" s="303" t="s">
        <v>223</v>
      </c>
      <c r="D10" s="304"/>
      <c r="E10" s="295" t="s">
        <v>224</v>
      </c>
      <c r="F10" s="296"/>
      <c r="G10" s="296"/>
      <c r="H10" s="296"/>
      <c r="I10" s="296"/>
      <c r="J10" s="297"/>
      <c r="K10" s="26" t="str">
        <f t="shared" ref="K10:K14" si="0">IF(E10="","入力してください","")</f>
        <v/>
      </c>
    </row>
    <row r="11" spans="1:11" ht="187.95" customHeight="1" x14ac:dyDescent="0.2">
      <c r="B11" s="6"/>
      <c r="C11" s="303" t="s">
        <v>225</v>
      </c>
      <c r="D11" s="304"/>
      <c r="E11" s="308" t="s">
        <v>226</v>
      </c>
      <c r="F11" s="309"/>
      <c r="G11" s="309"/>
      <c r="H11" s="309"/>
      <c r="I11" s="309"/>
      <c r="J11" s="310"/>
      <c r="K11" s="26" t="str">
        <f t="shared" si="0"/>
        <v/>
      </c>
    </row>
    <row r="12" spans="1:11" ht="18.75" customHeight="1" x14ac:dyDescent="0.2">
      <c r="B12" s="9" t="s">
        <v>227</v>
      </c>
      <c r="C12" s="23"/>
      <c r="D12" s="8"/>
      <c r="E12" s="27"/>
      <c r="F12" s="27"/>
      <c r="G12" s="27"/>
      <c r="H12" s="27"/>
      <c r="I12" s="27"/>
      <c r="J12" s="28"/>
    </row>
    <row r="13" spans="1:11" ht="244.2" customHeight="1" x14ac:dyDescent="0.2">
      <c r="B13" s="6"/>
      <c r="C13" s="303" t="s">
        <v>228</v>
      </c>
      <c r="D13" s="304"/>
      <c r="E13" s="306" t="s">
        <v>229</v>
      </c>
      <c r="F13" s="306"/>
      <c r="G13" s="306"/>
      <c r="H13" s="306"/>
      <c r="I13" s="306"/>
      <c r="J13" s="307"/>
      <c r="K13" s="26" t="str">
        <f t="shared" si="0"/>
        <v/>
      </c>
    </row>
    <row r="14" spans="1:11" ht="255" customHeight="1" x14ac:dyDescent="0.2">
      <c r="B14" s="6"/>
      <c r="C14" s="303" t="s">
        <v>230</v>
      </c>
      <c r="D14" s="304"/>
      <c r="E14" s="296" t="s">
        <v>240</v>
      </c>
      <c r="F14" s="296"/>
      <c r="G14" s="296"/>
      <c r="H14" s="296"/>
      <c r="I14" s="296"/>
      <c r="J14" s="297"/>
      <c r="K14" s="26" t="str">
        <f t="shared" si="0"/>
        <v/>
      </c>
    </row>
    <row r="15" spans="1:11" ht="243" customHeight="1" x14ac:dyDescent="0.2">
      <c r="B15" s="317" t="s">
        <v>231</v>
      </c>
      <c r="C15" s="318"/>
      <c r="D15" s="304"/>
      <c r="E15" s="296" t="s">
        <v>232</v>
      </c>
      <c r="F15" s="296"/>
      <c r="G15" s="296"/>
      <c r="H15" s="296"/>
      <c r="I15" s="296"/>
      <c r="J15" s="297"/>
      <c r="K15" s="26" t="str">
        <f>IF(E15="","入力してください","")</f>
        <v/>
      </c>
    </row>
    <row r="16" spans="1:11" ht="234.45" customHeight="1" x14ac:dyDescent="0.2">
      <c r="A16" s="26"/>
      <c r="B16" s="311" t="s">
        <v>233</v>
      </c>
      <c r="C16" s="312"/>
      <c r="D16" s="313"/>
      <c r="E16" s="290" t="s">
        <v>234</v>
      </c>
      <c r="F16" s="290"/>
      <c r="G16" s="290"/>
      <c r="H16" s="290"/>
      <c r="I16" s="290"/>
      <c r="J16" s="291"/>
      <c r="K16" s="26" t="str">
        <f>IF(E16="","入力してください","")</f>
        <v/>
      </c>
    </row>
    <row r="17" spans="1:11" ht="7.5" customHeight="1" x14ac:dyDescent="0.2">
      <c r="B17" s="32"/>
      <c r="C17" s="32"/>
      <c r="D17" s="32"/>
      <c r="E17" s="33"/>
      <c r="F17" s="33"/>
      <c r="G17" s="33"/>
      <c r="H17" s="33"/>
      <c r="I17" s="33"/>
      <c r="J17" s="33"/>
    </row>
    <row r="18" spans="1:11" ht="33" customHeight="1" x14ac:dyDescent="0.2">
      <c r="A18" s="1" t="s">
        <v>235</v>
      </c>
      <c r="B18" s="4"/>
      <c r="C18" s="32"/>
      <c r="D18" s="32"/>
      <c r="E18" s="33"/>
      <c r="F18" s="84"/>
      <c r="G18" s="314" t="s">
        <v>242</v>
      </c>
      <c r="H18" s="315"/>
      <c r="I18" s="315"/>
      <c r="J18" s="316"/>
      <c r="K18" s="26" t="str">
        <f>IF(G18="","入力してください","")</f>
        <v/>
      </c>
    </row>
    <row r="19" spans="1:11" ht="22.5" customHeight="1" x14ac:dyDescent="0.2">
      <c r="B19" s="32"/>
      <c r="C19" s="32"/>
      <c r="D19" s="32"/>
      <c r="E19" s="33"/>
      <c r="F19" s="33"/>
      <c r="G19" s="33"/>
      <c r="H19" s="33"/>
      <c r="I19" s="33"/>
      <c r="J19" s="33"/>
    </row>
    <row r="20" spans="1:11" ht="22.5" customHeight="1" x14ac:dyDescent="0.2">
      <c r="B20" s="32"/>
      <c r="C20" s="32"/>
      <c r="D20" s="32"/>
      <c r="E20" s="33"/>
      <c r="F20" s="33"/>
      <c r="G20" s="33"/>
      <c r="H20" s="33"/>
      <c r="I20" s="33"/>
      <c r="J20" s="33"/>
    </row>
    <row r="21" spans="1:11" ht="22.5" customHeight="1" x14ac:dyDescent="0.2">
      <c r="B21" s="32"/>
      <c r="C21" s="32"/>
      <c r="D21" s="32"/>
      <c r="E21" s="33"/>
      <c r="F21" s="33"/>
      <c r="G21" s="33"/>
      <c r="H21" s="33"/>
      <c r="I21" s="33"/>
      <c r="J21" s="33"/>
    </row>
    <row r="22" spans="1:11" ht="22.5" customHeight="1" x14ac:dyDescent="0.2">
      <c r="B22" s="32"/>
      <c r="C22" s="32"/>
      <c r="D22" s="32"/>
      <c r="E22" s="33"/>
      <c r="F22" s="33"/>
      <c r="G22" s="33"/>
      <c r="H22" s="33"/>
      <c r="I22" s="33"/>
      <c r="J22" s="33"/>
    </row>
    <row r="23" spans="1:11" ht="22.5" customHeight="1" x14ac:dyDescent="0.2">
      <c r="B23" s="32"/>
      <c r="C23" s="32"/>
      <c r="D23" s="32"/>
      <c r="E23" s="33"/>
      <c r="F23" s="33"/>
      <c r="G23" s="33"/>
      <c r="H23" s="33"/>
      <c r="I23" s="33"/>
      <c r="J23" s="33"/>
    </row>
    <row r="24" spans="1:11" ht="22.5" customHeight="1" x14ac:dyDescent="0.2">
      <c r="B24" s="96"/>
      <c r="C24" s="96"/>
      <c r="D24" s="96"/>
      <c r="E24" s="96"/>
      <c r="F24" s="96"/>
      <c r="G24" s="96"/>
      <c r="H24" s="96"/>
      <c r="I24" s="96"/>
      <c r="J24" s="96"/>
    </row>
    <row r="25" spans="1:11" ht="22.5" customHeight="1" x14ac:dyDescent="0.2">
      <c r="B25" s="96"/>
      <c r="C25" s="96"/>
      <c r="D25" s="96"/>
      <c r="E25" s="96"/>
      <c r="F25" s="96"/>
      <c r="G25" s="96"/>
      <c r="H25" s="96"/>
      <c r="I25" s="96"/>
      <c r="J25" s="96"/>
    </row>
    <row r="26" spans="1:11" ht="22.5" customHeight="1" x14ac:dyDescent="0.2">
      <c r="B26" s="96"/>
      <c r="C26" s="96"/>
      <c r="D26" s="96"/>
      <c r="E26" s="96"/>
      <c r="F26" s="96"/>
      <c r="G26" s="96"/>
      <c r="H26" s="96"/>
      <c r="I26" s="96"/>
      <c r="J26" s="96"/>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display="https://www.nichiyaku.ac.jp/course-information/datascience-center/educational-programs/" xr:uid="{B8443944-1958-4EE4-9C38-5D0A1DEE3E2C}"/>
  </hyperlinks>
  <printOptions horizontalCentered="1"/>
  <pageMargins left="0.78740157480314965" right="0.78740157480314965" top="0.78740157480314965" bottom="0.78740157480314965" header="0.31496062992125984" footer="0.31496062992125984"/>
  <pageSetup paperSize="9" scale="93"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E428AB1D290EA4A84AD9613450AE624" ma:contentTypeVersion="9" ma:contentTypeDescription="新しいドキュメントを作成します。" ma:contentTypeScope="" ma:versionID="fbf537af033578b9894ca35f1cb9d2bb">
  <xsd:schema xmlns:xsd="http://www.w3.org/2001/XMLSchema" xmlns:xs="http://www.w3.org/2001/XMLSchema" xmlns:p="http://schemas.microsoft.com/office/2006/metadata/properties" xmlns:ns2="8fdccba9-0ede-4d6e-aa0e-1811d74153b4" xmlns:ns3="198489fd-cb07-4b25-aecf-63a0b63fac3b" targetNamespace="http://schemas.microsoft.com/office/2006/metadata/properties" ma:root="true" ma:fieldsID="466e3ec206c9aadaa4b9e412d61c44e4" ns2:_="" ns3:_="">
    <xsd:import namespace="8fdccba9-0ede-4d6e-aa0e-1811d74153b4"/>
    <xsd:import namespace="198489fd-cb07-4b25-aecf-63a0b63fac3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ccba9-0ede-4d6e-aa0e-1811d74153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8489fd-cb07-4b25-aecf-63a0b63fac3b"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28A5E8-AE27-4312-BEBC-7616A67F93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ccba9-0ede-4d6e-aa0e-1811d74153b4"/>
    <ds:schemaRef ds:uri="198489fd-cb07-4b25-aecf-63a0b63fac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37D141-A5DE-4D6C-8282-FC13D333AFA7}">
  <ds:schemaRefs>
    <ds:schemaRef ds:uri="http://schemas.microsoft.com/sharepoint/v3/contenttype/forms"/>
  </ds:schemaRefs>
</ds:datastoreItem>
</file>

<file path=customXml/itemProps3.xml><?xml version="1.0" encoding="utf-8"?>
<ds:datastoreItem xmlns:ds="http://schemas.openxmlformats.org/officeDocument/2006/customXml" ds:itemID="{2B02FC88-62F6-403A-AD0A-1F90D44670C0}">
  <ds:schemaRefs>
    <ds:schemaRef ds:uri="http://purl.org/dc/terms/"/>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 ds:uri="198489fd-cb07-4b25-aecf-63a0b63fac3b"/>
    <ds:schemaRef ds:uri="8fdccba9-0ede-4d6e-aa0e-1811d74153b4"/>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様式2-1　プログラムを構成する授業科目</vt:lpstr>
      <vt:lpstr>様式2-2　プログラムを構成する授業科目</vt:lpstr>
      <vt:lpstr>様式2-3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'様式2-1　プログラムを構成する授業科目'!Print_Area</vt:lpstr>
      <vt:lpstr>'様式2-2　プログラムを構成する授業科目'!Print_Area</vt:lpstr>
      <vt:lpstr>'様式2-3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k-yos</cp:lastModifiedBy>
  <cp:revision/>
  <cp:lastPrinted>2022-05-18T00:10:45Z</cp:lastPrinted>
  <dcterms:created xsi:type="dcterms:W3CDTF">2011-06-14T05:32:50Z</dcterms:created>
  <dcterms:modified xsi:type="dcterms:W3CDTF">2022-05-19T02:08:47Z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0x0101003E428AB1D290EA4A84AD9613450AE624</vt:lpwstr>
  </property>
</Properties>
</file>