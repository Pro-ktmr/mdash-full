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5"/>
  <workbookPr defaultThemeVersion="124226"/>
  <mc:AlternateContent xmlns:mc="http://schemas.openxmlformats.org/markup-compatibility/2006">
    <mc:Choice Requires="x15">
      <x15ac:absPath xmlns:x15ac="http://schemas.microsoft.com/office/spreadsheetml/2010/11/ac" url="\\share\Office\学務部門\教務課\home\13_コンソーシアム\02_数理・データサイエンス教育強化拠点コンソーシアム\2リテラシーレベル申請\13_申請書　完成版\"/>
    </mc:Choice>
  </mc:AlternateContent>
  <xr:revisionPtr revIDLastSave="0" documentId="13_ncr:1_{99E389E3-E899-4097-8123-CA80B35B0CDE}" xr6:coauthVersionLast="36" xr6:coauthVersionMax="47" xr10:uidLastSave="{00000000-0000-0000-0000-000000000000}"/>
  <bookViews>
    <workbookView xWindow="0" yWindow="0" windowWidth="13800" windowHeight="3870" tabRatio="885" activeTab="1"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Q14" i="40"/>
  <c r="R14" i="40" s="1"/>
  <c r="Q13" i="40"/>
  <c r="R13" i="40" s="1"/>
  <c r="Q12" i="40"/>
  <c r="R12" i="40" s="1"/>
  <c r="Q11" i="40"/>
  <c r="R11" i="40" s="1"/>
  <c r="Q10" i="40"/>
  <c r="Q30" i="40" s="1"/>
  <c r="R30" i="40" l="1"/>
  <c r="R10" i="40"/>
</calcChain>
</file>

<file path=xl/sharedStrings.xml><?xml version="1.0" encoding="utf-8"?>
<sst xmlns="http://schemas.openxmlformats.org/spreadsheetml/2006/main" count="345" uniqueCount="214">
  <si>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</si>
  <si>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</si>
  <si>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</si>
  <si>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</si>
  <si>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</si>
  <si>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</si>
  <si>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</si>
  <si>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</si>
  <si>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</si>
  <si>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</si>
  <si>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</si>
  <si>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</si>
  <si>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</si>
  <si>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</si>
  <si>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</si>
  <si>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</si>
  <si>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</si>
  <si>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</si>
  <si>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</si>
  <si>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</si>
  <si>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</si>
  <si>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</si>
  <si>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</si>
  <si>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</si>
  <si>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</si>
  <si>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</si>
  <si>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</si>
  <si>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</si>
  <si>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</si>
  <si>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</si>
  <si>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</si>
  <si>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</si>
  <si>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</si>
  <si>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</si>
  <si>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</si>
  <si>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</si>
  <si>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</si>
  <si>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</si>
  <si>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</si>
  <si>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</si>
  <si>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</si>
  <si>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</si>
  <si>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</si>
  <si>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</si>
  <si>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</si>
  <si>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</si>
  <si>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</si>
  <si>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</si>
  <si>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</si>
  <si>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</si>
  <si>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</si>
  <si>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</si>
  <si>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</si>
  <si>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</si>
  <si>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</si>
  <si>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</si>
  <si>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</si>
  <si>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</si>
  <si>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</si>
  <si>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</si>
  <si>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</si>
  <si>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</si>
  <si>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</si>
  <si>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</si>
  <si>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</si>
  <si>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</si>
  <si>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</si>
  <si>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</si>
  <si>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</si>
  <si>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</si>
  <si>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</si>
  <si>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</si>
  <si>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</si>
  <si>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</si>
  <si>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</si>
  <si>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</si>
  <si>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</si>
  <si>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</si>
  <si>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</si>
  <si>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</si>
  <si>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</si>
  <si>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</si>
  <si>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</si>
  <si>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</si>
  <si>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</si>
  <si>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</si>
  <si>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</si>
  <si>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</si>
  <si>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</si>
  <si>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</si>
  <si>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</si>
  <si>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</si>
  <si>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</si>
  <si>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</si>
  <si>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</si>
  <si>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</si>
  <si>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</si>
  <si>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</si>
  <si>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</si>
  <si>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</si>
  <si>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</si>
  <si>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</si>
  <si>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</si>
  <si>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</si>
  <si>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</si>
  <si>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</si>
  <si>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</si>
  <si>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</si>
  <si>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</si>
  <si>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</si>
  <si>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</si>
  <si>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</si>
  <si>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</si>
  <si>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</si>
  <si>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</si>
  <si>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</si>
  <si>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</si>
  <si>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</si>
  <si>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</si>
  <si>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</si>
  <si>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</si>
  <si>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</si>
  <si>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</si>
  <si>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</si>
  <si>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</si>
  <si>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</si>
  <si>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</si>
  <si>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</si>
  <si>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</si>
  <si>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</si>
  <si>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</si>
  <si>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</si>
  <si>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</si>
  <si>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</si>
  <si>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</si>
  <si>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</si>
  <si>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</si>
  <si>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</si>
  <si>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</si>
  <si>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</si>
  <si>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</si>
  <si>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</si>
  <si>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</si>
  <si>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</si>
  <si>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</si>
  <si>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</si>
  <si>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</si>
  <si>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</si>
  <si>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千葉商科大学</t>
    <rPh sb="0" eb="6">
      <t>チバショウカダイガク</t>
    </rPh>
    <phoneticPr fontId="1"/>
  </si>
  <si>
    <t>学校法人千葉学園</t>
    <phoneticPr fontId="1"/>
  </si>
  <si>
    <t>私立大学</t>
  </si>
  <si>
    <t>千葉県市川市国府台 1-3-1</t>
    <phoneticPr fontId="1"/>
  </si>
  <si>
    <t>千葉商科大学・数理データサイエンス教育プログラム</t>
    <phoneticPr fontId="1"/>
  </si>
  <si>
    <t>令和3</t>
    <phoneticPr fontId="1"/>
  </si>
  <si>
    <t>無</t>
  </si>
  <si>
    <t>原科 幸彦</t>
    <phoneticPr fontId="1"/>
  </si>
  <si>
    <t>基盤教育機構　機構長</t>
    <phoneticPr fontId="1"/>
  </si>
  <si>
    <t>基盤教育機構　情報科目分科会</t>
    <phoneticPr fontId="1"/>
  </si>
  <si>
    <t>柏木 将宏</t>
    <phoneticPr fontId="1"/>
  </si>
  <si>
    <t>基盤教育機構　情報科目分科会リーダー</t>
    <phoneticPr fontId="1"/>
  </si>
  <si>
    <t>認定教育プログラム</t>
  </si>
  <si>
    <t>教務課</t>
    <phoneticPr fontId="1"/>
  </si>
  <si>
    <t>富田・尾崎</t>
    <phoneticPr fontId="1"/>
  </si>
  <si>
    <t>kyomu-kyotsu@cuc.ac.jp</t>
    <phoneticPr fontId="1"/>
  </si>
  <si>
    <t>047-373-9754</t>
    <phoneticPr fontId="1"/>
  </si>
  <si>
    <t>学部・学科によって、修了要件は相違しない</t>
  </si>
  <si>
    <t>様式２</t>
    <phoneticPr fontId="1"/>
  </si>
  <si>
    <t>以下科目における1、2、3はプログラム修了するためには修得必須となる。4はモデルカリキュラム「オプション」の内容が多く、より専門性が高いため修得は任意となる。
1.情報入門
2.情報と倫理
3.統計学入門
4.特別講義（データサイエンス）</t>
    <rPh sb="0" eb="4">
      <t>イカカモク</t>
    </rPh>
    <rPh sb="83" eb="87">
      <t>ジョウホウニュウモン</t>
    </rPh>
    <rPh sb="90" eb="92">
      <t>ジョウホウ</t>
    </rPh>
    <rPh sb="93" eb="95">
      <t>リンリ</t>
    </rPh>
    <rPh sb="98" eb="103">
      <t>トウケイガクニュウモン</t>
    </rPh>
    <phoneticPr fontId="1"/>
  </si>
  <si>
    <t>全学開講</t>
  </si>
  <si>
    <t>○</t>
  </si>
  <si>
    <t>情報と倫理</t>
    <rPh sb="0" eb="2">
      <t>ジョウホウ</t>
    </rPh>
    <rPh sb="3" eb="5">
      <t>リンリ</t>
    </rPh>
    <phoneticPr fontId="1"/>
  </si>
  <si>
    <t>・ビッグデータ、人工知能によるデータ解析を使ったビジネスにおけるデータ・AI利活用事例（AI最新技術の活用例）とプライバシー（情報と倫理　第11回）</t>
    <phoneticPr fontId="1"/>
  </si>
  <si>
    <t>・電子メール、情報セキュリティ（情報入門　第3回）
・あなたの情報が狙われている（情報流出はなぜ起こる？プライバシー保護、情報セキュリティについて）（情報と倫理　第2回）</t>
    <phoneticPr fontId="1"/>
  </si>
  <si>
    <t>・ウェブ、情報倫理（知的所有権、データ倫理、ソーシャルメディアガイドライン等）（情報入門　第4回）
・あなたの情報が狙われている（情報流出はなぜ起こる？プライバシー保護、情報セキュリティについて）（情報と倫理　第2回）</t>
    <rPh sb="40" eb="44">
      <t>ジョウホウニュウモン</t>
    </rPh>
    <rPh sb="45" eb="46">
      <t>ダイ</t>
    </rPh>
    <rPh sb="47" eb="48">
      <t>カイ</t>
    </rPh>
    <rPh sb="99" eb="101">
      <t>ジョウホウ</t>
    </rPh>
    <rPh sb="102" eb="104">
      <t>リンリ</t>
    </rPh>
    <rPh sb="105" eb="106">
      <t>ダイ</t>
    </rPh>
    <rPh sb="107" eb="108">
      <t>カイ</t>
    </rPh>
    <phoneticPr fontId="1"/>
  </si>
  <si>
    <t>情報入門</t>
    <rPh sb="0" eb="4">
      <t>ジョウホウニュウモン</t>
    </rPh>
    <phoneticPr fontId="1"/>
  </si>
  <si>
    <t>・統計データ（調査データ）とその利用方法（・統計データとは　・データをどのように探すか　・データの取得と集計）ライブラリを使ってみよう（統計学入門　第3回）</t>
    <rPh sb="68" eb="73">
      <t>トウケイガクニュウモン</t>
    </rPh>
    <rPh sb="74" eb="75">
      <t>ダイ</t>
    </rPh>
    <rPh sb="76" eb="77">
      <t>カイ</t>
    </rPh>
    <phoneticPr fontId="1"/>
  </si>
  <si>
    <t>・関数とデータ集計（情報入門　第10回）
・統計データ（調査データ）とその利用方法（・統計データとは　・データをどのように探すか　・データの取得と集計）ライブラリを使ってみよう（統計学入門　第3回）</t>
    <rPh sb="10" eb="14">
      <t>ジョウホウニュウモン</t>
    </rPh>
    <rPh sb="15" eb="16">
      <t>ダイ</t>
    </rPh>
    <rPh sb="18" eb="19">
      <t>カイ</t>
    </rPh>
    <phoneticPr fontId="1"/>
  </si>
  <si>
    <t>・ビッグデータ、人工知能によるデータ解析を使ったビジネスにおけるデータ・AI利活用事例（AI最新技術の活用例）とプライバシー（情報と倫理　第11回）
・データ可視化と数値化（ヒストグラムと代表値）プログラミングによるグラフの作成（統計学入門　第4回）</t>
    <rPh sb="115" eb="120">
      <t>トウケイガクニュウモン</t>
    </rPh>
    <rPh sb="121" eb="122">
      <t>ダイ</t>
    </rPh>
    <rPh sb="123" eb="124">
      <t>カイ</t>
    </rPh>
    <phoneticPr fontId="1"/>
  </si>
  <si>
    <t>・データ可視化と数値化（ヒストグラムと代表値）プログラミングによるグラフの作成（統計学入門　第4回）</t>
    <phoneticPr fontId="1"/>
  </si>
  <si>
    <t>・データ可視化と数値化（散布図と相関）、プログラミングによるグラフの作成（統計学入門　第5回）</t>
    <rPh sb="37" eb="42">
      <t>トウケイガクニュウモン</t>
    </rPh>
    <rPh sb="43" eb="44">
      <t>ダイ</t>
    </rPh>
    <rPh sb="45" eb="46">
      <t>カイ</t>
    </rPh>
    <phoneticPr fontId="1"/>
  </si>
  <si>
    <t>・統計的仮説検定の意味と目的、比較と検定手法の選択、正規分布と統計的仮説検定（統計学入門　第10回）</t>
    <rPh sb="39" eb="44">
      <t>トウケイガクニュウモン</t>
    </rPh>
    <rPh sb="45" eb="46">
      <t>ダイ</t>
    </rPh>
    <rPh sb="48" eb="49">
      <t>カイ</t>
    </rPh>
    <phoneticPr fontId="1"/>
  </si>
  <si>
    <t>・ビッグデータ、人工知能によるデータ解析を使ったビジネスにおけるデータ・AI利活用事例（AI最新技術の活用例）とプライバシー（情報と倫理　第11回）
・おさらい（データの選択、データを起点としたものの見方、可視化、特徴量、手法の選択、レポートの書き方）（統計学入門　第12回）</t>
    <rPh sb="63" eb="65">
      <t>ジョウホウ</t>
    </rPh>
    <rPh sb="66" eb="68">
      <t>リンリ</t>
    </rPh>
    <rPh sb="69" eb="70">
      <t>ダイ</t>
    </rPh>
    <rPh sb="72" eb="73">
      <t>カイ</t>
    </rPh>
    <rPh sb="127" eb="132">
      <t>トウケイガクニュウモン</t>
    </rPh>
    <rPh sb="133" eb="134">
      <t>ダイ</t>
    </rPh>
    <rPh sb="136" eb="137">
      <t>カイ</t>
    </rPh>
    <phoneticPr fontId="1"/>
  </si>
  <si>
    <t>統計学入門</t>
    <rPh sb="0" eb="5">
      <t>トウケイガクニュウモン</t>
    </rPh>
    <phoneticPr fontId="1"/>
  </si>
  <si>
    <t>統計学入門</t>
    <phoneticPr fontId="1"/>
  </si>
  <si>
    <t>4-1統計および数理基礎</t>
  </si>
  <si>
    <t>特別講義（データサイエンス）</t>
    <phoneticPr fontId="1"/>
  </si>
  <si>
    <t>4‐4時系列データ解析</t>
  </si>
  <si>
    <t>4‐3データ構造とプログラミング基礎</t>
  </si>
  <si>
    <t>4‐7データハンドリング</t>
  </si>
  <si>
    <t>4‐8データ活用実践（教師あり学習）</t>
  </si>
  <si>
    <t>学生の卒業後の社会における実務現場で、自身が数理・データサイエンス・ＡＩを利活用するために必要なスキルと知識及び留意事項を、本プログラムによる実践的な体験活動及び体系的な知識教授による教育を通じて身に付けられる。</t>
    <phoneticPr fontId="1"/>
  </si>
  <si>
    <t>https://www.cuc.ac.jp/about_cuc/feature/suuri_datascience_ai/index.html</t>
    <phoneticPr fontId="1"/>
  </si>
  <si>
    <t>＜リーダー＞
国際教養学部教授　柏木　将宏
＜構成員＞
基盤教育機構教授　寺野　隆雄
基盤教育機構助教　赤木　茅
基盤教育機構助教　江草　遼平
基盤教育機構助教　新井　裕太
基盤教育機構助教　古宮　望美
基盤教育機構助教　長岡　篤
商経学部准教授　小林　直人
政策情報学部准教授　長尾　雄行
サービス創造学部准教授　仲野　友樹
人間社会学部教授　鎌田　光宣</t>
    <phoneticPr fontId="1"/>
  </si>
  <si>
    <t>目標を実現するために、令和７年度より全学的なカリキュラム改定を予定しており、本プログラム修了のために修得が必要な「情報入門」「情報と倫理」「統計学入門」の各科目を設置するCUC基盤教育科目群において、履修率向上に向けた対応を行う見込みである。３科目とも、１年次からの受講が可能であり一部は必修科目である。選択科目も、設置コマ数及び履修定員を順次増やす方針とすることにより、令和７年度以降段階的に履修者・履修率の向上を目指し、令和８年度は２５％、令和９年度には全学生の履修率が２５％超となる見込みである。
また、授業時間内外での学習指導、質問を受け付ける仕組みや教育上の工夫、学生指導・支援等の学修サポート等について、基盤教育機構情報科目分科会等において、より適切なものとなるよう定期的に検討していく計画である。</t>
    <rPh sb="212" eb="214">
      <t>レイワ</t>
    </rPh>
    <rPh sb="215" eb="217">
      <t>ネンド</t>
    </rPh>
    <phoneticPr fontId="1"/>
  </si>
  <si>
    <t>本プログラム修了のために必要な科目は、すべて本学基盤教育機構で開講されているため、学部・学科関係なく、希望する学生全員が受講可能である。上記の目標を実現するために、令和７年度に予定されている全学的なカリキュラム改定の際に、本プログラム対象科目の開講コマ数の増加と教育方法の工夫による履修定員の増加、また一部は必修科目化するなどによって学生全員の履修機会の拡大を計画している。</t>
    <phoneticPr fontId="1"/>
  </si>
  <si>
    <t>学生のプログラム履修・修得状況は、業務システムにより教職員が把握できるようになっており、基盤教育機構情報科目分科会において、本教育プログラムの履修・修得状況の分析を定期的に実施している。また、授業への取り組み状況は本学ＬＭＳ「CUC PORTAL」の出席管理システムでの出欠確認や、課題提出確認を通じて学生ごとに把握することができる。これらの結果をもとに、授業の実施形態などの改善に役立てている。</t>
    <phoneticPr fontId="1"/>
  </si>
  <si>
    <t>ディプロマ・ポリシーに基づき、本学として育成する力である「CUC 3つの力」を定めるとともに、「CUC 3つの力」を構成する能力要素を「CUC 6つの能力要素」として定め、カリキュラムを編成している。科目ごとに身に付けられる「CUC6つの能力要素」を定めており、毎学期授業ごとに「授業評価アンケート」にて授業を通じて身についた「CUC6つの能力要素」を調査している。合わせて、シラバスに記された科目の到達目標達成度合に関しても調査している。調査結果を基盤教育機構情報科目分科会が分析し、本教育プログラムの評価・改善に役立てている。</t>
    <phoneticPr fontId="1"/>
  </si>
  <si>
    <t>各該当科目の授業評価アンケートの設問の中で 「学修成果(学生の成長度合い)の把握につなげる」という目的で設けている設問No.16（本学で身に付くCUC6つの能力要素のうちこの授業を通じて伸びたと実感したもの）、17（シラバスに記された科目の到達目標の達成度）の回答結果から評価を行う。</t>
    <phoneticPr fontId="1"/>
  </si>
  <si>
    <t>各該当科目の授業評価アンケートの設問No.10 「この授業は十分満足できるものであった。」の回答結果を推奨度として評価する。 今後はより推奨度を評価できるアンケートを取ることを検討する。
また、特別講義データサイエンスでは、 他学生への推奨度をアンケートにて把握し、 履修者数、履修率向上のための判断材料としている。</t>
    <phoneticPr fontId="1"/>
  </si>
  <si>
    <t>計画の目標を実現するために、令和７年度より予定している全学的なカリキュラム改定の検討において、選択科目「情報と倫理」「統計学入門」の設置コマ数及び履修定員を順次増やすことの検討を進めている。令和７年度以降段階的に履修者・履修率の向上を見据えた施策を検討している。また、授業時間内外での学習指導、質問を受け付ける仕組みや教育上の工夫、学生指導・支援等の学修サポート等について、情報科目分科会等において、より適切なものとなるよう定期的に検討している。</t>
    <phoneticPr fontId="1"/>
  </si>
  <si>
    <t>本教育プログラム修了者は卒業していないため、進路・活躍状況、企業などの評価を得ることはできない。しかし、本学では卒業から1～3年経った卒業生および卒業生の就職先企業を対象に毎年アンケートを実施しており、今後は本教育プログラム修了者の活躍状況を把握できるようになるものと考えている。</t>
    <phoneticPr fontId="1"/>
  </si>
  <si>
    <t>就職活動支援を行うキャリア支援センターが企業に実施したアンケートにおいて、これからのデジタル社会において学生に求める能力や人材について調査を実施した。その結果を分析し、本教育プログラム内容・手法の改善に役立てている。</t>
    <phoneticPr fontId="1"/>
  </si>
  <si>
    <t>千葉商科大学・数理データサイエンス教育プログラムに関する規程</t>
    <phoneticPr fontId="1"/>
  </si>
  <si>
    <t>本学基盤教育機構情報科目分科会は、よりよい情報教育の展開に向けて、全学共通カリキュラムであるCUC基盤教育科目群の情報科目に関わる教育全般について議論や運用を行ってきた分科会である。CUC基盤教育科目群の情報科目で構成する本学の数理・データサイエンス・AI教育プログラムの設置、普及、改善等についても、これまでの本学独自の情報教育内容からのスムーズな移行、新展開を考えた場合、本分科会において扱うことが適切であるとの判断から、継続的に議論と運用を行っている。令和３年度は、数理・データサイエンス・AI教育プログラムの設置、関連科目の整備、全学的な普及を行うとともに、令和４年度以降に向けた運用や進展等の議論も行っている。</t>
    <phoneticPr fontId="1"/>
  </si>
  <si>
    <t>入学後の履修ガイダンス時において、新入生に対して周知している。また、履修相談等に応じる職員が常駐しているキャンパスライフセンターでの周知や、本学ポータルサイトの掲示機能や学内のデジタルサイネージを用いた周知等の他、本学Webサイトに本プログラムのページを設置して関連情報を掲載し在学生が情報を得やすい環境の整備に取り組む。</t>
    <rPh sb="4" eb="6">
      <t>リシュウ</t>
    </rPh>
    <rPh sb="17" eb="20">
      <t>シンニュウセイ</t>
    </rPh>
    <rPh sb="21" eb="22">
      <t>タイ</t>
    </rPh>
    <rPh sb="24" eb="26">
      <t>シュウチ</t>
    </rPh>
    <phoneticPr fontId="1"/>
  </si>
  <si>
    <t>令和６年度までは、本プログラムは既存科目による運用となるため、履修率は現況を元に算出している。令和７年度以降は、学生の履修機会を確保するため、教務課において本プログラム対象科目の履修希望者の概数を把握し、その状況に鑑みながら履修定員の調整を図る。また、開講クラス数の増加も視野に、本プログラム対象科目の担当が可能な教員の確保を新規採用も含めて検討する。</t>
    <phoneticPr fontId="1"/>
  </si>
  <si>
    <t>商経学部</t>
    <phoneticPr fontId="1"/>
  </si>
  <si>
    <t>政策情報学部</t>
    <phoneticPr fontId="1"/>
  </si>
  <si>
    <t>サービス創造学部</t>
    <phoneticPr fontId="1"/>
  </si>
  <si>
    <t>人間社会学部</t>
    <phoneticPr fontId="1"/>
  </si>
  <si>
    <t>国際教養学部</t>
    <phoneticPr fontId="1"/>
  </si>
  <si>
    <t>本プログラムの対象科目では、本学のＬＭＳ「CUC PORTAL」を利用した担当教員への履修者からの個別質問の受け付けが可能である。また一部科目ではオンライン授業用プラットフォームも活用することで、投稿やチャット機能などを用いた授業時間内外で質問対応ができるようになっている。担当教員は、これらの質問に返信する形、あるいは直接履修者へ対応する形で、随時の学習指導等が可能である。なお、担当教員間の状況共有や指導内容のすり合わせ、教材の改善などは、必要に応じ基盤教育機構の情報科目分科会が中心となって対応する体制とする。</t>
    <phoneticPr fontId="1"/>
  </si>
  <si>
    <t>教員がモデルカリキュラムの観点で、従来以上の学ぶ楽しさ・意義を授業展開や教材作成に反映する。学ぶ楽しさは、実践的な体験を通じて、数理・データサイエンス・ＡＩの利活用が社会問題解決のために有用であることを実感できるようにする。
｢統計学入門｣は、プログラムによる新聞記事の統計的検証など、現実の問題とデータサイエンスの関わりを感じられるようにするほか、 「特別講義（データサイエンス）」では、身近な問題のデータを収集して学んだことを実践できるように設計している。 学問やビジネスでの活用事例を通した学習により、数理・データサイエンス・ＡＩのリテラシーを身につけられ、学ぶ意義について理解できるよう工夫する。</t>
    <rPh sb="41" eb="43">
      <t>ハンエイ</t>
    </rPh>
    <phoneticPr fontId="1"/>
  </si>
  <si>
    <t>本プログラムを構成する科目は従来、本学カリキュラム上に設置されていたものであり、その内容・水準は引き続き維持される。またプログラムの授業内容・概要にも記述したように、各授業の内容・水準はモデルカリキュラムの導入、基礎、心得の各内容を満たしている。今後の内容・水準の持続的な向上のため、また、本学の平均的な学生にとって分かりやすく学べる内容とするために、当該各科目の授業評価アンケートの結果を参考とし、また必要に応じて追加調査の実施も検討し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</si>
</sst>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4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0" xfId="0" applyFont="1" applyBorder="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53" xfId="0" applyFont="1" applyBorder="1" applyAlignment="1">
      <alignment horizontal="center" vertical="center" shrinkToFit="1"/>
    </xf>
    <xf numFmtId="0" fontId="19" fillId="0" borderId="20" xfId="0" applyFont="1" applyBorder="1" applyAlignment="1">
      <alignment vertical="top" shrinkToFit="1"/>
    </xf>
    <xf numFmtId="0" fontId="19" fillId="0" borderId="18" xfId="0" applyFont="1" applyBorder="1" applyAlignment="1">
      <alignment vertical="top" shrinkToFit="1"/>
    </xf>
    <xf numFmtId="0" fontId="3" fillId="0" borderId="14" xfId="0" applyFont="1" applyFill="1" applyBorder="1" applyAlignment="1">
      <alignment horizontal="left" vertical="center" shrinkToFit="1"/>
    </xf>
    <xf numFmtId="0" fontId="3" fillId="0" borderId="0" xfId="0" applyFont="1" applyFill="1" applyAlignment="1">
      <alignment vertical="center" shrinkToFit="1"/>
    </xf>
    <xf numFmtId="0" fontId="3" fillId="0" borderId="5" xfId="0" applyFont="1" applyFill="1" applyBorder="1" applyAlignment="1">
      <alignment vertical="center" shrinkToFit="1"/>
    </xf>
    <xf numFmtId="176" fontId="3" fillId="0" borderId="5" xfId="0" applyNumberFormat="1" applyFont="1" applyFill="1" applyBorder="1" applyAlignment="1">
      <alignment vertical="center" shrinkToFit="1"/>
    </xf>
    <xf numFmtId="176" fontId="3" fillId="0" borderId="31" xfId="0" applyNumberFormat="1" applyFont="1" applyFill="1" applyBorder="1" applyAlignment="1">
      <alignment vertical="center" shrinkToFit="1"/>
    </xf>
    <xf numFmtId="176" fontId="3" fillId="0" borderId="32"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0" fontId="3" fillId="0" borderId="23" xfId="0" applyFont="1" applyFill="1" applyBorder="1" applyAlignment="1">
      <alignment horizontal="left"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8" xfId="0" applyNumberFormat="1" applyFont="1" applyFill="1" applyBorder="1" applyAlignment="1">
      <alignment vertical="center" shrinkToFit="1"/>
    </xf>
    <xf numFmtId="176" fontId="3" fillId="0" borderId="48" xfId="0" applyNumberFormat="1" applyFont="1" applyFill="1" applyBorder="1" applyAlignment="1">
      <alignment vertical="center" shrinkToFit="1"/>
    </xf>
    <xf numFmtId="176" fontId="3" fillId="0" borderId="51" xfId="0" applyNumberFormat="1" applyFont="1" applyFill="1" applyBorder="1" applyAlignment="1">
      <alignment vertical="center" shrinkToFit="1"/>
    </xf>
    <xf numFmtId="9" fontId="8" fillId="0" borderId="8" xfId="0" applyNumberFormat="1" applyFont="1" applyFill="1" applyBorder="1" applyAlignment="1">
      <alignment horizontal="center" vertical="center" wrapText="1" shrinkToFit="1"/>
    </xf>
    <xf numFmtId="0" fontId="8" fillId="0" borderId="5" xfId="0" applyFont="1" applyFill="1" applyBorder="1">
      <alignment vertical="center"/>
    </xf>
    <xf numFmtId="176" fontId="8" fillId="0" borderId="0" xfId="0" applyNumberFormat="1" applyFont="1" applyFill="1" applyBorder="1" applyAlignment="1">
      <alignment vertical="center" wrapText="1"/>
    </xf>
    <xf numFmtId="0" fontId="8" fillId="0" borderId="0" xfId="0" applyFont="1" applyFill="1" applyBorder="1">
      <alignment vertical="center"/>
    </xf>
    <xf numFmtId="176" fontId="8" fillId="0" borderId="5" xfId="0" applyNumberFormat="1" applyFont="1" applyFill="1" applyBorder="1" applyAlignment="1">
      <alignment vertical="center"/>
    </xf>
    <xf numFmtId="176" fontId="8" fillId="0" borderId="0" xfId="0" applyNumberFormat="1" applyFont="1" applyFill="1" applyBorder="1">
      <alignment vertical="center"/>
    </xf>
    <xf numFmtId="0" fontId="8" fillId="0" borderId="0" xfId="0" applyFont="1" applyFill="1" applyBorder="1" applyAlignment="1">
      <alignment horizontal="center" vertical="center"/>
    </xf>
    <xf numFmtId="176" fontId="8" fillId="0" borderId="0" xfId="0" applyNumberFormat="1" applyFont="1" applyFill="1" applyAlignment="1">
      <alignment vertical="center" wrapText="1"/>
    </xf>
    <xf numFmtId="0" fontId="8" fillId="0" borderId="0" xfId="0" applyFont="1" applyFill="1" applyBorder="1" applyAlignment="1">
      <alignment vertical="center"/>
    </xf>
    <xf numFmtId="176" fontId="8" fillId="0" borderId="3" xfId="0" applyNumberFormat="1" applyFont="1" applyFill="1" applyBorder="1" applyAlignment="1">
      <alignment vertical="center" shrinkToFit="1"/>
    </xf>
    <xf numFmtId="49" fontId="7" fillId="0" borderId="2" xfId="2" applyNumberFormat="1" applyBorder="1" applyAlignment="1">
      <alignment vertical="center" shrinkToFit="1"/>
    </xf>
    <xf numFmtId="49" fontId="17" fillId="0" borderId="3" xfId="2" applyNumberFormat="1" applyFont="1" applyBorder="1" applyAlignment="1">
      <alignment vertical="center" shrinkToFit="1"/>
    </xf>
    <xf numFmtId="49" fontId="17" fillId="0" borderId="4" xfId="2"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Fill="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Fill="1" applyBorder="1" applyAlignment="1">
      <alignment horizontal="right" vertical="center"/>
    </xf>
    <xf numFmtId="0" fontId="8" fillId="0" borderId="10" xfId="0" applyFont="1" applyFill="1" applyBorder="1" applyAlignment="1">
      <alignment horizontal="right" vertical="center"/>
    </xf>
    <xf numFmtId="176" fontId="8" fillId="0" borderId="3" xfId="0" applyNumberFormat="1" applyFont="1" applyFill="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Fill="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21"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9" xfId="0" applyFont="1" applyBorder="1" applyAlignment="1">
      <alignment horizontal="left" vertical="center" wrapText="1" shrinkToFit="1"/>
    </xf>
    <xf numFmtId="0" fontId="9" fillId="0" borderId="20"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44" xfId="0" applyFont="1" applyBorder="1" applyAlignment="1">
      <alignment horizontal="left" vertical="center" shrinkToFit="1"/>
    </xf>
    <xf numFmtId="0" fontId="8" fillId="0" borderId="45" xfId="0" applyFont="1" applyBorder="1" applyAlignment="1">
      <alignment horizontal="left" vertical="center" shrinkToFit="1"/>
    </xf>
    <xf numFmtId="0" fontId="8" fillId="0" borderId="46" xfId="0" applyFont="1" applyBorder="1" applyAlignment="1">
      <alignment horizontal="left" vertical="center" shrinkToFit="1"/>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9" fillId="0" borderId="39"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41" xfId="0" applyFont="1" applyBorder="1" applyAlignment="1">
      <alignment horizontal="left" vertical="center" wrapText="1" shrinkToFit="1"/>
    </xf>
    <xf numFmtId="0" fontId="9" fillId="0" borderId="42" xfId="0" applyFont="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xf>
    <xf numFmtId="0" fontId="9" fillId="0" borderId="8" xfId="0" applyFont="1" applyBorder="1" applyAlignment="1">
      <alignment vertical="center" wrapText="1"/>
    </xf>
    <xf numFmtId="0" fontId="9" fillId="0" borderId="9" xfId="0" applyFont="1" applyBorder="1" applyAlignment="1">
      <alignment vertical="center" wrapText="1"/>
    </xf>
    <xf numFmtId="0" fontId="9" fillId="0" borderId="5" xfId="0" applyFont="1" applyBorder="1" applyAlignment="1">
      <alignment vertical="center" wrapText="1"/>
    </xf>
    <xf numFmtId="0" fontId="9" fillId="0" borderId="0" xfId="0" applyFont="1" applyBorder="1" applyAlignment="1">
      <alignment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1" fillId="0" borderId="7" xfId="0" applyFont="1" applyBorder="1" applyAlignment="1">
      <alignment vertical="top" wrapText="1" shrinkToFit="1"/>
    </xf>
    <xf numFmtId="0" fontId="21" fillId="0" borderId="8" xfId="0" applyFont="1" applyBorder="1" applyAlignment="1">
      <alignment vertical="top" wrapText="1" shrinkToFit="1"/>
    </xf>
    <xf numFmtId="0" fontId="21" fillId="0" borderId="8" xfId="0" applyFont="1" applyBorder="1" applyAlignment="1">
      <alignment vertical="top" shrinkToFit="1"/>
    </xf>
    <xf numFmtId="0" fontId="21" fillId="0" borderId="9" xfId="0" applyFont="1" applyBorder="1" applyAlignment="1">
      <alignment vertical="top" shrinkToFit="1"/>
    </xf>
    <xf numFmtId="0" fontId="21" fillId="0" borderId="5" xfId="0" applyFont="1" applyBorder="1" applyAlignment="1">
      <alignment vertical="top" shrinkToFit="1"/>
    </xf>
    <xf numFmtId="0" fontId="21" fillId="0" borderId="0" xfId="0" applyFont="1" applyAlignment="1">
      <alignment vertical="top" shrinkToFit="1"/>
    </xf>
    <xf numFmtId="0" fontId="21" fillId="0" borderId="10" xfId="0" applyFont="1" applyBorder="1" applyAlignment="1">
      <alignment vertical="top" shrinkToFit="1"/>
    </xf>
    <xf numFmtId="0" fontId="21" fillId="0" borderId="11" xfId="0" applyFont="1" applyBorder="1" applyAlignment="1">
      <alignment vertical="top" shrinkToFit="1"/>
    </xf>
    <xf numFmtId="0" fontId="21" fillId="0" borderId="6" xfId="0" applyFont="1" applyBorder="1" applyAlignment="1">
      <alignment vertical="top" shrinkToFit="1"/>
    </xf>
    <xf numFmtId="0" fontId="21" fillId="0" borderId="12" xfId="0" applyFont="1" applyBorder="1" applyAlignment="1">
      <alignment vertical="top"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kyotsu@cuc.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uc.ac.jp/about_cuc/feature/suuri_datascience_ai/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uc.ac.jp/about_cuc/feature/suuri_datascience_ai/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13" zoomScaleNormal="100" zoomScaleSheetLayoutView="100" workbookViewId="0">
      <selection activeCell="F41" sqref="F41:N41"/>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28"/>
    <col min="16" max="16384" width="9" style="13"/>
  </cols>
  <sheetData>
    <row r="1" spans="1:15" ht="24" customHeight="1" x14ac:dyDescent="0.15">
      <c r="M1" s="163" t="s">
        <v>25</v>
      </c>
      <c r="N1" s="163"/>
    </row>
    <row r="2" spans="1:15" ht="24" customHeight="1" x14ac:dyDescent="0.15">
      <c r="A2" s="167" t="s">
        <v>83</v>
      </c>
      <c r="B2" s="167"/>
      <c r="C2" s="167"/>
      <c r="D2" s="167"/>
      <c r="E2" s="167"/>
      <c r="F2" s="167"/>
      <c r="G2" s="167"/>
      <c r="H2" s="167"/>
      <c r="I2" s="167"/>
      <c r="J2" s="167"/>
      <c r="K2" s="167"/>
      <c r="L2" s="167"/>
      <c r="M2" s="167"/>
      <c r="N2" s="167"/>
    </row>
    <row r="3" spans="1:15" ht="24" customHeight="1" x14ac:dyDescent="0.15"/>
    <row r="4" spans="1:15" ht="24" customHeight="1" x14ac:dyDescent="0.15">
      <c r="A4" s="14" t="s">
        <v>6</v>
      </c>
      <c r="B4" s="15" t="s">
        <v>16</v>
      </c>
      <c r="C4" s="152" t="s">
        <v>148</v>
      </c>
      <c r="D4" s="153"/>
      <c r="E4" s="153"/>
      <c r="F4" s="153"/>
      <c r="G4" s="153"/>
      <c r="H4" s="153"/>
      <c r="I4" s="153"/>
      <c r="J4" s="153"/>
      <c r="K4" s="153"/>
      <c r="L4" s="153"/>
      <c r="M4" s="153"/>
      <c r="N4" s="154"/>
      <c r="O4" s="28" t="str">
        <f>IF(C4="","入力してください","")</f>
        <v/>
      </c>
    </row>
    <row r="5" spans="1:15" ht="7.5" customHeight="1" x14ac:dyDescent="0.15">
      <c r="B5" s="15"/>
      <c r="C5" s="15"/>
      <c r="D5" s="15"/>
      <c r="E5" s="16"/>
      <c r="F5" s="32"/>
      <c r="G5" s="32"/>
      <c r="H5" s="32"/>
      <c r="I5" s="32"/>
      <c r="J5" s="32"/>
      <c r="K5" s="32"/>
      <c r="L5" s="32"/>
      <c r="M5" s="32"/>
      <c r="N5" s="32"/>
    </row>
    <row r="6" spans="1:15" ht="24" customHeight="1" x14ac:dyDescent="0.15">
      <c r="A6" s="14" t="s">
        <v>48</v>
      </c>
      <c r="B6" s="15" t="s">
        <v>49</v>
      </c>
      <c r="C6" s="15"/>
      <c r="D6" s="152" t="s">
        <v>149</v>
      </c>
      <c r="E6" s="153"/>
      <c r="F6" s="153"/>
      <c r="G6" s="153"/>
      <c r="H6" s="154"/>
      <c r="I6" s="17" t="s">
        <v>86</v>
      </c>
      <c r="J6" s="32" t="s">
        <v>87</v>
      </c>
      <c r="K6" s="152" t="s">
        <v>150</v>
      </c>
      <c r="L6" s="153"/>
      <c r="M6" s="153"/>
      <c r="N6" s="154"/>
      <c r="O6" s="28" t="str">
        <f>IF(D6="","入力してください","")</f>
        <v/>
      </c>
    </row>
    <row r="7" spans="1:15" ht="7.5" customHeight="1" x14ac:dyDescent="0.15">
      <c r="B7" s="15"/>
      <c r="C7" s="15"/>
      <c r="D7" s="15"/>
      <c r="E7" s="16"/>
      <c r="F7" s="32"/>
      <c r="G7" s="32"/>
      <c r="H7" s="32"/>
      <c r="I7" s="32"/>
      <c r="J7" s="32"/>
      <c r="K7" s="32"/>
      <c r="L7" s="32"/>
      <c r="M7" s="32"/>
      <c r="N7" s="32"/>
    </row>
    <row r="8" spans="1:15" ht="24" customHeight="1" x14ac:dyDescent="0.15">
      <c r="A8" s="14" t="s">
        <v>13</v>
      </c>
      <c r="B8" s="15" t="s">
        <v>45</v>
      </c>
      <c r="C8" s="152" t="s">
        <v>151</v>
      </c>
      <c r="D8" s="153"/>
      <c r="E8" s="153"/>
      <c r="F8" s="153"/>
      <c r="G8" s="153"/>
      <c r="H8" s="153"/>
      <c r="I8" s="153"/>
      <c r="J8" s="153"/>
      <c r="K8" s="153"/>
      <c r="L8" s="153"/>
      <c r="M8" s="153"/>
      <c r="N8" s="154"/>
      <c r="O8" s="28" t="str">
        <f>IF(C8="","入力してください","")</f>
        <v/>
      </c>
    </row>
    <row r="9" spans="1:15" ht="7.5" customHeight="1" x14ac:dyDescent="0.15">
      <c r="B9" s="15"/>
      <c r="C9" s="15"/>
      <c r="D9" s="15"/>
      <c r="E9" s="16"/>
      <c r="F9" s="32"/>
      <c r="G9" s="32"/>
      <c r="H9" s="32"/>
      <c r="I9" s="32"/>
      <c r="J9" s="32"/>
      <c r="K9" s="32"/>
      <c r="L9" s="32"/>
      <c r="M9" s="32"/>
      <c r="N9" s="32"/>
    </row>
    <row r="10" spans="1:15" ht="24" customHeight="1" x14ac:dyDescent="0.15">
      <c r="A10" s="14" t="s">
        <v>11</v>
      </c>
      <c r="B10" s="15" t="s">
        <v>85</v>
      </c>
      <c r="C10" s="15"/>
      <c r="D10" s="15"/>
      <c r="E10" s="152" t="s">
        <v>152</v>
      </c>
      <c r="F10" s="153"/>
      <c r="G10" s="153"/>
      <c r="H10" s="153"/>
      <c r="I10" s="153"/>
      <c r="J10" s="153"/>
      <c r="K10" s="153"/>
      <c r="L10" s="153"/>
      <c r="M10" s="153"/>
      <c r="N10" s="154"/>
      <c r="O10" s="28" t="str">
        <f>IF(E10="","入力してください","")</f>
        <v/>
      </c>
    </row>
    <row r="11" spans="1:15" ht="7.5" customHeight="1" x14ac:dyDescent="0.15">
      <c r="B11" s="16"/>
      <c r="C11" s="16"/>
      <c r="D11" s="16"/>
      <c r="E11" s="16"/>
      <c r="F11" s="32"/>
      <c r="G11" s="32"/>
      <c r="H11" s="32"/>
      <c r="I11" s="32"/>
      <c r="J11" s="32"/>
      <c r="K11" s="32"/>
      <c r="L11" s="32"/>
      <c r="M11" s="32"/>
      <c r="N11" s="32"/>
    </row>
    <row r="12" spans="1:15" ht="24" customHeight="1" x14ac:dyDescent="0.15">
      <c r="A12" s="14" t="s">
        <v>58</v>
      </c>
      <c r="B12" s="16" t="s">
        <v>59</v>
      </c>
      <c r="C12" s="16"/>
      <c r="D12" s="16"/>
      <c r="E12" s="168" t="s">
        <v>153</v>
      </c>
      <c r="F12" s="169"/>
      <c r="G12" s="17" t="s">
        <v>96</v>
      </c>
      <c r="H12" s="14" t="s">
        <v>97</v>
      </c>
      <c r="N12" s="111" t="s">
        <v>154</v>
      </c>
      <c r="O12" s="28" t="str">
        <f>IF(E12="","入力してください","")</f>
        <v/>
      </c>
    </row>
    <row r="13" spans="1:15" ht="7.5" customHeight="1" x14ac:dyDescent="0.15">
      <c r="B13" s="16"/>
      <c r="C13" s="16"/>
      <c r="D13" s="16"/>
      <c r="E13" s="16"/>
      <c r="F13" s="32"/>
      <c r="G13" s="32"/>
      <c r="H13" s="32"/>
      <c r="I13" s="32"/>
      <c r="J13" s="32"/>
      <c r="K13" s="32"/>
      <c r="L13" s="32"/>
      <c r="M13" s="32"/>
      <c r="N13" s="32"/>
    </row>
    <row r="14" spans="1:15" ht="24" customHeight="1" x14ac:dyDescent="0.15">
      <c r="A14" s="14" t="s">
        <v>53</v>
      </c>
      <c r="B14" s="14" t="s">
        <v>0</v>
      </c>
      <c r="C14" s="164" t="s">
        <v>5</v>
      </c>
      <c r="D14" s="165"/>
      <c r="E14" s="155">
        <v>174</v>
      </c>
      <c r="F14" s="156"/>
      <c r="G14" s="136" t="s">
        <v>7</v>
      </c>
      <c r="H14" s="68"/>
      <c r="I14" s="164" t="s">
        <v>8</v>
      </c>
      <c r="J14" s="165"/>
      <c r="K14" s="155">
        <v>271</v>
      </c>
      <c r="L14" s="166"/>
      <c r="M14" s="156"/>
      <c r="N14" s="137" t="s">
        <v>7</v>
      </c>
      <c r="O14" s="28" t="str">
        <f>IF(OR(E14="",K14=""),"入力してください","")</f>
        <v/>
      </c>
    </row>
    <row r="15" spans="1:15" ht="7.5" customHeight="1" x14ac:dyDescent="0.15">
      <c r="C15" s="68"/>
      <c r="D15" s="68"/>
      <c r="E15" s="68"/>
      <c r="F15" s="138"/>
      <c r="G15" s="138"/>
      <c r="H15" s="138"/>
      <c r="I15" s="138"/>
      <c r="J15" s="138"/>
      <c r="K15" s="138"/>
      <c r="L15" s="138"/>
      <c r="M15" s="137"/>
      <c r="N15" s="137"/>
    </row>
    <row r="16" spans="1:15" ht="24" customHeight="1" x14ac:dyDescent="0.15">
      <c r="A16" s="14" t="s">
        <v>60</v>
      </c>
      <c r="B16" s="14" t="s">
        <v>70</v>
      </c>
      <c r="C16" s="68"/>
      <c r="D16" s="68"/>
      <c r="E16" s="68"/>
      <c r="F16" s="138"/>
      <c r="G16" s="138"/>
      <c r="H16" s="138"/>
      <c r="I16" s="138"/>
      <c r="J16" s="138"/>
      <c r="K16" s="171">
        <v>19</v>
      </c>
      <c r="L16" s="172"/>
      <c r="M16" s="173"/>
      <c r="N16" s="137" t="s">
        <v>51</v>
      </c>
      <c r="O16" s="28" t="str">
        <f>IF(K16="","入力してください","")</f>
        <v/>
      </c>
    </row>
    <row r="17" spans="1:15" ht="7.5" customHeight="1" x14ac:dyDescent="0.15">
      <c r="C17" s="68"/>
      <c r="D17" s="68"/>
      <c r="E17" s="68"/>
      <c r="F17" s="138"/>
      <c r="G17" s="138"/>
      <c r="H17" s="138"/>
      <c r="I17" s="138"/>
      <c r="J17" s="138"/>
      <c r="K17" s="138"/>
      <c r="L17" s="138"/>
      <c r="M17" s="137"/>
      <c r="N17" s="137"/>
    </row>
    <row r="18" spans="1:15" ht="24" customHeight="1" x14ac:dyDescent="0.15">
      <c r="A18" s="14" t="s">
        <v>24</v>
      </c>
      <c r="B18" s="14" t="s">
        <v>77</v>
      </c>
      <c r="C18" s="68"/>
      <c r="D18" s="68"/>
      <c r="E18" s="155">
        <v>1410</v>
      </c>
      <c r="F18" s="156"/>
      <c r="G18" s="139" t="s">
        <v>21</v>
      </c>
      <c r="H18" s="138"/>
      <c r="I18" s="68"/>
      <c r="J18" s="68"/>
      <c r="K18" s="177"/>
      <c r="L18" s="177"/>
      <c r="M18" s="177"/>
      <c r="N18" s="177"/>
      <c r="O18" s="28" t="str">
        <f>IF(E18="","入力してください","")</f>
        <v/>
      </c>
    </row>
    <row r="19" spans="1:15" ht="7.5" customHeight="1" x14ac:dyDescent="0.15">
      <c r="C19" s="68"/>
      <c r="D19" s="68"/>
      <c r="E19" s="140"/>
      <c r="F19" s="138"/>
      <c r="G19" s="138"/>
      <c r="H19" s="68"/>
      <c r="I19" s="68"/>
      <c r="J19" s="68"/>
      <c r="K19" s="68"/>
      <c r="L19" s="141"/>
      <c r="M19" s="141"/>
      <c r="N19" s="142"/>
    </row>
    <row r="20" spans="1:15" ht="24" customHeight="1" x14ac:dyDescent="0.15">
      <c r="A20" s="14" t="s">
        <v>76</v>
      </c>
      <c r="B20" s="14" t="s">
        <v>78</v>
      </c>
      <c r="C20" s="68"/>
      <c r="D20" s="68"/>
      <c r="E20" s="140"/>
      <c r="F20" s="138"/>
      <c r="G20" s="138"/>
      <c r="H20" s="68" t="s">
        <v>52</v>
      </c>
      <c r="I20" s="68"/>
      <c r="J20" s="174">
        <v>6186</v>
      </c>
      <c r="K20" s="175"/>
      <c r="L20" s="176"/>
      <c r="M20" s="141" t="s">
        <v>51</v>
      </c>
      <c r="N20" s="142"/>
      <c r="O20" s="28" t="str">
        <f>IF(J20="","入力してください","")</f>
        <v/>
      </c>
    </row>
    <row r="21" spans="1:15" ht="7.5" customHeight="1" x14ac:dyDescent="0.15">
      <c r="C21" s="68"/>
      <c r="D21" s="68"/>
      <c r="E21" s="140"/>
      <c r="F21" s="138"/>
      <c r="G21" s="138"/>
      <c r="H21" s="68"/>
      <c r="I21" s="68"/>
      <c r="J21" s="68"/>
      <c r="K21" s="68"/>
      <c r="L21" s="141"/>
      <c r="M21" s="141"/>
      <c r="N21" s="142"/>
    </row>
    <row r="22" spans="1:15" ht="24" customHeight="1" x14ac:dyDescent="0.15">
      <c r="B22" s="26" t="s">
        <v>17</v>
      </c>
      <c r="C22" s="155">
        <v>1524</v>
      </c>
      <c r="D22" s="156"/>
      <c r="E22" s="140" t="s">
        <v>22</v>
      </c>
      <c r="F22" s="138"/>
      <c r="G22" s="151" t="s">
        <v>18</v>
      </c>
      <c r="H22" s="151"/>
      <c r="I22" s="155">
        <v>1487</v>
      </c>
      <c r="J22" s="156"/>
      <c r="K22" s="143" t="s">
        <v>22</v>
      </c>
      <c r="L22" s="68"/>
      <c r="M22" s="141"/>
      <c r="N22" s="142"/>
    </row>
    <row r="23" spans="1:15" ht="7.5" customHeight="1" x14ac:dyDescent="0.15">
      <c r="B23" s="26"/>
      <c r="C23" s="144"/>
      <c r="D23" s="144"/>
      <c r="E23" s="140"/>
      <c r="F23" s="138"/>
      <c r="G23" s="141"/>
      <c r="H23" s="141"/>
      <c r="I23" s="144"/>
      <c r="J23" s="144"/>
      <c r="K23" s="143"/>
      <c r="L23" s="68"/>
      <c r="M23" s="141"/>
      <c r="N23" s="142"/>
    </row>
    <row r="24" spans="1:15" ht="24" customHeight="1" x14ac:dyDescent="0.15">
      <c r="B24" s="26" t="s">
        <v>19</v>
      </c>
      <c r="C24" s="155">
        <v>1504</v>
      </c>
      <c r="D24" s="156"/>
      <c r="E24" s="140" t="s">
        <v>22</v>
      </c>
      <c r="F24" s="138"/>
      <c r="G24" s="151" t="s">
        <v>20</v>
      </c>
      <c r="H24" s="151"/>
      <c r="I24" s="155">
        <v>1671</v>
      </c>
      <c r="J24" s="156"/>
      <c r="K24" s="143" t="s">
        <v>22</v>
      </c>
      <c r="L24" s="68"/>
      <c r="M24" s="141"/>
      <c r="N24" s="142"/>
    </row>
    <row r="25" spans="1:15" ht="7.5" customHeight="1" x14ac:dyDescent="0.15">
      <c r="B25" s="26"/>
      <c r="C25" s="11"/>
      <c r="D25" s="11"/>
      <c r="E25" s="10"/>
      <c r="F25" s="18"/>
      <c r="G25" s="31"/>
      <c r="H25" s="31"/>
      <c r="I25" s="11"/>
      <c r="J25" s="11"/>
      <c r="K25" s="17"/>
      <c r="M25" s="31"/>
      <c r="N25" s="19"/>
    </row>
    <row r="26" spans="1:15" ht="24" customHeight="1" x14ac:dyDescent="0.15">
      <c r="B26" s="26" t="s">
        <v>46</v>
      </c>
      <c r="C26" s="155">
        <v>0</v>
      </c>
      <c r="D26" s="156"/>
      <c r="E26" s="10" t="s">
        <v>7</v>
      </c>
      <c r="F26" s="18"/>
      <c r="G26" s="170" t="s">
        <v>47</v>
      </c>
      <c r="H26" s="170"/>
      <c r="I26" s="155">
        <v>0</v>
      </c>
      <c r="J26" s="156"/>
      <c r="K26" s="17" t="s">
        <v>7</v>
      </c>
      <c r="M26" s="31"/>
      <c r="N26" s="19"/>
    </row>
    <row r="27" spans="1:15" ht="7.5" customHeight="1" x14ac:dyDescent="0.15">
      <c r="F27" s="18"/>
      <c r="G27" s="18"/>
      <c r="M27" s="20"/>
      <c r="N27" s="20"/>
    </row>
    <row r="28" spans="1:15" ht="24" customHeight="1" x14ac:dyDescent="0.15">
      <c r="A28" s="14" t="s">
        <v>50</v>
      </c>
      <c r="B28" s="15" t="s">
        <v>75</v>
      </c>
      <c r="C28" s="15"/>
      <c r="D28" s="15"/>
      <c r="E28" s="15"/>
      <c r="F28" s="17"/>
      <c r="G28" s="32"/>
      <c r="H28" s="32"/>
      <c r="I28" s="32"/>
      <c r="J28" s="21"/>
      <c r="K28" s="21"/>
      <c r="L28" s="21"/>
      <c r="M28" s="21"/>
      <c r="N28" s="21"/>
    </row>
    <row r="29" spans="1:15" s="14" customFormat="1" ht="24" customHeight="1" x14ac:dyDescent="0.15">
      <c r="B29" s="160" t="s">
        <v>74</v>
      </c>
      <c r="C29" s="160"/>
      <c r="D29" s="152" t="s">
        <v>155</v>
      </c>
      <c r="E29" s="153"/>
      <c r="F29" s="153"/>
      <c r="G29" s="161" t="s">
        <v>23</v>
      </c>
      <c r="H29" s="160"/>
      <c r="I29" s="162"/>
      <c r="J29" s="152" t="s">
        <v>156</v>
      </c>
      <c r="K29" s="153"/>
      <c r="L29" s="153"/>
      <c r="M29" s="153"/>
      <c r="N29" s="154"/>
      <c r="O29" s="28" t="str">
        <f>IF(OR(D29="",J29=""),"入力してください","")</f>
        <v/>
      </c>
    </row>
    <row r="30" spans="1:15" ht="7.5" customHeight="1" x14ac:dyDescent="0.15">
      <c r="F30" s="18"/>
      <c r="G30" s="18"/>
      <c r="M30" s="20"/>
      <c r="N30" s="20"/>
    </row>
    <row r="31" spans="1:15" ht="24" customHeight="1" x14ac:dyDescent="0.15">
      <c r="A31" s="14" t="s">
        <v>54</v>
      </c>
      <c r="B31" s="15" t="s">
        <v>80</v>
      </c>
      <c r="C31" s="15"/>
      <c r="D31" s="15"/>
      <c r="E31" s="15"/>
      <c r="F31" s="17"/>
      <c r="G31" s="21"/>
      <c r="H31" s="21"/>
      <c r="I31" s="21"/>
      <c r="J31" s="21"/>
      <c r="K31" s="21"/>
      <c r="L31" s="21"/>
      <c r="M31" s="21"/>
      <c r="N31" s="21"/>
    </row>
    <row r="32" spans="1:15" ht="24" customHeight="1" x14ac:dyDescent="0.15">
      <c r="B32" s="152" t="s">
        <v>157</v>
      </c>
      <c r="C32" s="153"/>
      <c r="D32" s="153"/>
      <c r="E32" s="153"/>
      <c r="F32" s="153"/>
      <c r="G32" s="153"/>
      <c r="H32" s="153"/>
      <c r="I32" s="153"/>
      <c r="J32" s="153"/>
      <c r="K32" s="153"/>
      <c r="L32" s="153"/>
      <c r="M32" s="153"/>
      <c r="N32" s="154"/>
      <c r="O32" s="28"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60" t="s">
        <v>74</v>
      </c>
      <c r="C34" s="160"/>
      <c r="D34" s="152" t="s">
        <v>158</v>
      </c>
      <c r="E34" s="153"/>
      <c r="F34" s="153"/>
      <c r="G34" s="161" t="s">
        <v>55</v>
      </c>
      <c r="H34" s="160"/>
      <c r="I34" s="162"/>
      <c r="J34" s="152" t="s">
        <v>159</v>
      </c>
      <c r="K34" s="153"/>
      <c r="L34" s="153"/>
      <c r="M34" s="153"/>
      <c r="N34" s="154"/>
      <c r="O34" s="28" t="str">
        <f>IF(OR(D34="",J34=""),"入力してください","")</f>
        <v/>
      </c>
    </row>
    <row r="35" spans="1:15" ht="7.5" customHeight="1" x14ac:dyDescent="0.15">
      <c r="F35" s="32"/>
      <c r="G35" s="32"/>
      <c r="H35" s="32"/>
      <c r="I35" s="32"/>
      <c r="J35" s="32"/>
      <c r="K35" s="32"/>
      <c r="L35" s="32"/>
      <c r="M35" s="32"/>
      <c r="N35" s="32"/>
    </row>
    <row r="36" spans="1:15" ht="24" customHeight="1" x14ac:dyDescent="0.15">
      <c r="A36" s="14" t="s">
        <v>61</v>
      </c>
      <c r="B36" s="14" t="s">
        <v>81</v>
      </c>
      <c r="M36" s="20"/>
      <c r="N36" s="20"/>
    </row>
    <row r="37" spans="1:15" ht="24" customHeight="1" x14ac:dyDescent="0.15">
      <c r="B37" s="152" t="s">
        <v>157</v>
      </c>
      <c r="C37" s="153"/>
      <c r="D37" s="153"/>
      <c r="E37" s="153"/>
      <c r="F37" s="153"/>
      <c r="G37" s="153"/>
      <c r="H37" s="153"/>
      <c r="I37" s="153"/>
      <c r="J37" s="153"/>
      <c r="K37" s="153"/>
      <c r="L37" s="153"/>
      <c r="M37" s="153"/>
      <c r="N37" s="154"/>
      <c r="O37" s="28" t="str">
        <f>IF(B37="","入力してください","")</f>
        <v/>
      </c>
    </row>
    <row r="38" spans="1:15" ht="7.5" customHeight="1" x14ac:dyDescent="0.15">
      <c r="B38" s="12"/>
      <c r="C38" s="12"/>
      <c r="D38" s="12"/>
      <c r="E38" s="12"/>
      <c r="F38" s="12"/>
      <c r="G38" s="12"/>
      <c r="H38" s="12"/>
      <c r="I38" s="12"/>
      <c r="J38" s="12"/>
      <c r="K38" s="12"/>
      <c r="L38" s="12"/>
      <c r="M38" s="12"/>
      <c r="N38" s="12"/>
    </row>
    <row r="39" spans="1:15" s="14" customFormat="1" ht="24" customHeight="1" x14ac:dyDescent="0.15">
      <c r="B39" s="160" t="s">
        <v>74</v>
      </c>
      <c r="C39" s="160"/>
      <c r="D39" s="152" t="s">
        <v>158</v>
      </c>
      <c r="E39" s="153"/>
      <c r="F39" s="153"/>
      <c r="G39" s="161" t="s">
        <v>23</v>
      </c>
      <c r="H39" s="160"/>
      <c r="I39" s="162"/>
      <c r="J39" s="152" t="s">
        <v>159</v>
      </c>
      <c r="K39" s="153"/>
      <c r="L39" s="153"/>
      <c r="M39" s="153"/>
      <c r="N39" s="154"/>
      <c r="O39" s="28" t="str">
        <f>IF(OR(D39="",J39=""),"入力してください","")</f>
        <v/>
      </c>
    </row>
    <row r="40" spans="1:15" ht="7.5" customHeight="1" x14ac:dyDescent="0.15">
      <c r="F40" s="32"/>
      <c r="G40" s="32"/>
      <c r="H40" s="32"/>
      <c r="I40" s="32"/>
      <c r="J40" s="32"/>
      <c r="K40" s="32"/>
      <c r="L40" s="32"/>
      <c r="M40" s="32"/>
      <c r="N40" s="32"/>
    </row>
    <row r="41" spans="1:15" ht="24" customHeight="1" x14ac:dyDescent="0.15">
      <c r="A41" s="14" t="s">
        <v>88</v>
      </c>
      <c r="B41" s="68" t="s">
        <v>69</v>
      </c>
      <c r="E41" s="69"/>
      <c r="F41" s="152" t="s">
        <v>160</v>
      </c>
      <c r="G41" s="153"/>
      <c r="H41" s="153"/>
      <c r="I41" s="153"/>
      <c r="J41" s="153"/>
      <c r="K41" s="153"/>
      <c r="L41" s="153"/>
      <c r="M41" s="153"/>
      <c r="N41" s="154"/>
      <c r="O41" s="28" t="str">
        <f>IF(F41="","入力してください","")</f>
        <v/>
      </c>
    </row>
    <row r="42" spans="1:15" ht="7.5" customHeight="1" x14ac:dyDescent="0.15">
      <c r="F42" s="32"/>
      <c r="G42" s="32"/>
      <c r="H42" s="32"/>
      <c r="I42" s="32"/>
      <c r="J42" s="32"/>
      <c r="K42" s="32"/>
      <c r="L42" s="32"/>
      <c r="M42" s="32"/>
      <c r="N42" s="32"/>
    </row>
    <row r="43" spans="1:15" ht="24" customHeight="1" x14ac:dyDescent="0.15">
      <c r="A43" s="14" t="s">
        <v>98</v>
      </c>
    </row>
    <row r="44" spans="1:15" ht="24" customHeight="1" x14ac:dyDescent="0.15">
      <c r="B44" s="27" t="s">
        <v>1</v>
      </c>
      <c r="C44" s="157" t="s">
        <v>161</v>
      </c>
      <c r="D44" s="158"/>
      <c r="E44" s="158"/>
      <c r="F44" s="158"/>
      <c r="G44" s="158"/>
      <c r="H44" s="159"/>
      <c r="I44" s="23" t="s">
        <v>2</v>
      </c>
      <c r="J44" s="24"/>
      <c r="K44" s="152" t="s">
        <v>162</v>
      </c>
      <c r="L44" s="153"/>
      <c r="M44" s="153"/>
      <c r="N44" s="154"/>
      <c r="O44" s="28" t="str">
        <f>IF(OR(C44="",K44=""),"入力してください","")</f>
        <v/>
      </c>
    </row>
    <row r="45" spans="1:15" ht="24" customHeight="1" x14ac:dyDescent="0.15">
      <c r="B45" s="22" t="s">
        <v>4</v>
      </c>
      <c r="C45" s="145" t="s">
        <v>163</v>
      </c>
      <c r="D45" s="146"/>
      <c r="E45" s="146"/>
      <c r="F45" s="146"/>
      <c r="G45" s="146"/>
      <c r="H45" s="147"/>
      <c r="I45" s="23" t="s">
        <v>3</v>
      </c>
      <c r="J45" s="24"/>
      <c r="K45" s="148" t="s">
        <v>164</v>
      </c>
      <c r="L45" s="149"/>
      <c r="M45" s="149"/>
      <c r="N45" s="150"/>
      <c r="O45" s="28"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63A62B39-197D-4446-AC71-6607BD761E8A}"/>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tabSelected="1" view="pageBreakPreview" zoomScale="85" zoomScaleNormal="100" zoomScaleSheetLayoutView="85" workbookViewId="0">
      <selection activeCell="N62" sqref="N62:R6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76" t="s">
        <v>166</v>
      </c>
      <c r="X1" s="276"/>
      <c r="Y1" s="276"/>
      <c r="Z1" s="276"/>
    </row>
    <row r="2" spans="1:26" ht="18" customHeight="1" x14ac:dyDescent="0.15">
      <c r="A2" s="230" t="s">
        <v>67</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26"/>
      <c r="C3" s="26"/>
      <c r="D3" s="26"/>
      <c r="E3" s="26"/>
      <c r="F3" s="26"/>
      <c r="G3" s="26"/>
      <c r="H3" s="26"/>
      <c r="I3" s="26"/>
      <c r="J3" s="26"/>
      <c r="K3" s="26"/>
      <c r="L3" s="26"/>
      <c r="M3" s="26"/>
      <c r="N3" s="26"/>
      <c r="O3" s="26"/>
      <c r="P3" s="26"/>
      <c r="Q3" s="26"/>
      <c r="R3" s="26"/>
      <c r="S3" s="26"/>
      <c r="T3" s="26"/>
      <c r="U3" s="26"/>
      <c r="V3" s="26"/>
      <c r="W3" s="26"/>
      <c r="X3" s="26"/>
      <c r="Y3" s="26"/>
      <c r="Z3" s="26"/>
    </row>
    <row r="4" spans="1:26" ht="18" customHeight="1" x14ac:dyDescent="0.15">
      <c r="A4" s="13" t="s">
        <v>99</v>
      </c>
      <c r="B4" s="26"/>
      <c r="C4" s="26"/>
      <c r="D4" s="26"/>
      <c r="E4" s="26"/>
      <c r="F4" s="26"/>
      <c r="G4" s="26"/>
      <c r="H4" s="15" t="s">
        <v>112</v>
      </c>
      <c r="I4" s="26"/>
      <c r="J4" s="26"/>
      <c r="K4" s="26"/>
      <c r="L4" s="26"/>
      <c r="M4" s="26"/>
      <c r="N4" s="26"/>
      <c r="O4" s="184" t="s">
        <v>165</v>
      </c>
      <c r="P4" s="185"/>
      <c r="Q4" s="185"/>
      <c r="R4" s="185"/>
      <c r="S4" s="185"/>
      <c r="T4" s="185"/>
      <c r="U4" s="185"/>
      <c r="V4" s="185"/>
      <c r="W4" s="185"/>
      <c r="X4" s="185"/>
      <c r="Y4" s="185"/>
      <c r="Z4" s="186"/>
    </row>
    <row r="5" spans="1:26" ht="6" customHeight="1" x14ac:dyDescent="0.15">
      <c r="B5" s="26"/>
      <c r="C5" s="26"/>
      <c r="D5" s="26"/>
      <c r="E5" s="26"/>
      <c r="F5" s="26"/>
      <c r="G5" s="26"/>
      <c r="H5" s="26"/>
      <c r="I5" s="26"/>
      <c r="J5" s="26"/>
      <c r="K5" s="26"/>
      <c r="L5" s="26"/>
      <c r="M5" s="26"/>
      <c r="N5" s="26"/>
      <c r="O5" s="16"/>
      <c r="P5" s="26"/>
      <c r="Q5" s="26"/>
      <c r="R5" s="26"/>
      <c r="S5" s="26"/>
      <c r="T5" s="26"/>
      <c r="U5" s="26"/>
      <c r="V5" s="26"/>
      <c r="W5" s="26"/>
      <c r="X5" s="26"/>
      <c r="Y5" s="26"/>
      <c r="Z5" s="26"/>
    </row>
    <row r="6" spans="1:26" ht="18" customHeight="1" x14ac:dyDescent="0.15">
      <c r="B6" s="231" t="s">
        <v>167</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6"/>
    </row>
    <row r="11" spans="1:26" ht="18" customHeight="1" x14ac:dyDescent="0.15">
      <c r="B11" s="238"/>
      <c r="C11" s="239"/>
      <c r="D11" s="239"/>
      <c r="E11" s="239"/>
      <c r="F11" s="239"/>
      <c r="G11" s="239"/>
      <c r="H11" s="239"/>
      <c r="I11" s="239"/>
      <c r="J11" s="239"/>
      <c r="K11" s="239"/>
      <c r="L11" s="239"/>
      <c r="M11" s="239"/>
      <c r="N11" s="239"/>
      <c r="O11" s="239"/>
      <c r="P11" s="239"/>
      <c r="Q11" s="239"/>
      <c r="R11" s="239"/>
      <c r="S11" s="239"/>
      <c r="T11" s="239"/>
      <c r="U11" s="239"/>
      <c r="V11" s="239"/>
      <c r="W11" s="239"/>
      <c r="X11" s="239"/>
      <c r="Y11" s="239"/>
      <c r="Z11" s="240"/>
    </row>
    <row r="12" spans="1:26" ht="7.5" customHeight="1" x14ac:dyDescent="0.15">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ht="18" customHeight="1" x14ac:dyDescent="0.15">
      <c r="A13" s="226" t="s">
        <v>125</v>
      </c>
      <c r="B13" s="226"/>
      <c r="C13" s="226"/>
      <c r="D13" s="226"/>
      <c r="E13" s="226"/>
      <c r="F13" s="226"/>
      <c r="G13" s="226"/>
      <c r="H13" s="226"/>
      <c r="I13" s="226"/>
      <c r="J13" s="226"/>
      <c r="K13" s="226"/>
      <c r="L13" s="226"/>
      <c r="M13" s="226"/>
      <c r="N13" s="226"/>
      <c r="O13" s="226"/>
      <c r="P13" s="226"/>
      <c r="Q13" s="226"/>
      <c r="R13" s="226"/>
      <c r="S13" s="226"/>
      <c r="T13" s="226"/>
      <c r="U13" s="226"/>
      <c r="V13" s="226"/>
      <c r="W13" s="226"/>
      <c r="X13" s="226"/>
      <c r="Y13" s="226"/>
      <c r="Z13" s="226"/>
    </row>
    <row r="14" spans="1:26" ht="18" customHeight="1" x14ac:dyDescent="0.15">
      <c r="A14" s="226"/>
      <c r="B14" s="226"/>
      <c r="C14" s="226"/>
      <c r="D14" s="226"/>
      <c r="E14" s="226"/>
      <c r="F14" s="226"/>
      <c r="G14" s="226"/>
      <c r="H14" s="226"/>
      <c r="I14" s="226"/>
      <c r="J14" s="226"/>
      <c r="K14" s="226"/>
      <c r="L14" s="226"/>
      <c r="M14" s="226"/>
      <c r="N14" s="226"/>
      <c r="O14" s="226"/>
      <c r="P14" s="226"/>
      <c r="Q14" s="226"/>
      <c r="R14" s="226"/>
      <c r="S14" s="226"/>
      <c r="T14" s="226"/>
      <c r="U14" s="226"/>
      <c r="V14" s="226"/>
      <c r="W14" s="226"/>
      <c r="X14" s="226"/>
      <c r="Y14" s="226"/>
      <c r="Z14" s="226"/>
    </row>
    <row r="15" spans="1:26" ht="18" customHeight="1" x14ac:dyDescent="0.15">
      <c r="A15" s="14"/>
      <c r="B15" s="184" t="s">
        <v>100</v>
      </c>
      <c r="C15" s="185"/>
      <c r="D15" s="185"/>
      <c r="E15" s="185"/>
      <c r="F15" s="186"/>
      <c r="G15" s="27" t="s">
        <v>141</v>
      </c>
      <c r="H15" s="106" t="s">
        <v>140</v>
      </c>
      <c r="I15" s="185" t="s">
        <v>101</v>
      </c>
      <c r="J15" s="185"/>
      <c r="K15" s="185"/>
      <c r="L15" s="70" t="s">
        <v>104</v>
      </c>
      <c r="M15" s="70" t="s">
        <v>107</v>
      </c>
      <c r="N15" s="184" t="s">
        <v>100</v>
      </c>
      <c r="O15" s="185"/>
      <c r="P15" s="185"/>
      <c r="Q15" s="185"/>
      <c r="R15" s="185"/>
      <c r="S15" s="186"/>
      <c r="T15" s="27" t="s">
        <v>141</v>
      </c>
      <c r="U15" s="106" t="s">
        <v>140</v>
      </c>
      <c r="V15" s="185" t="s">
        <v>101</v>
      </c>
      <c r="W15" s="185"/>
      <c r="X15" s="185"/>
      <c r="Y15" s="70" t="s">
        <v>104</v>
      </c>
      <c r="Z15" s="70" t="s">
        <v>107</v>
      </c>
    </row>
    <row r="16" spans="1:26" ht="18" customHeight="1" x14ac:dyDescent="0.15">
      <c r="A16" s="14"/>
      <c r="B16" s="217" t="s">
        <v>170</v>
      </c>
      <c r="C16" s="218"/>
      <c r="D16" s="218"/>
      <c r="E16" s="218"/>
      <c r="F16" s="219"/>
      <c r="G16" s="107">
        <v>2</v>
      </c>
      <c r="H16" s="107" t="s">
        <v>169</v>
      </c>
      <c r="I16" s="211" t="s">
        <v>168</v>
      </c>
      <c r="J16" s="212"/>
      <c r="K16" s="213"/>
      <c r="L16" s="107" t="s">
        <v>169</v>
      </c>
      <c r="M16" s="107" t="s">
        <v>169</v>
      </c>
      <c r="N16" s="178"/>
      <c r="O16" s="179"/>
      <c r="P16" s="179"/>
      <c r="Q16" s="179"/>
      <c r="R16" s="179"/>
      <c r="S16" s="180"/>
      <c r="T16" s="107"/>
      <c r="U16" s="107"/>
      <c r="V16" s="211"/>
      <c r="W16" s="212"/>
      <c r="X16" s="213"/>
      <c r="Y16" s="107"/>
      <c r="Z16" s="107"/>
    </row>
    <row r="17" spans="1:26" ht="18" customHeight="1" x14ac:dyDescent="0.15">
      <c r="A17" s="14"/>
      <c r="B17" s="220" t="s">
        <v>183</v>
      </c>
      <c r="C17" s="221"/>
      <c r="D17" s="221"/>
      <c r="E17" s="221"/>
      <c r="F17" s="222"/>
      <c r="G17" s="108">
        <v>2</v>
      </c>
      <c r="H17" s="108" t="s">
        <v>169</v>
      </c>
      <c r="I17" s="214" t="s">
        <v>168</v>
      </c>
      <c r="J17" s="215"/>
      <c r="K17" s="216"/>
      <c r="L17" s="108" t="s">
        <v>169</v>
      </c>
      <c r="M17" s="108"/>
      <c r="N17" s="190"/>
      <c r="O17" s="191"/>
      <c r="P17" s="191"/>
      <c r="Q17" s="191"/>
      <c r="R17" s="191"/>
      <c r="S17" s="192"/>
      <c r="T17" s="108"/>
      <c r="U17" s="108"/>
      <c r="V17" s="214"/>
      <c r="W17" s="215"/>
      <c r="X17" s="216"/>
      <c r="Y17" s="108"/>
      <c r="Z17" s="108"/>
    </row>
    <row r="18" spans="1:26" ht="18" customHeight="1" x14ac:dyDescent="0.15">
      <c r="A18" s="14"/>
      <c r="B18" s="220"/>
      <c r="C18" s="221"/>
      <c r="D18" s="221"/>
      <c r="E18" s="221"/>
      <c r="F18" s="222"/>
      <c r="G18" s="108"/>
      <c r="H18" s="108"/>
      <c r="I18" s="214"/>
      <c r="J18" s="215"/>
      <c r="K18" s="216"/>
      <c r="L18" s="108"/>
      <c r="M18" s="108"/>
      <c r="N18" s="190"/>
      <c r="O18" s="191"/>
      <c r="P18" s="191"/>
      <c r="Q18" s="191"/>
      <c r="R18" s="191"/>
      <c r="S18" s="192"/>
      <c r="T18" s="108"/>
      <c r="U18" s="108"/>
      <c r="V18" s="214"/>
      <c r="W18" s="215"/>
      <c r="X18" s="216"/>
      <c r="Y18" s="108"/>
      <c r="Z18" s="108"/>
    </row>
    <row r="19" spans="1:26" ht="18" customHeight="1" x14ac:dyDescent="0.15">
      <c r="A19" s="14"/>
      <c r="B19" s="220"/>
      <c r="C19" s="221"/>
      <c r="D19" s="221"/>
      <c r="E19" s="221"/>
      <c r="F19" s="222"/>
      <c r="G19" s="108"/>
      <c r="H19" s="108"/>
      <c r="I19" s="214"/>
      <c r="J19" s="215"/>
      <c r="K19" s="216"/>
      <c r="L19" s="108"/>
      <c r="M19" s="108"/>
      <c r="N19" s="190"/>
      <c r="O19" s="191"/>
      <c r="P19" s="191"/>
      <c r="Q19" s="191"/>
      <c r="R19" s="191"/>
      <c r="S19" s="192"/>
      <c r="T19" s="108"/>
      <c r="U19" s="108"/>
      <c r="V19" s="214"/>
      <c r="W19" s="215"/>
      <c r="X19" s="216"/>
      <c r="Y19" s="108"/>
      <c r="Z19" s="108"/>
    </row>
    <row r="20" spans="1:26" ht="18" customHeight="1" x14ac:dyDescent="0.15">
      <c r="A20" s="14"/>
      <c r="B20" s="220"/>
      <c r="C20" s="221"/>
      <c r="D20" s="221"/>
      <c r="E20" s="221"/>
      <c r="F20" s="222"/>
      <c r="G20" s="108"/>
      <c r="H20" s="108"/>
      <c r="I20" s="214"/>
      <c r="J20" s="215"/>
      <c r="K20" s="216"/>
      <c r="L20" s="108"/>
      <c r="M20" s="108"/>
      <c r="N20" s="190"/>
      <c r="O20" s="191"/>
      <c r="P20" s="191"/>
      <c r="Q20" s="191"/>
      <c r="R20" s="191"/>
      <c r="S20" s="192"/>
      <c r="T20" s="108"/>
      <c r="U20" s="108"/>
      <c r="V20" s="214"/>
      <c r="W20" s="215"/>
      <c r="X20" s="216"/>
      <c r="Y20" s="108"/>
      <c r="Z20" s="108"/>
    </row>
    <row r="21" spans="1:26" ht="18" customHeight="1" x14ac:dyDescent="0.15">
      <c r="A21" s="26"/>
      <c r="B21" s="220"/>
      <c r="C21" s="221"/>
      <c r="D21" s="221"/>
      <c r="E21" s="221"/>
      <c r="F21" s="222"/>
      <c r="G21" s="108"/>
      <c r="H21" s="108"/>
      <c r="I21" s="214"/>
      <c r="J21" s="215"/>
      <c r="K21" s="216"/>
      <c r="L21" s="108"/>
      <c r="M21" s="108"/>
      <c r="N21" s="190"/>
      <c r="O21" s="191"/>
      <c r="P21" s="191"/>
      <c r="Q21" s="191"/>
      <c r="R21" s="191"/>
      <c r="S21" s="192"/>
      <c r="T21" s="108"/>
      <c r="U21" s="108"/>
      <c r="V21" s="214"/>
      <c r="W21" s="215"/>
      <c r="X21" s="216"/>
      <c r="Y21" s="108"/>
      <c r="Z21" s="108"/>
    </row>
    <row r="22" spans="1:26" ht="18" customHeight="1" x14ac:dyDescent="0.15">
      <c r="A22" s="26"/>
      <c r="B22" s="227"/>
      <c r="C22" s="228"/>
      <c r="D22" s="228"/>
      <c r="E22" s="228"/>
      <c r="F22" s="229"/>
      <c r="G22" s="109"/>
      <c r="H22" s="109"/>
      <c r="I22" s="223"/>
      <c r="J22" s="224"/>
      <c r="K22" s="225"/>
      <c r="L22" s="115"/>
      <c r="M22" s="115"/>
      <c r="N22" s="255"/>
      <c r="O22" s="256"/>
      <c r="P22" s="256"/>
      <c r="Q22" s="256"/>
      <c r="R22" s="256"/>
      <c r="S22" s="257"/>
      <c r="T22" s="109"/>
      <c r="U22" s="109"/>
      <c r="V22" s="223"/>
      <c r="W22" s="224"/>
      <c r="X22" s="225"/>
      <c r="Y22" s="115"/>
      <c r="Z22" s="115"/>
    </row>
    <row r="23" spans="1:26" ht="7.5" customHeight="1" x14ac:dyDescent="0.15">
      <c r="A23" s="26"/>
      <c r="B23" s="71"/>
      <c r="C23" s="71"/>
      <c r="D23" s="26"/>
      <c r="E23" s="26"/>
      <c r="F23" s="26"/>
      <c r="G23" s="26"/>
      <c r="H23" s="26"/>
      <c r="I23" s="26"/>
      <c r="J23" s="26"/>
      <c r="K23" s="26"/>
      <c r="L23" s="71"/>
      <c r="M23" s="71"/>
      <c r="N23" s="71"/>
      <c r="O23" s="71"/>
      <c r="P23" s="71"/>
      <c r="Q23" s="71"/>
      <c r="R23" s="71"/>
      <c r="S23" s="71"/>
      <c r="T23" s="71"/>
      <c r="U23" s="71"/>
      <c r="V23" s="71"/>
      <c r="W23" s="71"/>
      <c r="X23" s="71"/>
      <c r="Y23" s="71"/>
      <c r="Z23" s="26"/>
    </row>
    <row r="24" spans="1:26" ht="18" customHeight="1" x14ac:dyDescent="0.15">
      <c r="A24" s="226" t="s">
        <v>126</v>
      </c>
      <c r="B24" s="226"/>
      <c r="C24" s="226"/>
      <c r="D24" s="226"/>
      <c r="E24" s="226"/>
      <c r="F24" s="226"/>
      <c r="G24" s="226"/>
      <c r="H24" s="226"/>
      <c r="I24" s="226"/>
      <c r="J24" s="226"/>
      <c r="K24" s="226"/>
      <c r="L24" s="226"/>
      <c r="M24" s="226"/>
      <c r="N24" s="226"/>
      <c r="O24" s="226"/>
      <c r="P24" s="226"/>
      <c r="Q24" s="226"/>
      <c r="R24" s="226"/>
      <c r="S24" s="226"/>
      <c r="T24" s="226"/>
      <c r="U24" s="226"/>
      <c r="V24" s="226"/>
      <c r="W24" s="226"/>
      <c r="X24" s="226"/>
      <c r="Y24" s="226"/>
      <c r="Z24" s="226"/>
    </row>
    <row r="25" spans="1:26" ht="18" customHeight="1" x14ac:dyDescent="0.15">
      <c r="A25" s="226"/>
      <c r="B25" s="226"/>
      <c r="C25" s="226"/>
      <c r="D25" s="226"/>
      <c r="E25" s="226"/>
      <c r="F25" s="226"/>
      <c r="G25" s="226"/>
      <c r="H25" s="226"/>
      <c r="I25" s="226"/>
      <c r="J25" s="226"/>
      <c r="K25" s="226"/>
      <c r="L25" s="226"/>
      <c r="M25" s="226"/>
      <c r="N25" s="226"/>
      <c r="O25" s="226"/>
      <c r="P25" s="226"/>
      <c r="Q25" s="226"/>
      <c r="R25" s="226"/>
      <c r="S25" s="226"/>
      <c r="T25" s="226"/>
      <c r="U25" s="226"/>
      <c r="V25" s="226"/>
      <c r="W25" s="226"/>
      <c r="X25" s="226"/>
      <c r="Y25" s="226"/>
      <c r="Z25" s="226"/>
    </row>
    <row r="26" spans="1:26" ht="18" customHeight="1" x14ac:dyDescent="0.15">
      <c r="A26" s="14"/>
      <c r="B26" s="184" t="s">
        <v>100</v>
      </c>
      <c r="C26" s="185"/>
      <c r="D26" s="185"/>
      <c r="E26" s="185"/>
      <c r="F26" s="186"/>
      <c r="G26" s="27" t="s">
        <v>141</v>
      </c>
      <c r="H26" s="106" t="s">
        <v>140</v>
      </c>
      <c r="I26" s="185" t="s">
        <v>101</v>
      </c>
      <c r="J26" s="185"/>
      <c r="K26" s="185"/>
      <c r="L26" s="70" t="s">
        <v>127</v>
      </c>
      <c r="M26" s="70" t="s">
        <v>128</v>
      </c>
      <c r="N26" s="184" t="s">
        <v>100</v>
      </c>
      <c r="O26" s="185"/>
      <c r="P26" s="185"/>
      <c r="Q26" s="185"/>
      <c r="R26" s="185"/>
      <c r="S26" s="186"/>
      <c r="T26" s="27" t="s">
        <v>141</v>
      </c>
      <c r="U26" s="106" t="s">
        <v>140</v>
      </c>
      <c r="V26" s="185" t="s">
        <v>101</v>
      </c>
      <c r="W26" s="185"/>
      <c r="X26" s="185"/>
      <c r="Y26" s="70" t="s">
        <v>127</v>
      </c>
      <c r="Z26" s="70" t="s">
        <v>128</v>
      </c>
    </row>
    <row r="27" spans="1:26" ht="18" customHeight="1" x14ac:dyDescent="0.15">
      <c r="A27" s="14"/>
      <c r="B27" s="217" t="s">
        <v>182</v>
      </c>
      <c r="C27" s="218"/>
      <c r="D27" s="218"/>
      <c r="E27" s="218"/>
      <c r="F27" s="219"/>
      <c r="G27" s="107">
        <v>2</v>
      </c>
      <c r="H27" s="107" t="s">
        <v>169</v>
      </c>
      <c r="I27" s="211" t="s">
        <v>168</v>
      </c>
      <c r="J27" s="212"/>
      <c r="K27" s="213"/>
      <c r="L27" s="107" t="s">
        <v>169</v>
      </c>
      <c r="M27" s="107" t="s">
        <v>169</v>
      </c>
      <c r="N27" s="178"/>
      <c r="O27" s="179"/>
      <c r="P27" s="179"/>
      <c r="Q27" s="179"/>
      <c r="R27" s="179"/>
      <c r="S27" s="180"/>
      <c r="T27" s="107"/>
      <c r="U27" s="107"/>
      <c r="V27" s="211"/>
      <c r="W27" s="212"/>
      <c r="X27" s="213"/>
      <c r="Y27" s="107"/>
      <c r="Z27" s="107"/>
    </row>
    <row r="28" spans="1:26" ht="18" customHeight="1" x14ac:dyDescent="0.15">
      <c r="A28" s="14"/>
      <c r="B28" s="220"/>
      <c r="C28" s="221"/>
      <c r="D28" s="221"/>
      <c r="E28" s="221"/>
      <c r="F28" s="222"/>
      <c r="G28" s="108"/>
      <c r="H28" s="108"/>
      <c r="I28" s="214"/>
      <c r="J28" s="215"/>
      <c r="K28" s="216"/>
      <c r="L28" s="108"/>
      <c r="M28" s="108"/>
      <c r="N28" s="190"/>
      <c r="O28" s="191"/>
      <c r="P28" s="191"/>
      <c r="Q28" s="191"/>
      <c r="R28" s="191"/>
      <c r="S28" s="192"/>
      <c r="T28" s="108"/>
      <c r="U28" s="108"/>
      <c r="V28" s="214"/>
      <c r="W28" s="215"/>
      <c r="X28" s="216"/>
      <c r="Y28" s="108"/>
      <c r="Z28" s="108"/>
    </row>
    <row r="29" spans="1:26" ht="18" customHeight="1" x14ac:dyDescent="0.15">
      <c r="A29" s="14"/>
      <c r="B29" s="220"/>
      <c r="C29" s="221"/>
      <c r="D29" s="221"/>
      <c r="E29" s="221"/>
      <c r="F29" s="222"/>
      <c r="G29" s="108"/>
      <c r="H29" s="108"/>
      <c r="I29" s="214"/>
      <c r="J29" s="215"/>
      <c r="K29" s="216"/>
      <c r="L29" s="108"/>
      <c r="M29" s="108"/>
      <c r="N29" s="190"/>
      <c r="O29" s="191"/>
      <c r="P29" s="191"/>
      <c r="Q29" s="191"/>
      <c r="R29" s="191"/>
      <c r="S29" s="192"/>
      <c r="T29" s="108"/>
      <c r="U29" s="108"/>
      <c r="V29" s="214"/>
      <c r="W29" s="215"/>
      <c r="X29" s="216"/>
      <c r="Y29" s="108"/>
      <c r="Z29" s="108"/>
    </row>
    <row r="30" spans="1:26" ht="18" customHeight="1" x14ac:dyDescent="0.15">
      <c r="A30" s="14"/>
      <c r="B30" s="220"/>
      <c r="C30" s="221"/>
      <c r="D30" s="221"/>
      <c r="E30" s="221"/>
      <c r="F30" s="222"/>
      <c r="G30" s="108"/>
      <c r="H30" s="108"/>
      <c r="I30" s="214"/>
      <c r="J30" s="215"/>
      <c r="K30" s="216"/>
      <c r="L30" s="108"/>
      <c r="M30" s="108"/>
      <c r="N30" s="190"/>
      <c r="O30" s="191"/>
      <c r="P30" s="191"/>
      <c r="Q30" s="191"/>
      <c r="R30" s="191"/>
      <c r="S30" s="192"/>
      <c r="T30" s="108"/>
      <c r="U30" s="108"/>
      <c r="V30" s="214"/>
      <c r="W30" s="215"/>
      <c r="X30" s="216"/>
      <c r="Y30" s="108"/>
      <c r="Z30" s="108"/>
    </row>
    <row r="31" spans="1:26" ht="18" customHeight="1" x14ac:dyDescent="0.15">
      <c r="A31" s="14"/>
      <c r="B31" s="220"/>
      <c r="C31" s="221"/>
      <c r="D31" s="221"/>
      <c r="E31" s="221"/>
      <c r="F31" s="222"/>
      <c r="G31" s="108"/>
      <c r="H31" s="108"/>
      <c r="I31" s="214"/>
      <c r="J31" s="215"/>
      <c r="K31" s="216"/>
      <c r="L31" s="108"/>
      <c r="M31" s="108"/>
      <c r="N31" s="190"/>
      <c r="O31" s="191"/>
      <c r="P31" s="191"/>
      <c r="Q31" s="191"/>
      <c r="R31" s="191"/>
      <c r="S31" s="192"/>
      <c r="T31" s="108"/>
      <c r="U31" s="108"/>
      <c r="V31" s="214"/>
      <c r="W31" s="215"/>
      <c r="X31" s="216"/>
      <c r="Y31" s="108"/>
      <c r="Z31" s="108"/>
    </row>
    <row r="32" spans="1:26" ht="18" customHeight="1" x14ac:dyDescent="0.15">
      <c r="A32" s="14"/>
      <c r="B32" s="220"/>
      <c r="C32" s="221"/>
      <c r="D32" s="221"/>
      <c r="E32" s="221"/>
      <c r="F32" s="222"/>
      <c r="G32" s="108"/>
      <c r="H32" s="108"/>
      <c r="I32" s="214"/>
      <c r="J32" s="215"/>
      <c r="K32" s="216"/>
      <c r="L32" s="108"/>
      <c r="M32" s="108"/>
      <c r="N32" s="190"/>
      <c r="O32" s="191"/>
      <c r="P32" s="191"/>
      <c r="Q32" s="191"/>
      <c r="R32" s="191"/>
      <c r="S32" s="192"/>
      <c r="T32" s="108"/>
      <c r="U32" s="108"/>
      <c r="V32" s="214"/>
      <c r="W32" s="215"/>
      <c r="X32" s="216"/>
      <c r="Y32" s="108"/>
      <c r="Z32" s="108"/>
    </row>
    <row r="33" spans="1:26" ht="18" customHeight="1" x14ac:dyDescent="0.15">
      <c r="A33" s="14"/>
      <c r="B33" s="227"/>
      <c r="C33" s="228"/>
      <c r="D33" s="228"/>
      <c r="E33" s="228"/>
      <c r="F33" s="229"/>
      <c r="G33" s="109"/>
      <c r="H33" s="109"/>
      <c r="I33" s="223"/>
      <c r="J33" s="224"/>
      <c r="K33" s="225"/>
      <c r="L33" s="115"/>
      <c r="M33" s="115"/>
      <c r="N33" s="255"/>
      <c r="O33" s="256"/>
      <c r="P33" s="256"/>
      <c r="Q33" s="256"/>
      <c r="R33" s="256"/>
      <c r="S33" s="257"/>
      <c r="T33" s="109"/>
      <c r="U33" s="109"/>
      <c r="V33" s="223"/>
      <c r="W33" s="224"/>
      <c r="X33" s="225"/>
      <c r="Y33" s="115"/>
      <c r="Z33" s="115"/>
    </row>
    <row r="34" spans="1:26" ht="7.5" customHeight="1" x14ac:dyDescent="0.15">
      <c r="A34" s="26"/>
      <c r="B34" s="71"/>
      <c r="C34" s="71"/>
      <c r="D34" s="26"/>
      <c r="E34" s="26"/>
      <c r="F34" s="26"/>
      <c r="G34" s="26"/>
      <c r="H34" s="26"/>
      <c r="I34" s="26"/>
      <c r="J34" s="26"/>
      <c r="K34" s="26"/>
      <c r="L34" s="71"/>
      <c r="M34" s="71"/>
      <c r="N34" s="71"/>
      <c r="O34" s="71"/>
      <c r="P34" s="71"/>
      <c r="Q34" s="71"/>
      <c r="R34" s="71"/>
      <c r="S34" s="71"/>
      <c r="T34" s="71"/>
      <c r="U34" s="71"/>
      <c r="V34" s="71"/>
      <c r="W34" s="71"/>
      <c r="X34" s="71"/>
      <c r="Y34" s="71"/>
      <c r="Z34" s="26"/>
    </row>
    <row r="35" spans="1:26" ht="18" customHeight="1" x14ac:dyDescent="0.15">
      <c r="A35" s="226" t="s">
        <v>129</v>
      </c>
      <c r="B35" s="226"/>
      <c r="C35" s="226"/>
      <c r="D35" s="226"/>
      <c r="E35" s="226"/>
      <c r="F35" s="226"/>
      <c r="G35" s="226"/>
      <c r="H35" s="226"/>
      <c r="I35" s="226"/>
      <c r="J35" s="226"/>
      <c r="K35" s="226"/>
      <c r="L35" s="226"/>
      <c r="M35" s="226"/>
      <c r="N35" s="226"/>
      <c r="O35" s="226"/>
      <c r="P35" s="226"/>
      <c r="Q35" s="226"/>
      <c r="R35" s="226"/>
      <c r="S35" s="226"/>
      <c r="T35" s="226"/>
      <c r="U35" s="226"/>
      <c r="V35" s="226"/>
      <c r="W35" s="226"/>
      <c r="X35" s="226"/>
      <c r="Y35" s="226"/>
      <c r="Z35" s="226"/>
    </row>
    <row r="36" spans="1:26" ht="18" customHeight="1" x14ac:dyDescent="0.15">
      <c r="A36" s="226"/>
      <c r="B36" s="226"/>
      <c r="C36" s="226"/>
      <c r="D36" s="226"/>
      <c r="E36" s="226"/>
      <c r="F36" s="226"/>
      <c r="G36" s="226"/>
      <c r="H36" s="226"/>
      <c r="I36" s="226"/>
      <c r="J36" s="226"/>
      <c r="K36" s="226"/>
      <c r="L36" s="226"/>
      <c r="M36" s="226"/>
      <c r="N36" s="226"/>
      <c r="O36" s="226"/>
      <c r="P36" s="226"/>
      <c r="Q36" s="226"/>
      <c r="R36" s="226"/>
      <c r="S36" s="226"/>
      <c r="T36" s="226"/>
      <c r="U36" s="226"/>
      <c r="V36" s="226"/>
      <c r="W36" s="226"/>
      <c r="X36" s="226"/>
      <c r="Y36" s="226"/>
      <c r="Z36" s="226"/>
    </row>
    <row r="37" spans="1:26" ht="18" customHeight="1" x14ac:dyDescent="0.15">
      <c r="A37" s="14"/>
      <c r="B37" s="184" t="s">
        <v>100</v>
      </c>
      <c r="C37" s="185"/>
      <c r="D37" s="185"/>
      <c r="E37" s="185"/>
      <c r="F37" s="186"/>
      <c r="G37" s="27" t="s">
        <v>141</v>
      </c>
      <c r="H37" s="106" t="s">
        <v>140</v>
      </c>
      <c r="I37" s="184" t="s">
        <v>101</v>
      </c>
      <c r="J37" s="185"/>
      <c r="K37" s="186"/>
      <c r="L37" s="70" t="s">
        <v>130</v>
      </c>
      <c r="M37" s="70" t="s">
        <v>131</v>
      </c>
      <c r="N37" s="184" t="s">
        <v>100</v>
      </c>
      <c r="O37" s="185"/>
      <c r="P37" s="185"/>
      <c r="Q37" s="185"/>
      <c r="R37" s="185"/>
      <c r="S37" s="186"/>
      <c r="T37" s="27" t="s">
        <v>141</v>
      </c>
      <c r="U37" s="106" t="s">
        <v>140</v>
      </c>
      <c r="V37" s="184" t="s">
        <v>101</v>
      </c>
      <c r="W37" s="185"/>
      <c r="X37" s="186"/>
      <c r="Y37" s="70" t="s">
        <v>130</v>
      </c>
      <c r="Z37" s="70" t="s">
        <v>131</v>
      </c>
    </row>
    <row r="38" spans="1:26" ht="18" customHeight="1" x14ac:dyDescent="0.15">
      <c r="A38" s="26"/>
      <c r="B38" s="217" t="s">
        <v>170</v>
      </c>
      <c r="C38" s="218"/>
      <c r="D38" s="218"/>
      <c r="E38" s="218"/>
      <c r="F38" s="219"/>
      <c r="G38" s="107">
        <v>2</v>
      </c>
      <c r="H38" s="107" t="s">
        <v>169</v>
      </c>
      <c r="I38" s="211" t="s">
        <v>168</v>
      </c>
      <c r="J38" s="212"/>
      <c r="K38" s="213"/>
      <c r="L38" s="107" t="s">
        <v>169</v>
      </c>
      <c r="M38" s="107" t="s">
        <v>169</v>
      </c>
      <c r="N38" s="178"/>
      <c r="O38" s="179"/>
      <c r="P38" s="179"/>
      <c r="Q38" s="179"/>
      <c r="R38" s="179"/>
      <c r="S38" s="180"/>
      <c r="T38" s="107"/>
      <c r="U38" s="107"/>
      <c r="V38" s="211"/>
      <c r="W38" s="212"/>
      <c r="X38" s="213"/>
      <c r="Y38" s="107"/>
      <c r="Z38" s="107"/>
    </row>
    <row r="39" spans="1:26" ht="18" customHeight="1" x14ac:dyDescent="0.15">
      <c r="A39" s="26"/>
      <c r="B39" s="220" t="s">
        <v>183</v>
      </c>
      <c r="C39" s="221"/>
      <c r="D39" s="221"/>
      <c r="E39" s="221"/>
      <c r="F39" s="222"/>
      <c r="G39" s="108">
        <v>2</v>
      </c>
      <c r="H39" s="108" t="s">
        <v>169</v>
      </c>
      <c r="I39" s="214" t="s">
        <v>168</v>
      </c>
      <c r="J39" s="215"/>
      <c r="K39" s="216"/>
      <c r="L39" s="108" t="s">
        <v>169</v>
      </c>
      <c r="M39" s="108"/>
      <c r="N39" s="190"/>
      <c r="O39" s="191"/>
      <c r="P39" s="191"/>
      <c r="Q39" s="191"/>
      <c r="R39" s="191"/>
      <c r="S39" s="192"/>
      <c r="T39" s="108"/>
      <c r="U39" s="108"/>
      <c r="V39" s="214"/>
      <c r="W39" s="215"/>
      <c r="X39" s="216"/>
      <c r="Y39" s="108"/>
      <c r="Z39" s="108"/>
    </row>
    <row r="40" spans="1:26" ht="18" customHeight="1" x14ac:dyDescent="0.15">
      <c r="A40" s="26"/>
      <c r="B40" s="220"/>
      <c r="C40" s="221"/>
      <c r="D40" s="221"/>
      <c r="E40" s="221"/>
      <c r="F40" s="222"/>
      <c r="G40" s="108"/>
      <c r="H40" s="108"/>
      <c r="I40" s="214"/>
      <c r="J40" s="215"/>
      <c r="K40" s="216"/>
      <c r="L40" s="108"/>
      <c r="M40" s="108"/>
      <c r="N40" s="190"/>
      <c r="O40" s="191"/>
      <c r="P40" s="191"/>
      <c r="Q40" s="191"/>
      <c r="R40" s="191"/>
      <c r="S40" s="192"/>
      <c r="T40" s="108"/>
      <c r="U40" s="108"/>
      <c r="V40" s="214"/>
      <c r="W40" s="215"/>
      <c r="X40" s="216"/>
      <c r="Y40" s="108"/>
      <c r="Z40" s="108"/>
    </row>
    <row r="41" spans="1:26" ht="18" customHeight="1" x14ac:dyDescent="0.15">
      <c r="A41" s="26"/>
      <c r="B41" s="220"/>
      <c r="C41" s="221"/>
      <c r="D41" s="221"/>
      <c r="E41" s="221"/>
      <c r="F41" s="222"/>
      <c r="G41" s="108"/>
      <c r="H41" s="108"/>
      <c r="I41" s="214"/>
      <c r="J41" s="215"/>
      <c r="K41" s="216"/>
      <c r="L41" s="108"/>
      <c r="M41" s="108"/>
      <c r="N41" s="190"/>
      <c r="O41" s="191"/>
      <c r="P41" s="191"/>
      <c r="Q41" s="191"/>
      <c r="R41" s="191"/>
      <c r="S41" s="192"/>
      <c r="T41" s="108"/>
      <c r="U41" s="108"/>
      <c r="V41" s="214"/>
      <c r="W41" s="215"/>
      <c r="X41" s="216"/>
      <c r="Y41" s="108"/>
      <c r="Z41" s="108"/>
    </row>
    <row r="42" spans="1:26" ht="18" customHeight="1" x14ac:dyDescent="0.15">
      <c r="A42" s="26"/>
      <c r="B42" s="220"/>
      <c r="C42" s="221"/>
      <c r="D42" s="221"/>
      <c r="E42" s="221"/>
      <c r="F42" s="222"/>
      <c r="G42" s="108"/>
      <c r="H42" s="108"/>
      <c r="I42" s="214"/>
      <c r="J42" s="215"/>
      <c r="K42" s="216"/>
      <c r="L42" s="108"/>
      <c r="M42" s="108"/>
      <c r="N42" s="190"/>
      <c r="O42" s="191"/>
      <c r="P42" s="191"/>
      <c r="Q42" s="191"/>
      <c r="R42" s="191"/>
      <c r="S42" s="192"/>
      <c r="T42" s="108"/>
      <c r="U42" s="108"/>
      <c r="V42" s="214"/>
      <c r="W42" s="215"/>
      <c r="X42" s="216"/>
      <c r="Y42" s="108"/>
      <c r="Z42" s="108"/>
    </row>
    <row r="43" spans="1:26" ht="18" customHeight="1" x14ac:dyDescent="0.15">
      <c r="A43" s="26"/>
      <c r="B43" s="220"/>
      <c r="C43" s="221"/>
      <c r="D43" s="221"/>
      <c r="E43" s="221"/>
      <c r="F43" s="222"/>
      <c r="G43" s="108"/>
      <c r="H43" s="108"/>
      <c r="I43" s="214"/>
      <c r="J43" s="215"/>
      <c r="K43" s="216"/>
      <c r="L43" s="108"/>
      <c r="M43" s="108"/>
      <c r="N43" s="190"/>
      <c r="O43" s="191"/>
      <c r="P43" s="191"/>
      <c r="Q43" s="191"/>
      <c r="R43" s="191"/>
      <c r="S43" s="192"/>
      <c r="T43" s="108"/>
      <c r="U43" s="108"/>
      <c r="V43" s="214"/>
      <c r="W43" s="215"/>
      <c r="X43" s="216"/>
      <c r="Y43" s="108"/>
      <c r="Z43" s="108"/>
    </row>
    <row r="44" spans="1:26" ht="18" customHeight="1" x14ac:dyDescent="0.15">
      <c r="A44" s="26"/>
      <c r="B44" s="227"/>
      <c r="C44" s="228"/>
      <c r="D44" s="228"/>
      <c r="E44" s="228"/>
      <c r="F44" s="229"/>
      <c r="G44" s="109"/>
      <c r="H44" s="109"/>
      <c r="I44" s="223"/>
      <c r="J44" s="224"/>
      <c r="K44" s="225"/>
      <c r="L44" s="115"/>
      <c r="M44" s="115"/>
      <c r="N44" s="255"/>
      <c r="O44" s="256"/>
      <c r="P44" s="256"/>
      <c r="Q44" s="256"/>
      <c r="R44" s="256"/>
      <c r="S44" s="257"/>
      <c r="T44" s="109"/>
      <c r="U44" s="109"/>
      <c r="V44" s="223"/>
      <c r="W44" s="224"/>
      <c r="X44" s="225"/>
      <c r="Y44" s="115"/>
      <c r="Z44" s="115"/>
    </row>
    <row r="45" spans="1:26" ht="7.5" customHeight="1" x14ac:dyDescent="0.15">
      <c r="B45" s="72"/>
      <c r="C45" s="72"/>
      <c r="D45" s="72"/>
      <c r="E45" s="72"/>
      <c r="F45" s="72"/>
      <c r="G45" s="72"/>
      <c r="H45" s="72"/>
      <c r="I45" s="72"/>
      <c r="J45" s="72"/>
      <c r="K45" s="72"/>
      <c r="L45" s="72"/>
      <c r="M45" s="72"/>
      <c r="N45" s="72"/>
      <c r="O45" s="72"/>
      <c r="P45" s="72"/>
      <c r="Q45" s="72"/>
      <c r="R45" s="72"/>
      <c r="S45" s="72"/>
      <c r="T45" s="72"/>
      <c r="U45" s="72"/>
      <c r="V45" s="72"/>
      <c r="W45" s="72"/>
      <c r="X45" s="72"/>
      <c r="Y45" s="72"/>
    </row>
    <row r="46" spans="1:26" ht="18" customHeight="1" x14ac:dyDescent="0.15">
      <c r="A46" s="226" t="s">
        <v>132</v>
      </c>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6"/>
      <c r="Z46" s="226"/>
    </row>
    <row r="47" spans="1:26" ht="18" customHeight="1" x14ac:dyDescent="0.15">
      <c r="A47" s="226"/>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6"/>
      <c r="Z47" s="226"/>
    </row>
    <row r="48" spans="1:26" ht="18" customHeight="1" x14ac:dyDescent="0.15">
      <c r="A48" s="14"/>
      <c r="B48" s="184" t="s">
        <v>100</v>
      </c>
      <c r="C48" s="185"/>
      <c r="D48" s="185"/>
      <c r="E48" s="185"/>
      <c r="F48" s="186"/>
      <c r="G48" s="27" t="s">
        <v>141</v>
      </c>
      <c r="H48" s="106" t="s">
        <v>140</v>
      </c>
      <c r="I48" s="184" t="s">
        <v>101</v>
      </c>
      <c r="J48" s="185"/>
      <c r="K48" s="186"/>
      <c r="L48" s="70" t="s">
        <v>106</v>
      </c>
      <c r="M48" s="70" t="s">
        <v>108</v>
      </c>
      <c r="N48" s="184" t="s">
        <v>100</v>
      </c>
      <c r="O48" s="185"/>
      <c r="P48" s="185"/>
      <c r="Q48" s="185"/>
      <c r="R48" s="185"/>
      <c r="S48" s="186"/>
      <c r="T48" s="27" t="s">
        <v>141</v>
      </c>
      <c r="U48" s="106" t="s">
        <v>140</v>
      </c>
      <c r="V48" s="184" t="s">
        <v>101</v>
      </c>
      <c r="W48" s="185"/>
      <c r="X48" s="186"/>
      <c r="Y48" s="70" t="s">
        <v>106</v>
      </c>
      <c r="Z48" s="70" t="s">
        <v>108</v>
      </c>
    </row>
    <row r="49" spans="1:26" ht="18" customHeight="1" x14ac:dyDescent="0.15">
      <c r="A49" s="26"/>
      <c r="B49" s="217" t="s">
        <v>174</v>
      </c>
      <c r="C49" s="218"/>
      <c r="D49" s="218"/>
      <c r="E49" s="218"/>
      <c r="F49" s="219"/>
      <c r="G49" s="107">
        <v>2</v>
      </c>
      <c r="H49" s="107" t="s">
        <v>169</v>
      </c>
      <c r="I49" s="211" t="s">
        <v>168</v>
      </c>
      <c r="J49" s="212"/>
      <c r="K49" s="213"/>
      <c r="L49" s="107" t="s">
        <v>169</v>
      </c>
      <c r="M49" s="107" t="s">
        <v>169</v>
      </c>
      <c r="N49" s="178"/>
      <c r="O49" s="179"/>
      <c r="P49" s="179"/>
      <c r="Q49" s="179"/>
      <c r="R49" s="179"/>
      <c r="S49" s="180"/>
      <c r="T49" s="107"/>
      <c r="U49" s="107"/>
      <c r="V49" s="211"/>
      <c r="W49" s="212"/>
      <c r="X49" s="213"/>
      <c r="Y49" s="107"/>
      <c r="Z49" s="107"/>
    </row>
    <row r="50" spans="1:26" ht="18" customHeight="1" x14ac:dyDescent="0.15">
      <c r="A50" s="26"/>
      <c r="B50" s="244" t="s">
        <v>170</v>
      </c>
      <c r="C50" s="245"/>
      <c r="D50" s="245"/>
      <c r="E50" s="245"/>
      <c r="F50" s="246"/>
      <c r="G50" s="116">
        <v>2</v>
      </c>
      <c r="H50" s="116" t="s">
        <v>169</v>
      </c>
      <c r="I50" s="241" t="s">
        <v>168</v>
      </c>
      <c r="J50" s="242"/>
      <c r="K50" s="243"/>
      <c r="L50" s="116" t="s">
        <v>169</v>
      </c>
      <c r="M50" s="116" t="s">
        <v>169</v>
      </c>
      <c r="N50" s="190"/>
      <c r="O50" s="191"/>
      <c r="P50" s="191"/>
      <c r="Q50" s="191"/>
      <c r="R50" s="191"/>
      <c r="S50" s="192"/>
      <c r="T50" s="108"/>
      <c r="U50" s="108"/>
      <c r="V50" s="214"/>
      <c r="W50" s="215"/>
      <c r="X50" s="216"/>
      <c r="Y50" s="108"/>
      <c r="Z50" s="108"/>
    </row>
    <row r="51" spans="1:26" ht="18" customHeight="1" x14ac:dyDescent="0.15">
      <c r="A51" s="26"/>
      <c r="B51" s="220"/>
      <c r="C51" s="221"/>
      <c r="D51" s="221"/>
      <c r="E51" s="221"/>
      <c r="F51" s="222"/>
      <c r="G51" s="108"/>
      <c r="H51" s="108"/>
      <c r="I51" s="214"/>
      <c r="J51" s="215"/>
      <c r="K51" s="216"/>
      <c r="L51" s="108"/>
      <c r="M51" s="108"/>
      <c r="N51" s="190"/>
      <c r="O51" s="191"/>
      <c r="P51" s="191"/>
      <c r="Q51" s="191"/>
      <c r="R51" s="191"/>
      <c r="S51" s="192"/>
      <c r="T51" s="108"/>
      <c r="U51" s="108"/>
      <c r="V51" s="214"/>
      <c r="W51" s="215"/>
      <c r="X51" s="216"/>
      <c r="Y51" s="108"/>
      <c r="Z51" s="108"/>
    </row>
    <row r="52" spans="1:26" ht="18" customHeight="1" x14ac:dyDescent="0.15">
      <c r="A52" s="26"/>
      <c r="B52" s="220"/>
      <c r="C52" s="221"/>
      <c r="D52" s="221"/>
      <c r="E52" s="221"/>
      <c r="F52" s="222"/>
      <c r="G52" s="108"/>
      <c r="H52" s="108"/>
      <c r="I52" s="214"/>
      <c r="J52" s="215"/>
      <c r="K52" s="216"/>
      <c r="L52" s="108"/>
      <c r="M52" s="108"/>
      <c r="N52" s="190"/>
      <c r="O52" s="191"/>
      <c r="P52" s="191"/>
      <c r="Q52" s="191"/>
      <c r="R52" s="191"/>
      <c r="S52" s="192"/>
      <c r="T52" s="108"/>
      <c r="U52" s="108"/>
      <c r="V52" s="214"/>
      <c r="W52" s="215"/>
      <c r="X52" s="216"/>
      <c r="Y52" s="108"/>
      <c r="Z52" s="108"/>
    </row>
    <row r="53" spans="1:26" ht="18" customHeight="1" x14ac:dyDescent="0.15">
      <c r="A53" s="26"/>
      <c r="B53" s="220"/>
      <c r="C53" s="221"/>
      <c r="D53" s="221"/>
      <c r="E53" s="221"/>
      <c r="F53" s="222"/>
      <c r="G53" s="108"/>
      <c r="H53" s="108"/>
      <c r="I53" s="214"/>
      <c r="J53" s="215"/>
      <c r="K53" s="216"/>
      <c r="L53" s="108"/>
      <c r="M53" s="108"/>
      <c r="N53" s="190"/>
      <c r="O53" s="191"/>
      <c r="P53" s="191"/>
      <c r="Q53" s="191"/>
      <c r="R53" s="191"/>
      <c r="S53" s="192"/>
      <c r="T53" s="108"/>
      <c r="U53" s="108"/>
      <c r="V53" s="214"/>
      <c r="W53" s="215"/>
      <c r="X53" s="216"/>
      <c r="Y53" s="108"/>
      <c r="Z53" s="108"/>
    </row>
    <row r="54" spans="1:26" ht="18" customHeight="1" x14ac:dyDescent="0.15">
      <c r="A54" s="26"/>
      <c r="B54" s="220"/>
      <c r="C54" s="221"/>
      <c r="D54" s="221"/>
      <c r="E54" s="221"/>
      <c r="F54" s="222"/>
      <c r="G54" s="108"/>
      <c r="H54" s="108"/>
      <c r="I54" s="214"/>
      <c r="J54" s="215"/>
      <c r="K54" s="216"/>
      <c r="L54" s="108"/>
      <c r="M54" s="108"/>
      <c r="N54" s="190"/>
      <c r="O54" s="191"/>
      <c r="P54" s="191"/>
      <c r="Q54" s="191"/>
      <c r="R54" s="191"/>
      <c r="S54" s="192"/>
      <c r="T54" s="108"/>
      <c r="U54" s="108"/>
      <c r="V54" s="214"/>
      <c r="W54" s="215"/>
      <c r="X54" s="216"/>
      <c r="Y54" s="108"/>
      <c r="Z54" s="108"/>
    </row>
    <row r="55" spans="1:26" ht="18" customHeight="1" x14ac:dyDescent="0.15">
      <c r="A55" s="26"/>
      <c r="B55" s="227"/>
      <c r="C55" s="228"/>
      <c r="D55" s="228"/>
      <c r="E55" s="228"/>
      <c r="F55" s="229"/>
      <c r="G55" s="109"/>
      <c r="H55" s="109"/>
      <c r="I55" s="223"/>
      <c r="J55" s="224"/>
      <c r="K55" s="225"/>
      <c r="L55" s="115"/>
      <c r="M55" s="115"/>
      <c r="N55" s="255"/>
      <c r="O55" s="256"/>
      <c r="P55" s="256"/>
      <c r="Q55" s="256"/>
      <c r="R55" s="256"/>
      <c r="S55" s="257"/>
      <c r="T55" s="109"/>
      <c r="U55" s="109"/>
      <c r="V55" s="223"/>
      <c r="W55" s="224"/>
      <c r="X55" s="225"/>
      <c r="Y55" s="115"/>
      <c r="Z55" s="115"/>
    </row>
    <row r="56" spans="1:26" ht="7.5" customHeight="1" x14ac:dyDescent="0.15">
      <c r="B56" s="72"/>
      <c r="C56" s="72"/>
      <c r="D56" s="72"/>
      <c r="E56" s="72"/>
      <c r="F56" s="72"/>
      <c r="G56" s="72"/>
      <c r="H56" s="72"/>
      <c r="I56" s="72"/>
      <c r="J56" s="72"/>
      <c r="K56" s="72"/>
      <c r="L56" s="72"/>
      <c r="M56" s="72"/>
      <c r="N56" s="72"/>
      <c r="O56" s="72"/>
      <c r="P56" s="72"/>
      <c r="Q56" s="72"/>
      <c r="R56" s="72"/>
      <c r="S56" s="72"/>
      <c r="T56" s="72"/>
      <c r="U56" s="72"/>
      <c r="V56" s="72"/>
      <c r="W56" s="72"/>
      <c r="X56" s="72"/>
      <c r="Y56" s="72"/>
    </row>
    <row r="57" spans="1:26" ht="18" customHeight="1" x14ac:dyDescent="0.15">
      <c r="A57" s="226" t="s">
        <v>133</v>
      </c>
      <c r="B57" s="226"/>
      <c r="C57" s="226"/>
      <c r="D57" s="226"/>
      <c r="E57" s="226"/>
      <c r="F57" s="226"/>
      <c r="G57" s="226"/>
      <c r="H57" s="226"/>
      <c r="I57" s="226"/>
      <c r="J57" s="226"/>
      <c r="K57" s="226"/>
      <c r="L57" s="226"/>
      <c r="M57" s="226"/>
      <c r="N57" s="226"/>
      <c r="O57" s="226"/>
      <c r="P57" s="226"/>
      <c r="Q57" s="226"/>
      <c r="R57" s="226"/>
      <c r="S57" s="226"/>
      <c r="T57" s="226"/>
      <c r="U57" s="226"/>
      <c r="V57" s="226"/>
      <c r="W57" s="226"/>
      <c r="X57" s="226"/>
      <c r="Y57" s="226"/>
      <c r="Z57" s="226"/>
    </row>
    <row r="58" spans="1:26" ht="18" customHeight="1" x14ac:dyDescent="0.15">
      <c r="A58" s="226"/>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row>
    <row r="59" spans="1:26" ht="18" customHeight="1" x14ac:dyDescent="0.15">
      <c r="A59" s="14"/>
      <c r="B59" s="184" t="s">
        <v>100</v>
      </c>
      <c r="C59" s="185"/>
      <c r="D59" s="185"/>
      <c r="E59" s="186"/>
      <c r="F59" s="27" t="s">
        <v>141</v>
      </c>
      <c r="G59" s="106" t="s">
        <v>140</v>
      </c>
      <c r="H59" s="101" t="s">
        <v>101</v>
      </c>
      <c r="I59" s="102"/>
      <c r="J59" s="103"/>
      <c r="K59" s="70" t="s">
        <v>105</v>
      </c>
      <c r="L59" s="70" t="s">
        <v>134</v>
      </c>
      <c r="M59" s="70" t="s">
        <v>135</v>
      </c>
      <c r="N59" s="184" t="s">
        <v>100</v>
      </c>
      <c r="O59" s="185"/>
      <c r="P59" s="185"/>
      <c r="Q59" s="185"/>
      <c r="R59" s="186"/>
      <c r="S59" s="27" t="s">
        <v>141</v>
      </c>
      <c r="T59" s="106" t="s">
        <v>140</v>
      </c>
      <c r="U59" s="101" t="s">
        <v>101</v>
      </c>
      <c r="V59" s="102"/>
      <c r="W59" s="103"/>
      <c r="X59" s="70" t="s">
        <v>105</v>
      </c>
      <c r="Y59" s="70" t="s">
        <v>134</v>
      </c>
      <c r="Z59" s="70" t="s">
        <v>135</v>
      </c>
    </row>
    <row r="60" spans="1:26" ht="18" customHeight="1" x14ac:dyDescent="0.15">
      <c r="A60" s="26"/>
      <c r="B60" s="178" t="s">
        <v>174</v>
      </c>
      <c r="C60" s="179"/>
      <c r="D60" s="179"/>
      <c r="E60" s="180"/>
      <c r="F60" s="107">
        <v>2</v>
      </c>
      <c r="G60" s="107" t="s">
        <v>169</v>
      </c>
      <c r="H60" s="211" t="s">
        <v>168</v>
      </c>
      <c r="I60" s="212"/>
      <c r="J60" s="213"/>
      <c r="K60" s="114"/>
      <c r="L60" s="107"/>
      <c r="M60" s="107" t="s">
        <v>169</v>
      </c>
      <c r="N60" s="178"/>
      <c r="O60" s="179"/>
      <c r="P60" s="179"/>
      <c r="Q60" s="179"/>
      <c r="R60" s="180"/>
      <c r="S60" s="107"/>
      <c r="T60" s="107"/>
      <c r="U60" s="211"/>
      <c r="V60" s="212"/>
      <c r="W60" s="213"/>
      <c r="X60" s="114"/>
      <c r="Y60" s="107"/>
      <c r="Z60" s="107"/>
    </row>
    <row r="61" spans="1:26" ht="18" customHeight="1" x14ac:dyDescent="0.15">
      <c r="A61" s="26"/>
      <c r="B61" s="190" t="s">
        <v>183</v>
      </c>
      <c r="C61" s="191"/>
      <c r="D61" s="191"/>
      <c r="E61" s="192"/>
      <c r="F61" s="108">
        <v>2</v>
      </c>
      <c r="G61" s="108" t="s">
        <v>169</v>
      </c>
      <c r="H61" s="214" t="s">
        <v>168</v>
      </c>
      <c r="I61" s="215"/>
      <c r="J61" s="216"/>
      <c r="K61" s="108" t="s">
        <v>169</v>
      </c>
      <c r="L61" s="108" t="s">
        <v>169</v>
      </c>
      <c r="M61" s="108" t="s">
        <v>169</v>
      </c>
      <c r="N61" s="190"/>
      <c r="O61" s="191"/>
      <c r="P61" s="191"/>
      <c r="Q61" s="191"/>
      <c r="R61" s="192"/>
      <c r="S61" s="108"/>
      <c r="T61" s="108"/>
      <c r="U61" s="214"/>
      <c r="V61" s="215"/>
      <c r="W61" s="216"/>
      <c r="X61" s="112"/>
      <c r="Y61" s="108"/>
      <c r="Z61" s="108"/>
    </row>
    <row r="62" spans="1:26" ht="18" customHeight="1" x14ac:dyDescent="0.15">
      <c r="A62" s="26"/>
      <c r="B62" s="190"/>
      <c r="C62" s="191"/>
      <c r="D62" s="191"/>
      <c r="E62" s="192"/>
      <c r="F62" s="108"/>
      <c r="G62" s="108"/>
      <c r="H62" s="214"/>
      <c r="I62" s="215"/>
      <c r="J62" s="216"/>
      <c r="K62" s="112"/>
      <c r="L62" s="108"/>
      <c r="M62" s="108"/>
      <c r="N62" s="190"/>
      <c r="O62" s="191"/>
      <c r="P62" s="191"/>
      <c r="Q62" s="191"/>
      <c r="R62" s="192"/>
      <c r="S62" s="108"/>
      <c r="T62" s="108"/>
      <c r="U62" s="214"/>
      <c r="V62" s="215"/>
      <c r="W62" s="216"/>
      <c r="X62" s="112"/>
      <c r="Y62" s="108"/>
      <c r="Z62" s="108"/>
    </row>
    <row r="63" spans="1:26" ht="18" customHeight="1" x14ac:dyDescent="0.15">
      <c r="A63" s="26"/>
      <c r="B63" s="190"/>
      <c r="C63" s="191"/>
      <c r="D63" s="191"/>
      <c r="E63" s="192"/>
      <c r="F63" s="108"/>
      <c r="G63" s="108"/>
      <c r="H63" s="214"/>
      <c r="I63" s="215"/>
      <c r="J63" s="216"/>
      <c r="K63" s="112"/>
      <c r="L63" s="108"/>
      <c r="M63" s="108"/>
      <c r="N63" s="190"/>
      <c r="O63" s="191"/>
      <c r="P63" s="191"/>
      <c r="Q63" s="191"/>
      <c r="R63" s="192"/>
      <c r="S63" s="108"/>
      <c r="T63" s="108"/>
      <c r="U63" s="214"/>
      <c r="V63" s="215"/>
      <c r="W63" s="216"/>
      <c r="X63" s="112"/>
      <c r="Y63" s="108"/>
      <c r="Z63" s="108"/>
    </row>
    <row r="64" spans="1:26" ht="18" customHeight="1" x14ac:dyDescent="0.15">
      <c r="A64" s="26"/>
      <c r="B64" s="190"/>
      <c r="C64" s="191"/>
      <c r="D64" s="191"/>
      <c r="E64" s="192"/>
      <c r="F64" s="108"/>
      <c r="G64" s="108"/>
      <c r="H64" s="214"/>
      <c r="I64" s="215"/>
      <c r="J64" s="216"/>
      <c r="K64" s="112"/>
      <c r="L64" s="108"/>
      <c r="M64" s="108"/>
      <c r="N64" s="190"/>
      <c r="O64" s="191"/>
      <c r="P64" s="191"/>
      <c r="Q64" s="191"/>
      <c r="R64" s="192"/>
      <c r="S64" s="108"/>
      <c r="T64" s="108"/>
      <c r="U64" s="214"/>
      <c r="V64" s="215"/>
      <c r="W64" s="216"/>
      <c r="X64" s="112"/>
      <c r="Y64" s="108"/>
      <c r="Z64" s="108"/>
    </row>
    <row r="65" spans="1:26" ht="18" customHeight="1" x14ac:dyDescent="0.15">
      <c r="A65" s="26"/>
      <c r="B65" s="190"/>
      <c r="C65" s="191"/>
      <c r="D65" s="191"/>
      <c r="E65" s="192"/>
      <c r="F65" s="108"/>
      <c r="G65" s="108"/>
      <c r="H65" s="214"/>
      <c r="I65" s="215"/>
      <c r="J65" s="216"/>
      <c r="K65" s="112"/>
      <c r="L65" s="108"/>
      <c r="M65" s="108"/>
      <c r="N65" s="190"/>
      <c r="O65" s="191"/>
      <c r="P65" s="191"/>
      <c r="Q65" s="191"/>
      <c r="R65" s="192"/>
      <c r="S65" s="108"/>
      <c r="T65" s="108"/>
      <c r="U65" s="214"/>
      <c r="V65" s="215"/>
      <c r="W65" s="216"/>
      <c r="X65" s="112"/>
      <c r="Y65" s="108"/>
      <c r="Z65" s="108"/>
    </row>
    <row r="66" spans="1:26" ht="18" customHeight="1" x14ac:dyDescent="0.15">
      <c r="A66" s="26"/>
      <c r="B66" s="255"/>
      <c r="C66" s="256"/>
      <c r="D66" s="256"/>
      <c r="E66" s="257"/>
      <c r="F66" s="109"/>
      <c r="G66" s="109"/>
      <c r="H66" s="223"/>
      <c r="I66" s="224"/>
      <c r="J66" s="225"/>
      <c r="K66" s="113"/>
      <c r="L66" s="115"/>
      <c r="M66" s="115"/>
      <c r="N66" s="255"/>
      <c r="O66" s="256"/>
      <c r="P66" s="256"/>
      <c r="Q66" s="256"/>
      <c r="R66" s="257"/>
      <c r="S66" s="109"/>
      <c r="T66" s="109"/>
      <c r="U66" s="223"/>
      <c r="V66" s="224"/>
      <c r="W66" s="225"/>
      <c r="X66" s="113"/>
      <c r="Y66" s="115"/>
      <c r="Z66" s="115"/>
    </row>
    <row r="67" spans="1:26" ht="7.5" customHeight="1" x14ac:dyDescent="0.15">
      <c r="B67" s="72"/>
      <c r="C67" s="72"/>
      <c r="D67" s="72"/>
      <c r="E67" s="72"/>
      <c r="F67" s="72"/>
      <c r="G67" s="72"/>
      <c r="H67" s="72"/>
      <c r="I67" s="72"/>
      <c r="J67" s="72"/>
      <c r="K67" s="72"/>
      <c r="L67" s="72"/>
      <c r="M67" s="72"/>
      <c r="N67" s="72"/>
      <c r="O67" s="72"/>
      <c r="P67" s="72"/>
      <c r="Q67" s="72"/>
      <c r="R67" s="72"/>
      <c r="S67" s="72"/>
      <c r="T67" s="72"/>
      <c r="U67" s="72"/>
      <c r="V67" s="72"/>
      <c r="W67" s="72"/>
      <c r="X67" s="72"/>
      <c r="Y67" s="72"/>
    </row>
    <row r="68" spans="1:26" ht="18" customHeight="1" x14ac:dyDescent="0.15">
      <c r="A68" s="14" t="s">
        <v>136</v>
      </c>
      <c r="B68" s="14"/>
      <c r="C68" s="14"/>
      <c r="D68" s="14"/>
      <c r="E68" s="14"/>
      <c r="F68" s="14"/>
      <c r="G68" s="14"/>
      <c r="H68" s="14"/>
      <c r="I68" s="14"/>
      <c r="J68" s="14"/>
      <c r="K68" s="14"/>
      <c r="L68" s="26"/>
      <c r="M68" s="26"/>
      <c r="N68" s="26"/>
      <c r="O68" s="26"/>
      <c r="P68" s="26"/>
      <c r="Q68" s="26"/>
      <c r="R68" s="26"/>
      <c r="S68" s="26"/>
      <c r="T68" s="26"/>
      <c r="U68" s="26"/>
      <c r="V68" s="26"/>
      <c r="W68" s="26"/>
      <c r="X68" s="26"/>
      <c r="Y68" s="26"/>
      <c r="Z68" s="26"/>
    </row>
    <row r="69" spans="1:26" ht="18" customHeight="1" x14ac:dyDescent="0.15">
      <c r="A69" s="14"/>
      <c r="B69" s="184" t="s">
        <v>100</v>
      </c>
      <c r="C69" s="185"/>
      <c r="D69" s="185"/>
      <c r="E69" s="185"/>
      <c r="F69" s="186"/>
      <c r="G69" s="184" t="s">
        <v>146</v>
      </c>
      <c r="H69" s="185"/>
      <c r="I69" s="185"/>
      <c r="J69" s="185"/>
      <c r="K69" s="185"/>
      <c r="L69" s="185"/>
      <c r="M69" s="186"/>
      <c r="N69" s="261" t="s">
        <v>100</v>
      </c>
      <c r="O69" s="262"/>
      <c r="P69" s="262"/>
      <c r="Q69" s="262"/>
      <c r="R69" s="262"/>
      <c r="S69" s="263"/>
      <c r="T69" s="184" t="s">
        <v>146</v>
      </c>
      <c r="U69" s="185"/>
      <c r="V69" s="185"/>
      <c r="W69" s="185"/>
      <c r="X69" s="185"/>
      <c r="Y69" s="185"/>
      <c r="Z69" s="186"/>
    </row>
    <row r="70" spans="1:26" ht="18" customHeight="1" x14ac:dyDescent="0.15">
      <c r="A70" s="26"/>
      <c r="B70" s="178" t="s">
        <v>182</v>
      </c>
      <c r="C70" s="179"/>
      <c r="D70" s="179"/>
      <c r="E70" s="179"/>
      <c r="F70" s="180"/>
      <c r="G70" s="181" t="s">
        <v>184</v>
      </c>
      <c r="H70" s="182"/>
      <c r="I70" s="182"/>
      <c r="J70" s="182"/>
      <c r="K70" s="182"/>
      <c r="L70" s="182"/>
      <c r="M70" s="183"/>
      <c r="N70" s="178"/>
      <c r="O70" s="179"/>
      <c r="P70" s="179"/>
      <c r="Q70" s="179"/>
      <c r="R70" s="179"/>
      <c r="S70" s="180"/>
      <c r="T70" s="181"/>
      <c r="U70" s="182"/>
      <c r="V70" s="182"/>
      <c r="W70" s="182"/>
      <c r="X70" s="182"/>
      <c r="Y70" s="182"/>
      <c r="Z70" s="183"/>
    </row>
    <row r="71" spans="1:26" ht="18" customHeight="1" x14ac:dyDescent="0.15">
      <c r="A71" s="26"/>
      <c r="B71" s="190" t="s">
        <v>183</v>
      </c>
      <c r="C71" s="191"/>
      <c r="D71" s="191"/>
      <c r="E71" s="191"/>
      <c r="F71" s="192"/>
      <c r="G71" s="193" t="s">
        <v>186</v>
      </c>
      <c r="H71" s="194"/>
      <c r="I71" s="194"/>
      <c r="J71" s="194"/>
      <c r="K71" s="194"/>
      <c r="L71" s="194"/>
      <c r="M71" s="195"/>
      <c r="N71" s="190"/>
      <c r="O71" s="191"/>
      <c r="P71" s="191"/>
      <c r="Q71" s="191"/>
      <c r="R71" s="191"/>
      <c r="S71" s="192"/>
      <c r="T71" s="193"/>
      <c r="U71" s="194"/>
      <c r="V71" s="194"/>
      <c r="W71" s="194"/>
      <c r="X71" s="194"/>
      <c r="Y71" s="194"/>
      <c r="Z71" s="195"/>
    </row>
    <row r="72" spans="1:26" ht="18" customHeight="1" x14ac:dyDescent="0.15">
      <c r="A72" s="26"/>
      <c r="B72" s="190" t="s">
        <v>185</v>
      </c>
      <c r="C72" s="191"/>
      <c r="D72" s="191"/>
      <c r="E72" s="191"/>
      <c r="F72" s="192"/>
      <c r="G72" s="193" t="s">
        <v>187</v>
      </c>
      <c r="H72" s="194"/>
      <c r="I72" s="194"/>
      <c r="J72" s="194"/>
      <c r="K72" s="194"/>
      <c r="L72" s="194"/>
      <c r="M72" s="195"/>
      <c r="N72" s="190"/>
      <c r="O72" s="191"/>
      <c r="P72" s="191"/>
      <c r="Q72" s="191"/>
      <c r="R72" s="191"/>
      <c r="S72" s="192"/>
      <c r="T72" s="193"/>
      <c r="U72" s="194"/>
      <c r="V72" s="194"/>
      <c r="W72" s="194"/>
      <c r="X72" s="194"/>
      <c r="Y72" s="194"/>
      <c r="Z72" s="195"/>
    </row>
    <row r="73" spans="1:26" ht="18" customHeight="1" x14ac:dyDescent="0.15">
      <c r="A73" s="26"/>
      <c r="B73" s="190" t="s">
        <v>185</v>
      </c>
      <c r="C73" s="191"/>
      <c r="D73" s="191"/>
      <c r="E73" s="191"/>
      <c r="F73" s="192"/>
      <c r="G73" s="193" t="s">
        <v>188</v>
      </c>
      <c r="H73" s="194"/>
      <c r="I73" s="194"/>
      <c r="J73" s="194"/>
      <c r="K73" s="194"/>
      <c r="L73" s="194"/>
      <c r="M73" s="195"/>
      <c r="N73" s="190"/>
      <c r="O73" s="191"/>
      <c r="P73" s="191"/>
      <c r="Q73" s="191"/>
      <c r="R73" s="191"/>
      <c r="S73" s="192"/>
      <c r="T73" s="193"/>
      <c r="U73" s="194"/>
      <c r="V73" s="194"/>
      <c r="W73" s="194"/>
      <c r="X73" s="194"/>
      <c r="Y73" s="194"/>
      <c r="Z73" s="195"/>
    </row>
    <row r="74" spans="1:26" ht="18" customHeight="1" x14ac:dyDescent="0.15">
      <c r="A74" s="26"/>
      <c r="B74" s="190" t="s">
        <v>185</v>
      </c>
      <c r="C74" s="191"/>
      <c r="D74" s="191"/>
      <c r="E74" s="191"/>
      <c r="F74" s="192"/>
      <c r="G74" s="193" t="s">
        <v>189</v>
      </c>
      <c r="H74" s="194"/>
      <c r="I74" s="194"/>
      <c r="J74" s="194"/>
      <c r="K74" s="194"/>
      <c r="L74" s="194"/>
      <c r="M74" s="195"/>
      <c r="N74" s="190"/>
      <c r="O74" s="191"/>
      <c r="P74" s="191"/>
      <c r="Q74" s="191"/>
      <c r="R74" s="191"/>
      <c r="S74" s="192"/>
      <c r="T74" s="193"/>
      <c r="U74" s="194"/>
      <c r="V74" s="194"/>
      <c r="W74" s="194"/>
      <c r="X74" s="194"/>
      <c r="Y74" s="194"/>
      <c r="Z74" s="195"/>
    </row>
    <row r="75" spans="1:26" ht="18" customHeight="1" x14ac:dyDescent="0.15">
      <c r="A75" s="26"/>
      <c r="B75" s="190"/>
      <c r="C75" s="191"/>
      <c r="D75" s="191"/>
      <c r="E75" s="191"/>
      <c r="F75" s="192"/>
      <c r="G75" s="193"/>
      <c r="H75" s="194"/>
      <c r="I75" s="194"/>
      <c r="J75" s="194"/>
      <c r="K75" s="194"/>
      <c r="L75" s="194"/>
      <c r="M75" s="195"/>
      <c r="N75" s="190"/>
      <c r="O75" s="191"/>
      <c r="P75" s="191"/>
      <c r="Q75" s="191"/>
      <c r="R75" s="191"/>
      <c r="S75" s="192"/>
      <c r="T75" s="193"/>
      <c r="U75" s="194"/>
      <c r="V75" s="194"/>
      <c r="W75" s="194"/>
      <c r="X75" s="194"/>
      <c r="Y75" s="194"/>
      <c r="Z75" s="195"/>
    </row>
    <row r="76" spans="1:26" ht="18" customHeight="1" x14ac:dyDescent="0.15">
      <c r="A76" s="26"/>
      <c r="B76" s="255"/>
      <c r="C76" s="256"/>
      <c r="D76" s="256"/>
      <c r="E76" s="256"/>
      <c r="F76" s="257"/>
      <c r="G76" s="258"/>
      <c r="H76" s="259"/>
      <c r="I76" s="259"/>
      <c r="J76" s="259"/>
      <c r="K76" s="259"/>
      <c r="L76" s="259"/>
      <c r="M76" s="260"/>
      <c r="N76" s="255"/>
      <c r="O76" s="256"/>
      <c r="P76" s="256"/>
      <c r="Q76" s="256"/>
      <c r="R76" s="256"/>
      <c r="S76" s="257"/>
      <c r="T76" s="258"/>
      <c r="U76" s="259"/>
      <c r="V76" s="259"/>
      <c r="W76" s="259"/>
      <c r="X76" s="259"/>
      <c r="Y76" s="259"/>
      <c r="Z76" s="260"/>
    </row>
    <row r="77" spans="1:26" ht="18" customHeight="1" x14ac:dyDescent="0.15">
      <c r="A77" s="26"/>
      <c r="B77" s="67"/>
      <c r="C77" s="67"/>
      <c r="D77" s="67"/>
      <c r="E77" s="67"/>
      <c r="F77" s="67"/>
      <c r="G77" s="12"/>
      <c r="H77" s="12"/>
      <c r="I77" s="12"/>
      <c r="J77" s="12"/>
      <c r="K77" s="12"/>
      <c r="L77" s="12"/>
      <c r="M77" s="12"/>
      <c r="N77" s="67"/>
      <c r="O77" s="67"/>
      <c r="P77" s="67"/>
      <c r="Q77" s="67"/>
      <c r="R77" s="67"/>
      <c r="S77" s="67"/>
      <c r="T77" s="12"/>
      <c r="U77" s="12"/>
      <c r="V77" s="12"/>
      <c r="W77" s="12"/>
      <c r="X77" s="12"/>
      <c r="Y77" s="12"/>
      <c r="Z77" s="12"/>
    </row>
    <row r="78" spans="1:26" ht="18.75" customHeight="1" x14ac:dyDescent="0.15">
      <c r="A78" s="13" t="s">
        <v>142</v>
      </c>
    </row>
    <row r="79" spans="1:26" ht="18.75" customHeight="1" x14ac:dyDescent="0.15">
      <c r="B79" s="73" t="s">
        <v>102</v>
      </c>
      <c r="C79" s="74"/>
      <c r="D79" s="209" t="s">
        <v>103</v>
      </c>
      <c r="E79" s="209"/>
      <c r="F79" s="209"/>
      <c r="G79" s="209"/>
      <c r="H79" s="209"/>
      <c r="I79" s="209"/>
      <c r="J79" s="209"/>
      <c r="K79" s="209"/>
      <c r="L79" s="209"/>
      <c r="M79" s="209"/>
      <c r="N79" s="209"/>
      <c r="O79" s="209"/>
      <c r="P79" s="209"/>
      <c r="Q79" s="209"/>
      <c r="R79" s="209"/>
      <c r="S79" s="209"/>
      <c r="T79" s="209"/>
      <c r="U79" s="209"/>
      <c r="V79" s="209"/>
      <c r="W79" s="209"/>
      <c r="X79" s="209"/>
      <c r="Y79" s="209"/>
      <c r="Z79" s="210"/>
    </row>
    <row r="80" spans="1:26" ht="78" customHeight="1" x14ac:dyDescent="0.15">
      <c r="B80" s="198" t="s">
        <v>109</v>
      </c>
      <c r="C80" s="80" t="s">
        <v>104</v>
      </c>
      <c r="D80" s="205" t="s">
        <v>181</v>
      </c>
      <c r="E80" s="205"/>
      <c r="F80" s="205"/>
      <c r="G80" s="205"/>
      <c r="H80" s="205"/>
      <c r="I80" s="205"/>
      <c r="J80" s="205"/>
      <c r="K80" s="205"/>
      <c r="L80" s="205"/>
      <c r="M80" s="205"/>
      <c r="N80" s="205"/>
      <c r="O80" s="205"/>
      <c r="P80" s="205"/>
      <c r="Q80" s="205"/>
      <c r="R80" s="205"/>
      <c r="S80" s="205"/>
      <c r="T80" s="205"/>
      <c r="U80" s="205"/>
      <c r="V80" s="205"/>
      <c r="W80" s="205"/>
      <c r="X80" s="205"/>
      <c r="Y80" s="205"/>
      <c r="Z80" s="206"/>
    </row>
    <row r="81" spans="1:26" ht="78" customHeight="1" x14ac:dyDescent="0.15">
      <c r="B81" s="199"/>
      <c r="C81" s="104" t="s">
        <v>137</v>
      </c>
      <c r="D81" s="247" t="s">
        <v>171</v>
      </c>
      <c r="E81" s="247"/>
      <c r="F81" s="247"/>
      <c r="G81" s="247"/>
      <c r="H81" s="247"/>
      <c r="I81" s="247"/>
      <c r="J81" s="247"/>
      <c r="K81" s="247"/>
      <c r="L81" s="247"/>
      <c r="M81" s="247"/>
      <c r="N81" s="247"/>
      <c r="O81" s="247"/>
      <c r="P81" s="247"/>
      <c r="Q81" s="247"/>
      <c r="R81" s="247"/>
      <c r="S81" s="247"/>
      <c r="T81" s="247"/>
      <c r="U81" s="247"/>
      <c r="V81" s="247"/>
      <c r="W81" s="247"/>
      <c r="X81" s="247"/>
      <c r="Y81" s="247"/>
      <c r="Z81" s="248"/>
    </row>
    <row r="82" spans="1:26" ht="78" customHeight="1" x14ac:dyDescent="0.15">
      <c r="B82" s="196" t="s">
        <v>110</v>
      </c>
      <c r="C82" s="75" t="s">
        <v>127</v>
      </c>
      <c r="D82" s="249" t="s">
        <v>175</v>
      </c>
      <c r="E82" s="249"/>
      <c r="F82" s="249"/>
      <c r="G82" s="249"/>
      <c r="H82" s="249"/>
      <c r="I82" s="249"/>
      <c r="J82" s="249"/>
      <c r="K82" s="249"/>
      <c r="L82" s="249"/>
      <c r="M82" s="249"/>
      <c r="N82" s="249"/>
      <c r="O82" s="249"/>
      <c r="P82" s="249"/>
      <c r="Q82" s="249"/>
      <c r="R82" s="249"/>
      <c r="S82" s="249"/>
      <c r="T82" s="249"/>
      <c r="U82" s="249"/>
      <c r="V82" s="249"/>
      <c r="W82" s="249"/>
      <c r="X82" s="249"/>
      <c r="Y82" s="249"/>
      <c r="Z82" s="250"/>
    </row>
    <row r="83" spans="1:26" ht="78" customHeight="1" x14ac:dyDescent="0.15">
      <c r="B83" s="197"/>
      <c r="C83" s="105" t="s">
        <v>128</v>
      </c>
      <c r="D83" s="253" t="s">
        <v>180</v>
      </c>
      <c r="E83" s="253"/>
      <c r="F83" s="253"/>
      <c r="G83" s="253"/>
      <c r="H83" s="253"/>
      <c r="I83" s="253"/>
      <c r="J83" s="253"/>
      <c r="K83" s="253"/>
      <c r="L83" s="253"/>
      <c r="M83" s="253"/>
      <c r="N83" s="253"/>
      <c r="O83" s="253"/>
      <c r="P83" s="253"/>
      <c r="Q83" s="253"/>
      <c r="R83" s="253"/>
      <c r="S83" s="253"/>
      <c r="T83" s="253"/>
      <c r="U83" s="253"/>
      <c r="V83" s="253"/>
      <c r="W83" s="253"/>
      <c r="X83" s="253"/>
      <c r="Y83" s="253"/>
      <c r="Z83" s="254"/>
    </row>
    <row r="84" spans="1:26" ht="66" customHeight="1" x14ac:dyDescent="0.15">
      <c r="B84" s="196" t="s">
        <v>111</v>
      </c>
      <c r="C84" s="75" t="s">
        <v>130</v>
      </c>
      <c r="D84" s="249" t="s">
        <v>177</v>
      </c>
      <c r="E84" s="249"/>
      <c r="F84" s="249"/>
      <c r="G84" s="249"/>
      <c r="H84" s="249"/>
      <c r="I84" s="249"/>
      <c r="J84" s="249"/>
      <c r="K84" s="249"/>
      <c r="L84" s="249"/>
      <c r="M84" s="249"/>
      <c r="N84" s="249"/>
      <c r="O84" s="249"/>
      <c r="P84" s="249"/>
      <c r="Q84" s="249"/>
      <c r="R84" s="249"/>
      <c r="S84" s="249"/>
      <c r="T84" s="249"/>
      <c r="U84" s="249"/>
      <c r="V84" s="249"/>
      <c r="W84" s="249"/>
      <c r="X84" s="249"/>
      <c r="Y84" s="249"/>
      <c r="Z84" s="250"/>
    </row>
    <row r="85" spans="1:26" ht="66" customHeight="1" x14ac:dyDescent="0.15">
      <c r="B85" s="197"/>
      <c r="C85" s="77" t="s">
        <v>131</v>
      </c>
      <c r="D85" s="251" t="s">
        <v>171</v>
      </c>
      <c r="E85" s="251"/>
      <c r="F85" s="251"/>
      <c r="G85" s="251"/>
      <c r="H85" s="251"/>
      <c r="I85" s="251"/>
      <c r="J85" s="251"/>
      <c r="K85" s="251"/>
      <c r="L85" s="251"/>
      <c r="M85" s="251"/>
      <c r="N85" s="251"/>
      <c r="O85" s="251"/>
      <c r="P85" s="251"/>
      <c r="Q85" s="251"/>
      <c r="R85" s="251"/>
      <c r="S85" s="251"/>
      <c r="T85" s="251"/>
      <c r="U85" s="251"/>
      <c r="V85" s="251"/>
      <c r="W85" s="251"/>
      <c r="X85" s="251"/>
      <c r="Y85" s="251"/>
      <c r="Z85" s="252"/>
    </row>
    <row r="86" spans="1:26" ht="66" customHeight="1" x14ac:dyDescent="0.15">
      <c r="B86" s="198" t="s">
        <v>138</v>
      </c>
      <c r="C86" s="80" t="s">
        <v>106</v>
      </c>
      <c r="D86" s="205" t="s">
        <v>173</v>
      </c>
      <c r="E86" s="205"/>
      <c r="F86" s="205"/>
      <c r="G86" s="205"/>
      <c r="H86" s="205"/>
      <c r="I86" s="205"/>
      <c r="J86" s="205"/>
      <c r="K86" s="205"/>
      <c r="L86" s="205"/>
      <c r="M86" s="205"/>
      <c r="N86" s="205"/>
      <c r="O86" s="205"/>
      <c r="P86" s="205"/>
      <c r="Q86" s="205"/>
      <c r="R86" s="205"/>
      <c r="S86" s="205"/>
      <c r="T86" s="205"/>
      <c r="U86" s="205"/>
      <c r="V86" s="205"/>
      <c r="W86" s="205"/>
      <c r="X86" s="205"/>
      <c r="Y86" s="205"/>
      <c r="Z86" s="206"/>
    </row>
    <row r="87" spans="1:26" ht="66" customHeight="1" x14ac:dyDescent="0.15">
      <c r="B87" s="204"/>
      <c r="C87" s="76" t="s">
        <v>108</v>
      </c>
      <c r="D87" s="207" t="s">
        <v>172</v>
      </c>
      <c r="E87" s="207"/>
      <c r="F87" s="207"/>
      <c r="G87" s="207"/>
      <c r="H87" s="207"/>
      <c r="I87" s="207"/>
      <c r="J87" s="207"/>
      <c r="K87" s="207"/>
      <c r="L87" s="207"/>
      <c r="M87" s="207"/>
      <c r="N87" s="207"/>
      <c r="O87" s="207"/>
      <c r="P87" s="207"/>
      <c r="Q87" s="207"/>
      <c r="R87" s="207"/>
      <c r="S87" s="207"/>
      <c r="T87" s="207"/>
      <c r="U87" s="207"/>
      <c r="V87" s="207"/>
      <c r="W87" s="207"/>
      <c r="X87" s="207"/>
      <c r="Y87" s="207"/>
      <c r="Z87" s="208"/>
    </row>
    <row r="88" spans="1:26" ht="66" customHeight="1" x14ac:dyDescent="0.15">
      <c r="B88" s="198" t="s">
        <v>139</v>
      </c>
      <c r="C88" s="75" t="s">
        <v>105</v>
      </c>
      <c r="D88" s="200" t="s">
        <v>178</v>
      </c>
      <c r="E88" s="200"/>
      <c r="F88" s="200"/>
      <c r="G88" s="200"/>
      <c r="H88" s="200"/>
      <c r="I88" s="200"/>
      <c r="J88" s="200"/>
      <c r="K88" s="200"/>
      <c r="L88" s="200"/>
      <c r="M88" s="200"/>
      <c r="N88" s="200"/>
      <c r="O88" s="200"/>
      <c r="P88" s="200"/>
      <c r="Q88" s="200"/>
      <c r="R88" s="200"/>
      <c r="S88" s="200"/>
      <c r="T88" s="200"/>
      <c r="U88" s="200"/>
      <c r="V88" s="200"/>
      <c r="W88" s="200"/>
      <c r="X88" s="200"/>
      <c r="Y88" s="200"/>
      <c r="Z88" s="201"/>
    </row>
    <row r="89" spans="1:26" ht="66" customHeight="1" x14ac:dyDescent="0.15">
      <c r="B89" s="199"/>
      <c r="C89" s="76" t="s">
        <v>134</v>
      </c>
      <c r="D89" s="187" t="s">
        <v>179</v>
      </c>
      <c r="E89" s="188"/>
      <c r="F89" s="188"/>
      <c r="G89" s="188"/>
      <c r="H89" s="188"/>
      <c r="I89" s="188"/>
      <c r="J89" s="188"/>
      <c r="K89" s="188"/>
      <c r="L89" s="188"/>
      <c r="M89" s="188"/>
      <c r="N89" s="188"/>
      <c r="O89" s="188"/>
      <c r="P89" s="188"/>
      <c r="Q89" s="188"/>
      <c r="R89" s="188"/>
      <c r="S89" s="188"/>
      <c r="T89" s="188"/>
      <c r="U89" s="188"/>
      <c r="V89" s="188"/>
      <c r="W89" s="188"/>
      <c r="X89" s="188"/>
      <c r="Y89" s="188"/>
      <c r="Z89" s="189"/>
    </row>
    <row r="90" spans="1:26" ht="66" customHeight="1" x14ac:dyDescent="0.15">
      <c r="B90" s="197"/>
      <c r="C90" s="77" t="s">
        <v>135</v>
      </c>
      <c r="D90" s="202" t="s">
        <v>176</v>
      </c>
      <c r="E90" s="202"/>
      <c r="F90" s="202"/>
      <c r="G90" s="202"/>
      <c r="H90" s="202"/>
      <c r="I90" s="202"/>
      <c r="J90" s="202"/>
      <c r="K90" s="202"/>
      <c r="L90" s="202"/>
      <c r="M90" s="202"/>
      <c r="N90" s="202"/>
      <c r="O90" s="202"/>
      <c r="P90" s="202"/>
      <c r="Q90" s="202"/>
      <c r="R90" s="202"/>
      <c r="S90" s="202"/>
      <c r="T90" s="202"/>
      <c r="U90" s="202"/>
      <c r="V90" s="202"/>
      <c r="W90" s="202"/>
      <c r="X90" s="202"/>
      <c r="Y90" s="202"/>
      <c r="Z90" s="203"/>
    </row>
    <row r="91" spans="1:26" ht="6" customHeight="1" x14ac:dyDescent="0.15"/>
    <row r="92" spans="1:26" ht="18.75" customHeight="1" x14ac:dyDescent="0.15">
      <c r="A92" s="13" t="s">
        <v>143</v>
      </c>
    </row>
    <row r="93" spans="1:26" ht="18.75" customHeight="1" x14ac:dyDescent="0.15">
      <c r="B93" s="264" t="s">
        <v>190</v>
      </c>
      <c r="C93" s="265"/>
      <c r="D93" s="265"/>
      <c r="E93" s="265"/>
      <c r="F93" s="265"/>
      <c r="G93" s="265"/>
      <c r="H93" s="265"/>
      <c r="I93" s="265"/>
      <c r="J93" s="265"/>
      <c r="K93" s="265"/>
      <c r="L93" s="265"/>
      <c r="M93" s="265"/>
      <c r="N93" s="265"/>
      <c r="O93" s="265"/>
      <c r="P93" s="265"/>
      <c r="Q93" s="265"/>
      <c r="R93" s="265"/>
      <c r="S93" s="265"/>
      <c r="T93" s="265"/>
      <c r="U93" s="265"/>
      <c r="V93" s="265"/>
      <c r="W93" s="265"/>
      <c r="X93" s="265"/>
      <c r="Y93" s="265"/>
      <c r="Z93" s="266"/>
    </row>
    <row r="94" spans="1:26" ht="18.75" customHeight="1" x14ac:dyDescent="0.15">
      <c r="B94" s="267"/>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9"/>
    </row>
    <row r="95" spans="1:26" ht="18.75" customHeight="1" x14ac:dyDescent="0.15">
      <c r="B95" s="270"/>
      <c r="C95" s="271"/>
      <c r="D95" s="271"/>
      <c r="E95" s="271"/>
      <c r="F95" s="271"/>
      <c r="G95" s="271"/>
      <c r="H95" s="271"/>
      <c r="I95" s="271"/>
      <c r="J95" s="271"/>
      <c r="K95" s="271"/>
      <c r="L95" s="271"/>
      <c r="M95" s="271"/>
      <c r="N95" s="271"/>
      <c r="O95" s="271"/>
      <c r="P95" s="271"/>
      <c r="Q95" s="271"/>
      <c r="R95" s="271"/>
      <c r="S95" s="271"/>
      <c r="T95" s="271"/>
      <c r="U95" s="271"/>
      <c r="V95" s="271"/>
      <c r="W95" s="271"/>
      <c r="X95" s="271"/>
      <c r="Y95" s="271"/>
      <c r="Z95" s="272"/>
    </row>
    <row r="96" spans="1:26" ht="6" customHeight="1" x14ac:dyDescent="0.15"/>
    <row r="97" spans="1:26" ht="15" customHeight="1" x14ac:dyDescent="0.15">
      <c r="A97" s="13" t="s">
        <v>144</v>
      </c>
    </row>
    <row r="98" spans="1:26" ht="15" customHeight="1" x14ac:dyDescent="0.15">
      <c r="B98" s="273" t="s">
        <v>191</v>
      </c>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5"/>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H38:H44 Y38:Z44 Y49:Z55 Y60:Z66 L60:M66 H16:H22 U16:U22 H27:H33 U27:U33 T60:T66 U38:U44 L38:M44 U49:U55 G60:G66 H49:H55 L49:M55 K61" xr:uid="{4C0986EB-3601-4249-85F7-B678A400A117}">
      <formula1>"○"</formula1>
    </dataValidation>
    <dataValidation type="list" allowBlank="1" showInputMessage="1" showErrorMessage="1" sqref="Z23 Z34 D34:K34 D23:K23 V16:V22 I16:I22 V27:V33 I27:I33 V38:V44 H60:H66 V49:V55 I38:I44 U60:U66 I49:I55"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62683B02-BE82-4163-9672-E0289338AD67}"/>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topLeftCell="E1" zoomScaleNormal="100" zoomScaleSheetLayoutView="100" workbookViewId="0">
      <selection activeCell="N31" sqref="N31"/>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77" t="s">
        <v>63</v>
      </c>
      <c r="G1" s="277"/>
      <c r="H1" s="277"/>
      <c r="I1" s="277"/>
      <c r="J1" s="277"/>
      <c r="K1" s="277"/>
      <c r="L1" s="277"/>
      <c r="M1" s="277"/>
      <c r="N1" s="277"/>
      <c r="O1" s="277"/>
      <c r="P1" s="277"/>
      <c r="Q1" s="277"/>
      <c r="R1" s="277"/>
    </row>
    <row r="2" spans="1:20" ht="18" customHeight="1" x14ac:dyDescent="0.15">
      <c r="A2" s="278" t="s">
        <v>89</v>
      </c>
      <c r="B2" s="278"/>
      <c r="C2" s="278"/>
      <c r="D2" s="278"/>
      <c r="E2" s="278"/>
      <c r="F2" s="278"/>
      <c r="G2" s="278"/>
      <c r="H2" s="278"/>
      <c r="I2" s="278"/>
      <c r="J2" s="278"/>
      <c r="K2" s="278"/>
      <c r="L2" s="278"/>
      <c r="M2" s="278"/>
      <c r="N2" s="278"/>
      <c r="O2" s="278"/>
      <c r="P2" s="278"/>
      <c r="Q2" s="278"/>
      <c r="R2" s="278"/>
      <c r="S2" s="4"/>
    </row>
    <row r="3" spans="1:20" ht="7.5" customHeight="1" x14ac:dyDescent="0.15">
      <c r="A3" s="33"/>
      <c r="B3" s="33"/>
      <c r="C3" s="33"/>
      <c r="D3" s="33"/>
      <c r="E3" s="33"/>
      <c r="F3" s="33"/>
      <c r="G3" s="33"/>
      <c r="H3" s="33"/>
      <c r="I3" s="33"/>
      <c r="J3" s="33"/>
      <c r="K3" s="33"/>
      <c r="L3" s="33"/>
      <c r="M3" s="33"/>
      <c r="N3" s="33"/>
      <c r="O3" s="33"/>
      <c r="P3" s="33"/>
      <c r="Q3" s="33"/>
      <c r="R3" s="33"/>
    </row>
    <row r="4" spans="1:20" ht="18" customHeight="1" x14ac:dyDescent="0.15">
      <c r="A4" s="4" t="s">
        <v>147</v>
      </c>
      <c r="B4" s="4"/>
      <c r="C4" s="279" t="str">
        <f>'様式１　大学等概要'!E12</f>
        <v>令和3</v>
      </c>
      <c r="D4" s="280"/>
      <c r="E4" s="33" t="s">
        <v>113</v>
      </c>
      <c r="F4" s="33"/>
      <c r="G4" s="33"/>
      <c r="H4" s="33"/>
      <c r="I4" s="33"/>
      <c r="J4" s="81"/>
      <c r="K4" s="33"/>
      <c r="L4" s="33"/>
      <c r="M4" s="110"/>
      <c r="N4" s="110"/>
      <c r="O4" s="110"/>
      <c r="P4" s="110"/>
      <c r="Q4" s="110"/>
      <c r="R4" s="110"/>
    </row>
    <row r="5" spans="1:20" ht="6" customHeight="1" x14ac:dyDescent="0.15">
      <c r="A5" s="33"/>
      <c r="B5" s="33"/>
      <c r="C5" s="33"/>
      <c r="D5" s="33"/>
      <c r="E5" s="33"/>
      <c r="F5" s="33"/>
      <c r="G5" s="33"/>
      <c r="H5" s="33"/>
      <c r="I5" s="33"/>
      <c r="J5" s="33"/>
      <c r="K5" s="33"/>
      <c r="L5" s="33"/>
      <c r="M5" s="33"/>
      <c r="N5" s="33"/>
      <c r="O5" s="33"/>
      <c r="P5" s="33"/>
      <c r="Q5" s="33"/>
      <c r="R5" s="33"/>
    </row>
    <row r="6" spans="1:20" ht="18" customHeight="1" x14ac:dyDescent="0.15">
      <c r="A6" s="4" t="s">
        <v>145</v>
      </c>
      <c r="B6" s="33"/>
      <c r="C6" s="33"/>
      <c r="D6" s="33"/>
      <c r="E6" s="33"/>
      <c r="F6" s="33"/>
      <c r="G6" s="33"/>
      <c r="H6" s="33"/>
      <c r="I6" s="33"/>
      <c r="J6" s="33"/>
      <c r="K6" s="33"/>
      <c r="L6" s="33"/>
      <c r="M6" s="33"/>
      <c r="N6" s="33"/>
      <c r="O6" s="33"/>
      <c r="P6" s="33"/>
      <c r="Q6" s="33"/>
      <c r="R6" s="33"/>
    </row>
    <row r="7" spans="1:20" ht="6" customHeight="1" x14ac:dyDescent="0.15">
      <c r="A7" s="4"/>
      <c r="B7" s="33"/>
      <c r="C7" s="33"/>
      <c r="D7" s="33"/>
      <c r="E7" s="33"/>
      <c r="F7" s="33"/>
      <c r="G7" s="33"/>
      <c r="H7" s="33"/>
      <c r="I7" s="33"/>
      <c r="J7" s="33"/>
      <c r="K7" s="33"/>
      <c r="L7" s="33"/>
      <c r="M7" s="33"/>
      <c r="N7" s="33"/>
      <c r="O7" s="33"/>
      <c r="P7" s="33"/>
      <c r="Q7" s="33"/>
      <c r="R7" s="33"/>
    </row>
    <row r="8" spans="1:20" ht="18" customHeight="1" x14ac:dyDescent="0.15">
      <c r="B8" s="281" t="s">
        <v>79</v>
      </c>
      <c r="C8" s="283" t="s">
        <v>84</v>
      </c>
      <c r="D8" s="285" t="s">
        <v>68</v>
      </c>
      <c r="E8" s="287" t="s">
        <v>90</v>
      </c>
      <c r="F8" s="287"/>
      <c r="G8" s="287" t="s">
        <v>91</v>
      </c>
      <c r="H8" s="287"/>
      <c r="I8" s="287" t="s">
        <v>92</v>
      </c>
      <c r="J8" s="287"/>
      <c r="K8" s="288" t="s">
        <v>93</v>
      </c>
      <c r="L8" s="289"/>
      <c r="M8" s="288" t="s">
        <v>94</v>
      </c>
      <c r="N8" s="289"/>
      <c r="O8" s="288" t="s">
        <v>95</v>
      </c>
      <c r="P8" s="289"/>
      <c r="Q8" s="290" t="s">
        <v>62</v>
      </c>
      <c r="R8" s="292" t="s">
        <v>56</v>
      </c>
      <c r="T8" s="29"/>
    </row>
    <row r="9" spans="1:20" ht="18" customHeight="1" x14ac:dyDescent="0.15">
      <c r="A9" s="4"/>
      <c r="B9" s="282"/>
      <c r="C9" s="284"/>
      <c r="D9" s="286"/>
      <c r="E9" s="38" t="s">
        <v>44</v>
      </c>
      <c r="F9" s="39" t="s">
        <v>43</v>
      </c>
      <c r="G9" s="40" t="s">
        <v>44</v>
      </c>
      <c r="H9" s="41" t="s">
        <v>43</v>
      </c>
      <c r="I9" s="38" t="s">
        <v>44</v>
      </c>
      <c r="J9" s="39" t="s">
        <v>43</v>
      </c>
      <c r="K9" s="40" t="s">
        <v>44</v>
      </c>
      <c r="L9" s="41" t="s">
        <v>43</v>
      </c>
      <c r="M9" s="38" t="s">
        <v>44</v>
      </c>
      <c r="N9" s="39" t="s">
        <v>43</v>
      </c>
      <c r="O9" s="40" t="s">
        <v>44</v>
      </c>
      <c r="P9" s="41" t="s">
        <v>43</v>
      </c>
      <c r="Q9" s="291"/>
      <c r="R9" s="293"/>
      <c r="T9" s="29"/>
    </row>
    <row r="10" spans="1:20" ht="18" customHeight="1" x14ac:dyDescent="0.15">
      <c r="A10" s="42"/>
      <c r="B10" s="119" t="s">
        <v>206</v>
      </c>
      <c r="C10" s="120">
        <v>810</v>
      </c>
      <c r="D10" s="121">
        <v>3240</v>
      </c>
      <c r="E10" s="133">
        <v>50</v>
      </c>
      <c r="F10" s="134">
        <v>50</v>
      </c>
      <c r="G10" s="124">
        <v>0</v>
      </c>
      <c r="H10" s="125">
        <v>0</v>
      </c>
      <c r="I10" s="122">
        <v>0</v>
      </c>
      <c r="J10" s="123">
        <v>0</v>
      </c>
      <c r="K10" s="46">
        <v>0</v>
      </c>
      <c r="L10" s="47">
        <v>0</v>
      </c>
      <c r="M10" s="44">
        <v>0</v>
      </c>
      <c r="N10" s="45">
        <v>0</v>
      </c>
      <c r="O10" s="46">
        <v>0</v>
      </c>
      <c r="P10" s="47">
        <v>0</v>
      </c>
      <c r="Q10" s="48">
        <f>E10+G10+I10+K10+M10+O10</f>
        <v>50</v>
      </c>
      <c r="R10" s="49">
        <f>Q10/D10</f>
        <v>1.5432098765432098E-2</v>
      </c>
    </row>
    <row r="11" spans="1:20" ht="18" customHeight="1" x14ac:dyDescent="0.15">
      <c r="A11" s="42"/>
      <c r="B11" s="126" t="s">
        <v>207</v>
      </c>
      <c r="C11" s="127">
        <v>125</v>
      </c>
      <c r="D11" s="128">
        <v>500</v>
      </c>
      <c r="E11" s="131">
        <v>26</v>
      </c>
      <c r="F11" s="130">
        <v>26</v>
      </c>
      <c r="G11" s="131">
        <v>0</v>
      </c>
      <c r="H11" s="132">
        <v>0</v>
      </c>
      <c r="I11" s="129">
        <v>0</v>
      </c>
      <c r="J11" s="130">
        <v>0</v>
      </c>
      <c r="K11" s="54">
        <v>0</v>
      </c>
      <c r="L11" s="55">
        <v>0</v>
      </c>
      <c r="M11" s="52">
        <v>0</v>
      </c>
      <c r="N11" s="53">
        <v>0</v>
      </c>
      <c r="O11" s="54">
        <v>0</v>
      </c>
      <c r="P11" s="55">
        <v>0</v>
      </c>
      <c r="Q11" s="56">
        <f t="shared" ref="Q11:Q29" si="0">E11+G11+I11+K11+M11+O11</f>
        <v>26</v>
      </c>
      <c r="R11" s="57">
        <f t="shared" ref="R11:R29" si="1">Q11/D11</f>
        <v>5.1999999999999998E-2</v>
      </c>
    </row>
    <row r="12" spans="1:20" ht="18" customHeight="1" x14ac:dyDescent="0.15">
      <c r="A12" s="42"/>
      <c r="B12" s="126" t="s">
        <v>208</v>
      </c>
      <c r="C12" s="127">
        <v>200</v>
      </c>
      <c r="D12" s="128">
        <v>800</v>
      </c>
      <c r="E12" s="131">
        <v>18</v>
      </c>
      <c r="F12" s="130">
        <v>18</v>
      </c>
      <c r="G12" s="131">
        <v>0</v>
      </c>
      <c r="H12" s="132">
        <v>0</v>
      </c>
      <c r="I12" s="129">
        <v>0</v>
      </c>
      <c r="J12" s="130">
        <v>0</v>
      </c>
      <c r="K12" s="54">
        <v>0</v>
      </c>
      <c r="L12" s="55">
        <v>0</v>
      </c>
      <c r="M12" s="52">
        <v>0</v>
      </c>
      <c r="N12" s="53">
        <v>0</v>
      </c>
      <c r="O12" s="54">
        <v>0</v>
      </c>
      <c r="P12" s="55">
        <v>0</v>
      </c>
      <c r="Q12" s="56">
        <f t="shared" si="0"/>
        <v>18</v>
      </c>
      <c r="R12" s="57">
        <f t="shared" si="1"/>
        <v>2.2499999999999999E-2</v>
      </c>
    </row>
    <row r="13" spans="1:20" ht="18" customHeight="1" x14ac:dyDescent="0.15">
      <c r="A13" s="42"/>
      <c r="B13" s="126" t="s">
        <v>209</v>
      </c>
      <c r="C13" s="127">
        <v>200</v>
      </c>
      <c r="D13" s="128">
        <v>800</v>
      </c>
      <c r="E13" s="131">
        <v>23</v>
      </c>
      <c r="F13" s="130">
        <v>23</v>
      </c>
      <c r="G13" s="131">
        <v>0</v>
      </c>
      <c r="H13" s="132">
        <v>0</v>
      </c>
      <c r="I13" s="129">
        <v>0</v>
      </c>
      <c r="J13" s="130">
        <v>0</v>
      </c>
      <c r="K13" s="54">
        <v>0</v>
      </c>
      <c r="L13" s="55">
        <v>0</v>
      </c>
      <c r="M13" s="52">
        <v>0</v>
      </c>
      <c r="N13" s="53">
        <v>0</v>
      </c>
      <c r="O13" s="54">
        <v>0</v>
      </c>
      <c r="P13" s="55">
        <v>0</v>
      </c>
      <c r="Q13" s="56">
        <f t="shared" si="0"/>
        <v>23</v>
      </c>
      <c r="R13" s="57">
        <f t="shared" si="1"/>
        <v>2.8750000000000001E-2</v>
      </c>
    </row>
    <row r="14" spans="1:20" ht="18" customHeight="1" x14ac:dyDescent="0.15">
      <c r="A14" s="42"/>
      <c r="B14" s="126" t="s">
        <v>210</v>
      </c>
      <c r="C14" s="127">
        <v>75</v>
      </c>
      <c r="D14" s="128">
        <v>300</v>
      </c>
      <c r="E14" s="131">
        <v>0</v>
      </c>
      <c r="F14" s="130">
        <v>0</v>
      </c>
      <c r="G14" s="131">
        <v>0</v>
      </c>
      <c r="H14" s="132">
        <v>0</v>
      </c>
      <c r="I14" s="129">
        <v>0</v>
      </c>
      <c r="J14" s="130">
        <v>0</v>
      </c>
      <c r="K14" s="54">
        <v>0</v>
      </c>
      <c r="L14" s="55">
        <v>0</v>
      </c>
      <c r="M14" s="52">
        <v>0</v>
      </c>
      <c r="N14" s="53">
        <v>0</v>
      </c>
      <c r="O14" s="54">
        <v>0</v>
      </c>
      <c r="P14" s="55">
        <v>0</v>
      </c>
      <c r="Q14" s="56">
        <f t="shared" si="0"/>
        <v>0</v>
      </c>
      <c r="R14" s="57">
        <f t="shared" si="1"/>
        <v>0</v>
      </c>
    </row>
    <row r="15" spans="1:20" ht="18" customHeight="1" x14ac:dyDescent="0.15">
      <c r="A15" s="42"/>
      <c r="B15" s="82"/>
      <c r="C15" s="58"/>
      <c r="D15" s="51"/>
      <c r="E15" s="52"/>
      <c r="F15" s="53"/>
      <c r="G15" s="54"/>
      <c r="H15" s="55"/>
      <c r="I15" s="52"/>
      <c r="J15" s="53"/>
      <c r="K15" s="54"/>
      <c r="L15" s="55"/>
      <c r="M15" s="52"/>
      <c r="N15" s="53"/>
      <c r="O15" s="54"/>
      <c r="P15" s="55"/>
      <c r="Q15" s="56">
        <f t="shared" si="0"/>
        <v>0</v>
      </c>
      <c r="R15" s="57" t="e">
        <f t="shared" si="1"/>
        <v>#DIV/0!</v>
      </c>
    </row>
    <row r="16" spans="1:20" ht="18" customHeight="1" x14ac:dyDescent="0.15">
      <c r="A16" s="42"/>
      <c r="B16" s="82"/>
      <c r="C16" s="58"/>
      <c r="D16" s="51"/>
      <c r="E16" s="52"/>
      <c r="F16" s="53"/>
      <c r="G16" s="54"/>
      <c r="H16" s="55"/>
      <c r="I16" s="52"/>
      <c r="J16" s="53"/>
      <c r="K16" s="54"/>
      <c r="L16" s="55"/>
      <c r="M16" s="52"/>
      <c r="N16" s="53"/>
      <c r="O16" s="54"/>
      <c r="P16" s="55"/>
      <c r="Q16" s="56">
        <f t="shared" si="0"/>
        <v>0</v>
      </c>
      <c r="R16" s="57" t="e">
        <f t="shared" si="1"/>
        <v>#DIV/0!</v>
      </c>
    </row>
    <row r="17" spans="1:18" ht="18" customHeight="1" x14ac:dyDescent="0.15">
      <c r="A17" s="42"/>
      <c r="B17" s="82"/>
      <c r="C17" s="58"/>
      <c r="D17" s="51"/>
      <c r="E17" s="52"/>
      <c r="F17" s="53"/>
      <c r="G17" s="54"/>
      <c r="H17" s="55"/>
      <c r="I17" s="52"/>
      <c r="J17" s="53"/>
      <c r="K17" s="54"/>
      <c r="L17" s="55"/>
      <c r="M17" s="52"/>
      <c r="N17" s="53"/>
      <c r="O17" s="54"/>
      <c r="P17" s="55"/>
      <c r="Q17" s="56">
        <f t="shared" si="0"/>
        <v>0</v>
      </c>
      <c r="R17" s="57" t="e">
        <f t="shared" si="1"/>
        <v>#DIV/0!</v>
      </c>
    </row>
    <row r="18" spans="1:18" ht="18" customHeight="1" x14ac:dyDescent="0.15">
      <c r="A18" s="42"/>
      <c r="B18" s="82"/>
      <c r="C18" s="58"/>
      <c r="D18" s="51"/>
      <c r="E18" s="52"/>
      <c r="F18" s="53"/>
      <c r="G18" s="54"/>
      <c r="H18" s="55"/>
      <c r="I18" s="52"/>
      <c r="J18" s="53"/>
      <c r="K18" s="54"/>
      <c r="L18" s="55"/>
      <c r="M18" s="52"/>
      <c r="N18" s="53"/>
      <c r="O18" s="54"/>
      <c r="P18" s="55"/>
      <c r="Q18" s="56">
        <f>E18+G18+I18+K18+M18+O18</f>
        <v>0</v>
      </c>
      <c r="R18" s="57" t="e">
        <f t="shared" si="1"/>
        <v>#DIV/0!</v>
      </c>
    </row>
    <row r="19" spans="1:18" ht="18" customHeight="1" x14ac:dyDescent="0.15">
      <c r="A19" s="42"/>
      <c r="B19" s="82"/>
      <c r="C19" s="58"/>
      <c r="D19" s="51"/>
      <c r="E19" s="52"/>
      <c r="F19" s="53"/>
      <c r="G19" s="54"/>
      <c r="H19" s="55"/>
      <c r="I19" s="52"/>
      <c r="J19" s="53"/>
      <c r="K19" s="54"/>
      <c r="L19" s="55"/>
      <c r="M19" s="52"/>
      <c r="N19" s="53"/>
      <c r="O19" s="54"/>
      <c r="P19" s="55"/>
      <c r="Q19" s="56">
        <f t="shared" si="0"/>
        <v>0</v>
      </c>
      <c r="R19" s="57" t="e">
        <f t="shared" si="1"/>
        <v>#DIV/0!</v>
      </c>
    </row>
    <row r="20" spans="1:18" ht="18" customHeight="1" x14ac:dyDescent="0.15">
      <c r="A20" s="42"/>
      <c r="B20" s="82"/>
      <c r="C20" s="58"/>
      <c r="D20" s="51"/>
      <c r="E20" s="52"/>
      <c r="F20" s="53"/>
      <c r="G20" s="54"/>
      <c r="H20" s="55"/>
      <c r="I20" s="52"/>
      <c r="J20" s="53"/>
      <c r="K20" s="54"/>
      <c r="L20" s="55"/>
      <c r="M20" s="52"/>
      <c r="N20" s="53"/>
      <c r="O20" s="54"/>
      <c r="P20" s="55"/>
      <c r="Q20" s="56">
        <f t="shared" si="0"/>
        <v>0</v>
      </c>
      <c r="R20" s="57" t="e">
        <f t="shared" si="1"/>
        <v>#DIV/0!</v>
      </c>
    </row>
    <row r="21" spans="1:18" ht="18" customHeight="1" x14ac:dyDescent="0.15">
      <c r="A21" s="42"/>
      <c r="B21" s="82"/>
      <c r="C21" s="58"/>
      <c r="D21" s="51"/>
      <c r="E21" s="52"/>
      <c r="F21" s="53"/>
      <c r="G21" s="54"/>
      <c r="H21" s="55"/>
      <c r="I21" s="52"/>
      <c r="J21" s="53"/>
      <c r="K21" s="54"/>
      <c r="L21" s="55"/>
      <c r="M21" s="52"/>
      <c r="N21" s="53"/>
      <c r="O21" s="54"/>
      <c r="P21" s="55"/>
      <c r="Q21" s="56">
        <f t="shared" si="0"/>
        <v>0</v>
      </c>
      <c r="R21" s="57" t="e">
        <f t="shared" si="1"/>
        <v>#DIV/0!</v>
      </c>
    </row>
    <row r="22" spans="1:18" ht="18" customHeight="1" x14ac:dyDescent="0.15">
      <c r="A22" s="42"/>
      <c r="B22" s="82"/>
      <c r="C22" s="58"/>
      <c r="D22" s="51"/>
      <c r="E22" s="52"/>
      <c r="F22" s="53"/>
      <c r="G22" s="54"/>
      <c r="H22" s="55"/>
      <c r="I22" s="52"/>
      <c r="J22" s="53"/>
      <c r="K22" s="54"/>
      <c r="L22" s="55"/>
      <c r="M22" s="52"/>
      <c r="N22" s="53"/>
      <c r="O22" s="54"/>
      <c r="P22" s="55"/>
      <c r="Q22" s="56">
        <f t="shared" si="0"/>
        <v>0</v>
      </c>
      <c r="R22" s="57" t="e">
        <f t="shared" si="1"/>
        <v>#DIV/0!</v>
      </c>
    </row>
    <row r="23" spans="1:18" ht="18" customHeight="1" x14ac:dyDescent="0.15">
      <c r="A23" s="42"/>
      <c r="B23" s="82"/>
      <c r="C23" s="58"/>
      <c r="D23" s="51"/>
      <c r="E23" s="52"/>
      <c r="F23" s="53"/>
      <c r="G23" s="54"/>
      <c r="H23" s="55"/>
      <c r="I23" s="52"/>
      <c r="J23" s="53"/>
      <c r="K23" s="54"/>
      <c r="L23" s="55"/>
      <c r="M23" s="52"/>
      <c r="N23" s="53"/>
      <c r="O23" s="54"/>
      <c r="P23" s="55"/>
      <c r="Q23" s="56">
        <f t="shared" si="0"/>
        <v>0</v>
      </c>
      <c r="R23" s="57" t="e">
        <f t="shared" si="1"/>
        <v>#DIV/0!</v>
      </c>
    </row>
    <row r="24" spans="1:18" ht="18" customHeight="1" x14ac:dyDescent="0.15">
      <c r="A24" s="42"/>
      <c r="B24" s="82"/>
      <c r="C24" s="58"/>
      <c r="D24" s="51"/>
      <c r="E24" s="52"/>
      <c r="F24" s="53"/>
      <c r="G24" s="54"/>
      <c r="H24" s="55"/>
      <c r="I24" s="52"/>
      <c r="J24" s="53"/>
      <c r="K24" s="54"/>
      <c r="L24" s="55"/>
      <c r="M24" s="52"/>
      <c r="N24" s="53"/>
      <c r="O24" s="54"/>
      <c r="P24" s="55"/>
      <c r="Q24" s="56">
        <f t="shared" si="0"/>
        <v>0</v>
      </c>
      <c r="R24" s="57" t="e">
        <f t="shared" si="1"/>
        <v>#DIV/0!</v>
      </c>
    </row>
    <row r="25" spans="1:18" ht="18" customHeight="1" x14ac:dyDescent="0.15">
      <c r="A25" s="42"/>
      <c r="B25" s="82"/>
      <c r="C25" s="58"/>
      <c r="D25" s="51"/>
      <c r="E25" s="52"/>
      <c r="F25" s="53"/>
      <c r="G25" s="54"/>
      <c r="H25" s="55"/>
      <c r="I25" s="52"/>
      <c r="J25" s="53"/>
      <c r="K25" s="54"/>
      <c r="L25" s="55"/>
      <c r="M25" s="52"/>
      <c r="N25" s="53"/>
      <c r="O25" s="54"/>
      <c r="P25" s="55"/>
      <c r="Q25" s="56">
        <f t="shared" si="0"/>
        <v>0</v>
      </c>
      <c r="R25" s="57" t="e">
        <f t="shared" si="1"/>
        <v>#DIV/0!</v>
      </c>
    </row>
    <row r="26" spans="1:18" ht="18" customHeight="1" x14ac:dyDescent="0.15">
      <c r="A26" s="42"/>
      <c r="B26" s="82"/>
      <c r="C26" s="58"/>
      <c r="D26" s="51"/>
      <c r="E26" s="52"/>
      <c r="F26" s="53"/>
      <c r="G26" s="54"/>
      <c r="H26" s="55"/>
      <c r="I26" s="52"/>
      <c r="J26" s="53"/>
      <c r="K26" s="54"/>
      <c r="L26" s="55"/>
      <c r="M26" s="52"/>
      <c r="N26" s="53"/>
      <c r="O26" s="54"/>
      <c r="P26" s="55"/>
      <c r="Q26" s="56">
        <f t="shared" si="0"/>
        <v>0</v>
      </c>
      <c r="R26" s="57" t="e">
        <f t="shared" si="1"/>
        <v>#DIV/0!</v>
      </c>
    </row>
    <row r="27" spans="1:18" ht="18" customHeight="1" x14ac:dyDescent="0.15">
      <c r="A27" s="42"/>
      <c r="B27" s="82"/>
      <c r="C27" s="50"/>
      <c r="D27" s="51"/>
      <c r="E27" s="52"/>
      <c r="F27" s="53"/>
      <c r="G27" s="54"/>
      <c r="H27" s="55"/>
      <c r="I27" s="52"/>
      <c r="J27" s="53"/>
      <c r="K27" s="54"/>
      <c r="L27" s="55"/>
      <c r="M27" s="52"/>
      <c r="N27" s="53"/>
      <c r="O27" s="54"/>
      <c r="P27" s="55"/>
      <c r="Q27" s="56">
        <f t="shared" si="0"/>
        <v>0</v>
      </c>
      <c r="R27" s="57" t="e">
        <f t="shared" si="1"/>
        <v>#DIV/0!</v>
      </c>
    </row>
    <row r="28" spans="1:18" ht="18" customHeight="1" x14ac:dyDescent="0.15">
      <c r="A28" s="42"/>
      <c r="B28" s="82"/>
      <c r="C28" s="50"/>
      <c r="D28" s="51"/>
      <c r="E28" s="52"/>
      <c r="F28" s="53"/>
      <c r="G28" s="54"/>
      <c r="H28" s="55"/>
      <c r="I28" s="52"/>
      <c r="J28" s="53"/>
      <c r="K28" s="54"/>
      <c r="L28" s="55"/>
      <c r="M28" s="52"/>
      <c r="N28" s="53"/>
      <c r="O28" s="54"/>
      <c r="P28" s="55"/>
      <c r="Q28" s="56">
        <f t="shared" si="0"/>
        <v>0</v>
      </c>
      <c r="R28" s="57" t="e">
        <f t="shared" si="1"/>
        <v>#DIV/0!</v>
      </c>
    </row>
    <row r="29" spans="1:18" ht="18" customHeight="1" thickBot="1" x14ac:dyDescent="0.2">
      <c r="A29" s="42"/>
      <c r="B29" s="83"/>
      <c r="C29" s="84"/>
      <c r="D29" s="43"/>
      <c r="E29" s="44"/>
      <c r="F29" s="45"/>
      <c r="G29" s="46"/>
      <c r="H29" s="47"/>
      <c r="I29" s="44"/>
      <c r="J29" s="45"/>
      <c r="K29" s="46"/>
      <c r="L29" s="47"/>
      <c r="M29" s="44"/>
      <c r="N29" s="45"/>
      <c r="O29" s="46"/>
      <c r="P29" s="47"/>
      <c r="Q29" s="59">
        <f t="shared" si="0"/>
        <v>0</v>
      </c>
      <c r="R29" s="49" t="e">
        <f t="shared" si="1"/>
        <v>#DIV/0!</v>
      </c>
    </row>
    <row r="30" spans="1:18" ht="18" customHeight="1" thickTop="1" x14ac:dyDescent="0.15">
      <c r="B30" s="85" t="s">
        <v>57</v>
      </c>
      <c r="C30" s="86">
        <f t="shared" ref="C30:Q30" si="2">SUM(C10:C29)</f>
        <v>1410</v>
      </c>
      <c r="D30" s="60">
        <f t="shared" si="2"/>
        <v>5640</v>
      </c>
      <c r="E30" s="61">
        <f t="shared" si="2"/>
        <v>117</v>
      </c>
      <c r="F30" s="62">
        <f t="shared" si="2"/>
        <v>117</v>
      </c>
      <c r="G30" s="63">
        <f t="shared" si="2"/>
        <v>0</v>
      </c>
      <c r="H30" s="64">
        <f t="shared" si="2"/>
        <v>0</v>
      </c>
      <c r="I30" s="61">
        <f t="shared" si="2"/>
        <v>0</v>
      </c>
      <c r="J30" s="62">
        <f t="shared" si="2"/>
        <v>0</v>
      </c>
      <c r="K30" s="63">
        <f t="shared" si="2"/>
        <v>0</v>
      </c>
      <c r="L30" s="64">
        <f t="shared" si="2"/>
        <v>0</v>
      </c>
      <c r="M30" s="61">
        <f t="shared" si="2"/>
        <v>0</v>
      </c>
      <c r="N30" s="62">
        <f t="shared" si="2"/>
        <v>0</v>
      </c>
      <c r="O30" s="63">
        <f t="shared" si="2"/>
        <v>0</v>
      </c>
      <c r="P30" s="64">
        <f t="shared" si="2"/>
        <v>0</v>
      </c>
      <c r="Q30" s="65">
        <f t="shared" si="2"/>
        <v>117</v>
      </c>
      <c r="R30" s="66">
        <f>Q30/D30</f>
        <v>2.0744680851063829E-2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13" zoomScaleNormal="100" zoomScaleSheetLayoutView="100" workbookViewId="0">
      <selection activeCell="K44" sqref="K44"/>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8"/>
    <col min="12" max="16384" width="11.375" style="1"/>
  </cols>
  <sheetData>
    <row r="1" spans="1:11" ht="18.75" customHeight="1" x14ac:dyDescent="0.15">
      <c r="A1" s="2" t="s">
        <v>114</v>
      </c>
      <c r="J1" s="36" t="s">
        <v>115</v>
      </c>
    </row>
    <row r="2" spans="1:11" ht="18.75" customHeight="1" x14ac:dyDescent="0.15">
      <c r="A2" s="278" t="s">
        <v>64</v>
      </c>
      <c r="B2" s="278"/>
      <c r="C2" s="278"/>
      <c r="D2" s="278"/>
      <c r="E2" s="278"/>
      <c r="F2" s="278"/>
      <c r="G2" s="278"/>
      <c r="H2" s="278"/>
      <c r="I2" s="278"/>
      <c r="J2" s="278"/>
    </row>
    <row r="3" spans="1:11" ht="7.5" customHeight="1" x14ac:dyDescent="0.15">
      <c r="B3" s="33"/>
      <c r="C3" s="33"/>
      <c r="D3" s="33"/>
      <c r="E3" s="33"/>
      <c r="F3" s="33"/>
      <c r="G3" s="33"/>
      <c r="H3" s="33"/>
      <c r="I3" s="33"/>
      <c r="J3" s="33"/>
    </row>
    <row r="4" spans="1:11" ht="18.75" customHeight="1" x14ac:dyDescent="0.15">
      <c r="A4" s="1" t="s">
        <v>6</v>
      </c>
      <c r="B4" s="4" t="s">
        <v>72</v>
      </c>
      <c r="C4" s="4"/>
      <c r="D4" s="4"/>
      <c r="E4" s="4"/>
      <c r="F4" s="4"/>
      <c r="G4" s="4"/>
      <c r="H4" s="4"/>
      <c r="I4" s="33"/>
      <c r="J4" s="33"/>
    </row>
    <row r="5" spans="1:11" ht="18.75" customHeight="1" x14ac:dyDescent="0.15">
      <c r="A5" s="1"/>
      <c r="B5" s="157" t="s">
        <v>202</v>
      </c>
      <c r="C5" s="158"/>
      <c r="D5" s="158"/>
      <c r="E5" s="158"/>
      <c r="F5" s="158"/>
      <c r="G5" s="158"/>
      <c r="H5" s="158"/>
      <c r="I5" s="158"/>
      <c r="J5" s="159"/>
      <c r="K5" s="28" t="str">
        <f>IF(B5="","入力してください","")</f>
        <v/>
      </c>
    </row>
    <row r="6" spans="1:11" ht="7.5" customHeight="1" x14ac:dyDescent="0.15">
      <c r="B6" s="33"/>
      <c r="C6" s="33"/>
      <c r="D6" s="33"/>
      <c r="E6" s="33"/>
      <c r="F6" s="33"/>
      <c r="G6" s="33"/>
      <c r="H6" s="33"/>
      <c r="I6" s="33"/>
      <c r="J6" s="33"/>
    </row>
    <row r="7" spans="1:11" s="4" customFormat="1" ht="18.75" customHeight="1" x14ac:dyDescent="0.15">
      <c r="A7" s="1" t="s">
        <v>9</v>
      </c>
      <c r="B7" s="1" t="s">
        <v>39</v>
      </c>
      <c r="C7" s="1"/>
      <c r="D7" s="1"/>
      <c r="E7" s="1"/>
      <c r="F7" s="1"/>
      <c r="G7" s="1"/>
      <c r="H7" s="1"/>
      <c r="I7" s="1"/>
      <c r="J7" s="1"/>
      <c r="K7" s="30"/>
    </row>
    <row r="8" spans="1:11" s="4" customFormat="1" ht="18.75" customHeight="1" x14ac:dyDescent="0.15">
      <c r="A8" s="87"/>
      <c r="B8" s="303" t="s">
        <v>203</v>
      </c>
      <c r="C8" s="304"/>
      <c r="D8" s="304"/>
      <c r="E8" s="304"/>
      <c r="F8" s="304"/>
      <c r="G8" s="304"/>
      <c r="H8" s="304"/>
      <c r="I8" s="305"/>
      <c r="J8" s="306"/>
      <c r="K8" s="28" t="str">
        <f>IF(B8="","入力してください","")</f>
        <v/>
      </c>
    </row>
    <row r="9" spans="1:11" s="4" customFormat="1" ht="18.75" customHeight="1" x14ac:dyDescent="0.15">
      <c r="A9" s="87"/>
      <c r="B9" s="307"/>
      <c r="C9" s="308"/>
      <c r="D9" s="308"/>
      <c r="E9" s="308"/>
      <c r="F9" s="308"/>
      <c r="G9" s="308"/>
      <c r="H9" s="308"/>
      <c r="I9" s="308"/>
      <c r="J9" s="309"/>
      <c r="K9" s="28"/>
    </row>
    <row r="10" spans="1:11" s="4" customFormat="1" ht="18.75" customHeight="1" x14ac:dyDescent="0.15">
      <c r="A10" s="87"/>
      <c r="B10" s="307"/>
      <c r="C10" s="308"/>
      <c r="D10" s="308"/>
      <c r="E10" s="308"/>
      <c r="F10" s="308"/>
      <c r="G10" s="308"/>
      <c r="H10" s="308"/>
      <c r="I10" s="308"/>
      <c r="J10" s="309"/>
      <c r="K10" s="28"/>
    </row>
    <row r="11" spans="1:11" s="4" customFormat="1" ht="18.75" customHeight="1" x14ac:dyDescent="0.15">
      <c r="A11" s="87"/>
      <c r="B11" s="307"/>
      <c r="C11" s="308"/>
      <c r="D11" s="308"/>
      <c r="E11" s="308"/>
      <c r="F11" s="308"/>
      <c r="G11" s="308"/>
      <c r="H11" s="308"/>
      <c r="I11" s="308"/>
      <c r="J11" s="309"/>
      <c r="K11" s="28"/>
    </row>
    <row r="12" spans="1:11" s="4" customFormat="1" ht="26.25" customHeight="1" x14ac:dyDescent="0.15">
      <c r="A12" s="87"/>
      <c r="B12" s="310"/>
      <c r="C12" s="311"/>
      <c r="D12" s="311"/>
      <c r="E12" s="311"/>
      <c r="F12" s="311"/>
      <c r="G12" s="311"/>
      <c r="H12" s="311"/>
      <c r="I12" s="311"/>
      <c r="J12" s="312"/>
      <c r="K12" s="28"/>
    </row>
    <row r="13" spans="1:11" s="4" customFormat="1" ht="7.5" customHeight="1" x14ac:dyDescent="0.15">
      <c r="A13" s="87"/>
      <c r="B13" s="87"/>
      <c r="C13" s="87"/>
      <c r="D13" s="87"/>
      <c r="E13" s="87"/>
      <c r="F13" s="87"/>
      <c r="G13" s="87"/>
      <c r="H13" s="87"/>
      <c r="I13" s="87"/>
      <c r="J13" s="87"/>
      <c r="K13" s="28"/>
    </row>
    <row r="14" spans="1:11" s="4" customFormat="1" ht="18.75" customHeight="1" x14ac:dyDescent="0.15">
      <c r="A14" s="88" t="s">
        <v>10</v>
      </c>
      <c r="B14" s="88" t="s">
        <v>15</v>
      </c>
      <c r="C14" s="88"/>
      <c r="D14" s="88"/>
      <c r="E14" s="88"/>
      <c r="F14" s="88"/>
      <c r="G14" s="88"/>
      <c r="H14" s="88"/>
      <c r="I14" s="88"/>
      <c r="J14" s="88"/>
      <c r="K14" s="28"/>
    </row>
    <row r="15" spans="1:11" s="4" customFormat="1" ht="18.75" customHeight="1" x14ac:dyDescent="0.15">
      <c r="A15" s="87"/>
      <c r="B15" s="313" t="s">
        <v>192</v>
      </c>
      <c r="C15" s="314"/>
      <c r="D15" s="314"/>
      <c r="E15" s="314"/>
      <c r="F15" s="314"/>
      <c r="G15" s="314"/>
      <c r="H15" s="314"/>
      <c r="I15" s="315"/>
      <c r="J15" s="316"/>
      <c r="K15" s="28" t="str">
        <f>IF(B15="","入力してください","")</f>
        <v/>
      </c>
    </row>
    <row r="16" spans="1:11" s="4" customFormat="1" ht="18.75" customHeight="1" x14ac:dyDescent="0.15">
      <c r="A16" s="87"/>
      <c r="B16" s="297"/>
      <c r="C16" s="298"/>
      <c r="D16" s="298"/>
      <c r="E16" s="298"/>
      <c r="F16" s="298"/>
      <c r="G16" s="298"/>
      <c r="H16" s="298"/>
      <c r="I16" s="298"/>
      <c r="J16" s="299"/>
      <c r="K16" s="28"/>
    </row>
    <row r="17" spans="1:11" s="4" customFormat="1" ht="18.75" customHeight="1" x14ac:dyDescent="0.15">
      <c r="A17" s="87"/>
      <c r="B17" s="297"/>
      <c r="C17" s="298"/>
      <c r="D17" s="298"/>
      <c r="E17" s="298"/>
      <c r="F17" s="298"/>
      <c r="G17" s="298"/>
      <c r="H17" s="298"/>
      <c r="I17" s="298"/>
      <c r="J17" s="299"/>
      <c r="K17" s="28"/>
    </row>
    <row r="18" spans="1:11" s="4" customFormat="1" ht="18.75" customHeight="1" x14ac:dyDescent="0.15">
      <c r="A18" s="87"/>
      <c r="B18" s="297"/>
      <c r="C18" s="298"/>
      <c r="D18" s="298"/>
      <c r="E18" s="298"/>
      <c r="F18" s="298"/>
      <c r="G18" s="298"/>
      <c r="H18" s="298"/>
      <c r="I18" s="298"/>
      <c r="J18" s="299"/>
      <c r="K18" s="28"/>
    </row>
    <row r="19" spans="1:11" s="4" customFormat="1" ht="18.75" customHeight="1" x14ac:dyDescent="0.15">
      <c r="A19" s="87"/>
      <c r="B19" s="297"/>
      <c r="C19" s="298"/>
      <c r="D19" s="298"/>
      <c r="E19" s="298"/>
      <c r="F19" s="298"/>
      <c r="G19" s="298"/>
      <c r="H19" s="298"/>
      <c r="I19" s="298"/>
      <c r="J19" s="299"/>
      <c r="K19" s="28"/>
    </row>
    <row r="20" spans="1:11" s="4" customFormat="1" ht="18.75" customHeight="1" x14ac:dyDescent="0.15">
      <c r="A20" s="87"/>
      <c r="B20" s="297"/>
      <c r="C20" s="298"/>
      <c r="D20" s="298"/>
      <c r="E20" s="298"/>
      <c r="F20" s="298"/>
      <c r="G20" s="298"/>
      <c r="H20" s="298"/>
      <c r="I20" s="298"/>
      <c r="J20" s="299"/>
      <c r="K20" s="28"/>
    </row>
    <row r="21" spans="1:11" s="4" customFormat="1" ht="18.75" customHeight="1" x14ac:dyDescent="0.15">
      <c r="A21" s="87"/>
      <c r="B21" s="297"/>
      <c r="C21" s="298"/>
      <c r="D21" s="298"/>
      <c r="E21" s="298"/>
      <c r="F21" s="298"/>
      <c r="G21" s="298"/>
      <c r="H21" s="298"/>
      <c r="I21" s="298"/>
      <c r="J21" s="299"/>
      <c r="K21" s="28"/>
    </row>
    <row r="22" spans="1:11" s="4" customFormat="1" ht="18.75" customHeight="1" x14ac:dyDescent="0.15">
      <c r="A22" s="87"/>
      <c r="B22" s="297"/>
      <c r="C22" s="298"/>
      <c r="D22" s="298"/>
      <c r="E22" s="298"/>
      <c r="F22" s="298"/>
      <c r="G22" s="298"/>
      <c r="H22" s="298"/>
      <c r="I22" s="298"/>
      <c r="J22" s="299"/>
      <c r="K22" s="28"/>
    </row>
    <row r="23" spans="1:11" s="4" customFormat="1" ht="18.75" customHeight="1" x14ac:dyDescent="0.15">
      <c r="A23" s="87"/>
      <c r="B23" s="297"/>
      <c r="C23" s="298"/>
      <c r="D23" s="298"/>
      <c r="E23" s="298"/>
      <c r="F23" s="298"/>
      <c r="G23" s="298"/>
      <c r="H23" s="298"/>
      <c r="I23" s="298"/>
      <c r="J23" s="299"/>
      <c r="K23" s="28"/>
    </row>
    <row r="24" spans="1:11" s="4" customFormat="1" ht="18.75" customHeight="1" x14ac:dyDescent="0.15">
      <c r="A24" s="87"/>
      <c r="B24" s="297"/>
      <c r="C24" s="298"/>
      <c r="D24" s="298"/>
      <c r="E24" s="298"/>
      <c r="F24" s="298"/>
      <c r="G24" s="298"/>
      <c r="H24" s="298"/>
      <c r="I24" s="298"/>
      <c r="J24" s="299"/>
      <c r="K24" s="28"/>
    </row>
    <row r="25" spans="1:11" s="4" customFormat="1" ht="18.75" customHeight="1" x14ac:dyDescent="0.15">
      <c r="A25" s="87"/>
      <c r="B25" s="300"/>
      <c r="C25" s="301"/>
      <c r="D25" s="301"/>
      <c r="E25" s="301"/>
      <c r="F25" s="301"/>
      <c r="G25" s="301"/>
      <c r="H25" s="301"/>
      <c r="I25" s="301"/>
      <c r="J25" s="302"/>
      <c r="K25" s="28"/>
    </row>
    <row r="26" spans="1:11" ht="7.5" customHeight="1" x14ac:dyDescent="0.15">
      <c r="A26" s="34"/>
      <c r="B26" s="34"/>
      <c r="C26" s="34"/>
      <c r="D26" s="34"/>
      <c r="E26" s="34"/>
      <c r="F26" s="34"/>
      <c r="G26" s="34"/>
      <c r="H26" s="34"/>
      <c r="I26" s="34"/>
      <c r="J26" s="34"/>
    </row>
    <row r="27" spans="1:11" s="4" customFormat="1" ht="18.75" customHeight="1" x14ac:dyDescent="0.15">
      <c r="A27" s="1" t="s">
        <v>13</v>
      </c>
      <c r="B27" s="1" t="s">
        <v>26</v>
      </c>
      <c r="C27" s="1"/>
      <c r="D27" s="1"/>
      <c r="E27" s="1"/>
      <c r="F27" s="1"/>
      <c r="G27" s="1"/>
      <c r="H27" s="1"/>
      <c r="I27" s="1"/>
      <c r="J27" s="1"/>
      <c r="K27" s="28"/>
    </row>
    <row r="28" spans="1:11" s="26" customFormat="1" ht="18.75" customHeight="1" x14ac:dyDescent="0.15">
      <c r="B28" s="89" t="s">
        <v>116</v>
      </c>
      <c r="C28" s="135">
        <v>0.02</v>
      </c>
      <c r="D28" s="91"/>
      <c r="E28" s="91" t="s">
        <v>117</v>
      </c>
      <c r="F28" s="90">
        <v>0.03</v>
      </c>
      <c r="G28" s="91"/>
      <c r="H28" s="91" t="s">
        <v>118</v>
      </c>
      <c r="I28" s="92">
        <v>0.08</v>
      </c>
      <c r="J28" s="93"/>
      <c r="K28" s="28"/>
    </row>
    <row r="29" spans="1:11" s="26" customFormat="1" ht="18.75" customHeight="1" x14ac:dyDescent="0.15">
      <c r="B29" s="78" t="s">
        <v>119</v>
      </c>
      <c r="C29" s="94">
        <v>0.13</v>
      </c>
      <c r="D29" s="79"/>
      <c r="E29" s="79" t="s">
        <v>120</v>
      </c>
      <c r="F29" s="94">
        <v>0.18</v>
      </c>
      <c r="G29" s="79"/>
      <c r="H29" s="79" t="s">
        <v>121</v>
      </c>
      <c r="I29" s="95">
        <v>5640</v>
      </c>
      <c r="J29" s="96"/>
      <c r="K29" s="30"/>
    </row>
    <row r="30" spans="1:11" s="4" customFormat="1" ht="18.75" customHeight="1" x14ac:dyDescent="0.15">
      <c r="A30" s="1"/>
      <c r="B30" s="193" t="s">
        <v>122</v>
      </c>
      <c r="C30" s="194"/>
      <c r="D30" s="194"/>
      <c r="E30" s="194"/>
      <c r="F30" s="194"/>
      <c r="G30" s="194"/>
      <c r="H30" s="194"/>
      <c r="I30" s="194"/>
      <c r="J30" s="195"/>
      <c r="K30" s="30"/>
    </row>
    <row r="31" spans="1:11" s="4" customFormat="1" ht="18.75" customHeight="1" x14ac:dyDescent="0.15">
      <c r="A31" s="1"/>
      <c r="B31" s="294" t="s">
        <v>193</v>
      </c>
      <c r="C31" s="295"/>
      <c r="D31" s="295"/>
      <c r="E31" s="295"/>
      <c r="F31" s="295"/>
      <c r="G31" s="295"/>
      <c r="H31" s="295"/>
      <c r="I31" s="295"/>
      <c r="J31" s="296"/>
      <c r="K31" s="30" t="str">
        <f>IF(B31="","入力してください","")</f>
        <v/>
      </c>
    </row>
    <row r="32" spans="1:11" s="4" customFormat="1" ht="18.75" customHeight="1" x14ac:dyDescent="0.15">
      <c r="A32" s="1"/>
      <c r="B32" s="297"/>
      <c r="C32" s="298"/>
      <c r="D32" s="298"/>
      <c r="E32" s="298"/>
      <c r="F32" s="298"/>
      <c r="G32" s="298"/>
      <c r="H32" s="298"/>
      <c r="I32" s="298"/>
      <c r="J32" s="299"/>
      <c r="K32" s="30"/>
    </row>
    <row r="33" spans="1:11" s="4" customFormat="1" ht="18.75" customHeight="1" x14ac:dyDescent="0.15">
      <c r="A33" s="1"/>
      <c r="B33" s="297"/>
      <c r="C33" s="298"/>
      <c r="D33" s="298"/>
      <c r="E33" s="298"/>
      <c r="F33" s="298"/>
      <c r="G33" s="298"/>
      <c r="H33" s="298"/>
      <c r="I33" s="298"/>
      <c r="J33" s="299"/>
      <c r="K33" s="30"/>
    </row>
    <row r="34" spans="1:11" s="4" customFormat="1" ht="18.75" customHeight="1" x14ac:dyDescent="0.15">
      <c r="A34" s="1"/>
      <c r="B34" s="297"/>
      <c r="C34" s="298"/>
      <c r="D34" s="298"/>
      <c r="E34" s="298"/>
      <c r="F34" s="298"/>
      <c r="G34" s="298"/>
      <c r="H34" s="298"/>
      <c r="I34" s="298"/>
      <c r="J34" s="299"/>
      <c r="K34" s="30"/>
    </row>
    <row r="35" spans="1:11" s="4" customFormat="1" ht="18.75" customHeight="1" x14ac:dyDescent="0.15">
      <c r="A35" s="1"/>
      <c r="B35" s="297"/>
      <c r="C35" s="298"/>
      <c r="D35" s="298"/>
      <c r="E35" s="298"/>
      <c r="F35" s="298"/>
      <c r="G35" s="298"/>
      <c r="H35" s="298"/>
      <c r="I35" s="298"/>
      <c r="J35" s="299"/>
      <c r="K35" s="30"/>
    </row>
    <row r="36" spans="1:11" s="4" customFormat="1" ht="18.75" customHeight="1" x14ac:dyDescent="0.15">
      <c r="A36" s="1"/>
      <c r="B36" s="297"/>
      <c r="C36" s="298"/>
      <c r="D36" s="298"/>
      <c r="E36" s="298"/>
      <c r="F36" s="298"/>
      <c r="G36" s="298"/>
      <c r="H36" s="298"/>
      <c r="I36" s="298"/>
      <c r="J36" s="299"/>
      <c r="K36" s="30"/>
    </row>
    <row r="37" spans="1:11" s="4" customFormat="1" ht="18.75" customHeight="1" x14ac:dyDescent="0.15">
      <c r="A37" s="1"/>
      <c r="B37" s="297"/>
      <c r="C37" s="298"/>
      <c r="D37" s="298"/>
      <c r="E37" s="298"/>
      <c r="F37" s="298"/>
      <c r="G37" s="298"/>
      <c r="H37" s="298"/>
      <c r="I37" s="298"/>
      <c r="J37" s="299"/>
      <c r="K37" s="30"/>
    </row>
    <row r="38" spans="1:11" s="4" customFormat="1" ht="18.75" customHeight="1" x14ac:dyDescent="0.15">
      <c r="A38" s="1"/>
      <c r="B38" s="297"/>
      <c r="C38" s="298"/>
      <c r="D38" s="298"/>
      <c r="E38" s="298"/>
      <c r="F38" s="298"/>
      <c r="G38" s="298"/>
      <c r="H38" s="298"/>
      <c r="I38" s="298"/>
      <c r="J38" s="299"/>
      <c r="K38" s="30"/>
    </row>
    <row r="39" spans="1:11" s="4" customFormat="1" ht="18.75" customHeight="1" x14ac:dyDescent="0.15">
      <c r="A39" s="1"/>
      <c r="B39" s="297"/>
      <c r="C39" s="298"/>
      <c r="D39" s="298"/>
      <c r="E39" s="298"/>
      <c r="F39" s="298"/>
      <c r="G39" s="298"/>
      <c r="H39" s="298"/>
      <c r="I39" s="298"/>
      <c r="J39" s="299"/>
      <c r="K39" s="30"/>
    </row>
    <row r="40" spans="1:11" s="4" customFormat="1" ht="18.75" customHeight="1" x14ac:dyDescent="0.15">
      <c r="A40" s="1"/>
      <c r="B40" s="297"/>
      <c r="C40" s="298"/>
      <c r="D40" s="298"/>
      <c r="E40" s="298"/>
      <c r="F40" s="298"/>
      <c r="G40" s="298"/>
      <c r="H40" s="298"/>
      <c r="I40" s="298"/>
      <c r="J40" s="299"/>
      <c r="K40" s="30"/>
    </row>
    <row r="41" spans="1:11" s="4" customFormat="1" ht="18.75" customHeight="1" x14ac:dyDescent="0.15">
      <c r="A41" s="1"/>
      <c r="B41" s="297"/>
      <c r="C41" s="298"/>
      <c r="D41" s="298"/>
      <c r="E41" s="298"/>
      <c r="F41" s="298"/>
      <c r="G41" s="298"/>
      <c r="H41" s="298"/>
      <c r="I41" s="298"/>
      <c r="J41" s="299"/>
      <c r="K41" s="30"/>
    </row>
    <row r="42" spans="1:11" s="4" customFormat="1" ht="18.75" customHeight="1" x14ac:dyDescent="0.15">
      <c r="A42" s="1"/>
      <c r="B42" s="297"/>
      <c r="C42" s="298"/>
      <c r="D42" s="298"/>
      <c r="E42" s="298"/>
      <c r="F42" s="298"/>
      <c r="G42" s="298"/>
      <c r="H42" s="298"/>
      <c r="I42" s="298"/>
      <c r="J42" s="299"/>
      <c r="K42" s="30"/>
    </row>
    <row r="43" spans="1:11" ht="18.75" customHeight="1" x14ac:dyDescent="0.15">
      <c r="A43" s="34"/>
      <c r="B43" s="297"/>
      <c r="C43" s="298"/>
      <c r="D43" s="298"/>
      <c r="E43" s="298"/>
      <c r="F43" s="298"/>
      <c r="G43" s="298"/>
      <c r="H43" s="298"/>
      <c r="I43" s="298"/>
      <c r="J43" s="299"/>
      <c r="K43" s="30"/>
    </row>
    <row r="44" spans="1:11" ht="18.75" customHeight="1" x14ac:dyDescent="0.15">
      <c r="A44" s="34"/>
      <c r="B44" s="300"/>
      <c r="C44" s="301"/>
      <c r="D44" s="301"/>
      <c r="E44" s="301"/>
      <c r="F44" s="301"/>
      <c r="G44" s="301"/>
      <c r="H44" s="301"/>
      <c r="I44" s="301"/>
      <c r="J44" s="302"/>
    </row>
    <row r="45" spans="1:11" s="4" customFormat="1" ht="18.75" customHeight="1" x14ac:dyDescent="0.15">
      <c r="A45" s="97" t="s">
        <v>11</v>
      </c>
      <c r="B45" s="1" t="s">
        <v>65</v>
      </c>
      <c r="C45" s="1"/>
      <c r="D45" s="1"/>
      <c r="E45" s="1"/>
      <c r="F45" s="1"/>
      <c r="G45" s="1"/>
      <c r="H45" s="1"/>
      <c r="I45" s="97"/>
      <c r="J45" s="97"/>
      <c r="K45" s="28"/>
    </row>
    <row r="46" spans="1:11" ht="18.75" customHeight="1" x14ac:dyDescent="0.15">
      <c r="A46" s="34"/>
      <c r="B46" s="313" t="s">
        <v>194</v>
      </c>
      <c r="C46" s="314"/>
      <c r="D46" s="314"/>
      <c r="E46" s="314"/>
      <c r="F46" s="314"/>
      <c r="G46" s="314"/>
      <c r="H46" s="314"/>
      <c r="I46" s="314"/>
      <c r="J46" s="317"/>
      <c r="K46" s="28" t="str">
        <f>IF(B46="","入力してください","")</f>
        <v/>
      </c>
    </row>
    <row r="47" spans="1:11" ht="18.75" customHeight="1" x14ac:dyDescent="0.15">
      <c r="A47" s="34"/>
      <c r="B47" s="318"/>
      <c r="C47" s="319"/>
      <c r="D47" s="319"/>
      <c r="E47" s="319"/>
      <c r="F47" s="319"/>
      <c r="G47" s="319"/>
      <c r="H47" s="319"/>
      <c r="I47" s="319"/>
      <c r="J47" s="320"/>
    </row>
    <row r="48" spans="1:11" ht="18.75" customHeight="1" x14ac:dyDescent="0.15">
      <c r="A48" s="34"/>
      <c r="B48" s="318"/>
      <c r="C48" s="319"/>
      <c r="D48" s="319"/>
      <c r="E48" s="319"/>
      <c r="F48" s="319"/>
      <c r="G48" s="319"/>
      <c r="H48" s="319"/>
      <c r="I48" s="319"/>
      <c r="J48" s="320"/>
    </row>
    <row r="49" spans="1:10" ht="18.75" customHeight="1" x14ac:dyDescent="0.15">
      <c r="A49" s="34"/>
      <c r="B49" s="318"/>
      <c r="C49" s="319"/>
      <c r="D49" s="319"/>
      <c r="E49" s="319"/>
      <c r="F49" s="319"/>
      <c r="G49" s="319"/>
      <c r="H49" s="319"/>
      <c r="I49" s="319"/>
      <c r="J49" s="320"/>
    </row>
    <row r="50" spans="1:10" ht="18.75" customHeight="1" x14ac:dyDescent="0.15">
      <c r="A50" s="34"/>
      <c r="B50" s="318"/>
      <c r="C50" s="319"/>
      <c r="D50" s="319"/>
      <c r="E50" s="319"/>
      <c r="F50" s="319"/>
      <c r="G50" s="319"/>
      <c r="H50" s="319"/>
      <c r="I50" s="319"/>
      <c r="J50" s="320"/>
    </row>
    <row r="51" spans="1:10" ht="18.75" customHeight="1" x14ac:dyDescent="0.15">
      <c r="A51" s="34"/>
      <c r="B51" s="318"/>
      <c r="C51" s="319"/>
      <c r="D51" s="319"/>
      <c r="E51" s="319"/>
      <c r="F51" s="319"/>
      <c r="G51" s="319"/>
      <c r="H51" s="319"/>
      <c r="I51" s="319"/>
      <c r="J51" s="320"/>
    </row>
    <row r="52" spans="1:10" ht="18.75" customHeight="1" x14ac:dyDescent="0.15">
      <c r="A52" s="34"/>
      <c r="B52" s="318"/>
      <c r="C52" s="319"/>
      <c r="D52" s="319"/>
      <c r="E52" s="319"/>
      <c r="F52" s="319"/>
      <c r="G52" s="319"/>
      <c r="H52" s="319"/>
      <c r="I52" s="319"/>
      <c r="J52" s="320"/>
    </row>
    <row r="53" spans="1:10" ht="18.75" customHeight="1" x14ac:dyDescent="0.15">
      <c r="A53" s="34"/>
      <c r="B53" s="318"/>
      <c r="C53" s="319"/>
      <c r="D53" s="319"/>
      <c r="E53" s="319"/>
      <c r="F53" s="319"/>
      <c r="G53" s="319"/>
      <c r="H53" s="319"/>
      <c r="I53" s="319"/>
      <c r="J53" s="320"/>
    </row>
    <row r="54" spans="1:10" ht="18.75" customHeight="1" x14ac:dyDescent="0.15">
      <c r="A54" s="34"/>
      <c r="B54" s="318"/>
      <c r="C54" s="319"/>
      <c r="D54" s="319"/>
      <c r="E54" s="319"/>
      <c r="F54" s="319"/>
      <c r="G54" s="319"/>
      <c r="H54" s="319"/>
      <c r="I54" s="319"/>
      <c r="J54" s="320"/>
    </row>
    <row r="55" spans="1:10" ht="18.75" customHeight="1" x14ac:dyDescent="0.15">
      <c r="A55" s="34"/>
      <c r="B55" s="318"/>
      <c r="C55" s="319"/>
      <c r="D55" s="319"/>
      <c r="E55" s="319"/>
      <c r="F55" s="319"/>
      <c r="G55" s="319"/>
      <c r="H55" s="319"/>
      <c r="I55" s="319"/>
      <c r="J55" s="320"/>
    </row>
    <row r="56" spans="1:10" ht="18.75" customHeight="1" x14ac:dyDescent="0.15">
      <c r="A56" s="34"/>
      <c r="B56" s="318"/>
      <c r="C56" s="319"/>
      <c r="D56" s="319"/>
      <c r="E56" s="319"/>
      <c r="F56" s="319"/>
      <c r="G56" s="319"/>
      <c r="H56" s="319"/>
      <c r="I56" s="319"/>
      <c r="J56" s="320"/>
    </row>
    <row r="57" spans="1:10" ht="18.75" customHeight="1" x14ac:dyDescent="0.15">
      <c r="A57" s="34"/>
      <c r="B57" s="318"/>
      <c r="C57" s="319"/>
      <c r="D57" s="319"/>
      <c r="E57" s="319"/>
      <c r="F57" s="319"/>
      <c r="G57" s="319"/>
      <c r="H57" s="319"/>
      <c r="I57" s="319"/>
      <c r="J57" s="320"/>
    </row>
    <row r="58" spans="1:10" ht="18.75" customHeight="1" x14ac:dyDescent="0.15">
      <c r="A58" s="34"/>
      <c r="B58" s="318"/>
      <c r="C58" s="319"/>
      <c r="D58" s="319"/>
      <c r="E58" s="319"/>
      <c r="F58" s="319"/>
      <c r="G58" s="319"/>
      <c r="H58" s="319"/>
      <c r="I58" s="319"/>
      <c r="J58" s="320"/>
    </row>
    <row r="59" spans="1:10" ht="18.75" customHeight="1" x14ac:dyDescent="0.15">
      <c r="A59" s="34"/>
      <c r="B59" s="318"/>
      <c r="C59" s="319"/>
      <c r="D59" s="319"/>
      <c r="E59" s="319"/>
      <c r="F59" s="319"/>
      <c r="G59" s="319"/>
      <c r="H59" s="319"/>
      <c r="I59" s="319"/>
      <c r="J59" s="320"/>
    </row>
    <row r="60" spans="1:10" ht="18.75" customHeight="1" x14ac:dyDescent="0.15">
      <c r="A60" s="34"/>
      <c r="B60" s="318"/>
      <c r="C60" s="319"/>
      <c r="D60" s="319"/>
      <c r="E60" s="319"/>
      <c r="F60" s="319"/>
      <c r="G60" s="319"/>
      <c r="H60" s="319"/>
      <c r="I60" s="319"/>
      <c r="J60" s="320"/>
    </row>
    <row r="61" spans="1:10" ht="18.75" customHeight="1" x14ac:dyDescent="0.15">
      <c r="A61" s="34"/>
      <c r="B61" s="318"/>
      <c r="C61" s="319"/>
      <c r="D61" s="319"/>
      <c r="E61" s="319"/>
      <c r="F61" s="319"/>
      <c r="G61" s="319"/>
      <c r="H61" s="319"/>
      <c r="I61" s="319"/>
      <c r="J61" s="320"/>
    </row>
    <row r="62" spans="1:10" ht="18.75" customHeight="1" x14ac:dyDescent="0.15">
      <c r="A62" s="34"/>
      <c r="B62" s="318"/>
      <c r="C62" s="319"/>
      <c r="D62" s="319"/>
      <c r="E62" s="319"/>
      <c r="F62" s="319"/>
      <c r="G62" s="319"/>
      <c r="H62" s="319"/>
      <c r="I62" s="319"/>
      <c r="J62" s="320"/>
    </row>
    <row r="63" spans="1:10" ht="18.75" customHeight="1" x14ac:dyDescent="0.15">
      <c r="A63" s="34"/>
      <c r="B63" s="318"/>
      <c r="C63" s="319"/>
      <c r="D63" s="319"/>
      <c r="E63" s="319"/>
      <c r="F63" s="319"/>
      <c r="G63" s="319"/>
      <c r="H63" s="319"/>
      <c r="I63" s="319"/>
      <c r="J63" s="320"/>
    </row>
    <row r="64" spans="1:10" ht="18.75" customHeight="1" x14ac:dyDescent="0.15">
      <c r="A64" s="34"/>
      <c r="B64" s="318"/>
      <c r="C64" s="319"/>
      <c r="D64" s="319"/>
      <c r="E64" s="319"/>
      <c r="F64" s="319"/>
      <c r="G64" s="319"/>
      <c r="H64" s="319"/>
      <c r="I64" s="319"/>
      <c r="J64" s="320"/>
    </row>
    <row r="65" spans="1:11" ht="18.75" customHeight="1" x14ac:dyDescent="0.15">
      <c r="A65" s="34"/>
      <c r="B65" s="318"/>
      <c r="C65" s="319"/>
      <c r="D65" s="319"/>
      <c r="E65" s="319"/>
      <c r="F65" s="319"/>
      <c r="G65" s="319"/>
      <c r="H65" s="319"/>
      <c r="I65" s="319"/>
      <c r="J65" s="320"/>
    </row>
    <row r="66" spans="1:11" ht="18.75" customHeight="1" x14ac:dyDescent="0.15">
      <c r="A66" s="34"/>
      <c r="B66" s="321"/>
      <c r="C66" s="322"/>
      <c r="D66" s="322"/>
      <c r="E66" s="322"/>
      <c r="F66" s="322"/>
      <c r="G66" s="322"/>
      <c r="H66" s="322"/>
      <c r="I66" s="322"/>
      <c r="J66" s="323"/>
    </row>
    <row r="67" spans="1:11" ht="7.5" customHeight="1" x14ac:dyDescent="0.15">
      <c r="A67" s="34"/>
      <c r="B67" s="34"/>
      <c r="C67" s="34"/>
      <c r="D67" s="34"/>
      <c r="E67" s="34"/>
      <c r="F67" s="34"/>
      <c r="G67" s="34"/>
      <c r="H67" s="34"/>
      <c r="I67" s="34"/>
      <c r="J67" s="34"/>
    </row>
    <row r="68" spans="1:11" s="4" customFormat="1" ht="18.75" customHeight="1" x14ac:dyDescent="0.15">
      <c r="A68" s="1" t="s">
        <v>14</v>
      </c>
      <c r="B68" s="1" t="s">
        <v>71</v>
      </c>
      <c r="C68" s="1"/>
      <c r="D68" s="1"/>
      <c r="E68" s="1"/>
      <c r="F68" s="1"/>
      <c r="G68" s="1"/>
      <c r="H68" s="1"/>
      <c r="I68" s="1"/>
      <c r="J68" s="1"/>
      <c r="K68" s="28"/>
    </row>
    <row r="69" spans="1:11" s="4" customFormat="1" ht="18.75" customHeight="1" x14ac:dyDescent="0.15">
      <c r="A69" s="1"/>
      <c r="B69" s="313" t="s">
        <v>204</v>
      </c>
      <c r="C69" s="314"/>
      <c r="D69" s="314"/>
      <c r="E69" s="314"/>
      <c r="F69" s="314"/>
      <c r="G69" s="314"/>
      <c r="H69" s="314"/>
      <c r="I69" s="315"/>
      <c r="J69" s="316"/>
      <c r="K69" s="30" t="str">
        <f>IF(B69="","入力してください","")</f>
        <v/>
      </c>
    </row>
    <row r="70" spans="1:11" s="4" customFormat="1" ht="18.75" customHeight="1" x14ac:dyDescent="0.15">
      <c r="A70" s="1"/>
      <c r="B70" s="297"/>
      <c r="C70" s="298"/>
      <c r="D70" s="298"/>
      <c r="E70" s="298"/>
      <c r="F70" s="298"/>
      <c r="G70" s="298"/>
      <c r="H70" s="298"/>
      <c r="I70" s="298"/>
      <c r="J70" s="299"/>
      <c r="K70" s="30"/>
    </row>
    <row r="71" spans="1:11" s="4" customFormat="1" ht="18.75" customHeight="1" x14ac:dyDescent="0.15">
      <c r="A71" s="1"/>
      <c r="B71" s="297"/>
      <c r="C71" s="298"/>
      <c r="D71" s="298"/>
      <c r="E71" s="298"/>
      <c r="F71" s="298"/>
      <c r="G71" s="298"/>
      <c r="H71" s="298"/>
      <c r="I71" s="298"/>
      <c r="J71" s="299"/>
      <c r="K71" s="30"/>
    </row>
    <row r="72" spans="1:11" s="4" customFormat="1" ht="18.75" customHeight="1" x14ac:dyDescent="0.15">
      <c r="A72" s="1"/>
      <c r="B72" s="297"/>
      <c r="C72" s="298"/>
      <c r="D72" s="298"/>
      <c r="E72" s="298"/>
      <c r="F72" s="298"/>
      <c r="G72" s="298"/>
      <c r="H72" s="298"/>
      <c r="I72" s="298"/>
      <c r="J72" s="299"/>
      <c r="K72" s="30"/>
    </row>
    <row r="73" spans="1:11" s="4" customFormat="1" ht="18.75" customHeight="1" x14ac:dyDescent="0.15">
      <c r="A73" s="1"/>
      <c r="B73" s="297"/>
      <c r="C73" s="298"/>
      <c r="D73" s="298"/>
      <c r="E73" s="298"/>
      <c r="F73" s="298"/>
      <c r="G73" s="298"/>
      <c r="H73" s="298"/>
      <c r="I73" s="298"/>
      <c r="J73" s="299"/>
      <c r="K73" s="30"/>
    </row>
    <row r="74" spans="1:11" s="4" customFormat="1" ht="18.75" customHeight="1" x14ac:dyDescent="0.15">
      <c r="A74" s="1"/>
      <c r="B74" s="297"/>
      <c r="C74" s="298"/>
      <c r="D74" s="298"/>
      <c r="E74" s="298"/>
      <c r="F74" s="298"/>
      <c r="G74" s="298"/>
      <c r="H74" s="298"/>
      <c r="I74" s="298"/>
      <c r="J74" s="299"/>
      <c r="K74" s="30"/>
    </row>
    <row r="75" spans="1:11" s="4" customFormat="1" ht="18.75" customHeight="1" x14ac:dyDescent="0.15">
      <c r="A75" s="1"/>
      <c r="B75" s="297"/>
      <c r="C75" s="298"/>
      <c r="D75" s="298"/>
      <c r="E75" s="298"/>
      <c r="F75" s="298"/>
      <c r="G75" s="298"/>
      <c r="H75" s="298"/>
      <c r="I75" s="298"/>
      <c r="J75" s="299"/>
      <c r="K75" s="30"/>
    </row>
    <row r="76" spans="1:11" s="4" customFormat="1" ht="18.75" customHeight="1" x14ac:dyDescent="0.15">
      <c r="A76" s="1"/>
      <c r="B76" s="297"/>
      <c r="C76" s="298"/>
      <c r="D76" s="298"/>
      <c r="E76" s="298"/>
      <c r="F76" s="298"/>
      <c r="G76" s="298"/>
      <c r="H76" s="298"/>
      <c r="I76" s="298"/>
      <c r="J76" s="299"/>
      <c r="K76" s="30"/>
    </row>
    <row r="77" spans="1:11" s="4" customFormat="1" ht="18.75" customHeight="1" x14ac:dyDescent="0.15">
      <c r="A77" s="1"/>
      <c r="B77" s="297"/>
      <c r="C77" s="298"/>
      <c r="D77" s="298"/>
      <c r="E77" s="298"/>
      <c r="F77" s="298"/>
      <c r="G77" s="298"/>
      <c r="H77" s="298"/>
      <c r="I77" s="298"/>
      <c r="J77" s="299"/>
      <c r="K77" s="30"/>
    </row>
    <row r="78" spans="1:11" s="4" customFormat="1" ht="18.75" customHeight="1" x14ac:dyDescent="0.15">
      <c r="A78" s="1"/>
      <c r="B78" s="297"/>
      <c r="C78" s="298"/>
      <c r="D78" s="298"/>
      <c r="E78" s="298"/>
      <c r="F78" s="298"/>
      <c r="G78" s="298"/>
      <c r="H78" s="298"/>
      <c r="I78" s="298"/>
      <c r="J78" s="299"/>
      <c r="K78" s="30"/>
    </row>
    <row r="79" spans="1:11" s="4" customFormat="1" ht="18.75" customHeight="1" x14ac:dyDescent="0.15">
      <c r="A79" s="1"/>
      <c r="B79" s="297"/>
      <c r="C79" s="298"/>
      <c r="D79" s="298"/>
      <c r="E79" s="298"/>
      <c r="F79" s="298"/>
      <c r="G79" s="298"/>
      <c r="H79" s="298"/>
      <c r="I79" s="298"/>
      <c r="J79" s="299"/>
      <c r="K79" s="30"/>
    </row>
    <row r="80" spans="1:11" s="4" customFormat="1" ht="18.75" customHeight="1" x14ac:dyDescent="0.15">
      <c r="A80" s="1"/>
      <c r="B80" s="297"/>
      <c r="C80" s="298"/>
      <c r="D80" s="298"/>
      <c r="E80" s="298"/>
      <c r="F80" s="298"/>
      <c r="G80" s="298"/>
      <c r="H80" s="298"/>
      <c r="I80" s="298"/>
      <c r="J80" s="299"/>
      <c r="K80" s="30"/>
    </row>
    <row r="81" spans="1:11" s="4" customFormat="1" ht="18.75" customHeight="1" x14ac:dyDescent="0.15">
      <c r="A81" s="1"/>
      <c r="B81" s="297"/>
      <c r="C81" s="298"/>
      <c r="D81" s="298"/>
      <c r="E81" s="298"/>
      <c r="F81" s="298"/>
      <c r="G81" s="298"/>
      <c r="H81" s="298"/>
      <c r="I81" s="298"/>
      <c r="J81" s="299"/>
      <c r="K81" s="30"/>
    </row>
    <row r="82" spans="1:11" s="4" customFormat="1" ht="18.75" customHeight="1" x14ac:dyDescent="0.15">
      <c r="A82" s="1"/>
      <c r="B82" s="297"/>
      <c r="C82" s="298"/>
      <c r="D82" s="298"/>
      <c r="E82" s="298"/>
      <c r="F82" s="298"/>
      <c r="G82" s="298"/>
      <c r="H82" s="298"/>
      <c r="I82" s="298"/>
      <c r="J82" s="299"/>
      <c r="K82" s="30"/>
    </row>
    <row r="83" spans="1:11" s="4" customFormat="1" ht="18.75" customHeight="1" x14ac:dyDescent="0.15">
      <c r="A83" s="1"/>
      <c r="B83" s="297"/>
      <c r="C83" s="298"/>
      <c r="D83" s="298"/>
      <c r="E83" s="298"/>
      <c r="F83" s="298"/>
      <c r="G83" s="298"/>
      <c r="H83" s="298"/>
      <c r="I83" s="298"/>
      <c r="J83" s="299"/>
      <c r="K83" s="30"/>
    </row>
    <row r="84" spans="1:11" s="4" customFormat="1" ht="18.75" customHeight="1" x14ac:dyDescent="0.15">
      <c r="A84" s="1"/>
      <c r="B84" s="297"/>
      <c r="C84" s="298"/>
      <c r="D84" s="298"/>
      <c r="E84" s="298"/>
      <c r="F84" s="298"/>
      <c r="G84" s="298"/>
      <c r="H84" s="298"/>
      <c r="I84" s="298"/>
      <c r="J84" s="299"/>
      <c r="K84" s="30"/>
    </row>
    <row r="85" spans="1:11" ht="18.75" customHeight="1" x14ac:dyDescent="0.15">
      <c r="A85" s="34"/>
      <c r="B85" s="297"/>
      <c r="C85" s="298"/>
      <c r="D85" s="298"/>
      <c r="E85" s="298"/>
      <c r="F85" s="298"/>
      <c r="G85" s="298"/>
      <c r="H85" s="298"/>
      <c r="I85" s="298"/>
      <c r="J85" s="299"/>
      <c r="K85" s="30"/>
    </row>
    <row r="86" spans="1:11" ht="18.75" customHeight="1" x14ac:dyDescent="0.15">
      <c r="A86" s="34"/>
      <c r="B86" s="300"/>
      <c r="C86" s="301"/>
      <c r="D86" s="301"/>
      <c r="E86" s="301"/>
      <c r="F86" s="301"/>
      <c r="G86" s="301"/>
      <c r="H86" s="301"/>
      <c r="I86" s="301"/>
      <c r="J86" s="302"/>
      <c r="K86" s="30"/>
    </row>
    <row r="87" spans="1:11" ht="7.5" customHeight="1" x14ac:dyDescent="0.15">
      <c r="A87" s="34"/>
      <c r="B87" s="34"/>
      <c r="C87" s="34"/>
      <c r="D87" s="34"/>
      <c r="E87" s="34"/>
      <c r="F87" s="34"/>
      <c r="G87" s="34"/>
      <c r="H87" s="34"/>
      <c r="I87" s="34"/>
      <c r="J87" s="34"/>
    </row>
    <row r="88" spans="1:11" s="4" customFormat="1" ht="18.75" customHeight="1" x14ac:dyDescent="0.15">
      <c r="A88" s="1" t="s">
        <v>12</v>
      </c>
      <c r="B88" s="1" t="s">
        <v>27</v>
      </c>
      <c r="C88" s="1"/>
      <c r="D88" s="1"/>
      <c r="E88" s="1"/>
      <c r="F88" s="1"/>
      <c r="G88" s="1"/>
      <c r="H88" s="1"/>
      <c r="I88" s="1"/>
      <c r="J88" s="1"/>
      <c r="K88" s="28"/>
    </row>
    <row r="89" spans="1:11" s="4" customFormat="1" ht="18.75" customHeight="1" x14ac:dyDescent="0.15">
      <c r="A89" s="1"/>
      <c r="B89" s="313" t="s">
        <v>205</v>
      </c>
      <c r="C89" s="314"/>
      <c r="D89" s="314"/>
      <c r="E89" s="314"/>
      <c r="F89" s="314"/>
      <c r="G89" s="314"/>
      <c r="H89" s="314"/>
      <c r="I89" s="315"/>
      <c r="J89" s="316"/>
      <c r="K89" s="28"/>
    </row>
    <row r="90" spans="1:11" s="4" customFormat="1" ht="18.75" customHeight="1" x14ac:dyDescent="0.15">
      <c r="A90" s="1"/>
      <c r="B90" s="297"/>
      <c r="C90" s="298"/>
      <c r="D90" s="298"/>
      <c r="E90" s="298"/>
      <c r="F90" s="298"/>
      <c r="G90" s="298"/>
      <c r="H90" s="298"/>
      <c r="I90" s="298"/>
      <c r="J90" s="299"/>
      <c r="K90" s="30"/>
    </row>
    <row r="91" spans="1:11" s="4" customFormat="1" ht="18.75" customHeight="1" x14ac:dyDescent="0.15">
      <c r="A91" s="1"/>
      <c r="B91" s="297"/>
      <c r="C91" s="298"/>
      <c r="D91" s="298"/>
      <c r="E91" s="298"/>
      <c r="F91" s="298"/>
      <c r="G91" s="298"/>
      <c r="H91" s="298"/>
      <c r="I91" s="298"/>
      <c r="J91" s="299"/>
      <c r="K91" s="30" t="str">
        <f>IF(B89="","入力してください","")</f>
        <v/>
      </c>
    </row>
    <row r="92" spans="1:11" s="4" customFormat="1" ht="18.75" customHeight="1" x14ac:dyDescent="0.15">
      <c r="A92" s="1"/>
      <c r="B92" s="297"/>
      <c r="C92" s="298"/>
      <c r="D92" s="298"/>
      <c r="E92" s="298"/>
      <c r="F92" s="298"/>
      <c r="G92" s="298"/>
      <c r="H92" s="298"/>
      <c r="I92" s="298"/>
      <c r="J92" s="299"/>
      <c r="K92" s="30"/>
    </row>
    <row r="93" spans="1:11" s="4" customFormat="1" ht="18.75" customHeight="1" x14ac:dyDescent="0.15">
      <c r="A93" s="1"/>
      <c r="B93" s="297"/>
      <c r="C93" s="298"/>
      <c r="D93" s="298"/>
      <c r="E93" s="298"/>
      <c r="F93" s="298"/>
      <c r="G93" s="298"/>
      <c r="H93" s="298"/>
      <c r="I93" s="298"/>
      <c r="J93" s="299"/>
      <c r="K93" s="30"/>
    </row>
    <row r="94" spans="1:11" s="4" customFormat="1" ht="18.75" customHeight="1" x14ac:dyDescent="0.15">
      <c r="A94" s="1"/>
      <c r="B94" s="297"/>
      <c r="C94" s="298"/>
      <c r="D94" s="298"/>
      <c r="E94" s="298"/>
      <c r="F94" s="298"/>
      <c r="G94" s="298"/>
      <c r="H94" s="298"/>
      <c r="I94" s="298"/>
      <c r="J94" s="299"/>
      <c r="K94" s="30"/>
    </row>
    <row r="95" spans="1:11" s="4" customFormat="1" ht="18.75" customHeight="1" x14ac:dyDescent="0.15">
      <c r="A95" s="1"/>
      <c r="B95" s="297"/>
      <c r="C95" s="298"/>
      <c r="D95" s="298"/>
      <c r="E95" s="298"/>
      <c r="F95" s="298"/>
      <c r="G95" s="298"/>
      <c r="H95" s="298"/>
      <c r="I95" s="298"/>
      <c r="J95" s="299"/>
      <c r="K95" s="30"/>
    </row>
    <row r="96" spans="1:11" s="4" customFormat="1" ht="18.75" customHeight="1" x14ac:dyDescent="0.15">
      <c r="A96" s="1"/>
      <c r="B96" s="297"/>
      <c r="C96" s="298"/>
      <c r="D96" s="298"/>
      <c r="E96" s="298"/>
      <c r="F96" s="298"/>
      <c r="G96" s="298"/>
      <c r="H96" s="298"/>
      <c r="I96" s="298"/>
      <c r="J96" s="299"/>
      <c r="K96" s="30"/>
    </row>
    <row r="97" spans="1:11" s="4" customFormat="1" ht="18.75" customHeight="1" x14ac:dyDescent="0.15">
      <c r="A97" s="1"/>
      <c r="B97" s="297"/>
      <c r="C97" s="298"/>
      <c r="D97" s="298"/>
      <c r="E97" s="298"/>
      <c r="F97" s="298"/>
      <c r="G97" s="298"/>
      <c r="H97" s="298"/>
      <c r="I97" s="298"/>
      <c r="J97" s="299"/>
      <c r="K97" s="30"/>
    </row>
    <row r="98" spans="1:11" s="4" customFormat="1" ht="18.75" customHeight="1" x14ac:dyDescent="0.15">
      <c r="A98" s="1"/>
      <c r="B98" s="297"/>
      <c r="C98" s="298"/>
      <c r="D98" s="298"/>
      <c r="E98" s="298"/>
      <c r="F98" s="298"/>
      <c r="G98" s="298"/>
      <c r="H98" s="298"/>
      <c r="I98" s="298"/>
      <c r="J98" s="299"/>
      <c r="K98" s="30"/>
    </row>
    <row r="99" spans="1:11" s="4" customFormat="1" ht="18.75" customHeight="1" x14ac:dyDescent="0.15">
      <c r="A99" s="1"/>
      <c r="B99" s="297"/>
      <c r="C99" s="298"/>
      <c r="D99" s="298"/>
      <c r="E99" s="298"/>
      <c r="F99" s="298"/>
      <c r="G99" s="298"/>
      <c r="H99" s="298"/>
      <c r="I99" s="298"/>
      <c r="J99" s="299"/>
      <c r="K99" s="30"/>
    </row>
    <row r="100" spans="1:11" s="4" customFormat="1" ht="18.75" customHeight="1" x14ac:dyDescent="0.15">
      <c r="A100" s="1"/>
      <c r="B100" s="297"/>
      <c r="C100" s="298"/>
      <c r="D100" s="298"/>
      <c r="E100" s="298"/>
      <c r="F100" s="298"/>
      <c r="G100" s="298"/>
      <c r="H100" s="298"/>
      <c r="I100" s="298"/>
      <c r="J100" s="299"/>
      <c r="K100" s="30"/>
    </row>
    <row r="101" spans="1:11" s="4" customFormat="1" ht="18.75" customHeight="1" x14ac:dyDescent="0.15">
      <c r="A101" s="1"/>
      <c r="B101" s="297"/>
      <c r="C101" s="298"/>
      <c r="D101" s="298"/>
      <c r="E101" s="298"/>
      <c r="F101" s="298"/>
      <c r="G101" s="298"/>
      <c r="H101" s="298"/>
      <c r="I101" s="298"/>
      <c r="J101" s="299"/>
      <c r="K101" s="30"/>
    </row>
    <row r="102" spans="1:11" s="4" customFormat="1" ht="18.75" customHeight="1" x14ac:dyDescent="0.15">
      <c r="A102" s="1"/>
      <c r="B102" s="297"/>
      <c r="C102" s="298"/>
      <c r="D102" s="298"/>
      <c r="E102" s="298"/>
      <c r="F102" s="298"/>
      <c r="G102" s="298"/>
      <c r="H102" s="298"/>
      <c r="I102" s="298"/>
      <c r="J102" s="299"/>
      <c r="K102" s="30"/>
    </row>
    <row r="103" spans="1:11" s="4" customFormat="1" ht="18.75" customHeight="1" x14ac:dyDescent="0.15">
      <c r="A103" s="1"/>
      <c r="B103" s="297"/>
      <c r="C103" s="298"/>
      <c r="D103" s="298"/>
      <c r="E103" s="298"/>
      <c r="F103" s="298"/>
      <c r="G103" s="298"/>
      <c r="H103" s="298"/>
      <c r="I103" s="298"/>
      <c r="J103" s="299"/>
      <c r="K103" s="30"/>
    </row>
    <row r="104" spans="1:11" s="4" customFormat="1" ht="18.75" customHeight="1" x14ac:dyDescent="0.15">
      <c r="A104" s="1"/>
      <c r="B104" s="297"/>
      <c r="C104" s="298"/>
      <c r="D104" s="298"/>
      <c r="E104" s="298"/>
      <c r="F104" s="298"/>
      <c r="G104" s="298"/>
      <c r="H104" s="298"/>
      <c r="I104" s="298"/>
      <c r="J104" s="299"/>
      <c r="K104" s="30"/>
    </row>
    <row r="105" spans="1:11" s="4" customFormat="1" ht="18.75" customHeight="1" x14ac:dyDescent="0.15">
      <c r="A105" s="1"/>
      <c r="B105" s="297"/>
      <c r="C105" s="298"/>
      <c r="D105" s="298"/>
      <c r="E105" s="298"/>
      <c r="F105" s="298"/>
      <c r="G105" s="298"/>
      <c r="H105" s="298"/>
      <c r="I105" s="298"/>
      <c r="J105" s="299"/>
      <c r="K105" s="30"/>
    </row>
    <row r="106" spans="1:11" s="4" customFormat="1" ht="18.75" customHeight="1" x14ac:dyDescent="0.15">
      <c r="A106" s="1"/>
      <c r="B106" s="297"/>
      <c r="C106" s="298"/>
      <c r="D106" s="298"/>
      <c r="E106" s="298"/>
      <c r="F106" s="298"/>
      <c r="G106" s="298"/>
      <c r="H106" s="298"/>
      <c r="I106" s="298"/>
      <c r="J106" s="299"/>
      <c r="K106" s="30"/>
    </row>
    <row r="107" spans="1:11" ht="18.75" customHeight="1" x14ac:dyDescent="0.15">
      <c r="A107" s="34"/>
      <c r="B107" s="297"/>
      <c r="C107" s="298"/>
      <c r="D107" s="298"/>
      <c r="E107" s="298"/>
      <c r="F107" s="298"/>
      <c r="G107" s="298"/>
      <c r="H107" s="298"/>
      <c r="I107" s="298"/>
      <c r="J107" s="299"/>
      <c r="K107" s="30"/>
    </row>
    <row r="108" spans="1:11" ht="18.75" customHeight="1" x14ac:dyDescent="0.15">
      <c r="A108" s="34"/>
      <c r="B108" s="300"/>
      <c r="C108" s="301"/>
      <c r="D108" s="301"/>
      <c r="E108" s="301"/>
      <c r="F108" s="301"/>
      <c r="G108" s="301"/>
      <c r="H108" s="301"/>
      <c r="I108" s="301"/>
      <c r="J108" s="302"/>
      <c r="K108" s="30"/>
    </row>
    <row r="109" spans="1:11" ht="7.5" customHeight="1" x14ac:dyDescent="0.15">
      <c r="A109" s="34"/>
      <c r="B109" s="34"/>
      <c r="C109" s="34"/>
      <c r="D109" s="34"/>
      <c r="E109" s="34"/>
      <c r="F109" s="34"/>
      <c r="G109" s="34"/>
      <c r="H109" s="34"/>
      <c r="I109" s="34"/>
      <c r="J109" s="34"/>
    </row>
    <row r="110" spans="1:11" s="4" customFormat="1" ht="18.75" customHeight="1" x14ac:dyDescent="0.15">
      <c r="A110" s="1" t="s">
        <v>53</v>
      </c>
      <c r="B110" s="324" t="s">
        <v>82</v>
      </c>
      <c r="C110" s="324"/>
      <c r="D110" s="324"/>
      <c r="E110" s="324"/>
      <c r="F110" s="324"/>
      <c r="G110" s="324"/>
      <c r="H110" s="324"/>
      <c r="I110" s="324"/>
      <c r="J110" s="324"/>
      <c r="K110" s="28"/>
    </row>
    <row r="111" spans="1:11" ht="18.75" customHeight="1" x14ac:dyDescent="0.15">
      <c r="A111" s="34"/>
      <c r="B111" s="313" t="s">
        <v>211</v>
      </c>
      <c r="C111" s="314"/>
      <c r="D111" s="314"/>
      <c r="E111" s="314"/>
      <c r="F111" s="314"/>
      <c r="G111" s="314"/>
      <c r="H111" s="314"/>
      <c r="I111" s="315"/>
      <c r="J111" s="316"/>
    </row>
    <row r="112" spans="1:11" ht="18.75" customHeight="1" x14ac:dyDescent="0.15">
      <c r="A112" s="34"/>
      <c r="B112" s="297"/>
      <c r="C112" s="298"/>
      <c r="D112" s="298"/>
      <c r="E112" s="298"/>
      <c r="F112" s="298"/>
      <c r="G112" s="298"/>
      <c r="H112" s="298"/>
      <c r="I112" s="298"/>
      <c r="J112" s="299"/>
      <c r="K112" s="30"/>
    </row>
    <row r="113" spans="1:11" ht="18.75" customHeight="1" x14ac:dyDescent="0.15">
      <c r="A113" s="34"/>
      <c r="B113" s="297"/>
      <c r="C113" s="298"/>
      <c r="D113" s="298"/>
      <c r="E113" s="298"/>
      <c r="F113" s="298"/>
      <c r="G113" s="298"/>
      <c r="H113" s="298"/>
      <c r="I113" s="298"/>
      <c r="J113" s="299"/>
      <c r="K113" s="28" t="str">
        <f>IF(B111="","入力してください","")</f>
        <v/>
      </c>
    </row>
    <row r="114" spans="1:11" ht="18.75" customHeight="1" x14ac:dyDescent="0.15">
      <c r="A114" s="34"/>
      <c r="B114" s="297"/>
      <c r="C114" s="298"/>
      <c r="D114" s="298"/>
      <c r="E114" s="298"/>
      <c r="F114" s="298"/>
      <c r="G114" s="298"/>
      <c r="H114" s="298"/>
      <c r="I114" s="298"/>
      <c r="J114" s="299"/>
    </row>
    <row r="115" spans="1:11" ht="18.75" customHeight="1" x14ac:dyDescent="0.15">
      <c r="A115" s="34"/>
      <c r="B115" s="297"/>
      <c r="C115" s="298"/>
      <c r="D115" s="298"/>
      <c r="E115" s="298"/>
      <c r="F115" s="298"/>
      <c r="G115" s="298"/>
      <c r="H115" s="298"/>
      <c r="I115" s="298"/>
      <c r="J115" s="299"/>
    </row>
    <row r="116" spans="1:11" ht="18.75" customHeight="1" x14ac:dyDescent="0.15">
      <c r="A116" s="34"/>
      <c r="B116" s="297"/>
      <c r="C116" s="298"/>
      <c r="D116" s="298"/>
      <c r="E116" s="298"/>
      <c r="F116" s="298"/>
      <c r="G116" s="298"/>
      <c r="H116" s="298"/>
      <c r="I116" s="298"/>
      <c r="J116" s="299"/>
    </row>
    <row r="117" spans="1:11" ht="18.75" customHeight="1" x14ac:dyDescent="0.15">
      <c r="A117" s="34"/>
      <c r="B117" s="297"/>
      <c r="C117" s="298"/>
      <c r="D117" s="298"/>
      <c r="E117" s="298"/>
      <c r="F117" s="298"/>
      <c r="G117" s="298"/>
      <c r="H117" s="298"/>
      <c r="I117" s="298"/>
      <c r="J117" s="299"/>
    </row>
    <row r="118" spans="1:11" ht="18.75" customHeight="1" x14ac:dyDescent="0.15">
      <c r="A118" s="34"/>
      <c r="B118" s="297"/>
      <c r="C118" s="298"/>
      <c r="D118" s="298"/>
      <c r="E118" s="298"/>
      <c r="F118" s="298"/>
      <c r="G118" s="298"/>
      <c r="H118" s="298"/>
      <c r="I118" s="298"/>
      <c r="J118" s="299"/>
    </row>
    <row r="119" spans="1:11" ht="18.75" customHeight="1" x14ac:dyDescent="0.15">
      <c r="A119" s="34"/>
      <c r="B119" s="297"/>
      <c r="C119" s="298"/>
      <c r="D119" s="298"/>
      <c r="E119" s="298"/>
      <c r="F119" s="298"/>
      <c r="G119" s="298"/>
      <c r="H119" s="298"/>
      <c r="I119" s="298"/>
      <c r="J119" s="299"/>
    </row>
    <row r="120" spans="1:11" ht="18.75" customHeight="1" x14ac:dyDescent="0.15">
      <c r="A120" s="34"/>
      <c r="B120" s="297"/>
      <c r="C120" s="298"/>
      <c r="D120" s="298"/>
      <c r="E120" s="298"/>
      <c r="F120" s="298"/>
      <c r="G120" s="298"/>
      <c r="H120" s="298"/>
      <c r="I120" s="298"/>
      <c r="J120" s="299"/>
    </row>
    <row r="121" spans="1:11" ht="18.75" customHeight="1" x14ac:dyDescent="0.15">
      <c r="A121" s="34"/>
      <c r="B121" s="297"/>
      <c r="C121" s="298"/>
      <c r="D121" s="298"/>
      <c r="E121" s="298"/>
      <c r="F121" s="298"/>
      <c r="G121" s="298"/>
      <c r="H121" s="298"/>
      <c r="I121" s="298"/>
      <c r="J121" s="299"/>
    </row>
    <row r="122" spans="1:11" ht="18.75" customHeight="1" x14ac:dyDescent="0.15">
      <c r="A122" s="34"/>
      <c r="B122" s="297"/>
      <c r="C122" s="298"/>
      <c r="D122" s="298"/>
      <c r="E122" s="298"/>
      <c r="F122" s="298"/>
      <c r="G122" s="298"/>
      <c r="H122" s="298"/>
      <c r="I122" s="298"/>
      <c r="J122" s="299"/>
    </row>
    <row r="123" spans="1:11" ht="18.75" customHeight="1" x14ac:dyDescent="0.15">
      <c r="A123" s="34"/>
      <c r="B123" s="297"/>
      <c r="C123" s="298"/>
      <c r="D123" s="298"/>
      <c r="E123" s="298"/>
      <c r="F123" s="298"/>
      <c r="G123" s="298"/>
      <c r="H123" s="298"/>
      <c r="I123" s="298"/>
      <c r="J123" s="299"/>
    </row>
    <row r="124" spans="1:11" ht="18.75" customHeight="1" x14ac:dyDescent="0.15">
      <c r="A124" s="34"/>
      <c r="B124" s="297"/>
      <c r="C124" s="298"/>
      <c r="D124" s="298"/>
      <c r="E124" s="298"/>
      <c r="F124" s="298"/>
      <c r="G124" s="298"/>
      <c r="H124" s="298"/>
      <c r="I124" s="298"/>
      <c r="J124" s="299"/>
    </row>
    <row r="125" spans="1:11" ht="18.75" customHeight="1" x14ac:dyDescent="0.15">
      <c r="A125" s="34"/>
      <c r="B125" s="297"/>
      <c r="C125" s="298"/>
      <c r="D125" s="298"/>
      <c r="E125" s="298"/>
      <c r="F125" s="298"/>
      <c r="G125" s="298"/>
      <c r="H125" s="298"/>
      <c r="I125" s="298"/>
      <c r="J125" s="299"/>
    </row>
    <row r="126" spans="1:11" ht="18.75" customHeight="1" x14ac:dyDescent="0.15">
      <c r="A126" s="34"/>
      <c r="B126" s="297"/>
      <c r="C126" s="298"/>
      <c r="D126" s="298"/>
      <c r="E126" s="298"/>
      <c r="F126" s="298"/>
      <c r="G126" s="298"/>
      <c r="H126" s="298"/>
      <c r="I126" s="298"/>
      <c r="J126" s="299"/>
    </row>
    <row r="127" spans="1:11" ht="18.75" customHeight="1" x14ac:dyDescent="0.15">
      <c r="A127" s="34"/>
      <c r="B127" s="297"/>
      <c r="C127" s="298"/>
      <c r="D127" s="298"/>
      <c r="E127" s="298"/>
      <c r="F127" s="298"/>
      <c r="G127" s="298"/>
      <c r="H127" s="298"/>
      <c r="I127" s="298"/>
      <c r="J127" s="299"/>
    </row>
    <row r="128" spans="1:11" ht="18.75" customHeight="1" x14ac:dyDescent="0.15">
      <c r="A128" s="34"/>
      <c r="B128" s="297"/>
      <c r="C128" s="298"/>
      <c r="D128" s="298"/>
      <c r="E128" s="298"/>
      <c r="F128" s="298"/>
      <c r="G128" s="298"/>
      <c r="H128" s="298"/>
      <c r="I128" s="298"/>
      <c r="J128" s="299"/>
    </row>
    <row r="129" spans="1:10" ht="18.75" customHeight="1" x14ac:dyDescent="0.15">
      <c r="A129" s="34"/>
      <c r="B129" s="300"/>
      <c r="C129" s="301"/>
      <c r="D129" s="301"/>
      <c r="E129" s="301"/>
      <c r="F129" s="301"/>
      <c r="G129" s="301"/>
      <c r="H129" s="301"/>
      <c r="I129" s="301"/>
      <c r="J129" s="302"/>
    </row>
    <row r="130" spans="1:10" ht="7.5" customHeight="1" x14ac:dyDescent="0.15">
      <c r="A130" s="34"/>
      <c r="B130" s="98"/>
      <c r="C130" s="98"/>
      <c r="D130" s="98"/>
      <c r="E130" s="98"/>
      <c r="F130" s="98"/>
      <c r="G130" s="98"/>
      <c r="H130" s="98"/>
      <c r="I130" s="98"/>
      <c r="J130" s="98"/>
    </row>
    <row r="131" spans="1:10" ht="18.75" customHeight="1" x14ac:dyDescent="0.15">
      <c r="A131" s="34"/>
      <c r="B131" s="34"/>
      <c r="C131" s="34"/>
      <c r="D131" s="34"/>
      <c r="E131" s="34"/>
      <c r="F131" s="34"/>
      <c r="G131" s="34"/>
      <c r="H131" s="34"/>
      <c r="I131" s="34"/>
      <c r="J131" s="34"/>
    </row>
    <row r="132" spans="1:10" ht="18.75" customHeight="1" x14ac:dyDescent="0.15">
      <c r="A132" s="34"/>
      <c r="B132" s="34"/>
      <c r="C132" s="34"/>
      <c r="D132" s="34"/>
      <c r="E132" s="34"/>
      <c r="F132" s="34"/>
      <c r="G132" s="34"/>
      <c r="H132" s="34"/>
      <c r="I132" s="34"/>
      <c r="J132" s="34"/>
    </row>
    <row r="133" spans="1:10" ht="18.75" customHeight="1" x14ac:dyDescent="0.15">
      <c r="A133" s="34"/>
      <c r="B133" s="34"/>
      <c r="C133" s="34"/>
      <c r="D133" s="34"/>
      <c r="E133" s="34"/>
      <c r="F133" s="34"/>
      <c r="G133" s="34"/>
      <c r="H133" s="34"/>
      <c r="I133" s="34"/>
      <c r="J133" s="34"/>
    </row>
    <row r="134" spans="1:10" ht="18.75" customHeight="1" x14ac:dyDescent="0.15">
      <c r="A134" s="34"/>
      <c r="B134" s="34"/>
      <c r="C134" s="34"/>
      <c r="D134" s="34"/>
      <c r="E134" s="34"/>
      <c r="F134" s="34"/>
      <c r="G134" s="34"/>
      <c r="H134" s="34"/>
      <c r="I134" s="34"/>
      <c r="J134" s="34"/>
    </row>
    <row r="135" spans="1:10" ht="18.75" customHeight="1" x14ac:dyDescent="0.15">
      <c r="A135" s="34"/>
      <c r="B135" s="34"/>
      <c r="C135" s="34"/>
      <c r="D135" s="34"/>
      <c r="E135" s="34"/>
      <c r="F135" s="34"/>
      <c r="G135" s="34"/>
      <c r="H135" s="34"/>
      <c r="I135" s="34"/>
      <c r="J135" s="34"/>
    </row>
    <row r="136" spans="1:10" ht="18.75" customHeight="1" x14ac:dyDescent="0.15">
      <c r="A136" s="34"/>
      <c r="B136" s="34"/>
      <c r="C136" s="34"/>
      <c r="D136" s="34"/>
      <c r="E136" s="34"/>
      <c r="F136" s="34"/>
      <c r="G136" s="34"/>
      <c r="H136" s="34"/>
      <c r="I136" s="34"/>
      <c r="J136" s="34"/>
    </row>
    <row r="137" spans="1:10" ht="18.75" customHeight="1" x14ac:dyDescent="0.15">
      <c r="A137" s="34"/>
      <c r="B137" s="34"/>
      <c r="C137" s="34"/>
      <c r="D137" s="34"/>
      <c r="E137" s="34"/>
      <c r="F137" s="34"/>
      <c r="G137" s="34"/>
      <c r="H137" s="34"/>
      <c r="I137" s="34"/>
      <c r="J137" s="34"/>
    </row>
    <row r="138" spans="1:10" ht="18.75" customHeight="1" x14ac:dyDescent="0.15">
      <c r="A138" s="34"/>
      <c r="B138" s="34"/>
      <c r="C138" s="34"/>
      <c r="D138" s="34"/>
      <c r="E138" s="34"/>
      <c r="F138" s="34"/>
      <c r="G138" s="34"/>
      <c r="H138" s="34"/>
      <c r="I138" s="34"/>
      <c r="J138" s="34"/>
    </row>
    <row r="139" spans="1:10" ht="18.75" customHeight="1" x14ac:dyDescent="0.15">
      <c r="A139" s="34"/>
      <c r="B139" s="34"/>
      <c r="C139" s="34"/>
      <c r="D139" s="34"/>
      <c r="E139" s="34"/>
      <c r="F139" s="34"/>
      <c r="G139" s="34"/>
      <c r="H139" s="34"/>
      <c r="I139" s="34"/>
      <c r="J139" s="34"/>
    </row>
    <row r="140" spans="1:10" ht="18.75" customHeight="1" x14ac:dyDescent="0.15">
      <c r="A140" s="34"/>
      <c r="B140" s="34"/>
      <c r="C140" s="34"/>
      <c r="D140" s="34"/>
      <c r="E140" s="34"/>
      <c r="F140" s="34"/>
      <c r="G140" s="34"/>
      <c r="H140" s="34"/>
      <c r="I140" s="34"/>
      <c r="J140" s="34"/>
    </row>
    <row r="141" spans="1:10" ht="18.75" customHeight="1" x14ac:dyDescent="0.15">
      <c r="A141" s="34"/>
      <c r="B141" s="34"/>
      <c r="C141" s="34"/>
      <c r="D141" s="34"/>
      <c r="E141" s="34"/>
      <c r="F141" s="34"/>
      <c r="G141" s="34"/>
      <c r="H141" s="34"/>
      <c r="I141" s="34"/>
      <c r="J141" s="34"/>
    </row>
    <row r="142" spans="1:10" ht="18.75" customHeight="1" x14ac:dyDescent="0.15">
      <c r="A142" s="34"/>
      <c r="B142" s="34"/>
      <c r="C142" s="34"/>
      <c r="D142" s="34"/>
      <c r="E142" s="34"/>
      <c r="F142" s="34"/>
      <c r="G142" s="34"/>
      <c r="H142" s="34"/>
      <c r="I142" s="34"/>
      <c r="J142" s="34"/>
    </row>
    <row r="143" spans="1:10" ht="14.25" x14ac:dyDescent="0.15">
      <c r="A143" s="34"/>
      <c r="B143" s="34"/>
      <c r="C143" s="34"/>
      <c r="D143" s="34"/>
      <c r="E143" s="34"/>
      <c r="F143" s="34"/>
      <c r="G143" s="34"/>
      <c r="H143" s="34"/>
      <c r="I143" s="34"/>
      <c r="J143" s="34"/>
    </row>
    <row r="144" spans="1:10" ht="7.5" customHeight="1" x14ac:dyDescent="0.15">
      <c r="A144" s="99"/>
      <c r="B144" s="99"/>
      <c r="C144" s="99"/>
      <c r="D144" s="99"/>
      <c r="E144" s="99"/>
      <c r="F144" s="99"/>
      <c r="G144" s="99"/>
      <c r="H144" s="99"/>
      <c r="I144" s="99"/>
      <c r="J144" s="99"/>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70" zoomScaleNormal="100" zoomScaleSheetLayoutView="70" workbookViewId="0">
      <selection activeCell="M7" sqref="M7"/>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8" customWidth="1"/>
    <col min="12" max="16384" width="11.375" style="1"/>
  </cols>
  <sheetData>
    <row r="1" spans="1:11" ht="18.75" customHeight="1" x14ac:dyDescent="0.15">
      <c r="A1" s="1" t="s">
        <v>123</v>
      </c>
      <c r="J1" s="36" t="s">
        <v>73</v>
      </c>
    </row>
    <row r="2" spans="1:11" ht="18.75" customHeight="1" x14ac:dyDescent="0.15">
      <c r="A2" s="278" t="s">
        <v>42</v>
      </c>
      <c r="B2" s="278"/>
      <c r="C2" s="278"/>
      <c r="D2" s="278"/>
      <c r="E2" s="278"/>
      <c r="F2" s="278"/>
      <c r="G2" s="278"/>
      <c r="H2" s="278"/>
      <c r="I2" s="278"/>
      <c r="J2" s="278"/>
    </row>
    <row r="3" spans="1:11" ht="7.5" customHeight="1" x14ac:dyDescent="0.15">
      <c r="A3" s="37"/>
      <c r="B3" s="37"/>
      <c r="C3" s="37"/>
      <c r="D3" s="37"/>
      <c r="E3" s="37"/>
      <c r="F3" s="37"/>
      <c r="G3" s="37"/>
      <c r="H3" s="37"/>
      <c r="I3" s="37"/>
      <c r="J3" s="37"/>
    </row>
    <row r="4" spans="1:11" ht="18.75" customHeight="1" x14ac:dyDescent="0.15">
      <c r="A4" s="1" t="s">
        <v>6</v>
      </c>
      <c r="B4" s="4" t="s">
        <v>41</v>
      </c>
      <c r="C4" s="34"/>
      <c r="D4" s="34"/>
      <c r="E4" s="35"/>
      <c r="F4" s="35"/>
      <c r="G4" s="35"/>
      <c r="H4" s="35"/>
      <c r="I4" s="35"/>
      <c r="J4" s="35"/>
    </row>
    <row r="5" spans="1:11" ht="18.75" customHeight="1" x14ac:dyDescent="0.15">
      <c r="B5" s="330" t="s">
        <v>38</v>
      </c>
      <c r="C5" s="331"/>
      <c r="D5" s="332"/>
      <c r="E5" s="333" t="s">
        <v>40</v>
      </c>
      <c r="F5" s="333"/>
      <c r="G5" s="333"/>
      <c r="H5" s="333"/>
      <c r="I5" s="333"/>
      <c r="J5" s="334"/>
    </row>
    <row r="6" spans="1:11" ht="18.75" customHeight="1" x14ac:dyDescent="0.15">
      <c r="B6" s="3" t="s">
        <v>28</v>
      </c>
      <c r="C6" s="34"/>
      <c r="D6" s="7"/>
      <c r="I6" s="35"/>
      <c r="J6" s="5"/>
    </row>
    <row r="7" spans="1:11" ht="207" customHeight="1" x14ac:dyDescent="0.15">
      <c r="B7" s="6"/>
      <c r="C7" s="335" t="s">
        <v>29</v>
      </c>
      <c r="D7" s="336"/>
      <c r="E7" s="327" t="s">
        <v>195</v>
      </c>
      <c r="F7" s="328"/>
      <c r="G7" s="328"/>
      <c r="H7" s="328"/>
      <c r="I7" s="328"/>
      <c r="J7" s="329"/>
      <c r="K7" s="28" t="str">
        <f>IF(E7="","入力してください","")</f>
        <v/>
      </c>
    </row>
    <row r="8" spans="1:11" ht="207" customHeight="1" x14ac:dyDescent="0.15">
      <c r="B8" s="6"/>
      <c r="C8" s="325" t="s">
        <v>30</v>
      </c>
      <c r="D8" s="326"/>
      <c r="E8" s="327" t="s">
        <v>196</v>
      </c>
      <c r="F8" s="328"/>
      <c r="G8" s="328"/>
      <c r="H8" s="328"/>
      <c r="I8" s="328"/>
      <c r="J8" s="329"/>
      <c r="K8" s="28" t="str">
        <f>IF(E8="","入力してください","")</f>
        <v/>
      </c>
    </row>
    <row r="9" spans="1:11" ht="172.5" customHeight="1" x14ac:dyDescent="0.15">
      <c r="B9" s="6"/>
      <c r="C9" s="335" t="s">
        <v>31</v>
      </c>
      <c r="D9" s="336"/>
      <c r="E9" s="327" t="s">
        <v>197</v>
      </c>
      <c r="F9" s="328"/>
      <c r="G9" s="328"/>
      <c r="H9" s="328"/>
      <c r="I9" s="328"/>
      <c r="J9" s="329"/>
      <c r="K9" s="28" t="str">
        <f>IF(E9="","入力してください","")</f>
        <v/>
      </c>
    </row>
    <row r="10" spans="1:11" ht="172.5" customHeight="1" x14ac:dyDescent="0.15">
      <c r="B10" s="6"/>
      <c r="C10" s="335" t="s">
        <v>32</v>
      </c>
      <c r="D10" s="336"/>
      <c r="E10" s="327" t="s">
        <v>198</v>
      </c>
      <c r="F10" s="328"/>
      <c r="G10" s="328"/>
      <c r="H10" s="328"/>
      <c r="I10" s="328"/>
      <c r="J10" s="329"/>
      <c r="K10" s="28" t="str">
        <f t="shared" ref="K10:K14" si="0">IF(E10="","入力してください","")</f>
        <v/>
      </c>
    </row>
    <row r="11" spans="1:11" ht="172.5" customHeight="1" x14ac:dyDescent="0.15">
      <c r="B11" s="6"/>
      <c r="C11" s="335" t="s">
        <v>33</v>
      </c>
      <c r="D11" s="336"/>
      <c r="E11" s="327" t="s">
        <v>199</v>
      </c>
      <c r="F11" s="328"/>
      <c r="G11" s="328"/>
      <c r="H11" s="328"/>
      <c r="I11" s="328"/>
      <c r="J11" s="329"/>
      <c r="K11" s="28" t="str">
        <f t="shared" si="0"/>
        <v/>
      </c>
    </row>
    <row r="12" spans="1:11" ht="18.75" customHeight="1" x14ac:dyDescent="0.15">
      <c r="B12" s="9" t="s">
        <v>34</v>
      </c>
      <c r="C12" s="25"/>
      <c r="D12" s="8"/>
      <c r="E12" s="117"/>
      <c r="F12" s="117"/>
      <c r="G12" s="117"/>
      <c r="H12" s="117"/>
      <c r="I12" s="117"/>
      <c r="J12" s="118"/>
    </row>
    <row r="13" spans="1:11" ht="244.35" customHeight="1" x14ac:dyDescent="0.15">
      <c r="B13" s="6"/>
      <c r="C13" s="335" t="s">
        <v>35</v>
      </c>
      <c r="D13" s="336"/>
      <c r="E13" s="328" t="s">
        <v>200</v>
      </c>
      <c r="F13" s="328"/>
      <c r="G13" s="328"/>
      <c r="H13" s="328"/>
      <c r="I13" s="328"/>
      <c r="J13" s="329"/>
      <c r="K13" s="28" t="str">
        <f t="shared" si="0"/>
        <v/>
      </c>
    </row>
    <row r="14" spans="1:11" ht="255" customHeight="1" x14ac:dyDescent="0.15">
      <c r="B14" s="6"/>
      <c r="C14" s="335" t="s">
        <v>36</v>
      </c>
      <c r="D14" s="336"/>
      <c r="E14" s="328" t="s">
        <v>201</v>
      </c>
      <c r="F14" s="328"/>
      <c r="G14" s="328"/>
      <c r="H14" s="328"/>
      <c r="I14" s="328"/>
      <c r="J14" s="329"/>
      <c r="K14" s="28" t="str">
        <f t="shared" si="0"/>
        <v/>
      </c>
    </row>
    <row r="15" spans="1:11" ht="243" customHeight="1" x14ac:dyDescent="0.15">
      <c r="B15" s="343" t="s">
        <v>37</v>
      </c>
      <c r="C15" s="344"/>
      <c r="D15" s="336"/>
      <c r="E15" s="328" t="s">
        <v>212</v>
      </c>
      <c r="F15" s="328"/>
      <c r="G15" s="328"/>
      <c r="H15" s="328"/>
      <c r="I15" s="328"/>
      <c r="J15" s="329"/>
      <c r="K15" s="28" t="str">
        <f>IF(E15="","入力してください","")</f>
        <v/>
      </c>
    </row>
    <row r="16" spans="1:11" ht="243" customHeight="1" x14ac:dyDescent="0.15">
      <c r="A16" s="28"/>
      <c r="B16" s="337" t="s">
        <v>66</v>
      </c>
      <c r="C16" s="338"/>
      <c r="D16" s="339"/>
      <c r="E16" s="322" t="s">
        <v>213</v>
      </c>
      <c r="F16" s="322"/>
      <c r="G16" s="322"/>
      <c r="H16" s="322"/>
      <c r="I16" s="322"/>
      <c r="J16" s="323"/>
      <c r="K16" s="28" t="str">
        <f>IF(E16="","入力してください","")</f>
        <v/>
      </c>
    </row>
    <row r="17" spans="1:11" ht="7.5" customHeight="1" x14ac:dyDescent="0.15">
      <c r="B17" s="34"/>
      <c r="C17" s="34"/>
      <c r="D17" s="34"/>
      <c r="E17" s="35"/>
      <c r="F17" s="35"/>
      <c r="G17" s="35"/>
      <c r="H17" s="35"/>
      <c r="I17" s="35"/>
      <c r="J17" s="35"/>
    </row>
    <row r="18" spans="1:11" ht="18.75" customHeight="1" x14ac:dyDescent="0.15">
      <c r="A18" s="1" t="s">
        <v>124</v>
      </c>
      <c r="B18" s="4"/>
      <c r="C18" s="34"/>
      <c r="D18" s="34"/>
      <c r="E18" s="35"/>
      <c r="F18" s="88"/>
      <c r="G18" s="340" t="s">
        <v>191</v>
      </c>
      <c r="H18" s="341"/>
      <c r="I18" s="341"/>
      <c r="J18" s="342"/>
      <c r="K18" s="28" t="str">
        <f>IF(G18="","入力してください","")</f>
        <v/>
      </c>
    </row>
    <row r="19" spans="1:11" ht="22.5" customHeight="1" x14ac:dyDescent="0.15">
      <c r="B19" s="34"/>
      <c r="C19" s="34"/>
      <c r="D19" s="34"/>
      <c r="E19" s="35"/>
      <c r="F19" s="35"/>
      <c r="G19" s="35"/>
      <c r="H19" s="35"/>
      <c r="I19" s="35"/>
      <c r="J19" s="35"/>
    </row>
    <row r="20" spans="1:11" ht="22.5" customHeight="1" x14ac:dyDescent="0.15">
      <c r="B20" s="34"/>
      <c r="C20" s="34"/>
      <c r="D20" s="34"/>
      <c r="E20" s="35"/>
      <c r="F20" s="35"/>
      <c r="G20" s="35"/>
      <c r="H20" s="35"/>
      <c r="I20" s="35"/>
      <c r="J20" s="35"/>
    </row>
    <row r="21" spans="1:11" ht="22.5" customHeight="1" x14ac:dyDescent="0.15">
      <c r="B21" s="34"/>
      <c r="C21" s="34"/>
      <c r="D21" s="34"/>
      <c r="E21" s="35"/>
      <c r="F21" s="35"/>
      <c r="G21" s="35"/>
      <c r="H21" s="35"/>
      <c r="I21" s="35"/>
      <c r="J21" s="35"/>
    </row>
    <row r="22" spans="1:11" ht="22.5" customHeight="1" x14ac:dyDescent="0.15">
      <c r="B22" s="34"/>
      <c r="C22" s="34"/>
      <c r="D22" s="34"/>
      <c r="E22" s="35"/>
      <c r="F22" s="35"/>
      <c r="G22" s="35"/>
      <c r="H22" s="35"/>
      <c r="I22" s="35"/>
      <c r="J22" s="35"/>
    </row>
    <row r="23" spans="1:11" ht="22.5" customHeight="1" x14ac:dyDescent="0.15">
      <c r="B23" s="34"/>
      <c r="C23" s="34"/>
      <c r="D23" s="34"/>
      <c r="E23" s="35"/>
      <c r="F23" s="35"/>
      <c r="G23" s="35"/>
      <c r="H23" s="35"/>
      <c r="I23" s="35"/>
      <c r="J23" s="35"/>
    </row>
    <row r="24" spans="1:11" ht="22.5" customHeight="1" x14ac:dyDescent="0.15">
      <c r="B24" s="100"/>
      <c r="C24" s="100"/>
      <c r="D24" s="100"/>
      <c r="E24" s="100"/>
      <c r="F24" s="100"/>
      <c r="G24" s="100"/>
      <c r="H24" s="100"/>
      <c r="I24" s="100"/>
      <c r="J24" s="100"/>
    </row>
    <row r="25" spans="1:11" ht="22.5" customHeight="1" x14ac:dyDescent="0.15">
      <c r="B25" s="100"/>
      <c r="C25" s="100"/>
      <c r="D25" s="100"/>
      <c r="E25" s="100"/>
      <c r="F25" s="100"/>
      <c r="G25" s="100"/>
      <c r="H25" s="100"/>
      <c r="I25" s="100"/>
      <c r="J25" s="100"/>
    </row>
    <row r="26" spans="1:11" ht="22.5" customHeight="1" x14ac:dyDescent="0.15">
      <c r="B26" s="100"/>
      <c r="C26" s="100"/>
      <c r="D26" s="100"/>
      <c r="E26" s="100"/>
      <c r="F26" s="100"/>
      <c r="G26" s="100"/>
      <c r="H26" s="100"/>
      <c r="I26" s="100"/>
      <c r="J26" s="100"/>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849809A6-3197-4777-8820-A378AB752E92}"/>
  </hyperlinks>
  <printOptions horizontalCentered="1"/>
  <pageMargins left="0.78740157480314965" right="0.78740157480314965" top="0.78740157480314965" bottom="0.78740157480314965" header="0.31496062992125984" footer="0.31496062992125984"/>
  <pageSetup paperSize="9" orientation="landscape" r:id="rId2"/>
  <rowBreaks count="3" manualBreakCount="3">
    <brk id="8" max="9" man="1"/>
    <brk id="11" max="9" man="1"/>
    <brk id="14"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jim</cp:lastModifiedBy>
  <cp:lastPrinted>2022-05-11T09:25:28Z</cp:lastPrinted>
  <dcterms:created xsi:type="dcterms:W3CDTF">2011-06-14T05:32:50Z</dcterms:created>
  <dcterms:modified xsi:type="dcterms:W3CDTF">2022-05-17T07:23:59Z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