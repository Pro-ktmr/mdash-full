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sujino Kenji\Documents\User\教室運営&amp;事務等\【重要】AI・データサイエンスと医療教育委員会\数理・データサイエンス・AI教育プログラム認定制度（リテラシ―レベル）\R4年度申請\必要書類\追加・修正資料\20220705\"/>
    </mc:Choice>
  </mc:AlternateContent>
  <bookViews>
    <workbookView xWindow="0" yWindow="0" windowWidth="13575" windowHeight="11460" tabRatio="885" firstSheet="4" activeTab="6"/>
  </bookViews>
  <sheets>
    <sheet name="様式１　大学等概要" sheetId="8" r:id="rId1"/>
    <sheet name="様式２　プログラムを構成する授業科目 (医学部)" sheetId="44" r:id="rId2"/>
    <sheet name="様式２　プログラムを構成する授業科目（看護学部）" sheetId="39" r:id="rId3"/>
    <sheet name="様式３　履修者等数の実績" sheetId="40" r:id="rId4"/>
    <sheet name="様式４　教育の質・履修者数を向上させるための体制・計画" sheetId="41" r:id="rId5"/>
    <sheet name="様式５　自己点検・評価" sheetId="42" r:id="rId6"/>
    <sheet name="様式６　特色ある取組 " sheetId="47" r:id="rId7"/>
  </sheets>
  <definedNames>
    <definedName name="_xlnm._FilterDatabase" localSheetId="1" hidden="1">'様式２　プログラムを構成する授業科目 (医学部)'!#REF!</definedName>
    <definedName name="_xlnm._FilterDatabase" localSheetId="2" hidden="1">'様式２　プログラムを構成する授業科目（看護学部）'!#REF!</definedName>
    <definedName name="_xlnm._FilterDatabase" localSheetId="3" hidden="1">'様式３　履修者等数の実績'!#REF!</definedName>
    <definedName name="_xlnm.Print_Area" localSheetId="0">'様式１　大学等概要'!$A$1:$N$45</definedName>
    <definedName name="_xlnm.Print_Area" localSheetId="1">'様式２　プログラムを構成する授業科目 (医学部)'!$A$1:$Z$98</definedName>
    <definedName name="_xlnm.Print_Area" localSheetId="2">'様式２　プログラムを構成する授業科目（看護学部）'!$A$1:$Z$98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 name="_xlnm.Print_Area" localSheetId="6">'様式６　特色ある取組 '!$A$1:$F$124</definedName>
  </definedNames>
  <calcPr calcId="162913"/>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P30" i="40"/>
  <c r="O30" i="40"/>
  <c r="N30" i="40"/>
  <c r="M30" i="40"/>
  <c r="L30" i="40"/>
  <c r="K30" i="40"/>
  <c r="J30" i="40"/>
  <c r="I30" i="40"/>
  <c r="H30" i="40"/>
  <c r="G30" i="40"/>
  <c r="F30" i="40"/>
  <c r="E30" i="40"/>
  <c r="D30" i="40"/>
  <c r="I29" i="41" s="1"/>
  <c r="C30" i="40"/>
  <c r="Q29" i="40"/>
  <c r="R29" i="40"/>
  <c r="Q28" i="40"/>
  <c r="R28" i="40"/>
  <c r="Q27" i="40"/>
  <c r="R27" i="40" s="1"/>
  <c r="Q26" i="40"/>
  <c r="R26" i="40" s="1"/>
  <c r="Q25" i="40"/>
  <c r="R25" i="40" s="1"/>
  <c r="Q24" i="40"/>
  <c r="R24" i="40" s="1"/>
  <c r="Q23" i="40"/>
  <c r="R23" i="40"/>
  <c r="R22" i="40"/>
  <c r="Q22" i="40"/>
  <c r="Q21" i="40"/>
  <c r="R21" i="40"/>
  <c r="Q20" i="40"/>
  <c r="R20" i="40" s="1"/>
  <c r="Q19" i="40"/>
  <c r="R19" i="40" s="1"/>
  <c r="Q18" i="40"/>
  <c r="R18" i="40" s="1"/>
  <c r="Q17" i="40"/>
  <c r="R17" i="40" s="1"/>
  <c r="Q16" i="40"/>
  <c r="R16" i="40" s="1"/>
  <c r="Q15" i="40"/>
  <c r="R15" i="40"/>
  <c r="R14" i="40"/>
  <c r="Q14" i="40"/>
  <c r="Q13" i="40"/>
  <c r="R13" i="40"/>
  <c r="Q12" i="40"/>
  <c r="R12" i="40"/>
  <c r="Q11" i="40"/>
  <c r="R11" i="40" s="1"/>
  <c r="Q10" i="40"/>
  <c r="R10" i="40" s="1"/>
  <c r="Q30" i="40" l="1"/>
  <c r="R30" i="40" s="1"/>
  <c r="C28" i="41" s="1"/>
</calcChain>
</file>

<file path=xl/sharedStrings.xml><?xml version="1.0" encoding="utf-8"?>
<sst xmlns="http://schemas.openxmlformats.org/spreadsheetml/2006/main" count="503" uniqueCount="237">
  <si>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</si>
  <si>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</si>
  <si>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</si>
  <si>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</si>
  <si>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</si>
  <si>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</si>
  <si>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</si>
  <si>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</si>
  <si>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</si>
  <si>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</si>
  <si>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</si>
  <si>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</si>
  <si>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</si>
  <si>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</si>
  <si>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</si>
  <si>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</si>
  <si>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</si>
  <si>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</si>
  <si>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</si>
  <si>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</si>
  <si>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</si>
  <si>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</si>
  <si>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</si>
  <si>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</si>
  <si>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</si>
  <si>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</si>
  <si>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</si>
  <si>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</si>
  <si>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</si>
  <si>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</si>
  <si>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</si>
  <si>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</si>
  <si>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</si>
  <si>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</si>
  <si>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</si>
  <si>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</si>
  <si>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</si>
  <si>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</si>
  <si>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</si>
  <si>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</si>
  <si>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</si>
  <si>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</si>
  <si>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</si>
  <si>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</si>
  <si>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</si>
  <si>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</si>
  <si>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</si>
  <si>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</si>
  <si>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</si>
  <si>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</si>
  <si>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</si>
  <si>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</si>
  <si>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</si>
  <si>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</si>
  <si>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</si>
  <si>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</si>
  <si>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</si>
  <si>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</si>
  <si>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</si>
  <si>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</si>
  <si>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</si>
  <si>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</si>
  <si>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</si>
  <si>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</si>
  <si>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</si>
  <si>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</si>
  <si>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</si>
  <si>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</si>
  <si>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</si>
  <si>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</si>
  <si>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</si>
  <si>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</si>
  <si>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</si>
  <si>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</si>
  <si>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</si>
  <si>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</si>
  <si>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</si>
  <si>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</si>
  <si>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</si>
  <si>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</si>
  <si>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</si>
  <si>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</si>
  <si>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</si>
  <si>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</si>
  <si>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</si>
  <si>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</si>
  <si>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</si>
  <si>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</si>
  <si>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</si>
  <si>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</si>
  <si>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</si>
  <si>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</si>
  <si>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</si>
  <si>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</si>
  <si>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</si>
  <si>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</si>
  <si>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</si>
  <si>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</si>
  <si>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</si>
  <si>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</si>
  <si>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</si>
  <si>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</si>
  <si>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</si>
  <si>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</si>
  <si>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</si>
  <si>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</si>
  <si>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</si>
  <si>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</si>
  <si>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</si>
  <si>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</si>
  <si>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</si>
  <si>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</si>
  <si>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</si>
  <si>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</si>
  <si>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</si>
  <si>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</si>
  <si>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</si>
  <si>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</si>
  <si>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</si>
  <si>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</si>
  <si>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</si>
  <si>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</si>
  <si>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</si>
  <si>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</si>
  <si>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</si>
  <si>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</si>
  <si>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</si>
  <si>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</si>
  <si>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</si>
  <si>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</si>
  <si>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</si>
  <si>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</si>
  <si>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</si>
  <si>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</si>
  <si>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</si>
  <si>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</si>
  <si>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</si>
  <si>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</si>
  <si>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</si>
  <si>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</si>
  <si>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</si>
  <si>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</si>
  <si>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</si>
  <si>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</si>
  <si>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</si>
  <si>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</si>
  <si>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</si>
  <si>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学部・学科によって、修了要件は相違する</t>
  </si>
  <si>
    <t>○</t>
  </si>
  <si>
    <t>全学開講</t>
  </si>
  <si>
    <t>医学部</t>
    <rPh sb="0" eb="3">
      <t>イガクブ</t>
    </rPh>
    <phoneticPr fontId="1"/>
  </si>
  <si>
    <t>看護学部</t>
    <rPh sb="0" eb="4">
      <t>カンゴガクブ</t>
    </rPh>
    <phoneticPr fontId="1"/>
  </si>
  <si>
    <t>令和3</t>
    <rPh sb="0" eb="2">
      <t>レイワ</t>
    </rPh>
    <phoneticPr fontId="1"/>
  </si>
  <si>
    <t>保健医療統計学</t>
    <rPh sb="0" eb="2">
      <t>ホケン</t>
    </rPh>
    <rPh sb="2" eb="4">
      <t>イリョウ</t>
    </rPh>
    <rPh sb="4" eb="6">
      <t>トウケイ</t>
    </rPh>
    <rPh sb="6" eb="7">
      <t>ガク</t>
    </rPh>
    <phoneticPr fontId="1"/>
  </si>
  <si>
    <t>一部開講</t>
  </si>
  <si>
    <t>AI・データサイエンスと医療教育委員会規程</t>
    <rPh sb="12" eb="14">
      <t>イリョウ</t>
    </rPh>
    <rPh sb="14" eb="16">
      <t>キョウイク</t>
    </rPh>
    <rPh sb="16" eb="19">
      <t>イインカイ</t>
    </rPh>
    <rPh sb="19" eb="21">
      <t>キテイ</t>
    </rPh>
    <phoneticPr fontId="1"/>
  </si>
  <si>
    <t>医学部、看護学部のAI教育、通信情報技術教育、生物医学統計および疫学教育を開発・改良し、学年縦断教育として実行するために、両学部教務委員会(以下「教務委員会」という。)の下部組織としてAI・データサイエンスと医療教育委員会(以下「委員会」という。)をおく。</t>
    <phoneticPr fontId="1"/>
  </si>
  <si>
    <t>様式２－２</t>
    <phoneticPr fontId="1"/>
  </si>
  <si>
    <t>様式２－１</t>
    <phoneticPr fontId="1"/>
  </si>
  <si>
    <t>東京女子医科大学</t>
    <rPh sb="0" eb="8">
      <t>トウキョウジョシイカダイガク</t>
    </rPh>
    <phoneticPr fontId="1"/>
  </si>
  <si>
    <t>私立大学</t>
  </si>
  <si>
    <t>東京都新宿区河田町８－１</t>
    <rPh sb="0" eb="3">
      <t>トウキョウト</t>
    </rPh>
    <rPh sb="3" eb="6">
      <t>シンジュクク</t>
    </rPh>
    <rPh sb="6" eb="9">
      <t>カワダチョウ</t>
    </rPh>
    <phoneticPr fontId="1"/>
  </si>
  <si>
    <t>数理・データサイエンス・AI教育プログラム認定制度（リテラシーレベル）</t>
    <rPh sb="0" eb="2">
      <t>スウリ</t>
    </rPh>
    <rPh sb="14" eb="16">
      <t>キョウイク</t>
    </rPh>
    <rPh sb="21" eb="23">
      <t>ニンテイ</t>
    </rPh>
    <rPh sb="23" eb="25">
      <t>セイド</t>
    </rPh>
    <phoneticPr fontId="1"/>
  </si>
  <si>
    <t>無</t>
  </si>
  <si>
    <t>岡本　高宏</t>
  </si>
  <si>
    <t>教授・基幹分野長</t>
    <rPh sb="0" eb="2">
      <t>キョウジュ</t>
    </rPh>
    <phoneticPr fontId="1"/>
  </si>
  <si>
    <t>AI・データサイエンスと医療教育委員会</t>
    <phoneticPr fontId="1"/>
  </si>
  <si>
    <t>統合教育学修センター</t>
    <phoneticPr fontId="1"/>
  </si>
  <si>
    <t>三谷　昌平</t>
    <rPh sb="0" eb="2">
      <t>ミタニ</t>
    </rPh>
    <rPh sb="3" eb="5">
      <t>ショウヘイ</t>
    </rPh>
    <phoneticPr fontId="1"/>
  </si>
  <si>
    <t>センター長</t>
    <rPh sb="4" eb="5">
      <t>チョウ</t>
    </rPh>
    <phoneticPr fontId="1"/>
  </si>
  <si>
    <t>認定教育プログラム</t>
  </si>
  <si>
    <t>統合教育学修センター</t>
    <rPh sb="0" eb="6">
      <t>トウゴウキョウイクガクシュウ</t>
    </rPh>
    <phoneticPr fontId="1"/>
  </si>
  <si>
    <t>田邉善之</t>
    <rPh sb="0" eb="2">
      <t>タナベ</t>
    </rPh>
    <rPh sb="2" eb="4">
      <t>ヨシユキ</t>
    </rPh>
    <phoneticPr fontId="1"/>
  </si>
  <si>
    <t>tanabe.yoshiyuki@twmu.ac.jp</t>
    <phoneticPr fontId="1"/>
  </si>
  <si>
    <t>学校法人　東京女子医科大学</t>
    <rPh sb="0" eb="2">
      <t>ガッコウ</t>
    </rPh>
    <rPh sb="2" eb="4">
      <t>ホウジン</t>
    </rPh>
    <rPh sb="5" eb="7">
      <t>トウキョウ</t>
    </rPh>
    <rPh sb="7" eb="9">
      <t>ジョシ</t>
    </rPh>
    <rPh sb="9" eb="11">
      <t>イカ</t>
    </rPh>
    <rPh sb="11" eb="13">
      <t>ダイガク</t>
    </rPh>
    <phoneticPr fontId="1"/>
  </si>
  <si>
    <t>赤川　浩之</t>
    <rPh sb="0" eb="2">
      <t>アカガワ</t>
    </rPh>
    <rPh sb="3" eb="5">
      <t>ヒロユキ</t>
    </rPh>
    <phoneticPr fontId="1"/>
  </si>
  <si>
    <t>准教授</t>
    <rPh sb="0" eb="3">
      <t>ジュンキョウジュ</t>
    </rPh>
    <phoneticPr fontId="1"/>
  </si>
  <si>
    <t xml:space="preserve">医学部：医学部セグメント１情報処理・統計を受講し、評価項目（出席60%、提出課題20%、小試験20%）を100満点で数値化したときに、60点以上を修了要件とする。
</t>
    <rPh sb="0" eb="3">
      <t>イガクブ</t>
    </rPh>
    <rPh sb="4" eb="7">
      <t>イガクブ</t>
    </rPh>
    <rPh sb="13" eb="17">
      <t>ジョウホウショリ</t>
    </rPh>
    <rPh sb="18" eb="20">
      <t>トウケイ</t>
    </rPh>
    <rPh sb="21" eb="23">
      <t>ジュコウ</t>
    </rPh>
    <rPh sb="25" eb="27">
      <t>ヒョウカ</t>
    </rPh>
    <rPh sb="27" eb="29">
      <t>コウモク</t>
    </rPh>
    <rPh sb="30" eb="32">
      <t>シュッセキ</t>
    </rPh>
    <rPh sb="36" eb="40">
      <t>テイシュツカダイ</t>
    </rPh>
    <rPh sb="44" eb="47">
      <t>ショウシケン</t>
    </rPh>
    <rPh sb="55" eb="57">
      <t>マンテン</t>
    </rPh>
    <rPh sb="58" eb="61">
      <t>スウチカ</t>
    </rPh>
    <rPh sb="69" eb="70">
      <t>テン</t>
    </rPh>
    <rPh sb="70" eb="72">
      <t>イジョウ</t>
    </rPh>
    <rPh sb="73" eb="75">
      <t>シュウリョウ</t>
    </rPh>
    <rPh sb="75" eb="77">
      <t>ヨウケン</t>
    </rPh>
    <phoneticPr fontId="1"/>
  </si>
  <si>
    <t>4‐2アルゴリズム基礎</t>
  </si>
  <si>
    <t>4‐3データ構造とプログラミング基礎</t>
  </si>
  <si>
    <t>・人間の知的活動とAIの関係性　「AIについて (機械学習、ニューラルネット、どんなことが出来るか、医療への応用例)」（11回目）」
・データ量の増加、ビッグデータ、計算機の処理性能の向上、AIの非連続的進化　「 ビッグデータについて（管理、利用、その他大手クラウドサービスによる実例紹介) 」（14回目）
・社会変化、IoT、AI、ロボット、複数技術を組み合わせたAIサービス　「臨床応用」（15回目）</t>
    <phoneticPr fontId="1"/>
  </si>
  <si>
    <t>・AI最新技術の活用例　「AIについて (機械学習、ニューラルネット、どんなことが出来るか、医療への応用例)」（11回目）
・AI等を活用した新しい医療　「 ビッグデータについて（管理、利用、その他大手クラウドサービスによる実例紹介) 」（14回目）、「臨床応用 」（15回目）</t>
    <rPh sb="58" eb="60">
      <t>カイメ</t>
    </rPh>
    <rPh sb="122" eb="124">
      <t>カイメ</t>
    </rPh>
    <phoneticPr fontId="1"/>
  </si>
  <si>
    <t>・構造化データ、非構造化データ、オープンデータ　「図書・文献の探し方、My libraryの使い方」（4回目）、「データベースについて（データベースの説明、利用例) 」（13回目）
・調査データ、実験データ、人の行動ログデータなど　「 ビッグデータについて（管理、利用、その他大手クラウドサービスによる実例紹介) 」（14回目）</t>
    <rPh sb="52" eb="54">
      <t>カイメ</t>
    </rPh>
    <phoneticPr fontId="1"/>
  </si>
  <si>
    <t xml:space="preserve">・データ・AI活用領域の広がり　「情報処理の概論、医学におけるアプリの利用、開発(プログラミング)　OSの種類とプログラミング言語」（8回目＊医学部のみ）、 「AIについて (機械学習、ニューラルネット、どんなことが出来るか、医療への応用例)」（11回目）
</t>
    <rPh sb="68" eb="70">
      <t>カイメ</t>
    </rPh>
    <rPh sb="71" eb="74">
      <t>イガクブ</t>
    </rPh>
    <phoneticPr fontId="1"/>
  </si>
  <si>
    <t>・非構造化データ処理（医療画像処理など）　 「AIについて (機械学習、ニューラルネット、どんなことが出来るか、医療への応用例)」（11回目）
・AI・ビッグデータとデータ可視化（多次元の可視化、地図上の可視化、挙動・軌跡の可視化、リアルタイム可視化など）　　「 ビッグデータについて（管理、利用、その他大手クラウドサービスによる実例紹介) 」（14回目）</t>
    <rPh sb="11" eb="13">
      <t>イリョウ</t>
    </rPh>
    <phoneticPr fontId="1"/>
  </si>
  <si>
    <t>・ヘルスケア等におけるデータ・AI利活用事例紹介　「情報処理の概論、医学におけるアプリの利用、開発(プログラミング)　OSの種類とプログラミング言語」（8回目）、  「AIについて (機械学習、ニューラルネット、どんなことが出来るか、医療への応用例)」（11回目）、「 ビッグデータについて（管理、利用、その他大手クラウドサービスによる実例紹介) 」（14回目）、「臨床応用 」（15回目）</t>
    <phoneticPr fontId="1"/>
  </si>
  <si>
    <t xml:space="preserve">・データ活用における負の事例紹介　「ネットワークセキュリティと電子カルテ」（1回目）、「情報倫理 (肖像権、著作権、他人の個人情報の扱い) 」（3回目）
・ELSI（Ethical, Legal and Social Issues）　「情報倫理 (肖像権、著作権、他人の個人情報の扱い) 」（3回目）
</t>
    <rPh sb="73" eb="75">
      <t>カイメ</t>
    </rPh>
    <rPh sb="147" eb="149">
      <t>カイメ</t>
    </rPh>
    <phoneticPr fontId="1"/>
  </si>
  <si>
    <t xml:space="preserve">・情報セキュリティ：機密性、完全性、可用性、パスワード、事故事例の紹介　「ネットワークセキュリティと電子カルテ」（1回目）、「学生ポータル・webメールの使い方 」（2回目）、「情報倫理 (肖像権、著作権、他人の個人情報の扱い) 」（3回目）、「図書・文献の探し方、My libraryの使い方」（4回目）
</t>
    <rPh sb="84" eb="86">
      <t>カイメ</t>
    </rPh>
    <phoneticPr fontId="1"/>
  </si>
  <si>
    <t>・データを読む　「統計の基本 (基本統計量、確率変数、確率密度関数、二項分布、正規分布) 」（5回目）、「医療データの処理と統計解析I (t検定、F検定、χ二乗検定、線形回帰)」（6回目）、「医療データの処理と統計解析II (多変量解析、多群検定、ロジスティック回帰)」（7回目）</t>
    <rPh sb="5" eb="6">
      <t>ヨ</t>
    </rPh>
    <rPh sb="48" eb="50">
      <t>カイメ</t>
    </rPh>
    <phoneticPr fontId="1"/>
  </si>
  <si>
    <t>・データを説明する　「統計の基本 (基本統計量、確率変数、確率密度関数、二項分布、正規分布) 」（5回目）、「医療データの処理と統計解析I (t検定、F検定、χ二乗検定、線形回帰)」（6回目）、「医療データの処理と統計解析II (多変量解析、多群検定、ロジスティック回帰)」（7回目）
・優れた可視化事例の紹介（可視化することによって新たな気づきがあった事例など）　「 ビッグデータについて（管理、利用、その他大手クラウドサービスによる実例紹介) 」（14回目）　　</t>
    <rPh sb="5" eb="7">
      <t>セツメイ</t>
    </rPh>
    <phoneticPr fontId="1"/>
  </si>
  <si>
    <t xml:space="preserve">・データを扱う（エクセル課題、AI体験）　「統計の基本 (基本統計量、確率変数、確率密度関数、二項分布、正規分布) 」（5回目）、「医療データの処理と統計解析I (t検定、F検定、χ二乗検定、線形回帰)」（6回目）、「医療データの処理と統計解析II (多変量解析、多群検定、ロジスティック回帰)」（7回目）、「AIについて (機械学習、ニューラルネット、どんなことが出来るか、医療への応用例)」（11回目）、「AI実践編 (Pythonで実際に簡単な学習と判別を体験)」（12回目）
</t>
    <rPh sb="5" eb="6">
      <t>アツカ</t>
    </rPh>
    <rPh sb="12" eb="14">
      <t>カダイ</t>
    </rPh>
    <rPh sb="17" eb="19">
      <t>タイケン</t>
    </rPh>
    <rPh sb="238" eb="240">
      <t>カイメ</t>
    </rPh>
    <phoneticPr fontId="1"/>
  </si>
  <si>
    <t>情報検索のためのインターネット利用、メール利用（webメール）にはじまるパーソナルコンピュータの基本操作。次いで、クラウドサービス等を用いたIT技術活用の基礎を身につける。その後、スクリプティングによるコンピュータの効率的な運用や、AIによるサポートを利用した情報解析についても実践を行い、今後ますます加速すると考えられる医療へのIT技術応用に対応できる素地を形成する。</t>
    <rPh sb="65" eb="66">
      <t>トウ</t>
    </rPh>
    <phoneticPr fontId="1"/>
  </si>
  <si>
    <t>本教育プログラムで核となる、「セグメント１情報処理・統計」の講義についての授業評価アンケート「この授業内容を理解できましたか」の設問に対して、約76%の学生が「４：とてもよくできた」を選択しており、「１：まったく理解できなかった」と解答した学生は0.2%とという結果だった。本学の講義の工夫が、学生アンケートにも反映されていると考えている。</t>
    <rPh sb="0" eb="3">
      <t>ホンキョウイク</t>
    </rPh>
    <rPh sb="9" eb="10">
      <t>カク</t>
    </rPh>
    <rPh sb="21" eb="25">
      <t>ジョウホウショリ</t>
    </rPh>
    <rPh sb="26" eb="28">
      <t>トウケイ</t>
    </rPh>
    <rPh sb="30" eb="32">
      <t>コウギ</t>
    </rPh>
    <rPh sb="37" eb="39">
      <t>ジュギョウ</t>
    </rPh>
    <rPh sb="39" eb="41">
      <t>ヒョウカ</t>
    </rPh>
    <rPh sb="49" eb="51">
      <t>ジュギョウ</t>
    </rPh>
    <rPh sb="51" eb="53">
      <t>ナイヨウ</t>
    </rPh>
    <rPh sb="54" eb="56">
      <t>リカイ</t>
    </rPh>
    <rPh sb="64" eb="66">
      <t>セツモン</t>
    </rPh>
    <rPh sb="67" eb="68">
      <t>タイ</t>
    </rPh>
    <rPh sb="71" eb="72">
      <t>ヤク</t>
    </rPh>
    <rPh sb="76" eb="78">
      <t>ガクセイ</t>
    </rPh>
    <rPh sb="92" eb="94">
      <t>センタク</t>
    </rPh>
    <rPh sb="106" eb="108">
      <t>リカイ</t>
    </rPh>
    <rPh sb="116" eb="118">
      <t>カイトウ</t>
    </rPh>
    <rPh sb="120" eb="122">
      <t>ガクセイ</t>
    </rPh>
    <rPh sb="131" eb="133">
      <t>ケッカ</t>
    </rPh>
    <rPh sb="137" eb="139">
      <t>ホンガク</t>
    </rPh>
    <rPh sb="140" eb="142">
      <t>コウギ</t>
    </rPh>
    <rPh sb="143" eb="145">
      <t>クフウ</t>
    </rPh>
    <rPh sb="147" eb="149">
      <t>ガクセイ</t>
    </rPh>
    <rPh sb="156" eb="158">
      <t>ハンエイ</t>
    </rPh>
    <rPh sb="164" eb="165">
      <t>カンガ</t>
    </rPh>
    <phoneticPr fontId="1"/>
  </si>
  <si>
    <r>
      <rPr>
        <sz val="12"/>
        <rFont val="ＭＳ Ｐゴシック"/>
        <family val="3"/>
        <charset val="128"/>
        <scheme val="minor"/>
      </rPr>
      <t>看護学部：アカデミックスキル演習Ⅰ、アカデミックスキル演習Ⅱ、保健医療統計学のすべてを修了する。アカデミックスキル演習Ⅰは参加の程度20％、レポート等の提出物80％で評価する。アカデミックスキル演習Ⅱは提出された課題等の提出物100％で評価する。保健医療統計学は毎回の課題が提出されていることを定期試験受験の要件とし定期試験100％で評価する。100満点で数値化したときに、各々60点以上を修了要件とする。</t>
    </r>
    <r>
      <rPr>
        <sz val="12"/>
        <color rgb="FFFF0000"/>
        <rFont val="ＭＳ Ｐゴシック"/>
        <family val="3"/>
        <charset val="128"/>
        <scheme val="minor"/>
      </rPr>
      <t xml:space="preserve">
</t>
    </r>
    <r>
      <rPr>
        <sz val="12"/>
        <rFont val="ＭＳ Ｐゴシック"/>
        <family val="3"/>
        <charset val="128"/>
        <scheme val="minor"/>
      </rPr>
      <t>なお、医学部・看護学部共通講義として、アカデミックスキル演習Ⅰで、「AIについて (機械学習、ニューラルネット、どんなことが出来るか、医療への応用例)」、「ビッグデータについて（管理、利用、その他大手クラウドサービスによる実例紹介)」、「臨床応用」を履修し、アカデミックスキル演習Ⅱで「情報倫理 (肖像権、著作権、他人の個人情報の扱い)」を履修する。</t>
    </r>
    <r>
      <rPr>
        <sz val="12"/>
        <color rgb="FFFF0000"/>
        <rFont val="ＭＳ Ｐゴシック"/>
        <family val="2"/>
        <charset val="128"/>
        <scheme val="minor"/>
      </rPr>
      <t xml:space="preserve">
</t>
    </r>
    <rPh sb="187" eb="189">
      <t>オノオノ</t>
    </rPh>
    <rPh sb="207" eb="210">
      <t>イガクブ</t>
    </rPh>
    <rPh sb="211" eb="215">
      <t>カンゴガクブ</t>
    </rPh>
    <rPh sb="215" eb="219">
      <t>キョウツウコウギ</t>
    </rPh>
    <rPh sb="329" eb="331">
      <t>リシュウ</t>
    </rPh>
    <rPh sb="374" eb="376">
      <t>リシュウ</t>
    </rPh>
    <phoneticPr fontId="1"/>
  </si>
  <si>
    <t>アカデミックスキル演習Ⅰ</t>
    <rPh sb="9" eb="11">
      <t>エンシュウ</t>
    </rPh>
    <phoneticPr fontId="1"/>
  </si>
  <si>
    <t>アカデミックスキル演習Ⅱ</t>
    <phoneticPr fontId="1"/>
  </si>
  <si>
    <t>・人間の知的活動とAIの関係性　「AIについて (機械学習、ニューラルネット、どんなことが出来るか、医療への応用例)」（アカデミックスキル演習Ⅰ 19回目）」
・データ量の増加、ビッグデータ、計算機の処理性能の向上、AIの非連続的進化　「 ビッグデータについて（管理、利用、その他大手クラウドサービスによる実例紹介) 」（アカデミックスキル演習Ⅰ 18回目）
・社会変化、IoT、AI、ロボット、複数技術を組み合わせたAIサービス　「臨床応用」（アカデミックスキル演習Ⅰ 20回目）</t>
    <rPh sb="69" eb="71">
      <t>エンシュウ</t>
    </rPh>
    <phoneticPr fontId="1"/>
  </si>
  <si>
    <t>・構造化データ、非構造化データ、オープンデータ　「図書使い方、文献検索」（アカデミックスキル演習Ⅰ 4-7回目）
・調査データ、実験データ、人の行動ログデータなど　「 ビッグデータについて（管理、利用、その他大手クラウドサービスによる実例紹介) 」（アカデミックスキル演習Ⅰ 18回目）</t>
    <rPh sb="27" eb="28">
      <t>ツカ</t>
    </rPh>
    <rPh sb="29" eb="30">
      <t>カタ</t>
    </rPh>
    <rPh sb="31" eb="33">
      <t>ブンケン</t>
    </rPh>
    <rPh sb="33" eb="35">
      <t>ケンサク</t>
    </rPh>
    <phoneticPr fontId="1"/>
  </si>
  <si>
    <t xml:space="preserve">・データ・AI活用領域の広がり 「AIについて (機械学習、ニューラルネット、どんなことが出来るか、医療への応用例)」（アカデミックスキル演習Ⅰ 19回目）
</t>
    <phoneticPr fontId="1"/>
  </si>
  <si>
    <t>・非構造化データ処理（医療画像処理など）　 「AIについて (機械学習、ニューラルネット、どんなことが出来るか、医療への応用例)」（アカデミックスキル演習Ⅰ 19回目）
・AI・ビッグデータとデータ可視化（多次元の可視化、地図上の可視化、挙動・軌跡の可視化、リアルタイム可視化など）　　「 ビッグデータについて（管理、利用、その他大手クラウドサービスによる実例紹介) 」（アカデミックスキル演習Ⅰ 18回目）</t>
    <rPh sb="11" eb="13">
      <t>イリョウ</t>
    </rPh>
    <phoneticPr fontId="1"/>
  </si>
  <si>
    <t>・ヘルスケア等におけるデータ・AI利活用事例紹介　「AIについて (機械学習、ニューラルネット、どんなことが出来るか、医療への応用例)」（アカデミックスキル演習Ⅰ 19回目）、「 ビッグデータについて（管理、利用、その他大手クラウドサービスによる実例紹介) 」（アカデミックスキル演習Ⅰ 18回目）、「臨床応用 」（アカデミックスキル演習Ⅰ 20回目）</t>
    <phoneticPr fontId="1"/>
  </si>
  <si>
    <t xml:space="preserve">・データ活用における負の事例紹介　「情報倫理 (肖像権、著作権、他人の個人情報の扱い) 」（アカデミックスキル演習Ⅱ　25回目）
・ELSI（Ethical, Legal and Social Issues）　「病院情報管理、オリエンテーション・情報管理、看護学生と情報管理」（アカデミックスキル演習Ⅱ1-4回目）、「情報倫理 (肖像権、著作権、他人の個人情報の扱い) 」（アカデミックスキル演習Ⅱ　25回目）
</t>
    <rPh sb="61" eb="63">
      <t>カイメ</t>
    </rPh>
    <rPh sb="106" eb="110">
      <t>ビョウインジョウホウ</t>
    </rPh>
    <rPh sb="110" eb="112">
      <t>カンリ</t>
    </rPh>
    <rPh sb="123" eb="127">
      <t>ジョウホウカンリ</t>
    </rPh>
    <phoneticPr fontId="1"/>
  </si>
  <si>
    <t xml:space="preserve">・情報セキュリティ：機密性、完全性、可用性、パスワード、事故事例の紹介　「病院情報管理、オリエンテーション・情報管理、看護学生と情報管理」（アカデミックスキル演習Ⅱ1-4回目）、「情報倫理 (肖像権、著作権、他人の個人情報の扱い) 」（アカデミックスキル演習Ⅱ　25回目）
</t>
    <phoneticPr fontId="1"/>
  </si>
  <si>
    <t>・データを読む 「1）指標と指標の標準化、2）測定の尺度　3）度数分布表とクロス集計　4）代表値　5）散布度　6）分布型　7）相関係数と散布図　8）推測統計の考え方　9）点推定と区間推定　10）検定の考え方　11）平均値の検定　12）クロス集計表の検定　13）統計手法の分類と整理の仕方　14）適切な統計図表の選択方法」 （保健医療統計学　1－15回目）</t>
    <rPh sb="5" eb="6">
      <t>ヨ</t>
    </rPh>
    <phoneticPr fontId="1"/>
  </si>
  <si>
    <t>・データを説明する　「1）指標と指標の標準化、2）測定の尺度　3）度数分布表とクロス集計　4）代表値　5）散布度　6）分布型　7）相関係数と散布図　8）推測統計の考え方　9）点推定と区間推定　10）検定の考え方　11）平均値の検定　12）クロス集計表の検定　13）統計手法の分類と整理の仕方　14）適切な統計図表の選択方法」 （保健医療統計学　1－15回目）、「表計算、表作成、プレゼンテーション」 （アカデミックスキル演習Ⅱ　5－24回目）
・優れた可視化事例の紹介（可視化することによって新たな気づきがあった事例など）　「 ビッグデータについて（管理、利用、その他大手クラウドサービスによる実例紹介) 」（アカデミックスキル演習Ⅰ 18回目）　　</t>
    <rPh sb="5" eb="7">
      <t>セツメイ</t>
    </rPh>
    <rPh sb="181" eb="184">
      <t>ヒョウケイサン</t>
    </rPh>
    <rPh sb="185" eb="188">
      <t>ヒョウサクセイ</t>
    </rPh>
    <phoneticPr fontId="1"/>
  </si>
  <si>
    <t>・データを扱う（エクセル課題、AI体験） 「「1）指標と指標の標準化、2）測定の尺度　3）度数分布表とクロス集計　4）代表値　5）散布度　6）分布型　7）相関係数と散布図　8）推測統計の考え方　9）点推定と区間推定　10）検定の考え方　11）平均値の検定　12）クロス集計表の検定　13）統計手法の分類と整理の仕方　14）適切な統計図表の選択方法」 （保健医療統計学　1－15回目）、「表計算、表作成、プレゼンテーション」 （アカデミックスキル演習Ⅱ　5－24回目）、「AIについて (機械学習、ニューラルネット、どんなことが出来るか、医療への応用例)」（アカデミックスキル演習Ⅰ 19回目）</t>
    <rPh sb="5" eb="6">
      <t>アツカ</t>
    </rPh>
    <rPh sb="12" eb="14">
      <t>カダイ</t>
    </rPh>
    <rPh sb="17" eb="19">
      <t>タイケン</t>
    </rPh>
    <phoneticPr fontId="1"/>
  </si>
  <si>
    <t>情報検索のためのインターネット利用、メール利用（webメール）にはじまるパーソナルコンピュータの基本操作。次いで、クラウドサービス等を用いたIT技術活用の基礎を身につける。AIについて機械学習、ニューラルネットや、それらを用いてどんなことが出来るか、現在の医療へどのように応用されているかを学び、今後ますます加速すると考えられる医療へのIT技術応用に対応できる素地を形成する。</t>
    <rPh sb="111" eb="112">
      <t>モチ</t>
    </rPh>
    <rPh sb="125" eb="127">
      <t>ゲンザイ</t>
    </rPh>
    <rPh sb="145" eb="146">
      <t>マナ</t>
    </rPh>
    <phoneticPr fontId="1"/>
  </si>
  <si>
    <t>医学部、看護学部にて必修科目であることをシラバスにより明示している。また、大学のWEBサイト、学生のポータルサイトおよびLMSに本プログラムについて明示する。</t>
    <rPh sb="0" eb="3">
      <t>イガクブ</t>
    </rPh>
    <rPh sb="4" eb="8">
      <t>カンゴガクブ</t>
    </rPh>
    <rPh sb="10" eb="12">
      <t>ヒッシュウ</t>
    </rPh>
    <rPh sb="12" eb="14">
      <t>カモク</t>
    </rPh>
    <rPh sb="27" eb="29">
      <t>メイジ</t>
    </rPh>
    <phoneticPr fontId="1"/>
  </si>
  <si>
    <t xml:space="preserve">上述の通り、全員が受講可能な体制がとられている。具体的には、看護学部はアカデミックスキル演習Ⅰ、Ⅱにおいて、医学部で開講されている「セグメント１情報処理・統計」より「AIについて (機械学習、ニューラルネット、どんなことが出来るか、医療への応用例)」、「ビッグデータについて（管理、利用、その他大手クラウドサービスによる実例紹介)」、「臨床応用」、「情報倫理 (肖像権、著作権、他人の個人情報の扱い)」を履修する。
</t>
    <rPh sb="24" eb="27">
      <t>グタイテキ</t>
    </rPh>
    <rPh sb="54" eb="57">
      <t>イガクブ</t>
    </rPh>
    <rPh sb="58" eb="60">
      <t>カイコウ</t>
    </rPh>
    <phoneticPr fontId="1"/>
  </si>
  <si>
    <t>委員長　岡本高宏　教授・基幹分野長
副委員長　野原理子　教授・基幹分野長
委員　三谷昌平　教授・基幹分野長
　　　　岩崎直子　教授
　　　　野中康一　教授
　　　　村垣善浩　教授
　　　　正宗　賢　教授
　　　　吉武久美子　教授
　　　　赤川浩之　准教授
　　　　若林沙耶香　講師
　　　　辻野賢治　講師
会務　田邉善之　課長
　　　　畑　優子　事務員
　　　　</t>
    <rPh sb="0" eb="3">
      <t>イインチョウ</t>
    </rPh>
    <rPh sb="4" eb="6">
      <t>オカモト</t>
    </rPh>
    <rPh sb="6" eb="7">
      <t>タカ</t>
    </rPh>
    <rPh sb="7" eb="8">
      <t>ヒロ</t>
    </rPh>
    <rPh sb="9" eb="11">
      <t>キョウジュ</t>
    </rPh>
    <rPh sb="18" eb="22">
      <t>フクイインチョウ</t>
    </rPh>
    <rPh sb="23" eb="25">
      <t>ノハラ</t>
    </rPh>
    <rPh sb="25" eb="27">
      <t>サトコ</t>
    </rPh>
    <rPh sb="37" eb="39">
      <t>イイン</t>
    </rPh>
    <rPh sb="40" eb="42">
      <t>ミタニ</t>
    </rPh>
    <rPh sb="42" eb="44">
      <t>ショウヘイ</t>
    </rPh>
    <rPh sb="45" eb="47">
      <t>キョウジュ</t>
    </rPh>
    <rPh sb="58" eb="60">
      <t>イワサキ</t>
    </rPh>
    <rPh sb="60" eb="62">
      <t>ナオコ</t>
    </rPh>
    <rPh sb="63" eb="65">
      <t>キョウジュ</t>
    </rPh>
    <rPh sb="153" eb="155">
      <t>カイム</t>
    </rPh>
    <rPh sb="156" eb="158">
      <t>タナベ</t>
    </rPh>
    <rPh sb="158" eb="160">
      <t>ヨシユキ</t>
    </rPh>
    <rPh sb="161" eb="163">
      <t>カチョウ</t>
    </rPh>
    <rPh sb="168" eb="169">
      <t>ハタケ</t>
    </rPh>
    <rPh sb="170" eb="172">
      <t>ユウコ</t>
    </rPh>
    <rPh sb="173" eb="176">
      <t>ジムイン</t>
    </rPh>
    <phoneticPr fontId="1"/>
  </si>
  <si>
    <t>②自己点検・評価体制における意見等を公表しているアドレス</t>
    <phoneticPr fontId="1"/>
  </si>
  <si>
    <t xml:space="preserve">令和3年度から、医学部・看護学部とも必修科目となったため、今後は履修率が着実に向上すると考えられる。
医学部は1年次にて「セグメント１情報処理・統計」を履修することで該当プログラムが修了するため、6年間で、医学部における履修率は100%となる。一方、看護学部は1年次、2年次の2年間にわたり、アカデミックスキル演習Ⅰ、Ⅱ（医学部のセグメント１情報処理・統計において、本プログラムに該当する講義を視聴）と保健医療統計学を履修することでプログラムが終了するので、4年後には100%の履修率となる予定である。
</t>
    <rPh sb="0" eb="2">
      <t>レイワ</t>
    </rPh>
    <rPh sb="3" eb="5">
      <t>ネンド</t>
    </rPh>
    <rPh sb="8" eb="11">
      <t>イガクブ</t>
    </rPh>
    <rPh sb="12" eb="16">
      <t>カンゴガクブ</t>
    </rPh>
    <rPh sb="18" eb="20">
      <t>ヒッシュウ</t>
    </rPh>
    <rPh sb="20" eb="22">
      <t>カモク</t>
    </rPh>
    <rPh sb="29" eb="31">
      <t>コンゴ</t>
    </rPh>
    <rPh sb="32" eb="35">
      <t>リシュウリツ</t>
    </rPh>
    <rPh sb="36" eb="38">
      <t>チャクジツ</t>
    </rPh>
    <rPh sb="39" eb="41">
      <t>コウジョウ</t>
    </rPh>
    <rPh sb="44" eb="45">
      <t>カンガ</t>
    </rPh>
    <rPh sb="51" eb="54">
      <t>イガクブ</t>
    </rPh>
    <rPh sb="56" eb="58">
      <t>ネンジ</t>
    </rPh>
    <rPh sb="76" eb="78">
      <t>リシュウ</t>
    </rPh>
    <rPh sb="83" eb="85">
      <t>ガイトウ</t>
    </rPh>
    <rPh sb="91" eb="93">
      <t>シュウリョウ</t>
    </rPh>
    <rPh sb="99" eb="101">
      <t>ネンカン</t>
    </rPh>
    <rPh sb="103" eb="106">
      <t>イガクブ</t>
    </rPh>
    <rPh sb="110" eb="113">
      <t>リシュウリツ</t>
    </rPh>
    <rPh sb="122" eb="124">
      <t>イッポウ</t>
    </rPh>
    <rPh sb="125" eb="129">
      <t>カンゴガクブ</t>
    </rPh>
    <rPh sb="131" eb="133">
      <t>ネンジ</t>
    </rPh>
    <rPh sb="135" eb="137">
      <t>ネンジ</t>
    </rPh>
    <rPh sb="139" eb="141">
      <t>ネンカン</t>
    </rPh>
    <rPh sb="155" eb="157">
      <t>エンシュウ</t>
    </rPh>
    <rPh sb="161" eb="164">
      <t>イガクブ</t>
    </rPh>
    <rPh sb="171" eb="175">
      <t>ジョウホウショリ</t>
    </rPh>
    <rPh sb="176" eb="178">
      <t>トウケイ</t>
    </rPh>
    <rPh sb="183" eb="184">
      <t>ホン</t>
    </rPh>
    <rPh sb="190" eb="192">
      <t>ガイトウ</t>
    </rPh>
    <rPh sb="194" eb="196">
      <t>コウギ</t>
    </rPh>
    <rPh sb="197" eb="199">
      <t>シチョウ</t>
    </rPh>
    <rPh sb="209" eb="211">
      <t>リシュウ</t>
    </rPh>
    <rPh sb="222" eb="224">
      <t>シュウリョウ</t>
    </rPh>
    <rPh sb="230" eb="232">
      <t>ネンゴ</t>
    </rPh>
    <rPh sb="239" eb="242">
      <t>リシュウリツ</t>
    </rPh>
    <rPh sb="245" eb="247">
      <t>ヨテイ</t>
    </rPh>
    <phoneticPr fontId="1"/>
  </si>
  <si>
    <t>03-3353-8112 内線31512</t>
    <rPh sb="13" eb="15">
      <t>ナイセン</t>
    </rPh>
    <phoneticPr fontId="1"/>
  </si>
  <si>
    <t>必修科目であり、大学の学生に対するサポート組織（統合教育学修センター・教育委員会）でサポートできる体制となっている。</t>
    <rPh sb="28" eb="30">
      <t>ガクシュウ</t>
    </rPh>
    <phoneticPr fontId="1"/>
  </si>
  <si>
    <t>・AI最新技術の活用例　「AIについて (機械学習、ニューラルネット、どんなことが出来るか、医療への応用例)」（アカデミックスキル演習Ⅰ 19回目）
・AI等を活用した新しい医療　「 ビッグデータについて（管理、利用、その他大手クラウドサービスによる実例紹介) 」（アカデミックスキル演習Ⅰ 18回目）、「臨床応用 」（アカデミックスキル演習Ⅰ 20回目）</t>
    <phoneticPr fontId="1"/>
  </si>
  <si>
    <t>https://www.twmu.ac.jp/doc/medical/aigaiyou2022.pdf</t>
    <phoneticPr fontId="1"/>
  </si>
  <si>
    <t>講義は本学の「講義配信システム」にてすべて収録・配信されるため、学生は理解できるまで何度でも確認することが可能である。特にプログラミング等は、各学生のスキルに応じて進み具合は様々である。自分のペースで学修できることで、当初難しいと感じた題材も、じっくりと取り組むことができる。また、講義後の復習テストを実施しており、学生の理解度を確認しながら、授業を進めている。これらは本学に導入しているLMS（Learning Management System）を活用することで可能となっている。</t>
    <rPh sb="0" eb="2">
      <t>コウギ</t>
    </rPh>
    <rPh sb="3" eb="5">
      <t>ホンガク</t>
    </rPh>
    <rPh sb="7" eb="11">
      <t>コウギハイシン</t>
    </rPh>
    <rPh sb="21" eb="23">
      <t>シュウロク</t>
    </rPh>
    <rPh sb="24" eb="26">
      <t>ハイシン</t>
    </rPh>
    <rPh sb="32" eb="34">
      <t>ガクセイ</t>
    </rPh>
    <rPh sb="35" eb="37">
      <t>リカイ</t>
    </rPh>
    <rPh sb="42" eb="44">
      <t>ナンド</t>
    </rPh>
    <rPh sb="46" eb="48">
      <t>カクニン</t>
    </rPh>
    <rPh sb="53" eb="55">
      <t>カノウ</t>
    </rPh>
    <rPh sb="59" eb="60">
      <t>トク</t>
    </rPh>
    <rPh sb="68" eb="69">
      <t>トウ</t>
    </rPh>
    <rPh sb="71" eb="72">
      <t>カク</t>
    </rPh>
    <rPh sb="72" eb="74">
      <t>ガクセイ</t>
    </rPh>
    <rPh sb="79" eb="80">
      <t>オウ</t>
    </rPh>
    <rPh sb="82" eb="83">
      <t>スス</t>
    </rPh>
    <rPh sb="84" eb="86">
      <t>グアイ</t>
    </rPh>
    <rPh sb="87" eb="89">
      <t>サマザマ</t>
    </rPh>
    <rPh sb="93" eb="95">
      <t>ジブン</t>
    </rPh>
    <rPh sb="100" eb="102">
      <t>ガクシュウ</t>
    </rPh>
    <rPh sb="109" eb="111">
      <t>トウショ</t>
    </rPh>
    <rPh sb="111" eb="112">
      <t>ムズカ</t>
    </rPh>
    <rPh sb="115" eb="116">
      <t>カン</t>
    </rPh>
    <rPh sb="118" eb="120">
      <t>ダイザイ</t>
    </rPh>
    <rPh sb="127" eb="128">
      <t>ト</t>
    </rPh>
    <rPh sb="129" eb="130">
      <t>ク</t>
    </rPh>
    <rPh sb="141" eb="144">
      <t>コウギゴ</t>
    </rPh>
    <rPh sb="145" eb="147">
      <t>フクシュウ</t>
    </rPh>
    <rPh sb="151" eb="153">
      <t>ジッシ</t>
    </rPh>
    <rPh sb="158" eb="160">
      <t>ガクセイ</t>
    </rPh>
    <rPh sb="161" eb="164">
      <t>リカイド</t>
    </rPh>
    <rPh sb="165" eb="167">
      <t>カクニン</t>
    </rPh>
    <rPh sb="172" eb="174">
      <t>ジュギョウ</t>
    </rPh>
    <rPh sb="175" eb="176">
      <t>スス</t>
    </rPh>
    <rPh sb="185" eb="187">
      <t>ホンガク</t>
    </rPh>
    <rPh sb="188" eb="190">
      <t>ドウニュウ</t>
    </rPh>
    <rPh sb="226" eb="228">
      <t>カツヨウ</t>
    </rPh>
    <rPh sb="233" eb="235">
      <t>カノウ</t>
    </rPh>
    <phoneticPr fontId="1"/>
  </si>
  <si>
    <t>授業評価アンケートにて自由記述を採用しており、そのコメントを紹介する。授業の内容については、学生の評価はおおむね好評であり、「情報を自分で適切に管理できるようになりたいと思った。」、「少しプログラミングが身近に感じられるようになった。」等の意見があった。
一方で、初めて内容にふれた時には難しいと感じていた学生も一定数いることがわかっているが、収録された講義を何度も見直して学修していることが、アンケートから読み取れた。</t>
    <rPh sb="0" eb="4">
      <t>ジュギョウヒョウカ</t>
    </rPh>
    <rPh sb="11" eb="15">
      <t>ジユウキジュツ</t>
    </rPh>
    <rPh sb="16" eb="18">
      <t>サイヨウ</t>
    </rPh>
    <rPh sb="30" eb="32">
      <t>ショウカイ</t>
    </rPh>
    <rPh sb="35" eb="37">
      <t>ジュギョウ</t>
    </rPh>
    <rPh sb="38" eb="40">
      <t>ナイヨウ</t>
    </rPh>
    <rPh sb="46" eb="48">
      <t>ガクセイ</t>
    </rPh>
    <rPh sb="49" eb="51">
      <t>ヒョウカ</t>
    </rPh>
    <rPh sb="56" eb="58">
      <t>コウヒョウ</t>
    </rPh>
    <rPh sb="118" eb="119">
      <t>トウ</t>
    </rPh>
    <rPh sb="120" eb="122">
      <t>イケン</t>
    </rPh>
    <rPh sb="128" eb="130">
      <t>イッポウ</t>
    </rPh>
    <rPh sb="132" eb="133">
      <t>ハジ</t>
    </rPh>
    <rPh sb="135" eb="137">
      <t>ナイヨウ</t>
    </rPh>
    <rPh sb="141" eb="142">
      <t>トキ</t>
    </rPh>
    <rPh sb="144" eb="145">
      <t>ムズカ</t>
    </rPh>
    <rPh sb="148" eb="149">
      <t>カン</t>
    </rPh>
    <rPh sb="153" eb="155">
      <t>ガクセイ</t>
    </rPh>
    <rPh sb="156" eb="159">
      <t>イッテイスウ</t>
    </rPh>
    <rPh sb="172" eb="174">
      <t>シュウロク</t>
    </rPh>
    <rPh sb="177" eb="179">
      <t>コウギ</t>
    </rPh>
    <rPh sb="180" eb="182">
      <t>ナンド</t>
    </rPh>
    <rPh sb="183" eb="185">
      <t>ミナオ</t>
    </rPh>
    <rPh sb="187" eb="189">
      <t>ガクシュウ</t>
    </rPh>
    <rPh sb="204" eb="205">
      <t>ヨ</t>
    </rPh>
    <rPh sb="206" eb="207">
      <t>ト</t>
    </rPh>
    <phoneticPr fontId="1"/>
  </si>
  <si>
    <t>卒業生調査を行っており、医学部、看護学部ともほぼ全ての学生の進路は、医師・看護師となる。したがって、講義内容も、医療系に特化したものを扱っている。</t>
    <rPh sb="0" eb="2">
      <t>レイワ</t>
    </rPh>
    <rPh sb="3" eb="5">
      <t>ネンド</t>
    </rPh>
    <rPh sb="8" eb="11">
      <t>イガクブ</t>
    </rPh>
    <rPh sb="12" eb="16">
      <t>カンゴガクブ</t>
    </rPh>
    <rPh sb="18" eb="20">
      <t>ヒッシュウ</t>
    </rPh>
    <rPh sb="20" eb="22">
      <t>カモク</t>
    </rPh>
    <rPh sb="29" eb="31">
      <t>コンゴ</t>
    </rPh>
    <rPh sb="32" eb="35">
      <t>リシュウリツ</t>
    </rPh>
    <rPh sb="36" eb="38">
      <t>チャクジツ</t>
    </rPh>
    <rPh sb="39" eb="41">
      <t>コウジョウ</t>
    </rPh>
    <rPh sb="44" eb="45">
      <t>カンガ</t>
    </rPh>
    <rPh sb="51" eb="54">
      <t>イガクブ</t>
    </rPh>
    <rPh sb="56" eb="58">
      <t>ネンジリシュウガイトウシュウリョウネンカンイガクブリシュウリツイッポウカンゴガクブネンジネンジネンカンエンシュウイガクブジョウホウショリトウケイホンガイトウコウギシチョウリシュウシュウリョウネンゴリシュウリツヨテイ</t>
    </rPh>
    <phoneticPr fontId="1"/>
  </si>
  <si>
    <t>学修成果の確認方法として、全学的に講義復習テストを実施している。このデータを統合教育学修センター　教学IRチームが分析し、授業改善するように、医学・看護学教育の質向上委員会へとフィードバックする。令和3年度については、医学部のアンケート回収率は80%を超えていたが、看護学部では40%未満であったため、以下では医学部の結果を示している。令和4年度はLMS（Learning Management System）を活用し、両学部ともに高い回収率を目指す。
両学部共通の講義である「セグメント１情報処理・統計」の主要講義について、令和3年度の講義復習テストの平均正答率は62%（回答率84%、「情報倫理」については未実施）であった。特に「臨床応用」は正答率が35%と低かった。この講義はそれまでの知識・スキルをベースにした講義であるため、関連する講義との繋がりを意識させる工夫が必要であると考えられる。</t>
    <rPh sb="0" eb="4">
      <t>ガクシュウセイカ</t>
    </rPh>
    <rPh sb="5" eb="7">
      <t>カクニン</t>
    </rPh>
    <rPh sb="7" eb="9">
      <t>ホウホウ</t>
    </rPh>
    <rPh sb="13" eb="15">
      <t>ゼンガク</t>
    </rPh>
    <rPh sb="15" eb="16">
      <t>テキ</t>
    </rPh>
    <rPh sb="17" eb="21">
      <t>コウギフクシュウ</t>
    </rPh>
    <rPh sb="38" eb="42">
      <t>トウゴウキョウイク</t>
    </rPh>
    <rPh sb="42" eb="44">
      <t>ガクシュウ</t>
    </rPh>
    <rPh sb="49" eb="51">
      <t>キョウガク</t>
    </rPh>
    <rPh sb="57" eb="59">
      <t>ブンセキ</t>
    </rPh>
    <rPh sb="61" eb="63">
      <t>ジュギョウ</t>
    </rPh>
    <rPh sb="63" eb="65">
      <t>カイゼン</t>
    </rPh>
    <rPh sb="71" eb="73">
      <t>イガク</t>
    </rPh>
    <rPh sb="74" eb="77">
      <t>カンゴガク</t>
    </rPh>
    <rPh sb="77" eb="79">
      <t>キョウイク</t>
    </rPh>
    <rPh sb="80" eb="83">
      <t>シツコウジョウ</t>
    </rPh>
    <rPh sb="83" eb="86">
      <t>イインカイ</t>
    </rPh>
    <rPh sb="151" eb="153">
      <t>イカ</t>
    </rPh>
    <rPh sb="159" eb="161">
      <t>ケッカ</t>
    </rPh>
    <rPh sb="162" eb="163">
      <t>シメ</t>
    </rPh>
    <rPh sb="228" eb="231">
      <t>リョウガクブ</t>
    </rPh>
    <rPh sb="231" eb="233">
      <t>キョウツウ</t>
    </rPh>
    <rPh sb="234" eb="236">
      <t>コウギ</t>
    </rPh>
    <rPh sb="246" eb="250">
      <t>ジョウホウショリ</t>
    </rPh>
    <rPh sb="251" eb="253">
      <t>トウケイ</t>
    </rPh>
    <rPh sb="255" eb="257">
      <t>シュヨウ</t>
    </rPh>
    <rPh sb="257" eb="259">
      <t>コウギ</t>
    </rPh>
    <rPh sb="264" eb="266">
      <t>レイワ</t>
    </rPh>
    <rPh sb="267" eb="269">
      <t>ネンド</t>
    </rPh>
    <rPh sb="270" eb="274">
      <t>コウギフクシュウ</t>
    </rPh>
    <rPh sb="278" eb="280">
      <t>ヘイキン</t>
    </rPh>
    <rPh sb="280" eb="283">
      <t>セイトウリツ</t>
    </rPh>
    <rPh sb="288" eb="290">
      <t>カイトウ</t>
    </rPh>
    <rPh sb="290" eb="291">
      <t>リツ</t>
    </rPh>
    <rPh sb="296" eb="298">
      <t>ジョウホウ</t>
    </rPh>
    <rPh sb="298" eb="300">
      <t>リンリ</t>
    </rPh>
    <rPh sb="306" eb="309">
      <t>ミジッシ</t>
    </rPh>
    <rPh sb="315" eb="316">
      <t>トク</t>
    </rPh>
    <rPh sb="318" eb="320">
      <t>リンショウ</t>
    </rPh>
    <rPh sb="320" eb="322">
      <t>オウヨウ</t>
    </rPh>
    <rPh sb="324" eb="327">
      <t>セイトウリツ</t>
    </rPh>
    <rPh sb="332" eb="333">
      <t>ヒク</t>
    </rPh>
    <rPh sb="339" eb="341">
      <t>コウギ</t>
    </rPh>
    <rPh sb="347" eb="349">
      <t>チシキ</t>
    </rPh>
    <rPh sb="360" eb="362">
      <t>コウギ</t>
    </rPh>
    <rPh sb="368" eb="370">
      <t>カンレン</t>
    </rPh>
    <rPh sb="372" eb="374">
      <t>コウギ</t>
    </rPh>
    <rPh sb="376" eb="377">
      <t>ツナ</t>
    </rPh>
    <rPh sb="380" eb="382">
      <t>イシキ</t>
    </rPh>
    <rPh sb="385" eb="387">
      <t>クフウ</t>
    </rPh>
    <rPh sb="388" eb="390">
      <t>ヒツヨウ</t>
    </rPh>
    <rPh sb="394" eb="395">
      <t>カンガ</t>
    </rPh>
    <phoneticPr fontId="1"/>
  </si>
  <si>
    <t>本学卒業生のほぼすべての就職先が医療系ということから、より実態に即した題材を扱うことが重要である。具体的には、AIに関してもニューラルネットワークは、医療系にはなじみやすい内容であり、これらを中心に講義を展開している。また、応用に関しても画像診断等、医療分野に特化した内容となっており、医学・看護学を志す学生にとって親しみやすい題材を提供している。</t>
    <rPh sb="0" eb="5">
      <t>ホンガクソツギョウセイ</t>
    </rPh>
    <rPh sb="12" eb="15">
      <t>シュウショクサキ</t>
    </rPh>
    <rPh sb="16" eb="19">
      <t>イリョウケイ</t>
    </rPh>
    <rPh sb="123" eb="124">
      <t>トウ</t>
    </rPh>
    <rPh sb="125" eb="127">
      <t>イリョウ</t>
    </rPh>
    <rPh sb="127" eb="129">
      <t>ブンヤ</t>
    </rPh>
    <phoneticPr fontId="1"/>
  </si>
  <si>
    <t>各授業担当者が授業の際に質問受付のメールアドレスを明示しており、随時質問を受け付ける体制となっている。本学LMS（Learning Management System）においても、学生から直接質問を受け付けることができる。また、講義配信システムにおいて、確認したい講義内容を好きな時に何度でも視聴することができるため、各自の理解度のペースに合わせた学修が可能となっている。</t>
    <rPh sb="51" eb="53">
      <t>ホンガク</t>
    </rPh>
    <rPh sb="90" eb="92">
      <t>ガクセイ</t>
    </rPh>
    <rPh sb="94" eb="96">
      <t>チョクセツ</t>
    </rPh>
    <rPh sb="96" eb="98">
      <t>シツモン</t>
    </rPh>
    <rPh sb="99" eb="100">
      <t>ウ</t>
    </rPh>
    <rPh sb="101" eb="102">
      <t>ツ</t>
    </rPh>
    <rPh sb="114" eb="118">
      <t>コウギハイシン</t>
    </rPh>
    <rPh sb="127" eb="129">
      <t>カクニン</t>
    </rPh>
    <rPh sb="132" eb="134">
      <t>コウギ</t>
    </rPh>
    <rPh sb="134" eb="136">
      <t>ナイヨウ</t>
    </rPh>
    <rPh sb="137" eb="138">
      <t>ス</t>
    </rPh>
    <rPh sb="140" eb="141">
      <t>トキ</t>
    </rPh>
    <rPh sb="142" eb="144">
      <t>ナンド</t>
    </rPh>
    <rPh sb="146" eb="148">
      <t>シチョウ</t>
    </rPh>
    <rPh sb="159" eb="161">
      <t>カクジ</t>
    </rPh>
    <rPh sb="162" eb="165">
      <t>リカイド</t>
    </rPh>
    <rPh sb="170" eb="171">
      <t>ア</t>
    </rPh>
    <rPh sb="174" eb="176">
      <t>ガクシュウ</t>
    </rPh>
    <rPh sb="177" eb="179">
      <t>カノウ</t>
    </rPh>
    <phoneticPr fontId="1"/>
  </si>
  <si>
    <t>様式６</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</si>
  <si>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</si>
  <si>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①</t>
    <phoneticPr fontId="1"/>
  </si>
  <si>
    <t>授業内容</t>
    <rPh sb="0" eb="2">
      <t>ジュギョウ</t>
    </rPh>
    <rPh sb="2" eb="4">
      <t>ナイヨウ</t>
    </rPh>
    <phoneticPr fontId="1"/>
  </si>
  <si>
    <t>　医学部では第1学年前期に実施されるセグメント１「情報処理・統計」全15回の講義で、本プログラムのリテラシーレベル教育を行う。医療に関わる各種情報を効果的に活用するために、パーソナルコンピュータの利用を中心にした情報の収集・整理・統合・分析・選択・検索・発信・提示の実際を学修する。また医学データの処理方法としての統計的手法、および簡単なスクリプトプログラミングの基礎を学ぶ。
　この学修では、これからの6年間にわたる医学を学ぶ過程において必要な情報処理の基本知識と、卒後さまざまな形で活躍するために必要な臨床、研究のために要求されるIT技術を身に付けることを目的としている。講義では、はじめにコンピュータの操作に関する基礎の解説と、ネットワークの利用に伴う倫理的な問題、および正しい利用法を説明する。加えて、コンピュータによる医療データ処理の一環として、ビッグデータの扱いと簡単なスクリプトプログラミング手法、および統計的解析によるデータの解釈についても解説し、最終的には近年医療への応用が始まったAIについての基本的な知識と応用例についても説明する。
　同時に、実際にパーソナルコンピュータを操作しつつ具体例を元にして学修を進める。まずは情報検索のためのインターネット利用、メール利用（webメール）を修得し、クラウドサービスを用いたIT技術活用の基礎を身につける。その後、スクリプティングによるコンピュータの効率的な運用や、AIによるサポートを利用した情報解析についても実践を行い、今後ますます加速すると考えられる医療へのIT技術応用に対応できる素地を形成する。
　以上より、テュートリアル教育や実習のまとめといった今後の学生生活に必要不可欠な要素だけでなく、将来的に臨床の場でIT技術を駆使するために必要となる基本スキルを学修する。 
　　看護学部では上記の内容を、第1学年通年科目「アカデミックスキル演習１」（全37回）、第2学年前期科目「アカデミックスキル演習Ⅱ」（全25回）および「保健医療統計学」（全15回）で履修する。第１学年科目で、基本的なパーソナルコンピューターの使い方、文書の作成方法、メールマナーなどの学修とともに、医学部共通講義として、「AIについて (機械学修、ニューラルネット、どんなことが出来るか、医療への応用例)」、「ビッグデータについて（管理、利用、その他大手クラウドサービスによる実例紹介)」、「臨床応用」を履修する。第2学年では、科目「アカデミックスキル演習Ⅱ」で、「情報倫理（肖像権、著作権、他人の個人情報の扱い）」を医学部共通講義として履修するとともに、看護における情報管理、病院情報システム（電子カルテ）および表計算などのデータ解析の基礎を学ぶことで、コンピュータ操作および情報管理の基礎知識と倫理的問題にも気づけるように適切な扱いについて修得できるようにしている。さらに、科目「保健医療統計学」では、統計資料や調査結果を最適に解釈し、記述する手法について学び、実際のデータを用いた統計手法を修得する。
　以上のように、講義名「情報倫理 (肖像権、著作権、他人の個人情報の扱い)」、「AIについて (機械学修、ニューラルネット、どんなことが出来るか、医療への応用例)」、「ビッグデータについて（管理、利用、その他大手クラウドサービスによる実例紹介)」、そして「臨床応用」を医・看護学部の共通講義とし、その他は学部毎の修了要件に合わせてプログラムを構成する授業科目を設定している。
　本学の使命は社会に貢献する女性の医療人の育成である。最良の医療を実するために必須の数理AIデータサイエンスの基本的な知識・技能を学部課程の早期の段階で修められるプログラム構成となっている。</t>
    <rPh sb="1" eb="4">
      <t>イガクブ</t>
    </rPh>
    <rPh sb="27" eb="29">
      <t>ショリ</t>
    </rPh>
    <rPh sb="30" eb="32">
      <t>トウケイ</t>
    </rPh>
    <rPh sb="33" eb="34">
      <t>ゼン</t>
    </rPh>
    <rPh sb="36" eb="37">
      <t>カイ</t>
    </rPh>
    <rPh sb="38" eb="40">
      <t>コウギ</t>
    </rPh>
    <rPh sb="42" eb="43">
      <t>ホン</t>
    </rPh>
    <rPh sb="57" eb="59">
      <t>キョウイク</t>
    </rPh>
    <rPh sb="60" eb="61">
      <t>オコナ</t>
    </rPh>
    <rPh sb="698" eb="700">
      <t>キョウイク</t>
    </rPh>
    <rPh sb="780" eb="782">
      <t>ジョウキ</t>
    </rPh>
    <rPh sb="783" eb="785">
      <t>ナイヨウ</t>
    </rPh>
    <rPh sb="1432" eb="1434">
      <t>シュウリョウ</t>
    </rPh>
    <rPh sb="1465" eb="1467">
      <t>ホンガク</t>
    </rPh>
    <rPh sb="1468" eb="1470">
      <t>シメイ</t>
    </rPh>
    <rPh sb="1485" eb="1487">
      <t>イクセイ</t>
    </rPh>
    <rPh sb="1529" eb="1531">
      <t>ガクブ</t>
    </rPh>
    <rPh sb="1531" eb="1533">
      <t>カテイ</t>
    </rPh>
    <rPh sb="1534" eb="1536">
      <t>ソウキ</t>
    </rPh>
    <rPh sb="1537" eb="1539">
      <t>ダンカイ</t>
    </rPh>
    <rPh sb="1550" eb="1552">
      <t>コウセイ</t>
    </rPh>
    <phoneticPr fontId="1"/>
  </si>
  <si>
    <t>　看護学部では、各学年ごとに5～6名の教員（教授、准教授、講師、助教）で教育委員会が構成されている。各科目の担当教員と連携して学修支援にあたっている。また、講義担当教員のメールアドレスが講義終了時に提示されるようにも定められており、担当教員に直接メールで質問ができる体制がとられている。
　医学部でも同様に各学年に教育委員会が構成され学修支援を行っている。各学年の教育委員会により、学生4－5名に対し、助教以上の学生支援員が1名割り当てられている。セグメント１「情報処理・統計」の履修期間中に対面による学生支援員との面談が最低1回は実施されるよう定められており、この際にも必要に応じて学修支援が行われる。また、看護学部と同様に、講義担当講師のメールアドレスが講義終了時に提示されるよう定められており、講師に直接メールで質問ができる体制となっている。</t>
    <rPh sb="59" eb="61">
      <t>レンケイ</t>
    </rPh>
    <rPh sb="65" eb="67">
      <t>シエン</t>
    </rPh>
    <rPh sb="82" eb="84">
      <t>キョウイン</t>
    </rPh>
    <rPh sb="116" eb="118">
      <t>タントウ</t>
    </rPh>
    <rPh sb="118" eb="120">
      <t>キョウイン</t>
    </rPh>
    <rPh sb="150" eb="152">
      <t>ドウヨウ</t>
    </rPh>
    <rPh sb="172" eb="173">
      <t>オコナ</t>
    </rPh>
    <rPh sb="178" eb="181">
      <t>カクガクネン</t>
    </rPh>
    <rPh sb="305" eb="309">
      <t>カンゴガクブ</t>
    </rPh>
    <rPh sb="310" eb="312">
      <t>ドウヨウ</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</si>
  <si>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</si>
  <si>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本プログラムの実行は、医学部看護学部教育委員会と「AI・データサイエンスと医療」教育委員会が担い、産学界との連携の部分をメディカルAIセンターがサポートする体制となっている。メディカルAIセンターには臨床医学系や基礎医学系の教員の他、株式会社スタージェン（鎌谷直之会長・医療人工知能研究所所長）も参画しており、国内外のアカデミア、産業界の第一線で活躍する講師を招聘して年数回の講習会を定期開催している。これにより本プログラム担当講師が最新のトピックを講義に反映できるようサポートを行っている。</t>
    <rPh sb="0" eb="1">
      <t>ホン</t>
    </rPh>
    <rPh sb="7" eb="9">
      <t>ジッコウ</t>
    </rPh>
    <rPh sb="11" eb="14">
      <t>イガクブ</t>
    </rPh>
    <rPh sb="14" eb="18">
      <t>カンゴガクブ</t>
    </rPh>
    <rPh sb="18" eb="23">
      <t>キョウイクイインカイ</t>
    </rPh>
    <rPh sb="37" eb="39">
      <t>イリョウ</t>
    </rPh>
    <rPh sb="40" eb="42">
      <t>キョウイク</t>
    </rPh>
    <rPh sb="42" eb="45">
      <t>イインカイ</t>
    </rPh>
    <rPh sb="46" eb="47">
      <t>ニナ</t>
    </rPh>
    <rPh sb="50" eb="51">
      <t>ガク</t>
    </rPh>
    <rPh sb="57" eb="59">
      <t>ブブン</t>
    </rPh>
    <rPh sb="78" eb="80">
      <t>タイセイ</t>
    </rPh>
    <rPh sb="217" eb="219">
      <t>サイシン</t>
    </rPh>
    <rPh sb="225" eb="227">
      <t>コウギ</t>
    </rPh>
    <rPh sb="228" eb="230">
      <t>ハンエイ</t>
    </rPh>
    <rPh sb="240" eb="241">
      <t>オコナ</t>
    </rPh>
    <phoneticPr fontId="1"/>
  </si>
  <si>
    <t>本学学生は将来医師、看護師を目指しているため、より実践的な視点からメディカルAIセンター（東京女子医科大学病院）の提言を統合教育学修センター　IRチームにて集約している。さらに、将来的な視点を得るため、早稲田大学との共同研究施設TWINS先端工学外科分野（FATS）からの提言もあわせて収集している。両施設からは、「現在AI・データサイエンスの活用が推進されている画像診断支援、診断治療支援の内容が盛り込まれていること、さらに将来期待される手術支援についてもふれられていることから、実践的な教育プログラムとなっていることは高く評価できる。ただ、医学系の内容に偏重しているため、より広範な医療保険分野（介護・看護支援など）への応用事例を扱うことが望まれる。」との意見が出された。これら集約された情報に、授業内容、授業評価アンケートの結果等から、教育プログラムの内容の充実を図る。</t>
    <rPh sb="0" eb="4">
      <t>ホンガクガクセイ</t>
    </rPh>
    <rPh sb="5" eb="7">
      <t>ショウライ</t>
    </rPh>
    <rPh sb="7" eb="9">
      <t>イシ</t>
    </rPh>
    <rPh sb="10" eb="13">
      <t>カンゴシ</t>
    </rPh>
    <rPh sb="14" eb="16">
      <t>メザ</t>
    </rPh>
    <rPh sb="25" eb="28">
      <t>ジッセンテキ</t>
    </rPh>
    <rPh sb="29" eb="31">
      <t>シテン</t>
    </rPh>
    <rPh sb="45" eb="53">
      <t>トウキョウジョシイカダイガク</t>
    </rPh>
    <rPh sb="53" eb="55">
      <t>ビョウイン</t>
    </rPh>
    <rPh sb="57" eb="59">
      <t>テイゲン</t>
    </rPh>
    <rPh sb="60" eb="64">
      <t>トウゴウキョウイク</t>
    </rPh>
    <rPh sb="64" eb="66">
      <t>ガクシュウ</t>
    </rPh>
    <rPh sb="78" eb="80">
      <t>シュウヤク</t>
    </rPh>
    <rPh sb="89" eb="92">
      <t>ショウライテキ</t>
    </rPh>
    <rPh sb="93" eb="95">
      <t>シテン</t>
    </rPh>
    <rPh sb="96" eb="97">
      <t>エ</t>
    </rPh>
    <rPh sb="101" eb="106">
      <t>ワセダダイガク</t>
    </rPh>
    <rPh sb="119" eb="123">
      <t>センタンコウガク</t>
    </rPh>
    <rPh sb="123" eb="125">
      <t>ゲカ</t>
    </rPh>
    <rPh sb="125" eb="127">
      <t>ブンヤ</t>
    </rPh>
    <rPh sb="136" eb="138">
      <t>テイゲン</t>
    </rPh>
    <rPh sb="143" eb="145">
      <t>シュウシュウ</t>
    </rPh>
    <rPh sb="150" eb="151">
      <t>リョウ</t>
    </rPh>
    <rPh sb="151" eb="153">
      <t>シセツ</t>
    </rPh>
    <rPh sb="341" eb="343">
      <t>シュウヤク</t>
    </rPh>
    <rPh sb="346" eb="348">
      <t>ジョウホウ</t>
    </rPh>
    <rPh sb="350" eb="352">
      <t>ジュギョウ</t>
    </rPh>
    <rPh sb="352" eb="354">
      <t>ナイヨウ</t>
    </rPh>
    <rPh sb="355" eb="359">
      <t>ジュギョウヒョウカ</t>
    </rPh>
    <rPh sb="365" eb="367">
      <t>ケッカ</t>
    </rPh>
    <rPh sb="367" eb="368">
      <t>トウ</t>
    </rPh>
    <rPh sb="371" eb="373">
      <t>キョウイク</t>
    </rPh>
    <rPh sb="379" eb="381">
      <t>ナイヨウ</t>
    </rPh>
    <rPh sb="385" eb="386">
      <t>ハカ</t>
    </rPh>
    <phoneticPr fontId="1"/>
  </si>
  <si>
    <t>学生への学習支援</t>
    <rPh sb="0" eb="2">
      <t>ガクセイ</t>
    </rPh>
    <rPh sb="4" eb="6">
      <t>ガクシュウ</t>
    </rPh>
    <rPh sb="6" eb="8">
      <t>シエン</t>
    </rPh>
    <phoneticPr fontId="1"/>
  </si>
  <si>
    <t>令和3年度より、医学部・看護学部とも教育プログラムが必修となった。具体的には医学部では1年次の「セグメント１情報処理・統計」が必修となっている。看護学部では、1年次と2年次の2年間で、必修である「アカデミックスキル演習Ⅰ、Ⅱ」にて医学部「セグメント１情報処理・統計」にて対象となる講義を視聴し、かつ、必修科目である保健医療統計学を履修することが求められる。
本学では講義配信システムを利用しており、医学部で行われた関連講義を看護学部生も視聴することが可能となっているため、日程的にも無理のない教育プログラムが構築可能となっている。また、LMSが令和3年度から稼働しており、講義の欠席・視聴状況等を管理することが可能となっている。これらのデータを統合教育学修センター　教学IRチームにて収集・分析する。</t>
    <rPh sb="18" eb="20">
      <t>キョウイク</t>
    </rPh>
    <rPh sb="44" eb="46">
      <t>ネンジ</t>
    </rPh>
    <rPh sb="54" eb="58">
      <t>ジョウホウショリ</t>
    </rPh>
    <rPh sb="59" eb="61">
      <t>トウケイ</t>
    </rPh>
    <rPh sb="63" eb="65">
      <t>ヒッシュウ</t>
    </rPh>
    <rPh sb="92" eb="94">
      <t>ヒッシュウ</t>
    </rPh>
    <rPh sb="107" eb="109">
      <t>エンシュウ</t>
    </rPh>
    <rPh sb="115" eb="118">
      <t>イガクブ</t>
    </rPh>
    <rPh sb="125" eb="129">
      <t>ジョウホウショリ</t>
    </rPh>
    <rPh sb="130" eb="132">
      <t>トウケイ</t>
    </rPh>
    <rPh sb="135" eb="137">
      <t>タイショウ</t>
    </rPh>
    <rPh sb="140" eb="142">
      <t>コウギ</t>
    </rPh>
    <rPh sb="143" eb="145">
      <t>シチョウ</t>
    </rPh>
    <rPh sb="157" eb="161">
      <t>ホケンイリョウ</t>
    </rPh>
    <rPh sb="161" eb="164">
      <t>トウケイガク</t>
    </rPh>
    <rPh sb="165" eb="167">
      <t>リシュウ</t>
    </rPh>
    <rPh sb="172" eb="173">
      <t>モト</t>
    </rPh>
    <rPh sb="180" eb="182">
      <t>ホンガク</t>
    </rPh>
    <rPh sb="200" eb="203">
      <t>イガクブ</t>
    </rPh>
    <rPh sb="204" eb="205">
      <t>オコナ</t>
    </rPh>
    <rPh sb="208" eb="210">
      <t>カンレン</t>
    </rPh>
    <rPh sb="210" eb="212">
      <t>コウギ</t>
    </rPh>
    <rPh sb="213" eb="217">
      <t>カンゴガクブ</t>
    </rPh>
    <rPh sb="226" eb="228">
      <t>カノウ</t>
    </rPh>
    <rPh sb="237" eb="240">
      <t>ニッテイテキ</t>
    </rPh>
    <rPh sb="242" eb="244">
      <t>ムリ</t>
    </rPh>
    <rPh sb="247" eb="249">
      <t>キョウイク</t>
    </rPh>
    <rPh sb="255" eb="257">
      <t>コウチク</t>
    </rPh>
    <rPh sb="257" eb="259">
      <t>カノウ</t>
    </rPh>
    <rPh sb="273" eb="275">
      <t>レイワ</t>
    </rPh>
    <rPh sb="276" eb="278">
      <t>ネンド</t>
    </rPh>
    <rPh sb="280" eb="282">
      <t>カドウ</t>
    </rPh>
    <rPh sb="287" eb="289">
      <t>コウギ</t>
    </rPh>
    <rPh sb="290" eb="292">
      <t>ケッセキ</t>
    </rPh>
    <rPh sb="293" eb="295">
      <t>シチョウ</t>
    </rPh>
    <rPh sb="295" eb="297">
      <t>ジョウキョウ</t>
    </rPh>
    <rPh sb="297" eb="298">
      <t>トウ</t>
    </rPh>
    <rPh sb="299" eb="301">
      <t>カンリ</t>
    </rPh>
    <rPh sb="306" eb="308">
      <t>カノウ</t>
    </rPh>
    <rPh sb="323" eb="327">
      <t>トウゴウキョウイク</t>
    </rPh>
    <rPh sb="327" eb="329">
      <t>ガクシュウ</t>
    </rPh>
    <rPh sb="334" eb="336">
      <t>キョウガク</t>
    </rPh>
    <rPh sb="343" eb="345">
      <t>シュウシュウ</t>
    </rPh>
    <rPh sb="346" eb="348">
      <t>ブンセキ</t>
    </rPh>
    <phoneticPr fontId="1"/>
  </si>
  <si>
    <t>令和3年度より、医学部看護学部ともに必修授業となっており該当学年次で全員が受講できる計画となっている。そのため、令和5年度の履修率は50%以上となる見込みである。また、医学部は6年制のため、令和8年度に履修率100%を達成する予定である。
令和3年度実績　医学部 113,　看護学部   87, 合計 200, 履修率 200/1020→20%
令和4年度予定　医学部 223,　看護学部 177, 合計 400, 履修率 400/1020→39% 
令和5年度予定　医学部 333,　看護学部 267, 合計 600, 履修率 600/1020→59%
※履修率導出に用いた1020は収容定員の合計値
ただし、看護学部は1年次、2年次の2年間の履修で教育プログラムが修了となるため、令和4年度にはじめて修了者が計上される。</t>
    <rPh sb="0" eb="2">
      <t>レイワ</t>
    </rPh>
    <rPh sb="3" eb="5">
      <t>ネンド</t>
    </rPh>
    <rPh sb="32" eb="33">
      <t>ジ</t>
    </rPh>
    <rPh sb="56" eb="58">
      <t>レイワ</t>
    </rPh>
    <rPh sb="59" eb="61">
      <t>ネンド</t>
    </rPh>
    <rPh sb="62" eb="65">
      <t>リシュウリツ</t>
    </rPh>
    <rPh sb="69" eb="71">
      <t>イジョウ</t>
    </rPh>
    <rPh sb="74" eb="76">
      <t>ミコ</t>
    </rPh>
    <rPh sb="121" eb="123">
      <t>レイワ</t>
    </rPh>
    <rPh sb="124" eb="126">
      <t>ネンド</t>
    </rPh>
    <rPh sb="126" eb="128">
      <t>ジッセキ</t>
    </rPh>
    <rPh sb="129" eb="132">
      <t>イガクブ</t>
    </rPh>
    <rPh sb="138" eb="142">
      <t>カンゴガクブ</t>
    </rPh>
    <rPh sb="149" eb="151">
      <t>ゴウケイ</t>
    </rPh>
    <rPh sb="157" eb="160">
      <t>リシュウリツ</t>
    </rPh>
    <rPh sb="174" eb="176">
      <t>レイワ</t>
    </rPh>
    <rPh sb="177" eb="179">
      <t>ネンド</t>
    </rPh>
    <rPh sb="179" eb="181">
      <t>ヨテイ</t>
    </rPh>
    <rPh sb="182" eb="185">
      <t>イガクブ</t>
    </rPh>
    <rPh sb="191" eb="195">
      <t>カンゴガクブ</t>
    </rPh>
    <rPh sb="201" eb="203">
      <t>ゴウケイ</t>
    </rPh>
    <rPh sb="209" eb="212">
      <t>リシュウリツ</t>
    </rPh>
    <rPh sb="227" eb="229">
      <t>レイワ</t>
    </rPh>
    <rPh sb="230" eb="232">
      <t>ネンド</t>
    </rPh>
    <rPh sb="232" eb="234">
      <t>ヨテイ</t>
    </rPh>
    <rPh sb="235" eb="238">
      <t>イガクブ</t>
    </rPh>
    <rPh sb="244" eb="248">
      <t>カンゴガクブ</t>
    </rPh>
    <rPh sb="254" eb="256">
      <t>ゴウケイ</t>
    </rPh>
    <rPh sb="262" eb="265">
      <t>リシュウリツ</t>
    </rPh>
    <rPh sb="280" eb="283">
      <t>リシュウリツ</t>
    </rPh>
    <rPh sb="283" eb="285">
      <t>ドウシュツ</t>
    </rPh>
    <rPh sb="286" eb="287">
      <t>モチ</t>
    </rPh>
    <rPh sb="294" eb="298">
      <t>シュウヨウテイイン</t>
    </rPh>
    <rPh sb="299" eb="301">
      <t>ゴウケイ</t>
    </rPh>
    <rPh sb="301" eb="302">
      <t>チ</t>
    </rPh>
    <phoneticPr fontId="1"/>
  </si>
  <si>
    <t>情報処理・統計</t>
    <rPh sb="0" eb="2">
      <t>ジョウホウ</t>
    </rPh>
    <rPh sb="2" eb="4">
      <t>ショリ</t>
    </rPh>
    <rPh sb="5" eb="7">
      <t>トウケイ</t>
    </rPh>
    <phoneticPr fontId="1"/>
  </si>
  <si>
    <t>https://www.twmu.ac.jp/doc/medical/R3_igaku_syllabus.pdf</t>
    <phoneticPr fontId="1"/>
  </si>
  <si>
    <t>https://www.twmu.ac.jp/doc/nursing/R3_kango_syllabus.pdf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</si>
</sst>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6"/>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42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9" xfId="0"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23" xfId="0" applyFont="1" applyFill="1" applyBorder="1" applyAlignment="1">
      <alignment horizontal="center" vertical="center" shrinkToFit="1"/>
    </xf>
    <xf numFmtId="0" fontId="8" fillId="0" borderId="18" xfId="0" applyFont="1" applyFill="1" applyBorder="1" applyAlignment="1">
      <alignment horizontal="center" vertical="center"/>
    </xf>
    <xf numFmtId="0" fontId="8" fillId="0" borderId="14" xfId="0" applyFont="1" applyFill="1" applyBorder="1" applyAlignment="1">
      <alignment horizontal="center" vertical="center" shrinkToFi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0" fontId="8" fillId="0" borderId="18" xfId="0" applyFont="1" applyFill="1" applyBorder="1" applyAlignment="1">
      <alignment horizontal="center" vertical="center"/>
    </xf>
    <xf numFmtId="176" fontId="3" fillId="0" borderId="19"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0" fontId="8" fillId="0" borderId="7"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shrinkToFit="1"/>
    </xf>
    <xf numFmtId="0" fontId="8" fillId="0" borderId="44" xfId="0" applyFont="1" applyFill="1" applyBorder="1" applyAlignment="1">
      <alignment horizontal="center" vertical="center" shrinkToFit="1"/>
    </xf>
    <xf numFmtId="9" fontId="8" fillId="0" borderId="45" xfId="0" applyNumberFormat="1" applyFont="1" applyFill="1" applyBorder="1" applyAlignment="1">
      <alignment horizontal="center" vertical="center" shrinkToFit="1"/>
    </xf>
    <xf numFmtId="0" fontId="8" fillId="0" borderId="45" xfId="0" applyFont="1" applyFill="1" applyBorder="1" applyAlignment="1">
      <alignment horizontal="center" vertical="center" shrinkToFit="1"/>
    </xf>
    <xf numFmtId="176" fontId="8" fillId="0" borderId="45" xfId="0" applyNumberFormat="1" applyFont="1" applyFill="1" applyBorder="1" applyAlignment="1">
      <alignment horizontal="center" vertical="center" shrinkToFit="1"/>
    </xf>
    <xf numFmtId="0" fontId="3" fillId="0" borderId="0" xfId="0" applyFont="1" applyAlignment="1">
      <alignment horizontal="center" vertical="center"/>
    </xf>
    <xf numFmtId="0" fontId="8" fillId="0" borderId="18" xfId="0" applyFont="1" applyFill="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0" xfId="0" applyFont="1" applyBorder="1" applyAlignment="1">
      <alignment vertical="center" shrinkToFit="1"/>
    </xf>
    <xf numFmtId="0" fontId="8" fillId="0" borderId="4" xfId="0" applyFont="1" applyFill="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3" xfId="0" applyNumberFormat="1" applyFont="1" applyFill="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Fill="1" applyBorder="1" applyAlignment="1">
      <alignment horizontal="center" vertical="center"/>
    </xf>
    <xf numFmtId="0" fontId="8" fillId="0" borderId="4" xfId="0" applyNumberFormat="1" applyFont="1" applyFill="1" applyBorder="1" applyAlignment="1">
      <alignment horizontal="center" vertical="center"/>
    </xf>
    <xf numFmtId="49" fontId="7" fillId="0" borderId="2" xfId="2" applyNumberFormat="1" applyFill="1" applyBorder="1" applyAlignment="1">
      <alignment vertical="center" shrinkToFit="1"/>
    </xf>
    <xf numFmtId="49" fontId="8" fillId="0" borderId="3" xfId="0" applyNumberFormat="1" applyFont="1" applyFill="1" applyBorder="1" applyAlignment="1">
      <alignment vertical="center" shrinkToFit="1"/>
    </xf>
    <xf numFmtId="49" fontId="8" fillId="0" borderId="4" xfId="0" applyNumberFormat="1" applyFont="1" applyFill="1" applyBorder="1" applyAlignment="1">
      <alignment vertical="center" shrinkToFit="1"/>
    </xf>
    <xf numFmtId="49" fontId="8" fillId="0" borderId="2" xfId="1" applyNumberFormat="1" applyFont="1" applyFill="1" applyBorder="1" applyAlignment="1">
      <alignment horizontal="center" vertical="center" shrinkToFit="1"/>
    </xf>
    <xf numFmtId="49" fontId="8" fillId="0" borderId="3" xfId="1" applyNumberFormat="1" applyFont="1" applyFill="1" applyBorder="1" applyAlignment="1">
      <alignment horizontal="center" vertical="center" shrinkToFit="1"/>
    </xf>
    <xf numFmtId="49" fontId="8" fillId="0" borderId="4" xfId="1" applyNumberFormat="1" applyFont="1" applyFill="1" applyBorder="1" applyAlignment="1">
      <alignment horizontal="center" vertical="center" shrinkToFit="1"/>
    </xf>
    <xf numFmtId="0" fontId="8"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7" xfId="0" applyFont="1" applyFill="1" applyBorder="1" applyAlignment="1">
      <alignment horizontal="left" vertical="center" shrinkToFit="1"/>
    </xf>
    <xf numFmtId="0" fontId="8" fillId="0" borderId="8" xfId="0" applyFont="1" applyFill="1" applyBorder="1" applyAlignment="1">
      <alignment horizontal="left" vertical="center" shrinkToFit="1"/>
    </xf>
    <xf numFmtId="0" fontId="8" fillId="0" borderId="9" xfId="0" applyFont="1" applyFill="1" applyBorder="1" applyAlignment="1">
      <alignment horizontal="left" vertical="center" shrinkToFit="1"/>
    </xf>
    <xf numFmtId="0" fontId="8" fillId="0" borderId="37" xfId="0" applyFont="1" applyFill="1" applyBorder="1" applyAlignment="1">
      <alignment horizontal="center" vertical="center"/>
    </xf>
    <xf numFmtId="0" fontId="8" fillId="0" borderId="39" xfId="0" applyFont="1" applyFill="1" applyBorder="1" applyAlignment="1">
      <alignment horizontal="center" vertical="center"/>
    </xf>
    <xf numFmtId="0" fontId="8" fillId="0" borderId="38" xfId="0" applyFont="1" applyFill="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Fill="1" applyBorder="1" applyAlignment="1">
      <alignment horizontal="left" vertical="center" shrinkToFit="1"/>
    </xf>
    <xf numFmtId="0" fontId="8" fillId="0" borderId="20" xfId="0" applyFont="1" applyFill="1" applyBorder="1" applyAlignment="1">
      <alignment horizontal="left" vertical="center" shrinkToFit="1"/>
    </xf>
    <xf numFmtId="0" fontId="8" fillId="0" borderId="18" xfId="0" applyFont="1" applyFill="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9" fillId="0" borderId="0" xfId="0" applyFont="1" applyAlignment="1">
      <alignment horizontal="center" vertical="center"/>
    </xf>
    <xf numFmtId="0" fontId="19" fillId="0" borderId="0" xfId="0" applyFont="1" applyAlignment="1">
      <alignment horizontal="center" vertical="center"/>
    </xf>
    <xf numFmtId="0" fontId="9" fillId="0" borderId="7" xfId="0" applyFont="1" applyFill="1" applyBorder="1" applyAlignment="1">
      <alignment horizontal="left" vertical="top" wrapText="1" shrinkToFit="1"/>
    </xf>
    <xf numFmtId="0" fontId="8" fillId="0" borderId="8" xfId="0" applyFont="1" applyFill="1" applyBorder="1" applyAlignment="1">
      <alignment horizontal="left" vertical="top" shrinkToFit="1"/>
    </xf>
    <xf numFmtId="0" fontId="8" fillId="0" borderId="9" xfId="0" applyFont="1" applyFill="1" applyBorder="1" applyAlignment="1">
      <alignment horizontal="left" vertical="top" shrinkToFit="1"/>
    </xf>
    <xf numFmtId="0" fontId="8" fillId="0" borderId="5" xfId="0" applyFont="1" applyFill="1" applyBorder="1" applyAlignment="1">
      <alignment horizontal="left" vertical="top" shrinkToFit="1"/>
    </xf>
    <xf numFmtId="0" fontId="8" fillId="0" borderId="0" xfId="0" applyFont="1" applyFill="1" applyBorder="1" applyAlignment="1">
      <alignment horizontal="left" vertical="top" shrinkToFit="1"/>
    </xf>
    <xf numFmtId="0" fontId="8" fillId="0" borderId="10" xfId="0" applyFont="1" applyFill="1" applyBorder="1" applyAlignment="1">
      <alignment horizontal="left" vertical="top" shrinkToFit="1"/>
    </xf>
    <xf numFmtId="0" fontId="8" fillId="0" borderId="0" xfId="0" applyFont="1" applyFill="1" applyAlignment="1">
      <alignment horizontal="left" vertical="top" shrinkToFit="1"/>
    </xf>
    <xf numFmtId="0" fontId="8" fillId="0" borderId="11" xfId="0" applyFont="1" applyFill="1" applyBorder="1" applyAlignment="1">
      <alignment horizontal="left" vertical="top" shrinkToFit="1"/>
    </xf>
    <xf numFmtId="0" fontId="8" fillId="0" borderId="6" xfId="0" applyFont="1" applyFill="1" applyBorder="1" applyAlignment="1">
      <alignment horizontal="left" vertical="top" shrinkToFit="1"/>
    </xf>
    <xf numFmtId="0" fontId="8" fillId="0" borderId="12" xfId="0" applyFont="1" applyFill="1" applyBorder="1" applyAlignment="1">
      <alignment horizontal="left" vertical="top" shrinkToFit="1"/>
    </xf>
    <xf numFmtId="0" fontId="8" fillId="0" borderId="0" xfId="0" applyFont="1" applyAlignment="1">
      <alignment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24" fillId="0" borderId="19" xfId="0" applyFont="1" applyFill="1" applyBorder="1" applyAlignment="1">
      <alignment horizontal="left" vertical="center" wrapText="1"/>
    </xf>
    <xf numFmtId="0" fontId="24" fillId="0" borderId="20" xfId="0" applyFont="1" applyFill="1" applyBorder="1" applyAlignment="1">
      <alignment horizontal="left" vertical="center" wrapText="1"/>
    </xf>
    <xf numFmtId="0" fontId="24" fillId="0" borderId="18" xfId="0" applyFont="1" applyFill="1" applyBorder="1" applyAlignment="1">
      <alignment horizontal="left" vertical="center" wrapText="1"/>
    </xf>
    <xf numFmtId="0" fontId="8" fillId="0" borderId="44" xfId="0" applyFont="1" applyBorder="1" applyAlignment="1">
      <alignment horizontal="left" vertical="center" shrinkToFit="1"/>
    </xf>
    <xf numFmtId="0" fontId="8" fillId="0" borderId="45" xfId="0" applyFont="1" applyBorder="1" applyAlignment="1">
      <alignment horizontal="left" vertical="center" shrinkToFit="1"/>
    </xf>
    <xf numFmtId="0" fontId="8" fillId="0" borderId="46" xfId="0" applyFont="1" applyBorder="1" applyAlignment="1">
      <alignment horizontal="left" vertical="center" shrinkToFit="1"/>
    </xf>
    <xf numFmtId="0" fontId="8" fillId="0" borderId="7" xfId="0" applyFont="1" applyFill="1" applyBorder="1" applyAlignment="1">
      <alignment vertical="center" shrinkToFit="1"/>
    </xf>
    <xf numFmtId="0" fontId="8" fillId="0" borderId="8" xfId="0" applyFont="1" applyFill="1" applyBorder="1" applyAlignment="1">
      <alignment vertical="center" shrinkToFit="1"/>
    </xf>
    <xf numFmtId="0" fontId="8" fillId="0" borderId="9" xfId="0" applyFont="1" applyFill="1" applyBorder="1" applyAlignment="1">
      <alignment vertical="center" shrinkToFit="1"/>
    </xf>
    <xf numFmtId="0" fontId="8" fillId="0" borderId="19" xfId="0" applyFont="1" applyFill="1" applyBorder="1" applyAlignment="1">
      <alignment vertical="center" shrinkToFit="1"/>
    </xf>
    <xf numFmtId="0" fontId="8" fillId="0" borderId="20" xfId="0" applyFont="1" applyFill="1" applyBorder="1" applyAlignment="1">
      <alignment vertical="center" shrinkToFit="1"/>
    </xf>
    <xf numFmtId="0" fontId="8" fillId="0" borderId="18" xfId="0" applyFont="1" applyFill="1" applyBorder="1" applyAlignment="1">
      <alignment vertical="center" shrinkToFit="1"/>
    </xf>
    <xf numFmtId="0" fontId="8" fillId="0" borderId="19"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37" xfId="0" applyFont="1" applyFill="1" applyBorder="1" applyAlignment="1">
      <alignment vertical="center" shrinkToFit="1"/>
    </xf>
    <xf numFmtId="0" fontId="8" fillId="0" borderId="39" xfId="0" applyFont="1" applyFill="1" applyBorder="1" applyAlignment="1">
      <alignment vertical="center" shrinkToFit="1"/>
    </xf>
    <xf numFmtId="0" fontId="8" fillId="0" borderId="38" xfId="0" applyFont="1" applyFill="1" applyBorder="1" applyAlignment="1">
      <alignment vertical="center" shrinkToFit="1"/>
    </xf>
    <xf numFmtId="0" fontId="8" fillId="0" borderId="37" xfId="0" applyFont="1" applyFill="1" applyBorder="1" applyAlignment="1">
      <alignment horizontal="center" vertical="center" shrinkToFit="1"/>
    </xf>
    <xf numFmtId="0" fontId="8" fillId="0" borderId="39" xfId="0" applyFont="1" applyFill="1" applyBorder="1" applyAlignment="1">
      <alignment horizontal="center" vertical="center" shrinkToFit="1"/>
    </xf>
    <xf numFmtId="0" fontId="8" fillId="0" borderId="38" xfId="0" applyFont="1" applyFill="1" applyBorder="1" applyAlignment="1">
      <alignment horizontal="center"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4" xfId="0" applyFont="1" applyFill="1" applyBorder="1" applyAlignment="1">
      <alignment vertical="center" shrinkToFit="1"/>
    </xf>
    <xf numFmtId="0" fontId="8" fillId="0" borderId="45" xfId="0" applyFont="1" applyFill="1" applyBorder="1" applyAlignment="1">
      <alignment vertical="center" shrinkToFit="1"/>
    </xf>
    <xf numFmtId="0" fontId="8" fillId="0" borderId="46" xfId="0" applyFont="1" applyFill="1" applyBorder="1" applyAlignment="1">
      <alignment vertical="center" shrinkToFit="1"/>
    </xf>
    <xf numFmtId="0" fontId="8" fillId="0" borderId="19" xfId="0" applyFont="1" applyFill="1" applyBorder="1" applyAlignment="1">
      <alignment horizontal="center" vertical="center" shrinkToFit="1"/>
    </xf>
    <xf numFmtId="0" fontId="8" fillId="0" borderId="20" xfId="0" applyFont="1" applyFill="1" applyBorder="1" applyAlignment="1">
      <alignment horizontal="center" vertical="center" shrinkToFit="1"/>
    </xf>
    <xf numFmtId="0" fontId="8" fillId="0" borderId="18" xfId="0" applyFont="1" applyFill="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2" fillId="0" borderId="48" xfId="0" applyFont="1" applyBorder="1" applyAlignment="1">
      <alignment vertical="center" wrapText="1"/>
    </xf>
    <xf numFmtId="0" fontId="22" fillId="0" borderId="49" xfId="0" applyFont="1" applyBorder="1" applyAlignment="1">
      <alignment vertical="center" wrapText="1"/>
    </xf>
    <xf numFmtId="0" fontId="8" fillId="0" borderId="39" xfId="0" applyFont="1" applyFill="1" applyBorder="1" applyAlignment="1">
      <alignment horizontal="left" vertical="center" wrapText="1"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0" borderId="41" xfId="0" applyFont="1" applyFill="1" applyBorder="1" applyAlignment="1">
      <alignment horizontal="left" vertical="center" wrapText="1" shrinkToFit="1"/>
    </xf>
    <xf numFmtId="0" fontId="8" fillId="0" borderId="41" xfId="0" applyFont="1" applyFill="1" applyBorder="1" applyAlignment="1">
      <alignment horizontal="left" vertical="center" shrinkToFit="1"/>
    </xf>
    <xf numFmtId="0" fontId="8" fillId="0" borderId="42" xfId="0" applyFont="1" applyFill="1" applyBorder="1" applyAlignment="1">
      <alignment horizontal="left" vertical="center" shrinkToFit="1"/>
    </xf>
    <xf numFmtId="0" fontId="8" fillId="0" borderId="6" xfId="0" applyFont="1" applyFill="1" applyBorder="1" applyAlignment="1">
      <alignment horizontal="left" vertical="center" wrapText="1" shrinkToFit="1"/>
    </xf>
    <xf numFmtId="0" fontId="8" fillId="0" borderId="6" xfId="0" applyFont="1" applyFill="1" applyBorder="1" applyAlignment="1">
      <alignment horizontal="left" vertical="center" shrinkToFit="1"/>
    </xf>
    <xf numFmtId="0" fontId="8" fillId="0" borderId="12" xfId="0" applyFont="1" applyFill="1" applyBorder="1" applyAlignment="1">
      <alignment horizontal="lef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1" fillId="0" borderId="48" xfId="0" applyFont="1" applyBorder="1" applyAlignment="1">
      <alignment vertical="center" wrapText="1"/>
    </xf>
    <xf numFmtId="0" fontId="21" fillId="0" borderId="32" xfId="0" applyFont="1" applyBorder="1" applyAlignment="1">
      <alignment vertical="center" wrapText="1"/>
    </xf>
    <xf numFmtId="0" fontId="8" fillId="0" borderId="8" xfId="0" applyFont="1" applyFill="1" applyBorder="1" applyAlignment="1">
      <alignment horizontal="left" vertical="center" wrapText="1" shrinkToFit="1"/>
    </xf>
    <xf numFmtId="0" fontId="8" fillId="0" borderId="22" xfId="0" applyFont="1" applyFill="1" applyBorder="1" applyAlignment="1">
      <alignment horizontal="left" vertical="center" wrapText="1" shrinkToFit="1"/>
    </xf>
    <xf numFmtId="0" fontId="8" fillId="0" borderId="22" xfId="0" applyFont="1" applyFill="1" applyBorder="1" applyAlignment="1">
      <alignment horizontal="left" vertical="center" shrinkToFit="1"/>
    </xf>
    <xf numFmtId="0" fontId="8" fillId="0" borderId="21" xfId="0" applyFont="1" applyFill="1" applyBorder="1" applyAlignment="1">
      <alignment horizontal="left" vertical="center" shrinkToFit="1"/>
    </xf>
    <xf numFmtId="0" fontId="9" fillId="0" borderId="7" xfId="0" applyFont="1" applyFill="1" applyBorder="1" applyAlignment="1">
      <alignment vertical="center" wrapText="1" shrinkToFit="1"/>
    </xf>
    <xf numFmtId="0" fontId="9" fillId="0" borderId="8" xfId="0" applyFont="1" applyFill="1" applyBorder="1" applyAlignment="1">
      <alignment vertical="center" shrinkToFit="1"/>
    </xf>
    <xf numFmtId="0" fontId="9" fillId="0" borderId="9" xfId="0" applyFont="1" applyFill="1" applyBorder="1" applyAlignment="1">
      <alignment vertical="center" shrinkToFit="1"/>
    </xf>
    <xf numFmtId="0" fontId="9" fillId="0" borderId="5" xfId="0" applyFont="1" applyFill="1" applyBorder="1" applyAlignment="1">
      <alignment vertical="center" shrinkToFit="1"/>
    </xf>
    <xf numFmtId="0" fontId="9" fillId="0" borderId="0" xfId="0" applyFont="1" applyFill="1" applyBorder="1" applyAlignment="1">
      <alignment vertical="center" shrinkToFit="1"/>
    </xf>
    <xf numFmtId="0" fontId="9" fillId="0" borderId="10" xfId="0" applyFont="1" applyFill="1" applyBorder="1" applyAlignment="1">
      <alignment vertical="center" shrinkToFit="1"/>
    </xf>
    <xf numFmtId="0" fontId="9" fillId="0" borderId="11" xfId="0" applyFont="1" applyFill="1" applyBorder="1" applyAlignment="1">
      <alignment vertical="center" shrinkToFit="1"/>
    </xf>
    <xf numFmtId="0" fontId="9" fillId="0" borderId="6" xfId="0" applyFont="1" applyFill="1" applyBorder="1" applyAlignment="1">
      <alignment vertical="center" shrinkToFit="1"/>
    </xf>
    <xf numFmtId="0" fontId="9" fillId="0" borderId="12" xfId="0" applyFont="1" applyFill="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2" fillId="0" borderId="32" xfId="0" applyFont="1" applyBorder="1" applyAlignment="1">
      <alignment vertical="center" wrapText="1"/>
    </xf>
    <xf numFmtId="0" fontId="8" fillId="0" borderId="20" xfId="0" applyFont="1" applyFill="1" applyBorder="1" applyAlignment="1">
      <alignment horizontal="left" vertical="center" wrapText="1" shrinkToFit="1"/>
    </xf>
    <xf numFmtId="0" fontId="8" fillId="0" borderId="39" xfId="0" applyFont="1" applyFill="1" applyBorder="1" applyAlignment="1">
      <alignment vertical="center" wrapText="1" shrinkToFit="1"/>
    </xf>
    <xf numFmtId="0" fontId="25" fillId="0" borderId="19" xfId="0" applyFont="1" applyFill="1" applyBorder="1" applyAlignment="1">
      <alignment vertical="center" wrapText="1" shrinkToFit="1"/>
    </xf>
    <xf numFmtId="0" fontId="25" fillId="0" borderId="20" xfId="0" applyFont="1" applyFill="1" applyBorder="1" applyAlignment="1">
      <alignment vertical="center" shrinkToFit="1"/>
    </xf>
    <xf numFmtId="0" fontId="25" fillId="0" borderId="18" xfId="0" applyFont="1" applyFill="1" applyBorder="1" applyAlignment="1">
      <alignment vertical="center" shrinkToFit="1"/>
    </xf>
    <xf numFmtId="0" fontId="25" fillId="0" borderId="6" xfId="0" applyFont="1" applyFill="1" applyBorder="1" applyAlignment="1">
      <alignment vertical="center" wrapText="1" shrinkToFit="1"/>
    </xf>
    <xf numFmtId="0" fontId="25" fillId="0" borderId="6" xfId="0" applyFont="1" applyFill="1" applyBorder="1" applyAlignment="1">
      <alignment vertical="center" shrinkToFit="1"/>
    </xf>
    <xf numFmtId="0" fontId="25" fillId="0" borderId="12" xfId="0" applyFont="1" applyFill="1" applyBorder="1" applyAlignment="1">
      <alignment vertical="center" shrinkToFit="1"/>
    </xf>
    <xf numFmtId="0" fontId="8" fillId="0" borderId="37" xfId="0" applyFont="1" applyFill="1" applyBorder="1" applyAlignment="1">
      <alignment horizontal="left" vertical="center" shrinkToFit="1"/>
    </xf>
    <xf numFmtId="0" fontId="9" fillId="0" borderId="8" xfId="0" applyFont="1" applyFill="1" applyBorder="1" applyAlignment="1">
      <alignment vertical="center" wrapText="1" shrinkToFit="1"/>
    </xf>
    <xf numFmtId="0" fontId="9" fillId="0" borderId="9" xfId="0" applyFont="1" applyFill="1" applyBorder="1" applyAlignment="1">
      <alignment vertical="center" wrapText="1" shrinkToFit="1"/>
    </xf>
    <xf numFmtId="0" fontId="9" fillId="0" borderId="5" xfId="0" applyFont="1" applyFill="1" applyBorder="1" applyAlignment="1">
      <alignment vertical="center" wrapText="1" shrinkToFit="1"/>
    </xf>
    <xf numFmtId="0" fontId="9" fillId="0" borderId="0" xfId="0" applyFont="1" applyFill="1" applyBorder="1" applyAlignment="1">
      <alignment vertical="center" wrapText="1" shrinkToFit="1"/>
    </xf>
    <xf numFmtId="0" fontId="9" fillId="0" borderId="10" xfId="0" applyFont="1" applyFill="1" applyBorder="1" applyAlignment="1">
      <alignment vertical="center" wrapText="1" shrinkToFit="1"/>
    </xf>
    <xf numFmtId="0" fontId="9" fillId="0" borderId="11" xfId="0" applyFont="1" applyFill="1" applyBorder="1" applyAlignment="1">
      <alignment vertical="center" wrapText="1" shrinkToFit="1"/>
    </xf>
    <xf numFmtId="0" fontId="9" fillId="0" borderId="6" xfId="0" applyFont="1" applyFill="1" applyBorder="1" applyAlignment="1">
      <alignment vertical="center" wrapText="1" shrinkToFit="1"/>
    </xf>
    <xf numFmtId="0" fontId="9" fillId="0" borderId="12" xfId="0" applyFont="1" applyFill="1" applyBorder="1" applyAlignment="1">
      <alignment vertical="center" wrapText="1" shrinkToFit="1"/>
    </xf>
    <xf numFmtId="0" fontId="25" fillId="0" borderId="3" xfId="0" applyFont="1" applyBorder="1" applyAlignment="1">
      <alignment vertical="center" shrinkToFit="1"/>
    </xf>
    <xf numFmtId="0" fontId="25" fillId="0" borderId="4" xfId="0" applyFont="1" applyBorder="1" applyAlignment="1">
      <alignment vertical="center" shrinkToFit="1"/>
    </xf>
    <xf numFmtId="0" fontId="22" fillId="0" borderId="39" xfId="0" applyFont="1" applyFill="1" applyBorder="1" applyAlignment="1">
      <alignment horizontal="left" vertical="center" wrapText="1" shrinkToFit="1"/>
    </xf>
    <xf numFmtId="0" fontId="22" fillId="0" borderId="39" xfId="0" applyFont="1" applyFill="1" applyBorder="1" applyAlignment="1">
      <alignment horizontal="left" vertical="center" shrinkToFit="1"/>
    </xf>
    <xf numFmtId="0" fontId="22" fillId="0" borderId="38" xfId="0" applyFont="1" applyFill="1" applyBorder="1" applyAlignment="1">
      <alignment horizontal="left" vertical="center" shrinkToFit="1"/>
    </xf>
    <xf numFmtId="0" fontId="11" fillId="0" borderId="7" xfId="0" applyFont="1" applyFill="1" applyBorder="1" applyAlignment="1">
      <alignment horizontal="left" vertical="top" wrapText="1" shrinkToFit="1"/>
    </xf>
    <xf numFmtId="0" fontId="11" fillId="0" borderId="8" xfId="0" applyFont="1" applyFill="1" applyBorder="1" applyAlignment="1">
      <alignment horizontal="left" vertical="top" shrinkToFit="1"/>
    </xf>
    <xf numFmtId="0" fontId="11" fillId="0" borderId="9" xfId="0" applyFont="1" applyFill="1" applyBorder="1" applyAlignment="1">
      <alignment horizontal="left" vertical="top" shrinkToFit="1"/>
    </xf>
    <xf numFmtId="0" fontId="11" fillId="0" borderId="5" xfId="0" applyFont="1" applyFill="1" applyBorder="1" applyAlignment="1">
      <alignment horizontal="left" vertical="top" shrinkToFit="1"/>
    </xf>
    <xf numFmtId="0" fontId="11" fillId="0" borderId="0" xfId="0" applyFont="1" applyFill="1" applyBorder="1" applyAlignment="1">
      <alignment horizontal="left" vertical="top" shrinkToFit="1"/>
    </xf>
    <xf numFmtId="0" fontId="11" fillId="0" borderId="10" xfId="0" applyFont="1" applyFill="1" applyBorder="1" applyAlignment="1">
      <alignment horizontal="left" vertical="top" shrinkToFit="1"/>
    </xf>
    <xf numFmtId="0" fontId="11" fillId="0" borderId="0" xfId="0" applyFont="1" applyFill="1" applyAlignment="1">
      <alignment horizontal="left" vertical="top" shrinkToFit="1"/>
    </xf>
    <xf numFmtId="0" fontId="11" fillId="0" borderId="11" xfId="0" applyFont="1" applyFill="1" applyBorder="1" applyAlignment="1">
      <alignment horizontal="left" vertical="top" shrinkToFit="1"/>
    </xf>
    <xf numFmtId="0" fontId="11" fillId="0" borderId="6" xfId="0" applyFont="1" applyFill="1" applyBorder="1" applyAlignment="1">
      <alignment horizontal="left" vertical="top" shrinkToFit="1"/>
    </xf>
    <xf numFmtId="0" fontId="11" fillId="0" borderId="12" xfId="0" applyFont="1" applyFill="1" applyBorder="1" applyAlignment="1">
      <alignment horizontal="left" vertical="top" shrinkToFit="1"/>
    </xf>
    <xf numFmtId="0" fontId="25" fillId="0" borderId="8" xfId="0" applyFont="1" applyFill="1" applyBorder="1" applyAlignment="1">
      <alignment horizontal="left" vertical="center" wrapText="1" shrinkToFit="1"/>
    </xf>
    <xf numFmtId="0" fontId="25" fillId="0" borderId="8" xfId="0" applyFont="1" applyFill="1" applyBorder="1" applyAlignment="1">
      <alignment horizontal="left" vertical="center" shrinkToFit="1"/>
    </xf>
    <xf numFmtId="0" fontId="25" fillId="0" borderId="9" xfId="0" applyFont="1" applyFill="1" applyBorder="1" applyAlignment="1">
      <alignment horizontal="left" vertical="center" shrinkToFit="1"/>
    </xf>
    <xf numFmtId="0" fontId="22" fillId="0" borderId="8" xfId="0" applyFont="1" applyFill="1" applyBorder="1" applyAlignment="1">
      <alignment horizontal="left" vertical="center" wrapText="1" shrinkToFit="1"/>
    </xf>
    <xf numFmtId="0" fontId="22" fillId="0" borderId="8" xfId="0" applyFont="1" applyFill="1" applyBorder="1" applyAlignment="1">
      <alignment horizontal="left" vertical="center" shrinkToFit="1"/>
    </xf>
    <xf numFmtId="0" fontId="22" fillId="0" borderId="9" xfId="0" applyFont="1" applyFill="1" applyBorder="1" applyAlignment="1">
      <alignment horizontal="left" vertical="center"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9" fillId="0" borderId="7" xfId="0" applyFont="1" applyFill="1" applyBorder="1" applyAlignment="1">
      <alignment vertical="top" wrapText="1" shrinkToFit="1"/>
    </xf>
    <xf numFmtId="0" fontId="8" fillId="0" borderId="8" xfId="0" applyFont="1" applyFill="1" applyBorder="1" applyAlignment="1">
      <alignment vertical="top" wrapText="1" shrinkToFit="1"/>
    </xf>
    <xf numFmtId="0" fontId="8" fillId="0" borderId="9" xfId="0" applyFont="1" applyFill="1" applyBorder="1" applyAlignment="1">
      <alignment vertical="top" wrapText="1" shrinkToFit="1"/>
    </xf>
    <xf numFmtId="0" fontId="8" fillId="0" borderId="5" xfId="0" applyFont="1" applyFill="1" applyBorder="1" applyAlignment="1">
      <alignment vertical="top" wrapText="1" shrinkToFit="1"/>
    </xf>
    <xf numFmtId="0" fontId="8" fillId="0" borderId="0" xfId="0" applyFont="1" applyFill="1" applyAlignment="1">
      <alignment vertical="top" wrapText="1" shrinkToFit="1"/>
    </xf>
    <xf numFmtId="0" fontId="8" fillId="0" borderId="10" xfId="0" applyFont="1" applyFill="1" applyBorder="1" applyAlignment="1">
      <alignment vertical="top" wrapText="1" shrinkToFit="1"/>
    </xf>
    <xf numFmtId="0" fontId="8" fillId="0" borderId="11" xfId="0" applyFont="1" applyFill="1" applyBorder="1" applyAlignment="1">
      <alignment vertical="top" wrapText="1" shrinkToFit="1"/>
    </xf>
    <xf numFmtId="0" fontId="8" fillId="0" borderId="6" xfId="0" applyFont="1" applyFill="1" applyBorder="1" applyAlignment="1">
      <alignment vertical="top" wrapText="1" shrinkToFit="1"/>
    </xf>
    <xf numFmtId="0" fontId="8" fillId="0" borderId="12" xfId="0" applyFont="1" applyFill="1" applyBorder="1" applyAlignment="1">
      <alignment vertical="top" wrapText="1" shrinkToFit="1"/>
    </xf>
    <xf numFmtId="0" fontId="8" fillId="0" borderId="8" xfId="0" applyFont="1" applyFill="1" applyBorder="1" applyAlignment="1">
      <alignment vertical="top" shrinkToFit="1"/>
    </xf>
    <xf numFmtId="0" fontId="8" fillId="0" borderId="9"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2" fillId="0" borderId="6" xfId="0" applyFont="1" applyBorder="1">
      <alignment vertical="center"/>
    </xf>
    <xf numFmtId="0" fontId="8" fillId="0" borderId="16" xfId="0" applyFont="1" applyFill="1" applyBorder="1" applyAlignment="1">
      <alignment vertical="top" wrapText="1" shrinkToFit="1"/>
    </xf>
    <xf numFmtId="0" fontId="8" fillId="0" borderId="22" xfId="0" applyFont="1" applyFill="1" applyBorder="1" applyAlignment="1">
      <alignment vertical="top" shrinkToFit="1"/>
    </xf>
    <xf numFmtId="0" fontId="8" fillId="0" borderId="21" xfId="0" applyFont="1" applyFill="1" applyBorder="1" applyAlignment="1">
      <alignment vertical="top"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Fill="1" applyBorder="1" applyAlignment="1">
      <alignment horizontal="center" vertical="center" shrinkToFit="1"/>
    </xf>
    <xf numFmtId="0" fontId="12" fillId="0" borderId="3" xfId="2" applyFont="1" applyFill="1" applyBorder="1" applyAlignment="1">
      <alignment horizontal="center" vertical="center" shrinkToFit="1"/>
    </xf>
    <xf numFmtId="0" fontId="12" fillId="0" borderId="4" xfId="2" applyFont="1" applyFill="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Fill="1" applyBorder="1" applyAlignment="1">
      <alignment vertical="top" wrapText="1" shrinkToFit="1"/>
    </xf>
    <xf numFmtId="0" fontId="8" fillId="0" borderId="18" xfId="0" applyFont="1" applyFill="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8" fillId="0" borderId="19" xfId="0" applyFont="1" applyFill="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Fill="1" applyBorder="1" applyAlignment="1">
      <alignment vertical="top" wrapText="1" shrinkToFit="1"/>
    </xf>
    <xf numFmtId="0" fontId="3" fillId="0" borderId="8" xfId="0" applyFont="1" applyFill="1" applyBorder="1" applyAlignment="1">
      <alignment vertical="top" shrinkToFit="1"/>
    </xf>
    <xf numFmtId="0" fontId="3" fillId="0" borderId="9"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Alignment="1">
      <alignment vertical="top" shrinkToFit="1"/>
    </xf>
    <xf numFmtId="0" fontId="3" fillId="0" borderId="10" xfId="0" applyFont="1" applyFill="1" applyBorder="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xf numFmtId="0" fontId="3" fillId="0" borderId="7" xfId="0" applyFont="1" applyFill="1" applyBorder="1" applyAlignment="1">
      <alignment vertical="top" wrapText="1"/>
    </xf>
    <xf numFmtId="0" fontId="3" fillId="0" borderId="8" xfId="0" applyFont="1" applyFill="1" applyBorder="1" applyAlignment="1">
      <alignment vertical="top" wrapText="1"/>
    </xf>
    <xf numFmtId="0" fontId="3" fillId="0" borderId="9" xfId="0" applyFont="1" applyFill="1" applyBorder="1" applyAlignment="1">
      <alignment vertical="top" wrapText="1"/>
    </xf>
    <xf numFmtId="0" fontId="3" fillId="0" borderId="5" xfId="0" applyFont="1" applyFill="1" applyBorder="1" applyAlignment="1">
      <alignment vertical="top" wrapText="1"/>
    </xf>
    <xf numFmtId="0" fontId="3" fillId="0" borderId="0" xfId="0" applyFont="1" applyFill="1" applyAlignment="1">
      <alignment vertical="top" wrapText="1"/>
    </xf>
    <xf numFmtId="0" fontId="3" fillId="0" borderId="10" xfId="0" applyFont="1" applyFill="1" applyBorder="1" applyAlignment="1">
      <alignment vertical="top" wrapText="1"/>
    </xf>
    <xf numFmtId="0" fontId="3" fillId="0" borderId="11" xfId="0" applyFont="1" applyFill="1" applyBorder="1" applyAlignment="1">
      <alignment vertical="top" wrapText="1"/>
    </xf>
    <xf numFmtId="0" fontId="3" fillId="0" borderId="6" xfId="0" applyFont="1" applyFill="1" applyBorder="1" applyAlignment="1">
      <alignment vertical="top" wrapText="1"/>
    </xf>
    <xf numFmtId="0" fontId="3" fillId="0" borderId="12" xfId="0" applyFont="1" applyFill="1" applyBorder="1" applyAlignment="1">
      <alignment vertical="top" wrapText="1"/>
    </xf>
    <xf numFmtId="0" fontId="7" fillId="0" borderId="2" xfId="2" applyBorder="1" applyAlignment="1">
      <alignment vertical="center"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anabe.yoshiyuki@twm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wmu.ac.jp/doc/medical/R3_igaku_syllabus.pdf"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wmu.ac.jp/doc/nursing/R3_kango_syllabus.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twmu.ac.jp/doc/medical/aigaiyou2022.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25" zoomScaleNormal="100" zoomScaleSheetLayoutView="100" workbookViewId="0">
      <selection activeCell="C44" sqref="C44:H44"/>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52" t="s">
        <v>25</v>
      </c>
      <c r="N1" s="152"/>
    </row>
    <row r="2" spans="1:15" ht="24" customHeight="1" x14ac:dyDescent="0.15">
      <c r="A2" s="159" t="s">
        <v>83</v>
      </c>
      <c r="B2" s="159"/>
      <c r="C2" s="159"/>
      <c r="D2" s="159"/>
      <c r="E2" s="159"/>
      <c r="F2" s="159"/>
      <c r="G2" s="159"/>
      <c r="H2" s="159"/>
      <c r="I2" s="159"/>
      <c r="J2" s="159"/>
      <c r="K2" s="159"/>
      <c r="L2" s="159"/>
      <c r="M2" s="159"/>
      <c r="N2" s="159"/>
    </row>
    <row r="3" spans="1:15" ht="24" customHeight="1" x14ac:dyDescent="0.15"/>
    <row r="4" spans="1:15" ht="24" customHeight="1" x14ac:dyDescent="0.15">
      <c r="A4" s="14" t="s">
        <v>6</v>
      </c>
      <c r="B4" s="15" t="s">
        <v>16</v>
      </c>
      <c r="C4" s="155" t="s">
        <v>159</v>
      </c>
      <c r="D4" s="156"/>
      <c r="E4" s="156"/>
      <c r="F4" s="156"/>
      <c r="G4" s="156"/>
      <c r="H4" s="156"/>
      <c r="I4" s="156"/>
      <c r="J4" s="156"/>
      <c r="K4" s="156"/>
      <c r="L4" s="156"/>
      <c r="M4" s="156"/>
      <c r="N4" s="15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55" t="s">
        <v>174</v>
      </c>
      <c r="E6" s="156"/>
      <c r="F6" s="156"/>
      <c r="G6" s="156"/>
      <c r="H6" s="157"/>
      <c r="I6" s="17" t="s">
        <v>86</v>
      </c>
      <c r="J6" s="37" t="s">
        <v>87</v>
      </c>
      <c r="K6" s="155" t="s">
        <v>160</v>
      </c>
      <c r="L6" s="156"/>
      <c r="M6" s="156"/>
      <c r="N6" s="15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55" t="s">
        <v>161</v>
      </c>
      <c r="D8" s="156"/>
      <c r="E8" s="156"/>
      <c r="F8" s="156"/>
      <c r="G8" s="156"/>
      <c r="H8" s="156"/>
      <c r="I8" s="156"/>
      <c r="J8" s="156"/>
      <c r="K8" s="156"/>
      <c r="L8" s="156"/>
      <c r="M8" s="156"/>
      <c r="N8" s="15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55" t="s">
        <v>162</v>
      </c>
      <c r="F10" s="156"/>
      <c r="G10" s="156"/>
      <c r="H10" s="156"/>
      <c r="I10" s="156"/>
      <c r="J10" s="156"/>
      <c r="K10" s="156"/>
      <c r="L10" s="156"/>
      <c r="M10" s="156"/>
      <c r="N10" s="15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60">
        <v>2021</v>
      </c>
      <c r="F12" s="161"/>
      <c r="G12" s="17" t="s">
        <v>96</v>
      </c>
      <c r="H12" s="14" t="s">
        <v>97</v>
      </c>
      <c r="N12" s="109" t="s">
        <v>163</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53" t="s">
        <v>5</v>
      </c>
      <c r="D14" s="154"/>
      <c r="E14" s="148">
        <v>1348</v>
      </c>
      <c r="F14" s="149"/>
      <c r="G14" s="18" t="s">
        <v>7</v>
      </c>
      <c r="I14" s="153" t="s">
        <v>8</v>
      </c>
      <c r="J14" s="154"/>
      <c r="K14" s="148">
        <v>615</v>
      </c>
      <c r="L14" s="158"/>
      <c r="M14" s="149"/>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36">
        <v>18</v>
      </c>
      <c r="L16" s="137"/>
      <c r="M16" s="138"/>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48">
        <v>200</v>
      </c>
      <c r="F18" s="149"/>
      <c r="G18" s="21" t="s">
        <v>21</v>
      </c>
      <c r="H18" s="20"/>
      <c r="K18" s="150"/>
      <c r="L18" s="150"/>
      <c r="M18" s="150"/>
      <c r="N18" s="150"/>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39">
        <v>1020</v>
      </c>
      <c r="K20" s="140"/>
      <c r="L20" s="141"/>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48">
        <v>200</v>
      </c>
      <c r="D22" s="149"/>
      <c r="E22" s="10" t="s">
        <v>22</v>
      </c>
      <c r="F22" s="20"/>
      <c r="G22" s="142" t="s">
        <v>18</v>
      </c>
      <c r="H22" s="142"/>
      <c r="I22" s="148">
        <v>200</v>
      </c>
      <c r="J22" s="149"/>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48">
        <v>200</v>
      </c>
      <c r="D24" s="149"/>
      <c r="E24" s="10" t="s">
        <v>22</v>
      </c>
      <c r="F24" s="20"/>
      <c r="G24" s="142" t="s">
        <v>20</v>
      </c>
      <c r="H24" s="142"/>
      <c r="I24" s="148">
        <v>200</v>
      </c>
      <c r="J24" s="149"/>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48">
        <v>110</v>
      </c>
      <c r="D26" s="149"/>
      <c r="E26" s="10" t="s">
        <v>7</v>
      </c>
      <c r="F26" s="20"/>
      <c r="G26" s="142" t="s">
        <v>47</v>
      </c>
      <c r="H26" s="142"/>
      <c r="I26" s="148">
        <v>110</v>
      </c>
      <c r="J26" s="149"/>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43" t="s">
        <v>74</v>
      </c>
      <c r="C29" s="143"/>
      <c r="D29" s="144" t="s">
        <v>175</v>
      </c>
      <c r="E29" s="145"/>
      <c r="F29" s="145"/>
      <c r="G29" s="146" t="s">
        <v>23</v>
      </c>
      <c r="H29" s="143"/>
      <c r="I29" s="147"/>
      <c r="J29" s="144" t="s">
        <v>176</v>
      </c>
      <c r="K29" s="145"/>
      <c r="L29" s="145"/>
      <c r="M29" s="145"/>
      <c r="N29" s="151"/>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44" t="s">
        <v>166</v>
      </c>
      <c r="C32" s="145"/>
      <c r="D32" s="145"/>
      <c r="E32" s="145"/>
      <c r="F32" s="145"/>
      <c r="G32" s="145"/>
      <c r="H32" s="145"/>
      <c r="I32" s="145"/>
      <c r="J32" s="145"/>
      <c r="K32" s="145"/>
      <c r="L32" s="145"/>
      <c r="M32" s="145"/>
      <c r="N32" s="151"/>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3" t="s">
        <v>74</v>
      </c>
      <c r="C34" s="143"/>
      <c r="D34" s="144" t="s">
        <v>164</v>
      </c>
      <c r="E34" s="145"/>
      <c r="F34" s="145"/>
      <c r="G34" s="146" t="s">
        <v>55</v>
      </c>
      <c r="H34" s="143"/>
      <c r="I34" s="147"/>
      <c r="J34" s="144" t="s">
        <v>165</v>
      </c>
      <c r="K34" s="145"/>
      <c r="L34" s="145"/>
      <c r="M34" s="145"/>
      <c r="N34" s="151"/>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44" t="s">
        <v>167</v>
      </c>
      <c r="C37" s="145"/>
      <c r="D37" s="145"/>
      <c r="E37" s="145"/>
      <c r="F37" s="145"/>
      <c r="G37" s="145"/>
      <c r="H37" s="145"/>
      <c r="I37" s="145"/>
      <c r="J37" s="145"/>
      <c r="K37" s="145"/>
      <c r="L37" s="145"/>
      <c r="M37" s="145"/>
      <c r="N37" s="151"/>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43" t="s">
        <v>74</v>
      </c>
      <c r="C39" s="143"/>
      <c r="D39" s="144" t="s">
        <v>168</v>
      </c>
      <c r="E39" s="145"/>
      <c r="F39" s="145"/>
      <c r="G39" s="146" t="s">
        <v>55</v>
      </c>
      <c r="H39" s="143"/>
      <c r="I39" s="147"/>
      <c r="J39" s="144" t="s">
        <v>169</v>
      </c>
      <c r="K39" s="145"/>
      <c r="L39" s="145"/>
      <c r="M39" s="145"/>
      <c r="N39" s="151"/>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55" t="s">
        <v>170</v>
      </c>
      <c r="G41" s="156"/>
      <c r="H41" s="156"/>
      <c r="I41" s="156"/>
      <c r="J41" s="156"/>
      <c r="K41" s="156"/>
      <c r="L41" s="156"/>
      <c r="M41" s="156"/>
      <c r="N41" s="15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68" t="s">
        <v>171</v>
      </c>
      <c r="D44" s="169"/>
      <c r="E44" s="169"/>
      <c r="F44" s="169"/>
      <c r="G44" s="169"/>
      <c r="H44" s="169"/>
      <c r="I44" s="26" t="s">
        <v>2</v>
      </c>
      <c r="J44" s="27"/>
      <c r="K44" s="144" t="s">
        <v>172</v>
      </c>
      <c r="L44" s="145"/>
      <c r="M44" s="145"/>
      <c r="N44" s="151"/>
      <c r="O44" s="31" t="str">
        <f>IF(OR(C44="",K44=""),"入力してください","")</f>
        <v/>
      </c>
    </row>
    <row r="45" spans="1:15" ht="24" customHeight="1" x14ac:dyDescent="0.15">
      <c r="B45" s="25" t="s">
        <v>4</v>
      </c>
      <c r="C45" s="162" t="s">
        <v>173</v>
      </c>
      <c r="D45" s="163"/>
      <c r="E45" s="163"/>
      <c r="F45" s="163"/>
      <c r="G45" s="163"/>
      <c r="H45" s="164"/>
      <c r="I45" s="26" t="s">
        <v>3</v>
      </c>
      <c r="J45" s="27"/>
      <c r="K45" s="165" t="s">
        <v>212</v>
      </c>
      <c r="L45" s="166"/>
      <c r="M45" s="166"/>
      <c r="N45" s="167"/>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5" zoomScaleNormal="100" zoomScaleSheetLayoutView="100" workbookViewId="0">
      <selection activeCell="B102" sqref="B10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91" t="s">
        <v>158</v>
      </c>
      <c r="X1" s="191"/>
      <c r="Y1" s="191"/>
      <c r="Z1" s="191"/>
    </row>
    <row r="2" spans="1:26" ht="18" customHeight="1" x14ac:dyDescent="0.15">
      <c r="A2" s="192" t="s">
        <v>67</v>
      </c>
      <c r="B2" s="192"/>
      <c r="C2" s="192"/>
      <c r="D2" s="192"/>
      <c r="E2" s="192"/>
      <c r="F2" s="192"/>
      <c r="G2" s="192"/>
      <c r="H2" s="192"/>
      <c r="I2" s="192"/>
      <c r="J2" s="192"/>
      <c r="K2" s="192"/>
      <c r="L2" s="192"/>
      <c r="M2" s="192"/>
      <c r="N2" s="192"/>
      <c r="O2" s="192"/>
      <c r="P2" s="192"/>
      <c r="Q2" s="192"/>
      <c r="R2" s="192"/>
      <c r="S2" s="192"/>
      <c r="T2" s="192"/>
      <c r="U2" s="192"/>
      <c r="V2" s="192"/>
      <c r="W2" s="192"/>
      <c r="X2" s="192"/>
      <c r="Y2" s="192"/>
      <c r="Z2" s="19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36" t="s">
        <v>147</v>
      </c>
      <c r="P4" s="137"/>
      <c r="Q4" s="137"/>
      <c r="R4" s="137"/>
      <c r="S4" s="137"/>
      <c r="T4" s="137"/>
      <c r="U4" s="137"/>
      <c r="V4" s="137"/>
      <c r="W4" s="137"/>
      <c r="X4" s="137"/>
      <c r="Y4" s="137"/>
      <c r="Z4" s="138"/>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193" t="s">
        <v>177</v>
      </c>
      <c r="C6" s="194"/>
      <c r="D6" s="194"/>
      <c r="E6" s="194"/>
      <c r="F6" s="194"/>
      <c r="G6" s="194"/>
      <c r="H6" s="194"/>
      <c r="I6" s="194"/>
      <c r="J6" s="194"/>
      <c r="K6" s="194"/>
      <c r="L6" s="194"/>
      <c r="M6" s="194"/>
      <c r="N6" s="194"/>
      <c r="O6" s="194"/>
      <c r="P6" s="194"/>
      <c r="Q6" s="194"/>
      <c r="R6" s="194"/>
      <c r="S6" s="194"/>
      <c r="T6" s="194"/>
      <c r="U6" s="194"/>
      <c r="V6" s="194"/>
      <c r="W6" s="194"/>
      <c r="X6" s="194"/>
      <c r="Y6" s="194"/>
      <c r="Z6" s="195"/>
    </row>
    <row r="7" spans="1:26" ht="18" customHeight="1" x14ac:dyDescent="0.15">
      <c r="B7" s="196"/>
      <c r="C7" s="197"/>
      <c r="D7" s="197"/>
      <c r="E7" s="197"/>
      <c r="F7" s="197"/>
      <c r="G7" s="197"/>
      <c r="H7" s="197"/>
      <c r="I7" s="197"/>
      <c r="J7" s="197"/>
      <c r="K7" s="197"/>
      <c r="L7" s="197"/>
      <c r="M7" s="197"/>
      <c r="N7" s="197"/>
      <c r="O7" s="197"/>
      <c r="P7" s="197"/>
      <c r="Q7" s="197"/>
      <c r="R7" s="197"/>
      <c r="S7" s="197"/>
      <c r="T7" s="197"/>
      <c r="U7" s="197"/>
      <c r="V7" s="197"/>
      <c r="W7" s="197"/>
      <c r="X7" s="197"/>
      <c r="Y7" s="197"/>
      <c r="Z7" s="198"/>
    </row>
    <row r="8" spans="1:26" ht="18" customHeight="1" x14ac:dyDescent="0.15">
      <c r="B8" s="196"/>
      <c r="C8" s="197"/>
      <c r="D8" s="197"/>
      <c r="E8" s="197"/>
      <c r="F8" s="197"/>
      <c r="G8" s="197"/>
      <c r="H8" s="197"/>
      <c r="I8" s="197"/>
      <c r="J8" s="197"/>
      <c r="K8" s="197"/>
      <c r="L8" s="197"/>
      <c r="M8" s="197"/>
      <c r="N8" s="197"/>
      <c r="O8" s="197"/>
      <c r="P8" s="197"/>
      <c r="Q8" s="197"/>
      <c r="R8" s="197"/>
      <c r="S8" s="197"/>
      <c r="T8" s="197"/>
      <c r="U8" s="197"/>
      <c r="V8" s="197"/>
      <c r="W8" s="197"/>
      <c r="X8" s="197"/>
      <c r="Y8" s="197"/>
      <c r="Z8" s="198"/>
    </row>
    <row r="9" spans="1:26" ht="18" customHeight="1" x14ac:dyDescent="0.15">
      <c r="B9" s="196"/>
      <c r="C9" s="197"/>
      <c r="D9" s="197"/>
      <c r="E9" s="197"/>
      <c r="F9" s="197"/>
      <c r="G9" s="197"/>
      <c r="H9" s="197"/>
      <c r="I9" s="197"/>
      <c r="J9" s="197"/>
      <c r="K9" s="197"/>
      <c r="L9" s="197"/>
      <c r="M9" s="197"/>
      <c r="N9" s="197"/>
      <c r="O9" s="197"/>
      <c r="P9" s="197"/>
      <c r="Q9" s="197"/>
      <c r="R9" s="197"/>
      <c r="S9" s="197"/>
      <c r="T9" s="197"/>
      <c r="U9" s="197"/>
      <c r="V9" s="197"/>
      <c r="W9" s="197"/>
      <c r="X9" s="197"/>
      <c r="Y9" s="197"/>
      <c r="Z9" s="198"/>
    </row>
    <row r="10" spans="1:26" ht="18" customHeight="1" x14ac:dyDescent="0.15">
      <c r="B10" s="196"/>
      <c r="C10" s="199"/>
      <c r="D10" s="199"/>
      <c r="E10" s="199"/>
      <c r="F10" s="199"/>
      <c r="G10" s="199"/>
      <c r="H10" s="199"/>
      <c r="I10" s="199"/>
      <c r="J10" s="199"/>
      <c r="K10" s="199"/>
      <c r="L10" s="199"/>
      <c r="M10" s="199"/>
      <c r="N10" s="199"/>
      <c r="O10" s="199"/>
      <c r="P10" s="199"/>
      <c r="Q10" s="199"/>
      <c r="R10" s="199"/>
      <c r="S10" s="199"/>
      <c r="T10" s="199"/>
      <c r="U10" s="199"/>
      <c r="V10" s="199"/>
      <c r="W10" s="199"/>
      <c r="X10" s="199"/>
      <c r="Y10" s="199"/>
      <c r="Z10" s="198"/>
    </row>
    <row r="11" spans="1:26" ht="18" customHeight="1" x14ac:dyDescent="0.15">
      <c r="B11" s="200"/>
      <c r="C11" s="201"/>
      <c r="D11" s="201"/>
      <c r="E11" s="201"/>
      <c r="F11" s="201"/>
      <c r="G11" s="201"/>
      <c r="H11" s="201"/>
      <c r="I11" s="201"/>
      <c r="J11" s="201"/>
      <c r="K11" s="201"/>
      <c r="L11" s="201"/>
      <c r="M11" s="201"/>
      <c r="N11" s="201"/>
      <c r="O11" s="201"/>
      <c r="P11" s="201"/>
      <c r="Q11" s="201"/>
      <c r="R11" s="201"/>
      <c r="S11" s="201"/>
      <c r="T11" s="201"/>
      <c r="U11" s="201"/>
      <c r="V11" s="201"/>
      <c r="W11" s="201"/>
      <c r="X11" s="201"/>
      <c r="Y11" s="201"/>
      <c r="Z11" s="20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03" t="s">
        <v>124</v>
      </c>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row>
    <row r="14" spans="1:26" ht="18" customHeight="1" x14ac:dyDescent="0.15">
      <c r="A14" s="203"/>
      <c r="B14" s="203"/>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row>
    <row r="15" spans="1:26" ht="18" customHeight="1" x14ac:dyDescent="0.15">
      <c r="A15" s="14"/>
      <c r="B15" s="204" t="s">
        <v>100</v>
      </c>
      <c r="C15" s="205"/>
      <c r="D15" s="205"/>
      <c r="E15" s="205"/>
      <c r="F15" s="206"/>
      <c r="G15" s="30" t="s">
        <v>140</v>
      </c>
      <c r="H15" s="104" t="s">
        <v>139</v>
      </c>
      <c r="I15" s="205" t="s">
        <v>101</v>
      </c>
      <c r="J15" s="205"/>
      <c r="K15" s="205"/>
      <c r="L15" s="75" t="s">
        <v>104</v>
      </c>
      <c r="M15" s="75" t="s">
        <v>107</v>
      </c>
      <c r="N15" s="204" t="s">
        <v>100</v>
      </c>
      <c r="O15" s="205"/>
      <c r="P15" s="205"/>
      <c r="Q15" s="205"/>
      <c r="R15" s="205"/>
      <c r="S15" s="206"/>
      <c r="T15" s="30" t="s">
        <v>140</v>
      </c>
      <c r="U15" s="104" t="s">
        <v>139</v>
      </c>
      <c r="V15" s="205" t="s">
        <v>101</v>
      </c>
      <c r="W15" s="205"/>
      <c r="X15" s="205"/>
      <c r="Y15" s="75" t="s">
        <v>104</v>
      </c>
      <c r="Z15" s="75" t="s">
        <v>107</v>
      </c>
    </row>
    <row r="16" spans="1:26" ht="18" customHeight="1" x14ac:dyDescent="0.15">
      <c r="A16" s="14"/>
      <c r="B16" s="170" t="s">
        <v>234</v>
      </c>
      <c r="C16" s="171"/>
      <c r="D16" s="171"/>
      <c r="E16" s="171"/>
      <c r="F16" s="172"/>
      <c r="G16" s="120">
        <v>1</v>
      </c>
      <c r="H16" s="120" t="s">
        <v>148</v>
      </c>
      <c r="I16" s="173" t="s">
        <v>149</v>
      </c>
      <c r="J16" s="174"/>
      <c r="K16" s="175"/>
      <c r="L16" s="120" t="s">
        <v>148</v>
      </c>
      <c r="M16" s="120" t="s">
        <v>148</v>
      </c>
      <c r="N16" s="176"/>
      <c r="O16" s="177"/>
      <c r="P16" s="177"/>
      <c r="Q16" s="177"/>
      <c r="R16" s="177"/>
      <c r="S16" s="178"/>
      <c r="T16" s="105"/>
      <c r="U16" s="105"/>
      <c r="V16" s="179"/>
      <c r="W16" s="180"/>
      <c r="X16" s="181"/>
      <c r="Y16" s="105"/>
      <c r="Z16" s="105"/>
    </row>
    <row r="17" spans="1:26" ht="18" customHeight="1" x14ac:dyDescent="0.15">
      <c r="A17" s="14"/>
      <c r="B17" s="182"/>
      <c r="C17" s="183"/>
      <c r="D17" s="183"/>
      <c r="E17" s="183"/>
      <c r="F17" s="184"/>
      <c r="G17" s="120"/>
      <c r="H17" s="120"/>
      <c r="I17" s="173"/>
      <c r="J17" s="174"/>
      <c r="K17" s="175"/>
      <c r="L17" s="120"/>
      <c r="M17" s="120"/>
      <c r="N17" s="185"/>
      <c r="O17" s="186"/>
      <c r="P17" s="186"/>
      <c r="Q17" s="186"/>
      <c r="R17" s="186"/>
      <c r="S17" s="187"/>
      <c r="T17" s="106"/>
      <c r="U17" s="106"/>
      <c r="V17" s="188"/>
      <c r="W17" s="189"/>
      <c r="X17" s="190"/>
      <c r="Y17" s="106"/>
      <c r="Z17" s="106"/>
    </row>
    <row r="18" spans="1:26" ht="18" customHeight="1" x14ac:dyDescent="0.15">
      <c r="A18" s="14"/>
      <c r="B18" s="207"/>
      <c r="C18" s="208"/>
      <c r="D18" s="208"/>
      <c r="E18" s="208"/>
      <c r="F18" s="209"/>
      <c r="G18" s="106"/>
      <c r="H18" s="106"/>
      <c r="I18" s="188"/>
      <c r="J18" s="189"/>
      <c r="K18" s="190"/>
      <c r="L18" s="106"/>
      <c r="M18" s="106"/>
      <c r="N18" s="185"/>
      <c r="O18" s="186"/>
      <c r="P18" s="186"/>
      <c r="Q18" s="186"/>
      <c r="R18" s="186"/>
      <c r="S18" s="187"/>
      <c r="T18" s="106"/>
      <c r="U18" s="106"/>
      <c r="V18" s="188"/>
      <c r="W18" s="189"/>
      <c r="X18" s="190"/>
      <c r="Y18" s="106"/>
      <c r="Z18" s="106"/>
    </row>
    <row r="19" spans="1:26" ht="18" customHeight="1" x14ac:dyDescent="0.15">
      <c r="A19" s="14"/>
      <c r="B19" s="207"/>
      <c r="C19" s="208"/>
      <c r="D19" s="208"/>
      <c r="E19" s="208"/>
      <c r="F19" s="209"/>
      <c r="G19" s="106"/>
      <c r="H19" s="106"/>
      <c r="I19" s="188"/>
      <c r="J19" s="189"/>
      <c r="K19" s="190"/>
      <c r="L19" s="106"/>
      <c r="M19" s="106"/>
      <c r="N19" s="185"/>
      <c r="O19" s="186"/>
      <c r="P19" s="186"/>
      <c r="Q19" s="186"/>
      <c r="R19" s="186"/>
      <c r="S19" s="187"/>
      <c r="T19" s="106"/>
      <c r="U19" s="106"/>
      <c r="V19" s="188"/>
      <c r="W19" s="189"/>
      <c r="X19" s="190"/>
      <c r="Y19" s="106"/>
      <c r="Z19" s="106"/>
    </row>
    <row r="20" spans="1:26" ht="18" customHeight="1" x14ac:dyDescent="0.15">
      <c r="A20" s="14"/>
      <c r="B20" s="207"/>
      <c r="C20" s="208"/>
      <c r="D20" s="208"/>
      <c r="E20" s="208"/>
      <c r="F20" s="209"/>
      <c r="G20" s="106"/>
      <c r="H20" s="106"/>
      <c r="I20" s="188"/>
      <c r="J20" s="189"/>
      <c r="K20" s="190"/>
      <c r="L20" s="106"/>
      <c r="M20" s="106"/>
      <c r="N20" s="185"/>
      <c r="O20" s="186"/>
      <c r="P20" s="186"/>
      <c r="Q20" s="186"/>
      <c r="R20" s="186"/>
      <c r="S20" s="187"/>
      <c r="T20" s="106"/>
      <c r="U20" s="106"/>
      <c r="V20" s="188"/>
      <c r="W20" s="189"/>
      <c r="X20" s="190"/>
      <c r="Y20" s="106"/>
      <c r="Z20" s="106"/>
    </row>
    <row r="21" spans="1:26" ht="18" customHeight="1" x14ac:dyDescent="0.15">
      <c r="A21" s="29"/>
      <c r="B21" s="207"/>
      <c r="C21" s="208"/>
      <c r="D21" s="208"/>
      <c r="E21" s="208"/>
      <c r="F21" s="209"/>
      <c r="G21" s="106"/>
      <c r="H21" s="106"/>
      <c r="I21" s="188"/>
      <c r="J21" s="189"/>
      <c r="K21" s="190"/>
      <c r="L21" s="106"/>
      <c r="M21" s="106"/>
      <c r="N21" s="185"/>
      <c r="O21" s="186"/>
      <c r="P21" s="186"/>
      <c r="Q21" s="186"/>
      <c r="R21" s="186"/>
      <c r="S21" s="187"/>
      <c r="T21" s="106"/>
      <c r="U21" s="106"/>
      <c r="V21" s="188"/>
      <c r="W21" s="189"/>
      <c r="X21" s="190"/>
      <c r="Y21" s="106"/>
      <c r="Z21" s="106"/>
    </row>
    <row r="22" spans="1:26" ht="18" customHeight="1" x14ac:dyDescent="0.15">
      <c r="A22" s="29"/>
      <c r="B22" s="210"/>
      <c r="C22" s="211"/>
      <c r="D22" s="211"/>
      <c r="E22" s="211"/>
      <c r="F22" s="212"/>
      <c r="G22" s="107"/>
      <c r="H22" s="107"/>
      <c r="I22" s="213"/>
      <c r="J22" s="214"/>
      <c r="K22" s="215"/>
      <c r="L22" s="113"/>
      <c r="M22" s="113"/>
      <c r="N22" s="216"/>
      <c r="O22" s="217"/>
      <c r="P22" s="217"/>
      <c r="Q22" s="217"/>
      <c r="R22" s="217"/>
      <c r="S22" s="218"/>
      <c r="T22" s="107"/>
      <c r="U22" s="107"/>
      <c r="V22" s="213"/>
      <c r="W22" s="214"/>
      <c r="X22" s="215"/>
      <c r="Y22" s="113"/>
      <c r="Z22" s="113"/>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03" t="s">
        <v>125</v>
      </c>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spans="1:26" ht="18" customHeight="1" x14ac:dyDescent="0.15">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row>
    <row r="26" spans="1:26" ht="18" customHeight="1" x14ac:dyDescent="0.15">
      <c r="A26" s="14"/>
      <c r="B26" s="204" t="s">
        <v>100</v>
      </c>
      <c r="C26" s="205"/>
      <c r="D26" s="205"/>
      <c r="E26" s="205"/>
      <c r="F26" s="206"/>
      <c r="G26" s="30" t="s">
        <v>140</v>
      </c>
      <c r="H26" s="104" t="s">
        <v>139</v>
      </c>
      <c r="I26" s="205" t="s">
        <v>101</v>
      </c>
      <c r="J26" s="205"/>
      <c r="K26" s="205"/>
      <c r="L26" s="75" t="s">
        <v>126</v>
      </c>
      <c r="M26" s="75" t="s">
        <v>127</v>
      </c>
      <c r="N26" s="204" t="s">
        <v>100</v>
      </c>
      <c r="O26" s="205"/>
      <c r="P26" s="205"/>
      <c r="Q26" s="205"/>
      <c r="R26" s="205"/>
      <c r="S26" s="206"/>
      <c r="T26" s="30" t="s">
        <v>140</v>
      </c>
      <c r="U26" s="104" t="s">
        <v>139</v>
      </c>
      <c r="V26" s="205" t="s">
        <v>101</v>
      </c>
      <c r="W26" s="205"/>
      <c r="X26" s="205"/>
      <c r="Y26" s="75" t="s">
        <v>126</v>
      </c>
      <c r="Z26" s="75" t="s">
        <v>127</v>
      </c>
    </row>
    <row r="27" spans="1:26" ht="18" customHeight="1" x14ac:dyDescent="0.15">
      <c r="A27" s="14"/>
      <c r="B27" s="170" t="s">
        <v>234</v>
      </c>
      <c r="C27" s="171"/>
      <c r="D27" s="171"/>
      <c r="E27" s="171"/>
      <c r="F27" s="172"/>
      <c r="G27" s="120">
        <v>1</v>
      </c>
      <c r="H27" s="120" t="s">
        <v>148</v>
      </c>
      <c r="I27" s="173" t="s">
        <v>149</v>
      </c>
      <c r="J27" s="174"/>
      <c r="K27" s="175"/>
      <c r="L27" s="120" t="s">
        <v>148</v>
      </c>
      <c r="M27" s="120" t="s">
        <v>148</v>
      </c>
      <c r="N27" s="176"/>
      <c r="O27" s="177"/>
      <c r="P27" s="177"/>
      <c r="Q27" s="177"/>
      <c r="R27" s="177"/>
      <c r="S27" s="178"/>
      <c r="T27" s="105"/>
      <c r="U27" s="105"/>
      <c r="V27" s="179"/>
      <c r="W27" s="180"/>
      <c r="X27" s="181"/>
      <c r="Y27" s="105"/>
      <c r="Z27" s="105"/>
    </row>
    <row r="28" spans="1:26" ht="18" customHeight="1" x14ac:dyDescent="0.15">
      <c r="A28" s="14"/>
      <c r="B28" s="182"/>
      <c r="C28" s="183"/>
      <c r="D28" s="183"/>
      <c r="E28" s="183"/>
      <c r="F28" s="184"/>
      <c r="G28" s="120"/>
      <c r="H28" s="120"/>
      <c r="I28" s="173"/>
      <c r="J28" s="174"/>
      <c r="K28" s="175"/>
      <c r="L28" s="120"/>
      <c r="M28" s="120"/>
      <c r="N28" s="185"/>
      <c r="O28" s="186"/>
      <c r="P28" s="186"/>
      <c r="Q28" s="186"/>
      <c r="R28" s="186"/>
      <c r="S28" s="187"/>
      <c r="T28" s="106"/>
      <c r="U28" s="106"/>
      <c r="V28" s="188"/>
      <c r="W28" s="189"/>
      <c r="X28" s="190"/>
      <c r="Y28" s="106"/>
      <c r="Z28" s="106"/>
    </row>
    <row r="29" spans="1:26" ht="18" customHeight="1" x14ac:dyDescent="0.15">
      <c r="A29" s="14"/>
      <c r="B29" s="207"/>
      <c r="C29" s="208"/>
      <c r="D29" s="208"/>
      <c r="E29" s="208"/>
      <c r="F29" s="209"/>
      <c r="G29" s="106"/>
      <c r="H29" s="106"/>
      <c r="I29" s="188"/>
      <c r="J29" s="189"/>
      <c r="K29" s="190"/>
      <c r="L29" s="106"/>
      <c r="M29" s="106"/>
      <c r="N29" s="185"/>
      <c r="O29" s="186"/>
      <c r="P29" s="186"/>
      <c r="Q29" s="186"/>
      <c r="R29" s="186"/>
      <c r="S29" s="187"/>
      <c r="T29" s="106"/>
      <c r="U29" s="106"/>
      <c r="V29" s="188"/>
      <c r="W29" s="189"/>
      <c r="X29" s="190"/>
      <c r="Y29" s="106"/>
      <c r="Z29" s="106"/>
    </row>
    <row r="30" spans="1:26" ht="18" customHeight="1" x14ac:dyDescent="0.15">
      <c r="A30" s="14"/>
      <c r="B30" s="207"/>
      <c r="C30" s="208"/>
      <c r="D30" s="208"/>
      <c r="E30" s="208"/>
      <c r="F30" s="209"/>
      <c r="G30" s="106"/>
      <c r="H30" s="106"/>
      <c r="I30" s="188"/>
      <c r="J30" s="189"/>
      <c r="K30" s="190"/>
      <c r="L30" s="106"/>
      <c r="M30" s="106"/>
      <c r="N30" s="185"/>
      <c r="O30" s="186"/>
      <c r="P30" s="186"/>
      <c r="Q30" s="186"/>
      <c r="R30" s="186"/>
      <c r="S30" s="187"/>
      <c r="T30" s="106"/>
      <c r="U30" s="106"/>
      <c r="V30" s="188"/>
      <c r="W30" s="189"/>
      <c r="X30" s="190"/>
      <c r="Y30" s="106"/>
      <c r="Z30" s="106"/>
    </row>
    <row r="31" spans="1:26" ht="18" customHeight="1" x14ac:dyDescent="0.15">
      <c r="A31" s="14"/>
      <c r="B31" s="207"/>
      <c r="C31" s="208"/>
      <c r="D31" s="208"/>
      <c r="E31" s="208"/>
      <c r="F31" s="209"/>
      <c r="G31" s="106"/>
      <c r="H31" s="106"/>
      <c r="I31" s="188"/>
      <c r="J31" s="189"/>
      <c r="K31" s="190"/>
      <c r="L31" s="106"/>
      <c r="M31" s="106"/>
      <c r="N31" s="185"/>
      <c r="O31" s="186"/>
      <c r="P31" s="186"/>
      <c r="Q31" s="186"/>
      <c r="R31" s="186"/>
      <c r="S31" s="187"/>
      <c r="T31" s="106"/>
      <c r="U31" s="106"/>
      <c r="V31" s="188"/>
      <c r="W31" s="189"/>
      <c r="X31" s="190"/>
      <c r="Y31" s="106"/>
      <c r="Z31" s="106"/>
    </row>
    <row r="32" spans="1:26" ht="18" customHeight="1" x14ac:dyDescent="0.15">
      <c r="A32" s="14"/>
      <c r="B32" s="207"/>
      <c r="C32" s="208"/>
      <c r="D32" s="208"/>
      <c r="E32" s="208"/>
      <c r="F32" s="209"/>
      <c r="G32" s="106"/>
      <c r="H32" s="106"/>
      <c r="I32" s="188"/>
      <c r="J32" s="189"/>
      <c r="K32" s="190"/>
      <c r="L32" s="106"/>
      <c r="M32" s="106"/>
      <c r="N32" s="185"/>
      <c r="O32" s="186"/>
      <c r="P32" s="186"/>
      <c r="Q32" s="186"/>
      <c r="R32" s="186"/>
      <c r="S32" s="187"/>
      <c r="T32" s="106"/>
      <c r="U32" s="106"/>
      <c r="V32" s="188"/>
      <c r="W32" s="189"/>
      <c r="X32" s="190"/>
      <c r="Y32" s="106"/>
      <c r="Z32" s="106"/>
    </row>
    <row r="33" spans="1:26" ht="18" customHeight="1" x14ac:dyDescent="0.15">
      <c r="A33" s="14"/>
      <c r="B33" s="210"/>
      <c r="C33" s="211"/>
      <c r="D33" s="211"/>
      <c r="E33" s="211"/>
      <c r="F33" s="212"/>
      <c r="G33" s="107"/>
      <c r="H33" s="107"/>
      <c r="I33" s="213"/>
      <c r="J33" s="214"/>
      <c r="K33" s="215"/>
      <c r="L33" s="113"/>
      <c r="M33" s="113"/>
      <c r="N33" s="216"/>
      <c r="O33" s="217"/>
      <c r="P33" s="217"/>
      <c r="Q33" s="217"/>
      <c r="R33" s="217"/>
      <c r="S33" s="218"/>
      <c r="T33" s="107"/>
      <c r="U33" s="107"/>
      <c r="V33" s="213"/>
      <c r="W33" s="214"/>
      <c r="X33" s="215"/>
      <c r="Y33" s="113"/>
      <c r="Z33" s="113"/>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03" t="s">
        <v>128</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row>
    <row r="36" spans="1:26" ht="18" customHeight="1" x14ac:dyDescent="0.15">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row>
    <row r="37" spans="1:26" ht="18" customHeight="1" x14ac:dyDescent="0.15">
      <c r="A37" s="14"/>
      <c r="B37" s="204" t="s">
        <v>100</v>
      </c>
      <c r="C37" s="205"/>
      <c r="D37" s="205"/>
      <c r="E37" s="205"/>
      <c r="F37" s="206"/>
      <c r="G37" s="30" t="s">
        <v>140</v>
      </c>
      <c r="H37" s="104" t="s">
        <v>139</v>
      </c>
      <c r="I37" s="204" t="s">
        <v>101</v>
      </c>
      <c r="J37" s="205"/>
      <c r="K37" s="206"/>
      <c r="L37" s="75" t="s">
        <v>129</v>
      </c>
      <c r="M37" s="75" t="s">
        <v>130</v>
      </c>
      <c r="N37" s="204" t="s">
        <v>100</v>
      </c>
      <c r="O37" s="205"/>
      <c r="P37" s="205"/>
      <c r="Q37" s="205"/>
      <c r="R37" s="205"/>
      <c r="S37" s="206"/>
      <c r="T37" s="30" t="s">
        <v>140</v>
      </c>
      <c r="U37" s="104" t="s">
        <v>139</v>
      </c>
      <c r="V37" s="204" t="s">
        <v>101</v>
      </c>
      <c r="W37" s="205"/>
      <c r="X37" s="206"/>
      <c r="Y37" s="75" t="s">
        <v>129</v>
      </c>
      <c r="Z37" s="75" t="s">
        <v>130</v>
      </c>
    </row>
    <row r="38" spans="1:26" ht="18" customHeight="1" x14ac:dyDescent="0.15">
      <c r="A38" s="29"/>
      <c r="B38" s="170" t="s">
        <v>234</v>
      </c>
      <c r="C38" s="171"/>
      <c r="D38" s="171"/>
      <c r="E38" s="171"/>
      <c r="F38" s="172"/>
      <c r="G38" s="120">
        <v>1</v>
      </c>
      <c r="H38" s="120" t="s">
        <v>148</v>
      </c>
      <c r="I38" s="173" t="s">
        <v>149</v>
      </c>
      <c r="J38" s="174"/>
      <c r="K38" s="175"/>
      <c r="L38" s="120" t="s">
        <v>148</v>
      </c>
      <c r="M38" s="120" t="s">
        <v>148</v>
      </c>
      <c r="N38" s="176"/>
      <c r="O38" s="177"/>
      <c r="P38" s="177"/>
      <c r="Q38" s="177"/>
      <c r="R38" s="177"/>
      <c r="S38" s="178"/>
      <c r="T38" s="105"/>
      <c r="U38" s="105"/>
      <c r="V38" s="179"/>
      <c r="W38" s="180"/>
      <c r="X38" s="181"/>
      <c r="Y38" s="105"/>
      <c r="Z38" s="105"/>
    </row>
    <row r="39" spans="1:26" ht="18" customHeight="1" x14ac:dyDescent="0.15">
      <c r="A39" s="29"/>
      <c r="B39" s="219"/>
      <c r="C39" s="220"/>
      <c r="D39" s="220"/>
      <c r="E39" s="220"/>
      <c r="F39" s="221"/>
      <c r="G39" s="120"/>
      <c r="H39" s="120"/>
      <c r="I39" s="173"/>
      <c r="J39" s="174"/>
      <c r="K39" s="175"/>
      <c r="L39" s="120"/>
      <c r="M39" s="120"/>
      <c r="N39" s="185"/>
      <c r="O39" s="186"/>
      <c r="P39" s="186"/>
      <c r="Q39" s="186"/>
      <c r="R39" s="186"/>
      <c r="S39" s="187"/>
      <c r="T39" s="106"/>
      <c r="U39" s="106"/>
      <c r="V39" s="188"/>
      <c r="W39" s="189"/>
      <c r="X39" s="190"/>
      <c r="Y39" s="106"/>
      <c r="Z39" s="106"/>
    </row>
    <row r="40" spans="1:26" ht="18" customHeight="1" x14ac:dyDescent="0.15">
      <c r="A40" s="29"/>
      <c r="B40" s="207"/>
      <c r="C40" s="208"/>
      <c r="D40" s="208"/>
      <c r="E40" s="208"/>
      <c r="F40" s="209"/>
      <c r="G40" s="106"/>
      <c r="H40" s="106"/>
      <c r="I40" s="188"/>
      <c r="J40" s="189"/>
      <c r="K40" s="190"/>
      <c r="L40" s="106"/>
      <c r="M40" s="106"/>
      <c r="N40" s="185"/>
      <c r="O40" s="186"/>
      <c r="P40" s="186"/>
      <c r="Q40" s="186"/>
      <c r="R40" s="186"/>
      <c r="S40" s="187"/>
      <c r="T40" s="106"/>
      <c r="U40" s="106"/>
      <c r="V40" s="188"/>
      <c r="W40" s="189"/>
      <c r="X40" s="190"/>
      <c r="Y40" s="106"/>
      <c r="Z40" s="106"/>
    </row>
    <row r="41" spans="1:26" ht="18" customHeight="1" x14ac:dyDescent="0.15">
      <c r="A41" s="29"/>
      <c r="B41" s="222"/>
      <c r="C41" s="223"/>
      <c r="D41" s="223"/>
      <c r="E41" s="223"/>
      <c r="F41" s="224"/>
      <c r="G41" s="106"/>
      <c r="H41" s="106"/>
      <c r="I41" s="188"/>
      <c r="J41" s="189"/>
      <c r="K41" s="190"/>
      <c r="L41" s="106"/>
      <c r="M41" s="106"/>
      <c r="N41" s="185"/>
      <c r="O41" s="186"/>
      <c r="P41" s="186"/>
      <c r="Q41" s="186"/>
      <c r="R41" s="186"/>
      <c r="S41" s="187"/>
      <c r="T41" s="106"/>
      <c r="U41" s="106"/>
      <c r="V41" s="188"/>
      <c r="W41" s="189"/>
      <c r="X41" s="190"/>
      <c r="Y41" s="106"/>
      <c r="Z41" s="106"/>
    </row>
    <row r="42" spans="1:26" ht="18" customHeight="1" x14ac:dyDescent="0.15">
      <c r="A42" s="29"/>
      <c r="B42" s="207"/>
      <c r="C42" s="208"/>
      <c r="D42" s="208"/>
      <c r="E42" s="208"/>
      <c r="F42" s="209"/>
      <c r="G42" s="106"/>
      <c r="H42" s="106"/>
      <c r="I42" s="188"/>
      <c r="J42" s="189"/>
      <c r="K42" s="190"/>
      <c r="L42" s="106"/>
      <c r="M42" s="106"/>
      <c r="N42" s="185"/>
      <c r="O42" s="186"/>
      <c r="P42" s="186"/>
      <c r="Q42" s="186"/>
      <c r="R42" s="186"/>
      <c r="S42" s="187"/>
      <c r="T42" s="106"/>
      <c r="U42" s="106"/>
      <c r="V42" s="188"/>
      <c r="W42" s="189"/>
      <c r="X42" s="190"/>
      <c r="Y42" s="106"/>
      <c r="Z42" s="106"/>
    </row>
    <row r="43" spans="1:26" ht="18" customHeight="1" x14ac:dyDescent="0.15">
      <c r="A43" s="29"/>
      <c r="B43" s="207"/>
      <c r="C43" s="208"/>
      <c r="D43" s="208"/>
      <c r="E43" s="208"/>
      <c r="F43" s="209"/>
      <c r="G43" s="106"/>
      <c r="H43" s="106"/>
      <c r="I43" s="188"/>
      <c r="J43" s="189"/>
      <c r="K43" s="190"/>
      <c r="L43" s="106"/>
      <c r="M43" s="106"/>
      <c r="N43" s="185"/>
      <c r="O43" s="186"/>
      <c r="P43" s="186"/>
      <c r="Q43" s="186"/>
      <c r="R43" s="186"/>
      <c r="S43" s="187"/>
      <c r="T43" s="106"/>
      <c r="U43" s="106"/>
      <c r="V43" s="188"/>
      <c r="W43" s="189"/>
      <c r="X43" s="190"/>
      <c r="Y43" s="106"/>
      <c r="Z43" s="106"/>
    </row>
    <row r="44" spans="1:26" ht="18" customHeight="1" x14ac:dyDescent="0.15">
      <c r="A44" s="29"/>
      <c r="B44" s="210"/>
      <c r="C44" s="211"/>
      <c r="D44" s="211"/>
      <c r="E44" s="211"/>
      <c r="F44" s="212"/>
      <c r="G44" s="107"/>
      <c r="H44" s="107"/>
      <c r="I44" s="213"/>
      <c r="J44" s="214"/>
      <c r="K44" s="215"/>
      <c r="L44" s="113"/>
      <c r="M44" s="113"/>
      <c r="N44" s="216"/>
      <c r="O44" s="217"/>
      <c r="P44" s="217"/>
      <c r="Q44" s="217"/>
      <c r="R44" s="217"/>
      <c r="S44" s="218"/>
      <c r="T44" s="107"/>
      <c r="U44" s="107"/>
      <c r="V44" s="213"/>
      <c r="W44" s="214"/>
      <c r="X44" s="215"/>
      <c r="Y44" s="113"/>
      <c r="Z44" s="113"/>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03" t="s">
        <v>131</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spans="1:26" ht="18" customHeight="1" x14ac:dyDescent="0.15">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spans="1:26" ht="18" customHeight="1" x14ac:dyDescent="0.15">
      <c r="A48" s="14"/>
      <c r="B48" s="204" t="s">
        <v>100</v>
      </c>
      <c r="C48" s="205"/>
      <c r="D48" s="205"/>
      <c r="E48" s="205"/>
      <c r="F48" s="206"/>
      <c r="G48" s="30" t="s">
        <v>140</v>
      </c>
      <c r="H48" s="104" t="s">
        <v>139</v>
      </c>
      <c r="I48" s="204" t="s">
        <v>101</v>
      </c>
      <c r="J48" s="205"/>
      <c r="K48" s="206"/>
      <c r="L48" s="75" t="s">
        <v>106</v>
      </c>
      <c r="M48" s="75" t="s">
        <v>108</v>
      </c>
      <c r="N48" s="204" t="s">
        <v>100</v>
      </c>
      <c r="O48" s="205"/>
      <c r="P48" s="205"/>
      <c r="Q48" s="205"/>
      <c r="R48" s="205"/>
      <c r="S48" s="206"/>
      <c r="T48" s="30" t="s">
        <v>140</v>
      </c>
      <c r="U48" s="104" t="s">
        <v>139</v>
      </c>
      <c r="V48" s="204" t="s">
        <v>101</v>
      </c>
      <c r="W48" s="205"/>
      <c r="X48" s="206"/>
      <c r="Y48" s="75" t="s">
        <v>106</v>
      </c>
      <c r="Z48" s="75" t="s">
        <v>108</v>
      </c>
    </row>
    <row r="49" spans="1:26" ht="18" customHeight="1" x14ac:dyDescent="0.15">
      <c r="A49" s="29"/>
      <c r="B49" s="170" t="s">
        <v>234</v>
      </c>
      <c r="C49" s="171"/>
      <c r="D49" s="171"/>
      <c r="E49" s="171"/>
      <c r="F49" s="172"/>
      <c r="G49" s="120">
        <v>1</v>
      </c>
      <c r="H49" s="120" t="s">
        <v>148</v>
      </c>
      <c r="I49" s="173" t="s">
        <v>154</v>
      </c>
      <c r="J49" s="174"/>
      <c r="K49" s="175"/>
      <c r="L49" s="120" t="s">
        <v>148</v>
      </c>
      <c r="M49" s="120" t="s">
        <v>148</v>
      </c>
      <c r="N49" s="176"/>
      <c r="O49" s="177"/>
      <c r="P49" s="177"/>
      <c r="Q49" s="177"/>
      <c r="R49" s="177"/>
      <c r="S49" s="178"/>
      <c r="T49" s="105"/>
      <c r="U49" s="105"/>
      <c r="V49" s="179"/>
      <c r="W49" s="180"/>
      <c r="X49" s="181"/>
      <c r="Y49" s="105"/>
      <c r="Z49" s="105"/>
    </row>
    <row r="50" spans="1:26" ht="18" customHeight="1" x14ac:dyDescent="0.15">
      <c r="A50" s="29"/>
      <c r="B50" s="182"/>
      <c r="C50" s="183"/>
      <c r="D50" s="183"/>
      <c r="E50" s="183"/>
      <c r="F50" s="184"/>
      <c r="G50" s="120"/>
      <c r="H50" s="120"/>
      <c r="I50" s="173"/>
      <c r="J50" s="174"/>
      <c r="K50" s="175"/>
      <c r="L50" s="120"/>
      <c r="M50" s="120"/>
      <c r="N50" s="185"/>
      <c r="O50" s="186"/>
      <c r="P50" s="186"/>
      <c r="Q50" s="186"/>
      <c r="R50" s="186"/>
      <c r="S50" s="187"/>
      <c r="T50" s="106"/>
      <c r="U50" s="106"/>
      <c r="V50" s="188"/>
      <c r="W50" s="189"/>
      <c r="X50" s="190"/>
      <c r="Y50" s="106"/>
      <c r="Z50" s="106"/>
    </row>
    <row r="51" spans="1:26" ht="18" customHeight="1" x14ac:dyDescent="0.15">
      <c r="A51" s="29"/>
      <c r="B51" s="207"/>
      <c r="C51" s="208"/>
      <c r="D51" s="208"/>
      <c r="E51" s="208"/>
      <c r="F51" s="209"/>
      <c r="G51" s="106"/>
      <c r="H51" s="106"/>
      <c r="I51" s="188"/>
      <c r="J51" s="189"/>
      <c r="K51" s="190"/>
      <c r="L51" s="106"/>
      <c r="M51" s="106"/>
      <c r="N51" s="185"/>
      <c r="O51" s="186"/>
      <c r="P51" s="186"/>
      <c r="Q51" s="186"/>
      <c r="R51" s="186"/>
      <c r="S51" s="187"/>
      <c r="T51" s="106"/>
      <c r="U51" s="106"/>
      <c r="V51" s="188"/>
      <c r="W51" s="189"/>
      <c r="X51" s="190"/>
      <c r="Y51" s="106"/>
      <c r="Z51" s="106"/>
    </row>
    <row r="52" spans="1:26" ht="18" customHeight="1" x14ac:dyDescent="0.15">
      <c r="A52" s="29"/>
      <c r="B52" s="207"/>
      <c r="C52" s="208"/>
      <c r="D52" s="208"/>
      <c r="E52" s="208"/>
      <c r="F52" s="209"/>
      <c r="G52" s="106"/>
      <c r="H52" s="106"/>
      <c r="I52" s="188"/>
      <c r="J52" s="189"/>
      <c r="K52" s="190"/>
      <c r="L52" s="106"/>
      <c r="M52" s="106"/>
      <c r="N52" s="185"/>
      <c r="O52" s="186"/>
      <c r="P52" s="186"/>
      <c r="Q52" s="186"/>
      <c r="R52" s="186"/>
      <c r="S52" s="187"/>
      <c r="T52" s="106"/>
      <c r="U52" s="106"/>
      <c r="V52" s="188"/>
      <c r="W52" s="189"/>
      <c r="X52" s="190"/>
      <c r="Y52" s="106"/>
      <c r="Z52" s="106"/>
    </row>
    <row r="53" spans="1:26" ht="18" customHeight="1" x14ac:dyDescent="0.15">
      <c r="A53" s="29"/>
      <c r="B53" s="207"/>
      <c r="C53" s="208"/>
      <c r="D53" s="208"/>
      <c r="E53" s="208"/>
      <c r="F53" s="209"/>
      <c r="G53" s="106"/>
      <c r="H53" s="106"/>
      <c r="I53" s="188"/>
      <c r="J53" s="189"/>
      <c r="K53" s="190"/>
      <c r="L53" s="106"/>
      <c r="M53" s="106"/>
      <c r="N53" s="185"/>
      <c r="O53" s="186"/>
      <c r="P53" s="186"/>
      <c r="Q53" s="186"/>
      <c r="R53" s="186"/>
      <c r="S53" s="187"/>
      <c r="T53" s="106"/>
      <c r="U53" s="106"/>
      <c r="V53" s="188"/>
      <c r="W53" s="189"/>
      <c r="X53" s="190"/>
      <c r="Y53" s="106"/>
      <c r="Z53" s="106"/>
    </row>
    <row r="54" spans="1:26" ht="18" customHeight="1" x14ac:dyDescent="0.15">
      <c r="A54" s="29"/>
      <c r="B54" s="207"/>
      <c r="C54" s="208"/>
      <c r="D54" s="208"/>
      <c r="E54" s="208"/>
      <c r="F54" s="209"/>
      <c r="G54" s="106"/>
      <c r="H54" s="106"/>
      <c r="I54" s="188"/>
      <c r="J54" s="189"/>
      <c r="K54" s="190"/>
      <c r="L54" s="106"/>
      <c r="M54" s="106"/>
      <c r="N54" s="185"/>
      <c r="O54" s="186"/>
      <c r="P54" s="186"/>
      <c r="Q54" s="186"/>
      <c r="R54" s="186"/>
      <c r="S54" s="187"/>
      <c r="T54" s="106"/>
      <c r="U54" s="106"/>
      <c r="V54" s="188"/>
      <c r="W54" s="189"/>
      <c r="X54" s="190"/>
      <c r="Y54" s="106"/>
      <c r="Z54" s="106"/>
    </row>
    <row r="55" spans="1:26" ht="18" customHeight="1" x14ac:dyDescent="0.15">
      <c r="A55" s="29"/>
      <c r="B55" s="210"/>
      <c r="C55" s="211"/>
      <c r="D55" s="211"/>
      <c r="E55" s="211"/>
      <c r="F55" s="212"/>
      <c r="G55" s="107"/>
      <c r="H55" s="107"/>
      <c r="I55" s="213"/>
      <c r="J55" s="214"/>
      <c r="K55" s="215"/>
      <c r="L55" s="113"/>
      <c r="M55" s="113"/>
      <c r="N55" s="216"/>
      <c r="O55" s="217"/>
      <c r="P55" s="217"/>
      <c r="Q55" s="217"/>
      <c r="R55" s="217"/>
      <c r="S55" s="218"/>
      <c r="T55" s="107"/>
      <c r="U55" s="107"/>
      <c r="V55" s="213"/>
      <c r="W55" s="214"/>
      <c r="X55" s="215"/>
      <c r="Y55" s="113"/>
      <c r="Z55" s="113"/>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03" t="s">
        <v>132</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spans="1:26" ht="18" customHeight="1" x14ac:dyDescent="0.15">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spans="1:26" ht="18" customHeight="1" x14ac:dyDescent="0.15">
      <c r="A59" s="14"/>
      <c r="B59" s="204" t="s">
        <v>100</v>
      </c>
      <c r="C59" s="205"/>
      <c r="D59" s="205"/>
      <c r="E59" s="206"/>
      <c r="F59" s="30" t="s">
        <v>140</v>
      </c>
      <c r="G59" s="104" t="s">
        <v>139</v>
      </c>
      <c r="H59" s="99" t="s">
        <v>101</v>
      </c>
      <c r="I59" s="100"/>
      <c r="J59" s="101"/>
      <c r="K59" s="75" t="s">
        <v>105</v>
      </c>
      <c r="L59" s="75" t="s">
        <v>133</v>
      </c>
      <c r="M59" s="75" t="s">
        <v>134</v>
      </c>
      <c r="N59" s="204" t="s">
        <v>100</v>
      </c>
      <c r="O59" s="205"/>
      <c r="P59" s="205"/>
      <c r="Q59" s="205"/>
      <c r="R59" s="206"/>
      <c r="S59" s="30" t="s">
        <v>140</v>
      </c>
      <c r="T59" s="104" t="s">
        <v>139</v>
      </c>
      <c r="U59" s="99" t="s">
        <v>101</v>
      </c>
      <c r="V59" s="100"/>
      <c r="W59" s="101"/>
      <c r="X59" s="75" t="s">
        <v>105</v>
      </c>
      <c r="Y59" s="75" t="s">
        <v>133</v>
      </c>
      <c r="Z59" s="75" t="s">
        <v>134</v>
      </c>
    </row>
    <row r="60" spans="1:26" ht="18" customHeight="1" x14ac:dyDescent="0.15">
      <c r="A60" s="29"/>
      <c r="B60" s="225" t="s">
        <v>234</v>
      </c>
      <c r="C60" s="226"/>
      <c r="D60" s="226"/>
      <c r="E60" s="227"/>
      <c r="F60" s="120">
        <v>1</v>
      </c>
      <c r="G60" s="120" t="s">
        <v>148</v>
      </c>
      <c r="H60" s="173" t="s">
        <v>154</v>
      </c>
      <c r="I60" s="174"/>
      <c r="J60" s="175"/>
      <c r="K60" s="120" t="s">
        <v>148</v>
      </c>
      <c r="L60" s="120" t="s">
        <v>148</v>
      </c>
      <c r="M60" s="120" t="s">
        <v>148</v>
      </c>
      <c r="N60" s="176"/>
      <c r="O60" s="177"/>
      <c r="P60" s="177"/>
      <c r="Q60" s="177"/>
      <c r="R60" s="178"/>
      <c r="S60" s="105"/>
      <c r="T60" s="105"/>
      <c r="U60" s="179"/>
      <c r="V60" s="180"/>
      <c r="W60" s="181"/>
      <c r="X60" s="115"/>
      <c r="Y60" s="105"/>
      <c r="Z60" s="105"/>
    </row>
    <row r="61" spans="1:26" ht="18" customHeight="1" x14ac:dyDescent="0.15">
      <c r="A61" s="29"/>
      <c r="B61" s="228"/>
      <c r="C61" s="229"/>
      <c r="D61" s="229"/>
      <c r="E61" s="230"/>
      <c r="F61" s="120"/>
      <c r="G61" s="120"/>
      <c r="H61" s="173"/>
      <c r="I61" s="174"/>
      <c r="J61" s="175"/>
      <c r="K61" s="120"/>
      <c r="L61" s="120"/>
      <c r="M61" s="120"/>
      <c r="N61" s="185"/>
      <c r="O61" s="186"/>
      <c r="P61" s="186"/>
      <c r="Q61" s="186"/>
      <c r="R61" s="187"/>
      <c r="S61" s="106"/>
      <c r="T61" s="106"/>
      <c r="U61" s="188"/>
      <c r="V61" s="189"/>
      <c r="W61" s="190"/>
      <c r="X61" s="116"/>
      <c r="Y61" s="106"/>
      <c r="Z61" s="106"/>
    </row>
    <row r="62" spans="1:26" ht="18" customHeight="1" x14ac:dyDescent="0.15">
      <c r="A62" s="29"/>
      <c r="B62" s="228"/>
      <c r="C62" s="229"/>
      <c r="D62" s="229"/>
      <c r="E62" s="230"/>
      <c r="F62" s="106"/>
      <c r="G62" s="106"/>
      <c r="H62" s="231"/>
      <c r="I62" s="232"/>
      <c r="J62" s="233"/>
      <c r="K62" s="135"/>
      <c r="L62" s="118"/>
      <c r="M62" s="118"/>
      <c r="N62" s="185"/>
      <c r="O62" s="186"/>
      <c r="P62" s="186"/>
      <c r="Q62" s="186"/>
      <c r="R62" s="187"/>
      <c r="S62" s="106"/>
      <c r="T62" s="106"/>
      <c r="U62" s="188"/>
      <c r="V62" s="189"/>
      <c r="W62" s="190"/>
      <c r="X62" s="116"/>
      <c r="Y62" s="106"/>
      <c r="Z62" s="106"/>
    </row>
    <row r="63" spans="1:26" ht="18" customHeight="1" x14ac:dyDescent="0.15">
      <c r="A63" s="29"/>
      <c r="B63" s="228"/>
      <c r="C63" s="229"/>
      <c r="D63" s="229"/>
      <c r="E63" s="230"/>
      <c r="F63" s="106"/>
      <c r="G63" s="106"/>
      <c r="H63" s="231"/>
      <c r="I63" s="232"/>
      <c r="J63" s="233"/>
      <c r="K63" s="119"/>
      <c r="L63" s="118"/>
      <c r="M63" s="118"/>
      <c r="N63" s="185"/>
      <c r="O63" s="186"/>
      <c r="P63" s="186"/>
      <c r="Q63" s="186"/>
      <c r="R63" s="187"/>
      <c r="S63" s="106"/>
      <c r="T63" s="106"/>
      <c r="U63" s="188"/>
      <c r="V63" s="189"/>
      <c r="W63" s="190"/>
      <c r="X63" s="116"/>
      <c r="Y63" s="106"/>
      <c r="Z63" s="106"/>
    </row>
    <row r="64" spans="1:26" ht="18" customHeight="1" x14ac:dyDescent="0.15">
      <c r="A64" s="29"/>
      <c r="B64" s="228"/>
      <c r="C64" s="229"/>
      <c r="D64" s="229"/>
      <c r="E64" s="230"/>
      <c r="F64" s="106"/>
      <c r="G64" s="106"/>
      <c r="H64" s="231"/>
      <c r="I64" s="232"/>
      <c r="J64" s="233"/>
      <c r="K64" s="119"/>
      <c r="L64" s="118"/>
      <c r="M64" s="118"/>
      <c r="N64" s="185"/>
      <c r="O64" s="186"/>
      <c r="P64" s="186"/>
      <c r="Q64" s="186"/>
      <c r="R64" s="187"/>
      <c r="S64" s="106"/>
      <c r="T64" s="106"/>
      <c r="U64" s="188"/>
      <c r="V64" s="189"/>
      <c r="W64" s="190"/>
      <c r="X64" s="116"/>
      <c r="Y64" s="106"/>
      <c r="Z64" s="106"/>
    </row>
    <row r="65" spans="1:26" ht="18" customHeight="1" x14ac:dyDescent="0.15">
      <c r="A65" s="29"/>
      <c r="B65" s="228"/>
      <c r="C65" s="229"/>
      <c r="D65" s="229"/>
      <c r="E65" s="230"/>
      <c r="F65" s="106"/>
      <c r="G65" s="106"/>
      <c r="H65" s="231"/>
      <c r="I65" s="232"/>
      <c r="J65" s="233"/>
      <c r="K65" s="119"/>
      <c r="L65" s="118"/>
      <c r="M65" s="118"/>
      <c r="N65" s="185"/>
      <c r="O65" s="186"/>
      <c r="P65" s="186"/>
      <c r="Q65" s="186"/>
      <c r="R65" s="187"/>
      <c r="S65" s="106"/>
      <c r="T65" s="106"/>
      <c r="U65" s="188"/>
      <c r="V65" s="189"/>
      <c r="W65" s="190"/>
      <c r="X65" s="116"/>
      <c r="Y65" s="106"/>
      <c r="Z65" s="106"/>
    </row>
    <row r="66" spans="1:26" ht="18" customHeight="1" x14ac:dyDescent="0.15">
      <c r="A66" s="29"/>
      <c r="B66" s="216"/>
      <c r="C66" s="217"/>
      <c r="D66" s="217"/>
      <c r="E66" s="218"/>
      <c r="F66" s="107"/>
      <c r="G66" s="107"/>
      <c r="H66" s="213"/>
      <c r="I66" s="214"/>
      <c r="J66" s="215"/>
      <c r="K66" s="117"/>
      <c r="L66" s="113"/>
      <c r="M66" s="113"/>
      <c r="N66" s="216"/>
      <c r="O66" s="217"/>
      <c r="P66" s="217"/>
      <c r="Q66" s="217"/>
      <c r="R66" s="218"/>
      <c r="S66" s="107"/>
      <c r="T66" s="107"/>
      <c r="U66" s="213"/>
      <c r="V66" s="214"/>
      <c r="W66" s="215"/>
      <c r="X66" s="117"/>
      <c r="Y66" s="113"/>
      <c r="Z66" s="113"/>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204" t="s">
        <v>100</v>
      </c>
      <c r="C69" s="205"/>
      <c r="D69" s="205"/>
      <c r="E69" s="205"/>
      <c r="F69" s="206"/>
      <c r="G69" s="204" t="s">
        <v>145</v>
      </c>
      <c r="H69" s="205"/>
      <c r="I69" s="205"/>
      <c r="J69" s="205"/>
      <c r="K69" s="205"/>
      <c r="L69" s="205"/>
      <c r="M69" s="206"/>
      <c r="N69" s="252" t="s">
        <v>100</v>
      </c>
      <c r="O69" s="253"/>
      <c r="P69" s="253"/>
      <c r="Q69" s="253"/>
      <c r="R69" s="253"/>
      <c r="S69" s="254"/>
      <c r="T69" s="204" t="s">
        <v>145</v>
      </c>
      <c r="U69" s="205"/>
      <c r="V69" s="205"/>
      <c r="W69" s="205"/>
      <c r="X69" s="205"/>
      <c r="Y69" s="205"/>
      <c r="Z69" s="206"/>
    </row>
    <row r="70" spans="1:26" ht="18" customHeight="1" x14ac:dyDescent="0.15">
      <c r="A70" s="29"/>
      <c r="B70" s="234" t="s">
        <v>234</v>
      </c>
      <c r="C70" s="235"/>
      <c r="D70" s="235"/>
      <c r="E70" s="235"/>
      <c r="F70" s="236"/>
      <c r="G70" s="237" t="s">
        <v>178</v>
      </c>
      <c r="H70" s="238"/>
      <c r="I70" s="238"/>
      <c r="J70" s="238"/>
      <c r="K70" s="238"/>
      <c r="L70" s="238"/>
      <c r="M70" s="239"/>
      <c r="N70" s="176"/>
      <c r="O70" s="177"/>
      <c r="P70" s="177"/>
      <c r="Q70" s="177"/>
      <c r="R70" s="177"/>
      <c r="S70" s="178"/>
      <c r="T70" s="240"/>
      <c r="U70" s="241"/>
      <c r="V70" s="241"/>
      <c r="W70" s="241"/>
      <c r="X70" s="241"/>
      <c r="Y70" s="241"/>
      <c r="Z70" s="242"/>
    </row>
    <row r="71" spans="1:26" ht="18" customHeight="1" x14ac:dyDescent="0.15">
      <c r="A71" s="29"/>
      <c r="B71" s="243" t="s">
        <v>234</v>
      </c>
      <c r="C71" s="244"/>
      <c r="D71" s="244"/>
      <c r="E71" s="244"/>
      <c r="F71" s="245"/>
      <c r="G71" s="246" t="s">
        <v>179</v>
      </c>
      <c r="H71" s="247"/>
      <c r="I71" s="247"/>
      <c r="J71" s="247"/>
      <c r="K71" s="247"/>
      <c r="L71" s="247"/>
      <c r="M71" s="248"/>
      <c r="N71" s="185"/>
      <c r="O71" s="186"/>
      <c r="P71" s="186"/>
      <c r="Q71" s="186"/>
      <c r="R71" s="186"/>
      <c r="S71" s="187"/>
      <c r="T71" s="249"/>
      <c r="U71" s="250"/>
      <c r="V71" s="250"/>
      <c r="W71" s="250"/>
      <c r="X71" s="250"/>
      <c r="Y71" s="250"/>
      <c r="Z71" s="251"/>
    </row>
    <row r="72" spans="1:26" ht="18" customHeight="1" x14ac:dyDescent="0.15">
      <c r="A72" s="29"/>
      <c r="B72" s="185"/>
      <c r="C72" s="186"/>
      <c r="D72" s="186"/>
      <c r="E72" s="186"/>
      <c r="F72" s="187"/>
      <c r="G72" s="249"/>
      <c r="H72" s="250"/>
      <c r="I72" s="250"/>
      <c r="J72" s="250"/>
      <c r="K72" s="250"/>
      <c r="L72" s="250"/>
      <c r="M72" s="251"/>
      <c r="N72" s="185"/>
      <c r="O72" s="186"/>
      <c r="P72" s="186"/>
      <c r="Q72" s="186"/>
      <c r="R72" s="186"/>
      <c r="S72" s="187"/>
      <c r="T72" s="249"/>
      <c r="U72" s="250"/>
      <c r="V72" s="250"/>
      <c r="W72" s="250"/>
      <c r="X72" s="250"/>
      <c r="Y72" s="250"/>
      <c r="Z72" s="251"/>
    </row>
    <row r="73" spans="1:26" ht="18" customHeight="1" x14ac:dyDescent="0.15">
      <c r="A73" s="29"/>
      <c r="B73" s="185"/>
      <c r="C73" s="186"/>
      <c r="D73" s="186"/>
      <c r="E73" s="186"/>
      <c r="F73" s="187"/>
      <c r="G73" s="249"/>
      <c r="H73" s="250"/>
      <c r="I73" s="250"/>
      <c r="J73" s="250"/>
      <c r="K73" s="250"/>
      <c r="L73" s="250"/>
      <c r="M73" s="251"/>
      <c r="N73" s="185"/>
      <c r="O73" s="186"/>
      <c r="P73" s="186"/>
      <c r="Q73" s="186"/>
      <c r="R73" s="186"/>
      <c r="S73" s="187"/>
      <c r="T73" s="249"/>
      <c r="U73" s="250"/>
      <c r="V73" s="250"/>
      <c r="W73" s="250"/>
      <c r="X73" s="250"/>
      <c r="Y73" s="250"/>
      <c r="Z73" s="251"/>
    </row>
    <row r="74" spans="1:26" ht="18" customHeight="1" x14ac:dyDescent="0.15">
      <c r="A74" s="29"/>
      <c r="B74" s="185"/>
      <c r="C74" s="186"/>
      <c r="D74" s="186"/>
      <c r="E74" s="186"/>
      <c r="F74" s="187"/>
      <c r="G74" s="249"/>
      <c r="H74" s="250"/>
      <c r="I74" s="250"/>
      <c r="J74" s="250"/>
      <c r="K74" s="250"/>
      <c r="L74" s="250"/>
      <c r="M74" s="251"/>
      <c r="N74" s="185"/>
      <c r="O74" s="186"/>
      <c r="P74" s="186"/>
      <c r="Q74" s="186"/>
      <c r="R74" s="186"/>
      <c r="S74" s="187"/>
      <c r="T74" s="249"/>
      <c r="U74" s="250"/>
      <c r="V74" s="250"/>
      <c r="W74" s="250"/>
      <c r="X74" s="250"/>
      <c r="Y74" s="250"/>
      <c r="Z74" s="251"/>
    </row>
    <row r="75" spans="1:26" ht="18" customHeight="1" x14ac:dyDescent="0.15">
      <c r="A75" s="29"/>
      <c r="B75" s="185"/>
      <c r="C75" s="186"/>
      <c r="D75" s="186"/>
      <c r="E75" s="186"/>
      <c r="F75" s="187"/>
      <c r="G75" s="249"/>
      <c r="H75" s="250"/>
      <c r="I75" s="250"/>
      <c r="J75" s="250"/>
      <c r="K75" s="250"/>
      <c r="L75" s="250"/>
      <c r="M75" s="251"/>
      <c r="N75" s="185"/>
      <c r="O75" s="186"/>
      <c r="P75" s="186"/>
      <c r="Q75" s="186"/>
      <c r="R75" s="186"/>
      <c r="S75" s="187"/>
      <c r="T75" s="249"/>
      <c r="U75" s="250"/>
      <c r="V75" s="250"/>
      <c r="W75" s="250"/>
      <c r="X75" s="250"/>
      <c r="Y75" s="250"/>
      <c r="Z75" s="251"/>
    </row>
    <row r="76" spans="1:26" ht="18" customHeight="1" x14ac:dyDescent="0.15">
      <c r="A76" s="29"/>
      <c r="B76" s="216"/>
      <c r="C76" s="217"/>
      <c r="D76" s="217"/>
      <c r="E76" s="217"/>
      <c r="F76" s="218"/>
      <c r="G76" s="266"/>
      <c r="H76" s="267"/>
      <c r="I76" s="267"/>
      <c r="J76" s="267"/>
      <c r="K76" s="267"/>
      <c r="L76" s="267"/>
      <c r="M76" s="268"/>
      <c r="N76" s="216"/>
      <c r="O76" s="217"/>
      <c r="P76" s="217"/>
      <c r="Q76" s="217"/>
      <c r="R76" s="217"/>
      <c r="S76" s="218"/>
      <c r="T76" s="266"/>
      <c r="U76" s="267"/>
      <c r="V76" s="267"/>
      <c r="W76" s="267"/>
      <c r="X76" s="267"/>
      <c r="Y76" s="267"/>
      <c r="Z76" s="268"/>
    </row>
    <row r="77" spans="1:26" ht="18" customHeight="1" x14ac:dyDescent="0.15">
      <c r="A77" s="29"/>
      <c r="B77" s="114"/>
      <c r="C77" s="114"/>
      <c r="D77" s="114"/>
      <c r="E77" s="114"/>
      <c r="F77" s="114"/>
      <c r="G77" s="12"/>
      <c r="H77" s="12"/>
      <c r="I77" s="12"/>
      <c r="J77" s="12"/>
      <c r="K77" s="12"/>
      <c r="L77" s="12"/>
      <c r="M77" s="12"/>
      <c r="N77" s="114"/>
      <c r="O77" s="114"/>
      <c r="P77" s="114"/>
      <c r="Q77" s="114"/>
      <c r="R77" s="114"/>
      <c r="S77" s="114"/>
      <c r="T77" s="12"/>
      <c r="U77" s="12"/>
      <c r="V77" s="12"/>
      <c r="W77" s="12"/>
      <c r="X77" s="12"/>
      <c r="Y77" s="12"/>
      <c r="Z77" s="12"/>
    </row>
    <row r="78" spans="1:26" ht="18.75" customHeight="1" x14ac:dyDescent="0.15">
      <c r="A78" s="13" t="s">
        <v>141</v>
      </c>
    </row>
    <row r="79" spans="1:26" ht="18.75" customHeight="1" x14ac:dyDescent="0.15">
      <c r="B79" s="78" t="s">
        <v>102</v>
      </c>
      <c r="C79" s="79"/>
      <c r="D79" s="269" t="s">
        <v>103</v>
      </c>
      <c r="E79" s="269"/>
      <c r="F79" s="269"/>
      <c r="G79" s="269"/>
      <c r="H79" s="269"/>
      <c r="I79" s="269"/>
      <c r="J79" s="269"/>
      <c r="K79" s="269"/>
      <c r="L79" s="269"/>
      <c r="M79" s="269"/>
      <c r="N79" s="269"/>
      <c r="O79" s="269"/>
      <c r="P79" s="269"/>
      <c r="Q79" s="269"/>
      <c r="R79" s="269"/>
      <c r="S79" s="269"/>
      <c r="T79" s="269"/>
      <c r="U79" s="269"/>
      <c r="V79" s="269"/>
      <c r="W79" s="269"/>
      <c r="X79" s="269"/>
      <c r="Y79" s="269"/>
      <c r="Z79" s="270"/>
    </row>
    <row r="80" spans="1:26" ht="78" customHeight="1" x14ac:dyDescent="0.15">
      <c r="B80" s="271" t="s">
        <v>109</v>
      </c>
      <c r="C80" s="83" t="s">
        <v>104</v>
      </c>
      <c r="D80" s="273" t="s">
        <v>180</v>
      </c>
      <c r="E80" s="171"/>
      <c r="F80" s="171"/>
      <c r="G80" s="171"/>
      <c r="H80" s="171"/>
      <c r="I80" s="171"/>
      <c r="J80" s="171"/>
      <c r="K80" s="171"/>
      <c r="L80" s="171"/>
      <c r="M80" s="171"/>
      <c r="N80" s="171"/>
      <c r="O80" s="171"/>
      <c r="P80" s="171"/>
      <c r="Q80" s="171"/>
      <c r="R80" s="171"/>
      <c r="S80" s="171"/>
      <c r="T80" s="171"/>
      <c r="U80" s="171"/>
      <c r="V80" s="171"/>
      <c r="W80" s="171"/>
      <c r="X80" s="171"/>
      <c r="Y80" s="171"/>
      <c r="Z80" s="172"/>
    </row>
    <row r="81" spans="1:26" ht="78" customHeight="1" x14ac:dyDescent="0.15">
      <c r="B81" s="272"/>
      <c r="C81" s="102" t="s">
        <v>136</v>
      </c>
      <c r="D81" s="274" t="s">
        <v>181</v>
      </c>
      <c r="E81" s="275"/>
      <c r="F81" s="275"/>
      <c r="G81" s="275"/>
      <c r="H81" s="275"/>
      <c r="I81" s="275"/>
      <c r="J81" s="275"/>
      <c r="K81" s="275"/>
      <c r="L81" s="275"/>
      <c r="M81" s="275"/>
      <c r="N81" s="275"/>
      <c r="O81" s="275"/>
      <c r="P81" s="275"/>
      <c r="Q81" s="275"/>
      <c r="R81" s="275"/>
      <c r="S81" s="275"/>
      <c r="T81" s="275"/>
      <c r="U81" s="275"/>
      <c r="V81" s="275"/>
      <c r="W81" s="275"/>
      <c r="X81" s="275"/>
      <c r="Y81" s="275"/>
      <c r="Z81" s="276"/>
    </row>
    <row r="82" spans="1:26" ht="78" customHeight="1" x14ac:dyDescent="0.15">
      <c r="B82" s="255" t="s">
        <v>110</v>
      </c>
      <c r="C82" s="80" t="s">
        <v>126</v>
      </c>
      <c r="D82" s="257" t="s">
        <v>182</v>
      </c>
      <c r="E82" s="258"/>
      <c r="F82" s="258"/>
      <c r="G82" s="258"/>
      <c r="H82" s="258"/>
      <c r="I82" s="258"/>
      <c r="J82" s="258"/>
      <c r="K82" s="258"/>
      <c r="L82" s="258"/>
      <c r="M82" s="258"/>
      <c r="N82" s="258"/>
      <c r="O82" s="258"/>
      <c r="P82" s="258"/>
      <c r="Q82" s="258"/>
      <c r="R82" s="258"/>
      <c r="S82" s="258"/>
      <c r="T82" s="258"/>
      <c r="U82" s="258"/>
      <c r="V82" s="258"/>
      <c r="W82" s="258"/>
      <c r="X82" s="258"/>
      <c r="Y82" s="258"/>
      <c r="Z82" s="259"/>
    </row>
    <row r="83" spans="1:26" ht="78" customHeight="1" x14ac:dyDescent="0.15">
      <c r="B83" s="256"/>
      <c r="C83" s="103" t="s">
        <v>127</v>
      </c>
      <c r="D83" s="260" t="s">
        <v>183</v>
      </c>
      <c r="E83" s="261"/>
      <c r="F83" s="261"/>
      <c r="G83" s="261"/>
      <c r="H83" s="261"/>
      <c r="I83" s="261"/>
      <c r="J83" s="261"/>
      <c r="K83" s="261"/>
      <c r="L83" s="261"/>
      <c r="M83" s="261"/>
      <c r="N83" s="261"/>
      <c r="O83" s="261"/>
      <c r="P83" s="261"/>
      <c r="Q83" s="261"/>
      <c r="R83" s="261"/>
      <c r="S83" s="261"/>
      <c r="T83" s="261"/>
      <c r="U83" s="261"/>
      <c r="V83" s="261"/>
      <c r="W83" s="261"/>
      <c r="X83" s="261"/>
      <c r="Y83" s="261"/>
      <c r="Z83" s="262"/>
    </row>
    <row r="84" spans="1:26" ht="66" customHeight="1" x14ac:dyDescent="0.15">
      <c r="B84" s="255" t="s">
        <v>111</v>
      </c>
      <c r="C84" s="80" t="s">
        <v>129</v>
      </c>
      <c r="D84" s="257" t="s">
        <v>184</v>
      </c>
      <c r="E84" s="258"/>
      <c r="F84" s="258"/>
      <c r="G84" s="258"/>
      <c r="H84" s="258"/>
      <c r="I84" s="258"/>
      <c r="J84" s="258"/>
      <c r="K84" s="258"/>
      <c r="L84" s="258"/>
      <c r="M84" s="258"/>
      <c r="N84" s="258"/>
      <c r="O84" s="258"/>
      <c r="P84" s="258"/>
      <c r="Q84" s="258"/>
      <c r="R84" s="258"/>
      <c r="S84" s="258"/>
      <c r="T84" s="258"/>
      <c r="U84" s="258"/>
      <c r="V84" s="258"/>
      <c r="W84" s="258"/>
      <c r="X84" s="258"/>
      <c r="Y84" s="258"/>
      <c r="Z84" s="259"/>
    </row>
    <row r="85" spans="1:26" ht="66" customHeight="1" x14ac:dyDescent="0.15">
      <c r="B85" s="256"/>
      <c r="C85" s="82" t="s">
        <v>130</v>
      </c>
      <c r="D85" s="263" t="s">
        <v>185</v>
      </c>
      <c r="E85" s="264"/>
      <c r="F85" s="264"/>
      <c r="G85" s="264"/>
      <c r="H85" s="264"/>
      <c r="I85" s="264"/>
      <c r="J85" s="264"/>
      <c r="K85" s="264"/>
      <c r="L85" s="264"/>
      <c r="M85" s="264"/>
      <c r="N85" s="264"/>
      <c r="O85" s="264"/>
      <c r="P85" s="264"/>
      <c r="Q85" s="264"/>
      <c r="R85" s="264"/>
      <c r="S85" s="264"/>
      <c r="T85" s="264"/>
      <c r="U85" s="264"/>
      <c r="V85" s="264"/>
      <c r="W85" s="264"/>
      <c r="X85" s="264"/>
      <c r="Y85" s="264"/>
      <c r="Z85" s="265"/>
    </row>
    <row r="86" spans="1:26" ht="66" customHeight="1" x14ac:dyDescent="0.15">
      <c r="B86" s="271" t="s">
        <v>137</v>
      </c>
      <c r="C86" s="83" t="s">
        <v>106</v>
      </c>
      <c r="D86" s="273" t="s">
        <v>186</v>
      </c>
      <c r="E86" s="171"/>
      <c r="F86" s="171"/>
      <c r="G86" s="171"/>
      <c r="H86" s="171"/>
      <c r="I86" s="171"/>
      <c r="J86" s="171"/>
      <c r="K86" s="171"/>
      <c r="L86" s="171"/>
      <c r="M86" s="171"/>
      <c r="N86" s="171"/>
      <c r="O86" s="171"/>
      <c r="P86" s="171"/>
      <c r="Q86" s="171"/>
      <c r="R86" s="171"/>
      <c r="S86" s="171"/>
      <c r="T86" s="171"/>
      <c r="U86" s="171"/>
      <c r="V86" s="171"/>
      <c r="W86" s="171"/>
      <c r="X86" s="171"/>
      <c r="Y86" s="171"/>
      <c r="Z86" s="172"/>
    </row>
    <row r="87" spans="1:26" ht="66" customHeight="1" x14ac:dyDescent="0.15">
      <c r="B87" s="289"/>
      <c r="C87" s="81" t="s">
        <v>108</v>
      </c>
      <c r="D87" s="290" t="s">
        <v>187</v>
      </c>
      <c r="E87" s="183"/>
      <c r="F87" s="183"/>
      <c r="G87" s="183"/>
      <c r="H87" s="183"/>
      <c r="I87" s="183"/>
      <c r="J87" s="183"/>
      <c r="K87" s="183"/>
      <c r="L87" s="183"/>
      <c r="M87" s="183"/>
      <c r="N87" s="183"/>
      <c r="O87" s="183"/>
      <c r="P87" s="183"/>
      <c r="Q87" s="183"/>
      <c r="R87" s="183"/>
      <c r="S87" s="183"/>
      <c r="T87" s="183"/>
      <c r="U87" s="183"/>
      <c r="V87" s="183"/>
      <c r="W87" s="183"/>
      <c r="X87" s="183"/>
      <c r="Y87" s="183"/>
      <c r="Z87" s="184"/>
    </row>
    <row r="88" spans="1:26" ht="66" customHeight="1" x14ac:dyDescent="0.15">
      <c r="B88" s="271" t="s">
        <v>138</v>
      </c>
      <c r="C88" s="80" t="s">
        <v>105</v>
      </c>
      <c r="D88" s="291" t="s">
        <v>188</v>
      </c>
      <c r="E88" s="235"/>
      <c r="F88" s="235"/>
      <c r="G88" s="235"/>
      <c r="H88" s="235"/>
      <c r="I88" s="235"/>
      <c r="J88" s="235"/>
      <c r="K88" s="235"/>
      <c r="L88" s="235"/>
      <c r="M88" s="235"/>
      <c r="N88" s="235"/>
      <c r="O88" s="235"/>
      <c r="P88" s="235"/>
      <c r="Q88" s="235"/>
      <c r="R88" s="235"/>
      <c r="S88" s="235"/>
      <c r="T88" s="235"/>
      <c r="U88" s="235"/>
      <c r="V88" s="235"/>
      <c r="W88" s="235"/>
      <c r="X88" s="235"/>
      <c r="Y88" s="235"/>
      <c r="Z88" s="236"/>
    </row>
    <row r="89" spans="1:26" ht="66" customHeight="1" x14ac:dyDescent="0.15">
      <c r="B89" s="272"/>
      <c r="C89" s="81" t="s">
        <v>133</v>
      </c>
      <c r="D89" s="292" t="s">
        <v>189</v>
      </c>
      <c r="E89" s="293"/>
      <c r="F89" s="293"/>
      <c r="G89" s="293"/>
      <c r="H89" s="293"/>
      <c r="I89" s="293"/>
      <c r="J89" s="293"/>
      <c r="K89" s="293"/>
      <c r="L89" s="293"/>
      <c r="M89" s="293"/>
      <c r="N89" s="293"/>
      <c r="O89" s="293"/>
      <c r="P89" s="293"/>
      <c r="Q89" s="293"/>
      <c r="R89" s="293"/>
      <c r="S89" s="293"/>
      <c r="T89" s="293"/>
      <c r="U89" s="293"/>
      <c r="V89" s="293"/>
      <c r="W89" s="293"/>
      <c r="X89" s="293"/>
      <c r="Y89" s="293"/>
      <c r="Z89" s="294"/>
    </row>
    <row r="90" spans="1:26" ht="66" customHeight="1" x14ac:dyDescent="0.15">
      <c r="B90" s="256"/>
      <c r="C90" s="82" t="s">
        <v>134</v>
      </c>
      <c r="D90" s="295" t="s">
        <v>190</v>
      </c>
      <c r="E90" s="296"/>
      <c r="F90" s="296"/>
      <c r="G90" s="296"/>
      <c r="H90" s="296"/>
      <c r="I90" s="296"/>
      <c r="J90" s="296"/>
      <c r="K90" s="296"/>
      <c r="L90" s="296"/>
      <c r="M90" s="296"/>
      <c r="N90" s="296"/>
      <c r="O90" s="296"/>
      <c r="P90" s="296"/>
      <c r="Q90" s="296"/>
      <c r="R90" s="296"/>
      <c r="S90" s="296"/>
      <c r="T90" s="296"/>
      <c r="U90" s="296"/>
      <c r="V90" s="296"/>
      <c r="W90" s="296"/>
      <c r="X90" s="296"/>
      <c r="Y90" s="296"/>
      <c r="Z90" s="297"/>
    </row>
    <row r="91" spans="1:26" ht="6" customHeight="1" x14ac:dyDescent="0.15"/>
    <row r="92" spans="1:26" ht="18.75" customHeight="1" x14ac:dyDescent="0.15">
      <c r="A92" s="13" t="s">
        <v>142</v>
      </c>
    </row>
    <row r="93" spans="1:26" ht="18.75" customHeight="1" x14ac:dyDescent="0.15">
      <c r="B93" s="277" t="s">
        <v>191</v>
      </c>
      <c r="C93" s="278"/>
      <c r="D93" s="278"/>
      <c r="E93" s="278"/>
      <c r="F93" s="278"/>
      <c r="G93" s="278"/>
      <c r="H93" s="278"/>
      <c r="I93" s="278"/>
      <c r="J93" s="278"/>
      <c r="K93" s="278"/>
      <c r="L93" s="278"/>
      <c r="M93" s="278"/>
      <c r="N93" s="278"/>
      <c r="O93" s="278"/>
      <c r="P93" s="278"/>
      <c r="Q93" s="278"/>
      <c r="R93" s="278"/>
      <c r="S93" s="278"/>
      <c r="T93" s="278"/>
      <c r="U93" s="278"/>
      <c r="V93" s="278"/>
      <c r="W93" s="278"/>
      <c r="X93" s="278"/>
      <c r="Y93" s="278"/>
      <c r="Z93" s="279"/>
    </row>
    <row r="94" spans="1:26" ht="18.75" customHeight="1" x14ac:dyDescent="0.15">
      <c r="B94" s="280"/>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2"/>
    </row>
    <row r="95" spans="1:26" ht="18.75" customHeight="1" x14ac:dyDescent="0.15">
      <c r="B95" s="283"/>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5"/>
    </row>
    <row r="96" spans="1:26" ht="6" customHeight="1" x14ac:dyDescent="0.15"/>
    <row r="97" spans="1:26" ht="15" customHeight="1" x14ac:dyDescent="0.15">
      <c r="A97" s="13" t="s">
        <v>143</v>
      </c>
    </row>
    <row r="98" spans="1:26" ht="15" customHeight="1" x14ac:dyDescent="0.15">
      <c r="B98" s="286" t="s">
        <v>235</v>
      </c>
      <c r="C98" s="287"/>
      <c r="D98" s="287"/>
      <c r="E98" s="287"/>
      <c r="F98" s="287"/>
      <c r="G98" s="287"/>
      <c r="H98" s="287"/>
      <c r="I98" s="287"/>
      <c r="J98" s="287"/>
      <c r="K98" s="287"/>
      <c r="L98" s="287"/>
      <c r="M98" s="287"/>
      <c r="N98" s="287"/>
      <c r="O98" s="287"/>
      <c r="P98" s="287"/>
      <c r="Q98" s="287"/>
      <c r="R98" s="287"/>
      <c r="S98" s="287"/>
      <c r="T98" s="287"/>
      <c r="U98" s="287"/>
      <c r="V98" s="287"/>
      <c r="W98" s="287"/>
      <c r="X98" s="287"/>
      <c r="Y98" s="287"/>
      <c r="Z98" s="28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U70:Z71 U74:Z77 T70:T77 G70:G77 H70:M7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49:I55 V27:V33 I38:I44 V38:V44 I16:I22 V49:V55 I27:I33 U60:U66 H60:H66">
      <formula1>"全学開講,一部開講"</formula1>
    </dataValidation>
    <dataValidation type="list" allowBlank="1" showInputMessage="1" showErrorMessage="1" sqref="Y16:Z22 Y27:Z33 Y38:Z44 Y49:Z55 Y60:Z66 T60:T66 K60:M61 U16:U22 H38:H44 U27:U33 H16:H22 U38:U44 L27:M33 U49:U55 L62:M66 L16:M22 H27:H33 L49:M55 H49:H55 L38:M44 G60:G66">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8" zoomScaleNormal="100" zoomScaleSheetLayoutView="100" workbookViewId="0">
      <selection activeCell="F102" sqref="F10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91" t="s">
        <v>157</v>
      </c>
      <c r="X1" s="191"/>
      <c r="Y1" s="191"/>
      <c r="Z1" s="191"/>
    </row>
    <row r="2" spans="1:26" ht="18" customHeight="1" x14ac:dyDescent="0.15">
      <c r="A2" s="192" t="s">
        <v>67</v>
      </c>
      <c r="B2" s="192"/>
      <c r="C2" s="192"/>
      <c r="D2" s="192"/>
      <c r="E2" s="192"/>
      <c r="F2" s="192"/>
      <c r="G2" s="192"/>
      <c r="H2" s="192"/>
      <c r="I2" s="192"/>
      <c r="J2" s="192"/>
      <c r="K2" s="192"/>
      <c r="L2" s="192"/>
      <c r="M2" s="192"/>
      <c r="N2" s="192"/>
      <c r="O2" s="192"/>
      <c r="P2" s="192"/>
      <c r="Q2" s="192"/>
      <c r="R2" s="192"/>
      <c r="S2" s="192"/>
      <c r="T2" s="192"/>
      <c r="U2" s="192"/>
      <c r="V2" s="192"/>
      <c r="W2" s="192"/>
      <c r="X2" s="192"/>
      <c r="Y2" s="192"/>
      <c r="Z2" s="19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36" t="s">
        <v>147</v>
      </c>
      <c r="P4" s="137"/>
      <c r="Q4" s="137"/>
      <c r="R4" s="137"/>
      <c r="S4" s="137"/>
      <c r="T4" s="137"/>
      <c r="U4" s="137"/>
      <c r="V4" s="137"/>
      <c r="W4" s="137"/>
      <c r="X4" s="137"/>
      <c r="Y4" s="137"/>
      <c r="Z4" s="138"/>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312" t="s">
        <v>193</v>
      </c>
      <c r="C6" s="313"/>
      <c r="D6" s="313"/>
      <c r="E6" s="313"/>
      <c r="F6" s="313"/>
      <c r="G6" s="313"/>
      <c r="H6" s="313"/>
      <c r="I6" s="313"/>
      <c r="J6" s="313"/>
      <c r="K6" s="313"/>
      <c r="L6" s="313"/>
      <c r="M6" s="313"/>
      <c r="N6" s="313"/>
      <c r="O6" s="313"/>
      <c r="P6" s="313"/>
      <c r="Q6" s="313"/>
      <c r="R6" s="313"/>
      <c r="S6" s="313"/>
      <c r="T6" s="313"/>
      <c r="U6" s="313"/>
      <c r="V6" s="313"/>
      <c r="W6" s="313"/>
      <c r="X6" s="313"/>
      <c r="Y6" s="313"/>
      <c r="Z6" s="314"/>
    </row>
    <row r="7" spans="1:26" ht="18" customHeight="1" x14ac:dyDescent="0.15">
      <c r="B7" s="315"/>
      <c r="C7" s="316"/>
      <c r="D7" s="316"/>
      <c r="E7" s="316"/>
      <c r="F7" s="316"/>
      <c r="G7" s="316"/>
      <c r="H7" s="316"/>
      <c r="I7" s="316"/>
      <c r="J7" s="316"/>
      <c r="K7" s="316"/>
      <c r="L7" s="316"/>
      <c r="M7" s="316"/>
      <c r="N7" s="316"/>
      <c r="O7" s="316"/>
      <c r="P7" s="316"/>
      <c r="Q7" s="316"/>
      <c r="R7" s="316"/>
      <c r="S7" s="316"/>
      <c r="T7" s="316"/>
      <c r="U7" s="316"/>
      <c r="V7" s="316"/>
      <c r="W7" s="316"/>
      <c r="X7" s="316"/>
      <c r="Y7" s="316"/>
      <c r="Z7" s="317"/>
    </row>
    <row r="8" spans="1:26" ht="18" customHeight="1" x14ac:dyDescent="0.15">
      <c r="B8" s="315"/>
      <c r="C8" s="316"/>
      <c r="D8" s="316"/>
      <c r="E8" s="316"/>
      <c r="F8" s="316"/>
      <c r="G8" s="316"/>
      <c r="H8" s="316"/>
      <c r="I8" s="316"/>
      <c r="J8" s="316"/>
      <c r="K8" s="316"/>
      <c r="L8" s="316"/>
      <c r="M8" s="316"/>
      <c r="N8" s="316"/>
      <c r="O8" s="316"/>
      <c r="P8" s="316"/>
      <c r="Q8" s="316"/>
      <c r="R8" s="316"/>
      <c r="S8" s="316"/>
      <c r="T8" s="316"/>
      <c r="U8" s="316"/>
      <c r="V8" s="316"/>
      <c r="W8" s="316"/>
      <c r="X8" s="316"/>
      <c r="Y8" s="316"/>
      <c r="Z8" s="317"/>
    </row>
    <row r="9" spans="1:26" ht="18" customHeight="1" x14ac:dyDescent="0.15">
      <c r="B9" s="315"/>
      <c r="C9" s="316"/>
      <c r="D9" s="316"/>
      <c r="E9" s="316"/>
      <c r="F9" s="316"/>
      <c r="G9" s="316"/>
      <c r="H9" s="316"/>
      <c r="I9" s="316"/>
      <c r="J9" s="316"/>
      <c r="K9" s="316"/>
      <c r="L9" s="316"/>
      <c r="M9" s="316"/>
      <c r="N9" s="316"/>
      <c r="O9" s="316"/>
      <c r="P9" s="316"/>
      <c r="Q9" s="316"/>
      <c r="R9" s="316"/>
      <c r="S9" s="316"/>
      <c r="T9" s="316"/>
      <c r="U9" s="316"/>
      <c r="V9" s="316"/>
      <c r="W9" s="316"/>
      <c r="X9" s="316"/>
      <c r="Y9" s="316"/>
      <c r="Z9" s="317"/>
    </row>
    <row r="10" spans="1:26" ht="18" customHeight="1" x14ac:dyDescent="0.15">
      <c r="B10" s="315"/>
      <c r="C10" s="318"/>
      <c r="D10" s="318"/>
      <c r="E10" s="318"/>
      <c r="F10" s="318"/>
      <c r="G10" s="318"/>
      <c r="H10" s="318"/>
      <c r="I10" s="318"/>
      <c r="J10" s="318"/>
      <c r="K10" s="318"/>
      <c r="L10" s="318"/>
      <c r="M10" s="318"/>
      <c r="N10" s="318"/>
      <c r="O10" s="318"/>
      <c r="P10" s="318"/>
      <c r="Q10" s="318"/>
      <c r="R10" s="318"/>
      <c r="S10" s="318"/>
      <c r="T10" s="318"/>
      <c r="U10" s="318"/>
      <c r="V10" s="318"/>
      <c r="W10" s="318"/>
      <c r="X10" s="318"/>
      <c r="Y10" s="318"/>
      <c r="Z10" s="317"/>
    </row>
    <row r="11" spans="1:26" ht="18" customHeight="1" x14ac:dyDescent="0.15">
      <c r="B11" s="319"/>
      <c r="C11" s="320"/>
      <c r="D11" s="320"/>
      <c r="E11" s="320"/>
      <c r="F11" s="320"/>
      <c r="G11" s="320"/>
      <c r="H11" s="320"/>
      <c r="I11" s="320"/>
      <c r="J11" s="320"/>
      <c r="K11" s="320"/>
      <c r="L11" s="320"/>
      <c r="M11" s="320"/>
      <c r="N11" s="320"/>
      <c r="O11" s="320"/>
      <c r="P11" s="320"/>
      <c r="Q11" s="320"/>
      <c r="R11" s="320"/>
      <c r="S11" s="320"/>
      <c r="T11" s="320"/>
      <c r="U11" s="320"/>
      <c r="V11" s="320"/>
      <c r="W11" s="320"/>
      <c r="X11" s="320"/>
      <c r="Y11" s="320"/>
      <c r="Z11" s="321"/>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03" t="s">
        <v>124</v>
      </c>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row>
    <row r="14" spans="1:26" ht="18" customHeight="1" x14ac:dyDescent="0.15">
      <c r="A14" s="203"/>
      <c r="B14" s="203"/>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row>
    <row r="15" spans="1:26" ht="18" customHeight="1" x14ac:dyDescent="0.15">
      <c r="A15" s="14"/>
      <c r="B15" s="204" t="s">
        <v>100</v>
      </c>
      <c r="C15" s="205"/>
      <c r="D15" s="205"/>
      <c r="E15" s="205"/>
      <c r="F15" s="206"/>
      <c r="G15" s="30" t="s">
        <v>140</v>
      </c>
      <c r="H15" s="104" t="s">
        <v>139</v>
      </c>
      <c r="I15" s="205" t="s">
        <v>101</v>
      </c>
      <c r="J15" s="205"/>
      <c r="K15" s="205"/>
      <c r="L15" s="75" t="s">
        <v>104</v>
      </c>
      <c r="M15" s="75" t="s">
        <v>107</v>
      </c>
      <c r="N15" s="204" t="s">
        <v>100</v>
      </c>
      <c r="O15" s="205"/>
      <c r="P15" s="205"/>
      <c r="Q15" s="205"/>
      <c r="R15" s="205"/>
      <c r="S15" s="206"/>
      <c r="T15" s="30" t="s">
        <v>140</v>
      </c>
      <c r="U15" s="104" t="s">
        <v>139</v>
      </c>
      <c r="V15" s="205" t="s">
        <v>101</v>
      </c>
      <c r="W15" s="205"/>
      <c r="X15" s="205"/>
      <c r="Y15" s="75" t="s">
        <v>104</v>
      </c>
      <c r="Z15" s="75" t="s">
        <v>107</v>
      </c>
    </row>
    <row r="16" spans="1:26" ht="18" customHeight="1" x14ac:dyDescent="0.15">
      <c r="A16" s="14"/>
      <c r="B16" s="298" t="s">
        <v>234</v>
      </c>
      <c r="C16" s="258"/>
      <c r="D16" s="258"/>
      <c r="E16" s="258"/>
      <c r="F16" s="259"/>
      <c r="G16" s="120">
        <v>1</v>
      </c>
      <c r="H16" s="120" t="s">
        <v>148</v>
      </c>
      <c r="I16" s="173" t="s">
        <v>149</v>
      </c>
      <c r="J16" s="174"/>
      <c r="K16" s="175"/>
      <c r="L16" s="120" t="s">
        <v>148</v>
      </c>
      <c r="M16" s="120" t="s">
        <v>148</v>
      </c>
      <c r="N16" s="176"/>
      <c r="O16" s="177"/>
      <c r="P16" s="177"/>
      <c r="Q16" s="177"/>
      <c r="R16" s="177"/>
      <c r="S16" s="178"/>
      <c r="T16" s="105"/>
      <c r="U16" s="105"/>
      <c r="V16" s="179"/>
      <c r="W16" s="180"/>
      <c r="X16" s="181"/>
      <c r="Y16" s="105"/>
      <c r="Z16" s="105"/>
    </row>
    <row r="17" spans="1:26" ht="18" customHeight="1" x14ac:dyDescent="0.15">
      <c r="A17" s="14"/>
      <c r="B17" s="182" t="s">
        <v>194</v>
      </c>
      <c r="C17" s="183"/>
      <c r="D17" s="183"/>
      <c r="E17" s="183"/>
      <c r="F17" s="184"/>
      <c r="G17" s="118">
        <v>2</v>
      </c>
      <c r="H17" s="118" t="s">
        <v>148</v>
      </c>
      <c r="I17" s="231" t="s">
        <v>154</v>
      </c>
      <c r="J17" s="232"/>
      <c r="K17" s="233"/>
      <c r="L17" s="118" t="s">
        <v>148</v>
      </c>
      <c r="M17" s="118" t="s">
        <v>148</v>
      </c>
      <c r="N17" s="185"/>
      <c r="O17" s="186"/>
      <c r="P17" s="186"/>
      <c r="Q17" s="186"/>
      <c r="R17" s="186"/>
      <c r="S17" s="187"/>
      <c r="T17" s="106"/>
      <c r="U17" s="106"/>
      <c r="V17" s="188"/>
      <c r="W17" s="189"/>
      <c r="X17" s="190"/>
      <c r="Y17" s="106"/>
      <c r="Z17" s="106"/>
    </row>
    <row r="18" spans="1:26" ht="18" customHeight="1" x14ac:dyDescent="0.15">
      <c r="A18" s="14"/>
      <c r="B18" s="182"/>
      <c r="C18" s="183"/>
      <c r="D18" s="183"/>
      <c r="E18" s="183"/>
      <c r="F18" s="184"/>
      <c r="G18" s="118"/>
      <c r="H18" s="118"/>
      <c r="I18" s="231"/>
      <c r="J18" s="232"/>
      <c r="K18" s="233"/>
      <c r="L18" s="118"/>
      <c r="M18" s="118"/>
      <c r="N18" s="185"/>
      <c r="O18" s="186"/>
      <c r="P18" s="186"/>
      <c r="Q18" s="186"/>
      <c r="R18" s="186"/>
      <c r="S18" s="187"/>
      <c r="T18" s="106"/>
      <c r="U18" s="106"/>
      <c r="V18" s="188"/>
      <c r="W18" s="189"/>
      <c r="X18" s="190"/>
      <c r="Y18" s="106"/>
      <c r="Z18" s="106"/>
    </row>
    <row r="19" spans="1:26" ht="18" customHeight="1" x14ac:dyDescent="0.15">
      <c r="A19" s="14"/>
      <c r="B19" s="182"/>
      <c r="C19" s="183"/>
      <c r="D19" s="183"/>
      <c r="E19" s="183"/>
      <c r="F19" s="184"/>
      <c r="G19" s="118"/>
      <c r="H19" s="118"/>
      <c r="I19" s="231"/>
      <c r="J19" s="232"/>
      <c r="K19" s="233"/>
      <c r="L19" s="118"/>
      <c r="M19" s="118"/>
      <c r="N19" s="185"/>
      <c r="O19" s="186"/>
      <c r="P19" s="186"/>
      <c r="Q19" s="186"/>
      <c r="R19" s="186"/>
      <c r="S19" s="187"/>
      <c r="T19" s="106"/>
      <c r="U19" s="106"/>
      <c r="V19" s="188"/>
      <c r="W19" s="189"/>
      <c r="X19" s="190"/>
      <c r="Y19" s="106"/>
      <c r="Z19" s="106"/>
    </row>
    <row r="20" spans="1:26" ht="18" customHeight="1" x14ac:dyDescent="0.15">
      <c r="A20" s="14"/>
      <c r="B20" s="207"/>
      <c r="C20" s="208"/>
      <c r="D20" s="208"/>
      <c r="E20" s="208"/>
      <c r="F20" s="209"/>
      <c r="G20" s="106"/>
      <c r="H20" s="106"/>
      <c r="I20" s="188"/>
      <c r="J20" s="189"/>
      <c r="K20" s="190"/>
      <c r="L20" s="106"/>
      <c r="M20" s="106"/>
      <c r="N20" s="185"/>
      <c r="O20" s="186"/>
      <c r="P20" s="186"/>
      <c r="Q20" s="186"/>
      <c r="R20" s="186"/>
      <c r="S20" s="187"/>
      <c r="T20" s="106"/>
      <c r="U20" s="106"/>
      <c r="V20" s="188"/>
      <c r="W20" s="189"/>
      <c r="X20" s="190"/>
      <c r="Y20" s="106"/>
      <c r="Z20" s="106"/>
    </row>
    <row r="21" spans="1:26" ht="18" customHeight="1" x14ac:dyDescent="0.15">
      <c r="A21" s="29"/>
      <c r="B21" s="207"/>
      <c r="C21" s="208"/>
      <c r="D21" s="208"/>
      <c r="E21" s="208"/>
      <c r="F21" s="209"/>
      <c r="G21" s="106"/>
      <c r="H21" s="106"/>
      <c r="I21" s="188"/>
      <c r="J21" s="189"/>
      <c r="K21" s="190"/>
      <c r="L21" s="106"/>
      <c r="M21" s="106"/>
      <c r="N21" s="185"/>
      <c r="O21" s="186"/>
      <c r="P21" s="186"/>
      <c r="Q21" s="186"/>
      <c r="R21" s="186"/>
      <c r="S21" s="187"/>
      <c r="T21" s="106"/>
      <c r="U21" s="106"/>
      <c r="V21" s="188"/>
      <c r="W21" s="189"/>
      <c r="X21" s="190"/>
      <c r="Y21" s="106"/>
      <c r="Z21" s="106"/>
    </row>
    <row r="22" spans="1:26" ht="18" customHeight="1" x14ac:dyDescent="0.15">
      <c r="A22" s="29"/>
      <c r="B22" s="210"/>
      <c r="C22" s="211"/>
      <c r="D22" s="211"/>
      <c r="E22" s="211"/>
      <c r="F22" s="212"/>
      <c r="G22" s="107"/>
      <c r="H22" s="107"/>
      <c r="I22" s="213"/>
      <c r="J22" s="214"/>
      <c r="K22" s="215"/>
      <c r="L22" s="113"/>
      <c r="M22" s="113"/>
      <c r="N22" s="216"/>
      <c r="O22" s="217"/>
      <c r="P22" s="217"/>
      <c r="Q22" s="217"/>
      <c r="R22" s="217"/>
      <c r="S22" s="218"/>
      <c r="T22" s="107"/>
      <c r="U22" s="107"/>
      <c r="V22" s="213"/>
      <c r="W22" s="214"/>
      <c r="X22" s="215"/>
      <c r="Y22" s="113"/>
      <c r="Z22" s="113"/>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03" t="s">
        <v>125</v>
      </c>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spans="1:26" ht="18" customHeight="1" x14ac:dyDescent="0.15">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row>
    <row r="26" spans="1:26" ht="18" customHeight="1" x14ac:dyDescent="0.15">
      <c r="A26" s="14"/>
      <c r="B26" s="204" t="s">
        <v>100</v>
      </c>
      <c r="C26" s="205"/>
      <c r="D26" s="205"/>
      <c r="E26" s="205"/>
      <c r="F26" s="206"/>
      <c r="G26" s="30" t="s">
        <v>140</v>
      </c>
      <c r="H26" s="104" t="s">
        <v>139</v>
      </c>
      <c r="I26" s="205" t="s">
        <v>101</v>
      </c>
      <c r="J26" s="205"/>
      <c r="K26" s="205"/>
      <c r="L26" s="75" t="s">
        <v>126</v>
      </c>
      <c r="M26" s="75" t="s">
        <v>127</v>
      </c>
      <c r="N26" s="204" t="s">
        <v>100</v>
      </c>
      <c r="O26" s="205"/>
      <c r="P26" s="205"/>
      <c r="Q26" s="205"/>
      <c r="R26" s="205"/>
      <c r="S26" s="206"/>
      <c r="T26" s="30" t="s">
        <v>140</v>
      </c>
      <c r="U26" s="104" t="s">
        <v>139</v>
      </c>
      <c r="V26" s="205" t="s">
        <v>101</v>
      </c>
      <c r="W26" s="205"/>
      <c r="X26" s="205"/>
      <c r="Y26" s="75" t="s">
        <v>126</v>
      </c>
      <c r="Z26" s="75" t="s">
        <v>127</v>
      </c>
    </row>
    <row r="27" spans="1:26" ht="18" customHeight="1" x14ac:dyDescent="0.15">
      <c r="A27" s="14"/>
      <c r="B27" s="298" t="s">
        <v>234</v>
      </c>
      <c r="C27" s="258"/>
      <c r="D27" s="258"/>
      <c r="E27" s="258"/>
      <c r="F27" s="259"/>
      <c r="G27" s="120">
        <v>1</v>
      </c>
      <c r="H27" s="120" t="s">
        <v>148</v>
      </c>
      <c r="I27" s="173" t="s">
        <v>149</v>
      </c>
      <c r="J27" s="174"/>
      <c r="K27" s="175"/>
      <c r="L27" s="120" t="s">
        <v>148</v>
      </c>
      <c r="M27" s="120" t="s">
        <v>148</v>
      </c>
      <c r="N27" s="176"/>
      <c r="O27" s="177"/>
      <c r="P27" s="177"/>
      <c r="Q27" s="177"/>
      <c r="R27" s="177"/>
      <c r="S27" s="178"/>
      <c r="T27" s="105"/>
      <c r="U27" s="105"/>
      <c r="V27" s="179"/>
      <c r="W27" s="180"/>
      <c r="X27" s="181"/>
      <c r="Y27" s="105"/>
      <c r="Z27" s="105"/>
    </row>
    <row r="28" spans="1:26" ht="18" customHeight="1" x14ac:dyDescent="0.15">
      <c r="A28" s="14"/>
      <c r="B28" s="182" t="s">
        <v>194</v>
      </c>
      <c r="C28" s="183"/>
      <c r="D28" s="183"/>
      <c r="E28" s="183"/>
      <c r="F28" s="184"/>
      <c r="G28" s="118">
        <v>2</v>
      </c>
      <c r="H28" s="118" t="s">
        <v>148</v>
      </c>
      <c r="I28" s="231" t="s">
        <v>154</v>
      </c>
      <c r="J28" s="232"/>
      <c r="K28" s="233"/>
      <c r="L28" s="118" t="s">
        <v>148</v>
      </c>
      <c r="M28" s="118" t="s">
        <v>148</v>
      </c>
      <c r="N28" s="185"/>
      <c r="O28" s="186"/>
      <c r="P28" s="186"/>
      <c r="Q28" s="186"/>
      <c r="R28" s="186"/>
      <c r="S28" s="187"/>
      <c r="T28" s="106"/>
      <c r="U28" s="106"/>
      <c r="V28" s="188"/>
      <c r="W28" s="189"/>
      <c r="X28" s="190"/>
      <c r="Y28" s="106"/>
      <c r="Z28" s="106"/>
    </row>
    <row r="29" spans="1:26" ht="18" customHeight="1" x14ac:dyDescent="0.15">
      <c r="A29" s="14"/>
      <c r="B29" s="182"/>
      <c r="C29" s="183"/>
      <c r="D29" s="183"/>
      <c r="E29" s="183"/>
      <c r="F29" s="184"/>
      <c r="G29" s="118"/>
      <c r="H29" s="118"/>
      <c r="I29" s="231"/>
      <c r="J29" s="232"/>
      <c r="K29" s="233"/>
      <c r="L29" s="118"/>
      <c r="M29" s="118"/>
      <c r="N29" s="185"/>
      <c r="O29" s="186"/>
      <c r="P29" s="186"/>
      <c r="Q29" s="186"/>
      <c r="R29" s="186"/>
      <c r="S29" s="187"/>
      <c r="T29" s="106"/>
      <c r="U29" s="106"/>
      <c r="V29" s="188"/>
      <c r="W29" s="189"/>
      <c r="X29" s="190"/>
      <c r="Y29" s="106"/>
      <c r="Z29" s="106"/>
    </row>
    <row r="30" spans="1:26" ht="18" customHeight="1" x14ac:dyDescent="0.15">
      <c r="A30" s="14"/>
      <c r="B30" s="207"/>
      <c r="C30" s="208"/>
      <c r="D30" s="208"/>
      <c r="E30" s="208"/>
      <c r="F30" s="209"/>
      <c r="G30" s="106"/>
      <c r="H30" s="106"/>
      <c r="I30" s="188"/>
      <c r="J30" s="189"/>
      <c r="K30" s="190"/>
      <c r="L30" s="106"/>
      <c r="M30" s="106"/>
      <c r="N30" s="185"/>
      <c r="O30" s="186"/>
      <c r="P30" s="186"/>
      <c r="Q30" s="186"/>
      <c r="R30" s="186"/>
      <c r="S30" s="187"/>
      <c r="T30" s="106"/>
      <c r="U30" s="106"/>
      <c r="V30" s="188"/>
      <c r="W30" s="189"/>
      <c r="X30" s="190"/>
      <c r="Y30" s="106"/>
      <c r="Z30" s="106"/>
    </row>
    <row r="31" spans="1:26" ht="18" customHeight="1" x14ac:dyDescent="0.15">
      <c r="A31" s="14"/>
      <c r="B31" s="207"/>
      <c r="C31" s="208"/>
      <c r="D31" s="208"/>
      <c r="E31" s="208"/>
      <c r="F31" s="209"/>
      <c r="G31" s="106"/>
      <c r="H31" s="106"/>
      <c r="I31" s="188"/>
      <c r="J31" s="189"/>
      <c r="K31" s="190"/>
      <c r="L31" s="106"/>
      <c r="M31" s="106"/>
      <c r="N31" s="185"/>
      <c r="O31" s="186"/>
      <c r="P31" s="186"/>
      <c r="Q31" s="186"/>
      <c r="R31" s="186"/>
      <c r="S31" s="187"/>
      <c r="T31" s="106"/>
      <c r="U31" s="106"/>
      <c r="V31" s="188"/>
      <c r="W31" s="189"/>
      <c r="X31" s="190"/>
      <c r="Y31" s="106"/>
      <c r="Z31" s="106"/>
    </row>
    <row r="32" spans="1:26" ht="18" customHeight="1" x14ac:dyDescent="0.15">
      <c r="A32" s="14"/>
      <c r="B32" s="207"/>
      <c r="C32" s="208"/>
      <c r="D32" s="208"/>
      <c r="E32" s="208"/>
      <c r="F32" s="209"/>
      <c r="G32" s="106"/>
      <c r="H32" s="106"/>
      <c r="I32" s="188"/>
      <c r="J32" s="189"/>
      <c r="K32" s="190"/>
      <c r="L32" s="106"/>
      <c r="M32" s="106"/>
      <c r="N32" s="185"/>
      <c r="O32" s="186"/>
      <c r="P32" s="186"/>
      <c r="Q32" s="186"/>
      <c r="R32" s="186"/>
      <c r="S32" s="187"/>
      <c r="T32" s="106"/>
      <c r="U32" s="106"/>
      <c r="V32" s="188"/>
      <c r="W32" s="189"/>
      <c r="X32" s="190"/>
      <c r="Y32" s="106"/>
      <c r="Z32" s="106"/>
    </row>
    <row r="33" spans="1:26" ht="18" customHeight="1" x14ac:dyDescent="0.15">
      <c r="A33" s="14"/>
      <c r="B33" s="210"/>
      <c r="C33" s="211"/>
      <c r="D33" s="211"/>
      <c r="E33" s="211"/>
      <c r="F33" s="212"/>
      <c r="G33" s="107"/>
      <c r="H33" s="107"/>
      <c r="I33" s="213"/>
      <c r="J33" s="214"/>
      <c r="K33" s="215"/>
      <c r="L33" s="113"/>
      <c r="M33" s="113"/>
      <c r="N33" s="216"/>
      <c r="O33" s="217"/>
      <c r="P33" s="217"/>
      <c r="Q33" s="217"/>
      <c r="R33" s="217"/>
      <c r="S33" s="218"/>
      <c r="T33" s="107"/>
      <c r="U33" s="107"/>
      <c r="V33" s="213"/>
      <c r="W33" s="214"/>
      <c r="X33" s="215"/>
      <c r="Y33" s="113"/>
      <c r="Z33" s="113"/>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03" t="s">
        <v>128</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row>
    <row r="36" spans="1:26" ht="18" customHeight="1" x14ac:dyDescent="0.15">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row>
    <row r="37" spans="1:26" ht="18" customHeight="1" x14ac:dyDescent="0.15">
      <c r="A37" s="14"/>
      <c r="B37" s="204" t="s">
        <v>100</v>
      </c>
      <c r="C37" s="205"/>
      <c r="D37" s="205"/>
      <c r="E37" s="205"/>
      <c r="F37" s="206"/>
      <c r="G37" s="30" t="s">
        <v>140</v>
      </c>
      <c r="H37" s="104" t="s">
        <v>139</v>
      </c>
      <c r="I37" s="204" t="s">
        <v>101</v>
      </c>
      <c r="J37" s="205"/>
      <c r="K37" s="206"/>
      <c r="L37" s="75" t="s">
        <v>129</v>
      </c>
      <c r="M37" s="75" t="s">
        <v>130</v>
      </c>
      <c r="N37" s="204" t="s">
        <v>100</v>
      </c>
      <c r="O37" s="205"/>
      <c r="P37" s="205"/>
      <c r="Q37" s="205"/>
      <c r="R37" s="205"/>
      <c r="S37" s="206"/>
      <c r="T37" s="30" t="s">
        <v>140</v>
      </c>
      <c r="U37" s="104" t="s">
        <v>139</v>
      </c>
      <c r="V37" s="204" t="s">
        <v>101</v>
      </c>
      <c r="W37" s="205"/>
      <c r="X37" s="206"/>
      <c r="Y37" s="75" t="s">
        <v>129</v>
      </c>
      <c r="Z37" s="75" t="s">
        <v>130</v>
      </c>
    </row>
    <row r="38" spans="1:26" ht="18" customHeight="1" x14ac:dyDescent="0.15">
      <c r="A38" s="29"/>
      <c r="B38" s="298" t="s">
        <v>234</v>
      </c>
      <c r="C38" s="258"/>
      <c r="D38" s="258"/>
      <c r="E38" s="258"/>
      <c r="F38" s="259"/>
      <c r="G38" s="120">
        <v>1</v>
      </c>
      <c r="H38" s="120" t="s">
        <v>148</v>
      </c>
      <c r="I38" s="173" t="s">
        <v>149</v>
      </c>
      <c r="J38" s="174"/>
      <c r="K38" s="175"/>
      <c r="L38" s="120" t="s">
        <v>148</v>
      </c>
      <c r="M38" s="120" t="s">
        <v>148</v>
      </c>
      <c r="N38" s="176"/>
      <c r="O38" s="177"/>
      <c r="P38" s="177"/>
      <c r="Q38" s="177"/>
      <c r="R38" s="177"/>
      <c r="S38" s="178"/>
      <c r="T38" s="105"/>
      <c r="U38" s="105"/>
      <c r="V38" s="179"/>
      <c r="W38" s="180"/>
      <c r="X38" s="181"/>
      <c r="Y38" s="105"/>
      <c r="Z38" s="105"/>
    </row>
    <row r="39" spans="1:26" ht="18" customHeight="1" x14ac:dyDescent="0.15">
      <c r="A39" s="29"/>
      <c r="B39" s="182" t="s">
        <v>194</v>
      </c>
      <c r="C39" s="183"/>
      <c r="D39" s="183"/>
      <c r="E39" s="183"/>
      <c r="F39" s="184"/>
      <c r="G39" s="118">
        <v>2</v>
      </c>
      <c r="H39" s="118" t="s">
        <v>148</v>
      </c>
      <c r="I39" s="231" t="s">
        <v>154</v>
      </c>
      <c r="J39" s="232"/>
      <c r="K39" s="233"/>
      <c r="L39" s="118" t="s">
        <v>148</v>
      </c>
      <c r="M39" s="118" t="s">
        <v>148</v>
      </c>
      <c r="N39" s="185"/>
      <c r="O39" s="186"/>
      <c r="P39" s="186"/>
      <c r="Q39" s="186"/>
      <c r="R39" s="186"/>
      <c r="S39" s="187"/>
      <c r="T39" s="106"/>
      <c r="U39" s="106"/>
      <c r="V39" s="188"/>
      <c r="W39" s="189"/>
      <c r="X39" s="190"/>
      <c r="Y39" s="106"/>
      <c r="Z39" s="106"/>
    </row>
    <row r="40" spans="1:26" ht="18" customHeight="1" x14ac:dyDescent="0.15">
      <c r="A40" s="29"/>
      <c r="B40" s="182"/>
      <c r="C40" s="183"/>
      <c r="D40" s="183"/>
      <c r="E40" s="183"/>
      <c r="F40" s="184"/>
      <c r="G40" s="118"/>
      <c r="H40" s="118"/>
      <c r="I40" s="231"/>
      <c r="J40" s="232"/>
      <c r="K40" s="233"/>
      <c r="L40" s="118"/>
      <c r="M40" s="118"/>
      <c r="N40" s="185"/>
      <c r="O40" s="186"/>
      <c r="P40" s="186"/>
      <c r="Q40" s="186"/>
      <c r="R40" s="186"/>
      <c r="S40" s="187"/>
      <c r="T40" s="106"/>
      <c r="U40" s="106"/>
      <c r="V40" s="188"/>
      <c r="W40" s="189"/>
      <c r="X40" s="190"/>
      <c r="Y40" s="106"/>
      <c r="Z40" s="106"/>
    </row>
    <row r="41" spans="1:26" ht="18" customHeight="1" x14ac:dyDescent="0.15">
      <c r="A41" s="29"/>
      <c r="B41" s="182"/>
      <c r="C41" s="183"/>
      <c r="D41" s="183"/>
      <c r="E41" s="183"/>
      <c r="F41" s="184"/>
      <c r="G41" s="118"/>
      <c r="H41" s="118"/>
      <c r="I41" s="231"/>
      <c r="J41" s="232"/>
      <c r="K41" s="233"/>
      <c r="L41" s="118"/>
      <c r="M41" s="118"/>
      <c r="N41" s="185"/>
      <c r="O41" s="186"/>
      <c r="P41" s="186"/>
      <c r="Q41" s="186"/>
      <c r="R41" s="186"/>
      <c r="S41" s="187"/>
      <c r="T41" s="106"/>
      <c r="U41" s="106"/>
      <c r="V41" s="188"/>
      <c r="W41" s="189"/>
      <c r="X41" s="190"/>
      <c r="Y41" s="106"/>
      <c r="Z41" s="106"/>
    </row>
    <row r="42" spans="1:26" ht="18" customHeight="1" x14ac:dyDescent="0.15">
      <c r="A42" s="29"/>
      <c r="B42" s="207"/>
      <c r="C42" s="208"/>
      <c r="D42" s="208"/>
      <c r="E42" s="208"/>
      <c r="F42" s="209"/>
      <c r="G42" s="106"/>
      <c r="H42" s="106"/>
      <c r="I42" s="188"/>
      <c r="J42" s="189"/>
      <c r="K42" s="190"/>
      <c r="L42" s="106"/>
      <c r="M42" s="106"/>
      <c r="N42" s="185"/>
      <c r="O42" s="186"/>
      <c r="P42" s="186"/>
      <c r="Q42" s="186"/>
      <c r="R42" s="186"/>
      <c r="S42" s="187"/>
      <c r="T42" s="106"/>
      <c r="U42" s="106"/>
      <c r="V42" s="188"/>
      <c r="W42" s="189"/>
      <c r="X42" s="190"/>
      <c r="Y42" s="106"/>
      <c r="Z42" s="106"/>
    </row>
    <row r="43" spans="1:26" ht="18" customHeight="1" x14ac:dyDescent="0.15">
      <c r="A43" s="29"/>
      <c r="B43" s="207"/>
      <c r="C43" s="208"/>
      <c r="D43" s="208"/>
      <c r="E43" s="208"/>
      <c r="F43" s="209"/>
      <c r="G43" s="106"/>
      <c r="H43" s="106"/>
      <c r="I43" s="188"/>
      <c r="J43" s="189"/>
      <c r="K43" s="190"/>
      <c r="L43" s="106"/>
      <c r="M43" s="106"/>
      <c r="N43" s="185"/>
      <c r="O43" s="186"/>
      <c r="P43" s="186"/>
      <c r="Q43" s="186"/>
      <c r="R43" s="186"/>
      <c r="S43" s="187"/>
      <c r="T43" s="106"/>
      <c r="U43" s="106"/>
      <c r="V43" s="188"/>
      <c r="W43" s="189"/>
      <c r="X43" s="190"/>
      <c r="Y43" s="106"/>
      <c r="Z43" s="106"/>
    </row>
    <row r="44" spans="1:26" ht="18" customHeight="1" x14ac:dyDescent="0.15">
      <c r="A44" s="29"/>
      <c r="B44" s="210"/>
      <c r="C44" s="211"/>
      <c r="D44" s="211"/>
      <c r="E44" s="211"/>
      <c r="F44" s="212"/>
      <c r="G44" s="107"/>
      <c r="H44" s="107"/>
      <c r="I44" s="213"/>
      <c r="J44" s="214"/>
      <c r="K44" s="215"/>
      <c r="L44" s="113"/>
      <c r="M44" s="113"/>
      <c r="N44" s="216"/>
      <c r="O44" s="217"/>
      <c r="P44" s="217"/>
      <c r="Q44" s="217"/>
      <c r="R44" s="217"/>
      <c r="S44" s="218"/>
      <c r="T44" s="107"/>
      <c r="U44" s="107"/>
      <c r="V44" s="213"/>
      <c r="W44" s="214"/>
      <c r="X44" s="215"/>
      <c r="Y44" s="113"/>
      <c r="Z44" s="113"/>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03" t="s">
        <v>131</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spans="1:26" ht="18" customHeight="1" x14ac:dyDescent="0.15">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spans="1:26" ht="18" customHeight="1" x14ac:dyDescent="0.15">
      <c r="A48" s="14"/>
      <c r="B48" s="204" t="s">
        <v>100</v>
      </c>
      <c r="C48" s="205"/>
      <c r="D48" s="205"/>
      <c r="E48" s="205"/>
      <c r="F48" s="206"/>
      <c r="G48" s="30" t="s">
        <v>140</v>
      </c>
      <c r="H48" s="104" t="s">
        <v>139</v>
      </c>
      <c r="I48" s="204" t="s">
        <v>101</v>
      </c>
      <c r="J48" s="205"/>
      <c r="K48" s="206"/>
      <c r="L48" s="75" t="s">
        <v>106</v>
      </c>
      <c r="M48" s="75" t="s">
        <v>108</v>
      </c>
      <c r="N48" s="204" t="s">
        <v>100</v>
      </c>
      <c r="O48" s="205"/>
      <c r="P48" s="205"/>
      <c r="Q48" s="205"/>
      <c r="R48" s="205"/>
      <c r="S48" s="206"/>
      <c r="T48" s="30" t="s">
        <v>140</v>
      </c>
      <c r="U48" s="104" t="s">
        <v>139</v>
      </c>
      <c r="V48" s="204" t="s">
        <v>101</v>
      </c>
      <c r="W48" s="205"/>
      <c r="X48" s="206"/>
      <c r="Y48" s="75" t="s">
        <v>106</v>
      </c>
      <c r="Z48" s="75" t="s">
        <v>108</v>
      </c>
    </row>
    <row r="49" spans="1:26" ht="18" customHeight="1" x14ac:dyDescent="0.15">
      <c r="A49" s="29"/>
      <c r="B49" s="298" t="s">
        <v>234</v>
      </c>
      <c r="C49" s="258"/>
      <c r="D49" s="258"/>
      <c r="E49" s="258"/>
      <c r="F49" s="259"/>
      <c r="G49" s="120">
        <v>1</v>
      </c>
      <c r="H49" s="120" t="s">
        <v>148</v>
      </c>
      <c r="I49" s="173" t="s">
        <v>149</v>
      </c>
      <c r="J49" s="174"/>
      <c r="K49" s="175"/>
      <c r="L49" s="120" t="s">
        <v>148</v>
      </c>
      <c r="M49" s="120" t="s">
        <v>148</v>
      </c>
      <c r="N49" s="176"/>
      <c r="O49" s="177"/>
      <c r="P49" s="177"/>
      <c r="Q49" s="177"/>
      <c r="R49" s="177"/>
      <c r="S49" s="178"/>
      <c r="T49" s="105"/>
      <c r="U49" s="105"/>
      <c r="V49" s="179"/>
      <c r="W49" s="180"/>
      <c r="X49" s="181"/>
      <c r="Y49" s="105"/>
      <c r="Z49" s="105"/>
    </row>
    <row r="50" spans="1:26" ht="18" customHeight="1" x14ac:dyDescent="0.15">
      <c r="A50" s="29"/>
      <c r="B50" s="182" t="s">
        <v>195</v>
      </c>
      <c r="C50" s="183"/>
      <c r="D50" s="183"/>
      <c r="E50" s="183"/>
      <c r="F50" s="184"/>
      <c r="G50" s="118">
        <v>1</v>
      </c>
      <c r="H50" s="118" t="s">
        <v>148</v>
      </c>
      <c r="I50" s="231" t="s">
        <v>154</v>
      </c>
      <c r="J50" s="232"/>
      <c r="K50" s="233"/>
      <c r="L50" s="118" t="s">
        <v>148</v>
      </c>
      <c r="M50" s="118" t="s">
        <v>148</v>
      </c>
      <c r="N50" s="185"/>
      <c r="O50" s="186"/>
      <c r="P50" s="186"/>
      <c r="Q50" s="186"/>
      <c r="R50" s="186"/>
      <c r="S50" s="187"/>
      <c r="T50" s="106"/>
      <c r="U50" s="106"/>
      <c r="V50" s="188"/>
      <c r="W50" s="189"/>
      <c r="X50" s="190"/>
      <c r="Y50" s="106"/>
      <c r="Z50" s="106"/>
    </row>
    <row r="51" spans="1:26" ht="18" customHeight="1" x14ac:dyDescent="0.15">
      <c r="A51" s="29"/>
      <c r="B51" s="207"/>
      <c r="C51" s="208"/>
      <c r="D51" s="208"/>
      <c r="E51" s="208"/>
      <c r="F51" s="209"/>
      <c r="G51" s="106"/>
      <c r="H51" s="106"/>
      <c r="I51" s="188"/>
      <c r="J51" s="189"/>
      <c r="K51" s="190"/>
      <c r="L51" s="106"/>
      <c r="M51" s="106"/>
      <c r="N51" s="185"/>
      <c r="O51" s="186"/>
      <c r="P51" s="186"/>
      <c r="Q51" s="186"/>
      <c r="R51" s="186"/>
      <c r="S51" s="187"/>
      <c r="T51" s="106"/>
      <c r="U51" s="106"/>
      <c r="V51" s="188"/>
      <c r="W51" s="189"/>
      <c r="X51" s="190"/>
      <c r="Y51" s="106"/>
      <c r="Z51" s="106"/>
    </row>
    <row r="52" spans="1:26" ht="18" customHeight="1" x14ac:dyDescent="0.15">
      <c r="A52" s="29"/>
      <c r="B52" s="207"/>
      <c r="C52" s="208"/>
      <c r="D52" s="208"/>
      <c r="E52" s="208"/>
      <c r="F52" s="209"/>
      <c r="G52" s="106"/>
      <c r="H52" s="106"/>
      <c r="I52" s="188"/>
      <c r="J52" s="189"/>
      <c r="K52" s="190"/>
      <c r="L52" s="106"/>
      <c r="M52" s="106"/>
      <c r="N52" s="185"/>
      <c r="O52" s="186"/>
      <c r="P52" s="186"/>
      <c r="Q52" s="186"/>
      <c r="R52" s="186"/>
      <c r="S52" s="187"/>
      <c r="T52" s="106"/>
      <c r="U52" s="106"/>
      <c r="V52" s="188"/>
      <c r="W52" s="189"/>
      <c r="X52" s="190"/>
      <c r="Y52" s="106"/>
      <c r="Z52" s="106"/>
    </row>
    <row r="53" spans="1:26" ht="18" customHeight="1" x14ac:dyDescent="0.15">
      <c r="A53" s="29"/>
      <c r="B53" s="207"/>
      <c r="C53" s="208"/>
      <c r="D53" s="208"/>
      <c r="E53" s="208"/>
      <c r="F53" s="209"/>
      <c r="G53" s="106"/>
      <c r="H53" s="106"/>
      <c r="I53" s="188"/>
      <c r="J53" s="189"/>
      <c r="K53" s="190"/>
      <c r="L53" s="106"/>
      <c r="M53" s="106"/>
      <c r="N53" s="185"/>
      <c r="O53" s="186"/>
      <c r="P53" s="186"/>
      <c r="Q53" s="186"/>
      <c r="R53" s="186"/>
      <c r="S53" s="187"/>
      <c r="T53" s="106"/>
      <c r="U53" s="106"/>
      <c r="V53" s="188"/>
      <c r="W53" s="189"/>
      <c r="X53" s="190"/>
      <c r="Y53" s="106"/>
      <c r="Z53" s="106"/>
    </row>
    <row r="54" spans="1:26" ht="18" customHeight="1" x14ac:dyDescent="0.15">
      <c r="A54" s="29"/>
      <c r="B54" s="207"/>
      <c r="C54" s="208"/>
      <c r="D54" s="208"/>
      <c r="E54" s="208"/>
      <c r="F54" s="209"/>
      <c r="G54" s="106"/>
      <c r="H54" s="106"/>
      <c r="I54" s="188"/>
      <c r="J54" s="189"/>
      <c r="K54" s="190"/>
      <c r="L54" s="106"/>
      <c r="M54" s="106"/>
      <c r="N54" s="185"/>
      <c r="O54" s="186"/>
      <c r="P54" s="186"/>
      <c r="Q54" s="186"/>
      <c r="R54" s="186"/>
      <c r="S54" s="187"/>
      <c r="T54" s="106"/>
      <c r="U54" s="106"/>
      <c r="V54" s="188"/>
      <c r="W54" s="189"/>
      <c r="X54" s="190"/>
      <c r="Y54" s="106"/>
      <c r="Z54" s="106"/>
    </row>
    <row r="55" spans="1:26" ht="18" customHeight="1" x14ac:dyDescent="0.15">
      <c r="A55" s="29"/>
      <c r="B55" s="210"/>
      <c r="C55" s="211"/>
      <c r="D55" s="211"/>
      <c r="E55" s="211"/>
      <c r="F55" s="212"/>
      <c r="G55" s="107"/>
      <c r="H55" s="107"/>
      <c r="I55" s="213"/>
      <c r="J55" s="214"/>
      <c r="K55" s="215"/>
      <c r="L55" s="113"/>
      <c r="M55" s="113"/>
      <c r="N55" s="216"/>
      <c r="O55" s="217"/>
      <c r="P55" s="217"/>
      <c r="Q55" s="217"/>
      <c r="R55" s="217"/>
      <c r="S55" s="218"/>
      <c r="T55" s="107"/>
      <c r="U55" s="107"/>
      <c r="V55" s="213"/>
      <c r="W55" s="214"/>
      <c r="X55" s="215"/>
      <c r="Y55" s="113"/>
      <c r="Z55" s="113"/>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03" t="s">
        <v>132</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spans="1:26" ht="18" customHeight="1" x14ac:dyDescent="0.15">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spans="1:26" ht="18" customHeight="1" x14ac:dyDescent="0.15">
      <c r="A59" s="14"/>
      <c r="B59" s="204" t="s">
        <v>100</v>
      </c>
      <c r="C59" s="205"/>
      <c r="D59" s="205"/>
      <c r="E59" s="206"/>
      <c r="F59" s="30" t="s">
        <v>140</v>
      </c>
      <c r="G59" s="104" t="s">
        <v>139</v>
      </c>
      <c r="H59" s="99" t="s">
        <v>101</v>
      </c>
      <c r="I59" s="100"/>
      <c r="J59" s="101"/>
      <c r="K59" s="75" t="s">
        <v>105</v>
      </c>
      <c r="L59" s="75" t="s">
        <v>133</v>
      </c>
      <c r="M59" s="75" t="s">
        <v>134</v>
      </c>
      <c r="N59" s="204" t="s">
        <v>100</v>
      </c>
      <c r="O59" s="205"/>
      <c r="P59" s="205"/>
      <c r="Q59" s="205"/>
      <c r="R59" s="206"/>
      <c r="S59" s="30" t="s">
        <v>140</v>
      </c>
      <c r="T59" s="104" t="s">
        <v>139</v>
      </c>
      <c r="U59" s="99" t="s">
        <v>101</v>
      </c>
      <c r="V59" s="100"/>
      <c r="W59" s="101"/>
      <c r="X59" s="75" t="s">
        <v>105</v>
      </c>
      <c r="Y59" s="75" t="s">
        <v>133</v>
      </c>
      <c r="Z59" s="75" t="s">
        <v>134</v>
      </c>
    </row>
    <row r="60" spans="1:26" ht="18" customHeight="1" x14ac:dyDescent="0.15">
      <c r="A60" s="29"/>
      <c r="B60" s="228" t="s">
        <v>234</v>
      </c>
      <c r="C60" s="229"/>
      <c r="D60" s="229"/>
      <c r="E60" s="230"/>
      <c r="F60" s="120">
        <v>1</v>
      </c>
      <c r="G60" s="120" t="s">
        <v>148</v>
      </c>
      <c r="H60" s="231" t="s">
        <v>149</v>
      </c>
      <c r="I60" s="232"/>
      <c r="J60" s="233"/>
      <c r="K60" s="123"/>
      <c r="L60" s="118" t="s">
        <v>148</v>
      </c>
      <c r="M60" s="118" t="s">
        <v>148</v>
      </c>
      <c r="N60" s="176"/>
      <c r="O60" s="177"/>
      <c r="P60" s="177"/>
      <c r="Q60" s="177"/>
      <c r="R60" s="178"/>
      <c r="S60" s="105"/>
      <c r="T60" s="105"/>
      <c r="U60" s="179"/>
      <c r="V60" s="180"/>
      <c r="W60" s="181"/>
      <c r="X60" s="112"/>
      <c r="Y60" s="105"/>
      <c r="Z60" s="105"/>
    </row>
    <row r="61" spans="1:26" ht="18" customHeight="1" x14ac:dyDescent="0.15">
      <c r="A61" s="29"/>
      <c r="B61" s="228" t="s">
        <v>194</v>
      </c>
      <c r="C61" s="229"/>
      <c r="D61" s="229"/>
      <c r="E61" s="230"/>
      <c r="F61" s="118">
        <v>2</v>
      </c>
      <c r="G61" s="118" t="s">
        <v>148</v>
      </c>
      <c r="H61" s="231" t="s">
        <v>154</v>
      </c>
      <c r="I61" s="232"/>
      <c r="J61" s="233"/>
      <c r="K61" s="118"/>
      <c r="L61" s="118" t="s">
        <v>148</v>
      </c>
      <c r="M61" s="118" t="s">
        <v>148</v>
      </c>
      <c r="N61" s="185"/>
      <c r="O61" s="186"/>
      <c r="P61" s="186"/>
      <c r="Q61" s="186"/>
      <c r="R61" s="187"/>
      <c r="S61" s="106"/>
      <c r="T61" s="106"/>
      <c r="U61" s="188"/>
      <c r="V61" s="189"/>
      <c r="W61" s="190"/>
      <c r="X61" s="110"/>
      <c r="Y61" s="106"/>
      <c r="Z61" s="106"/>
    </row>
    <row r="62" spans="1:26" ht="18" customHeight="1" x14ac:dyDescent="0.15">
      <c r="A62" s="29"/>
      <c r="B62" s="228" t="s">
        <v>195</v>
      </c>
      <c r="C62" s="229"/>
      <c r="D62" s="229"/>
      <c r="E62" s="230"/>
      <c r="F62" s="118">
        <v>1</v>
      </c>
      <c r="G62" s="118" t="s">
        <v>148</v>
      </c>
      <c r="H62" s="231" t="s">
        <v>154</v>
      </c>
      <c r="I62" s="232"/>
      <c r="J62" s="233"/>
      <c r="K62" s="118"/>
      <c r="L62" s="118" t="s">
        <v>148</v>
      </c>
      <c r="M62" s="118" t="s">
        <v>148</v>
      </c>
      <c r="N62" s="185"/>
      <c r="O62" s="186"/>
      <c r="P62" s="186"/>
      <c r="Q62" s="186"/>
      <c r="R62" s="187"/>
      <c r="S62" s="106"/>
      <c r="T62" s="106"/>
      <c r="U62" s="188"/>
      <c r="V62" s="189"/>
      <c r="W62" s="190"/>
      <c r="X62" s="110"/>
      <c r="Y62" s="106"/>
      <c r="Z62" s="106"/>
    </row>
    <row r="63" spans="1:26" ht="18" customHeight="1" x14ac:dyDescent="0.15">
      <c r="A63" s="29"/>
      <c r="B63" s="228" t="s">
        <v>153</v>
      </c>
      <c r="C63" s="229"/>
      <c r="D63" s="229"/>
      <c r="E63" s="230"/>
      <c r="F63" s="118">
        <v>1</v>
      </c>
      <c r="G63" s="118" t="s">
        <v>148</v>
      </c>
      <c r="H63" s="231" t="s">
        <v>154</v>
      </c>
      <c r="I63" s="232"/>
      <c r="J63" s="233"/>
      <c r="K63" s="118" t="s">
        <v>148</v>
      </c>
      <c r="L63" s="118" t="s">
        <v>148</v>
      </c>
      <c r="M63" s="118" t="s">
        <v>148</v>
      </c>
      <c r="N63" s="185"/>
      <c r="O63" s="186"/>
      <c r="P63" s="186"/>
      <c r="Q63" s="186"/>
      <c r="R63" s="187"/>
      <c r="S63" s="106"/>
      <c r="T63" s="106"/>
      <c r="U63" s="188"/>
      <c r="V63" s="189"/>
      <c r="W63" s="190"/>
      <c r="X63" s="110"/>
      <c r="Y63" s="106"/>
      <c r="Z63" s="106"/>
    </row>
    <row r="64" spans="1:26" ht="18" customHeight="1" x14ac:dyDescent="0.15">
      <c r="A64" s="29"/>
      <c r="B64" s="228"/>
      <c r="C64" s="229"/>
      <c r="D64" s="229"/>
      <c r="E64" s="230"/>
      <c r="F64" s="118"/>
      <c r="G64" s="118"/>
      <c r="H64" s="231"/>
      <c r="I64" s="232"/>
      <c r="J64" s="233"/>
      <c r="K64" s="118"/>
      <c r="L64" s="118"/>
      <c r="M64" s="118"/>
      <c r="N64" s="185"/>
      <c r="O64" s="186"/>
      <c r="P64" s="186"/>
      <c r="Q64" s="186"/>
      <c r="R64" s="187"/>
      <c r="S64" s="106"/>
      <c r="T64" s="106"/>
      <c r="U64" s="188"/>
      <c r="V64" s="189"/>
      <c r="W64" s="190"/>
      <c r="X64" s="110"/>
      <c r="Y64" s="106"/>
      <c r="Z64" s="106"/>
    </row>
    <row r="65" spans="1:26" ht="18" customHeight="1" x14ac:dyDescent="0.15">
      <c r="A65" s="29"/>
      <c r="B65" s="185"/>
      <c r="C65" s="186"/>
      <c r="D65" s="186"/>
      <c r="E65" s="187"/>
      <c r="F65" s="106"/>
      <c r="G65" s="106"/>
      <c r="H65" s="188"/>
      <c r="I65" s="189"/>
      <c r="J65" s="190"/>
      <c r="K65" s="110"/>
      <c r="L65" s="106"/>
      <c r="M65" s="106"/>
      <c r="N65" s="185"/>
      <c r="O65" s="186"/>
      <c r="P65" s="186"/>
      <c r="Q65" s="186"/>
      <c r="R65" s="187"/>
      <c r="S65" s="106"/>
      <c r="T65" s="106"/>
      <c r="U65" s="188"/>
      <c r="V65" s="189"/>
      <c r="W65" s="190"/>
      <c r="X65" s="110"/>
      <c r="Y65" s="106"/>
      <c r="Z65" s="106"/>
    </row>
    <row r="66" spans="1:26" ht="18" customHeight="1" x14ac:dyDescent="0.15">
      <c r="A66" s="29"/>
      <c r="B66" s="216"/>
      <c r="C66" s="217"/>
      <c r="D66" s="217"/>
      <c r="E66" s="218"/>
      <c r="F66" s="107"/>
      <c r="G66" s="107"/>
      <c r="H66" s="213"/>
      <c r="I66" s="214"/>
      <c r="J66" s="215"/>
      <c r="K66" s="111"/>
      <c r="L66" s="113"/>
      <c r="M66" s="113"/>
      <c r="N66" s="216"/>
      <c r="O66" s="217"/>
      <c r="P66" s="217"/>
      <c r="Q66" s="217"/>
      <c r="R66" s="218"/>
      <c r="S66" s="107"/>
      <c r="T66" s="107"/>
      <c r="U66" s="213"/>
      <c r="V66" s="214"/>
      <c r="W66" s="215"/>
      <c r="X66" s="111"/>
      <c r="Y66" s="113"/>
      <c r="Z66" s="113"/>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204" t="s">
        <v>100</v>
      </c>
      <c r="C69" s="205"/>
      <c r="D69" s="205"/>
      <c r="E69" s="205"/>
      <c r="F69" s="206"/>
      <c r="G69" s="204" t="s">
        <v>145</v>
      </c>
      <c r="H69" s="205"/>
      <c r="I69" s="205"/>
      <c r="J69" s="205"/>
      <c r="K69" s="205"/>
      <c r="L69" s="205"/>
      <c r="M69" s="206"/>
      <c r="N69" s="252" t="s">
        <v>100</v>
      </c>
      <c r="O69" s="253"/>
      <c r="P69" s="253"/>
      <c r="Q69" s="253"/>
      <c r="R69" s="253"/>
      <c r="S69" s="254"/>
      <c r="T69" s="204" t="s">
        <v>145</v>
      </c>
      <c r="U69" s="205"/>
      <c r="V69" s="205"/>
      <c r="W69" s="205"/>
      <c r="X69" s="205"/>
      <c r="Y69" s="205"/>
      <c r="Z69" s="206"/>
    </row>
    <row r="70" spans="1:26" ht="18" customHeight="1" x14ac:dyDescent="0.15">
      <c r="A70" s="29"/>
      <c r="B70" s="176"/>
      <c r="C70" s="177"/>
      <c r="D70" s="177"/>
      <c r="E70" s="177"/>
      <c r="F70" s="178"/>
      <c r="G70" s="240"/>
      <c r="H70" s="241"/>
      <c r="I70" s="241"/>
      <c r="J70" s="241"/>
      <c r="K70" s="241"/>
      <c r="L70" s="241"/>
      <c r="M70" s="242"/>
      <c r="N70" s="176"/>
      <c r="O70" s="177"/>
      <c r="P70" s="177"/>
      <c r="Q70" s="177"/>
      <c r="R70" s="177"/>
      <c r="S70" s="178"/>
      <c r="T70" s="240"/>
      <c r="U70" s="241"/>
      <c r="V70" s="241"/>
      <c r="W70" s="241"/>
      <c r="X70" s="241"/>
      <c r="Y70" s="241"/>
      <c r="Z70" s="242"/>
    </row>
    <row r="71" spans="1:26" ht="18" customHeight="1" x14ac:dyDescent="0.15">
      <c r="A71" s="29"/>
      <c r="B71" s="185"/>
      <c r="C71" s="186"/>
      <c r="D71" s="186"/>
      <c r="E71" s="186"/>
      <c r="F71" s="187"/>
      <c r="G71" s="249"/>
      <c r="H71" s="250"/>
      <c r="I71" s="250"/>
      <c r="J71" s="250"/>
      <c r="K71" s="250"/>
      <c r="L71" s="250"/>
      <c r="M71" s="251"/>
      <c r="N71" s="185"/>
      <c r="O71" s="186"/>
      <c r="P71" s="186"/>
      <c r="Q71" s="186"/>
      <c r="R71" s="186"/>
      <c r="S71" s="187"/>
      <c r="T71" s="249"/>
      <c r="U71" s="250"/>
      <c r="V71" s="250"/>
      <c r="W71" s="250"/>
      <c r="X71" s="250"/>
      <c r="Y71" s="250"/>
      <c r="Z71" s="251"/>
    </row>
    <row r="72" spans="1:26" ht="18" customHeight="1" x14ac:dyDescent="0.15">
      <c r="A72" s="29"/>
      <c r="B72" s="185"/>
      <c r="C72" s="186"/>
      <c r="D72" s="186"/>
      <c r="E72" s="186"/>
      <c r="F72" s="187"/>
      <c r="G72" s="249"/>
      <c r="H72" s="250"/>
      <c r="I72" s="250"/>
      <c r="J72" s="250"/>
      <c r="K72" s="250"/>
      <c r="L72" s="250"/>
      <c r="M72" s="251"/>
      <c r="N72" s="185"/>
      <c r="O72" s="186"/>
      <c r="P72" s="186"/>
      <c r="Q72" s="186"/>
      <c r="R72" s="186"/>
      <c r="S72" s="187"/>
      <c r="T72" s="249"/>
      <c r="U72" s="250"/>
      <c r="V72" s="250"/>
      <c r="W72" s="250"/>
      <c r="X72" s="250"/>
      <c r="Y72" s="250"/>
      <c r="Z72" s="251"/>
    </row>
    <row r="73" spans="1:26" ht="18" customHeight="1" x14ac:dyDescent="0.15">
      <c r="A73" s="29"/>
      <c r="B73" s="185"/>
      <c r="C73" s="186"/>
      <c r="D73" s="186"/>
      <c r="E73" s="186"/>
      <c r="F73" s="187"/>
      <c r="G73" s="249"/>
      <c r="H73" s="250"/>
      <c r="I73" s="250"/>
      <c r="J73" s="250"/>
      <c r="K73" s="250"/>
      <c r="L73" s="250"/>
      <c r="M73" s="251"/>
      <c r="N73" s="185"/>
      <c r="O73" s="186"/>
      <c r="P73" s="186"/>
      <c r="Q73" s="186"/>
      <c r="R73" s="186"/>
      <c r="S73" s="187"/>
      <c r="T73" s="249"/>
      <c r="U73" s="250"/>
      <c r="V73" s="250"/>
      <c r="W73" s="250"/>
      <c r="X73" s="250"/>
      <c r="Y73" s="250"/>
      <c r="Z73" s="251"/>
    </row>
    <row r="74" spans="1:26" ht="18" customHeight="1" x14ac:dyDescent="0.15">
      <c r="A74" s="29"/>
      <c r="B74" s="185"/>
      <c r="C74" s="186"/>
      <c r="D74" s="186"/>
      <c r="E74" s="186"/>
      <c r="F74" s="187"/>
      <c r="G74" s="249"/>
      <c r="H74" s="250"/>
      <c r="I74" s="250"/>
      <c r="J74" s="250"/>
      <c r="K74" s="250"/>
      <c r="L74" s="250"/>
      <c r="M74" s="251"/>
      <c r="N74" s="185"/>
      <c r="O74" s="186"/>
      <c r="P74" s="186"/>
      <c r="Q74" s="186"/>
      <c r="R74" s="186"/>
      <c r="S74" s="187"/>
      <c r="T74" s="249"/>
      <c r="U74" s="250"/>
      <c r="V74" s="250"/>
      <c r="W74" s="250"/>
      <c r="X74" s="250"/>
      <c r="Y74" s="250"/>
      <c r="Z74" s="251"/>
    </row>
    <row r="75" spans="1:26" ht="18" customHeight="1" x14ac:dyDescent="0.15">
      <c r="A75" s="29"/>
      <c r="B75" s="185"/>
      <c r="C75" s="186"/>
      <c r="D75" s="186"/>
      <c r="E75" s="186"/>
      <c r="F75" s="187"/>
      <c r="G75" s="249"/>
      <c r="H75" s="250"/>
      <c r="I75" s="250"/>
      <c r="J75" s="250"/>
      <c r="K75" s="250"/>
      <c r="L75" s="250"/>
      <c r="M75" s="251"/>
      <c r="N75" s="185"/>
      <c r="O75" s="186"/>
      <c r="P75" s="186"/>
      <c r="Q75" s="186"/>
      <c r="R75" s="186"/>
      <c r="S75" s="187"/>
      <c r="T75" s="249"/>
      <c r="U75" s="250"/>
      <c r="V75" s="250"/>
      <c r="W75" s="250"/>
      <c r="X75" s="250"/>
      <c r="Y75" s="250"/>
      <c r="Z75" s="251"/>
    </row>
    <row r="76" spans="1:26" ht="18" customHeight="1" x14ac:dyDescent="0.15">
      <c r="A76" s="29"/>
      <c r="B76" s="216"/>
      <c r="C76" s="217"/>
      <c r="D76" s="217"/>
      <c r="E76" s="217"/>
      <c r="F76" s="218"/>
      <c r="G76" s="266"/>
      <c r="H76" s="267"/>
      <c r="I76" s="267"/>
      <c r="J76" s="267"/>
      <c r="K76" s="267"/>
      <c r="L76" s="267"/>
      <c r="M76" s="268"/>
      <c r="N76" s="216"/>
      <c r="O76" s="217"/>
      <c r="P76" s="217"/>
      <c r="Q76" s="217"/>
      <c r="R76" s="217"/>
      <c r="S76" s="218"/>
      <c r="T76" s="266"/>
      <c r="U76" s="267"/>
      <c r="V76" s="267"/>
      <c r="W76" s="267"/>
      <c r="X76" s="267"/>
      <c r="Y76" s="267"/>
      <c r="Z76" s="268"/>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141</v>
      </c>
    </row>
    <row r="79" spans="1:26" ht="18.75" customHeight="1" x14ac:dyDescent="0.15">
      <c r="B79" s="78" t="s">
        <v>102</v>
      </c>
      <c r="C79" s="79"/>
      <c r="D79" s="269" t="s">
        <v>103</v>
      </c>
      <c r="E79" s="269"/>
      <c r="F79" s="269"/>
      <c r="G79" s="269"/>
      <c r="H79" s="269"/>
      <c r="I79" s="269"/>
      <c r="J79" s="269"/>
      <c r="K79" s="269"/>
      <c r="L79" s="269"/>
      <c r="M79" s="269"/>
      <c r="N79" s="269"/>
      <c r="O79" s="269"/>
      <c r="P79" s="269"/>
      <c r="Q79" s="269"/>
      <c r="R79" s="269"/>
      <c r="S79" s="269"/>
      <c r="T79" s="269"/>
      <c r="U79" s="269"/>
      <c r="V79" s="269"/>
      <c r="W79" s="269"/>
      <c r="X79" s="269"/>
      <c r="Y79" s="269"/>
      <c r="Z79" s="270"/>
    </row>
    <row r="80" spans="1:26" ht="78" customHeight="1" x14ac:dyDescent="0.15">
      <c r="B80" s="271" t="s">
        <v>109</v>
      </c>
      <c r="C80" s="83" t="s">
        <v>104</v>
      </c>
      <c r="D80" s="325" t="s">
        <v>196</v>
      </c>
      <c r="E80" s="326"/>
      <c r="F80" s="326"/>
      <c r="G80" s="326"/>
      <c r="H80" s="326"/>
      <c r="I80" s="326"/>
      <c r="J80" s="326"/>
      <c r="K80" s="326"/>
      <c r="L80" s="326"/>
      <c r="M80" s="326"/>
      <c r="N80" s="326"/>
      <c r="O80" s="326"/>
      <c r="P80" s="326"/>
      <c r="Q80" s="326"/>
      <c r="R80" s="326"/>
      <c r="S80" s="326"/>
      <c r="T80" s="326"/>
      <c r="U80" s="326"/>
      <c r="V80" s="326"/>
      <c r="W80" s="326"/>
      <c r="X80" s="326"/>
      <c r="Y80" s="326"/>
      <c r="Z80" s="327"/>
    </row>
    <row r="81" spans="1:26" ht="78" customHeight="1" x14ac:dyDescent="0.15">
      <c r="B81" s="272"/>
      <c r="C81" s="102" t="s">
        <v>136</v>
      </c>
      <c r="D81" s="274" t="s">
        <v>214</v>
      </c>
      <c r="E81" s="275"/>
      <c r="F81" s="275"/>
      <c r="G81" s="275"/>
      <c r="H81" s="275"/>
      <c r="I81" s="275"/>
      <c r="J81" s="275"/>
      <c r="K81" s="275"/>
      <c r="L81" s="275"/>
      <c r="M81" s="275"/>
      <c r="N81" s="275"/>
      <c r="O81" s="275"/>
      <c r="P81" s="275"/>
      <c r="Q81" s="275"/>
      <c r="R81" s="275"/>
      <c r="S81" s="275"/>
      <c r="T81" s="275"/>
      <c r="U81" s="275"/>
      <c r="V81" s="275"/>
      <c r="W81" s="275"/>
      <c r="X81" s="275"/>
      <c r="Y81" s="275"/>
      <c r="Z81" s="276"/>
    </row>
    <row r="82" spans="1:26" ht="78" customHeight="1" x14ac:dyDescent="0.15">
      <c r="B82" s="255" t="s">
        <v>110</v>
      </c>
      <c r="C82" s="80" t="s">
        <v>126</v>
      </c>
      <c r="D82" s="257" t="s">
        <v>197</v>
      </c>
      <c r="E82" s="258"/>
      <c r="F82" s="258"/>
      <c r="G82" s="258"/>
      <c r="H82" s="258"/>
      <c r="I82" s="258"/>
      <c r="J82" s="258"/>
      <c r="K82" s="258"/>
      <c r="L82" s="258"/>
      <c r="M82" s="258"/>
      <c r="N82" s="258"/>
      <c r="O82" s="258"/>
      <c r="P82" s="258"/>
      <c r="Q82" s="258"/>
      <c r="R82" s="258"/>
      <c r="S82" s="258"/>
      <c r="T82" s="258"/>
      <c r="U82" s="258"/>
      <c r="V82" s="258"/>
      <c r="W82" s="258"/>
      <c r="X82" s="258"/>
      <c r="Y82" s="258"/>
      <c r="Z82" s="259"/>
    </row>
    <row r="83" spans="1:26" ht="78" customHeight="1" x14ac:dyDescent="0.15">
      <c r="B83" s="256"/>
      <c r="C83" s="103" t="s">
        <v>127</v>
      </c>
      <c r="D83" s="260" t="s">
        <v>198</v>
      </c>
      <c r="E83" s="261"/>
      <c r="F83" s="261"/>
      <c r="G83" s="261"/>
      <c r="H83" s="261"/>
      <c r="I83" s="261"/>
      <c r="J83" s="261"/>
      <c r="K83" s="261"/>
      <c r="L83" s="261"/>
      <c r="M83" s="261"/>
      <c r="N83" s="261"/>
      <c r="O83" s="261"/>
      <c r="P83" s="261"/>
      <c r="Q83" s="261"/>
      <c r="R83" s="261"/>
      <c r="S83" s="261"/>
      <c r="T83" s="261"/>
      <c r="U83" s="261"/>
      <c r="V83" s="261"/>
      <c r="W83" s="261"/>
      <c r="X83" s="261"/>
      <c r="Y83" s="261"/>
      <c r="Z83" s="262"/>
    </row>
    <row r="84" spans="1:26" ht="66" customHeight="1" x14ac:dyDescent="0.15">
      <c r="B84" s="255" t="s">
        <v>111</v>
      </c>
      <c r="C84" s="80" t="s">
        <v>129</v>
      </c>
      <c r="D84" s="309" t="s">
        <v>199</v>
      </c>
      <c r="E84" s="310"/>
      <c r="F84" s="310"/>
      <c r="G84" s="310"/>
      <c r="H84" s="310"/>
      <c r="I84" s="310"/>
      <c r="J84" s="310"/>
      <c r="K84" s="310"/>
      <c r="L84" s="310"/>
      <c r="M84" s="310"/>
      <c r="N84" s="310"/>
      <c r="O84" s="310"/>
      <c r="P84" s="310"/>
      <c r="Q84" s="310"/>
      <c r="R84" s="310"/>
      <c r="S84" s="310"/>
      <c r="T84" s="310"/>
      <c r="U84" s="310"/>
      <c r="V84" s="310"/>
      <c r="W84" s="310"/>
      <c r="X84" s="310"/>
      <c r="Y84" s="310"/>
      <c r="Z84" s="311"/>
    </row>
    <row r="85" spans="1:26" ht="66" customHeight="1" x14ac:dyDescent="0.15">
      <c r="B85" s="256"/>
      <c r="C85" s="82" t="s">
        <v>130</v>
      </c>
      <c r="D85" s="263" t="s">
        <v>200</v>
      </c>
      <c r="E85" s="264"/>
      <c r="F85" s="264"/>
      <c r="G85" s="264"/>
      <c r="H85" s="264"/>
      <c r="I85" s="264"/>
      <c r="J85" s="264"/>
      <c r="K85" s="264"/>
      <c r="L85" s="264"/>
      <c r="M85" s="264"/>
      <c r="N85" s="264"/>
      <c r="O85" s="264"/>
      <c r="P85" s="264"/>
      <c r="Q85" s="264"/>
      <c r="R85" s="264"/>
      <c r="S85" s="264"/>
      <c r="T85" s="264"/>
      <c r="U85" s="264"/>
      <c r="V85" s="264"/>
      <c r="W85" s="264"/>
      <c r="X85" s="264"/>
      <c r="Y85" s="264"/>
      <c r="Z85" s="265"/>
    </row>
    <row r="86" spans="1:26" ht="66" customHeight="1" x14ac:dyDescent="0.15">
      <c r="B86" s="271" t="s">
        <v>137</v>
      </c>
      <c r="C86" s="83" t="s">
        <v>106</v>
      </c>
      <c r="D86" s="322" t="s">
        <v>201</v>
      </c>
      <c r="E86" s="323"/>
      <c r="F86" s="323"/>
      <c r="G86" s="323"/>
      <c r="H86" s="323"/>
      <c r="I86" s="323"/>
      <c r="J86" s="323"/>
      <c r="K86" s="323"/>
      <c r="L86" s="323"/>
      <c r="M86" s="323"/>
      <c r="N86" s="323"/>
      <c r="O86" s="323"/>
      <c r="P86" s="323"/>
      <c r="Q86" s="323"/>
      <c r="R86" s="323"/>
      <c r="S86" s="323"/>
      <c r="T86" s="323"/>
      <c r="U86" s="323"/>
      <c r="V86" s="323"/>
      <c r="W86" s="323"/>
      <c r="X86" s="323"/>
      <c r="Y86" s="323"/>
      <c r="Z86" s="324"/>
    </row>
    <row r="87" spans="1:26" ht="66" customHeight="1" x14ac:dyDescent="0.15">
      <c r="B87" s="289"/>
      <c r="C87" s="81" t="s">
        <v>108</v>
      </c>
      <c r="D87" s="290" t="s">
        <v>202</v>
      </c>
      <c r="E87" s="183"/>
      <c r="F87" s="183"/>
      <c r="G87" s="183"/>
      <c r="H87" s="183"/>
      <c r="I87" s="183"/>
      <c r="J87" s="183"/>
      <c r="K87" s="183"/>
      <c r="L87" s="183"/>
      <c r="M87" s="183"/>
      <c r="N87" s="183"/>
      <c r="O87" s="183"/>
      <c r="P87" s="183"/>
      <c r="Q87" s="183"/>
      <c r="R87" s="183"/>
      <c r="S87" s="183"/>
      <c r="T87" s="183"/>
      <c r="U87" s="183"/>
      <c r="V87" s="183"/>
      <c r="W87" s="183"/>
      <c r="X87" s="183"/>
      <c r="Y87" s="183"/>
      <c r="Z87" s="184"/>
    </row>
    <row r="88" spans="1:26" ht="66" customHeight="1" x14ac:dyDescent="0.15">
      <c r="B88" s="271" t="s">
        <v>138</v>
      </c>
      <c r="C88" s="80" t="s">
        <v>105</v>
      </c>
      <c r="D88" s="291" t="s">
        <v>203</v>
      </c>
      <c r="E88" s="235"/>
      <c r="F88" s="235"/>
      <c r="G88" s="235"/>
      <c r="H88" s="235"/>
      <c r="I88" s="235"/>
      <c r="J88" s="235"/>
      <c r="K88" s="235"/>
      <c r="L88" s="235"/>
      <c r="M88" s="235"/>
      <c r="N88" s="235"/>
      <c r="O88" s="235"/>
      <c r="P88" s="235"/>
      <c r="Q88" s="235"/>
      <c r="R88" s="235"/>
      <c r="S88" s="235"/>
      <c r="T88" s="235"/>
      <c r="U88" s="235"/>
      <c r="V88" s="235"/>
      <c r="W88" s="235"/>
      <c r="X88" s="235"/>
      <c r="Y88" s="235"/>
      <c r="Z88" s="236"/>
    </row>
    <row r="89" spans="1:26" ht="71.25" customHeight="1" x14ac:dyDescent="0.15">
      <c r="B89" s="272"/>
      <c r="C89" s="81" t="s">
        <v>133</v>
      </c>
      <c r="D89" s="292" t="s">
        <v>204</v>
      </c>
      <c r="E89" s="293"/>
      <c r="F89" s="293"/>
      <c r="G89" s="293"/>
      <c r="H89" s="293"/>
      <c r="I89" s="293"/>
      <c r="J89" s="293"/>
      <c r="K89" s="293"/>
      <c r="L89" s="293"/>
      <c r="M89" s="293"/>
      <c r="N89" s="293"/>
      <c r="O89" s="293"/>
      <c r="P89" s="293"/>
      <c r="Q89" s="293"/>
      <c r="R89" s="293"/>
      <c r="S89" s="293"/>
      <c r="T89" s="293"/>
      <c r="U89" s="293"/>
      <c r="V89" s="293"/>
      <c r="W89" s="293"/>
      <c r="X89" s="293"/>
      <c r="Y89" s="293"/>
      <c r="Z89" s="294"/>
    </row>
    <row r="90" spans="1:26" ht="71.25" customHeight="1" x14ac:dyDescent="0.15">
      <c r="B90" s="256"/>
      <c r="C90" s="82" t="s">
        <v>134</v>
      </c>
      <c r="D90" s="295" t="s">
        <v>205</v>
      </c>
      <c r="E90" s="296"/>
      <c r="F90" s="296"/>
      <c r="G90" s="296"/>
      <c r="H90" s="296"/>
      <c r="I90" s="296"/>
      <c r="J90" s="296"/>
      <c r="K90" s="296"/>
      <c r="L90" s="296"/>
      <c r="M90" s="296"/>
      <c r="N90" s="296"/>
      <c r="O90" s="296"/>
      <c r="P90" s="296"/>
      <c r="Q90" s="296"/>
      <c r="R90" s="296"/>
      <c r="S90" s="296"/>
      <c r="T90" s="296"/>
      <c r="U90" s="296"/>
      <c r="V90" s="296"/>
      <c r="W90" s="296"/>
      <c r="X90" s="296"/>
      <c r="Y90" s="296"/>
      <c r="Z90" s="297"/>
    </row>
    <row r="91" spans="1:26" ht="6" customHeight="1" x14ac:dyDescent="0.15"/>
    <row r="92" spans="1:26" ht="18.75" customHeight="1" x14ac:dyDescent="0.15">
      <c r="A92" s="13" t="s">
        <v>142</v>
      </c>
    </row>
    <row r="93" spans="1:26" ht="18.75" customHeight="1" x14ac:dyDescent="0.15">
      <c r="B93" s="277" t="s">
        <v>206</v>
      </c>
      <c r="C93" s="299"/>
      <c r="D93" s="299"/>
      <c r="E93" s="299"/>
      <c r="F93" s="299"/>
      <c r="G93" s="299"/>
      <c r="H93" s="299"/>
      <c r="I93" s="299"/>
      <c r="J93" s="299"/>
      <c r="K93" s="299"/>
      <c r="L93" s="299"/>
      <c r="M93" s="299"/>
      <c r="N93" s="299"/>
      <c r="O93" s="299"/>
      <c r="P93" s="299"/>
      <c r="Q93" s="299"/>
      <c r="R93" s="299"/>
      <c r="S93" s="299"/>
      <c r="T93" s="299"/>
      <c r="U93" s="299"/>
      <c r="V93" s="299"/>
      <c r="W93" s="299"/>
      <c r="X93" s="299"/>
      <c r="Y93" s="299"/>
      <c r="Z93" s="300"/>
    </row>
    <row r="94" spans="1:26" ht="18.75" customHeight="1" x14ac:dyDescent="0.15">
      <c r="B94" s="301"/>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3"/>
    </row>
    <row r="95" spans="1:26" ht="18.75" customHeight="1" x14ac:dyDescent="0.15">
      <c r="B95" s="304"/>
      <c r="C95" s="305"/>
      <c r="D95" s="305"/>
      <c r="E95" s="305"/>
      <c r="F95" s="305"/>
      <c r="G95" s="305"/>
      <c r="H95" s="305"/>
      <c r="I95" s="305"/>
      <c r="J95" s="305"/>
      <c r="K95" s="305"/>
      <c r="L95" s="305"/>
      <c r="M95" s="305"/>
      <c r="N95" s="305"/>
      <c r="O95" s="305"/>
      <c r="P95" s="305"/>
      <c r="Q95" s="305"/>
      <c r="R95" s="305"/>
      <c r="S95" s="305"/>
      <c r="T95" s="305"/>
      <c r="U95" s="305"/>
      <c r="V95" s="305"/>
      <c r="W95" s="305"/>
      <c r="X95" s="305"/>
      <c r="Y95" s="305"/>
      <c r="Z95" s="306"/>
    </row>
    <row r="96" spans="1:26" ht="6" customHeight="1" x14ac:dyDescent="0.15"/>
    <row r="97" spans="1:26" ht="15" customHeight="1" x14ac:dyDescent="0.15">
      <c r="A97" s="13" t="s">
        <v>143</v>
      </c>
    </row>
    <row r="98" spans="1:26" ht="15" customHeight="1" x14ac:dyDescent="0.15">
      <c r="B98" s="421" t="s">
        <v>236</v>
      </c>
      <c r="C98" s="307"/>
      <c r="D98" s="307"/>
      <c r="E98" s="307"/>
      <c r="F98" s="307"/>
      <c r="G98" s="307"/>
      <c r="H98" s="307"/>
      <c r="I98" s="307"/>
      <c r="J98" s="307"/>
      <c r="K98" s="307"/>
      <c r="L98" s="307"/>
      <c r="M98" s="307"/>
      <c r="N98" s="307"/>
      <c r="O98" s="307"/>
      <c r="P98" s="307"/>
      <c r="Q98" s="307"/>
      <c r="R98" s="307"/>
      <c r="S98" s="307"/>
      <c r="T98" s="307"/>
      <c r="U98" s="307"/>
      <c r="V98" s="307"/>
      <c r="W98" s="307"/>
      <c r="X98" s="307"/>
      <c r="Y98" s="307"/>
      <c r="Z98" s="308"/>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Y38:Z44 H49:H55 Y49:Z55 Y60:Z66 T60:T66 L60:M60 U16:U22 U38:U44 Y27:Z33 U49:U55 L65:M66 L49:M55 G60:G66 L27:M33 U27:U33 H27:H33 H16:H22 K61:M64 L16:M22 L38:M44 H38:H44">
      <formula1>"○"</formula1>
    </dataValidation>
    <dataValidation type="list" allowBlank="1" showInputMessage="1" showErrorMessage="1" sqref="Z23 Z34 D34:K34 D23:K23 V16:V22 I49:I55 I16:I22 V38:V44 H60:H66 V49:V55 V27:V33 U60:U66 I27:I33 I38:I44">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E12" sqref="E12"/>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328" t="s">
        <v>63</v>
      </c>
      <c r="G1" s="328"/>
      <c r="H1" s="328"/>
      <c r="I1" s="328"/>
      <c r="J1" s="328"/>
      <c r="K1" s="328"/>
      <c r="L1" s="328"/>
      <c r="M1" s="328"/>
      <c r="N1" s="328"/>
      <c r="O1" s="328"/>
      <c r="P1" s="328"/>
      <c r="Q1" s="328"/>
      <c r="R1" s="328"/>
    </row>
    <row r="2" spans="1:20" ht="18" customHeight="1" x14ac:dyDescent="0.15">
      <c r="A2" s="329" t="s">
        <v>89</v>
      </c>
      <c r="B2" s="329"/>
      <c r="C2" s="329"/>
      <c r="D2" s="329"/>
      <c r="E2" s="329"/>
      <c r="F2" s="329"/>
      <c r="G2" s="329"/>
      <c r="H2" s="329"/>
      <c r="I2" s="329"/>
      <c r="J2" s="329"/>
      <c r="K2" s="329"/>
      <c r="L2" s="329"/>
      <c r="M2" s="329"/>
      <c r="N2" s="329"/>
      <c r="O2" s="329"/>
      <c r="P2" s="329"/>
      <c r="Q2" s="329"/>
      <c r="R2" s="329"/>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146</v>
      </c>
      <c r="B4" s="4"/>
      <c r="C4" s="330" t="s">
        <v>152</v>
      </c>
      <c r="D4" s="331"/>
      <c r="E4" s="38" t="s">
        <v>113</v>
      </c>
      <c r="F4" s="38"/>
      <c r="G4" s="38"/>
      <c r="H4" s="38"/>
      <c r="I4" s="38"/>
      <c r="J4" s="84"/>
      <c r="K4" s="38"/>
      <c r="L4" s="38"/>
      <c r="M4" s="108"/>
      <c r="N4" s="108"/>
      <c r="O4" s="108"/>
      <c r="P4" s="108"/>
      <c r="Q4" s="108"/>
      <c r="R4" s="108"/>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144</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332" t="s">
        <v>79</v>
      </c>
      <c r="C8" s="334" t="s">
        <v>84</v>
      </c>
      <c r="D8" s="336" t="s">
        <v>68</v>
      </c>
      <c r="E8" s="338" t="s">
        <v>90</v>
      </c>
      <c r="F8" s="338"/>
      <c r="G8" s="338" t="s">
        <v>91</v>
      </c>
      <c r="H8" s="338"/>
      <c r="I8" s="338" t="s">
        <v>92</v>
      </c>
      <c r="J8" s="338"/>
      <c r="K8" s="339" t="s">
        <v>93</v>
      </c>
      <c r="L8" s="340"/>
      <c r="M8" s="339" t="s">
        <v>94</v>
      </c>
      <c r="N8" s="340"/>
      <c r="O8" s="339" t="s">
        <v>95</v>
      </c>
      <c r="P8" s="340"/>
      <c r="Q8" s="341" t="s">
        <v>62</v>
      </c>
      <c r="R8" s="343" t="s">
        <v>56</v>
      </c>
      <c r="T8" s="34"/>
    </row>
    <row r="9" spans="1:20" ht="18" customHeight="1" x14ac:dyDescent="0.15">
      <c r="A9" s="4"/>
      <c r="B9" s="333"/>
      <c r="C9" s="335"/>
      <c r="D9" s="337"/>
      <c r="E9" s="43" t="s">
        <v>44</v>
      </c>
      <c r="F9" s="44" t="s">
        <v>43</v>
      </c>
      <c r="G9" s="45" t="s">
        <v>44</v>
      </c>
      <c r="H9" s="46" t="s">
        <v>43</v>
      </c>
      <c r="I9" s="43" t="s">
        <v>44</v>
      </c>
      <c r="J9" s="44" t="s">
        <v>43</v>
      </c>
      <c r="K9" s="45" t="s">
        <v>44</v>
      </c>
      <c r="L9" s="46" t="s">
        <v>43</v>
      </c>
      <c r="M9" s="43" t="s">
        <v>44</v>
      </c>
      <c r="N9" s="44" t="s">
        <v>43</v>
      </c>
      <c r="O9" s="45" t="s">
        <v>44</v>
      </c>
      <c r="P9" s="46" t="s">
        <v>43</v>
      </c>
      <c r="Q9" s="342"/>
      <c r="R9" s="344"/>
      <c r="T9" s="34"/>
    </row>
    <row r="10" spans="1:20" ht="18" customHeight="1" x14ac:dyDescent="0.15">
      <c r="A10" s="47"/>
      <c r="B10" s="85" t="s">
        <v>150</v>
      </c>
      <c r="C10" s="47">
        <v>110</v>
      </c>
      <c r="D10" s="48">
        <v>660</v>
      </c>
      <c r="E10" s="121">
        <v>113</v>
      </c>
      <c r="F10" s="122">
        <v>113</v>
      </c>
      <c r="G10" s="51"/>
      <c r="H10" s="52"/>
      <c r="I10" s="49"/>
      <c r="J10" s="50"/>
      <c r="K10" s="51"/>
      <c r="L10" s="52"/>
      <c r="M10" s="49"/>
      <c r="N10" s="50"/>
      <c r="O10" s="51"/>
      <c r="P10" s="52"/>
      <c r="Q10" s="53">
        <f>E10+G10+I10+K10+M10+O10</f>
        <v>113</v>
      </c>
      <c r="R10" s="54">
        <f>Q10/D10</f>
        <v>0.1712121212121212</v>
      </c>
    </row>
    <row r="11" spans="1:20" ht="18" customHeight="1" x14ac:dyDescent="0.15">
      <c r="A11" s="47"/>
      <c r="B11" s="86" t="s">
        <v>151</v>
      </c>
      <c r="C11" s="63">
        <v>90</v>
      </c>
      <c r="D11" s="56">
        <v>360</v>
      </c>
      <c r="E11" s="124">
        <v>87</v>
      </c>
      <c r="F11" s="125">
        <v>0</v>
      </c>
      <c r="G11" s="59"/>
      <c r="H11" s="60"/>
      <c r="I11" s="57"/>
      <c r="J11" s="58"/>
      <c r="K11" s="59"/>
      <c r="L11" s="60"/>
      <c r="M11" s="57"/>
      <c r="N11" s="58"/>
      <c r="O11" s="59"/>
      <c r="P11" s="60"/>
      <c r="Q11" s="61">
        <f t="shared" ref="Q11:Q29" si="0">E11+G11+I11+K11+M11+O11</f>
        <v>87</v>
      </c>
      <c r="R11" s="62">
        <f t="shared" ref="R11:R29" si="1">Q11/D11</f>
        <v>0.24166666666666667</v>
      </c>
    </row>
    <row r="12" spans="1:20" ht="18" customHeight="1" x14ac:dyDescent="0.15">
      <c r="A12" s="47"/>
      <c r="B12" s="86"/>
      <c r="C12" s="63"/>
      <c r="D12" s="56"/>
      <c r="E12" s="124"/>
      <c r="F12" s="125"/>
      <c r="G12" s="59"/>
      <c r="H12" s="60"/>
      <c r="I12" s="57"/>
      <c r="J12" s="58"/>
      <c r="K12" s="59"/>
      <c r="L12" s="60"/>
      <c r="M12" s="57"/>
      <c r="N12" s="58"/>
      <c r="O12" s="59"/>
      <c r="P12" s="60"/>
      <c r="Q12" s="61">
        <f t="shared" si="0"/>
        <v>0</v>
      </c>
      <c r="R12" s="62" t="e">
        <f t="shared" si="1"/>
        <v>#DIV/0!</v>
      </c>
    </row>
    <row r="13" spans="1:20" ht="18" customHeight="1" x14ac:dyDescent="0.15">
      <c r="A13" s="47"/>
      <c r="B13" s="86"/>
      <c r="C13" s="63"/>
      <c r="D13" s="56"/>
      <c r="E13" s="57"/>
      <c r="F13" s="58"/>
      <c r="G13" s="59"/>
      <c r="H13" s="60"/>
      <c r="I13" s="57"/>
      <c r="J13" s="58"/>
      <c r="K13" s="59"/>
      <c r="L13" s="60"/>
      <c r="M13" s="57"/>
      <c r="N13" s="58"/>
      <c r="O13" s="59"/>
      <c r="P13" s="60"/>
      <c r="Q13" s="61">
        <f t="shared" si="0"/>
        <v>0</v>
      </c>
      <c r="R13" s="62" t="e">
        <f t="shared" si="1"/>
        <v>#DIV/0!</v>
      </c>
    </row>
    <row r="14" spans="1:20" ht="18" customHeight="1" x14ac:dyDescent="0.15">
      <c r="A14" s="47"/>
      <c r="B14" s="86"/>
      <c r="C14" s="63"/>
      <c r="D14" s="56"/>
      <c r="E14" s="57"/>
      <c r="F14" s="58"/>
      <c r="G14" s="59"/>
      <c r="H14" s="60"/>
      <c r="I14" s="57"/>
      <c r="J14" s="58"/>
      <c r="K14" s="59"/>
      <c r="L14" s="60"/>
      <c r="M14" s="57"/>
      <c r="N14" s="58"/>
      <c r="O14" s="59"/>
      <c r="P14" s="60"/>
      <c r="Q14" s="61">
        <f t="shared" si="0"/>
        <v>0</v>
      </c>
      <c r="R14" s="62" t="e">
        <f t="shared" si="1"/>
        <v>#DIV/0!</v>
      </c>
    </row>
    <row r="15" spans="1:20" ht="18" customHeight="1" x14ac:dyDescent="0.15">
      <c r="A15" s="47"/>
      <c r="B15" s="86"/>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6"/>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6"/>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6"/>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6"/>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6"/>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6"/>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6"/>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6"/>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6"/>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6"/>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6"/>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6"/>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6"/>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7"/>
      <c r="C29" s="88"/>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89" t="s">
        <v>57</v>
      </c>
      <c r="C30" s="90">
        <f t="shared" ref="C30:Q30" si="2">SUM(C10:C29)</f>
        <v>200</v>
      </c>
      <c r="D30" s="65">
        <f t="shared" si="2"/>
        <v>1020</v>
      </c>
      <c r="E30" s="66">
        <f t="shared" si="2"/>
        <v>200</v>
      </c>
      <c r="F30" s="67">
        <f t="shared" si="2"/>
        <v>113</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200</v>
      </c>
      <c r="R30" s="71">
        <f>Q30/D30</f>
        <v>0.19607843137254902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19" zoomScaleNormal="100" zoomScaleSheetLayoutView="100" workbookViewId="0">
      <selection activeCell="B31" sqref="B31:J4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329" t="s">
        <v>64</v>
      </c>
      <c r="B2" s="329"/>
      <c r="C2" s="329"/>
      <c r="D2" s="329"/>
      <c r="E2" s="329"/>
      <c r="F2" s="329"/>
      <c r="G2" s="329"/>
      <c r="H2" s="329"/>
      <c r="I2" s="329"/>
      <c r="J2" s="329"/>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366" t="s">
        <v>155</v>
      </c>
      <c r="C5" s="367"/>
      <c r="D5" s="367"/>
      <c r="E5" s="367"/>
      <c r="F5" s="367"/>
      <c r="G5" s="367"/>
      <c r="H5" s="367"/>
      <c r="I5" s="367"/>
      <c r="J5" s="368"/>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1"/>
      <c r="B8" s="369" t="s">
        <v>156</v>
      </c>
      <c r="C8" s="370"/>
      <c r="D8" s="370"/>
      <c r="E8" s="370"/>
      <c r="F8" s="370"/>
      <c r="G8" s="370"/>
      <c r="H8" s="370"/>
      <c r="I8" s="371"/>
      <c r="J8" s="372"/>
      <c r="K8" s="31" t="str">
        <f>IF(B8="","入力してください","")</f>
        <v/>
      </c>
    </row>
    <row r="9" spans="1:11" s="4" customFormat="1" ht="18.75" customHeight="1" x14ac:dyDescent="0.15">
      <c r="A9" s="91"/>
      <c r="B9" s="373"/>
      <c r="C9" s="374"/>
      <c r="D9" s="374"/>
      <c r="E9" s="374"/>
      <c r="F9" s="374"/>
      <c r="G9" s="374"/>
      <c r="H9" s="374"/>
      <c r="I9" s="374"/>
      <c r="J9" s="375"/>
      <c r="K9" s="31"/>
    </row>
    <row r="10" spans="1:11" s="4" customFormat="1" ht="18.75" customHeight="1" x14ac:dyDescent="0.15">
      <c r="A10" s="91"/>
      <c r="B10" s="373"/>
      <c r="C10" s="374"/>
      <c r="D10" s="374"/>
      <c r="E10" s="374"/>
      <c r="F10" s="374"/>
      <c r="G10" s="374"/>
      <c r="H10" s="374"/>
      <c r="I10" s="374"/>
      <c r="J10" s="375"/>
      <c r="K10" s="31"/>
    </row>
    <row r="11" spans="1:11" s="4" customFormat="1" ht="18.75" customHeight="1" x14ac:dyDescent="0.15">
      <c r="A11" s="91"/>
      <c r="B11" s="373"/>
      <c r="C11" s="374"/>
      <c r="D11" s="374"/>
      <c r="E11" s="374"/>
      <c r="F11" s="374"/>
      <c r="G11" s="374"/>
      <c r="H11" s="374"/>
      <c r="I11" s="374"/>
      <c r="J11" s="375"/>
      <c r="K11" s="31"/>
    </row>
    <row r="12" spans="1:11" s="4" customFormat="1" ht="18.75" customHeight="1" x14ac:dyDescent="0.15">
      <c r="A12" s="91"/>
      <c r="B12" s="376"/>
      <c r="C12" s="377"/>
      <c r="D12" s="377"/>
      <c r="E12" s="377"/>
      <c r="F12" s="377"/>
      <c r="G12" s="377"/>
      <c r="H12" s="377"/>
      <c r="I12" s="377"/>
      <c r="J12" s="378"/>
      <c r="K12" s="31"/>
    </row>
    <row r="13" spans="1:11" s="4" customFormat="1" ht="7.5" customHeight="1" x14ac:dyDescent="0.15">
      <c r="A13" s="91"/>
      <c r="B13" s="91"/>
      <c r="C13" s="91"/>
      <c r="D13" s="91"/>
      <c r="E13" s="91"/>
      <c r="F13" s="91"/>
      <c r="G13" s="91"/>
      <c r="H13" s="91"/>
      <c r="I13" s="91"/>
      <c r="J13" s="91"/>
      <c r="K13" s="31"/>
    </row>
    <row r="14" spans="1:11" s="4" customFormat="1" ht="18.75" customHeight="1" x14ac:dyDescent="0.15">
      <c r="A14" s="92" t="s">
        <v>10</v>
      </c>
      <c r="B14" s="92" t="s">
        <v>15</v>
      </c>
      <c r="C14" s="92"/>
      <c r="D14" s="92"/>
      <c r="E14" s="92"/>
      <c r="F14" s="92"/>
      <c r="G14" s="92"/>
      <c r="H14" s="92"/>
      <c r="I14" s="92"/>
      <c r="J14" s="92"/>
      <c r="K14" s="31"/>
    </row>
    <row r="15" spans="1:11" s="4" customFormat="1" ht="18.75" customHeight="1" x14ac:dyDescent="0.15">
      <c r="A15" s="91"/>
      <c r="B15" s="369" t="s">
        <v>209</v>
      </c>
      <c r="C15" s="370"/>
      <c r="D15" s="370"/>
      <c r="E15" s="370"/>
      <c r="F15" s="370"/>
      <c r="G15" s="370"/>
      <c r="H15" s="370"/>
      <c r="I15" s="371"/>
      <c r="J15" s="372"/>
      <c r="K15" s="31" t="str">
        <f>IF(B15="","入力してください","")</f>
        <v/>
      </c>
    </row>
    <row r="16" spans="1:11" s="4" customFormat="1" ht="18.75" customHeight="1" x14ac:dyDescent="0.15">
      <c r="A16" s="91"/>
      <c r="B16" s="373"/>
      <c r="C16" s="374"/>
      <c r="D16" s="374"/>
      <c r="E16" s="374"/>
      <c r="F16" s="374"/>
      <c r="G16" s="374"/>
      <c r="H16" s="374"/>
      <c r="I16" s="374"/>
      <c r="J16" s="375"/>
      <c r="K16" s="31"/>
    </row>
    <row r="17" spans="1:11" s="4" customFormat="1" ht="18.75" customHeight="1" x14ac:dyDescent="0.15">
      <c r="A17" s="91"/>
      <c r="B17" s="373"/>
      <c r="C17" s="374"/>
      <c r="D17" s="374"/>
      <c r="E17" s="374"/>
      <c r="F17" s="374"/>
      <c r="G17" s="374"/>
      <c r="H17" s="374"/>
      <c r="I17" s="374"/>
      <c r="J17" s="375"/>
      <c r="K17" s="31"/>
    </row>
    <row r="18" spans="1:11" s="4" customFormat="1" ht="18.75" customHeight="1" x14ac:dyDescent="0.15">
      <c r="A18" s="91"/>
      <c r="B18" s="373"/>
      <c r="C18" s="374"/>
      <c r="D18" s="374"/>
      <c r="E18" s="374"/>
      <c r="F18" s="374"/>
      <c r="G18" s="374"/>
      <c r="H18" s="374"/>
      <c r="I18" s="374"/>
      <c r="J18" s="375"/>
      <c r="K18" s="31"/>
    </row>
    <row r="19" spans="1:11" s="4" customFormat="1" ht="18.75" customHeight="1" x14ac:dyDescent="0.15">
      <c r="A19" s="91"/>
      <c r="B19" s="373"/>
      <c r="C19" s="374"/>
      <c r="D19" s="374"/>
      <c r="E19" s="374"/>
      <c r="F19" s="374"/>
      <c r="G19" s="374"/>
      <c r="H19" s="374"/>
      <c r="I19" s="374"/>
      <c r="J19" s="375"/>
      <c r="K19" s="31"/>
    </row>
    <row r="20" spans="1:11" s="4" customFormat="1" ht="18.75" customHeight="1" x14ac:dyDescent="0.15">
      <c r="A20" s="91"/>
      <c r="B20" s="373"/>
      <c r="C20" s="374"/>
      <c r="D20" s="374"/>
      <c r="E20" s="374"/>
      <c r="F20" s="374"/>
      <c r="G20" s="374"/>
      <c r="H20" s="374"/>
      <c r="I20" s="374"/>
      <c r="J20" s="375"/>
      <c r="K20" s="31"/>
    </row>
    <row r="21" spans="1:11" s="4" customFormat="1" ht="18.75" customHeight="1" x14ac:dyDescent="0.15">
      <c r="A21" s="91"/>
      <c r="B21" s="373"/>
      <c r="C21" s="374"/>
      <c r="D21" s="374"/>
      <c r="E21" s="374"/>
      <c r="F21" s="374"/>
      <c r="G21" s="374"/>
      <c r="H21" s="374"/>
      <c r="I21" s="374"/>
      <c r="J21" s="375"/>
      <c r="K21" s="31"/>
    </row>
    <row r="22" spans="1:11" s="4" customFormat="1" ht="18.75" customHeight="1" x14ac:dyDescent="0.15">
      <c r="A22" s="91"/>
      <c r="B22" s="373"/>
      <c r="C22" s="374"/>
      <c r="D22" s="374"/>
      <c r="E22" s="374"/>
      <c r="F22" s="374"/>
      <c r="G22" s="374"/>
      <c r="H22" s="374"/>
      <c r="I22" s="374"/>
      <c r="J22" s="375"/>
      <c r="K22" s="31"/>
    </row>
    <row r="23" spans="1:11" s="4" customFormat="1" ht="18.75" customHeight="1" x14ac:dyDescent="0.15">
      <c r="A23" s="91"/>
      <c r="B23" s="373"/>
      <c r="C23" s="374"/>
      <c r="D23" s="374"/>
      <c r="E23" s="374"/>
      <c r="F23" s="374"/>
      <c r="G23" s="374"/>
      <c r="H23" s="374"/>
      <c r="I23" s="374"/>
      <c r="J23" s="375"/>
      <c r="K23" s="31"/>
    </row>
    <row r="24" spans="1:11" s="4" customFormat="1" ht="18.75" customHeight="1" x14ac:dyDescent="0.15">
      <c r="A24" s="91"/>
      <c r="B24" s="373"/>
      <c r="C24" s="374"/>
      <c r="D24" s="374"/>
      <c r="E24" s="374"/>
      <c r="F24" s="374"/>
      <c r="G24" s="374"/>
      <c r="H24" s="374"/>
      <c r="I24" s="374"/>
      <c r="J24" s="375"/>
      <c r="K24" s="31"/>
    </row>
    <row r="25" spans="1:11" s="4" customFormat="1" ht="18.75" customHeight="1" x14ac:dyDescent="0.15">
      <c r="A25" s="91"/>
      <c r="B25" s="376"/>
      <c r="C25" s="377"/>
      <c r="D25" s="377"/>
      <c r="E25" s="377"/>
      <c r="F25" s="377"/>
      <c r="G25" s="377"/>
      <c r="H25" s="377"/>
      <c r="I25" s="377"/>
      <c r="J25" s="378"/>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126" t="s">
        <v>116</v>
      </c>
      <c r="C28" s="127">
        <f>'様式３　履修者等数の実績'!R30</f>
        <v>0.19607843137254902</v>
      </c>
      <c r="D28" s="128"/>
      <c r="E28" s="128" t="s">
        <v>117</v>
      </c>
      <c r="F28" s="127">
        <v>0.39</v>
      </c>
      <c r="G28" s="128"/>
      <c r="H28" s="128" t="s">
        <v>118</v>
      </c>
      <c r="I28" s="129">
        <v>0.59</v>
      </c>
      <c r="J28" s="93"/>
      <c r="K28" s="31"/>
    </row>
    <row r="29" spans="1:11" s="29" customFormat="1" ht="18.75" customHeight="1" x14ac:dyDescent="0.15">
      <c r="B29" s="130" t="s">
        <v>119</v>
      </c>
      <c r="C29" s="131">
        <v>0.78</v>
      </c>
      <c r="D29" s="132"/>
      <c r="E29" s="132" t="s">
        <v>120</v>
      </c>
      <c r="F29" s="131">
        <v>0.98</v>
      </c>
      <c r="G29" s="132"/>
      <c r="H29" s="132" t="s">
        <v>121</v>
      </c>
      <c r="I29" s="133">
        <f>'様式３　履修者等数の実績'!D30</f>
        <v>1020</v>
      </c>
      <c r="J29" s="94"/>
      <c r="K29" s="35"/>
    </row>
    <row r="30" spans="1:11" s="4" customFormat="1" ht="18.75" customHeight="1" x14ac:dyDescent="0.15">
      <c r="A30" s="1"/>
      <c r="B30" s="249" t="s">
        <v>122</v>
      </c>
      <c r="C30" s="250"/>
      <c r="D30" s="250"/>
      <c r="E30" s="250"/>
      <c r="F30" s="250"/>
      <c r="G30" s="250"/>
      <c r="H30" s="250"/>
      <c r="I30" s="250"/>
      <c r="J30" s="251"/>
      <c r="K30" s="35"/>
    </row>
    <row r="31" spans="1:11" s="4" customFormat="1" ht="18.75" customHeight="1" x14ac:dyDescent="0.15">
      <c r="A31" s="1"/>
      <c r="B31" s="363" t="s">
        <v>233</v>
      </c>
      <c r="C31" s="364"/>
      <c r="D31" s="364"/>
      <c r="E31" s="364"/>
      <c r="F31" s="364"/>
      <c r="G31" s="364"/>
      <c r="H31" s="364"/>
      <c r="I31" s="364"/>
      <c r="J31" s="365"/>
      <c r="K31" s="35" t="str">
        <f>IF(B31="","入力してください","")</f>
        <v/>
      </c>
    </row>
    <row r="32" spans="1:11" s="4" customFormat="1" ht="18.75" customHeight="1" x14ac:dyDescent="0.15">
      <c r="A32" s="1"/>
      <c r="B32" s="356"/>
      <c r="C32" s="357"/>
      <c r="D32" s="357"/>
      <c r="E32" s="357"/>
      <c r="F32" s="357"/>
      <c r="G32" s="357"/>
      <c r="H32" s="357"/>
      <c r="I32" s="357"/>
      <c r="J32" s="358"/>
      <c r="K32" s="35"/>
    </row>
    <row r="33" spans="1:11" s="4" customFormat="1" ht="18.75" customHeight="1" x14ac:dyDescent="0.15">
      <c r="A33" s="1"/>
      <c r="B33" s="356"/>
      <c r="C33" s="357"/>
      <c r="D33" s="357"/>
      <c r="E33" s="357"/>
      <c r="F33" s="357"/>
      <c r="G33" s="357"/>
      <c r="H33" s="357"/>
      <c r="I33" s="357"/>
      <c r="J33" s="358"/>
      <c r="K33" s="35"/>
    </row>
    <row r="34" spans="1:11" s="4" customFormat="1" ht="18.75" customHeight="1" x14ac:dyDescent="0.15">
      <c r="A34" s="1"/>
      <c r="B34" s="356"/>
      <c r="C34" s="357"/>
      <c r="D34" s="357"/>
      <c r="E34" s="357"/>
      <c r="F34" s="357"/>
      <c r="G34" s="357"/>
      <c r="H34" s="357"/>
      <c r="I34" s="357"/>
      <c r="J34" s="358"/>
      <c r="K34" s="35"/>
    </row>
    <row r="35" spans="1:11" s="4" customFormat="1" ht="18.75" customHeight="1" x14ac:dyDescent="0.15">
      <c r="A35" s="1"/>
      <c r="B35" s="356"/>
      <c r="C35" s="357"/>
      <c r="D35" s="357"/>
      <c r="E35" s="357"/>
      <c r="F35" s="357"/>
      <c r="G35" s="357"/>
      <c r="H35" s="357"/>
      <c r="I35" s="357"/>
      <c r="J35" s="358"/>
      <c r="K35" s="35"/>
    </row>
    <row r="36" spans="1:11" s="4" customFormat="1" ht="18.75" customHeight="1" x14ac:dyDescent="0.15">
      <c r="A36" s="1"/>
      <c r="B36" s="356"/>
      <c r="C36" s="357"/>
      <c r="D36" s="357"/>
      <c r="E36" s="357"/>
      <c r="F36" s="357"/>
      <c r="G36" s="357"/>
      <c r="H36" s="357"/>
      <c r="I36" s="357"/>
      <c r="J36" s="358"/>
      <c r="K36" s="35"/>
    </row>
    <row r="37" spans="1:11" s="4" customFormat="1" ht="18.75" customHeight="1" x14ac:dyDescent="0.15">
      <c r="A37" s="1"/>
      <c r="B37" s="356"/>
      <c r="C37" s="357"/>
      <c r="D37" s="357"/>
      <c r="E37" s="357"/>
      <c r="F37" s="357"/>
      <c r="G37" s="357"/>
      <c r="H37" s="357"/>
      <c r="I37" s="357"/>
      <c r="J37" s="358"/>
      <c r="K37" s="35"/>
    </row>
    <row r="38" spans="1:11" s="4" customFormat="1" ht="18.75" customHeight="1" x14ac:dyDescent="0.15">
      <c r="A38" s="1"/>
      <c r="B38" s="356"/>
      <c r="C38" s="357"/>
      <c r="D38" s="357"/>
      <c r="E38" s="357"/>
      <c r="F38" s="357"/>
      <c r="G38" s="357"/>
      <c r="H38" s="357"/>
      <c r="I38" s="357"/>
      <c r="J38" s="358"/>
      <c r="K38" s="35"/>
    </row>
    <row r="39" spans="1:11" s="4" customFormat="1" ht="18.75" customHeight="1" x14ac:dyDescent="0.15">
      <c r="A39" s="1"/>
      <c r="B39" s="356"/>
      <c r="C39" s="357"/>
      <c r="D39" s="357"/>
      <c r="E39" s="357"/>
      <c r="F39" s="357"/>
      <c r="G39" s="357"/>
      <c r="H39" s="357"/>
      <c r="I39" s="357"/>
      <c r="J39" s="358"/>
      <c r="K39" s="35"/>
    </row>
    <row r="40" spans="1:11" s="4" customFormat="1" ht="18.75" customHeight="1" x14ac:dyDescent="0.15">
      <c r="A40" s="1"/>
      <c r="B40" s="356"/>
      <c r="C40" s="357"/>
      <c r="D40" s="357"/>
      <c r="E40" s="357"/>
      <c r="F40" s="357"/>
      <c r="G40" s="357"/>
      <c r="H40" s="357"/>
      <c r="I40" s="357"/>
      <c r="J40" s="358"/>
      <c r="K40" s="35"/>
    </row>
    <row r="41" spans="1:11" s="4" customFormat="1" ht="18.75" customHeight="1" x14ac:dyDescent="0.15">
      <c r="A41" s="1"/>
      <c r="B41" s="356"/>
      <c r="C41" s="357"/>
      <c r="D41" s="357"/>
      <c r="E41" s="357"/>
      <c r="F41" s="357"/>
      <c r="G41" s="357"/>
      <c r="H41" s="357"/>
      <c r="I41" s="357"/>
      <c r="J41" s="358"/>
      <c r="K41" s="35"/>
    </row>
    <row r="42" spans="1:11" s="4" customFormat="1" ht="18.75" customHeight="1" x14ac:dyDescent="0.15">
      <c r="A42" s="1"/>
      <c r="B42" s="356"/>
      <c r="C42" s="357"/>
      <c r="D42" s="357"/>
      <c r="E42" s="357"/>
      <c r="F42" s="357"/>
      <c r="G42" s="357"/>
      <c r="H42" s="357"/>
      <c r="I42" s="357"/>
      <c r="J42" s="358"/>
      <c r="K42" s="35"/>
    </row>
    <row r="43" spans="1:11" ht="18.75" customHeight="1" x14ac:dyDescent="0.15">
      <c r="A43" s="39"/>
      <c r="B43" s="356"/>
      <c r="C43" s="357"/>
      <c r="D43" s="357"/>
      <c r="E43" s="357"/>
      <c r="F43" s="357"/>
      <c r="G43" s="357"/>
      <c r="H43" s="357"/>
      <c r="I43" s="357"/>
      <c r="J43" s="358"/>
      <c r="K43" s="35"/>
    </row>
    <row r="44" spans="1:11" ht="18.75" customHeight="1" x14ac:dyDescent="0.15">
      <c r="A44" s="39"/>
      <c r="B44" s="359"/>
      <c r="C44" s="360"/>
      <c r="D44" s="360"/>
      <c r="E44" s="360"/>
      <c r="F44" s="360"/>
      <c r="G44" s="360"/>
      <c r="H44" s="360"/>
      <c r="I44" s="360"/>
      <c r="J44" s="361"/>
    </row>
    <row r="45" spans="1:11" s="4" customFormat="1" ht="18.75" customHeight="1" x14ac:dyDescent="0.15">
      <c r="A45" s="95" t="s">
        <v>11</v>
      </c>
      <c r="B45" s="1" t="s">
        <v>65</v>
      </c>
      <c r="C45" s="1"/>
      <c r="D45" s="1"/>
      <c r="E45" s="1"/>
      <c r="F45" s="1"/>
      <c r="G45" s="1"/>
      <c r="H45" s="1"/>
      <c r="I45" s="95"/>
      <c r="J45" s="95"/>
      <c r="K45" s="31"/>
    </row>
    <row r="46" spans="1:11" ht="18.75" customHeight="1" x14ac:dyDescent="0.15">
      <c r="A46" s="39"/>
      <c r="B46" s="345" t="s">
        <v>208</v>
      </c>
      <c r="C46" s="346"/>
      <c r="D46" s="346"/>
      <c r="E46" s="346"/>
      <c r="F46" s="346"/>
      <c r="G46" s="346"/>
      <c r="H46" s="346"/>
      <c r="I46" s="346"/>
      <c r="J46" s="347"/>
      <c r="K46" s="31" t="str">
        <f>IF(B46="","入力してください","")</f>
        <v/>
      </c>
    </row>
    <row r="47" spans="1:11" ht="18.75" customHeight="1" x14ac:dyDescent="0.15">
      <c r="A47" s="39"/>
      <c r="B47" s="348"/>
      <c r="C47" s="349"/>
      <c r="D47" s="349"/>
      <c r="E47" s="349"/>
      <c r="F47" s="349"/>
      <c r="G47" s="349"/>
      <c r="H47" s="349"/>
      <c r="I47" s="349"/>
      <c r="J47" s="350"/>
    </row>
    <row r="48" spans="1:11" ht="18.75" customHeight="1" x14ac:dyDescent="0.15">
      <c r="A48" s="39"/>
      <c r="B48" s="348"/>
      <c r="C48" s="349"/>
      <c r="D48" s="349"/>
      <c r="E48" s="349"/>
      <c r="F48" s="349"/>
      <c r="G48" s="349"/>
      <c r="H48" s="349"/>
      <c r="I48" s="349"/>
      <c r="J48" s="350"/>
    </row>
    <row r="49" spans="1:10" ht="18.75" customHeight="1" x14ac:dyDescent="0.15">
      <c r="A49" s="39"/>
      <c r="B49" s="348"/>
      <c r="C49" s="349"/>
      <c r="D49" s="349"/>
      <c r="E49" s="349"/>
      <c r="F49" s="349"/>
      <c r="G49" s="349"/>
      <c r="H49" s="349"/>
      <c r="I49" s="349"/>
      <c r="J49" s="350"/>
    </row>
    <row r="50" spans="1:10" ht="18.75" customHeight="1" x14ac:dyDescent="0.15">
      <c r="A50" s="39"/>
      <c r="B50" s="348"/>
      <c r="C50" s="349"/>
      <c r="D50" s="349"/>
      <c r="E50" s="349"/>
      <c r="F50" s="349"/>
      <c r="G50" s="349"/>
      <c r="H50" s="349"/>
      <c r="I50" s="349"/>
      <c r="J50" s="350"/>
    </row>
    <row r="51" spans="1:10" ht="18.75" customHeight="1" x14ac:dyDescent="0.15">
      <c r="A51" s="39"/>
      <c r="B51" s="348"/>
      <c r="C51" s="349"/>
      <c r="D51" s="349"/>
      <c r="E51" s="349"/>
      <c r="F51" s="349"/>
      <c r="G51" s="349"/>
      <c r="H51" s="349"/>
      <c r="I51" s="349"/>
      <c r="J51" s="350"/>
    </row>
    <row r="52" spans="1:10" ht="18.75" customHeight="1" x14ac:dyDescent="0.15">
      <c r="A52" s="39"/>
      <c r="B52" s="348"/>
      <c r="C52" s="349"/>
      <c r="D52" s="349"/>
      <c r="E52" s="349"/>
      <c r="F52" s="349"/>
      <c r="G52" s="349"/>
      <c r="H52" s="349"/>
      <c r="I52" s="349"/>
      <c r="J52" s="350"/>
    </row>
    <row r="53" spans="1:10" ht="18.75" customHeight="1" x14ac:dyDescent="0.15">
      <c r="A53" s="39"/>
      <c r="B53" s="348"/>
      <c r="C53" s="349"/>
      <c r="D53" s="349"/>
      <c r="E53" s="349"/>
      <c r="F53" s="349"/>
      <c r="G53" s="349"/>
      <c r="H53" s="349"/>
      <c r="I53" s="349"/>
      <c r="J53" s="350"/>
    </row>
    <row r="54" spans="1:10" ht="18.75" customHeight="1" x14ac:dyDescent="0.15">
      <c r="A54" s="39"/>
      <c r="B54" s="348"/>
      <c r="C54" s="349"/>
      <c r="D54" s="349"/>
      <c r="E54" s="349"/>
      <c r="F54" s="349"/>
      <c r="G54" s="349"/>
      <c r="H54" s="349"/>
      <c r="I54" s="349"/>
      <c r="J54" s="350"/>
    </row>
    <row r="55" spans="1:10" ht="18.75" customHeight="1" x14ac:dyDescent="0.15">
      <c r="A55" s="39"/>
      <c r="B55" s="348"/>
      <c r="C55" s="349"/>
      <c r="D55" s="349"/>
      <c r="E55" s="349"/>
      <c r="F55" s="349"/>
      <c r="G55" s="349"/>
      <c r="H55" s="349"/>
      <c r="I55" s="349"/>
      <c r="J55" s="350"/>
    </row>
    <row r="56" spans="1:10" ht="18.75" customHeight="1" x14ac:dyDescent="0.15">
      <c r="A56" s="39"/>
      <c r="B56" s="348"/>
      <c r="C56" s="349"/>
      <c r="D56" s="349"/>
      <c r="E56" s="349"/>
      <c r="F56" s="349"/>
      <c r="G56" s="349"/>
      <c r="H56" s="349"/>
      <c r="I56" s="349"/>
      <c r="J56" s="350"/>
    </row>
    <row r="57" spans="1:10" ht="18.75" customHeight="1" x14ac:dyDescent="0.15">
      <c r="A57" s="39"/>
      <c r="B57" s="348"/>
      <c r="C57" s="349"/>
      <c r="D57" s="349"/>
      <c r="E57" s="349"/>
      <c r="F57" s="349"/>
      <c r="G57" s="349"/>
      <c r="H57" s="349"/>
      <c r="I57" s="349"/>
      <c r="J57" s="350"/>
    </row>
    <row r="58" spans="1:10" ht="18.75" customHeight="1" x14ac:dyDescent="0.15">
      <c r="A58" s="39"/>
      <c r="B58" s="348"/>
      <c r="C58" s="349"/>
      <c r="D58" s="349"/>
      <c r="E58" s="349"/>
      <c r="F58" s="349"/>
      <c r="G58" s="349"/>
      <c r="H58" s="349"/>
      <c r="I58" s="349"/>
      <c r="J58" s="350"/>
    </row>
    <row r="59" spans="1:10" ht="18.75" customHeight="1" x14ac:dyDescent="0.15">
      <c r="A59" s="39"/>
      <c r="B59" s="348"/>
      <c r="C59" s="349"/>
      <c r="D59" s="349"/>
      <c r="E59" s="349"/>
      <c r="F59" s="349"/>
      <c r="G59" s="349"/>
      <c r="H59" s="349"/>
      <c r="I59" s="349"/>
      <c r="J59" s="350"/>
    </row>
    <row r="60" spans="1:10" ht="18.75" customHeight="1" x14ac:dyDescent="0.15">
      <c r="A60" s="39"/>
      <c r="B60" s="348"/>
      <c r="C60" s="349"/>
      <c r="D60" s="349"/>
      <c r="E60" s="349"/>
      <c r="F60" s="349"/>
      <c r="G60" s="349"/>
      <c r="H60" s="349"/>
      <c r="I60" s="349"/>
      <c r="J60" s="350"/>
    </row>
    <row r="61" spans="1:10" ht="18.75" customHeight="1" x14ac:dyDescent="0.15">
      <c r="A61" s="39"/>
      <c r="B61" s="348"/>
      <c r="C61" s="349"/>
      <c r="D61" s="349"/>
      <c r="E61" s="349"/>
      <c r="F61" s="349"/>
      <c r="G61" s="349"/>
      <c r="H61" s="349"/>
      <c r="I61" s="349"/>
      <c r="J61" s="350"/>
    </row>
    <row r="62" spans="1:10" ht="18.75" customHeight="1" x14ac:dyDescent="0.15">
      <c r="A62" s="39"/>
      <c r="B62" s="348"/>
      <c r="C62" s="349"/>
      <c r="D62" s="349"/>
      <c r="E62" s="349"/>
      <c r="F62" s="349"/>
      <c r="G62" s="349"/>
      <c r="H62" s="349"/>
      <c r="I62" s="349"/>
      <c r="J62" s="350"/>
    </row>
    <row r="63" spans="1:10" ht="18.75" customHeight="1" x14ac:dyDescent="0.15">
      <c r="A63" s="39"/>
      <c r="B63" s="348"/>
      <c r="C63" s="349"/>
      <c r="D63" s="349"/>
      <c r="E63" s="349"/>
      <c r="F63" s="349"/>
      <c r="G63" s="349"/>
      <c r="H63" s="349"/>
      <c r="I63" s="349"/>
      <c r="J63" s="350"/>
    </row>
    <row r="64" spans="1:10" ht="18.75" customHeight="1" x14ac:dyDescent="0.15">
      <c r="A64" s="39"/>
      <c r="B64" s="348"/>
      <c r="C64" s="349"/>
      <c r="D64" s="349"/>
      <c r="E64" s="349"/>
      <c r="F64" s="349"/>
      <c r="G64" s="349"/>
      <c r="H64" s="349"/>
      <c r="I64" s="349"/>
      <c r="J64" s="350"/>
    </row>
    <row r="65" spans="1:11" ht="18.75" customHeight="1" x14ac:dyDescent="0.15">
      <c r="A65" s="39"/>
      <c r="B65" s="348"/>
      <c r="C65" s="349"/>
      <c r="D65" s="349"/>
      <c r="E65" s="349"/>
      <c r="F65" s="349"/>
      <c r="G65" s="349"/>
      <c r="H65" s="349"/>
      <c r="I65" s="349"/>
      <c r="J65" s="350"/>
    </row>
    <row r="66" spans="1:11" ht="18.75" customHeight="1" x14ac:dyDescent="0.15">
      <c r="A66" s="39"/>
      <c r="B66" s="351"/>
      <c r="C66" s="352"/>
      <c r="D66" s="352"/>
      <c r="E66" s="352"/>
      <c r="F66" s="352"/>
      <c r="G66" s="352"/>
      <c r="H66" s="352"/>
      <c r="I66" s="352"/>
      <c r="J66" s="353"/>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345" t="s">
        <v>207</v>
      </c>
      <c r="C69" s="346"/>
      <c r="D69" s="346"/>
      <c r="E69" s="346"/>
      <c r="F69" s="346"/>
      <c r="G69" s="346"/>
      <c r="H69" s="346"/>
      <c r="I69" s="354"/>
      <c r="J69" s="355"/>
      <c r="K69" s="35" t="str">
        <f>IF(B69="","入力してください","")</f>
        <v/>
      </c>
    </row>
    <row r="70" spans="1:11" s="4" customFormat="1" ht="18.75" customHeight="1" x14ac:dyDescent="0.15">
      <c r="A70" s="1"/>
      <c r="B70" s="356"/>
      <c r="C70" s="357"/>
      <c r="D70" s="357"/>
      <c r="E70" s="357"/>
      <c r="F70" s="357"/>
      <c r="G70" s="357"/>
      <c r="H70" s="357"/>
      <c r="I70" s="357"/>
      <c r="J70" s="358"/>
      <c r="K70" s="35"/>
    </row>
    <row r="71" spans="1:11" s="4" customFormat="1" ht="18.75" customHeight="1" x14ac:dyDescent="0.15">
      <c r="A71" s="1"/>
      <c r="B71" s="356"/>
      <c r="C71" s="357"/>
      <c r="D71" s="357"/>
      <c r="E71" s="357"/>
      <c r="F71" s="357"/>
      <c r="G71" s="357"/>
      <c r="H71" s="357"/>
      <c r="I71" s="357"/>
      <c r="J71" s="358"/>
      <c r="K71" s="35"/>
    </row>
    <row r="72" spans="1:11" s="4" customFormat="1" ht="18.75" customHeight="1" x14ac:dyDescent="0.15">
      <c r="A72" s="1"/>
      <c r="B72" s="356"/>
      <c r="C72" s="357"/>
      <c r="D72" s="357"/>
      <c r="E72" s="357"/>
      <c r="F72" s="357"/>
      <c r="G72" s="357"/>
      <c r="H72" s="357"/>
      <c r="I72" s="357"/>
      <c r="J72" s="358"/>
      <c r="K72" s="35"/>
    </row>
    <row r="73" spans="1:11" s="4" customFormat="1" ht="18.75" customHeight="1" x14ac:dyDescent="0.15">
      <c r="A73" s="1"/>
      <c r="B73" s="356"/>
      <c r="C73" s="357"/>
      <c r="D73" s="357"/>
      <c r="E73" s="357"/>
      <c r="F73" s="357"/>
      <c r="G73" s="357"/>
      <c r="H73" s="357"/>
      <c r="I73" s="357"/>
      <c r="J73" s="358"/>
      <c r="K73" s="35"/>
    </row>
    <row r="74" spans="1:11" s="4" customFormat="1" ht="18.75" customHeight="1" x14ac:dyDescent="0.15">
      <c r="A74" s="1"/>
      <c r="B74" s="356"/>
      <c r="C74" s="357"/>
      <c r="D74" s="357"/>
      <c r="E74" s="357"/>
      <c r="F74" s="357"/>
      <c r="G74" s="357"/>
      <c r="H74" s="357"/>
      <c r="I74" s="357"/>
      <c r="J74" s="358"/>
      <c r="K74" s="35"/>
    </row>
    <row r="75" spans="1:11" s="4" customFormat="1" ht="18.75" customHeight="1" x14ac:dyDescent="0.15">
      <c r="A75" s="1"/>
      <c r="B75" s="356"/>
      <c r="C75" s="357"/>
      <c r="D75" s="357"/>
      <c r="E75" s="357"/>
      <c r="F75" s="357"/>
      <c r="G75" s="357"/>
      <c r="H75" s="357"/>
      <c r="I75" s="357"/>
      <c r="J75" s="358"/>
      <c r="K75" s="35"/>
    </row>
    <row r="76" spans="1:11" s="4" customFormat="1" ht="18.75" customHeight="1" x14ac:dyDescent="0.15">
      <c r="A76" s="1"/>
      <c r="B76" s="356"/>
      <c r="C76" s="357"/>
      <c r="D76" s="357"/>
      <c r="E76" s="357"/>
      <c r="F76" s="357"/>
      <c r="G76" s="357"/>
      <c r="H76" s="357"/>
      <c r="I76" s="357"/>
      <c r="J76" s="358"/>
      <c r="K76" s="35"/>
    </row>
    <row r="77" spans="1:11" s="4" customFormat="1" ht="18.75" customHeight="1" x14ac:dyDescent="0.15">
      <c r="A77" s="1"/>
      <c r="B77" s="356"/>
      <c r="C77" s="357"/>
      <c r="D77" s="357"/>
      <c r="E77" s="357"/>
      <c r="F77" s="357"/>
      <c r="G77" s="357"/>
      <c r="H77" s="357"/>
      <c r="I77" s="357"/>
      <c r="J77" s="358"/>
      <c r="K77" s="35"/>
    </row>
    <row r="78" spans="1:11" s="4" customFormat="1" ht="18.75" customHeight="1" x14ac:dyDescent="0.15">
      <c r="A78" s="1"/>
      <c r="B78" s="356"/>
      <c r="C78" s="357"/>
      <c r="D78" s="357"/>
      <c r="E78" s="357"/>
      <c r="F78" s="357"/>
      <c r="G78" s="357"/>
      <c r="H78" s="357"/>
      <c r="I78" s="357"/>
      <c r="J78" s="358"/>
      <c r="K78" s="35"/>
    </row>
    <row r="79" spans="1:11" s="4" customFormat="1" ht="18.75" customHeight="1" x14ac:dyDescent="0.15">
      <c r="A79" s="1"/>
      <c r="B79" s="356"/>
      <c r="C79" s="357"/>
      <c r="D79" s="357"/>
      <c r="E79" s="357"/>
      <c r="F79" s="357"/>
      <c r="G79" s="357"/>
      <c r="H79" s="357"/>
      <c r="I79" s="357"/>
      <c r="J79" s="358"/>
      <c r="K79" s="35"/>
    </row>
    <row r="80" spans="1:11" s="4" customFormat="1" ht="18.75" customHeight="1" x14ac:dyDescent="0.15">
      <c r="A80" s="1"/>
      <c r="B80" s="356"/>
      <c r="C80" s="357"/>
      <c r="D80" s="357"/>
      <c r="E80" s="357"/>
      <c r="F80" s="357"/>
      <c r="G80" s="357"/>
      <c r="H80" s="357"/>
      <c r="I80" s="357"/>
      <c r="J80" s="358"/>
      <c r="K80" s="35"/>
    </row>
    <row r="81" spans="1:11" s="4" customFormat="1" ht="18.75" customHeight="1" x14ac:dyDescent="0.15">
      <c r="A81" s="1"/>
      <c r="B81" s="356"/>
      <c r="C81" s="357"/>
      <c r="D81" s="357"/>
      <c r="E81" s="357"/>
      <c r="F81" s="357"/>
      <c r="G81" s="357"/>
      <c r="H81" s="357"/>
      <c r="I81" s="357"/>
      <c r="J81" s="358"/>
      <c r="K81" s="35"/>
    </row>
    <row r="82" spans="1:11" s="4" customFormat="1" ht="18.75" customHeight="1" x14ac:dyDescent="0.15">
      <c r="A82" s="1"/>
      <c r="B82" s="356"/>
      <c r="C82" s="357"/>
      <c r="D82" s="357"/>
      <c r="E82" s="357"/>
      <c r="F82" s="357"/>
      <c r="G82" s="357"/>
      <c r="H82" s="357"/>
      <c r="I82" s="357"/>
      <c r="J82" s="358"/>
      <c r="K82" s="35"/>
    </row>
    <row r="83" spans="1:11" s="4" customFormat="1" ht="18.75" customHeight="1" x14ac:dyDescent="0.15">
      <c r="A83" s="1"/>
      <c r="B83" s="356"/>
      <c r="C83" s="357"/>
      <c r="D83" s="357"/>
      <c r="E83" s="357"/>
      <c r="F83" s="357"/>
      <c r="G83" s="357"/>
      <c r="H83" s="357"/>
      <c r="I83" s="357"/>
      <c r="J83" s="358"/>
      <c r="K83" s="35"/>
    </row>
    <row r="84" spans="1:11" s="4" customFormat="1" ht="18.75" customHeight="1" x14ac:dyDescent="0.15">
      <c r="A84" s="1"/>
      <c r="B84" s="356"/>
      <c r="C84" s="357"/>
      <c r="D84" s="357"/>
      <c r="E84" s="357"/>
      <c r="F84" s="357"/>
      <c r="G84" s="357"/>
      <c r="H84" s="357"/>
      <c r="I84" s="357"/>
      <c r="J84" s="358"/>
      <c r="K84" s="35"/>
    </row>
    <row r="85" spans="1:11" ht="18.75" customHeight="1" x14ac:dyDescent="0.15">
      <c r="A85" s="39"/>
      <c r="B85" s="356"/>
      <c r="C85" s="357"/>
      <c r="D85" s="357"/>
      <c r="E85" s="357"/>
      <c r="F85" s="357"/>
      <c r="G85" s="357"/>
      <c r="H85" s="357"/>
      <c r="I85" s="357"/>
      <c r="J85" s="358"/>
      <c r="K85" s="35"/>
    </row>
    <row r="86" spans="1:11" ht="18.75" customHeight="1" x14ac:dyDescent="0.15">
      <c r="A86" s="39"/>
      <c r="B86" s="359"/>
      <c r="C86" s="360"/>
      <c r="D86" s="360"/>
      <c r="E86" s="360"/>
      <c r="F86" s="360"/>
      <c r="G86" s="360"/>
      <c r="H86" s="360"/>
      <c r="I86" s="360"/>
      <c r="J86" s="361"/>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345" t="s">
        <v>213</v>
      </c>
      <c r="C89" s="346"/>
      <c r="D89" s="346"/>
      <c r="E89" s="346"/>
      <c r="F89" s="346"/>
      <c r="G89" s="346"/>
      <c r="H89" s="346"/>
      <c r="I89" s="354"/>
      <c r="J89" s="355"/>
      <c r="K89" s="31"/>
    </row>
    <row r="90" spans="1:11" s="4" customFormat="1" ht="18.75" customHeight="1" x14ac:dyDescent="0.15">
      <c r="A90" s="1"/>
      <c r="B90" s="356"/>
      <c r="C90" s="357"/>
      <c r="D90" s="357"/>
      <c r="E90" s="357"/>
      <c r="F90" s="357"/>
      <c r="G90" s="357"/>
      <c r="H90" s="357"/>
      <c r="I90" s="357"/>
      <c r="J90" s="358"/>
      <c r="K90" s="35"/>
    </row>
    <row r="91" spans="1:11" s="4" customFormat="1" ht="18.75" customHeight="1" x14ac:dyDescent="0.15">
      <c r="A91" s="1"/>
      <c r="B91" s="356"/>
      <c r="C91" s="357"/>
      <c r="D91" s="357"/>
      <c r="E91" s="357"/>
      <c r="F91" s="357"/>
      <c r="G91" s="357"/>
      <c r="H91" s="357"/>
      <c r="I91" s="357"/>
      <c r="J91" s="358"/>
      <c r="K91" s="35" t="str">
        <f>IF(B89="","入力してください","")</f>
        <v/>
      </c>
    </row>
    <row r="92" spans="1:11" s="4" customFormat="1" ht="18.75" customHeight="1" x14ac:dyDescent="0.15">
      <c r="A92" s="1"/>
      <c r="B92" s="356"/>
      <c r="C92" s="357"/>
      <c r="D92" s="357"/>
      <c r="E92" s="357"/>
      <c r="F92" s="357"/>
      <c r="G92" s="357"/>
      <c r="H92" s="357"/>
      <c r="I92" s="357"/>
      <c r="J92" s="358"/>
      <c r="K92" s="35"/>
    </row>
    <row r="93" spans="1:11" s="4" customFormat="1" ht="18.75" customHeight="1" x14ac:dyDescent="0.15">
      <c r="A93" s="1"/>
      <c r="B93" s="356"/>
      <c r="C93" s="357"/>
      <c r="D93" s="357"/>
      <c r="E93" s="357"/>
      <c r="F93" s="357"/>
      <c r="G93" s="357"/>
      <c r="H93" s="357"/>
      <c r="I93" s="357"/>
      <c r="J93" s="358"/>
      <c r="K93" s="35"/>
    </row>
    <row r="94" spans="1:11" s="4" customFormat="1" ht="18.75" customHeight="1" x14ac:dyDescent="0.15">
      <c r="A94" s="1"/>
      <c r="B94" s="356"/>
      <c r="C94" s="357"/>
      <c r="D94" s="357"/>
      <c r="E94" s="357"/>
      <c r="F94" s="357"/>
      <c r="G94" s="357"/>
      <c r="H94" s="357"/>
      <c r="I94" s="357"/>
      <c r="J94" s="358"/>
      <c r="K94" s="35"/>
    </row>
    <row r="95" spans="1:11" s="4" customFormat="1" ht="18.75" customHeight="1" x14ac:dyDescent="0.15">
      <c r="A95" s="1"/>
      <c r="B95" s="356"/>
      <c r="C95" s="357"/>
      <c r="D95" s="357"/>
      <c r="E95" s="357"/>
      <c r="F95" s="357"/>
      <c r="G95" s="357"/>
      <c r="H95" s="357"/>
      <c r="I95" s="357"/>
      <c r="J95" s="358"/>
      <c r="K95" s="35"/>
    </row>
    <row r="96" spans="1:11" s="4" customFormat="1" ht="18.75" customHeight="1" x14ac:dyDescent="0.15">
      <c r="A96" s="1"/>
      <c r="B96" s="356"/>
      <c r="C96" s="357"/>
      <c r="D96" s="357"/>
      <c r="E96" s="357"/>
      <c r="F96" s="357"/>
      <c r="G96" s="357"/>
      <c r="H96" s="357"/>
      <c r="I96" s="357"/>
      <c r="J96" s="358"/>
      <c r="K96" s="35"/>
    </row>
    <row r="97" spans="1:11" s="4" customFormat="1" ht="18.75" customHeight="1" x14ac:dyDescent="0.15">
      <c r="A97" s="1"/>
      <c r="B97" s="356"/>
      <c r="C97" s="357"/>
      <c r="D97" s="357"/>
      <c r="E97" s="357"/>
      <c r="F97" s="357"/>
      <c r="G97" s="357"/>
      <c r="H97" s="357"/>
      <c r="I97" s="357"/>
      <c r="J97" s="358"/>
      <c r="K97" s="35"/>
    </row>
    <row r="98" spans="1:11" s="4" customFormat="1" ht="18.75" customHeight="1" x14ac:dyDescent="0.15">
      <c r="A98" s="1"/>
      <c r="B98" s="356"/>
      <c r="C98" s="357"/>
      <c r="D98" s="357"/>
      <c r="E98" s="357"/>
      <c r="F98" s="357"/>
      <c r="G98" s="357"/>
      <c r="H98" s="357"/>
      <c r="I98" s="357"/>
      <c r="J98" s="358"/>
      <c r="K98" s="35"/>
    </row>
    <row r="99" spans="1:11" s="4" customFormat="1" ht="18.75" customHeight="1" x14ac:dyDescent="0.15">
      <c r="A99" s="1"/>
      <c r="B99" s="356"/>
      <c r="C99" s="357"/>
      <c r="D99" s="357"/>
      <c r="E99" s="357"/>
      <c r="F99" s="357"/>
      <c r="G99" s="357"/>
      <c r="H99" s="357"/>
      <c r="I99" s="357"/>
      <c r="J99" s="358"/>
      <c r="K99" s="35"/>
    </row>
    <row r="100" spans="1:11" s="4" customFormat="1" ht="18.75" customHeight="1" x14ac:dyDescent="0.15">
      <c r="A100" s="1"/>
      <c r="B100" s="356"/>
      <c r="C100" s="357"/>
      <c r="D100" s="357"/>
      <c r="E100" s="357"/>
      <c r="F100" s="357"/>
      <c r="G100" s="357"/>
      <c r="H100" s="357"/>
      <c r="I100" s="357"/>
      <c r="J100" s="358"/>
      <c r="K100" s="35"/>
    </row>
    <row r="101" spans="1:11" s="4" customFormat="1" ht="18.75" customHeight="1" x14ac:dyDescent="0.15">
      <c r="A101" s="1"/>
      <c r="B101" s="356"/>
      <c r="C101" s="357"/>
      <c r="D101" s="357"/>
      <c r="E101" s="357"/>
      <c r="F101" s="357"/>
      <c r="G101" s="357"/>
      <c r="H101" s="357"/>
      <c r="I101" s="357"/>
      <c r="J101" s="358"/>
      <c r="K101" s="35"/>
    </row>
    <row r="102" spans="1:11" s="4" customFormat="1" ht="18.75" customHeight="1" x14ac:dyDescent="0.15">
      <c r="A102" s="1"/>
      <c r="B102" s="356"/>
      <c r="C102" s="357"/>
      <c r="D102" s="357"/>
      <c r="E102" s="357"/>
      <c r="F102" s="357"/>
      <c r="G102" s="357"/>
      <c r="H102" s="357"/>
      <c r="I102" s="357"/>
      <c r="J102" s="358"/>
      <c r="K102" s="35"/>
    </row>
    <row r="103" spans="1:11" s="4" customFormat="1" ht="18.75" customHeight="1" x14ac:dyDescent="0.15">
      <c r="A103" s="1"/>
      <c r="B103" s="356"/>
      <c r="C103" s="357"/>
      <c r="D103" s="357"/>
      <c r="E103" s="357"/>
      <c r="F103" s="357"/>
      <c r="G103" s="357"/>
      <c r="H103" s="357"/>
      <c r="I103" s="357"/>
      <c r="J103" s="358"/>
      <c r="K103" s="35"/>
    </row>
    <row r="104" spans="1:11" s="4" customFormat="1" ht="18.75" customHeight="1" x14ac:dyDescent="0.15">
      <c r="A104" s="1"/>
      <c r="B104" s="356"/>
      <c r="C104" s="357"/>
      <c r="D104" s="357"/>
      <c r="E104" s="357"/>
      <c r="F104" s="357"/>
      <c r="G104" s="357"/>
      <c r="H104" s="357"/>
      <c r="I104" s="357"/>
      <c r="J104" s="358"/>
      <c r="K104" s="35"/>
    </row>
    <row r="105" spans="1:11" s="4" customFormat="1" ht="18.75" customHeight="1" x14ac:dyDescent="0.15">
      <c r="A105" s="1"/>
      <c r="B105" s="356"/>
      <c r="C105" s="357"/>
      <c r="D105" s="357"/>
      <c r="E105" s="357"/>
      <c r="F105" s="357"/>
      <c r="G105" s="357"/>
      <c r="H105" s="357"/>
      <c r="I105" s="357"/>
      <c r="J105" s="358"/>
      <c r="K105" s="35"/>
    </row>
    <row r="106" spans="1:11" s="4" customFormat="1" ht="18.75" customHeight="1" x14ac:dyDescent="0.15">
      <c r="A106" s="1"/>
      <c r="B106" s="356"/>
      <c r="C106" s="357"/>
      <c r="D106" s="357"/>
      <c r="E106" s="357"/>
      <c r="F106" s="357"/>
      <c r="G106" s="357"/>
      <c r="H106" s="357"/>
      <c r="I106" s="357"/>
      <c r="J106" s="358"/>
      <c r="K106" s="35"/>
    </row>
    <row r="107" spans="1:11" ht="18.75" customHeight="1" x14ac:dyDescent="0.15">
      <c r="A107" s="39"/>
      <c r="B107" s="356"/>
      <c r="C107" s="357"/>
      <c r="D107" s="357"/>
      <c r="E107" s="357"/>
      <c r="F107" s="357"/>
      <c r="G107" s="357"/>
      <c r="H107" s="357"/>
      <c r="I107" s="357"/>
      <c r="J107" s="358"/>
      <c r="K107" s="35"/>
    </row>
    <row r="108" spans="1:11" ht="18.75" customHeight="1" x14ac:dyDescent="0.15">
      <c r="A108" s="39"/>
      <c r="B108" s="359"/>
      <c r="C108" s="360"/>
      <c r="D108" s="360"/>
      <c r="E108" s="360"/>
      <c r="F108" s="360"/>
      <c r="G108" s="360"/>
      <c r="H108" s="360"/>
      <c r="I108" s="360"/>
      <c r="J108" s="361"/>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362" t="s">
        <v>82</v>
      </c>
      <c r="C110" s="362"/>
      <c r="D110" s="362"/>
      <c r="E110" s="362"/>
      <c r="F110" s="362"/>
      <c r="G110" s="362"/>
      <c r="H110" s="362"/>
      <c r="I110" s="362"/>
      <c r="J110" s="362"/>
      <c r="K110" s="31"/>
    </row>
    <row r="111" spans="1:11" ht="18.75" customHeight="1" x14ac:dyDescent="0.15">
      <c r="A111" s="39"/>
      <c r="B111" s="345" t="s">
        <v>221</v>
      </c>
      <c r="C111" s="346"/>
      <c r="D111" s="346"/>
      <c r="E111" s="346"/>
      <c r="F111" s="346"/>
      <c r="G111" s="346"/>
      <c r="H111" s="346"/>
      <c r="I111" s="354"/>
      <c r="J111" s="355"/>
    </row>
    <row r="112" spans="1:11" ht="18.75" customHeight="1" x14ac:dyDescent="0.15">
      <c r="A112" s="39"/>
      <c r="B112" s="356"/>
      <c r="C112" s="357"/>
      <c r="D112" s="357"/>
      <c r="E112" s="357"/>
      <c r="F112" s="357"/>
      <c r="G112" s="357"/>
      <c r="H112" s="357"/>
      <c r="I112" s="357"/>
      <c r="J112" s="358"/>
      <c r="K112" s="35"/>
    </row>
    <row r="113" spans="1:11" ht="18.75" customHeight="1" x14ac:dyDescent="0.15">
      <c r="A113" s="39"/>
      <c r="B113" s="356"/>
      <c r="C113" s="357"/>
      <c r="D113" s="357"/>
      <c r="E113" s="357"/>
      <c r="F113" s="357"/>
      <c r="G113" s="357"/>
      <c r="H113" s="357"/>
      <c r="I113" s="357"/>
      <c r="J113" s="358"/>
      <c r="K113" s="31" t="str">
        <f>IF(B111="","入力してください","")</f>
        <v/>
      </c>
    </row>
    <row r="114" spans="1:11" ht="18.75" customHeight="1" x14ac:dyDescent="0.15">
      <c r="A114" s="39"/>
      <c r="B114" s="356"/>
      <c r="C114" s="357"/>
      <c r="D114" s="357"/>
      <c r="E114" s="357"/>
      <c r="F114" s="357"/>
      <c r="G114" s="357"/>
      <c r="H114" s="357"/>
      <c r="I114" s="357"/>
      <c r="J114" s="358"/>
    </row>
    <row r="115" spans="1:11" ht="18.75" customHeight="1" x14ac:dyDescent="0.15">
      <c r="A115" s="39"/>
      <c r="B115" s="356"/>
      <c r="C115" s="357"/>
      <c r="D115" s="357"/>
      <c r="E115" s="357"/>
      <c r="F115" s="357"/>
      <c r="G115" s="357"/>
      <c r="H115" s="357"/>
      <c r="I115" s="357"/>
      <c r="J115" s="358"/>
    </row>
    <row r="116" spans="1:11" ht="18.75" customHeight="1" x14ac:dyDescent="0.15">
      <c r="A116" s="39"/>
      <c r="B116" s="356"/>
      <c r="C116" s="357"/>
      <c r="D116" s="357"/>
      <c r="E116" s="357"/>
      <c r="F116" s="357"/>
      <c r="G116" s="357"/>
      <c r="H116" s="357"/>
      <c r="I116" s="357"/>
      <c r="J116" s="358"/>
    </row>
    <row r="117" spans="1:11" ht="18.75" customHeight="1" x14ac:dyDescent="0.15">
      <c r="A117" s="39"/>
      <c r="B117" s="356"/>
      <c r="C117" s="357"/>
      <c r="D117" s="357"/>
      <c r="E117" s="357"/>
      <c r="F117" s="357"/>
      <c r="G117" s="357"/>
      <c r="H117" s="357"/>
      <c r="I117" s="357"/>
      <c r="J117" s="358"/>
    </row>
    <row r="118" spans="1:11" ht="18.75" customHeight="1" x14ac:dyDescent="0.15">
      <c r="A118" s="39"/>
      <c r="B118" s="356"/>
      <c r="C118" s="357"/>
      <c r="D118" s="357"/>
      <c r="E118" s="357"/>
      <c r="F118" s="357"/>
      <c r="G118" s="357"/>
      <c r="H118" s="357"/>
      <c r="I118" s="357"/>
      <c r="J118" s="358"/>
    </row>
    <row r="119" spans="1:11" ht="18.75" customHeight="1" x14ac:dyDescent="0.15">
      <c r="A119" s="39"/>
      <c r="B119" s="356"/>
      <c r="C119" s="357"/>
      <c r="D119" s="357"/>
      <c r="E119" s="357"/>
      <c r="F119" s="357"/>
      <c r="G119" s="357"/>
      <c r="H119" s="357"/>
      <c r="I119" s="357"/>
      <c r="J119" s="358"/>
    </row>
    <row r="120" spans="1:11" ht="18.75" customHeight="1" x14ac:dyDescent="0.15">
      <c r="A120" s="39"/>
      <c r="B120" s="356"/>
      <c r="C120" s="357"/>
      <c r="D120" s="357"/>
      <c r="E120" s="357"/>
      <c r="F120" s="357"/>
      <c r="G120" s="357"/>
      <c r="H120" s="357"/>
      <c r="I120" s="357"/>
      <c r="J120" s="358"/>
    </row>
    <row r="121" spans="1:11" ht="18.75" customHeight="1" x14ac:dyDescent="0.15">
      <c r="A121" s="39"/>
      <c r="B121" s="356"/>
      <c r="C121" s="357"/>
      <c r="D121" s="357"/>
      <c r="E121" s="357"/>
      <c r="F121" s="357"/>
      <c r="G121" s="357"/>
      <c r="H121" s="357"/>
      <c r="I121" s="357"/>
      <c r="J121" s="358"/>
    </row>
    <row r="122" spans="1:11" ht="18.75" customHeight="1" x14ac:dyDescent="0.15">
      <c r="A122" s="39"/>
      <c r="B122" s="356"/>
      <c r="C122" s="357"/>
      <c r="D122" s="357"/>
      <c r="E122" s="357"/>
      <c r="F122" s="357"/>
      <c r="G122" s="357"/>
      <c r="H122" s="357"/>
      <c r="I122" s="357"/>
      <c r="J122" s="358"/>
    </row>
    <row r="123" spans="1:11" ht="18.75" customHeight="1" x14ac:dyDescent="0.15">
      <c r="A123" s="39"/>
      <c r="B123" s="356"/>
      <c r="C123" s="357"/>
      <c r="D123" s="357"/>
      <c r="E123" s="357"/>
      <c r="F123" s="357"/>
      <c r="G123" s="357"/>
      <c r="H123" s="357"/>
      <c r="I123" s="357"/>
      <c r="J123" s="358"/>
    </row>
    <row r="124" spans="1:11" ht="18.75" customHeight="1" x14ac:dyDescent="0.15">
      <c r="A124" s="39"/>
      <c r="B124" s="356"/>
      <c r="C124" s="357"/>
      <c r="D124" s="357"/>
      <c r="E124" s="357"/>
      <c r="F124" s="357"/>
      <c r="G124" s="357"/>
      <c r="H124" s="357"/>
      <c r="I124" s="357"/>
      <c r="J124" s="358"/>
    </row>
    <row r="125" spans="1:11" ht="18.75" customHeight="1" x14ac:dyDescent="0.15">
      <c r="A125" s="39"/>
      <c r="B125" s="356"/>
      <c r="C125" s="357"/>
      <c r="D125" s="357"/>
      <c r="E125" s="357"/>
      <c r="F125" s="357"/>
      <c r="G125" s="357"/>
      <c r="H125" s="357"/>
      <c r="I125" s="357"/>
      <c r="J125" s="358"/>
    </row>
    <row r="126" spans="1:11" ht="18.75" customHeight="1" x14ac:dyDescent="0.15">
      <c r="A126" s="39"/>
      <c r="B126" s="356"/>
      <c r="C126" s="357"/>
      <c r="D126" s="357"/>
      <c r="E126" s="357"/>
      <c r="F126" s="357"/>
      <c r="G126" s="357"/>
      <c r="H126" s="357"/>
      <c r="I126" s="357"/>
      <c r="J126" s="358"/>
    </row>
    <row r="127" spans="1:11" ht="18.75" customHeight="1" x14ac:dyDescent="0.15">
      <c r="A127" s="39"/>
      <c r="B127" s="356"/>
      <c r="C127" s="357"/>
      <c r="D127" s="357"/>
      <c r="E127" s="357"/>
      <c r="F127" s="357"/>
      <c r="G127" s="357"/>
      <c r="H127" s="357"/>
      <c r="I127" s="357"/>
      <c r="J127" s="358"/>
    </row>
    <row r="128" spans="1:11" ht="18.75" customHeight="1" x14ac:dyDescent="0.15">
      <c r="A128" s="39"/>
      <c r="B128" s="356"/>
      <c r="C128" s="357"/>
      <c r="D128" s="357"/>
      <c r="E128" s="357"/>
      <c r="F128" s="357"/>
      <c r="G128" s="357"/>
      <c r="H128" s="357"/>
      <c r="I128" s="357"/>
      <c r="J128" s="358"/>
    </row>
    <row r="129" spans="1:10" ht="18.75" customHeight="1" x14ac:dyDescent="0.15">
      <c r="A129" s="39"/>
      <c r="B129" s="359"/>
      <c r="C129" s="360"/>
      <c r="D129" s="360"/>
      <c r="E129" s="360"/>
      <c r="F129" s="360"/>
      <c r="G129" s="360"/>
      <c r="H129" s="360"/>
      <c r="I129" s="360"/>
      <c r="J129" s="361"/>
    </row>
    <row r="130" spans="1:10" ht="7.5" customHeight="1" x14ac:dyDescent="0.15">
      <c r="A130" s="39"/>
      <c r="B130" s="96"/>
      <c r="C130" s="96"/>
      <c r="D130" s="96"/>
      <c r="E130" s="96"/>
      <c r="F130" s="96"/>
      <c r="G130" s="96"/>
      <c r="H130" s="96"/>
      <c r="I130" s="96"/>
      <c r="J130" s="96"/>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97"/>
      <c r="B144" s="97"/>
      <c r="C144" s="97"/>
      <c r="D144" s="97"/>
      <c r="E144" s="97"/>
      <c r="F144" s="97"/>
      <c r="G144" s="97"/>
      <c r="H144" s="97"/>
      <c r="I144" s="97"/>
      <c r="J144" s="97"/>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C1" zoomScaleNormal="100" zoomScaleSheetLayoutView="100" workbookViewId="0">
      <selection activeCell="E8" sqref="E8:J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329" t="s">
        <v>42</v>
      </c>
      <c r="B2" s="329"/>
      <c r="C2" s="329"/>
      <c r="D2" s="329"/>
      <c r="E2" s="329"/>
      <c r="F2" s="329"/>
      <c r="G2" s="329"/>
      <c r="H2" s="329"/>
      <c r="I2" s="329"/>
      <c r="J2" s="329"/>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97" t="s">
        <v>38</v>
      </c>
      <c r="C5" s="398"/>
      <c r="D5" s="399"/>
      <c r="E5" s="400" t="s">
        <v>40</v>
      </c>
      <c r="F5" s="400"/>
      <c r="G5" s="400"/>
      <c r="H5" s="400"/>
      <c r="I5" s="400"/>
      <c r="J5" s="401"/>
    </row>
    <row r="6" spans="1:11" ht="18.75" customHeight="1" x14ac:dyDescent="0.15">
      <c r="B6" s="3" t="s">
        <v>28</v>
      </c>
      <c r="C6" s="39"/>
      <c r="D6" s="7"/>
      <c r="I6" s="40"/>
      <c r="J6" s="5"/>
    </row>
    <row r="7" spans="1:11" ht="207" customHeight="1" x14ac:dyDescent="0.15">
      <c r="B7" s="6"/>
      <c r="C7" s="385" t="s">
        <v>29</v>
      </c>
      <c r="D7" s="386"/>
      <c r="E7" s="394" t="s">
        <v>232</v>
      </c>
      <c r="F7" s="387"/>
      <c r="G7" s="387"/>
      <c r="H7" s="387"/>
      <c r="I7" s="387"/>
      <c r="J7" s="388"/>
      <c r="K7" s="31" t="str">
        <f>IF(E7="","入力してください","")</f>
        <v/>
      </c>
    </row>
    <row r="8" spans="1:11" ht="207" customHeight="1" x14ac:dyDescent="0.15">
      <c r="B8" s="6"/>
      <c r="C8" s="395" t="s">
        <v>30</v>
      </c>
      <c r="D8" s="396"/>
      <c r="E8" s="394" t="s">
        <v>219</v>
      </c>
      <c r="F8" s="387"/>
      <c r="G8" s="387"/>
      <c r="H8" s="387"/>
      <c r="I8" s="387"/>
      <c r="J8" s="388"/>
      <c r="K8" s="31" t="str">
        <f>IF(E8="","入力してください","")</f>
        <v/>
      </c>
    </row>
    <row r="9" spans="1:11" ht="172.5" customHeight="1" x14ac:dyDescent="0.15">
      <c r="B9" s="6"/>
      <c r="C9" s="385" t="s">
        <v>31</v>
      </c>
      <c r="D9" s="386"/>
      <c r="E9" s="391" t="s">
        <v>192</v>
      </c>
      <c r="F9" s="392"/>
      <c r="G9" s="392"/>
      <c r="H9" s="392"/>
      <c r="I9" s="392"/>
      <c r="J9" s="393"/>
      <c r="K9" s="31" t="str">
        <f>IF(E9="","入力してください","")</f>
        <v/>
      </c>
    </row>
    <row r="10" spans="1:11" ht="172.5" customHeight="1" x14ac:dyDescent="0.15">
      <c r="B10" s="6"/>
      <c r="C10" s="385" t="s">
        <v>32</v>
      </c>
      <c r="D10" s="386"/>
      <c r="E10" s="394" t="s">
        <v>217</v>
      </c>
      <c r="F10" s="387"/>
      <c r="G10" s="387"/>
      <c r="H10" s="387"/>
      <c r="I10" s="387"/>
      <c r="J10" s="388"/>
      <c r="K10" s="31" t="str">
        <f t="shared" ref="K10:K14" si="0">IF(E10="","入力してください","")</f>
        <v/>
      </c>
    </row>
    <row r="11" spans="1:11" ht="172.5" customHeight="1" x14ac:dyDescent="0.15">
      <c r="B11" s="6"/>
      <c r="C11" s="385" t="s">
        <v>33</v>
      </c>
      <c r="D11" s="386"/>
      <c r="E11" s="394" t="s">
        <v>211</v>
      </c>
      <c r="F11" s="387"/>
      <c r="G11" s="387"/>
      <c r="H11" s="387"/>
      <c r="I11" s="387"/>
      <c r="J11" s="388"/>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385" t="s">
        <v>35</v>
      </c>
      <c r="D13" s="386"/>
      <c r="E13" s="387" t="s">
        <v>218</v>
      </c>
      <c r="F13" s="387"/>
      <c r="G13" s="387"/>
      <c r="H13" s="387"/>
      <c r="I13" s="387"/>
      <c r="J13" s="388"/>
      <c r="K13" s="31" t="str">
        <f t="shared" si="0"/>
        <v/>
      </c>
    </row>
    <row r="14" spans="1:11" ht="255" customHeight="1" x14ac:dyDescent="0.15">
      <c r="B14" s="6"/>
      <c r="C14" s="385" t="s">
        <v>36</v>
      </c>
      <c r="D14" s="386"/>
      <c r="E14" s="387" t="s">
        <v>230</v>
      </c>
      <c r="F14" s="387"/>
      <c r="G14" s="387"/>
      <c r="H14" s="387"/>
      <c r="I14" s="387"/>
      <c r="J14" s="388"/>
      <c r="K14" s="31" t="str">
        <f t="shared" si="0"/>
        <v/>
      </c>
    </row>
    <row r="15" spans="1:11" ht="243" customHeight="1" x14ac:dyDescent="0.15">
      <c r="B15" s="389" t="s">
        <v>37</v>
      </c>
      <c r="C15" s="390"/>
      <c r="D15" s="386"/>
      <c r="E15" s="387" t="s">
        <v>220</v>
      </c>
      <c r="F15" s="387"/>
      <c r="G15" s="387"/>
      <c r="H15" s="387"/>
      <c r="I15" s="387"/>
      <c r="J15" s="388"/>
      <c r="K15" s="31" t="str">
        <f>IF(E15="","入力してください","")</f>
        <v/>
      </c>
    </row>
    <row r="16" spans="1:11" ht="243" customHeight="1" x14ac:dyDescent="0.15">
      <c r="A16" s="31"/>
      <c r="B16" s="379" t="s">
        <v>66</v>
      </c>
      <c r="C16" s="380"/>
      <c r="D16" s="381"/>
      <c r="E16" s="352" t="s">
        <v>216</v>
      </c>
      <c r="F16" s="352"/>
      <c r="G16" s="352"/>
      <c r="H16" s="352"/>
      <c r="I16" s="352"/>
      <c r="J16" s="353"/>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210</v>
      </c>
      <c r="B18" s="4"/>
      <c r="C18" s="39"/>
      <c r="D18" s="39"/>
      <c r="E18" s="40"/>
      <c r="F18" s="92"/>
      <c r="G18" s="382" t="s">
        <v>215</v>
      </c>
      <c r="H18" s="383"/>
      <c r="I18" s="383"/>
      <c r="J18" s="384"/>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98"/>
      <c r="C24" s="98"/>
      <c r="D24" s="98"/>
      <c r="E24" s="98"/>
      <c r="F24" s="98"/>
      <c r="G24" s="98"/>
      <c r="H24" s="98"/>
      <c r="I24" s="98"/>
      <c r="J24" s="98"/>
    </row>
    <row r="25" spans="1:11" ht="22.5" customHeight="1" x14ac:dyDescent="0.15">
      <c r="B25" s="98"/>
      <c r="C25" s="98"/>
      <c r="D25" s="98"/>
      <c r="E25" s="98"/>
      <c r="F25" s="98"/>
      <c r="G25" s="98"/>
      <c r="H25" s="98"/>
      <c r="I25" s="98"/>
      <c r="J25" s="98"/>
    </row>
    <row r="26" spans="1:11" ht="22.5" customHeight="1" x14ac:dyDescent="0.15">
      <c r="B26" s="98"/>
      <c r="C26" s="98"/>
      <c r="D26" s="98"/>
      <c r="E26" s="98"/>
      <c r="F26" s="98"/>
      <c r="G26" s="98"/>
      <c r="H26" s="98"/>
      <c r="I26" s="98"/>
      <c r="J26" s="98"/>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tabSelected="1" view="pageBreakPreview" zoomScaleNormal="100" zoomScaleSheetLayoutView="100" workbookViewId="0">
      <selection activeCell="G106" sqref="G106"/>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328" t="s">
        <v>222</v>
      </c>
      <c r="F1" s="328"/>
    </row>
    <row r="2" spans="1:6" ht="18.75" customHeight="1" x14ac:dyDescent="0.15">
      <c r="A2" s="402" t="s">
        <v>223</v>
      </c>
      <c r="B2" s="402"/>
      <c r="C2" s="402"/>
      <c r="D2" s="402"/>
      <c r="E2" s="402"/>
      <c r="F2" s="402"/>
    </row>
    <row r="3" spans="1:6" ht="7.5" customHeight="1" x14ac:dyDescent="0.15">
      <c r="A3" s="134"/>
      <c r="B3" s="134"/>
      <c r="C3" s="134"/>
      <c r="D3" s="134"/>
      <c r="E3" s="134"/>
      <c r="F3" s="134"/>
    </row>
    <row r="4" spans="1:6" ht="18.75" customHeight="1" x14ac:dyDescent="0.15">
      <c r="A4" s="134" t="s">
        <v>224</v>
      </c>
      <c r="B4" s="4" t="s">
        <v>225</v>
      </c>
      <c r="C4" s="134"/>
      <c r="D4" s="134"/>
      <c r="E4" s="134"/>
      <c r="F4" s="134"/>
    </row>
    <row r="5" spans="1:6" ht="18.75" customHeight="1" x14ac:dyDescent="0.15">
      <c r="A5" s="134"/>
      <c r="B5" s="403" t="s">
        <v>226</v>
      </c>
      <c r="C5" s="404"/>
      <c r="D5" s="404"/>
      <c r="E5" s="404"/>
      <c r="F5" s="405"/>
    </row>
    <row r="6" spans="1:6" ht="18.75" customHeight="1" x14ac:dyDescent="0.15">
      <c r="A6" s="134"/>
      <c r="B6" s="406"/>
      <c r="C6" s="407"/>
      <c r="D6" s="407"/>
      <c r="E6" s="407"/>
      <c r="F6" s="408"/>
    </row>
    <row r="7" spans="1:6" ht="18.75" customHeight="1" x14ac:dyDescent="0.15">
      <c r="A7" s="134"/>
      <c r="B7" s="406"/>
      <c r="C7" s="407"/>
      <c r="D7" s="407"/>
      <c r="E7" s="407"/>
      <c r="F7" s="408"/>
    </row>
    <row r="8" spans="1:6" ht="18.75" customHeight="1" x14ac:dyDescent="0.15">
      <c r="A8" s="134"/>
      <c r="B8" s="406"/>
      <c r="C8" s="407"/>
      <c r="D8" s="407"/>
      <c r="E8" s="407"/>
      <c r="F8" s="408"/>
    </row>
    <row r="9" spans="1:6" ht="18.75" customHeight="1" x14ac:dyDescent="0.15">
      <c r="A9" s="134"/>
      <c r="B9" s="406"/>
      <c r="C9" s="407"/>
      <c r="D9" s="407"/>
      <c r="E9" s="407"/>
      <c r="F9" s="408"/>
    </row>
    <row r="10" spans="1:6" ht="18.75" customHeight="1" x14ac:dyDescent="0.15">
      <c r="A10" s="134"/>
      <c r="B10" s="406"/>
      <c r="C10" s="407"/>
      <c r="D10" s="407"/>
      <c r="E10" s="407"/>
      <c r="F10" s="408"/>
    </row>
    <row r="11" spans="1:6" ht="18.75" customHeight="1" x14ac:dyDescent="0.15">
      <c r="A11" s="134"/>
      <c r="B11" s="406"/>
      <c r="C11" s="407"/>
      <c r="D11" s="407"/>
      <c r="E11" s="407"/>
      <c r="F11" s="408"/>
    </row>
    <row r="12" spans="1:6" ht="18.75" customHeight="1" x14ac:dyDescent="0.15">
      <c r="A12" s="134"/>
      <c r="B12" s="406"/>
      <c r="C12" s="407"/>
      <c r="D12" s="407"/>
      <c r="E12" s="407"/>
      <c r="F12" s="408"/>
    </row>
    <row r="13" spans="1:6" ht="18.75" customHeight="1" x14ac:dyDescent="0.15">
      <c r="A13" s="134"/>
      <c r="B13" s="406"/>
      <c r="C13" s="407"/>
      <c r="D13" s="407"/>
      <c r="E13" s="407"/>
      <c r="F13" s="408"/>
    </row>
    <row r="14" spans="1:6" ht="18.75" customHeight="1" x14ac:dyDescent="0.15">
      <c r="A14" s="134"/>
      <c r="B14" s="406"/>
      <c r="C14" s="407"/>
      <c r="D14" s="407"/>
      <c r="E14" s="407"/>
      <c r="F14" s="408"/>
    </row>
    <row r="15" spans="1:6" ht="18.75" customHeight="1" x14ac:dyDescent="0.15">
      <c r="A15" s="134"/>
      <c r="B15" s="406"/>
      <c r="C15" s="407"/>
      <c r="D15" s="407"/>
      <c r="E15" s="407"/>
      <c r="F15" s="408"/>
    </row>
    <row r="16" spans="1:6" ht="18.75" customHeight="1" x14ac:dyDescent="0.15">
      <c r="A16" s="134"/>
      <c r="B16" s="406"/>
      <c r="C16" s="407"/>
      <c r="D16" s="407"/>
      <c r="E16" s="407"/>
      <c r="F16" s="408"/>
    </row>
    <row r="17" spans="1:6" ht="18.75" customHeight="1" x14ac:dyDescent="0.15">
      <c r="A17" s="134"/>
      <c r="B17" s="406"/>
      <c r="C17" s="407"/>
      <c r="D17" s="407"/>
      <c r="E17" s="407"/>
      <c r="F17" s="408"/>
    </row>
    <row r="18" spans="1:6" ht="18.75" customHeight="1" x14ac:dyDescent="0.15">
      <c r="A18" s="134"/>
      <c r="B18" s="406"/>
      <c r="C18" s="407"/>
      <c r="D18" s="407"/>
      <c r="E18" s="407"/>
      <c r="F18" s="408"/>
    </row>
    <row r="19" spans="1:6" ht="18.75" customHeight="1" x14ac:dyDescent="0.15">
      <c r="A19" s="134"/>
      <c r="B19" s="406"/>
      <c r="C19" s="407"/>
      <c r="D19" s="407"/>
      <c r="E19" s="407"/>
      <c r="F19" s="408"/>
    </row>
    <row r="20" spans="1:6" ht="18.75" customHeight="1" x14ac:dyDescent="0.15">
      <c r="A20" s="134"/>
      <c r="B20" s="406"/>
      <c r="C20" s="407"/>
      <c r="D20" s="407"/>
      <c r="E20" s="407"/>
      <c r="F20" s="408"/>
    </row>
    <row r="21" spans="1:6" ht="18.75" customHeight="1" x14ac:dyDescent="0.15">
      <c r="A21" s="134"/>
      <c r="B21" s="406"/>
      <c r="C21" s="407"/>
      <c r="D21" s="407"/>
      <c r="E21" s="407"/>
      <c r="F21" s="408"/>
    </row>
    <row r="22" spans="1:6" ht="18.75" customHeight="1" x14ac:dyDescent="0.15">
      <c r="A22" s="134"/>
      <c r="B22" s="406"/>
      <c r="C22" s="407"/>
      <c r="D22" s="407"/>
      <c r="E22" s="407"/>
      <c r="F22" s="408"/>
    </row>
    <row r="23" spans="1:6" ht="18.75" customHeight="1" x14ac:dyDescent="0.15">
      <c r="A23" s="134"/>
      <c r="B23" s="406"/>
      <c r="C23" s="407"/>
      <c r="D23" s="407"/>
      <c r="E23" s="407"/>
      <c r="F23" s="408"/>
    </row>
    <row r="24" spans="1:6" ht="18.75" customHeight="1" x14ac:dyDescent="0.15">
      <c r="A24" s="134"/>
      <c r="B24" s="406"/>
      <c r="C24" s="407"/>
      <c r="D24" s="407"/>
      <c r="E24" s="407"/>
      <c r="F24" s="408"/>
    </row>
    <row r="25" spans="1:6" ht="18.75" customHeight="1" x14ac:dyDescent="0.15">
      <c r="A25" s="134"/>
      <c r="B25" s="406"/>
      <c r="C25" s="407"/>
      <c r="D25" s="407"/>
      <c r="E25" s="407"/>
      <c r="F25" s="408"/>
    </row>
    <row r="26" spans="1:6" ht="18.75" customHeight="1" x14ac:dyDescent="0.15">
      <c r="A26" s="134"/>
      <c r="B26" s="406"/>
      <c r="C26" s="407"/>
      <c r="D26" s="407"/>
      <c r="E26" s="407"/>
      <c r="F26" s="408"/>
    </row>
    <row r="27" spans="1:6" ht="18.75" customHeight="1" x14ac:dyDescent="0.15">
      <c r="A27" s="134"/>
      <c r="B27" s="406"/>
      <c r="C27" s="407"/>
      <c r="D27" s="407"/>
      <c r="E27" s="407"/>
      <c r="F27" s="408"/>
    </row>
    <row r="28" spans="1:6" ht="18.75" customHeight="1" x14ac:dyDescent="0.15">
      <c r="A28" s="134"/>
      <c r="B28" s="406"/>
      <c r="C28" s="407"/>
      <c r="D28" s="407"/>
      <c r="E28" s="407"/>
      <c r="F28" s="408"/>
    </row>
    <row r="29" spans="1:6" ht="18.75" customHeight="1" x14ac:dyDescent="0.15">
      <c r="A29" s="134"/>
      <c r="B29" s="406"/>
      <c r="C29" s="407"/>
      <c r="D29" s="407"/>
      <c r="E29" s="407"/>
      <c r="F29" s="408"/>
    </row>
    <row r="30" spans="1:6" ht="18.75" customHeight="1" x14ac:dyDescent="0.15">
      <c r="A30" s="134"/>
      <c r="B30" s="406"/>
      <c r="C30" s="407"/>
      <c r="D30" s="407"/>
      <c r="E30" s="407"/>
      <c r="F30" s="408"/>
    </row>
    <row r="31" spans="1:6" ht="18.75" customHeight="1" x14ac:dyDescent="0.15">
      <c r="A31" s="134"/>
      <c r="B31" s="406"/>
      <c r="C31" s="407"/>
      <c r="D31" s="407"/>
      <c r="E31" s="407"/>
      <c r="F31" s="408"/>
    </row>
    <row r="32" spans="1:6" ht="18.75" customHeight="1" x14ac:dyDescent="0.15">
      <c r="A32" s="134"/>
      <c r="B32" s="406"/>
      <c r="C32" s="407"/>
      <c r="D32" s="407"/>
      <c r="E32" s="407"/>
      <c r="F32" s="408"/>
    </row>
    <row r="33" spans="1:6" ht="18.75" customHeight="1" x14ac:dyDescent="0.15">
      <c r="A33" s="134"/>
      <c r="B33" s="406"/>
      <c r="C33" s="407"/>
      <c r="D33" s="407"/>
      <c r="E33" s="407"/>
      <c r="F33" s="408"/>
    </row>
    <row r="34" spans="1:6" ht="18.75" customHeight="1" x14ac:dyDescent="0.15">
      <c r="A34" s="134"/>
      <c r="B34" s="406"/>
      <c r="C34" s="407"/>
      <c r="D34" s="407"/>
      <c r="E34" s="407"/>
      <c r="F34" s="408"/>
    </row>
    <row r="35" spans="1:6" ht="18.75" customHeight="1" x14ac:dyDescent="0.15">
      <c r="A35" s="134"/>
      <c r="B35" s="406"/>
      <c r="C35" s="407"/>
      <c r="D35" s="407"/>
      <c r="E35" s="407"/>
      <c r="F35" s="408"/>
    </row>
    <row r="36" spans="1:6" ht="18.75" customHeight="1" x14ac:dyDescent="0.15">
      <c r="A36" s="134"/>
      <c r="B36" s="406"/>
      <c r="C36" s="407"/>
      <c r="D36" s="407"/>
      <c r="E36" s="407"/>
      <c r="F36" s="408"/>
    </row>
    <row r="37" spans="1:6" ht="18.75" customHeight="1" x14ac:dyDescent="0.15">
      <c r="A37" s="134"/>
      <c r="B37" s="406"/>
      <c r="C37" s="407"/>
      <c r="D37" s="407"/>
      <c r="E37" s="407"/>
      <c r="F37" s="408"/>
    </row>
    <row r="38" spans="1:6" ht="18.75" customHeight="1" x14ac:dyDescent="0.15">
      <c r="A38" s="134"/>
      <c r="B38" s="406"/>
      <c r="C38" s="407"/>
      <c r="D38" s="407"/>
      <c r="E38" s="407"/>
      <c r="F38" s="408"/>
    </row>
    <row r="39" spans="1:6" ht="18.75" customHeight="1" x14ac:dyDescent="0.15">
      <c r="A39" s="134"/>
      <c r="B39" s="406"/>
      <c r="C39" s="407"/>
      <c r="D39" s="407"/>
      <c r="E39" s="407"/>
      <c r="F39" s="408"/>
    </row>
    <row r="40" spans="1:6" ht="18.75" customHeight="1" x14ac:dyDescent="0.15">
      <c r="A40" s="134"/>
      <c r="B40" s="406"/>
      <c r="C40" s="407"/>
      <c r="D40" s="407"/>
      <c r="E40" s="407"/>
      <c r="F40" s="408"/>
    </row>
    <row r="41" spans="1:6" ht="18.75" customHeight="1" x14ac:dyDescent="0.15">
      <c r="A41" s="134"/>
      <c r="B41" s="406"/>
      <c r="C41" s="407"/>
      <c r="D41" s="407"/>
      <c r="E41" s="407"/>
      <c r="F41" s="408"/>
    </row>
    <row r="42" spans="1:6" ht="18.75" customHeight="1" x14ac:dyDescent="0.15">
      <c r="A42" s="134"/>
      <c r="B42" s="409"/>
      <c r="C42" s="410"/>
      <c r="D42" s="410"/>
      <c r="E42" s="410"/>
      <c r="F42" s="411"/>
    </row>
    <row r="43" spans="1:6" ht="18.75" customHeight="1" x14ac:dyDescent="0.15">
      <c r="A43" s="134" t="s">
        <v>9</v>
      </c>
      <c r="B43" s="4" t="s">
        <v>231</v>
      </c>
      <c r="C43" s="134"/>
      <c r="D43" s="134"/>
      <c r="E43" s="134"/>
      <c r="F43" s="134"/>
    </row>
    <row r="44" spans="1:6" ht="18.75" customHeight="1" x14ac:dyDescent="0.15">
      <c r="A44" s="134"/>
      <c r="B44" s="412" t="s">
        <v>227</v>
      </c>
      <c r="C44" s="413"/>
      <c r="D44" s="413"/>
      <c r="E44" s="413"/>
      <c r="F44" s="414"/>
    </row>
    <row r="45" spans="1:6" ht="18.75" customHeight="1" x14ac:dyDescent="0.15">
      <c r="A45" s="134"/>
      <c r="B45" s="415"/>
      <c r="C45" s="416"/>
      <c r="D45" s="416"/>
      <c r="E45" s="416"/>
      <c r="F45" s="417"/>
    </row>
    <row r="46" spans="1:6" ht="18.75" customHeight="1" x14ac:dyDescent="0.15">
      <c r="A46" s="134"/>
      <c r="B46" s="415"/>
      <c r="C46" s="416"/>
      <c r="D46" s="416"/>
      <c r="E46" s="416"/>
      <c r="F46" s="417"/>
    </row>
    <row r="47" spans="1:6" ht="18.75" customHeight="1" x14ac:dyDescent="0.15">
      <c r="A47" s="134"/>
      <c r="B47" s="415"/>
      <c r="C47" s="416"/>
      <c r="D47" s="416"/>
      <c r="E47" s="416"/>
      <c r="F47" s="417"/>
    </row>
    <row r="48" spans="1:6" ht="18.75" customHeight="1" x14ac:dyDescent="0.15">
      <c r="A48" s="134"/>
      <c r="B48" s="415"/>
      <c r="C48" s="416"/>
      <c r="D48" s="416"/>
      <c r="E48" s="416"/>
      <c r="F48" s="417"/>
    </row>
    <row r="49" spans="1:6" ht="18.75" customHeight="1" x14ac:dyDescent="0.15">
      <c r="A49" s="134"/>
      <c r="B49" s="415"/>
      <c r="C49" s="416"/>
      <c r="D49" s="416"/>
      <c r="E49" s="416"/>
      <c r="F49" s="417"/>
    </row>
    <row r="50" spans="1:6" ht="18.75" customHeight="1" x14ac:dyDescent="0.15">
      <c r="A50" s="134"/>
      <c r="B50" s="415"/>
      <c r="C50" s="416"/>
      <c r="D50" s="416"/>
      <c r="E50" s="416"/>
      <c r="F50" s="417"/>
    </row>
    <row r="51" spans="1:6" ht="18.75" customHeight="1" x14ac:dyDescent="0.15">
      <c r="A51" s="134"/>
      <c r="B51" s="415"/>
      <c r="C51" s="416"/>
      <c r="D51" s="416"/>
      <c r="E51" s="416"/>
      <c r="F51" s="417"/>
    </row>
    <row r="52" spans="1:6" ht="18.75" customHeight="1" x14ac:dyDescent="0.15">
      <c r="A52" s="134"/>
      <c r="B52" s="415"/>
      <c r="C52" s="416"/>
      <c r="D52" s="416"/>
      <c r="E52" s="416"/>
      <c r="F52" s="417"/>
    </row>
    <row r="53" spans="1:6" ht="18.75" customHeight="1" x14ac:dyDescent="0.15">
      <c r="A53" s="134"/>
      <c r="B53" s="415"/>
      <c r="C53" s="416"/>
      <c r="D53" s="416"/>
      <c r="E53" s="416"/>
      <c r="F53" s="417"/>
    </row>
    <row r="54" spans="1:6" ht="18.75" customHeight="1" x14ac:dyDescent="0.15">
      <c r="A54" s="134"/>
      <c r="B54" s="415"/>
      <c r="C54" s="416"/>
      <c r="D54" s="416"/>
      <c r="E54" s="416"/>
      <c r="F54" s="417"/>
    </row>
    <row r="55" spans="1:6" ht="18.75" customHeight="1" x14ac:dyDescent="0.15">
      <c r="A55" s="134"/>
      <c r="B55" s="415"/>
      <c r="C55" s="416"/>
      <c r="D55" s="416"/>
      <c r="E55" s="416"/>
      <c r="F55" s="417"/>
    </row>
    <row r="56" spans="1:6" ht="18.75" customHeight="1" x14ac:dyDescent="0.15">
      <c r="A56" s="134"/>
      <c r="B56" s="415"/>
      <c r="C56" s="416"/>
      <c r="D56" s="416"/>
      <c r="E56" s="416"/>
      <c r="F56" s="417"/>
    </row>
    <row r="57" spans="1:6" ht="18.75" customHeight="1" x14ac:dyDescent="0.15">
      <c r="A57" s="134"/>
      <c r="B57" s="415"/>
      <c r="C57" s="416"/>
      <c r="D57" s="416"/>
      <c r="E57" s="416"/>
      <c r="F57" s="417"/>
    </row>
    <row r="58" spans="1:6" ht="18.75" customHeight="1" x14ac:dyDescent="0.15">
      <c r="A58" s="134"/>
      <c r="B58" s="415"/>
      <c r="C58" s="416"/>
      <c r="D58" s="416"/>
      <c r="E58" s="416"/>
      <c r="F58" s="417"/>
    </row>
    <row r="59" spans="1:6" ht="18.75" customHeight="1" x14ac:dyDescent="0.15">
      <c r="A59" s="134"/>
      <c r="B59" s="415"/>
      <c r="C59" s="416"/>
      <c r="D59" s="416"/>
      <c r="E59" s="416"/>
      <c r="F59" s="417"/>
    </row>
    <row r="60" spans="1:6" ht="18.75" customHeight="1" x14ac:dyDescent="0.15">
      <c r="A60" s="134"/>
      <c r="B60" s="415"/>
      <c r="C60" s="416"/>
      <c r="D60" s="416"/>
      <c r="E60" s="416"/>
      <c r="F60" s="417"/>
    </row>
    <row r="61" spans="1:6" ht="18.75" customHeight="1" x14ac:dyDescent="0.15">
      <c r="A61" s="134"/>
      <c r="B61" s="415"/>
      <c r="C61" s="416"/>
      <c r="D61" s="416"/>
      <c r="E61" s="416"/>
      <c r="F61" s="417"/>
    </row>
    <row r="62" spans="1:6" ht="18.75" customHeight="1" x14ac:dyDescent="0.15">
      <c r="A62" s="134"/>
      <c r="B62" s="415"/>
      <c r="C62" s="416"/>
      <c r="D62" s="416"/>
      <c r="E62" s="416"/>
      <c r="F62" s="417"/>
    </row>
    <row r="63" spans="1:6" ht="18.75" customHeight="1" x14ac:dyDescent="0.15">
      <c r="A63" s="134"/>
      <c r="B63" s="415"/>
      <c r="C63" s="416"/>
      <c r="D63" s="416"/>
      <c r="E63" s="416"/>
      <c r="F63" s="417"/>
    </row>
    <row r="64" spans="1:6" ht="18.75" customHeight="1" x14ac:dyDescent="0.15">
      <c r="A64" s="134"/>
      <c r="B64" s="415"/>
      <c r="C64" s="416"/>
      <c r="D64" s="416"/>
      <c r="E64" s="416"/>
      <c r="F64" s="417"/>
    </row>
    <row r="65" spans="1:6" ht="18.75" customHeight="1" x14ac:dyDescent="0.15">
      <c r="A65" s="134"/>
      <c r="B65" s="415"/>
      <c r="C65" s="416"/>
      <c r="D65" s="416"/>
      <c r="E65" s="416"/>
      <c r="F65" s="417"/>
    </row>
    <row r="66" spans="1:6" ht="18.75" customHeight="1" x14ac:dyDescent="0.15">
      <c r="A66" s="134"/>
      <c r="B66" s="415"/>
      <c r="C66" s="416"/>
      <c r="D66" s="416"/>
      <c r="E66" s="416"/>
      <c r="F66" s="417"/>
    </row>
    <row r="67" spans="1:6" ht="18.75" customHeight="1" x14ac:dyDescent="0.15">
      <c r="A67" s="134"/>
      <c r="B67" s="415"/>
      <c r="C67" s="416"/>
      <c r="D67" s="416"/>
      <c r="E67" s="416"/>
      <c r="F67" s="417"/>
    </row>
    <row r="68" spans="1:6" ht="18.75" customHeight="1" x14ac:dyDescent="0.15">
      <c r="A68" s="134"/>
      <c r="B68" s="415"/>
      <c r="C68" s="416"/>
      <c r="D68" s="416"/>
      <c r="E68" s="416"/>
      <c r="F68" s="417"/>
    </row>
    <row r="69" spans="1:6" ht="18.75" customHeight="1" x14ac:dyDescent="0.15">
      <c r="A69" s="134"/>
      <c r="B69" s="415"/>
      <c r="C69" s="416"/>
      <c r="D69" s="416"/>
      <c r="E69" s="416"/>
      <c r="F69" s="417"/>
    </row>
    <row r="70" spans="1:6" ht="18.75" customHeight="1" x14ac:dyDescent="0.15">
      <c r="A70" s="134"/>
      <c r="B70" s="415"/>
      <c r="C70" s="416"/>
      <c r="D70" s="416"/>
      <c r="E70" s="416"/>
      <c r="F70" s="417"/>
    </row>
    <row r="71" spans="1:6" ht="18.75" customHeight="1" x14ac:dyDescent="0.15">
      <c r="A71" s="134"/>
      <c r="B71" s="415"/>
      <c r="C71" s="416"/>
      <c r="D71" s="416"/>
      <c r="E71" s="416"/>
      <c r="F71" s="417"/>
    </row>
    <row r="72" spans="1:6" ht="18.75" customHeight="1" x14ac:dyDescent="0.15">
      <c r="A72" s="134"/>
      <c r="B72" s="415"/>
      <c r="C72" s="416"/>
      <c r="D72" s="416"/>
      <c r="E72" s="416"/>
      <c r="F72" s="417"/>
    </row>
    <row r="73" spans="1:6" ht="18.75" customHeight="1" x14ac:dyDescent="0.15">
      <c r="A73" s="134"/>
      <c r="B73" s="415"/>
      <c r="C73" s="416"/>
      <c r="D73" s="416"/>
      <c r="E73" s="416"/>
      <c r="F73" s="417"/>
    </row>
    <row r="74" spans="1:6" ht="18.75" customHeight="1" x14ac:dyDescent="0.15">
      <c r="A74" s="134"/>
      <c r="B74" s="415"/>
      <c r="C74" s="416"/>
      <c r="D74" s="416"/>
      <c r="E74" s="416"/>
      <c r="F74" s="417"/>
    </row>
    <row r="75" spans="1:6" ht="18.75" customHeight="1" x14ac:dyDescent="0.15">
      <c r="A75" s="134"/>
      <c r="B75" s="415"/>
      <c r="C75" s="416"/>
      <c r="D75" s="416"/>
      <c r="E75" s="416"/>
      <c r="F75" s="417"/>
    </row>
    <row r="76" spans="1:6" ht="18.75" customHeight="1" x14ac:dyDescent="0.15">
      <c r="A76" s="134"/>
      <c r="B76" s="415"/>
      <c r="C76" s="416"/>
      <c r="D76" s="416"/>
      <c r="E76" s="416"/>
      <c r="F76" s="417"/>
    </row>
    <row r="77" spans="1:6" ht="18.75" customHeight="1" x14ac:dyDescent="0.15">
      <c r="A77" s="134"/>
      <c r="B77" s="415"/>
      <c r="C77" s="416"/>
      <c r="D77" s="416"/>
      <c r="E77" s="416"/>
      <c r="F77" s="417"/>
    </row>
    <row r="78" spans="1:6" ht="18.75" customHeight="1" x14ac:dyDescent="0.15">
      <c r="A78" s="134"/>
      <c r="B78" s="415"/>
      <c r="C78" s="416"/>
      <c r="D78" s="416"/>
      <c r="E78" s="416"/>
      <c r="F78" s="417"/>
    </row>
    <row r="79" spans="1:6" ht="18.75" customHeight="1" x14ac:dyDescent="0.15">
      <c r="A79" s="134"/>
      <c r="B79" s="415"/>
      <c r="C79" s="416"/>
      <c r="D79" s="416"/>
      <c r="E79" s="416"/>
      <c r="F79" s="417"/>
    </row>
    <row r="80" spans="1:6" ht="18.75" customHeight="1" x14ac:dyDescent="0.15">
      <c r="A80" s="134"/>
      <c r="B80" s="415"/>
      <c r="C80" s="416"/>
      <c r="D80" s="416"/>
      <c r="E80" s="416"/>
      <c r="F80" s="417"/>
    </row>
    <row r="81" spans="1:6" ht="18.75" customHeight="1" x14ac:dyDescent="0.15">
      <c r="A81" s="134"/>
      <c r="B81" s="415"/>
      <c r="C81" s="416"/>
      <c r="D81" s="416"/>
      <c r="E81" s="416"/>
      <c r="F81" s="417"/>
    </row>
    <row r="82" spans="1:6" ht="18.75" customHeight="1" x14ac:dyDescent="0.15">
      <c r="A82" s="134"/>
      <c r="B82" s="415"/>
      <c r="C82" s="416"/>
      <c r="D82" s="416"/>
      <c r="E82" s="416"/>
      <c r="F82" s="417"/>
    </row>
    <row r="83" spans="1:6" ht="18.75" customHeight="1" x14ac:dyDescent="0.15">
      <c r="A83" s="134"/>
      <c r="B83" s="418"/>
      <c r="C83" s="419"/>
      <c r="D83" s="419"/>
      <c r="E83" s="419"/>
      <c r="F83" s="420"/>
    </row>
    <row r="84" spans="1:6" ht="18.75" customHeight="1" x14ac:dyDescent="0.15">
      <c r="A84" s="4" t="s">
        <v>10</v>
      </c>
      <c r="B84" s="4" t="s">
        <v>228</v>
      </c>
      <c r="C84" s="4"/>
      <c r="D84" s="4"/>
      <c r="E84" s="4"/>
      <c r="F84" s="4"/>
    </row>
    <row r="85" spans="1:6" ht="18.75" customHeight="1" x14ac:dyDescent="0.15">
      <c r="A85" s="134"/>
      <c r="B85" s="412" t="s">
        <v>229</v>
      </c>
      <c r="C85" s="413"/>
      <c r="D85" s="413"/>
      <c r="E85" s="413"/>
      <c r="F85" s="414"/>
    </row>
    <row r="86" spans="1:6" ht="18.75" customHeight="1" x14ac:dyDescent="0.15">
      <c r="A86" s="134"/>
      <c r="B86" s="415"/>
      <c r="C86" s="416"/>
      <c r="D86" s="416"/>
      <c r="E86" s="416"/>
      <c r="F86" s="417"/>
    </row>
    <row r="87" spans="1:6" ht="18.75" customHeight="1" x14ac:dyDescent="0.15">
      <c r="A87" s="134"/>
      <c r="B87" s="415"/>
      <c r="C87" s="416"/>
      <c r="D87" s="416"/>
      <c r="E87" s="416"/>
      <c r="F87" s="417"/>
    </row>
    <row r="88" spans="1:6" ht="18.75" customHeight="1" x14ac:dyDescent="0.15">
      <c r="A88" s="134"/>
      <c r="B88" s="415"/>
      <c r="C88" s="416"/>
      <c r="D88" s="416"/>
      <c r="E88" s="416"/>
      <c r="F88" s="417"/>
    </row>
    <row r="89" spans="1:6" ht="18.75" customHeight="1" x14ac:dyDescent="0.15">
      <c r="A89" s="134"/>
      <c r="B89" s="415"/>
      <c r="C89" s="416"/>
      <c r="D89" s="416"/>
      <c r="E89" s="416"/>
      <c r="F89" s="417"/>
    </row>
    <row r="90" spans="1:6" ht="18.75" customHeight="1" x14ac:dyDescent="0.15">
      <c r="A90" s="134"/>
      <c r="B90" s="415"/>
      <c r="C90" s="416"/>
      <c r="D90" s="416"/>
      <c r="E90" s="416"/>
      <c r="F90" s="417"/>
    </row>
    <row r="91" spans="1:6" ht="18.75" customHeight="1" x14ac:dyDescent="0.15">
      <c r="A91" s="134"/>
      <c r="B91" s="415"/>
      <c r="C91" s="416"/>
      <c r="D91" s="416"/>
      <c r="E91" s="416"/>
      <c r="F91" s="417"/>
    </row>
    <row r="92" spans="1:6" ht="18.75" customHeight="1" x14ac:dyDescent="0.15">
      <c r="A92" s="134"/>
      <c r="B92" s="415"/>
      <c r="C92" s="416"/>
      <c r="D92" s="416"/>
      <c r="E92" s="416"/>
      <c r="F92" s="417"/>
    </row>
    <row r="93" spans="1:6" ht="18.75" customHeight="1" x14ac:dyDescent="0.15">
      <c r="A93" s="134"/>
      <c r="B93" s="415"/>
      <c r="C93" s="416"/>
      <c r="D93" s="416"/>
      <c r="E93" s="416"/>
      <c r="F93" s="417"/>
    </row>
    <row r="94" spans="1:6" ht="18.75" customHeight="1" x14ac:dyDescent="0.15">
      <c r="A94" s="134"/>
      <c r="B94" s="415"/>
      <c r="C94" s="416"/>
      <c r="D94" s="416"/>
      <c r="E94" s="416"/>
      <c r="F94" s="417"/>
    </row>
    <row r="95" spans="1:6" ht="18.75" customHeight="1" x14ac:dyDescent="0.15">
      <c r="A95" s="134"/>
      <c r="B95" s="415"/>
      <c r="C95" s="416"/>
      <c r="D95" s="416"/>
      <c r="E95" s="416"/>
      <c r="F95" s="417"/>
    </row>
    <row r="96" spans="1:6" ht="18.75" customHeight="1" x14ac:dyDescent="0.15">
      <c r="A96" s="134"/>
      <c r="B96" s="415"/>
      <c r="C96" s="416"/>
      <c r="D96" s="416"/>
      <c r="E96" s="416"/>
      <c r="F96" s="417"/>
    </row>
    <row r="97" spans="1:6" ht="18.75" customHeight="1" x14ac:dyDescent="0.15">
      <c r="A97" s="134"/>
      <c r="B97" s="415"/>
      <c r="C97" s="416"/>
      <c r="D97" s="416"/>
      <c r="E97" s="416"/>
      <c r="F97" s="417"/>
    </row>
    <row r="98" spans="1:6" ht="18.75" customHeight="1" x14ac:dyDescent="0.15">
      <c r="A98" s="134"/>
      <c r="B98" s="415"/>
      <c r="C98" s="416"/>
      <c r="D98" s="416"/>
      <c r="E98" s="416"/>
      <c r="F98" s="417"/>
    </row>
    <row r="99" spans="1:6" ht="18.75" customHeight="1" x14ac:dyDescent="0.15">
      <c r="A99" s="134"/>
      <c r="B99" s="415"/>
      <c r="C99" s="416"/>
      <c r="D99" s="416"/>
      <c r="E99" s="416"/>
      <c r="F99" s="417"/>
    </row>
    <row r="100" spans="1:6" ht="18.75" customHeight="1" x14ac:dyDescent="0.15">
      <c r="A100" s="134"/>
      <c r="B100" s="415"/>
      <c r="C100" s="416"/>
      <c r="D100" s="416"/>
      <c r="E100" s="416"/>
      <c r="F100" s="417"/>
    </row>
    <row r="101" spans="1:6" ht="18.75" customHeight="1" x14ac:dyDescent="0.15">
      <c r="A101" s="134"/>
      <c r="B101" s="415"/>
      <c r="C101" s="416"/>
      <c r="D101" s="416"/>
      <c r="E101" s="416"/>
      <c r="F101" s="417"/>
    </row>
    <row r="102" spans="1:6" ht="18.75" customHeight="1" x14ac:dyDescent="0.15">
      <c r="A102" s="134"/>
      <c r="B102" s="415"/>
      <c r="C102" s="416"/>
      <c r="D102" s="416"/>
      <c r="E102" s="416"/>
      <c r="F102" s="417"/>
    </row>
    <row r="103" spans="1:6" ht="18.75" customHeight="1" x14ac:dyDescent="0.15">
      <c r="A103" s="134"/>
      <c r="B103" s="415"/>
      <c r="C103" s="416"/>
      <c r="D103" s="416"/>
      <c r="E103" s="416"/>
      <c r="F103" s="417"/>
    </row>
    <row r="104" spans="1:6" ht="18.75" customHeight="1" x14ac:dyDescent="0.15">
      <c r="A104" s="134"/>
      <c r="B104" s="415"/>
      <c r="C104" s="416"/>
      <c r="D104" s="416"/>
      <c r="E104" s="416"/>
      <c r="F104" s="417"/>
    </row>
    <row r="105" spans="1:6" ht="18.75" customHeight="1" x14ac:dyDescent="0.15">
      <c r="A105" s="134"/>
      <c r="B105" s="415"/>
      <c r="C105" s="416"/>
      <c r="D105" s="416"/>
      <c r="E105" s="416"/>
      <c r="F105" s="417"/>
    </row>
    <row r="106" spans="1:6" ht="18.75" customHeight="1" x14ac:dyDescent="0.15">
      <c r="A106" s="134"/>
      <c r="B106" s="415"/>
      <c r="C106" s="416"/>
      <c r="D106" s="416"/>
      <c r="E106" s="416"/>
      <c r="F106" s="417"/>
    </row>
    <row r="107" spans="1:6" ht="18.75" customHeight="1" x14ac:dyDescent="0.15">
      <c r="A107" s="134"/>
      <c r="B107" s="415"/>
      <c r="C107" s="416"/>
      <c r="D107" s="416"/>
      <c r="E107" s="416"/>
      <c r="F107" s="417"/>
    </row>
    <row r="108" spans="1:6" ht="18.75" customHeight="1" x14ac:dyDescent="0.15">
      <c r="A108" s="134"/>
      <c r="B108" s="415"/>
      <c r="C108" s="416"/>
      <c r="D108" s="416"/>
      <c r="E108" s="416"/>
      <c r="F108" s="417"/>
    </row>
    <row r="109" spans="1:6" ht="18.75" customHeight="1" x14ac:dyDescent="0.15">
      <c r="A109" s="134"/>
      <c r="B109" s="415"/>
      <c r="C109" s="416"/>
      <c r="D109" s="416"/>
      <c r="E109" s="416"/>
      <c r="F109" s="417"/>
    </row>
    <row r="110" spans="1:6" ht="18.75" customHeight="1" x14ac:dyDescent="0.15">
      <c r="A110" s="134"/>
      <c r="B110" s="415"/>
      <c r="C110" s="416"/>
      <c r="D110" s="416"/>
      <c r="E110" s="416"/>
      <c r="F110" s="417"/>
    </row>
    <row r="111" spans="1:6" ht="18.75" customHeight="1" x14ac:dyDescent="0.15">
      <c r="A111" s="134"/>
      <c r="B111" s="415"/>
      <c r="C111" s="416"/>
      <c r="D111" s="416"/>
      <c r="E111" s="416"/>
      <c r="F111" s="417"/>
    </row>
    <row r="112" spans="1:6" ht="18.75" customHeight="1" x14ac:dyDescent="0.15">
      <c r="A112" s="134"/>
      <c r="B112" s="415"/>
      <c r="C112" s="416"/>
      <c r="D112" s="416"/>
      <c r="E112" s="416"/>
      <c r="F112" s="417"/>
    </row>
    <row r="113" spans="1:6" ht="18.75" customHeight="1" x14ac:dyDescent="0.15">
      <c r="A113" s="134"/>
      <c r="B113" s="415"/>
      <c r="C113" s="416"/>
      <c r="D113" s="416"/>
      <c r="E113" s="416"/>
      <c r="F113" s="417"/>
    </row>
    <row r="114" spans="1:6" ht="18.75" customHeight="1" x14ac:dyDescent="0.15">
      <c r="A114" s="134"/>
      <c r="B114" s="415"/>
      <c r="C114" s="416"/>
      <c r="D114" s="416"/>
      <c r="E114" s="416"/>
      <c r="F114" s="417"/>
    </row>
    <row r="115" spans="1:6" ht="18.75" customHeight="1" x14ac:dyDescent="0.15">
      <c r="A115" s="134"/>
      <c r="B115" s="415"/>
      <c r="C115" s="416"/>
      <c r="D115" s="416"/>
      <c r="E115" s="416"/>
      <c r="F115" s="417"/>
    </row>
    <row r="116" spans="1:6" ht="18.75" customHeight="1" x14ac:dyDescent="0.15">
      <c r="A116" s="134"/>
      <c r="B116" s="415"/>
      <c r="C116" s="416"/>
      <c r="D116" s="416"/>
      <c r="E116" s="416"/>
      <c r="F116" s="417"/>
    </row>
    <row r="117" spans="1:6" ht="18.75" customHeight="1" x14ac:dyDescent="0.15">
      <c r="A117" s="134"/>
      <c r="B117" s="415"/>
      <c r="C117" s="416"/>
      <c r="D117" s="416"/>
      <c r="E117" s="416"/>
      <c r="F117" s="417"/>
    </row>
    <row r="118" spans="1:6" ht="18.75" customHeight="1" x14ac:dyDescent="0.15">
      <c r="A118" s="134"/>
      <c r="B118" s="415"/>
      <c r="C118" s="416"/>
      <c r="D118" s="416"/>
      <c r="E118" s="416"/>
      <c r="F118" s="417"/>
    </row>
    <row r="119" spans="1:6" ht="18.75" customHeight="1" x14ac:dyDescent="0.15">
      <c r="A119" s="134"/>
      <c r="B119" s="415"/>
      <c r="C119" s="416"/>
      <c r="D119" s="416"/>
      <c r="E119" s="416"/>
      <c r="F119" s="417"/>
    </row>
    <row r="120" spans="1:6" ht="18.75" customHeight="1" x14ac:dyDescent="0.15">
      <c r="A120" s="134"/>
      <c r="B120" s="415"/>
      <c r="C120" s="416"/>
      <c r="D120" s="416"/>
      <c r="E120" s="416"/>
      <c r="F120" s="417"/>
    </row>
    <row r="121" spans="1:6" ht="18.75" customHeight="1" x14ac:dyDescent="0.15">
      <c r="A121" s="134"/>
      <c r="B121" s="415"/>
      <c r="C121" s="416"/>
      <c r="D121" s="416"/>
      <c r="E121" s="416"/>
      <c r="F121" s="417"/>
    </row>
    <row r="122" spans="1:6" ht="18.75" customHeight="1" x14ac:dyDescent="0.15">
      <c r="A122" s="134"/>
      <c r="B122" s="415"/>
      <c r="C122" s="416"/>
      <c r="D122" s="416"/>
      <c r="E122" s="416"/>
      <c r="F122" s="417"/>
    </row>
    <row r="123" spans="1:6" ht="18.75" customHeight="1" x14ac:dyDescent="0.15">
      <c r="A123" s="134"/>
      <c r="B123" s="415"/>
      <c r="C123" s="416"/>
      <c r="D123" s="416"/>
      <c r="E123" s="416"/>
      <c r="F123" s="417"/>
    </row>
    <row r="124" spans="1:6" ht="18.75" customHeight="1" x14ac:dyDescent="0.15">
      <c r="A124" s="134"/>
      <c r="B124" s="418"/>
      <c r="C124" s="419"/>
      <c r="D124" s="419"/>
      <c r="E124" s="419"/>
      <c r="F124" s="420"/>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 (医学部)</vt:lpstr>
      <vt:lpstr>様式２　プログラムを構成する授業科目（看護学部）</vt:lpstr>
      <vt:lpstr>様式３　履修者等数の実績</vt:lpstr>
      <vt:lpstr>様式４　教育の質・履修者数を向上させるための体制・計画</vt:lpstr>
      <vt:lpstr>様式５　自己点検・評価</vt:lpstr>
      <vt:lpstr>様式６　特色ある取組 </vt:lpstr>
      <vt:lpstr>'様式１　大学等概要'!Print_Area</vt:lpstr>
      <vt:lpstr>'様式２　プログラムを構成する授業科目 (医学部)'!Print_Area</vt:lpstr>
      <vt:lpstr>'様式２　プログラムを構成する授業科目（看護学部）'!Print_Area</vt:lpstr>
      <vt:lpstr>'様式３　履修者等数の実績'!Print_Area</vt:lpstr>
      <vt:lpstr>'様式４　教育の質・履修者数を向上させるための体制・計画'!Print_Area</vt:lpstr>
      <vt:lpstr>'様式５　自己点検・評価'!Print_Area</vt:lpstr>
      <vt:lpstr>'様式６　特色ある取組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Tsujino Kenji</cp:lastModifiedBy>
  <cp:lastPrinted>2022-03-14T13:27:09Z</cp:lastPrinted>
  <dcterms:created xsi:type="dcterms:W3CDTF">2011-06-14T05:32:50Z</dcterms:created>
  <dcterms:modified xsi:type="dcterms:W3CDTF">2022-07-08T06:25:19Z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